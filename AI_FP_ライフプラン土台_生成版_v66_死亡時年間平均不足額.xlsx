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情報入力" sheetId="1" state="visible" r:id="rId1"/>
    <sheet xmlns:r="http://schemas.openxmlformats.org/officeDocument/2006/relationships" name="前提条件" sheetId="2" state="visible" r:id="rId2"/>
    <sheet xmlns:r="http://schemas.openxmlformats.org/officeDocument/2006/relationships" name="CF表（万円表示）" sheetId="3" state="visible" r:id="rId3"/>
    <sheet xmlns:r="http://schemas.openxmlformats.org/officeDocument/2006/relationships" name="CF表（ご主人様死亡時・万円表示）" sheetId="4" state="visible" r:id="rId4"/>
    <sheet xmlns:r="http://schemas.openxmlformats.org/officeDocument/2006/relationships" name="CF表（奥様死亡時・万円表示）" sheetId="5" state="visible" r:id="rId5"/>
    <sheet xmlns:r="http://schemas.openxmlformats.org/officeDocument/2006/relationships" name="リスク判定" sheetId="6" state="visible" r:id="rId6"/>
    <sheet xmlns:r="http://schemas.openxmlformats.org/officeDocument/2006/relationships" name="グラフ" sheetId="7" state="visible" r:id="rId7"/>
    <sheet xmlns:r="http://schemas.openxmlformats.org/officeDocument/2006/relationships" name="AI出力用" sheetId="8" state="visible" r:id="rId8"/>
    <sheet xmlns:r="http://schemas.openxmlformats.org/officeDocument/2006/relationships" name="入力データ" sheetId="9" state="hidden" r:id="rId9"/>
    <sheet xmlns:r="http://schemas.openxmlformats.org/officeDocument/2006/relationships" name="CF表" sheetId="10" state="hidden" r:id="rId10"/>
    <sheet xmlns:r="http://schemas.openxmlformats.org/officeDocument/2006/relationships" name="CF表（ご主人様死亡時）" sheetId="11" state="hidden" r:id="rId11"/>
    <sheet xmlns:r="http://schemas.openxmlformats.org/officeDocument/2006/relationships" name="CF表（奥様死亡時）" sheetId="12" state="hidden" r:id="rId12"/>
    <sheet xmlns:r="http://schemas.openxmlformats.org/officeDocument/2006/relationships" name="CF表（ご主人様働けない時）" sheetId="13" state="hidden" r:id="rId13"/>
    <sheet xmlns:r="http://schemas.openxmlformats.org/officeDocument/2006/relationships" name="CF表（ご主人様働けない時・万円表示）" sheetId="14" state="hidden" r:id="rId14"/>
    <sheet xmlns:r="http://schemas.openxmlformats.org/officeDocument/2006/relationships" name="CF表（奥様働けない時）" sheetId="15" state="hidden" r:id="rId15"/>
    <sheet xmlns:r="http://schemas.openxmlformats.org/officeDocument/2006/relationships" name="CF表（奥様働けない時・万円表示）" sheetId="16" state="hidden" r:id="rId16"/>
    <sheet xmlns:r="http://schemas.openxmlformats.org/officeDocument/2006/relationships" name="CF表（老後1%）" sheetId="17" state="hidden" r:id="rId17"/>
    <sheet xmlns:r="http://schemas.openxmlformats.org/officeDocument/2006/relationships" name="CF表（老後2%）" sheetId="18" state="hidden" r:id="rId18"/>
    <sheet xmlns:r="http://schemas.openxmlformats.org/officeDocument/2006/relationships" name="老後比較" sheetId="19" state="hidden" r:id="rId19"/>
  </sheets>
  <definedNames>
    <definedName name="_xlnm.Print_Titles" localSheetId="2">'CF表（万円表示）'!$1:$3,'CF表（万円表示）'!$A:$A</definedName>
    <definedName name="_xlnm.Print_Titles" localSheetId="9">'CF表'!$1:$3,'CF表'!$A:$A</definedName>
  </definedNames>
  <calcPr calcId="124519" fullCalcOnLoad="1" refMode="A1" iterate="0" iterateCount="100" iterateDelta="0.0001" forceFullCalc="1"/>
</workbook>
</file>

<file path=xl/styles.xml><?xml version="1.0" encoding="utf-8"?>
<styleSheet xmlns="http://schemas.openxmlformats.org/spreadsheetml/2006/main">
  <numFmts count="6">
    <numFmt numFmtId="164" formatCode="yyyy\-mm\-dd"/>
    <numFmt numFmtId="165" formatCode="0.0%"/>
    <numFmt numFmtId="166" formatCode="#,##0;[RED]\(#,##0\);\-"/>
    <numFmt numFmtId="167" formatCode="#,##0.0;[RED]\(#,##0.0\);\-"/>
    <numFmt numFmtId="168" formatCode="\¥#,##0;[RED]&quot;(¥&quot;#,##0\);\-"/>
    <numFmt numFmtId="169" formatCode="0\歳"/>
  </numFmts>
  <fonts count="43">
    <font>
      <name val="Calibri"/>
      <charset val="1"/>
      <family val="2"/>
      <color theme="1"/>
      <sz val="11"/>
    </font>
    <font>
      <name val="Arial"/>
      <family val="0"/>
      <sz val="10"/>
    </font>
    <font>
      <name val="Arial"/>
      <family val="0"/>
      <sz val="10"/>
    </font>
    <font>
      <name val="Arial"/>
      <family val="0"/>
      <sz val="10"/>
    </font>
    <font>
      <name val="Noto Sans CJK SC"/>
      <charset val="1"/>
      <family val="2"/>
      <b val="1"/>
      <color rgb="FFFFFFFF"/>
      <sz val="14"/>
    </font>
    <font>
      <name val="Noto Sans CJK SC"/>
      <charset val="1"/>
      <family val="0"/>
      <b val="1"/>
      <color rgb="FF7F6000"/>
      <sz val="11"/>
    </font>
    <font>
      <name val="Noto Sans CJK SC"/>
      <charset val="1"/>
      <family val="2"/>
      <b val="1"/>
      <sz val="12"/>
    </font>
    <font>
      <name val="Noto Sans CJK SC"/>
      <charset val="1"/>
      <family val="2"/>
      <b val="1"/>
      <sz val="11"/>
    </font>
    <font>
      <name val="Noto Sans CJK SC"/>
      <charset val="1"/>
      <family val="2"/>
      <color theme="1"/>
      <sz val="11"/>
    </font>
    <font>
      <name val="Noto Sans CJK SC"/>
      <family val="2"/>
      <color theme="1"/>
      <sz val="11"/>
    </font>
    <font>
      <name val="Noto Sans CJK SC"/>
      <charset val="1"/>
      <family val="2"/>
      <b val="1"/>
      <color rgb="FFFFFFFF"/>
      <sz val="11"/>
    </font>
    <font>
      <name val="Noto Sans CJK SC"/>
      <charset val="1"/>
      <family val="2"/>
      <b val="1"/>
      <sz val="10"/>
    </font>
    <font>
      <name val="Cambria"/>
      <charset val="1"/>
      <family val="0"/>
      <color rgb="FF0000FF"/>
      <sz val="11"/>
    </font>
    <font>
      <name val="Cambria"/>
      <charset val="1"/>
      <family val="0"/>
      <i val="1"/>
      <color rgb="FF666666"/>
      <sz val="11"/>
    </font>
    <font>
      <name val="Noto Sans CJK SC"/>
      <charset val="1"/>
      <family val="2"/>
      <i val="1"/>
      <color rgb="FF666666"/>
      <sz val="11"/>
    </font>
    <font>
      <name val="Noto Sans CJK SC"/>
      <charset val="1"/>
      <family val="2"/>
      <color rgb="FF0000FF"/>
      <sz val="11"/>
    </font>
    <font>
      <name val="Cambria"/>
      <charset val="1"/>
      <family val="0"/>
      <b val="1"/>
      <color rgb="FFFFFFFF"/>
      <sz val="14"/>
    </font>
    <font>
      <name val="Noto Sans CJK SC"/>
      <family val="2"/>
      <b val="1"/>
      <color rgb="FFFFFFFF"/>
      <sz val="14"/>
    </font>
    <font>
      <name val="Noto Sans CJK SC"/>
      <charset val="1"/>
      <family val="0"/>
      <b val="1"/>
      <sz val="11"/>
    </font>
    <font>
      <name val="Cambria"/>
      <charset val="1"/>
      <family val="0"/>
      <b val="1"/>
      <sz val="11"/>
    </font>
    <font>
      <name val="Noto Sans CJK SC"/>
      <charset val="1"/>
      <family val="0"/>
      <b val="1"/>
      <color rgb="FF0F3557"/>
      <sz val="11"/>
    </font>
    <font>
      <name val="Cambria"/>
      <charset val="1"/>
      <family val="0"/>
      <b val="1"/>
      <color rgb="FF1F1F1F"/>
      <sz val="11"/>
    </font>
    <font>
      <name val="Noto Sans CJK SC"/>
      <charset val="1"/>
      <family val="2"/>
      <b val="1"/>
      <color rgb="FF0F3557"/>
      <sz val="11"/>
    </font>
    <font>
      <name val="Calibri"/>
      <charset val="1"/>
      <family val="2"/>
      <b val="1"/>
      <color rgb="FF0F3557"/>
      <sz val="11"/>
    </font>
    <font>
      <name val="Cambria"/>
      <charset val="1"/>
      <family val="0"/>
      <color rgb="FF666666"/>
      <sz val="11"/>
    </font>
    <font>
      <name val="Noto Sans CJK SC"/>
      <charset val="1"/>
      <family val="0"/>
      <b val="1"/>
      <i val="1"/>
      <sz val="11"/>
    </font>
    <font>
      <name val="Calibri"/>
      <charset val="1"/>
      <family val="0"/>
      <b val="1"/>
      <sz val="11"/>
    </font>
    <font>
      <name val="Cambria"/>
      <charset val="1"/>
      <family val="0"/>
      <i val="1"/>
      <color rgb="FF666666"/>
      <sz val="10"/>
    </font>
    <font>
      <name val="Noto Sans CJK SC"/>
      <charset val="1"/>
      <family val="2"/>
      <b val="1"/>
      <color rgb="FF404040"/>
      <sz val="11"/>
    </font>
    <font>
      <name val="Noto Sans CJK SC"/>
      <charset val="1"/>
      <family val="2"/>
      <b val="1"/>
      <color rgb="FFFFFFFF"/>
      <sz val="12"/>
    </font>
    <font>
      <name val="Noto Sans CJK SC"/>
      <charset val="1"/>
      <family val="2"/>
      <b val="1"/>
      <color rgb="FFFFFFFF"/>
      <sz val="16"/>
    </font>
    <font>
      <name val="Calibri"/>
      <charset val="1"/>
      <family val="0"/>
      <color rgb="FF000000"/>
      <sz val="11"/>
    </font>
    <font>
      <name val="Noto Sans CJK SC"/>
      <charset val="1"/>
      <family val="2"/>
      <sz val="11"/>
    </font>
    <font>
      <name val="Noto Sans CJK SC"/>
      <charset val="1"/>
      <family val="2"/>
      <sz val="10"/>
    </font>
    <font>
      <name val="Calibri"/>
      <family val="2"/>
      <b val="1"/>
      <color rgb="FF000000"/>
      <sz val="18"/>
    </font>
    <font>
      <name val="Noto Sans CJK SC"/>
      <family val="2"/>
      <b val="1"/>
      <color rgb="FF000000"/>
      <sz val="18"/>
    </font>
    <font>
      <name val="Calibri"/>
      <family val="2"/>
      <color rgb="FF000000"/>
      <sz val="10"/>
    </font>
    <font>
      <name val="Noto Sans CJK SC"/>
      <family val="2"/>
      <b val="1"/>
      <color rgb="FF000000"/>
      <sz val="10"/>
    </font>
    <font>
      <name val="Cambria"/>
      <charset val="1"/>
      <family val="0"/>
      <b val="1"/>
      <color rgb="FF000000"/>
      <sz val="11"/>
    </font>
    <font>
      <name val="Noto Sans CJK SC"/>
      <family val="2"/>
      <color rgb="FF0000FF"/>
      <sz val="11"/>
    </font>
    <font>
      <name val="Noto Sans CJK SC"/>
      <charset val="1"/>
      <family val="2"/>
      <b val="1"/>
      <color rgb="FF000000"/>
      <sz val="11"/>
    </font>
    <font>
      <name val="Noto Sans CJK SC"/>
      <charset val="1"/>
      <family val="2"/>
      <i val="1"/>
      <color rgb="FF666666"/>
      <sz val="10"/>
    </font>
    <font>
      <name val="Noto Sans CJK SC"/>
      <family val="2"/>
      <b val="1"/>
      <sz val="11"/>
    </font>
  </fonts>
  <fills count="30">
    <fill>
      <patternFill/>
    </fill>
    <fill>
      <patternFill patternType="gray125"/>
    </fill>
    <fill>
      <patternFill patternType="solid">
        <fgColor rgb="FF1F4E78"/>
        <bgColor rgb="FF0F3557"/>
      </patternFill>
    </fill>
    <fill>
      <patternFill patternType="solid">
        <fgColor rgb="FFD9EAF7"/>
        <bgColor rgb="FFD6E8F6"/>
      </patternFill>
    </fill>
    <fill>
      <patternFill patternType="solid">
        <fgColor rgb="FFE2F0D9"/>
        <bgColor rgb="FFE2EFDA"/>
      </patternFill>
    </fill>
    <fill>
      <patternFill patternType="solid">
        <fgColor rgb="FFF7E7A9"/>
        <bgColor rgb="FFFFF2CC"/>
      </patternFill>
    </fill>
    <fill>
      <patternFill patternType="solid">
        <fgColor rgb="FFFFF2CC"/>
        <bgColor rgb="FFFCE4D6"/>
      </patternFill>
    </fill>
    <fill>
      <patternFill patternType="solid">
        <fgColor rgb="FFEAF2FF"/>
        <bgColor rgb="FFEAF3FF"/>
      </patternFill>
    </fill>
    <fill>
      <patternFill patternType="solid">
        <fgColor rgb="FFD6E8F6"/>
        <bgColor rgb="FFD9EAF7"/>
      </patternFill>
    </fill>
    <fill>
      <patternFill patternType="solid">
        <fgColor rgb="FFE8F2FA"/>
        <bgColor rgb="FFEAF2FF"/>
      </patternFill>
    </fill>
    <fill>
      <patternFill patternType="solid">
        <fgColor rgb="FFF4F9FD"/>
        <bgColor rgb="FFF7F7F7"/>
      </patternFill>
    </fill>
    <fill>
      <patternFill patternType="solid">
        <fgColor rgb="FFF2FBF4"/>
        <bgColor rgb="FFF4F9FD"/>
      </patternFill>
    </fill>
    <fill>
      <patternFill patternType="solid">
        <fgColor rgb="FFDCEEDD"/>
        <bgColor rgb="FFE2EFDA"/>
      </patternFill>
    </fill>
    <fill>
      <patternFill patternType="solid">
        <fgColor rgb="FFFFF6F0"/>
        <bgColor rgb="FFF7F7F7"/>
      </patternFill>
    </fill>
    <fill>
      <patternFill patternType="solid">
        <fgColor rgb="FFF7E3D6"/>
        <bgColor rgb="FFFCE4D6"/>
      </patternFill>
    </fill>
    <fill>
      <patternFill patternType="solid">
        <fgColor rgb="FF9FB7DA"/>
        <bgColor rgb="FF9FBAD0"/>
      </patternFill>
    </fill>
    <fill>
      <patternFill patternType="solid">
        <fgColor rgb="FFC9D8F0"/>
        <bgColor rgb="FFD0D7DE"/>
      </patternFill>
    </fill>
    <fill>
      <patternFill patternType="solid">
        <fgColor rgb="FFD9E5F6"/>
        <bgColor rgb="FFD9E2F3"/>
      </patternFill>
    </fill>
    <fill>
      <patternFill patternType="solid">
        <fgColor rgb="FFE8EFFA"/>
        <bgColor rgb="FFE8F2FA"/>
      </patternFill>
    </fill>
    <fill>
      <patternFill patternType="solid">
        <fgColor rgb="FFB9CCE8"/>
        <bgColor rgb="FFB7C7DD"/>
      </patternFill>
    </fill>
    <fill>
      <patternFill patternType="solid">
        <fgColor rgb="FFF3F3F3"/>
        <bgColor rgb="FFF3F4F6"/>
      </patternFill>
    </fill>
    <fill>
      <patternFill patternType="solid">
        <fgColor rgb="FFF3F4F6"/>
        <bgColor rgb="FFF3F3F3"/>
      </patternFill>
    </fill>
    <fill>
      <patternFill patternType="solid">
        <fgColor rgb="FFE2EFDA"/>
        <bgColor rgb="FFE2F0D9"/>
      </patternFill>
    </fill>
    <fill>
      <patternFill patternType="solid">
        <fgColor rgb="FFD9E2F3"/>
        <bgColor rgb="FFD9E5F6"/>
      </patternFill>
    </fill>
    <fill>
      <patternFill patternType="solid">
        <fgColor rgb="FFEEF5FB"/>
        <bgColor rgb="FFEAF3FF"/>
      </patternFill>
    </fill>
    <fill>
      <patternFill patternType="solid">
        <fgColor rgb="FFDDEBF7"/>
        <bgColor rgb="FFD9EAF7"/>
      </patternFill>
    </fill>
    <fill>
      <patternFill patternType="solid">
        <fgColor rgb="FFD9DDD7"/>
        <bgColor rgb="FFD9D9D9"/>
      </patternFill>
    </fill>
    <fill>
      <patternFill patternType="solid">
        <fgColor rgb="FFEAF3FF"/>
        <bgColor rgb="FFEAF2FF"/>
      </patternFill>
    </fill>
    <fill>
      <patternFill patternType="solid">
        <fgColor rgb="FFFCE4D6"/>
        <bgColor rgb="FFF7E3D6"/>
      </patternFill>
    </fill>
    <fill>
      <patternFill patternType="solid">
        <fgColor rgb="FFF7F7F7"/>
        <bgColor rgb="FFF4F9FD"/>
      </patternFill>
    </fill>
  </fills>
  <borders count="42">
    <border>
      <left/>
      <right/>
      <top/>
      <bottom/>
      <diagonal/>
    </border>
    <border>
      <left/>
      <right/>
      <top/>
      <bottom style="thin">
        <color rgb="FFB7B6BC"/>
      </bottom>
      <diagonal/>
    </border>
    <border>
      <left style="thin">
        <color rgb="FFE5C45A"/>
      </left>
      <right style="thin">
        <color rgb="FFE5C45A"/>
      </right>
      <top style="thin">
        <color rgb="FFE5C45A"/>
      </top>
      <bottom style="thin">
        <color rgb="FFE5C45A"/>
      </bottom>
      <diagonal/>
    </border>
    <border>
      <left/>
      <right/>
      <top/>
      <bottom style="medium">
        <color rgb="FF1F4E78"/>
      </bottom>
      <diagonal/>
    </border>
    <border>
      <left/>
      <right/>
      <top style="thin">
        <color rgb="FF808080"/>
      </top>
      <bottom/>
      <diagonal/>
    </border>
    <border>
      <left/>
      <right/>
      <top style="medium">
        <color rgb="FF8FA8C8"/>
      </top>
      <bottom style="thin">
        <color rgb="FFB7C7DD"/>
      </bottom>
      <diagonal/>
    </border>
    <border>
      <left/>
      <right/>
      <top style="thin">
        <color rgb="FFB7C7DD"/>
      </top>
      <bottom/>
      <diagonal/>
    </border>
    <border>
      <left/>
      <right/>
      <top/>
      <bottom style="thin">
        <color rgb="FFB7C7DD"/>
      </bottom>
      <diagonal/>
    </border>
    <border>
      <left/>
      <right/>
      <top style="medium">
        <color rgb="FF8FA8C8"/>
      </top>
      <bottom style="medium">
        <color rgb="FF8FA8C8"/>
      </bottom>
      <diagonal/>
    </border>
    <border>
      <left style="thin">
        <color rgb="FFD0CFD4"/>
      </left>
      <right style="thin">
        <color rgb="FFD0CFD4"/>
      </right>
      <top style="thin">
        <color rgb="FF808080"/>
      </top>
      <bottom style="thin">
        <color rgb="FFD0CFD4"/>
      </bottom>
      <diagonal/>
    </border>
    <border>
      <left/>
      <right/>
      <top/>
      <bottom style="thin">
        <color rgb="FF9EB6CE"/>
      </bottom>
      <diagonal/>
    </border>
    <border>
      <left style="thin">
        <color rgb="FF9FBAD0"/>
      </left>
      <right style="thin">
        <color rgb="FF9FBAD0"/>
      </right>
      <top style="thin">
        <color rgb="FF9FBAD0"/>
      </top>
      <bottom style="thin">
        <color rgb="FF9FBAD0"/>
      </bottom>
      <diagonal/>
    </border>
    <border>
      <left style="thin">
        <color rgb="FFB7C3D0"/>
      </left>
      <right style="thin">
        <color rgb="FFB7C3D0"/>
      </right>
      <top style="thin">
        <color rgb="FFB7C3D0"/>
      </top>
      <bottom style="thin">
        <color rgb="FFB7C3D0"/>
      </bottom>
      <diagonal/>
    </border>
    <border>
      <left style="thin">
        <color rgb="FFD0D7DE"/>
      </left>
      <right style="thin">
        <color rgb="FFD0D7DE"/>
      </right>
      <top style="thin">
        <color rgb="FFD0D7DE"/>
      </top>
      <bottom style="thin">
        <color rgb="FFD0D7DE"/>
      </bottom>
      <diagonal/>
    </border>
    <border>
      <left/>
      <right/>
      <top/>
      <bottom style="thin">
        <color rgb="FFD0D7DE"/>
      </bottom>
      <diagonal/>
    </border>
    <border>
      <left style="thin">
        <color rgb="FFD0D7DE"/>
      </left>
      <right/>
      <top/>
      <bottom style="thin">
        <color rgb="FFD0D7DE"/>
      </bottom>
      <diagonal/>
    </border>
    <border>
      <left/>
      <right style="thin">
        <color rgb="FFD0D7DE"/>
      </right>
      <top/>
      <bottom style="thin">
        <color rgb="FFD0D7DE"/>
      </bottom>
      <diagonal/>
    </border>
    <border>
      <left style="thin">
        <color rgb="FFD0D7DE"/>
      </left>
      <right/>
      <top/>
      <bottom/>
      <diagonal/>
    </border>
    <border>
      <left/>
      <right style="thin">
        <color rgb="FFD0D7DE"/>
      </right>
      <top/>
      <bottom/>
      <diagonal/>
    </border>
    <border>
      <left/>
      <right/>
      <top/>
      <bottom style="thin">
        <color rgb="FF9FC0D3"/>
      </bottom>
      <diagonal/>
    </border>
    <border>
      <left style="thin">
        <color rgb="FFD0CFD4"/>
      </left>
      <right style="thin">
        <color rgb="FFD0CFD4"/>
      </right>
      <top style="thin">
        <color rgb="FFD0CFD4"/>
      </top>
      <bottom style="thin">
        <color rgb="FFD0CFD4"/>
      </bottom>
      <diagonal/>
    </border>
    <border>
      <left/>
      <right/>
      <top/>
      <bottom style="thin">
        <color rgb="FFD0D0D0"/>
      </bottom>
      <diagonal/>
    </border>
    <border>
      <left/>
      <right/>
      <top style="thin">
        <color rgb="FF9FBAD0"/>
      </top>
      <bottom/>
      <diagonal/>
    </border>
    <border>
      <left/>
      <right style="thin">
        <color rgb="FF9FBAD0"/>
      </right>
      <top style="thin">
        <color rgb="FF9FBAD0"/>
      </top>
      <bottom/>
      <diagonal/>
    </border>
    <border>
      <left/>
      <right/>
      <top style="thin">
        <color rgb="FF9FBAD0"/>
      </top>
      <bottom style="thin">
        <color rgb="FF9FBAD0"/>
      </bottom>
      <diagonal/>
    </border>
    <border>
      <left/>
      <right style="thin">
        <color rgb="FF9FBAD0"/>
      </right>
      <top style="thin">
        <color rgb="FF9FBAD0"/>
      </top>
      <bottom style="thin">
        <color rgb="FF9FBAD0"/>
      </bottom>
      <diagonal/>
    </border>
    <border>
      <left style="thin">
        <color rgb="FF9FBAD0"/>
      </left>
      <right/>
      <top/>
      <bottom/>
      <diagonal/>
    </border>
    <border>
      <left/>
      <right style="thin">
        <color rgb="FF9FBAD0"/>
      </right>
      <top/>
      <bottom/>
      <diagonal/>
    </border>
    <border>
      <left style="thin">
        <color rgb="FF9FBAD0"/>
      </left>
      <right/>
      <top/>
      <bottom style="thin">
        <color rgb="FF9FBAD0"/>
      </bottom>
      <diagonal/>
    </border>
    <border>
      <left/>
      <right/>
      <top/>
      <bottom style="thin">
        <color rgb="FF9FBAD0"/>
      </bottom>
      <diagonal/>
    </border>
    <border>
      <left/>
      <right style="thin">
        <color rgb="FF9FBAD0"/>
      </right>
      <top/>
      <bottom style="thin">
        <color rgb="FF9FBAD0"/>
      </bottom>
      <diagonal/>
    </border>
    <border>
      <left/>
      <right/>
      <top style="thin">
        <color rgb="FFB7C3D0"/>
      </top>
      <bottom/>
      <diagonal/>
    </border>
    <border>
      <left/>
      <right style="thin">
        <color rgb="FFB7C3D0"/>
      </right>
      <top style="thin">
        <color rgb="FFB7C3D0"/>
      </top>
      <bottom/>
      <diagonal/>
    </border>
    <border>
      <left/>
      <right/>
      <top style="thin">
        <color rgb="FFB7C3D0"/>
      </top>
      <bottom style="thin">
        <color rgb="FFB7C3D0"/>
      </bottom>
      <diagonal/>
    </border>
    <border>
      <left/>
      <right style="thin">
        <color rgb="FFB7C3D0"/>
      </right>
      <top style="thin">
        <color rgb="FFB7C3D0"/>
      </top>
      <bottom style="thin">
        <color rgb="FFB7C3D0"/>
      </bottom>
      <diagonal/>
    </border>
    <border>
      <left style="thin">
        <color rgb="FFB7C3D0"/>
      </left>
      <right/>
      <top/>
      <bottom/>
      <diagonal/>
    </border>
    <border>
      <left/>
      <right style="thin">
        <color rgb="FFB7C3D0"/>
      </right>
      <top/>
      <bottom/>
      <diagonal/>
    </border>
    <border>
      <left style="thin">
        <color rgb="FFB7C3D0"/>
      </left>
      <right/>
      <top/>
      <bottom style="thin">
        <color rgb="FFB7C3D0"/>
      </bottom>
      <diagonal/>
    </border>
    <border>
      <left/>
      <right/>
      <top/>
      <bottom style="thin">
        <color rgb="FFB7C3D0"/>
      </bottom>
      <diagonal/>
    </border>
    <border>
      <left/>
      <right style="thin">
        <color rgb="FFB7C3D0"/>
      </right>
      <top/>
      <bottom style="thin">
        <color rgb="FFB7C3D0"/>
      </bottom>
      <diagonal/>
    </border>
    <border>
      <left/>
      <right/>
      <top style="thin">
        <color rgb="FFD0D7DE"/>
      </top>
      <bottom/>
      <diagonal/>
    </border>
    <border>
      <left/>
      <right style="thin">
        <color rgb="FFD0D7DE"/>
      </right>
      <top style="thin">
        <color rgb="FFD0D7DE"/>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0" borderId="0" applyAlignment="1" pivotButton="0" quotePrefix="0" xfId="0">
      <alignment horizontal="general" vertical="bottom"/>
    </xf>
    <xf numFmtId="0" fontId="6" fillId="3" borderId="0" applyAlignment="1" pivotButton="0" quotePrefix="0" xfId="0">
      <alignment horizontal="general" vertical="bottom"/>
    </xf>
    <xf numFmtId="0" fontId="7" fillId="4" borderId="1" applyAlignment="1" pivotButton="0" quotePrefix="0" xfId="0">
      <alignment horizontal="center" vertical="center"/>
    </xf>
    <xf numFmtId="0" fontId="7" fillId="4" borderId="1" applyAlignment="1" pivotButton="0" quotePrefix="0" xfId="0">
      <alignment horizontal="center" vertical="center" wrapText="1"/>
    </xf>
    <xf numFmtId="0" fontId="8" fillId="0" borderId="1" applyAlignment="1" pivotButton="0" quotePrefix="0" xfId="0">
      <alignment horizontal="general" vertical="bottom"/>
    </xf>
    <xf numFmtId="164" fontId="0" fillId="5" borderId="2" applyAlignment="1" pivotButton="0" quotePrefix="0" xfId="0">
      <alignment horizontal="general" vertical="center" wrapText="1"/>
    </xf>
    <xf numFmtId="0" fontId="8" fillId="5" borderId="2" applyAlignment="1" pivotButton="0" quotePrefix="0" xfId="0">
      <alignment horizontal="general" vertical="center" wrapText="1"/>
    </xf>
    <xf numFmtId="0" fontId="0" fillId="0" borderId="0" applyAlignment="1" pivotButton="0" quotePrefix="0" xfId="0">
      <alignment horizontal="left" vertical="center" wrapText="1"/>
    </xf>
    <xf numFmtId="0" fontId="0" fillId="0" borderId="1" applyAlignment="1" pivotButton="0" quotePrefix="0" xfId="0">
      <alignment horizontal="general" vertical="bottom"/>
    </xf>
    <xf numFmtId="0" fontId="8" fillId="0" borderId="0" applyAlignment="1" pivotButton="0" quotePrefix="0" xfId="0">
      <alignment horizontal="general" vertical="bottom"/>
    </xf>
    <xf numFmtId="0" fontId="0" fillId="5" borderId="2" applyAlignment="1" pivotButton="0" quotePrefix="0" xfId="0">
      <alignment horizontal="left" vertical="center" wrapText="1"/>
    </xf>
    <xf numFmtId="3" fontId="0" fillId="5" borderId="2" applyAlignment="1" pivotButton="0" quotePrefix="0" xfId="0">
      <alignment horizontal="general" vertical="center" wrapText="1"/>
    </xf>
    <xf numFmtId="0" fontId="8" fillId="0" borderId="1" applyAlignment="1" pivotButton="0" quotePrefix="0" xfId="0">
      <alignment horizontal="general" vertical="center" wrapText="1"/>
    </xf>
    <xf numFmtId="0" fontId="6" fillId="3" borderId="0" applyAlignment="1" pivotButton="0" quotePrefix="0" xfId="0">
      <alignment horizontal="left" vertical="center"/>
    </xf>
    <xf numFmtId="0" fontId="7" fillId="5" borderId="2" applyAlignment="1" pivotButton="0" quotePrefix="0" xfId="0">
      <alignment horizontal="center" vertical="center" wrapText="1"/>
    </xf>
    <xf numFmtId="0" fontId="8" fillId="5" borderId="2" applyAlignment="1" pivotButton="0" quotePrefix="0" xfId="0">
      <alignment horizontal="general" vertical="bottom"/>
    </xf>
    <xf numFmtId="164" fontId="0" fillId="5" borderId="2" applyAlignment="1" pivotButton="0" quotePrefix="0" xfId="0">
      <alignment horizontal="general" vertical="bottom"/>
    </xf>
    <xf numFmtId="3" fontId="0" fillId="5" borderId="2" applyAlignment="1" pivotButton="0" quotePrefix="0" xfId="0">
      <alignment horizontal="general" vertical="bottom"/>
    </xf>
    <xf numFmtId="0" fontId="0" fillId="5" borderId="2" applyAlignment="1" pivotButton="0" quotePrefix="0" xfId="0">
      <alignment horizontal="general" vertical="bottom"/>
    </xf>
    <xf numFmtId="0" fontId="0" fillId="5" borderId="2" applyAlignment="1" pivotButton="0" quotePrefix="0" xfId="0">
      <alignment horizontal="general" vertical="center" wrapText="1"/>
    </xf>
    <xf numFmtId="0" fontId="0" fillId="6" borderId="1" applyAlignment="1" pivotButton="0" quotePrefix="0" xfId="0">
      <alignment horizontal="general" vertical="bottom"/>
    </xf>
    <xf numFmtId="0" fontId="0" fillId="6" borderId="1" applyAlignment="1" pivotButton="0" quotePrefix="0" xfId="0">
      <alignment horizontal="general" vertical="center" wrapText="1"/>
    </xf>
    <xf numFmtId="0" fontId="4" fillId="2" borderId="0" applyAlignment="1" pivotButton="0" quotePrefix="0" xfId="0">
      <alignment horizontal="left" vertical="center"/>
    </xf>
    <xf numFmtId="0" fontId="10" fillId="2" borderId="0" applyAlignment="1" pivotButton="0" quotePrefix="0" xfId="0">
      <alignment horizontal="left" vertical="bottom"/>
    </xf>
    <xf numFmtId="0" fontId="11" fillId="3" borderId="3" applyAlignment="1" pivotButton="0" quotePrefix="0" xfId="0">
      <alignment horizontal="center" vertical="center" wrapText="1"/>
    </xf>
    <xf numFmtId="165" fontId="12" fillId="7" borderId="1" applyAlignment="1" pivotButton="0" quotePrefix="0" xfId="0">
      <alignment horizontal="general" vertical="bottom"/>
    </xf>
    <xf numFmtId="0" fontId="13" fillId="0" borderId="1" applyAlignment="1" pivotButton="0" quotePrefix="0" xfId="0">
      <alignment horizontal="general" vertical="bottom"/>
    </xf>
    <xf numFmtId="1" fontId="12" fillId="7" borderId="1" applyAlignment="1" pivotButton="0" quotePrefix="0" xfId="0">
      <alignment horizontal="general" vertical="bottom"/>
    </xf>
    <xf numFmtId="166" fontId="12" fillId="7" borderId="1" applyAlignment="1" pivotButton="0" quotePrefix="0" xfId="0">
      <alignment horizontal="general" vertical="bottom"/>
    </xf>
    <xf numFmtId="0" fontId="14" fillId="0" borderId="1" applyAlignment="1" pivotButton="0" quotePrefix="0" xfId="0">
      <alignment horizontal="general" vertical="bottom"/>
    </xf>
    <xf numFmtId="0" fontId="15" fillId="7" borderId="1" applyAlignment="1" pivotButton="0" quotePrefix="0" xfId="0">
      <alignment horizontal="general" vertical="bottom"/>
    </xf>
    <xf numFmtId="0" fontId="16" fillId="2" borderId="0" applyAlignment="1" pivotButton="0" quotePrefix="0" xfId="0">
      <alignment horizontal="center" vertical="center"/>
    </xf>
    <xf numFmtId="0" fontId="7" fillId="0" borderId="0" applyAlignment="1" pivotButton="0" quotePrefix="0" xfId="0">
      <alignment horizontal="general" vertical="bottom"/>
    </xf>
    <xf numFmtId="0" fontId="7" fillId="8" borderId="0" applyAlignment="1" pivotButton="0" quotePrefix="0" xfId="0">
      <alignment horizontal="left" vertical="center"/>
    </xf>
    <xf numFmtId="1" fontId="0" fillId="9" borderId="0" applyAlignment="1" pivotButton="0" quotePrefix="0" xfId="0">
      <alignment horizontal="center" vertical="center"/>
    </xf>
    <xf numFmtId="0" fontId="7" fillId="10" borderId="0" applyAlignment="1" pivotButton="0" quotePrefix="0" xfId="0">
      <alignment horizontal="left" vertical="center"/>
    </xf>
    <xf numFmtId="1" fontId="0" fillId="10" borderId="0" applyAlignment="1" pivotButton="0" quotePrefix="0" xfId="0">
      <alignment horizontal="center" vertical="center"/>
    </xf>
    <xf numFmtId="0" fontId="10" fillId="2" borderId="0" applyAlignment="1" pivotButton="0" quotePrefix="0" xfId="0">
      <alignment horizontal="left" vertical="bottom"/>
    </xf>
    <xf numFmtId="166" fontId="0" fillId="0" borderId="0" applyAlignment="1" pivotButton="0" quotePrefix="0" xfId="0">
      <alignment horizontal="right" vertical="center"/>
    </xf>
    <xf numFmtId="0" fontId="7" fillId="11" borderId="0" applyAlignment="1" pivotButton="0" quotePrefix="0" xfId="0">
      <alignment horizontal="left" vertical="center"/>
    </xf>
    <xf numFmtId="167" fontId="0" fillId="11" borderId="0" applyAlignment="1" pivotButton="0" quotePrefix="0" xfId="0">
      <alignment horizontal="right" vertical="center"/>
    </xf>
    <xf numFmtId="0" fontId="18" fillId="12" borderId="4" applyAlignment="1" pivotButton="0" quotePrefix="0" xfId="0">
      <alignment horizontal="left" vertical="center"/>
    </xf>
    <xf numFmtId="167" fontId="19" fillId="12" borderId="4" applyAlignment="1" pivotButton="0" quotePrefix="0" xfId="0">
      <alignment horizontal="right" vertical="center"/>
    </xf>
    <xf numFmtId="0" fontId="7" fillId="13" borderId="0" applyAlignment="1" pivotButton="0" quotePrefix="0" xfId="0">
      <alignment horizontal="left" vertical="center"/>
    </xf>
    <xf numFmtId="167" fontId="0" fillId="13" borderId="0" applyAlignment="1" pivotButton="0" quotePrefix="0" xfId="0">
      <alignment horizontal="right" vertical="center"/>
    </xf>
    <xf numFmtId="0" fontId="18" fillId="14" borderId="4" applyAlignment="1" pivotButton="0" quotePrefix="0" xfId="0">
      <alignment horizontal="left" vertical="center"/>
    </xf>
    <xf numFmtId="167" fontId="19" fillId="14" borderId="4" applyAlignment="1" pivotButton="0" quotePrefix="0" xfId="0">
      <alignment horizontal="right" vertical="center"/>
    </xf>
    <xf numFmtId="167" fontId="0" fillId="0" borderId="0" applyAlignment="1" pivotButton="0" quotePrefix="0" xfId="0">
      <alignment horizontal="right" vertical="center"/>
    </xf>
    <xf numFmtId="0" fontId="20" fillId="15" borderId="5" applyAlignment="1" pivotButton="0" quotePrefix="0" xfId="0">
      <alignment horizontal="left" vertical="center"/>
    </xf>
    <xf numFmtId="167" fontId="21" fillId="16" borderId="5" applyAlignment="1" pivotButton="0" quotePrefix="0" xfId="0">
      <alignment horizontal="right" vertical="center"/>
    </xf>
    <xf numFmtId="0" fontId="22" fillId="17" borderId="6" applyAlignment="1" pivotButton="0" quotePrefix="0" xfId="0">
      <alignment horizontal="left" vertical="center"/>
    </xf>
    <xf numFmtId="167" fontId="23" fillId="18" borderId="6" applyAlignment="1" pivotButton="0" quotePrefix="0" xfId="0">
      <alignment horizontal="right" vertical="center"/>
    </xf>
    <xf numFmtId="0" fontId="22" fillId="17" borderId="0" applyAlignment="1" pivotButton="0" quotePrefix="0" xfId="0">
      <alignment horizontal="left" vertical="center"/>
    </xf>
    <xf numFmtId="167" fontId="23" fillId="18" borderId="0" applyAlignment="1" pivotButton="0" quotePrefix="0" xfId="0">
      <alignment horizontal="right" vertical="center"/>
    </xf>
    <xf numFmtId="0" fontId="22" fillId="17" borderId="7" applyAlignment="1" pivotButton="0" quotePrefix="0" xfId="0">
      <alignment horizontal="left" vertical="center"/>
    </xf>
    <xf numFmtId="167" fontId="23" fillId="18" borderId="7" applyAlignment="1" pivotButton="0" quotePrefix="0" xfId="0">
      <alignment horizontal="right" vertical="center"/>
    </xf>
    <xf numFmtId="0" fontId="20" fillId="15" borderId="8" applyAlignment="1" pivotButton="0" quotePrefix="0" xfId="0">
      <alignment horizontal="left" vertical="center"/>
    </xf>
    <xf numFmtId="167" fontId="21" fillId="19" borderId="8" applyAlignment="1" pivotButton="0" quotePrefix="0" xfId="0">
      <alignment horizontal="right" vertical="center"/>
    </xf>
    <xf numFmtId="0" fontId="7" fillId="20" borderId="0" applyAlignment="1" pivotButton="0" quotePrefix="0" xfId="0">
      <alignment horizontal="left" vertical="center"/>
    </xf>
    <xf numFmtId="167" fontId="24" fillId="20" borderId="0" applyAlignment="1" pivotButton="0" quotePrefix="0" xfId="0">
      <alignment horizontal="right" vertical="center"/>
    </xf>
    <xf numFmtId="0" fontId="25" fillId="20" borderId="9" applyAlignment="1" pivotButton="0" quotePrefix="0" xfId="0">
      <alignment horizontal="general" vertical="bottom"/>
    </xf>
    <xf numFmtId="167" fontId="26" fillId="0" borderId="9" applyAlignment="1" pivotButton="0" quotePrefix="0" xfId="0">
      <alignment horizontal="general" vertical="bottom"/>
    </xf>
    <xf numFmtId="0" fontId="27" fillId="21" borderId="0" applyAlignment="1" pivotButton="0" quotePrefix="0" xfId="0">
      <alignment horizontal="left" vertical="center"/>
    </xf>
    <xf numFmtId="0" fontId="28" fillId="21" borderId="0" applyAlignment="1" pivotButton="0" quotePrefix="0" xfId="0">
      <alignment horizontal="left" vertical="center"/>
    </xf>
    <xf numFmtId="0" fontId="7" fillId="22" borderId="10" applyAlignment="1" pivotButton="0" quotePrefix="0" xfId="0">
      <alignment horizontal="center" vertical="center"/>
    </xf>
    <xf numFmtId="0" fontId="7" fillId="0" borderId="10" applyAlignment="1" pivotButton="0" quotePrefix="0" xfId="0">
      <alignment horizontal="general" vertical="center" wrapText="1"/>
    </xf>
    <xf numFmtId="0" fontId="19" fillId="0" borderId="10" applyAlignment="1" pivotButton="0" quotePrefix="0" xfId="0">
      <alignment horizontal="general" vertical="center" wrapText="1"/>
    </xf>
    <xf numFmtId="168" fontId="19" fillId="0" borderId="10" applyAlignment="1" pivotButton="0" quotePrefix="0" xfId="0">
      <alignment horizontal="general" vertical="center" wrapText="1"/>
    </xf>
    <xf numFmtId="0" fontId="0" fillId="0" borderId="10" applyAlignment="1" pivotButton="0" quotePrefix="0" xfId="0">
      <alignment horizontal="general" vertical="center" wrapText="1"/>
    </xf>
    <xf numFmtId="0" fontId="0" fillId="0" borderId="0" applyAlignment="1" pivotButton="0" quotePrefix="0" xfId="0">
      <alignment horizontal="general" vertical="center" wrapText="1"/>
    </xf>
    <xf numFmtId="0" fontId="29" fillId="2" borderId="0" applyAlignment="1" pivotButton="0" quotePrefix="0" xfId="0">
      <alignment horizontal="left" vertical="center"/>
    </xf>
    <xf numFmtId="0" fontId="7" fillId="23" borderId="10" applyAlignment="1" pivotButton="0" quotePrefix="0" xfId="0">
      <alignment horizontal="center" vertical="center" wrapText="1"/>
    </xf>
    <xf numFmtId="0" fontId="7" fillId="22" borderId="10" applyAlignment="1" pivotButton="0" quotePrefix="0" xfId="0">
      <alignment horizontal="general" vertical="center" wrapText="1"/>
    </xf>
    <xf numFmtId="0" fontId="7" fillId="3" borderId="10" applyAlignment="1" pivotButton="0" quotePrefix="0" xfId="0">
      <alignment horizontal="general" vertical="center" wrapText="1"/>
    </xf>
    <xf numFmtId="0" fontId="8" fillId="0" borderId="10" applyAlignment="1" pivotButton="0" quotePrefix="0" xfId="0">
      <alignment horizontal="general" vertical="center" wrapText="1"/>
    </xf>
    <xf numFmtId="3" fontId="0" fillId="0" borderId="10" applyAlignment="1" pivotButton="0" quotePrefix="0" xfId="0">
      <alignment horizontal="general" vertical="center" wrapText="1"/>
    </xf>
    <xf numFmtId="0" fontId="21" fillId="0" borderId="0" applyAlignment="1" pivotButton="0" quotePrefix="0" xfId="0">
      <alignment horizontal="general" vertical="bottom"/>
    </xf>
    <xf numFmtId="0" fontId="24" fillId="0" borderId="0" applyAlignment="1" pivotButton="0" quotePrefix="0" xfId="0">
      <alignment horizontal="general" vertical="bottom"/>
    </xf>
    <xf numFmtId="169" fontId="0" fillId="0" borderId="10" applyAlignment="1" pivotButton="0" quotePrefix="0" xfId="0">
      <alignment horizontal="general" vertical="center" wrapText="1"/>
    </xf>
    <xf numFmtId="0" fontId="8" fillId="0" borderId="0" applyAlignment="1" pivotButton="0" quotePrefix="0" xfId="0">
      <alignment horizontal="general" vertical="center" wrapText="1"/>
    </xf>
    <xf numFmtId="166" fontId="0" fillId="0" borderId="0" applyAlignment="1" pivotButton="0" quotePrefix="0" xfId="0">
      <alignment horizontal="general" vertical="center" wrapText="1"/>
    </xf>
    <xf numFmtId="0" fontId="30" fillId="2" borderId="11" applyAlignment="1" pivotButton="0" quotePrefix="0" xfId="0">
      <alignment horizontal="center" vertical="center"/>
    </xf>
    <xf numFmtId="0" fontId="31" fillId="0" borderId="0" applyAlignment="1" pivotButton="0" quotePrefix="0" xfId="0">
      <alignment horizontal="general" vertical="bottom"/>
    </xf>
    <xf numFmtId="0" fontId="6" fillId="3" borderId="11" applyAlignment="1" pivotButton="0" quotePrefix="0" xfId="0">
      <alignment horizontal="left" vertical="center"/>
    </xf>
    <xf numFmtId="0" fontId="32" fillId="24" borderId="11" applyAlignment="1" pivotButton="0" quotePrefix="0" xfId="0">
      <alignment horizontal="general" vertical="top" wrapText="1"/>
    </xf>
    <xf numFmtId="0" fontId="29" fillId="2" borderId="11" applyAlignment="1" pivotButton="0" quotePrefix="0" xfId="0">
      <alignment horizontal="left" vertical="center"/>
    </xf>
    <xf numFmtId="0" fontId="29" fillId="2" borderId="12" applyAlignment="1" pivotButton="0" quotePrefix="0" xfId="0">
      <alignment horizontal="center" vertical="center"/>
    </xf>
    <xf numFmtId="0" fontId="33" fillId="3" borderId="12" applyAlignment="1" pivotButton="0" quotePrefix="0" xfId="0">
      <alignment horizontal="general" vertical="top" wrapText="1"/>
    </xf>
    <xf numFmtId="0" fontId="7" fillId="25" borderId="12" applyAlignment="1" pivotButton="0" quotePrefix="0" xfId="0">
      <alignment horizontal="center" vertical="center"/>
    </xf>
    <xf numFmtId="1" fontId="31" fillId="0" borderId="12" applyAlignment="1" pivotButton="0" quotePrefix="0" xfId="0">
      <alignment horizontal="center" vertical="center"/>
    </xf>
    <xf numFmtId="166" fontId="31" fillId="0" borderId="12" applyAlignment="1" pivotButton="0" quotePrefix="0" xfId="0">
      <alignment horizontal="right" vertical="bottom"/>
    </xf>
    <xf numFmtId="1" fontId="0" fillId="0" borderId="12" applyAlignment="1" pivotButton="0" quotePrefix="0" xfId="0">
      <alignment horizontal="center" vertical="center"/>
    </xf>
    <xf numFmtId="166" fontId="0" fillId="0" borderId="12" applyAlignment="1" pivotButton="0" quotePrefix="0" xfId="0">
      <alignment horizontal="right" vertical="bottom"/>
    </xf>
    <xf numFmtId="0" fontId="0" fillId="0" borderId="0" applyAlignment="1" pivotButton="0" quotePrefix="0" xfId="0">
      <alignment horizontal="general" vertical="center"/>
    </xf>
    <xf numFmtId="0" fontId="4" fillId="2" borderId="0" applyAlignment="1" pivotButton="0" quotePrefix="0" xfId="0">
      <alignment horizontal="center" vertical="center"/>
    </xf>
    <xf numFmtId="0" fontId="7" fillId="26" borderId="0" applyAlignment="1" pivotButton="0" quotePrefix="0" xfId="0">
      <alignment horizontal="center" vertical="center"/>
    </xf>
    <xf numFmtId="0" fontId="8" fillId="0" borderId="13" applyAlignment="1" pivotButton="0" quotePrefix="0" xfId="0">
      <alignment horizontal="general" vertical="top" wrapText="1"/>
    </xf>
    <xf numFmtId="0" fontId="7" fillId="3" borderId="14" applyAlignment="1" pivotButton="0" quotePrefix="0" xfId="0">
      <alignment horizontal="general" vertical="center"/>
    </xf>
    <xf numFmtId="0" fontId="7" fillId="3" borderId="14" applyAlignment="1" pivotButton="0" quotePrefix="0" xfId="0">
      <alignment horizontal="left" vertical="center"/>
    </xf>
    <xf numFmtId="0" fontId="7" fillId="3" borderId="14" applyAlignment="1" pivotButton="0" quotePrefix="0" xfId="0">
      <alignment horizontal="general" vertical="center" wrapText="1"/>
    </xf>
    <xf numFmtId="0" fontId="8" fillId="0" borderId="14" applyAlignment="1" pivotButton="0" quotePrefix="0" xfId="0">
      <alignment horizontal="general" vertical="center"/>
    </xf>
    <xf numFmtId="0" fontId="0" fillId="0" borderId="14" applyAlignment="1" pivotButton="0" quotePrefix="0" xfId="0">
      <alignment horizontal="right" vertical="center"/>
    </xf>
    <xf numFmtId="0" fontId="8" fillId="0" borderId="14" applyAlignment="1" pivotButton="0" quotePrefix="0" xfId="0">
      <alignment horizontal="general" vertical="center" wrapText="1"/>
    </xf>
    <xf numFmtId="3" fontId="0" fillId="0" borderId="14" applyAlignment="1" pivotButton="0" quotePrefix="0" xfId="0">
      <alignment horizontal="right" vertical="center"/>
    </xf>
    <xf numFmtId="0" fontId="0" fillId="0" borderId="14" applyAlignment="1" pivotButton="0" quotePrefix="0" xfId="0">
      <alignment horizontal="left" vertical="center"/>
    </xf>
    <xf numFmtId="0" fontId="8" fillId="0" borderId="0" applyAlignment="1" pivotButton="0" quotePrefix="0" xfId="0">
      <alignment horizontal="general" vertical="center"/>
    </xf>
    <xf numFmtId="0" fontId="0" fillId="0" borderId="0" applyAlignment="1" pivotButton="0" quotePrefix="0" xfId="0">
      <alignment horizontal="general" vertical="bottom"/>
    </xf>
    <xf numFmtId="0" fontId="16" fillId="2" borderId="0" applyAlignment="1" pivotButton="0" quotePrefix="0" xfId="0">
      <alignment horizontal="center" vertical="center"/>
    </xf>
    <xf numFmtId="0" fontId="0" fillId="0" borderId="15" applyAlignment="1" pivotButton="0" quotePrefix="0" xfId="0">
      <alignment horizontal="general" vertical="bottom"/>
    </xf>
    <xf numFmtId="0" fontId="0" fillId="0" borderId="16" applyAlignment="1" pivotButton="0" quotePrefix="0" xfId="0">
      <alignment horizontal="general" vertical="bottom"/>
    </xf>
    <xf numFmtId="0" fontId="0" fillId="0" borderId="17" applyAlignment="1" pivotButton="0" quotePrefix="0" xfId="0">
      <alignment horizontal="general" vertical="bottom"/>
    </xf>
    <xf numFmtId="0" fontId="0" fillId="0" borderId="18" applyAlignment="1" pivotButton="0" quotePrefix="0" xfId="0">
      <alignment horizontal="general" vertical="bottom"/>
    </xf>
    <xf numFmtId="0" fontId="7" fillId="3" borderId="0" applyAlignment="1" pivotButton="0" quotePrefix="0" xfId="0">
      <alignment horizontal="general" vertical="bottom" wrapText="1"/>
    </xf>
    <xf numFmtId="0" fontId="7" fillId="3" borderId="19" applyAlignment="1" pivotButton="0" quotePrefix="0" xfId="0">
      <alignment horizontal="general" vertical="center"/>
    </xf>
    <xf numFmtId="0" fontId="38" fillId="3" borderId="20" applyAlignment="1" pivotButton="0" quotePrefix="0" xfId="0">
      <alignment horizontal="general" vertical="center"/>
    </xf>
    <xf numFmtId="0" fontId="7" fillId="4" borderId="19" applyAlignment="1" pivotButton="0" quotePrefix="0" xfId="0">
      <alignment horizontal="center" vertical="center"/>
    </xf>
    <xf numFmtId="0" fontId="0" fillId="20" borderId="20" applyAlignment="1" pivotButton="0" quotePrefix="0" xfId="0">
      <alignment horizontal="center" vertical="center"/>
    </xf>
    <xf numFmtId="0" fontId="8" fillId="0" borderId="19" applyAlignment="1" pivotButton="0" quotePrefix="0" xfId="0">
      <alignment horizontal="general" vertical="center"/>
    </xf>
    <xf numFmtId="164" fontId="12" fillId="6" borderId="19" applyAlignment="1" pivotButton="0" quotePrefix="0" xfId="0">
      <alignment horizontal="general" vertical="center"/>
    </xf>
    <xf numFmtId="0" fontId="13" fillId="0" borderId="1" applyAlignment="1" pivotButton="0" quotePrefix="0" xfId="0">
      <alignment horizontal="general" vertical="center"/>
    </xf>
    <xf numFmtId="0" fontId="8" fillId="20" borderId="19" applyAlignment="1" pivotButton="0" quotePrefix="0" xfId="0">
      <alignment horizontal="general" vertical="center"/>
    </xf>
    <xf numFmtId="0" fontId="8" fillId="6" borderId="19" applyAlignment="1" pivotButton="0" quotePrefix="0" xfId="0">
      <alignment horizontal="general" vertical="center"/>
    </xf>
    <xf numFmtId="0" fontId="15" fillId="6" borderId="19" applyAlignment="1" pivotButton="0" quotePrefix="0" xfId="0">
      <alignment horizontal="general" vertical="center"/>
    </xf>
    <xf numFmtId="166" fontId="12" fillId="6" borderId="19" applyAlignment="1" pivotButton="0" quotePrefix="0" xfId="0">
      <alignment horizontal="general" vertical="center"/>
    </xf>
    <xf numFmtId="0" fontId="12" fillId="7" borderId="1" applyAlignment="1" pivotButton="0" quotePrefix="0" xfId="0">
      <alignment horizontal="general" vertical="bottom"/>
    </xf>
    <xf numFmtId="0" fontId="0" fillId="6" borderId="0" applyAlignment="1" pivotButton="0" quotePrefix="0" xfId="0">
      <alignment horizontal="general" vertical="center"/>
    </xf>
    <xf numFmtId="0" fontId="38" fillId="3" borderId="0" applyAlignment="1" pivotButton="0" quotePrefix="0" xfId="0">
      <alignment horizontal="general" vertical="center"/>
    </xf>
    <xf numFmtId="0" fontId="38" fillId="6" borderId="19" applyAlignment="1" pivotButton="0" quotePrefix="0" xfId="0">
      <alignment horizontal="general" vertical="center"/>
    </xf>
    <xf numFmtId="164" fontId="38" fillId="6" borderId="19" applyAlignment="1" pivotButton="0" quotePrefix="0" xfId="0">
      <alignment horizontal="general" vertical="center"/>
    </xf>
    <xf numFmtId="0" fontId="7" fillId="6" borderId="19" applyAlignment="1" pivotButton="0" quotePrefix="0" xfId="0">
      <alignment horizontal="center" vertical="center"/>
    </xf>
    <xf numFmtId="0" fontId="0" fillId="0" borderId="0" applyAlignment="1" pivotButton="0" quotePrefix="0" xfId="0">
      <alignment horizontal="center" vertical="center"/>
    </xf>
    <xf numFmtId="0" fontId="12" fillId="6" borderId="19" applyAlignment="1" pivotButton="0" quotePrefix="0" xfId="0">
      <alignment horizontal="center" vertical="center"/>
    </xf>
    <xf numFmtId="164" fontId="12" fillId="6" borderId="19" applyAlignment="1" pivotButton="0" quotePrefix="0" xfId="0">
      <alignment horizontal="center" vertical="center"/>
    </xf>
    <xf numFmtId="166" fontId="12" fillId="6" borderId="19" applyAlignment="1" pivotButton="0" quotePrefix="0" xfId="0">
      <alignment horizontal="center" vertical="center"/>
    </xf>
    <xf numFmtId="0" fontId="40" fillId="3" borderId="19" applyAlignment="1" pivotButton="0" quotePrefix="0" xfId="0">
      <alignment horizontal="general" vertical="center"/>
    </xf>
    <xf numFmtId="0" fontId="38" fillId="3" borderId="1" applyAlignment="1" pivotButton="0" quotePrefix="0" xfId="0">
      <alignment horizontal="general" vertical="center"/>
    </xf>
    <xf numFmtId="0" fontId="38" fillId="6" borderId="20" applyAlignment="1" pivotButton="0" quotePrefix="0" xfId="0">
      <alignment horizontal="general" vertical="center"/>
    </xf>
    <xf numFmtId="0" fontId="0" fillId="6" borderId="0" applyAlignment="1" pivotButton="0" quotePrefix="0" xfId="0">
      <alignment horizontal="center" vertical="center"/>
    </xf>
    <xf numFmtId="0" fontId="11" fillId="3" borderId="19" applyAlignment="1" pivotButton="0" quotePrefix="0" xfId="0">
      <alignment horizontal="center" vertical="center"/>
    </xf>
    <xf numFmtId="0" fontId="7" fillId="4" borderId="19" applyAlignment="1" pivotButton="0" quotePrefix="0" xfId="0">
      <alignment horizontal="general" vertical="center"/>
    </xf>
    <xf numFmtId="0" fontId="7" fillId="6" borderId="19" applyAlignment="1" pivotButton="0" quotePrefix="0" xfId="0">
      <alignment horizontal="general" vertical="center"/>
    </xf>
    <xf numFmtId="0" fontId="15" fillId="7" borderId="19" applyAlignment="1" pivotButton="0" quotePrefix="0" xfId="0">
      <alignment horizontal="general" vertical="center"/>
    </xf>
    <xf numFmtId="0" fontId="40" fillId="6" borderId="19" applyAlignment="1" pivotButton="0" quotePrefix="0" xfId="0">
      <alignment horizontal="general" vertical="center"/>
    </xf>
    <xf numFmtId="3" fontId="38" fillId="6" borderId="19" applyAlignment="1" pivotButton="0" quotePrefix="0" xfId="0">
      <alignment horizontal="general" vertical="center"/>
    </xf>
    <xf numFmtId="0" fontId="10" fillId="2" borderId="19" applyAlignment="1" pivotButton="0" quotePrefix="0" xfId="0">
      <alignment horizontal="general" vertical="center"/>
    </xf>
    <xf numFmtId="3" fontId="12" fillId="6" borderId="19" applyAlignment="1" pivotButton="0" quotePrefix="0" xfId="0">
      <alignment horizontal="general" vertical="center"/>
    </xf>
    <xf numFmtId="3" fontId="0" fillId="6" borderId="0" applyAlignment="1" pivotButton="0" quotePrefix="0" xfId="0">
      <alignment horizontal="general" vertical="center"/>
    </xf>
    <xf numFmtId="3" fontId="7" fillId="6" borderId="19" applyAlignment="1" pivotButton="0" quotePrefix="0" xfId="0">
      <alignment horizontal="general" vertical="center"/>
    </xf>
    <xf numFmtId="166" fontId="0" fillId="11" borderId="0" applyAlignment="1" pivotButton="0" quotePrefix="0" xfId="0">
      <alignment horizontal="right" vertical="center"/>
    </xf>
    <xf numFmtId="166" fontId="19" fillId="12" borderId="4" applyAlignment="1" pivotButton="0" quotePrefix="0" xfId="0">
      <alignment horizontal="right" vertical="center"/>
    </xf>
    <xf numFmtId="166" fontId="0" fillId="13" borderId="0" applyAlignment="1" pivotButton="0" quotePrefix="0" xfId="0">
      <alignment horizontal="right" vertical="center"/>
    </xf>
    <xf numFmtId="166" fontId="19" fillId="14" borderId="4" applyAlignment="1" pivotButton="0" quotePrefix="0" xfId="0">
      <alignment horizontal="right" vertical="center"/>
    </xf>
    <xf numFmtId="166" fontId="21" fillId="16" borderId="5" applyAlignment="1" pivotButton="0" quotePrefix="0" xfId="0">
      <alignment horizontal="right" vertical="center"/>
    </xf>
    <xf numFmtId="166" fontId="23" fillId="18" borderId="6" applyAlignment="1" pivotButton="0" quotePrefix="0" xfId="0">
      <alignment horizontal="right" vertical="center"/>
    </xf>
    <xf numFmtId="166" fontId="23" fillId="18" borderId="0" applyAlignment="1" pivotButton="0" quotePrefix="0" xfId="0">
      <alignment horizontal="right" vertical="center"/>
    </xf>
    <xf numFmtId="166" fontId="23" fillId="18" borderId="7" applyAlignment="1" pivotButton="0" quotePrefix="0" xfId="0">
      <alignment horizontal="right" vertical="center"/>
    </xf>
    <xf numFmtId="166" fontId="21" fillId="19" borderId="8" applyAlignment="1" pivotButton="0" quotePrefix="0" xfId="0">
      <alignment horizontal="right" vertical="center"/>
    </xf>
    <xf numFmtId="166" fontId="24" fillId="20" borderId="0" applyAlignment="1" pivotButton="0" quotePrefix="0" xfId="0">
      <alignment horizontal="right" vertical="center"/>
    </xf>
    <xf numFmtId="1" fontId="24" fillId="20" borderId="0" applyAlignment="1" pivotButton="0" quotePrefix="0" xfId="0">
      <alignment horizontal="right" vertical="center"/>
    </xf>
    <xf numFmtId="0" fontId="26" fillId="0" borderId="9" applyAlignment="1" pivotButton="0" quotePrefix="0" xfId="0">
      <alignment horizontal="general" vertical="bottom"/>
    </xf>
    <xf numFmtId="166" fontId="26" fillId="0" borderId="9" applyAlignment="1" pivotButton="0" quotePrefix="0" xfId="0">
      <alignment horizontal="general" vertical="bottom"/>
    </xf>
    <xf numFmtId="0" fontId="41" fillId="21" borderId="0" applyAlignment="1" pivotButton="0" quotePrefix="0" xfId="0">
      <alignment horizontal="left" vertical="center"/>
    </xf>
    <xf numFmtId="0" fontId="4" fillId="2" borderId="0" applyAlignment="1" pivotButton="0" quotePrefix="0" xfId="0">
      <alignment horizontal="left" vertical="bottom"/>
    </xf>
    <xf numFmtId="0" fontId="14" fillId="0" borderId="0" applyAlignment="1" pivotButton="0" quotePrefix="0" xfId="0">
      <alignment horizontal="general" vertical="bottom"/>
    </xf>
    <xf numFmtId="0" fontId="7" fillId="3" borderId="21" applyAlignment="1" pivotButton="0" quotePrefix="0" xfId="0">
      <alignment horizontal="center" vertical="bottom"/>
    </xf>
    <xf numFmtId="0" fontId="19" fillId="3" borderId="21" applyAlignment="1" pivotButton="0" quotePrefix="0" xfId="0">
      <alignment horizontal="center" vertical="bottom"/>
    </xf>
    <xf numFmtId="0" fontId="8" fillId="27" borderId="21" applyAlignment="1" pivotButton="0" quotePrefix="0" xfId="0">
      <alignment horizontal="center" vertical="center" wrapText="1"/>
    </xf>
    <xf numFmtId="9" fontId="0" fillId="27" borderId="21" applyAlignment="1" pivotButton="0" quotePrefix="0" xfId="0">
      <alignment horizontal="general" vertical="bottom"/>
    </xf>
    <xf numFmtId="3" fontId="0" fillId="27" borderId="21" applyAlignment="1" pivotButton="0" quotePrefix="0" xfId="0">
      <alignment horizontal="right" vertical="bottom"/>
    </xf>
    <xf numFmtId="0" fontId="8" fillId="27" borderId="21" applyAlignment="1" pivotButton="0" quotePrefix="0" xfId="0">
      <alignment horizontal="left" vertical="center" wrapText="1"/>
    </xf>
    <xf numFmtId="0" fontId="8" fillId="28" borderId="21" applyAlignment="1" pivotButton="0" quotePrefix="0" xfId="0">
      <alignment horizontal="center" vertical="center" wrapText="1"/>
    </xf>
    <xf numFmtId="9" fontId="0" fillId="28" borderId="21" applyAlignment="1" pivotButton="0" quotePrefix="0" xfId="0">
      <alignment horizontal="general" vertical="bottom"/>
    </xf>
    <xf numFmtId="3" fontId="0" fillId="28" borderId="21" applyAlignment="1" pivotButton="0" quotePrefix="0" xfId="0">
      <alignment horizontal="right" vertical="bottom"/>
    </xf>
    <xf numFmtId="0" fontId="8" fillId="28" borderId="21" applyAlignment="1" pivotButton="0" quotePrefix="0" xfId="0">
      <alignment horizontal="left" vertical="center" wrapText="1"/>
    </xf>
    <xf numFmtId="0" fontId="7" fillId="29" borderId="0" applyAlignment="1" pivotButton="0" quotePrefix="0" xfId="0">
      <alignment horizontal="general" vertical="bottom"/>
    </xf>
    <xf numFmtId="0" fontId="8" fillId="29"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0" borderId="0" applyAlignment="1" pivotButton="0" quotePrefix="0" xfId="0">
      <alignment horizontal="general" vertical="bottom"/>
    </xf>
    <xf numFmtId="0" fontId="6" fillId="3" borderId="0" applyAlignment="1" pivotButton="0" quotePrefix="0" xfId="0">
      <alignment horizontal="general" vertical="bottom"/>
    </xf>
    <xf numFmtId="0" fontId="7" fillId="4" borderId="1" applyAlignment="1" pivotButton="0" quotePrefix="0" xfId="0">
      <alignment horizontal="center" vertical="center"/>
    </xf>
    <xf numFmtId="0" fontId="7" fillId="4" borderId="1" applyAlignment="1" pivotButton="0" quotePrefix="0" xfId="0">
      <alignment horizontal="center" vertical="center" wrapText="1"/>
    </xf>
    <xf numFmtId="0" fontId="8" fillId="0" borderId="1" applyAlignment="1" pivotButton="0" quotePrefix="0" xfId="0">
      <alignment horizontal="general" vertical="bottom"/>
    </xf>
    <xf numFmtId="164" fontId="0" fillId="5" borderId="2" applyAlignment="1" pivotButton="0" quotePrefix="0" xfId="0">
      <alignment horizontal="general" vertical="center" wrapText="1"/>
    </xf>
    <xf numFmtId="0" fontId="8" fillId="5" borderId="2" applyAlignment="1" pivotButton="0" quotePrefix="0" xfId="0">
      <alignment horizontal="general" vertical="center" wrapText="1"/>
    </xf>
    <xf numFmtId="0" fontId="0" fillId="0" borderId="0" applyAlignment="1" pivotButton="0" quotePrefix="0" xfId="0">
      <alignment horizontal="left" vertical="center" wrapText="1"/>
    </xf>
    <xf numFmtId="0" fontId="0" fillId="0" borderId="1" applyAlignment="1" pivotButton="0" quotePrefix="0" xfId="0">
      <alignment horizontal="general" vertical="bottom"/>
    </xf>
    <xf numFmtId="0" fontId="8" fillId="0" borderId="0" applyAlignment="1" pivotButton="0" quotePrefix="0" xfId="0">
      <alignment horizontal="general" vertical="bottom"/>
    </xf>
    <xf numFmtId="0" fontId="0" fillId="5" borderId="2" applyAlignment="1" pivotButton="0" quotePrefix="0" xfId="0">
      <alignment horizontal="left" vertical="center" wrapText="1"/>
    </xf>
    <xf numFmtId="3" fontId="0" fillId="5" borderId="2" applyAlignment="1" pivotButton="0" quotePrefix="0" xfId="0">
      <alignment horizontal="general" vertical="center" wrapText="1"/>
    </xf>
    <xf numFmtId="0" fontId="8" fillId="0" borderId="1" applyAlignment="1" pivotButton="0" quotePrefix="0" xfId="0">
      <alignment horizontal="general" vertical="center" wrapText="1"/>
    </xf>
    <xf numFmtId="0" fontId="6" fillId="3" borderId="0" applyAlignment="1" pivotButton="0" quotePrefix="0" xfId="0">
      <alignment horizontal="left" vertical="center"/>
    </xf>
    <xf numFmtId="0" fontId="7" fillId="5" borderId="2" applyAlignment="1" pivotButton="0" quotePrefix="0" xfId="0">
      <alignment horizontal="center" vertical="center" wrapText="1"/>
    </xf>
    <xf numFmtId="0" fontId="8" fillId="5" borderId="2" applyAlignment="1" pivotButton="0" quotePrefix="0" xfId="0">
      <alignment horizontal="general" vertical="bottom"/>
    </xf>
    <xf numFmtId="164" fontId="0" fillId="5" borderId="2" applyAlignment="1" pivotButton="0" quotePrefix="0" xfId="0">
      <alignment horizontal="general" vertical="bottom"/>
    </xf>
    <xf numFmtId="3" fontId="0" fillId="5" borderId="2" applyAlignment="1" pivotButton="0" quotePrefix="0" xfId="0">
      <alignment horizontal="general" vertical="bottom"/>
    </xf>
    <xf numFmtId="0" fontId="0" fillId="5" borderId="2" applyAlignment="1" pivotButton="0" quotePrefix="0" xfId="0">
      <alignment horizontal="general" vertical="bottom"/>
    </xf>
    <xf numFmtId="0" fontId="0" fillId="5" borderId="2" applyAlignment="1" pivotButton="0" quotePrefix="0" xfId="0">
      <alignment horizontal="general" vertical="center" wrapText="1"/>
    </xf>
    <xf numFmtId="0" fontId="0" fillId="6" borderId="1" applyAlignment="1" pivotButton="0" quotePrefix="0" xfId="0">
      <alignment horizontal="general" vertical="bottom"/>
    </xf>
    <xf numFmtId="0" fontId="0" fillId="6" borderId="1" applyAlignment="1" pivotButton="0" quotePrefix="0" xfId="0">
      <alignment horizontal="general" vertical="center" wrapText="1"/>
    </xf>
    <xf numFmtId="0" fontId="4" fillId="2" borderId="0" applyAlignment="1" pivotButton="0" quotePrefix="0" xfId="0">
      <alignment horizontal="left" vertical="center"/>
    </xf>
    <xf numFmtId="0" fontId="10" fillId="2" borderId="0" applyAlignment="1" pivotButton="0" quotePrefix="0" xfId="0">
      <alignment horizontal="left" vertical="bottom"/>
    </xf>
    <xf numFmtId="0" fontId="11" fillId="3" borderId="3" applyAlignment="1" pivotButton="0" quotePrefix="0" xfId="0">
      <alignment horizontal="center" vertical="center" wrapText="1"/>
    </xf>
    <xf numFmtId="165" fontId="12" fillId="7" borderId="1" applyAlignment="1" pivotButton="0" quotePrefix="0" xfId="0">
      <alignment horizontal="general" vertical="bottom"/>
    </xf>
    <xf numFmtId="0" fontId="13" fillId="0" borderId="1" applyAlignment="1" pivotButton="0" quotePrefix="0" xfId="0">
      <alignment horizontal="general" vertical="bottom"/>
    </xf>
    <xf numFmtId="1" fontId="12" fillId="7" borderId="1" applyAlignment="1" pivotButton="0" quotePrefix="0" xfId="0">
      <alignment horizontal="general" vertical="bottom"/>
    </xf>
    <xf numFmtId="166" fontId="12" fillId="7" borderId="1" applyAlignment="1" pivotButton="0" quotePrefix="0" xfId="0">
      <alignment horizontal="general" vertical="bottom"/>
    </xf>
    <xf numFmtId="0" fontId="14" fillId="0" borderId="1" applyAlignment="1" pivotButton="0" quotePrefix="0" xfId="0">
      <alignment horizontal="general" vertical="bottom"/>
    </xf>
    <xf numFmtId="0" fontId="15" fillId="7" borderId="1" applyAlignment="1" pivotButton="0" quotePrefix="0" xfId="0">
      <alignment horizontal="general" vertical="bottom"/>
    </xf>
    <xf numFmtId="0" fontId="16" fillId="2" borderId="0" applyAlignment="1" pivotButton="0" quotePrefix="0" xfId="0">
      <alignment horizontal="center" vertical="center"/>
    </xf>
    <xf numFmtId="0" fontId="7" fillId="0" borderId="0" applyAlignment="1" pivotButton="0" quotePrefix="0" xfId="0">
      <alignment horizontal="general" vertical="bottom"/>
    </xf>
    <xf numFmtId="0" fontId="7" fillId="8" borderId="0" applyAlignment="1" pivotButton="0" quotePrefix="0" xfId="0">
      <alignment horizontal="left" vertical="center"/>
    </xf>
    <xf numFmtId="1" fontId="0" fillId="9" borderId="0" applyAlignment="1" pivotButton="0" quotePrefix="0" xfId="0">
      <alignment horizontal="center" vertical="center"/>
    </xf>
    <xf numFmtId="0" fontId="7" fillId="10" borderId="0" applyAlignment="1" pivotButton="0" quotePrefix="0" xfId="0">
      <alignment horizontal="left" vertical="center"/>
    </xf>
    <xf numFmtId="1" fontId="0" fillId="10" borderId="0" applyAlignment="1" pivotButton="0" quotePrefix="0" xfId="0">
      <alignment horizontal="center" vertical="center"/>
    </xf>
    <xf numFmtId="166" fontId="0" fillId="0" borderId="0" applyAlignment="1" pivotButton="0" quotePrefix="0" xfId="0">
      <alignment horizontal="right" vertical="center"/>
    </xf>
    <xf numFmtId="0" fontId="7" fillId="11" borderId="0" applyAlignment="1" pivotButton="0" quotePrefix="0" xfId="0">
      <alignment horizontal="left" vertical="center"/>
    </xf>
    <xf numFmtId="167" fontId="0" fillId="11" borderId="0" applyAlignment="1" pivotButton="0" quotePrefix="0" xfId="0">
      <alignment horizontal="right" vertical="center"/>
    </xf>
    <xf numFmtId="0" fontId="18" fillId="12" borderId="4" applyAlignment="1" pivotButton="0" quotePrefix="0" xfId="0">
      <alignment horizontal="left" vertical="center"/>
    </xf>
    <xf numFmtId="167" fontId="19" fillId="12" borderId="4" applyAlignment="1" pivotButton="0" quotePrefix="0" xfId="0">
      <alignment horizontal="right" vertical="center"/>
    </xf>
    <xf numFmtId="0" fontId="7" fillId="13" borderId="0" applyAlignment="1" pivotButton="0" quotePrefix="0" xfId="0">
      <alignment horizontal="left" vertical="center"/>
    </xf>
    <xf numFmtId="167" fontId="0" fillId="13" borderId="0" applyAlignment="1" pivotButton="0" quotePrefix="0" xfId="0">
      <alignment horizontal="right" vertical="center"/>
    </xf>
    <xf numFmtId="0" fontId="18" fillId="14" borderId="4" applyAlignment="1" pivotButton="0" quotePrefix="0" xfId="0">
      <alignment horizontal="left" vertical="center"/>
    </xf>
    <xf numFmtId="167" fontId="19" fillId="14" borderId="4" applyAlignment="1" pivotButton="0" quotePrefix="0" xfId="0">
      <alignment horizontal="right" vertical="center"/>
    </xf>
    <xf numFmtId="167" fontId="0" fillId="0" borderId="0" applyAlignment="1" pivotButton="0" quotePrefix="0" xfId="0">
      <alignment horizontal="right" vertical="center"/>
    </xf>
    <xf numFmtId="0" fontId="20" fillId="15" borderId="5" applyAlignment="1" pivotButton="0" quotePrefix="0" xfId="0">
      <alignment horizontal="left" vertical="center"/>
    </xf>
    <xf numFmtId="167" fontId="21" fillId="16" borderId="5" applyAlignment="1" pivotButton="0" quotePrefix="0" xfId="0">
      <alignment horizontal="right" vertical="center"/>
    </xf>
    <xf numFmtId="0" fontId="22" fillId="17" borderId="6" applyAlignment="1" pivotButton="0" quotePrefix="0" xfId="0">
      <alignment horizontal="left" vertical="center"/>
    </xf>
    <xf numFmtId="167" fontId="23" fillId="18" borderId="6" applyAlignment="1" pivotButton="0" quotePrefix="0" xfId="0">
      <alignment horizontal="right" vertical="center"/>
    </xf>
    <xf numFmtId="0" fontId="22" fillId="17" borderId="0" applyAlignment="1" pivotButton="0" quotePrefix="0" xfId="0">
      <alignment horizontal="left" vertical="center"/>
    </xf>
    <xf numFmtId="167" fontId="23" fillId="18" borderId="0" applyAlignment="1" pivotButton="0" quotePrefix="0" xfId="0">
      <alignment horizontal="right" vertical="center"/>
    </xf>
    <xf numFmtId="0" fontId="22" fillId="17" borderId="7" applyAlignment="1" pivotButton="0" quotePrefix="0" xfId="0">
      <alignment horizontal="left" vertical="center"/>
    </xf>
    <xf numFmtId="167" fontId="23" fillId="18" borderId="7" applyAlignment="1" pivotButton="0" quotePrefix="0" xfId="0">
      <alignment horizontal="right" vertical="center"/>
    </xf>
    <xf numFmtId="0" fontId="20" fillId="15" borderId="8" applyAlignment="1" pivotButton="0" quotePrefix="0" xfId="0">
      <alignment horizontal="left" vertical="center"/>
    </xf>
    <xf numFmtId="167" fontId="21" fillId="19" borderId="8" applyAlignment="1" pivotButton="0" quotePrefix="0" xfId="0">
      <alignment horizontal="right" vertical="center"/>
    </xf>
    <xf numFmtId="0" fontId="7" fillId="20" borderId="0" applyAlignment="1" pivotButton="0" quotePrefix="0" xfId="0">
      <alignment horizontal="left" vertical="center"/>
    </xf>
    <xf numFmtId="167" fontId="24" fillId="20" borderId="0" applyAlignment="1" pivotButton="0" quotePrefix="0" xfId="0">
      <alignment horizontal="right" vertical="center"/>
    </xf>
    <xf numFmtId="0" fontId="25" fillId="20" borderId="9" applyAlignment="1" pivotButton="0" quotePrefix="0" xfId="0">
      <alignment horizontal="general" vertical="bottom"/>
    </xf>
    <xf numFmtId="167" fontId="26" fillId="0" borderId="9" applyAlignment="1" pivotButton="0" quotePrefix="0" xfId="0">
      <alignment horizontal="general" vertical="bottom"/>
    </xf>
    <xf numFmtId="0" fontId="27" fillId="21" borderId="0" applyAlignment="1" pivotButton="0" quotePrefix="0" xfId="0">
      <alignment horizontal="left" vertical="center"/>
    </xf>
    <xf numFmtId="0" fontId="28" fillId="21" borderId="0" applyAlignment="1" pivotButton="0" quotePrefix="0" xfId="0">
      <alignment horizontal="left" vertical="center"/>
    </xf>
    <xf numFmtId="0" fontId="7" fillId="22" borderId="10" applyAlignment="1" pivotButton="0" quotePrefix="0" xfId="0">
      <alignment horizontal="center" vertical="center"/>
    </xf>
    <xf numFmtId="0" fontId="7" fillId="0" borderId="10" applyAlignment="1" pivotButton="0" quotePrefix="0" xfId="0">
      <alignment horizontal="general" vertical="center" wrapText="1"/>
    </xf>
    <xf numFmtId="0" fontId="19" fillId="0" borderId="10" applyAlignment="1" pivotButton="0" quotePrefix="0" xfId="0">
      <alignment horizontal="general" vertical="center" wrapText="1"/>
    </xf>
    <xf numFmtId="168" fontId="19" fillId="0" borderId="10" applyAlignment="1" pivotButton="0" quotePrefix="0" xfId="0">
      <alignment horizontal="general" vertical="center" wrapText="1"/>
    </xf>
    <xf numFmtId="0" fontId="0" fillId="0" borderId="10" applyAlignment="1" pivotButton="0" quotePrefix="0" xfId="0">
      <alignment horizontal="general" vertical="center" wrapText="1"/>
    </xf>
    <xf numFmtId="0" fontId="0" fillId="0" borderId="0" applyAlignment="1" pivotButton="0" quotePrefix="0" xfId="0">
      <alignment horizontal="general" vertical="center" wrapText="1"/>
    </xf>
    <xf numFmtId="0" fontId="29" fillId="2" borderId="0" applyAlignment="1" pivotButton="0" quotePrefix="0" xfId="0">
      <alignment horizontal="left" vertical="center"/>
    </xf>
    <xf numFmtId="0" fontId="7" fillId="23" borderId="10" applyAlignment="1" pivotButton="0" quotePrefix="0" xfId="0">
      <alignment horizontal="center" vertical="center" wrapText="1"/>
    </xf>
    <xf numFmtId="0" fontId="7" fillId="22" borderId="10" applyAlignment="1" pivotButton="0" quotePrefix="0" xfId="0">
      <alignment horizontal="general" vertical="center" wrapText="1"/>
    </xf>
    <xf numFmtId="0" fontId="7" fillId="3" borderId="10" applyAlignment="1" pivotButton="0" quotePrefix="0" xfId="0">
      <alignment horizontal="general" vertical="center" wrapText="1"/>
    </xf>
    <xf numFmtId="0" fontId="8" fillId="0" borderId="10" applyAlignment="1" pivotButton="0" quotePrefix="0" xfId="0">
      <alignment horizontal="general" vertical="center" wrapText="1"/>
    </xf>
    <xf numFmtId="3" fontId="0" fillId="0" borderId="10" applyAlignment="1" pivotButton="0" quotePrefix="0" xfId="0">
      <alignment horizontal="general" vertical="center" wrapText="1"/>
    </xf>
    <xf numFmtId="0" fontId="0" fillId="0" borderId="10" pivotButton="0" quotePrefix="0" xfId="0"/>
    <xf numFmtId="0" fontId="21" fillId="0" borderId="0" applyAlignment="1" pivotButton="0" quotePrefix="0" xfId="0">
      <alignment horizontal="general" vertical="bottom"/>
    </xf>
    <xf numFmtId="0" fontId="24" fillId="0" borderId="0" applyAlignment="1" pivotButton="0" quotePrefix="0" xfId="0">
      <alignment horizontal="general" vertical="bottom"/>
    </xf>
    <xf numFmtId="169" fontId="0" fillId="0" borderId="10" applyAlignment="1" pivotButton="0" quotePrefix="0" xfId="0">
      <alignment horizontal="general" vertical="center" wrapText="1"/>
    </xf>
    <xf numFmtId="0" fontId="8" fillId="0" borderId="0" applyAlignment="1" pivotButton="0" quotePrefix="0" xfId="0">
      <alignment horizontal="general" vertical="center" wrapText="1"/>
    </xf>
    <xf numFmtId="166" fontId="0" fillId="0" borderId="0" applyAlignment="1" pivotButton="0" quotePrefix="0" xfId="0">
      <alignment horizontal="general" vertical="center" wrapText="1"/>
    </xf>
    <xf numFmtId="0" fontId="30" fillId="2" borderId="11" applyAlignment="1" pivotButton="0" quotePrefix="0" xfId="0">
      <alignment horizontal="center" vertical="center"/>
    </xf>
    <xf numFmtId="0" fontId="0" fillId="0" borderId="24" pivotButton="0" quotePrefix="0" xfId="0"/>
    <xf numFmtId="0" fontId="0" fillId="0" borderId="25" pivotButton="0" quotePrefix="0" xfId="0"/>
    <xf numFmtId="0" fontId="31" fillId="0" borderId="0" applyAlignment="1" pivotButton="0" quotePrefix="0" xfId="0">
      <alignment horizontal="general" vertical="bottom"/>
    </xf>
    <xf numFmtId="0" fontId="6" fillId="3" borderId="11" applyAlignment="1" pivotButton="0" quotePrefix="0" xfId="0">
      <alignment horizontal="left" vertical="center"/>
    </xf>
    <xf numFmtId="0" fontId="32" fillId="24" borderId="11" applyAlignment="1" pivotButton="0" quotePrefix="0" xfId="0">
      <alignment horizontal="general" vertical="top" wrapText="1"/>
    </xf>
    <xf numFmtId="0" fontId="0" fillId="0" borderId="22"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30" pivotButton="0" quotePrefix="0" xfId="0"/>
    <xf numFmtId="0" fontId="29" fillId="2" borderId="11" applyAlignment="1" pivotButton="0" quotePrefix="0" xfId="0">
      <alignment horizontal="left" vertical="center"/>
    </xf>
    <xf numFmtId="0" fontId="0" fillId="0" borderId="26" pivotButton="0" quotePrefix="0" xfId="0"/>
    <xf numFmtId="0" fontId="0" fillId="0" borderId="27" pivotButton="0" quotePrefix="0" xfId="0"/>
    <xf numFmtId="0" fontId="29" fillId="2" borderId="12" applyAlignment="1" pivotButton="0" quotePrefix="0" xfId="0">
      <alignment horizontal="center" vertical="center"/>
    </xf>
    <xf numFmtId="0" fontId="0" fillId="0" borderId="33" pivotButton="0" quotePrefix="0" xfId="0"/>
    <xf numFmtId="0" fontId="0" fillId="0" borderId="34" pivotButton="0" quotePrefix="0" xfId="0"/>
    <xf numFmtId="0" fontId="33" fillId="3" borderId="12" applyAlignment="1" pivotButton="0" quotePrefix="0" xfId="0">
      <alignment horizontal="general" vertical="top" wrapText="1"/>
    </xf>
    <xf numFmtId="0" fontId="0" fillId="0" borderId="31" pivotButton="0" quotePrefix="0" xfId="0"/>
    <xf numFmtId="0" fontId="0" fillId="0" borderId="32" pivotButton="0" quotePrefix="0" xfId="0"/>
    <xf numFmtId="0" fontId="0" fillId="0" borderId="37" pivotButton="0" quotePrefix="0" xfId="0"/>
    <xf numFmtId="0" fontId="0" fillId="0" borderId="38" pivotButton="0" quotePrefix="0" xfId="0"/>
    <xf numFmtId="0" fontId="0" fillId="0" borderId="39" pivotButton="0" quotePrefix="0" xfId="0"/>
    <xf numFmtId="0" fontId="7" fillId="25" borderId="12" applyAlignment="1" pivotButton="0" quotePrefix="0" xfId="0">
      <alignment horizontal="center" vertical="center"/>
    </xf>
    <xf numFmtId="1" fontId="31" fillId="0" borderId="12" applyAlignment="1" pivotButton="0" quotePrefix="0" xfId="0">
      <alignment horizontal="center" vertical="center"/>
    </xf>
    <xf numFmtId="166" fontId="31" fillId="0" borderId="12" applyAlignment="1" pivotButton="0" quotePrefix="0" xfId="0">
      <alignment horizontal="right" vertical="bottom"/>
    </xf>
    <xf numFmtId="1" fontId="0" fillId="0" borderId="12" applyAlignment="1" pivotButton="0" quotePrefix="0" xfId="0">
      <alignment horizontal="center" vertical="center"/>
    </xf>
    <xf numFmtId="166" fontId="0" fillId="0" borderId="12" applyAlignment="1" pivotButton="0" quotePrefix="0" xfId="0">
      <alignment horizontal="right" vertical="bottom"/>
    </xf>
    <xf numFmtId="0" fontId="0" fillId="0" borderId="0" applyAlignment="1" pivotButton="0" quotePrefix="0" xfId="0">
      <alignment horizontal="general" vertical="center"/>
    </xf>
    <xf numFmtId="0" fontId="4" fillId="2" borderId="0" applyAlignment="1" pivotButton="0" quotePrefix="0" xfId="0">
      <alignment horizontal="center" vertical="center"/>
    </xf>
    <xf numFmtId="0" fontId="7" fillId="26" borderId="0" applyAlignment="1" pivotButton="0" quotePrefix="0" xfId="0">
      <alignment horizontal="center" vertical="center"/>
    </xf>
    <xf numFmtId="0" fontId="8" fillId="0" borderId="13" applyAlignment="1" pivotButton="0" quotePrefix="0" xfId="0">
      <alignment horizontal="general" vertical="top" wrapText="1"/>
    </xf>
    <xf numFmtId="0" fontId="0" fillId="0" borderId="41" pivotButton="0" quotePrefix="0" xfId="0"/>
    <xf numFmtId="0" fontId="7" fillId="3" borderId="14" applyAlignment="1" pivotButton="0" quotePrefix="0" xfId="0">
      <alignment horizontal="general" vertical="center"/>
    </xf>
    <xf numFmtId="0" fontId="7" fillId="3" borderId="14" applyAlignment="1" pivotButton="0" quotePrefix="0" xfId="0">
      <alignment horizontal="left" vertical="center"/>
    </xf>
    <xf numFmtId="0" fontId="7" fillId="3" borderId="14" applyAlignment="1" pivotButton="0" quotePrefix="0" xfId="0">
      <alignment horizontal="general" vertical="center" wrapText="1"/>
    </xf>
    <xf numFmtId="0" fontId="0" fillId="0" borderId="17" pivotButton="0" quotePrefix="0" xfId="0"/>
    <xf numFmtId="0" fontId="0" fillId="0" borderId="18" pivotButton="0" quotePrefix="0" xfId="0"/>
    <xf numFmtId="0" fontId="8" fillId="0" borderId="14" applyAlignment="1" pivotButton="0" quotePrefix="0" xfId="0">
      <alignment horizontal="general" vertical="center"/>
    </xf>
    <xf numFmtId="0" fontId="0" fillId="0" borderId="14" applyAlignment="1" pivotButton="0" quotePrefix="0" xfId="0">
      <alignment horizontal="right" vertical="center"/>
    </xf>
    <xf numFmtId="0" fontId="8" fillId="0" borderId="14" applyAlignment="1" pivotButton="0" quotePrefix="0" xfId="0">
      <alignment horizontal="general" vertical="center" wrapText="1"/>
    </xf>
    <xf numFmtId="3" fontId="0" fillId="0" borderId="14" applyAlignment="1" pivotButton="0" quotePrefix="0" xfId="0">
      <alignment horizontal="right" vertical="center"/>
    </xf>
    <xf numFmtId="0" fontId="0" fillId="0" borderId="14" applyAlignment="1" pivotButton="0" quotePrefix="0" xfId="0">
      <alignment horizontal="left" vertical="center"/>
    </xf>
    <xf numFmtId="0" fontId="0" fillId="0" borderId="15" pivotButton="0" quotePrefix="0" xfId="0"/>
    <xf numFmtId="0" fontId="0" fillId="0" borderId="16" pivotButton="0" quotePrefix="0" xfId="0"/>
    <xf numFmtId="0" fontId="8" fillId="0" borderId="0" applyAlignment="1" pivotButton="0" quotePrefix="0" xfId="0">
      <alignment horizontal="general" vertical="center"/>
    </xf>
    <xf numFmtId="0" fontId="0" fillId="0" borderId="15" applyAlignment="1" pivotButton="0" quotePrefix="0" xfId="0">
      <alignment horizontal="general" vertical="bottom"/>
    </xf>
    <xf numFmtId="0" fontId="0" fillId="0" borderId="16" applyAlignment="1" pivotButton="0" quotePrefix="0" xfId="0">
      <alignment horizontal="general" vertical="bottom"/>
    </xf>
    <xf numFmtId="0" fontId="0" fillId="0" borderId="17" applyAlignment="1" pivotButton="0" quotePrefix="0" xfId="0">
      <alignment horizontal="general" vertical="bottom"/>
    </xf>
    <xf numFmtId="0" fontId="0" fillId="0" borderId="18" applyAlignment="1" pivotButton="0" quotePrefix="0" xfId="0">
      <alignment horizontal="general" vertical="bottom"/>
    </xf>
    <xf numFmtId="0" fontId="7" fillId="3" borderId="0" applyAlignment="1" pivotButton="0" quotePrefix="0" xfId="0">
      <alignment horizontal="general" vertical="bottom" wrapText="1"/>
    </xf>
    <xf numFmtId="0" fontId="7" fillId="3" borderId="19" applyAlignment="1" pivotButton="0" quotePrefix="0" xfId="0">
      <alignment horizontal="general" vertical="center"/>
    </xf>
    <xf numFmtId="0" fontId="0" fillId="0" borderId="19" pivotButton="0" quotePrefix="0" xfId="0"/>
    <xf numFmtId="0" fontId="38" fillId="3" borderId="20" applyAlignment="1" pivotButton="0" quotePrefix="0" xfId="0">
      <alignment horizontal="general" vertical="center"/>
    </xf>
    <xf numFmtId="0" fontId="7" fillId="4" borderId="19" applyAlignment="1" pivotButton="0" quotePrefix="0" xfId="0">
      <alignment horizontal="center" vertical="center"/>
    </xf>
    <xf numFmtId="0" fontId="0" fillId="20" borderId="20" applyAlignment="1" pivotButton="0" quotePrefix="0" xfId="0">
      <alignment horizontal="center" vertical="center"/>
    </xf>
    <xf numFmtId="0" fontId="8" fillId="0" borderId="19" applyAlignment="1" pivotButton="0" quotePrefix="0" xfId="0">
      <alignment horizontal="general" vertical="center"/>
    </xf>
    <xf numFmtId="164" fontId="12" fillId="6" borderId="19" applyAlignment="1" pivotButton="0" quotePrefix="0" xfId="0">
      <alignment horizontal="general" vertical="center"/>
    </xf>
    <xf numFmtId="0" fontId="13" fillId="0" borderId="1" applyAlignment="1" pivotButton="0" quotePrefix="0" xfId="0">
      <alignment horizontal="general" vertical="center"/>
    </xf>
    <xf numFmtId="0" fontId="8" fillId="20" borderId="19" applyAlignment="1" pivotButton="0" quotePrefix="0" xfId="0">
      <alignment horizontal="general" vertical="center"/>
    </xf>
    <xf numFmtId="0" fontId="8" fillId="6" borderId="19" applyAlignment="1" pivotButton="0" quotePrefix="0" xfId="0">
      <alignment horizontal="general" vertical="center"/>
    </xf>
    <xf numFmtId="0" fontId="15" fillId="6" borderId="19" applyAlignment="1" pivotButton="0" quotePrefix="0" xfId="0">
      <alignment horizontal="general" vertical="center"/>
    </xf>
    <xf numFmtId="166" fontId="12" fillId="6" borderId="19" applyAlignment="1" pivotButton="0" quotePrefix="0" xfId="0">
      <alignment horizontal="general" vertical="center"/>
    </xf>
    <xf numFmtId="0" fontId="12" fillId="7" borderId="1" applyAlignment="1" pivotButton="0" quotePrefix="0" xfId="0">
      <alignment horizontal="general" vertical="bottom"/>
    </xf>
    <xf numFmtId="0" fontId="0" fillId="6" borderId="0" applyAlignment="1" pivotButton="0" quotePrefix="0" xfId="0">
      <alignment horizontal="general" vertical="center"/>
    </xf>
    <xf numFmtId="0" fontId="38" fillId="3" borderId="0" applyAlignment="1" pivotButton="0" quotePrefix="0" xfId="0">
      <alignment horizontal="general" vertical="center"/>
    </xf>
    <xf numFmtId="0" fontId="38" fillId="6" borderId="19" applyAlignment="1" pivotButton="0" quotePrefix="0" xfId="0">
      <alignment horizontal="general" vertical="center"/>
    </xf>
    <xf numFmtId="164" fontId="38" fillId="6" borderId="19" applyAlignment="1" pivotButton="0" quotePrefix="0" xfId="0">
      <alignment horizontal="general" vertical="center"/>
    </xf>
    <xf numFmtId="0" fontId="7" fillId="6" borderId="19" applyAlignment="1" pivotButton="0" quotePrefix="0" xfId="0">
      <alignment horizontal="center" vertical="center"/>
    </xf>
    <xf numFmtId="0" fontId="0" fillId="0" borderId="0" applyAlignment="1" pivotButton="0" quotePrefix="0" xfId="0">
      <alignment horizontal="center" vertical="center"/>
    </xf>
    <xf numFmtId="0" fontId="12" fillId="6" borderId="19" applyAlignment="1" pivotButton="0" quotePrefix="0" xfId="0">
      <alignment horizontal="center" vertical="center"/>
    </xf>
    <xf numFmtId="164" fontId="12" fillId="6" borderId="19" applyAlignment="1" pivotButton="0" quotePrefix="0" xfId="0">
      <alignment horizontal="center" vertical="center"/>
    </xf>
    <xf numFmtId="166" fontId="12" fillId="6" borderId="19" applyAlignment="1" pivotButton="0" quotePrefix="0" xfId="0">
      <alignment horizontal="center" vertical="center"/>
    </xf>
    <xf numFmtId="0" fontId="40" fillId="3" borderId="19" applyAlignment="1" pivotButton="0" quotePrefix="0" xfId="0">
      <alignment horizontal="general" vertical="center"/>
    </xf>
    <xf numFmtId="0" fontId="38" fillId="3" borderId="1" applyAlignment="1" pivotButton="0" quotePrefix="0" xfId="0">
      <alignment horizontal="general" vertical="center"/>
    </xf>
    <xf numFmtId="0" fontId="38" fillId="6" borderId="20" applyAlignment="1" pivotButton="0" quotePrefix="0" xfId="0">
      <alignment horizontal="general" vertical="center"/>
    </xf>
    <xf numFmtId="0" fontId="0" fillId="6" borderId="0" applyAlignment="1" pivotButton="0" quotePrefix="0" xfId="0">
      <alignment horizontal="center" vertical="center"/>
    </xf>
    <xf numFmtId="0" fontId="11" fillId="3" borderId="19" applyAlignment="1" pivotButton="0" quotePrefix="0" xfId="0">
      <alignment horizontal="center" vertical="center"/>
    </xf>
    <xf numFmtId="0" fontId="7" fillId="4" borderId="19" applyAlignment="1" pivotButton="0" quotePrefix="0" xfId="0">
      <alignment horizontal="general" vertical="center"/>
    </xf>
    <xf numFmtId="0" fontId="7" fillId="6" borderId="19" applyAlignment="1" pivotButton="0" quotePrefix="0" xfId="0">
      <alignment horizontal="general" vertical="center"/>
    </xf>
    <xf numFmtId="0" fontId="15" fillId="7" borderId="19" applyAlignment="1" pivotButton="0" quotePrefix="0" xfId="0">
      <alignment horizontal="general" vertical="center"/>
    </xf>
    <xf numFmtId="0" fontId="40" fillId="6" borderId="19" applyAlignment="1" pivotButton="0" quotePrefix="0" xfId="0">
      <alignment horizontal="general" vertical="center"/>
    </xf>
    <xf numFmtId="3" fontId="38" fillId="6" borderId="19" applyAlignment="1" pivotButton="0" quotePrefix="0" xfId="0">
      <alignment horizontal="general" vertical="center"/>
    </xf>
    <xf numFmtId="0" fontId="10" fillId="2" borderId="19" applyAlignment="1" pivotButton="0" quotePrefix="0" xfId="0">
      <alignment horizontal="general" vertical="center"/>
    </xf>
    <xf numFmtId="3" fontId="12" fillId="6" borderId="19" applyAlignment="1" pivotButton="0" quotePrefix="0" xfId="0">
      <alignment horizontal="general" vertical="center"/>
    </xf>
    <xf numFmtId="3" fontId="0" fillId="6" borderId="0" applyAlignment="1" pivotButton="0" quotePrefix="0" xfId="0">
      <alignment horizontal="general" vertical="center"/>
    </xf>
    <xf numFmtId="3" fontId="7" fillId="6" borderId="19" applyAlignment="1" pivotButton="0" quotePrefix="0" xfId="0">
      <alignment horizontal="general" vertical="center"/>
    </xf>
    <xf numFmtId="166" fontId="0" fillId="11" borderId="0" applyAlignment="1" pivotButton="0" quotePrefix="0" xfId="0">
      <alignment horizontal="right" vertical="center"/>
    </xf>
    <xf numFmtId="166" fontId="19" fillId="12" borderId="4" applyAlignment="1" pivotButton="0" quotePrefix="0" xfId="0">
      <alignment horizontal="right" vertical="center"/>
    </xf>
    <xf numFmtId="166" fontId="0" fillId="13" borderId="0" applyAlignment="1" pivotButton="0" quotePrefix="0" xfId="0">
      <alignment horizontal="right" vertical="center"/>
    </xf>
    <xf numFmtId="166" fontId="19" fillId="14" borderId="4" applyAlignment="1" pivotButton="0" quotePrefix="0" xfId="0">
      <alignment horizontal="right" vertical="center"/>
    </xf>
    <xf numFmtId="166" fontId="21" fillId="16" borderId="5" applyAlignment="1" pivotButton="0" quotePrefix="0" xfId="0">
      <alignment horizontal="right" vertical="center"/>
    </xf>
    <xf numFmtId="166" fontId="23" fillId="18" borderId="6" applyAlignment="1" pivotButton="0" quotePrefix="0" xfId="0">
      <alignment horizontal="right" vertical="center"/>
    </xf>
    <xf numFmtId="166" fontId="23" fillId="18" borderId="0" applyAlignment="1" pivotButton="0" quotePrefix="0" xfId="0">
      <alignment horizontal="right" vertical="center"/>
    </xf>
    <xf numFmtId="166" fontId="23" fillId="18" borderId="7" applyAlignment="1" pivotButton="0" quotePrefix="0" xfId="0">
      <alignment horizontal="right" vertical="center"/>
    </xf>
    <xf numFmtId="166" fontId="21" fillId="19" borderId="8" applyAlignment="1" pivotButton="0" quotePrefix="0" xfId="0">
      <alignment horizontal="right" vertical="center"/>
    </xf>
    <xf numFmtId="166" fontId="24" fillId="20" borderId="0" applyAlignment="1" pivotButton="0" quotePrefix="0" xfId="0">
      <alignment horizontal="right" vertical="center"/>
    </xf>
    <xf numFmtId="1" fontId="24" fillId="20" borderId="0" applyAlignment="1" pivotButton="0" quotePrefix="0" xfId="0">
      <alignment horizontal="right" vertical="center"/>
    </xf>
    <xf numFmtId="0" fontId="26" fillId="0" borderId="9" applyAlignment="1" pivotButton="0" quotePrefix="0" xfId="0">
      <alignment horizontal="general" vertical="bottom"/>
    </xf>
    <xf numFmtId="166" fontId="26" fillId="0" borderId="9" applyAlignment="1" pivotButton="0" quotePrefix="0" xfId="0">
      <alignment horizontal="general" vertical="bottom"/>
    </xf>
    <xf numFmtId="0" fontId="41" fillId="21" borderId="0" applyAlignment="1" pivotButton="0" quotePrefix="0" xfId="0">
      <alignment horizontal="left" vertical="center"/>
    </xf>
    <xf numFmtId="0" fontId="4" fillId="2" borderId="0" applyAlignment="1" pivotButton="0" quotePrefix="0" xfId="0">
      <alignment horizontal="left" vertical="bottom"/>
    </xf>
    <xf numFmtId="0" fontId="14" fillId="0" borderId="0" applyAlignment="1" pivotButton="0" quotePrefix="0" xfId="0">
      <alignment horizontal="general" vertical="bottom"/>
    </xf>
    <xf numFmtId="0" fontId="7" fillId="3" borderId="21" applyAlignment="1" pivotButton="0" quotePrefix="0" xfId="0">
      <alignment horizontal="center" vertical="bottom"/>
    </xf>
    <xf numFmtId="0" fontId="19" fillId="3" borderId="21" applyAlignment="1" pivotButton="0" quotePrefix="0" xfId="0">
      <alignment horizontal="center" vertical="bottom"/>
    </xf>
    <xf numFmtId="0" fontId="8" fillId="27" borderId="21" applyAlignment="1" pivotButton="0" quotePrefix="0" xfId="0">
      <alignment horizontal="center" vertical="center" wrapText="1"/>
    </xf>
    <xf numFmtId="9" fontId="0" fillId="27" borderId="21" applyAlignment="1" pivotButton="0" quotePrefix="0" xfId="0">
      <alignment horizontal="general" vertical="bottom"/>
    </xf>
    <xf numFmtId="3" fontId="0" fillId="27" borderId="21" applyAlignment="1" pivotButton="0" quotePrefix="0" xfId="0">
      <alignment horizontal="right" vertical="bottom"/>
    </xf>
    <xf numFmtId="0" fontId="8" fillId="27" borderId="21" applyAlignment="1" pivotButton="0" quotePrefix="0" xfId="0">
      <alignment horizontal="left" vertical="center" wrapText="1"/>
    </xf>
    <xf numFmtId="0" fontId="8" fillId="28" borderId="21" applyAlignment="1" pivotButton="0" quotePrefix="0" xfId="0">
      <alignment horizontal="center" vertical="center" wrapText="1"/>
    </xf>
    <xf numFmtId="9" fontId="0" fillId="28" borderId="21" applyAlignment="1" pivotButton="0" quotePrefix="0" xfId="0">
      <alignment horizontal="general" vertical="bottom"/>
    </xf>
    <xf numFmtId="3" fontId="0" fillId="28" borderId="21" applyAlignment="1" pivotButton="0" quotePrefix="0" xfId="0">
      <alignment horizontal="right" vertical="bottom"/>
    </xf>
    <xf numFmtId="0" fontId="8" fillId="28" borderId="21" applyAlignment="1" pivotButton="0" quotePrefix="0" xfId="0">
      <alignment horizontal="left" vertical="center" wrapText="1"/>
    </xf>
    <xf numFmtId="0" fontId="7" fillId="29" borderId="0" applyAlignment="1" pivotButton="0" quotePrefix="0" xfId="0">
      <alignment horizontal="general" vertical="bottom"/>
    </xf>
    <xf numFmtId="0" fontId="8" fillId="29" borderId="0" applyAlignment="1" pivotButton="0" quotePrefix="0" xfId="0">
      <alignment horizontal="general" vertical="bottom"/>
    </xf>
    <xf numFmtId="0" fontId="8" fillId="0" borderId="10" applyAlignment="1" pivotButton="0" quotePrefix="0" xfId="0">
      <alignmen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bgColor rgb="FFE2F0D9"/>
        </patternFill>
      </fill>
    </dxf>
    <dxf>
      <fill>
        <patternFill>
          <bgColor rgb="FFFFF2CC"/>
        </patternFill>
      </fill>
    </dxf>
    <dxf>
      <fill>
        <patternFill>
          <bgColor rgb="FFFCE4D6"/>
        </patternFill>
      </fill>
    </dxf>
  </dxfs>
  <colors>
    <indexedColors>
      <rgbColor rgb="FF000000"/>
      <rgbColor rgb="FFFFFFFF"/>
      <rgbColor rgb="FFF4F9FD"/>
      <rgbColor rgb="FFE2EFDA"/>
      <rgbColor rgb="FF0000FF"/>
      <rgbColor rgb="FFFCE4D6"/>
      <rgbColor rgb="FFF3F4F6"/>
      <rgbColor rgb="FFD0D7DE"/>
      <rgbColor rgb="FF800000"/>
      <rgbColor rgb="FFEAF3FF"/>
      <rgbColor rgb="FF000080"/>
      <rgbColor rgb="FF7F6000"/>
      <rgbColor rgb="FFF7F7F7"/>
      <rgbColor rgb="FFD9E2F3"/>
      <rgbColor rgb="FFB7C3D0"/>
      <rgbColor rgb="FF808080"/>
      <rgbColor rgb="FF9FB7DA"/>
      <rgbColor rgb="FFE8EFFA"/>
      <rgbColor rgb="FFFFF2CC"/>
      <rgbColor rgb="FFD9EAF7"/>
      <rgbColor rgb="FFF2FBF4"/>
      <rgbColor rgb="FFD0CFD4"/>
      <rgbColor rgb="FFEAF2FF"/>
      <rgbColor rgb="FFC9D8F0"/>
      <rgbColor rgb="FF000080"/>
      <rgbColor rgb="FFEEF5FB"/>
      <rgbColor rgb="FFE2F0D9"/>
      <rgbColor rgb="FFD6E8F6"/>
      <rgbColor rgb="FFFFF6F0"/>
      <rgbColor rgb="FF800000"/>
      <rgbColor rgb="FFD9E5F6"/>
      <rgbColor rgb="FF0000FF"/>
      <rgbColor rgb="FFB9CCE8"/>
      <rgbColor rgb="FFDDEBF7"/>
      <rgbColor rgb="FFDCEEDD"/>
      <rgbColor rgb="FFF7E7A9"/>
      <rgbColor rgb="FF9FC0D3"/>
      <rgbColor rgb="FFB3B3B3"/>
      <rgbColor rgb="FFB7B6BC"/>
      <rgbColor rgb="FFE5C45A"/>
      <rgbColor rgb="FFD9DDD7"/>
      <rgbColor rgb="FF9FBAD0"/>
      <rgbColor rgb="FF9EB6CE"/>
      <rgbColor rgb="FFF7E3D6"/>
      <rgbColor rgb="FFD0D0D0"/>
      <rgbColor rgb="FFD9D9D9"/>
      <rgbColor rgb="FF666666"/>
      <rgbColor rgb="FF8FA8C8"/>
      <rgbColor rgb="FF0F3557"/>
      <rgbColor rgb="FFB7C7DD"/>
      <rgbColor rgb="FF003300"/>
      <rgbColor rgb="FF1F1F1F"/>
      <rgbColor rgb="FFF3F3F3"/>
      <rgbColor rgb="FFE8F2FA"/>
      <rgbColor rgb="FF1F4E78"/>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3つのケースの保有資産推移</a:t>
            </a:r>
          </a:p>
        </rich>
      </tx>
      <overlay val="0"/>
      <spPr>
        <a:noFill xmlns:a="http://schemas.openxmlformats.org/drawingml/2006/main"/>
        <a:ln xmlns:a="http://schemas.openxmlformats.org/drawingml/2006/main" w="0">
          <a:noFill/>
          <a:prstDash val="solid"/>
        </a:ln>
      </spPr>
    </title>
    <plotArea>
      <lineChart>
        <grouping val="standard"/>
        <varyColors val="0"/>
        <ser>
          <idx val="0"/>
          <order val="0"/>
          <tx>
            <strRef>
              <f>グラフ!B46</f>
              <strCache>
                <ptCount val="1"/>
                <pt idx="0">
                  <v>通常時 保有資産合計</v>
                </pt>
              </strCache>
            </strRef>
          </tx>
          <spPr>
            <a:solidFill xmlns:a="http://schemas.openxmlformats.org/drawingml/2006/main">
              <a:srgbClr val="ffffff"/>
            </a:solidFill>
            <a:ln xmlns:a="http://schemas.openxmlformats.org/drawingml/2006/main" w="0">
              <a:solidFill>
                <a:srgbClr val="ffffff"/>
              </a:solidFill>
              <a:prstDash val="soli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r"/>
            <showLegendKey val="0"/>
            <showVal val="0"/>
            <showCatName val="0"/>
            <showSerName val="0"/>
            <showPercent val="0"/>
            <showLeaderLines val="1"/>
          </dLbls>
          <cat>
            <strRef>
              <f>グラフ!$A$47:$A$146</f>
              <strCache>
                <ptCount val="100"/>
                <pt idx="0">
                  <v>None</v>
                </pt>
                <pt idx="1">
                  <v>None</v>
                </pt>
                <pt idx="2">
                  <v>None</v>
                </pt>
                <pt idx="3">
                  <v>None</v>
                </pt>
                <pt idx="4">
                  <v>None</v>
                </pt>
                <pt idx="5">
                  <v>None</v>
                </pt>
                <pt idx="6">
                  <v>None</v>
                </pt>
                <pt idx="7">
                  <v>None</v>
                </pt>
                <pt idx="8">
                  <v>None</v>
                </pt>
                <pt idx="9">
                  <v>None</v>
                </pt>
                <pt idx="10">
                  <v>None</v>
                </pt>
                <pt idx="11">
                  <v>None</v>
                </pt>
                <pt idx="12">
                  <v>None</v>
                </pt>
                <pt idx="13">
                  <v>None</v>
                </pt>
                <pt idx="14">
                  <v>None</v>
                </pt>
                <pt idx="15">
                  <v>None</v>
                </pt>
                <pt idx="16">
                  <v>None</v>
                </pt>
                <pt idx="17">
                  <v>None</v>
                </pt>
                <pt idx="18">
                  <v>None</v>
                </pt>
                <pt idx="19">
                  <v>None</v>
                </pt>
                <pt idx="20">
                  <v>None</v>
                </pt>
                <pt idx="21">
                  <v>None</v>
                </pt>
                <pt idx="22">
                  <v>None</v>
                </pt>
                <pt idx="23">
                  <v>None</v>
                </pt>
                <pt idx="24">
                  <v>None</v>
                </pt>
                <pt idx="25">
                  <v>None</v>
                </pt>
                <pt idx="26">
                  <v>None</v>
                </pt>
                <pt idx="27">
                  <v>None</v>
                </pt>
                <pt idx="28">
                  <v>None</v>
                </pt>
                <pt idx="29">
                  <v>None</v>
                </pt>
                <pt idx="30">
                  <v>None</v>
                </pt>
                <pt idx="31">
                  <v>None</v>
                </pt>
                <pt idx="32">
                  <v>None</v>
                </pt>
                <pt idx="33">
                  <v>None</v>
                </pt>
                <pt idx="34">
                  <v>None</v>
                </pt>
                <pt idx="35">
                  <v>None</v>
                </pt>
                <pt idx="36">
                  <v>None</v>
                </pt>
                <pt idx="37">
                  <v>None</v>
                </pt>
                <pt idx="38">
                  <v>None</v>
                </pt>
                <pt idx="39">
                  <v>None</v>
                </pt>
                <pt idx="40">
                  <v>None</v>
                </pt>
                <pt idx="41">
                  <v>None</v>
                </pt>
                <pt idx="42">
                  <v>None</v>
                </pt>
                <pt idx="43">
                  <v>None</v>
                </pt>
                <pt idx="44">
                  <v>None</v>
                </pt>
                <pt idx="45">
                  <v>None</v>
                </pt>
                <pt idx="46">
                  <v>None</v>
                </pt>
                <pt idx="47">
                  <v>None</v>
                </pt>
                <pt idx="48">
                  <v>None</v>
                </pt>
                <pt idx="49">
                  <v>None</v>
                </pt>
                <pt idx="50">
                  <v>None</v>
                </pt>
                <pt idx="51">
                  <v>None</v>
                </pt>
                <pt idx="52">
                  <v>None</v>
                </pt>
                <pt idx="53">
                  <v>None</v>
                </pt>
                <pt idx="54">
                  <v>None</v>
                </pt>
                <pt idx="55">
                  <v>None</v>
                </pt>
                <pt idx="56">
                  <v>None</v>
                </pt>
                <pt idx="57">
                  <v>None</v>
                </pt>
                <pt idx="58">
                  <v>None</v>
                </pt>
                <pt idx="59">
                  <v>None</v>
                </pt>
                <pt idx="60">
                  <v>None</v>
                </pt>
                <pt idx="61">
                  <v>None</v>
                </pt>
                <pt idx="62">
                  <v>None</v>
                </pt>
                <pt idx="63">
                  <v>None</v>
                </pt>
                <pt idx="64">
                  <v>None</v>
                </pt>
                <pt idx="65">
                  <v>None</v>
                </pt>
                <pt idx="66">
                  <v>None</v>
                </pt>
                <pt idx="67">
                  <v>None</v>
                </pt>
                <pt idx="68">
                  <v>None</v>
                </pt>
                <pt idx="69">
                  <v>None</v>
                </pt>
                <pt idx="70">
                  <v>None</v>
                </pt>
                <pt idx="71">
                  <v>None</v>
                </pt>
                <pt idx="72">
                  <v>None</v>
                </pt>
                <pt idx="73">
                  <v>None</v>
                </pt>
                <pt idx="74">
                  <v>None</v>
                </pt>
                <pt idx="75">
                  <v>None</v>
                </pt>
                <pt idx="76">
                  <v>None</v>
                </pt>
                <pt idx="77">
                  <v>None</v>
                </pt>
                <pt idx="78">
                  <v>None</v>
                </pt>
                <pt idx="79">
                  <v>None</v>
                </pt>
                <pt idx="80">
                  <v>None</v>
                </pt>
                <pt idx="81">
                  <v>None</v>
                </pt>
                <pt idx="82">
                  <v>None</v>
                </pt>
                <pt idx="83">
                  <v>None</v>
                </pt>
                <pt idx="84">
                  <v>None</v>
                </pt>
                <pt idx="85">
                  <v>None</v>
                </pt>
                <pt idx="86">
                  <v>None</v>
                </pt>
                <pt idx="87">
                  <v>None</v>
                </pt>
                <pt idx="88">
                  <v>None</v>
                </pt>
                <pt idx="89">
                  <v>None</v>
                </pt>
                <pt idx="90">
                  <v>None</v>
                </pt>
                <pt idx="91">
                  <v>None</v>
                </pt>
                <pt idx="92">
                  <v>None</v>
                </pt>
                <pt idx="93">
                  <v>None</v>
                </pt>
                <pt idx="94">
                  <v>None</v>
                </pt>
                <pt idx="95">
                  <v>None</v>
                </pt>
                <pt idx="96">
                  <v>None</v>
                </pt>
                <pt idx="97">
                  <v>None</v>
                </pt>
                <pt idx="98">
                  <v>None</v>
                </pt>
                <pt idx="99">
                  <v>None</v>
                </pt>
              </strCache>
            </strRef>
          </cat>
          <val>
            <numRef>
              <f>グラフ!$B$47:$B$146</f>
              <numCache>
                <formatCode>General</formatCode>
                <ptCount val="100"/>
              </numCache>
            </numRef>
          </val>
          <smooth val="1"/>
        </ser>
        <ser>
          <idx val="1"/>
          <order val="1"/>
          <tx>
            <strRef>
              <f>グラフ!C46</f>
              <strCache>
                <ptCount val="1"/>
                <pt idx="0">
                  <v>ご主人様死亡時 保有資産合計</v>
                </pt>
              </strCache>
            </strRef>
          </tx>
          <spPr>
            <a:solidFill xmlns:a="http://schemas.openxmlformats.org/drawingml/2006/main">
              <a:srgbClr val="ffffff"/>
            </a:solidFill>
            <a:ln xmlns:a="http://schemas.openxmlformats.org/drawingml/2006/main" w="0">
              <a:solidFill>
                <a:srgbClr val="ffffff"/>
              </a:solidFill>
              <a:prstDash val="soli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r"/>
            <showLegendKey val="0"/>
            <showVal val="0"/>
            <showCatName val="0"/>
            <showSerName val="0"/>
            <showPercent val="0"/>
            <showLeaderLines val="1"/>
          </dLbls>
          <cat>
            <strRef>
              <f>グラフ!$A$47:$A$146</f>
              <strCache>
                <ptCount val="100"/>
                <pt idx="0">
                  <v>None</v>
                </pt>
                <pt idx="1">
                  <v>None</v>
                </pt>
                <pt idx="2">
                  <v>None</v>
                </pt>
                <pt idx="3">
                  <v>None</v>
                </pt>
                <pt idx="4">
                  <v>None</v>
                </pt>
                <pt idx="5">
                  <v>None</v>
                </pt>
                <pt idx="6">
                  <v>None</v>
                </pt>
                <pt idx="7">
                  <v>None</v>
                </pt>
                <pt idx="8">
                  <v>None</v>
                </pt>
                <pt idx="9">
                  <v>None</v>
                </pt>
                <pt idx="10">
                  <v>None</v>
                </pt>
                <pt idx="11">
                  <v>None</v>
                </pt>
                <pt idx="12">
                  <v>None</v>
                </pt>
                <pt idx="13">
                  <v>None</v>
                </pt>
                <pt idx="14">
                  <v>None</v>
                </pt>
                <pt idx="15">
                  <v>None</v>
                </pt>
                <pt idx="16">
                  <v>None</v>
                </pt>
                <pt idx="17">
                  <v>None</v>
                </pt>
                <pt idx="18">
                  <v>None</v>
                </pt>
                <pt idx="19">
                  <v>None</v>
                </pt>
                <pt idx="20">
                  <v>None</v>
                </pt>
                <pt idx="21">
                  <v>None</v>
                </pt>
                <pt idx="22">
                  <v>None</v>
                </pt>
                <pt idx="23">
                  <v>None</v>
                </pt>
                <pt idx="24">
                  <v>None</v>
                </pt>
                <pt idx="25">
                  <v>None</v>
                </pt>
                <pt idx="26">
                  <v>None</v>
                </pt>
                <pt idx="27">
                  <v>None</v>
                </pt>
                <pt idx="28">
                  <v>None</v>
                </pt>
                <pt idx="29">
                  <v>None</v>
                </pt>
                <pt idx="30">
                  <v>None</v>
                </pt>
                <pt idx="31">
                  <v>None</v>
                </pt>
                <pt idx="32">
                  <v>None</v>
                </pt>
                <pt idx="33">
                  <v>None</v>
                </pt>
                <pt idx="34">
                  <v>None</v>
                </pt>
                <pt idx="35">
                  <v>None</v>
                </pt>
                <pt idx="36">
                  <v>None</v>
                </pt>
                <pt idx="37">
                  <v>None</v>
                </pt>
                <pt idx="38">
                  <v>None</v>
                </pt>
                <pt idx="39">
                  <v>None</v>
                </pt>
                <pt idx="40">
                  <v>None</v>
                </pt>
                <pt idx="41">
                  <v>None</v>
                </pt>
                <pt idx="42">
                  <v>None</v>
                </pt>
                <pt idx="43">
                  <v>None</v>
                </pt>
                <pt idx="44">
                  <v>None</v>
                </pt>
                <pt idx="45">
                  <v>None</v>
                </pt>
                <pt idx="46">
                  <v>None</v>
                </pt>
                <pt idx="47">
                  <v>None</v>
                </pt>
                <pt idx="48">
                  <v>None</v>
                </pt>
                <pt idx="49">
                  <v>None</v>
                </pt>
                <pt idx="50">
                  <v>None</v>
                </pt>
                <pt idx="51">
                  <v>None</v>
                </pt>
                <pt idx="52">
                  <v>None</v>
                </pt>
                <pt idx="53">
                  <v>None</v>
                </pt>
                <pt idx="54">
                  <v>None</v>
                </pt>
                <pt idx="55">
                  <v>None</v>
                </pt>
                <pt idx="56">
                  <v>None</v>
                </pt>
                <pt idx="57">
                  <v>None</v>
                </pt>
                <pt idx="58">
                  <v>None</v>
                </pt>
                <pt idx="59">
                  <v>None</v>
                </pt>
                <pt idx="60">
                  <v>None</v>
                </pt>
                <pt idx="61">
                  <v>None</v>
                </pt>
                <pt idx="62">
                  <v>None</v>
                </pt>
                <pt idx="63">
                  <v>None</v>
                </pt>
                <pt idx="64">
                  <v>None</v>
                </pt>
                <pt idx="65">
                  <v>None</v>
                </pt>
                <pt idx="66">
                  <v>None</v>
                </pt>
                <pt idx="67">
                  <v>None</v>
                </pt>
                <pt idx="68">
                  <v>None</v>
                </pt>
                <pt idx="69">
                  <v>None</v>
                </pt>
                <pt idx="70">
                  <v>None</v>
                </pt>
                <pt idx="71">
                  <v>None</v>
                </pt>
                <pt idx="72">
                  <v>None</v>
                </pt>
                <pt idx="73">
                  <v>None</v>
                </pt>
                <pt idx="74">
                  <v>None</v>
                </pt>
                <pt idx="75">
                  <v>None</v>
                </pt>
                <pt idx="76">
                  <v>None</v>
                </pt>
                <pt idx="77">
                  <v>None</v>
                </pt>
                <pt idx="78">
                  <v>None</v>
                </pt>
                <pt idx="79">
                  <v>None</v>
                </pt>
                <pt idx="80">
                  <v>None</v>
                </pt>
                <pt idx="81">
                  <v>None</v>
                </pt>
                <pt idx="82">
                  <v>None</v>
                </pt>
                <pt idx="83">
                  <v>None</v>
                </pt>
                <pt idx="84">
                  <v>None</v>
                </pt>
                <pt idx="85">
                  <v>None</v>
                </pt>
                <pt idx="86">
                  <v>None</v>
                </pt>
                <pt idx="87">
                  <v>None</v>
                </pt>
                <pt idx="88">
                  <v>None</v>
                </pt>
                <pt idx="89">
                  <v>None</v>
                </pt>
                <pt idx="90">
                  <v>None</v>
                </pt>
                <pt idx="91">
                  <v>None</v>
                </pt>
                <pt idx="92">
                  <v>None</v>
                </pt>
                <pt idx="93">
                  <v>None</v>
                </pt>
                <pt idx="94">
                  <v>None</v>
                </pt>
                <pt idx="95">
                  <v>None</v>
                </pt>
                <pt idx="96">
                  <v>None</v>
                </pt>
                <pt idx="97">
                  <v>None</v>
                </pt>
                <pt idx="98">
                  <v>None</v>
                </pt>
                <pt idx="99">
                  <v>None</v>
                </pt>
              </strCache>
            </strRef>
          </cat>
          <val>
            <numRef>
              <f>グラフ!$C$47:$C$146</f>
              <numCache>
                <formatCode>General</formatCode>
                <ptCount val="100"/>
              </numCache>
            </numRef>
          </val>
          <smooth val="1"/>
        </ser>
        <ser>
          <idx val="2"/>
          <order val="2"/>
          <tx>
            <strRef>
              <f>グラフ!D46</f>
              <strCache>
                <ptCount val="1"/>
                <pt idx="0">
                  <v>奥様死亡時 保有資産合計</v>
                </pt>
              </strCache>
            </strRef>
          </tx>
          <spPr>
            <a:solidFill xmlns:a="http://schemas.openxmlformats.org/drawingml/2006/main">
              <a:srgbClr val="ffffff"/>
            </a:solidFill>
            <a:ln xmlns:a="http://schemas.openxmlformats.org/drawingml/2006/main" w="0">
              <a:solidFill>
                <a:srgbClr val="ffffff"/>
              </a:solidFill>
              <a:prstDash val="soli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r"/>
            <showLegendKey val="0"/>
            <showVal val="0"/>
            <showCatName val="0"/>
            <showSerName val="0"/>
            <showPercent val="0"/>
            <showLeaderLines val="1"/>
          </dLbls>
          <cat>
            <strRef>
              <f>グラフ!$A$47:$A$146</f>
              <strCache>
                <ptCount val="100"/>
                <pt idx="0">
                  <v>None</v>
                </pt>
                <pt idx="1">
                  <v>None</v>
                </pt>
                <pt idx="2">
                  <v>None</v>
                </pt>
                <pt idx="3">
                  <v>None</v>
                </pt>
                <pt idx="4">
                  <v>None</v>
                </pt>
                <pt idx="5">
                  <v>None</v>
                </pt>
                <pt idx="6">
                  <v>None</v>
                </pt>
                <pt idx="7">
                  <v>None</v>
                </pt>
                <pt idx="8">
                  <v>None</v>
                </pt>
                <pt idx="9">
                  <v>None</v>
                </pt>
                <pt idx="10">
                  <v>None</v>
                </pt>
                <pt idx="11">
                  <v>None</v>
                </pt>
                <pt idx="12">
                  <v>None</v>
                </pt>
                <pt idx="13">
                  <v>None</v>
                </pt>
                <pt idx="14">
                  <v>None</v>
                </pt>
                <pt idx="15">
                  <v>None</v>
                </pt>
                <pt idx="16">
                  <v>None</v>
                </pt>
                <pt idx="17">
                  <v>None</v>
                </pt>
                <pt idx="18">
                  <v>None</v>
                </pt>
                <pt idx="19">
                  <v>None</v>
                </pt>
                <pt idx="20">
                  <v>None</v>
                </pt>
                <pt idx="21">
                  <v>None</v>
                </pt>
                <pt idx="22">
                  <v>None</v>
                </pt>
                <pt idx="23">
                  <v>None</v>
                </pt>
                <pt idx="24">
                  <v>None</v>
                </pt>
                <pt idx="25">
                  <v>None</v>
                </pt>
                <pt idx="26">
                  <v>None</v>
                </pt>
                <pt idx="27">
                  <v>None</v>
                </pt>
                <pt idx="28">
                  <v>None</v>
                </pt>
                <pt idx="29">
                  <v>None</v>
                </pt>
                <pt idx="30">
                  <v>None</v>
                </pt>
                <pt idx="31">
                  <v>None</v>
                </pt>
                <pt idx="32">
                  <v>None</v>
                </pt>
                <pt idx="33">
                  <v>None</v>
                </pt>
                <pt idx="34">
                  <v>None</v>
                </pt>
                <pt idx="35">
                  <v>None</v>
                </pt>
                <pt idx="36">
                  <v>None</v>
                </pt>
                <pt idx="37">
                  <v>None</v>
                </pt>
                <pt idx="38">
                  <v>None</v>
                </pt>
                <pt idx="39">
                  <v>None</v>
                </pt>
                <pt idx="40">
                  <v>None</v>
                </pt>
                <pt idx="41">
                  <v>None</v>
                </pt>
                <pt idx="42">
                  <v>None</v>
                </pt>
                <pt idx="43">
                  <v>None</v>
                </pt>
                <pt idx="44">
                  <v>None</v>
                </pt>
                <pt idx="45">
                  <v>None</v>
                </pt>
                <pt idx="46">
                  <v>None</v>
                </pt>
                <pt idx="47">
                  <v>None</v>
                </pt>
                <pt idx="48">
                  <v>None</v>
                </pt>
                <pt idx="49">
                  <v>None</v>
                </pt>
                <pt idx="50">
                  <v>None</v>
                </pt>
                <pt idx="51">
                  <v>None</v>
                </pt>
                <pt idx="52">
                  <v>None</v>
                </pt>
                <pt idx="53">
                  <v>None</v>
                </pt>
                <pt idx="54">
                  <v>None</v>
                </pt>
                <pt idx="55">
                  <v>None</v>
                </pt>
                <pt idx="56">
                  <v>None</v>
                </pt>
                <pt idx="57">
                  <v>None</v>
                </pt>
                <pt idx="58">
                  <v>None</v>
                </pt>
                <pt idx="59">
                  <v>None</v>
                </pt>
                <pt idx="60">
                  <v>None</v>
                </pt>
                <pt idx="61">
                  <v>None</v>
                </pt>
                <pt idx="62">
                  <v>None</v>
                </pt>
                <pt idx="63">
                  <v>None</v>
                </pt>
                <pt idx="64">
                  <v>None</v>
                </pt>
                <pt idx="65">
                  <v>None</v>
                </pt>
                <pt idx="66">
                  <v>None</v>
                </pt>
                <pt idx="67">
                  <v>None</v>
                </pt>
                <pt idx="68">
                  <v>None</v>
                </pt>
                <pt idx="69">
                  <v>None</v>
                </pt>
                <pt idx="70">
                  <v>None</v>
                </pt>
                <pt idx="71">
                  <v>None</v>
                </pt>
                <pt idx="72">
                  <v>None</v>
                </pt>
                <pt idx="73">
                  <v>None</v>
                </pt>
                <pt idx="74">
                  <v>None</v>
                </pt>
                <pt idx="75">
                  <v>None</v>
                </pt>
                <pt idx="76">
                  <v>None</v>
                </pt>
                <pt idx="77">
                  <v>None</v>
                </pt>
                <pt idx="78">
                  <v>None</v>
                </pt>
                <pt idx="79">
                  <v>None</v>
                </pt>
                <pt idx="80">
                  <v>None</v>
                </pt>
                <pt idx="81">
                  <v>None</v>
                </pt>
                <pt idx="82">
                  <v>None</v>
                </pt>
                <pt idx="83">
                  <v>None</v>
                </pt>
                <pt idx="84">
                  <v>None</v>
                </pt>
                <pt idx="85">
                  <v>None</v>
                </pt>
                <pt idx="86">
                  <v>None</v>
                </pt>
                <pt idx="87">
                  <v>None</v>
                </pt>
                <pt idx="88">
                  <v>None</v>
                </pt>
                <pt idx="89">
                  <v>None</v>
                </pt>
                <pt idx="90">
                  <v>None</v>
                </pt>
                <pt idx="91">
                  <v>None</v>
                </pt>
                <pt idx="92">
                  <v>None</v>
                </pt>
                <pt idx="93">
                  <v>None</v>
                </pt>
                <pt idx="94">
                  <v>None</v>
                </pt>
                <pt idx="95">
                  <v>None</v>
                </pt>
                <pt idx="96">
                  <v>None</v>
                </pt>
                <pt idx="97">
                  <v>None</v>
                </pt>
                <pt idx="98">
                  <v>None</v>
                </pt>
                <pt idx="99">
                  <v>None</v>
                </pt>
              </strCache>
            </strRef>
          </cat>
          <val>
            <numRef>
              <f>グラフ!$D$47:$D$146</f>
              <numCache>
                <formatCode>General</formatCode>
                <ptCount val="100"/>
              </numCache>
            </numRef>
          </val>
          <smooth val="1"/>
        </ser>
        <hiLowLines>
          <spPr>
            <a:ln xmlns:a="http://schemas.openxmlformats.org/drawingml/2006/main" w="0">
              <a:noFill/>
              <a:prstDash val="solid"/>
            </a:ln>
          </spPr>
        </hiLowLines>
        <marker val="0"/>
        <axId val="80288295"/>
        <axId val="71018090"/>
      </lineChart>
      <catAx>
        <axId val="80288295"/>
        <scaling>
          <orientation val="minMax"/>
        </scaling>
        <delete val="0"/>
        <axPos val="b"/>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年</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low"/>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71018090"/>
        <crosses val="autoZero"/>
        <auto val="1"/>
        <lblAlgn val="ctr"/>
        <lblOffset val="100"/>
        <noMultiLvlLbl val="0"/>
      </catAx>
      <valAx>
        <axId val="71018090"/>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万円</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80288295"/>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legend>
    <plotVisOnly val="1"/>
    <dispBlanksAs val="zero"/>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oneCell">
    <from>
      <col>0</col>
      <colOff>0</colOff>
      <row>9</row>
      <rowOff>0</rowOff>
    </from>
    <to>
      <col>6</col>
      <colOff>684360</colOff>
      <row>26</row>
      <rowOff>720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1:L109"/>
  <sheetViews>
    <sheetView showFormulas="0" showGridLines="1" showRowColHeaders="1" showZeros="1" rightToLeft="0" tabSelected="1"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customHeight="1" zeroHeight="0" outlineLevelRow="0"/>
  <cols>
    <col width="18" customWidth="1" style="179" min="1" max="1"/>
    <col width="34" customWidth="1" style="179" min="2" max="2"/>
    <col width="18" customWidth="1" style="179" min="3" max="4"/>
    <col width="16" customWidth="1" style="179" min="5" max="9"/>
    <col width="14" customWidth="1" style="179" min="10" max="12"/>
  </cols>
  <sheetData>
    <row r="1" ht="17.25" customHeight="1" s="180">
      <c r="A1" s="181" t="inlineStr">
        <is>
          <t>情報入力</t>
        </is>
      </c>
    </row>
    <row r="2" ht="16.5" customHeight="1" s="180">
      <c r="A2" s="182" t="n"/>
    </row>
    <row r="3" ht="27.75" customHeight="1" s="180">
      <c r="A3" s="183" t="inlineStr">
        <is>
          <t>基本情報</t>
        </is>
      </c>
    </row>
    <row r="4" ht="15" customHeight="1" s="180">
      <c r="A4" s="184" t="inlineStr">
        <is>
          <t>大項目</t>
        </is>
      </c>
      <c r="B4" s="184" t="inlineStr">
        <is>
          <t>項目名</t>
        </is>
      </c>
      <c r="C4" s="185" t="inlineStr">
        <is>
          <t>入力値</t>
        </is>
      </c>
      <c r="D4" s="184" t="inlineStr">
        <is>
          <t>補足</t>
        </is>
      </c>
    </row>
    <row r="5" ht="15" customHeight="1" s="180">
      <c r="A5" s="186" t="inlineStr">
        <is>
          <t>基本情報</t>
        </is>
      </c>
      <c r="B5" s="186" t="inlineStr">
        <is>
          <t>プラン作成日</t>
        </is>
      </c>
      <c r="C5" s="187" t="n"/>
      <c r="D5" s="186" t="n"/>
    </row>
    <row r="6" ht="15" customHeight="1" s="180">
      <c r="A6" s="186" t="n"/>
      <c r="B6" s="186" t="inlineStr">
        <is>
          <t>ご家庭名</t>
        </is>
      </c>
      <c r="C6" s="188" t="n"/>
      <c r="D6" s="186" t="n"/>
    </row>
    <row r="7" ht="15" customHeight="1" s="180">
      <c r="A7" s="186" t="n"/>
      <c r="B7" s="186" t="inlineStr">
        <is>
          <t>担当者名</t>
        </is>
      </c>
      <c r="C7" s="188" t="n"/>
      <c r="D7" s="186" t="n"/>
    </row>
    <row r="8" ht="15" customHeight="1" s="180">
      <c r="A8" s="186" t="n"/>
      <c r="B8" s="186" t="inlineStr">
        <is>
          <t>ご主人様のお名前</t>
        </is>
      </c>
      <c r="C8" s="188" t="n"/>
      <c r="D8" s="186" t="n"/>
    </row>
    <row r="9" ht="15" customHeight="1" s="180">
      <c r="A9" s="186" t="n"/>
      <c r="B9" s="186" t="inlineStr">
        <is>
          <t>奥様のお名前</t>
        </is>
      </c>
      <c r="C9" s="188" t="n"/>
      <c r="D9" s="186" t="n"/>
    </row>
    <row r="10" ht="15" customHeight="1" s="180">
      <c r="A10" s="186" t="n"/>
      <c r="B10" s="186" t="inlineStr">
        <is>
          <t>ご主人様の生年月日</t>
        </is>
      </c>
      <c r="C10" s="187" t="n"/>
      <c r="D10" s="186" t="n"/>
    </row>
    <row r="11" ht="15" customHeight="1" s="180">
      <c r="A11" s="186" t="n"/>
      <c r="B11" s="186" t="inlineStr">
        <is>
          <t>奥様の生年月日</t>
        </is>
      </c>
      <c r="C11" s="187" t="n"/>
      <c r="D11" s="186" t="n"/>
    </row>
    <row r="12" ht="15" customHeight="1" s="180">
      <c r="A12" s="186" t="n"/>
      <c r="B12" s="186" t="inlineStr">
        <is>
          <t>お住まいの都道府県</t>
        </is>
      </c>
      <c r="C12" s="188" t="n"/>
      <c r="D12" s="186" t="n"/>
    </row>
    <row r="13" ht="16.5" customHeight="1" s="180">
      <c r="A13" s="186" t="n"/>
      <c r="B13" s="186" t="inlineStr">
        <is>
          <t>住まい区分</t>
        </is>
      </c>
      <c r="C13" s="188" t="n"/>
      <c r="D13" s="186" t="inlineStr">
        <is>
          <t>持ち家 / 賃貸</t>
        </is>
      </c>
    </row>
    <row r="14" ht="15" customHeight="1" s="180">
      <c r="C14" s="189" t="n"/>
    </row>
    <row r="15" ht="27.75" customHeight="1" s="180">
      <c r="A15" s="183" t="inlineStr">
        <is>
          <t>家族情報</t>
        </is>
      </c>
    </row>
    <row r="16" ht="15" customHeight="1" s="180">
      <c r="A16" s="184" t="inlineStr">
        <is>
          <t>大項目</t>
        </is>
      </c>
      <c r="B16" s="184" t="inlineStr">
        <is>
          <t>項目名</t>
        </is>
      </c>
      <c r="C16" s="185" t="inlineStr">
        <is>
          <t>入力値</t>
        </is>
      </c>
      <c r="D16" s="184" t="inlineStr">
        <is>
          <t>補足</t>
        </is>
      </c>
    </row>
    <row r="17" ht="16.5" customHeight="1" s="180">
      <c r="A17" s="186" t="inlineStr">
        <is>
          <t>家族情報</t>
        </is>
      </c>
      <c r="B17" s="186" t="inlineStr">
        <is>
          <t>お子さま人数</t>
        </is>
      </c>
      <c r="C17" s="188" t="n"/>
      <c r="D17" s="190" t="inlineStr">
        <is>
          <t>0〜3人</t>
        </is>
      </c>
    </row>
    <row r="18" ht="16.5" customHeight="1" s="180">
      <c r="A18" s="186" t="n"/>
      <c r="B18" s="186" t="inlineStr">
        <is>
          <t>お子さま1 お名前</t>
        </is>
      </c>
      <c r="C18" s="188" t="n"/>
      <c r="D18" s="190" t="n"/>
    </row>
    <row r="19" ht="16.5" customHeight="1" s="180">
      <c r="A19" s="186" t="n"/>
      <c r="B19" s="186" t="inlineStr">
        <is>
          <t>お子さま1 生年月日</t>
        </is>
      </c>
      <c r="C19" s="187" t="n"/>
      <c r="D19" s="190" t="n"/>
    </row>
    <row r="20" ht="16.5" customHeight="1" s="180">
      <c r="A20" s="186" t="n"/>
      <c r="B20" s="186" t="inlineStr">
        <is>
          <t>お子さま2 お名前</t>
        </is>
      </c>
      <c r="C20" s="188" t="n"/>
      <c r="D20" s="190" t="n"/>
    </row>
    <row r="21" ht="16.5" customHeight="1" s="180">
      <c r="A21" s="186" t="n"/>
      <c r="B21" s="186" t="inlineStr">
        <is>
          <t>お子さま2 生年月日</t>
        </is>
      </c>
      <c r="C21" s="187" t="n"/>
      <c r="D21" s="190" t="n"/>
    </row>
    <row r="22" ht="16.5" customHeight="1" s="180">
      <c r="A22" s="186" t="n"/>
      <c r="B22" s="186" t="inlineStr">
        <is>
          <t>お子さま3 お名前</t>
        </is>
      </c>
      <c r="C22" s="188" t="n"/>
      <c r="D22" s="190" t="n"/>
    </row>
    <row r="23" ht="16.5" customHeight="1" s="180">
      <c r="B23" s="191" t="inlineStr">
        <is>
          <t>お子さま3 生年月日</t>
        </is>
      </c>
      <c r="C23" s="192" t="n"/>
    </row>
    <row r="24" ht="27.75" customHeight="1" s="180">
      <c r="A24" s="183" t="inlineStr">
        <is>
          <t>収入情報</t>
        </is>
      </c>
    </row>
    <row r="25" ht="15" customHeight="1" s="180">
      <c r="A25" s="184" t="inlineStr">
        <is>
          <t>大項目</t>
        </is>
      </c>
      <c r="B25" s="184" t="inlineStr">
        <is>
          <t>項目名</t>
        </is>
      </c>
      <c r="C25" s="185" t="inlineStr">
        <is>
          <t>入力値</t>
        </is>
      </c>
      <c r="D25" s="184" t="inlineStr">
        <is>
          <t>補足</t>
        </is>
      </c>
    </row>
    <row r="26" ht="15" customHeight="1" s="180">
      <c r="A26" s="186" t="inlineStr">
        <is>
          <t>収入情報</t>
        </is>
      </c>
      <c r="B26" s="186" t="inlineStr">
        <is>
          <t>ご主人様の働き方</t>
        </is>
      </c>
      <c r="C26" s="188" t="n"/>
      <c r="D26" s="190" t="n"/>
    </row>
    <row r="27" ht="15" customHeight="1" s="180">
      <c r="A27" s="186" t="n"/>
      <c r="B27" s="186" t="inlineStr">
        <is>
          <t>奥様の働き方</t>
        </is>
      </c>
      <c r="C27" s="188" t="n"/>
      <c r="D27" s="190" t="n"/>
    </row>
    <row r="28" ht="15" customHeight="1" s="180">
      <c r="A28" s="186" t="n"/>
      <c r="B28" s="186" t="inlineStr">
        <is>
          <t>ご主人様の毎月手取り収入</t>
        </is>
      </c>
      <c r="C28" s="193" t="n"/>
      <c r="D28" s="186" t="inlineStr">
        <is>
          <t>円</t>
        </is>
      </c>
    </row>
    <row r="29" ht="15" customHeight="1" s="180">
      <c r="A29" s="186" t="n"/>
      <c r="B29" s="186" t="inlineStr">
        <is>
          <t>奥様の毎月手取り収入</t>
        </is>
      </c>
      <c r="C29" s="193" t="n"/>
      <c r="D29" s="186" t="inlineStr">
        <is>
          <t>円</t>
        </is>
      </c>
    </row>
    <row r="30" ht="16.5" customHeight="1" s="180">
      <c r="A30" s="186" t="n"/>
      <c r="B30" s="186" t="inlineStr">
        <is>
          <t>賞与の有無</t>
        </is>
      </c>
      <c r="C30" s="188" t="n"/>
      <c r="D30" s="186" t="inlineStr">
        <is>
          <t>あり / なし</t>
        </is>
      </c>
    </row>
    <row r="31" ht="15" customHeight="1" s="180">
      <c r="A31" s="186" t="n"/>
      <c r="B31" s="186" t="inlineStr">
        <is>
          <t>ご主人様の年間賞与手取り</t>
        </is>
      </c>
      <c r="C31" s="193" t="n"/>
      <c r="D31" s="186" t="inlineStr">
        <is>
          <t>円</t>
        </is>
      </c>
    </row>
    <row r="32" ht="15" customHeight="1" s="180">
      <c r="A32" s="186" t="n"/>
      <c r="B32" s="186" t="inlineStr">
        <is>
          <t>奥様の年間賞与手取り</t>
        </is>
      </c>
      <c r="C32" s="193" t="n"/>
      <c r="D32" s="186" t="inlineStr">
        <is>
          <t>円</t>
        </is>
      </c>
    </row>
    <row r="33" ht="15" customHeight="1" s="180">
      <c r="A33" s="186" t="n"/>
      <c r="B33" s="186" t="inlineStr">
        <is>
          <t>児童手当（月額）</t>
        </is>
      </c>
      <c r="C33" s="193" t="n"/>
      <c r="D33" s="186" t="inlineStr">
        <is>
          <t>未入力なら平均額を自動反映</t>
        </is>
      </c>
    </row>
    <row r="34" ht="15" customHeight="1" s="180">
      <c r="A34" s="186" t="n"/>
      <c r="B34" s="186" t="inlineStr">
        <is>
          <t>その他の定期収入（月額）</t>
        </is>
      </c>
      <c r="C34" s="193" t="n"/>
      <c r="D34" s="186" t="inlineStr">
        <is>
          <t>未入力なら0円</t>
        </is>
      </c>
    </row>
    <row r="35" ht="15" customHeight="1" s="180">
      <c r="A35" s="186" t="n"/>
      <c r="B35" s="186" t="inlineStr">
        <is>
          <t>ご主人様の退職金見込額</t>
        </is>
      </c>
      <c r="C35" s="193" t="n"/>
      <c r="D35" s="186" t="inlineStr">
        <is>
          <t>未入力なら0円</t>
        </is>
      </c>
    </row>
    <row r="36" ht="15" customHeight="1" s="180">
      <c r="A36" s="186" t="n"/>
      <c r="B36" s="186" t="inlineStr">
        <is>
          <t>奥様の退職金見込額</t>
        </is>
      </c>
      <c r="C36" s="193" t="n"/>
      <c r="D36" s="186" t="inlineStr">
        <is>
          <t>未入力なら0円</t>
        </is>
      </c>
    </row>
    <row r="37" ht="15" customHeight="1" s="180">
      <c r="C37" s="189" t="n"/>
    </row>
    <row r="38" ht="27.75" customHeight="1" s="180">
      <c r="A38" s="183" t="inlineStr">
        <is>
          <t>支出情報（主要）</t>
        </is>
      </c>
    </row>
    <row r="39" ht="15" customHeight="1" s="180">
      <c r="A39" s="184" t="inlineStr">
        <is>
          <t>大項目</t>
        </is>
      </c>
      <c r="B39" s="184" t="inlineStr">
        <is>
          <t>項目名</t>
        </is>
      </c>
      <c r="C39" s="185" t="inlineStr">
        <is>
          <t>入力値</t>
        </is>
      </c>
      <c r="D39" s="184" t="inlineStr">
        <is>
          <t>補足</t>
        </is>
      </c>
    </row>
    <row r="40" ht="15" customHeight="1" s="180">
      <c r="A40" s="186" t="inlineStr">
        <is>
          <t>支出情報（月額）</t>
        </is>
      </c>
      <c r="B40" s="186" t="inlineStr">
        <is>
          <t>毎月の食費</t>
        </is>
      </c>
      <c r="C40" s="188" t="n"/>
      <c r="D40" s="186" t="inlineStr">
        <is>
          <t>円</t>
        </is>
      </c>
    </row>
    <row r="41" ht="15" customHeight="1" s="180">
      <c r="A41" s="186" t="n"/>
      <c r="B41" s="186" t="inlineStr">
        <is>
          <t>毎月の日用品費</t>
        </is>
      </c>
      <c r="C41" s="188" t="n"/>
      <c r="D41" s="186" t="inlineStr">
        <is>
          <t>円</t>
        </is>
      </c>
    </row>
    <row r="42" ht="15" customHeight="1" s="180">
      <c r="A42" s="186" t="n"/>
      <c r="B42" s="186" t="inlineStr">
        <is>
          <t>毎月の水道・光熱費</t>
        </is>
      </c>
      <c r="C42" s="188" t="n"/>
      <c r="D42" s="186" t="inlineStr">
        <is>
          <t>円</t>
        </is>
      </c>
    </row>
    <row r="43" ht="15" customHeight="1" s="180">
      <c r="A43" s="186" t="n"/>
      <c r="B43" s="186" t="inlineStr">
        <is>
          <t>毎月の通信費</t>
        </is>
      </c>
      <c r="C43" s="188" t="n"/>
      <c r="D43" s="186" t="inlineStr">
        <is>
          <t>円</t>
        </is>
      </c>
    </row>
    <row r="44" ht="15" customHeight="1" s="180">
      <c r="A44" s="186" t="n"/>
      <c r="B44" s="186" t="inlineStr">
        <is>
          <t>毎月の住居費</t>
        </is>
      </c>
      <c r="C44" s="193" t="n"/>
      <c r="D44" s="186" t="inlineStr">
        <is>
          <t>円</t>
        </is>
      </c>
    </row>
    <row r="45" ht="15" customHeight="1" s="180">
      <c r="A45" s="186" t="n"/>
      <c r="B45" s="186" t="inlineStr">
        <is>
          <t>毎月の管理費・修繕積立金</t>
        </is>
      </c>
      <c r="C45" s="193" t="n"/>
      <c r="D45" s="186" t="inlineStr">
        <is>
          <t>円</t>
        </is>
      </c>
    </row>
    <row r="46" ht="16.5" customHeight="1" s="180">
      <c r="A46" s="186" t="n"/>
      <c r="B46" s="186" t="inlineStr">
        <is>
          <t>住宅ローンに団信はついているか</t>
        </is>
      </c>
      <c r="C46" s="188" t="n"/>
      <c r="D46" s="186" t="inlineStr">
        <is>
          <t>あり / なし</t>
        </is>
      </c>
    </row>
    <row r="47" ht="15" customHeight="1" s="180">
      <c r="A47" s="186" t="n"/>
      <c r="B47" s="186" t="inlineStr">
        <is>
          <t>毎月の習い事費</t>
        </is>
      </c>
      <c r="C47" s="193" t="n"/>
      <c r="D47" s="186" t="inlineStr">
        <is>
          <t>円</t>
        </is>
      </c>
    </row>
    <row r="48" ht="15" customHeight="1" s="180">
      <c r="A48" s="186" t="n"/>
      <c r="B48" s="186" t="inlineStr">
        <is>
          <t>毎月の生命保険料</t>
        </is>
      </c>
      <c r="C48" s="193" t="n"/>
      <c r="D48" s="186" t="inlineStr">
        <is>
          <t>円</t>
        </is>
      </c>
    </row>
    <row r="49" ht="15" customHeight="1" s="180">
      <c r="A49" s="186" t="n"/>
      <c r="B49" s="186" t="inlineStr">
        <is>
          <t>毎月の医療保険料</t>
        </is>
      </c>
      <c r="C49" s="193" t="n"/>
      <c r="D49" s="186" t="inlineStr">
        <is>
          <t>円</t>
        </is>
      </c>
    </row>
    <row r="50" ht="15" customHeight="1" s="180">
      <c r="A50" s="186" t="n"/>
      <c r="B50" s="186" t="inlineStr">
        <is>
          <t>毎月の車関連費</t>
        </is>
      </c>
      <c r="C50" s="193" t="n"/>
      <c r="D50" s="186" t="inlineStr">
        <is>
          <t>円</t>
        </is>
      </c>
    </row>
    <row r="51" ht="15" customHeight="1" s="180">
      <c r="A51" s="186" t="n"/>
      <c r="B51" s="186" t="inlineStr">
        <is>
          <t>毎月のその他固定費</t>
        </is>
      </c>
      <c r="C51" s="188" t="n"/>
      <c r="D51" s="186" t="inlineStr">
        <is>
          <t>円</t>
        </is>
      </c>
    </row>
    <row r="52" ht="15" customHeight="1" s="180">
      <c r="C52" s="189" t="n"/>
    </row>
    <row r="53" hidden="1" ht="27.75" customHeight="1" s="180">
      <c r="A53" s="183" t="inlineStr">
        <is>
          <t>特別支出</t>
        </is>
      </c>
    </row>
    <row r="54" hidden="1" ht="15" customHeight="1" s="180">
      <c r="A54" s="184" t="inlineStr">
        <is>
          <t>大項目</t>
        </is>
      </c>
      <c r="B54" s="184" t="inlineStr">
        <is>
          <t>項目名</t>
        </is>
      </c>
      <c r="C54" s="185" t="inlineStr">
        <is>
          <t>入力値</t>
        </is>
      </c>
      <c r="D54" s="184" t="inlineStr">
        <is>
          <t>補足</t>
        </is>
      </c>
    </row>
    <row r="55" hidden="1" ht="15" customHeight="1" s="180">
      <c r="A55" s="186" t="inlineStr">
        <is>
          <t>特別支出（年額）</t>
        </is>
      </c>
      <c r="B55" s="186" t="inlineStr">
        <is>
          <t>年間の旅行費</t>
        </is>
      </c>
      <c r="C55" s="193" t="n"/>
      <c r="D55" s="186" t="inlineStr">
        <is>
          <t>円</t>
        </is>
      </c>
    </row>
    <row r="56" hidden="1" ht="15" customHeight="1" s="180">
      <c r="A56" s="186" t="n"/>
      <c r="B56" s="186" t="inlineStr">
        <is>
          <t>年間の帰省費</t>
        </is>
      </c>
      <c r="C56" s="193" t="n"/>
      <c r="D56" s="186" t="inlineStr">
        <is>
          <t>円</t>
        </is>
      </c>
    </row>
    <row r="57" hidden="1" ht="15" customHeight="1" s="180">
      <c r="A57" s="186" t="n"/>
      <c r="B57" s="186" t="inlineStr">
        <is>
          <t>年間の冠婚葬祭費</t>
        </is>
      </c>
      <c r="C57" s="193" t="n"/>
      <c r="D57" s="186" t="inlineStr">
        <is>
          <t>円</t>
        </is>
      </c>
    </row>
    <row r="58" hidden="1" ht="15" customHeight="1" s="180">
      <c r="A58" s="186" t="n"/>
      <c r="B58" s="186" t="inlineStr">
        <is>
          <t>年間の家電買替費</t>
        </is>
      </c>
      <c r="C58" s="193" t="n"/>
      <c r="D58" s="186" t="inlineStr">
        <is>
          <t>円</t>
        </is>
      </c>
    </row>
    <row r="59" hidden="1" ht="15" customHeight="1" s="180">
      <c r="A59" s="186" t="n"/>
      <c r="B59" s="186" t="inlineStr">
        <is>
          <t>年間の固定資産税</t>
        </is>
      </c>
      <c r="C59" s="193" t="n"/>
      <c r="D59" s="186" t="inlineStr">
        <is>
          <t>円</t>
        </is>
      </c>
    </row>
    <row r="60" ht="15" customHeight="1" s="180">
      <c r="C60" s="189" t="n"/>
    </row>
    <row r="61" ht="27.75" customHeight="1" s="180">
      <c r="A61" s="183" t="inlineStr">
        <is>
          <t>資産形成情報</t>
        </is>
      </c>
    </row>
    <row r="62" ht="15" customHeight="1" s="180">
      <c r="A62" s="184" t="inlineStr">
        <is>
          <t>大項目</t>
        </is>
      </c>
      <c r="B62" s="184" t="inlineStr">
        <is>
          <t>項目名</t>
        </is>
      </c>
      <c r="C62" s="185" t="inlineStr">
        <is>
          <t>入力値</t>
        </is>
      </c>
      <c r="D62" s="184" t="inlineStr">
        <is>
          <t>補足</t>
        </is>
      </c>
    </row>
    <row r="63" ht="16.5" customHeight="1" s="180">
      <c r="A63" s="186" t="inlineStr">
        <is>
          <t>資産形成情報</t>
        </is>
      </c>
      <c r="B63" s="186" t="inlineStr">
        <is>
          <t>毎月のNISA積立額</t>
        </is>
      </c>
      <c r="C63" s="193" t="n"/>
      <c r="D63" s="186" t="inlineStr">
        <is>
          <t>円</t>
        </is>
      </c>
    </row>
    <row r="64" ht="16.5" customHeight="1" s="180">
      <c r="A64" s="186" t="n"/>
      <c r="B64" s="186" t="inlineStr">
        <is>
          <t>毎月のiDeCo積立額</t>
        </is>
      </c>
      <c r="C64" s="193" t="n"/>
      <c r="D64" s="186" t="inlineStr">
        <is>
          <t>円</t>
        </is>
      </c>
    </row>
    <row r="65" ht="15" customHeight="1" s="180">
      <c r="A65" s="186" t="n"/>
      <c r="B65" s="186" t="inlineStr">
        <is>
          <t>毎月の特定口座積立額</t>
        </is>
      </c>
      <c r="C65" s="193" t="n"/>
      <c r="D65" s="186" t="inlineStr">
        <is>
          <t>円</t>
        </is>
      </c>
    </row>
    <row r="66" ht="15" customHeight="1" s="180">
      <c r="A66" s="186" t="n"/>
      <c r="B66" s="186" t="inlineStr">
        <is>
          <t>毎月の変額保険・積立保険額</t>
        </is>
      </c>
      <c r="C66" s="193" t="n"/>
      <c r="D66" s="186" t="inlineStr">
        <is>
          <t>円</t>
        </is>
      </c>
    </row>
    <row r="67" ht="15" customHeight="1" s="180">
      <c r="A67" s="186" t="n"/>
      <c r="B67" s="186" t="inlineStr">
        <is>
          <t>毎月のその他投資積立額</t>
        </is>
      </c>
      <c r="C67" s="193" t="n"/>
      <c r="D67" s="186" t="inlineStr">
        <is>
          <t>円</t>
        </is>
      </c>
    </row>
    <row r="68" ht="15" customHeight="1" s="180">
      <c r="C68" s="189" t="n"/>
    </row>
    <row r="69" ht="27.75" customHeight="1" s="180">
      <c r="A69" s="183" t="inlineStr">
        <is>
          <t>資産・負債情報</t>
        </is>
      </c>
    </row>
    <row r="70" ht="15" customHeight="1" s="180">
      <c r="A70" s="184" t="inlineStr">
        <is>
          <t>大項目</t>
        </is>
      </c>
      <c r="B70" s="184" t="inlineStr">
        <is>
          <t>項目名</t>
        </is>
      </c>
      <c r="C70" s="185" t="inlineStr">
        <is>
          <t>入力値</t>
        </is>
      </c>
      <c r="D70" s="184" t="inlineStr">
        <is>
          <t>補足</t>
        </is>
      </c>
    </row>
    <row r="71" ht="15" customHeight="1" s="180">
      <c r="A71" s="186" t="inlineStr">
        <is>
          <t>資産・負債情報</t>
        </is>
      </c>
      <c r="B71" s="186" t="inlineStr">
        <is>
          <t>今ある預貯金（普通預金）</t>
        </is>
      </c>
      <c r="C71" s="193" t="n"/>
      <c r="D71" s="186" t="inlineStr">
        <is>
          <t>円</t>
        </is>
      </c>
    </row>
    <row r="72" ht="15" customHeight="1" s="180">
      <c r="A72" s="186" t="n"/>
      <c r="B72" s="186" t="inlineStr">
        <is>
          <t>今ある預貯金（定期預金）</t>
        </is>
      </c>
      <c r="C72" s="193" t="n"/>
      <c r="D72" s="186" t="inlineStr">
        <is>
          <t>円</t>
        </is>
      </c>
    </row>
    <row r="73" ht="15" customHeight="1" s="180">
      <c r="A73" s="186" t="n"/>
      <c r="B73" s="186" t="inlineStr">
        <is>
          <t>今ある投資残高（積立投資）</t>
        </is>
      </c>
      <c r="C73" s="193" t="n"/>
      <c r="D73" s="186" t="inlineStr">
        <is>
          <t>円</t>
        </is>
      </c>
    </row>
    <row r="74" ht="16.5" customHeight="1" s="180">
      <c r="A74" s="186" t="n"/>
      <c r="B74" s="186" t="inlineStr">
        <is>
          <t>今ある投資残高（NISA）</t>
        </is>
      </c>
      <c r="C74" s="193" t="n"/>
      <c r="D74" s="186" t="inlineStr">
        <is>
          <t>円</t>
        </is>
      </c>
    </row>
    <row r="75" ht="16.5" customHeight="1" s="180">
      <c r="A75" s="186" t="n"/>
      <c r="B75" s="186" t="inlineStr">
        <is>
          <t>今ある投資残高（iDeCo）</t>
        </is>
      </c>
      <c r="C75" s="193" t="n"/>
      <c r="D75" s="186" t="inlineStr">
        <is>
          <t>円</t>
        </is>
      </c>
    </row>
    <row r="76" ht="15" customHeight="1" s="180">
      <c r="A76" s="186" t="n"/>
      <c r="B76" s="186" t="inlineStr">
        <is>
          <t>今ある返戻金見込（学資保険など）</t>
        </is>
      </c>
      <c r="C76" s="193" t="n"/>
      <c r="D76" s="186" t="inlineStr">
        <is>
          <t>円</t>
        </is>
      </c>
    </row>
    <row r="77" ht="15" customHeight="1" s="180">
      <c r="A77" s="186" t="n"/>
      <c r="B77" s="186" t="inlineStr">
        <is>
          <t>住宅ローン残高（参考）</t>
        </is>
      </c>
      <c r="C77" s="193" t="n"/>
      <c r="D77" s="186" t="inlineStr">
        <is>
          <t>円・参考</t>
        </is>
      </c>
    </row>
    <row r="78" ht="15" customHeight="1" s="180">
      <c r="C78" s="189" t="n"/>
    </row>
    <row r="79" ht="27.75" customHeight="1" s="180">
      <c r="A79" s="183" t="inlineStr">
        <is>
          <t>老後・希望条件</t>
        </is>
      </c>
    </row>
    <row r="80" ht="15" customHeight="1" s="180">
      <c r="A80" s="184" t="inlineStr">
        <is>
          <t>大項目</t>
        </is>
      </c>
      <c r="B80" s="184" t="inlineStr">
        <is>
          <t>項目名</t>
        </is>
      </c>
      <c r="C80" s="185" t="inlineStr">
        <is>
          <t>入力値</t>
        </is>
      </c>
      <c r="D80" s="184" t="inlineStr">
        <is>
          <t>補足</t>
        </is>
      </c>
    </row>
    <row r="81" ht="24" customHeight="1" s="180">
      <c r="A81" s="186" t="n"/>
      <c r="B81" s="194" t="inlineStr">
        <is>
          <t>ご主人様が仕事を終える想定年齢</t>
        </is>
      </c>
      <c r="C81" s="188" t="n"/>
      <c r="D81" s="186" t="inlineStr">
        <is>
          <t>歳</t>
        </is>
      </c>
    </row>
    <row r="82" ht="24" customHeight="1" s="180">
      <c r="A82" s="186" t="n"/>
      <c r="B82" s="194" t="inlineStr">
        <is>
          <t>奥様が仕事を終える想定年齢</t>
        </is>
      </c>
      <c r="C82" s="188" t="n"/>
      <c r="D82" s="186" t="inlineStr">
        <is>
          <t>歳</t>
        </is>
      </c>
    </row>
    <row r="83" ht="24" customHeight="1" s="180">
      <c r="A83" s="186" t="n"/>
      <c r="B83" s="194" t="inlineStr">
        <is>
          <t>老後生活として見始める年齢</t>
        </is>
      </c>
      <c r="C83" s="188" t="n"/>
      <c r="D83" s="186" t="inlineStr">
        <is>
          <t>歳</t>
        </is>
      </c>
    </row>
    <row r="84" ht="24" customHeight="1" s="180">
      <c r="A84" s="186" t="n"/>
      <c r="B84" s="194" t="inlineStr">
        <is>
          <t>老後に希望する生活費（月額）</t>
        </is>
      </c>
      <c r="C84" s="193" t="n"/>
      <c r="D84" s="186" t="inlineStr">
        <is>
          <t>円</t>
        </is>
      </c>
    </row>
    <row r="85" ht="24" customHeight="1" s="180">
      <c r="A85" s="186" t="n"/>
      <c r="B85" s="194" t="inlineStr">
        <is>
          <t>老後に最低限みておきたい生活費（月額）</t>
        </is>
      </c>
      <c r="C85" s="193" t="n"/>
      <c r="D85" s="186" t="inlineStr">
        <is>
          <t>円</t>
        </is>
      </c>
    </row>
    <row r="86" ht="24" customHeight="1" s="180">
      <c r="A86" s="186" t="n"/>
      <c r="B86" s="194" t="inlineStr">
        <is>
          <t>老後のゆとり費も見込むか</t>
        </is>
      </c>
      <c r="C86" s="188" t="n"/>
      <c r="D86" s="186" t="inlineStr">
        <is>
          <t>あり / なし</t>
        </is>
      </c>
    </row>
    <row r="87" ht="24" customHeight="1" s="180">
      <c r="A87" s="186" t="n"/>
      <c r="B87" s="194" t="inlineStr">
        <is>
          <t>将来のリフォーム費を見込むか</t>
        </is>
      </c>
      <c r="C87" s="188" t="n"/>
      <c r="D87" s="186" t="inlineStr">
        <is>
          <t>あり / なし</t>
        </is>
      </c>
    </row>
    <row r="88" ht="24" customHeight="1" s="180">
      <c r="A88" s="186" t="n"/>
      <c r="B88" s="194" t="inlineStr">
        <is>
          <t>将来の車買替費を見込むか</t>
        </is>
      </c>
      <c r="C88" s="188" t="n"/>
      <c r="D88" s="186" t="inlineStr">
        <is>
          <t>あり / なし</t>
        </is>
      </c>
    </row>
    <row r="89" ht="24" customHeight="1" s="180">
      <c r="A89" s="186" t="n"/>
      <c r="B89" s="194" t="inlineStr">
        <is>
          <t>相続・贈与の見込みを反映するか</t>
        </is>
      </c>
      <c r="C89" s="188" t="n"/>
      <c r="D89" s="186" t="inlineStr">
        <is>
          <t>あり / なし</t>
        </is>
      </c>
    </row>
    <row r="90" ht="15" customHeight="1" s="180">
      <c r="C90" s="189" t="n"/>
    </row>
    <row r="91" ht="15" customHeight="1" s="180">
      <c r="C91" s="189" t="n"/>
    </row>
    <row r="92" ht="21.75" customHeight="1" s="180">
      <c r="A92" s="195" t="inlineStr">
        <is>
          <t>加入中の保険一覧</t>
        </is>
      </c>
    </row>
    <row r="93" ht="24" customHeight="1" s="180">
      <c r="A93" s="185" t="inlineStr">
        <is>
          <t>保険の種類</t>
        </is>
      </c>
      <c r="B93" s="185" t="inlineStr">
        <is>
          <t>契約者</t>
        </is>
      </c>
      <c r="C93" s="196" t="n"/>
      <c r="D93" s="185" t="inlineStr">
        <is>
          <t>保険会社</t>
        </is>
      </c>
      <c r="E93" s="185" t="inlineStr">
        <is>
          <t>保険始期</t>
        </is>
      </c>
      <c r="F93" s="185" t="inlineStr">
        <is>
          <t>保険終期</t>
        </is>
      </c>
      <c r="G93" s="185" t="inlineStr">
        <is>
          <t>受取人</t>
        </is>
      </c>
      <c r="H93" s="191" t="inlineStr">
        <is>
          <t>月額保険料</t>
        </is>
      </c>
    </row>
    <row r="94" ht="15" customHeight="1" s="180">
      <c r="A94" s="197" t="n"/>
      <c r="B94" s="197" t="n"/>
      <c r="C94" s="188" t="n"/>
      <c r="D94" s="197" t="n"/>
      <c r="E94" s="198" t="n"/>
      <c r="F94" s="198" t="n"/>
      <c r="G94" s="197" t="n"/>
      <c r="H94" s="199" t="n"/>
    </row>
    <row r="95" ht="15" customHeight="1" s="180">
      <c r="A95" s="197" t="n"/>
      <c r="B95" s="197" t="n"/>
      <c r="C95" s="188" t="n"/>
      <c r="D95" s="197" t="n"/>
      <c r="E95" s="198" t="n"/>
      <c r="F95" s="197" t="n"/>
      <c r="G95" s="197" t="n"/>
      <c r="H95" s="199" t="n"/>
    </row>
    <row r="96" ht="16.5" customHeight="1" s="180">
      <c r="A96" s="197" t="n"/>
      <c r="B96" s="197" t="n"/>
      <c r="C96" s="188" t="n"/>
      <c r="D96" s="200" t="n"/>
      <c r="E96" s="198" t="n"/>
      <c r="F96" s="198" t="n"/>
      <c r="G96" s="197" t="n"/>
      <c r="H96" s="199" t="n"/>
    </row>
    <row r="97" ht="16.5" customHeight="1" s="180">
      <c r="A97" s="197" t="n"/>
      <c r="B97" s="197" t="n"/>
      <c r="C97" s="188" t="n"/>
      <c r="D97" s="200" t="n"/>
      <c r="E97" s="198" t="n"/>
      <c r="F97" s="197" t="n"/>
      <c r="G97" s="197" t="n"/>
      <c r="H97" s="199" t="n"/>
    </row>
    <row r="98" ht="15" customHeight="1" s="180">
      <c r="A98" s="200" t="n"/>
      <c r="B98" s="200" t="n"/>
      <c r="C98" s="201" t="n"/>
      <c r="D98" s="200" t="n"/>
      <c r="E98" s="198" t="n"/>
      <c r="F98" s="200" t="n"/>
      <c r="G98" s="200" t="n"/>
      <c r="H98" s="200" t="n"/>
    </row>
    <row r="99" ht="15" customHeight="1" s="180">
      <c r="A99" s="200" t="n"/>
      <c r="B99" s="200" t="n"/>
      <c r="C99" s="201" t="n"/>
      <c r="D99" s="200" t="n"/>
      <c r="E99" s="198" t="n"/>
      <c r="F99" s="200" t="n"/>
      <c r="G99" s="200" t="n"/>
      <c r="H99" s="200" t="n"/>
    </row>
    <row r="100" ht="15" customHeight="1" s="180">
      <c r="A100" s="200" t="n"/>
      <c r="B100" s="200" t="n"/>
      <c r="C100" s="201" t="n"/>
      <c r="D100" s="200" t="n"/>
      <c r="E100" s="198" t="n"/>
      <c r="F100" s="200" t="n"/>
      <c r="G100" s="200" t="n"/>
      <c r="H100" s="200" t="n"/>
    </row>
    <row r="101" ht="15" customHeight="1" s="180">
      <c r="A101" s="200" t="n"/>
      <c r="B101" s="200" t="n"/>
      <c r="C101" s="201" t="n"/>
      <c r="D101" s="200" t="n"/>
      <c r="E101" s="198" t="n"/>
      <c r="F101" s="200" t="n"/>
      <c r="G101" s="200" t="n"/>
      <c r="H101" s="200" t="n"/>
    </row>
    <row r="102" ht="15" customHeight="1" s="180">
      <c r="C102" s="189" t="n"/>
    </row>
    <row r="103" ht="15" customHeight="1" s="180">
      <c r="C103" s="189" t="n"/>
    </row>
    <row r="104" ht="21.75" customHeight="1" s="180">
      <c r="A104" s="195" t="inlineStr">
        <is>
          <t>お子さま別の進路予定</t>
        </is>
      </c>
    </row>
    <row r="105" ht="24" customHeight="1" s="180">
      <c r="A105" s="185" t="inlineStr">
        <is>
          <t>お子さま名</t>
        </is>
      </c>
      <c r="B105" s="185" t="inlineStr">
        <is>
          <t>幼稚園・保育園</t>
        </is>
      </c>
      <c r="C105" s="185" t="inlineStr">
        <is>
          <t>小学校</t>
        </is>
      </c>
      <c r="D105" s="185" t="inlineStr">
        <is>
          <t>中学校</t>
        </is>
      </c>
      <c r="E105" s="185" t="inlineStr">
        <is>
          <t>高校</t>
        </is>
      </c>
      <c r="F105" s="185" t="inlineStr">
        <is>
          <t>大学</t>
        </is>
      </c>
      <c r="G105" s="185" t="inlineStr">
        <is>
          <t>大学の通学形態</t>
        </is>
      </c>
    </row>
    <row r="106" ht="15" customHeight="1" s="180">
      <c r="A106" s="197" t="n"/>
      <c r="B106" s="197" t="n"/>
      <c r="C106" s="188" t="n"/>
      <c r="D106" s="197" t="n"/>
      <c r="E106" s="197" t="n"/>
      <c r="F106" s="197" t="n"/>
      <c r="G106" s="197" t="n"/>
    </row>
    <row r="107" ht="15" customHeight="1" s="180">
      <c r="A107" s="197" t="n"/>
      <c r="B107" s="197" t="n"/>
      <c r="C107" s="188" t="n"/>
      <c r="D107" s="197" t="n"/>
      <c r="E107" s="197" t="n"/>
      <c r="F107" s="197" t="n"/>
      <c r="G107" s="197" t="n"/>
    </row>
    <row r="108" ht="15" customHeight="1" s="180">
      <c r="A108" s="200" t="n"/>
      <c r="B108" s="200" t="n"/>
      <c r="C108" s="201" t="n"/>
      <c r="D108" s="200" t="n"/>
      <c r="E108" s="200" t="n"/>
      <c r="F108" s="200" t="n"/>
      <c r="G108" s="200" t="n"/>
    </row>
    <row r="109" ht="15" customHeight="1" s="180">
      <c r="A109" s="202" t="n"/>
      <c r="B109" s="202" t="n"/>
      <c r="C109" s="203" t="n"/>
      <c r="D109" s="202" t="n"/>
      <c r="E109" s="202" t="n"/>
      <c r="F109" s="202" t="n"/>
      <c r="G109" s="202" t="n"/>
    </row>
  </sheetData>
  <mergeCells count="12">
    <mergeCell ref="A92:L92"/>
    <mergeCell ref="A2:L2"/>
    <mergeCell ref="A104:L104"/>
    <mergeCell ref="A79:D79"/>
    <mergeCell ref="A61:D61"/>
    <mergeCell ref="A53:D53"/>
    <mergeCell ref="A69:D69"/>
    <mergeCell ref="A3:D3"/>
    <mergeCell ref="A1:L1"/>
    <mergeCell ref="A38:D38"/>
    <mergeCell ref="A15:D15"/>
    <mergeCell ref="A24:D24"/>
  </mergeCells>
  <dataValidations count="6">
    <dataValidation sqref="C13" showDropDown="0" showInputMessage="0" showErrorMessage="0" allowBlank="1" type="list" errorStyle="stop" operator="between">
      <formula1>"持ち家,賃貸,社宅"</formula1>
      <formula2>0</formula2>
    </dataValidation>
    <dataValidation sqref="C30 C46 C86:C89" showDropDown="0" showInputMessage="0" showErrorMessage="0" allowBlank="1" type="list" errorStyle="stop" operator="between">
      <formula1>"あり,なし"</formula1>
      <formula2>0</formula2>
    </dataValidation>
    <dataValidation sqref="C26:C27" showDropDown="0" showInputMessage="0" showErrorMessage="0" allowBlank="1" type="list" errorStyle="stop" operator="between">
      <formula1>"会社員,公務員,自営業,パート,専業主婦(夫),その他"</formula1>
      <formula2>0</formula2>
    </dataValidation>
    <dataValidation sqref="B106:E108" showDropDown="0" showInputMessage="0" showErrorMessage="0" allowBlank="1" error="選択肢から選んでください" prompt="プルダウンから選択してください" type="list" errorStyle="stop" operator="between">
      <formula1>"公立,私立"</formula1>
      <formula2>0</formula2>
    </dataValidation>
    <dataValidation sqref="F106:F108" showDropDown="0" showInputMessage="0" showErrorMessage="0" allowBlank="1" error="選択肢から選んでください" prompt="プルダウンから選択してください" type="list" errorStyle="stop" operator="between">
      <formula1>"国公立,私立文系,私立理系"</formula1>
      <formula2>0</formula2>
    </dataValidation>
    <dataValidation sqref="G106:G108" showDropDown="0" showInputMessage="0" showErrorMessage="0" allowBlank="1" error="選択肢から選んでください" prompt="プルダウンから選択してください" type="list" errorStyle="stop" operator="between">
      <formula1>"自宅,下宿"</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8" customWidth="1" style="179" min="1" max="1"/>
    <col width="28" customWidth="1" style="179" min="2" max="2"/>
    <col width="16" customWidth="1" style="179" min="3" max="3"/>
    <col width="18" customWidth="1" style="179" min="4" max="4"/>
    <col width="13" customWidth="1" style="179" min="5" max="29"/>
  </cols>
  <sheetData>
    <row r="1" ht="21.75" customHeight="1" s="180">
      <c r="A1" s="204" t="inlineStr">
        <is>
          <t>前提条件</t>
        </is>
      </c>
    </row>
    <row r="3" ht="19.5" customHeight="1" s="180">
      <c r="A3" s="205" t="inlineStr">
        <is>
          <t>昇給率</t>
        </is>
      </c>
    </row>
    <row r="4" ht="15" customHeight="1" s="180">
      <c r="A4" s="206" t="inlineStr">
        <is>
          <t>大項目</t>
        </is>
      </c>
      <c r="B4" s="206" t="inlineStr">
        <is>
          <t>項目名</t>
        </is>
      </c>
      <c r="C4" s="206" t="inlineStr">
        <is>
          <t>入力値</t>
        </is>
      </c>
      <c r="D4" s="206" t="inlineStr">
        <is>
          <t>補足</t>
        </is>
      </c>
    </row>
    <row r="5" ht="15" customHeight="1" s="180">
      <c r="A5" s="186" t="inlineStr">
        <is>
          <t>昇給率</t>
        </is>
      </c>
      <c r="B5" s="186" t="inlineStr">
        <is>
          <t>ご主人様収入上昇率</t>
        </is>
      </c>
      <c r="C5" s="207" t="n">
        <v>0</v>
      </c>
      <c r="D5" s="208" t="n"/>
    </row>
    <row r="6" ht="15" customHeight="1" s="180">
      <c r="A6" s="186" t="inlineStr">
        <is>
          <t>昇給率</t>
        </is>
      </c>
      <c r="B6" s="186" t="inlineStr">
        <is>
          <t>奥様収入上昇率</t>
        </is>
      </c>
      <c r="C6" s="207" t="n">
        <v>0</v>
      </c>
      <c r="D6" s="208" t="n"/>
    </row>
    <row r="7" ht="15" customHeight="1" s="180">
      <c r="A7" s="186" t="inlineStr">
        <is>
          <t>昇給率</t>
        </is>
      </c>
      <c r="B7" s="186" t="inlineStr">
        <is>
          <t>賞与上昇率</t>
        </is>
      </c>
      <c r="C7" s="207" t="n">
        <v>0</v>
      </c>
      <c r="D7" s="208" t="n"/>
    </row>
    <row r="8" ht="15" customHeight="1" s="180">
      <c r="A8" s="186" t="inlineStr">
        <is>
          <t>昇給率</t>
        </is>
      </c>
      <c r="B8" s="186" t="inlineStr">
        <is>
          <t>児童手当終了年齢</t>
        </is>
      </c>
      <c r="C8" s="209" t="n">
        <v>18</v>
      </c>
      <c r="D8" s="208" t="n"/>
    </row>
    <row r="10" ht="19.5" customHeight="1" s="180">
      <c r="A10" s="205" t="inlineStr">
        <is>
          <t>物価上昇率</t>
        </is>
      </c>
    </row>
    <row r="11" ht="15" customHeight="1" s="180">
      <c r="A11" s="206" t="inlineStr">
        <is>
          <t>大項目</t>
        </is>
      </c>
      <c r="B11" s="206" t="inlineStr">
        <is>
          <t>項目名</t>
        </is>
      </c>
      <c r="C11" s="206" t="inlineStr">
        <is>
          <t>入力値</t>
        </is>
      </c>
      <c r="D11" s="206" t="inlineStr">
        <is>
          <t>補足</t>
        </is>
      </c>
    </row>
    <row r="12" ht="15" customHeight="1" s="180">
      <c r="A12" s="186" t="inlineStr">
        <is>
          <t>物価上昇率</t>
        </is>
      </c>
      <c r="B12" s="186" t="inlineStr">
        <is>
          <t>基本生活費上昇率</t>
        </is>
      </c>
      <c r="C12" s="207" t="n">
        <v>0</v>
      </c>
      <c r="D12" s="208" t="n"/>
    </row>
    <row r="13" ht="15" customHeight="1" s="180">
      <c r="A13" s="186" t="inlineStr">
        <is>
          <t>物価上昇率</t>
        </is>
      </c>
      <c r="B13" s="186" t="inlineStr">
        <is>
          <t>教育費上昇率</t>
        </is>
      </c>
      <c r="C13" s="207" t="n">
        <v>0</v>
      </c>
      <c r="D13" s="208" t="n"/>
    </row>
    <row r="14" ht="15" customHeight="1" s="180">
      <c r="A14" s="186" t="inlineStr">
        <is>
          <t>物価上昇率</t>
        </is>
      </c>
      <c r="B14" s="186" t="inlineStr">
        <is>
          <t>老後生活費上昇率</t>
        </is>
      </c>
      <c r="C14" s="207" t="n">
        <v>0</v>
      </c>
      <c r="D14" s="208" t="n"/>
    </row>
    <row r="15" ht="15" customHeight="1" s="180">
      <c r="A15" s="186" t="inlineStr">
        <is>
          <t>物価上昇率</t>
        </is>
      </c>
      <c r="B15" s="186" t="inlineStr">
        <is>
          <t>住宅費上昇率</t>
        </is>
      </c>
      <c r="C15" s="207" t="n">
        <v>0</v>
      </c>
      <c r="D15" s="208" t="n"/>
    </row>
    <row r="16" ht="15" customHeight="1" s="180">
      <c r="A16" s="186" t="inlineStr">
        <is>
          <t>物価上昇率</t>
        </is>
      </c>
      <c r="B16" s="186" t="inlineStr">
        <is>
          <t>老後インフレ率①</t>
        </is>
      </c>
      <c r="C16" s="207" t="n">
        <v>0</v>
      </c>
      <c r="D16" s="208" t="n"/>
    </row>
    <row r="17" ht="15" customHeight="1" s="180">
      <c r="A17" s="186" t="inlineStr">
        <is>
          <t>物価上昇率</t>
        </is>
      </c>
      <c r="B17" s="186" t="inlineStr">
        <is>
          <t>老後インフレ率②</t>
        </is>
      </c>
      <c r="C17" s="207" t="n">
        <v>0</v>
      </c>
      <c r="D17" s="208" t="n"/>
    </row>
    <row r="19" ht="19.5" customHeight="1" s="180">
      <c r="A19" s="205" t="inlineStr">
        <is>
          <t>教育費単価マスタ</t>
        </is>
      </c>
    </row>
    <row r="20" ht="15" customHeight="1" s="180">
      <c r="A20" s="206" t="inlineStr">
        <is>
          <t>大項目</t>
        </is>
      </c>
      <c r="B20" s="206" t="inlineStr">
        <is>
          <t>項目名</t>
        </is>
      </c>
      <c r="C20" s="206" t="inlineStr">
        <is>
          <t>入力値</t>
        </is>
      </c>
      <c r="D20" s="206" t="inlineStr">
        <is>
          <t>補足</t>
        </is>
      </c>
    </row>
    <row r="21" ht="15" customHeight="1" s="180">
      <c r="A21" s="186" t="inlineStr">
        <is>
          <t>教育費単価マスタ</t>
        </is>
      </c>
      <c r="B21" s="186" t="inlineStr">
        <is>
          <t>幼稚園公立年額</t>
        </is>
      </c>
      <c r="C21" s="210" t="n">
        <v>300000</v>
      </c>
      <c r="D21" s="208" t="n"/>
    </row>
    <row r="22" ht="15" customHeight="1" s="180">
      <c r="A22" s="186" t="inlineStr">
        <is>
          <t>教育費単価マスタ</t>
        </is>
      </c>
      <c r="B22" s="186" t="inlineStr">
        <is>
          <t>幼稚園私立年額</t>
        </is>
      </c>
      <c r="C22" s="210" t="n">
        <v>700000</v>
      </c>
      <c r="D22" s="208" t="n"/>
    </row>
    <row r="23" ht="15" customHeight="1" s="180">
      <c r="A23" s="186" t="inlineStr">
        <is>
          <t>教育費単価マスタ</t>
        </is>
      </c>
      <c r="B23" s="186" t="inlineStr">
        <is>
          <t>小学校公立年額</t>
        </is>
      </c>
      <c r="C23" s="210" t="n">
        <v>400000</v>
      </c>
      <c r="D23" s="208" t="n"/>
    </row>
    <row r="24" ht="15" customHeight="1" s="180">
      <c r="A24" s="186" t="inlineStr">
        <is>
          <t>教育費単価マスタ</t>
        </is>
      </c>
      <c r="B24" s="186" t="inlineStr">
        <is>
          <t>小学校私立年額</t>
        </is>
      </c>
      <c r="C24" s="210" t="n">
        <v>1800000</v>
      </c>
      <c r="D24" s="208" t="n"/>
    </row>
    <row r="25" ht="15" customHeight="1" s="180">
      <c r="A25" s="186" t="inlineStr">
        <is>
          <t>教育費単価マスタ</t>
        </is>
      </c>
      <c r="B25" s="186" t="inlineStr">
        <is>
          <t>中学校公立年額</t>
        </is>
      </c>
      <c r="C25" s="210" t="n">
        <v>550000</v>
      </c>
      <c r="D25" s="208" t="n"/>
    </row>
    <row r="26" ht="15" customHeight="1" s="180">
      <c r="A26" s="186" t="inlineStr">
        <is>
          <t>教育費単価マスタ</t>
        </is>
      </c>
      <c r="B26" s="186" t="inlineStr">
        <is>
          <t>中学校私立年額</t>
        </is>
      </c>
      <c r="C26" s="210" t="n">
        <v>1600000</v>
      </c>
      <c r="D26" s="208" t="n"/>
    </row>
    <row r="27" ht="15" customHeight="1" s="180">
      <c r="A27" s="186" t="inlineStr">
        <is>
          <t>教育費単価マスタ</t>
        </is>
      </c>
      <c r="B27" s="186" t="inlineStr">
        <is>
          <t>高校公立年額</t>
        </is>
      </c>
      <c r="C27" s="210" t="n">
        <v>600000</v>
      </c>
      <c r="D27" s="208" t="n"/>
    </row>
    <row r="28" ht="15" customHeight="1" s="180">
      <c r="A28" s="186" t="inlineStr">
        <is>
          <t>教育費単価マスタ</t>
        </is>
      </c>
      <c r="B28" s="186" t="inlineStr">
        <is>
          <t>高校私立年額</t>
        </is>
      </c>
      <c r="C28" s="210" t="n">
        <v>1200000</v>
      </c>
      <c r="D28" s="208" t="n"/>
    </row>
    <row r="29" ht="15" customHeight="1" s="180">
      <c r="A29" s="186" t="inlineStr">
        <is>
          <t>教育費単価マスタ</t>
        </is>
      </c>
      <c r="B29" s="186" t="inlineStr">
        <is>
          <t>大学国公立年額</t>
        </is>
      </c>
      <c r="C29" s="210" t="n">
        <v>1400000</v>
      </c>
      <c r="D29" s="208" t="n"/>
    </row>
    <row r="30" ht="15" customHeight="1" s="180">
      <c r="A30" s="186" t="inlineStr">
        <is>
          <t>教育費単価マスタ</t>
        </is>
      </c>
      <c r="B30" s="186" t="inlineStr">
        <is>
          <t>大学私立文系年額</t>
        </is>
      </c>
      <c r="C30" s="210" t="n">
        <v>2200000</v>
      </c>
      <c r="D30" s="208" t="n"/>
    </row>
    <row r="31" ht="15" customHeight="1" s="180">
      <c r="A31" s="186" t="inlineStr">
        <is>
          <t>教育費単価マスタ</t>
        </is>
      </c>
      <c r="B31" s="186" t="inlineStr">
        <is>
          <t>大学私立理系年額</t>
        </is>
      </c>
      <c r="C31" s="210" t="n">
        <v>2800000</v>
      </c>
      <c r="D31" s="208" t="n"/>
    </row>
    <row r="32" ht="15" customHeight="1" s="180">
      <c r="A32" s="186" t="inlineStr">
        <is>
          <t>教育費単価マスタ</t>
        </is>
      </c>
      <c r="B32" s="186" t="inlineStr">
        <is>
          <t>下宿加算年額</t>
        </is>
      </c>
      <c r="C32" s="210" t="n">
        <v>1200000</v>
      </c>
      <c r="D32" s="208" t="n"/>
    </row>
    <row r="33" ht="15" customHeight="1" s="180">
      <c r="A33" s="186" t="inlineStr">
        <is>
          <t>教育費単価マスタ</t>
        </is>
      </c>
      <c r="B33" s="186" t="inlineStr">
        <is>
          <t>大学入学一時金</t>
        </is>
      </c>
      <c r="C33" s="210" t="n">
        <v>300000</v>
      </c>
      <c r="D33" s="208" t="n"/>
    </row>
    <row r="35" ht="19.5" customHeight="1" s="180">
      <c r="A35" s="205" t="inlineStr">
        <is>
          <t>年金前提</t>
        </is>
      </c>
    </row>
    <row r="36" ht="15" customHeight="1" s="180">
      <c r="A36" s="206" t="inlineStr">
        <is>
          <t>大項目</t>
        </is>
      </c>
      <c r="B36" s="206" t="inlineStr">
        <is>
          <t>項目名</t>
        </is>
      </c>
      <c r="C36" s="206" t="inlineStr">
        <is>
          <t>入力値</t>
        </is>
      </c>
      <c r="D36" s="206" t="inlineStr">
        <is>
          <t>補足</t>
        </is>
      </c>
    </row>
    <row r="37" ht="15" customHeight="1" s="180">
      <c r="A37" s="186" t="inlineStr">
        <is>
          <t>年金前提</t>
        </is>
      </c>
      <c r="B37" s="186" t="inlineStr">
        <is>
          <t>ご主人様年金開始年齢</t>
        </is>
      </c>
      <c r="C37" s="209" t="n">
        <v>65</v>
      </c>
      <c r="D37" s="208" t="n"/>
    </row>
    <row r="38" ht="15" customHeight="1" s="180">
      <c r="A38" s="186" t="inlineStr">
        <is>
          <t>年金前提</t>
        </is>
      </c>
      <c r="B38" s="186" t="inlineStr">
        <is>
          <t>奥様年金開始年齢</t>
        </is>
      </c>
      <c r="C38" s="209" t="n">
        <v>65</v>
      </c>
      <c r="D38" s="208" t="n"/>
    </row>
    <row r="39" ht="15" customHeight="1" s="180">
      <c r="A39" s="186" t="inlineStr">
        <is>
          <t>年金前提</t>
        </is>
      </c>
      <c r="B39" s="186" t="inlineStr">
        <is>
          <t>ご主人様年金月額</t>
        </is>
      </c>
      <c r="C39" s="210">
        <f>IFERROR(ROUND(((IF(入力データ!$C$29="",0,入力データ!$C$29)*12)+IF(入力データ!$C$31="あり",IF(入力データ!$C$32="",0,入力データ!$C$32),0))*0.2/12,0),0)</f>
        <v/>
      </c>
      <c r="D39" s="211" t="inlineStr">
        <is>
          <t>現在年収の20%を月額換算</t>
        </is>
      </c>
    </row>
    <row r="40" ht="15" customHeight="1" s="180">
      <c r="A40" s="186" t="inlineStr">
        <is>
          <t>年金前提</t>
        </is>
      </c>
      <c r="B40" s="186" t="inlineStr">
        <is>
          <t>奥様年金月額</t>
        </is>
      </c>
      <c r="C40" s="210">
        <f>IFERROR(ROUND(((IF(入力データ!$C$30="",0,入力データ!$C$30)*12)+IF(入力データ!$C$31="あり",IF(入力データ!$C$33="",0,入力データ!$C$33),0))*0.2/12,0),0)</f>
        <v/>
      </c>
      <c r="D40" s="211" t="inlineStr">
        <is>
          <t>現在年収の20%を月額換算</t>
        </is>
      </c>
    </row>
    <row r="42" ht="19.5" customHeight="1" s="180">
      <c r="A42" s="205" t="inlineStr">
        <is>
          <t>住宅前提</t>
        </is>
      </c>
    </row>
    <row r="43" ht="15" customHeight="1" s="180">
      <c r="A43" s="206" t="inlineStr">
        <is>
          <t>大項目</t>
        </is>
      </c>
      <c r="B43" s="206" t="inlineStr">
        <is>
          <t>項目名</t>
        </is>
      </c>
      <c r="C43" s="206" t="inlineStr">
        <is>
          <t>入力値</t>
        </is>
      </c>
      <c r="D43" s="206" t="inlineStr">
        <is>
          <t>補足</t>
        </is>
      </c>
    </row>
    <row r="44" ht="15" customHeight="1" s="180">
      <c r="A44" s="186" t="inlineStr">
        <is>
          <t>住宅前提</t>
        </is>
      </c>
      <c r="B44" s="186" t="inlineStr">
        <is>
          <t>住宅ローン完済年齢</t>
        </is>
      </c>
      <c r="C44" s="209" t="n">
        <v>60</v>
      </c>
      <c r="D44" s="208" t="n"/>
    </row>
    <row r="45" ht="15" customHeight="1" s="180">
      <c r="A45" s="186" t="inlineStr">
        <is>
          <t>住宅前提</t>
        </is>
      </c>
      <c r="B45" s="186" t="inlineStr">
        <is>
          <t>住宅ローン金利</t>
        </is>
      </c>
      <c r="C45" s="207" t="n">
        <v>0.012</v>
      </c>
      <c r="D45" s="208" t="n"/>
    </row>
    <row r="46" ht="15" customHeight="1" s="180">
      <c r="A46" s="186" t="inlineStr">
        <is>
          <t>住宅前提</t>
        </is>
      </c>
      <c r="B46" s="186" t="inlineStr">
        <is>
          <t>繰上返済予定有無</t>
        </is>
      </c>
      <c r="C46" s="212" t="inlineStr">
        <is>
          <t>なし</t>
        </is>
      </c>
      <c r="D46" s="208" t="n"/>
    </row>
    <row r="47" ht="15" customHeight="1" s="180">
      <c r="A47" s="186" t="inlineStr">
        <is>
          <t>住宅前提</t>
        </is>
      </c>
      <c r="B47" s="186" t="inlineStr">
        <is>
          <t>持ち家修繕費年額</t>
        </is>
      </c>
      <c r="C47" s="210" t="n">
        <v>150000</v>
      </c>
      <c r="D47" s="208" t="n"/>
    </row>
    <row r="48" ht="15" customHeight="1" s="180">
      <c r="A48" s="186" t="inlineStr">
        <is>
          <t>住宅前提</t>
        </is>
      </c>
      <c r="B48" s="186" t="inlineStr">
        <is>
          <t>賃貸更新料年額</t>
        </is>
      </c>
      <c r="C48" s="210" t="n">
        <v>0</v>
      </c>
      <c r="D48" s="208" t="n"/>
    </row>
    <row r="50" ht="19.5" customHeight="1" s="180">
      <c r="A50" s="205" t="inlineStr">
        <is>
          <t>リスク判定前提</t>
        </is>
      </c>
    </row>
    <row r="51" ht="15" customHeight="1" s="180">
      <c r="A51" s="206" t="inlineStr">
        <is>
          <t>大項目</t>
        </is>
      </c>
      <c r="B51" s="206" t="inlineStr">
        <is>
          <t>項目名</t>
        </is>
      </c>
      <c r="C51" s="206" t="inlineStr">
        <is>
          <t>入力値</t>
        </is>
      </c>
      <c r="D51" s="206" t="inlineStr">
        <is>
          <t>補足</t>
        </is>
      </c>
    </row>
    <row r="52" ht="15" customHeight="1" s="180">
      <c r="A52" s="186" t="inlineStr">
        <is>
          <t>リスク判定前提</t>
        </is>
      </c>
      <c r="B52" s="186" t="inlineStr">
        <is>
          <t>死亡時生活費圧縮率</t>
        </is>
      </c>
      <c r="C52" s="207" t="n">
        <v>0.8</v>
      </c>
      <c r="D52" s="208" t="n"/>
    </row>
    <row r="53" ht="15" customHeight="1" s="180">
      <c r="A53" s="186" t="inlineStr">
        <is>
          <t>リスク判定前提</t>
        </is>
      </c>
      <c r="B53" s="186" t="inlineStr">
        <is>
          <t>就業不能収入減少率ご主人様</t>
        </is>
      </c>
      <c r="C53" s="207" t="n">
        <v>1</v>
      </c>
      <c r="D53" s="208" t="n"/>
    </row>
    <row r="54" ht="15" customHeight="1" s="180">
      <c r="A54" s="186" t="inlineStr">
        <is>
          <t>リスク判定前提</t>
        </is>
      </c>
      <c r="B54" s="186" t="inlineStr">
        <is>
          <t>就業不能収入減少率奥様</t>
        </is>
      </c>
      <c r="C54" s="207" t="n">
        <v>1</v>
      </c>
      <c r="D54" s="208" t="n"/>
    </row>
    <row r="55" ht="15" customHeight="1" s="180">
      <c r="A55" s="186" t="inlineStr">
        <is>
          <t>リスク判定前提</t>
        </is>
      </c>
      <c r="B55" s="186" t="inlineStr">
        <is>
          <t>就業不能公的保障月額ご主人様</t>
        </is>
      </c>
      <c r="C55" s="207" t="n">
        <v>0</v>
      </c>
      <c r="D55" s="208" t="n"/>
    </row>
    <row r="56" ht="15" customHeight="1" s="180">
      <c r="A56" s="186" t="inlineStr">
        <is>
          <t>リスク判定前提</t>
        </is>
      </c>
      <c r="B56" s="186" t="inlineStr">
        <is>
          <t>就業不能公的保障月額奥様</t>
        </is>
      </c>
      <c r="C56" s="207" t="n">
        <v>0</v>
      </c>
      <c r="D56" s="208" t="n"/>
    </row>
    <row r="57" ht="15" customHeight="1" s="180">
      <c r="A57" s="186" t="inlineStr">
        <is>
          <t>リスク判定前提</t>
        </is>
      </c>
      <c r="B57" s="186" t="inlineStr">
        <is>
          <t>遺族年金月額（ご主人様死亡時）</t>
        </is>
      </c>
      <c r="C57" s="207" t="n">
        <v>120000</v>
      </c>
      <c r="D57" s="208" t="n"/>
    </row>
    <row r="58" ht="15" customHeight="1" s="180">
      <c r="A58" s="186" t="inlineStr">
        <is>
          <t>リスク判定前提</t>
        </is>
      </c>
      <c r="B58" s="186" t="inlineStr">
        <is>
          <t>遺族年金月額（奥様死亡時）</t>
        </is>
      </c>
      <c r="C58" s="207" t="n">
        <v>0</v>
      </c>
      <c r="D58" s="208" t="n"/>
    </row>
    <row r="59" ht="15" customHeight="1" s="180">
      <c r="A59" s="186" t="inlineStr">
        <is>
          <t>リスク判定前提</t>
        </is>
      </c>
      <c r="B59" s="186" t="inlineStr">
        <is>
          <t>老後試算終了年齢</t>
        </is>
      </c>
      <c r="C59" s="209" t="n">
        <v>100</v>
      </c>
      <c r="D59" s="208" t="n"/>
    </row>
    <row r="60" ht="15" customHeight="1" s="180">
      <c r="A60" s="186" t="inlineStr">
        <is>
          <t>リスク判定前提</t>
        </is>
      </c>
      <c r="B60" s="186" t="inlineStr">
        <is>
          <t>投資想定利回り</t>
        </is>
      </c>
      <c r="C60" s="207" t="n">
        <v>0</v>
      </c>
      <c r="D60" s="208" t="n"/>
    </row>
    <row r="61" ht="15" customHeight="1" s="180">
      <c r="A61" s="186" t="inlineStr">
        <is>
          <t>リスク判定前提</t>
        </is>
      </c>
      <c r="B61" s="186" t="inlineStr">
        <is>
          <t>解約返戻金増加率</t>
        </is>
      </c>
      <c r="C61" s="207" t="n">
        <v>0</v>
      </c>
      <c r="D61" s="208" t="n"/>
    </row>
  </sheetData>
  <mergeCells count="7">
    <mergeCell ref="A1:D1"/>
    <mergeCell ref="A35:D35"/>
    <mergeCell ref="A50:D50"/>
    <mergeCell ref="A3:D3"/>
    <mergeCell ref="A19:D19"/>
    <mergeCell ref="A10:D10"/>
    <mergeCell ref="A42:D4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W45"/>
  <sheetViews>
    <sheetView showFormulas="0" showGridLines="1" showRowColHeaders="1" showZeros="1" rightToLeft="0" tabSelected="0" showOutlineSymbols="1" defaultGridColor="1" view="normal" topLeftCell="A1" colorId="64" zoomScale="90" zoomScaleNormal="9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customHeight="1" zeroHeight="0" outlineLevelRow="0"/>
  <cols>
    <col width="24" customWidth="1" style="179" min="1" max="1"/>
    <col width="11" customWidth="1" style="179" min="2" max="101"/>
  </cols>
  <sheetData>
    <row r="1" ht="21" customHeight="1" s="180">
      <c r="A1" s="213" t="inlineStr">
        <is>
          <t>CF表（万円表示）</t>
        </is>
      </c>
    </row>
    <row r="2" ht="15" customHeight="1" s="180">
      <c r="A2" s="214" t="inlineStr">
        <is>
          <t>試算終了年</t>
        </is>
      </c>
      <c r="B2" s="179">
        <f>CF表!B2</f>
        <v/>
      </c>
    </row>
    <row r="3" ht="15" customHeight="1" s="180">
      <c r="A3" s="215" t="inlineStr">
        <is>
          <t>年</t>
        </is>
      </c>
      <c r="B3" s="216">
        <f>IF(CF表!B3="","",CF表!B3)</f>
        <v/>
      </c>
      <c r="C3" s="216">
        <f>IF(CF表!C3="","",CF表!C3)</f>
        <v/>
      </c>
      <c r="D3" s="216">
        <f>IF(CF表!D3="","",CF表!D3)</f>
        <v/>
      </c>
      <c r="E3" s="216">
        <f>IF(CF表!E3="","",CF表!E3)</f>
        <v/>
      </c>
      <c r="F3" s="216">
        <f>IF(CF表!F3="","",CF表!F3)</f>
        <v/>
      </c>
      <c r="G3" s="216">
        <f>IF(CF表!G3="","",CF表!G3)</f>
        <v/>
      </c>
      <c r="H3" s="216">
        <f>IF(CF表!H3="","",CF表!H3)</f>
        <v/>
      </c>
      <c r="I3" s="216">
        <f>IF(CF表!I3="","",CF表!I3)</f>
        <v/>
      </c>
      <c r="J3" s="216">
        <f>IF(CF表!J3="","",CF表!J3)</f>
        <v/>
      </c>
      <c r="K3" s="216">
        <f>IF(CF表!K3="","",CF表!K3)</f>
        <v/>
      </c>
      <c r="L3" s="216">
        <f>IF(CF表!L3="","",CF表!L3)</f>
        <v/>
      </c>
      <c r="M3" s="216">
        <f>IF(CF表!M3="","",CF表!M3)</f>
        <v/>
      </c>
      <c r="N3" s="216">
        <f>IF(CF表!N3="","",CF表!N3)</f>
        <v/>
      </c>
      <c r="O3" s="216">
        <f>IF(CF表!O3="","",CF表!O3)</f>
        <v/>
      </c>
      <c r="P3" s="216">
        <f>IF(CF表!P3="","",CF表!P3)</f>
        <v/>
      </c>
      <c r="Q3" s="216">
        <f>IF(CF表!Q3="","",CF表!Q3)</f>
        <v/>
      </c>
      <c r="R3" s="216">
        <f>IF(CF表!R3="","",CF表!R3)</f>
        <v/>
      </c>
      <c r="S3" s="216">
        <f>IF(CF表!S3="","",CF表!S3)</f>
        <v/>
      </c>
      <c r="T3" s="216">
        <f>IF(CF表!T3="","",CF表!T3)</f>
        <v/>
      </c>
      <c r="U3" s="216">
        <f>IF(CF表!U3="","",CF表!U3)</f>
        <v/>
      </c>
      <c r="V3" s="216">
        <f>IF(CF表!V3="","",CF表!V3)</f>
        <v/>
      </c>
      <c r="W3" s="216">
        <f>IF(CF表!W3="","",CF表!W3)</f>
        <v/>
      </c>
      <c r="X3" s="216">
        <f>IF(CF表!X3="","",CF表!X3)</f>
        <v/>
      </c>
      <c r="Y3" s="216">
        <f>IF(CF表!Y3="","",CF表!Y3)</f>
        <v/>
      </c>
      <c r="Z3" s="216">
        <f>IF(CF表!Z3="","",CF表!Z3)</f>
        <v/>
      </c>
      <c r="AA3" s="216">
        <f>IF(CF表!AA3="","",CF表!AA3)</f>
        <v/>
      </c>
      <c r="AB3" s="216">
        <f>IF(CF表!AB3="","",CF表!AB3)</f>
        <v/>
      </c>
      <c r="AC3" s="216">
        <f>IF(CF表!AC3="","",CF表!AC3)</f>
        <v/>
      </c>
      <c r="AD3" s="216">
        <f>IF(CF表!AD3="","",CF表!AD3)</f>
        <v/>
      </c>
      <c r="AE3" s="216">
        <f>IF(CF表!AE3="","",CF表!AE3)</f>
        <v/>
      </c>
      <c r="AF3" s="216">
        <f>IF(CF表!AF3="","",CF表!AF3)</f>
        <v/>
      </c>
      <c r="AG3" s="216">
        <f>IF(CF表!AG3="","",CF表!AG3)</f>
        <v/>
      </c>
      <c r="AH3" s="216">
        <f>IF(CF表!AH3="","",CF表!AH3)</f>
        <v/>
      </c>
      <c r="AI3" s="216">
        <f>IF(CF表!AI3="","",CF表!AI3)</f>
        <v/>
      </c>
      <c r="AJ3" s="216">
        <f>IF(CF表!AJ3="","",CF表!AJ3)</f>
        <v/>
      </c>
      <c r="AK3" s="216">
        <f>IF(CF表!AK3="","",CF表!AK3)</f>
        <v/>
      </c>
      <c r="AL3" s="216">
        <f>IF(CF表!AL3="","",CF表!AL3)</f>
        <v/>
      </c>
      <c r="AM3" s="216">
        <f>IF(CF表!AM3="","",CF表!AM3)</f>
        <v/>
      </c>
      <c r="AN3" s="216">
        <f>IF(CF表!AN3="","",CF表!AN3)</f>
        <v/>
      </c>
      <c r="AO3" s="216">
        <f>IF(CF表!AO3="","",CF表!AO3)</f>
        <v/>
      </c>
      <c r="AP3" s="216">
        <f>IF(CF表!AP3="","",CF表!AP3)</f>
        <v/>
      </c>
      <c r="AQ3" s="216">
        <f>IF(CF表!AQ3="","",CF表!AQ3)</f>
        <v/>
      </c>
      <c r="AR3" s="216">
        <f>IF(CF表!AR3="","",CF表!AR3)</f>
        <v/>
      </c>
      <c r="AS3" s="216">
        <f>IF(CF表!AS3="","",CF表!AS3)</f>
        <v/>
      </c>
      <c r="AT3" s="216">
        <f>IF(CF表!AT3="","",CF表!AT3)</f>
        <v/>
      </c>
      <c r="AU3" s="216">
        <f>IF(CF表!AU3="","",CF表!AU3)</f>
        <v/>
      </c>
      <c r="AV3" s="216">
        <f>IF(CF表!AV3="","",CF表!AV3)</f>
        <v/>
      </c>
      <c r="AW3" s="216">
        <f>IF(CF表!AW3="","",CF表!AW3)</f>
        <v/>
      </c>
      <c r="AX3" s="216">
        <f>IF(CF表!AX3="","",CF表!AX3)</f>
        <v/>
      </c>
      <c r="AY3" s="216">
        <f>IF(CF表!AY3="","",CF表!AY3)</f>
        <v/>
      </c>
      <c r="AZ3" s="216">
        <f>IF(CF表!AZ3="","",CF表!AZ3)</f>
        <v/>
      </c>
      <c r="BA3" s="216">
        <f>IF(CF表!BA3="","",CF表!BA3)</f>
        <v/>
      </c>
      <c r="BB3" s="216">
        <f>IF(CF表!BB3="","",CF表!BB3)</f>
        <v/>
      </c>
      <c r="BC3" s="216">
        <f>IF(CF表!BC3="","",CF表!BC3)</f>
        <v/>
      </c>
      <c r="BD3" s="216">
        <f>IF(CF表!BD3="","",CF表!BD3)</f>
        <v/>
      </c>
      <c r="BE3" s="216">
        <f>IF(CF表!BE3="","",CF表!BE3)</f>
        <v/>
      </c>
      <c r="BF3" s="216">
        <f>IF(CF表!BF3="","",CF表!BF3)</f>
        <v/>
      </c>
      <c r="BG3" s="216">
        <f>IF(CF表!BG3="","",CF表!BG3)</f>
        <v/>
      </c>
      <c r="BH3" s="216">
        <f>IF(CF表!BH3="","",CF表!BH3)</f>
        <v/>
      </c>
      <c r="BI3" s="216">
        <f>IF(CF表!BI3="","",CF表!BI3)</f>
        <v/>
      </c>
      <c r="BJ3" s="216">
        <f>IF(CF表!BJ3="","",CF表!BJ3)</f>
        <v/>
      </c>
      <c r="BK3" s="216">
        <f>IF(CF表!BK3="","",CF表!BK3)</f>
        <v/>
      </c>
      <c r="BL3" s="216">
        <f>IF(CF表!BL3="","",CF表!BL3)</f>
        <v/>
      </c>
      <c r="BM3" s="216">
        <f>IF(CF表!BM3="","",CF表!BM3)</f>
        <v/>
      </c>
      <c r="BN3" s="216">
        <f>IF(CF表!BN3="","",CF表!BN3)</f>
        <v/>
      </c>
      <c r="BO3" s="216">
        <f>IF(CF表!BO3="","",CF表!BO3)</f>
        <v/>
      </c>
      <c r="BP3" s="216">
        <f>IF(CF表!BP3="","",CF表!BP3)</f>
        <v/>
      </c>
      <c r="BQ3" s="216">
        <f>IF(CF表!BQ3="","",CF表!BQ3)</f>
        <v/>
      </c>
      <c r="BR3" s="216">
        <f>IF(CF表!BR3="","",CF表!BR3)</f>
        <v/>
      </c>
      <c r="BS3" s="216">
        <f>IF(CF表!BS3="","",CF表!BS3)</f>
        <v/>
      </c>
      <c r="BT3" s="216">
        <f>IF(CF表!BT3="","",CF表!BT3)</f>
        <v/>
      </c>
      <c r="BU3" s="216">
        <f>IF(CF表!BU3="","",CF表!BU3)</f>
        <v/>
      </c>
      <c r="BV3" s="216">
        <f>IF(CF表!BV3="","",CF表!BV3)</f>
        <v/>
      </c>
      <c r="BW3" s="216">
        <f>IF(CF表!BW3="","",CF表!BW3)</f>
        <v/>
      </c>
      <c r="BX3" s="216">
        <f>IF(CF表!BX3="","",CF表!BX3)</f>
        <v/>
      </c>
      <c r="BY3" s="216">
        <f>IF(CF表!BY3="","",CF表!BY3)</f>
        <v/>
      </c>
      <c r="BZ3" s="216">
        <f>IF(CF表!BZ3="","",CF表!BZ3)</f>
        <v/>
      </c>
      <c r="CA3" s="216">
        <f>IF(CF表!CA3="","",CF表!CA3)</f>
        <v/>
      </c>
      <c r="CB3" s="216">
        <f>IF(CF表!CB3="","",CF表!CB3)</f>
        <v/>
      </c>
      <c r="CC3" s="216">
        <f>IF(CF表!CC3="","",CF表!CC3)</f>
        <v/>
      </c>
      <c r="CD3" s="216">
        <f>IF(CF表!CD3="","",CF表!CD3)</f>
        <v/>
      </c>
      <c r="CE3" s="216">
        <f>IF(CF表!CE3="","",CF表!CE3)</f>
        <v/>
      </c>
      <c r="CF3" s="216">
        <f>IF(CF表!CF3="","",CF表!CF3)</f>
        <v/>
      </c>
      <c r="CG3" s="216">
        <f>IF(CF表!CG3="","",CF表!CG3)</f>
        <v/>
      </c>
      <c r="CH3" s="216">
        <f>IF(CF表!CH3="","",CF表!CH3)</f>
        <v/>
      </c>
      <c r="CI3" s="216">
        <f>IF(CF表!CI3="","",CF表!CI3)</f>
        <v/>
      </c>
      <c r="CJ3" s="216">
        <f>IF(CF表!CJ3="","",CF表!CJ3)</f>
        <v/>
      </c>
      <c r="CK3" s="216">
        <f>IF(CF表!CK3="","",CF表!CK3)</f>
        <v/>
      </c>
      <c r="CL3" s="216">
        <f>IF(CF表!CL3="","",CF表!CL3)</f>
        <v/>
      </c>
      <c r="CM3" s="216">
        <f>IF(CF表!CM3="","",CF表!CM3)</f>
        <v/>
      </c>
      <c r="CN3" s="216">
        <f>IF(CF表!CN3="","",CF表!CN3)</f>
        <v/>
      </c>
      <c r="CO3" s="216">
        <f>IF(CF表!CO3="","",CF表!CO3)</f>
        <v/>
      </c>
      <c r="CP3" s="216">
        <f>IF(CF表!CP3="","",CF表!CP3)</f>
        <v/>
      </c>
      <c r="CQ3" s="216">
        <f>IF(CF表!CQ3="","",CF表!CQ3)</f>
        <v/>
      </c>
      <c r="CR3" s="216">
        <f>IF(CF表!CR3="","",CF表!CR3)</f>
        <v/>
      </c>
      <c r="CS3" s="216">
        <f>IF(CF表!CS3="","",CF表!CS3)</f>
        <v/>
      </c>
      <c r="CT3" s="216">
        <f>IF(CF表!CT3="","",CF表!CT3)</f>
        <v/>
      </c>
      <c r="CU3" s="216">
        <f>IF(CF表!CU3="","",CF表!CU3)</f>
        <v/>
      </c>
      <c r="CV3" s="216">
        <f>IF(CF表!CV3="","",CF表!CV3)</f>
        <v/>
      </c>
      <c r="CW3" s="216">
        <f>IF(CF表!CW3="","",CF表!CW3)</f>
        <v/>
      </c>
    </row>
    <row r="4" ht="15" customHeight="1" s="180">
      <c r="A4" s="217" t="inlineStr">
        <is>
          <t>ご主人様年齢</t>
        </is>
      </c>
      <c r="B4" s="218">
        <f>IF(CF表!B4="","",CF表!B4)</f>
        <v/>
      </c>
      <c r="C4" s="218">
        <f>IF(CF表!C4="","",CF表!C4)</f>
        <v/>
      </c>
      <c r="D4" s="218">
        <f>IF(CF表!D4="","",CF表!D4)</f>
        <v/>
      </c>
      <c r="E4" s="218">
        <f>IF(CF表!E4="","",CF表!E4)</f>
        <v/>
      </c>
      <c r="F4" s="218">
        <f>IF(CF表!F4="","",CF表!F4)</f>
        <v/>
      </c>
      <c r="G4" s="218">
        <f>IF(CF表!G4="","",CF表!G4)</f>
        <v/>
      </c>
      <c r="H4" s="218">
        <f>IF(CF表!H4="","",CF表!H4)</f>
        <v/>
      </c>
      <c r="I4" s="218">
        <f>IF(CF表!I4="","",CF表!I4)</f>
        <v/>
      </c>
      <c r="J4" s="218">
        <f>IF(CF表!J4="","",CF表!J4)</f>
        <v/>
      </c>
      <c r="K4" s="218">
        <f>IF(CF表!K4="","",CF表!K4)</f>
        <v/>
      </c>
      <c r="L4" s="218">
        <f>IF(CF表!L4="","",CF表!L4)</f>
        <v/>
      </c>
      <c r="M4" s="218">
        <f>IF(CF表!M4="","",CF表!M4)</f>
        <v/>
      </c>
      <c r="N4" s="218">
        <f>IF(CF表!N4="","",CF表!N4)</f>
        <v/>
      </c>
      <c r="O4" s="218">
        <f>IF(CF表!O4="","",CF表!O4)</f>
        <v/>
      </c>
      <c r="P4" s="218">
        <f>IF(CF表!P4="","",CF表!P4)</f>
        <v/>
      </c>
      <c r="Q4" s="218">
        <f>IF(CF表!Q4="","",CF表!Q4)</f>
        <v/>
      </c>
      <c r="R4" s="218">
        <f>IF(CF表!R4="","",CF表!R4)</f>
        <v/>
      </c>
      <c r="S4" s="218">
        <f>IF(CF表!S4="","",CF表!S4)</f>
        <v/>
      </c>
      <c r="T4" s="218">
        <f>IF(CF表!T4="","",CF表!T4)</f>
        <v/>
      </c>
      <c r="U4" s="218">
        <f>IF(CF表!U4="","",CF表!U4)</f>
        <v/>
      </c>
      <c r="V4" s="218">
        <f>IF(CF表!V4="","",CF表!V4)</f>
        <v/>
      </c>
      <c r="W4" s="218">
        <f>IF(CF表!W4="","",CF表!W4)</f>
        <v/>
      </c>
      <c r="X4" s="218">
        <f>IF(CF表!X4="","",CF表!X4)</f>
        <v/>
      </c>
      <c r="Y4" s="218">
        <f>IF(CF表!Y4="","",CF表!Y4)</f>
        <v/>
      </c>
      <c r="Z4" s="218">
        <f>IF(CF表!Z4="","",CF表!Z4)</f>
        <v/>
      </c>
      <c r="AA4" s="218">
        <f>IF(CF表!AA4="","",CF表!AA4)</f>
        <v/>
      </c>
      <c r="AB4" s="218">
        <f>IF(CF表!AB4="","",CF表!AB4)</f>
        <v/>
      </c>
      <c r="AC4" s="218">
        <f>IF(CF表!AC4="","",CF表!AC4)</f>
        <v/>
      </c>
      <c r="AD4" s="218">
        <f>IF(CF表!AD4="","",CF表!AD4)</f>
        <v/>
      </c>
      <c r="AE4" s="218">
        <f>IF(CF表!AE4="","",CF表!AE4)</f>
        <v/>
      </c>
      <c r="AF4" s="218">
        <f>IF(CF表!AF4="","",CF表!AF4)</f>
        <v/>
      </c>
      <c r="AG4" s="218">
        <f>IF(CF表!AG4="","",CF表!AG4)</f>
        <v/>
      </c>
      <c r="AH4" s="218">
        <f>IF(CF表!AH4="","",CF表!AH4)</f>
        <v/>
      </c>
      <c r="AI4" s="218">
        <f>IF(CF表!AI4="","",CF表!AI4)</f>
        <v/>
      </c>
      <c r="AJ4" s="218">
        <f>IF(CF表!AJ4="","",CF表!AJ4)</f>
        <v/>
      </c>
      <c r="AK4" s="218">
        <f>IF(CF表!AK4="","",CF表!AK4)</f>
        <v/>
      </c>
      <c r="AL4" s="218">
        <f>IF(CF表!AL4="","",CF表!AL4)</f>
        <v/>
      </c>
      <c r="AM4" s="218">
        <f>IF(CF表!AM4="","",CF表!AM4)</f>
        <v/>
      </c>
      <c r="AN4" s="218">
        <f>IF(CF表!AN4="","",CF表!AN4)</f>
        <v/>
      </c>
      <c r="AO4" s="218">
        <f>IF(CF表!AO4="","",CF表!AO4)</f>
        <v/>
      </c>
      <c r="AP4" s="218">
        <f>IF(CF表!AP4="","",CF表!AP4)</f>
        <v/>
      </c>
      <c r="AQ4" s="218">
        <f>IF(CF表!AQ4="","",CF表!AQ4)</f>
        <v/>
      </c>
      <c r="AR4" s="218">
        <f>IF(CF表!AR4="","",CF表!AR4)</f>
        <v/>
      </c>
      <c r="AS4" s="218">
        <f>IF(CF表!AS4="","",CF表!AS4)</f>
        <v/>
      </c>
      <c r="AT4" s="218">
        <f>IF(CF表!AT4="","",CF表!AT4)</f>
        <v/>
      </c>
      <c r="AU4" s="218">
        <f>IF(CF表!AU4="","",CF表!AU4)</f>
        <v/>
      </c>
      <c r="AV4" s="218">
        <f>IF(CF表!AV4="","",CF表!AV4)</f>
        <v/>
      </c>
      <c r="AW4" s="218">
        <f>IF(CF表!AW4="","",CF表!AW4)</f>
        <v/>
      </c>
      <c r="AX4" s="218">
        <f>IF(CF表!AX4="","",CF表!AX4)</f>
        <v/>
      </c>
      <c r="AY4" s="218">
        <f>IF(CF表!AY4="","",CF表!AY4)</f>
        <v/>
      </c>
      <c r="AZ4" s="218">
        <f>IF(CF表!AZ4="","",CF表!AZ4)</f>
        <v/>
      </c>
      <c r="BA4" s="218">
        <f>IF(CF表!BA4="","",CF表!BA4)</f>
        <v/>
      </c>
      <c r="BB4" s="218">
        <f>IF(CF表!BB4="","",CF表!BB4)</f>
        <v/>
      </c>
      <c r="BC4" s="218">
        <f>IF(CF表!BC4="","",CF表!BC4)</f>
        <v/>
      </c>
      <c r="BD4" s="218">
        <f>IF(CF表!BD4="","",CF表!BD4)</f>
        <v/>
      </c>
      <c r="BE4" s="218">
        <f>IF(CF表!BE4="","",CF表!BE4)</f>
        <v/>
      </c>
      <c r="BF4" s="218">
        <f>IF(CF表!BF4="","",CF表!BF4)</f>
        <v/>
      </c>
      <c r="BG4" s="218">
        <f>IF(CF表!BG4="","",CF表!BG4)</f>
        <v/>
      </c>
      <c r="BH4" s="218">
        <f>IF(CF表!BH4="","",CF表!BH4)</f>
        <v/>
      </c>
      <c r="BI4" s="218">
        <f>IF(CF表!BI4="","",CF表!BI4)</f>
        <v/>
      </c>
      <c r="BJ4" s="218">
        <f>IF(CF表!BJ4="","",CF表!BJ4)</f>
        <v/>
      </c>
      <c r="BK4" s="218">
        <f>IF(CF表!BK4="","",CF表!BK4)</f>
        <v/>
      </c>
      <c r="BL4" s="218">
        <f>IF(CF表!BL4="","",CF表!BL4)</f>
        <v/>
      </c>
      <c r="BM4" s="218">
        <f>IF(CF表!BM4="","",CF表!BM4)</f>
        <v/>
      </c>
      <c r="BN4" s="218">
        <f>IF(CF表!BN4="","",CF表!BN4)</f>
        <v/>
      </c>
      <c r="BO4" s="218">
        <f>IF(CF表!BO4="","",CF表!BO4)</f>
        <v/>
      </c>
      <c r="BP4" s="218">
        <f>IF(CF表!BP4="","",CF表!BP4)</f>
        <v/>
      </c>
      <c r="BQ4" s="218">
        <f>IF(CF表!BQ4="","",CF表!BQ4)</f>
        <v/>
      </c>
      <c r="BR4" s="218">
        <f>IF(CF表!BR4="","",CF表!BR4)</f>
        <v/>
      </c>
      <c r="BS4" s="218">
        <f>IF(CF表!BS4="","",CF表!BS4)</f>
        <v/>
      </c>
      <c r="BT4" s="218">
        <f>IF(CF表!BT4="","",CF表!BT4)</f>
        <v/>
      </c>
      <c r="BU4" s="218">
        <f>IF(CF表!BU4="","",CF表!BU4)</f>
        <v/>
      </c>
      <c r="BV4" s="218">
        <f>IF(CF表!BV4="","",CF表!BV4)</f>
        <v/>
      </c>
      <c r="BW4" s="218">
        <f>IF(CF表!BW4="","",CF表!BW4)</f>
        <v/>
      </c>
      <c r="BX4" s="218">
        <f>IF(CF表!BX4="","",CF表!BX4)</f>
        <v/>
      </c>
      <c r="BY4" s="218">
        <f>IF(CF表!BY4="","",CF表!BY4)</f>
        <v/>
      </c>
      <c r="BZ4" s="218">
        <f>IF(CF表!BZ4="","",CF表!BZ4)</f>
        <v/>
      </c>
      <c r="CA4" s="218">
        <f>IF(CF表!CA4="","",CF表!CA4)</f>
        <v/>
      </c>
      <c r="CB4" s="218">
        <f>IF(CF表!CB4="","",CF表!CB4)</f>
        <v/>
      </c>
      <c r="CC4" s="218">
        <f>IF(CF表!CC4="","",CF表!CC4)</f>
        <v/>
      </c>
      <c r="CD4" s="218">
        <f>IF(CF表!CD4="","",CF表!CD4)</f>
        <v/>
      </c>
      <c r="CE4" s="218">
        <f>IF(CF表!CE4="","",CF表!CE4)</f>
        <v/>
      </c>
      <c r="CF4" s="218">
        <f>IF(CF表!CF4="","",CF表!CF4)</f>
        <v/>
      </c>
      <c r="CG4" s="218">
        <f>IF(CF表!CG4="","",CF表!CG4)</f>
        <v/>
      </c>
      <c r="CH4" s="218">
        <f>IF(CF表!CH4="","",CF表!CH4)</f>
        <v/>
      </c>
      <c r="CI4" s="218">
        <f>IF(CF表!CI4="","",CF表!CI4)</f>
        <v/>
      </c>
      <c r="CJ4" s="218">
        <f>IF(CF表!CJ4="","",CF表!CJ4)</f>
        <v/>
      </c>
      <c r="CK4" s="218">
        <f>IF(CF表!CK4="","",CF表!CK4)</f>
        <v/>
      </c>
      <c r="CL4" s="218">
        <f>IF(CF表!CL4="","",CF表!CL4)</f>
        <v/>
      </c>
      <c r="CM4" s="218">
        <f>IF(CF表!CM4="","",CF表!CM4)</f>
        <v/>
      </c>
      <c r="CN4" s="218">
        <f>IF(CF表!CN4="","",CF表!CN4)</f>
        <v/>
      </c>
      <c r="CO4" s="218">
        <f>IF(CF表!CO4="","",CF表!CO4)</f>
        <v/>
      </c>
      <c r="CP4" s="218">
        <f>IF(CF表!CP4="","",CF表!CP4)</f>
        <v/>
      </c>
      <c r="CQ4" s="218">
        <f>IF(CF表!CQ4="","",CF表!CQ4)</f>
        <v/>
      </c>
      <c r="CR4" s="218">
        <f>IF(CF表!CR4="","",CF表!CR4)</f>
        <v/>
      </c>
      <c r="CS4" s="218">
        <f>IF(CF表!CS4="","",CF表!CS4)</f>
        <v/>
      </c>
      <c r="CT4" s="218">
        <f>IF(CF表!CT4="","",CF表!CT4)</f>
        <v/>
      </c>
      <c r="CU4" s="218">
        <f>IF(CF表!CU4="","",CF表!CU4)</f>
        <v/>
      </c>
      <c r="CV4" s="218">
        <f>IF(CF表!CV4="","",CF表!CV4)</f>
        <v/>
      </c>
      <c r="CW4" s="218">
        <f>IF(CF表!CW4="","",CF表!CW4)</f>
        <v/>
      </c>
    </row>
    <row r="5" ht="15" customHeight="1" s="180">
      <c r="A5" s="217" t="inlineStr">
        <is>
          <t>奥様年齢</t>
        </is>
      </c>
      <c r="B5" s="218">
        <f>IF(CF表!B5="","",CF表!B5)</f>
        <v/>
      </c>
      <c r="C5" s="218">
        <f>IF(CF表!C5="","",CF表!C5)</f>
        <v/>
      </c>
      <c r="D5" s="218">
        <f>IF(CF表!D5="","",CF表!D5)</f>
        <v/>
      </c>
      <c r="E5" s="218">
        <f>IF(CF表!E5="","",CF表!E5)</f>
        <v/>
      </c>
      <c r="F5" s="218">
        <f>IF(CF表!F5="","",CF表!F5)</f>
        <v/>
      </c>
      <c r="G5" s="218">
        <f>IF(CF表!G5="","",CF表!G5)</f>
        <v/>
      </c>
      <c r="H5" s="218">
        <f>IF(CF表!H5="","",CF表!H5)</f>
        <v/>
      </c>
      <c r="I5" s="218">
        <f>IF(CF表!I5="","",CF表!I5)</f>
        <v/>
      </c>
      <c r="J5" s="218">
        <f>IF(CF表!J5="","",CF表!J5)</f>
        <v/>
      </c>
      <c r="K5" s="218">
        <f>IF(CF表!K5="","",CF表!K5)</f>
        <v/>
      </c>
      <c r="L5" s="218">
        <f>IF(CF表!L5="","",CF表!L5)</f>
        <v/>
      </c>
      <c r="M5" s="218">
        <f>IF(CF表!M5="","",CF表!M5)</f>
        <v/>
      </c>
      <c r="N5" s="218">
        <f>IF(CF表!N5="","",CF表!N5)</f>
        <v/>
      </c>
      <c r="O5" s="218">
        <f>IF(CF表!O5="","",CF表!O5)</f>
        <v/>
      </c>
      <c r="P5" s="218">
        <f>IF(CF表!P5="","",CF表!P5)</f>
        <v/>
      </c>
      <c r="Q5" s="218">
        <f>IF(CF表!Q5="","",CF表!Q5)</f>
        <v/>
      </c>
      <c r="R5" s="218">
        <f>IF(CF表!R5="","",CF表!R5)</f>
        <v/>
      </c>
      <c r="S5" s="218">
        <f>IF(CF表!S5="","",CF表!S5)</f>
        <v/>
      </c>
      <c r="T5" s="218">
        <f>IF(CF表!T5="","",CF表!T5)</f>
        <v/>
      </c>
      <c r="U5" s="218">
        <f>IF(CF表!U5="","",CF表!U5)</f>
        <v/>
      </c>
      <c r="V5" s="218">
        <f>IF(CF表!V5="","",CF表!V5)</f>
        <v/>
      </c>
      <c r="W5" s="218">
        <f>IF(CF表!W5="","",CF表!W5)</f>
        <v/>
      </c>
      <c r="X5" s="218">
        <f>IF(CF表!X5="","",CF表!X5)</f>
        <v/>
      </c>
      <c r="Y5" s="218">
        <f>IF(CF表!Y5="","",CF表!Y5)</f>
        <v/>
      </c>
      <c r="Z5" s="218">
        <f>IF(CF表!Z5="","",CF表!Z5)</f>
        <v/>
      </c>
      <c r="AA5" s="218">
        <f>IF(CF表!AA5="","",CF表!AA5)</f>
        <v/>
      </c>
      <c r="AB5" s="218">
        <f>IF(CF表!AB5="","",CF表!AB5)</f>
        <v/>
      </c>
      <c r="AC5" s="218">
        <f>IF(CF表!AC5="","",CF表!AC5)</f>
        <v/>
      </c>
      <c r="AD5" s="218">
        <f>IF(CF表!AD5="","",CF表!AD5)</f>
        <v/>
      </c>
      <c r="AE5" s="218">
        <f>IF(CF表!AE5="","",CF表!AE5)</f>
        <v/>
      </c>
      <c r="AF5" s="218">
        <f>IF(CF表!AF5="","",CF表!AF5)</f>
        <v/>
      </c>
      <c r="AG5" s="218">
        <f>IF(CF表!AG5="","",CF表!AG5)</f>
        <v/>
      </c>
      <c r="AH5" s="218">
        <f>IF(CF表!AH5="","",CF表!AH5)</f>
        <v/>
      </c>
      <c r="AI5" s="218">
        <f>IF(CF表!AI5="","",CF表!AI5)</f>
        <v/>
      </c>
      <c r="AJ5" s="218">
        <f>IF(CF表!AJ5="","",CF表!AJ5)</f>
        <v/>
      </c>
      <c r="AK5" s="218">
        <f>IF(CF表!AK5="","",CF表!AK5)</f>
        <v/>
      </c>
      <c r="AL5" s="218">
        <f>IF(CF表!AL5="","",CF表!AL5)</f>
        <v/>
      </c>
      <c r="AM5" s="218">
        <f>IF(CF表!AM5="","",CF表!AM5)</f>
        <v/>
      </c>
      <c r="AN5" s="218">
        <f>IF(CF表!AN5="","",CF表!AN5)</f>
        <v/>
      </c>
      <c r="AO5" s="218">
        <f>IF(CF表!AO5="","",CF表!AO5)</f>
        <v/>
      </c>
      <c r="AP5" s="218">
        <f>IF(CF表!AP5="","",CF表!AP5)</f>
        <v/>
      </c>
      <c r="AQ5" s="218">
        <f>IF(CF表!AQ5="","",CF表!AQ5)</f>
        <v/>
      </c>
      <c r="AR5" s="218">
        <f>IF(CF表!AR5="","",CF表!AR5)</f>
        <v/>
      </c>
      <c r="AS5" s="218">
        <f>IF(CF表!AS5="","",CF表!AS5)</f>
        <v/>
      </c>
      <c r="AT5" s="218">
        <f>IF(CF表!AT5="","",CF表!AT5)</f>
        <v/>
      </c>
      <c r="AU5" s="218">
        <f>IF(CF表!AU5="","",CF表!AU5)</f>
        <v/>
      </c>
      <c r="AV5" s="218">
        <f>IF(CF表!AV5="","",CF表!AV5)</f>
        <v/>
      </c>
      <c r="AW5" s="218">
        <f>IF(CF表!AW5="","",CF表!AW5)</f>
        <v/>
      </c>
      <c r="AX5" s="218">
        <f>IF(CF表!AX5="","",CF表!AX5)</f>
        <v/>
      </c>
      <c r="AY5" s="218">
        <f>IF(CF表!AY5="","",CF表!AY5)</f>
        <v/>
      </c>
      <c r="AZ5" s="218">
        <f>IF(CF表!AZ5="","",CF表!AZ5)</f>
        <v/>
      </c>
      <c r="BA5" s="218">
        <f>IF(CF表!BA5="","",CF表!BA5)</f>
        <v/>
      </c>
      <c r="BB5" s="218">
        <f>IF(CF表!BB5="","",CF表!BB5)</f>
        <v/>
      </c>
      <c r="BC5" s="218">
        <f>IF(CF表!BC5="","",CF表!BC5)</f>
        <v/>
      </c>
      <c r="BD5" s="218">
        <f>IF(CF表!BD5="","",CF表!BD5)</f>
        <v/>
      </c>
      <c r="BE5" s="218">
        <f>IF(CF表!BE5="","",CF表!BE5)</f>
        <v/>
      </c>
      <c r="BF5" s="218">
        <f>IF(CF表!BF5="","",CF表!BF5)</f>
        <v/>
      </c>
      <c r="BG5" s="218">
        <f>IF(CF表!BG5="","",CF表!BG5)</f>
        <v/>
      </c>
      <c r="BH5" s="218">
        <f>IF(CF表!BH5="","",CF表!BH5)</f>
        <v/>
      </c>
      <c r="BI5" s="218">
        <f>IF(CF表!BI5="","",CF表!BI5)</f>
        <v/>
      </c>
      <c r="BJ5" s="218">
        <f>IF(CF表!BJ5="","",CF表!BJ5)</f>
        <v/>
      </c>
      <c r="BK5" s="218">
        <f>IF(CF表!BK5="","",CF表!BK5)</f>
        <v/>
      </c>
      <c r="BL5" s="218">
        <f>IF(CF表!BL5="","",CF表!BL5)</f>
        <v/>
      </c>
      <c r="BM5" s="218">
        <f>IF(CF表!BM5="","",CF表!BM5)</f>
        <v/>
      </c>
      <c r="BN5" s="218">
        <f>IF(CF表!BN5="","",CF表!BN5)</f>
        <v/>
      </c>
      <c r="BO5" s="218">
        <f>IF(CF表!BO5="","",CF表!BO5)</f>
        <v/>
      </c>
      <c r="BP5" s="218">
        <f>IF(CF表!BP5="","",CF表!BP5)</f>
        <v/>
      </c>
      <c r="BQ5" s="218">
        <f>IF(CF表!BQ5="","",CF表!BQ5)</f>
        <v/>
      </c>
      <c r="BR5" s="218">
        <f>IF(CF表!BR5="","",CF表!BR5)</f>
        <v/>
      </c>
      <c r="BS5" s="218">
        <f>IF(CF表!BS5="","",CF表!BS5)</f>
        <v/>
      </c>
      <c r="BT5" s="218">
        <f>IF(CF表!BT5="","",CF表!BT5)</f>
        <v/>
      </c>
      <c r="BU5" s="218">
        <f>IF(CF表!BU5="","",CF表!BU5)</f>
        <v/>
      </c>
      <c r="BV5" s="218">
        <f>IF(CF表!BV5="","",CF表!BV5)</f>
        <v/>
      </c>
      <c r="BW5" s="218">
        <f>IF(CF表!BW5="","",CF表!BW5)</f>
        <v/>
      </c>
      <c r="BX5" s="218">
        <f>IF(CF表!BX5="","",CF表!BX5)</f>
        <v/>
      </c>
      <c r="BY5" s="218">
        <f>IF(CF表!BY5="","",CF表!BY5)</f>
        <v/>
      </c>
      <c r="BZ5" s="218">
        <f>IF(CF表!BZ5="","",CF表!BZ5)</f>
        <v/>
      </c>
      <c r="CA5" s="218">
        <f>IF(CF表!CA5="","",CF表!CA5)</f>
        <v/>
      </c>
      <c r="CB5" s="218">
        <f>IF(CF表!CB5="","",CF表!CB5)</f>
        <v/>
      </c>
      <c r="CC5" s="218">
        <f>IF(CF表!CC5="","",CF表!CC5)</f>
        <v/>
      </c>
      <c r="CD5" s="218">
        <f>IF(CF表!CD5="","",CF表!CD5)</f>
        <v/>
      </c>
      <c r="CE5" s="218">
        <f>IF(CF表!CE5="","",CF表!CE5)</f>
        <v/>
      </c>
      <c r="CF5" s="218">
        <f>IF(CF表!CF5="","",CF表!CF5)</f>
        <v/>
      </c>
      <c r="CG5" s="218">
        <f>IF(CF表!CG5="","",CF表!CG5)</f>
        <v/>
      </c>
      <c r="CH5" s="218">
        <f>IF(CF表!CH5="","",CF表!CH5)</f>
        <v/>
      </c>
      <c r="CI5" s="218">
        <f>IF(CF表!CI5="","",CF表!CI5)</f>
        <v/>
      </c>
      <c r="CJ5" s="218">
        <f>IF(CF表!CJ5="","",CF表!CJ5)</f>
        <v/>
      </c>
      <c r="CK5" s="218">
        <f>IF(CF表!CK5="","",CF表!CK5)</f>
        <v/>
      </c>
      <c r="CL5" s="218">
        <f>IF(CF表!CL5="","",CF表!CL5)</f>
        <v/>
      </c>
      <c r="CM5" s="218">
        <f>IF(CF表!CM5="","",CF表!CM5)</f>
        <v/>
      </c>
      <c r="CN5" s="218">
        <f>IF(CF表!CN5="","",CF表!CN5)</f>
        <v/>
      </c>
      <c r="CO5" s="218">
        <f>IF(CF表!CO5="","",CF表!CO5)</f>
        <v/>
      </c>
      <c r="CP5" s="218">
        <f>IF(CF表!CP5="","",CF表!CP5)</f>
        <v/>
      </c>
      <c r="CQ5" s="218">
        <f>IF(CF表!CQ5="","",CF表!CQ5)</f>
        <v/>
      </c>
      <c r="CR5" s="218">
        <f>IF(CF表!CR5="","",CF表!CR5)</f>
        <v/>
      </c>
      <c r="CS5" s="218">
        <f>IF(CF表!CS5="","",CF表!CS5)</f>
        <v/>
      </c>
      <c r="CT5" s="218">
        <f>IF(CF表!CT5="","",CF表!CT5)</f>
        <v/>
      </c>
      <c r="CU5" s="218">
        <f>IF(CF表!CU5="","",CF表!CU5)</f>
        <v/>
      </c>
      <c r="CV5" s="218">
        <f>IF(CF表!CV5="","",CF表!CV5)</f>
        <v/>
      </c>
      <c r="CW5" s="218">
        <f>IF(CF表!CW5="","",CF表!CW5)</f>
        <v/>
      </c>
    </row>
    <row r="6" ht="16.5" customHeight="1" s="180">
      <c r="A6" s="217" t="inlineStr">
        <is>
          <t>子1年齢</t>
        </is>
      </c>
      <c r="B6" s="218">
        <f>IF(CF表!B6="","",CF表!B6)</f>
        <v/>
      </c>
      <c r="C6" s="218">
        <f>IF(CF表!C6="","",CF表!C6)</f>
        <v/>
      </c>
      <c r="D6" s="218">
        <f>IF(CF表!D6="","",CF表!D6)</f>
        <v/>
      </c>
      <c r="E6" s="218">
        <f>IF(CF表!E6="","",CF表!E6)</f>
        <v/>
      </c>
      <c r="F6" s="218">
        <f>IF(CF表!F6="","",CF表!F6)</f>
        <v/>
      </c>
      <c r="G6" s="218">
        <f>IF(CF表!G6="","",CF表!G6)</f>
        <v/>
      </c>
      <c r="H6" s="218">
        <f>IF(CF表!H6="","",CF表!H6)</f>
        <v/>
      </c>
      <c r="I6" s="218">
        <f>IF(CF表!I6="","",CF表!I6)</f>
        <v/>
      </c>
      <c r="J6" s="218">
        <f>IF(CF表!J6="","",CF表!J6)</f>
        <v/>
      </c>
      <c r="K6" s="218">
        <f>IF(CF表!K6="","",CF表!K6)</f>
        <v/>
      </c>
      <c r="L6" s="218">
        <f>IF(CF表!L6="","",CF表!L6)</f>
        <v/>
      </c>
      <c r="M6" s="218">
        <f>IF(CF表!M6="","",CF表!M6)</f>
        <v/>
      </c>
      <c r="N6" s="218">
        <f>IF(CF表!N6="","",CF表!N6)</f>
        <v/>
      </c>
      <c r="O6" s="218">
        <f>IF(CF表!O6="","",CF表!O6)</f>
        <v/>
      </c>
      <c r="P6" s="218">
        <f>IF(CF表!P6="","",CF表!P6)</f>
        <v/>
      </c>
      <c r="Q6" s="218">
        <f>IF(CF表!Q6="","",CF表!Q6)</f>
        <v/>
      </c>
      <c r="R6" s="218">
        <f>IF(CF表!R6="","",CF表!R6)</f>
        <v/>
      </c>
      <c r="S6" s="218">
        <f>IF(CF表!S6="","",CF表!S6)</f>
        <v/>
      </c>
      <c r="T6" s="218">
        <f>IF(CF表!T6="","",CF表!T6)</f>
        <v/>
      </c>
      <c r="U6" s="218">
        <f>IF(CF表!U6="","",CF表!U6)</f>
        <v/>
      </c>
      <c r="V6" s="218">
        <f>IF(CF表!V6="","",CF表!V6)</f>
        <v/>
      </c>
      <c r="W6" s="218">
        <f>IF(CF表!W6="","",CF表!W6)</f>
        <v/>
      </c>
      <c r="X6" s="218">
        <f>IF(CF表!X6="","",CF表!X6)</f>
        <v/>
      </c>
      <c r="Y6" s="218">
        <f>IF(CF表!Y6="","",CF表!Y6)</f>
        <v/>
      </c>
      <c r="Z6" s="218">
        <f>IF(CF表!Z6="","",CF表!Z6)</f>
        <v/>
      </c>
      <c r="AA6" s="218">
        <f>IF(CF表!AA6="","",CF表!AA6)</f>
        <v/>
      </c>
      <c r="AB6" s="218">
        <f>IF(CF表!AB6="","",CF表!AB6)</f>
        <v/>
      </c>
      <c r="AC6" s="218">
        <f>IF(CF表!AC6="","",CF表!AC6)</f>
        <v/>
      </c>
      <c r="AD6" s="218">
        <f>IF(CF表!AD6="","",CF表!AD6)</f>
        <v/>
      </c>
      <c r="AE6" s="218">
        <f>IF(CF表!AE6="","",CF表!AE6)</f>
        <v/>
      </c>
      <c r="AF6" s="218">
        <f>IF(CF表!AF6="","",CF表!AF6)</f>
        <v/>
      </c>
      <c r="AG6" s="218">
        <f>IF(CF表!AG6="","",CF表!AG6)</f>
        <v/>
      </c>
      <c r="AH6" s="218">
        <f>IF(CF表!AH6="","",CF表!AH6)</f>
        <v/>
      </c>
      <c r="AI6" s="218">
        <f>IF(CF表!AI6="","",CF表!AI6)</f>
        <v/>
      </c>
      <c r="AJ6" s="218">
        <f>IF(CF表!AJ6="","",CF表!AJ6)</f>
        <v/>
      </c>
      <c r="AK6" s="218">
        <f>IF(CF表!AK6="","",CF表!AK6)</f>
        <v/>
      </c>
      <c r="AL6" s="218">
        <f>IF(CF表!AL6="","",CF表!AL6)</f>
        <v/>
      </c>
      <c r="AM6" s="218">
        <f>IF(CF表!AM6="","",CF表!AM6)</f>
        <v/>
      </c>
      <c r="AN6" s="218">
        <f>IF(CF表!AN6="","",CF表!AN6)</f>
        <v/>
      </c>
      <c r="AO6" s="218">
        <f>IF(CF表!AO6="","",CF表!AO6)</f>
        <v/>
      </c>
      <c r="AP6" s="218">
        <f>IF(CF表!AP6="","",CF表!AP6)</f>
        <v/>
      </c>
      <c r="AQ6" s="218">
        <f>IF(CF表!AQ6="","",CF表!AQ6)</f>
        <v/>
      </c>
      <c r="AR6" s="218">
        <f>IF(CF表!AR6="","",CF表!AR6)</f>
        <v/>
      </c>
      <c r="AS6" s="218">
        <f>IF(CF表!AS6="","",CF表!AS6)</f>
        <v/>
      </c>
      <c r="AT6" s="218">
        <f>IF(CF表!AT6="","",CF表!AT6)</f>
        <v/>
      </c>
      <c r="AU6" s="218">
        <f>IF(CF表!AU6="","",CF表!AU6)</f>
        <v/>
      </c>
      <c r="AV6" s="218">
        <f>IF(CF表!AV6="","",CF表!AV6)</f>
        <v/>
      </c>
      <c r="AW6" s="218">
        <f>IF(CF表!AW6="","",CF表!AW6)</f>
        <v/>
      </c>
      <c r="AX6" s="218">
        <f>IF(CF表!AX6="","",CF表!AX6)</f>
        <v/>
      </c>
      <c r="AY6" s="218">
        <f>IF(CF表!AY6="","",CF表!AY6)</f>
        <v/>
      </c>
      <c r="AZ6" s="218">
        <f>IF(CF表!AZ6="","",CF表!AZ6)</f>
        <v/>
      </c>
      <c r="BA6" s="218">
        <f>IF(CF表!BA6="","",CF表!BA6)</f>
        <v/>
      </c>
      <c r="BB6" s="218">
        <f>IF(CF表!BB6="","",CF表!BB6)</f>
        <v/>
      </c>
      <c r="BC6" s="218">
        <f>IF(CF表!BC6="","",CF表!BC6)</f>
        <v/>
      </c>
      <c r="BD6" s="218">
        <f>IF(CF表!BD6="","",CF表!BD6)</f>
        <v/>
      </c>
      <c r="BE6" s="218">
        <f>IF(CF表!BE6="","",CF表!BE6)</f>
        <v/>
      </c>
      <c r="BF6" s="218">
        <f>IF(CF表!BF6="","",CF表!BF6)</f>
        <v/>
      </c>
      <c r="BG6" s="218">
        <f>IF(CF表!BG6="","",CF表!BG6)</f>
        <v/>
      </c>
      <c r="BH6" s="218">
        <f>IF(CF表!BH6="","",CF表!BH6)</f>
        <v/>
      </c>
      <c r="BI6" s="218">
        <f>IF(CF表!BI6="","",CF表!BI6)</f>
        <v/>
      </c>
      <c r="BJ6" s="218">
        <f>IF(CF表!BJ6="","",CF表!BJ6)</f>
        <v/>
      </c>
      <c r="BK6" s="218">
        <f>IF(CF表!BK6="","",CF表!BK6)</f>
        <v/>
      </c>
      <c r="BL6" s="218">
        <f>IF(CF表!BL6="","",CF表!BL6)</f>
        <v/>
      </c>
      <c r="BM6" s="218">
        <f>IF(CF表!BM6="","",CF表!BM6)</f>
        <v/>
      </c>
      <c r="BN6" s="218">
        <f>IF(CF表!BN6="","",CF表!BN6)</f>
        <v/>
      </c>
      <c r="BO6" s="218">
        <f>IF(CF表!BO6="","",CF表!BO6)</f>
        <v/>
      </c>
      <c r="BP6" s="218">
        <f>IF(CF表!BP6="","",CF表!BP6)</f>
        <v/>
      </c>
      <c r="BQ6" s="218">
        <f>IF(CF表!BQ6="","",CF表!BQ6)</f>
        <v/>
      </c>
      <c r="BR6" s="218">
        <f>IF(CF表!BR6="","",CF表!BR6)</f>
        <v/>
      </c>
      <c r="BS6" s="218">
        <f>IF(CF表!BS6="","",CF表!BS6)</f>
        <v/>
      </c>
      <c r="BT6" s="218">
        <f>IF(CF表!BT6="","",CF表!BT6)</f>
        <v/>
      </c>
      <c r="BU6" s="218">
        <f>IF(CF表!BU6="","",CF表!BU6)</f>
        <v/>
      </c>
      <c r="BV6" s="218">
        <f>IF(CF表!BV6="","",CF表!BV6)</f>
        <v/>
      </c>
      <c r="BW6" s="218">
        <f>IF(CF表!BW6="","",CF表!BW6)</f>
        <v/>
      </c>
      <c r="BX6" s="218">
        <f>IF(CF表!BX6="","",CF表!BX6)</f>
        <v/>
      </c>
      <c r="BY6" s="218">
        <f>IF(CF表!BY6="","",CF表!BY6)</f>
        <v/>
      </c>
      <c r="BZ6" s="218">
        <f>IF(CF表!BZ6="","",CF表!BZ6)</f>
        <v/>
      </c>
      <c r="CA6" s="218">
        <f>IF(CF表!CA6="","",CF表!CA6)</f>
        <v/>
      </c>
      <c r="CB6" s="218">
        <f>IF(CF表!CB6="","",CF表!CB6)</f>
        <v/>
      </c>
      <c r="CC6" s="218">
        <f>IF(CF表!CC6="","",CF表!CC6)</f>
        <v/>
      </c>
      <c r="CD6" s="218">
        <f>IF(CF表!CD6="","",CF表!CD6)</f>
        <v/>
      </c>
      <c r="CE6" s="218">
        <f>IF(CF表!CE6="","",CF表!CE6)</f>
        <v/>
      </c>
      <c r="CF6" s="218">
        <f>IF(CF表!CF6="","",CF表!CF6)</f>
        <v/>
      </c>
      <c r="CG6" s="218">
        <f>IF(CF表!CG6="","",CF表!CG6)</f>
        <v/>
      </c>
      <c r="CH6" s="218">
        <f>IF(CF表!CH6="","",CF表!CH6)</f>
        <v/>
      </c>
      <c r="CI6" s="218">
        <f>IF(CF表!CI6="","",CF表!CI6)</f>
        <v/>
      </c>
      <c r="CJ6" s="218">
        <f>IF(CF表!CJ6="","",CF表!CJ6)</f>
        <v/>
      </c>
      <c r="CK6" s="218">
        <f>IF(CF表!CK6="","",CF表!CK6)</f>
        <v/>
      </c>
      <c r="CL6" s="218">
        <f>IF(CF表!CL6="","",CF表!CL6)</f>
        <v/>
      </c>
      <c r="CM6" s="218">
        <f>IF(CF表!CM6="","",CF表!CM6)</f>
        <v/>
      </c>
      <c r="CN6" s="218">
        <f>IF(CF表!CN6="","",CF表!CN6)</f>
        <v/>
      </c>
      <c r="CO6" s="218">
        <f>IF(CF表!CO6="","",CF表!CO6)</f>
        <v/>
      </c>
      <c r="CP6" s="218">
        <f>IF(CF表!CP6="","",CF表!CP6)</f>
        <v/>
      </c>
      <c r="CQ6" s="218">
        <f>IF(CF表!CQ6="","",CF表!CQ6)</f>
        <v/>
      </c>
      <c r="CR6" s="218">
        <f>IF(CF表!CR6="","",CF表!CR6)</f>
        <v/>
      </c>
      <c r="CS6" s="218">
        <f>IF(CF表!CS6="","",CF表!CS6)</f>
        <v/>
      </c>
      <c r="CT6" s="218">
        <f>IF(CF表!CT6="","",CF表!CT6)</f>
        <v/>
      </c>
      <c r="CU6" s="218">
        <f>IF(CF表!CU6="","",CF表!CU6)</f>
        <v/>
      </c>
      <c r="CV6" s="218">
        <f>IF(CF表!CV6="","",CF表!CV6)</f>
        <v/>
      </c>
      <c r="CW6" s="218">
        <f>IF(CF表!CW6="","",CF表!CW6)</f>
        <v/>
      </c>
    </row>
    <row r="7" ht="16.5" customHeight="1" s="180">
      <c r="A7" s="217" t="inlineStr">
        <is>
          <t>子2年齢</t>
        </is>
      </c>
      <c r="B7" s="218">
        <f>IF(CF表!B7="","",CF表!B7)</f>
        <v/>
      </c>
      <c r="C7" s="218">
        <f>IF(CF表!C7="","",CF表!C7)</f>
        <v/>
      </c>
      <c r="D7" s="218">
        <f>IF(CF表!D7="","",CF表!D7)</f>
        <v/>
      </c>
      <c r="E7" s="218">
        <f>IF(CF表!E7="","",CF表!E7)</f>
        <v/>
      </c>
      <c r="F7" s="218">
        <f>IF(CF表!F7="","",CF表!F7)</f>
        <v/>
      </c>
      <c r="G7" s="218">
        <f>IF(CF表!G7="","",CF表!G7)</f>
        <v/>
      </c>
      <c r="H7" s="218">
        <f>IF(CF表!H7="","",CF表!H7)</f>
        <v/>
      </c>
      <c r="I7" s="218">
        <f>IF(CF表!I7="","",CF表!I7)</f>
        <v/>
      </c>
      <c r="J7" s="218">
        <f>IF(CF表!J7="","",CF表!J7)</f>
        <v/>
      </c>
      <c r="K7" s="218">
        <f>IF(CF表!K7="","",CF表!K7)</f>
        <v/>
      </c>
      <c r="L7" s="218">
        <f>IF(CF表!L7="","",CF表!L7)</f>
        <v/>
      </c>
      <c r="M7" s="218">
        <f>IF(CF表!M7="","",CF表!M7)</f>
        <v/>
      </c>
      <c r="N7" s="218">
        <f>IF(CF表!N7="","",CF表!N7)</f>
        <v/>
      </c>
      <c r="O7" s="218">
        <f>IF(CF表!O7="","",CF表!O7)</f>
        <v/>
      </c>
      <c r="P7" s="218">
        <f>IF(CF表!P7="","",CF表!P7)</f>
        <v/>
      </c>
      <c r="Q7" s="218">
        <f>IF(CF表!Q7="","",CF表!Q7)</f>
        <v/>
      </c>
      <c r="R7" s="218">
        <f>IF(CF表!R7="","",CF表!R7)</f>
        <v/>
      </c>
      <c r="S7" s="218">
        <f>IF(CF表!S7="","",CF表!S7)</f>
        <v/>
      </c>
      <c r="T7" s="218">
        <f>IF(CF表!T7="","",CF表!T7)</f>
        <v/>
      </c>
      <c r="U7" s="218">
        <f>IF(CF表!U7="","",CF表!U7)</f>
        <v/>
      </c>
      <c r="V7" s="218">
        <f>IF(CF表!V7="","",CF表!V7)</f>
        <v/>
      </c>
      <c r="W7" s="218">
        <f>IF(CF表!W7="","",CF表!W7)</f>
        <v/>
      </c>
      <c r="X7" s="218">
        <f>IF(CF表!X7="","",CF表!X7)</f>
        <v/>
      </c>
      <c r="Y7" s="218">
        <f>IF(CF表!Y7="","",CF表!Y7)</f>
        <v/>
      </c>
      <c r="Z7" s="218">
        <f>IF(CF表!Z7="","",CF表!Z7)</f>
        <v/>
      </c>
      <c r="AA7" s="218">
        <f>IF(CF表!AA7="","",CF表!AA7)</f>
        <v/>
      </c>
      <c r="AB7" s="218">
        <f>IF(CF表!AB7="","",CF表!AB7)</f>
        <v/>
      </c>
      <c r="AC7" s="218">
        <f>IF(CF表!AC7="","",CF表!AC7)</f>
        <v/>
      </c>
      <c r="AD7" s="218">
        <f>IF(CF表!AD7="","",CF表!AD7)</f>
        <v/>
      </c>
      <c r="AE7" s="218">
        <f>IF(CF表!AE7="","",CF表!AE7)</f>
        <v/>
      </c>
      <c r="AF7" s="218">
        <f>IF(CF表!AF7="","",CF表!AF7)</f>
        <v/>
      </c>
      <c r="AG7" s="218">
        <f>IF(CF表!AG7="","",CF表!AG7)</f>
        <v/>
      </c>
      <c r="AH7" s="218">
        <f>IF(CF表!AH7="","",CF表!AH7)</f>
        <v/>
      </c>
      <c r="AI7" s="218">
        <f>IF(CF表!AI7="","",CF表!AI7)</f>
        <v/>
      </c>
      <c r="AJ7" s="218">
        <f>IF(CF表!AJ7="","",CF表!AJ7)</f>
        <v/>
      </c>
      <c r="AK7" s="218">
        <f>IF(CF表!AK7="","",CF表!AK7)</f>
        <v/>
      </c>
      <c r="AL7" s="218">
        <f>IF(CF表!AL7="","",CF表!AL7)</f>
        <v/>
      </c>
      <c r="AM7" s="218">
        <f>IF(CF表!AM7="","",CF表!AM7)</f>
        <v/>
      </c>
      <c r="AN7" s="218">
        <f>IF(CF表!AN7="","",CF表!AN7)</f>
        <v/>
      </c>
      <c r="AO7" s="218">
        <f>IF(CF表!AO7="","",CF表!AO7)</f>
        <v/>
      </c>
      <c r="AP7" s="218">
        <f>IF(CF表!AP7="","",CF表!AP7)</f>
        <v/>
      </c>
      <c r="AQ7" s="218">
        <f>IF(CF表!AQ7="","",CF表!AQ7)</f>
        <v/>
      </c>
      <c r="AR7" s="218">
        <f>IF(CF表!AR7="","",CF表!AR7)</f>
        <v/>
      </c>
      <c r="AS7" s="218">
        <f>IF(CF表!AS7="","",CF表!AS7)</f>
        <v/>
      </c>
      <c r="AT7" s="218">
        <f>IF(CF表!AT7="","",CF表!AT7)</f>
        <v/>
      </c>
      <c r="AU7" s="218">
        <f>IF(CF表!AU7="","",CF表!AU7)</f>
        <v/>
      </c>
      <c r="AV7" s="218">
        <f>IF(CF表!AV7="","",CF表!AV7)</f>
        <v/>
      </c>
      <c r="AW7" s="218">
        <f>IF(CF表!AW7="","",CF表!AW7)</f>
        <v/>
      </c>
      <c r="AX7" s="218">
        <f>IF(CF表!AX7="","",CF表!AX7)</f>
        <v/>
      </c>
      <c r="AY7" s="218">
        <f>IF(CF表!AY7="","",CF表!AY7)</f>
        <v/>
      </c>
      <c r="AZ7" s="218">
        <f>IF(CF表!AZ7="","",CF表!AZ7)</f>
        <v/>
      </c>
      <c r="BA7" s="218">
        <f>IF(CF表!BA7="","",CF表!BA7)</f>
        <v/>
      </c>
      <c r="BB7" s="218">
        <f>IF(CF表!BB7="","",CF表!BB7)</f>
        <v/>
      </c>
      <c r="BC7" s="218">
        <f>IF(CF表!BC7="","",CF表!BC7)</f>
        <v/>
      </c>
      <c r="BD7" s="218">
        <f>IF(CF表!BD7="","",CF表!BD7)</f>
        <v/>
      </c>
      <c r="BE7" s="218">
        <f>IF(CF表!BE7="","",CF表!BE7)</f>
        <v/>
      </c>
      <c r="BF7" s="218">
        <f>IF(CF表!BF7="","",CF表!BF7)</f>
        <v/>
      </c>
      <c r="BG7" s="218">
        <f>IF(CF表!BG7="","",CF表!BG7)</f>
        <v/>
      </c>
      <c r="BH7" s="218">
        <f>IF(CF表!BH7="","",CF表!BH7)</f>
        <v/>
      </c>
      <c r="BI7" s="218">
        <f>IF(CF表!BI7="","",CF表!BI7)</f>
        <v/>
      </c>
      <c r="BJ7" s="218">
        <f>IF(CF表!BJ7="","",CF表!BJ7)</f>
        <v/>
      </c>
      <c r="BK7" s="218">
        <f>IF(CF表!BK7="","",CF表!BK7)</f>
        <v/>
      </c>
      <c r="BL7" s="218">
        <f>IF(CF表!BL7="","",CF表!BL7)</f>
        <v/>
      </c>
      <c r="BM7" s="218">
        <f>IF(CF表!BM7="","",CF表!BM7)</f>
        <v/>
      </c>
      <c r="BN7" s="218">
        <f>IF(CF表!BN7="","",CF表!BN7)</f>
        <v/>
      </c>
      <c r="BO7" s="218">
        <f>IF(CF表!BO7="","",CF表!BO7)</f>
        <v/>
      </c>
      <c r="BP7" s="218">
        <f>IF(CF表!BP7="","",CF表!BP7)</f>
        <v/>
      </c>
      <c r="BQ7" s="218">
        <f>IF(CF表!BQ7="","",CF表!BQ7)</f>
        <v/>
      </c>
      <c r="BR7" s="218">
        <f>IF(CF表!BR7="","",CF表!BR7)</f>
        <v/>
      </c>
      <c r="BS7" s="218">
        <f>IF(CF表!BS7="","",CF表!BS7)</f>
        <v/>
      </c>
      <c r="BT7" s="218">
        <f>IF(CF表!BT7="","",CF表!BT7)</f>
        <v/>
      </c>
      <c r="BU7" s="218">
        <f>IF(CF表!BU7="","",CF表!BU7)</f>
        <v/>
      </c>
      <c r="BV7" s="218">
        <f>IF(CF表!BV7="","",CF表!BV7)</f>
        <v/>
      </c>
      <c r="BW7" s="218">
        <f>IF(CF表!BW7="","",CF表!BW7)</f>
        <v/>
      </c>
      <c r="BX7" s="218">
        <f>IF(CF表!BX7="","",CF表!BX7)</f>
        <v/>
      </c>
      <c r="BY7" s="218">
        <f>IF(CF表!BY7="","",CF表!BY7)</f>
        <v/>
      </c>
      <c r="BZ7" s="218">
        <f>IF(CF表!BZ7="","",CF表!BZ7)</f>
        <v/>
      </c>
      <c r="CA7" s="218">
        <f>IF(CF表!CA7="","",CF表!CA7)</f>
        <v/>
      </c>
      <c r="CB7" s="218">
        <f>IF(CF表!CB7="","",CF表!CB7)</f>
        <v/>
      </c>
      <c r="CC7" s="218">
        <f>IF(CF表!CC7="","",CF表!CC7)</f>
        <v/>
      </c>
      <c r="CD7" s="218">
        <f>IF(CF表!CD7="","",CF表!CD7)</f>
        <v/>
      </c>
      <c r="CE7" s="218">
        <f>IF(CF表!CE7="","",CF表!CE7)</f>
        <v/>
      </c>
      <c r="CF7" s="218">
        <f>IF(CF表!CF7="","",CF表!CF7)</f>
        <v/>
      </c>
      <c r="CG7" s="218">
        <f>IF(CF表!CG7="","",CF表!CG7)</f>
        <v/>
      </c>
      <c r="CH7" s="218">
        <f>IF(CF表!CH7="","",CF表!CH7)</f>
        <v/>
      </c>
      <c r="CI7" s="218">
        <f>IF(CF表!CI7="","",CF表!CI7)</f>
        <v/>
      </c>
      <c r="CJ7" s="218">
        <f>IF(CF表!CJ7="","",CF表!CJ7)</f>
        <v/>
      </c>
      <c r="CK7" s="218">
        <f>IF(CF表!CK7="","",CF表!CK7)</f>
        <v/>
      </c>
      <c r="CL7" s="218">
        <f>IF(CF表!CL7="","",CF表!CL7)</f>
        <v/>
      </c>
      <c r="CM7" s="218">
        <f>IF(CF表!CM7="","",CF表!CM7)</f>
        <v/>
      </c>
      <c r="CN7" s="218">
        <f>IF(CF表!CN7="","",CF表!CN7)</f>
        <v/>
      </c>
      <c r="CO7" s="218">
        <f>IF(CF表!CO7="","",CF表!CO7)</f>
        <v/>
      </c>
      <c r="CP7" s="218">
        <f>IF(CF表!CP7="","",CF表!CP7)</f>
        <v/>
      </c>
      <c r="CQ7" s="218">
        <f>IF(CF表!CQ7="","",CF表!CQ7)</f>
        <v/>
      </c>
      <c r="CR7" s="218">
        <f>IF(CF表!CR7="","",CF表!CR7)</f>
        <v/>
      </c>
      <c r="CS7" s="218">
        <f>IF(CF表!CS7="","",CF表!CS7)</f>
        <v/>
      </c>
      <c r="CT7" s="218">
        <f>IF(CF表!CT7="","",CF表!CT7)</f>
        <v/>
      </c>
      <c r="CU7" s="218">
        <f>IF(CF表!CU7="","",CF表!CU7)</f>
        <v/>
      </c>
      <c r="CV7" s="218">
        <f>IF(CF表!CV7="","",CF表!CV7)</f>
        <v/>
      </c>
      <c r="CW7" s="218">
        <f>IF(CF表!CW7="","",CF表!CW7)</f>
        <v/>
      </c>
    </row>
    <row r="8" ht="16.5" customHeight="1" s="180">
      <c r="A8" s="217" t="inlineStr">
        <is>
          <t>子3年齢</t>
        </is>
      </c>
      <c r="B8" s="218">
        <f>IF(CF表!B8="","",CF表!B8)</f>
        <v/>
      </c>
      <c r="C8" s="218">
        <f>IF(CF表!C8="","",CF表!C8)</f>
        <v/>
      </c>
      <c r="D8" s="218">
        <f>IF(CF表!D8="","",CF表!D8)</f>
        <v/>
      </c>
      <c r="E8" s="218">
        <f>IF(CF表!E8="","",CF表!E8)</f>
        <v/>
      </c>
      <c r="F8" s="218">
        <f>IF(CF表!F8="","",CF表!F8)</f>
        <v/>
      </c>
      <c r="G8" s="218">
        <f>IF(CF表!G8="","",CF表!G8)</f>
        <v/>
      </c>
      <c r="H8" s="218">
        <f>IF(CF表!H8="","",CF表!H8)</f>
        <v/>
      </c>
      <c r="I8" s="218">
        <f>IF(CF表!I8="","",CF表!I8)</f>
        <v/>
      </c>
      <c r="J8" s="218">
        <f>IF(CF表!J8="","",CF表!J8)</f>
        <v/>
      </c>
      <c r="K8" s="218">
        <f>IF(CF表!K8="","",CF表!K8)</f>
        <v/>
      </c>
      <c r="L8" s="218">
        <f>IF(CF表!L8="","",CF表!L8)</f>
        <v/>
      </c>
      <c r="M8" s="218">
        <f>IF(CF表!M8="","",CF表!M8)</f>
        <v/>
      </c>
      <c r="N8" s="218">
        <f>IF(CF表!N8="","",CF表!N8)</f>
        <v/>
      </c>
      <c r="O8" s="218">
        <f>IF(CF表!O8="","",CF表!O8)</f>
        <v/>
      </c>
      <c r="P8" s="218">
        <f>IF(CF表!P8="","",CF表!P8)</f>
        <v/>
      </c>
      <c r="Q8" s="218">
        <f>IF(CF表!Q8="","",CF表!Q8)</f>
        <v/>
      </c>
      <c r="R8" s="218">
        <f>IF(CF表!R8="","",CF表!R8)</f>
        <v/>
      </c>
      <c r="S8" s="218">
        <f>IF(CF表!S8="","",CF表!S8)</f>
        <v/>
      </c>
      <c r="T8" s="218">
        <f>IF(CF表!T8="","",CF表!T8)</f>
        <v/>
      </c>
      <c r="U8" s="218">
        <f>IF(CF表!U8="","",CF表!U8)</f>
        <v/>
      </c>
      <c r="V8" s="218">
        <f>IF(CF表!V8="","",CF表!V8)</f>
        <v/>
      </c>
      <c r="W8" s="218">
        <f>IF(CF表!W8="","",CF表!W8)</f>
        <v/>
      </c>
      <c r="X8" s="218">
        <f>IF(CF表!X8="","",CF表!X8)</f>
        <v/>
      </c>
      <c r="Y8" s="218">
        <f>IF(CF表!Y8="","",CF表!Y8)</f>
        <v/>
      </c>
      <c r="Z8" s="218">
        <f>IF(CF表!Z8="","",CF表!Z8)</f>
        <v/>
      </c>
      <c r="AA8" s="218">
        <f>IF(CF表!AA8="","",CF表!AA8)</f>
        <v/>
      </c>
      <c r="AB8" s="218">
        <f>IF(CF表!AB8="","",CF表!AB8)</f>
        <v/>
      </c>
      <c r="AC8" s="218">
        <f>IF(CF表!AC8="","",CF表!AC8)</f>
        <v/>
      </c>
      <c r="AD8" s="218">
        <f>IF(CF表!AD8="","",CF表!AD8)</f>
        <v/>
      </c>
      <c r="AE8" s="218">
        <f>IF(CF表!AE8="","",CF表!AE8)</f>
        <v/>
      </c>
      <c r="AF8" s="218">
        <f>IF(CF表!AF8="","",CF表!AF8)</f>
        <v/>
      </c>
      <c r="AG8" s="218">
        <f>IF(CF表!AG8="","",CF表!AG8)</f>
        <v/>
      </c>
      <c r="AH8" s="218">
        <f>IF(CF表!AH8="","",CF表!AH8)</f>
        <v/>
      </c>
      <c r="AI8" s="218">
        <f>IF(CF表!AI8="","",CF表!AI8)</f>
        <v/>
      </c>
      <c r="AJ8" s="218">
        <f>IF(CF表!AJ8="","",CF表!AJ8)</f>
        <v/>
      </c>
      <c r="AK8" s="218">
        <f>IF(CF表!AK8="","",CF表!AK8)</f>
        <v/>
      </c>
      <c r="AL8" s="218">
        <f>IF(CF表!AL8="","",CF表!AL8)</f>
        <v/>
      </c>
      <c r="AM8" s="218">
        <f>IF(CF表!AM8="","",CF表!AM8)</f>
        <v/>
      </c>
      <c r="AN8" s="218">
        <f>IF(CF表!AN8="","",CF表!AN8)</f>
        <v/>
      </c>
      <c r="AO8" s="218">
        <f>IF(CF表!AO8="","",CF表!AO8)</f>
        <v/>
      </c>
      <c r="AP8" s="218">
        <f>IF(CF表!AP8="","",CF表!AP8)</f>
        <v/>
      </c>
      <c r="AQ8" s="218">
        <f>IF(CF表!AQ8="","",CF表!AQ8)</f>
        <v/>
      </c>
      <c r="AR8" s="218">
        <f>IF(CF表!AR8="","",CF表!AR8)</f>
        <v/>
      </c>
      <c r="AS8" s="218">
        <f>IF(CF表!AS8="","",CF表!AS8)</f>
        <v/>
      </c>
      <c r="AT8" s="218">
        <f>IF(CF表!AT8="","",CF表!AT8)</f>
        <v/>
      </c>
      <c r="AU8" s="218">
        <f>IF(CF表!AU8="","",CF表!AU8)</f>
        <v/>
      </c>
      <c r="AV8" s="218">
        <f>IF(CF表!AV8="","",CF表!AV8)</f>
        <v/>
      </c>
      <c r="AW8" s="218">
        <f>IF(CF表!AW8="","",CF表!AW8)</f>
        <v/>
      </c>
      <c r="AX8" s="218">
        <f>IF(CF表!AX8="","",CF表!AX8)</f>
        <v/>
      </c>
      <c r="AY8" s="218">
        <f>IF(CF表!AY8="","",CF表!AY8)</f>
        <v/>
      </c>
      <c r="AZ8" s="218">
        <f>IF(CF表!AZ8="","",CF表!AZ8)</f>
        <v/>
      </c>
      <c r="BA8" s="218">
        <f>IF(CF表!BA8="","",CF表!BA8)</f>
        <v/>
      </c>
      <c r="BB8" s="218">
        <f>IF(CF表!BB8="","",CF表!BB8)</f>
        <v/>
      </c>
      <c r="BC8" s="218">
        <f>IF(CF表!BC8="","",CF表!BC8)</f>
        <v/>
      </c>
      <c r="BD8" s="218">
        <f>IF(CF表!BD8="","",CF表!BD8)</f>
        <v/>
      </c>
      <c r="BE8" s="218">
        <f>IF(CF表!BE8="","",CF表!BE8)</f>
        <v/>
      </c>
      <c r="BF8" s="218">
        <f>IF(CF表!BF8="","",CF表!BF8)</f>
        <v/>
      </c>
      <c r="BG8" s="218">
        <f>IF(CF表!BG8="","",CF表!BG8)</f>
        <v/>
      </c>
      <c r="BH8" s="218">
        <f>IF(CF表!BH8="","",CF表!BH8)</f>
        <v/>
      </c>
      <c r="BI8" s="218">
        <f>IF(CF表!BI8="","",CF表!BI8)</f>
        <v/>
      </c>
      <c r="BJ8" s="218">
        <f>IF(CF表!BJ8="","",CF表!BJ8)</f>
        <v/>
      </c>
      <c r="BK8" s="218">
        <f>IF(CF表!BK8="","",CF表!BK8)</f>
        <v/>
      </c>
      <c r="BL8" s="218">
        <f>IF(CF表!BL8="","",CF表!BL8)</f>
        <v/>
      </c>
      <c r="BM8" s="218">
        <f>IF(CF表!BM8="","",CF表!BM8)</f>
        <v/>
      </c>
      <c r="BN8" s="218">
        <f>IF(CF表!BN8="","",CF表!BN8)</f>
        <v/>
      </c>
      <c r="BO8" s="218">
        <f>IF(CF表!BO8="","",CF表!BO8)</f>
        <v/>
      </c>
      <c r="BP8" s="218">
        <f>IF(CF表!BP8="","",CF表!BP8)</f>
        <v/>
      </c>
      <c r="BQ8" s="218">
        <f>IF(CF表!BQ8="","",CF表!BQ8)</f>
        <v/>
      </c>
      <c r="BR8" s="218">
        <f>IF(CF表!BR8="","",CF表!BR8)</f>
        <v/>
      </c>
      <c r="BS8" s="218">
        <f>IF(CF表!BS8="","",CF表!BS8)</f>
        <v/>
      </c>
      <c r="BT8" s="218">
        <f>IF(CF表!BT8="","",CF表!BT8)</f>
        <v/>
      </c>
      <c r="BU8" s="218">
        <f>IF(CF表!BU8="","",CF表!BU8)</f>
        <v/>
      </c>
      <c r="BV8" s="218">
        <f>IF(CF表!BV8="","",CF表!BV8)</f>
        <v/>
      </c>
      <c r="BW8" s="218">
        <f>IF(CF表!BW8="","",CF表!BW8)</f>
        <v/>
      </c>
      <c r="BX8" s="218">
        <f>IF(CF表!BX8="","",CF表!BX8)</f>
        <v/>
      </c>
      <c r="BY8" s="218">
        <f>IF(CF表!BY8="","",CF表!BY8)</f>
        <v/>
      </c>
      <c r="BZ8" s="218">
        <f>IF(CF表!BZ8="","",CF表!BZ8)</f>
        <v/>
      </c>
      <c r="CA8" s="218">
        <f>IF(CF表!CA8="","",CF表!CA8)</f>
        <v/>
      </c>
      <c r="CB8" s="218">
        <f>IF(CF表!CB8="","",CF表!CB8)</f>
        <v/>
      </c>
      <c r="CC8" s="218">
        <f>IF(CF表!CC8="","",CF表!CC8)</f>
        <v/>
      </c>
      <c r="CD8" s="218">
        <f>IF(CF表!CD8="","",CF表!CD8)</f>
        <v/>
      </c>
      <c r="CE8" s="218">
        <f>IF(CF表!CE8="","",CF表!CE8)</f>
        <v/>
      </c>
      <c r="CF8" s="218">
        <f>IF(CF表!CF8="","",CF表!CF8)</f>
        <v/>
      </c>
      <c r="CG8" s="218">
        <f>IF(CF表!CG8="","",CF表!CG8)</f>
        <v/>
      </c>
      <c r="CH8" s="218">
        <f>IF(CF表!CH8="","",CF表!CH8)</f>
        <v/>
      </c>
      <c r="CI8" s="218">
        <f>IF(CF表!CI8="","",CF表!CI8)</f>
        <v/>
      </c>
      <c r="CJ8" s="218">
        <f>IF(CF表!CJ8="","",CF表!CJ8)</f>
        <v/>
      </c>
      <c r="CK8" s="218">
        <f>IF(CF表!CK8="","",CF表!CK8)</f>
        <v/>
      </c>
      <c r="CL8" s="218">
        <f>IF(CF表!CL8="","",CF表!CL8)</f>
        <v/>
      </c>
      <c r="CM8" s="218">
        <f>IF(CF表!CM8="","",CF表!CM8)</f>
        <v/>
      </c>
      <c r="CN8" s="218">
        <f>IF(CF表!CN8="","",CF表!CN8)</f>
        <v/>
      </c>
      <c r="CO8" s="218">
        <f>IF(CF表!CO8="","",CF表!CO8)</f>
        <v/>
      </c>
      <c r="CP8" s="218">
        <f>IF(CF表!CP8="","",CF表!CP8)</f>
        <v/>
      </c>
      <c r="CQ8" s="218">
        <f>IF(CF表!CQ8="","",CF表!CQ8)</f>
        <v/>
      </c>
      <c r="CR8" s="218">
        <f>IF(CF表!CR8="","",CF表!CR8)</f>
        <v/>
      </c>
      <c r="CS8" s="218">
        <f>IF(CF表!CS8="","",CF表!CS8)</f>
        <v/>
      </c>
      <c r="CT8" s="218">
        <f>IF(CF表!CT8="","",CF表!CT8)</f>
        <v/>
      </c>
      <c r="CU8" s="218">
        <f>IF(CF表!CU8="","",CF表!CU8)</f>
        <v/>
      </c>
      <c r="CV8" s="218">
        <f>IF(CF表!CV8="","",CF表!CV8)</f>
        <v/>
      </c>
      <c r="CW8" s="218">
        <f>IF(CF表!CW8="","",CF表!CW8)</f>
        <v/>
      </c>
    </row>
    <row r="9" ht="15" customHeight="1" s="180">
      <c r="A9" s="205" t="inlineStr">
        <is>
          <t>家族年齢</t>
        </is>
      </c>
      <c r="B9" s="219" t="n"/>
      <c r="C9" s="219" t="n"/>
      <c r="D9" s="219" t="n"/>
      <c r="E9" s="219" t="n"/>
      <c r="F9" s="219" t="n"/>
      <c r="G9" s="219" t="n"/>
      <c r="H9" s="219" t="n"/>
      <c r="I9" s="219" t="n"/>
      <c r="J9" s="219" t="n"/>
      <c r="K9" s="219" t="n"/>
      <c r="L9" s="219" t="n"/>
      <c r="M9" s="219" t="n"/>
      <c r="N9" s="219" t="n"/>
      <c r="O9" s="219" t="n"/>
      <c r="P9" s="219" t="n"/>
      <c r="Q9" s="219" t="n"/>
      <c r="R9" s="219" t="n"/>
      <c r="S9" s="219" t="n"/>
      <c r="T9" s="219" t="n"/>
      <c r="U9" s="219" t="n"/>
      <c r="V9" s="219" t="n"/>
      <c r="W9" s="219" t="n"/>
      <c r="X9" s="219" t="n"/>
      <c r="Y9" s="219" t="n"/>
      <c r="Z9" s="219" t="n"/>
      <c r="AA9" s="219" t="n"/>
      <c r="AB9" s="219" t="n"/>
      <c r="AC9" s="219" t="n"/>
      <c r="AD9" s="219" t="n"/>
      <c r="AE9" s="219" t="n"/>
      <c r="AF9" s="219" t="n"/>
      <c r="AG9" s="219" t="n"/>
      <c r="AH9" s="219" t="n"/>
      <c r="AI9" s="219" t="n"/>
      <c r="AJ9" s="219" t="n"/>
      <c r="AK9" s="219" t="n"/>
      <c r="AL9" s="219" t="n"/>
      <c r="AM9" s="219" t="n"/>
      <c r="AN9" s="219" t="n"/>
      <c r="AO9" s="219" t="n"/>
      <c r="AP9" s="219" t="n"/>
      <c r="AQ9" s="219" t="n"/>
      <c r="AR9" s="219" t="n"/>
      <c r="AS9" s="219" t="n"/>
      <c r="AT9" s="219" t="n"/>
      <c r="AU9" s="219" t="n"/>
      <c r="AV9" s="219" t="n"/>
      <c r="AW9" s="219" t="n"/>
      <c r="AX9" s="219" t="n"/>
      <c r="AY9" s="219" t="n"/>
      <c r="AZ9" s="219" t="n"/>
      <c r="BA9" s="219" t="n"/>
      <c r="BB9" s="219" t="n"/>
      <c r="BC9" s="219" t="n"/>
      <c r="BD9" s="219" t="n"/>
      <c r="BE9" s="219" t="n"/>
      <c r="BF9" s="219" t="n"/>
      <c r="BG9" s="219" t="n"/>
      <c r="BH9" s="219" t="n"/>
      <c r="BI9" s="219" t="n"/>
      <c r="BJ9" s="219" t="n"/>
      <c r="BK9" s="219" t="n"/>
      <c r="BL9" s="219" t="n"/>
      <c r="BM9" s="219" t="n"/>
      <c r="BN9" s="219" t="n"/>
      <c r="BO9" s="219" t="n"/>
      <c r="BP9" s="219" t="n"/>
      <c r="BQ9" s="219" t="n"/>
      <c r="BR9" s="219" t="n"/>
      <c r="BS9" s="219" t="n"/>
      <c r="BT9" s="219" t="n"/>
      <c r="BU9" s="219" t="n"/>
      <c r="BV9" s="219" t="n"/>
      <c r="BW9" s="219" t="n"/>
      <c r="BX9" s="219" t="n"/>
      <c r="BY9" s="219" t="n"/>
      <c r="BZ9" s="219" t="n"/>
      <c r="CA9" s="219" t="n"/>
      <c r="CB9" s="219" t="n"/>
      <c r="CC9" s="219" t="n"/>
      <c r="CD9" s="219" t="n"/>
      <c r="CE9" s="219" t="n"/>
      <c r="CF9" s="219" t="n"/>
      <c r="CG9" s="219" t="n"/>
      <c r="CH9" s="219" t="n"/>
      <c r="CI9" s="219" t="n"/>
      <c r="CJ9" s="219" t="n"/>
      <c r="CK9" s="219" t="n"/>
      <c r="CL9" s="219" t="n"/>
      <c r="CM9" s="219" t="n"/>
      <c r="CN9" s="219" t="n"/>
      <c r="CO9" s="219" t="n"/>
      <c r="CP9" s="219" t="n"/>
      <c r="CQ9" s="219" t="n"/>
      <c r="CR9" s="219" t="n"/>
      <c r="CS9" s="219" t="n"/>
      <c r="CT9" s="219" t="n"/>
      <c r="CU9" s="219" t="n"/>
      <c r="CV9" s="219" t="n"/>
      <c r="CW9" s="219" t="n"/>
    </row>
    <row r="10" ht="15" customHeight="1" s="180">
      <c r="A10" s="220" t="inlineStr">
        <is>
          <t>ご主人様収入</t>
        </is>
      </c>
      <c r="B10" s="221">
        <f>IF(CF表!B$3="","",CF表!B10/10000)</f>
        <v/>
      </c>
      <c r="C10" s="221">
        <f>IF(CF表!C$3="","",CF表!C10/10000)</f>
        <v/>
      </c>
      <c r="D10" s="221">
        <f>IF(CF表!D$3="","",CF表!D10/10000)</f>
        <v/>
      </c>
      <c r="E10" s="221">
        <f>IF(CF表!E$3="","",CF表!E10/10000)</f>
        <v/>
      </c>
      <c r="F10" s="221">
        <f>IF(CF表!F$3="","",CF表!F10/10000)</f>
        <v/>
      </c>
      <c r="G10" s="221">
        <f>IF(CF表!G$3="","",CF表!G10/10000)</f>
        <v/>
      </c>
      <c r="H10" s="221">
        <f>IF(CF表!H$3="","",CF表!H10/10000)</f>
        <v/>
      </c>
      <c r="I10" s="221">
        <f>IF(CF表!I$3="","",CF表!I10/10000)</f>
        <v/>
      </c>
      <c r="J10" s="221">
        <f>IF(CF表!J$3="","",CF表!J10/10000)</f>
        <v/>
      </c>
      <c r="K10" s="221">
        <f>IF(CF表!K$3="","",CF表!K10/10000)</f>
        <v/>
      </c>
      <c r="L10" s="221">
        <f>IF(CF表!L$3="","",CF表!L10/10000)</f>
        <v/>
      </c>
      <c r="M10" s="221">
        <f>IF(CF表!M$3="","",CF表!M10/10000)</f>
        <v/>
      </c>
      <c r="N10" s="221">
        <f>IF(CF表!N$3="","",CF表!N10/10000)</f>
        <v/>
      </c>
      <c r="O10" s="221">
        <f>IF(CF表!O$3="","",CF表!O10/10000)</f>
        <v/>
      </c>
      <c r="P10" s="221">
        <f>IF(CF表!P$3="","",CF表!P10/10000)</f>
        <v/>
      </c>
      <c r="Q10" s="221">
        <f>IF(CF表!Q$3="","",CF表!Q10/10000)</f>
        <v/>
      </c>
      <c r="R10" s="221">
        <f>IF(CF表!R$3="","",CF表!R10/10000)</f>
        <v/>
      </c>
      <c r="S10" s="221">
        <f>IF(CF表!S$3="","",CF表!S10/10000)</f>
        <v/>
      </c>
      <c r="T10" s="221">
        <f>IF(CF表!T$3="","",CF表!T10/10000)</f>
        <v/>
      </c>
      <c r="U10" s="221">
        <f>IF(CF表!U$3="","",CF表!U10/10000)</f>
        <v/>
      </c>
      <c r="V10" s="221">
        <f>IF(CF表!V$3="","",CF表!V10/10000)</f>
        <v/>
      </c>
      <c r="W10" s="221">
        <f>IF(CF表!W$3="","",CF表!W10/10000)</f>
        <v/>
      </c>
      <c r="X10" s="221">
        <f>IF(CF表!X$3="","",CF表!X10/10000)</f>
        <v/>
      </c>
      <c r="Y10" s="221">
        <f>IF(CF表!Y$3="","",CF表!Y10/10000)</f>
        <v/>
      </c>
      <c r="Z10" s="221">
        <f>IF(CF表!Z$3="","",CF表!Z10/10000)</f>
        <v/>
      </c>
      <c r="AA10" s="221">
        <f>IF(CF表!AA$3="","",CF表!AA10/10000)</f>
        <v/>
      </c>
      <c r="AB10" s="221">
        <f>IF(CF表!AB$3="","",CF表!AB10/10000)</f>
        <v/>
      </c>
      <c r="AC10" s="221">
        <f>IF(CF表!AC$3="","",CF表!AC10/10000)</f>
        <v/>
      </c>
      <c r="AD10" s="221">
        <f>IF(CF表!AD$3="","",CF表!AD10/10000)</f>
        <v/>
      </c>
      <c r="AE10" s="221">
        <f>IF(CF表!AE$3="","",CF表!AE10/10000)</f>
        <v/>
      </c>
      <c r="AF10" s="221">
        <f>IF(CF表!AF$3="","",CF表!AF10/10000)</f>
        <v/>
      </c>
      <c r="AG10" s="221">
        <f>IF(CF表!AG$3="","",CF表!AG10/10000)</f>
        <v/>
      </c>
      <c r="AH10" s="221">
        <f>IF(CF表!AH$3="","",CF表!AH10/10000)</f>
        <v/>
      </c>
      <c r="AI10" s="221">
        <f>IF(CF表!AI$3="","",CF表!AI10/10000)</f>
        <v/>
      </c>
      <c r="AJ10" s="221">
        <f>IF(CF表!AJ$3="","",CF表!AJ10/10000)</f>
        <v/>
      </c>
      <c r="AK10" s="221">
        <f>IF(CF表!AK$3="","",CF表!AK10/10000)</f>
        <v/>
      </c>
      <c r="AL10" s="221">
        <f>IF(CF表!AL$3="","",CF表!AL10/10000)</f>
        <v/>
      </c>
      <c r="AM10" s="221">
        <f>IF(CF表!AM$3="","",CF表!AM10/10000)</f>
        <v/>
      </c>
      <c r="AN10" s="221">
        <f>IF(CF表!AN$3="","",CF表!AN10/10000)</f>
        <v/>
      </c>
      <c r="AO10" s="221">
        <f>IF(CF表!AO$3="","",CF表!AO10/10000)</f>
        <v/>
      </c>
      <c r="AP10" s="221">
        <f>IF(CF表!AP$3="","",CF表!AP10/10000)</f>
        <v/>
      </c>
      <c r="AQ10" s="221">
        <f>IF(CF表!AQ$3="","",CF表!AQ10/10000)</f>
        <v/>
      </c>
      <c r="AR10" s="221">
        <f>IF(CF表!AR$3="","",CF表!AR10/10000)</f>
        <v/>
      </c>
      <c r="AS10" s="221">
        <f>IF(CF表!AS$3="","",CF表!AS10/10000)</f>
        <v/>
      </c>
      <c r="AT10" s="221">
        <f>IF(CF表!AT$3="","",CF表!AT10/10000)</f>
        <v/>
      </c>
      <c r="AU10" s="221">
        <f>IF(CF表!AU$3="","",CF表!AU10/10000)</f>
        <v/>
      </c>
      <c r="AV10" s="221">
        <f>IF(CF表!AV$3="","",CF表!AV10/10000)</f>
        <v/>
      </c>
      <c r="AW10" s="221">
        <f>IF(CF表!AW$3="","",CF表!AW10/10000)</f>
        <v/>
      </c>
      <c r="AX10" s="221">
        <f>IF(CF表!AX$3="","",CF表!AX10/10000)</f>
        <v/>
      </c>
      <c r="AY10" s="221">
        <f>IF(CF表!AY$3="","",CF表!AY10/10000)</f>
        <v/>
      </c>
      <c r="AZ10" s="221">
        <f>IF(CF表!AZ$3="","",CF表!AZ10/10000)</f>
        <v/>
      </c>
      <c r="BA10" s="221">
        <f>IF(CF表!BA$3="","",CF表!BA10/10000)</f>
        <v/>
      </c>
      <c r="BB10" s="221">
        <f>IF(CF表!BB$3="","",CF表!BB10/10000)</f>
        <v/>
      </c>
      <c r="BC10" s="221">
        <f>IF(CF表!BC$3="","",CF表!BC10/10000)</f>
        <v/>
      </c>
      <c r="BD10" s="221">
        <f>IF(CF表!BD$3="","",CF表!BD10/10000)</f>
        <v/>
      </c>
      <c r="BE10" s="221">
        <f>IF(CF表!BE$3="","",CF表!BE10/10000)</f>
        <v/>
      </c>
      <c r="BF10" s="221">
        <f>IF(CF表!BF$3="","",CF表!BF10/10000)</f>
        <v/>
      </c>
      <c r="BG10" s="221">
        <f>IF(CF表!BG$3="","",CF表!BG10/10000)</f>
        <v/>
      </c>
      <c r="BH10" s="221">
        <f>IF(CF表!BH$3="","",CF表!BH10/10000)</f>
        <v/>
      </c>
      <c r="BI10" s="221">
        <f>IF(CF表!BI$3="","",CF表!BI10/10000)</f>
        <v/>
      </c>
      <c r="BJ10" s="221">
        <f>IF(CF表!BJ$3="","",CF表!BJ10/10000)</f>
        <v/>
      </c>
      <c r="BK10" s="221">
        <f>IF(CF表!BK$3="","",CF表!BK10/10000)</f>
        <v/>
      </c>
      <c r="BL10" s="221">
        <f>IF(CF表!BL$3="","",CF表!BL10/10000)</f>
        <v/>
      </c>
      <c r="BM10" s="221">
        <f>IF(CF表!BM$3="","",CF表!BM10/10000)</f>
        <v/>
      </c>
      <c r="BN10" s="221">
        <f>IF(CF表!BN$3="","",CF表!BN10/10000)</f>
        <v/>
      </c>
      <c r="BO10" s="221">
        <f>IF(CF表!BO$3="","",CF表!BO10/10000)</f>
        <v/>
      </c>
      <c r="BP10" s="221">
        <f>IF(CF表!BP$3="","",CF表!BP10/10000)</f>
        <v/>
      </c>
      <c r="BQ10" s="221">
        <f>IF(CF表!BQ$3="","",CF表!BQ10/10000)</f>
        <v/>
      </c>
      <c r="BR10" s="221">
        <f>IF(CF表!BR$3="","",CF表!BR10/10000)</f>
        <v/>
      </c>
      <c r="BS10" s="221">
        <f>IF(CF表!BS$3="","",CF表!BS10/10000)</f>
        <v/>
      </c>
      <c r="BT10" s="221">
        <f>IF(CF表!BT$3="","",CF表!BT10/10000)</f>
        <v/>
      </c>
      <c r="BU10" s="221">
        <f>IF(CF表!BU$3="","",CF表!BU10/10000)</f>
        <v/>
      </c>
      <c r="BV10" s="221">
        <f>IF(CF表!BV$3="","",CF表!BV10/10000)</f>
        <v/>
      </c>
      <c r="BW10" s="221">
        <f>IF(CF表!BW$3="","",CF表!BW10/10000)</f>
        <v/>
      </c>
      <c r="BX10" s="221">
        <f>IF(CF表!BX$3="","",CF表!BX10/10000)</f>
        <v/>
      </c>
      <c r="BY10" s="221">
        <f>IF(CF表!BY$3="","",CF表!BY10/10000)</f>
        <v/>
      </c>
      <c r="BZ10" s="221">
        <f>IF(CF表!BZ$3="","",CF表!BZ10/10000)</f>
        <v/>
      </c>
      <c r="CA10" s="221">
        <f>IF(CF表!CA$3="","",CF表!CA10/10000)</f>
        <v/>
      </c>
      <c r="CB10" s="221">
        <f>IF(CF表!CB$3="","",CF表!CB10/10000)</f>
        <v/>
      </c>
      <c r="CC10" s="221">
        <f>IF(CF表!CC$3="","",CF表!CC10/10000)</f>
        <v/>
      </c>
      <c r="CD10" s="221">
        <f>IF(CF表!CD$3="","",CF表!CD10/10000)</f>
        <v/>
      </c>
      <c r="CE10" s="221">
        <f>IF(CF表!CE$3="","",CF表!CE10/10000)</f>
        <v/>
      </c>
      <c r="CF10" s="221">
        <f>IF(CF表!CF$3="","",CF表!CF10/10000)</f>
        <v/>
      </c>
      <c r="CG10" s="221">
        <f>IF(CF表!CG$3="","",CF表!CG10/10000)</f>
        <v/>
      </c>
      <c r="CH10" s="221">
        <f>IF(CF表!CH$3="","",CF表!CH10/10000)</f>
        <v/>
      </c>
      <c r="CI10" s="221">
        <f>IF(CF表!CI$3="","",CF表!CI10/10000)</f>
        <v/>
      </c>
      <c r="CJ10" s="221">
        <f>IF(CF表!CJ$3="","",CF表!CJ10/10000)</f>
        <v/>
      </c>
      <c r="CK10" s="221">
        <f>IF(CF表!CK$3="","",CF表!CK10/10000)</f>
        <v/>
      </c>
      <c r="CL10" s="221">
        <f>IF(CF表!CL$3="","",CF表!CL10/10000)</f>
        <v/>
      </c>
      <c r="CM10" s="221">
        <f>IF(CF表!CM$3="","",CF表!CM10/10000)</f>
        <v/>
      </c>
      <c r="CN10" s="221">
        <f>IF(CF表!CN$3="","",CF表!CN10/10000)</f>
        <v/>
      </c>
      <c r="CO10" s="221">
        <f>IF(CF表!CO$3="","",CF表!CO10/10000)</f>
        <v/>
      </c>
      <c r="CP10" s="221">
        <f>IF(CF表!CP$3="","",CF表!CP10/10000)</f>
        <v/>
      </c>
      <c r="CQ10" s="221">
        <f>IF(CF表!CQ$3="","",CF表!CQ10/10000)</f>
        <v/>
      </c>
      <c r="CR10" s="221">
        <f>IF(CF表!CR$3="","",CF表!CR10/10000)</f>
        <v/>
      </c>
      <c r="CS10" s="221">
        <f>IF(CF表!CS$3="","",CF表!CS10/10000)</f>
        <v/>
      </c>
      <c r="CT10" s="221">
        <f>IF(CF表!CT$3="","",CF表!CT10/10000)</f>
        <v/>
      </c>
      <c r="CU10" s="221">
        <f>IF(CF表!CU$3="","",CF表!CU10/10000)</f>
        <v/>
      </c>
      <c r="CV10" s="221">
        <f>IF(CF表!CV$3="","",CF表!CV10/10000)</f>
        <v/>
      </c>
      <c r="CW10" s="221">
        <f>IF(CF表!CW$3="","",CF表!CW10/10000)</f>
        <v/>
      </c>
    </row>
    <row r="11" ht="15" customHeight="1" s="180">
      <c r="A11" s="220" t="inlineStr">
        <is>
          <t>奥様収入</t>
        </is>
      </c>
      <c r="B11" s="221">
        <f>IF(CF表!B$3="","",CF表!B11/10000)</f>
        <v/>
      </c>
      <c r="C11" s="221">
        <f>IF(CF表!C$3="","",CF表!C11/10000)</f>
        <v/>
      </c>
      <c r="D11" s="221">
        <f>IF(CF表!D$3="","",CF表!D11/10000)</f>
        <v/>
      </c>
      <c r="E11" s="221">
        <f>IF(CF表!E$3="","",CF表!E11/10000)</f>
        <v/>
      </c>
      <c r="F11" s="221">
        <f>IF(CF表!F$3="","",CF表!F11/10000)</f>
        <v/>
      </c>
      <c r="G11" s="221">
        <f>IF(CF表!G$3="","",CF表!G11/10000)</f>
        <v/>
      </c>
      <c r="H11" s="221">
        <f>IF(CF表!H$3="","",CF表!H11/10000)</f>
        <v/>
      </c>
      <c r="I11" s="221">
        <f>IF(CF表!I$3="","",CF表!I11/10000)</f>
        <v/>
      </c>
      <c r="J11" s="221">
        <f>IF(CF表!J$3="","",CF表!J11/10000)</f>
        <v/>
      </c>
      <c r="K11" s="221">
        <f>IF(CF表!K$3="","",CF表!K11/10000)</f>
        <v/>
      </c>
      <c r="L11" s="221">
        <f>IF(CF表!L$3="","",CF表!L11/10000)</f>
        <v/>
      </c>
      <c r="M11" s="221">
        <f>IF(CF表!M$3="","",CF表!M11/10000)</f>
        <v/>
      </c>
      <c r="N11" s="221">
        <f>IF(CF表!N$3="","",CF表!N11/10000)</f>
        <v/>
      </c>
      <c r="O11" s="221">
        <f>IF(CF表!O$3="","",CF表!O11/10000)</f>
        <v/>
      </c>
      <c r="P11" s="221">
        <f>IF(CF表!P$3="","",CF表!P11/10000)</f>
        <v/>
      </c>
      <c r="Q11" s="221">
        <f>IF(CF表!Q$3="","",CF表!Q11/10000)</f>
        <v/>
      </c>
      <c r="R11" s="221">
        <f>IF(CF表!R$3="","",CF表!R11/10000)</f>
        <v/>
      </c>
      <c r="S11" s="221">
        <f>IF(CF表!S$3="","",CF表!S11/10000)</f>
        <v/>
      </c>
      <c r="T11" s="221">
        <f>IF(CF表!T$3="","",CF表!T11/10000)</f>
        <v/>
      </c>
      <c r="U11" s="221">
        <f>IF(CF表!U$3="","",CF表!U11/10000)</f>
        <v/>
      </c>
      <c r="V11" s="221">
        <f>IF(CF表!V$3="","",CF表!V11/10000)</f>
        <v/>
      </c>
      <c r="W11" s="221">
        <f>IF(CF表!W$3="","",CF表!W11/10000)</f>
        <v/>
      </c>
      <c r="X11" s="221">
        <f>IF(CF表!X$3="","",CF表!X11/10000)</f>
        <v/>
      </c>
      <c r="Y11" s="221">
        <f>IF(CF表!Y$3="","",CF表!Y11/10000)</f>
        <v/>
      </c>
      <c r="Z11" s="221">
        <f>IF(CF表!Z$3="","",CF表!Z11/10000)</f>
        <v/>
      </c>
      <c r="AA11" s="221">
        <f>IF(CF表!AA$3="","",CF表!AA11/10000)</f>
        <v/>
      </c>
      <c r="AB11" s="221">
        <f>IF(CF表!AB$3="","",CF表!AB11/10000)</f>
        <v/>
      </c>
      <c r="AC11" s="221">
        <f>IF(CF表!AC$3="","",CF表!AC11/10000)</f>
        <v/>
      </c>
      <c r="AD11" s="221">
        <f>IF(CF表!AD$3="","",CF表!AD11/10000)</f>
        <v/>
      </c>
      <c r="AE11" s="221">
        <f>IF(CF表!AE$3="","",CF表!AE11/10000)</f>
        <v/>
      </c>
      <c r="AF11" s="221">
        <f>IF(CF表!AF$3="","",CF表!AF11/10000)</f>
        <v/>
      </c>
      <c r="AG11" s="221">
        <f>IF(CF表!AG$3="","",CF表!AG11/10000)</f>
        <v/>
      </c>
      <c r="AH11" s="221">
        <f>IF(CF表!AH$3="","",CF表!AH11/10000)</f>
        <v/>
      </c>
      <c r="AI11" s="221">
        <f>IF(CF表!AI$3="","",CF表!AI11/10000)</f>
        <v/>
      </c>
      <c r="AJ11" s="221">
        <f>IF(CF表!AJ$3="","",CF表!AJ11/10000)</f>
        <v/>
      </c>
      <c r="AK11" s="221">
        <f>IF(CF表!AK$3="","",CF表!AK11/10000)</f>
        <v/>
      </c>
      <c r="AL11" s="221">
        <f>IF(CF表!AL$3="","",CF表!AL11/10000)</f>
        <v/>
      </c>
      <c r="AM11" s="221">
        <f>IF(CF表!AM$3="","",CF表!AM11/10000)</f>
        <v/>
      </c>
      <c r="AN11" s="221">
        <f>IF(CF表!AN$3="","",CF表!AN11/10000)</f>
        <v/>
      </c>
      <c r="AO11" s="221">
        <f>IF(CF表!AO$3="","",CF表!AO11/10000)</f>
        <v/>
      </c>
      <c r="AP11" s="221">
        <f>IF(CF表!AP$3="","",CF表!AP11/10000)</f>
        <v/>
      </c>
      <c r="AQ11" s="221">
        <f>IF(CF表!AQ$3="","",CF表!AQ11/10000)</f>
        <v/>
      </c>
      <c r="AR11" s="221">
        <f>IF(CF表!AR$3="","",CF表!AR11/10000)</f>
        <v/>
      </c>
      <c r="AS11" s="221">
        <f>IF(CF表!AS$3="","",CF表!AS11/10000)</f>
        <v/>
      </c>
      <c r="AT11" s="221">
        <f>IF(CF表!AT$3="","",CF表!AT11/10000)</f>
        <v/>
      </c>
      <c r="AU11" s="221">
        <f>IF(CF表!AU$3="","",CF表!AU11/10000)</f>
        <v/>
      </c>
      <c r="AV11" s="221">
        <f>IF(CF表!AV$3="","",CF表!AV11/10000)</f>
        <v/>
      </c>
      <c r="AW11" s="221">
        <f>IF(CF表!AW$3="","",CF表!AW11/10000)</f>
        <v/>
      </c>
      <c r="AX11" s="221">
        <f>IF(CF表!AX$3="","",CF表!AX11/10000)</f>
        <v/>
      </c>
      <c r="AY11" s="221">
        <f>IF(CF表!AY$3="","",CF表!AY11/10000)</f>
        <v/>
      </c>
      <c r="AZ11" s="221">
        <f>IF(CF表!AZ$3="","",CF表!AZ11/10000)</f>
        <v/>
      </c>
      <c r="BA11" s="221">
        <f>IF(CF表!BA$3="","",CF表!BA11/10000)</f>
        <v/>
      </c>
      <c r="BB11" s="221">
        <f>IF(CF表!BB$3="","",CF表!BB11/10000)</f>
        <v/>
      </c>
      <c r="BC11" s="221">
        <f>IF(CF表!BC$3="","",CF表!BC11/10000)</f>
        <v/>
      </c>
      <c r="BD11" s="221">
        <f>IF(CF表!BD$3="","",CF表!BD11/10000)</f>
        <v/>
      </c>
      <c r="BE11" s="221">
        <f>IF(CF表!BE$3="","",CF表!BE11/10000)</f>
        <v/>
      </c>
      <c r="BF11" s="221">
        <f>IF(CF表!BF$3="","",CF表!BF11/10000)</f>
        <v/>
      </c>
      <c r="BG11" s="221">
        <f>IF(CF表!BG$3="","",CF表!BG11/10000)</f>
        <v/>
      </c>
      <c r="BH11" s="221">
        <f>IF(CF表!BH$3="","",CF表!BH11/10000)</f>
        <v/>
      </c>
      <c r="BI11" s="221">
        <f>IF(CF表!BI$3="","",CF表!BI11/10000)</f>
        <v/>
      </c>
      <c r="BJ11" s="221">
        <f>IF(CF表!BJ$3="","",CF表!BJ11/10000)</f>
        <v/>
      </c>
      <c r="BK11" s="221">
        <f>IF(CF表!BK$3="","",CF表!BK11/10000)</f>
        <v/>
      </c>
      <c r="BL11" s="221">
        <f>IF(CF表!BL$3="","",CF表!BL11/10000)</f>
        <v/>
      </c>
      <c r="BM11" s="221">
        <f>IF(CF表!BM$3="","",CF表!BM11/10000)</f>
        <v/>
      </c>
      <c r="BN11" s="221">
        <f>IF(CF表!BN$3="","",CF表!BN11/10000)</f>
        <v/>
      </c>
      <c r="BO11" s="221">
        <f>IF(CF表!BO$3="","",CF表!BO11/10000)</f>
        <v/>
      </c>
      <c r="BP11" s="221">
        <f>IF(CF表!BP$3="","",CF表!BP11/10000)</f>
        <v/>
      </c>
      <c r="BQ11" s="221">
        <f>IF(CF表!BQ$3="","",CF表!BQ11/10000)</f>
        <v/>
      </c>
      <c r="BR11" s="221">
        <f>IF(CF表!BR$3="","",CF表!BR11/10000)</f>
        <v/>
      </c>
      <c r="BS11" s="221">
        <f>IF(CF表!BS$3="","",CF表!BS11/10000)</f>
        <v/>
      </c>
      <c r="BT11" s="221">
        <f>IF(CF表!BT$3="","",CF表!BT11/10000)</f>
        <v/>
      </c>
      <c r="BU11" s="221">
        <f>IF(CF表!BU$3="","",CF表!BU11/10000)</f>
        <v/>
      </c>
      <c r="BV11" s="221">
        <f>IF(CF表!BV$3="","",CF表!BV11/10000)</f>
        <v/>
      </c>
      <c r="BW11" s="221">
        <f>IF(CF表!BW$3="","",CF表!BW11/10000)</f>
        <v/>
      </c>
      <c r="BX11" s="221">
        <f>IF(CF表!BX$3="","",CF表!BX11/10000)</f>
        <v/>
      </c>
      <c r="BY11" s="221">
        <f>IF(CF表!BY$3="","",CF表!BY11/10000)</f>
        <v/>
      </c>
      <c r="BZ11" s="221">
        <f>IF(CF表!BZ$3="","",CF表!BZ11/10000)</f>
        <v/>
      </c>
      <c r="CA11" s="221">
        <f>IF(CF表!CA$3="","",CF表!CA11/10000)</f>
        <v/>
      </c>
      <c r="CB11" s="221">
        <f>IF(CF表!CB$3="","",CF表!CB11/10000)</f>
        <v/>
      </c>
      <c r="CC11" s="221">
        <f>IF(CF表!CC$3="","",CF表!CC11/10000)</f>
        <v/>
      </c>
      <c r="CD11" s="221">
        <f>IF(CF表!CD$3="","",CF表!CD11/10000)</f>
        <v/>
      </c>
      <c r="CE11" s="221">
        <f>IF(CF表!CE$3="","",CF表!CE11/10000)</f>
        <v/>
      </c>
      <c r="CF11" s="221">
        <f>IF(CF表!CF$3="","",CF表!CF11/10000)</f>
        <v/>
      </c>
      <c r="CG11" s="221">
        <f>IF(CF表!CG$3="","",CF表!CG11/10000)</f>
        <v/>
      </c>
      <c r="CH11" s="221">
        <f>IF(CF表!CH$3="","",CF表!CH11/10000)</f>
        <v/>
      </c>
      <c r="CI11" s="221">
        <f>IF(CF表!CI$3="","",CF表!CI11/10000)</f>
        <v/>
      </c>
      <c r="CJ11" s="221">
        <f>IF(CF表!CJ$3="","",CF表!CJ11/10000)</f>
        <v/>
      </c>
      <c r="CK11" s="221">
        <f>IF(CF表!CK$3="","",CF表!CK11/10000)</f>
        <v/>
      </c>
      <c r="CL11" s="221">
        <f>IF(CF表!CL$3="","",CF表!CL11/10000)</f>
        <v/>
      </c>
      <c r="CM11" s="221">
        <f>IF(CF表!CM$3="","",CF表!CM11/10000)</f>
        <v/>
      </c>
      <c r="CN11" s="221">
        <f>IF(CF表!CN$3="","",CF表!CN11/10000)</f>
        <v/>
      </c>
      <c r="CO11" s="221">
        <f>IF(CF表!CO$3="","",CF表!CO11/10000)</f>
        <v/>
      </c>
      <c r="CP11" s="221">
        <f>IF(CF表!CP$3="","",CF表!CP11/10000)</f>
        <v/>
      </c>
      <c r="CQ11" s="221">
        <f>IF(CF表!CQ$3="","",CF表!CQ11/10000)</f>
        <v/>
      </c>
      <c r="CR11" s="221">
        <f>IF(CF表!CR$3="","",CF表!CR11/10000)</f>
        <v/>
      </c>
      <c r="CS11" s="221">
        <f>IF(CF表!CS$3="","",CF表!CS11/10000)</f>
        <v/>
      </c>
      <c r="CT11" s="221">
        <f>IF(CF表!CT$3="","",CF表!CT11/10000)</f>
        <v/>
      </c>
      <c r="CU11" s="221">
        <f>IF(CF表!CU$3="","",CF表!CU11/10000)</f>
        <v/>
      </c>
      <c r="CV11" s="221">
        <f>IF(CF表!CV$3="","",CF表!CV11/10000)</f>
        <v/>
      </c>
      <c r="CW11" s="221">
        <f>IF(CF表!CW$3="","",CF表!CW11/10000)</f>
        <v/>
      </c>
    </row>
    <row r="12" ht="15" customHeight="1" s="180">
      <c r="A12" s="220" t="inlineStr">
        <is>
          <t>児童手当</t>
        </is>
      </c>
      <c r="B12" s="221">
        <f>IF(CF表!B$3="","",CF表!B12/10000)</f>
        <v/>
      </c>
      <c r="C12" s="221">
        <f>IF(CF表!C$3="","",CF表!C12/10000)</f>
        <v/>
      </c>
      <c r="D12" s="221">
        <f>IF(CF表!D$3="","",CF表!D12/10000)</f>
        <v/>
      </c>
      <c r="E12" s="221">
        <f>IF(CF表!E$3="","",CF表!E12/10000)</f>
        <v/>
      </c>
      <c r="F12" s="221">
        <f>IF(CF表!F$3="","",CF表!F12/10000)</f>
        <v/>
      </c>
      <c r="G12" s="221">
        <f>IF(CF表!G$3="","",CF表!G12/10000)</f>
        <v/>
      </c>
      <c r="H12" s="221">
        <f>IF(CF表!H$3="","",CF表!H12/10000)</f>
        <v/>
      </c>
      <c r="I12" s="221">
        <f>IF(CF表!I$3="","",CF表!I12/10000)</f>
        <v/>
      </c>
      <c r="J12" s="221">
        <f>IF(CF表!J$3="","",CF表!J12/10000)</f>
        <v/>
      </c>
      <c r="K12" s="221">
        <f>IF(CF表!K$3="","",CF表!K12/10000)</f>
        <v/>
      </c>
      <c r="L12" s="221">
        <f>IF(CF表!L$3="","",CF表!L12/10000)</f>
        <v/>
      </c>
      <c r="M12" s="221">
        <f>IF(CF表!M$3="","",CF表!M12/10000)</f>
        <v/>
      </c>
      <c r="N12" s="221">
        <f>IF(CF表!N$3="","",CF表!N12/10000)</f>
        <v/>
      </c>
      <c r="O12" s="221">
        <f>IF(CF表!O$3="","",CF表!O12/10000)</f>
        <v/>
      </c>
      <c r="P12" s="221">
        <f>IF(CF表!P$3="","",CF表!P12/10000)</f>
        <v/>
      </c>
      <c r="Q12" s="221">
        <f>IF(CF表!Q$3="","",CF表!Q12/10000)</f>
        <v/>
      </c>
      <c r="R12" s="221">
        <f>IF(CF表!R$3="","",CF表!R12/10000)</f>
        <v/>
      </c>
      <c r="S12" s="221">
        <f>IF(CF表!S$3="","",CF表!S12/10000)</f>
        <v/>
      </c>
      <c r="T12" s="221">
        <f>IF(CF表!T$3="","",CF表!T12/10000)</f>
        <v/>
      </c>
      <c r="U12" s="221">
        <f>IF(CF表!U$3="","",CF表!U12/10000)</f>
        <v/>
      </c>
      <c r="V12" s="221">
        <f>IF(CF表!V$3="","",CF表!V12/10000)</f>
        <v/>
      </c>
      <c r="W12" s="221">
        <f>IF(CF表!W$3="","",CF表!W12/10000)</f>
        <v/>
      </c>
      <c r="X12" s="221">
        <f>IF(CF表!X$3="","",CF表!X12/10000)</f>
        <v/>
      </c>
      <c r="Y12" s="221">
        <f>IF(CF表!Y$3="","",CF表!Y12/10000)</f>
        <v/>
      </c>
      <c r="Z12" s="221">
        <f>IF(CF表!Z$3="","",CF表!Z12/10000)</f>
        <v/>
      </c>
      <c r="AA12" s="221">
        <f>IF(CF表!AA$3="","",CF表!AA12/10000)</f>
        <v/>
      </c>
      <c r="AB12" s="221">
        <f>IF(CF表!AB$3="","",CF表!AB12/10000)</f>
        <v/>
      </c>
      <c r="AC12" s="221">
        <f>IF(CF表!AC$3="","",CF表!AC12/10000)</f>
        <v/>
      </c>
      <c r="AD12" s="221">
        <f>IF(CF表!AD$3="","",CF表!AD12/10000)</f>
        <v/>
      </c>
      <c r="AE12" s="221">
        <f>IF(CF表!AE$3="","",CF表!AE12/10000)</f>
        <v/>
      </c>
      <c r="AF12" s="221">
        <f>IF(CF表!AF$3="","",CF表!AF12/10000)</f>
        <v/>
      </c>
      <c r="AG12" s="221">
        <f>IF(CF表!AG$3="","",CF表!AG12/10000)</f>
        <v/>
      </c>
      <c r="AH12" s="221">
        <f>IF(CF表!AH$3="","",CF表!AH12/10000)</f>
        <v/>
      </c>
      <c r="AI12" s="221">
        <f>IF(CF表!AI$3="","",CF表!AI12/10000)</f>
        <v/>
      </c>
      <c r="AJ12" s="221">
        <f>IF(CF表!AJ$3="","",CF表!AJ12/10000)</f>
        <v/>
      </c>
      <c r="AK12" s="221">
        <f>IF(CF表!AK$3="","",CF表!AK12/10000)</f>
        <v/>
      </c>
      <c r="AL12" s="221">
        <f>IF(CF表!AL$3="","",CF表!AL12/10000)</f>
        <v/>
      </c>
      <c r="AM12" s="221">
        <f>IF(CF表!AM$3="","",CF表!AM12/10000)</f>
        <v/>
      </c>
      <c r="AN12" s="221">
        <f>IF(CF表!AN$3="","",CF表!AN12/10000)</f>
        <v/>
      </c>
      <c r="AO12" s="221">
        <f>IF(CF表!AO$3="","",CF表!AO12/10000)</f>
        <v/>
      </c>
      <c r="AP12" s="221">
        <f>IF(CF表!AP$3="","",CF表!AP12/10000)</f>
        <v/>
      </c>
      <c r="AQ12" s="221">
        <f>IF(CF表!AQ$3="","",CF表!AQ12/10000)</f>
        <v/>
      </c>
      <c r="AR12" s="221">
        <f>IF(CF表!AR$3="","",CF表!AR12/10000)</f>
        <v/>
      </c>
      <c r="AS12" s="221">
        <f>IF(CF表!AS$3="","",CF表!AS12/10000)</f>
        <v/>
      </c>
      <c r="AT12" s="221">
        <f>IF(CF表!AT$3="","",CF表!AT12/10000)</f>
        <v/>
      </c>
      <c r="AU12" s="221">
        <f>IF(CF表!AU$3="","",CF表!AU12/10000)</f>
        <v/>
      </c>
      <c r="AV12" s="221">
        <f>IF(CF表!AV$3="","",CF表!AV12/10000)</f>
        <v/>
      </c>
      <c r="AW12" s="221">
        <f>IF(CF表!AW$3="","",CF表!AW12/10000)</f>
        <v/>
      </c>
      <c r="AX12" s="221">
        <f>IF(CF表!AX$3="","",CF表!AX12/10000)</f>
        <v/>
      </c>
      <c r="AY12" s="221">
        <f>IF(CF表!AY$3="","",CF表!AY12/10000)</f>
        <v/>
      </c>
      <c r="AZ12" s="221">
        <f>IF(CF表!AZ$3="","",CF表!AZ12/10000)</f>
        <v/>
      </c>
      <c r="BA12" s="221">
        <f>IF(CF表!BA$3="","",CF表!BA12/10000)</f>
        <v/>
      </c>
      <c r="BB12" s="221">
        <f>IF(CF表!BB$3="","",CF表!BB12/10000)</f>
        <v/>
      </c>
      <c r="BC12" s="221">
        <f>IF(CF表!BC$3="","",CF表!BC12/10000)</f>
        <v/>
      </c>
      <c r="BD12" s="221">
        <f>IF(CF表!BD$3="","",CF表!BD12/10000)</f>
        <v/>
      </c>
      <c r="BE12" s="221">
        <f>IF(CF表!BE$3="","",CF表!BE12/10000)</f>
        <v/>
      </c>
      <c r="BF12" s="221">
        <f>IF(CF表!BF$3="","",CF表!BF12/10000)</f>
        <v/>
      </c>
      <c r="BG12" s="221">
        <f>IF(CF表!BG$3="","",CF表!BG12/10000)</f>
        <v/>
      </c>
      <c r="BH12" s="221">
        <f>IF(CF表!BH$3="","",CF表!BH12/10000)</f>
        <v/>
      </c>
      <c r="BI12" s="221">
        <f>IF(CF表!BI$3="","",CF表!BI12/10000)</f>
        <v/>
      </c>
      <c r="BJ12" s="221">
        <f>IF(CF表!BJ$3="","",CF表!BJ12/10000)</f>
        <v/>
      </c>
      <c r="BK12" s="221">
        <f>IF(CF表!BK$3="","",CF表!BK12/10000)</f>
        <v/>
      </c>
      <c r="BL12" s="221">
        <f>IF(CF表!BL$3="","",CF表!BL12/10000)</f>
        <v/>
      </c>
      <c r="BM12" s="221">
        <f>IF(CF表!BM$3="","",CF表!BM12/10000)</f>
        <v/>
      </c>
      <c r="BN12" s="221">
        <f>IF(CF表!BN$3="","",CF表!BN12/10000)</f>
        <v/>
      </c>
      <c r="BO12" s="221">
        <f>IF(CF表!BO$3="","",CF表!BO12/10000)</f>
        <v/>
      </c>
      <c r="BP12" s="221">
        <f>IF(CF表!BP$3="","",CF表!BP12/10000)</f>
        <v/>
      </c>
      <c r="BQ12" s="221">
        <f>IF(CF表!BQ$3="","",CF表!BQ12/10000)</f>
        <v/>
      </c>
      <c r="BR12" s="221">
        <f>IF(CF表!BR$3="","",CF表!BR12/10000)</f>
        <v/>
      </c>
      <c r="BS12" s="221">
        <f>IF(CF表!BS$3="","",CF表!BS12/10000)</f>
        <v/>
      </c>
      <c r="BT12" s="221">
        <f>IF(CF表!BT$3="","",CF表!BT12/10000)</f>
        <v/>
      </c>
      <c r="BU12" s="221">
        <f>IF(CF表!BU$3="","",CF表!BU12/10000)</f>
        <v/>
      </c>
      <c r="BV12" s="221">
        <f>IF(CF表!BV$3="","",CF表!BV12/10000)</f>
        <v/>
      </c>
      <c r="BW12" s="221">
        <f>IF(CF表!BW$3="","",CF表!BW12/10000)</f>
        <v/>
      </c>
      <c r="BX12" s="221">
        <f>IF(CF表!BX$3="","",CF表!BX12/10000)</f>
        <v/>
      </c>
      <c r="BY12" s="221">
        <f>IF(CF表!BY$3="","",CF表!BY12/10000)</f>
        <v/>
      </c>
      <c r="BZ12" s="221">
        <f>IF(CF表!BZ$3="","",CF表!BZ12/10000)</f>
        <v/>
      </c>
      <c r="CA12" s="221">
        <f>IF(CF表!CA$3="","",CF表!CA12/10000)</f>
        <v/>
      </c>
      <c r="CB12" s="221">
        <f>IF(CF表!CB$3="","",CF表!CB12/10000)</f>
        <v/>
      </c>
      <c r="CC12" s="221">
        <f>IF(CF表!CC$3="","",CF表!CC12/10000)</f>
        <v/>
      </c>
      <c r="CD12" s="221">
        <f>IF(CF表!CD$3="","",CF表!CD12/10000)</f>
        <v/>
      </c>
      <c r="CE12" s="221">
        <f>IF(CF表!CE$3="","",CF表!CE12/10000)</f>
        <v/>
      </c>
      <c r="CF12" s="221">
        <f>IF(CF表!CF$3="","",CF表!CF12/10000)</f>
        <v/>
      </c>
      <c r="CG12" s="221">
        <f>IF(CF表!CG$3="","",CF表!CG12/10000)</f>
        <v/>
      </c>
      <c r="CH12" s="221">
        <f>IF(CF表!CH$3="","",CF表!CH12/10000)</f>
        <v/>
      </c>
      <c r="CI12" s="221">
        <f>IF(CF表!CI$3="","",CF表!CI12/10000)</f>
        <v/>
      </c>
      <c r="CJ12" s="221">
        <f>IF(CF表!CJ$3="","",CF表!CJ12/10000)</f>
        <v/>
      </c>
      <c r="CK12" s="221">
        <f>IF(CF表!CK$3="","",CF表!CK12/10000)</f>
        <v/>
      </c>
      <c r="CL12" s="221">
        <f>IF(CF表!CL$3="","",CF表!CL12/10000)</f>
        <v/>
      </c>
      <c r="CM12" s="221">
        <f>IF(CF表!CM$3="","",CF表!CM12/10000)</f>
        <v/>
      </c>
      <c r="CN12" s="221">
        <f>IF(CF表!CN$3="","",CF表!CN12/10000)</f>
        <v/>
      </c>
      <c r="CO12" s="221">
        <f>IF(CF表!CO$3="","",CF表!CO12/10000)</f>
        <v/>
      </c>
      <c r="CP12" s="221">
        <f>IF(CF表!CP$3="","",CF表!CP12/10000)</f>
        <v/>
      </c>
      <c r="CQ12" s="221">
        <f>IF(CF表!CQ$3="","",CF表!CQ12/10000)</f>
        <v/>
      </c>
      <c r="CR12" s="221">
        <f>IF(CF表!CR$3="","",CF表!CR12/10000)</f>
        <v/>
      </c>
      <c r="CS12" s="221">
        <f>IF(CF表!CS$3="","",CF表!CS12/10000)</f>
        <v/>
      </c>
      <c r="CT12" s="221">
        <f>IF(CF表!CT$3="","",CF表!CT12/10000)</f>
        <v/>
      </c>
      <c r="CU12" s="221">
        <f>IF(CF表!CU$3="","",CF表!CU12/10000)</f>
        <v/>
      </c>
      <c r="CV12" s="221">
        <f>IF(CF表!CV$3="","",CF表!CV12/10000)</f>
        <v/>
      </c>
      <c r="CW12" s="221">
        <f>IF(CF表!CW$3="","",CF表!CW12/10000)</f>
        <v/>
      </c>
    </row>
    <row r="13" ht="15" customHeight="1" s="180">
      <c r="A13" s="220" t="inlineStr">
        <is>
          <t>その他収入</t>
        </is>
      </c>
      <c r="B13" s="221">
        <f>IF(CF表!B$3="","",CF表!B13/10000)</f>
        <v/>
      </c>
      <c r="C13" s="221">
        <f>IF(CF表!C$3="","",CF表!C13/10000)</f>
        <v/>
      </c>
      <c r="D13" s="221">
        <f>IF(CF表!D$3="","",CF表!D13/10000)</f>
        <v/>
      </c>
      <c r="E13" s="221">
        <f>IF(CF表!E$3="","",CF表!E13/10000)</f>
        <v/>
      </c>
      <c r="F13" s="221">
        <f>IF(CF表!F$3="","",CF表!F13/10000)</f>
        <v/>
      </c>
      <c r="G13" s="221">
        <f>IF(CF表!G$3="","",CF表!G13/10000)</f>
        <v/>
      </c>
      <c r="H13" s="221">
        <f>IF(CF表!H$3="","",CF表!H13/10000)</f>
        <v/>
      </c>
      <c r="I13" s="221">
        <f>IF(CF表!I$3="","",CF表!I13/10000)</f>
        <v/>
      </c>
      <c r="J13" s="221">
        <f>IF(CF表!J$3="","",CF表!J13/10000)</f>
        <v/>
      </c>
      <c r="K13" s="221">
        <f>IF(CF表!K$3="","",CF表!K13/10000)</f>
        <v/>
      </c>
      <c r="L13" s="221">
        <f>IF(CF表!L$3="","",CF表!L13/10000)</f>
        <v/>
      </c>
      <c r="M13" s="221">
        <f>IF(CF表!M$3="","",CF表!M13/10000)</f>
        <v/>
      </c>
      <c r="N13" s="221">
        <f>IF(CF表!N$3="","",CF表!N13/10000)</f>
        <v/>
      </c>
      <c r="O13" s="221">
        <f>IF(CF表!O$3="","",CF表!O13/10000)</f>
        <v/>
      </c>
      <c r="P13" s="221">
        <f>IF(CF表!P$3="","",CF表!P13/10000)</f>
        <v/>
      </c>
      <c r="Q13" s="221">
        <f>IF(CF表!Q$3="","",CF表!Q13/10000)</f>
        <v/>
      </c>
      <c r="R13" s="221">
        <f>IF(CF表!R$3="","",CF表!R13/10000)</f>
        <v/>
      </c>
      <c r="S13" s="221">
        <f>IF(CF表!S$3="","",CF表!S13/10000)</f>
        <v/>
      </c>
      <c r="T13" s="221">
        <f>IF(CF表!T$3="","",CF表!T13/10000)</f>
        <v/>
      </c>
      <c r="U13" s="221">
        <f>IF(CF表!U$3="","",CF表!U13/10000)</f>
        <v/>
      </c>
      <c r="V13" s="221">
        <f>IF(CF表!V$3="","",CF表!V13/10000)</f>
        <v/>
      </c>
      <c r="W13" s="221">
        <f>IF(CF表!W$3="","",CF表!W13/10000)</f>
        <v/>
      </c>
      <c r="X13" s="221">
        <f>IF(CF表!X$3="","",CF表!X13/10000)</f>
        <v/>
      </c>
      <c r="Y13" s="221">
        <f>IF(CF表!Y$3="","",CF表!Y13/10000)</f>
        <v/>
      </c>
      <c r="Z13" s="221">
        <f>IF(CF表!Z$3="","",CF表!Z13/10000)</f>
        <v/>
      </c>
      <c r="AA13" s="221">
        <f>IF(CF表!AA$3="","",CF表!AA13/10000)</f>
        <v/>
      </c>
      <c r="AB13" s="221">
        <f>IF(CF表!AB$3="","",CF表!AB13/10000)</f>
        <v/>
      </c>
      <c r="AC13" s="221">
        <f>IF(CF表!AC$3="","",CF表!AC13/10000)</f>
        <v/>
      </c>
      <c r="AD13" s="221">
        <f>IF(CF表!AD$3="","",CF表!AD13/10000)</f>
        <v/>
      </c>
      <c r="AE13" s="221">
        <f>IF(CF表!AE$3="","",CF表!AE13/10000)</f>
        <v/>
      </c>
      <c r="AF13" s="221">
        <f>IF(CF表!AF$3="","",CF表!AF13/10000)</f>
        <v/>
      </c>
      <c r="AG13" s="221">
        <f>IF(CF表!AG$3="","",CF表!AG13/10000)</f>
        <v/>
      </c>
      <c r="AH13" s="221">
        <f>IF(CF表!AH$3="","",CF表!AH13/10000)</f>
        <v/>
      </c>
      <c r="AI13" s="221">
        <f>IF(CF表!AI$3="","",CF表!AI13/10000)</f>
        <v/>
      </c>
      <c r="AJ13" s="221">
        <f>IF(CF表!AJ$3="","",CF表!AJ13/10000)</f>
        <v/>
      </c>
      <c r="AK13" s="221">
        <f>IF(CF表!AK$3="","",CF表!AK13/10000)</f>
        <v/>
      </c>
      <c r="AL13" s="221">
        <f>IF(CF表!AL$3="","",CF表!AL13/10000)</f>
        <v/>
      </c>
      <c r="AM13" s="221">
        <f>IF(CF表!AM$3="","",CF表!AM13/10000)</f>
        <v/>
      </c>
      <c r="AN13" s="221">
        <f>IF(CF表!AN$3="","",CF表!AN13/10000)</f>
        <v/>
      </c>
      <c r="AO13" s="221">
        <f>IF(CF表!AO$3="","",CF表!AO13/10000)</f>
        <v/>
      </c>
      <c r="AP13" s="221">
        <f>IF(CF表!AP$3="","",CF表!AP13/10000)</f>
        <v/>
      </c>
      <c r="AQ13" s="221">
        <f>IF(CF表!AQ$3="","",CF表!AQ13/10000)</f>
        <v/>
      </c>
      <c r="AR13" s="221">
        <f>IF(CF表!AR$3="","",CF表!AR13/10000)</f>
        <v/>
      </c>
      <c r="AS13" s="221">
        <f>IF(CF表!AS$3="","",CF表!AS13/10000)</f>
        <v/>
      </c>
      <c r="AT13" s="221">
        <f>IF(CF表!AT$3="","",CF表!AT13/10000)</f>
        <v/>
      </c>
      <c r="AU13" s="221">
        <f>IF(CF表!AU$3="","",CF表!AU13/10000)</f>
        <v/>
      </c>
      <c r="AV13" s="221">
        <f>IF(CF表!AV$3="","",CF表!AV13/10000)</f>
        <v/>
      </c>
      <c r="AW13" s="221">
        <f>IF(CF表!AW$3="","",CF表!AW13/10000)</f>
        <v/>
      </c>
      <c r="AX13" s="221">
        <f>IF(CF表!AX$3="","",CF表!AX13/10000)</f>
        <v/>
      </c>
      <c r="AY13" s="221">
        <f>IF(CF表!AY$3="","",CF表!AY13/10000)</f>
        <v/>
      </c>
      <c r="AZ13" s="221">
        <f>IF(CF表!AZ$3="","",CF表!AZ13/10000)</f>
        <v/>
      </c>
      <c r="BA13" s="221">
        <f>IF(CF表!BA$3="","",CF表!BA13/10000)</f>
        <v/>
      </c>
      <c r="BB13" s="221">
        <f>IF(CF表!BB$3="","",CF表!BB13/10000)</f>
        <v/>
      </c>
      <c r="BC13" s="221">
        <f>IF(CF表!BC$3="","",CF表!BC13/10000)</f>
        <v/>
      </c>
      <c r="BD13" s="221">
        <f>IF(CF表!BD$3="","",CF表!BD13/10000)</f>
        <v/>
      </c>
      <c r="BE13" s="221">
        <f>IF(CF表!BE$3="","",CF表!BE13/10000)</f>
        <v/>
      </c>
      <c r="BF13" s="221">
        <f>IF(CF表!BF$3="","",CF表!BF13/10000)</f>
        <v/>
      </c>
      <c r="BG13" s="221">
        <f>IF(CF表!BG$3="","",CF表!BG13/10000)</f>
        <v/>
      </c>
      <c r="BH13" s="221">
        <f>IF(CF表!BH$3="","",CF表!BH13/10000)</f>
        <v/>
      </c>
      <c r="BI13" s="221">
        <f>IF(CF表!BI$3="","",CF表!BI13/10000)</f>
        <v/>
      </c>
      <c r="BJ13" s="221">
        <f>IF(CF表!BJ$3="","",CF表!BJ13/10000)</f>
        <v/>
      </c>
      <c r="BK13" s="221">
        <f>IF(CF表!BK$3="","",CF表!BK13/10000)</f>
        <v/>
      </c>
      <c r="BL13" s="221">
        <f>IF(CF表!BL$3="","",CF表!BL13/10000)</f>
        <v/>
      </c>
      <c r="BM13" s="221">
        <f>IF(CF表!BM$3="","",CF表!BM13/10000)</f>
        <v/>
      </c>
      <c r="BN13" s="221">
        <f>IF(CF表!BN$3="","",CF表!BN13/10000)</f>
        <v/>
      </c>
      <c r="BO13" s="221">
        <f>IF(CF表!BO$3="","",CF表!BO13/10000)</f>
        <v/>
      </c>
      <c r="BP13" s="221">
        <f>IF(CF表!BP$3="","",CF表!BP13/10000)</f>
        <v/>
      </c>
      <c r="BQ13" s="221">
        <f>IF(CF表!BQ$3="","",CF表!BQ13/10000)</f>
        <v/>
      </c>
      <c r="BR13" s="221">
        <f>IF(CF表!BR$3="","",CF表!BR13/10000)</f>
        <v/>
      </c>
      <c r="BS13" s="221">
        <f>IF(CF表!BS$3="","",CF表!BS13/10000)</f>
        <v/>
      </c>
      <c r="BT13" s="221">
        <f>IF(CF表!BT$3="","",CF表!BT13/10000)</f>
        <v/>
      </c>
      <c r="BU13" s="221">
        <f>IF(CF表!BU$3="","",CF表!BU13/10000)</f>
        <v/>
      </c>
      <c r="BV13" s="221">
        <f>IF(CF表!BV$3="","",CF表!BV13/10000)</f>
        <v/>
      </c>
      <c r="BW13" s="221">
        <f>IF(CF表!BW$3="","",CF表!BW13/10000)</f>
        <v/>
      </c>
      <c r="BX13" s="221">
        <f>IF(CF表!BX$3="","",CF表!BX13/10000)</f>
        <v/>
      </c>
      <c r="BY13" s="221">
        <f>IF(CF表!BY$3="","",CF表!BY13/10000)</f>
        <v/>
      </c>
      <c r="BZ13" s="221">
        <f>IF(CF表!BZ$3="","",CF表!BZ13/10000)</f>
        <v/>
      </c>
      <c r="CA13" s="221">
        <f>IF(CF表!CA$3="","",CF表!CA13/10000)</f>
        <v/>
      </c>
      <c r="CB13" s="221">
        <f>IF(CF表!CB$3="","",CF表!CB13/10000)</f>
        <v/>
      </c>
      <c r="CC13" s="221">
        <f>IF(CF表!CC$3="","",CF表!CC13/10000)</f>
        <v/>
      </c>
      <c r="CD13" s="221">
        <f>IF(CF表!CD$3="","",CF表!CD13/10000)</f>
        <v/>
      </c>
      <c r="CE13" s="221">
        <f>IF(CF表!CE$3="","",CF表!CE13/10000)</f>
        <v/>
      </c>
      <c r="CF13" s="221">
        <f>IF(CF表!CF$3="","",CF表!CF13/10000)</f>
        <v/>
      </c>
      <c r="CG13" s="221">
        <f>IF(CF表!CG$3="","",CF表!CG13/10000)</f>
        <v/>
      </c>
      <c r="CH13" s="221">
        <f>IF(CF表!CH$3="","",CF表!CH13/10000)</f>
        <v/>
      </c>
      <c r="CI13" s="221">
        <f>IF(CF表!CI$3="","",CF表!CI13/10000)</f>
        <v/>
      </c>
      <c r="CJ13" s="221">
        <f>IF(CF表!CJ$3="","",CF表!CJ13/10000)</f>
        <v/>
      </c>
      <c r="CK13" s="221">
        <f>IF(CF表!CK$3="","",CF表!CK13/10000)</f>
        <v/>
      </c>
      <c r="CL13" s="221">
        <f>IF(CF表!CL$3="","",CF表!CL13/10000)</f>
        <v/>
      </c>
      <c r="CM13" s="221">
        <f>IF(CF表!CM$3="","",CF表!CM13/10000)</f>
        <v/>
      </c>
      <c r="CN13" s="221">
        <f>IF(CF表!CN$3="","",CF表!CN13/10000)</f>
        <v/>
      </c>
      <c r="CO13" s="221">
        <f>IF(CF表!CO$3="","",CF表!CO13/10000)</f>
        <v/>
      </c>
      <c r="CP13" s="221">
        <f>IF(CF表!CP$3="","",CF表!CP13/10000)</f>
        <v/>
      </c>
      <c r="CQ13" s="221">
        <f>IF(CF表!CQ$3="","",CF表!CQ13/10000)</f>
        <v/>
      </c>
      <c r="CR13" s="221">
        <f>IF(CF表!CR$3="","",CF表!CR13/10000)</f>
        <v/>
      </c>
      <c r="CS13" s="221">
        <f>IF(CF表!CS$3="","",CF表!CS13/10000)</f>
        <v/>
      </c>
      <c r="CT13" s="221">
        <f>IF(CF表!CT$3="","",CF表!CT13/10000)</f>
        <v/>
      </c>
      <c r="CU13" s="221">
        <f>IF(CF表!CU$3="","",CF表!CU13/10000)</f>
        <v/>
      </c>
      <c r="CV13" s="221">
        <f>IF(CF表!CV$3="","",CF表!CV13/10000)</f>
        <v/>
      </c>
      <c r="CW13" s="221">
        <f>IF(CF表!CW$3="","",CF表!CW13/10000)</f>
        <v/>
      </c>
    </row>
    <row r="14" ht="15" customHeight="1" s="180">
      <c r="A14" s="220" t="inlineStr">
        <is>
          <t>ご主人様退職金</t>
        </is>
      </c>
      <c r="B14" s="221">
        <f>IF(CF表!B$3="","",CF表!B14/10000)</f>
        <v/>
      </c>
      <c r="C14" s="221">
        <f>IF(CF表!C$3="","",CF表!C14/10000)</f>
        <v/>
      </c>
      <c r="D14" s="221">
        <f>IF(CF表!D$3="","",CF表!D14/10000)</f>
        <v/>
      </c>
      <c r="E14" s="221">
        <f>IF(CF表!E$3="","",CF表!E14/10000)</f>
        <v/>
      </c>
      <c r="F14" s="221">
        <f>IF(CF表!F$3="","",CF表!F14/10000)</f>
        <v/>
      </c>
      <c r="G14" s="221">
        <f>IF(CF表!G$3="","",CF表!G14/10000)</f>
        <v/>
      </c>
      <c r="H14" s="221">
        <f>IF(CF表!H$3="","",CF表!H14/10000)</f>
        <v/>
      </c>
      <c r="I14" s="221">
        <f>IF(CF表!I$3="","",CF表!I14/10000)</f>
        <v/>
      </c>
      <c r="J14" s="221">
        <f>IF(CF表!J$3="","",CF表!J14/10000)</f>
        <v/>
      </c>
      <c r="K14" s="221">
        <f>IF(CF表!K$3="","",CF表!K14/10000)</f>
        <v/>
      </c>
      <c r="L14" s="221">
        <f>IF(CF表!L$3="","",CF表!L14/10000)</f>
        <v/>
      </c>
      <c r="M14" s="221">
        <f>IF(CF表!M$3="","",CF表!M14/10000)</f>
        <v/>
      </c>
      <c r="N14" s="221">
        <f>IF(CF表!N$3="","",CF表!N14/10000)</f>
        <v/>
      </c>
      <c r="O14" s="221">
        <f>IF(CF表!O$3="","",CF表!O14/10000)</f>
        <v/>
      </c>
      <c r="P14" s="221">
        <f>IF(CF表!P$3="","",CF表!P14/10000)</f>
        <v/>
      </c>
      <c r="Q14" s="221">
        <f>IF(CF表!Q$3="","",CF表!Q14/10000)</f>
        <v/>
      </c>
      <c r="R14" s="221">
        <f>IF(CF表!R$3="","",CF表!R14/10000)</f>
        <v/>
      </c>
      <c r="S14" s="221">
        <f>IF(CF表!S$3="","",CF表!S14/10000)</f>
        <v/>
      </c>
      <c r="T14" s="221">
        <f>IF(CF表!T$3="","",CF表!T14/10000)</f>
        <v/>
      </c>
      <c r="U14" s="221">
        <f>IF(CF表!U$3="","",CF表!U14/10000)</f>
        <v/>
      </c>
      <c r="V14" s="221">
        <f>IF(CF表!V$3="","",CF表!V14/10000)</f>
        <v/>
      </c>
      <c r="W14" s="221">
        <f>IF(CF表!W$3="","",CF表!W14/10000)</f>
        <v/>
      </c>
      <c r="X14" s="221">
        <f>IF(CF表!X$3="","",CF表!X14/10000)</f>
        <v/>
      </c>
      <c r="Y14" s="221">
        <f>IF(CF表!Y$3="","",CF表!Y14/10000)</f>
        <v/>
      </c>
      <c r="Z14" s="221">
        <f>IF(CF表!Z$3="","",CF表!Z14/10000)</f>
        <v/>
      </c>
      <c r="AA14" s="221">
        <f>IF(CF表!AA$3="","",CF表!AA14/10000)</f>
        <v/>
      </c>
      <c r="AB14" s="221">
        <f>IF(CF表!AB$3="","",CF表!AB14/10000)</f>
        <v/>
      </c>
      <c r="AC14" s="221">
        <f>IF(CF表!AC$3="","",CF表!AC14/10000)</f>
        <v/>
      </c>
      <c r="AD14" s="221">
        <f>IF(CF表!AD$3="","",CF表!AD14/10000)</f>
        <v/>
      </c>
      <c r="AE14" s="221">
        <f>IF(CF表!AE$3="","",CF表!AE14/10000)</f>
        <v/>
      </c>
      <c r="AF14" s="221">
        <f>IF(CF表!AF$3="","",CF表!AF14/10000)</f>
        <v/>
      </c>
      <c r="AG14" s="221">
        <f>IF(CF表!AG$3="","",CF表!AG14/10000)</f>
        <v/>
      </c>
      <c r="AH14" s="221">
        <f>IF(CF表!AH$3="","",CF表!AH14/10000)</f>
        <v/>
      </c>
      <c r="AI14" s="221">
        <f>IF(CF表!AI$3="","",CF表!AI14/10000)</f>
        <v/>
      </c>
      <c r="AJ14" s="221">
        <f>IF(CF表!AJ$3="","",CF表!AJ14/10000)</f>
        <v/>
      </c>
      <c r="AK14" s="221">
        <f>IF(CF表!AK$3="","",CF表!AK14/10000)</f>
        <v/>
      </c>
      <c r="AL14" s="221">
        <f>IF(CF表!AL$3="","",CF表!AL14/10000)</f>
        <v/>
      </c>
      <c r="AM14" s="221">
        <f>IF(CF表!AM$3="","",CF表!AM14/10000)</f>
        <v/>
      </c>
      <c r="AN14" s="221">
        <f>IF(CF表!AN$3="","",CF表!AN14/10000)</f>
        <v/>
      </c>
      <c r="AO14" s="221">
        <f>IF(CF表!AO$3="","",CF表!AO14/10000)</f>
        <v/>
      </c>
      <c r="AP14" s="221">
        <f>IF(CF表!AP$3="","",CF表!AP14/10000)</f>
        <v/>
      </c>
      <c r="AQ14" s="221">
        <f>IF(CF表!AQ$3="","",CF表!AQ14/10000)</f>
        <v/>
      </c>
      <c r="AR14" s="221">
        <f>IF(CF表!AR$3="","",CF表!AR14/10000)</f>
        <v/>
      </c>
      <c r="AS14" s="221">
        <f>IF(CF表!AS$3="","",CF表!AS14/10000)</f>
        <v/>
      </c>
      <c r="AT14" s="221">
        <f>IF(CF表!AT$3="","",CF表!AT14/10000)</f>
        <v/>
      </c>
      <c r="AU14" s="221">
        <f>IF(CF表!AU$3="","",CF表!AU14/10000)</f>
        <v/>
      </c>
      <c r="AV14" s="221">
        <f>IF(CF表!AV$3="","",CF表!AV14/10000)</f>
        <v/>
      </c>
      <c r="AW14" s="221">
        <f>IF(CF表!AW$3="","",CF表!AW14/10000)</f>
        <v/>
      </c>
      <c r="AX14" s="221">
        <f>IF(CF表!AX$3="","",CF表!AX14/10000)</f>
        <v/>
      </c>
      <c r="AY14" s="221">
        <f>IF(CF表!AY$3="","",CF表!AY14/10000)</f>
        <v/>
      </c>
      <c r="AZ14" s="221">
        <f>IF(CF表!AZ$3="","",CF表!AZ14/10000)</f>
        <v/>
      </c>
      <c r="BA14" s="221">
        <f>IF(CF表!BA$3="","",CF表!BA14/10000)</f>
        <v/>
      </c>
      <c r="BB14" s="221">
        <f>IF(CF表!BB$3="","",CF表!BB14/10000)</f>
        <v/>
      </c>
      <c r="BC14" s="221">
        <f>IF(CF表!BC$3="","",CF表!BC14/10000)</f>
        <v/>
      </c>
      <c r="BD14" s="221">
        <f>IF(CF表!BD$3="","",CF表!BD14/10000)</f>
        <v/>
      </c>
      <c r="BE14" s="221">
        <f>IF(CF表!BE$3="","",CF表!BE14/10000)</f>
        <v/>
      </c>
      <c r="BF14" s="221">
        <f>IF(CF表!BF$3="","",CF表!BF14/10000)</f>
        <v/>
      </c>
      <c r="BG14" s="221">
        <f>IF(CF表!BG$3="","",CF表!BG14/10000)</f>
        <v/>
      </c>
      <c r="BH14" s="221">
        <f>IF(CF表!BH$3="","",CF表!BH14/10000)</f>
        <v/>
      </c>
      <c r="BI14" s="221">
        <f>IF(CF表!BI$3="","",CF表!BI14/10000)</f>
        <v/>
      </c>
      <c r="BJ14" s="221">
        <f>IF(CF表!BJ$3="","",CF表!BJ14/10000)</f>
        <v/>
      </c>
      <c r="BK14" s="221">
        <f>IF(CF表!BK$3="","",CF表!BK14/10000)</f>
        <v/>
      </c>
      <c r="BL14" s="221">
        <f>IF(CF表!BL$3="","",CF表!BL14/10000)</f>
        <v/>
      </c>
      <c r="BM14" s="221">
        <f>IF(CF表!BM$3="","",CF表!BM14/10000)</f>
        <v/>
      </c>
      <c r="BN14" s="221">
        <f>IF(CF表!BN$3="","",CF表!BN14/10000)</f>
        <v/>
      </c>
      <c r="BO14" s="221">
        <f>IF(CF表!BO$3="","",CF表!BO14/10000)</f>
        <v/>
      </c>
      <c r="BP14" s="221">
        <f>IF(CF表!BP$3="","",CF表!BP14/10000)</f>
        <v/>
      </c>
      <c r="BQ14" s="221">
        <f>IF(CF表!BQ$3="","",CF表!BQ14/10000)</f>
        <v/>
      </c>
      <c r="BR14" s="221">
        <f>IF(CF表!BR$3="","",CF表!BR14/10000)</f>
        <v/>
      </c>
      <c r="BS14" s="221">
        <f>IF(CF表!BS$3="","",CF表!BS14/10000)</f>
        <v/>
      </c>
      <c r="BT14" s="221">
        <f>IF(CF表!BT$3="","",CF表!BT14/10000)</f>
        <v/>
      </c>
      <c r="BU14" s="221">
        <f>IF(CF表!BU$3="","",CF表!BU14/10000)</f>
        <v/>
      </c>
      <c r="BV14" s="221">
        <f>IF(CF表!BV$3="","",CF表!BV14/10000)</f>
        <v/>
      </c>
      <c r="BW14" s="221">
        <f>IF(CF表!BW$3="","",CF表!BW14/10000)</f>
        <v/>
      </c>
      <c r="BX14" s="221">
        <f>IF(CF表!BX$3="","",CF表!BX14/10000)</f>
        <v/>
      </c>
      <c r="BY14" s="221">
        <f>IF(CF表!BY$3="","",CF表!BY14/10000)</f>
        <v/>
      </c>
      <c r="BZ14" s="221">
        <f>IF(CF表!BZ$3="","",CF表!BZ14/10000)</f>
        <v/>
      </c>
      <c r="CA14" s="221">
        <f>IF(CF表!CA$3="","",CF表!CA14/10000)</f>
        <v/>
      </c>
      <c r="CB14" s="221">
        <f>IF(CF表!CB$3="","",CF表!CB14/10000)</f>
        <v/>
      </c>
      <c r="CC14" s="221">
        <f>IF(CF表!CC$3="","",CF表!CC14/10000)</f>
        <v/>
      </c>
      <c r="CD14" s="221">
        <f>IF(CF表!CD$3="","",CF表!CD14/10000)</f>
        <v/>
      </c>
      <c r="CE14" s="221">
        <f>IF(CF表!CE$3="","",CF表!CE14/10000)</f>
        <v/>
      </c>
      <c r="CF14" s="221">
        <f>IF(CF表!CF$3="","",CF表!CF14/10000)</f>
        <v/>
      </c>
      <c r="CG14" s="221">
        <f>IF(CF表!CG$3="","",CF表!CG14/10000)</f>
        <v/>
      </c>
      <c r="CH14" s="221">
        <f>IF(CF表!CH$3="","",CF表!CH14/10000)</f>
        <v/>
      </c>
      <c r="CI14" s="221">
        <f>IF(CF表!CI$3="","",CF表!CI14/10000)</f>
        <v/>
      </c>
      <c r="CJ14" s="221">
        <f>IF(CF表!CJ$3="","",CF表!CJ14/10000)</f>
        <v/>
      </c>
      <c r="CK14" s="221">
        <f>IF(CF表!CK$3="","",CF表!CK14/10000)</f>
        <v/>
      </c>
      <c r="CL14" s="221">
        <f>IF(CF表!CL$3="","",CF表!CL14/10000)</f>
        <v/>
      </c>
      <c r="CM14" s="221">
        <f>IF(CF表!CM$3="","",CF表!CM14/10000)</f>
        <v/>
      </c>
      <c r="CN14" s="221">
        <f>IF(CF表!CN$3="","",CF表!CN14/10000)</f>
        <v/>
      </c>
      <c r="CO14" s="221">
        <f>IF(CF表!CO$3="","",CF表!CO14/10000)</f>
        <v/>
      </c>
      <c r="CP14" s="221">
        <f>IF(CF表!CP$3="","",CF表!CP14/10000)</f>
        <v/>
      </c>
      <c r="CQ14" s="221">
        <f>IF(CF表!CQ$3="","",CF表!CQ14/10000)</f>
        <v/>
      </c>
      <c r="CR14" s="221">
        <f>IF(CF表!CR$3="","",CF表!CR14/10000)</f>
        <v/>
      </c>
      <c r="CS14" s="221">
        <f>IF(CF表!CS$3="","",CF表!CS14/10000)</f>
        <v/>
      </c>
      <c r="CT14" s="221">
        <f>IF(CF表!CT$3="","",CF表!CT14/10000)</f>
        <v/>
      </c>
      <c r="CU14" s="221">
        <f>IF(CF表!CU$3="","",CF表!CU14/10000)</f>
        <v/>
      </c>
      <c r="CV14" s="221">
        <f>IF(CF表!CV$3="","",CF表!CV14/10000)</f>
        <v/>
      </c>
      <c r="CW14" s="221">
        <f>IF(CF表!CW$3="","",CF表!CW14/10000)</f>
        <v/>
      </c>
    </row>
    <row r="15" ht="15" customHeight="1" s="180">
      <c r="A15" s="220" t="inlineStr">
        <is>
          <t>奥様退職金</t>
        </is>
      </c>
      <c r="B15" s="221">
        <f>IF(CF表!B$3="","",CF表!B15/10000)</f>
        <v/>
      </c>
      <c r="C15" s="221">
        <f>IF(CF表!C$3="","",CF表!C15/10000)</f>
        <v/>
      </c>
      <c r="D15" s="221">
        <f>IF(CF表!D$3="","",CF表!D15/10000)</f>
        <v/>
      </c>
      <c r="E15" s="221">
        <f>IF(CF表!E$3="","",CF表!E15/10000)</f>
        <v/>
      </c>
      <c r="F15" s="221">
        <f>IF(CF表!F$3="","",CF表!F15/10000)</f>
        <v/>
      </c>
      <c r="G15" s="221">
        <f>IF(CF表!G$3="","",CF表!G15/10000)</f>
        <v/>
      </c>
      <c r="H15" s="221">
        <f>IF(CF表!H$3="","",CF表!H15/10000)</f>
        <v/>
      </c>
      <c r="I15" s="221">
        <f>IF(CF表!I$3="","",CF表!I15/10000)</f>
        <v/>
      </c>
      <c r="J15" s="221">
        <f>IF(CF表!J$3="","",CF表!J15/10000)</f>
        <v/>
      </c>
      <c r="K15" s="221">
        <f>IF(CF表!K$3="","",CF表!K15/10000)</f>
        <v/>
      </c>
      <c r="L15" s="221">
        <f>IF(CF表!L$3="","",CF表!L15/10000)</f>
        <v/>
      </c>
      <c r="M15" s="221">
        <f>IF(CF表!M$3="","",CF表!M15/10000)</f>
        <v/>
      </c>
      <c r="N15" s="221">
        <f>IF(CF表!N$3="","",CF表!N15/10000)</f>
        <v/>
      </c>
      <c r="O15" s="221">
        <f>IF(CF表!O$3="","",CF表!O15/10000)</f>
        <v/>
      </c>
      <c r="P15" s="221">
        <f>IF(CF表!P$3="","",CF表!P15/10000)</f>
        <v/>
      </c>
      <c r="Q15" s="221">
        <f>IF(CF表!Q$3="","",CF表!Q15/10000)</f>
        <v/>
      </c>
      <c r="R15" s="221">
        <f>IF(CF表!R$3="","",CF表!R15/10000)</f>
        <v/>
      </c>
      <c r="S15" s="221">
        <f>IF(CF表!S$3="","",CF表!S15/10000)</f>
        <v/>
      </c>
      <c r="T15" s="221">
        <f>IF(CF表!T$3="","",CF表!T15/10000)</f>
        <v/>
      </c>
      <c r="U15" s="221">
        <f>IF(CF表!U$3="","",CF表!U15/10000)</f>
        <v/>
      </c>
      <c r="V15" s="221">
        <f>IF(CF表!V$3="","",CF表!V15/10000)</f>
        <v/>
      </c>
      <c r="W15" s="221">
        <f>IF(CF表!W$3="","",CF表!W15/10000)</f>
        <v/>
      </c>
      <c r="X15" s="221">
        <f>IF(CF表!X$3="","",CF表!X15/10000)</f>
        <v/>
      </c>
      <c r="Y15" s="221">
        <f>IF(CF表!Y$3="","",CF表!Y15/10000)</f>
        <v/>
      </c>
      <c r="Z15" s="221">
        <f>IF(CF表!Z$3="","",CF表!Z15/10000)</f>
        <v/>
      </c>
      <c r="AA15" s="221">
        <f>IF(CF表!AA$3="","",CF表!AA15/10000)</f>
        <v/>
      </c>
      <c r="AB15" s="221">
        <f>IF(CF表!AB$3="","",CF表!AB15/10000)</f>
        <v/>
      </c>
      <c r="AC15" s="221">
        <f>IF(CF表!AC$3="","",CF表!AC15/10000)</f>
        <v/>
      </c>
      <c r="AD15" s="221">
        <f>IF(CF表!AD$3="","",CF表!AD15/10000)</f>
        <v/>
      </c>
      <c r="AE15" s="221">
        <f>IF(CF表!AE$3="","",CF表!AE15/10000)</f>
        <v/>
      </c>
      <c r="AF15" s="221">
        <f>IF(CF表!AF$3="","",CF表!AF15/10000)</f>
        <v/>
      </c>
      <c r="AG15" s="221">
        <f>IF(CF表!AG$3="","",CF表!AG15/10000)</f>
        <v/>
      </c>
      <c r="AH15" s="221">
        <f>IF(CF表!AH$3="","",CF表!AH15/10000)</f>
        <v/>
      </c>
      <c r="AI15" s="221">
        <f>IF(CF表!AI$3="","",CF表!AI15/10000)</f>
        <v/>
      </c>
      <c r="AJ15" s="221">
        <f>IF(CF表!AJ$3="","",CF表!AJ15/10000)</f>
        <v/>
      </c>
      <c r="AK15" s="221">
        <f>IF(CF表!AK$3="","",CF表!AK15/10000)</f>
        <v/>
      </c>
      <c r="AL15" s="221">
        <f>IF(CF表!AL$3="","",CF表!AL15/10000)</f>
        <v/>
      </c>
      <c r="AM15" s="221">
        <f>IF(CF表!AM$3="","",CF表!AM15/10000)</f>
        <v/>
      </c>
      <c r="AN15" s="221">
        <f>IF(CF表!AN$3="","",CF表!AN15/10000)</f>
        <v/>
      </c>
      <c r="AO15" s="221">
        <f>IF(CF表!AO$3="","",CF表!AO15/10000)</f>
        <v/>
      </c>
      <c r="AP15" s="221">
        <f>IF(CF表!AP$3="","",CF表!AP15/10000)</f>
        <v/>
      </c>
      <c r="AQ15" s="221">
        <f>IF(CF表!AQ$3="","",CF表!AQ15/10000)</f>
        <v/>
      </c>
      <c r="AR15" s="221">
        <f>IF(CF表!AR$3="","",CF表!AR15/10000)</f>
        <v/>
      </c>
      <c r="AS15" s="221">
        <f>IF(CF表!AS$3="","",CF表!AS15/10000)</f>
        <v/>
      </c>
      <c r="AT15" s="221">
        <f>IF(CF表!AT$3="","",CF表!AT15/10000)</f>
        <v/>
      </c>
      <c r="AU15" s="221">
        <f>IF(CF表!AU$3="","",CF表!AU15/10000)</f>
        <v/>
      </c>
      <c r="AV15" s="221">
        <f>IF(CF表!AV$3="","",CF表!AV15/10000)</f>
        <v/>
      </c>
      <c r="AW15" s="221">
        <f>IF(CF表!AW$3="","",CF表!AW15/10000)</f>
        <v/>
      </c>
      <c r="AX15" s="221">
        <f>IF(CF表!AX$3="","",CF表!AX15/10000)</f>
        <v/>
      </c>
      <c r="AY15" s="221">
        <f>IF(CF表!AY$3="","",CF表!AY15/10000)</f>
        <v/>
      </c>
      <c r="AZ15" s="221">
        <f>IF(CF表!AZ$3="","",CF表!AZ15/10000)</f>
        <v/>
      </c>
      <c r="BA15" s="221">
        <f>IF(CF表!BA$3="","",CF表!BA15/10000)</f>
        <v/>
      </c>
      <c r="BB15" s="221">
        <f>IF(CF表!BB$3="","",CF表!BB15/10000)</f>
        <v/>
      </c>
      <c r="BC15" s="221">
        <f>IF(CF表!BC$3="","",CF表!BC15/10000)</f>
        <v/>
      </c>
      <c r="BD15" s="221">
        <f>IF(CF表!BD$3="","",CF表!BD15/10000)</f>
        <v/>
      </c>
      <c r="BE15" s="221">
        <f>IF(CF表!BE$3="","",CF表!BE15/10000)</f>
        <v/>
      </c>
      <c r="BF15" s="221">
        <f>IF(CF表!BF$3="","",CF表!BF15/10000)</f>
        <v/>
      </c>
      <c r="BG15" s="221">
        <f>IF(CF表!BG$3="","",CF表!BG15/10000)</f>
        <v/>
      </c>
      <c r="BH15" s="221">
        <f>IF(CF表!BH$3="","",CF表!BH15/10000)</f>
        <v/>
      </c>
      <c r="BI15" s="221">
        <f>IF(CF表!BI$3="","",CF表!BI15/10000)</f>
        <v/>
      </c>
      <c r="BJ15" s="221">
        <f>IF(CF表!BJ$3="","",CF表!BJ15/10000)</f>
        <v/>
      </c>
      <c r="BK15" s="221">
        <f>IF(CF表!BK$3="","",CF表!BK15/10000)</f>
        <v/>
      </c>
      <c r="BL15" s="221">
        <f>IF(CF表!BL$3="","",CF表!BL15/10000)</f>
        <v/>
      </c>
      <c r="BM15" s="221">
        <f>IF(CF表!BM$3="","",CF表!BM15/10000)</f>
        <v/>
      </c>
      <c r="BN15" s="221">
        <f>IF(CF表!BN$3="","",CF表!BN15/10000)</f>
        <v/>
      </c>
      <c r="BO15" s="221">
        <f>IF(CF表!BO$3="","",CF表!BO15/10000)</f>
        <v/>
      </c>
      <c r="BP15" s="221">
        <f>IF(CF表!BP$3="","",CF表!BP15/10000)</f>
        <v/>
      </c>
      <c r="BQ15" s="221">
        <f>IF(CF表!BQ$3="","",CF表!BQ15/10000)</f>
        <v/>
      </c>
      <c r="BR15" s="221">
        <f>IF(CF表!BR$3="","",CF表!BR15/10000)</f>
        <v/>
      </c>
      <c r="BS15" s="221">
        <f>IF(CF表!BS$3="","",CF表!BS15/10000)</f>
        <v/>
      </c>
      <c r="BT15" s="221">
        <f>IF(CF表!BT$3="","",CF表!BT15/10000)</f>
        <v/>
      </c>
      <c r="BU15" s="221">
        <f>IF(CF表!BU$3="","",CF表!BU15/10000)</f>
        <v/>
      </c>
      <c r="BV15" s="221">
        <f>IF(CF表!BV$3="","",CF表!BV15/10000)</f>
        <v/>
      </c>
      <c r="BW15" s="221">
        <f>IF(CF表!BW$3="","",CF表!BW15/10000)</f>
        <v/>
      </c>
      <c r="BX15" s="221">
        <f>IF(CF表!BX$3="","",CF表!BX15/10000)</f>
        <v/>
      </c>
      <c r="BY15" s="221">
        <f>IF(CF表!BY$3="","",CF表!BY15/10000)</f>
        <v/>
      </c>
      <c r="BZ15" s="221">
        <f>IF(CF表!BZ$3="","",CF表!BZ15/10000)</f>
        <v/>
      </c>
      <c r="CA15" s="221">
        <f>IF(CF表!CA$3="","",CF表!CA15/10000)</f>
        <v/>
      </c>
      <c r="CB15" s="221">
        <f>IF(CF表!CB$3="","",CF表!CB15/10000)</f>
        <v/>
      </c>
      <c r="CC15" s="221">
        <f>IF(CF表!CC$3="","",CF表!CC15/10000)</f>
        <v/>
      </c>
      <c r="CD15" s="221">
        <f>IF(CF表!CD$3="","",CF表!CD15/10000)</f>
        <v/>
      </c>
      <c r="CE15" s="221">
        <f>IF(CF表!CE$3="","",CF表!CE15/10000)</f>
        <v/>
      </c>
      <c r="CF15" s="221">
        <f>IF(CF表!CF$3="","",CF表!CF15/10000)</f>
        <v/>
      </c>
      <c r="CG15" s="221">
        <f>IF(CF表!CG$3="","",CF表!CG15/10000)</f>
        <v/>
      </c>
      <c r="CH15" s="221">
        <f>IF(CF表!CH$3="","",CF表!CH15/10000)</f>
        <v/>
      </c>
      <c r="CI15" s="221">
        <f>IF(CF表!CI$3="","",CF表!CI15/10000)</f>
        <v/>
      </c>
      <c r="CJ15" s="221">
        <f>IF(CF表!CJ$3="","",CF表!CJ15/10000)</f>
        <v/>
      </c>
      <c r="CK15" s="221">
        <f>IF(CF表!CK$3="","",CF表!CK15/10000)</f>
        <v/>
      </c>
      <c r="CL15" s="221">
        <f>IF(CF表!CL$3="","",CF表!CL15/10000)</f>
        <v/>
      </c>
      <c r="CM15" s="221">
        <f>IF(CF表!CM$3="","",CF表!CM15/10000)</f>
        <v/>
      </c>
      <c r="CN15" s="221">
        <f>IF(CF表!CN$3="","",CF表!CN15/10000)</f>
        <v/>
      </c>
      <c r="CO15" s="221">
        <f>IF(CF表!CO$3="","",CF表!CO15/10000)</f>
        <v/>
      </c>
      <c r="CP15" s="221">
        <f>IF(CF表!CP$3="","",CF表!CP15/10000)</f>
        <v/>
      </c>
      <c r="CQ15" s="221">
        <f>IF(CF表!CQ$3="","",CF表!CQ15/10000)</f>
        <v/>
      </c>
      <c r="CR15" s="221">
        <f>IF(CF表!CR$3="","",CF表!CR15/10000)</f>
        <v/>
      </c>
      <c r="CS15" s="221">
        <f>IF(CF表!CS$3="","",CF表!CS15/10000)</f>
        <v/>
      </c>
      <c r="CT15" s="221">
        <f>IF(CF表!CT$3="","",CF表!CT15/10000)</f>
        <v/>
      </c>
      <c r="CU15" s="221">
        <f>IF(CF表!CU$3="","",CF表!CU15/10000)</f>
        <v/>
      </c>
      <c r="CV15" s="221">
        <f>IF(CF表!CV$3="","",CF表!CV15/10000)</f>
        <v/>
      </c>
      <c r="CW15" s="221">
        <f>IF(CF表!CW$3="","",CF表!CW15/10000)</f>
        <v/>
      </c>
    </row>
    <row r="16" ht="15" customHeight="1" s="180">
      <c r="A16" s="220" t="inlineStr">
        <is>
          <t>ご主人様年金収入</t>
        </is>
      </c>
      <c r="B16" s="221">
        <f>IF(CF表!B$3="","",CF表!B16/10000)</f>
        <v/>
      </c>
      <c r="C16" s="221">
        <f>IF(CF表!C$3="","",CF表!C16/10000)</f>
        <v/>
      </c>
      <c r="D16" s="221">
        <f>IF(CF表!D$3="","",CF表!D16/10000)</f>
        <v/>
      </c>
      <c r="E16" s="221">
        <f>IF(CF表!E$3="","",CF表!E16/10000)</f>
        <v/>
      </c>
      <c r="F16" s="221">
        <f>IF(CF表!F$3="","",CF表!F16/10000)</f>
        <v/>
      </c>
      <c r="G16" s="221">
        <f>IF(CF表!G$3="","",CF表!G16/10000)</f>
        <v/>
      </c>
      <c r="H16" s="221">
        <f>IF(CF表!H$3="","",CF表!H16/10000)</f>
        <v/>
      </c>
      <c r="I16" s="221">
        <f>IF(CF表!I$3="","",CF表!I16/10000)</f>
        <v/>
      </c>
      <c r="J16" s="221">
        <f>IF(CF表!J$3="","",CF表!J16/10000)</f>
        <v/>
      </c>
      <c r="K16" s="221">
        <f>IF(CF表!K$3="","",CF表!K16/10000)</f>
        <v/>
      </c>
      <c r="L16" s="221">
        <f>IF(CF表!L$3="","",CF表!L16/10000)</f>
        <v/>
      </c>
      <c r="M16" s="221">
        <f>IF(CF表!M$3="","",CF表!M16/10000)</f>
        <v/>
      </c>
      <c r="N16" s="221">
        <f>IF(CF表!N$3="","",CF表!N16/10000)</f>
        <v/>
      </c>
      <c r="O16" s="221">
        <f>IF(CF表!O$3="","",CF表!O16/10000)</f>
        <v/>
      </c>
      <c r="P16" s="221">
        <f>IF(CF表!P$3="","",CF表!P16/10000)</f>
        <v/>
      </c>
      <c r="Q16" s="221">
        <f>IF(CF表!Q$3="","",CF表!Q16/10000)</f>
        <v/>
      </c>
      <c r="R16" s="221">
        <f>IF(CF表!R$3="","",CF表!R16/10000)</f>
        <v/>
      </c>
      <c r="S16" s="221">
        <f>IF(CF表!S$3="","",CF表!S16/10000)</f>
        <v/>
      </c>
      <c r="T16" s="221">
        <f>IF(CF表!T$3="","",CF表!T16/10000)</f>
        <v/>
      </c>
      <c r="U16" s="221">
        <f>IF(CF表!U$3="","",CF表!U16/10000)</f>
        <v/>
      </c>
      <c r="V16" s="221">
        <f>IF(CF表!V$3="","",CF表!V16/10000)</f>
        <v/>
      </c>
      <c r="W16" s="221">
        <f>IF(CF表!W$3="","",CF表!W16/10000)</f>
        <v/>
      </c>
      <c r="X16" s="221">
        <f>IF(CF表!X$3="","",CF表!X16/10000)</f>
        <v/>
      </c>
      <c r="Y16" s="221">
        <f>IF(CF表!Y$3="","",CF表!Y16/10000)</f>
        <v/>
      </c>
      <c r="Z16" s="221">
        <f>IF(CF表!Z$3="","",CF表!Z16/10000)</f>
        <v/>
      </c>
      <c r="AA16" s="221">
        <f>IF(CF表!AA$3="","",CF表!AA16/10000)</f>
        <v/>
      </c>
      <c r="AB16" s="221">
        <f>IF(CF表!AB$3="","",CF表!AB16/10000)</f>
        <v/>
      </c>
      <c r="AC16" s="221">
        <f>IF(CF表!AC$3="","",CF表!AC16/10000)</f>
        <v/>
      </c>
      <c r="AD16" s="221">
        <f>IF(CF表!AD$3="","",CF表!AD16/10000)</f>
        <v/>
      </c>
      <c r="AE16" s="221">
        <f>IF(CF表!AE$3="","",CF表!AE16/10000)</f>
        <v/>
      </c>
      <c r="AF16" s="221">
        <f>IF(CF表!AF$3="","",CF表!AF16/10000)</f>
        <v/>
      </c>
      <c r="AG16" s="221">
        <f>IF(CF表!AG$3="","",CF表!AG16/10000)</f>
        <v/>
      </c>
      <c r="AH16" s="221">
        <f>IF(CF表!AH$3="","",CF表!AH16/10000)</f>
        <v/>
      </c>
      <c r="AI16" s="221">
        <f>IF(CF表!AI$3="","",CF表!AI16/10000)</f>
        <v/>
      </c>
      <c r="AJ16" s="221">
        <f>IF(CF表!AJ$3="","",CF表!AJ16/10000)</f>
        <v/>
      </c>
      <c r="AK16" s="221">
        <f>IF(CF表!AK$3="","",CF表!AK16/10000)</f>
        <v/>
      </c>
      <c r="AL16" s="221">
        <f>IF(CF表!AL$3="","",CF表!AL16/10000)</f>
        <v/>
      </c>
      <c r="AM16" s="221">
        <f>IF(CF表!AM$3="","",CF表!AM16/10000)</f>
        <v/>
      </c>
      <c r="AN16" s="221">
        <f>IF(CF表!AN$3="","",CF表!AN16/10000)</f>
        <v/>
      </c>
      <c r="AO16" s="221">
        <f>IF(CF表!AO$3="","",CF表!AO16/10000)</f>
        <v/>
      </c>
      <c r="AP16" s="221">
        <f>IF(CF表!AP$3="","",CF表!AP16/10000)</f>
        <v/>
      </c>
      <c r="AQ16" s="221">
        <f>IF(CF表!AQ$3="","",CF表!AQ16/10000)</f>
        <v/>
      </c>
      <c r="AR16" s="221">
        <f>IF(CF表!AR$3="","",CF表!AR16/10000)</f>
        <v/>
      </c>
      <c r="AS16" s="221">
        <f>IF(CF表!AS$3="","",CF表!AS16/10000)</f>
        <v/>
      </c>
      <c r="AT16" s="221">
        <f>IF(CF表!AT$3="","",CF表!AT16/10000)</f>
        <v/>
      </c>
      <c r="AU16" s="221">
        <f>IF(CF表!AU$3="","",CF表!AU16/10000)</f>
        <v/>
      </c>
      <c r="AV16" s="221">
        <f>IF(CF表!AV$3="","",CF表!AV16/10000)</f>
        <v/>
      </c>
      <c r="AW16" s="221">
        <f>IF(CF表!AW$3="","",CF表!AW16/10000)</f>
        <v/>
      </c>
      <c r="AX16" s="221">
        <f>IF(CF表!AX$3="","",CF表!AX16/10000)</f>
        <v/>
      </c>
      <c r="AY16" s="221">
        <f>IF(CF表!AY$3="","",CF表!AY16/10000)</f>
        <v/>
      </c>
      <c r="AZ16" s="221">
        <f>IF(CF表!AZ$3="","",CF表!AZ16/10000)</f>
        <v/>
      </c>
      <c r="BA16" s="221">
        <f>IF(CF表!BA$3="","",CF表!BA16/10000)</f>
        <v/>
      </c>
      <c r="BB16" s="221">
        <f>IF(CF表!BB$3="","",CF表!BB16/10000)</f>
        <v/>
      </c>
      <c r="BC16" s="221">
        <f>IF(CF表!BC$3="","",CF表!BC16/10000)</f>
        <v/>
      </c>
      <c r="BD16" s="221">
        <f>IF(CF表!BD$3="","",CF表!BD16/10000)</f>
        <v/>
      </c>
      <c r="BE16" s="221">
        <f>IF(CF表!BE$3="","",CF表!BE16/10000)</f>
        <v/>
      </c>
      <c r="BF16" s="221">
        <f>IF(CF表!BF$3="","",CF表!BF16/10000)</f>
        <v/>
      </c>
      <c r="BG16" s="221">
        <f>IF(CF表!BG$3="","",CF表!BG16/10000)</f>
        <v/>
      </c>
      <c r="BH16" s="221">
        <f>IF(CF表!BH$3="","",CF表!BH16/10000)</f>
        <v/>
      </c>
      <c r="BI16" s="221">
        <f>IF(CF表!BI$3="","",CF表!BI16/10000)</f>
        <v/>
      </c>
      <c r="BJ16" s="221">
        <f>IF(CF表!BJ$3="","",CF表!BJ16/10000)</f>
        <v/>
      </c>
      <c r="BK16" s="221">
        <f>IF(CF表!BK$3="","",CF表!BK16/10000)</f>
        <v/>
      </c>
      <c r="BL16" s="221">
        <f>IF(CF表!BL$3="","",CF表!BL16/10000)</f>
        <v/>
      </c>
      <c r="BM16" s="221">
        <f>IF(CF表!BM$3="","",CF表!BM16/10000)</f>
        <v/>
      </c>
      <c r="BN16" s="221">
        <f>IF(CF表!BN$3="","",CF表!BN16/10000)</f>
        <v/>
      </c>
      <c r="BO16" s="221">
        <f>IF(CF表!BO$3="","",CF表!BO16/10000)</f>
        <v/>
      </c>
      <c r="BP16" s="221">
        <f>IF(CF表!BP$3="","",CF表!BP16/10000)</f>
        <v/>
      </c>
      <c r="BQ16" s="221">
        <f>IF(CF表!BQ$3="","",CF表!BQ16/10000)</f>
        <v/>
      </c>
      <c r="BR16" s="221">
        <f>IF(CF表!BR$3="","",CF表!BR16/10000)</f>
        <v/>
      </c>
      <c r="BS16" s="221">
        <f>IF(CF表!BS$3="","",CF表!BS16/10000)</f>
        <v/>
      </c>
      <c r="BT16" s="221">
        <f>IF(CF表!BT$3="","",CF表!BT16/10000)</f>
        <v/>
      </c>
      <c r="BU16" s="221">
        <f>IF(CF表!BU$3="","",CF表!BU16/10000)</f>
        <v/>
      </c>
      <c r="BV16" s="221">
        <f>IF(CF表!BV$3="","",CF表!BV16/10000)</f>
        <v/>
      </c>
      <c r="BW16" s="221">
        <f>IF(CF表!BW$3="","",CF表!BW16/10000)</f>
        <v/>
      </c>
      <c r="BX16" s="221">
        <f>IF(CF表!BX$3="","",CF表!BX16/10000)</f>
        <v/>
      </c>
      <c r="BY16" s="221">
        <f>IF(CF表!BY$3="","",CF表!BY16/10000)</f>
        <v/>
      </c>
      <c r="BZ16" s="221">
        <f>IF(CF表!BZ$3="","",CF表!BZ16/10000)</f>
        <v/>
      </c>
      <c r="CA16" s="221">
        <f>IF(CF表!CA$3="","",CF表!CA16/10000)</f>
        <v/>
      </c>
      <c r="CB16" s="221">
        <f>IF(CF表!CB$3="","",CF表!CB16/10000)</f>
        <v/>
      </c>
      <c r="CC16" s="221">
        <f>IF(CF表!CC$3="","",CF表!CC16/10000)</f>
        <v/>
      </c>
      <c r="CD16" s="221">
        <f>IF(CF表!CD$3="","",CF表!CD16/10000)</f>
        <v/>
      </c>
      <c r="CE16" s="221">
        <f>IF(CF表!CE$3="","",CF表!CE16/10000)</f>
        <v/>
      </c>
      <c r="CF16" s="221">
        <f>IF(CF表!CF$3="","",CF表!CF16/10000)</f>
        <v/>
      </c>
      <c r="CG16" s="221">
        <f>IF(CF表!CG$3="","",CF表!CG16/10000)</f>
        <v/>
      </c>
      <c r="CH16" s="221">
        <f>IF(CF表!CH$3="","",CF表!CH16/10000)</f>
        <v/>
      </c>
      <c r="CI16" s="221">
        <f>IF(CF表!CI$3="","",CF表!CI16/10000)</f>
        <v/>
      </c>
      <c r="CJ16" s="221">
        <f>IF(CF表!CJ$3="","",CF表!CJ16/10000)</f>
        <v/>
      </c>
      <c r="CK16" s="221">
        <f>IF(CF表!CK$3="","",CF表!CK16/10000)</f>
        <v/>
      </c>
      <c r="CL16" s="221">
        <f>IF(CF表!CL$3="","",CF表!CL16/10000)</f>
        <v/>
      </c>
      <c r="CM16" s="221">
        <f>IF(CF表!CM$3="","",CF表!CM16/10000)</f>
        <v/>
      </c>
      <c r="CN16" s="221">
        <f>IF(CF表!CN$3="","",CF表!CN16/10000)</f>
        <v/>
      </c>
      <c r="CO16" s="221">
        <f>IF(CF表!CO$3="","",CF表!CO16/10000)</f>
        <v/>
      </c>
      <c r="CP16" s="221">
        <f>IF(CF表!CP$3="","",CF表!CP16/10000)</f>
        <v/>
      </c>
      <c r="CQ16" s="221">
        <f>IF(CF表!CQ$3="","",CF表!CQ16/10000)</f>
        <v/>
      </c>
      <c r="CR16" s="221">
        <f>IF(CF表!CR$3="","",CF表!CR16/10000)</f>
        <v/>
      </c>
      <c r="CS16" s="221">
        <f>IF(CF表!CS$3="","",CF表!CS16/10000)</f>
        <v/>
      </c>
      <c r="CT16" s="221">
        <f>IF(CF表!CT$3="","",CF表!CT16/10000)</f>
        <v/>
      </c>
      <c r="CU16" s="221">
        <f>IF(CF表!CU$3="","",CF表!CU16/10000)</f>
        <v/>
      </c>
      <c r="CV16" s="221">
        <f>IF(CF表!CV$3="","",CF表!CV16/10000)</f>
        <v/>
      </c>
      <c r="CW16" s="221">
        <f>IF(CF表!CW$3="","",CF表!CW16/10000)</f>
        <v/>
      </c>
    </row>
    <row r="17" ht="15" customHeight="1" s="180">
      <c r="A17" s="220" t="inlineStr">
        <is>
          <t>奥様年金収入</t>
        </is>
      </c>
      <c r="B17" s="221">
        <f>IF(CF表!B$3="","",CF表!B17/10000)</f>
        <v/>
      </c>
      <c r="C17" s="221">
        <f>IF(CF表!C$3="","",CF表!C17/10000)</f>
        <v/>
      </c>
      <c r="D17" s="221">
        <f>IF(CF表!D$3="","",CF表!D17/10000)</f>
        <v/>
      </c>
      <c r="E17" s="221">
        <f>IF(CF表!E$3="","",CF表!E17/10000)</f>
        <v/>
      </c>
      <c r="F17" s="221">
        <f>IF(CF表!F$3="","",CF表!F17/10000)</f>
        <v/>
      </c>
      <c r="G17" s="221">
        <f>IF(CF表!G$3="","",CF表!G17/10000)</f>
        <v/>
      </c>
      <c r="H17" s="221">
        <f>IF(CF表!H$3="","",CF表!H17/10000)</f>
        <v/>
      </c>
      <c r="I17" s="221">
        <f>IF(CF表!I$3="","",CF表!I17/10000)</f>
        <v/>
      </c>
      <c r="J17" s="221">
        <f>IF(CF表!J$3="","",CF表!J17/10000)</f>
        <v/>
      </c>
      <c r="K17" s="221">
        <f>IF(CF表!K$3="","",CF表!K17/10000)</f>
        <v/>
      </c>
      <c r="L17" s="221">
        <f>IF(CF表!L$3="","",CF表!L17/10000)</f>
        <v/>
      </c>
      <c r="M17" s="221">
        <f>IF(CF表!M$3="","",CF表!M17/10000)</f>
        <v/>
      </c>
      <c r="N17" s="221">
        <f>IF(CF表!N$3="","",CF表!N17/10000)</f>
        <v/>
      </c>
      <c r="O17" s="221">
        <f>IF(CF表!O$3="","",CF表!O17/10000)</f>
        <v/>
      </c>
      <c r="P17" s="221">
        <f>IF(CF表!P$3="","",CF表!P17/10000)</f>
        <v/>
      </c>
      <c r="Q17" s="221">
        <f>IF(CF表!Q$3="","",CF表!Q17/10000)</f>
        <v/>
      </c>
      <c r="R17" s="221">
        <f>IF(CF表!R$3="","",CF表!R17/10000)</f>
        <v/>
      </c>
      <c r="S17" s="221">
        <f>IF(CF表!S$3="","",CF表!S17/10000)</f>
        <v/>
      </c>
      <c r="T17" s="221">
        <f>IF(CF表!T$3="","",CF表!T17/10000)</f>
        <v/>
      </c>
      <c r="U17" s="221">
        <f>IF(CF表!U$3="","",CF表!U17/10000)</f>
        <v/>
      </c>
      <c r="V17" s="221">
        <f>IF(CF表!V$3="","",CF表!V17/10000)</f>
        <v/>
      </c>
      <c r="W17" s="221">
        <f>IF(CF表!W$3="","",CF表!W17/10000)</f>
        <v/>
      </c>
      <c r="X17" s="221">
        <f>IF(CF表!X$3="","",CF表!X17/10000)</f>
        <v/>
      </c>
      <c r="Y17" s="221">
        <f>IF(CF表!Y$3="","",CF表!Y17/10000)</f>
        <v/>
      </c>
      <c r="Z17" s="221">
        <f>IF(CF表!Z$3="","",CF表!Z17/10000)</f>
        <v/>
      </c>
      <c r="AA17" s="221">
        <f>IF(CF表!AA$3="","",CF表!AA17/10000)</f>
        <v/>
      </c>
      <c r="AB17" s="221">
        <f>IF(CF表!AB$3="","",CF表!AB17/10000)</f>
        <v/>
      </c>
      <c r="AC17" s="221">
        <f>IF(CF表!AC$3="","",CF表!AC17/10000)</f>
        <v/>
      </c>
      <c r="AD17" s="221">
        <f>IF(CF表!AD$3="","",CF表!AD17/10000)</f>
        <v/>
      </c>
      <c r="AE17" s="221">
        <f>IF(CF表!AE$3="","",CF表!AE17/10000)</f>
        <v/>
      </c>
      <c r="AF17" s="221">
        <f>IF(CF表!AF$3="","",CF表!AF17/10000)</f>
        <v/>
      </c>
      <c r="AG17" s="221">
        <f>IF(CF表!AG$3="","",CF表!AG17/10000)</f>
        <v/>
      </c>
      <c r="AH17" s="221">
        <f>IF(CF表!AH$3="","",CF表!AH17/10000)</f>
        <v/>
      </c>
      <c r="AI17" s="221">
        <f>IF(CF表!AI$3="","",CF表!AI17/10000)</f>
        <v/>
      </c>
      <c r="AJ17" s="221">
        <f>IF(CF表!AJ$3="","",CF表!AJ17/10000)</f>
        <v/>
      </c>
      <c r="AK17" s="221">
        <f>IF(CF表!AK$3="","",CF表!AK17/10000)</f>
        <v/>
      </c>
      <c r="AL17" s="221">
        <f>IF(CF表!AL$3="","",CF表!AL17/10000)</f>
        <v/>
      </c>
      <c r="AM17" s="221">
        <f>IF(CF表!AM$3="","",CF表!AM17/10000)</f>
        <v/>
      </c>
      <c r="AN17" s="221">
        <f>IF(CF表!AN$3="","",CF表!AN17/10000)</f>
        <v/>
      </c>
      <c r="AO17" s="221">
        <f>IF(CF表!AO$3="","",CF表!AO17/10000)</f>
        <v/>
      </c>
      <c r="AP17" s="221">
        <f>IF(CF表!AP$3="","",CF表!AP17/10000)</f>
        <v/>
      </c>
      <c r="AQ17" s="221">
        <f>IF(CF表!AQ$3="","",CF表!AQ17/10000)</f>
        <v/>
      </c>
      <c r="AR17" s="221">
        <f>IF(CF表!AR$3="","",CF表!AR17/10000)</f>
        <v/>
      </c>
      <c r="AS17" s="221">
        <f>IF(CF表!AS$3="","",CF表!AS17/10000)</f>
        <v/>
      </c>
      <c r="AT17" s="221">
        <f>IF(CF表!AT$3="","",CF表!AT17/10000)</f>
        <v/>
      </c>
      <c r="AU17" s="221">
        <f>IF(CF表!AU$3="","",CF表!AU17/10000)</f>
        <v/>
      </c>
      <c r="AV17" s="221">
        <f>IF(CF表!AV$3="","",CF表!AV17/10000)</f>
        <v/>
      </c>
      <c r="AW17" s="221">
        <f>IF(CF表!AW$3="","",CF表!AW17/10000)</f>
        <v/>
      </c>
      <c r="AX17" s="221">
        <f>IF(CF表!AX$3="","",CF表!AX17/10000)</f>
        <v/>
      </c>
      <c r="AY17" s="221">
        <f>IF(CF表!AY$3="","",CF表!AY17/10000)</f>
        <v/>
      </c>
      <c r="AZ17" s="221">
        <f>IF(CF表!AZ$3="","",CF表!AZ17/10000)</f>
        <v/>
      </c>
      <c r="BA17" s="221">
        <f>IF(CF表!BA$3="","",CF表!BA17/10000)</f>
        <v/>
      </c>
      <c r="BB17" s="221">
        <f>IF(CF表!BB$3="","",CF表!BB17/10000)</f>
        <v/>
      </c>
      <c r="BC17" s="221">
        <f>IF(CF表!BC$3="","",CF表!BC17/10000)</f>
        <v/>
      </c>
      <c r="BD17" s="221">
        <f>IF(CF表!BD$3="","",CF表!BD17/10000)</f>
        <v/>
      </c>
      <c r="BE17" s="221">
        <f>IF(CF表!BE$3="","",CF表!BE17/10000)</f>
        <v/>
      </c>
      <c r="BF17" s="221">
        <f>IF(CF表!BF$3="","",CF表!BF17/10000)</f>
        <v/>
      </c>
      <c r="BG17" s="221">
        <f>IF(CF表!BG$3="","",CF表!BG17/10000)</f>
        <v/>
      </c>
      <c r="BH17" s="221">
        <f>IF(CF表!BH$3="","",CF表!BH17/10000)</f>
        <v/>
      </c>
      <c r="BI17" s="221">
        <f>IF(CF表!BI$3="","",CF表!BI17/10000)</f>
        <v/>
      </c>
      <c r="BJ17" s="221">
        <f>IF(CF表!BJ$3="","",CF表!BJ17/10000)</f>
        <v/>
      </c>
      <c r="BK17" s="221">
        <f>IF(CF表!BK$3="","",CF表!BK17/10000)</f>
        <v/>
      </c>
      <c r="BL17" s="221">
        <f>IF(CF表!BL$3="","",CF表!BL17/10000)</f>
        <v/>
      </c>
      <c r="BM17" s="221">
        <f>IF(CF表!BM$3="","",CF表!BM17/10000)</f>
        <v/>
      </c>
      <c r="BN17" s="221">
        <f>IF(CF表!BN$3="","",CF表!BN17/10000)</f>
        <v/>
      </c>
      <c r="BO17" s="221">
        <f>IF(CF表!BO$3="","",CF表!BO17/10000)</f>
        <v/>
      </c>
      <c r="BP17" s="221">
        <f>IF(CF表!BP$3="","",CF表!BP17/10000)</f>
        <v/>
      </c>
      <c r="BQ17" s="221">
        <f>IF(CF表!BQ$3="","",CF表!BQ17/10000)</f>
        <v/>
      </c>
      <c r="BR17" s="221">
        <f>IF(CF表!BR$3="","",CF表!BR17/10000)</f>
        <v/>
      </c>
      <c r="BS17" s="221">
        <f>IF(CF表!BS$3="","",CF表!BS17/10000)</f>
        <v/>
      </c>
      <c r="BT17" s="221">
        <f>IF(CF表!BT$3="","",CF表!BT17/10000)</f>
        <v/>
      </c>
      <c r="BU17" s="221">
        <f>IF(CF表!BU$3="","",CF表!BU17/10000)</f>
        <v/>
      </c>
      <c r="BV17" s="221">
        <f>IF(CF表!BV$3="","",CF表!BV17/10000)</f>
        <v/>
      </c>
      <c r="BW17" s="221">
        <f>IF(CF表!BW$3="","",CF表!BW17/10000)</f>
        <v/>
      </c>
      <c r="BX17" s="221">
        <f>IF(CF表!BX$3="","",CF表!BX17/10000)</f>
        <v/>
      </c>
      <c r="BY17" s="221">
        <f>IF(CF表!BY$3="","",CF表!BY17/10000)</f>
        <v/>
      </c>
      <c r="BZ17" s="221">
        <f>IF(CF表!BZ$3="","",CF表!BZ17/10000)</f>
        <v/>
      </c>
      <c r="CA17" s="221">
        <f>IF(CF表!CA$3="","",CF表!CA17/10000)</f>
        <v/>
      </c>
      <c r="CB17" s="221">
        <f>IF(CF表!CB$3="","",CF表!CB17/10000)</f>
        <v/>
      </c>
      <c r="CC17" s="221">
        <f>IF(CF表!CC$3="","",CF表!CC17/10000)</f>
        <v/>
      </c>
      <c r="CD17" s="221">
        <f>IF(CF表!CD$3="","",CF表!CD17/10000)</f>
        <v/>
      </c>
      <c r="CE17" s="221">
        <f>IF(CF表!CE$3="","",CF表!CE17/10000)</f>
        <v/>
      </c>
      <c r="CF17" s="221">
        <f>IF(CF表!CF$3="","",CF表!CF17/10000)</f>
        <v/>
      </c>
      <c r="CG17" s="221">
        <f>IF(CF表!CG$3="","",CF表!CG17/10000)</f>
        <v/>
      </c>
      <c r="CH17" s="221">
        <f>IF(CF表!CH$3="","",CF表!CH17/10000)</f>
        <v/>
      </c>
      <c r="CI17" s="221">
        <f>IF(CF表!CI$3="","",CF表!CI17/10000)</f>
        <v/>
      </c>
      <c r="CJ17" s="221">
        <f>IF(CF表!CJ$3="","",CF表!CJ17/10000)</f>
        <v/>
      </c>
      <c r="CK17" s="221">
        <f>IF(CF表!CK$3="","",CF表!CK17/10000)</f>
        <v/>
      </c>
      <c r="CL17" s="221">
        <f>IF(CF表!CL$3="","",CF表!CL17/10000)</f>
        <v/>
      </c>
      <c r="CM17" s="221">
        <f>IF(CF表!CM$3="","",CF表!CM17/10000)</f>
        <v/>
      </c>
      <c r="CN17" s="221">
        <f>IF(CF表!CN$3="","",CF表!CN17/10000)</f>
        <v/>
      </c>
      <c r="CO17" s="221">
        <f>IF(CF表!CO$3="","",CF表!CO17/10000)</f>
        <v/>
      </c>
      <c r="CP17" s="221">
        <f>IF(CF表!CP$3="","",CF表!CP17/10000)</f>
        <v/>
      </c>
      <c r="CQ17" s="221">
        <f>IF(CF表!CQ$3="","",CF表!CQ17/10000)</f>
        <v/>
      </c>
      <c r="CR17" s="221">
        <f>IF(CF表!CR$3="","",CF表!CR17/10000)</f>
        <v/>
      </c>
      <c r="CS17" s="221">
        <f>IF(CF表!CS$3="","",CF表!CS17/10000)</f>
        <v/>
      </c>
      <c r="CT17" s="221">
        <f>IF(CF表!CT$3="","",CF表!CT17/10000)</f>
        <v/>
      </c>
      <c r="CU17" s="221">
        <f>IF(CF表!CU$3="","",CF表!CU17/10000)</f>
        <v/>
      </c>
      <c r="CV17" s="221">
        <f>IF(CF表!CV$3="","",CF表!CV17/10000)</f>
        <v/>
      </c>
      <c r="CW17" s="221">
        <f>IF(CF表!CW$3="","",CF表!CW17/10000)</f>
        <v/>
      </c>
    </row>
    <row r="18" ht="15" customHeight="1" s="180">
      <c r="A18" s="222" t="inlineStr">
        <is>
          <t>世帯収入合計</t>
        </is>
      </c>
      <c r="B18" s="223">
        <f>IF(CF表!B$3="","",CF表!B18/10000)</f>
        <v/>
      </c>
      <c r="C18" s="223">
        <f>IF(CF表!C$3="","",CF表!C18/10000)</f>
        <v/>
      </c>
      <c r="D18" s="223">
        <f>IF(CF表!D$3="","",CF表!D18/10000)</f>
        <v/>
      </c>
      <c r="E18" s="223">
        <f>IF(CF表!E$3="","",CF表!E18/10000)</f>
        <v/>
      </c>
      <c r="F18" s="223">
        <f>IF(CF表!F$3="","",CF表!F18/10000)</f>
        <v/>
      </c>
      <c r="G18" s="223">
        <f>IF(CF表!G$3="","",CF表!G18/10000)</f>
        <v/>
      </c>
      <c r="H18" s="223">
        <f>IF(CF表!H$3="","",CF表!H18/10000)</f>
        <v/>
      </c>
      <c r="I18" s="223">
        <f>IF(CF表!I$3="","",CF表!I18/10000)</f>
        <v/>
      </c>
      <c r="J18" s="223">
        <f>IF(CF表!J$3="","",CF表!J18/10000)</f>
        <v/>
      </c>
      <c r="K18" s="223">
        <f>IF(CF表!K$3="","",CF表!K18/10000)</f>
        <v/>
      </c>
      <c r="L18" s="223">
        <f>IF(CF表!L$3="","",CF表!L18/10000)</f>
        <v/>
      </c>
      <c r="M18" s="223">
        <f>IF(CF表!M$3="","",CF表!M18/10000)</f>
        <v/>
      </c>
      <c r="N18" s="223">
        <f>IF(CF表!N$3="","",CF表!N18/10000)</f>
        <v/>
      </c>
      <c r="O18" s="223">
        <f>IF(CF表!O$3="","",CF表!O18/10000)</f>
        <v/>
      </c>
      <c r="P18" s="223">
        <f>IF(CF表!P$3="","",CF表!P18/10000)</f>
        <v/>
      </c>
      <c r="Q18" s="223">
        <f>IF(CF表!Q$3="","",CF表!Q18/10000)</f>
        <v/>
      </c>
      <c r="R18" s="223">
        <f>IF(CF表!R$3="","",CF表!R18/10000)</f>
        <v/>
      </c>
      <c r="S18" s="223">
        <f>IF(CF表!S$3="","",CF表!S18/10000)</f>
        <v/>
      </c>
      <c r="T18" s="223">
        <f>IF(CF表!T$3="","",CF表!T18/10000)</f>
        <v/>
      </c>
      <c r="U18" s="223">
        <f>IF(CF表!U$3="","",CF表!U18/10000)</f>
        <v/>
      </c>
      <c r="V18" s="223">
        <f>IF(CF表!V$3="","",CF表!V18/10000)</f>
        <v/>
      </c>
      <c r="W18" s="223">
        <f>IF(CF表!W$3="","",CF表!W18/10000)</f>
        <v/>
      </c>
      <c r="X18" s="223">
        <f>IF(CF表!X$3="","",CF表!X18/10000)</f>
        <v/>
      </c>
      <c r="Y18" s="223">
        <f>IF(CF表!Y$3="","",CF表!Y18/10000)</f>
        <v/>
      </c>
      <c r="Z18" s="223">
        <f>IF(CF表!Z$3="","",CF表!Z18/10000)</f>
        <v/>
      </c>
      <c r="AA18" s="223">
        <f>IF(CF表!AA$3="","",CF表!AA18/10000)</f>
        <v/>
      </c>
      <c r="AB18" s="223">
        <f>IF(CF表!AB$3="","",CF表!AB18/10000)</f>
        <v/>
      </c>
      <c r="AC18" s="223">
        <f>IF(CF表!AC$3="","",CF表!AC18/10000)</f>
        <v/>
      </c>
      <c r="AD18" s="223">
        <f>IF(CF表!AD$3="","",CF表!AD18/10000)</f>
        <v/>
      </c>
      <c r="AE18" s="223">
        <f>IF(CF表!AE$3="","",CF表!AE18/10000)</f>
        <v/>
      </c>
      <c r="AF18" s="223">
        <f>IF(CF表!AF$3="","",CF表!AF18/10000)</f>
        <v/>
      </c>
      <c r="AG18" s="223">
        <f>IF(CF表!AG$3="","",CF表!AG18/10000)</f>
        <v/>
      </c>
      <c r="AH18" s="223">
        <f>IF(CF表!AH$3="","",CF表!AH18/10000)</f>
        <v/>
      </c>
      <c r="AI18" s="223">
        <f>IF(CF表!AI$3="","",CF表!AI18/10000)</f>
        <v/>
      </c>
      <c r="AJ18" s="223">
        <f>IF(CF表!AJ$3="","",CF表!AJ18/10000)</f>
        <v/>
      </c>
      <c r="AK18" s="223">
        <f>IF(CF表!AK$3="","",CF表!AK18/10000)</f>
        <v/>
      </c>
      <c r="AL18" s="223">
        <f>IF(CF表!AL$3="","",CF表!AL18/10000)</f>
        <v/>
      </c>
      <c r="AM18" s="223">
        <f>IF(CF表!AM$3="","",CF表!AM18/10000)</f>
        <v/>
      </c>
      <c r="AN18" s="223">
        <f>IF(CF表!AN$3="","",CF表!AN18/10000)</f>
        <v/>
      </c>
      <c r="AO18" s="223">
        <f>IF(CF表!AO$3="","",CF表!AO18/10000)</f>
        <v/>
      </c>
      <c r="AP18" s="223">
        <f>IF(CF表!AP$3="","",CF表!AP18/10000)</f>
        <v/>
      </c>
      <c r="AQ18" s="223">
        <f>IF(CF表!AQ$3="","",CF表!AQ18/10000)</f>
        <v/>
      </c>
      <c r="AR18" s="223">
        <f>IF(CF表!AR$3="","",CF表!AR18/10000)</f>
        <v/>
      </c>
      <c r="AS18" s="223">
        <f>IF(CF表!AS$3="","",CF表!AS18/10000)</f>
        <v/>
      </c>
      <c r="AT18" s="223">
        <f>IF(CF表!AT$3="","",CF表!AT18/10000)</f>
        <v/>
      </c>
      <c r="AU18" s="223">
        <f>IF(CF表!AU$3="","",CF表!AU18/10000)</f>
        <v/>
      </c>
      <c r="AV18" s="223">
        <f>IF(CF表!AV$3="","",CF表!AV18/10000)</f>
        <v/>
      </c>
      <c r="AW18" s="223">
        <f>IF(CF表!AW$3="","",CF表!AW18/10000)</f>
        <v/>
      </c>
      <c r="AX18" s="223">
        <f>IF(CF表!AX$3="","",CF表!AX18/10000)</f>
        <v/>
      </c>
      <c r="AY18" s="223">
        <f>IF(CF表!AY$3="","",CF表!AY18/10000)</f>
        <v/>
      </c>
      <c r="AZ18" s="223">
        <f>IF(CF表!AZ$3="","",CF表!AZ18/10000)</f>
        <v/>
      </c>
      <c r="BA18" s="223">
        <f>IF(CF表!BA$3="","",CF表!BA18/10000)</f>
        <v/>
      </c>
      <c r="BB18" s="223">
        <f>IF(CF表!BB$3="","",CF表!BB18/10000)</f>
        <v/>
      </c>
      <c r="BC18" s="223">
        <f>IF(CF表!BC$3="","",CF表!BC18/10000)</f>
        <v/>
      </c>
      <c r="BD18" s="223">
        <f>IF(CF表!BD$3="","",CF表!BD18/10000)</f>
        <v/>
      </c>
      <c r="BE18" s="223">
        <f>IF(CF表!BE$3="","",CF表!BE18/10000)</f>
        <v/>
      </c>
      <c r="BF18" s="223">
        <f>IF(CF表!BF$3="","",CF表!BF18/10000)</f>
        <v/>
      </c>
      <c r="BG18" s="223">
        <f>IF(CF表!BG$3="","",CF表!BG18/10000)</f>
        <v/>
      </c>
      <c r="BH18" s="223">
        <f>IF(CF表!BH$3="","",CF表!BH18/10000)</f>
        <v/>
      </c>
      <c r="BI18" s="223">
        <f>IF(CF表!BI$3="","",CF表!BI18/10000)</f>
        <v/>
      </c>
      <c r="BJ18" s="223">
        <f>IF(CF表!BJ$3="","",CF表!BJ18/10000)</f>
        <v/>
      </c>
      <c r="BK18" s="223">
        <f>IF(CF表!BK$3="","",CF表!BK18/10000)</f>
        <v/>
      </c>
      <c r="BL18" s="223">
        <f>IF(CF表!BL$3="","",CF表!BL18/10000)</f>
        <v/>
      </c>
      <c r="BM18" s="223">
        <f>IF(CF表!BM$3="","",CF表!BM18/10000)</f>
        <v/>
      </c>
      <c r="BN18" s="223">
        <f>IF(CF表!BN$3="","",CF表!BN18/10000)</f>
        <v/>
      </c>
      <c r="BO18" s="223">
        <f>IF(CF表!BO$3="","",CF表!BO18/10000)</f>
        <v/>
      </c>
      <c r="BP18" s="223">
        <f>IF(CF表!BP$3="","",CF表!BP18/10000)</f>
        <v/>
      </c>
      <c r="BQ18" s="223">
        <f>IF(CF表!BQ$3="","",CF表!BQ18/10000)</f>
        <v/>
      </c>
      <c r="BR18" s="223">
        <f>IF(CF表!BR$3="","",CF表!BR18/10000)</f>
        <v/>
      </c>
      <c r="BS18" s="223">
        <f>IF(CF表!BS$3="","",CF表!BS18/10000)</f>
        <v/>
      </c>
      <c r="BT18" s="223">
        <f>IF(CF表!BT$3="","",CF表!BT18/10000)</f>
        <v/>
      </c>
      <c r="BU18" s="223">
        <f>IF(CF表!BU$3="","",CF表!BU18/10000)</f>
        <v/>
      </c>
      <c r="BV18" s="223">
        <f>IF(CF表!BV$3="","",CF表!BV18/10000)</f>
        <v/>
      </c>
      <c r="BW18" s="223">
        <f>IF(CF表!BW$3="","",CF表!BW18/10000)</f>
        <v/>
      </c>
      <c r="BX18" s="223">
        <f>IF(CF表!BX$3="","",CF表!BX18/10000)</f>
        <v/>
      </c>
      <c r="BY18" s="223">
        <f>IF(CF表!BY$3="","",CF表!BY18/10000)</f>
        <v/>
      </c>
      <c r="BZ18" s="223">
        <f>IF(CF表!BZ$3="","",CF表!BZ18/10000)</f>
        <v/>
      </c>
      <c r="CA18" s="223">
        <f>IF(CF表!CA$3="","",CF表!CA18/10000)</f>
        <v/>
      </c>
      <c r="CB18" s="223">
        <f>IF(CF表!CB$3="","",CF表!CB18/10000)</f>
        <v/>
      </c>
      <c r="CC18" s="223">
        <f>IF(CF表!CC$3="","",CF表!CC18/10000)</f>
        <v/>
      </c>
      <c r="CD18" s="223">
        <f>IF(CF表!CD$3="","",CF表!CD18/10000)</f>
        <v/>
      </c>
      <c r="CE18" s="223">
        <f>IF(CF表!CE$3="","",CF表!CE18/10000)</f>
        <v/>
      </c>
      <c r="CF18" s="223">
        <f>IF(CF表!CF$3="","",CF表!CF18/10000)</f>
        <v/>
      </c>
      <c r="CG18" s="223">
        <f>IF(CF表!CG$3="","",CF表!CG18/10000)</f>
        <v/>
      </c>
      <c r="CH18" s="223">
        <f>IF(CF表!CH$3="","",CF表!CH18/10000)</f>
        <v/>
      </c>
      <c r="CI18" s="223">
        <f>IF(CF表!CI$3="","",CF表!CI18/10000)</f>
        <v/>
      </c>
      <c r="CJ18" s="223">
        <f>IF(CF表!CJ$3="","",CF表!CJ18/10000)</f>
        <v/>
      </c>
      <c r="CK18" s="223">
        <f>IF(CF表!CK$3="","",CF表!CK18/10000)</f>
        <v/>
      </c>
      <c r="CL18" s="223">
        <f>IF(CF表!CL$3="","",CF表!CL18/10000)</f>
        <v/>
      </c>
      <c r="CM18" s="223">
        <f>IF(CF表!CM$3="","",CF表!CM18/10000)</f>
        <v/>
      </c>
      <c r="CN18" s="223">
        <f>IF(CF表!CN$3="","",CF表!CN18/10000)</f>
        <v/>
      </c>
      <c r="CO18" s="223">
        <f>IF(CF表!CO$3="","",CF表!CO18/10000)</f>
        <v/>
      </c>
      <c r="CP18" s="223">
        <f>IF(CF表!CP$3="","",CF表!CP18/10000)</f>
        <v/>
      </c>
      <c r="CQ18" s="223">
        <f>IF(CF表!CQ$3="","",CF表!CQ18/10000)</f>
        <v/>
      </c>
      <c r="CR18" s="223">
        <f>IF(CF表!CR$3="","",CF表!CR18/10000)</f>
        <v/>
      </c>
      <c r="CS18" s="223">
        <f>IF(CF表!CS$3="","",CF表!CS18/10000)</f>
        <v/>
      </c>
      <c r="CT18" s="223">
        <f>IF(CF表!CT$3="","",CF表!CT18/10000)</f>
        <v/>
      </c>
      <c r="CU18" s="223">
        <f>IF(CF表!CU$3="","",CF表!CU18/10000)</f>
        <v/>
      </c>
      <c r="CV18" s="223">
        <f>IF(CF表!CV$3="","",CF表!CV18/10000)</f>
        <v/>
      </c>
      <c r="CW18" s="223">
        <f>IF(CF表!CW$3="","",CF表!CW18/10000)</f>
        <v/>
      </c>
    </row>
    <row r="19" ht="15" customHeight="1" s="180">
      <c r="A19" s="205" t="inlineStr">
        <is>
          <t>収入</t>
        </is>
      </c>
      <c r="B19" s="219" t="n"/>
      <c r="C19" s="219" t="n"/>
      <c r="D19" s="219" t="n"/>
      <c r="E19" s="219" t="n"/>
      <c r="F19" s="219" t="n"/>
      <c r="G19" s="219" t="n"/>
      <c r="H19" s="219" t="n"/>
      <c r="I19" s="219" t="n"/>
      <c r="J19" s="219" t="n"/>
      <c r="K19" s="219" t="n"/>
      <c r="L19" s="219" t="n"/>
      <c r="M19" s="219" t="n"/>
      <c r="N19" s="219" t="n"/>
      <c r="O19" s="219" t="n"/>
      <c r="P19" s="219" t="n"/>
      <c r="Q19" s="219" t="n"/>
      <c r="R19" s="219" t="n"/>
      <c r="S19" s="219" t="n"/>
      <c r="T19" s="219" t="n"/>
      <c r="U19" s="219" t="n"/>
      <c r="V19" s="219" t="n"/>
      <c r="W19" s="219" t="n"/>
      <c r="X19" s="219" t="n"/>
      <c r="Y19" s="219" t="n"/>
      <c r="Z19" s="219" t="n"/>
      <c r="AA19" s="219" t="n"/>
      <c r="AB19" s="219" t="n"/>
      <c r="AC19" s="219" t="n"/>
      <c r="AD19" s="219" t="n"/>
      <c r="AE19" s="219" t="n"/>
      <c r="AF19" s="219" t="n"/>
      <c r="AG19" s="219" t="n"/>
      <c r="AH19" s="219" t="n"/>
      <c r="AI19" s="219" t="n"/>
      <c r="AJ19" s="219" t="n"/>
      <c r="AK19" s="219" t="n"/>
      <c r="AL19" s="219" t="n"/>
      <c r="AM19" s="219" t="n"/>
      <c r="AN19" s="219" t="n"/>
      <c r="AO19" s="219" t="n"/>
      <c r="AP19" s="219" t="n"/>
      <c r="AQ19" s="219" t="n"/>
      <c r="AR19" s="219" t="n"/>
      <c r="AS19" s="219" t="n"/>
      <c r="AT19" s="219" t="n"/>
      <c r="AU19" s="219" t="n"/>
      <c r="AV19" s="219" t="n"/>
      <c r="AW19" s="219" t="n"/>
      <c r="AX19" s="219" t="n"/>
      <c r="AY19" s="219" t="n"/>
      <c r="AZ19" s="219" t="n"/>
      <c r="BA19" s="219" t="n"/>
      <c r="BB19" s="219" t="n"/>
      <c r="BC19" s="219" t="n"/>
      <c r="BD19" s="219" t="n"/>
      <c r="BE19" s="219" t="n"/>
      <c r="BF19" s="219" t="n"/>
      <c r="BG19" s="219" t="n"/>
      <c r="BH19" s="219" t="n"/>
      <c r="BI19" s="219" t="n"/>
      <c r="BJ19" s="219" t="n"/>
      <c r="BK19" s="219" t="n"/>
      <c r="BL19" s="219" t="n"/>
      <c r="BM19" s="219" t="n"/>
      <c r="BN19" s="219" t="n"/>
      <c r="BO19" s="219" t="n"/>
      <c r="BP19" s="219" t="n"/>
      <c r="BQ19" s="219" t="n"/>
      <c r="BR19" s="219" t="n"/>
      <c r="BS19" s="219" t="n"/>
      <c r="BT19" s="219" t="n"/>
      <c r="BU19" s="219" t="n"/>
      <c r="BV19" s="219" t="n"/>
      <c r="BW19" s="219" t="n"/>
      <c r="BX19" s="219" t="n"/>
      <c r="BY19" s="219" t="n"/>
      <c r="BZ19" s="219" t="n"/>
      <c r="CA19" s="219" t="n"/>
      <c r="CB19" s="219" t="n"/>
      <c r="CC19" s="219" t="n"/>
      <c r="CD19" s="219" t="n"/>
      <c r="CE19" s="219" t="n"/>
      <c r="CF19" s="219" t="n"/>
      <c r="CG19" s="219" t="n"/>
      <c r="CH19" s="219" t="n"/>
      <c r="CI19" s="219" t="n"/>
      <c r="CJ19" s="219" t="n"/>
      <c r="CK19" s="219" t="n"/>
      <c r="CL19" s="219" t="n"/>
      <c r="CM19" s="219" t="n"/>
      <c r="CN19" s="219" t="n"/>
      <c r="CO19" s="219" t="n"/>
      <c r="CP19" s="219" t="n"/>
      <c r="CQ19" s="219" t="n"/>
      <c r="CR19" s="219" t="n"/>
      <c r="CS19" s="219" t="n"/>
      <c r="CT19" s="219" t="n"/>
      <c r="CU19" s="219" t="n"/>
      <c r="CV19" s="219" t="n"/>
      <c r="CW19" s="219" t="n"/>
    </row>
    <row r="20" ht="15" customHeight="1" s="180">
      <c r="A20" s="224" t="inlineStr">
        <is>
          <t>基本生活費</t>
        </is>
      </c>
      <c r="B20" s="225">
        <f>IF(CF表!B$3="","",CF表!B20/10000)</f>
        <v/>
      </c>
      <c r="C20" s="225">
        <f>IF(CF表!C$3="","",CF表!C20/10000)</f>
        <v/>
      </c>
      <c r="D20" s="225">
        <f>IF(CF表!D$3="","",CF表!D20/10000)</f>
        <v/>
      </c>
      <c r="E20" s="225">
        <f>IF(CF表!E$3="","",CF表!E20/10000)</f>
        <v/>
      </c>
      <c r="F20" s="225">
        <f>IF(CF表!F$3="","",CF表!F20/10000)</f>
        <v/>
      </c>
      <c r="G20" s="225">
        <f>IF(CF表!G$3="","",CF表!G20/10000)</f>
        <v/>
      </c>
      <c r="H20" s="225">
        <f>IF(CF表!H$3="","",CF表!H20/10000)</f>
        <v/>
      </c>
      <c r="I20" s="225">
        <f>IF(CF表!I$3="","",CF表!I20/10000)</f>
        <v/>
      </c>
      <c r="J20" s="225">
        <f>IF(CF表!J$3="","",CF表!J20/10000)</f>
        <v/>
      </c>
      <c r="K20" s="225">
        <f>IF(CF表!K$3="","",CF表!K20/10000)</f>
        <v/>
      </c>
      <c r="L20" s="225">
        <f>IF(CF表!L$3="","",CF表!L20/10000)</f>
        <v/>
      </c>
      <c r="M20" s="225">
        <f>IF(CF表!M$3="","",CF表!M20/10000)</f>
        <v/>
      </c>
      <c r="N20" s="225">
        <f>IF(CF表!N$3="","",CF表!N20/10000)</f>
        <v/>
      </c>
      <c r="O20" s="225">
        <f>IF(CF表!O$3="","",CF表!O20/10000)</f>
        <v/>
      </c>
      <c r="P20" s="225">
        <f>IF(CF表!P$3="","",CF表!P20/10000)</f>
        <v/>
      </c>
      <c r="Q20" s="225">
        <f>IF(CF表!Q$3="","",CF表!Q20/10000)</f>
        <v/>
      </c>
      <c r="R20" s="225">
        <f>IF(CF表!R$3="","",CF表!R20/10000)</f>
        <v/>
      </c>
      <c r="S20" s="225">
        <f>IF(CF表!S$3="","",CF表!S20/10000)</f>
        <v/>
      </c>
      <c r="T20" s="225">
        <f>IF(CF表!T$3="","",CF表!T20/10000)</f>
        <v/>
      </c>
      <c r="U20" s="225">
        <f>IF(CF表!U$3="","",CF表!U20/10000)</f>
        <v/>
      </c>
      <c r="V20" s="225">
        <f>IF(CF表!V$3="","",CF表!V20/10000)</f>
        <v/>
      </c>
      <c r="W20" s="225">
        <f>IF(CF表!W$3="","",CF表!W20/10000)</f>
        <v/>
      </c>
      <c r="X20" s="225">
        <f>IF(CF表!X$3="","",CF表!X20/10000)</f>
        <v/>
      </c>
      <c r="Y20" s="225">
        <f>IF(CF表!Y$3="","",CF表!Y20/10000)</f>
        <v/>
      </c>
      <c r="Z20" s="225">
        <f>IF(CF表!Z$3="","",CF表!Z20/10000)</f>
        <v/>
      </c>
      <c r="AA20" s="225">
        <f>IF(CF表!AA$3="","",CF表!AA20/10000)</f>
        <v/>
      </c>
      <c r="AB20" s="225">
        <f>IF(CF表!AB$3="","",CF表!AB20/10000)</f>
        <v/>
      </c>
      <c r="AC20" s="225">
        <f>IF(CF表!AC$3="","",CF表!AC20/10000)</f>
        <v/>
      </c>
      <c r="AD20" s="225">
        <f>IF(CF表!AD$3="","",CF表!AD20/10000)</f>
        <v/>
      </c>
      <c r="AE20" s="225">
        <f>IF(CF表!AE$3="","",CF表!AE20/10000)</f>
        <v/>
      </c>
      <c r="AF20" s="225">
        <f>IF(CF表!AF$3="","",CF表!AF20/10000)</f>
        <v/>
      </c>
      <c r="AG20" s="225">
        <f>IF(CF表!AG$3="","",CF表!AG20/10000)</f>
        <v/>
      </c>
      <c r="AH20" s="225">
        <f>IF(CF表!AH$3="","",CF表!AH20/10000)</f>
        <v/>
      </c>
      <c r="AI20" s="225">
        <f>IF(CF表!AI$3="","",CF表!AI20/10000)</f>
        <v/>
      </c>
      <c r="AJ20" s="225">
        <f>IF(CF表!AJ$3="","",CF表!AJ20/10000)</f>
        <v/>
      </c>
      <c r="AK20" s="225">
        <f>IF(CF表!AK$3="","",CF表!AK20/10000)</f>
        <v/>
      </c>
      <c r="AL20" s="225">
        <f>IF(CF表!AL$3="","",CF表!AL20/10000)</f>
        <v/>
      </c>
      <c r="AM20" s="225">
        <f>IF(CF表!AM$3="","",CF表!AM20/10000)</f>
        <v/>
      </c>
      <c r="AN20" s="225">
        <f>IF(CF表!AN$3="","",CF表!AN20/10000)</f>
        <v/>
      </c>
      <c r="AO20" s="225">
        <f>IF(CF表!AO$3="","",CF表!AO20/10000)</f>
        <v/>
      </c>
      <c r="AP20" s="225">
        <f>IF(CF表!AP$3="","",CF表!AP20/10000)</f>
        <v/>
      </c>
      <c r="AQ20" s="225">
        <f>IF(CF表!AQ$3="","",CF表!AQ20/10000)</f>
        <v/>
      </c>
      <c r="AR20" s="225">
        <f>IF(CF表!AR$3="","",CF表!AR20/10000)</f>
        <v/>
      </c>
      <c r="AS20" s="225">
        <f>IF(CF表!AS$3="","",CF表!AS20/10000)</f>
        <v/>
      </c>
      <c r="AT20" s="225">
        <f>IF(CF表!AT$3="","",CF表!AT20/10000)</f>
        <v/>
      </c>
      <c r="AU20" s="225">
        <f>IF(CF表!AU$3="","",CF表!AU20/10000)</f>
        <v/>
      </c>
      <c r="AV20" s="225">
        <f>IF(CF表!AV$3="","",CF表!AV20/10000)</f>
        <v/>
      </c>
      <c r="AW20" s="225">
        <f>IF(CF表!AW$3="","",CF表!AW20/10000)</f>
        <v/>
      </c>
      <c r="AX20" s="225">
        <f>IF(CF表!AX$3="","",CF表!AX20/10000)</f>
        <v/>
      </c>
      <c r="AY20" s="225">
        <f>IF(CF表!AY$3="","",CF表!AY20/10000)</f>
        <v/>
      </c>
      <c r="AZ20" s="225">
        <f>IF(CF表!AZ$3="","",CF表!AZ20/10000)</f>
        <v/>
      </c>
      <c r="BA20" s="225">
        <f>IF(CF表!BA$3="","",CF表!BA20/10000)</f>
        <v/>
      </c>
      <c r="BB20" s="225">
        <f>IF(CF表!BB$3="","",CF表!BB20/10000)</f>
        <v/>
      </c>
      <c r="BC20" s="225">
        <f>IF(CF表!BC$3="","",CF表!BC20/10000)</f>
        <v/>
      </c>
      <c r="BD20" s="225">
        <f>IF(CF表!BD$3="","",CF表!BD20/10000)</f>
        <v/>
      </c>
      <c r="BE20" s="225">
        <f>IF(CF表!BE$3="","",CF表!BE20/10000)</f>
        <v/>
      </c>
      <c r="BF20" s="225">
        <f>IF(CF表!BF$3="","",CF表!BF20/10000)</f>
        <v/>
      </c>
      <c r="BG20" s="225">
        <f>IF(CF表!BG$3="","",CF表!BG20/10000)</f>
        <v/>
      </c>
      <c r="BH20" s="225">
        <f>IF(CF表!BH$3="","",CF表!BH20/10000)</f>
        <v/>
      </c>
      <c r="BI20" s="225">
        <f>IF(CF表!BI$3="","",CF表!BI20/10000)</f>
        <v/>
      </c>
      <c r="BJ20" s="225">
        <f>IF(CF表!BJ$3="","",CF表!BJ20/10000)</f>
        <v/>
      </c>
      <c r="BK20" s="225">
        <f>IF(CF表!BK$3="","",CF表!BK20/10000)</f>
        <v/>
      </c>
      <c r="BL20" s="225">
        <f>IF(CF表!BL$3="","",CF表!BL20/10000)</f>
        <v/>
      </c>
      <c r="BM20" s="225">
        <f>IF(CF表!BM$3="","",CF表!BM20/10000)</f>
        <v/>
      </c>
      <c r="BN20" s="225">
        <f>IF(CF表!BN$3="","",CF表!BN20/10000)</f>
        <v/>
      </c>
      <c r="BO20" s="225">
        <f>IF(CF表!BO$3="","",CF表!BO20/10000)</f>
        <v/>
      </c>
      <c r="BP20" s="225">
        <f>IF(CF表!BP$3="","",CF表!BP20/10000)</f>
        <v/>
      </c>
      <c r="BQ20" s="225">
        <f>IF(CF表!BQ$3="","",CF表!BQ20/10000)</f>
        <v/>
      </c>
      <c r="BR20" s="225">
        <f>IF(CF表!BR$3="","",CF表!BR20/10000)</f>
        <v/>
      </c>
      <c r="BS20" s="225">
        <f>IF(CF表!BS$3="","",CF表!BS20/10000)</f>
        <v/>
      </c>
      <c r="BT20" s="225">
        <f>IF(CF表!BT$3="","",CF表!BT20/10000)</f>
        <v/>
      </c>
      <c r="BU20" s="225">
        <f>IF(CF表!BU$3="","",CF表!BU20/10000)</f>
        <v/>
      </c>
      <c r="BV20" s="225">
        <f>IF(CF表!BV$3="","",CF表!BV20/10000)</f>
        <v/>
      </c>
      <c r="BW20" s="225">
        <f>IF(CF表!BW$3="","",CF表!BW20/10000)</f>
        <v/>
      </c>
      <c r="BX20" s="225">
        <f>IF(CF表!BX$3="","",CF表!BX20/10000)</f>
        <v/>
      </c>
      <c r="BY20" s="225">
        <f>IF(CF表!BY$3="","",CF表!BY20/10000)</f>
        <v/>
      </c>
      <c r="BZ20" s="225">
        <f>IF(CF表!BZ$3="","",CF表!BZ20/10000)</f>
        <v/>
      </c>
      <c r="CA20" s="225">
        <f>IF(CF表!CA$3="","",CF表!CA20/10000)</f>
        <v/>
      </c>
      <c r="CB20" s="225">
        <f>IF(CF表!CB$3="","",CF表!CB20/10000)</f>
        <v/>
      </c>
      <c r="CC20" s="225">
        <f>IF(CF表!CC$3="","",CF表!CC20/10000)</f>
        <v/>
      </c>
      <c r="CD20" s="225">
        <f>IF(CF表!CD$3="","",CF表!CD20/10000)</f>
        <v/>
      </c>
      <c r="CE20" s="225">
        <f>IF(CF表!CE$3="","",CF表!CE20/10000)</f>
        <v/>
      </c>
      <c r="CF20" s="225">
        <f>IF(CF表!CF$3="","",CF表!CF20/10000)</f>
        <v/>
      </c>
      <c r="CG20" s="225">
        <f>IF(CF表!CG$3="","",CF表!CG20/10000)</f>
        <v/>
      </c>
      <c r="CH20" s="225">
        <f>IF(CF表!CH$3="","",CF表!CH20/10000)</f>
        <v/>
      </c>
      <c r="CI20" s="225">
        <f>IF(CF表!CI$3="","",CF表!CI20/10000)</f>
        <v/>
      </c>
      <c r="CJ20" s="225">
        <f>IF(CF表!CJ$3="","",CF表!CJ20/10000)</f>
        <v/>
      </c>
      <c r="CK20" s="225">
        <f>IF(CF表!CK$3="","",CF表!CK20/10000)</f>
        <v/>
      </c>
      <c r="CL20" s="225">
        <f>IF(CF表!CL$3="","",CF表!CL20/10000)</f>
        <v/>
      </c>
      <c r="CM20" s="225">
        <f>IF(CF表!CM$3="","",CF表!CM20/10000)</f>
        <v/>
      </c>
      <c r="CN20" s="225">
        <f>IF(CF表!CN$3="","",CF表!CN20/10000)</f>
        <v/>
      </c>
      <c r="CO20" s="225">
        <f>IF(CF表!CO$3="","",CF表!CO20/10000)</f>
        <v/>
      </c>
      <c r="CP20" s="225">
        <f>IF(CF表!CP$3="","",CF表!CP20/10000)</f>
        <v/>
      </c>
      <c r="CQ20" s="225">
        <f>IF(CF表!CQ$3="","",CF表!CQ20/10000)</f>
        <v/>
      </c>
      <c r="CR20" s="225">
        <f>IF(CF表!CR$3="","",CF表!CR20/10000)</f>
        <v/>
      </c>
      <c r="CS20" s="225">
        <f>IF(CF表!CS$3="","",CF表!CS20/10000)</f>
        <v/>
      </c>
      <c r="CT20" s="225">
        <f>IF(CF表!CT$3="","",CF表!CT20/10000)</f>
        <v/>
      </c>
      <c r="CU20" s="225">
        <f>IF(CF表!CU$3="","",CF表!CU20/10000)</f>
        <v/>
      </c>
      <c r="CV20" s="225">
        <f>IF(CF表!CV$3="","",CF表!CV20/10000)</f>
        <v/>
      </c>
      <c r="CW20" s="225">
        <f>IF(CF表!CW$3="","",CF表!CW20/10000)</f>
        <v/>
      </c>
    </row>
    <row r="21" ht="15" customHeight="1" s="180">
      <c r="A21" s="224" t="inlineStr">
        <is>
          <t>住居費</t>
        </is>
      </c>
      <c r="B21" s="225">
        <f>IF(CF表!B$3="","",CF表!B21/10000)</f>
        <v/>
      </c>
      <c r="C21" s="225">
        <f>IF(CF表!C$3="","",CF表!C21/10000)</f>
        <v/>
      </c>
      <c r="D21" s="225">
        <f>IF(CF表!D$3="","",CF表!D21/10000)</f>
        <v/>
      </c>
      <c r="E21" s="225">
        <f>IF(CF表!E$3="","",CF表!E21/10000)</f>
        <v/>
      </c>
      <c r="F21" s="225">
        <f>IF(CF表!F$3="","",CF表!F21/10000)</f>
        <v/>
      </c>
      <c r="G21" s="225">
        <f>IF(CF表!G$3="","",CF表!G21/10000)</f>
        <v/>
      </c>
      <c r="H21" s="225">
        <f>IF(CF表!H$3="","",CF表!H21/10000)</f>
        <v/>
      </c>
      <c r="I21" s="225">
        <f>IF(CF表!I$3="","",CF表!I21/10000)</f>
        <v/>
      </c>
      <c r="J21" s="225">
        <f>IF(CF表!J$3="","",CF表!J21/10000)</f>
        <v/>
      </c>
      <c r="K21" s="225">
        <f>IF(CF表!K$3="","",CF表!K21/10000)</f>
        <v/>
      </c>
      <c r="L21" s="225">
        <f>IF(CF表!L$3="","",CF表!L21/10000)</f>
        <v/>
      </c>
      <c r="M21" s="225">
        <f>IF(CF表!M$3="","",CF表!M21/10000)</f>
        <v/>
      </c>
      <c r="N21" s="225">
        <f>IF(CF表!N$3="","",CF表!N21/10000)</f>
        <v/>
      </c>
      <c r="O21" s="225">
        <f>IF(CF表!O$3="","",CF表!O21/10000)</f>
        <v/>
      </c>
      <c r="P21" s="225">
        <f>IF(CF表!P$3="","",CF表!P21/10000)</f>
        <v/>
      </c>
      <c r="Q21" s="225">
        <f>IF(CF表!Q$3="","",CF表!Q21/10000)</f>
        <v/>
      </c>
      <c r="R21" s="225">
        <f>IF(CF表!R$3="","",CF表!R21/10000)</f>
        <v/>
      </c>
      <c r="S21" s="225">
        <f>IF(CF表!S$3="","",CF表!S21/10000)</f>
        <v/>
      </c>
      <c r="T21" s="225">
        <f>IF(CF表!T$3="","",CF表!T21/10000)</f>
        <v/>
      </c>
      <c r="U21" s="225">
        <f>IF(CF表!U$3="","",CF表!U21/10000)</f>
        <v/>
      </c>
      <c r="V21" s="225">
        <f>IF(CF表!V$3="","",CF表!V21/10000)</f>
        <v/>
      </c>
      <c r="W21" s="225">
        <f>IF(CF表!W$3="","",CF表!W21/10000)</f>
        <v/>
      </c>
      <c r="X21" s="225">
        <f>IF(CF表!X$3="","",CF表!X21/10000)</f>
        <v/>
      </c>
      <c r="Y21" s="225">
        <f>IF(CF表!Y$3="","",CF表!Y21/10000)</f>
        <v/>
      </c>
      <c r="Z21" s="225">
        <f>IF(CF表!Z$3="","",CF表!Z21/10000)</f>
        <v/>
      </c>
      <c r="AA21" s="225">
        <f>IF(CF表!AA$3="","",CF表!AA21/10000)</f>
        <v/>
      </c>
      <c r="AB21" s="225">
        <f>IF(CF表!AB$3="","",CF表!AB21/10000)</f>
        <v/>
      </c>
      <c r="AC21" s="225">
        <f>IF(CF表!AC$3="","",CF表!AC21/10000)</f>
        <v/>
      </c>
      <c r="AD21" s="225">
        <f>IF(CF表!AD$3="","",CF表!AD21/10000)</f>
        <v/>
      </c>
      <c r="AE21" s="225">
        <f>IF(CF表!AE$3="","",CF表!AE21/10000)</f>
        <v/>
      </c>
      <c r="AF21" s="225">
        <f>IF(CF表!AF$3="","",CF表!AF21/10000)</f>
        <v/>
      </c>
      <c r="AG21" s="225">
        <f>IF(CF表!AG$3="","",CF表!AG21/10000)</f>
        <v/>
      </c>
      <c r="AH21" s="225">
        <f>IF(CF表!AH$3="","",CF表!AH21/10000)</f>
        <v/>
      </c>
      <c r="AI21" s="225">
        <f>IF(CF表!AI$3="","",CF表!AI21/10000)</f>
        <v/>
      </c>
      <c r="AJ21" s="225">
        <f>IF(CF表!AJ$3="","",CF表!AJ21/10000)</f>
        <v/>
      </c>
      <c r="AK21" s="225">
        <f>IF(CF表!AK$3="","",CF表!AK21/10000)</f>
        <v/>
      </c>
      <c r="AL21" s="225">
        <f>IF(CF表!AL$3="","",CF表!AL21/10000)</f>
        <v/>
      </c>
      <c r="AM21" s="225">
        <f>IF(CF表!AM$3="","",CF表!AM21/10000)</f>
        <v/>
      </c>
      <c r="AN21" s="225">
        <f>IF(CF表!AN$3="","",CF表!AN21/10000)</f>
        <v/>
      </c>
      <c r="AO21" s="225">
        <f>IF(CF表!AO$3="","",CF表!AO21/10000)</f>
        <v/>
      </c>
      <c r="AP21" s="225">
        <f>IF(CF表!AP$3="","",CF表!AP21/10000)</f>
        <v/>
      </c>
      <c r="AQ21" s="225">
        <f>IF(CF表!AQ$3="","",CF表!AQ21/10000)</f>
        <v/>
      </c>
      <c r="AR21" s="225">
        <f>IF(CF表!AR$3="","",CF表!AR21/10000)</f>
        <v/>
      </c>
      <c r="AS21" s="225">
        <f>IF(CF表!AS$3="","",CF表!AS21/10000)</f>
        <v/>
      </c>
      <c r="AT21" s="225">
        <f>IF(CF表!AT$3="","",CF表!AT21/10000)</f>
        <v/>
      </c>
      <c r="AU21" s="225">
        <f>IF(CF表!AU$3="","",CF表!AU21/10000)</f>
        <v/>
      </c>
      <c r="AV21" s="225">
        <f>IF(CF表!AV$3="","",CF表!AV21/10000)</f>
        <v/>
      </c>
      <c r="AW21" s="225">
        <f>IF(CF表!AW$3="","",CF表!AW21/10000)</f>
        <v/>
      </c>
      <c r="AX21" s="225">
        <f>IF(CF表!AX$3="","",CF表!AX21/10000)</f>
        <v/>
      </c>
      <c r="AY21" s="225">
        <f>IF(CF表!AY$3="","",CF表!AY21/10000)</f>
        <v/>
      </c>
      <c r="AZ21" s="225">
        <f>IF(CF表!AZ$3="","",CF表!AZ21/10000)</f>
        <v/>
      </c>
      <c r="BA21" s="225">
        <f>IF(CF表!BA$3="","",CF表!BA21/10000)</f>
        <v/>
      </c>
      <c r="BB21" s="225">
        <f>IF(CF表!BB$3="","",CF表!BB21/10000)</f>
        <v/>
      </c>
      <c r="BC21" s="225">
        <f>IF(CF表!BC$3="","",CF表!BC21/10000)</f>
        <v/>
      </c>
      <c r="BD21" s="225">
        <f>IF(CF表!BD$3="","",CF表!BD21/10000)</f>
        <v/>
      </c>
      <c r="BE21" s="225">
        <f>IF(CF表!BE$3="","",CF表!BE21/10000)</f>
        <v/>
      </c>
      <c r="BF21" s="225">
        <f>IF(CF表!BF$3="","",CF表!BF21/10000)</f>
        <v/>
      </c>
      <c r="BG21" s="225">
        <f>IF(CF表!BG$3="","",CF表!BG21/10000)</f>
        <v/>
      </c>
      <c r="BH21" s="225">
        <f>IF(CF表!BH$3="","",CF表!BH21/10000)</f>
        <v/>
      </c>
      <c r="BI21" s="225">
        <f>IF(CF表!BI$3="","",CF表!BI21/10000)</f>
        <v/>
      </c>
      <c r="BJ21" s="225">
        <f>IF(CF表!BJ$3="","",CF表!BJ21/10000)</f>
        <v/>
      </c>
      <c r="BK21" s="225">
        <f>IF(CF表!BK$3="","",CF表!BK21/10000)</f>
        <v/>
      </c>
      <c r="BL21" s="225">
        <f>IF(CF表!BL$3="","",CF表!BL21/10000)</f>
        <v/>
      </c>
      <c r="BM21" s="225">
        <f>IF(CF表!BM$3="","",CF表!BM21/10000)</f>
        <v/>
      </c>
      <c r="BN21" s="225">
        <f>IF(CF表!BN$3="","",CF表!BN21/10000)</f>
        <v/>
      </c>
      <c r="BO21" s="225">
        <f>IF(CF表!BO$3="","",CF表!BO21/10000)</f>
        <v/>
      </c>
      <c r="BP21" s="225">
        <f>IF(CF表!BP$3="","",CF表!BP21/10000)</f>
        <v/>
      </c>
      <c r="BQ21" s="225">
        <f>IF(CF表!BQ$3="","",CF表!BQ21/10000)</f>
        <v/>
      </c>
      <c r="BR21" s="225">
        <f>IF(CF表!BR$3="","",CF表!BR21/10000)</f>
        <v/>
      </c>
      <c r="BS21" s="225">
        <f>IF(CF表!BS$3="","",CF表!BS21/10000)</f>
        <v/>
      </c>
      <c r="BT21" s="225">
        <f>IF(CF表!BT$3="","",CF表!BT21/10000)</f>
        <v/>
      </c>
      <c r="BU21" s="225">
        <f>IF(CF表!BU$3="","",CF表!BU21/10000)</f>
        <v/>
      </c>
      <c r="BV21" s="225">
        <f>IF(CF表!BV$3="","",CF表!BV21/10000)</f>
        <v/>
      </c>
      <c r="BW21" s="225">
        <f>IF(CF表!BW$3="","",CF表!BW21/10000)</f>
        <v/>
      </c>
      <c r="BX21" s="225">
        <f>IF(CF表!BX$3="","",CF表!BX21/10000)</f>
        <v/>
      </c>
      <c r="BY21" s="225">
        <f>IF(CF表!BY$3="","",CF表!BY21/10000)</f>
        <v/>
      </c>
      <c r="BZ21" s="225">
        <f>IF(CF表!BZ$3="","",CF表!BZ21/10000)</f>
        <v/>
      </c>
      <c r="CA21" s="225">
        <f>IF(CF表!CA$3="","",CF表!CA21/10000)</f>
        <v/>
      </c>
      <c r="CB21" s="225">
        <f>IF(CF表!CB$3="","",CF表!CB21/10000)</f>
        <v/>
      </c>
      <c r="CC21" s="225">
        <f>IF(CF表!CC$3="","",CF表!CC21/10000)</f>
        <v/>
      </c>
      <c r="CD21" s="225">
        <f>IF(CF表!CD$3="","",CF表!CD21/10000)</f>
        <v/>
      </c>
      <c r="CE21" s="225">
        <f>IF(CF表!CE$3="","",CF表!CE21/10000)</f>
        <v/>
      </c>
      <c r="CF21" s="225">
        <f>IF(CF表!CF$3="","",CF表!CF21/10000)</f>
        <v/>
      </c>
      <c r="CG21" s="225">
        <f>IF(CF表!CG$3="","",CF表!CG21/10000)</f>
        <v/>
      </c>
      <c r="CH21" s="225">
        <f>IF(CF表!CH$3="","",CF表!CH21/10000)</f>
        <v/>
      </c>
      <c r="CI21" s="225">
        <f>IF(CF表!CI$3="","",CF表!CI21/10000)</f>
        <v/>
      </c>
      <c r="CJ21" s="225">
        <f>IF(CF表!CJ$3="","",CF表!CJ21/10000)</f>
        <v/>
      </c>
      <c r="CK21" s="225">
        <f>IF(CF表!CK$3="","",CF表!CK21/10000)</f>
        <v/>
      </c>
      <c r="CL21" s="225">
        <f>IF(CF表!CL$3="","",CF表!CL21/10000)</f>
        <v/>
      </c>
      <c r="CM21" s="225">
        <f>IF(CF表!CM$3="","",CF表!CM21/10000)</f>
        <v/>
      </c>
      <c r="CN21" s="225">
        <f>IF(CF表!CN$3="","",CF表!CN21/10000)</f>
        <v/>
      </c>
      <c r="CO21" s="225">
        <f>IF(CF表!CO$3="","",CF表!CO21/10000)</f>
        <v/>
      </c>
      <c r="CP21" s="225">
        <f>IF(CF表!CP$3="","",CF表!CP21/10000)</f>
        <v/>
      </c>
      <c r="CQ21" s="225">
        <f>IF(CF表!CQ$3="","",CF表!CQ21/10000)</f>
        <v/>
      </c>
      <c r="CR21" s="225">
        <f>IF(CF表!CR$3="","",CF表!CR21/10000)</f>
        <v/>
      </c>
      <c r="CS21" s="225">
        <f>IF(CF表!CS$3="","",CF表!CS21/10000)</f>
        <v/>
      </c>
      <c r="CT21" s="225">
        <f>IF(CF表!CT$3="","",CF表!CT21/10000)</f>
        <v/>
      </c>
      <c r="CU21" s="225">
        <f>IF(CF表!CU$3="","",CF表!CU21/10000)</f>
        <v/>
      </c>
      <c r="CV21" s="225">
        <f>IF(CF表!CV$3="","",CF表!CV21/10000)</f>
        <v/>
      </c>
      <c r="CW21" s="225">
        <f>IF(CF表!CW$3="","",CF表!CW21/10000)</f>
        <v/>
      </c>
    </row>
    <row r="22" ht="15" customHeight="1" s="180">
      <c r="A22" s="224" t="inlineStr">
        <is>
          <t>終身系保険料</t>
        </is>
      </c>
      <c r="B22" s="225">
        <f>IF(CF表!B$3="","",CF表!B22/10000)</f>
        <v/>
      </c>
      <c r="C22" s="225">
        <f>IF(CF表!C$3="","",CF表!C22/10000)</f>
        <v/>
      </c>
      <c r="D22" s="225">
        <f>IF(CF表!D$3="","",CF表!D22/10000)</f>
        <v/>
      </c>
      <c r="E22" s="225">
        <f>IF(CF表!E$3="","",CF表!E22/10000)</f>
        <v/>
      </c>
      <c r="F22" s="225">
        <f>IF(CF表!F$3="","",CF表!F22/10000)</f>
        <v/>
      </c>
      <c r="G22" s="225">
        <f>IF(CF表!G$3="","",CF表!G22/10000)</f>
        <v/>
      </c>
      <c r="H22" s="225">
        <f>IF(CF表!H$3="","",CF表!H22/10000)</f>
        <v/>
      </c>
      <c r="I22" s="225">
        <f>IF(CF表!I$3="","",CF表!I22/10000)</f>
        <v/>
      </c>
      <c r="J22" s="225">
        <f>IF(CF表!J$3="","",CF表!J22/10000)</f>
        <v/>
      </c>
      <c r="K22" s="225">
        <f>IF(CF表!K$3="","",CF表!K22/10000)</f>
        <v/>
      </c>
      <c r="L22" s="225">
        <f>IF(CF表!L$3="","",CF表!L22/10000)</f>
        <v/>
      </c>
      <c r="M22" s="225">
        <f>IF(CF表!M$3="","",CF表!M22/10000)</f>
        <v/>
      </c>
      <c r="N22" s="225">
        <f>IF(CF表!N$3="","",CF表!N22/10000)</f>
        <v/>
      </c>
      <c r="O22" s="225">
        <f>IF(CF表!O$3="","",CF表!O22/10000)</f>
        <v/>
      </c>
      <c r="P22" s="225">
        <f>IF(CF表!P$3="","",CF表!P22/10000)</f>
        <v/>
      </c>
      <c r="Q22" s="225">
        <f>IF(CF表!Q$3="","",CF表!Q22/10000)</f>
        <v/>
      </c>
      <c r="R22" s="225">
        <f>IF(CF表!R$3="","",CF表!R22/10000)</f>
        <v/>
      </c>
      <c r="S22" s="225">
        <f>IF(CF表!S$3="","",CF表!S22/10000)</f>
        <v/>
      </c>
      <c r="T22" s="225">
        <f>IF(CF表!T$3="","",CF表!T22/10000)</f>
        <v/>
      </c>
      <c r="U22" s="225">
        <f>IF(CF表!U$3="","",CF表!U22/10000)</f>
        <v/>
      </c>
      <c r="V22" s="225">
        <f>IF(CF表!V$3="","",CF表!V22/10000)</f>
        <v/>
      </c>
      <c r="W22" s="225">
        <f>IF(CF表!W$3="","",CF表!W22/10000)</f>
        <v/>
      </c>
      <c r="X22" s="225">
        <f>IF(CF表!X$3="","",CF表!X22/10000)</f>
        <v/>
      </c>
      <c r="Y22" s="225">
        <f>IF(CF表!Y$3="","",CF表!Y22/10000)</f>
        <v/>
      </c>
      <c r="Z22" s="225">
        <f>IF(CF表!Z$3="","",CF表!Z22/10000)</f>
        <v/>
      </c>
      <c r="AA22" s="225">
        <f>IF(CF表!AA$3="","",CF表!AA22/10000)</f>
        <v/>
      </c>
      <c r="AB22" s="225">
        <f>IF(CF表!AB$3="","",CF表!AB22/10000)</f>
        <v/>
      </c>
      <c r="AC22" s="225">
        <f>IF(CF表!AC$3="","",CF表!AC22/10000)</f>
        <v/>
      </c>
      <c r="AD22" s="225">
        <f>IF(CF表!AD$3="","",CF表!AD22/10000)</f>
        <v/>
      </c>
      <c r="AE22" s="225">
        <f>IF(CF表!AE$3="","",CF表!AE22/10000)</f>
        <v/>
      </c>
      <c r="AF22" s="225">
        <f>IF(CF表!AF$3="","",CF表!AF22/10000)</f>
        <v/>
      </c>
      <c r="AG22" s="225">
        <f>IF(CF表!AG$3="","",CF表!AG22/10000)</f>
        <v/>
      </c>
      <c r="AH22" s="225">
        <f>IF(CF表!AH$3="","",CF表!AH22/10000)</f>
        <v/>
      </c>
      <c r="AI22" s="225">
        <f>IF(CF表!AI$3="","",CF表!AI22/10000)</f>
        <v/>
      </c>
      <c r="AJ22" s="225">
        <f>IF(CF表!AJ$3="","",CF表!AJ22/10000)</f>
        <v/>
      </c>
      <c r="AK22" s="225">
        <f>IF(CF表!AK$3="","",CF表!AK22/10000)</f>
        <v/>
      </c>
      <c r="AL22" s="225">
        <f>IF(CF表!AL$3="","",CF表!AL22/10000)</f>
        <v/>
      </c>
      <c r="AM22" s="225">
        <f>IF(CF表!AM$3="","",CF表!AM22/10000)</f>
        <v/>
      </c>
      <c r="AN22" s="225">
        <f>IF(CF表!AN$3="","",CF表!AN22/10000)</f>
        <v/>
      </c>
      <c r="AO22" s="225">
        <f>IF(CF表!AO$3="","",CF表!AO22/10000)</f>
        <v/>
      </c>
      <c r="AP22" s="225">
        <f>IF(CF表!AP$3="","",CF表!AP22/10000)</f>
        <v/>
      </c>
      <c r="AQ22" s="225">
        <f>IF(CF表!AQ$3="","",CF表!AQ22/10000)</f>
        <v/>
      </c>
      <c r="AR22" s="225">
        <f>IF(CF表!AR$3="","",CF表!AR22/10000)</f>
        <v/>
      </c>
      <c r="AS22" s="225">
        <f>IF(CF表!AS$3="","",CF表!AS22/10000)</f>
        <v/>
      </c>
      <c r="AT22" s="225">
        <f>IF(CF表!AT$3="","",CF表!AT22/10000)</f>
        <v/>
      </c>
      <c r="AU22" s="225">
        <f>IF(CF表!AU$3="","",CF表!AU22/10000)</f>
        <v/>
      </c>
      <c r="AV22" s="225">
        <f>IF(CF表!AV$3="","",CF表!AV22/10000)</f>
        <v/>
      </c>
      <c r="AW22" s="225">
        <f>IF(CF表!AW$3="","",CF表!AW22/10000)</f>
        <v/>
      </c>
      <c r="AX22" s="225">
        <f>IF(CF表!AX$3="","",CF表!AX22/10000)</f>
        <v/>
      </c>
      <c r="AY22" s="225">
        <f>IF(CF表!AY$3="","",CF表!AY22/10000)</f>
        <v/>
      </c>
      <c r="AZ22" s="225">
        <f>IF(CF表!AZ$3="","",CF表!AZ22/10000)</f>
        <v/>
      </c>
      <c r="BA22" s="225">
        <f>IF(CF表!BA$3="","",CF表!BA22/10000)</f>
        <v/>
      </c>
      <c r="BB22" s="225">
        <f>IF(CF表!BB$3="","",CF表!BB22/10000)</f>
        <v/>
      </c>
      <c r="BC22" s="225">
        <f>IF(CF表!BC$3="","",CF表!BC22/10000)</f>
        <v/>
      </c>
      <c r="BD22" s="225">
        <f>IF(CF表!BD$3="","",CF表!BD22/10000)</f>
        <v/>
      </c>
      <c r="BE22" s="225">
        <f>IF(CF表!BE$3="","",CF表!BE22/10000)</f>
        <v/>
      </c>
      <c r="BF22" s="225">
        <f>IF(CF表!BF$3="","",CF表!BF22/10000)</f>
        <v/>
      </c>
      <c r="BG22" s="225">
        <f>IF(CF表!BG$3="","",CF表!BG22/10000)</f>
        <v/>
      </c>
      <c r="BH22" s="225">
        <f>IF(CF表!BH$3="","",CF表!BH22/10000)</f>
        <v/>
      </c>
      <c r="BI22" s="225">
        <f>IF(CF表!BI$3="","",CF表!BI22/10000)</f>
        <v/>
      </c>
      <c r="BJ22" s="225">
        <f>IF(CF表!BJ$3="","",CF表!BJ22/10000)</f>
        <v/>
      </c>
      <c r="BK22" s="225">
        <f>IF(CF表!BK$3="","",CF表!BK22/10000)</f>
        <v/>
      </c>
      <c r="BL22" s="225">
        <f>IF(CF表!BL$3="","",CF表!BL22/10000)</f>
        <v/>
      </c>
      <c r="BM22" s="225">
        <f>IF(CF表!BM$3="","",CF表!BM22/10000)</f>
        <v/>
      </c>
      <c r="BN22" s="225">
        <f>IF(CF表!BN$3="","",CF表!BN22/10000)</f>
        <v/>
      </c>
      <c r="BO22" s="225">
        <f>IF(CF表!BO$3="","",CF表!BO22/10000)</f>
        <v/>
      </c>
      <c r="BP22" s="225">
        <f>IF(CF表!BP$3="","",CF表!BP22/10000)</f>
        <v/>
      </c>
      <c r="BQ22" s="225">
        <f>IF(CF表!BQ$3="","",CF表!BQ22/10000)</f>
        <v/>
      </c>
      <c r="BR22" s="225">
        <f>IF(CF表!BR$3="","",CF表!BR22/10000)</f>
        <v/>
      </c>
      <c r="BS22" s="225">
        <f>IF(CF表!BS$3="","",CF表!BS22/10000)</f>
        <v/>
      </c>
      <c r="BT22" s="225">
        <f>IF(CF表!BT$3="","",CF表!BT22/10000)</f>
        <v/>
      </c>
      <c r="BU22" s="225">
        <f>IF(CF表!BU$3="","",CF表!BU22/10000)</f>
        <v/>
      </c>
      <c r="BV22" s="225">
        <f>IF(CF表!BV$3="","",CF表!BV22/10000)</f>
        <v/>
      </c>
      <c r="BW22" s="225">
        <f>IF(CF表!BW$3="","",CF表!BW22/10000)</f>
        <v/>
      </c>
      <c r="BX22" s="225">
        <f>IF(CF表!BX$3="","",CF表!BX22/10000)</f>
        <v/>
      </c>
      <c r="BY22" s="225">
        <f>IF(CF表!BY$3="","",CF表!BY22/10000)</f>
        <v/>
      </c>
      <c r="BZ22" s="225">
        <f>IF(CF表!BZ$3="","",CF表!BZ22/10000)</f>
        <v/>
      </c>
      <c r="CA22" s="225">
        <f>IF(CF表!CA$3="","",CF表!CA22/10000)</f>
        <v/>
      </c>
      <c r="CB22" s="225">
        <f>IF(CF表!CB$3="","",CF表!CB22/10000)</f>
        <v/>
      </c>
      <c r="CC22" s="225">
        <f>IF(CF表!CC$3="","",CF表!CC22/10000)</f>
        <v/>
      </c>
      <c r="CD22" s="225">
        <f>IF(CF表!CD$3="","",CF表!CD22/10000)</f>
        <v/>
      </c>
      <c r="CE22" s="225">
        <f>IF(CF表!CE$3="","",CF表!CE22/10000)</f>
        <v/>
      </c>
      <c r="CF22" s="225">
        <f>IF(CF表!CF$3="","",CF表!CF22/10000)</f>
        <v/>
      </c>
      <c r="CG22" s="225">
        <f>IF(CF表!CG$3="","",CF表!CG22/10000)</f>
        <v/>
      </c>
      <c r="CH22" s="225">
        <f>IF(CF表!CH$3="","",CF表!CH22/10000)</f>
        <v/>
      </c>
      <c r="CI22" s="225">
        <f>IF(CF表!CI$3="","",CF表!CI22/10000)</f>
        <v/>
      </c>
      <c r="CJ22" s="225">
        <f>IF(CF表!CJ$3="","",CF表!CJ22/10000)</f>
        <v/>
      </c>
      <c r="CK22" s="225">
        <f>IF(CF表!CK$3="","",CF表!CK22/10000)</f>
        <v/>
      </c>
      <c r="CL22" s="225">
        <f>IF(CF表!CL$3="","",CF表!CL22/10000)</f>
        <v/>
      </c>
      <c r="CM22" s="225">
        <f>IF(CF表!CM$3="","",CF表!CM22/10000)</f>
        <v/>
      </c>
      <c r="CN22" s="225">
        <f>IF(CF表!CN$3="","",CF表!CN22/10000)</f>
        <v/>
      </c>
      <c r="CO22" s="225">
        <f>IF(CF表!CO$3="","",CF表!CO22/10000)</f>
        <v/>
      </c>
      <c r="CP22" s="225">
        <f>IF(CF表!CP$3="","",CF表!CP22/10000)</f>
        <v/>
      </c>
      <c r="CQ22" s="225">
        <f>IF(CF表!CQ$3="","",CF表!CQ22/10000)</f>
        <v/>
      </c>
      <c r="CR22" s="225">
        <f>IF(CF表!CR$3="","",CF表!CR22/10000)</f>
        <v/>
      </c>
      <c r="CS22" s="225">
        <f>IF(CF表!CS$3="","",CF表!CS22/10000)</f>
        <v/>
      </c>
      <c r="CT22" s="225">
        <f>IF(CF表!CT$3="","",CF表!CT22/10000)</f>
        <v/>
      </c>
      <c r="CU22" s="225">
        <f>IF(CF表!CU$3="","",CF表!CU22/10000)</f>
        <v/>
      </c>
      <c r="CV22" s="225">
        <f>IF(CF表!CV$3="","",CF表!CV22/10000)</f>
        <v/>
      </c>
      <c r="CW22" s="225">
        <f>IF(CF表!CW$3="","",CF表!CW22/10000)</f>
        <v/>
      </c>
    </row>
    <row r="23" ht="15" customHeight="1" s="180">
      <c r="A23" s="224" t="inlineStr">
        <is>
          <t>定期系保険料</t>
        </is>
      </c>
      <c r="B23" s="225">
        <f>IF(CF表!B$3="","",CF表!B23/10000)</f>
        <v/>
      </c>
      <c r="C23" s="225">
        <f>IF(CF表!C$3="","",CF表!C23/10000)</f>
        <v/>
      </c>
      <c r="D23" s="225">
        <f>IF(CF表!D$3="","",CF表!D23/10000)</f>
        <v/>
      </c>
      <c r="E23" s="225">
        <f>IF(CF表!E$3="","",CF表!E23/10000)</f>
        <v/>
      </c>
      <c r="F23" s="225">
        <f>IF(CF表!F$3="","",CF表!F23/10000)</f>
        <v/>
      </c>
      <c r="G23" s="225">
        <f>IF(CF表!G$3="","",CF表!G23/10000)</f>
        <v/>
      </c>
      <c r="H23" s="225">
        <f>IF(CF表!H$3="","",CF表!H23/10000)</f>
        <v/>
      </c>
      <c r="I23" s="225">
        <f>IF(CF表!I$3="","",CF表!I23/10000)</f>
        <v/>
      </c>
      <c r="J23" s="225">
        <f>IF(CF表!J$3="","",CF表!J23/10000)</f>
        <v/>
      </c>
      <c r="K23" s="225">
        <f>IF(CF表!K$3="","",CF表!K23/10000)</f>
        <v/>
      </c>
      <c r="L23" s="225">
        <f>IF(CF表!L$3="","",CF表!L23/10000)</f>
        <v/>
      </c>
      <c r="M23" s="225">
        <f>IF(CF表!M$3="","",CF表!M23/10000)</f>
        <v/>
      </c>
      <c r="N23" s="225">
        <f>IF(CF表!N$3="","",CF表!N23/10000)</f>
        <v/>
      </c>
      <c r="O23" s="225">
        <f>IF(CF表!O$3="","",CF表!O23/10000)</f>
        <v/>
      </c>
      <c r="P23" s="225">
        <f>IF(CF表!P$3="","",CF表!P23/10000)</f>
        <v/>
      </c>
      <c r="Q23" s="225">
        <f>IF(CF表!Q$3="","",CF表!Q23/10000)</f>
        <v/>
      </c>
      <c r="R23" s="225">
        <f>IF(CF表!R$3="","",CF表!R23/10000)</f>
        <v/>
      </c>
      <c r="S23" s="225">
        <f>IF(CF表!S$3="","",CF表!S23/10000)</f>
        <v/>
      </c>
      <c r="T23" s="225">
        <f>IF(CF表!T$3="","",CF表!T23/10000)</f>
        <v/>
      </c>
      <c r="U23" s="225">
        <f>IF(CF表!U$3="","",CF表!U23/10000)</f>
        <v/>
      </c>
      <c r="V23" s="225">
        <f>IF(CF表!V$3="","",CF表!V23/10000)</f>
        <v/>
      </c>
      <c r="W23" s="225">
        <f>IF(CF表!W$3="","",CF表!W23/10000)</f>
        <v/>
      </c>
      <c r="X23" s="225">
        <f>IF(CF表!X$3="","",CF表!X23/10000)</f>
        <v/>
      </c>
      <c r="Y23" s="225">
        <f>IF(CF表!Y$3="","",CF表!Y23/10000)</f>
        <v/>
      </c>
      <c r="Z23" s="225">
        <f>IF(CF表!Z$3="","",CF表!Z23/10000)</f>
        <v/>
      </c>
      <c r="AA23" s="225">
        <f>IF(CF表!AA$3="","",CF表!AA23/10000)</f>
        <v/>
      </c>
      <c r="AB23" s="225">
        <f>IF(CF表!AB$3="","",CF表!AB23/10000)</f>
        <v/>
      </c>
      <c r="AC23" s="225">
        <f>IF(CF表!AC$3="","",CF表!AC23/10000)</f>
        <v/>
      </c>
      <c r="AD23" s="225">
        <f>IF(CF表!AD$3="","",CF表!AD23/10000)</f>
        <v/>
      </c>
      <c r="AE23" s="225">
        <f>IF(CF表!AE$3="","",CF表!AE23/10000)</f>
        <v/>
      </c>
      <c r="AF23" s="225">
        <f>IF(CF表!AF$3="","",CF表!AF23/10000)</f>
        <v/>
      </c>
      <c r="AG23" s="225">
        <f>IF(CF表!AG$3="","",CF表!AG23/10000)</f>
        <v/>
      </c>
      <c r="AH23" s="225">
        <f>IF(CF表!AH$3="","",CF表!AH23/10000)</f>
        <v/>
      </c>
      <c r="AI23" s="225">
        <f>IF(CF表!AI$3="","",CF表!AI23/10000)</f>
        <v/>
      </c>
      <c r="AJ23" s="225">
        <f>IF(CF表!AJ$3="","",CF表!AJ23/10000)</f>
        <v/>
      </c>
      <c r="AK23" s="225">
        <f>IF(CF表!AK$3="","",CF表!AK23/10000)</f>
        <v/>
      </c>
      <c r="AL23" s="225">
        <f>IF(CF表!AL$3="","",CF表!AL23/10000)</f>
        <v/>
      </c>
      <c r="AM23" s="225">
        <f>IF(CF表!AM$3="","",CF表!AM23/10000)</f>
        <v/>
      </c>
      <c r="AN23" s="225">
        <f>IF(CF表!AN$3="","",CF表!AN23/10000)</f>
        <v/>
      </c>
      <c r="AO23" s="225">
        <f>IF(CF表!AO$3="","",CF表!AO23/10000)</f>
        <v/>
      </c>
      <c r="AP23" s="225">
        <f>IF(CF表!AP$3="","",CF表!AP23/10000)</f>
        <v/>
      </c>
      <c r="AQ23" s="225">
        <f>IF(CF表!AQ$3="","",CF表!AQ23/10000)</f>
        <v/>
      </c>
      <c r="AR23" s="225">
        <f>IF(CF表!AR$3="","",CF表!AR23/10000)</f>
        <v/>
      </c>
      <c r="AS23" s="225">
        <f>IF(CF表!AS$3="","",CF表!AS23/10000)</f>
        <v/>
      </c>
      <c r="AT23" s="225">
        <f>IF(CF表!AT$3="","",CF表!AT23/10000)</f>
        <v/>
      </c>
      <c r="AU23" s="225">
        <f>IF(CF表!AU$3="","",CF表!AU23/10000)</f>
        <v/>
      </c>
      <c r="AV23" s="225">
        <f>IF(CF表!AV$3="","",CF表!AV23/10000)</f>
        <v/>
      </c>
      <c r="AW23" s="225">
        <f>IF(CF表!AW$3="","",CF表!AW23/10000)</f>
        <v/>
      </c>
      <c r="AX23" s="225">
        <f>IF(CF表!AX$3="","",CF表!AX23/10000)</f>
        <v/>
      </c>
      <c r="AY23" s="225">
        <f>IF(CF表!AY$3="","",CF表!AY23/10000)</f>
        <v/>
      </c>
      <c r="AZ23" s="225">
        <f>IF(CF表!AZ$3="","",CF表!AZ23/10000)</f>
        <v/>
      </c>
      <c r="BA23" s="225">
        <f>IF(CF表!BA$3="","",CF表!BA23/10000)</f>
        <v/>
      </c>
      <c r="BB23" s="225">
        <f>IF(CF表!BB$3="","",CF表!BB23/10000)</f>
        <v/>
      </c>
      <c r="BC23" s="225">
        <f>IF(CF表!BC$3="","",CF表!BC23/10000)</f>
        <v/>
      </c>
      <c r="BD23" s="225">
        <f>IF(CF表!BD$3="","",CF表!BD23/10000)</f>
        <v/>
      </c>
      <c r="BE23" s="225">
        <f>IF(CF表!BE$3="","",CF表!BE23/10000)</f>
        <v/>
      </c>
      <c r="BF23" s="225">
        <f>IF(CF表!BF$3="","",CF表!BF23/10000)</f>
        <v/>
      </c>
      <c r="BG23" s="225">
        <f>IF(CF表!BG$3="","",CF表!BG23/10000)</f>
        <v/>
      </c>
      <c r="BH23" s="225">
        <f>IF(CF表!BH$3="","",CF表!BH23/10000)</f>
        <v/>
      </c>
      <c r="BI23" s="225">
        <f>IF(CF表!BI$3="","",CF表!BI23/10000)</f>
        <v/>
      </c>
      <c r="BJ23" s="225">
        <f>IF(CF表!BJ$3="","",CF表!BJ23/10000)</f>
        <v/>
      </c>
      <c r="BK23" s="225">
        <f>IF(CF表!BK$3="","",CF表!BK23/10000)</f>
        <v/>
      </c>
      <c r="BL23" s="225">
        <f>IF(CF表!BL$3="","",CF表!BL23/10000)</f>
        <v/>
      </c>
      <c r="BM23" s="225">
        <f>IF(CF表!BM$3="","",CF表!BM23/10000)</f>
        <v/>
      </c>
      <c r="BN23" s="225">
        <f>IF(CF表!BN$3="","",CF表!BN23/10000)</f>
        <v/>
      </c>
      <c r="BO23" s="225">
        <f>IF(CF表!BO$3="","",CF表!BO23/10000)</f>
        <v/>
      </c>
      <c r="BP23" s="225">
        <f>IF(CF表!BP$3="","",CF表!BP23/10000)</f>
        <v/>
      </c>
      <c r="BQ23" s="225">
        <f>IF(CF表!BQ$3="","",CF表!BQ23/10000)</f>
        <v/>
      </c>
      <c r="BR23" s="225">
        <f>IF(CF表!BR$3="","",CF表!BR23/10000)</f>
        <v/>
      </c>
      <c r="BS23" s="225">
        <f>IF(CF表!BS$3="","",CF表!BS23/10000)</f>
        <v/>
      </c>
      <c r="BT23" s="225">
        <f>IF(CF表!BT$3="","",CF表!BT23/10000)</f>
        <v/>
      </c>
      <c r="BU23" s="225">
        <f>IF(CF表!BU$3="","",CF表!BU23/10000)</f>
        <v/>
      </c>
      <c r="BV23" s="225">
        <f>IF(CF表!BV$3="","",CF表!BV23/10000)</f>
        <v/>
      </c>
      <c r="BW23" s="225">
        <f>IF(CF表!BW$3="","",CF表!BW23/10000)</f>
        <v/>
      </c>
      <c r="BX23" s="225">
        <f>IF(CF表!BX$3="","",CF表!BX23/10000)</f>
        <v/>
      </c>
      <c r="BY23" s="225">
        <f>IF(CF表!BY$3="","",CF表!BY23/10000)</f>
        <v/>
      </c>
      <c r="BZ23" s="225">
        <f>IF(CF表!BZ$3="","",CF表!BZ23/10000)</f>
        <v/>
      </c>
      <c r="CA23" s="225">
        <f>IF(CF表!CA$3="","",CF表!CA23/10000)</f>
        <v/>
      </c>
      <c r="CB23" s="225">
        <f>IF(CF表!CB$3="","",CF表!CB23/10000)</f>
        <v/>
      </c>
      <c r="CC23" s="225">
        <f>IF(CF表!CC$3="","",CF表!CC23/10000)</f>
        <v/>
      </c>
      <c r="CD23" s="225">
        <f>IF(CF表!CD$3="","",CF表!CD23/10000)</f>
        <v/>
      </c>
      <c r="CE23" s="225">
        <f>IF(CF表!CE$3="","",CF表!CE23/10000)</f>
        <v/>
      </c>
      <c r="CF23" s="225">
        <f>IF(CF表!CF$3="","",CF表!CF23/10000)</f>
        <v/>
      </c>
      <c r="CG23" s="225">
        <f>IF(CF表!CG$3="","",CF表!CG23/10000)</f>
        <v/>
      </c>
      <c r="CH23" s="225">
        <f>IF(CF表!CH$3="","",CF表!CH23/10000)</f>
        <v/>
      </c>
      <c r="CI23" s="225">
        <f>IF(CF表!CI$3="","",CF表!CI23/10000)</f>
        <v/>
      </c>
      <c r="CJ23" s="225">
        <f>IF(CF表!CJ$3="","",CF表!CJ23/10000)</f>
        <v/>
      </c>
      <c r="CK23" s="225">
        <f>IF(CF表!CK$3="","",CF表!CK23/10000)</f>
        <v/>
      </c>
      <c r="CL23" s="225">
        <f>IF(CF表!CL$3="","",CF表!CL23/10000)</f>
        <v/>
      </c>
      <c r="CM23" s="225">
        <f>IF(CF表!CM$3="","",CF表!CM23/10000)</f>
        <v/>
      </c>
      <c r="CN23" s="225">
        <f>IF(CF表!CN$3="","",CF表!CN23/10000)</f>
        <v/>
      </c>
      <c r="CO23" s="225">
        <f>IF(CF表!CO$3="","",CF表!CO23/10000)</f>
        <v/>
      </c>
      <c r="CP23" s="225">
        <f>IF(CF表!CP$3="","",CF表!CP23/10000)</f>
        <v/>
      </c>
      <c r="CQ23" s="225">
        <f>IF(CF表!CQ$3="","",CF表!CQ23/10000)</f>
        <v/>
      </c>
      <c r="CR23" s="225">
        <f>IF(CF表!CR$3="","",CF表!CR23/10000)</f>
        <v/>
      </c>
      <c r="CS23" s="225">
        <f>IF(CF表!CS$3="","",CF表!CS23/10000)</f>
        <v/>
      </c>
      <c r="CT23" s="225">
        <f>IF(CF表!CT$3="","",CF表!CT23/10000)</f>
        <v/>
      </c>
      <c r="CU23" s="225">
        <f>IF(CF表!CU$3="","",CF表!CU23/10000)</f>
        <v/>
      </c>
      <c r="CV23" s="225">
        <f>IF(CF表!CV$3="","",CF表!CV23/10000)</f>
        <v/>
      </c>
      <c r="CW23" s="225">
        <f>IF(CF表!CW$3="","",CF表!CW23/10000)</f>
        <v/>
      </c>
    </row>
    <row r="24" ht="15" customHeight="1" s="180">
      <c r="A24" s="224" t="inlineStr">
        <is>
          <t>教育費</t>
        </is>
      </c>
      <c r="B24" s="225">
        <f>IF(CF表!B$3="","",CF表!B24/10000)</f>
        <v/>
      </c>
      <c r="C24" s="225">
        <f>IF(CF表!C$3="","",CF表!C24/10000)</f>
        <v/>
      </c>
      <c r="D24" s="225">
        <f>IF(CF表!D$3="","",CF表!D24/10000)</f>
        <v/>
      </c>
      <c r="E24" s="225">
        <f>IF(CF表!E$3="","",CF表!E24/10000)</f>
        <v/>
      </c>
      <c r="F24" s="225">
        <f>IF(CF表!F$3="","",CF表!F24/10000)</f>
        <v/>
      </c>
      <c r="G24" s="225">
        <f>IF(CF表!G$3="","",CF表!G24/10000)</f>
        <v/>
      </c>
      <c r="H24" s="225">
        <f>IF(CF表!H$3="","",CF表!H24/10000)</f>
        <v/>
      </c>
      <c r="I24" s="225">
        <f>IF(CF表!I$3="","",CF表!I24/10000)</f>
        <v/>
      </c>
      <c r="J24" s="225">
        <f>IF(CF表!J$3="","",CF表!J24/10000)</f>
        <v/>
      </c>
      <c r="K24" s="225">
        <f>IF(CF表!K$3="","",CF表!K24/10000)</f>
        <v/>
      </c>
      <c r="L24" s="225">
        <f>IF(CF表!L$3="","",CF表!L24/10000)</f>
        <v/>
      </c>
      <c r="M24" s="225">
        <f>IF(CF表!M$3="","",CF表!M24/10000)</f>
        <v/>
      </c>
      <c r="N24" s="225">
        <f>IF(CF表!N$3="","",CF表!N24/10000)</f>
        <v/>
      </c>
      <c r="O24" s="225">
        <f>IF(CF表!O$3="","",CF表!O24/10000)</f>
        <v/>
      </c>
      <c r="P24" s="225">
        <f>IF(CF表!P$3="","",CF表!P24/10000)</f>
        <v/>
      </c>
      <c r="Q24" s="225">
        <f>IF(CF表!Q$3="","",CF表!Q24/10000)</f>
        <v/>
      </c>
      <c r="R24" s="225">
        <f>IF(CF表!R$3="","",CF表!R24/10000)</f>
        <v/>
      </c>
      <c r="S24" s="225">
        <f>IF(CF表!S$3="","",CF表!S24/10000)</f>
        <v/>
      </c>
      <c r="T24" s="225">
        <f>IF(CF表!T$3="","",CF表!T24/10000)</f>
        <v/>
      </c>
      <c r="U24" s="225">
        <f>IF(CF表!U$3="","",CF表!U24/10000)</f>
        <v/>
      </c>
      <c r="V24" s="225">
        <f>IF(CF表!V$3="","",CF表!V24/10000)</f>
        <v/>
      </c>
      <c r="W24" s="225">
        <f>IF(CF表!W$3="","",CF表!W24/10000)</f>
        <v/>
      </c>
      <c r="X24" s="225">
        <f>IF(CF表!X$3="","",CF表!X24/10000)</f>
        <v/>
      </c>
      <c r="Y24" s="225">
        <f>IF(CF表!Y$3="","",CF表!Y24/10000)</f>
        <v/>
      </c>
      <c r="Z24" s="225">
        <f>IF(CF表!Z$3="","",CF表!Z24/10000)</f>
        <v/>
      </c>
      <c r="AA24" s="225">
        <f>IF(CF表!AA$3="","",CF表!AA24/10000)</f>
        <v/>
      </c>
      <c r="AB24" s="225">
        <f>IF(CF表!AB$3="","",CF表!AB24/10000)</f>
        <v/>
      </c>
      <c r="AC24" s="225">
        <f>IF(CF表!AC$3="","",CF表!AC24/10000)</f>
        <v/>
      </c>
      <c r="AD24" s="225">
        <f>IF(CF表!AD$3="","",CF表!AD24/10000)</f>
        <v/>
      </c>
      <c r="AE24" s="225">
        <f>IF(CF表!AE$3="","",CF表!AE24/10000)</f>
        <v/>
      </c>
      <c r="AF24" s="225">
        <f>IF(CF表!AF$3="","",CF表!AF24/10000)</f>
        <v/>
      </c>
      <c r="AG24" s="225">
        <f>IF(CF表!AG$3="","",CF表!AG24/10000)</f>
        <v/>
      </c>
      <c r="AH24" s="225">
        <f>IF(CF表!AH$3="","",CF表!AH24/10000)</f>
        <v/>
      </c>
      <c r="AI24" s="225">
        <f>IF(CF表!AI$3="","",CF表!AI24/10000)</f>
        <v/>
      </c>
      <c r="AJ24" s="225">
        <f>IF(CF表!AJ$3="","",CF表!AJ24/10000)</f>
        <v/>
      </c>
      <c r="AK24" s="225">
        <f>IF(CF表!AK$3="","",CF表!AK24/10000)</f>
        <v/>
      </c>
      <c r="AL24" s="225">
        <f>IF(CF表!AL$3="","",CF表!AL24/10000)</f>
        <v/>
      </c>
      <c r="AM24" s="225">
        <f>IF(CF表!AM$3="","",CF表!AM24/10000)</f>
        <v/>
      </c>
      <c r="AN24" s="225">
        <f>IF(CF表!AN$3="","",CF表!AN24/10000)</f>
        <v/>
      </c>
      <c r="AO24" s="225">
        <f>IF(CF表!AO$3="","",CF表!AO24/10000)</f>
        <v/>
      </c>
      <c r="AP24" s="225">
        <f>IF(CF表!AP$3="","",CF表!AP24/10000)</f>
        <v/>
      </c>
      <c r="AQ24" s="225">
        <f>IF(CF表!AQ$3="","",CF表!AQ24/10000)</f>
        <v/>
      </c>
      <c r="AR24" s="225">
        <f>IF(CF表!AR$3="","",CF表!AR24/10000)</f>
        <v/>
      </c>
      <c r="AS24" s="225">
        <f>IF(CF表!AS$3="","",CF表!AS24/10000)</f>
        <v/>
      </c>
      <c r="AT24" s="225">
        <f>IF(CF表!AT$3="","",CF表!AT24/10000)</f>
        <v/>
      </c>
      <c r="AU24" s="225">
        <f>IF(CF表!AU$3="","",CF表!AU24/10000)</f>
        <v/>
      </c>
      <c r="AV24" s="225">
        <f>IF(CF表!AV$3="","",CF表!AV24/10000)</f>
        <v/>
      </c>
      <c r="AW24" s="225">
        <f>IF(CF表!AW$3="","",CF表!AW24/10000)</f>
        <v/>
      </c>
      <c r="AX24" s="225">
        <f>IF(CF表!AX$3="","",CF表!AX24/10000)</f>
        <v/>
      </c>
      <c r="AY24" s="225">
        <f>IF(CF表!AY$3="","",CF表!AY24/10000)</f>
        <v/>
      </c>
      <c r="AZ24" s="225">
        <f>IF(CF表!AZ$3="","",CF表!AZ24/10000)</f>
        <v/>
      </c>
      <c r="BA24" s="225">
        <f>IF(CF表!BA$3="","",CF表!BA24/10000)</f>
        <v/>
      </c>
      <c r="BB24" s="225">
        <f>IF(CF表!BB$3="","",CF表!BB24/10000)</f>
        <v/>
      </c>
      <c r="BC24" s="225">
        <f>IF(CF表!BC$3="","",CF表!BC24/10000)</f>
        <v/>
      </c>
      <c r="BD24" s="225">
        <f>IF(CF表!BD$3="","",CF表!BD24/10000)</f>
        <v/>
      </c>
      <c r="BE24" s="225">
        <f>IF(CF表!BE$3="","",CF表!BE24/10000)</f>
        <v/>
      </c>
      <c r="BF24" s="225">
        <f>IF(CF表!BF$3="","",CF表!BF24/10000)</f>
        <v/>
      </c>
      <c r="BG24" s="225">
        <f>IF(CF表!BG$3="","",CF表!BG24/10000)</f>
        <v/>
      </c>
      <c r="BH24" s="225">
        <f>IF(CF表!BH$3="","",CF表!BH24/10000)</f>
        <v/>
      </c>
      <c r="BI24" s="225">
        <f>IF(CF表!BI$3="","",CF表!BI24/10000)</f>
        <v/>
      </c>
      <c r="BJ24" s="225">
        <f>IF(CF表!BJ$3="","",CF表!BJ24/10000)</f>
        <v/>
      </c>
      <c r="BK24" s="225">
        <f>IF(CF表!BK$3="","",CF表!BK24/10000)</f>
        <v/>
      </c>
      <c r="BL24" s="225">
        <f>IF(CF表!BL$3="","",CF表!BL24/10000)</f>
        <v/>
      </c>
      <c r="BM24" s="225">
        <f>IF(CF表!BM$3="","",CF表!BM24/10000)</f>
        <v/>
      </c>
      <c r="BN24" s="225">
        <f>IF(CF表!BN$3="","",CF表!BN24/10000)</f>
        <v/>
      </c>
      <c r="BO24" s="225">
        <f>IF(CF表!BO$3="","",CF表!BO24/10000)</f>
        <v/>
      </c>
      <c r="BP24" s="225">
        <f>IF(CF表!BP$3="","",CF表!BP24/10000)</f>
        <v/>
      </c>
      <c r="BQ24" s="225">
        <f>IF(CF表!BQ$3="","",CF表!BQ24/10000)</f>
        <v/>
      </c>
      <c r="BR24" s="225">
        <f>IF(CF表!BR$3="","",CF表!BR24/10000)</f>
        <v/>
      </c>
      <c r="BS24" s="225">
        <f>IF(CF表!BS$3="","",CF表!BS24/10000)</f>
        <v/>
      </c>
      <c r="BT24" s="225">
        <f>IF(CF表!BT$3="","",CF表!BT24/10000)</f>
        <v/>
      </c>
      <c r="BU24" s="225">
        <f>IF(CF表!BU$3="","",CF表!BU24/10000)</f>
        <v/>
      </c>
      <c r="BV24" s="225">
        <f>IF(CF表!BV$3="","",CF表!BV24/10000)</f>
        <v/>
      </c>
      <c r="BW24" s="225">
        <f>IF(CF表!BW$3="","",CF表!BW24/10000)</f>
        <v/>
      </c>
      <c r="BX24" s="225">
        <f>IF(CF表!BX$3="","",CF表!BX24/10000)</f>
        <v/>
      </c>
      <c r="BY24" s="225">
        <f>IF(CF表!BY$3="","",CF表!BY24/10000)</f>
        <v/>
      </c>
      <c r="BZ24" s="225">
        <f>IF(CF表!BZ$3="","",CF表!BZ24/10000)</f>
        <v/>
      </c>
      <c r="CA24" s="225">
        <f>IF(CF表!CA$3="","",CF表!CA24/10000)</f>
        <v/>
      </c>
      <c r="CB24" s="225">
        <f>IF(CF表!CB$3="","",CF表!CB24/10000)</f>
        <v/>
      </c>
      <c r="CC24" s="225">
        <f>IF(CF表!CC$3="","",CF表!CC24/10000)</f>
        <v/>
      </c>
      <c r="CD24" s="225">
        <f>IF(CF表!CD$3="","",CF表!CD24/10000)</f>
        <v/>
      </c>
      <c r="CE24" s="225">
        <f>IF(CF表!CE$3="","",CF表!CE24/10000)</f>
        <v/>
      </c>
      <c r="CF24" s="225">
        <f>IF(CF表!CF$3="","",CF表!CF24/10000)</f>
        <v/>
      </c>
      <c r="CG24" s="225">
        <f>IF(CF表!CG$3="","",CF表!CG24/10000)</f>
        <v/>
      </c>
      <c r="CH24" s="225">
        <f>IF(CF表!CH$3="","",CF表!CH24/10000)</f>
        <v/>
      </c>
      <c r="CI24" s="225">
        <f>IF(CF表!CI$3="","",CF表!CI24/10000)</f>
        <v/>
      </c>
      <c r="CJ24" s="225">
        <f>IF(CF表!CJ$3="","",CF表!CJ24/10000)</f>
        <v/>
      </c>
      <c r="CK24" s="225">
        <f>IF(CF表!CK$3="","",CF表!CK24/10000)</f>
        <v/>
      </c>
      <c r="CL24" s="225">
        <f>IF(CF表!CL$3="","",CF表!CL24/10000)</f>
        <v/>
      </c>
      <c r="CM24" s="225">
        <f>IF(CF表!CM$3="","",CF表!CM24/10000)</f>
        <v/>
      </c>
      <c r="CN24" s="225">
        <f>IF(CF表!CN$3="","",CF表!CN24/10000)</f>
        <v/>
      </c>
      <c r="CO24" s="225">
        <f>IF(CF表!CO$3="","",CF表!CO24/10000)</f>
        <v/>
      </c>
      <c r="CP24" s="225">
        <f>IF(CF表!CP$3="","",CF表!CP24/10000)</f>
        <v/>
      </c>
      <c r="CQ24" s="225">
        <f>IF(CF表!CQ$3="","",CF表!CQ24/10000)</f>
        <v/>
      </c>
      <c r="CR24" s="225">
        <f>IF(CF表!CR$3="","",CF表!CR24/10000)</f>
        <v/>
      </c>
      <c r="CS24" s="225">
        <f>IF(CF表!CS$3="","",CF表!CS24/10000)</f>
        <v/>
      </c>
      <c r="CT24" s="225">
        <f>IF(CF表!CT$3="","",CF表!CT24/10000)</f>
        <v/>
      </c>
      <c r="CU24" s="225">
        <f>IF(CF表!CU$3="","",CF表!CU24/10000)</f>
        <v/>
      </c>
      <c r="CV24" s="225">
        <f>IF(CF表!CV$3="","",CF表!CV24/10000)</f>
        <v/>
      </c>
      <c r="CW24" s="225">
        <f>IF(CF表!CW$3="","",CF表!CW24/10000)</f>
        <v/>
      </c>
    </row>
    <row r="25" ht="15" customHeight="1" s="180">
      <c r="A25" s="224" t="inlineStr">
        <is>
          <t>車関連費</t>
        </is>
      </c>
      <c r="B25" s="225">
        <f>IF(CF表!B$3="","",CF表!B25/10000)</f>
        <v/>
      </c>
      <c r="C25" s="225">
        <f>IF(CF表!C$3="","",CF表!C25/10000)</f>
        <v/>
      </c>
      <c r="D25" s="225">
        <f>IF(CF表!D$3="","",CF表!D25/10000)</f>
        <v/>
      </c>
      <c r="E25" s="225">
        <f>IF(CF表!E$3="","",CF表!E25/10000)</f>
        <v/>
      </c>
      <c r="F25" s="225">
        <f>IF(CF表!F$3="","",CF表!F25/10000)</f>
        <v/>
      </c>
      <c r="G25" s="225">
        <f>IF(CF表!G$3="","",CF表!G25/10000)</f>
        <v/>
      </c>
      <c r="H25" s="225">
        <f>IF(CF表!H$3="","",CF表!H25/10000)</f>
        <v/>
      </c>
      <c r="I25" s="225">
        <f>IF(CF表!I$3="","",CF表!I25/10000)</f>
        <v/>
      </c>
      <c r="J25" s="225">
        <f>IF(CF表!J$3="","",CF表!J25/10000)</f>
        <v/>
      </c>
      <c r="K25" s="225">
        <f>IF(CF表!K$3="","",CF表!K25/10000)</f>
        <v/>
      </c>
      <c r="L25" s="225">
        <f>IF(CF表!L$3="","",CF表!L25/10000)</f>
        <v/>
      </c>
      <c r="M25" s="225">
        <f>IF(CF表!M$3="","",CF表!M25/10000)</f>
        <v/>
      </c>
      <c r="N25" s="225">
        <f>IF(CF表!N$3="","",CF表!N25/10000)</f>
        <v/>
      </c>
      <c r="O25" s="225">
        <f>IF(CF表!O$3="","",CF表!O25/10000)</f>
        <v/>
      </c>
      <c r="P25" s="225">
        <f>IF(CF表!P$3="","",CF表!P25/10000)</f>
        <v/>
      </c>
      <c r="Q25" s="225">
        <f>IF(CF表!Q$3="","",CF表!Q25/10000)</f>
        <v/>
      </c>
      <c r="R25" s="225">
        <f>IF(CF表!R$3="","",CF表!R25/10000)</f>
        <v/>
      </c>
      <c r="S25" s="225">
        <f>IF(CF表!S$3="","",CF表!S25/10000)</f>
        <v/>
      </c>
      <c r="T25" s="225">
        <f>IF(CF表!T$3="","",CF表!T25/10000)</f>
        <v/>
      </c>
      <c r="U25" s="225">
        <f>IF(CF表!U$3="","",CF表!U25/10000)</f>
        <v/>
      </c>
      <c r="V25" s="225">
        <f>IF(CF表!V$3="","",CF表!V25/10000)</f>
        <v/>
      </c>
      <c r="W25" s="225">
        <f>IF(CF表!W$3="","",CF表!W25/10000)</f>
        <v/>
      </c>
      <c r="X25" s="225">
        <f>IF(CF表!X$3="","",CF表!X25/10000)</f>
        <v/>
      </c>
      <c r="Y25" s="225">
        <f>IF(CF表!Y$3="","",CF表!Y25/10000)</f>
        <v/>
      </c>
      <c r="Z25" s="225">
        <f>IF(CF表!Z$3="","",CF表!Z25/10000)</f>
        <v/>
      </c>
      <c r="AA25" s="225">
        <f>IF(CF表!AA$3="","",CF表!AA25/10000)</f>
        <v/>
      </c>
      <c r="AB25" s="225">
        <f>IF(CF表!AB$3="","",CF表!AB25/10000)</f>
        <v/>
      </c>
      <c r="AC25" s="225">
        <f>IF(CF表!AC$3="","",CF表!AC25/10000)</f>
        <v/>
      </c>
      <c r="AD25" s="225">
        <f>IF(CF表!AD$3="","",CF表!AD25/10000)</f>
        <v/>
      </c>
      <c r="AE25" s="225">
        <f>IF(CF表!AE$3="","",CF表!AE25/10000)</f>
        <v/>
      </c>
      <c r="AF25" s="225">
        <f>IF(CF表!AF$3="","",CF表!AF25/10000)</f>
        <v/>
      </c>
      <c r="AG25" s="225">
        <f>IF(CF表!AG$3="","",CF表!AG25/10000)</f>
        <v/>
      </c>
      <c r="AH25" s="225">
        <f>IF(CF表!AH$3="","",CF表!AH25/10000)</f>
        <v/>
      </c>
      <c r="AI25" s="225">
        <f>IF(CF表!AI$3="","",CF表!AI25/10000)</f>
        <v/>
      </c>
      <c r="AJ25" s="225">
        <f>IF(CF表!AJ$3="","",CF表!AJ25/10000)</f>
        <v/>
      </c>
      <c r="AK25" s="225">
        <f>IF(CF表!AK$3="","",CF表!AK25/10000)</f>
        <v/>
      </c>
      <c r="AL25" s="225">
        <f>IF(CF表!AL$3="","",CF表!AL25/10000)</f>
        <v/>
      </c>
      <c r="AM25" s="225">
        <f>IF(CF表!AM$3="","",CF表!AM25/10000)</f>
        <v/>
      </c>
      <c r="AN25" s="225">
        <f>IF(CF表!AN$3="","",CF表!AN25/10000)</f>
        <v/>
      </c>
      <c r="AO25" s="225">
        <f>IF(CF表!AO$3="","",CF表!AO25/10000)</f>
        <v/>
      </c>
      <c r="AP25" s="225">
        <f>IF(CF表!AP$3="","",CF表!AP25/10000)</f>
        <v/>
      </c>
      <c r="AQ25" s="225">
        <f>IF(CF表!AQ$3="","",CF表!AQ25/10000)</f>
        <v/>
      </c>
      <c r="AR25" s="225">
        <f>IF(CF表!AR$3="","",CF表!AR25/10000)</f>
        <v/>
      </c>
      <c r="AS25" s="225">
        <f>IF(CF表!AS$3="","",CF表!AS25/10000)</f>
        <v/>
      </c>
      <c r="AT25" s="225">
        <f>IF(CF表!AT$3="","",CF表!AT25/10000)</f>
        <v/>
      </c>
      <c r="AU25" s="225">
        <f>IF(CF表!AU$3="","",CF表!AU25/10000)</f>
        <v/>
      </c>
      <c r="AV25" s="225">
        <f>IF(CF表!AV$3="","",CF表!AV25/10000)</f>
        <v/>
      </c>
      <c r="AW25" s="225">
        <f>IF(CF表!AW$3="","",CF表!AW25/10000)</f>
        <v/>
      </c>
      <c r="AX25" s="225">
        <f>IF(CF表!AX$3="","",CF表!AX25/10000)</f>
        <v/>
      </c>
      <c r="AY25" s="225">
        <f>IF(CF表!AY$3="","",CF表!AY25/10000)</f>
        <v/>
      </c>
      <c r="AZ25" s="225">
        <f>IF(CF表!AZ$3="","",CF表!AZ25/10000)</f>
        <v/>
      </c>
      <c r="BA25" s="225">
        <f>IF(CF表!BA$3="","",CF表!BA25/10000)</f>
        <v/>
      </c>
      <c r="BB25" s="225">
        <f>IF(CF表!BB$3="","",CF表!BB25/10000)</f>
        <v/>
      </c>
      <c r="BC25" s="225">
        <f>IF(CF表!BC$3="","",CF表!BC25/10000)</f>
        <v/>
      </c>
      <c r="BD25" s="225">
        <f>IF(CF表!BD$3="","",CF表!BD25/10000)</f>
        <v/>
      </c>
      <c r="BE25" s="225">
        <f>IF(CF表!BE$3="","",CF表!BE25/10000)</f>
        <v/>
      </c>
      <c r="BF25" s="225">
        <f>IF(CF表!BF$3="","",CF表!BF25/10000)</f>
        <v/>
      </c>
      <c r="BG25" s="225">
        <f>IF(CF表!BG$3="","",CF表!BG25/10000)</f>
        <v/>
      </c>
      <c r="BH25" s="225">
        <f>IF(CF表!BH$3="","",CF表!BH25/10000)</f>
        <v/>
      </c>
      <c r="BI25" s="225">
        <f>IF(CF表!BI$3="","",CF表!BI25/10000)</f>
        <v/>
      </c>
      <c r="BJ25" s="225">
        <f>IF(CF表!BJ$3="","",CF表!BJ25/10000)</f>
        <v/>
      </c>
      <c r="BK25" s="225">
        <f>IF(CF表!BK$3="","",CF表!BK25/10000)</f>
        <v/>
      </c>
      <c r="BL25" s="225">
        <f>IF(CF表!BL$3="","",CF表!BL25/10000)</f>
        <v/>
      </c>
      <c r="BM25" s="225">
        <f>IF(CF表!BM$3="","",CF表!BM25/10000)</f>
        <v/>
      </c>
      <c r="BN25" s="225">
        <f>IF(CF表!BN$3="","",CF表!BN25/10000)</f>
        <v/>
      </c>
      <c r="BO25" s="225">
        <f>IF(CF表!BO$3="","",CF表!BO25/10000)</f>
        <v/>
      </c>
      <c r="BP25" s="225">
        <f>IF(CF表!BP$3="","",CF表!BP25/10000)</f>
        <v/>
      </c>
      <c r="BQ25" s="225">
        <f>IF(CF表!BQ$3="","",CF表!BQ25/10000)</f>
        <v/>
      </c>
      <c r="BR25" s="225">
        <f>IF(CF表!BR$3="","",CF表!BR25/10000)</f>
        <v/>
      </c>
      <c r="BS25" s="225">
        <f>IF(CF表!BS$3="","",CF表!BS25/10000)</f>
        <v/>
      </c>
      <c r="BT25" s="225">
        <f>IF(CF表!BT$3="","",CF表!BT25/10000)</f>
        <v/>
      </c>
      <c r="BU25" s="225">
        <f>IF(CF表!BU$3="","",CF表!BU25/10000)</f>
        <v/>
      </c>
      <c r="BV25" s="225">
        <f>IF(CF表!BV$3="","",CF表!BV25/10000)</f>
        <v/>
      </c>
      <c r="BW25" s="225">
        <f>IF(CF表!BW$3="","",CF表!BW25/10000)</f>
        <v/>
      </c>
      <c r="BX25" s="225">
        <f>IF(CF表!BX$3="","",CF表!BX25/10000)</f>
        <v/>
      </c>
      <c r="BY25" s="225">
        <f>IF(CF表!BY$3="","",CF表!BY25/10000)</f>
        <v/>
      </c>
      <c r="BZ25" s="225">
        <f>IF(CF表!BZ$3="","",CF表!BZ25/10000)</f>
        <v/>
      </c>
      <c r="CA25" s="225">
        <f>IF(CF表!CA$3="","",CF表!CA25/10000)</f>
        <v/>
      </c>
      <c r="CB25" s="225">
        <f>IF(CF表!CB$3="","",CF表!CB25/10000)</f>
        <v/>
      </c>
      <c r="CC25" s="225">
        <f>IF(CF表!CC$3="","",CF表!CC25/10000)</f>
        <v/>
      </c>
      <c r="CD25" s="225">
        <f>IF(CF表!CD$3="","",CF表!CD25/10000)</f>
        <v/>
      </c>
      <c r="CE25" s="225">
        <f>IF(CF表!CE$3="","",CF表!CE25/10000)</f>
        <v/>
      </c>
      <c r="CF25" s="225">
        <f>IF(CF表!CF$3="","",CF表!CF25/10000)</f>
        <v/>
      </c>
      <c r="CG25" s="225">
        <f>IF(CF表!CG$3="","",CF表!CG25/10000)</f>
        <v/>
      </c>
      <c r="CH25" s="225">
        <f>IF(CF表!CH$3="","",CF表!CH25/10000)</f>
        <v/>
      </c>
      <c r="CI25" s="225">
        <f>IF(CF表!CI$3="","",CF表!CI25/10000)</f>
        <v/>
      </c>
      <c r="CJ25" s="225">
        <f>IF(CF表!CJ$3="","",CF表!CJ25/10000)</f>
        <v/>
      </c>
      <c r="CK25" s="225">
        <f>IF(CF表!CK$3="","",CF表!CK25/10000)</f>
        <v/>
      </c>
      <c r="CL25" s="225">
        <f>IF(CF表!CL$3="","",CF表!CL25/10000)</f>
        <v/>
      </c>
      <c r="CM25" s="225">
        <f>IF(CF表!CM$3="","",CF表!CM25/10000)</f>
        <v/>
      </c>
      <c r="CN25" s="225">
        <f>IF(CF表!CN$3="","",CF表!CN25/10000)</f>
        <v/>
      </c>
      <c r="CO25" s="225">
        <f>IF(CF表!CO$3="","",CF表!CO25/10000)</f>
        <v/>
      </c>
      <c r="CP25" s="225">
        <f>IF(CF表!CP$3="","",CF表!CP25/10000)</f>
        <v/>
      </c>
      <c r="CQ25" s="225">
        <f>IF(CF表!CQ$3="","",CF表!CQ25/10000)</f>
        <v/>
      </c>
      <c r="CR25" s="225">
        <f>IF(CF表!CR$3="","",CF表!CR25/10000)</f>
        <v/>
      </c>
      <c r="CS25" s="225">
        <f>IF(CF表!CS$3="","",CF表!CS25/10000)</f>
        <v/>
      </c>
      <c r="CT25" s="225">
        <f>IF(CF表!CT$3="","",CF表!CT25/10000)</f>
        <v/>
      </c>
      <c r="CU25" s="225">
        <f>IF(CF表!CU$3="","",CF表!CU25/10000)</f>
        <v/>
      </c>
      <c r="CV25" s="225">
        <f>IF(CF表!CV$3="","",CF表!CV25/10000)</f>
        <v/>
      </c>
      <c r="CW25" s="225">
        <f>IF(CF表!CW$3="","",CF表!CW25/10000)</f>
        <v/>
      </c>
    </row>
    <row r="26" ht="15" customHeight="1" s="180">
      <c r="A26" s="224" t="inlineStr">
        <is>
          <t>その他支出</t>
        </is>
      </c>
      <c r="B26" s="225">
        <f>IF(CF表!B$3="","",CF表!B26/10000)</f>
        <v/>
      </c>
      <c r="C26" s="225">
        <f>IF(CF表!C$3="","",CF表!C26/10000)</f>
        <v/>
      </c>
      <c r="D26" s="225">
        <f>IF(CF表!D$3="","",CF表!D26/10000)</f>
        <v/>
      </c>
      <c r="E26" s="225">
        <f>IF(CF表!E$3="","",CF表!E26/10000)</f>
        <v/>
      </c>
      <c r="F26" s="225">
        <f>IF(CF表!F$3="","",CF表!F26/10000)</f>
        <v/>
      </c>
      <c r="G26" s="225">
        <f>IF(CF表!G$3="","",CF表!G26/10000)</f>
        <v/>
      </c>
      <c r="H26" s="225">
        <f>IF(CF表!H$3="","",CF表!H26/10000)</f>
        <v/>
      </c>
      <c r="I26" s="225">
        <f>IF(CF表!I$3="","",CF表!I26/10000)</f>
        <v/>
      </c>
      <c r="J26" s="225">
        <f>IF(CF表!J$3="","",CF表!J26/10000)</f>
        <v/>
      </c>
      <c r="K26" s="225">
        <f>IF(CF表!K$3="","",CF表!K26/10000)</f>
        <v/>
      </c>
      <c r="L26" s="225">
        <f>IF(CF表!L$3="","",CF表!L26/10000)</f>
        <v/>
      </c>
      <c r="M26" s="225">
        <f>IF(CF表!M$3="","",CF表!M26/10000)</f>
        <v/>
      </c>
      <c r="N26" s="225">
        <f>IF(CF表!N$3="","",CF表!N26/10000)</f>
        <v/>
      </c>
      <c r="O26" s="225">
        <f>IF(CF表!O$3="","",CF表!O26/10000)</f>
        <v/>
      </c>
      <c r="P26" s="225">
        <f>IF(CF表!P$3="","",CF表!P26/10000)</f>
        <v/>
      </c>
      <c r="Q26" s="225">
        <f>IF(CF表!Q$3="","",CF表!Q26/10000)</f>
        <v/>
      </c>
      <c r="R26" s="225">
        <f>IF(CF表!R$3="","",CF表!R26/10000)</f>
        <v/>
      </c>
      <c r="S26" s="225">
        <f>IF(CF表!S$3="","",CF表!S26/10000)</f>
        <v/>
      </c>
      <c r="T26" s="225">
        <f>IF(CF表!T$3="","",CF表!T26/10000)</f>
        <v/>
      </c>
      <c r="U26" s="225">
        <f>IF(CF表!U$3="","",CF表!U26/10000)</f>
        <v/>
      </c>
      <c r="V26" s="225">
        <f>IF(CF表!V$3="","",CF表!V26/10000)</f>
        <v/>
      </c>
      <c r="W26" s="225">
        <f>IF(CF表!W$3="","",CF表!W26/10000)</f>
        <v/>
      </c>
      <c r="X26" s="225">
        <f>IF(CF表!X$3="","",CF表!X26/10000)</f>
        <v/>
      </c>
      <c r="Y26" s="225">
        <f>IF(CF表!Y$3="","",CF表!Y26/10000)</f>
        <v/>
      </c>
      <c r="Z26" s="225">
        <f>IF(CF表!Z$3="","",CF表!Z26/10000)</f>
        <v/>
      </c>
      <c r="AA26" s="225">
        <f>IF(CF表!AA$3="","",CF表!AA26/10000)</f>
        <v/>
      </c>
      <c r="AB26" s="225">
        <f>IF(CF表!AB$3="","",CF表!AB26/10000)</f>
        <v/>
      </c>
      <c r="AC26" s="225">
        <f>IF(CF表!AC$3="","",CF表!AC26/10000)</f>
        <v/>
      </c>
      <c r="AD26" s="225">
        <f>IF(CF表!AD$3="","",CF表!AD26/10000)</f>
        <v/>
      </c>
      <c r="AE26" s="225">
        <f>IF(CF表!AE$3="","",CF表!AE26/10000)</f>
        <v/>
      </c>
      <c r="AF26" s="225">
        <f>IF(CF表!AF$3="","",CF表!AF26/10000)</f>
        <v/>
      </c>
      <c r="AG26" s="225">
        <f>IF(CF表!AG$3="","",CF表!AG26/10000)</f>
        <v/>
      </c>
      <c r="AH26" s="225">
        <f>IF(CF表!AH$3="","",CF表!AH26/10000)</f>
        <v/>
      </c>
      <c r="AI26" s="225">
        <f>IF(CF表!AI$3="","",CF表!AI26/10000)</f>
        <v/>
      </c>
      <c r="AJ26" s="225">
        <f>IF(CF表!AJ$3="","",CF表!AJ26/10000)</f>
        <v/>
      </c>
      <c r="AK26" s="225">
        <f>IF(CF表!AK$3="","",CF表!AK26/10000)</f>
        <v/>
      </c>
      <c r="AL26" s="225">
        <f>IF(CF表!AL$3="","",CF表!AL26/10000)</f>
        <v/>
      </c>
      <c r="AM26" s="225">
        <f>IF(CF表!AM$3="","",CF表!AM26/10000)</f>
        <v/>
      </c>
      <c r="AN26" s="225">
        <f>IF(CF表!AN$3="","",CF表!AN26/10000)</f>
        <v/>
      </c>
      <c r="AO26" s="225">
        <f>IF(CF表!AO$3="","",CF表!AO26/10000)</f>
        <v/>
      </c>
      <c r="AP26" s="225">
        <f>IF(CF表!AP$3="","",CF表!AP26/10000)</f>
        <v/>
      </c>
      <c r="AQ26" s="225">
        <f>IF(CF表!AQ$3="","",CF表!AQ26/10000)</f>
        <v/>
      </c>
      <c r="AR26" s="225">
        <f>IF(CF表!AR$3="","",CF表!AR26/10000)</f>
        <v/>
      </c>
      <c r="AS26" s="225">
        <f>IF(CF表!AS$3="","",CF表!AS26/10000)</f>
        <v/>
      </c>
      <c r="AT26" s="225">
        <f>IF(CF表!AT$3="","",CF表!AT26/10000)</f>
        <v/>
      </c>
      <c r="AU26" s="225">
        <f>IF(CF表!AU$3="","",CF表!AU26/10000)</f>
        <v/>
      </c>
      <c r="AV26" s="225">
        <f>IF(CF表!AV$3="","",CF表!AV26/10000)</f>
        <v/>
      </c>
      <c r="AW26" s="225">
        <f>IF(CF表!AW$3="","",CF表!AW26/10000)</f>
        <v/>
      </c>
      <c r="AX26" s="225">
        <f>IF(CF表!AX$3="","",CF表!AX26/10000)</f>
        <v/>
      </c>
      <c r="AY26" s="225">
        <f>IF(CF表!AY$3="","",CF表!AY26/10000)</f>
        <v/>
      </c>
      <c r="AZ26" s="225">
        <f>IF(CF表!AZ$3="","",CF表!AZ26/10000)</f>
        <v/>
      </c>
      <c r="BA26" s="225">
        <f>IF(CF表!BA$3="","",CF表!BA26/10000)</f>
        <v/>
      </c>
      <c r="BB26" s="225">
        <f>IF(CF表!BB$3="","",CF表!BB26/10000)</f>
        <v/>
      </c>
      <c r="BC26" s="225">
        <f>IF(CF表!BC$3="","",CF表!BC26/10000)</f>
        <v/>
      </c>
      <c r="BD26" s="225">
        <f>IF(CF表!BD$3="","",CF表!BD26/10000)</f>
        <v/>
      </c>
      <c r="BE26" s="225">
        <f>IF(CF表!BE$3="","",CF表!BE26/10000)</f>
        <v/>
      </c>
      <c r="BF26" s="225">
        <f>IF(CF表!BF$3="","",CF表!BF26/10000)</f>
        <v/>
      </c>
      <c r="BG26" s="225">
        <f>IF(CF表!BG$3="","",CF表!BG26/10000)</f>
        <v/>
      </c>
      <c r="BH26" s="225">
        <f>IF(CF表!BH$3="","",CF表!BH26/10000)</f>
        <v/>
      </c>
      <c r="BI26" s="225">
        <f>IF(CF表!BI$3="","",CF表!BI26/10000)</f>
        <v/>
      </c>
      <c r="BJ26" s="225">
        <f>IF(CF表!BJ$3="","",CF表!BJ26/10000)</f>
        <v/>
      </c>
      <c r="BK26" s="225">
        <f>IF(CF表!BK$3="","",CF表!BK26/10000)</f>
        <v/>
      </c>
      <c r="BL26" s="225">
        <f>IF(CF表!BL$3="","",CF表!BL26/10000)</f>
        <v/>
      </c>
      <c r="BM26" s="225">
        <f>IF(CF表!BM$3="","",CF表!BM26/10000)</f>
        <v/>
      </c>
      <c r="BN26" s="225">
        <f>IF(CF表!BN$3="","",CF表!BN26/10000)</f>
        <v/>
      </c>
      <c r="BO26" s="225">
        <f>IF(CF表!BO$3="","",CF表!BO26/10000)</f>
        <v/>
      </c>
      <c r="BP26" s="225">
        <f>IF(CF表!BP$3="","",CF表!BP26/10000)</f>
        <v/>
      </c>
      <c r="BQ26" s="225">
        <f>IF(CF表!BQ$3="","",CF表!BQ26/10000)</f>
        <v/>
      </c>
      <c r="BR26" s="225">
        <f>IF(CF表!BR$3="","",CF表!BR26/10000)</f>
        <v/>
      </c>
      <c r="BS26" s="225">
        <f>IF(CF表!BS$3="","",CF表!BS26/10000)</f>
        <v/>
      </c>
      <c r="BT26" s="225">
        <f>IF(CF表!BT$3="","",CF表!BT26/10000)</f>
        <v/>
      </c>
      <c r="BU26" s="225">
        <f>IF(CF表!BU$3="","",CF表!BU26/10000)</f>
        <v/>
      </c>
      <c r="BV26" s="225">
        <f>IF(CF表!BV$3="","",CF表!BV26/10000)</f>
        <v/>
      </c>
      <c r="BW26" s="225">
        <f>IF(CF表!BW$3="","",CF表!BW26/10000)</f>
        <v/>
      </c>
      <c r="BX26" s="225">
        <f>IF(CF表!BX$3="","",CF表!BX26/10000)</f>
        <v/>
      </c>
      <c r="BY26" s="225">
        <f>IF(CF表!BY$3="","",CF表!BY26/10000)</f>
        <v/>
      </c>
      <c r="BZ26" s="225">
        <f>IF(CF表!BZ$3="","",CF表!BZ26/10000)</f>
        <v/>
      </c>
      <c r="CA26" s="225">
        <f>IF(CF表!CA$3="","",CF表!CA26/10000)</f>
        <v/>
      </c>
      <c r="CB26" s="225">
        <f>IF(CF表!CB$3="","",CF表!CB26/10000)</f>
        <v/>
      </c>
      <c r="CC26" s="225">
        <f>IF(CF表!CC$3="","",CF表!CC26/10000)</f>
        <v/>
      </c>
      <c r="CD26" s="225">
        <f>IF(CF表!CD$3="","",CF表!CD26/10000)</f>
        <v/>
      </c>
      <c r="CE26" s="225">
        <f>IF(CF表!CE$3="","",CF表!CE26/10000)</f>
        <v/>
      </c>
      <c r="CF26" s="225">
        <f>IF(CF表!CF$3="","",CF表!CF26/10000)</f>
        <v/>
      </c>
      <c r="CG26" s="225">
        <f>IF(CF表!CG$3="","",CF表!CG26/10000)</f>
        <v/>
      </c>
      <c r="CH26" s="225">
        <f>IF(CF表!CH$3="","",CF表!CH26/10000)</f>
        <v/>
      </c>
      <c r="CI26" s="225">
        <f>IF(CF表!CI$3="","",CF表!CI26/10000)</f>
        <v/>
      </c>
      <c r="CJ26" s="225">
        <f>IF(CF表!CJ$3="","",CF表!CJ26/10000)</f>
        <v/>
      </c>
      <c r="CK26" s="225">
        <f>IF(CF表!CK$3="","",CF表!CK26/10000)</f>
        <v/>
      </c>
      <c r="CL26" s="225">
        <f>IF(CF表!CL$3="","",CF表!CL26/10000)</f>
        <v/>
      </c>
      <c r="CM26" s="225">
        <f>IF(CF表!CM$3="","",CF表!CM26/10000)</f>
        <v/>
      </c>
      <c r="CN26" s="225">
        <f>IF(CF表!CN$3="","",CF表!CN26/10000)</f>
        <v/>
      </c>
      <c r="CO26" s="225">
        <f>IF(CF表!CO$3="","",CF表!CO26/10000)</f>
        <v/>
      </c>
      <c r="CP26" s="225">
        <f>IF(CF表!CP$3="","",CF表!CP26/10000)</f>
        <v/>
      </c>
      <c r="CQ26" s="225">
        <f>IF(CF表!CQ$3="","",CF表!CQ26/10000)</f>
        <v/>
      </c>
      <c r="CR26" s="225">
        <f>IF(CF表!CR$3="","",CF表!CR26/10000)</f>
        <v/>
      </c>
      <c r="CS26" s="225">
        <f>IF(CF表!CS$3="","",CF表!CS26/10000)</f>
        <v/>
      </c>
      <c r="CT26" s="225">
        <f>IF(CF表!CT$3="","",CF表!CT26/10000)</f>
        <v/>
      </c>
      <c r="CU26" s="225">
        <f>IF(CF表!CU$3="","",CF表!CU26/10000)</f>
        <v/>
      </c>
      <c r="CV26" s="225">
        <f>IF(CF表!CV$3="","",CF表!CV26/10000)</f>
        <v/>
      </c>
      <c r="CW26" s="225">
        <f>IF(CF表!CW$3="","",CF表!CW26/10000)</f>
        <v/>
      </c>
    </row>
    <row r="27" ht="15" customHeight="1" s="180">
      <c r="A27" s="224" t="inlineStr">
        <is>
          <t>一時支出</t>
        </is>
      </c>
      <c r="B27" s="225">
        <f>IF(CF表!B$3="","",CF表!B27/10000)</f>
        <v/>
      </c>
      <c r="C27" s="225">
        <f>IF(CF表!C$3="","",CF表!C27/10000)</f>
        <v/>
      </c>
      <c r="D27" s="225">
        <f>IF(CF表!D$3="","",CF表!D27/10000)</f>
        <v/>
      </c>
      <c r="E27" s="225">
        <f>IF(CF表!E$3="","",CF表!E27/10000)</f>
        <v/>
      </c>
      <c r="F27" s="225">
        <f>IF(CF表!F$3="","",CF表!F27/10000)</f>
        <v/>
      </c>
      <c r="G27" s="225">
        <f>IF(CF表!G$3="","",CF表!G27/10000)</f>
        <v/>
      </c>
      <c r="H27" s="225">
        <f>IF(CF表!H$3="","",CF表!H27/10000)</f>
        <v/>
      </c>
      <c r="I27" s="225">
        <f>IF(CF表!I$3="","",CF表!I27/10000)</f>
        <v/>
      </c>
      <c r="J27" s="225">
        <f>IF(CF表!J$3="","",CF表!J27/10000)</f>
        <v/>
      </c>
      <c r="K27" s="225">
        <f>IF(CF表!K$3="","",CF表!K27/10000)</f>
        <v/>
      </c>
      <c r="L27" s="225">
        <f>IF(CF表!L$3="","",CF表!L27/10000)</f>
        <v/>
      </c>
      <c r="M27" s="225">
        <f>IF(CF表!M$3="","",CF表!M27/10000)</f>
        <v/>
      </c>
      <c r="N27" s="225">
        <f>IF(CF表!N$3="","",CF表!N27/10000)</f>
        <v/>
      </c>
      <c r="O27" s="225">
        <f>IF(CF表!O$3="","",CF表!O27/10000)</f>
        <v/>
      </c>
      <c r="P27" s="225">
        <f>IF(CF表!P$3="","",CF表!P27/10000)</f>
        <v/>
      </c>
      <c r="Q27" s="225">
        <f>IF(CF表!Q$3="","",CF表!Q27/10000)</f>
        <v/>
      </c>
      <c r="R27" s="225">
        <f>IF(CF表!R$3="","",CF表!R27/10000)</f>
        <v/>
      </c>
      <c r="S27" s="225">
        <f>IF(CF表!S$3="","",CF表!S27/10000)</f>
        <v/>
      </c>
      <c r="T27" s="225">
        <f>IF(CF表!T$3="","",CF表!T27/10000)</f>
        <v/>
      </c>
      <c r="U27" s="225">
        <f>IF(CF表!U$3="","",CF表!U27/10000)</f>
        <v/>
      </c>
      <c r="V27" s="225">
        <f>IF(CF表!V$3="","",CF表!V27/10000)</f>
        <v/>
      </c>
      <c r="W27" s="225">
        <f>IF(CF表!W$3="","",CF表!W27/10000)</f>
        <v/>
      </c>
      <c r="X27" s="225">
        <f>IF(CF表!X$3="","",CF表!X27/10000)</f>
        <v/>
      </c>
      <c r="Y27" s="225">
        <f>IF(CF表!Y$3="","",CF表!Y27/10000)</f>
        <v/>
      </c>
      <c r="Z27" s="225">
        <f>IF(CF表!Z$3="","",CF表!Z27/10000)</f>
        <v/>
      </c>
      <c r="AA27" s="225">
        <f>IF(CF表!AA$3="","",CF表!AA27/10000)</f>
        <v/>
      </c>
      <c r="AB27" s="225">
        <f>IF(CF表!AB$3="","",CF表!AB27/10000)</f>
        <v/>
      </c>
      <c r="AC27" s="225">
        <f>IF(CF表!AC$3="","",CF表!AC27/10000)</f>
        <v/>
      </c>
      <c r="AD27" s="225">
        <f>IF(CF表!AD$3="","",CF表!AD27/10000)</f>
        <v/>
      </c>
      <c r="AE27" s="225">
        <f>IF(CF表!AE$3="","",CF表!AE27/10000)</f>
        <v/>
      </c>
      <c r="AF27" s="225">
        <f>IF(CF表!AF$3="","",CF表!AF27/10000)</f>
        <v/>
      </c>
      <c r="AG27" s="225">
        <f>IF(CF表!AG$3="","",CF表!AG27/10000)</f>
        <v/>
      </c>
      <c r="AH27" s="225">
        <f>IF(CF表!AH$3="","",CF表!AH27/10000)</f>
        <v/>
      </c>
      <c r="AI27" s="225">
        <f>IF(CF表!AI$3="","",CF表!AI27/10000)</f>
        <v/>
      </c>
      <c r="AJ27" s="225">
        <f>IF(CF表!AJ$3="","",CF表!AJ27/10000)</f>
        <v/>
      </c>
      <c r="AK27" s="225">
        <f>IF(CF表!AK$3="","",CF表!AK27/10000)</f>
        <v/>
      </c>
      <c r="AL27" s="225">
        <f>IF(CF表!AL$3="","",CF表!AL27/10000)</f>
        <v/>
      </c>
      <c r="AM27" s="225">
        <f>IF(CF表!AM$3="","",CF表!AM27/10000)</f>
        <v/>
      </c>
      <c r="AN27" s="225">
        <f>IF(CF表!AN$3="","",CF表!AN27/10000)</f>
        <v/>
      </c>
      <c r="AO27" s="225">
        <f>IF(CF表!AO$3="","",CF表!AO27/10000)</f>
        <v/>
      </c>
      <c r="AP27" s="225">
        <f>IF(CF表!AP$3="","",CF表!AP27/10000)</f>
        <v/>
      </c>
      <c r="AQ27" s="225">
        <f>IF(CF表!AQ$3="","",CF表!AQ27/10000)</f>
        <v/>
      </c>
      <c r="AR27" s="225">
        <f>IF(CF表!AR$3="","",CF表!AR27/10000)</f>
        <v/>
      </c>
      <c r="AS27" s="225">
        <f>IF(CF表!AS$3="","",CF表!AS27/10000)</f>
        <v/>
      </c>
      <c r="AT27" s="225">
        <f>IF(CF表!AT$3="","",CF表!AT27/10000)</f>
        <v/>
      </c>
      <c r="AU27" s="225">
        <f>IF(CF表!AU$3="","",CF表!AU27/10000)</f>
        <v/>
      </c>
      <c r="AV27" s="225">
        <f>IF(CF表!AV$3="","",CF表!AV27/10000)</f>
        <v/>
      </c>
      <c r="AW27" s="225">
        <f>IF(CF表!AW$3="","",CF表!AW27/10000)</f>
        <v/>
      </c>
      <c r="AX27" s="225">
        <f>IF(CF表!AX$3="","",CF表!AX27/10000)</f>
        <v/>
      </c>
      <c r="AY27" s="225">
        <f>IF(CF表!AY$3="","",CF表!AY27/10000)</f>
        <v/>
      </c>
      <c r="AZ27" s="225">
        <f>IF(CF表!AZ$3="","",CF表!AZ27/10000)</f>
        <v/>
      </c>
      <c r="BA27" s="225">
        <f>IF(CF表!BA$3="","",CF表!BA27/10000)</f>
        <v/>
      </c>
      <c r="BB27" s="225">
        <f>IF(CF表!BB$3="","",CF表!BB27/10000)</f>
        <v/>
      </c>
      <c r="BC27" s="225">
        <f>IF(CF表!BC$3="","",CF表!BC27/10000)</f>
        <v/>
      </c>
      <c r="BD27" s="225">
        <f>IF(CF表!BD$3="","",CF表!BD27/10000)</f>
        <v/>
      </c>
      <c r="BE27" s="225">
        <f>IF(CF表!BE$3="","",CF表!BE27/10000)</f>
        <v/>
      </c>
      <c r="BF27" s="225">
        <f>IF(CF表!BF$3="","",CF表!BF27/10000)</f>
        <v/>
      </c>
      <c r="BG27" s="225">
        <f>IF(CF表!BG$3="","",CF表!BG27/10000)</f>
        <v/>
      </c>
      <c r="BH27" s="225">
        <f>IF(CF表!BH$3="","",CF表!BH27/10000)</f>
        <v/>
      </c>
      <c r="BI27" s="225">
        <f>IF(CF表!BI$3="","",CF表!BI27/10000)</f>
        <v/>
      </c>
      <c r="BJ27" s="225">
        <f>IF(CF表!BJ$3="","",CF表!BJ27/10000)</f>
        <v/>
      </c>
      <c r="BK27" s="225">
        <f>IF(CF表!BK$3="","",CF表!BK27/10000)</f>
        <v/>
      </c>
      <c r="BL27" s="225">
        <f>IF(CF表!BL$3="","",CF表!BL27/10000)</f>
        <v/>
      </c>
      <c r="BM27" s="225">
        <f>IF(CF表!BM$3="","",CF表!BM27/10000)</f>
        <v/>
      </c>
      <c r="BN27" s="225">
        <f>IF(CF表!BN$3="","",CF表!BN27/10000)</f>
        <v/>
      </c>
      <c r="BO27" s="225">
        <f>IF(CF表!BO$3="","",CF表!BO27/10000)</f>
        <v/>
      </c>
      <c r="BP27" s="225">
        <f>IF(CF表!BP$3="","",CF表!BP27/10000)</f>
        <v/>
      </c>
      <c r="BQ27" s="225">
        <f>IF(CF表!BQ$3="","",CF表!BQ27/10000)</f>
        <v/>
      </c>
      <c r="BR27" s="225">
        <f>IF(CF表!BR$3="","",CF表!BR27/10000)</f>
        <v/>
      </c>
      <c r="BS27" s="225">
        <f>IF(CF表!BS$3="","",CF表!BS27/10000)</f>
        <v/>
      </c>
      <c r="BT27" s="225">
        <f>IF(CF表!BT$3="","",CF表!BT27/10000)</f>
        <v/>
      </c>
      <c r="BU27" s="225">
        <f>IF(CF表!BU$3="","",CF表!BU27/10000)</f>
        <v/>
      </c>
      <c r="BV27" s="225">
        <f>IF(CF表!BV$3="","",CF表!BV27/10000)</f>
        <v/>
      </c>
      <c r="BW27" s="225">
        <f>IF(CF表!BW$3="","",CF表!BW27/10000)</f>
        <v/>
      </c>
      <c r="BX27" s="225">
        <f>IF(CF表!BX$3="","",CF表!BX27/10000)</f>
        <v/>
      </c>
      <c r="BY27" s="225">
        <f>IF(CF表!BY$3="","",CF表!BY27/10000)</f>
        <v/>
      </c>
      <c r="BZ27" s="225">
        <f>IF(CF表!BZ$3="","",CF表!BZ27/10000)</f>
        <v/>
      </c>
      <c r="CA27" s="225">
        <f>IF(CF表!CA$3="","",CF表!CA27/10000)</f>
        <v/>
      </c>
      <c r="CB27" s="225">
        <f>IF(CF表!CB$3="","",CF表!CB27/10000)</f>
        <v/>
      </c>
      <c r="CC27" s="225">
        <f>IF(CF表!CC$3="","",CF表!CC27/10000)</f>
        <v/>
      </c>
      <c r="CD27" s="225">
        <f>IF(CF表!CD$3="","",CF表!CD27/10000)</f>
        <v/>
      </c>
      <c r="CE27" s="225">
        <f>IF(CF表!CE$3="","",CF表!CE27/10000)</f>
        <v/>
      </c>
      <c r="CF27" s="225">
        <f>IF(CF表!CF$3="","",CF表!CF27/10000)</f>
        <v/>
      </c>
      <c r="CG27" s="225">
        <f>IF(CF表!CG$3="","",CF表!CG27/10000)</f>
        <v/>
      </c>
      <c r="CH27" s="225">
        <f>IF(CF表!CH$3="","",CF表!CH27/10000)</f>
        <v/>
      </c>
      <c r="CI27" s="225">
        <f>IF(CF表!CI$3="","",CF表!CI27/10000)</f>
        <v/>
      </c>
      <c r="CJ27" s="225">
        <f>IF(CF表!CJ$3="","",CF表!CJ27/10000)</f>
        <v/>
      </c>
      <c r="CK27" s="225">
        <f>IF(CF表!CK$3="","",CF表!CK27/10000)</f>
        <v/>
      </c>
      <c r="CL27" s="225">
        <f>IF(CF表!CL$3="","",CF表!CL27/10000)</f>
        <v/>
      </c>
      <c r="CM27" s="225">
        <f>IF(CF表!CM$3="","",CF表!CM27/10000)</f>
        <v/>
      </c>
      <c r="CN27" s="225">
        <f>IF(CF表!CN$3="","",CF表!CN27/10000)</f>
        <v/>
      </c>
      <c r="CO27" s="225">
        <f>IF(CF表!CO$3="","",CF表!CO27/10000)</f>
        <v/>
      </c>
      <c r="CP27" s="225">
        <f>IF(CF表!CP$3="","",CF表!CP27/10000)</f>
        <v/>
      </c>
      <c r="CQ27" s="225">
        <f>IF(CF表!CQ$3="","",CF表!CQ27/10000)</f>
        <v/>
      </c>
      <c r="CR27" s="225">
        <f>IF(CF表!CR$3="","",CF表!CR27/10000)</f>
        <v/>
      </c>
      <c r="CS27" s="225">
        <f>IF(CF表!CS$3="","",CF表!CS27/10000)</f>
        <v/>
      </c>
      <c r="CT27" s="225">
        <f>IF(CF表!CT$3="","",CF表!CT27/10000)</f>
        <v/>
      </c>
      <c r="CU27" s="225">
        <f>IF(CF表!CU$3="","",CF表!CU27/10000)</f>
        <v/>
      </c>
      <c r="CV27" s="225">
        <f>IF(CF表!CV$3="","",CF表!CV27/10000)</f>
        <v/>
      </c>
      <c r="CW27" s="225">
        <f>IF(CF表!CW$3="","",CF表!CW27/10000)</f>
        <v/>
      </c>
    </row>
    <row r="28" ht="15" customHeight="1" s="180">
      <c r="A28" s="226" t="inlineStr">
        <is>
          <t>支出合計</t>
        </is>
      </c>
      <c r="B28" s="227">
        <f>IF(CF表!B$3="","",CF表!B28/10000)</f>
        <v/>
      </c>
      <c r="C28" s="227">
        <f>IF(CF表!C$3="","",CF表!C28/10000)</f>
        <v/>
      </c>
      <c r="D28" s="227">
        <f>IF(CF表!D$3="","",CF表!D28/10000)</f>
        <v/>
      </c>
      <c r="E28" s="227">
        <f>IF(CF表!E$3="","",CF表!E28/10000)</f>
        <v/>
      </c>
      <c r="F28" s="227">
        <f>IF(CF表!F$3="","",CF表!F28/10000)</f>
        <v/>
      </c>
      <c r="G28" s="227">
        <f>IF(CF表!G$3="","",CF表!G28/10000)</f>
        <v/>
      </c>
      <c r="H28" s="227">
        <f>IF(CF表!H$3="","",CF表!H28/10000)</f>
        <v/>
      </c>
      <c r="I28" s="227">
        <f>IF(CF表!I$3="","",CF表!I28/10000)</f>
        <v/>
      </c>
      <c r="J28" s="227">
        <f>IF(CF表!J$3="","",CF表!J28/10000)</f>
        <v/>
      </c>
      <c r="K28" s="227">
        <f>IF(CF表!K$3="","",CF表!K28/10000)</f>
        <v/>
      </c>
      <c r="L28" s="227">
        <f>IF(CF表!L$3="","",CF表!L28/10000)</f>
        <v/>
      </c>
      <c r="M28" s="227">
        <f>IF(CF表!M$3="","",CF表!M28/10000)</f>
        <v/>
      </c>
      <c r="N28" s="227">
        <f>IF(CF表!N$3="","",CF表!N28/10000)</f>
        <v/>
      </c>
      <c r="O28" s="227">
        <f>IF(CF表!O$3="","",CF表!O28/10000)</f>
        <v/>
      </c>
      <c r="P28" s="227">
        <f>IF(CF表!P$3="","",CF表!P28/10000)</f>
        <v/>
      </c>
      <c r="Q28" s="227">
        <f>IF(CF表!Q$3="","",CF表!Q28/10000)</f>
        <v/>
      </c>
      <c r="R28" s="227">
        <f>IF(CF表!R$3="","",CF表!R28/10000)</f>
        <v/>
      </c>
      <c r="S28" s="227">
        <f>IF(CF表!S$3="","",CF表!S28/10000)</f>
        <v/>
      </c>
      <c r="T28" s="227">
        <f>IF(CF表!T$3="","",CF表!T28/10000)</f>
        <v/>
      </c>
      <c r="U28" s="227">
        <f>IF(CF表!U$3="","",CF表!U28/10000)</f>
        <v/>
      </c>
      <c r="V28" s="227">
        <f>IF(CF表!V$3="","",CF表!V28/10000)</f>
        <v/>
      </c>
      <c r="W28" s="227">
        <f>IF(CF表!W$3="","",CF表!W28/10000)</f>
        <v/>
      </c>
      <c r="X28" s="227">
        <f>IF(CF表!X$3="","",CF表!X28/10000)</f>
        <v/>
      </c>
      <c r="Y28" s="227">
        <f>IF(CF表!Y$3="","",CF表!Y28/10000)</f>
        <v/>
      </c>
      <c r="Z28" s="227">
        <f>IF(CF表!Z$3="","",CF表!Z28/10000)</f>
        <v/>
      </c>
      <c r="AA28" s="227">
        <f>IF(CF表!AA$3="","",CF表!AA28/10000)</f>
        <v/>
      </c>
      <c r="AB28" s="227">
        <f>IF(CF表!AB$3="","",CF表!AB28/10000)</f>
        <v/>
      </c>
      <c r="AC28" s="227">
        <f>IF(CF表!AC$3="","",CF表!AC28/10000)</f>
        <v/>
      </c>
      <c r="AD28" s="227">
        <f>IF(CF表!AD$3="","",CF表!AD28/10000)</f>
        <v/>
      </c>
      <c r="AE28" s="227">
        <f>IF(CF表!AE$3="","",CF表!AE28/10000)</f>
        <v/>
      </c>
      <c r="AF28" s="227">
        <f>IF(CF表!AF$3="","",CF表!AF28/10000)</f>
        <v/>
      </c>
      <c r="AG28" s="227">
        <f>IF(CF表!AG$3="","",CF表!AG28/10000)</f>
        <v/>
      </c>
      <c r="AH28" s="227">
        <f>IF(CF表!AH$3="","",CF表!AH28/10000)</f>
        <v/>
      </c>
      <c r="AI28" s="227">
        <f>IF(CF表!AI$3="","",CF表!AI28/10000)</f>
        <v/>
      </c>
      <c r="AJ28" s="227">
        <f>IF(CF表!AJ$3="","",CF表!AJ28/10000)</f>
        <v/>
      </c>
      <c r="AK28" s="227">
        <f>IF(CF表!AK$3="","",CF表!AK28/10000)</f>
        <v/>
      </c>
      <c r="AL28" s="227">
        <f>IF(CF表!AL$3="","",CF表!AL28/10000)</f>
        <v/>
      </c>
      <c r="AM28" s="227">
        <f>IF(CF表!AM$3="","",CF表!AM28/10000)</f>
        <v/>
      </c>
      <c r="AN28" s="227">
        <f>IF(CF表!AN$3="","",CF表!AN28/10000)</f>
        <v/>
      </c>
      <c r="AO28" s="227">
        <f>IF(CF表!AO$3="","",CF表!AO28/10000)</f>
        <v/>
      </c>
      <c r="AP28" s="227">
        <f>IF(CF表!AP$3="","",CF表!AP28/10000)</f>
        <v/>
      </c>
      <c r="AQ28" s="227">
        <f>IF(CF表!AQ$3="","",CF表!AQ28/10000)</f>
        <v/>
      </c>
      <c r="AR28" s="227">
        <f>IF(CF表!AR$3="","",CF表!AR28/10000)</f>
        <v/>
      </c>
      <c r="AS28" s="227">
        <f>IF(CF表!AS$3="","",CF表!AS28/10000)</f>
        <v/>
      </c>
      <c r="AT28" s="227">
        <f>IF(CF表!AT$3="","",CF表!AT28/10000)</f>
        <v/>
      </c>
      <c r="AU28" s="227">
        <f>IF(CF表!AU$3="","",CF表!AU28/10000)</f>
        <v/>
      </c>
      <c r="AV28" s="227">
        <f>IF(CF表!AV$3="","",CF表!AV28/10000)</f>
        <v/>
      </c>
      <c r="AW28" s="227">
        <f>IF(CF表!AW$3="","",CF表!AW28/10000)</f>
        <v/>
      </c>
      <c r="AX28" s="227">
        <f>IF(CF表!AX$3="","",CF表!AX28/10000)</f>
        <v/>
      </c>
      <c r="AY28" s="227">
        <f>IF(CF表!AY$3="","",CF表!AY28/10000)</f>
        <v/>
      </c>
      <c r="AZ28" s="227">
        <f>IF(CF表!AZ$3="","",CF表!AZ28/10000)</f>
        <v/>
      </c>
      <c r="BA28" s="227">
        <f>IF(CF表!BA$3="","",CF表!BA28/10000)</f>
        <v/>
      </c>
      <c r="BB28" s="227">
        <f>IF(CF表!BB$3="","",CF表!BB28/10000)</f>
        <v/>
      </c>
      <c r="BC28" s="227">
        <f>IF(CF表!BC$3="","",CF表!BC28/10000)</f>
        <v/>
      </c>
      <c r="BD28" s="227">
        <f>IF(CF表!BD$3="","",CF表!BD28/10000)</f>
        <v/>
      </c>
      <c r="BE28" s="227">
        <f>IF(CF表!BE$3="","",CF表!BE28/10000)</f>
        <v/>
      </c>
      <c r="BF28" s="227">
        <f>IF(CF表!BF$3="","",CF表!BF28/10000)</f>
        <v/>
      </c>
      <c r="BG28" s="227">
        <f>IF(CF表!BG$3="","",CF表!BG28/10000)</f>
        <v/>
      </c>
      <c r="BH28" s="227">
        <f>IF(CF表!BH$3="","",CF表!BH28/10000)</f>
        <v/>
      </c>
      <c r="BI28" s="227">
        <f>IF(CF表!BI$3="","",CF表!BI28/10000)</f>
        <v/>
      </c>
      <c r="BJ28" s="227">
        <f>IF(CF表!BJ$3="","",CF表!BJ28/10000)</f>
        <v/>
      </c>
      <c r="BK28" s="227">
        <f>IF(CF表!BK$3="","",CF表!BK28/10000)</f>
        <v/>
      </c>
      <c r="BL28" s="227">
        <f>IF(CF表!BL$3="","",CF表!BL28/10000)</f>
        <v/>
      </c>
      <c r="BM28" s="227">
        <f>IF(CF表!BM$3="","",CF表!BM28/10000)</f>
        <v/>
      </c>
      <c r="BN28" s="227">
        <f>IF(CF表!BN$3="","",CF表!BN28/10000)</f>
        <v/>
      </c>
      <c r="BO28" s="227">
        <f>IF(CF表!BO$3="","",CF表!BO28/10000)</f>
        <v/>
      </c>
      <c r="BP28" s="227">
        <f>IF(CF表!BP$3="","",CF表!BP28/10000)</f>
        <v/>
      </c>
      <c r="BQ28" s="227">
        <f>IF(CF表!BQ$3="","",CF表!BQ28/10000)</f>
        <v/>
      </c>
      <c r="BR28" s="227">
        <f>IF(CF表!BR$3="","",CF表!BR28/10000)</f>
        <v/>
      </c>
      <c r="BS28" s="227">
        <f>IF(CF表!BS$3="","",CF表!BS28/10000)</f>
        <v/>
      </c>
      <c r="BT28" s="227">
        <f>IF(CF表!BT$3="","",CF表!BT28/10000)</f>
        <v/>
      </c>
      <c r="BU28" s="227">
        <f>IF(CF表!BU$3="","",CF表!BU28/10000)</f>
        <v/>
      </c>
      <c r="BV28" s="227">
        <f>IF(CF表!BV$3="","",CF表!BV28/10000)</f>
        <v/>
      </c>
      <c r="BW28" s="227">
        <f>IF(CF表!BW$3="","",CF表!BW28/10000)</f>
        <v/>
      </c>
      <c r="BX28" s="227">
        <f>IF(CF表!BX$3="","",CF表!BX28/10000)</f>
        <v/>
      </c>
      <c r="BY28" s="227">
        <f>IF(CF表!BY$3="","",CF表!BY28/10000)</f>
        <v/>
      </c>
      <c r="BZ28" s="227">
        <f>IF(CF表!BZ$3="","",CF表!BZ28/10000)</f>
        <v/>
      </c>
      <c r="CA28" s="227">
        <f>IF(CF表!CA$3="","",CF表!CA28/10000)</f>
        <v/>
      </c>
      <c r="CB28" s="227">
        <f>IF(CF表!CB$3="","",CF表!CB28/10000)</f>
        <v/>
      </c>
      <c r="CC28" s="227">
        <f>IF(CF表!CC$3="","",CF表!CC28/10000)</f>
        <v/>
      </c>
      <c r="CD28" s="227">
        <f>IF(CF表!CD$3="","",CF表!CD28/10000)</f>
        <v/>
      </c>
      <c r="CE28" s="227">
        <f>IF(CF表!CE$3="","",CF表!CE28/10000)</f>
        <v/>
      </c>
      <c r="CF28" s="227">
        <f>IF(CF表!CF$3="","",CF表!CF28/10000)</f>
        <v/>
      </c>
      <c r="CG28" s="227">
        <f>IF(CF表!CG$3="","",CF表!CG28/10000)</f>
        <v/>
      </c>
      <c r="CH28" s="227">
        <f>IF(CF表!CH$3="","",CF表!CH28/10000)</f>
        <v/>
      </c>
      <c r="CI28" s="227">
        <f>IF(CF表!CI$3="","",CF表!CI28/10000)</f>
        <v/>
      </c>
      <c r="CJ28" s="227">
        <f>IF(CF表!CJ$3="","",CF表!CJ28/10000)</f>
        <v/>
      </c>
      <c r="CK28" s="227">
        <f>IF(CF表!CK$3="","",CF表!CK28/10000)</f>
        <v/>
      </c>
      <c r="CL28" s="227">
        <f>IF(CF表!CL$3="","",CF表!CL28/10000)</f>
        <v/>
      </c>
      <c r="CM28" s="227">
        <f>IF(CF表!CM$3="","",CF表!CM28/10000)</f>
        <v/>
      </c>
      <c r="CN28" s="227">
        <f>IF(CF表!CN$3="","",CF表!CN28/10000)</f>
        <v/>
      </c>
      <c r="CO28" s="227">
        <f>IF(CF表!CO$3="","",CF表!CO28/10000)</f>
        <v/>
      </c>
      <c r="CP28" s="227">
        <f>IF(CF表!CP$3="","",CF表!CP28/10000)</f>
        <v/>
      </c>
      <c r="CQ28" s="227">
        <f>IF(CF表!CQ$3="","",CF表!CQ28/10000)</f>
        <v/>
      </c>
      <c r="CR28" s="227">
        <f>IF(CF表!CR$3="","",CF表!CR28/10000)</f>
        <v/>
      </c>
      <c r="CS28" s="227">
        <f>IF(CF表!CS$3="","",CF表!CS28/10000)</f>
        <v/>
      </c>
      <c r="CT28" s="227">
        <f>IF(CF表!CT$3="","",CF表!CT28/10000)</f>
        <v/>
      </c>
      <c r="CU28" s="227">
        <f>IF(CF表!CU$3="","",CF表!CU28/10000)</f>
        <v/>
      </c>
      <c r="CV28" s="227">
        <f>IF(CF表!CV$3="","",CF表!CV28/10000)</f>
        <v/>
      </c>
      <c r="CW28" s="227">
        <f>IF(CF表!CW$3="","",CF表!CW28/10000)</f>
        <v/>
      </c>
    </row>
    <row r="29" ht="15" customHeight="1" s="180">
      <c r="A29" s="205" t="inlineStr">
        <is>
          <t>収支・資産</t>
        </is>
      </c>
      <c r="B29" s="228">
        <f>IF(CF表!B$3="","",CF表!B29/10000)</f>
        <v/>
      </c>
      <c r="C29" s="228">
        <f>IF(CF表!C$3="","",CF表!C29/10000)</f>
        <v/>
      </c>
      <c r="D29" s="228">
        <f>IF(CF表!D$3="","",CF表!D29/10000)</f>
        <v/>
      </c>
      <c r="E29" s="228">
        <f>IF(CF表!E$3="","",CF表!E29/10000)</f>
        <v/>
      </c>
      <c r="F29" s="228">
        <f>IF(CF表!F$3="","",CF表!F29/10000)</f>
        <v/>
      </c>
      <c r="G29" s="228">
        <f>IF(CF表!G$3="","",CF表!G29/10000)</f>
        <v/>
      </c>
      <c r="H29" s="228">
        <f>IF(CF表!H$3="","",CF表!H29/10000)</f>
        <v/>
      </c>
      <c r="I29" s="228">
        <f>IF(CF表!I$3="","",CF表!I29/10000)</f>
        <v/>
      </c>
      <c r="J29" s="228">
        <f>IF(CF表!J$3="","",CF表!J29/10000)</f>
        <v/>
      </c>
      <c r="K29" s="228">
        <f>IF(CF表!K$3="","",CF表!K29/10000)</f>
        <v/>
      </c>
      <c r="L29" s="228">
        <f>IF(CF表!L$3="","",CF表!L29/10000)</f>
        <v/>
      </c>
      <c r="M29" s="228">
        <f>IF(CF表!M$3="","",CF表!M29/10000)</f>
        <v/>
      </c>
      <c r="N29" s="228">
        <f>IF(CF表!N$3="","",CF表!N29/10000)</f>
        <v/>
      </c>
      <c r="O29" s="228">
        <f>IF(CF表!O$3="","",CF表!O29/10000)</f>
        <v/>
      </c>
      <c r="P29" s="228">
        <f>IF(CF表!P$3="","",CF表!P29/10000)</f>
        <v/>
      </c>
      <c r="Q29" s="228">
        <f>IF(CF表!Q$3="","",CF表!Q29/10000)</f>
        <v/>
      </c>
      <c r="R29" s="228">
        <f>IF(CF表!R$3="","",CF表!R29/10000)</f>
        <v/>
      </c>
      <c r="S29" s="228">
        <f>IF(CF表!S$3="","",CF表!S29/10000)</f>
        <v/>
      </c>
      <c r="T29" s="228">
        <f>IF(CF表!T$3="","",CF表!T29/10000)</f>
        <v/>
      </c>
      <c r="U29" s="228">
        <f>IF(CF表!U$3="","",CF表!U29/10000)</f>
        <v/>
      </c>
      <c r="V29" s="228">
        <f>IF(CF表!V$3="","",CF表!V29/10000)</f>
        <v/>
      </c>
      <c r="W29" s="228">
        <f>IF(CF表!W$3="","",CF表!W29/10000)</f>
        <v/>
      </c>
      <c r="X29" s="228">
        <f>IF(CF表!X$3="","",CF表!X29/10000)</f>
        <v/>
      </c>
      <c r="Y29" s="228">
        <f>IF(CF表!Y$3="","",CF表!Y29/10000)</f>
        <v/>
      </c>
      <c r="Z29" s="228">
        <f>IF(CF表!Z$3="","",CF表!Z29/10000)</f>
        <v/>
      </c>
      <c r="AA29" s="228">
        <f>IF(CF表!AA$3="","",CF表!AA29/10000)</f>
        <v/>
      </c>
      <c r="AB29" s="228">
        <f>IF(CF表!AB$3="","",CF表!AB29/10000)</f>
        <v/>
      </c>
      <c r="AC29" s="228">
        <f>IF(CF表!AC$3="","",CF表!AC29/10000)</f>
        <v/>
      </c>
      <c r="AD29" s="228">
        <f>IF(CF表!AD$3="","",CF表!AD29/10000)</f>
        <v/>
      </c>
      <c r="AE29" s="228">
        <f>IF(CF表!AE$3="","",CF表!AE29/10000)</f>
        <v/>
      </c>
      <c r="AF29" s="228">
        <f>IF(CF表!AF$3="","",CF表!AF29/10000)</f>
        <v/>
      </c>
      <c r="AG29" s="228">
        <f>IF(CF表!AG$3="","",CF表!AG29/10000)</f>
        <v/>
      </c>
      <c r="AH29" s="228">
        <f>IF(CF表!AH$3="","",CF表!AH29/10000)</f>
        <v/>
      </c>
      <c r="AI29" s="228">
        <f>IF(CF表!AI$3="","",CF表!AI29/10000)</f>
        <v/>
      </c>
      <c r="AJ29" s="228">
        <f>IF(CF表!AJ$3="","",CF表!AJ29/10000)</f>
        <v/>
      </c>
      <c r="AK29" s="228">
        <f>IF(CF表!AK$3="","",CF表!AK29/10000)</f>
        <v/>
      </c>
      <c r="AL29" s="228">
        <f>IF(CF表!AL$3="","",CF表!AL29/10000)</f>
        <v/>
      </c>
      <c r="AM29" s="228">
        <f>IF(CF表!AM$3="","",CF表!AM29/10000)</f>
        <v/>
      </c>
      <c r="AN29" s="228">
        <f>IF(CF表!AN$3="","",CF表!AN29/10000)</f>
        <v/>
      </c>
      <c r="AO29" s="228">
        <f>IF(CF表!AO$3="","",CF表!AO29/10000)</f>
        <v/>
      </c>
      <c r="AP29" s="228">
        <f>IF(CF表!AP$3="","",CF表!AP29/10000)</f>
        <v/>
      </c>
      <c r="AQ29" s="228">
        <f>IF(CF表!AQ$3="","",CF表!AQ29/10000)</f>
        <v/>
      </c>
      <c r="AR29" s="228">
        <f>IF(CF表!AR$3="","",CF表!AR29/10000)</f>
        <v/>
      </c>
      <c r="AS29" s="228">
        <f>IF(CF表!AS$3="","",CF表!AS29/10000)</f>
        <v/>
      </c>
      <c r="AT29" s="228">
        <f>IF(CF表!AT$3="","",CF表!AT29/10000)</f>
        <v/>
      </c>
      <c r="AU29" s="228">
        <f>IF(CF表!AU$3="","",CF表!AU29/10000)</f>
        <v/>
      </c>
      <c r="AV29" s="228">
        <f>IF(CF表!AV$3="","",CF表!AV29/10000)</f>
        <v/>
      </c>
      <c r="AW29" s="228">
        <f>IF(CF表!AW$3="","",CF表!AW29/10000)</f>
        <v/>
      </c>
      <c r="AX29" s="228">
        <f>IF(CF表!AX$3="","",CF表!AX29/10000)</f>
        <v/>
      </c>
      <c r="AY29" s="228">
        <f>IF(CF表!AY$3="","",CF表!AY29/10000)</f>
        <v/>
      </c>
      <c r="AZ29" s="228">
        <f>IF(CF表!AZ$3="","",CF表!AZ29/10000)</f>
        <v/>
      </c>
      <c r="BA29" s="228">
        <f>IF(CF表!BA$3="","",CF表!BA29/10000)</f>
        <v/>
      </c>
      <c r="BB29" s="228">
        <f>IF(CF表!BB$3="","",CF表!BB29/10000)</f>
        <v/>
      </c>
      <c r="BC29" s="228">
        <f>IF(CF表!BC$3="","",CF表!BC29/10000)</f>
        <v/>
      </c>
      <c r="BD29" s="228">
        <f>IF(CF表!BD$3="","",CF表!BD29/10000)</f>
        <v/>
      </c>
      <c r="BE29" s="228">
        <f>IF(CF表!BE$3="","",CF表!BE29/10000)</f>
        <v/>
      </c>
      <c r="BF29" s="228">
        <f>IF(CF表!BF$3="","",CF表!BF29/10000)</f>
        <v/>
      </c>
      <c r="BG29" s="228">
        <f>IF(CF表!BG$3="","",CF表!BG29/10000)</f>
        <v/>
      </c>
      <c r="BH29" s="228">
        <f>IF(CF表!BH$3="","",CF表!BH29/10000)</f>
        <v/>
      </c>
      <c r="BI29" s="228">
        <f>IF(CF表!BI$3="","",CF表!BI29/10000)</f>
        <v/>
      </c>
      <c r="BJ29" s="228">
        <f>IF(CF表!BJ$3="","",CF表!BJ29/10000)</f>
        <v/>
      </c>
      <c r="BK29" s="228">
        <f>IF(CF表!BK$3="","",CF表!BK29/10000)</f>
        <v/>
      </c>
      <c r="BL29" s="228">
        <f>IF(CF表!BL$3="","",CF表!BL29/10000)</f>
        <v/>
      </c>
      <c r="BM29" s="228">
        <f>IF(CF表!BM$3="","",CF表!BM29/10000)</f>
        <v/>
      </c>
      <c r="BN29" s="228">
        <f>IF(CF表!BN$3="","",CF表!BN29/10000)</f>
        <v/>
      </c>
      <c r="BO29" s="228">
        <f>IF(CF表!BO$3="","",CF表!BO29/10000)</f>
        <v/>
      </c>
      <c r="BP29" s="228">
        <f>IF(CF表!BP$3="","",CF表!BP29/10000)</f>
        <v/>
      </c>
      <c r="BQ29" s="228">
        <f>IF(CF表!BQ$3="","",CF表!BQ29/10000)</f>
        <v/>
      </c>
      <c r="BR29" s="228">
        <f>IF(CF表!BR$3="","",CF表!BR29/10000)</f>
        <v/>
      </c>
      <c r="BS29" s="228">
        <f>IF(CF表!BS$3="","",CF表!BS29/10000)</f>
        <v/>
      </c>
      <c r="BT29" s="228">
        <f>IF(CF表!BT$3="","",CF表!BT29/10000)</f>
        <v/>
      </c>
      <c r="BU29" s="228">
        <f>IF(CF表!BU$3="","",CF表!BU29/10000)</f>
        <v/>
      </c>
      <c r="BV29" s="228">
        <f>IF(CF表!BV$3="","",CF表!BV29/10000)</f>
        <v/>
      </c>
      <c r="BW29" s="228">
        <f>IF(CF表!BW$3="","",CF表!BW29/10000)</f>
        <v/>
      </c>
      <c r="BX29" s="228">
        <f>IF(CF表!BX$3="","",CF表!BX29/10000)</f>
        <v/>
      </c>
      <c r="BY29" s="228">
        <f>IF(CF表!BY$3="","",CF表!BY29/10000)</f>
        <v/>
      </c>
      <c r="BZ29" s="228">
        <f>IF(CF表!BZ$3="","",CF表!BZ29/10000)</f>
        <v/>
      </c>
      <c r="CA29" s="228">
        <f>IF(CF表!CA$3="","",CF表!CA29/10000)</f>
        <v/>
      </c>
      <c r="CB29" s="228">
        <f>IF(CF表!CB$3="","",CF表!CB29/10000)</f>
        <v/>
      </c>
      <c r="CC29" s="228">
        <f>IF(CF表!CC$3="","",CF表!CC29/10000)</f>
        <v/>
      </c>
      <c r="CD29" s="228">
        <f>IF(CF表!CD$3="","",CF表!CD29/10000)</f>
        <v/>
      </c>
      <c r="CE29" s="228">
        <f>IF(CF表!CE$3="","",CF表!CE29/10000)</f>
        <v/>
      </c>
      <c r="CF29" s="228">
        <f>IF(CF表!CF$3="","",CF表!CF29/10000)</f>
        <v/>
      </c>
      <c r="CG29" s="228">
        <f>IF(CF表!CG$3="","",CF表!CG29/10000)</f>
        <v/>
      </c>
      <c r="CH29" s="228">
        <f>IF(CF表!CH$3="","",CF表!CH29/10000)</f>
        <v/>
      </c>
      <c r="CI29" s="228">
        <f>IF(CF表!CI$3="","",CF表!CI29/10000)</f>
        <v/>
      </c>
      <c r="CJ29" s="228">
        <f>IF(CF表!CJ$3="","",CF表!CJ29/10000)</f>
        <v/>
      </c>
      <c r="CK29" s="228">
        <f>IF(CF表!CK$3="","",CF表!CK29/10000)</f>
        <v/>
      </c>
      <c r="CL29" s="228">
        <f>IF(CF表!CL$3="","",CF表!CL29/10000)</f>
        <v/>
      </c>
      <c r="CM29" s="228">
        <f>IF(CF表!CM$3="","",CF表!CM29/10000)</f>
        <v/>
      </c>
      <c r="CN29" s="228">
        <f>IF(CF表!CN$3="","",CF表!CN29/10000)</f>
        <v/>
      </c>
      <c r="CO29" s="228">
        <f>IF(CF表!CO$3="","",CF表!CO29/10000)</f>
        <v/>
      </c>
      <c r="CP29" s="228">
        <f>IF(CF表!CP$3="","",CF表!CP29/10000)</f>
        <v/>
      </c>
      <c r="CQ29" s="228">
        <f>IF(CF表!CQ$3="","",CF表!CQ29/10000)</f>
        <v/>
      </c>
      <c r="CR29" s="228">
        <f>IF(CF表!CR$3="","",CF表!CR29/10000)</f>
        <v/>
      </c>
      <c r="CS29" s="228">
        <f>IF(CF表!CS$3="","",CF表!CS29/10000)</f>
        <v/>
      </c>
      <c r="CT29" s="228">
        <f>IF(CF表!CT$3="","",CF表!CT29/10000)</f>
        <v/>
      </c>
      <c r="CU29" s="228">
        <f>IF(CF表!CU$3="","",CF表!CU29/10000)</f>
        <v/>
      </c>
      <c r="CV29" s="228">
        <f>IF(CF表!CV$3="","",CF表!CV29/10000)</f>
        <v/>
      </c>
      <c r="CW29" s="228">
        <f>IF(CF表!CW$3="","",CF表!CW29/10000)</f>
        <v/>
      </c>
    </row>
    <row r="30" ht="21.75" customHeight="1" s="180">
      <c r="A30" s="229" t="inlineStr">
        <is>
          <t>年間収支</t>
        </is>
      </c>
      <c r="B30" s="230">
        <f>IF(CF表!B$3="","",CF表!B30/10000)</f>
        <v/>
      </c>
      <c r="C30" s="230">
        <f>IF(CF表!C$3="","",CF表!C30/10000)</f>
        <v/>
      </c>
      <c r="D30" s="230">
        <f>IF(CF表!D$3="","",CF表!D30/10000)</f>
        <v/>
      </c>
      <c r="E30" s="230">
        <f>IF(CF表!E$3="","",CF表!E30/10000)</f>
        <v/>
      </c>
      <c r="F30" s="230">
        <f>IF(CF表!F$3="","",CF表!F30/10000)</f>
        <v/>
      </c>
      <c r="G30" s="230">
        <f>IF(CF表!G$3="","",CF表!G30/10000)</f>
        <v/>
      </c>
      <c r="H30" s="230">
        <f>IF(CF表!H$3="","",CF表!H30/10000)</f>
        <v/>
      </c>
      <c r="I30" s="230">
        <f>IF(CF表!I$3="","",CF表!I30/10000)</f>
        <v/>
      </c>
      <c r="J30" s="230">
        <f>IF(CF表!J$3="","",CF表!J30/10000)</f>
        <v/>
      </c>
      <c r="K30" s="230">
        <f>IF(CF表!K$3="","",CF表!K30/10000)</f>
        <v/>
      </c>
      <c r="L30" s="230">
        <f>IF(CF表!L$3="","",CF表!L30/10000)</f>
        <v/>
      </c>
      <c r="M30" s="230">
        <f>IF(CF表!M$3="","",CF表!M30/10000)</f>
        <v/>
      </c>
      <c r="N30" s="230">
        <f>IF(CF表!N$3="","",CF表!N30/10000)</f>
        <v/>
      </c>
      <c r="O30" s="230">
        <f>IF(CF表!O$3="","",CF表!O30/10000)</f>
        <v/>
      </c>
      <c r="P30" s="230">
        <f>IF(CF表!P$3="","",CF表!P30/10000)</f>
        <v/>
      </c>
      <c r="Q30" s="230">
        <f>IF(CF表!Q$3="","",CF表!Q30/10000)</f>
        <v/>
      </c>
      <c r="R30" s="230">
        <f>IF(CF表!R$3="","",CF表!R30/10000)</f>
        <v/>
      </c>
      <c r="S30" s="230">
        <f>IF(CF表!S$3="","",CF表!S30/10000)</f>
        <v/>
      </c>
      <c r="T30" s="230">
        <f>IF(CF表!T$3="","",CF表!T30/10000)</f>
        <v/>
      </c>
      <c r="U30" s="230">
        <f>IF(CF表!U$3="","",CF表!U30/10000)</f>
        <v/>
      </c>
      <c r="V30" s="230">
        <f>IF(CF表!V$3="","",CF表!V30/10000)</f>
        <v/>
      </c>
      <c r="W30" s="230">
        <f>IF(CF表!W$3="","",CF表!W30/10000)</f>
        <v/>
      </c>
      <c r="X30" s="230">
        <f>IF(CF表!X$3="","",CF表!X30/10000)</f>
        <v/>
      </c>
      <c r="Y30" s="230">
        <f>IF(CF表!Y$3="","",CF表!Y30/10000)</f>
        <v/>
      </c>
      <c r="Z30" s="230">
        <f>IF(CF表!Z$3="","",CF表!Z30/10000)</f>
        <v/>
      </c>
      <c r="AA30" s="230">
        <f>IF(CF表!AA$3="","",CF表!AA30/10000)</f>
        <v/>
      </c>
      <c r="AB30" s="230">
        <f>IF(CF表!AB$3="","",CF表!AB30/10000)</f>
        <v/>
      </c>
      <c r="AC30" s="230">
        <f>IF(CF表!AC$3="","",CF表!AC30/10000)</f>
        <v/>
      </c>
      <c r="AD30" s="230">
        <f>IF(CF表!AD$3="","",CF表!AD30/10000)</f>
        <v/>
      </c>
      <c r="AE30" s="230">
        <f>IF(CF表!AE$3="","",CF表!AE30/10000)</f>
        <v/>
      </c>
      <c r="AF30" s="230">
        <f>IF(CF表!AF$3="","",CF表!AF30/10000)</f>
        <v/>
      </c>
      <c r="AG30" s="230">
        <f>IF(CF表!AG$3="","",CF表!AG30/10000)</f>
        <v/>
      </c>
      <c r="AH30" s="230">
        <f>IF(CF表!AH$3="","",CF表!AH30/10000)</f>
        <v/>
      </c>
      <c r="AI30" s="230">
        <f>IF(CF表!AI$3="","",CF表!AI30/10000)</f>
        <v/>
      </c>
      <c r="AJ30" s="230">
        <f>IF(CF表!AJ$3="","",CF表!AJ30/10000)</f>
        <v/>
      </c>
      <c r="AK30" s="230">
        <f>IF(CF表!AK$3="","",CF表!AK30/10000)</f>
        <v/>
      </c>
      <c r="AL30" s="230">
        <f>IF(CF表!AL$3="","",CF表!AL30/10000)</f>
        <v/>
      </c>
      <c r="AM30" s="230">
        <f>IF(CF表!AM$3="","",CF表!AM30/10000)</f>
        <v/>
      </c>
      <c r="AN30" s="230">
        <f>IF(CF表!AN$3="","",CF表!AN30/10000)</f>
        <v/>
      </c>
      <c r="AO30" s="230">
        <f>IF(CF表!AO$3="","",CF表!AO30/10000)</f>
        <v/>
      </c>
      <c r="AP30" s="230">
        <f>IF(CF表!AP$3="","",CF表!AP30/10000)</f>
        <v/>
      </c>
      <c r="AQ30" s="230">
        <f>IF(CF表!AQ$3="","",CF表!AQ30/10000)</f>
        <v/>
      </c>
      <c r="AR30" s="230">
        <f>IF(CF表!AR$3="","",CF表!AR30/10000)</f>
        <v/>
      </c>
      <c r="AS30" s="230">
        <f>IF(CF表!AS$3="","",CF表!AS30/10000)</f>
        <v/>
      </c>
      <c r="AT30" s="230">
        <f>IF(CF表!AT$3="","",CF表!AT30/10000)</f>
        <v/>
      </c>
      <c r="AU30" s="230">
        <f>IF(CF表!AU$3="","",CF表!AU30/10000)</f>
        <v/>
      </c>
      <c r="AV30" s="230">
        <f>IF(CF表!AV$3="","",CF表!AV30/10000)</f>
        <v/>
      </c>
      <c r="AW30" s="230">
        <f>IF(CF表!AW$3="","",CF表!AW30/10000)</f>
        <v/>
      </c>
      <c r="AX30" s="230">
        <f>IF(CF表!AX$3="","",CF表!AX30/10000)</f>
        <v/>
      </c>
      <c r="AY30" s="230">
        <f>IF(CF表!AY$3="","",CF表!AY30/10000)</f>
        <v/>
      </c>
      <c r="AZ30" s="230">
        <f>IF(CF表!AZ$3="","",CF表!AZ30/10000)</f>
        <v/>
      </c>
      <c r="BA30" s="230">
        <f>IF(CF表!BA$3="","",CF表!BA30/10000)</f>
        <v/>
      </c>
      <c r="BB30" s="230">
        <f>IF(CF表!BB$3="","",CF表!BB30/10000)</f>
        <v/>
      </c>
      <c r="BC30" s="230">
        <f>IF(CF表!BC$3="","",CF表!BC30/10000)</f>
        <v/>
      </c>
      <c r="BD30" s="230">
        <f>IF(CF表!BD$3="","",CF表!BD30/10000)</f>
        <v/>
      </c>
      <c r="BE30" s="230">
        <f>IF(CF表!BE$3="","",CF表!BE30/10000)</f>
        <v/>
      </c>
      <c r="BF30" s="230">
        <f>IF(CF表!BF$3="","",CF表!BF30/10000)</f>
        <v/>
      </c>
      <c r="BG30" s="230">
        <f>IF(CF表!BG$3="","",CF表!BG30/10000)</f>
        <v/>
      </c>
      <c r="BH30" s="230">
        <f>IF(CF表!BH$3="","",CF表!BH30/10000)</f>
        <v/>
      </c>
      <c r="BI30" s="230">
        <f>IF(CF表!BI$3="","",CF表!BI30/10000)</f>
        <v/>
      </c>
      <c r="BJ30" s="230">
        <f>IF(CF表!BJ$3="","",CF表!BJ30/10000)</f>
        <v/>
      </c>
      <c r="BK30" s="230">
        <f>IF(CF表!BK$3="","",CF表!BK30/10000)</f>
        <v/>
      </c>
      <c r="BL30" s="230">
        <f>IF(CF表!BL$3="","",CF表!BL30/10000)</f>
        <v/>
      </c>
      <c r="BM30" s="230">
        <f>IF(CF表!BM$3="","",CF表!BM30/10000)</f>
        <v/>
      </c>
      <c r="BN30" s="230">
        <f>IF(CF表!BN$3="","",CF表!BN30/10000)</f>
        <v/>
      </c>
      <c r="BO30" s="230">
        <f>IF(CF表!BO$3="","",CF表!BO30/10000)</f>
        <v/>
      </c>
      <c r="BP30" s="230">
        <f>IF(CF表!BP$3="","",CF表!BP30/10000)</f>
        <v/>
      </c>
      <c r="BQ30" s="230">
        <f>IF(CF表!BQ$3="","",CF表!BQ30/10000)</f>
        <v/>
      </c>
      <c r="BR30" s="230">
        <f>IF(CF表!BR$3="","",CF表!BR30/10000)</f>
        <v/>
      </c>
      <c r="BS30" s="230">
        <f>IF(CF表!BS$3="","",CF表!BS30/10000)</f>
        <v/>
      </c>
      <c r="BT30" s="230">
        <f>IF(CF表!BT$3="","",CF表!BT30/10000)</f>
        <v/>
      </c>
      <c r="BU30" s="230">
        <f>IF(CF表!BU$3="","",CF表!BU30/10000)</f>
        <v/>
      </c>
      <c r="BV30" s="230">
        <f>IF(CF表!BV$3="","",CF表!BV30/10000)</f>
        <v/>
      </c>
      <c r="BW30" s="230">
        <f>IF(CF表!BW$3="","",CF表!BW30/10000)</f>
        <v/>
      </c>
      <c r="BX30" s="230">
        <f>IF(CF表!BX$3="","",CF表!BX30/10000)</f>
        <v/>
      </c>
      <c r="BY30" s="230">
        <f>IF(CF表!BY$3="","",CF表!BY30/10000)</f>
        <v/>
      </c>
      <c r="BZ30" s="230">
        <f>IF(CF表!BZ$3="","",CF表!BZ30/10000)</f>
        <v/>
      </c>
      <c r="CA30" s="230">
        <f>IF(CF表!CA$3="","",CF表!CA30/10000)</f>
        <v/>
      </c>
      <c r="CB30" s="230">
        <f>IF(CF表!CB$3="","",CF表!CB30/10000)</f>
        <v/>
      </c>
      <c r="CC30" s="230">
        <f>IF(CF表!CC$3="","",CF表!CC30/10000)</f>
        <v/>
      </c>
      <c r="CD30" s="230">
        <f>IF(CF表!CD$3="","",CF表!CD30/10000)</f>
        <v/>
      </c>
      <c r="CE30" s="230">
        <f>IF(CF表!CE$3="","",CF表!CE30/10000)</f>
        <v/>
      </c>
      <c r="CF30" s="230">
        <f>IF(CF表!CF$3="","",CF表!CF30/10000)</f>
        <v/>
      </c>
      <c r="CG30" s="230">
        <f>IF(CF表!CG$3="","",CF表!CG30/10000)</f>
        <v/>
      </c>
      <c r="CH30" s="230">
        <f>IF(CF表!CH$3="","",CF表!CH30/10000)</f>
        <v/>
      </c>
      <c r="CI30" s="230">
        <f>IF(CF表!CI$3="","",CF表!CI30/10000)</f>
        <v/>
      </c>
      <c r="CJ30" s="230">
        <f>IF(CF表!CJ$3="","",CF表!CJ30/10000)</f>
        <v/>
      </c>
      <c r="CK30" s="230">
        <f>IF(CF表!CK$3="","",CF表!CK30/10000)</f>
        <v/>
      </c>
      <c r="CL30" s="230">
        <f>IF(CF表!CL$3="","",CF表!CL30/10000)</f>
        <v/>
      </c>
      <c r="CM30" s="230">
        <f>IF(CF表!CM$3="","",CF表!CM30/10000)</f>
        <v/>
      </c>
      <c r="CN30" s="230">
        <f>IF(CF表!CN$3="","",CF表!CN30/10000)</f>
        <v/>
      </c>
      <c r="CO30" s="230">
        <f>IF(CF表!CO$3="","",CF表!CO30/10000)</f>
        <v/>
      </c>
      <c r="CP30" s="230">
        <f>IF(CF表!CP$3="","",CF表!CP30/10000)</f>
        <v/>
      </c>
      <c r="CQ30" s="230">
        <f>IF(CF表!CQ$3="","",CF表!CQ30/10000)</f>
        <v/>
      </c>
      <c r="CR30" s="230">
        <f>IF(CF表!CR$3="","",CF表!CR30/10000)</f>
        <v/>
      </c>
      <c r="CS30" s="230">
        <f>IF(CF表!CS$3="","",CF表!CS30/10000)</f>
        <v/>
      </c>
      <c r="CT30" s="230">
        <f>IF(CF表!CT$3="","",CF表!CT30/10000)</f>
        <v/>
      </c>
      <c r="CU30" s="230">
        <f>IF(CF表!CU$3="","",CF表!CU30/10000)</f>
        <v/>
      </c>
      <c r="CV30" s="230">
        <f>IF(CF表!CV$3="","",CF表!CV30/10000)</f>
        <v/>
      </c>
      <c r="CW30" s="230">
        <f>IF(CF表!CW$3="","",CF表!CW30/10000)</f>
        <v/>
      </c>
    </row>
    <row r="31" ht="15" customHeight="1" s="180">
      <c r="A31" s="231" t="inlineStr">
        <is>
          <t>預貯金残高</t>
        </is>
      </c>
      <c r="B31" s="232">
        <f>IF(CF表!B$3="","",CF表!B31/10000)</f>
        <v/>
      </c>
      <c r="C31" s="232">
        <f>IF(CF表!C$3="","",CF表!C31/10000)</f>
        <v/>
      </c>
      <c r="D31" s="232">
        <f>IF(CF表!D$3="","",CF表!D31/10000)</f>
        <v/>
      </c>
      <c r="E31" s="232">
        <f>IF(CF表!E$3="","",CF表!E31/10000)</f>
        <v/>
      </c>
      <c r="F31" s="232">
        <f>IF(CF表!F$3="","",CF表!F31/10000)</f>
        <v/>
      </c>
      <c r="G31" s="232">
        <f>IF(CF表!G$3="","",CF表!G31/10000)</f>
        <v/>
      </c>
      <c r="H31" s="232">
        <f>IF(CF表!H$3="","",CF表!H31/10000)</f>
        <v/>
      </c>
      <c r="I31" s="232">
        <f>IF(CF表!I$3="","",CF表!I31/10000)</f>
        <v/>
      </c>
      <c r="J31" s="232">
        <f>IF(CF表!J$3="","",CF表!J31/10000)</f>
        <v/>
      </c>
      <c r="K31" s="232">
        <f>IF(CF表!K$3="","",CF表!K31/10000)</f>
        <v/>
      </c>
      <c r="L31" s="232">
        <f>IF(CF表!L$3="","",CF表!L31/10000)</f>
        <v/>
      </c>
      <c r="M31" s="232">
        <f>IF(CF表!M$3="","",CF表!M31/10000)</f>
        <v/>
      </c>
      <c r="N31" s="232">
        <f>IF(CF表!N$3="","",CF表!N31/10000)</f>
        <v/>
      </c>
      <c r="O31" s="232">
        <f>IF(CF表!O$3="","",CF表!O31/10000)</f>
        <v/>
      </c>
      <c r="P31" s="232">
        <f>IF(CF表!P$3="","",CF表!P31/10000)</f>
        <v/>
      </c>
      <c r="Q31" s="232">
        <f>IF(CF表!Q$3="","",CF表!Q31/10000)</f>
        <v/>
      </c>
      <c r="R31" s="232">
        <f>IF(CF表!R$3="","",CF表!R31/10000)</f>
        <v/>
      </c>
      <c r="S31" s="232">
        <f>IF(CF表!S$3="","",CF表!S31/10000)</f>
        <v/>
      </c>
      <c r="T31" s="232">
        <f>IF(CF表!T$3="","",CF表!T31/10000)</f>
        <v/>
      </c>
      <c r="U31" s="232">
        <f>IF(CF表!U$3="","",CF表!U31/10000)</f>
        <v/>
      </c>
      <c r="V31" s="232">
        <f>IF(CF表!V$3="","",CF表!V31/10000)</f>
        <v/>
      </c>
      <c r="W31" s="232">
        <f>IF(CF表!W$3="","",CF表!W31/10000)</f>
        <v/>
      </c>
      <c r="X31" s="232">
        <f>IF(CF表!X$3="","",CF表!X31/10000)</f>
        <v/>
      </c>
      <c r="Y31" s="232">
        <f>IF(CF表!Y$3="","",CF表!Y31/10000)</f>
        <v/>
      </c>
      <c r="Z31" s="232">
        <f>IF(CF表!Z$3="","",CF表!Z31/10000)</f>
        <v/>
      </c>
      <c r="AA31" s="232">
        <f>IF(CF表!AA$3="","",CF表!AA31/10000)</f>
        <v/>
      </c>
      <c r="AB31" s="232">
        <f>IF(CF表!AB$3="","",CF表!AB31/10000)</f>
        <v/>
      </c>
      <c r="AC31" s="232">
        <f>IF(CF表!AC$3="","",CF表!AC31/10000)</f>
        <v/>
      </c>
      <c r="AD31" s="232">
        <f>IF(CF表!AD$3="","",CF表!AD31/10000)</f>
        <v/>
      </c>
      <c r="AE31" s="232">
        <f>IF(CF表!AE$3="","",CF表!AE31/10000)</f>
        <v/>
      </c>
      <c r="AF31" s="232">
        <f>IF(CF表!AF$3="","",CF表!AF31/10000)</f>
        <v/>
      </c>
      <c r="AG31" s="232">
        <f>IF(CF表!AG$3="","",CF表!AG31/10000)</f>
        <v/>
      </c>
      <c r="AH31" s="232">
        <f>IF(CF表!AH$3="","",CF表!AH31/10000)</f>
        <v/>
      </c>
      <c r="AI31" s="232">
        <f>IF(CF表!AI$3="","",CF表!AI31/10000)</f>
        <v/>
      </c>
      <c r="AJ31" s="232">
        <f>IF(CF表!AJ$3="","",CF表!AJ31/10000)</f>
        <v/>
      </c>
      <c r="AK31" s="232">
        <f>IF(CF表!AK$3="","",CF表!AK31/10000)</f>
        <v/>
      </c>
      <c r="AL31" s="232">
        <f>IF(CF表!AL$3="","",CF表!AL31/10000)</f>
        <v/>
      </c>
      <c r="AM31" s="232">
        <f>IF(CF表!AM$3="","",CF表!AM31/10000)</f>
        <v/>
      </c>
      <c r="AN31" s="232">
        <f>IF(CF表!AN$3="","",CF表!AN31/10000)</f>
        <v/>
      </c>
      <c r="AO31" s="232">
        <f>IF(CF表!AO$3="","",CF表!AO31/10000)</f>
        <v/>
      </c>
      <c r="AP31" s="232">
        <f>IF(CF表!AP$3="","",CF表!AP31/10000)</f>
        <v/>
      </c>
      <c r="AQ31" s="232">
        <f>IF(CF表!AQ$3="","",CF表!AQ31/10000)</f>
        <v/>
      </c>
      <c r="AR31" s="232">
        <f>IF(CF表!AR$3="","",CF表!AR31/10000)</f>
        <v/>
      </c>
      <c r="AS31" s="232">
        <f>IF(CF表!AS$3="","",CF表!AS31/10000)</f>
        <v/>
      </c>
      <c r="AT31" s="232">
        <f>IF(CF表!AT$3="","",CF表!AT31/10000)</f>
        <v/>
      </c>
      <c r="AU31" s="232">
        <f>IF(CF表!AU$3="","",CF表!AU31/10000)</f>
        <v/>
      </c>
      <c r="AV31" s="232">
        <f>IF(CF表!AV$3="","",CF表!AV31/10000)</f>
        <v/>
      </c>
      <c r="AW31" s="232">
        <f>IF(CF表!AW$3="","",CF表!AW31/10000)</f>
        <v/>
      </c>
      <c r="AX31" s="232">
        <f>IF(CF表!AX$3="","",CF表!AX31/10000)</f>
        <v/>
      </c>
      <c r="AY31" s="232">
        <f>IF(CF表!AY$3="","",CF表!AY31/10000)</f>
        <v/>
      </c>
      <c r="AZ31" s="232">
        <f>IF(CF表!AZ$3="","",CF表!AZ31/10000)</f>
        <v/>
      </c>
      <c r="BA31" s="232">
        <f>IF(CF表!BA$3="","",CF表!BA31/10000)</f>
        <v/>
      </c>
      <c r="BB31" s="232">
        <f>IF(CF表!BB$3="","",CF表!BB31/10000)</f>
        <v/>
      </c>
      <c r="BC31" s="232">
        <f>IF(CF表!BC$3="","",CF表!BC31/10000)</f>
        <v/>
      </c>
      <c r="BD31" s="232">
        <f>IF(CF表!BD$3="","",CF表!BD31/10000)</f>
        <v/>
      </c>
      <c r="BE31" s="232">
        <f>IF(CF表!BE$3="","",CF表!BE31/10000)</f>
        <v/>
      </c>
      <c r="BF31" s="232">
        <f>IF(CF表!BF$3="","",CF表!BF31/10000)</f>
        <v/>
      </c>
      <c r="BG31" s="232">
        <f>IF(CF表!BG$3="","",CF表!BG31/10000)</f>
        <v/>
      </c>
      <c r="BH31" s="232">
        <f>IF(CF表!BH$3="","",CF表!BH31/10000)</f>
        <v/>
      </c>
      <c r="BI31" s="232">
        <f>IF(CF表!BI$3="","",CF表!BI31/10000)</f>
        <v/>
      </c>
      <c r="BJ31" s="232">
        <f>IF(CF表!BJ$3="","",CF表!BJ31/10000)</f>
        <v/>
      </c>
      <c r="BK31" s="232">
        <f>IF(CF表!BK$3="","",CF表!BK31/10000)</f>
        <v/>
      </c>
      <c r="BL31" s="232">
        <f>IF(CF表!BL$3="","",CF表!BL31/10000)</f>
        <v/>
      </c>
      <c r="BM31" s="232">
        <f>IF(CF表!BM$3="","",CF表!BM31/10000)</f>
        <v/>
      </c>
      <c r="BN31" s="232">
        <f>IF(CF表!BN$3="","",CF表!BN31/10000)</f>
        <v/>
      </c>
      <c r="BO31" s="232">
        <f>IF(CF表!BO$3="","",CF表!BO31/10000)</f>
        <v/>
      </c>
      <c r="BP31" s="232">
        <f>IF(CF表!BP$3="","",CF表!BP31/10000)</f>
        <v/>
      </c>
      <c r="BQ31" s="232">
        <f>IF(CF表!BQ$3="","",CF表!BQ31/10000)</f>
        <v/>
      </c>
      <c r="BR31" s="232">
        <f>IF(CF表!BR$3="","",CF表!BR31/10000)</f>
        <v/>
      </c>
      <c r="BS31" s="232">
        <f>IF(CF表!BS$3="","",CF表!BS31/10000)</f>
        <v/>
      </c>
      <c r="BT31" s="232">
        <f>IF(CF表!BT$3="","",CF表!BT31/10000)</f>
        <v/>
      </c>
      <c r="BU31" s="232">
        <f>IF(CF表!BU$3="","",CF表!BU31/10000)</f>
        <v/>
      </c>
      <c r="BV31" s="232">
        <f>IF(CF表!BV$3="","",CF表!BV31/10000)</f>
        <v/>
      </c>
      <c r="BW31" s="232">
        <f>IF(CF表!BW$3="","",CF表!BW31/10000)</f>
        <v/>
      </c>
      <c r="BX31" s="232">
        <f>IF(CF表!BX$3="","",CF表!BX31/10000)</f>
        <v/>
      </c>
      <c r="BY31" s="232">
        <f>IF(CF表!BY$3="","",CF表!BY31/10000)</f>
        <v/>
      </c>
      <c r="BZ31" s="232">
        <f>IF(CF表!BZ$3="","",CF表!BZ31/10000)</f>
        <v/>
      </c>
      <c r="CA31" s="232">
        <f>IF(CF表!CA$3="","",CF表!CA31/10000)</f>
        <v/>
      </c>
      <c r="CB31" s="232">
        <f>IF(CF表!CB$3="","",CF表!CB31/10000)</f>
        <v/>
      </c>
      <c r="CC31" s="232">
        <f>IF(CF表!CC$3="","",CF表!CC31/10000)</f>
        <v/>
      </c>
      <c r="CD31" s="232">
        <f>IF(CF表!CD$3="","",CF表!CD31/10000)</f>
        <v/>
      </c>
      <c r="CE31" s="232">
        <f>IF(CF表!CE$3="","",CF表!CE31/10000)</f>
        <v/>
      </c>
      <c r="CF31" s="232">
        <f>IF(CF表!CF$3="","",CF表!CF31/10000)</f>
        <v/>
      </c>
      <c r="CG31" s="232">
        <f>IF(CF表!CG$3="","",CF表!CG31/10000)</f>
        <v/>
      </c>
      <c r="CH31" s="232">
        <f>IF(CF表!CH$3="","",CF表!CH31/10000)</f>
        <v/>
      </c>
      <c r="CI31" s="232">
        <f>IF(CF表!CI$3="","",CF表!CI31/10000)</f>
        <v/>
      </c>
      <c r="CJ31" s="232">
        <f>IF(CF表!CJ$3="","",CF表!CJ31/10000)</f>
        <v/>
      </c>
      <c r="CK31" s="232">
        <f>IF(CF表!CK$3="","",CF表!CK31/10000)</f>
        <v/>
      </c>
      <c r="CL31" s="232">
        <f>IF(CF表!CL$3="","",CF表!CL31/10000)</f>
        <v/>
      </c>
      <c r="CM31" s="232">
        <f>IF(CF表!CM$3="","",CF表!CM31/10000)</f>
        <v/>
      </c>
      <c r="CN31" s="232">
        <f>IF(CF表!CN$3="","",CF表!CN31/10000)</f>
        <v/>
      </c>
      <c r="CO31" s="232">
        <f>IF(CF表!CO$3="","",CF表!CO31/10000)</f>
        <v/>
      </c>
      <c r="CP31" s="232">
        <f>IF(CF表!CP$3="","",CF表!CP31/10000)</f>
        <v/>
      </c>
      <c r="CQ31" s="232">
        <f>IF(CF表!CQ$3="","",CF表!CQ31/10000)</f>
        <v/>
      </c>
      <c r="CR31" s="232">
        <f>IF(CF表!CR$3="","",CF表!CR31/10000)</f>
        <v/>
      </c>
      <c r="CS31" s="232">
        <f>IF(CF表!CS$3="","",CF表!CS31/10000)</f>
        <v/>
      </c>
      <c r="CT31" s="232">
        <f>IF(CF表!CT$3="","",CF表!CT31/10000)</f>
        <v/>
      </c>
      <c r="CU31" s="232">
        <f>IF(CF表!CU$3="","",CF表!CU31/10000)</f>
        <v/>
      </c>
      <c r="CV31" s="232">
        <f>IF(CF表!CV$3="","",CF表!CV31/10000)</f>
        <v/>
      </c>
      <c r="CW31" s="232">
        <f>IF(CF表!CW$3="","",CF表!CW31/10000)</f>
        <v/>
      </c>
    </row>
    <row r="32" ht="15" customHeight="1" s="180">
      <c r="A32" s="233" t="inlineStr">
        <is>
          <t>投資資産残高</t>
        </is>
      </c>
      <c r="B32" s="234">
        <f>IF(CF表!B$3="","",CF表!B32/10000)</f>
        <v/>
      </c>
      <c r="C32" s="234">
        <f>IF(CF表!C$3="","",CF表!C32/10000)</f>
        <v/>
      </c>
      <c r="D32" s="234">
        <f>IF(CF表!D$3="","",CF表!D32/10000)</f>
        <v/>
      </c>
      <c r="E32" s="234">
        <f>IF(CF表!E$3="","",CF表!E32/10000)</f>
        <v/>
      </c>
      <c r="F32" s="234">
        <f>IF(CF表!F$3="","",CF表!F32/10000)</f>
        <v/>
      </c>
      <c r="G32" s="234">
        <f>IF(CF表!G$3="","",CF表!G32/10000)</f>
        <v/>
      </c>
      <c r="H32" s="234">
        <f>IF(CF表!H$3="","",CF表!H32/10000)</f>
        <v/>
      </c>
      <c r="I32" s="234">
        <f>IF(CF表!I$3="","",CF表!I32/10000)</f>
        <v/>
      </c>
      <c r="J32" s="234">
        <f>IF(CF表!J$3="","",CF表!J32/10000)</f>
        <v/>
      </c>
      <c r="K32" s="234">
        <f>IF(CF表!K$3="","",CF表!K32/10000)</f>
        <v/>
      </c>
      <c r="L32" s="234">
        <f>IF(CF表!L$3="","",CF表!L32/10000)</f>
        <v/>
      </c>
      <c r="M32" s="234">
        <f>IF(CF表!M$3="","",CF表!M32/10000)</f>
        <v/>
      </c>
      <c r="N32" s="234">
        <f>IF(CF表!N$3="","",CF表!N32/10000)</f>
        <v/>
      </c>
      <c r="O32" s="234">
        <f>IF(CF表!O$3="","",CF表!O32/10000)</f>
        <v/>
      </c>
      <c r="P32" s="234">
        <f>IF(CF表!P$3="","",CF表!P32/10000)</f>
        <v/>
      </c>
      <c r="Q32" s="234">
        <f>IF(CF表!Q$3="","",CF表!Q32/10000)</f>
        <v/>
      </c>
      <c r="R32" s="234">
        <f>IF(CF表!R$3="","",CF表!R32/10000)</f>
        <v/>
      </c>
      <c r="S32" s="234">
        <f>IF(CF表!S$3="","",CF表!S32/10000)</f>
        <v/>
      </c>
      <c r="T32" s="234">
        <f>IF(CF表!T$3="","",CF表!T32/10000)</f>
        <v/>
      </c>
      <c r="U32" s="234">
        <f>IF(CF表!U$3="","",CF表!U32/10000)</f>
        <v/>
      </c>
      <c r="V32" s="234">
        <f>IF(CF表!V$3="","",CF表!V32/10000)</f>
        <v/>
      </c>
      <c r="W32" s="234">
        <f>IF(CF表!W$3="","",CF表!W32/10000)</f>
        <v/>
      </c>
      <c r="X32" s="234">
        <f>IF(CF表!X$3="","",CF表!X32/10000)</f>
        <v/>
      </c>
      <c r="Y32" s="234">
        <f>IF(CF表!Y$3="","",CF表!Y32/10000)</f>
        <v/>
      </c>
      <c r="Z32" s="234">
        <f>IF(CF表!Z$3="","",CF表!Z32/10000)</f>
        <v/>
      </c>
      <c r="AA32" s="234">
        <f>IF(CF表!AA$3="","",CF表!AA32/10000)</f>
        <v/>
      </c>
      <c r="AB32" s="234">
        <f>IF(CF表!AB$3="","",CF表!AB32/10000)</f>
        <v/>
      </c>
      <c r="AC32" s="234">
        <f>IF(CF表!AC$3="","",CF表!AC32/10000)</f>
        <v/>
      </c>
      <c r="AD32" s="234">
        <f>IF(CF表!AD$3="","",CF表!AD32/10000)</f>
        <v/>
      </c>
      <c r="AE32" s="234">
        <f>IF(CF表!AE$3="","",CF表!AE32/10000)</f>
        <v/>
      </c>
      <c r="AF32" s="234">
        <f>IF(CF表!AF$3="","",CF表!AF32/10000)</f>
        <v/>
      </c>
      <c r="AG32" s="234">
        <f>IF(CF表!AG$3="","",CF表!AG32/10000)</f>
        <v/>
      </c>
      <c r="AH32" s="234">
        <f>IF(CF表!AH$3="","",CF表!AH32/10000)</f>
        <v/>
      </c>
      <c r="AI32" s="234">
        <f>IF(CF表!AI$3="","",CF表!AI32/10000)</f>
        <v/>
      </c>
      <c r="AJ32" s="234">
        <f>IF(CF表!AJ$3="","",CF表!AJ32/10000)</f>
        <v/>
      </c>
      <c r="AK32" s="234">
        <f>IF(CF表!AK$3="","",CF表!AK32/10000)</f>
        <v/>
      </c>
      <c r="AL32" s="234">
        <f>IF(CF表!AL$3="","",CF表!AL32/10000)</f>
        <v/>
      </c>
      <c r="AM32" s="234">
        <f>IF(CF表!AM$3="","",CF表!AM32/10000)</f>
        <v/>
      </c>
      <c r="AN32" s="234">
        <f>IF(CF表!AN$3="","",CF表!AN32/10000)</f>
        <v/>
      </c>
      <c r="AO32" s="234">
        <f>IF(CF表!AO$3="","",CF表!AO32/10000)</f>
        <v/>
      </c>
      <c r="AP32" s="234">
        <f>IF(CF表!AP$3="","",CF表!AP32/10000)</f>
        <v/>
      </c>
      <c r="AQ32" s="234">
        <f>IF(CF表!AQ$3="","",CF表!AQ32/10000)</f>
        <v/>
      </c>
      <c r="AR32" s="234">
        <f>IF(CF表!AR$3="","",CF表!AR32/10000)</f>
        <v/>
      </c>
      <c r="AS32" s="234">
        <f>IF(CF表!AS$3="","",CF表!AS32/10000)</f>
        <v/>
      </c>
      <c r="AT32" s="234">
        <f>IF(CF表!AT$3="","",CF表!AT32/10000)</f>
        <v/>
      </c>
      <c r="AU32" s="234">
        <f>IF(CF表!AU$3="","",CF表!AU32/10000)</f>
        <v/>
      </c>
      <c r="AV32" s="234">
        <f>IF(CF表!AV$3="","",CF表!AV32/10000)</f>
        <v/>
      </c>
      <c r="AW32" s="234">
        <f>IF(CF表!AW$3="","",CF表!AW32/10000)</f>
        <v/>
      </c>
      <c r="AX32" s="234">
        <f>IF(CF表!AX$3="","",CF表!AX32/10000)</f>
        <v/>
      </c>
      <c r="AY32" s="234">
        <f>IF(CF表!AY$3="","",CF表!AY32/10000)</f>
        <v/>
      </c>
      <c r="AZ32" s="234">
        <f>IF(CF表!AZ$3="","",CF表!AZ32/10000)</f>
        <v/>
      </c>
      <c r="BA32" s="234">
        <f>IF(CF表!BA$3="","",CF表!BA32/10000)</f>
        <v/>
      </c>
      <c r="BB32" s="234">
        <f>IF(CF表!BB$3="","",CF表!BB32/10000)</f>
        <v/>
      </c>
      <c r="BC32" s="234">
        <f>IF(CF表!BC$3="","",CF表!BC32/10000)</f>
        <v/>
      </c>
      <c r="BD32" s="234">
        <f>IF(CF表!BD$3="","",CF表!BD32/10000)</f>
        <v/>
      </c>
      <c r="BE32" s="234">
        <f>IF(CF表!BE$3="","",CF表!BE32/10000)</f>
        <v/>
      </c>
      <c r="BF32" s="234">
        <f>IF(CF表!BF$3="","",CF表!BF32/10000)</f>
        <v/>
      </c>
      <c r="BG32" s="234">
        <f>IF(CF表!BG$3="","",CF表!BG32/10000)</f>
        <v/>
      </c>
      <c r="BH32" s="234">
        <f>IF(CF表!BH$3="","",CF表!BH32/10000)</f>
        <v/>
      </c>
      <c r="BI32" s="234">
        <f>IF(CF表!BI$3="","",CF表!BI32/10000)</f>
        <v/>
      </c>
      <c r="BJ32" s="234">
        <f>IF(CF表!BJ$3="","",CF表!BJ32/10000)</f>
        <v/>
      </c>
      <c r="BK32" s="234">
        <f>IF(CF表!BK$3="","",CF表!BK32/10000)</f>
        <v/>
      </c>
      <c r="BL32" s="234">
        <f>IF(CF表!BL$3="","",CF表!BL32/10000)</f>
        <v/>
      </c>
      <c r="BM32" s="234">
        <f>IF(CF表!BM$3="","",CF表!BM32/10000)</f>
        <v/>
      </c>
      <c r="BN32" s="234">
        <f>IF(CF表!BN$3="","",CF表!BN32/10000)</f>
        <v/>
      </c>
      <c r="BO32" s="234">
        <f>IF(CF表!BO$3="","",CF表!BO32/10000)</f>
        <v/>
      </c>
      <c r="BP32" s="234">
        <f>IF(CF表!BP$3="","",CF表!BP32/10000)</f>
        <v/>
      </c>
      <c r="BQ32" s="234">
        <f>IF(CF表!BQ$3="","",CF表!BQ32/10000)</f>
        <v/>
      </c>
      <c r="BR32" s="234">
        <f>IF(CF表!BR$3="","",CF表!BR32/10000)</f>
        <v/>
      </c>
      <c r="BS32" s="234">
        <f>IF(CF表!BS$3="","",CF表!BS32/10000)</f>
        <v/>
      </c>
      <c r="BT32" s="234">
        <f>IF(CF表!BT$3="","",CF表!BT32/10000)</f>
        <v/>
      </c>
      <c r="BU32" s="234">
        <f>IF(CF表!BU$3="","",CF表!BU32/10000)</f>
        <v/>
      </c>
      <c r="BV32" s="234">
        <f>IF(CF表!BV$3="","",CF表!BV32/10000)</f>
        <v/>
      </c>
      <c r="BW32" s="234">
        <f>IF(CF表!BW$3="","",CF表!BW32/10000)</f>
        <v/>
      </c>
      <c r="BX32" s="234">
        <f>IF(CF表!BX$3="","",CF表!BX32/10000)</f>
        <v/>
      </c>
      <c r="BY32" s="234">
        <f>IF(CF表!BY$3="","",CF表!BY32/10000)</f>
        <v/>
      </c>
      <c r="BZ32" s="234">
        <f>IF(CF表!BZ$3="","",CF表!BZ32/10000)</f>
        <v/>
      </c>
      <c r="CA32" s="234">
        <f>IF(CF表!CA$3="","",CF表!CA32/10000)</f>
        <v/>
      </c>
      <c r="CB32" s="234">
        <f>IF(CF表!CB$3="","",CF表!CB32/10000)</f>
        <v/>
      </c>
      <c r="CC32" s="234">
        <f>IF(CF表!CC$3="","",CF表!CC32/10000)</f>
        <v/>
      </c>
      <c r="CD32" s="234">
        <f>IF(CF表!CD$3="","",CF表!CD32/10000)</f>
        <v/>
      </c>
      <c r="CE32" s="234">
        <f>IF(CF表!CE$3="","",CF表!CE32/10000)</f>
        <v/>
      </c>
      <c r="CF32" s="234">
        <f>IF(CF表!CF$3="","",CF表!CF32/10000)</f>
        <v/>
      </c>
      <c r="CG32" s="234">
        <f>IF(CF表!CG$3="","",CF表!CG32/10000)</f>
        <v/>
      </c>
      <c r="CH32" s="234">
        <f>IF(CF表!CH$3="","",CF表!CH32/10000)</f>
        <v/>
      </c>
      <c r="CI32" s="234">
        <f>IF(CF表!CI$3="","",CF表!CI32/10000)</f>
        <v/>
      </c>
      <c r="CJ32" s="234">
        <f>IF(CF表!CJ$3="","",CF表!CJ32/10000)</f>
        <v/>
      </c>
      <c r="CK32" s="234">
        <f>IF(CF表!CK$3="","",CF表!CK32/10000)</f>
        <v/>
      </c>
      <c r="CL32" s="234">
        <f>IF(CF表!CL$3="","",CF表!CL32/10000)</f>
        <v/>
      </c>
      <c r="CM32" s="234">
        <f>IF(CF表!CM$3="","",CF表!CM32/10000)</f>
        <v/>
      </c>
      <c r="CN32" s="234">
        <f>IF(CF表!CN$3="","",CF表!CN32/10000)</f>
        <v/>
      </c>
      <c r="CO32" s="234">
        <f>IF(CF表!CO$3="","",CF表!CO32/10000)</f>
        <v/>
      </c>
      <c r="CP32" s="234">
        <f>IF(CF表!CP$3="","",CF表!CP32/10000)</f>
        <v/>
      </c>
      <c r="CQ32" s="234">
        <f>IF(CF表!CQ$3="","",CF表!CQ32/10000)</f>
        <v/>
      </c>
      <c r="CR32" s="234">
        <f>IF(CF表!CR$3="","",CF表!CR32/10000)</f>
        <v/>
      </c>
      <c r="CS32" s="234">
        <f>IF(CF表!CS$3="","",CF表!CS32/10000)</f>
        <v/>
      </c>
      <c r="CT32" s="234">
        <f>IF(CF表!CT$3="","",CF表!CT32/10000)</f>
        <v/>
      </c>
      <c r="CU32" s="234">
        <f>IF(CF表!CU$3="","",CF表!CU32/10000)</f>
        <v/>
      </c>
      <c r="CV32" s="234">
        <f>IF(CF表!CV$3="","",CF表!CV32/10000)</f>
        <v/>
      </c>
      <c r="CW32" s="234">
        <f>IF(CF表!CW$3="","",CF表!CW32/10000)</f>
        <v/>
      </c>
    </row>
    <row r="33" ht="15" customHeight="1" s="180">
      <c r="A33" s="233" t="inlineStr">
        <is>
          <t>解約返戻金残高</t>
        </is>
      </c>
      <c r="B33" s="234">
        <f>IF(CF表!B$3="","",CF表!B33/10000)</f>
        <v/>
      </c>
      <c r="C33" s="234">
        <f>IF(CF表!C$3="","",CF表!C33/10000)</f>
        <v/>
      </c>
      <c r="D33" s="234">
        <f>IF(CF表!D$3="","",CF表!D33/10000)</f>
        <v/>
      </c>
      <c r="E33" s="234">
        <f>IF(CF表!E$3="","",CF表!E33/10000)</f>
        <v/>
      </c>
      <c r="F33" s="234">
        <f>IF(CF表!F$3="","",CF表!F33/10000)</f>
        <v/>
      </c>
      <c r="G33" s="234">
        <f>IF(CF表!G$3="","",CF表!G33/10000)</f>
        <v/>
      </c>
      <c r="H33" s="234">
        <f>IF(CF表!H$3="","",CF表!H33/10000)</f>
        <v/>
      </c>
      <c r="I33" s="234">
        <f>IF(CF表!I$3="","",CF表!I33/10000)</f>
        <v/>
      </c>
      <c r="J33" s="234">
        <f>IF(CF表!J$3="","",CF表!J33/10000)</f>
        <v/>
      </c>
      <c r="K33" s="234">
        <f>IF(CF表!K$3="","",CF表!K33/10000)</f>
        <v/>
      </c>
      <c r="L33" s="234">
        <f>IF(CF表!L$3="","",CF表!L33/10000)</f>
        <v/>
      </c>
      <c r="M33" s="234">
        <f>IF(CF表!M$3="","",CF表!M33/10000)</f>
        <v/>
      </c>
      <c r="N33" s="234">
        <f>IF(CF表!N$3="","",CF表!N33/10000)</f>
        <v/>
      </c>
      <c r="O33" s="234">
        <f>IF(CF表!O$3="","",CF表!O33/10000)</f>
        <v/>
      </c>
      <c r="P33" s="234">
        <f>IF(CF表!P$3="","",CF表!P33/10000)</f>
        <v/>
      </c>
      <c r="Q33" s="234">
        <f>IF(CF表!Q$3="","",CF表!Q33/10000)</f>
        <v/>
      </c>
      <c r="R33" s="234">
        <f>IF(CF表!R$3="","",CF表!R33/10000)</f>
        <v/>
      </c>
      <c r="S33" s="234">
        <f>IF(CF表!S$3="","",CF表!S33/10000)</f>
        <v/>
      </c>
      <c r="T33" s="234">
        <f>IF(CF表!T$3="","",CF表!T33/10000)</f>
        <v/>
      </c>
      <c r="U33" s="234">
        <f>IF(CF表!U$3="","",CF表!U33/10000)</f>
        <v/>
      </c>
      <c r="V33" s="234">
        <f>IF(CF表!V$3="","",CF表!V33/10000)</f>
        <v/>
      </c>
      <c r="W33" s="234">
        <f>IF(CF表!W$3="","",CF表!W33/10000)</f>
        <v/>
      </c>
      <c r="X33" s="234">
        <f>IF(CF表!X$3="","",CF表!X33/10000)</f>
        <v/>
      </c>
      <c r="Y33" s="234">
        <f>IF(CF表!Y$3="","",CF表!Y33/10000)</f>
        <v/>
      </c>
      <c r="Z33" s="234">
        <f>IF(CF表!Z$3="","",CF表!Z33/10000)</f>
        <v/>
      </c>
      <c r="AA33" s="234">
        <f>IF(CF表!AA$3="","",CF表!AA33/10000)</f>
        <v/>
      </c>
      <c r="AB33" s="234">
        <f>IF(CF表!AB$3="","",CF表!AB33/10000)</f>
        <v/>
      </c>
      <c r="AC33" s="234">
        <f>IF(CF表!AC$3="","",CF表!AC33/10000)</f>
        <v/>
      </c>
      <c r="AD33" s="234">
        <f>IF(CF表!AD$3="","",CF表!AD33/10000)</f>
        <v/>
      </c>
      <c r="AE33" s="234">
        <f>IF(CF表!AE$3="","",CF表!AE33/10000)</f>
        <v/>
      </c>
      <c r="AF33" s="234">
        <f>IF(CF表!AF$3="","",CF表!AF33/10000)</f>
        <v/>
      </c>
      <c r="AG33" s="234">
        <f>IF(CF表!AG$3="","",CF表!AG33/10000)</f>
        <v/>
      </c>
      <c r="AH33" s="234">
        <f>IF(CF表!AH$3="","",CF表!AH33/10000)</f>
        <v/>
      </c>
      <c r="AI33" s="234">
        <f>IF(CF表!AI$3="","",CF表!AI33/10000)</f>
        <v/>
      </c>
      <c r="AJ33" s="234">
        <f>IF(CF表!AJ$3="","",CF表!AJ33/10000)</f>
        <v/>
      </c>
      <c r="AK33" s="234">
        <f>IF(CF表!AK$3="","",CF表!AK33/10000)</f>
        <v/>
      </c>
      <c r="AL33" s="234">
        <f>IF(CF表!AL$3="","",CF表!AL33/10000)</f>
        <v/>
      </c>
      <c r="AM33" s="234">
        <f>IF(CF表!AM$3="","",CF表!AM33/10000)</f>
        <v/>
      </c>
      <c r="AN33" s="234">
        <f>IF(CF表!AN$3="","",CF表!AN33/10000)</f>
        <v/>
      </c>
      <c r="AO33" s="234">
        <f>IF(CF表!AO$3="","",CF表!AO33/10000)</f>
        <v/>
      </c>
      <c r="AP33" s="234">
        <f>IF(CF表!AP$3="","",CF表!AP33/10000)</f>
        <v/>
      </c>
      <c r="AQ33" s="234">
        <f>IF(CF表!AQ$3="","",CF表!AQ33/10000)</f>
        <v/>
      </c>
      <c r="AR33" s="234">
        <f>IF(CF表!AR$3="","",CF表!AR33/10000)</f>
        <v/>
      </c>
      <c r="AS33" s="234">
        <f>IF(CF表!AS$3="","",CF表!AS33/10000)</f>
        <v/>
      </c>
      <c r="AT33" s="234">
        <f>IF(CF表!AT$3="","",CF表!AT33/10000)</f>
        <v/>
      </c>
      <c r="AU33" s="234">
        <f>IF(CF表!AU$3="","",CF表!AU33/10000)</f>
        <v/>
      </c>
      <c r="AV33" s="234">
        <f>IF(CF表!AV$3="","",CF表!AV33/10000)</f>
        <v/>
      </c>
      <c r="AW33" s="234">
        <f>IF(CF表!AW$3="","",CF表!AW33/10000)</f>
        <v/>
      </c>
      <c r="AX33" s="234">
        <f>IF(CF表!AX$3="","",CF表!AX33/10000)</f>
        <v/>
      </c>
      <c r="AY33" s="234">
        <f>IF(CF表!AY$3="","",CF表!AY33/10000)</f>
        <v/>
      </c>
      <c r="AZ33" s="234">
        <f>IF(CF表!AZ$3="","",CF表!AZ33/10000)</f>
        <v/>
      </c>
      <c r="BA33" s="234">
        <f>IF(CF表!BA$3="","",CF表!BA33/10000)</f>
        <v/>
      </c>
      <c r="BB33" s="234">
        <f>IF(CF表!BB$3="","",CF表!BB33/10000)</f>
        <v/>
      </c>
      <c r="BC33" s="234">
        <f>IF(CF表!BC$3="","",CF表!BC33/10000)</f>
        <v/>
      </c>
      <c r="BD33" s="234">
        <f>IF(CF表!BD$3="","",CF表!BD33/10000)</f>
        <v/>
      </c>
      <c r="BE33" s="234">
        <f>IF(CF表!BE$3="","",CF表!BE33/10000)</f>
        <v/>
      </c>
      <c r="BF33" s="234">
        <f>IF(CF表!BF$3="","",CF表!BF33/10000)</f>
        <v/>
      </c>
      <c r="BG33" s="234">
        <f>IF(CF表!BG$3="","",CF表!BG33/10000)</f>
        <v/>
      </c>
      <c r="BH33" s="234">
        <f>IF(CF表!BH$3="","",CF表!BH33/10000)</f>
        <v/>
      </c>
      <c r="BI33" s="234">
        <f>IF(CF表!BI$3="","",CF表!BI33/10000)</f>
        <v/>
      </c>
      <c r="BJ33" s="234">
        <f>IF(CF表!BJ$3="","",CF表!BJ33/10000)</f>
        <v/>
      </c>
      <c r="BK33" s="234">
        <f>IF(CF表!BK$3="","",CF表!BK33/10000)</f>
        <v/>
      </c>
      <c r="BL33" s="234">
        <f>IF(CF表!BL$3="","",CF表!BL33/10000)</f>
        <v/>
      </c>
      <c r="BM33" s="234">
        <f>IF(CF表!BM$3="","",CF表!BM33/10000)</f>
        <v/>
      </c>
      <c r="BN33" s="234">
        <f>IF(CF表!BN$3="","",CF表!BN33/10000)</f>
        <v/>
      </c>
      <c r="BO33" s="234">
        <f>IF(CF表!BO$3="","",CF表!BO33/10000)</f>
        <v/>
      </c>
      <c r="BP33" s="234">
        <f>IF(CF表!BP$3="","",CF表!BP33/10000)</f>
        <v/>
      </c>
      <c r="BQ33" s="234">
        <f>IF(CF表!BQ$3="","",CF表!BQ33/10000)</f>
        <v/>
      </c>
      <c r="BR33" s="234">
        <f>IF(CF表!BR$3="","",CF表!BR33/10000)</f>
        <v/>
      </c>
      <c r="BS33" s="234">
        <f>IF(CF表!BS$3="","",CF表!BS33/10000)</f>
        <v/>
      </c>
      <c r="BT33" s="234">
        <f>IF(CF表!BT$3="","",CF表!BT33/10000)</f>
        <v/>
      </c>
      <c r="BU33" s="234">
        <f>IF(CF表!BU$3="","",CF表!BU33/10000)</f>
        <v/>
      </c>
      <c r="BV33" s="234">
        <f>IF(CF表!BV$3="","",CF表!BV33/10000)</f>
        <v/>
      </c>
      <c r="BW33" s="234">
        <f>IF(CF表!BW$3="","",CF表!BW33/10000)</f>
        <v/>
      </c>
      <c r="BX33" s="234">
        <f>IF(CF表!BX$3="","",CF表!BX33/10000)</f>
        <v/>
      </c>
      <c r="BY33" s="234">
        <f>IF(CF表!BY$3="","",CF表!BY33/10000)</f>
        <v/>
      </c>
      <c r="BZ33" s="234">
        <f>IF(CF表!BZ$3="","",CF表!BZ33/10000)</f>
        <v/>
      </c>
      <c r="CA33" s="234">
        <f>IF(CF表!CA$3="","",CF表!CA33/10000)</f>
        <v/>
      </c>
      <c r="CB33" s="234">
        <f>IF(CF表!CB$3="","",CF表!CB33/10000)</f>
        <v/>
      </c>
      <c r="CC33" s="234">
        <f>IF(CF表!CC$3="","",CF表!CC33/10000)</f>
        <v/>
      </c>
      <c r="CD33" s="234">
        <f>IF(CF表!CD$3="","",CF表!CD33/10000)</f>
        <v/>
      </c>
      <c r="CE33" s="234">
        <f>IF(CF表!CE$3="","",CF表!CE33/10000)</f>
        <v/>
      </c>
      <c r="CF33" s="234">
        <f>IF(CF表!CF$3="","",CF表!CF33/10000)</f>
        <v/>
      </c>
      <c r="CG33" s="234">
        <f>IF(CF表!CG$3="","",CF表!CG33/10000)</f>
        <v/>
      </c>
      <c r="CH33" s="234">
        <f>IF(CF表!CH$3="","",CF表!CH33/10000)</f>
        <v/>
      </c>
      <c r="CI33" s="234">
        <f>IF(CF表!CI$3="","",CF表!CI33/10000)</f>
        <v/>
      </c>
      <c r="CJ33" s="234">
        <f>IF(CF表!CJ$3="","",CF表!CJ33/10000)</f>
        <v/>
      </c>
      <c r="CK33" s="234">
        <f>IF(CF表!CK$3="","",CF表!CK33/10000)</f>
        <v/>
      </c>
      <c r="CL33" s="234">
        <f>IF(CF表!CL$3="","",CF表!CL33/10000)</f>
        <v/>
      </c>
      <c r="CM33" s="234">
        <f>IF(CF表!CM$3="","",CF表!CM33/10000)</f>
        <v/>
      </c>
      <c r="CN33" s="234">
        <f>IF(CF表!CN$3="","",CF表!CN33/10000)</f>
        <v/>
      </c>
      <c r="CO33" s="234">
        <f>IF(CF表!CO$3="","",CF表!CO33/10000)</f>
        <v/>
      </c>
      <c r="CP33" s="234">
        <f>IF(CF表!CP$3="","",CF表!CP33/10000)</f>
        <v/>
      </c>
      <c r="CQ33" s="234">
        <f>IF(CF表!CQ$3="","",CF表!CQ33/10000)</f>
        <v/>
      </c>
      <c r="CR33" s="234">
        <f>IF(CF表!CR$3="","",CF表!CR33/10000)</f>
        <v/>
      </c>
      <c r="CS33" s="234">
        <f>IF(CF表!CS$3="","",CF表!CS33/10000)</f>
        <v/>
      </c>
      <c r="CT33" s="234">
        <f>IF(CF表!CT$3="","",CF表!CT33/10000)</f>
        <v/>
      </c>
      <c r="CU33" s="234">
        <f>IF(CF表!CU$3="","",CF表!CU33/10000)</f>
        <v/>
      </c>
      <c r="CV33" s="234">
        <f>IF(CF表!CV$3="","",CF表!CV33/10000)</f>
        <v/>
      </c>
      <c r="CW33" s="234">
        <f>IF(CF表!CW$3="","",CF表!CW33/10000)</f>
        <v/>
      </c>
    </row>
    <row r="34" ht="15" customHeight="1" s="180">
      <c r="A34" s="235" t="inlineStr">
        <is>
          <t>住宅ローン残高</t>
        </is>
      </c>
      <c r="B34" s="236">
        <f>IF(CF表!B$3="","",CF表!B34/10000)</f>
        <v/>
      </c>
      <c r="C34" s="236">
        <f>IF(CF表!C$3="","",CF表!C34/10000)</f>
        <v/>
      </c>
      <c r="D34" s="236">
        <f>IF(CF表!D$3="","",CF表!D34/10000)</f>
        <v/>
      </c>
      <c r="E34" s="236">
        <f>IF(CF表!E$3="","",CF表!E34/10000)</f>
        <v/>
      </c>
      <c r="F34" s="236">
        <f>IF(CF表!F$3="","",CF表!F34/10000)</f>
        <v/>
      </c>
      <c r="G34" s="236">
        <f>IF(CF表!G$3="","",CF表!G34/10000)</f>
        <v/>
      </c>
      <c r="H34" s="236">
        <f>IF(CF表!H$3="","",CF表!H34/10000)</f>
        <v/>
      </c>
      <c r="I34" s="236">
        <f>IF(CF表!I$3="","",CF表!I34/10000)</f>
        <v/>
      </c>
      <c r="J34" s="236">
        <f>IF(CF表!J$3="","",CF表!J34/10000)</f>
        <v/>
      </c>
      <c r="K34" s="236">
        <f>IF(CF表!K$3="","",CF表!K34/10000)</f>
        <v/>
      </c>
      <c r="L34" s="236">
        <f>IF(CF表!L$3="","",CF表!L34/10000)</f>
        <v/>
      </c>
      <c r="M34" s="236">
        <f>IF(CF表!M$3="","",CF表!M34/10000)</f>
        <v/>
      </c>
      <c r="N34" s="236">
        <f>IF(CF表!N$3="","",CF表!N34/10000)</f>
        <v/>
      </c>
      <c r="O34" s="236">
        <f>IF(CF表!O$3="","",CF表!O34/10000)</f>
        <v/>
      </c>
      <c r="P34" s="236">
        <f>IF(CF表!P$3="","",CF表!P34/10000)</f>
        <v/>
      </c>
      <c r="Q34" s="236">
        <f>IF(CF表!Q$3="","",CF表!Q34/10000)</f>
        <v/>
      </c>
      <c r="R34" s="236">
        <f>IF(CF表!R$3="","",CF表!R34/10000)</f>
        <v/>
      </c>
      <c r="S34" s="236">
        <f>IF(CF表!S$3="","",CF表!S34/10000)</f>
        <v/>
      </c>
      <c r="T34" s="236">
        <f>IF(CF表!T$3="","",CF表!T34/10000)</f>
        <v/>
      </c>
      <c r="U34" s="236">
        <f>IF(CF表!U$3="","",CF表!U34/10000)</f>
        <v/>
      </c>
      <c r="V34" s="236">
        <f>IF(CF表!V$3="","",CF表!V34/10000)</f>
        <v/>
      </c>
      <c r="W34" s="236">
        <f>IF(CF表!W$3="","",CF表!W34/10000)</f>
        <v/>
      </c>
      <c r="X34" s="236">
        <f>IF(CF表!X$3="","",CF表!X34/10000)</f>
        <v/>
      </c>
      <c r="Y34" s="236">
        <f>IF(CF表!Y$3="","",CF表!Y34/10000)</f>
        <v/>
      </c>
      <c r="Z34" s="236">
        <f>IF(CF表!Z$3="","",CF表!Z34/10000)</f>
        <v/>
      </c>
      <c r="AA34" s="236">
        <f>IF(CF表!AA$3="","",CF表!AA34/10000)</f>
        <v/>
      </c>
      <c r="AB34" s="236">
        <f>IF(CF表!AB$3="","",CF表!AB34/10000)</f>
        <v/>
      </c>
      <c r="AC34" s="236">
        <f>IF(CF表!AC$3="","",CF表!AC34/10000)</f>
        <v/>
      </c>
      <c r="AD34" s="236">
        <f>IF(CF表!AD$3="","",CF表!AD34/10000)</f>
        <v/>
      </c>
      <c r="AE34" s="236">
        <f>IF(CF表!AE$3="","",CF表!AE34/10000)</f>
        <v/>
      </c>
      <c r="AF34" s="236">
        <f>IF(CF表!AF$3="","",CF表!AF34/10000)</f>
        <v/>
      </c>
      <c r="AG34" s="236">
        <f>IF(CF表!AG$3="","",CF表!AG34/10000)</f>
        <v/>
      </c>
      <c r="AH34" s="236">
        <f>IF(CF表!AH$3="","",CF表!AH34/10000)</f>
        <v/>
      </c>
      <c r="AI34" s="236">
        <f>IF(CF表!AI$3="","",CF表!AI34/10000)</f>
        <v/>
      </c>
      <c r="AJ34" s="236">
        <f>IF(CF表!AJ$3="","",CF表!AJ34/10000)</f>
        <v/>
      </c>
      <c r="AK34" s="236">
        <f>IF(CF表!AK$3="","",CF表!AK34/10000)</f>
        <v/>
      </c>
      <c r="AL34" s="236">
        <f>IF(CF表!AL$3="","",CF表!AL34/10000)</f>
        <v/>
      </c>
      <c r="AM34" s="236">
        <f>IF(CF表!AM$3="","",CF表!AM34/10000)</f>
        <v/>
      </c>
      <c r="AN34" s="236">
        <f>IF(CF表!AN$3="","",CF表!AN34/10000)</f>
        <v/>
      </c>
      <c r="AO34" s="236">
        <f>IF(CF表!AO$3="","",CF表!AO34/10000)</f>
        <v/>
      </c>
      <c r="AP34" s="236">
        <f>IF(CF表!AP$3="","",CF表!AP34/10000)</f>
        <v/>
      </c>
      <c r="AQ34" s="236">
        <f>IF(CF表!AQ$3="","",CF表!AQ34/10000)</f>
        <v/>
      </c>
      <c r="AR34" s="236">
        <f>IF(CF表!AR$3="","",CF表!AR34/10000)</f>
        <v/>
      </c>
      <c r="AS34" s="236">
        <f>IF(CF表!AS$3="","",CF表!AS34/10000)</f>
        <v/>
      </c>
      <c r="AT34" s="236">
        <f>IF(CF表!AT$3="","",CF表!AT34/10000)</f>
        <v/>
      </c>
      <c r="AU34" s="236">
        <f>IF(CF表!AU$3="","",CF表!AU34/10000)</f>
        <v/>
      </c>
      <c r="AV34" s="236">
        <f>IF(CF表!AV$3="","",CF表!AV34/10000)</f>
        <v/>
      </c>
      <c r="AW34" s="236">
        <f>IF(CF表!AW$3="","",CF表!AW34/10000)</f>
        <v/>
      </c>
      <c r="AX34" s="236">
        <f>IF(CF表!AX$3="","",CF表!AX34/10000)</f>
        <v/>
      </c>
      <c r="AY34" s="236">
        <f>IF(CF表!AY$3="","",CF表!AY34/10000)</f>
        <v/>
      </c>
      <c r="AZ34" s="236">
        <f>IF(CF表!AZ$3="","",CF表!AZ34/10000)</f>
        <v/>
      </c>
      <c r="BA34" s="236">
        <f>IF(CF表!BA$3="","",CF表!BA34/10000)</f>
        <v/>
      </c>
      <c r="BB34" s="236">
        <f>IF(CF表!BB$3="","",CF表!BB34/10000)</f>
        <v/>
      </c>
      <c r="BC34" s="236">
        <f>IF(CF表!BC$3="","",CF表!BC34/10000)</f>
        <v/>
      </c>
      <c r="BD34" s="236">
        <f>IF(CF表!BD$3="","",CF表!BD34/10000)</f>
        <v/>
      </c>
      <c r="BE34" s="236">
        <f>IF(CF表!BE$3="","",CF表!BE34/10000)</f>
        <v/>
      </c>
      <c r="BF34" s="236">
        <f>IF(CF表!BF$3="","",CF表!BF34/10000)</f>
        <v/>
      </c>
      <c r="BG34" s="236">
        <f>IF(CF表!BG$3="","",CF表!BG34/10000)</f>
        <v/>
      </c>
      <c r="BH34" s="236">
        <f>IF(CF表!BH$3="","",CF表!BH34/10000)</f>
        <v/>
      </c>
      <c r="BI34" s="236">
        <f>IF(CF表!BI$3="","",CF表!BI34/10000)</f>
        <v/>
      </c>
      <c r="BJ34" s="236">
        <f>IF(CF表!BJ$3="","",CF表!BJ34/10000)</f>
        <v/>
      </c>
      <c r="BK34" s="236">
        <f>IF(CF表!BK$3="","",CF表!BK34/10000)</f>
        <v/>
      </c>
      <c r="BL34" s="236">
        <f>IF(CF表!BL$3="","",CF表!BL34/10000)</f>
        <v/>
      </c>
      <c r="BM34" s="236">
        <f>IF(CF表!BM$3="","",CF表!BM34/10000)</f>
        <v/>
      </c>
      <c r="BN34" s="236">
        <f>IF(CF表!BN$3="","",CF表!BN34/10000)</f>
        <v/>
      </c>
      <c r="BO34" s="236">
        <f>IF(CF表!BO$3="","",CF表!BO34/10000)</f>
        <v/>
      </c>
      <c r="BP34" s="236">
        <f>IF(CF表!BP$3="","",CF表!BP34/10000)</f>
        <v/>
      </c>
      <c r="BQ34" s="236">
        <f>IF(CF表!BQ$3="","",CF表!BQ34/10000)</f>
        <v/>
      </c>
      <c r="BR34" s="236">
        <f>IF(CF表!BR$3="","",CF表!BR34/10000)</f>
        <v/>
      </c>
      <c r="BS34" s="236">
        <f>IF(CF表!BS$3="","",CF表!BS34/10000)</f>
        <v/>
      </c>
      <c r="BT34" s="236">
        <f>IF(CF表!BT$3="","",CF表!BT34/10000)</f>
        <v/>
      </c>
      <c r="BU34" s="236">
        <f>IF(CF表!BU$3="","",CF表!BU34/10000)</f>
        <v/>
      </c>
      <c r="BV34" s="236">
        <f>IF(CF表!BV$3="","",CF表!BV34/10000)</f>
        <v/>
      </c>
      <c r="BW34" s="236">
        <f>IF(CF表!BW$3="","",CF表!BW34/10000)</f>
        <v/>
      </c>
      <c r="BX34" s="236">
        <f>IF(CF表!BX$3="","",CF表!BX34/10000)</f>
        <v/>
      </c>
      <c r="BY34" s="236">
        <f>IF(CF表!BY$3="","",CF表!BY34/10000)</f>
        <v/>
      </c>
      <c r="BZ34" s="236">
        <f>IF(CF表!BZ$3="","",CF表!BZ34/10000)</f>
        <v/>
      </c>
      <c r="CA34" s="236">
        <f>IF(CF表!CA$3="","",CF表!CA34/10000)</f>
        <v/>
      </c>
      <c r="CB34" s="236">
        <f>IF(CF表!CB$3="","",CF表!CB34/10000)</f>
        <v/>
      </c>
      <c r="CC34" s="236">
        <f>IF(CF表!CC$3="","",CF表!CC34/10000)</f>
        <v/>
      </c>
      <c r="CD34" s="236">
        <f>IF(CF表!CD$3="","",CF表!CD34/10000)</f>
        <v/>
      </c>
      <c r="CE34" s="236">
        <f>IF(CF表!CE$3="","",CF表!CE34/10000)</f>
        <v/>
      </c>
      <c r="CF34" s="236">
        <f>IF(CF表!CF$3="","",CF表!CF34/10000)</f>
        <v/>
      </c>
      <c r="CG34" s="236">
        <f>IF(CF表!CG$3="","",CF表!CG34/10000)</f>
        <v/>
      </c>
      <c r="CH34" s="236">
        <f>IF(CF表!CH$3="","",CF表!CH34/10000)</f>
        <v/>
      </c>
      <c r="CI34" s="236">
        <f>IF(CF表!CI$3="","",CF表!CI34/10000)</f>
        <v/>
      </c>
      <c r="CJ34" s="236">
        <f>IF(CF表!CJ$3="","",CF表!CJ34/10000)</f>
        <v/>
      </c>
      <c r="CK34" s="236">
        <f>IF(CF表!CK$3="","",CF表!CK34/10000)</f>
        <v/>
      </c>
      <c r="CL34" s="236">
        <f>IF(CF表!CL$3="","",CF表!CL34/10000)</f>
        <v/>
      </c>
      <c r="CM34" s="236">
        <f>IF(CF表!CM$3="","",CF表!CM34/10000)</f>
        <v/>
      </c>
      <c r="CN34" s="236">
        <f>IF(CF表!CN$3="","",CF表!CN34/10000)</f>
        <v/>
      </c>
      <c r="CO34" s="236">
        <f>IF(CF表!CO$3="","",CF表!CO34/10000)</f>
        <v/>
      </c>
      <c r="CP34" s="236">
        <f>IF(CF表!CP$3="","",CF表!CP34/10000)</f>
        <v/>
      </c>
      <c r="CQ34" s="236">
        <f>IF(CF表!CQ$3="","",CF表!CQ34/10000)</f>
        <v/>
      </c>
      <c r="CR34" s="236">
        <f>IF(CF表!CR$3="","",CF表!CR34/10000)</f>
        <v/>
      </c>
      <c r="CS34" s="236">
        <f>IF(CF表!CS$3="","",CF表!CS34/10000)</f>
        <v/>
      </c>
      <c r="CT34" s="236">
        <f>IF(CF表!CT$3="","",CF表!CT34/10000)</f>
        <v/>
      </c>
      <c r="CU34" s="236">
        <f>IF(CF表!CU$3="","",CF表!CU34/10000)</f>
        <v/>
      </c>
      <c r="CV34" s="236">
        <f>IF(CF表!CV$3="","",CF表!CV34/10000)</f>
        <v/>
      </c>
      <c r="CW34" s="236">
        <f>IF(CF表!CW$3="","",CF表!CW34/10000)</f>
        <v/>
      </c>
    </row>
    <row r="35" ht="21.75" customHeight="1" s="180">
      <c r="A35" s="237" t="inlineStr">
        <is>
          <t>保有資産合計（ローン除く）</t>
        </is>
      </c>
      <c r="B35" s="238">
        <f>IF(CF表!B$3="","",CF表!B35/10000)</f>
        <v/>
      </c>
      <c r="C35" s="238">
        <f>IF(CF表!C$3="","",CF表!C35/10000)</f>
        <v/>
      </c>
      <c r="D35" s="238">
        <f>IF(CF表!D$3="","",CF表!D35/10000)</f>
        <v/>
      </c>
      <c r="E35" s="238">
        <f>IF(CF表!E$3="","",CF表!E35/10000)</f>
        <v/>
      </c>
      <c r="F35" s="238">
        <f>IF(CF表!F$3="","",CF表!F35/10000)</f>
        <v/>
      </c>
      <c r="G35" s="238">
        <f>IF(CF表!G$3="","",CF表!G35/10000)</f>
        <v/>
      </c>
      <c r="H35" s="238">
        <f>IF(CF表!H$3="","",CF表!H35/10000)</f>
        <v/>
      </c>
      <c r="I35" s="238">
        <f>IF(CF表!I$3="","",CF表!I35/10000)</f>
        <v/>
      </c>
      <c r="J35" s="238">
        <f>IF(CF表!J$3="","",CF表!J35/10000)</f>
        <v/>
      </c>
      <c r="K35" s="238">
        <f>IF(CF表!K$3="","",CF表!K35/10000)</f>
        <v/>
      </c>
      <c r="L35" s="238">
        <f>IF(CF表!L$3="","",CF表!L35/10000)</f>
        <v/>
      </c>
      <c r="M35" s="238">
        <f>IF(CF表!M$3="","",CF表!M35/10000)</f>
        <v/>
      </c>
      <c r="N35" s="238">
        <f>IF(CF表!N$3="","",CF表!N35/10000)</f>
        <v/>
      </c>
      <c r="O35" s="238">
        <f>IF(CF表!O$3="","",CF表!O35/10000)</f>
        <v/>
      </c>
      <c r="P35" s="238">
        <f>IF(CF表!P$3="","",CF表!P35/10000)</f>
        <v/>
      </c>
      <c r="Q35" s="238">
        <f>IF(CF表!Q$3="","",CF表!Q35/10000)</f>
        <v/>
      </c>
      <c r="R35" s="238">
        <f>IF(CF表!R$3="","",CF表!R35/10000)</f>
        <v/>
      </c>
      <c r="S35" s="238">
        <f>IF(CF表!S$3="","",CF表!S35/10000)</f>
        <v/>
      </c>
      <c r="T35" s="238">
        <f>IF(CF表!T$3="","",CF表!T35/10000)</f>
        <v/>
      </c>
      <c r="U35" s="238">
        <f>IF(CF表!U$3="","",CF表!U35/10000)</f>
        <v/>
      </c>
      <c r="V35" s="238">
        <f>IF(CF表!V$3="","",CF表!V35/10000)</f>
        <v/>
      </c>
      <c r="W35" s="238">
        <f>IF(CF表!W$3="","",CF表!W35/10000)</f>
        <v/>
      </c>
      <c r="X35" s="238">
        <f>IF(CF表!X$3="","",CF表!X35/10000)</f>
        <v/>
      </c>
      <c r="Y35" s="238">
        <f>IF(CF表!Y$3="","",CF表!Y35/10000)</f>
        <v/>
      </c>
      <c r="Z35" s="238">
        <f>IF(CF表!Z$3="","",CF表!Z35/10000)</f>
        <v/>
      </c>
      <c r="AA35" s="238">
        <f>IF(CF表!AA$3="","",CF表!AA35/10000)</f>
        <v/>
      </c>
      <c r="AB35" s="238">
        <f>IF(CF表!AB$3="","",CF表!AB35/10000)</f>
        <v/>
      </c>
      <c r="AC35" s="238">
        <f>IF(CF表!AC$3="","",CF表!AC35/10000)</f>
        <v/>
      </c>
      <c r="AD35" s="238">
        <f>IF(CF表!AD$3="","",CF表!AD35/10000)</f>
        <v/>
      </c>
      <c r="AE35" s="238">
        <f>IF(CF表!AE$3="","",CF表!AE35/10000)</f>
        <v/>
      </c>
      <c r="AF35" s="238">
        <f>IF(CF表!AF$3="","",CF表!AF35/10000)</f>
        <v/>
      </c>
      <c r="AG35" s="238">
        <f>IF(CF表!AG$3="","",CF表!AG35/10000)</f>
        <v/>
      </c>
      <c r="AH35" s="238">
        <f>IF(CF表!AH$3="","",CF表!AH35/10000)</f>
        <v/>
      </c>
      <c r="AI35" s="238">
        <f>IF(CF表!AI$3="","",CF表!AI35/10000)</f>
        <v/>
      </c>
      <c r="AJ35" s="238">
        <f>IF(CF表!AJ$3="","",CF表!AJ35/10000)</f>
        <v/>
      </c>
      <c r="AK35" s="238">
        <f>IF(CF表!AK$3="","",CF表!AK35/10000)</f>
        <v/>
      </c>
      <c r="AL35" s="238">
        <f>IF(CF表!AL$3="","",CF表!AL35/10000)</f>
        <v/>
      </c>
      <c r="AM35" s="238">
        <f>IF(CF表!AM$3="","",CF表!AM35/10000)</f>
        <v/>
      </c>
      <c r="AN35" s="238">
        <f>IF(CF表!AN$3="","",CF表!AN35/10000)</f>
        <v/>
      </c>
      <c r="AO35" s="238">
        <f>IF(CF表!AO$3="","",CF表!AO35/10000)</f>
        <v/>
      </c>
      <c r="AP35" s="238">
        <f>IF(CF表!AP$3="","",CF表!AP35/10000)</f>
        <v/>
      </c>
      <c r="AQ35" s="238">
        <f>IF(CF表!AQ$3="","",CF表!AQ35/10000)</f>
        <v/>
      </c>
      <c r="AR35" s="238">
        <f>IF(CF表!AR$3="","",CF表!AR35/10000)</f>
        <v/>
      </c>
      <c r="AS35" s="238">
        <f>IF(CF表!AS$3="","",CF表!AS35/10000)</f>
        <v/>
      </c>
      <c r="AT35" s="238">
        <f>IF(CF表!AT$3="","",CF表!AT35/10000)</f>
        <v/>
      </c>
      <c r="AU35" s="238">
        <f>IF(CF表!AU$3="","",CF表!AU35/10000)</f>
        <v/>
      </c>
      <c r="AV35" s="238">
        <f>IF(CF表!AV$3="","",CF表!AV35/10000)</f>
        <v/>
      </c>
      <c r="AW35" s="238">
        <f>IF(CF表!AW$3="","",CF表!AW35/10000)</f>
        <v/>
      </c>
      <c r="AX35" s="238">
        <f>IF(CF表!AX$3="","",CF表!AX35/10000)</f>
        <v/>
      </c>
      <c r="AY35" s="238">
        <f>IF(CF表!AY$3="","",CF表!AY35/10000)</f>
        <v/>
      </c>
      <c r="AZ35" s="238">
        <f>IF(CF表!AZ$3="","",CF表!AZ35/10000)</f>
        <v/>
      </c>
      <c r="BA35" s="238">
        <f>IF(CF表!BA$3="","",CF表!BA35/10000)</f>
        <v/>
      </c>
      <c r="BB35" s="238">
        <f>IF(CF表!BB$3="","",CF表!BB35/10000)</f>
        <v/>
      </c>
      <c r="BC35" s="238">
        <f>IF(CF表!BC$3="","",CF表!BC35/10000)</f>
        <v/>
      </c>
      <c r="BD35" s="238">
        <f>IF(CF表!BD$3="","",CF表!BD35/10000)</f>
        <v/>
      </c>
      <c r="BE35" s="238">
        <f>IF(CF表!BE$3="","",CF表!BE35/10000)</f>
        <v/>
      </c>
      <c r="BF35" s="238">
        <f>IF(CF表!BF$3="","",CF表!BF35/10000)</f>
        <v/>
      </c>
      <c r="BG35" s="238">
        <f>IF(CF表!BG$3="","",CF表!BG35/10000)</f>
        <v/>
      </c>
      <c r="BH35" s="238">
        <f>IF(CF表!BH$3="","",CF表!BH35/10000)</f>
        <v/>
      </c>
      <c r="BI35" s="238">
        <f>IF(CF表!BI$3="","",CF表!BI35/10000)</f>
        <v/>
      </c>
      <c r="BJ35" s="238">
        <f>IF(CF表!BJ$3="","",CF表!BJ35/10000)</f>
        <v/>
      </c>
      <c r="BK35" s="238">
        <f>IF(CF表!BK$3="","",CF表!BK35/10000)</f>
        <v/>
      </c>
      <c r="BL35" s="238">
        <f>IF(CF表!BL$3="","",CF表!BL35/10000)</f>
        <v/>
      </c>
      <c r="BM35" s="238">
        <f>IF(CF表!BM$3="","",CF表!BM35/10000)</f>
        <v/>
      </c>
      <c r="BN35" s="238">
        <f>IF(CF表!BN$3="","",CF表!BN35/10000)</f>
        <v/>
      </c>
      <c r="BO35" s="238">
        <f>IF(CF表!BO$3="","",CF表!BO35/10000)</f>
        <v/>
      </c>
      <c r="BP35" s="238">
        <f>IF(CF表!BP$3="","",CF表!BP35/10000)</f>
        <v/>
      </c>
      <c r="BQ35" s="238">
        <f>IF(CF表!BQ$3="","",CF表!BQ35/10000)</f>
        <v/>
      </c>
      <c r="BR35" s="238">
        <f>IF(CF表!BR$3="","",CF表!BR35/10000)</f>
        <v/>
      </c>
      <c r="BS35" s="238">
        <f>IF(CF表!BS$3="","",CF表!BS35/10000)</f>
        <v/>
      </c>
      <c r="BT35" s="238">
        <f>IF(CF表!BT$3="","",CF表!BT35/10000)</f>
        <v/>
      </c>
      <c r="BU35" s="238">
        <f>IF(CF表!BU$3="","",CF表!BU35/10000)</f>
        <v/>
      </c>
      <c r="BV35" s="238">
        <f>IF(CF表!BV$3="","",CF表!BV35/10000)</f>
        <v/>
      </c>
      <c r="BW35" s="238">
        <f>IF(CF表!BW$3="","",CF表!BW35/10000)</f>
        <v/>
      </c>
      <c r="BX35" s="238">
        <f>IF(CF表!BX$3="","",CF表!BX35/10000)</f>
        <v/>
      </c>
      <c r="BY35" s="238">
        <f>IF(CF表!BY$3="","",CF表!BY35/10000)</f>
        <v/>
      </c>
      <c r="BZ35" s="238">
        <f>IF(CF表!BZ$3="","",CF表!BZ35/10000)</f>
        <v/>
      </c>
      <c r="CA35" s="238">
        <f>IF(CF表!CA$3="","",CF表!CA35/10000)</f>
        <v/>
      </c>
      <c r="CB35" s="238">
        <f>IF(CF表!CB$3="","",CF表!CB35/10000)</f>
        <v/>
      </c>
      <c r="CC35" s="238">
        <f>IF(CF表!CC$3="","",CF表!CC35/10000)</f>
        <v/>
      </c>
      <c r="CD35" s="238">
        <f>IF(CF表!CD$3="","",CF表!CD35/10000)</f>
        <v/>
      </c>
      <c r="CE35" s="238">
        <f>IF(CF表!CE$3="","",CF表!CE35/10000)</f>
        <v/>
      </c>
      <c r="CF35" s="238">
        <f>IF(CF表!CF$3="","",CF表!CF35/10000)</f>
        <v/>
      </c>
      <c r="CG35" s="238">
        <f>IF(CF表!CG$3="","",CF表!CG35/10000)</f>
        <v/>
      </c>
      <c r="CH35" s="238">
        <f>IF(CF表!CH$3="","",CF表!CH35/10000)</f>
        <v/>
      </c>
      <c r="CI35" s="238">
        <f>IF(CF表!CI$3="","",CF表!CI35/10000)</f>
        <v/>
      </c>
      <c r="CJ35" s="238">
        <f>IF(CF表!CJ$3="","",CF表!CJ35/10000)</f>
        <v/>
      </c>
      <c r="CK35" s="238">
        <f>IF(CF表!CK$3="","",CF表!CK35/10000)</f>
        <v/>
      </c>
      <c r="CL35" s="238">
        <f>IF(CF表!CL$3="","",CF表!CL35/10000)</f>
        <v/>
      </c>
      <c r="CM35" s="238">
        <f>IF(CF表!CM$3="","",CF表!CM35/10000)</f>
        <v/>
      </c>
      <c r="CN35" s="238">
        <f>IF(CF表!CN$3="","",CF表!CN35/10000)</f>
        <v/>
      </c>
      <c r="CO35" s="238">
        <f>IF(CF表!CO$3="","",CF表!CO35/10000)</f>
        <v/>
      </c>
      <c r="CP35" s="238">
        <f>IF(CF表!CP$3="","",CF表!CP35/10000)</f>
        <v/>
      </c>
      <c r="CQ35" s="238">
        <f>IF(CF表!CQ$3="","",CF表!CQ35/10000)</f>
        <v/>
      </c>
      <c r="CR35" s="238">
        <f>IF(CF表!CR$3="","",CF表!CR35/10000)</f>
        <v/>
      </c>
      <c r="CS35" s="238">
        <f>IF(CF表!CS$3="","",CF表!CS35/10000)</f>
        <v/>
      </c>
      <c r="CT35" s="238">
        <f>IF(CF表!CT$3="","",CF表!CT35/10000)</f>
        <v/>
      </c>
      <c r="CU35" s="238">
        <f>IF(CF表!CU$3="","",CF表!CU35/10000)</f>
        <v/>
      </c>
      <c r="CV35" s="238">
        <f>IF(CF表!CV$3="","",CF表!CV35/10000)</f>
        <v/>
      </c>
      <c r="CW35" s="238">
        <f>IF(CF表!CW$3="","",CF表!CW35/10000)</f>
        <v/>
      </c>
    </row>
    <row r="36" hidden="1" ht="16.5" customHeight="1" s="180">
      <c r="A36" s="239" t="inlineStr">
        <is>
          <t>投資積立年額(補助)</t>
        </is>
      </c>
      <c r="B36" s="240">
        <f>IF(CF表!B$3="","",CF表!B36/10000)</f>
        <v/>
      </c>
      <c r="C36" s="240">
        <f>IF(CF表!C$3="","",CF表!C36/10000)</f>
        <v/>
      </c>
      <c r="D36" s="240">
        <f>IF(CF表!D$3="","",CF表!D36/10000)</f>
        <v/>
      </c>
      <c r="E36" s="240">
        <f>IF(CF表!E$3="","",CF表!E36/10000)</f>
        <v/>
      </c>
      <c r="F36" s="240">
        <f>IF(CF表!F$3="","",CF表!F36/10000)</f>
        <v/>
      </c>
      <c r="G36" s="240">
        <f>IF(CF表!G$3="","",CF表!G36/10000)</f>
        <v/>
      </c>
      <c r="H36" s="240">
        <f>IF(CF表!H$3="","",CF表!H36/10000)</f>
        <v/>
      </c>
      <c r="I36" s="240">
        <f>IF(CF表!I$3="","",CF表!I36/10000)</f>
        <v/>
      </c>
      <c r="J36" s="240">
        <f>IF(CF表!J$3="","",CF表!J36/10000)</f>
        <v/>
      </c>
      <c r="K36" s="240">
        <f>IF(CF表!K$3="","",CF表!K36/10000)</f>
        <v/>
      </c>
      <c r="L36" s="240">
        <f>IF(CF表!L$3="","",CF表!L36/10000)</f>
        <v/>
      </c>
      <c r="M36" s="240">
        <f>IF(CF表!M$3="","",CF表!M36/10000)</f>
        <v/>
      </c>
      <c r="N36" s="240">
        <f>IF(CF表!N$3="","",CF表!N36/10000)</f>
        <v/>
      </c>
      <c r="O36" s="240">
        <f>IF(CF表!O$3="","",CF表!O36/10000)</f>
        <v/>
      </c>
      <c r="P36" s="240">
        <f>IF(CF表!P$3="","",CF表!P36/10000)</f>
        <v/>
      </c>
      <c r="Q36" s="240">
        <f>IF(CF表!Q$3="","",CF表!Q36/10000)</f>
        <v/>
      </c>
      <c r="R36" s="240">
        <f>IF(CF表!R$3="","",CF表!R36/10000)</f>
        <v/>
      </c>
      <c r="S36" s="240">
        <f>IF(CF表!S$3="","",CF表!S36/10000)</f>
        <v/>
      </c>
      <c r="T36" s="240">
        <f>IF(CF表!T$3="","",CF表!T36/10000)</f>
        <v/>
      </c>
      <c r="U36" s="240">
        <f>IF(CF表!U$3="","",CF表!U36/10000)</f>
        <v/>
      </c>
      <c r="V36" s="240">
        <f>IF(CF表!V$3="","",CF表!V36/10000)</f>
        <v/>
      </c>
      <c r="W36" s="240">
        <f>IF(CF表!W$3="","",CF表!W36/10000)</f>
        <v/>
      </c>
      <c r="X36" s="240">
        <f>IF(CF表!X$3="","",CF表!X36/10000)</f>
        <v/>
      </c>
      <c r="Y36" s="240">
        <f>IF(CF表!Y$3="","",CF表!Y36/10000)</f>
        <v/>
      </c>
      <c r="Z36" s="240">
        <f>IF(CF表!Z$3="","",CF表!Z36/10000)</f>
        <v/>
      </c>
      <c r="AA36" s="240">
        <f>IF(CF表!AA$3="","",CF表!AA36/10000)</f>
        <v/>
      </c>
      <c r="AB36" s="240">
        <f>IF(CF表!AB$3="","",CF表!AB36/10000)</f>
        <v/>
      </c>
      <c r="AC36" s="240">
        <f>IF(CF表!AC$3="","",CF表!AC36/10000)</f>
        <v/>
      </c>
      <c r="AD36" s="240">
        <f>IF(CF表!AD$3="","",CF表!AD36/10000)</f>
        <v/>
      </c>
      <c r="AE36" s="240">
        <f>IF(CF表!AE$3="","",CF表!AE36/10000)</f>
        <v/>
      </c>
      <c r="AF36" s="240">
        <f>IF(CF表!AF$3="","",CF表!AF36/10000)</f>
        <v/>
      </c>
      <c r="AG36" s="240">
        <f>IF(CF表!AG$3="","",CF表!AG36/10000)</f>
        <v/>
      </c>
      <c r="AH36" s="240">
        <f>IF(CF表!AH$3="","",CF表!AH36/10000)</f>
        <v/>
      </c>
      <c r="AI36" s="240">
        <f>IF(CF表!AI$3="","",CF表!AI36/10000)</f>
        <v/>
      </c>
      <c r="AJ36" s="240">
        <f>IF(CF表!AJ$3="","",CF表!AJ36/10000)</f>
        <v/>
      </c>
      <c r="AK36" s="240">
        <f>IF(CF表!AK$3="","",CF表!AK36/10000)</f>
        <v/>
      </c>
      <c r="AL36" s="240">
        <f>IF(CF表!AL$3="","",CF表!AL36/10000)</f>
        <v/>
      </c>
      <c r="AM36" s="240">
        <f>IF(CF表!AM$3="","",CF表!AM36/10000)</f>
        <v/>
      </c>
      <c r="AN36" s="240">
        <f>IF(CF表!AN$3="","",CF表!AN36/10000)</f>
        <v/>
      </c>
      <c r="AO36" s="240">
        <f>IF(CF表!AO$3="","",CF表!AO36/10000)</f>
        <v/>
      </c>
      <c r="AP36" s="240">
        <f>IF(CF表!AP$3="","",CF表!AP36/10000)</f>
        <v/>
      </c>
      <c r="AQ36" s="240">
        <f>IF(CF表!AQ$3="","",CF表!AQ36/10000)</f>
        <v/>
      </c>
      <c r="AR36" s="240">
        <f>IF(CF表!AR$3="","",CF表!AR36/10000)</f>
        <v/>
      </c>
      <c r="AS36" s="240">
        <f>IF(CF表!AS$3="","",CF表!AS36/10000)</f>
        <v/>
      </c>
      <c r="AT36" s="240">
        <f>IF(CF表!AT$3="","",CF表!AT36/10000)</f>
        <v/>
      </c>
      <c r="AU36" s="240">
        <f>IF(CF表!AU$3="","",CF表!AU36/10000)</f>
        <v/>
      </c>
      <c r="AV36" s="240">
        <f>IF(CF表!AV$3="","",CF表!AV36/10000)</f>
        <v/>
      </c>
      <c r="AW36" s="240">
        <f>IF(CF表!AW$3="","",CF表!AW36/10000)</f>
        <v/>
      </c>
      <c r="AX36" s="240">
        <f>IF(CF表!AX$3="","",CF表!AX36/10000)</f>
        <v/>
      </c>
      <c r="AY36" s="240">
        <f>IF(CF表!AY$3="","",CF表!AY36/10000)</f>
        <v/>
      </c>
      <c r="AZ36" s="240">
        <f>IF(CF表!AZ$3="","",CF表!AZ36/10000)</f>
        <v/>
      </c>
      <c r="BA36" s="240">
        <f>IF(CF表!BA$3="","",CF表!BA36/10000)</f>
        <v/>
      </c>
      <c r="BB36" s="240">
        <f>IF(CF表!BB$3="","",CF表!BB36/10000)</f>
        <v/>
      </c>
      <c r="BC36" s="240">
        <f>IF(CF表!BC$3="","",CF表!BC36/10000)</f>
        <v/>
      </c>
      <c r="BD36" s="240">
        <f>IF(CF表!BD$3="","",CF表!BD36/10000)</f>
        <v/>
      </c>
      <c r="BE36" s="240">
        <f>IF(CF表!BE$3="","",CF表!BE36/10000)</f>
        <v/>
      </c>
      <c r="BF36" s="240">
        <f>IF(CF表!BF$3="","",CF表!BF36/10000)</f>
        <v/>
      </c>
      <c r="BG36" s="240">
        <f>IF(CF表!BG$3="","",CF表!BG36/10000)</f>
        <v/>
      </c>
      <c r="BH36" s="240">
        <f>IF(CF表!BH$3="","",CF表!BH36/10000)</f>
        <v/>
      </c>
      <c r="BI36" s="240">
        <f>IF(CF表!BI$3="","",CF表!BI36/10000)</f>
        <v/>
      </c>
      <c r="BJ36" s="240">
        <f>IF(CF表!BJ$3="","",CF表!BJ36/10000)</f>
        <v/>
      </c>
      <c r="BK36" s="240">
        <f>IF(CF表!BK$3="","",CF表!BK36/10000)</f>
        <v/>
      </c>
      <c r="BL36" s="240">
        <f>IF(CF表!BL$3="","",CF表!BL36/10000)</f>
        <v/>
      </c>
      <c r="BM36" s="240">
        <f>IF(CF表!BM$3="","",CF表!BM36/10000)</f>
        <v/>
      </c>
      <c r="BN36" s="240">
        <f>IF(CF表!BN$3="","",CF表!BN36/10000)</f>
        <v/>
      </c>
      <c r="BO36" s="240">
        <f>IF(CF表!BO$3="","",CF表!BO36/10000)</f>
        <v/>
      </c>
      <c r="BP36" s="240">
        <f>IF(CF表!BP$3="","",CF表!BP36/10000)</f>
        <v/>
      </c>
      <c r="BQ36" s="240">
        <f>IF(CF表!BQ$3="","",CF表!BQ36/10000)</f>
        <v/>
      </c>
      <c r="BR36" s="240">
        <f>IF(CF表!BR$3="","",CF表!BR36/10000)</f>
        <v/>
      </c>
      <c r="BS36" s="240">
        <f>IF(CF表!BS$3="","",CF表!BS36/10000)</f>
        <v/>
      </c>
      <c r="BT36" s="240">
        <f>IF(CF表!BT$3="","",CF表!BT36/10000)</f>
        <v/>
      </c>
      <c r="BU36" s="240">
        <f>IF(CF表!BU$3="","",CF表!BU36/10000)</f>
        <v/>
      </c>
      <c r="BV36" s="240">
        <f>IF(CF表!BV$3="","",CF表!BV36/10000)</f>
        <v/>
      </c>
      <c r="BW36" s="240">
        <f>IF(CF表!BW$3="","",CF表!BW36/10000)</f>
        <v/>
      </c>
      <c r="BX36" s="240">
        <f>IF(CF表!BX$3="","",CF表!BX36/10000)</f>
        <v/>
      </c>
      <c r="BY36" s="240">
        <f>IF(CF表!BY$3="","",CF表!BY36/10000)</f>
        <v/>
      </c>
      <c r="BZ36" s="240">
        <f>IF(CF表!BZ$3="","",CF表!BZ36/10000)</f>
        <v/>
      </c>
      <c r="CA36" s="240">
        <f>IF(CF表!CA$3="","",CF表!CA36/10000)</f>
        <v/>
      </c>
      <c r="CB36" s="240">
        <f>IF(CF表!CB$3="","",CF表!CB36/10000)</f>
        <v/>
      </c>
      <c r="CC36" s="240">
        <f>IF(CF表!CC$3="","",CF表!CC36/10000)</f>
        <v/>
      </c>
      <c r="CD36" s="240">
        <f>IF(CF表!CD$3="","",CF表!CD36/10000)</f>
        <v/>
      </c>
      <c r="CE36" s="240">
        <f>IF(CF表!CE$3="","",CF表!CE36/10000)</f>
        <v/>
      </c>
      <c r="CF36" s="240">
        <f>IF(CF表!CF$3="","",CF表!CF36/10000)</f>
        <v/>
      </c>
      <c r="CG36" s="240">
        <f>IF(CF表!CG$3="","",CF表!CG36/10000)</f>
        <v/>
      </c>
      <c r="CH36" s="240">
        <f>IF(CF表!CH$3="","",CF表!CH36/10000)</f>
        <v/>
      </c>
      <c r="CI36" s="240">
        <f>IF(CF表!CI$3="","",CF表!CI36/10000)</f>
        <v/>
      </c>
      <c r="CJ36" s="240">
        <f>IF(CF表!CJ$3="","",CF表!CJ36/10000)</f>
        <v/>
      </c>
      <c r="CK36" s="240">
        <f>IF(CF表!CK$3="","",CF表!CK36/10000)</f>
        <v/>
      </c>
      <c r="CL36" s="240">
        <f>IF(CF表!CL$3="","",CF表!CL36/10000)</f>
        <v/>
      </c>
      <c r="CM36" s="240">
        <f>IF(CF表!CM$3="","",CF表!CM36/10000)</f>
        <v/>
      </c>
      <c r="CN36" s="240">
        <f>IF(CF表!CN$3="","",CF表!CN36/10000)</f>
        <v/>
      </c>
      <c r="CO36" s="240">
        <f>IF(CF表!CO$3="","",CF表!CO36/10000)</f>
        <v/>
      </c>
      <c r="CP36" s="240">
        <f>IF(CF表!CP$3="","",CF表!CP36/10000)</f>
        <v/>
      </c>
      <c r="CQ36" s="240">
        <f>IF(CF表!CQ$3="","",CF表!CQ36/10000)</f>
        <v/>
      </c>
      <c r="CR36" s="240">
        <f>IF(CF表!CR$3="","",CF表!CR36/10000)</f>
        <v/>
      </c>
      <c r="CS36" s="240">
        <f>IF(CF表!CS$3="","",CF表!CS36/10000)</f>
        <v/>
      </c>
      <c r="CT36" s="240">
        <f>IF(CF表!CT$3="","",CF表!CT36/10000)</f>
        <v/>
      </c>
      <c r="CU36" s="240">
        <f>IF(CF表!CU$3="","",CF表!CU36/10000)</f>
        <v/>
      </c>
      <c r="CV36" s="240">
        <f>IF(CF表!CV$3="","",CF表!CV36/10000)</f>
        <v/>
      </c>
      <c r="CW36" s="240">
        <f>IF(CF表!CW$3="","",CF表!CW36/10000)</f>
        <v/>
      </c>
    </row>
    <row r="37" hidden="1" ht="16.5" customHeight="1" s="180">
      <c r="A37" s="239" t="inlineStr">
        <is>
          <t>返戻金積立年額(補助)</t>
        </is>
      </c>
      <c r="B37" s="240">
        <f>IF(CF表!B$3="","",CF表!B37/10000)</f>
        <v/>
      </c>
      <c r="C37" s="240">
        <f>IF(CF表!C$3="","",CF表!C37/10000)</f>
        <v/>
      </c>
      <c r="D37" s="240">
        <f>IF(CF表!D$3="","",CF表!D37/10000)</f>
        <v/>
      </c>
      <c r="E37" s="240">
        <f>IF(CF表!E$3="","",CF表!E37/10000)</f>
        <v/>
      </c>
      <c r="F37" s="240">
        <f>IF(CF表!F$3="","",CF表!F37/10000)</f>
        <v/>
      </c>
      <c r="G37" s="240">
        <f>IF(CF表!G$3="","",CF表!G37/10000)</f>
        <v/>
      </c>
      <c r="H37" s="240">
        <f>IF(CF表!H$3="","",CF表!H37/10000)</f>
        <v/>
      </c>
      <c r="I37" s="240">
        <f>IF(CF表!I$3="","",CF表!I37/10000)</f>
        <v/>
      </c>
      <c r="J37" s="240">
        <f>IF(CF表!J$3="","",CF表!J37/10000)</f>
        <v/>
      </c>
      <c r="K37" s="240">
        <f>IF(CF表!K$3="","",CF表!K37/10000)</f>
        <v/>
      </c>
      <c r="L37" s="240">
        <f>IF(CF表!L$3="","",CF表!L37/10000)</f>
        <v/>
      </c>
      <c r="M37" s="240">
        <f>IF(CF表!M$3="","",CF表!M37/10000)</f>
        <v/>
      </c>
      <c r="N37" s="240">
        <f>IF(CF表!N$3="","",CF表!N37/10000)</f>
        <v/>
      </c>
      <c r="O37" s="240">
        <f>IF(CF表!O$3="","",CF表!O37/10000)</f>
        <v/>
      </c>
      <c r="P37" s="240">
        <f>IF(CF表!P$3="","",CF表!P37/10000)</f>
        <v/>
      </c>
      <c r="Q37" s="240">
        <f>IF(CF表!Q$3="","",CF表!Q37/10000)</f>
        <v/>
      </c>
      <c r="R37" s="240">
        <f>IF(CF表!R$3="","",CF表!R37/10000)</f>
        <v/>
      </c>
      <c r="S37" s="240">
        <f>IF(CF表!S$3="","",CF表!S37/10000)</f>
        <v/>
      </c>
      <c r="T37" s="240">
        <f>IF(CF表!T$3="","",CF表!T37/10000)</f>
        <v/>
      </c>
      <c r="U37" s="240">
        <f>IF(CF表!U$3="","",CF表!U37/10000)</f>
        <v/>
      </c>
      <c r="V37" s="240">
        <f>IF(CF表!V$3="","",CF表!V37/10000)</f>
        <v/>
      </c>
      <c r="W37" s="240">
        <f>IF(CF表!W$3="","",CF表!W37/10000)</f>
        <v/>
      </c>
      <c r="X37" s="240">
        <f>IF(CF表!X$3="","",CF表!X37/10000)</f>
        <v/>
      </c>
      <c r="Y37" s="240">
        <f>IF(CF表!Y$3="","",CF表!Y37/10000)</f>
        <v/>
      </c>
      <c r="Z37" s="240">
        <f>IF(CF表!Z$3="","",CF表!Z37/10000)</f>
        <v/>
      </c>
      <c r="AA37" s="240">
        <f>IF(CF表!AA$3="","",CF表!AA37/10000)</f>
        <v/>
      </c>
      <c r="AB37" s="240">
        <f>IF(CF表!AB$3="","",CF表!AB37/10000)</f>
        <v/>
      </c>
      <c r="AC37" s="240">
        <f>IF(CF表!AC$3="","",CF表!AC37/10000)</f>
        <v/>
      </c>
      <c r="AD37" s="240">
        <f>IF(CF表!AD$3="","",CF表!AD37/10000)</f>
        <v/>
      </c>
      <c r="AE37" s="240">
        <f>IF(CF表!AE$3="","",CF表!AE37/10000)</f>
        <v/>
      </c>
      <c r="AF37" s="240">
        <f>IF(CF表!AF$3="","",CF表!AF37/10000)</f>
        <v/>
      </c>
      <c r="AG37" s="240">
        <f>IF(CF表!AG$3="","",CF表!AG37/10000)</f>
        <v/>
      </c>
      <c r="AH37" s="240">
        <f>IF(CF表!AH$3="","",CF表!AH37/10000)</f>
        <v/>
      </c>
      <c r="AI37" s="240">
        <f>IF(CF表!AI$3="","",CF表!AI37/10000)</f>
        <v/>
      </c>
      <c r="AJ37" s="240">
        <f>IF(CF表!AJ$3="","",CF表!AJ37/10000)</f>
        <v/>
      </c>
      <c r="AK37" s="240">
        <f>IF(CF表!AK$3="","",CF表!AK37/10000)</f>
        <v/>
      </c>
      <c r="AL37" s="240">
        <f>IF(CF表!AL$3="","",CF表!AL37/10000)</f>
        <v/>
      </c>
      <c r="AM37" s="240">
        <f>IF(CF表!AM$3="","",CF表!AM37/10000)</f>
        <v/>
      </c>
      <c r="AN37" s="240">
        <f>IF(CF表!AN$3="","",CF表!AN37/10000)</f>
        <v/>
      </c>
      <c r="AO37" s="240">
        <f>IF(CF表!AO$3="","",CF表!AO37/10000)</f>
        <v/>
      </c>
      <c r="AP37" s="240">
        <f>IF(CF表!AP$3="","",CF表!AP37/10000)</f>
        <v/>
      </c>
      <c r="AQ37" s="240">
        <f>IF(CF表!AQ$3="","",CF表!AQ37/10000)</f>
        <v/>
      </c>
      <c r="AR37" s="240">
        <f>IF(CF表!AR$3="","",CF表!AR37/10000)</f>
        <v/>
      </c>
      <c r="AS37" s="240">
        <f>IF(CF表!AS$3="","",CF表!AS37/10000)</f>
        <v/>
      </c>
      <c r="AT37" s="240">
        <f>IF(CF表!AT$3="","",CF表!AT37/10000)</f>
        <v/>
      </c>
      <c r="AU37" s="240">
        <f>IF(CF表!AU$3="","",CF表!AU37/10000)</f>
        <v/>
      </c>
      <c r="AV37" s="240">
        <f>IF(CF表!AV$3="","",CF表!AV37/10000)</f>
        <v/>
      </c>
      <c r="AW37" s="240">
        <f>IF(CF表!AW$3="","",CF表!AW37/10000)</f>
        <v/>
      </c>
      <c r="AX37" s="240">
        <f>IF(CF表!AX$3="","",CF表!AX37/10000)</f>
        <v/>
      </c>
      <c r="AY37" s="240">
        <f>IF(CF表!AY$3="","",CF表!AY37/10000)</f>
        <v/>
      </c>
      <c r="AZ37" s="240">
        <f>IF(CF表!AZ$3="","",CF表!AZ37/10000)</f>
        <v/>
      </c>
      <c r="BA37" s="240">
        <f>IF(CF表!BA$3="","",CF表!BA37/10000)</f>
        <v/>
      </c>
      <c r="BB37" s="240">
        <f>IF(CF表!BB$3="","",CF表!BB37/10000)</f>
        <v/>
      </c>
      <c r="BC37" s="240">
        <f>IF(CF表!BC$3="","",CF表!BC37/10000)</f>
        <v/>
      </c>
      <c r="BD37" s="240">
        <f>IF(CF表!BD$3="","",CF表!BD37/10000)</f>
        <v/>
      </c>
      <c r="BE37" s="240">
        <f>IF(CF表!BE$3="","",CF表!BE37/10000)</f>
        <v/>
      </c>
      <c r="BF37" s="240">
        <f>IF(CF表!BF$3="","",CF表!BF37/10000)</f>
        <v/>
      </c>
      <c r="BG37" s="240">
        <f>IF(CF表!BG$3="","",CF表!BG37/10000)</f>
        <v/>
      </c>
      <c r="BH37" s="240">
        <f>IF(CF表!BH$3="","",CF表!BH37/10000)</f>
        <v/>
      </c>
      <c r="BI37" s="240">
        <f>IF(CF表!BI$3="","",CF表!BI37/10000)</f>
        <v/>
      </c>
      <c r="BJ37" s="240">
        <f>IF(CF表!BJ$3="","",CF表!BJ37/10000)</f>
        <v/>
      </c>
      <c r="BK37" s="240">
        <f>IF(CF表!BK$3="","",CF表!BK37/10000)</f>
        <v/>
      </c>
      <c r="BL37" s="240">
        <f>IF(CF表!BL$3="","",CF表!BL37/10000)</f>
        <v/>
      </c>
      <c r="BM37" s="240">
        <f>IF(CF表!BM$3="","",CF表!BM37/10000)</f>
        <v/>
      </c>
      <c r="BN37" s="240">
        <f>IF(CF表!BN$3="","",CF表!BN37/10000)</f>
        <v/>
      </c>
      <c r="BO37" s="240">
        <f>IF(CF表!BO$3="","",CF表!BO37/10000)</f>
        <v/>
      </c>
      <c r="BP37" s="240">
        <f>IF(CF表!BP$3="","",CF表!BP37/10000)</f>
        <v/>
      </c>
      <c r="BQ37" s="240">
        <f>IF(CF表!BQ$3="","",CF表!BQ37/10000)</f>
        <v/>
      </c>
      <c r="BR37" s="240">
        <f>IF(CF表!BR$3="","",CF表!BR37/10000)</f>
        <v/>
      </c>
      <c r="BS37" s="240">
        <f>IF(CF表!BS$3="","",CF表!BS37/10000)</f>
        <v/>
      </c>
      <c r="BT37" s="240">
        <f>IF(CF表!BT$3="","",CF表!BT37/10000)</f>
        <v/>
      </c>
      <c r="BU37" s="240">
        <f>IF(CF表!BU$3="","",CF表!BU37/10000)</f>
        <v/>
      </c>
      <c r="BV37" s="240">
        <f>IF(CF表!BV$3="","",CF表!BV37/10000)</f>
        <v/>
      </c>
      <c r="BW37" s="240">
        <f>IF(CF表!BW$3="","",CF表!BW37/10000)</f>
        <v/>
      </c>
      <c r="BX37" s="240">
        <f>IF(CF表!BX$3="","",CF表!BX37/10000)</f>
        <v/>
      </c>
      <c r="BY37" s="240">
        <f>IF(CF表!BY$3="","",CF表!BY37/10000)</f>
        <v/>
      </c>
      <c r="BZ37" s="240">
        <f>IF(CF表!BZ$3="","",CF表!BZ37/10000)</f>
        <v/>
      </c>
      <c r="CA37" s="240">
        <f>IF(CF表!CA$3="","",CF表!CA37/10000)</f>
        <v/>
      </c>
      <c r="CB37" s="240">
        <f>IF(CF表!CB$3="","",CF表!CB37/10000)</f>
        <v/>
      </c>
      <c r="CC37" s="240">
        <f>IF(CF表!CC$3="","",CF表!CC37/10000)</f>
        <v/>
      </c>
      <c r="CD37" s="240">
        <f>IF(CF表!CD$3="","",CF表!CD37/10000)</f>
        <v/>
      </c>
      <c r="CE37" s="240">
        <f>IF(CF表!CE$3="","",CF表!CE37/10000)</f>
        <v/>
      </c>
      <c r="CF37" s="240">
        <f>IF(CF表!CF$3="","",CF表!CF37/10000)</f>
        <v/>
      </c>
      <c r="CG37" s="240">
        <f>IF(CF表!CG$3="","",CF表!CG37/10000)</f>
        <v/>
      </c>
      <c r="CH37" s="240">
        <f>IF(CF表!CH$3="","",CF表!CH37/10000)</f>
        <v/>
      </c>
      <c r="CI37" s="240">
        <f>IF(CF表!CI$3="","",CF表!CI37/10000)</f>
        <v/>
      </c>
      <c r="CJ37" s="240">
        <f>IF(CF表!CJ$3="","",CF表!CJ37/10000)</f>
        <v/>
      </c>
      <c r="CK37" s="240">
        <f>IF(CF表!CK$3="","",CF表!CK37/10000)</f>
        <v/>
      </c>
      <c r="CL37" s="240">
        <f>IF(CF表!CL$3="","",CF表!CL37/10000)</f>
        <v/>
      </c>
      <c r="CM37" s="240">
        <f>IF(CF表!CM$3="","",CF表!CM37/10000)</f>
        <v/>
      </c>
      <c r="CN37" s="240">
        <f>IF(CF表!CN$3="","",CF表!CN37/10000)</f>
        <v/>
      </c>
      <c r="CO37" s="240">
        <f>IF(CF表!CO$3="","",CF表!CO37/10000)</f>
        <v/>
      </c>
      <c r="CP37" s="240">
        <f>IF(CF表!CP$3="","",CF表!CP37/10000)</f>
        <v/>
      </c>
      <c r="CQ37" s="240">
        <f>IF(CF表!CQ$3="","",CF表!CQ37/10000)</f>
        <v/>
      </c>
      <c r="CR37" s="240">
        <f>IF(CF表!CR$3="","",CF表!CR37/10000)</f>
        <v/>
      </c>
      <c r="CS37" s="240">
        <f>IF(CF表!CS$3="","",CF表!CS37/10000)</f>
        <v/>
      </c>
      <c r="CT37" s="240">
        <f>IF(CF表!CT$3="","",CF表!CT37/10000)</f>
        <v/>
      </c>
      <c r="CU37" s="240">
        <f>IF(CF表!CU$3="","",CF表!CU37/10000)</f>
        <v/>
      </c>
      <c r="CV37" s="240">
        <f>IF(CF表!CV$3="","",CF表!CV37/10000)</f>
        <v/>
      </c>
      <c r="CW37" s="240">
        <f>IF(CF表!CW$3="","",CF表!CW37/10000)</f>
        <v/>
      </c>
    </row>
    <row r="38" hidden="1" ht="16.5" customHeight="1" s="180">
      <c r="A38" s="239" t="inlineStr">
        <is>
          <t>預貯金前年差引前(補助)</t>
        </is>
      </c>
      <c r="B38" s="240">
        <f>IF(CF表!B$3="","",CF表!B38/10000)</f>
        <v/>
      </c>
      <c r="C38" s="240">
        <f>IF(CF表!C$3="","",CF表!C38/10000)</f>
        <v/>
      </c>
      <c r="D38" s="240">
        <f>IF(CF表!D$3="","",CF表!D38/10000)</f>
        <v/>
      </c>
      <c r="E38" s="240">
        <f>IF(CF表!E$3="","",CF表!E38/10000)</f>
        <v/>
      </c>
      <c r="F38" s="240">
        <f>IF(CF表!F$3="","",CF表!F38/10000)</f>
        <v/>
      </c>
      <c r="G38" s="240">
        <f>IF(CF表!G$3="","",CF表!G38/10000)</f>
        <v/>
      </c>
      <c r="H38" s="240">
        <f>IF(CF表!H$3="","",CF表!H38/10000)</f>
        <v/>
      </c>
      <c r="I38" s="240">
        <f>IF(CF表!I$3="","",CF表!I38/10000)</f>
        <v/>
      </c>
      <c r="J38" s="240">
        <f>IF(CF表!J$3="","",CF表!J38/10000)</f>
        <v/>
      </c>
      <c r="K38" s="240">
        <f>IF(CF表!K$3="","",CF表!K38/10000)</f>
        <v/>
      </c>
      <c r="L38" s="240">
        <f>IF(CF表!L$3="","",CF表!L38/10000)</f>
        <v/>
      </c>
      <c r="M38" s="240">
        <f>IF(CF表!M$3="","",CF表!M38/10000)</f>
        <v/>
      </c>
      <c r="N38" s="240">
        <f>IF(CF表!N$3="","",CF表!N38/10000)</f>
        <v/>
      </c>
      <c r="O38" s="240">
        <f>IF(CF表!O$3="","",CF表!O38/10000)</f>
        <v/>
      </c>
      <c r="P38" s="240">
        <f>IF(CF表!P$3="","",CF表!P38/10000)</f>
        <v/>
      </c>
      <c r="Q38" s="240">
        <f>IF(CF表!Q$3="","",CF表!Q38/10000)</f>
        <v/>
      </c>
      <c r="R38" s="240">
        <f>IF(CF表!R$3="","",CF表!R38/10000)</f>
        <v/>
      </c>
      <c r="S38" s="240">
        <f>IF(CF表!S$3="","",CF表!S38/10000)</f>
        <v/>
      </c>
      <c r="T38" s="240">
        <f>IF(CF表!T$3="","",CF表!T38/10000)</f>
        <v/>
      </c>
      <c r="U38" s="240">
        <f>IF(CF表!U$3="","",CF表!U38/10000)</f>
        <v/>
      </c>
      <c r="V38" s="240">
        <f>IF(CF表!V$3="","",CF表!V38/10000)</f>
        <v/>
      </c>
      <c r="W38" s="240">
        <f>IF(CF表!W$3="","",CF表!W38/10000)</f>
        <v/>
      </c>
      <c r="X38" s="240">
        <f>IF(CF表!X$3="","",CF表!X38/10000)</f>
        <v/>
      </c>
      <c r="Y38" s="240">
        <f>IF(CF表!Y$3="","",CF表!Y38/10000)</f>
        <v/>
      </c>
      <c r="Z38" s="240">
        <f>IF(CF表!Z$3="","",CF表!Z38/10000)</f>
        <v/>
      </c>
      <c r="AA38" s="240">
        <f>IF(CF表!AA$3="","",CF表!AA38/10000)</f>
        <v/>
      </c>
      <c r="AB38" s="240">
        <f>IF(CF表!AB$3="","",CF表!AB38/10000)</f>
        <v/>
      </c>
      <c r="AC38" s="240">
        <f>IF(CF表!AC$3="","",CF表!AC38/10000)</f>
        <v/>
      </c>
      <c r="AD38" s="240">
        <f>IF(CF表!AD$3="","",CF表!AD38/10000)</f>
        <v/>
      </c>
      <c r="AE38" s="240">
        <f>IF(CF表!AE$3="","",CF表!AE38/10000)</f>
        <v/>
      </c>
      <c r="AF38" s="240">
        <f>IF(CF表!AF$3="","",CF表!AF38/10000)</f>
        <v/>
      </c>
      <c r="AG38" s="240">
        <f>IF(CF表!AG$3="","",CF表!AG38/10000)</f>
        <v/>
      </c>
      <c r="AH38" s="240">
        <f>IF(CF表!AH$3="","",CF表!AH38/10000)</f>
        <v/>
      </c>
      <c r="AI38" s="240">
        <f>IF(CF表!AI$3="","",CF表!AI38/10000)</f>
        <v/>
      </c>
      <c r="AJ38" s="240">
        <f>IF(CF表!AJ$3="","",CF表!AJ38/10000)</f>
        <v/>
      </c>
      <c r="AK38" s="240">
        <f>IF(CF表!AK$3="","",CF表!AK38/10000)</f>
        <v/>
      </c>
      <c r="AL38" s="240">
        <f>IF(CF表!AL$3="","",CF表!AL38/10000)</f>
        <v/>
      </c>
      <c r="AM38" s="240">
        <f>IF(CF表!AM$3="","",CF表!AM38/10000)</f>
        <v/>
      </c>
      <c r="AN38" s="240">
        <f>IF(CF表!AN$3="","",CF表!AN38/10000)</f>
        <v/>
      </c>
      <c r="AO38" s="240">
        <f>IF(CF表!AO$3="","",CF表!AO38/10000)</f>
        <v/>
      </c>
      <c r="AP38" s="240">
        <f>IF(CF表!AP$3="","",CF表!AP38/10000)</f>
        <v/>
      </c>
      <c r="AQ38" s="240">
        <f>IF(CF表!AQ$3="","",CF表!AQ38/10000)</f>
        <v/>
      </c>
      <c r="AR38" s="240">
        <f>IF(CF表!AR$3="","",CF表!AR38/10000)</f>
        <v/>
      </c>
      <c r="AS38" s="240">
        <f>IF(CF表!AS$3="","",CF表!AS38/10000)</f>
        <v/>
      </c>
      <c r="AT38" s="240">
        <f>IF(CF表!AT$3="","",CF表!AT38/10000)</f>
        <v/>
      </c>
      <c r="AU38" s="240">
        <f>IF(CF表!AU$3="","",CF表!AU38/10000)</f>
        <v/>
      </c>
      <c r="AV38" s="240">
        <f>IF(CF表!AV$3="","",CF表!AV38/10000)</f>
        <v/>
      </c>
      <c r="AW38" s="240">
        <f>IF(CF表!AW$3="","",CF表!AW38/10000)</f>
        <v/>
      </c>
      <c r="AX38" s="240">
        <f>IF(CF表!AX$3="","",CF表!AX38/10000)</f>
        <v/>
      </c>
      <c r="AY38" s="240">
        <f>IF(CF表!AY$3="","",CF表!AY38/10000)</f>
        <v/>
      </c>
      <c r="AZ38" s="240">
        <f>IF(CF表!AZ$3="","",CF表!AZ38/10000)</f>
        <v/>
      </c>
      <c r="BA38" s="240">
        <f>IF(CF表!BA$3="","",CF表!BA38/10000)</f>
        <v/>
      </c>
      <c r="BB38" s="240">
        <f>IF(CF表!BB$3="","",CF表!BB38/10000)</f>
        <v/>
      </c>
      <c r="BC38" s="240">
        <f>IF(CF表!BC$3="","",CF表!BC38/10000)</f>
        <v/>
      </c>
      <c r="BD38" s="240">
        <f>IF(CF表!BD$3="","",CF表!BD38/10000)</f>
        <v/>
      </c>
      <c r="BE38" s="240">
        <f>IF(CF表!BE$3="","",CF表!BE38/10000)</f>
        <v/>
      </c>
      <c r="BF38" s="240">
        <f>IF(CF表!BF$3="","",CF表!BF38/10000)</f>
        <v/>
      </c>
      <c r="BG38" s="240">
        <f>IF(CF表!BG$3="","",CF表!BG38/10000)</f>
        <v/>
      </c>
      <c r="BH38" s="240">
        <f>IF(CF表!BH$3="","",CF表!BH38/10000)</f>
        <v/>
      </c>
      <c r="BI38" s="240">
        <f>IF(CF表!BI$3="","",CF表!BI38/10000)</f>
        <v/>
      </c>
      <c r="BJ38" s="240">
        <f>IF(CF表!BJ$3="","",CF表!BJ38/10000)</f>
        <v/>
      </c>
      <c r="BK38" s="240">
        <f>IF(CF表!BK$3="","",CF表!BK38/10000)</f>
        <v/>
      </c>
      <c r="BL38" s="240">
        <f>IF(CF表!BL$3="","",CF表!BL38/10000)</f>
        <v/>
      </c>
      <c r="BM38" s="240">
        <f>IF(CF表!BM$3="","",CF表!BM38/10000)</f>
        <v/>
      </c>
      <c r="BN38" s="240">
        <f>IF(CF表!BN$3="","",CF表!BN38/10000)</f>
        <v/>
      </c>
      <c r="BO38" s="240">
        <f>IF(CF表!BO$3="","",CF表!BO38/10000)</f>
        <v/>
      </c>
      <c r="BP38" s="240">
        <f>IF(CF表!BP$3="","",CF表!BP38/10000)</f>
        <v/>
      </c>
      <c r="BQ38" s="240">
        <f>IF(CF表!BQ$3="","",CF表!BQ38/10000)</f>
        <v/>
      </c>
      <c r="BR38" s="240">
        <f>IF(CF表!BR$3="","",CF表!BR38/10000)</f>
        <v/>
      </c>
      <c r="BS38" s="240">
        <f>IF(CF表!BS$3="","",CF表!BS38/10000)</f>
        <v/>
      </c>
      <c r="BT38" s="240">
        <f>IF(CF表!BT$3="","",CF表!BT38/10000)</f>
        <v/>
      </c>
      <c r="BU38" s="240">
        <f>IF(CF表!BU$3="","",CF表!BU38/10000)</f>
        <v/>
      </c>
      <c r="BV38" s="240">
        <f>IF(CF表!BV$3="","",CF表!BV38/10000)</f>
        <v/>
      </c>
      <c r="BW38" s="240">
        <f>IF(CF表!BW$3="","",CF表!BW38/10000)</f>
        <v/>
      </c>
      <c r="BX38" s="240">
        <f>IF(CF表!BX$3="","",CF表!BX38/10000)</f>
        <v/>
      </c>
      <c r="BY38" s="240">
        <f>IF(CF表!BY$3="","",CF表!BY38/10000)</f>
        <v/>
      </c>
      <c r="BZ38" s="240">
        <f>IF(CF表!BZ$3="","",CF表!BZ38/10000)</f>
        <v/>
      </c>
      <c r="CA38" s="240">
        <f>IF(CF表!CA$3="","",CF表!CA38/10000)</f>
        <v/>
      </c>
      <c r="CB38" s="240">
        <f>IF(CF表!CB$3="","",CF表!CB38/10000)</f>
        <v/>
      </c>
      <c r="CC38" s="240">
        <f>IF(CF表!CC$3="","",CF表!CC38/10000)</f>
        <v/>
      </c>
      <c r="CD38" s="240">
        <f>IF(CF表!CD$3="","",CF表!CD38/10000)</f>
        <v/>
      </c>
      <c r="CE38" s="240">
        <f>IF(CF表!CE$3="","",CF表!CE38/10000)</f>
        <v/>
      </c>
      <c r="CF38" s="240">
        <f>IF(CF表!CF$3="","",CF表!CF38/10000)</f>
        <v/>
      </c>
      <c r="CG38" s="240">
        <f>IF(CF表!CG$3="","",CF表!CG38/10000)</f>
        <v/>
      </c>
      <c r="CH38" s="240">
        <f>IF(CF表!CH$3="","",CF表!CH38/10000)</f>
        <v/>
      </c>
      <c r="CI38" s="240">
        <f>IF(CF表!CI$3="","",CF表!CI38/10000)</f>
        <v/>
      </c>
      <c r="CJ38" s="240">
        <f>IF(CF表!CJ$3="","",CF表!CJ38/10000)</f>
        <v/>
      </c>
      <c r="CK38" s="240">
        <f>IF(CF表!CK$3="","",CF表!CK38/10000)</f>
        <v/>
      </c>
      <c r="CL38" s="240">
        <f>IF(CF表!CL$3="","",CF表!CL38/10000)</f>
        <v/>
      </c>
      <c r="CM38" s="240">
        <f>IF(CF表!CM$3="","",CF表!CM38/10000)</f>
        <v/>
      </c>
      <c r="CN38" s="240">
        <f>IF(CF表!CN$3="","",CF表!CN38/10000)</f>
        <v/>
      </c>
      <c r="CO38" s="240">
        <f>IF(CF表!CO$3="","",CF表!CO38/10000)</f>
        <v/>
      </c>
      <c r="CP38" s="240">
        <f>IF(CF表!CP$3="","",CF表!CP38/10000)</f>
        <v/>
      </c>
      <c r="CQ38" s="240">
        <f>IF(CF表!CQ$3="","",CF表!CQ38/10000)</f>
        <v/>
      </c>
      <c r="CR38" s="240">
        <f>IF(CF表!CR$3="","",CF表!CR38/10000)</f>
        <v/>
      </c>
      <c r="CS38" s="240">
        <f>IF(CF表!CS$3="","",CF表!CS38/10000)</f>
        <v/>
      </c>
      <c r="CT38" s="240">
        <f>IF(CF表!CT$3="","",CF表!CT38/10000)</f>
        <v/>
      </c>
      <c r="CU38" s="240">
        <f>IF(CF表!CU$3="","",CF表!CU38/10000)</f>
        <v/>
      </c>
      <c r="CV38" s="240">
        <f>IF(CF表!CV$3="","",CF表!CV38/10000)</f>
        <v/>
      </c>
      <c r="CW38" s="240">
        <f>IF(CF表!CW$3="","",CF表!CW38/10000)</f>
        <v/>
      </c>
    </row>
    <row r="39" hidden="1" ht="16.5" customHeight="1" s="180">
      <c r="A39" s="239" t="inlineStr">
        <is>
          <t>投資取り崩し額(補助)</t>
        </is>
      </c>
      <c r="B39" s="240">
        <f>IF(CF表!B$3="","",CF表!B39/10000)</f>
        <v/>
      </c>
      <c r="C39" s="240">
        <f>IF(CF表!C$3="","",CF表!C39/10000)</f>
        <v/>
      </c>
      <c r="D39" s="240">
        <f>IF(CF表!D$3="","",CF表!D39/10000)</f>
        <v/>
      </c>
      <c r="E39" s="240">
        <f>IF(CF表!E$3="","",CF表!E39/10000)</f>
        <v/>
      </c>
      <c r="F39" s="240">
        <f>IF(CF表!F$3="","",CF表!F39/10000)</f>
        <v/>
      </c>
      <c r="G39" s="240">
        <f>IF(CF表!G$3="","",CF表!G39/10000)</f>
        <v/>
      </c>
      <c r="H39" s="240">
        <f>IF(CF表!H$3="","",CF表!H39/10000)</f>
        <v/>
      </c>
      <c r="I39" s="240">
        <f>IF(CF表!I$3="","",CF表!I39/10000)</f>
        <v/>
      </c>
      <c r="J39" s="240">
        <f>IF(CF表!J$3="","",CF表!J39/10000)</f>
        <v/>
      </c>
      <c r="K39" s="240">
        <f>IF(CF表!K$3="","",CF表!K39/10000)</f>
        <v/>
      </c>
      <c r="L39" s="240">
        <f>IF(CF表!L$3="","",CF表!L39/10000)</f>
        <v/>
      </c>
      <c r="M39" s="240">
        <f>IF(CF表!M$3="","",CF表!M39/10000)</f>
        <v/>
      </c>
      <c r="N39" s="240">
        <f>IF(CF表!N$3="","",CF表!N39/10000)</f>
        <v/>
      </c>
      <c r="O39" s="240">
        <f>IF(CF表!O$3="","",CF表!O39/10000)</f>
        <v/>
      </c>
      <c r="P39" s="240">
        <f>IF(CF表!P$3="","",CF表!P39/10000)</f>
        <v/>
      </c>
      <c r="Q39" s="240">
        <f>IF(CF表!Q$3="","",CF表!Q39/10000)</f>
        <v/>
      </c>
      <c r="R39" s="240">
        <f>IF(CF表!R$3="","",CF表!R39/10000)</f>
        <v/>
      </c>
      <c r="S39" s="240">
        <f>IF(CF表!S$3="","",CF表!S39/10000)</f>
        <v/>
      </c>
      <c r="T39" s="240">
        <f>IF(CF表!T$3="","",CF表!T39/10000)</f>
        <v/>
      </c>
      <c r="U39" s="240">
        <f>IF(CF表!U$3="","",CF表!U39/10000)</f>
        <v/>
      </c>
      <c r="V39" s="240">
        <f>IF(CF表!V$3="","",CF表!V39/10000)</f>
        <v/>
      </c>
      <c r="W39" s="240">
        <f>IF(CF表!W$3="","",CF表!W39/10000)</f>
        <v/>
      </c>
      <c r="X39" s="240">
        <f>IF(CF表!X$3="","",CF表!X39/10000)</f>
        <v/>
      </c>
      <c r="Y39" s="240">
        <f>IF(CF表!Y$3="","",CF表!Y39/10000)</f>
        <v/>
      </c>
      <c r="Z39" s="240">
        <f>IF(CF表!Z$3="","",CF表!Z39/10000)</f>
        <v/>
      </c>
      <c r="AA39" s="240">
        <f>IF(CF表!AA$3="","",CF表!AA39/10000)</f>
        <v/>
      </c>
      <c r="AB39" s="240">
        <f>IF(CF表!AB$3="","",CF表!AB39/10000)</f>
        <v/>
      </c>
      <c r="AC39" s="240">
        <f>IF(CF表!AC$3="","",CF表!AC39/10000)</f>
        <v/>
      </c>
      <c r="AD39" s="240">
        <f>IF(CF表!AD$3="","",CF表!AD39/10000)</f>
        <v/>
      </c>
      <c r="AE39" s="240">
        <f>IF(CF表!AE$3="","",CF表!AE39/10000)</f>
        <v/>
      </c>
      <c r="AF39" s="240">
        <f>IF(CF表!AF$3="","",CF表!AF39/10000)</f>
        <v/>
      </c>
      <c r="AG39" s="240">
        <f>IF(CF表!AG$3="","",CF表!AG39/10000)</f>
        <v/>
      </c>
      <c r="AH39" s="240">
        <f>IF(CF表!AH$3="","",CF表!AH39/10000)</f>
        <v/>
      </c>
      <c r="AI39" s="240">
        <f>IF(CF表!AI$3="","",CF表!AI39/10000)</f>
        <v/>
      </c>
      <c r="AJ39" s="240">
        <f>IF(CF表!AJ$3="","",CF表!AJ39/10000)</f>
        <v/>
      </c>
      <c r="AK39" s="240">
        <f>IF(CF表!AK$3="","",CF表!AK39/10000)</f>
        <v/>
      </c>
      <c r="AL39" s="240">
        <f>IF(CF表!AL$3="","",CF表!AL39/10000)</f>
        <v/>
      </c>
      <c r="AM39" s="240">
        <f>IF(CF表!AM$3="","",CF表!AM39/10000)</f>
        <v/>
      </c>
      <c r="AN39" s="240">
        <f>IF(CF表!AN$3="","",CF表!AN39/10000)</f>
        <v/>
      </c>
      <c r="AO39" s="240">
        <f>IF(CF表!AO$3="","",CF表!AO39/10000)</f>
        <v/>
      </c>
      <c r="AP39" s="240">
        <f>IF(CF表!AP$3="","",CF表!AP39/10000)</f>
        <v/>
      </c>
      <c r="AQ39" s="240">
        <f>IF(CF表!AQ$3="","",CF表!AQ39/10000)</f>
        <v/>
      </c>
      <c r="AR39" s="240">
        <f>IF(CF表!AR$3="","",CF表!AR39/10000)</f>
        <v/>
      </c>
      <c r="AS39" s="240">
        <f>IF(CF表!AS$3="","",CF表!AS39/10000)</f>
        <v/>
      </c>
      <c r="AT39" s="240">
        <f>IF(CF表!AT$3="","",CF表!AT39/10000)</f>
        <v/>
      </c>
      <c r="AU39" s="240">
        <f>IF(CF表!AU$3="","",CF表!AU39/10000)</f>
        <v/>
      </c>
      <c r="AV39" s="240">
        <f>IF(CF表!AV$3="","",CF表!AV39/10000)</f>
        <v/>
      </c>
      <c r="AW39" s="240">
        <f>IF(CF表!AW$3="","",CF表!AW39/10000)</f>
        <v/>
      </c>
      <c r="AX39" s="240">
        <f>IF(CF表!AX$3="","",CF表!AX39/10000)</f>
        <v/>
      </c>
      <c r="AY39" s="240">
        <f>IF(CF表!AY$3="","",CF表!AY39/10000)</f>
        <v/>
      </c>
      <c r="AZ39" s="240">
        <f>IF(CF表!AZ$3="","",CF表!AZ39/10000)</f>
        <v/>
      </c>
      <c r="BA39" s="240">
        <f>IF(CF表!BA$3="","",CF表!BA39/10000)</f>
        <v/>
      </c>
      <c r="BB39" s="240">
        <f>IF(CF表!BB$3="","",CF表!BB39/10000)</f>
        <v/>
      </c>
      <c r="BC39" s="240">
        <f>IF(CF表!BC$3="","",CF表!BC39/10000)</f>
        <v/>
      </c>
      <c r="BD39" s="240">
        <f>IF(CF表!BD$3="","",CF表!BD39/10000)</f>
        <v/>
      </c>
      <c r="BE39" s="240">
        <f>IF(CF表!BE$3="","",CF表!BE39/10000)</f>
        <v/>
      </c>
      <c r="BF39" s="240">
        <f>IF(CF表!BF$3="","",CF表!BF39/10000)</f>
        <v/>
      </c>
      <c r="BG39" s="240">
        <f>IF(CF表!BG$3="","",CF表!BG39/10000)</f>
        <v/>
      </c>
      <c r="BH39" s="240">
        <f>IF(CF表!BH$3="","",CF表!BH39/10000)</f>
        <v/>
      </c>
      <c r="BI39" s="240">
        <f>IF(CF表!BI$3="","",CF表!BI39/10000)</f>
        <v/>
      </c>
      <c r="BJ39" s="240">
        <f>IF(CF表!BJ$3="","",CF表!BJ39/10000)</f>
        <v/>
      </c>
      <c r="BK39" s="240">
        <f>IF(CF表!BK$3="","",CF表!BK39/10000)</f>
        <v/>
      </c>
      <c r="BL39" s="240">
        <f>IF(CF表!BL$3="","",CF表!BL39/10000)</f>
        <v/>
      </c>
      <c r="BM39" s="240">
        <f>IF(CF表!BM$3="","",CF表!BM39/10000)</f>
        <v/>
      </c>
      <c r="BN39" s="240">
        <f>IF(CF表!BN$3="","",CF表!BN39/10000)</f>
        <v/>
      </c>
      <c r="BO39" s="240">
        <f>IF(CF表!BO$3="","",CF表!BO39/10000)</f>
        <v/>
      </c>
      <c r="BP39" s="240">
        <f>IF(CF表!BP$3="","",CF表!BP39/10000)</f>
        <v/>
      </c>
      <c r="BQ39" s="240">
        <f>IF(CF表!BQ$3="","",CF表!BQ39/10000)</f>
        <v/>
      </c>
      <c r="BR39" s="240">
        <f>IF(CF表!BR$3="","",CF表!BR39/10000)</f>
        <v/>
      </c>
      <c r="BS39" s="240">
        <f>IF(CF表!BS$3="","",CF表!BS39/10000)</f>
        <v/>
      </c>
      <c r="BT39" s="240">
        <f>IF(CF表!BT$3="","",CF表!BT39/10000)</f>
        <v/>
      </c>
      <c r="BU39" s="240">
        <f>IF(CF表!BU$3="","",CF表!BU39/10000)</f>
        <v/>
      </c>
      <c r="BV39" s="240">
        <f>IF(CF表!BV$3="","",CF表!BV39/10000)</f>
        <v/>
      </c>
      <c r="BW39" s="240">
        <f>IF(CF表!BW$3="","",CF表!BW39/10000)</f>
        <v/>
      </c>
      <c r="BX39" s="240">
        <f>IF(CF表!BX$3="","",CF表!BX39/10000)</f>
        <v/>
      </c>
      <c r="BY39" s="240">
        <f>IF(CF表!BY$3="","",CF表!BY39/10000)</f>
        <v/>
      </c>
      <c r="BZ39" s="240">
        <f>IF(CF表!BZ$3="","",CF表!BZ39/10000)</f>
        <v/>
      </c>
      <c r="CA39" s="240">
        <f>IF(CF表!CA$3="","",CF表!CA39/10000)</f>
        <v/>
      </c>
      <c r="CB39" s="240">
        <f>IF(CF表!CB$3="","",CF表!CB39/10000)</f>
        <v/>
      </c>
      <c r="CC39" s="240">
        <f>IF(CF表!CC$3="","",CF表!CC39/10000)</f>
        <v/>
      </c>
      <c r="CD39" s="240">
        <f>IF(CF表!CD$3="","",CF表!CD39/10000)</f>
        <v/>
      </c>
      <c r="CE39" s="240">
        <f>IF(CF表!CE$3="","",CF表!CE39/10000)</f>
        <v/>
      </c>
      <c r="CF39" s="240">
        <f>IF(CF表!CF$3="","",CF表!CF39/10000)</f>
        <v/>
      </c>
      <c r="CG39" s="240">
        <f>IF(CF表!CG$3="","",CF表!CG39/10000)</f>
        <v/>
      </c>
      <c r="CH39" s="240">
        <f>IF(CF表!CH$3="","",CF表!CH39/10000)</f>
        <v/>
      </c>
      <c r="CI39" s="240">
        <f>IF(CF表!CI$3="","",CF表!CI39/10000)</f>
        <v/>
      </c>
      <c r="CJ39" s="240">
        <f>IF(CF表!CJ$3="","",CF表!CJ39/10000)</f>
        <v/>
      </c>
      <c r="CK39" s="240">
        <f>IF(CF表!CK$3="","",CF表!CK39/10000)</f>
        <v/>
      </c>
      <c r="CL39" s="240">
        <f>IF(CF表!CL$3="","",CF表!CL39/10000)</f>
        <v/>
      </c>
      <c r="CM39" s="240">
        <f>IF(CF表!CM$3="","",CF表!CM39/10000)</f>
        <v/>
      </c>
      <c r="CN39" s="240">
        <f>IF(CF表!CN$3="","",CF表!CN39/10000)</f>
        <v/>
      </c>
      <c r="CO39" s="240">
        <f>IF(CF表!CO$3="","",CF表!CO39/10000)</f>
        <v/>
      </c>
      <c r="CP39" s="240">
        <f>IF(CF表!CP$3="","",CF表!CP39/10000)</f>
        <v/>
      </c>
      <c r="CQ39" s="240">
        <f>IF(CF表!CQ$3="","",CF表!CQ39/10000)</f>
        <v/>
      </c>
      <c r="CR39" s="240">
        <f>IF(CF表!CR$3="","",CF表!CR39/10000)</f>
        <v/>
      </c>
      <c r="CS39" s="240">
        <f>IF(CF表!CS$3="","",CF表!CS39/10000)</f>
        <v/>
      </c>
      <c r="CT39" s="240">
        <f>IF(CF表!CT$3="","",CF表!CT39/10000)</f>
        <v/>
      </c>
      <c r="CU39" s="240">
        <f>IF(CF表!CU$3="","",CF表!CU39/10000)</f>
        <v/>
      </c>
      <c r="CV39" s="240">
        <f>IF(CF表!CV$3="","",CF表!CV39/10000)</f>
        <v/>
      </c>
      <c r="CW39" s="240">
        <f>IF(CF表!CW$3="","",CF表!CW39/10000)</f>
        <v/>
      </c>
    </row>
    <row r="40" hidden="1" ht="16.5" customHeight="1" s="180">
      <c r="A40" s="239" t="inlineStr">
        <is>
          <t>返戻金取り崩し額(補助)</t>
        </is>
      </c>
      <c r="B40" s="240">
        <f>IF(CF表!B$3="","",CF表!B40/10000)</f>
        <v/>
      </c>
      <c r="C40" s="240">
        <f>IF(CF表!C$3="","",CF表!C40/10000)</f>
        <v/>
      </c>
      <c r="D40" s="240">
        <f>IF(CF表!D$3="","",CF表!D40/10000)</f>
        <v/>
      </c>
      <c r="E40" s="240">
        <f>IF(CF表!E$3="","",CF表!E40/10000)</f>
        <v/>
      </c>
      <c r="F40" s="240">
        <f>IF(CF表!F$3="","",CF表!F40/10000)</f>
        <v/>
      </c>
      <c r="G40" s="240">
        <f>IF(CF表!G$3="","",CF表!G40/10000)</f>
        <v/>
      </c>
      <c r="H40" s="240">
        <f>IF(CF表!H$3="","",CF表!H40/10000)</f>
        <v/>
      </c>
      <c r="I40" s="240">
        <f>IF(CF表!I$3="","",CF表!I40/10000)</f>
        <v/>
      </c>
      <c r="J40" s="240">
        <f>IF(CF表!J$3="","",CF表!J40/10000)</f>
        <v/>
      </c>
      <c r="K40" s="240">
        <f>IF(CF表!K$3="","",CF表!K40/10000)</f>
        <v/>
      </c>
      <c r="L40" s="240">
        <f>IF(CF表!L$3="","",CF表!L40/10000)</f>
        <v/>
      </c>
      <c r="M40" s="240">
        <f>IF(CF表!M$3="","",CF表!M40/10000)</f>
        <v/>
      </c>
      <c r="N40" s="240">
        <f>IF(CF表!N$3="","",CF表!N40/10000)</f>
        <v/>
      </c>
      <c r="O40" s="240">
        <f>IF(CF表!O$3="","",CF表!O40/10000)</f>
        <v/>
      </c>
      <c r="P40" s="240">
        <f>IF(CF表!P$3="","",CF表!P40/10000)</f>
        <v/>
      </c>
      <c r="Q40" s="240">
        <f>IF(CF表!Q$3="","",CF表!Q40/10000)</f>
        <v/>
      </c>
      <c r="R40" s="240">
        <f>IF(CF表!R$3="","",CF表!R40/10000)</f>
        <v/>
      </c>
      <c r="S40" s="240">
        <f>IF(CF表!S$3="","",CF表!S40/10000)</f>
        <v/>
      </c>
      <c r="T40" s="240">
        <f>IF(CF表!T$3="","",CF表!T40/10000)</f>
        <v/>
      </c>
      <c r="U40" s="240">
        <f>IF(CF表!U$3="","",CF表!U40/10000)</f>
        <v/>
      </c>
      <c r="V40" s="240">
        <f>IF(CF表!V$3="","",CF表!V40/10000)</f>
        <v/>
      </c>
      <c r="W40" s="240">
        <f>IF(CF表!W$3="","",CF表!W40/10000)</f>
        <v/>
      </c>
      <c r="X40" s="240">
        <f>IF(CF表!X$3="","",CF表!X40/10000)</f>
        <v/>
      </c>
      <c r="Y40" s="240">
        <f>IF(CF表!Y$3="","",CF表!Y40/10000)</f>
        <v/>
      </c>
      <c r="Z40" s="240">
        <f>IF(CF表!Z$3="","",CF表!Z40/10000)</f>
        <v/>
      </c>
      <c r="AA40" s="240">
        <f>IF(CF表!AA$3="","",CF表!AA40/10000)</f>
        <v/>
      </c>
      <c r="AB40" s="240">
        <f>IF(CF表!AB$3="","",CF表!AB40/10000)</f>
        <v/>
      </c>
      <c r="AC40" s="240">
        <f>IF(CF表!AC$3="","",CF表!AC40/10000)</f>
        <v/>
      </c>
      <c r="AD40" s="240">
        <f>IF(CF表!AD$3="","",CF表!AD40/10000)</f>
        <v/>
      </c>
      <c r="AE40" s="240">
        <f>IF(CF表!AE$3="","",CF表!AE40/10000)</f>
        <v/>
      </c>
      <c r="AF40" s="240">
        <f>IF(CF表!AF$3="","",CF表!AF40/10000)</f>
        <v/>
      </c>
      <c r="AG40" s="240">
        <f>IF(CF表!AG$3="","",CF表!AG40/10000)</f>
        <v/>
      </c>
      <c r="AH40" s="240">
        <f>IF(CF表!AH$3="","",CF表!AH40/10000)</f>
        <v/>
      </c>
      <c r="AI40" s="240">
        <f>IF(CF表!AI$3="","",CF表!AI40/10000)</f>
        <v/>
      </c>
      <c r="AJ40" s="240">
        <f>IF(CF表!AJ$3="","",CF表!AJ40/10000)</f>
        <v/>
      </c>
      <c r="AK40" s="240">
        <f>IF(CF表!AK$3="","",CF表!AK40/10000)</f>
        <v/>
      </c>
      <c r="AL40" s="240">
        <f>IF(CF表!AL$3="","",CF表!AL40/10000)</f>
        <v/>
      </c>
      <c r="AM40" s="240">
        <f>IF(CF表!AM$3="","",CF表!AM40/10000)</f>
        <v/>
      </c>
      <c r="AN40" s="240">
        <f>IF(CF表!AN$3="","",CF表!AN40/10000)</f>
        <v/>
      </c>
      <c r="AO40" s="240">
        <f>IF(CF表!AO$3="","",CF表!AO40/10000)</f>
        <v/>
      </c>
      <c r="AP40" s="240">
        <f>IF(CF表!AP$3="","",CF表!AP40/10000)</f>
        <v/>
      </c>
      <c r="AQ40" s="240">
        <f>IF(CF表!AQ$3="","",CF表!AQ40/10000)</f>
        <v/>
      </c>
      <c r="AR40" s="240">
        <f>IF(CF表!AR$3="","",CF表!AR40/10000)</f>
        <v/>
      </c>
      <c r="AS40" s="240">
        <f>IF(CF表!AS$3="","",CF表!AS40/10000)</f>
        <v/>
      </c>
      <c r="AT40" s="240">
        <f>IF(CF表!AT$3="","",CF表!AT40/10000)</f>
        <v/>
      </c>
      <c r="AU40" s="240">
        <f>IF(CF表!AU$3="","",CF表!AU40/10000)</f>
        <v/>
      </c>
      <c r="AV40" s="240">
        <f>IF(CF表!AV$3="","",CF表!AV40/10000)</f>
        <v/>
      </c>
      <c r="AW40" s="240">
        <f>IF(CF表!AW$3="","",CF表!AW40/10000)</f>
        <v/>
      </c>
      <c r="AX40" s="240">
        <f>IF(CF表!AX$3="","",CF表!AX40/10000)</f>
        <v/>
      </c>
      <c r="AY40" s="240">
        <f>IF(CF表!AY$3="","",CF表!AY40/10000)</f>
        <v/>
      </c>
      <c r="AZ40" s="240">
        <f>IF(CF表!AZ$3="","",CF表!AZ40/10000)</f>
        <v/>
      </c>
      <c r="BA40" s="240">
        <f>IF(CF表!BA$3="","",CF表!BA40/10000)</f>
        <v/>
      </c>
      <c r="BB40" s="240">
        <f>IF(CF表!BB$3="","",CF表!BB40/10000)</f>
        <v/>
      </c>
      <c r="BC40" s="240">
        <f>IF(CF表!BC$3="","",CF表!BC40/10000)</f>
        <v/>
      </c>
      <c r="BD40" s="240">
        <f>IF(CF表!BD$3="","",CF表!BD40/10000)</f>
        <v/>
      </c>
      <c r="BE40" s="240">
        <f>IF(CF表!BE$3="","",CF表!BE40/10000)</f>
        <v/>
      </c>
      <c r="BF40" s="240">
        <f>IF(CF表!BF$3="","",CF表!BF40/10000)</f>
        <v/>
      </c>
      <c r="BG40" s="240">
        <f>IF(CF表!BG$3="","",CF表!BG40/10000)</f>
        <v/>
      </c>
      <c r="BH40" s="240">
        <f>IF(CF表!BH$3="","",CF表!BH40/10000)</f>
        <v/>
      </c>
      <c r="BI40" s="240">
        <f>IF(CF表!BI$3="","",CF表!BI40/10000)</f>
        <v/>
      </c>
      <c r="BJ40" s="240">
        <f>IF(CF表!BJ$3="","",CF表!BJ40/10000)</f>
        <v/>
      </c>
      <c r="BK40" s="240">
        <f>IF(CF表!BK$3="","",CF表!BK40/10000)</f>
        <v/>
      </c>
      <c r="BL40" s="240">
        <f>IF(CF表!BL$3="","",CF表!BL40/10000)</f>
        <v/>
      </c>
      <c r="BM40" s="240">
        <f>IF(CF表!BM$3="","",CF表!BM40/10000)</f>
        <v/>
      </c>
      <c r="BN40" s="240">
        <f>IF(CF表!BN$3="","",CF表!BN40/10000)</f>
        <v/>
      </c>
      <c r="BO40" s="240">
        <f>IF(CF表!BO$3="","",CF表!BO40/10000)</f>
        <v/>
      </c>
      <c r="BP40" s="240">
        <f>IF(CF表!BP$3="","",CF表!BP40/10000)</f>
        <v/>
      </c>
      <c r="BQ40" s="240">
        <f>IF(CF表!BQ$3="","",CF表!BQ40/10000)</f>
        <v/>
      </c>
      <c r="BR40" s="240">
        <f>IF(CF表!BR$3="","",CF表!BR40/10000)</f>
        <v/>
      </c>
      <c r="BS40" s="240">
        <f>IF(CF表!BS$3="","",CF表!BS40/10000)</f>
        <v/>
      </c>
      <c r="BT40" s="240">
        <f>IF(CF表!BT$3="","",CF表!BT40/10000)</f>
        <v/>
      </c>
      <c r="BU40" s="240">
        <f>IF(CF表!BU$3="","",CF表!BU40/10000)</f>
        <v/>
      </c>
      <c r="BV40" s="240">
        <f>IF(CF表!BV$3="","",CF表!BV40/10000)</f>
        <v/>
      </c>
      <c r="BW40" s="240">
        <f>IF(CF表!BW$3="","",CF表!BW40/10000)</f>
        <v/>
      </c>
      <c r="BX40" s="240">
        <f>IF(CF表!BX$3="","",CF表!BX40/10000)</f>
        <v/>
      </c>
      <c r="BY40" s="240">
        <f>IF(CF表!BY$3="","",CF表!BY40/10000)</f>
        <v/>
      </c>
      <c r="BZ40" s="240">
        <f>IF(CF表!BZ$3="","",CF表!BZ40/10000)</f>
        <v/>
      </c>
      <c r="CA40" s="240">
        <f>IF(CF表!CA$3="","",CF表!CA40/10000)</f>
        <v/>
      </c>
      <c r="CB40" s="240">
        <f>IF(CF表!CB$3="","",CF表!CB40/10000)</f>
        <v/>
      </c>
      <c r="CC40" s="240">
        <f>IF(CF表!CC$3="","",CF表!CC40/10000)</f>
        <v/>
      </c>
      <c r="CD40" s="240">
        <f>IF(CF表!CD$3="","",CF表!CD40/10000)</f>
        <v/>
      </c>
      <c r="CE40" s="240">
        <f>IF(CF表!CE$3="","",CF表!CE40/10000)</f>
        <v/>
      </c>
      <c r="CF40" s="240">
        <f>IF(CF表!CF$3="","",CF表!CF40/10000)</f>
        <v/>
      </c>
      <c r="CG40" s="240">
        <f>IF(CF表!CG$3="","",CF表!CG40/10000)</f>
        <v/>
      </c>
      <c r="CH40" s="240">
        <f>IF(CF表!CH$3="","",CF表!CH40/10000)</f>
        <v/>
      </c>
      <c r="CI40" s="240">
        <f>IF(CF表!CI$3="","",CF表!CI40/10000)</f>
        <v/>
      </c>
      <c r="CJ40" s="240">
        <f>IF(CF表!CJ$3="","",CF表!CJ40/10000)</f>
        <v/>
      </c>
      <c r="CK40" s="240">
        <f>IF(CF表!CK$3="","",CF表!CK40/10000)</f>
        <v/>
      </c>
      <c r="CL40" s="240">
        <f>IF(CF表!CL$3="","",CF表!CL40/10000)</f>
        <v/>
      </c>
      <c r="CM40" s="240">
        <f>IF(CF表!CM$3="","",CF表!CM40/10000)</f>
        <v/>
      </c>
      <c r="CN40" s="240">
        <f>IF(CF表!CN$3="","",CF表!CN40/10000)</f>
        <v/>
      </c>
      <c r="CO40" s="240">
        <f>IF(CF表!CO$3="","",CF表!CO40/10000)</f>
        <v/>
      </c>
      <c r="CP40" s="240">
        <f>IF(CF表!CP$3="","",CF表!CP40/10000)</f>
        <v/>
      </c>
      <c r="CQ40" s="240">
        <f>IF(CF表!CQ$3="","",CF表!CQ40/10000)</f>
        <v/>
      </c>
      <c r="CR40" s="240">
        <f>IF(CF表!CR$3="","",CF表!CR40/10000)</f>
        <v/>
      </c>
      <c r="CS40" s="240">
        <f>IF(CF表!CS$3="","",CF表!CS40/10000)</f>
        <v/>
      </c>
      <c r="CT40" s="240">
        <f>IF(CF表!CT$3="","",CF表!CT40/10000)</f>
        <v/>
      </c>
      <c r="CU40" s="240">
        <f>IF(CF表!CU$3="","",CF表!CU40/10000)</f>
        <v/>
      </c>
      <c r="CV40" s="240">
        <f>IF(CF表!CV$3="","",CF表!CV40/10000)</f>
        <v/>
      </c>
      <c r="CW40" s="240">
        <f>IF(CF表!CW$3="","",CF表!CW40/10000)</f>
        <v/>
      </c>
    </row>
    <row r="41" hidden="1" ht="16.5" customHeight="1" s="180">
      <c r="A41" s="239" t="inlineStr">
        <is>
          <t>年間住宅ローン元本返済(補助)</t>
        </is>
      </c>
      <c r="B41" s="240">
        <f>IF(CF表!B$3="","",CF表!B41/10000)</f>
        <v/>
      </c>
      <c r="C41" s="240">
        <f>IF(CF表!C$3="","",CF表!C41/10000)</f>
        <v/>
      </c>
      <c r="D41" s="240">
        <f>IF(CF表!D$3="","",CF表!D41/10000)</f>
        <v/>
      </c>
      <c r="E41" s="240">
        <f>IF(CF表!E$3="","",CF表!E41/10000)</f>
        <v/>
      </c>
      <c r="F41" s="240">
        <f>IF(CF表!F$3="","",CF表!F41/10000)</f>
        <v/>
      </c>
      <c r="G41" s="240">
        <f>IF(CF表!G$3="","",CF表!G41/10000)</f>
        <v/>
      </c>
      <c r="H41" s="240">
        <f>IF(CF表!H$3="","",CF表!H41/10000)</f>
        <v/>
      </c>
      <c r="I41" s="240">
        <f>IF(CF表!I$3="","",CF表!I41/10000)</f>
        <v/>
      </c>
      <c r="J41" s="240">
        <f>IF(CF表!J$3="","",CF表!J41/10000)</f>
        <v/>
      </c>
      <c r="K41" s="240">
        <f>IF(CF表!K$3="","",CF表!K41/10000)</f>
        <v/>
      </c>
      <c r="L41" s="240">
        <f>IF(CF表!L$3="","",CF表!L41/10000)</f>
        <v/>
      </c>
      <c r="M41" s="240">
        <f>IF(CF表!M$3="","",CF表!M41/10000)</f>
        <v/>
      </c>
      <c r="N41" s="240">
        <f>IF(CF表!N$3="","",CF表!N41/10000)</f>
        <v/>
      </c>
      <c r="O41" s="240">
        <f>IF(CF表!O$3="","",CF表!O41/10000)</f>
        <v/>
      </c>
      <c r="P41" s="240">
        <f>IF(CF表!P$3="","",CF表!P41/10000)</f>
        <v/>
      </c>
      <c r="Q41" s="240">
        <f>IF(CF表!Q$3="","",CF表!Q41/10000)</f>
        <v/>
      </c>
      <c r="R41" s="240">
        <f>IF(CF表!R$3="","",CF表!R41/10000)</f>
        <v/>
      </c>
      <c r="S41" s="240">
        <f>IF(CF表!S$3="","",CF表!S41/10000)</f>
        <v/>
      </c>
      <c r="T41" s="240">
        <f>IF(CF表!T$3="","",CF表!T41/10000)</f>
        <v/>
      </c>
      <c r="U41" s="240">
        <f>IF(CF表!U$3="","",CF表!U41/10000)</f>
        <v/>
      </c>
      <c r="V41" s="240">
        <f>IF(CF表!V$3="","",CF表!V41/10000)</f>
        <v/>
      </c>
      <c r="W41" s="240">
        <f>IF(CF表!W$3="","",CF表!W41/10000)</f>
        <v/>
      </c>
      <c r="X41" s="240">
        <f>IF(CF表!X$3="","",CF表!X41/10000)</f>
        <v/>
      </c>
      <c r="Y41" s="240">
        <f>IF(CF表!Y$3="","",CF表!Y41/10000)</f>
        <v/>
      </c>
      <c r="Z41" s="240">
        <f>IF(CF表!Z$3="","",CF表!Z41/10000)</f>
        <v/>
      </c>
      <c r="AA41" s="240">
        <f>IF(CF表!AA$3="","",CF表!AA41/10000)</f>
        <v/>
      </c>
      <c r="AB41" s="240">
        <f>IF(CF表!AB$3="","",CF表!AB41/10000)</f>
        <v/>
      </c>
      <c r="AC41" s="240">
        <f>IF(CF表!AC$3="","",CF表!AC41/10000)</f>
        <v/>
      </c>
      <c r="AD41" s="240">
        <f>IF(CF表!AD$3="","",CF表!AD41/10000)</f>
        <v/>
      </c>
      <c r="AE41" s="240">
        <f>IF(CF表!AE$3="","",CF表!AE41/10000)</f>
        <v/>
      </c>
      <c r="AF41" s="240">
        <f>IF(CF表!AF$3="","",CF表!AF41/10000)</f>
        <v/>
      </c>
      <c r="AG41" s="240">
        <f>IF(CF表!AG$3="","",CF表!AG41/10000)</f>
        <v/>
      </c>
      <c r="AH41" s="240">
        <f>IF(CF表!AH$3="","",CF表!AH41/10000)</f>
        <v/>
      </c>
      <c r="AI41" s="240">
        <f>IF(CF表!AI$3="","",CF表!AI41/10000)</f>
        <v/>
      </c>
      <c r="AJ41" s="240">
        <f>IF(CF表!AJ$3="","",CF表!AJ41/10000)</f>
        <v/>
      </c>
      <c r="AK41" s="240">
        <f>IF(CF表!AK$3="","",CF表!AK41/10000)</f>
        <v/>
      </c>
      <c r="AL41" s="240">
        <f>IF(CF表!AL$3="","",CF表!AL41/10000)</f>
        <v/>
      </c>
      <c r="AM41" s="240">
        <f>IF(CF表!AM$3="","",CF表!AM41/10000)</f>
        <v/>
      </c>
      <c r="AN41" s="240">
        <f>IF(CF表!AN$3="","",CF表!AN41/10000)</f>
        <v/>
      </c>
      <c r="AO41" s="240">
        <f>IF(CF表!AO$3="","",CF表!AO41/10000)</f>
        <v/>
      </c>
      <c r="AP41" s="240">
        <f>IF(CF表!AP$3="","",CF表!AP41/10000)</f>
        <v/>
      </c>
      <c r="AQ41" s="240">
        <f>IF(CF表!AQ$3="","",CF表!AQ41/10000)</f>
        <v/>
      </c>
      <c r="AR41" s="240">
        <f>IF(CF表!AR$3="","",CF表!AR41/10000)</f>
        <v/>
      </c>
      <c r="AS41" s="240">
        <f>IF(CF表!AS$3="","",CF表!AS41/10000)</f>
        <v/>
      </c>
      <c r="AT41" s="240">
        <f>IF(CF表!AT$3="","",CF表!AT41/10000)</f>
        <v/>
      </c>
      <c r="AU41" s="240">
        <f>IF(CF表!AU$3="","",CF表!AU41/10000)</f>
        <v/>
      </c>
      <c r="AV41" s="240">
        <f>IF(CF表!AV$3="","",CF表!AV41/10000)</f>
        <v/>
      </c>
      <c r="AW41" s="240">
        <f>IF(CF表!AW$3="","",CF表!AW41/10000)</f>
        <v/>
      </c>
      <c r="AX41" s="240">
        <f>IF(CF表!AX$3="","",CF表!AX41/10000)</f>
        <v/>
      </c>
      <c r="AY41" s="240">
        <f>IF(CF表!AY$3="","",CF表!AY41/10000)</f>
        <v/>
      </c>
      <c r="AZ41" s="240">
        <f>IF(CF表!AZ$3="","",CF表!AZ41/10000)</f>
        <v/>
      </c>
      <c r="BA41" s="240">
        <f>IF(CF表!BA$3="","",CF表!BA41/10000)</f>
        <v/>
      </c>
      <c r="BB41" s="240">
        <f>IF(CF表!BB$3="","",CF表!BB41/10000)</f>
        <v/>
      </c>
      <c r="BC41" s="240">
        <f>IF(CF表!BC$3="","",CF表!BC41/10000)</f>
        <v/>
      </c>
      <c r="BD41" s="240">
        <f>IF(CF表!BD$3="","",CF表!BD41/10000)</f>
        <v/>
      </c>
      <c r="BE41" s="240">
        <f>IF(CF表!BE$3="","",CF表!BE41/10000)</f>
        <v/>
      </c>
      <c r="BF41" s="240">
        <f>IF(CF表!BF$3="","",CF表!BF41/10000)</f>
        <v/>
      </c>
      <c r="BG41" s="240">
        <f>IF(CF表!BG$3="","",CF表!BG41/10000)</f>
        <v/>
      </c>
      <c r="BH41" s="240">
        <f>IF(CF表!BH$3="","",CF表!BH41/10000)</f>
        <v/>
      </c>
      <c r="BI41" s="240">
        <f>IF(CF表!BI$3="","",CF表!BI41/10000)</f>
        <v/>
      </c>
      <c r="BJ41" s="240">
        <f>IF(CF表!BJ$3="","",CF表!BJ41/10000)</f>
        <v/>
      </c>
      <c r="BK41" s="240">
        <f>IF(CF表!BK$3="","",CF表!BK41/10000)</f>
        <v/>
      </c>
      <c r="BL41" s="240">
        <f>IF(CF表!BL$3="","",CF表!BL41/10000)</f>
        <v/>
      </c>
      <c r="BM41" s="240">
        <f>IF(CF表!BM$3="","",CF表!BM41/10000)</f>
        <v/>
      </c>
      <c r="BN41" s="240">
        <f>IF(CF表!BN$3="","",CF表!BN41/10000)</f>
        <v/>
      </c>
      <c r="BO41" s="240">
        <f>IF(CF表!BO$3="","",CF表!BO41/10000)</f>
        <v/>
      </c>
      <c r="BP41" s="240">
        <f>IF(CF表!BP$3="","",CF表!BP41/10000)</f>
        <v/>
      </c>
      <c r="BQ41" s="240">
        <f>IF(CF表!BQ$3="","",CF表!BQ41/10000)</f>
        <v/>
      </c>
      <c r="BR41" s="240">
        <f>IF(CF表!BR$3="","",CF表!BR41/10000)</f>
        <v/>
      </c>
      <c r="BS41" s="240">
        <f>IF(CF表!BS$3="","",CF表!BS41/10000)</f>
        <v/>
      </c>
      <c r="BT41" s="240">
        <f>IF(CF表!BT$3="","",CF表!BT41/10000)</f>
        <v/>
      </c>
      <c r="BU41" s="240">
        <f>IF(CF表!BU$3="","",CF表!BU41/10000)</f>
        <v/>
      </c>
      <c r="BV41" s="240">
        <f>IF(CF表!BV$3="","",CF表!BV41/10000)</f>
        <v/>
      </c>
      <c r="BW41" s="240">
        <f>IF(CF表!BW$3="","",CF表!BW41/10000)</f>
        <v/>
      </c>
      <c r="BX41" s="240">
        <f>IF(CF表!BX$3="","",CF表!BX41/10000)</f>
        <v/>
      </c>
      <c r="BY41" s="240">
        <f>IF(CF表!BY$3="","",CF表!BY41/10000)</f>
        <v/>
      </c>
      <c r="BZ41" s="240">
        <f>IF(CF表!BZ$3="","",CF表!BZ41/10000)</f>
        <v/>
      </c>
      <c r="CA41" s="240">
        <f>IF(CF表!CA$3="","",CF表!CA41/10000)</f>
        <v/>
      </c>
      <c r="CB41" s="240">
        <f>IF(CF表!CB$3="","",CF表!CB41/10000)</f>
        <v/>
      </c>
      <c r="CC41" s="240">
        <f>IF(CF表!CC$3="","",CF表!CC41/10000)</f>
        <v/>
      </c>
      <c r="CD41" s="240">
        <f>IF(CF表!CD$3="","",CF表!CD41/10000)</f>
        <v/>
      </c>
      <c r="CE41" s="240">
        <f>IF(CF表!CE$3="","",CF表!CE41/10000)</f>
        <v/>
      </c>
      <c r="CF41" s="240">
        <f>IF(CF表!CF$3="","",CF表!CF41/10000)</f>
        <v/>
      </c>
      <c r="CG41" s="240">
        <f>IF(CF表!CG$3="","",CF表!CG41/10000)</f>
        <v/>
      </c>
      <c r="CH41" s="240">
        <f>IF(CF表!CH$3="","",CF表!CH41/10000)</f>
        <v/>
      </c>
      <c r="CI41" s="240">
        <f>IF(CF表!CI$3="","",CF表!CI41/10000)</f>
        <v/>
      </c>
      <c r="CJ41" s="240">
        <f>IF(CF表!CJ$3="","",CF表!CJ41/10000)</f>
        <v/>
      </c>
      <c r="CK41" s="240">
        <f>IF(CF表!CK$3="","",CF表!CK41/10000)</f>
        <v/>
      </c>
      <c r="CL41" s="240">
        <f>IF(CF表!CL$3="","",CF表!CL41/10000)</f>
        <v/>
      </c>
      <c r="CM41" s="240">
        <f>IF(CF表!CM$3="","",CF表!CM41/10000)</f>
        <v/>
      </c>
      <c r="CN41" s="240">
        <f>IF(CF表!CN$3="","",CF表!CN41/10000)</f>
        <v/>
      </c>
      <c r="CO41" s="240">
        <f>IF(CF表!CO$3="","",CF表!CO41/10000)</f>
        <v/>
      </c>
      <c r="CP41" s="240">
        <f>IF(CF表!CP$3="","",CF表!CP41/10000)</f>
        <v/>
      </c>
      <c r="CQ41" s="240">
        <f>IF(CF表!CQ$3="","",CF表!CQ41/10000)</f>
        <v/>
      </c>
      <c r="CR41" s="240">
        <f>IF(CF表!CR$3="","",CF表!CR41/10000)</f>
        <v/>
      </c>
      <c r="CS41" s="240">
        <f>IF(CF表!CS$3="","",CF表!CS41/10000)</f>
        <v/>
      </c>
      <c r="CT41" s="240">
        <f>IF(CF表!CT$3="","",CF表!CT41/10000)</f>
        <v/>
      </c>
      <c r="CU41" s="240">
        <f>IF(CF表!CU$3="","",CF表!CU41/10000)</f>
        <v/>
      </c>
      <c r="CV41" s="240">
        <f>IF(CF表!CV$3="","",CF表!CV41/10000)</f>
        <v/>
      </c>
      <c r="CW41" s="240">
        <f>IF(CF表!CW$3="","",CF表!CW41/10000)</f>
        <v/>
      </c>
    </row>
    <row r="42" hidden="1" ht="16.5" customHeight="1" s="180">
      <c r="A42" s="239" t="inlineStr">
        <is>
          <t>老後期フラグ(補助)</t>
        </is>
      </c>
      <c r="B42" s="240">
        <f>IF(CF表!B$3="","",CF表!B42/10000)</f>
        <v/>
      </c>
      <c r="C42" s="240">
        <f>IF(CF表!C$3="","",CF表!C42/10000)</f>
        <v/>
      </c>
      <c r="D42" s="240">
        <f>IF(CF表!D$3="","",CF表!D42/10000)</f>
        <v/>
      </c>
      <c r="E42" s="240">
        <f>IF(CF表!E$3="","",CF表!E42/10000)</f>
        <v/>
      </c>
      <c r="F42" s="240">
        <f>IF(CF表!F$3="","",CF表!F42/10000)</f>
        <v/>
      </c>
      <c r="G42" s="240">
        <f>IF(CF表!G$3="","",CF表!G42/10000)</f>
        <v/>
      </c>
      <c r="H42" s="240">
        <f>IF(CF表!H$3="","",CF表!H42/10000)</f>
        <v/>
      </c>
      <c r="I42" s="240">
        <f>IF(CF表!I$3="","",CF表!I42/10000)</f>
        <v/>
      </c>
      <c r="J42" s="240">
        <f>IF(CF表!J$3="","",CF表!J42/10000)</f>
        <v/>
      </c>
      <c r="K42" s="240">
        <f>IF(CF表!K$3="","",CF表!K42/10000)</f>
        <v/>
      </c>
      <c r="L42" s="240">
        <f>IF(CF表!L$3="","",CF表!L42/10000)</f>
        <v/>
      </c>
      <c r="M42" s="240">
        <f>IF(CF表!M$3="","",CF表!M42/10000)</f>
        <v/>
      </c>
      <c r="N42" s="240">
        <f>IF(CF表!N$3="","",CF表!N42/10000)</f>
        <v/>
      </c>
      <c r="O42" s="240">
        <f>IF(CF表!O$3="","",CF表!O42/10000)</f>
        <v/>
      </c>
      <c r="P42" s="240">
        <f>IF(CF表!P$3="","",CF表!P42/10000)</f>
        <v/>
      </c>
      <c r="Q42" s="240">
        <f>IF(CF表!Q$3="","",CF表!Q42/10000)</f>
        <v/>
      </c>
      <c r="R42" s="240">
        <f>IF(CF表!R$3="","",CF表!R42/10000)</f>
        <v/>
      </c>
      <c r="S42" s="240">
        <f>IF(CF表!S$3="","",CF表!S42/10000)</f>
        <v/>
      </c>
      <c r="T42" s="240">
        <f>IF(CF表!T$3="","",CF表!T42/10000)</f>
        <v/>
      </c>
      <c r="U42" s="240">
        <f>IF(CF表!U$3="","",CF表!U42/10000)</f>
        <v/>
      </c>
      <c r="V42" s="240">
        <f>IF(CF表!V$3="","",CF表!V42/10000)</f>
        <v/>
      </c>
      <c r="W42" s="240">
        <f>IF(CF表!W$3="","",CF表!W42/10000)</f>
        <v/>
      </c>
      <c r="X42" s="240">
        <f>IF(CF表!X$3="","",CF表!X42/10000)</f>
        <v/>
      </c>
      <c r="Y42" s="240">
        <f>IF(CF表!Y$3="","",CF表!Y42/10000)</f>
        <v/>
      </c>
      <c r="Z42" s="240">
        <f>IF(CF表!Z$3="","",CF表!Z42/10000)</f>
        <v/>
      </c>
      <c r="AA42" s="240">
        <f>IF(CF表!AA$3="","",CF表!AA42/10000)</f>
        <v/>
      </c>
      <c r="AB42" s="240">
        <f>IF(CF表!AB$3="","",CF表!AB42/10000)</f>
        <v/>
      </c>
      <c r="AC42" s="240">
        <f>IF(CF表!AC$3="","",CF表!AC42/10000)</f>
        <v/>
      </c>
      <c r="AD42" s="240">
        <f>IF(CF表!AD$3="","",CF表!AD42/10000)</f>
        <v/>
      </c>
      <c r="AE42" s="240">
        <f>IF(CF表!AE$3="","",CF表!AE42/10000)</f>
        <v/>
      </c>
      <c r="AF42" s="240">
        <f>IF(CF表!AF$3="","",CF表!AF42/10000)</f>
        <v/>
      </c>
      <c r="AG42" s="240">
        <f>IF(CF表!AG$3="","",CF表!AG42/10000)</f>
        <v/>
      </c>
      <c r="AH42" s="240">
        <f>IF(CF表!AH$3="","",CF表!AH42/10000)</f>
        <v/>
      </c>
      <c r="AI42" s="240">
        <f>IF(CF表!AI$3="","",CF表!AI42/10000)</f>
        <v/>
      </c>
      <c r="AJ42" s="240">
        <f>IF(CF表!AJ$3="","",CF表!AJ42/10000)</f>
        <v/>
      </c>
      <c r="AK42" s="240">
        <f>IF(CF表!AK$3="","",CF表!AK42/10000)</f>
        <v/>
      </c>
      <c r="AL42" s="240">
        <f>IF(CF表!AL$3="","",CF表!AL42/10000)</f>
        <v/>
      </c>
      <c r="AM42" s="240">
        <f>IF(CF表!AM$3="","",CF表!AM42/10000)</f>
        <v/>
      </c>
      <c r="AN42" s="240">
        <f>IF(CF表!AN$3="","",CF表!AN42/10000)</f>
        <v/>
      </c>
      <c r="AO42" s="240">
        <f>IF(CF表!AO$3="","",CF表!AO42/10000)</f>
        <v/>
      </c>
      <c r="AP42" s="240">
        <f>IF(CF表!AP$3="","",CF表!AP42/10000)</f>
        <v/>
      </c>
      <c r="AQ42" s="240">
        <f>IF(CF表!AQ$3="","",CF表!AQ42/10000)</f>
        <v/>
      </c>
      <c r="AR42" s="240">
        <f>IF(CF表!AR$3="","",CF表!AR42/10000)</f>
        <v/>
      </c>
      <c r="AS42" s="240">
        <f>IF(CF表!AS$3="","",CF表!AS42/10000)</f>
        <v/>
      </c>
      <c r="AT42" s="240">
        <f>IF(CF表!AT$3="","",CF表!AT42/10000)</f>
        <v/>
      </c>
      <c r="AU42" s="240">
        <f>IF(CF表!AU$3="","",CF表!AU42/10000)</f>
        <v/>
      </c>
      <c r="AV42" s="240">
        <f>IF(CF表!AV$3="","",CF表!AV42/10000)</f>
        <v/>
      </c>
      <c r="AW42" s="240">
        <f>IF(CF表!AW$3="","",CF表!AW42/10000)</f>
        <v/>
      </c>
      <c r="AX42" s="240">
        <f>IF(CF表!AX$3="","",CF表!AX42/10000)</f>
        <v/>
      </c>
      <c r="AY42" s="240">
        <f>IF(CF表!AY$3="","",CF表!AY42/10000)</f>
        <v/>
      </c>
      <c r="AZ42" s="240">
        <f>IF(CF表!AZ$3="","",CF表!AZ42/10000)</f>
        <v/>
      </c>
      <c r="BA42" s="240">
        <f>IF(CF表!BA$3="","",CF表!BA42/10000)</f>
        <v/>
      </c>
      <c r="BB42" s="240">
        <f>IF(CF表!BB$3="","",CF表!BB42/10000)</f>
        <v/>
      </c>
      <c r="BC42" s="240">
        <f>IF(CF表!BC$3="","",CF表!BC42/10000)</f>
        <v/>
      </c>
      <c r="BD42" s="240">
        <f>IF(CF表!BD$3="","",CF表!BD42/10000)</f>
        <v/>
      </c>
      <c r="BE42" s="240">
        <f>IF(CF表!BE$3="","",CF表!BE42/10000)</f>
        <v/>
      </c>
      <c r="BF42" s="240">
        <f>IF(CF表!BF$3="","",CF表!BF42/10000)</f>
        <v/>
      </c>
      <c r="BG42" s="240">
        <f>IF(CF表!BG$3="","",CF表!BG42/10000)</f>
        <v/>
      </c>
      <c r="BH42" s="240">
        <f>IF(CF表!BH$3="","",CF表!BH42/10000)</f>
        <v/>
      </c>
      <c r="BI42" s="240">
        <f>IF(CF表!BI$3="","",CF表!BI42/10000)</f>
        <v/>
      </c>
      <c r="BJ42" s="240">
        <f>IF(CF表!BJ$3="","",CF表!BJ42/10000)</f>
        <v/>
      </c>
      <c r="BK42" s="240">
        <f>IF(CF表!BK$3="","",CF表!BK42/10000)</f>
        <v/>
      </c>
      <c r="BL42" s="240">
        <f>IF(CF表!BL$3="","",CF表!BL42/10000)</f>
        <v/>
      </c>
      <c r="BM42" s="240">
        <f>IF(CF表!BM$3="","",CF表!BM42/10000)</f>
        <v/>
      </c>
      <c r="BN42" s="240">
        <f>IF(CF表!BN$3="","",CF表!BN42/10000)</f>
        <v/>
      </c>
      <c r="BO42" s="240">
        <f>IF(CF表!BO$3="","",CF表!BO42/10000)</f>
        <v/>
      </c>
      <c r="BP42" s="240">
        <f>IF(CF表!BP$3="","",CF表!BP42/10000)</f>
        <v/>
      </c>
      <c r="BQ42" s="240">
        <f>IF(CF表!BQ$3="","",CF表!BQ42/10000)</f>
        <v/>
      </c>
      <c r="BR42" s="240">
        <f>IF(CF表!BR$3="","",CF表!BR42/10000)</f>
        <v/>
      </c>
      <c r="BS42" s="240">
        <f>IF(CF表!BS$3="","",CF表!BS42/10000)</f>
        <v/>
      </c>
      <c r="BT42" s="240">
        <f>IF(CF表!BT$3="","",CF表!BT42/10000)</f>
        <v/>
      </c>
      <c r="BU42" s="240">
        <f>IF(CF表!BU$3="","",CF表!BU42/10000)</f>
        <v/>
      </c>
      <c r="BV42" s="240">
        <f>IF(CF表!BV$3="","",CF表!BV42/10000)</f>
        <v/>
      </c>
      <c r="BW42" s="240">
        <f>IF(CF表!BW$3="","",CF表!BW42/10000)</f>
        <v/>
      </c>
      <c r="BX42" s="240">
        <f>IF(CF表!BX$3="","",CF表!BX42/10000)</f>
        <v/>
      </c>
      <c r="BY42" s="240">
        <f>IF(CF表!BY$3="","",CF表!BY42/10000)</f>
        <v/>
      </c>
      <c r="BZ42" s="240">
        <f>IF(CF表!BZ$3="","",CF表!BZ42/10000)</f>
        <v/>
      </c>
      <c r="CA42" s="240">
        <f>IF(CF表!CA$3="","",CF表!CA42/10000)</f>
        <v/>
      </c>
      <c r="CB42" s="240">
        <f>IF(CF表!CB$3="","",CF表!CB42/10000)</f>
        <v/>
      </c>
      <c r="CC42" s="240">
        <f>IF(CF表!CC$3="","",CF表!CC42/10000)</f>
        <v/>
      </c>
      <c r="CD42" s="240">
        <f>IF(CF表!CD$3="","",CF表!CD42/10000)</f>
        <v/>
      </c>
      <c r="CE42" s="240">
        <f>IF(CF表!CE$3="","",CF表!CE42/10000)</f>
        <v/>
      </c>
      <c r="CF42" s="240">
        <f>IF(CF表!CF$3="","",CF表!CF42/10000)</f>
        <v/>
      </c>
      <c r="CG42" s="240">
        <f>IF(CF表!CG$3="","",CF表!CG42/10000)</f>
        <v/>
      </c>
      <c r="CH42" s="240">
        <f>IF(CF表!CH$3="","",CF表!CH42/10000)</f>
        <v/>
      </c>
      <c r="CI42" s="240">
        <f>IF(CF表!CI$3="","",CF表!CI42/10000)</f>
        <v/>
      </c>
      <c r="CJ42" s="240">
        <f>IF(CF表!CJ$3="","",CF表!CJ42/10000)</f>
        <v/>
      </c>
      <c r="CK42" s="240">
        <f>IF(CF表!CK$3="","",CF表!CK42/10000)</f>
        <v/>
      </c>
      <c r="CL42" s="240">
        <f>IF(CF表!CL$3="","",CF表!CL42/10000)</f>
        <v/>
      </c>
      <c r="CM42" s="240">
        <f>IF(CF表!CM$3="","",CF表!CM42/10000)</f>
        <v/>
      </c>
      <c r="CN42" s="240">
        <f>IF(CF表!CN$3="","",CF表!CN42/10000)</f>
        <v/>
      </c>
      <c r="CO42" s="240">
        <f>IF(CF表!CO$3="","",CF表!CO42/10000)</f>
        <v/>
      </c>
      <c r="CP42" s="240">
        <f>IF(CF表!CP$3="","",CF表!CP42/10000)</f>
        <v/>
      </c>
      <c r="CQ42" s="240">
        <f>IF(CF表!CQ$3="","",CF表!CQ42/10000)</f>
        <v/>
      </c>
      <c r="CR42" s="240">
        <f>IF(CF表!CR$3="","",CF表!CR42/10000)</f>
        <v/>
      </c>
      <c r="CS42" s="240">
        <f>IF(CF表!CS$3="","",CF表!CS42/10000)</f>
        <v/>
      </c>
      <c r="CT42" s="240">
        <f>IF(CF表!CT$3="","",CF表!CT42/10000)</f>
        <v/>
      </c>
      <c r="CU42" s="240">
        <f>IF(CF表!CU$3="","",CF表!CU42/10000)</f>
        <v/>
      </c>
      <c r="CV42" s="240">
        <f>IF(CF表!CV$3="","",CF表!CV42/10000)</f>
        <v/>
      </c>
      <c r="CW42" s="240">
        <f>IF(CF表!CW$3="","",CF表!CW42/10000)</f>
        <v/>
      </c>
    </row>
    <row r="43" hidden="1" ht="16.5" customHeight="1" s="180">
      <c r="A43" s="239" t="inlineStr">
        <is>
          <t>老後不足額(補助)</t>
        </is>
      </c>
      <c r="B43" s="240">
        <f>IF(CF表!B$3="","",CF表!B43/10000)</f>
        <v/>
      </c>
      <c r="C43" s="240">
        <f>IF(CF表!C$3="","",CF表!C43/10000)</f>
        <v/>
      </c>
      <c r="D43" s="240">
        <f>IF(CF表!D$3="","",CF表!D43/10000)</f>
        <v/>
      </c>
      <c r="E43" s="240">
        <f>IF(CF表!E$3="","",CF表!E43/10000)</f>
        <v/>
      </c>
      <c r="F43" s="240">
        <f>IF(CF表!F$3="","",CF表!F43/10000)</f>
        <v/>
      </c>
      <c r="G43" s="240">
        <f>IF(CF表!G$3="","",CF表!G43/10000)</f>
        <v/>
      </c>
      <c r="H43" s="240">
        <f>IF(CF表!H$3="","",CF表!H43/10000)</f>
        <v/>
      </c>
      <c r="I43" s="240">
        <f>IF(CF表!I$3="","",CF表!I43/10000)</f>
        <v/>
      </c>
      <c r="J43" s="240">
        <f>IF(CF表!J$3="","",CF表!J43/10000)</f>
        <v/>
      </c>
      <c r="K43" s="240">
        <f>IF(CF表!K$3="","",CF表!K43/10000)</f>
        <v/>
      </c>
      <c r="L43" s="240">
        <f>IF(CF表!L$3="","",CF表!L43/10000)</f>
        <v/>
      </c>
      <c r="M43" s="240">
        <f>IF(CF表!M$3="","",CF表!M43/10000)</f>
        <v/>
      </c>
      <c r="N43" s="240">
        <f>IF(CF表!N$3="","",CF表!N43/10000)</f>
        <v/>
      </c>
      <c r="O43" s="240">
        <f>IF(CF表!O$3="","",CF表!O43/10000)</f>
        <v/>
      </c>
      <c r="P43" s="240">
        <f>IF(CF表!P$3="","",CF表!P43/10000)</f>
        <v/>
      </c>
      <c r="Q43" s="240">
        <f>IF(CF表!Q$3="","",CF表!Q43/10000)</f>
        <v/>
      </c>
      <c r="R43" s="240">
        <f>IF(CF表!R$3="","",CF表!R43/10000)</f>
        <v/>
      </c>
      <c r="S43" s="240">
        <f>IF(CF表!S$3="","",CF表!S43/10000)</f>
        <v/>
      </c>
      <c r="T43" s="240">
        <f>IF(CF表!T$3="","",CF表!T43/10000)</f>
        <v/>
      </c>
      <c r="U43" s="240">
        <f>IF(CF表!U$3="","",CF表!U43/10000)</f>
        <v/>
      </c>
      <c r="V43" s="240">
        <f>IF(CF表!V$3="","",CF表!V43/10000)</f>
        <v/>
      </c>
      <c r="W43" s="240">
        <f>IF(CF表!W$3="","",CF表!W43/10000)</f>
        <v/>
      </c>
      <c r="X43" s="240">
        <f>IF(CF表!X$3="","",CF表!X43/10000)</f>
        <v/>
      </c>
      <c r="Y43" s="240">
        <f>IF(CF表!Y$3="","",CF表!Y43/10000)</f>
        <v/>
      </c>
      <c r="Z43" s="240">
        <f>IF(CF表!Z$3="","",CF表!Z43/10000)</f>
        <v/>
      </c>
      <c r="AA43" s="240">
        <f>IF(CF表!AA$3="","",CF表!AA43/10000)</f>
        <v/>
      </c>
      <c r="AB43" s="240">
        <f>IF(CF表!AB$3="","",CF表!AB43/10000)</f>
        <v/>
      </c>
      <c r="AC43" s="240">
        <f>IF(CF表!AC$3="","",CF表!AC43/10000)</f>
        <v/>
      </c>
      <c r="AD43" s="240">
        <f>IF(CF表!AD$3="","",CF表!AD43/10000)</f>
        <v/>
      </c>
      <c r="AE43" s="240">
        <f>IF(CF表!AE$3="","",CF表!AE43/10000)</f>
        <v/>
      </c>
      <c r="AF43" s="240">
        <f>IF(CF表!AF$3="","",CF表!AF43/10000)</f>
        <v/>
      </c>
      <c r="AG43" s="240">
        <f>IF(CF表!AG$3="","",CF表!AG43/10000)</f>
        <v/>
      </c>
      <c r="AH43" s="240">
        <f>IF(CF表!AH$3="","",CF表!AH43/10000)</f>
        <v/>
      </c>
      <c r="AI43" s="240">
        <f>IF(CF表!AI$3="","",CF表!AI43/10000)</f>
        <v/>
      </c>
      <c r="AJ43" s="240">
        <f>IF(CF表!AJ$3="","",CF表!AJ43/10000)</f>
        <v/>
      </c>
      <c r="AK43" s="240">
        <f>IF(CF表!AK$3="","",CF表!AK43/10000)</f>
        <v/>
      </c>
      <c r="AL43" s="240">
        <f>IF(CF表!AL$3="","",CF表!AL43/10000)</f>
        <v/>
      </c>
      <c r="AM43" s="240">
        <f>IF(CF表!AM$3="","",CF表!AM43/10000)</f>
        <v/>
      </c>
      <c r="AN43" s="240">
        <f>IF(CF表!AN$3="","",CF表!AN43/10000)</f>
        <v/>
      </c>
      <c r="AO43" s="240">
        <f>IF(CF表!AO$3="","",CF表!AO43/10000)</f>
        <v/>
      </c>
      <c r="AP43" s="240">
        <f>IF(CF表!AP$3="","",CF表!AP43/10000)</f>
        <v/>
      </c>
      <c r="AQ43" s="240">
        <f>IF(CF表!AQ$3="","",CF表!AQ43/10000)</f>
        <v/>
      </c>
      <c r="AR43" s="240">
        <f>IF(CF表!AR$3="","",CF表!AR43/10000)</f>
        <v/>
      </c>
      <c r="AS43" s="240">
        <f>IF(CF表!AS$3="","",CF表!AS43/10000)</f>
        <v/>
      </c>
      <c r="AT43" s="240">
        <f>IF(CF表!AT$3="","",CF表!AT43/10000)</f>
        <v/>
      </c>
      <c r="AU43" s="240">
        <f>IF(CF表!AU$3="","",CF表!AU43/10000)</f>
        <v/>
      </c>
      <c r="AV43" s="240">
        <f>IF(CF表!AV$3="","",CF表!AV43/10000)</f>
        <v/>
      </c>
      <c r="AW43" s="240">
        <f>IF(CF表!AW$3="","",CF表!AW43/10000)</f>
        <v/>
      </c>
      <c r="AX43" s="240">
        <f>IF(CF表!AX$3="","",CF表!AX43/10000)</f>
        <v/>
      </c>
      <c r="AY43" s="240">
        <f>IF(CF表!AY$3="","",CF表!AY43/10000)</f>
        <v/>
      </c>
      <c r="AZ43" s="240">
        <f>IF(CF表!AZ$3="","",CF表!AZ43/10000)</f>
        <v/>
      </c>
      <c r="BA43" s="240">
        <f>IF(CF表!BA$3="","",CF表!BA43/10000)</f>
        <v/>
      </c>
      <c r="BB43" s="240">
        <f>IF(CF表!BB$3="","",CF表!BB43/10000)</f>
        <v/>
      </c>
      <c r="BC43" s="240">
        <f>IF(CF表!BC$3="","",CF表!BC43/10000)</f>
        <v/>
      </c>
      <c r="BD43" s="240">
        <f>IF(CF表!BD$3="","",CF表!BD43/10000)</f>
        <v/>
      </c>
      <c r="BE43" s="240">
        <f>IF(CF表!BE$3="","",CF表!BE43/10000)</f>
        <v/>
      </c>
      <c r="BF43" s="240">
        <f>IF(CF表!BF$3="","",CF表!BF43/10000)</f>
        <v/>
      </c>
      <c r="BG43" s="240">
        <f>IF(CF表!BG$3="","",CF表!BG43/10000)</f>
        <v/>
      </c>
      <c r="BH43" s="240">
        <f>IF(CF表!BH$3="","",CF表!BH43/10000)</f>
        <v/>
      </c>
      <c r="BI43" s="240">
        <f>IF(CF表!BI$3="","",CF表!BI43/10000)</f>
        <v/>
      </c>
      <c r="BJ43" s="240">
        <f>IF(CF表!BJ$3="","",CF表!BJ43/10000)</f>
        <v/>
      </c>
      <c r="BK43" s="240">
        <f>IF(CF表!BK$3="","",CF表!BK43/10000)</f>
        <v/>
      </c>
      <c r="BL43" s="240">
        <f>IF(CF表!BL$3="","",CF表!BL43/10000)</f>
        <v/>
      </c>
      <c r="BM43" s="240">
        <f>IF(CF表!BM$3="","",CF表!BM43/10000)</f>
        <v/>
      </c>
      <c r="BN43" s="240">
        <f>IF(CF表!BN$3="","",CF表!BN43/10000)</f>
        <v/>
      </c>
      <c r="BO43" s="240">
        <f>IF(CF表!BO$3="","",CF表!BO43/10000)</f>
        <v/>
      </c>
      <c r="BP43" s="240">
        <f>IF(CF表!BP$3="","",CF表!BP43/10000)</f>
        <v/>
      </c>
      <c r="BQ43" s="240">
        <f>IF(CF表!BQ$3="","",CF表!BQ43/10000)</f>
        <v/>
      </c>
      <c r="BR43" s="240">
        <f>IF(CF表!BR$3="","",CF表!BR43/10000)</f>
        <v/>
      </c>
      <c r="BS43" s="240">
        <f>IF(CF表!BS$3="","",CF表!BS43/10000)</f>
        <v/>
      </c>
      <c r="BT43" s="240">
        <f>IF(CF表!BT$3="","",CF表!BT43/10000)</f>
        <v/>
      </c>
      <c r="BU43" s="240">
        <f>IF(CF表!BU$3="","",CF表!BU43/10000)</f>
        <v/>
      </c>
      <c r="BV43" s="240">
        <f>IF(CF表!BV$3="","",CF表!BV43/10000)</f>
        <v/>
      </c>
      <c r="BW43" s="240">
        <f>IF(CF表!BW$3="","",CF表!BW43/10000)</f>
        <v/>
      </c>
      <c r="BX43" s="240">
        <f>IF(CF表!BX$3="","",CF表!BX43/10000)</f>
        <v/>
      </c>
      <c r="BY43" s="240">
        <f>IF(CF表!BY$3="","",CF表!BY43/10000)</f>
        <v/>
      </c>
      <c r="BZ43" s="240">
        <f>IF(CF表!BZ$3="","",CF表!BZ43/10000)</f>
        <v/>
      </c>
      <c r="CA43" s="240">
        <f>IF(CF表!CA$3="","",CF表!CA43/10000)</f>
        <v/>
      </c>
      <c r="CB43" s="240">
        <f>IF(CF表!CB$3="","",CF表!CB43/10000)</f>
        <v/>
      </c>
      <c r="CC43" s="240">
        <f>IF(CF表!CC$3="","",CF表!CC43/10000)</f>
        <v/>
      </c>
      <c r="CD43" s="240">
        <f>IF(CF表!CD$3="","",CF表!CD43/10000)</f>
        <v/>
      </c>
      <c r="CE43" s="240">
        <f>IF(CF表!CE$3="","",CF表!CE43/10000)</f>
        <v/>
      </c>
      <c r="CF43" s="240">
        <f>IF(CF表!CF$3="","",CF表!CF43/10000)</f>
        <v/>
      </c>
      <c r="CG43" s="240">
        <f>IF(CF表!CG$3="","",CF表!CG43/10000)</f>
        <v/>
      </c>
      <c r="CH43" s="240">
        <f>IF(CF表!CH$3="","",CF表!CH43/10000)</f>
        <v/>
      </c>
      <c r="CI43" s="240">
        <f>IF(CF表!CI$3="","",CF表!CI43/10000)</f>
        <v/>
      </c>
      <c r="CJ43" s="240">
        <f>IF(CF表!CJ$3="","",CF表!CJ43/10000)</f>
        <v/>
      </c>
      <c r="CK43" s="240">
        <f>IF(CF表!CK$3="","",CF表!CK43/10000)</f>
        <v/>
      </c>
      <c r="CL43" s="240">
        <f>IF(CF表!CL$3="","",CF表!CL43/10000)</f>
        <v/>
      </c>
      <c r="CM43" s="240">
        <f>IF(CF表!CM$3="","",CF表!CM43/10000)</f>
        <v/>
      </c>
      <c r="CN43" s="240">
        <f>IF(CF表!CN$3="","",CF表!CN43/10000)</f>
        <v/>
      </c>
      <c r="CO43" s="240">
        <f>IF(CF表!CO$3="","",CF表!CO43/10000)</f>
        <v/>
      </c>
      <c r="CP43" s="240">
        <f>IF(CF表!CP$3="","",CF表!CP43/10000)</f>
        <v/>
      </c>
      <c r="CQ43" s="240">
        <f>IF(CF表!CQ$3="","",CF表!CQ43/10000)</f>
        <v/>
      </c>
      <c r="CR43" s="240">
        <f>IF(CF表!CR$3="","",CF表!CR43/10000)</f>
        <v/>
      </c>
      <c r="CS43" s="240">
        <f>IF(CF表!CS$3="","",CF表!CS43/10000)</f>
        <v/>
      </c>
      <c r="CT43" s="240">
        <f>IF(CF表!CT$3="","",CF表!CT43/10000)</f>
        <v/>
      </c>
      <c r="CU43" s="240">
        <f>IF(CF表!CU$3="","",CF表!CU43/10000)</f>
        <v/>
      </c>
      <c r="CV43" s="240">
        <f>IF(CF表!CV$3="","",CF表!CV43/10000)</f>
        <v/>
      </c>
      <c r="CW43" s="240">
        <f>IF(CF表!CW$3="","",CF表!CW43/10000)</f>
        <v/>
      </c>
    </row>
    <row r="44" ht="15" customHeight="1" s="180">
      <c r="A44" s="241" t="inlineStr">
        <is>
          <t>保有資産合計（参考）</t>
        </is>
      </c>
      <c r="B44" s="242">
        <f>IF(CF表!B$3="","",CF表!B44/10000)</f>
        <v/>
      </c>
      <c r="C44" s="242">
        <f>IF(CF表!C$3="","",CF表!C44/10000)</f>
        <v/>
      </c>
      <c r="D44" s="242">
        <f>IF(CF表!D$3="","",CF表!D44/10000)</f>
        <v/>
      </c>
      <c r="E44" s="242">
        <f>IF(CF表!E$3="","",CF表!E44/10000)</f>
        <v/>
      </c>
      <c r="F44" s="242">
        <f>IF(CF表!F$3="","",CF表!F44/10000)</f>
        <v/>
      </c>
      <c r="G44" s="242">
        <f>IF(CF表!G$3="","",CF表!G44/10000)</f>
        <v/>
      </c>
      <c r="H44" s="242">
        <f>IF(CF表!H$3="","",CF表!H44/10000)</f>
        <v/>
      </c>
      <c r="I44" s="242">
        <f>IF(CF表!I$3="","",CF表!I44/10000)</f>
        <v/>
      </c>
      <c r="J44" s="242">
        <f>IF(CF表!J$3="","",CF表!J44/10000)</f>
        <v/>
      </c>
      <c r="K44" s="242">
        <f>IF(CF表!K$3="","",CF表!K44/10000)</f>
        <v/>
      </c>
      <c r="L44" s="242">
        <f>IF(CF表!L$3="","",CF表!L44/10000)</f>
        <v/>
      </c>
      <c r="M44" s="242">
        <f>IF(CF表!M$3="","",CF表!M44/10000)</f>
        <v/>
      </c>
      <c r="N44" s="242">
        <f>IF(CF表!N$3="","",CF表!N44/10000)</f>
        <v/>
      </c>
      <c r="O44" s="242">
        <f>IF(CF表!O$3="","",CF表!O44/10000)</f>
        <v/>
      </c>
      <c r="P44" s="242">
        <f>IF(CF表!P$3="","",CF表!P44/10000)</f>
        <v/>
      </c>
      <c r="Q44" s="242">
        <f>IF(CF表!Q$3="","",CF表!Q44/10000)</f>
        <v/>
      </c>
      <c r="R44" s="242">
        <f>IF(CF表!R$3="","",CF表!R44/10000)</f>
        <v/>
      </c>
      <c r="S44" s="242">
        <f>IF(CF表!S$3="","",CF表!S44/10000)</f>
        <v/>
      </c>
      <c r="T44" s="242">
        <f>IF(CF表!T$3="","",CF表!T44/10000)</f>
        <v/>
      </c>
      <c r="U44" s="242">
        <f>IF(CF表!U$3="","",CF表!U44/10000)</f>
        <v/>
      </c>
      <c r="V44" s="242">
        <f>IF(CF表!V$3="","",CF表!V44/10000)</f>
        <v/>
      </c>
      <c r="W44" s="242">
        <f>IF(CF表!W$3="","",CF表!W44/10000)</f>
        <v/>
      </c>
      <c r="X44" s="242">
        <f>IF(CF表!X$3="","",CF表!X44/10000)</f>
        <v/>
      </c>
      <c r="Y44" s="242">
        <f>IF(CF表!Y$3="","",CF表!Y44/10000)</f>
        <v/>
      </c>
      <c r="Z44" s="242">
        <f>IF(CF表!Z$3="","",CF表!Z44/10000)</f>
        <v/>
      </c>
      <c r="AA44" s="242">
        <f>IF(CF表!AA$3="","",CF表!AA44/10000)</f>
        <v/>
      </c>
      <c r="AB44" s="242">
        <f>IF(CF表!AB$3="","",CF表!AB44/10000)</f>
        <v/>
      </c>
      <c r="AC44" s="242">
        <f>IF(CF表!AC$3="","",CF表!AC44/10000)</f>
        <v/>
      </c>
      <c r="AD44" s="242">
        <f>IF(CF表!AD$3="","",CF表!AD44/10000)</f>
        <v/>
      </c>
      <c r="AE44" s="242">
        <f>IF(CF表!AE$3="","",CF表!AE44/10000)</f>
        <v/>
      </c>
      <c r="AF44" s="242">
        <f>IF(CF表!AF$3="","",CF表!AF44/10000)</f>
        <v/>
      </c>
      <c r="AG44" s="242">
        <f>IF(CF表!AG$3="","",CF表!AG44/10000)</f>
        <v/>
      </c>
      <c r="AH44" s="242">
        <f>IF(CF表!AH$3="","",CF表!AH44/10000)</f>
        <v/>
      </c>
      <c r="AI44" s="242">
        <f>IF(CF表!AI$3="","",CF表!AI44/10000)</f>
        <v/>
      </c>
      <c r="AJ44" s="242">
        <f>IF(CF表!AJ$3="","",CF表!AJ44/10000)</f>
        <v/>
      </c>
      <c r="AK44" s="242">
        <f>IF(CF表!AK$3="","",CF表!AK44/10000)</f>
        <v/>
      </c>
      <c r="AL44" s="242">
        <f>IF(CF表!AL$3="","",CF表!AL44/10000)</f>
        <v/>
      </c>
      <c r="AM44" s="242">
        <f>IF(CF表!AM$3="","",CF表!AM44/10000)</f>
        <v/>
      </c>
      <c r="AN44" s="242">
        <f>IF(CF表!AN$3="","",CF表!AN44/10000)</f>
        <v/>
      </c>
      <c r="AO44" s="242">
        <f>IF(CF表!AO$3="","",CF表!AO44/10000)</f>
        <v/>
      </c>
      <c r="AP44" s="242">
        <f>IF(CF表!AP$3="","",CF表!AP44/10000)</f>
        <v/>
      </c>
      <c r="AQ44" s="242">
        <f>IF(CF表!AQ$3="","",CF表!AQ44/10000)</f>
        <v/>
      </c>
      <c r="AR44" s="242">
        <f>IF(CF表!AR$3="","",CF表!AR44/10000)</f>
        <v/>
      </c>
      <c r="AS44" s="242">
        <f>IF(CF表!AS$3="","",CF表!AS44/10000)</f>
        <v/>
      </c>
      <c r="AT44" s="242">
        <f>IF(CF表!AT$3="","",CF表!AT44/10000)</f>
        <v/>
      </c>
      <c r="AU44" s="242">
        <f>IF(CF表!AU$3="","",CF表!AU44/10000)</f>
        <v/>
      </c>
      <c r="AV44" s="242">
        <f>IF(CF表!AV$3="","",CF表!AV44/10000)</f>
        <v/>
      </c>
      <c r="AW44" s="242">
        <f>IF(CF表!AW$3="","",CF表!AW44/10000)</f>
        <v/>
      </c>
      <c r="AX44" s="242">
        <f>IF(CF表!AX$3="","",CF表!AX44/10000)</f>
        <v/>
      </c>
      <c r="AY44" s="242">
        <f>IF(CF表!AY$3="","",CF表!AY44/10000)</f>
        <v/>
      </c>
      <c r="AZ44" s="242">
        <f>IF(CF表!AZ$3="","",CF表!AZ44/10000)</f>
        <v/>
      </c>
      <c r="BA44" s="242">
        <f>IF(CF表!BA$3="","",CF表!BA44/10000)</f>
        <v/>
      </c>
      <c r="BB44" s="242">
        <f>IF(CF表!BB$3="","",CF表!BB44/10000)</f>
        <v/>
      </c>
      <c r="BC44" s="242">
        <f>IF(CF表!BC$3="","",CF表!BC44/10000)</f>
        <v/>
      </c>
      <c r="BD44" s="242">
        <f>IF(CF表!BD$3="","",CF表!BD44/10000)</f>
        <v/>
      </c>
      <c r="BE44" s="242">
        <f>IF(CF表!BE$3="","",CF表!BE44/10000)</f>
        <v/>
      </c>
      <c r="BF44" s="242">
        <f>IF(CF表!BF$3="","",CF表!BF44/10000)</f>
        <v/>
      </c>
      <c r="BG44" s="242">
        <f>IF(CF表!BG$3="","",CF表!BG44/10000)</f>
        <v/>
      </c>
      <c r="BH44" s="242">
        <f>IF(CF表!BH$3="","",CF表!BH44/10000)</f>
        <v/>
      </c>
      <c r="BI44" s="242">
        <f>IF(CF表!BI$3="","",CF表!BI44/10000)</f>
        <v/>
      </c>
      <c r="BJ44" s="242">
        <f>IF(CF表!BJ$3="","",CF表!BJ44/10000)</f>
        <v/>
      </c>
      <c r="BK44" s="242">
        <f>IF(CF表!BK$3="","",CF表!BK44/10000)</f>
        <v/>
      </c>
      <c r="BL44" s="242">
        <f>IF(CF表!BL$3="","",CF表!BL44/10000)</f>
        <v/>
      </c>
      <c r="BM44" s="242">
        <f>IF(CF表!BM$3="","",CF表!BM44/10000)</f>
        <v/>
      </c>
      <c r="BN44" s="242">
        <f>IF(CF表!BN$3="","",CF表!BN44/10000)</f>
        <v/>
      </c>
      <c r="BO44" s="242">
        <f>IF(CF表!BO$3="","",CF表!BO44/10000)</f>
        <v/>
      </c>
      <c r="BP44" s="242">
        <f>IF(CF表!BP$3="","",CF表!BP44/10000)</f>
        <v/>
      </c>
      <c r="BQ44" s="242">
        <f>IF(CF表!BQ$3="","",CF表!BQ44/10000)</f>
        <v/>
      </c>
      <c r="BR44" s="242">
        <f>IF(CF表!BR$3="","",CF表!BR44/10000)</f>
        <v/>
      </c>
      <c r="BS44" s="242">
        <f>IF(CF表!BS$3="","",CF表!BS44/10000)</f>
        <v/>
      </c>
      <c r="BT44" s="242">
        <f>IF(CF表!BT$3="","",CF表!BT44/10000)</f>
        <v/>
      </c>
      <c r="BU44" s="242">
        <f>IF(CF表!BU$3="","",CF表!BU44/10000)</f>
        <v/>
      </c>
      <c r="BV44" s="242">
        <f>IF(CF表!BV$3="","",CF表!BV44/10000)</f>
        <v/>
      </c>
      <c r="BW44" s="242">
        <f>IF(CF表!BW$3="","",CF表!BW44/10000)</f>
        <v/>
      </c>
      <c r="BX44" s="242">
        <f>IF(CF表!BX$3="","",CF表!BX44/10000)</f>
        <v/>
      </c>
      <c r="BY44" s="242">
        <f>IF(CF表!BY$3="","",CF表!BY44/10000)</f>
        <v/>
      </c>
      <c r="BZ44" s="242">
        <f>IF(CF表!BZ$3="","",CF表!BZ44/10000)</f>
        <v/>
      </c>
      <c r="CA44" s="242">
        <f>IF(CF表!CA$3="","",CF表!CA44/10000)</f>
        <v/>
      </c>
      <c r="CB44" s="242">
        <f>IF(CF表!CB$3="","",CF表!CB44/10000)</f>
        <v/>
      </c>
      <c r="CC44" s="242">
        <f>IF(CF表!CC$3="","",CF表!CC44/10000)</f>
        <v/>
      </c>
      <c r="CD44" s="242">
        <f>IF(CF表!CD$3="","",CF表!CD44/10000)</f>
        <v/>
      </c>
      <c r="CE44" s="242">
        <f>IF(CF表!CE$3="","",CF表!CE44/10000)</f>
        <v/>
      </c>
      <c r="CF44" s="242">
        <f>IF(CF表!CF$3="","",CF表!CF44/10000)</f>
        <v/>
      </c>
      <c r="CG44" s="242">
        <f>IF(CF表!CG$3="","",CF表!CG44/10000)</f>
        <v/>
      </c>
      <c r="CH44" s="242">
        <f>IF(CF表!CH$3="","",CF表!CH44/10000)</f>
        <v/>
      </c>
      <c r="CI44" s="242">
        <f>IF(CF表!CI$3="","",CF表!CI44/10000)</f>
        <v/>
      </c>
      <c r="CJ44" s="242">
        <f>IF(CF表!CJ$3="","",CF表!CJ44/10000)</f>
        <v/>
      </c>
      <c r="CK44" s="242">
        <f>IF(CF表!CK$3="","",CF表!CK44/10000)</f>
        <v/>
      </c>
      <c r="CL44" s="242">
        <f>IF(CF表!CL$3="","",CF表!CL44/10000)</f>
        <v/>
      </c>
      <c r="CM44" s="242">
        <f>IF(CF表!CM$3="","",CF表!CM44/10000)</f>
        <v/>
      </c>
      <c r="CN44" s="242">
        <f>IF(CF表!CN$3="","",CF表!CN44/10000)</f>
        <v/>
      </c>
      <c r="CO44" s="242">
        <f>IF(CF表!CO$3="","",CF表!CO44/10000)</f>
        <v/>
      </c>
      <c r="CP44" s="242">
        <f>IF(CF表!CP$3="","",CF表!CP44/10000)</f>
        <v/>
      </c>
      <c r="CQ44" s="242">
        <f>IF(CF表!CQ$3="","",CF表!CQ44/10000)</f>
        <v/>
      </c>
      <c r="CR44" s="242">
        <f>IF(CF表!CR$3="","",CF表!CR44/10000)</f>
        <v/>
      </c>
      <c r="CS44" s="242">
        <f>IF(CF表!CS$3="","",CF表!CS44/10000)</f>
        <v/>
      </c>
      <c r="CT44" s="242">
        <f>IF(CF表!CT$3="","",CF表!CT44/10000)</f>
        <v/>
      </c>
      <c r="CU44" s="242">
        <f>IF(CF表!CU$3="","",CF表!CU44/10000)</f>
        <v/>
      </c>
      <c r="CV44" s="242">
        <f>IF(CF表!CV$3="","",CF表!CV44/10000)</f>
        <v/>
      </c>
      <c r="CW44" s="242">
        <f>IF(CF表!CW$3="","",CF表!CW44/10000)</f>
        <v/>
      </c>
    </row>
    <row r="45" ht="15" customHeight="1" s="180">
      <c r="A45" s="241" t="inlineStr">
        <is>
          <t>負債合計（参考）</t>
        </is>
      </c>
      <c r="B45" s="242">
        <f>IF(CF表!B$3="","",CF表!B45/10000)</f>
        <v/>
      </c>
      <c r="C45" s="242">
        <f>IF(CF表!C$3="","",CF表!C45/10000)</f>
        <v/>
      </c>
      <c r="D45" s="242">
        <f>IF(CF表!D$3="","",CF表!D45/10000)</f>
        <v/>
      </c>
      <c r="E45" s="242">
        <f>IF(CF表!E$3="","",CF表!E45/10000)</f>
        <v/>
      </c>
      <c r="F45" s="242">
        <f>IF(CF表!F$3="","",CF表!F45/10000)</f>
        <v/>
      </c>
      <c r="G45" s="242">
        <f>IF(CF表!G$3="","",CF表!G45/10000)</f>
        <v/>
      </c>
      <c r="H45" s="242">
        <f>IF(CF表!H$3="","",CF表!H45/10000)</f>
        <v/>
      </c>
      <c r="I45" s="242">
        <f>IF(CF表!I$3="","",CF表!I45/10000)</f>
        <v/>
      </c>
      <c r="J45" s="242">
        <f>IF(CF表!J$3="","",CF表!J45/10000)</f>
        <v/>
      </c>
      <c r="K45" s="242">
        <f>IF(CF表!K$3="","",CF表!K45/10000)</f>
        <v/>
      </c>
      <c r="L45" s="242">
        <f>IF(CF表!L$3="","",CF表!L45/10000)</f>
        <v/>
      </c>
      <c r="M45" s="242">
        <f>IF(CF表!M$3="","",CF表!M45/10000)</f>
        <v/>
      </c>
      <c r="N45" s="242">
        <f>IF(CF表!N$3="","",CF表!N45/10000)</f>
        <v/>
      </c>
      <c r="O45" s="242">
        <f>IF(CF表!O$3="","",CF表!O45/10000)</f>
        <v/>
      </c>
      <c r="P45" s="242">
        <f>IF(CF表!P$3="","",CF表!P45/10000)</f>
        <v/>
      </c>
      <c r="Q45" s="242">
        <f>IF(CF表!Q$3="","",CF表!Q45/10000)</f>
        <v/>
      </c>
      <c r="R45" s="242">
        <f>IF(CF表!R$3="","",CF表!R45/10000)</f>
        <v/>
      </c>
      <c r="S45" s="242">
        <f>IF(CF表!S$3="","",CF表!S45/10000)</f>
        <v/>
      </c>
      <c r="T45" s="242">
        <f>IF(CF表!T$3="","",CF表!T45/10000)</f>
        <v/>
      </c>
      <c r="U45" s="242">
        <f>IF(CF表!U$3="","",CF表!U45/10000)</f>
        <v/>
      </c>
      <c r="V45" s="242">
        <f>IF(CF表!V$3="","",CF表!V45/10000)</f>
        <v/>
      </c>
      <c r="W45" s="242">
        <f>IF(CF表!W$3="","",CF表!W45/10000)</f>
        <v/>
      </c>
      <c r="X45" s="242">
        <f>IF(CF表!X$3="","",CF表!X45/10000)</f>
        <v/>
      </c>
      <c r="Y45" s="242">
        <f>IF(CF表!Y$3="","",CF表!Y45/10000)</f>
        <v/>
      </c>
      <c r="Z45" s="242">
        <f>IF(CF表!Z$3="","",CF表!Z45/10000)</f>
        <v/>
      </c>
      <c r="AA45" s="242">
        <f>IF(CF表!AA$3="","",CF表!AA45/10000)</f>
        <v/>
      </c>
      <c r="AB45" s="242">
        <f>IF(CF表!AB$3="","",CF表!AB45/10000)</f>
        <v/>
      </c>
      <c r="AC45" s="242">
        <f>IF(CF表!AC$3="","",CF表!AC45/10000)</f>
        <v/>
      </c>
      <c r="AD45" s="242">
        <f>IF(CF表!AD$3="","",CF表!AD45/10000)</f>
        <v/>
      </c>
      <c r="AE45" s="242">
        <f>IF(CF表!AE$3="","",CF表!AE45/10000)</f>
        <v/>
      </c>
      <c r="AF45" s="242">
        <f>IF(CF表!AF$3="","",CF表!AF45/10000)</f>
        <v/>
      </c>
      <c r="AG45" s="242">
        <f>IF(CF表!AG$3="","",CF表!AG45/10000)</f>
        <v/>
      </c>
      <c r="AH45" s="242">
        <f>IF(CF表!AH$3="","",CF表!AH45/10000)</f>
        <v/>
      </c>
      <c r="AI45" s="242">
        <f>IF(CF表!AI$3="","",CF表!AI45/10000)</f>
        <v/>
      </c>
      <c r="AJ45" s="242">
        <f>IF(CF表!AJ$3="","",CF表!AJ45/10000)</f>
        <v/>
      </c>
      <c r="AK45" s="242">
        <f>IF(CF表!AK$3="","",CF表!AK45/10000)</f>
        <v/>
      </c>
      <c r="AL45" s="242">
        <f>IF(CF表!AL$3="","",CF表!AL45/10000)</f>
        <v/>
      </c>
      <c r="AM45" s="242">
        <f>IF(CF表!AM$3="","",CF表!AM45/10000)</f>
        <v/>
      </c>
      <c r="AN45" s="242">
        <f>IF(CF表!AN$3="","",CF表!AN45/10000)</f>
        <v/>
      </c>
      <c r="AO45" s="242">
        <f>IF(CF表!AO$3="","",CF表!AO45/10000)</f>
        <v/>
      </c>
      <c r="AP45" s="242">
        <f>IF(CF表!AP$3="","",CF表!AP45/10000)</f>
        <v/>
      </c>
      <c r="AQ45" s="242">
        <f>IF(CF表!AQ$3="","",CF表!AQ45/10000)</f>
        <v/>
      </c>
      <c r="AR45" s="242">
        <f>IF(CF表!AR$3="","",CF表!AR45/10000)</f>
        <v/>
      </c>
      <c r="AS45" s="242">
        <f>IF(CF表!AS$3="","",CF表!AS45/10000)</f>
        <v/>
      </c>
      <c r="AT45" s="242">
        <f>IF(CF表!AT$3="","",CF表!AT45/10000)</f>
        <v/>
      </c>
      <c r="AU45" s="242">
        <f>IF(CF表!AU$3="","",CF表!AU45/10000)</f>
        <v/>
      </c>
      <c r="AV45" s="242">
        <f>IF(CF表!AV$3="","",CF表!AV45/10000)</f>
        <v/>
      </c>
      <c r="AW45" s="242">
        <f>IF(CF表!AW$3="","",CF表!AW45/10000)</f>
        <v/>
      </c>
      <c r="AX45" s="242">
        <f>IF(CF表!AX$3="","",CF表!AX45/10000)</f>
        <v/>
      </c>
      <c r="AY45" s="242">
        <f>IF(CF表!AY$3="","",CF表!AY45/10000)</f>
        <v/>
      </c>
      <c r="AZ45" s="242">
        <f>IF(CF表!AZ$3="","",CF表!AZ45/10000)</f>
        <v/>
      </c>
      <c r="BA45" s="242">
        <f>IF(CF表!BA$3="","",CF表!BA45/10000)</f>
        <v/>
      </c>
      <c r="BB45" s="242">
        <f>IF(CF表!BB$3="","",CF表!BB45/10000)</f>
        <v/>
      </c>
      <c r="BC45" s="242">
        <f>IF(CF表!BC$3="","",CF表!BC45/10000)</f>
        <v/>
      </c>
      <c r="BD45" s="242">
        <f>IF(CF表!BD$3="","",CF表!BD45/10000)</f>
        <v/>
      </c>
      <c r="BE45" s="242">
        <f>IF(CF表!BE$3="","",CF表!BE45/10000)</f>
        <v/>
      </c>
      <c r="BF45" s="242">
        <f>IF(CF表!BF$3="","",CF表!BF45/10000)</f>
        <v/>
      </c>
      <c r="BG45" s="242">
        <f>IF(CF表!BG$3="","",CF表!BG45/10000)</f>
        <v/>
      </c>
      <c r="BH45" s="242">
        <f>IF(CF表!BH$3="","",CF表!BH45/10000)</f>
        <v/>
      </c>
      <c r="BI45" s="242">
        <f>IF(CF表!BI$3="","",CF表!BI45/10000)</f>
        <v/>
      </c>
      <c r="BJ45" s="242">
        <f>IF(CF表!BJ$3="","",CF表!BJ45/10000)</f>
        <v/>
      </c>
      <c r="BK45" s="242">
        <f>IF(CF表!BK$3="","",CF表!BK45/10000)</f>
        <v/>
      </c>
      <c r="BL45" s="242">
        <f>IF(CF表!BL$3="","",CF表!BL45/10000)</f>
        <v/>
      </c>
      <c r="BM45" s="242">
        <f>IF(CF表!BM$3="","",CF表!BM45/10000)</f>
        <v/>
      </c>
      <c r="BN45" s="242">
        <f>IF(CF表!BN$3="","",CF表!BN45/10000)</f>
        <v/>
      </c>
      <c r="BO45" s="242">
        <f>IF(CF表!BO$3="","",CF表!BO45/10000)</f>
        <v/>
      </c>
      <c r="BP45" s="242">
        <f>IF(CF表!BP$3="","",CF表!BP45/10000)</f>
        <v/>
      </c>
      <c r="BQ45" s="242">
        <f>IF(CF表!BQ$3="","",CF表!BQ45/10000)</f>
        <v/>
      </c>
      <c r="BR45" s="242">
        <f>IF(CF表!BR$3="","",CF表!BR45/10000)</f>
        <v/>
      </c>
      <c r="BS45" s="242">
        <f>IF(CF表!BS$3="","",CF表!BS45/10000)</f>
        <v/>
      </c>
      <c r="BT45" s="242">
        <f>IF(CF表!BT$3="","",CF表!BT45/10000)</f>
        <v/>
      </c>
      <c r="BU45" s="242">
        <f>IF(CF表!BU$3="","",CF表!BU45/10000)</f>
        <v/>
      </c>
      <c r="BV45" s="242">
        <f>IF(CF表!BV$3="","",CF表!BV45/10000)</f>
        <v/>
      </c>
      <c r="BW45" s="242">
        <f>IF(CF表!BW$3="","",CF表!BW45/10000)</f>
        <v/>
      </c>
      <c r="BX45" s="242">
        <f>IF(CF表!BX$3="","",CF表!BX45/10000)</f>
        <v/>
      </c>
      <c r="BY45" s="242">
        <f>IF(CF表!BY$3="","",CF表!BY45/10000)</f>
        <v/>
      </c>
      <c r="BZ45" s="242">
        <f>IF(CF表!BZ$3="","",CF表!BZ45/10000)</f>
        <v/>
      </c>
      <c r="CA45" s="242">
        <f>IF(CF表!CA$3="","",CF表!CA45/10000)</f>
        <v/>
      </c>
      <c r="CB45" s="242">
        <f>IF(CF表!CB$3="","",CF表!CB45/10000)</f>
        <v/>
      </c>
      <c r="CC45" s="242">
        <f>IF(CF表!CC$3="","",CF表!CC45/10000)</f>
        <v/>
      </c>
      <c r="CD45" s="242">
        <f>IF(CF表!CD$3="","",CF表!CD45/10000)</f>
        <v/>
      </c>
      <c r="CE45" s="242">
        <f>IF(CF表!CE$3="","",CF表!CE45/10000)</f>
        <v/>
      </c>
      <c r="CF45" s="242">
        <f>IF(CF表!CF$3="","",CF表!CF45/10000)</f>
        <v/>
      </c>
      <c r="CG45" s="242">
        <f>IF(CF表!CG$3="","",CF表!CG45/10000)</f>
        <v/>
      </c>
      <c r="CH45" s="242">
        <f>IF(CF表!CH$3="","",CF表!CH45/10000)</f>
        <v/>
      </c>
      <c r="CI45" s="242">
        <f>IF(CF表!CI$3="","",CF表!CI45/10000)</f>
        <v/>
      </c>
      <c r="CJ45" s="242">
        <f>IF(CF表!CJ$3="","",CF表!CJ45/10000)</f>
        <v/>
      </c>
      <c r="CK45" s="242">
        <f>IF(CF表!CK$3="","",CF表!CK45/10000)</f>
        <v/>
      </c>
      <c r="CL45" s="242">
        <f>IF(CF表!CL$3="","",CF表!CL45/10000)</f>
        <v/>
      </c>
      <c r="CM45" s="242">
        <f>IF(CF表!CM$3="","",CF表!CM45/10000)</f>
        <v/>
      </c>
      <c r="CN45" s="242">
        <f>IF(CF表!CN$3="","",CF表!CN45/10000)</f>
        <v/>
      </c>
      <c r="CO45" s="242">
        <f>IF(CF表!CO$3="","",CF表!CO45/10000)</f>
        <v/>
      </c>
      <c r="CP45" s="242">
        <f>IF(CF表!CP$3="","",CF表!CP45/10000)</f>
        <v/>
      </c>
      <c r="CQ45" s="242">
        <f>IF(CF表!CQ$3="","",CF表!CQ45/10000)</f>
        <v/>
      </c>
      <c r="CR45" s="242">
        <f>IF(CF表!CR$3="","",CF表!CR45/10000)</f>
        <v/>
      </c>
      <c r="CS45" s="242">
        <f>IF(CF表!CS$3="","",CF表!CS45/10000)</f>
        <v/>
      </c>
      <c r="CT45" s="242">
        <f>IF(CF表!CT$3="","",CF表!CT45/10000)</f>
        <v/>
      </c>
      <c r="CU45" s="242">
        <f>IF(CF表!CU$3="","",CF表!CU45/10000)</f>
        <v/>
      </c>
      <c r="CV45" s="242">
        <f>IF(CF表!CV$3="","",CF表!CV45/10000)</f>
        <v/>
      </c>
      <c r="CW45" s="242">
        <f>IF(CF表!CW$3="","",CF表!CW45/10000)</f>
        <v/>
      </c>
    </row>
  </sheetData>
  <mergeCells count="1">
    <mergeCell ref="A1:CW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W4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4" customWidth="1" style="179" min="1" max="1"/>
    <col width="11" customWidth="1" style="179" min="2" max="101"/>
  </cols>
  <sheetData>
    <row r="1" ht="21" customHeight="1" s="180">
      <c r="A1" s="213" t="inlineStr">
        <is>
          <t>CF表（ご主人様死亡時・万円表示）</t>
        </is>
      </c>
    </row>
    <row r="2" ht="15" customHeight="1" s="180">
      <c r="A2" s="214" t="inlineStr">
        <is>
          <t>試算終了年</t>
        </is>
      </c>
      <c r="B2" s="179">
        <f>'CF表（ご主人様死亡時）'!B2</f>
        <v/>
      </c>
    </row>
    <row r="3" ht="15" customHeight="1" s="180">
      <c r="A3" s="215" t="inlineStr">
        <is>
          <t>年</t>
        </is>
      </c>
      <c r="B3" s="216">
        <f>IF('CF表（ご主人様死亡時）'!B3="","",'CF表（ご主人様死亡時）'!B3)</f>
        <v/>
      </c>
      <c r="C3" s="216">
        <f>IF('CF表（ご主人様死亡時）'!C3="","",'CF表（ご主人様死亡時）'!C3)</f>
        <v/>
      </c>
      <c r="D3" s="216">
        <f>IF('CF表（ご主人様死亡時）'!D3="","",'CF表（ご主人様死亡時）'!D3)</f>
        <v/>
      </c>
      <c r="E3" s="216">
        <f>IF('CF表（ご主人様死亡時）'!E3="","",'CF表（ご主人様死亡時）'!E3)</f>
        <v/>
      </c>
      <c r="F3" s="216">
        <f>IF('CF表（ご主人様死亡時）'!F3="","",'CF表（ご主人様死亡時）'!F3)</f>
        <v/>
      </c>
      <c r="G3" s="216">
        <f>IF('CF表（ご主人様死亡時）'!G3="","",'CF表（ご主人様死亡時）'!G3)</f>
        <v/>
      </c>
      <c r="H3" s="216">
        <f>IF('CF表（ご主人様死亡時）'!H3="","",'CF表（ご主人様死亡時）'!H3)</f>
        <v/>
      </c>
      <c r="I3" s="216">
        <f>IF('CF表（ご主人様死亡時）'!I3="","",'CF表（ご主人様死亡時）'!I3)</f>
        <v/>
      </c>
      <c r="J3" s="216">
        <f>IF('CF表（ご主人様死亡時）'!J3="","",'CF表（ご主人様死亡時）'!J3)</f>
        <v/>
      </c>
      <c r="K3" s="216">
        <f>IF('CF表（ご主人様死亡時）'!K3="","",'CF表（ご主人様死亡時）'!K3)</f>
        <v/>
      </c>
      <c r="L3" s="216">
        <f>IF('CF表（ご主人様死亡時）'!L3="","",'CF表（ご主人様死亡時）'!L3)</f>
        <v/>
      </c>
      <c r="M3" s="216">
        <f>IF('CF表（ご主人様死亡時）'!M3="","",'CF表（ご主人様死亡時）'!M3)</f>
        <v/>
      </c>
      <c r="N3" s="216">
        <f>IF('CF表（ご主人様死亡時）'!N3="","",'CF表（ご主人様死亡時）'!N3)</f>
        <v/>
      </c>
      <c r="O3" s="216">
        <f>IF('CF表（ご主人様死亡時）'!O3="","",'CF表（ご主人様死亡時）'!O3)</f>
        <v/>
      </c>
      <c r="P3" s="216">
        <f>IF('CF表（ご主人様死亡時）'!P3="","",'CF表（ご主人様死亡時）'!P3)</f>
        <v/>
      </c>
      <c r="Q3" s="216">
        <f>IF('CF表（ご主人様死亡時）'!Q3="","",'CF表（ご主人様死亡時）'!Q3)</f>
        <v/>
      </c>
      <c r="R3" s="216">
        <f>IF('CF表（ご主人様死亡時）'!R3="","",'CF表（ご主人様死亡時）'!R3)</f>
        <v/>
      </c>
      <c r="S3" s="216">
        <f>IF('CF表（ご主人様死亡時）'!S3="","",'CF表（ご主人様死亡時）'!S3)</f>
        <v/>
      </c>
      <c r="T3" s="216">
        <f>IF('CF表（ご主人様死亡時）'!T3="","",'CF表（ご主人様死亡時）'!T3)</f>
        <v/>
      </c>
      <c r="U3" s="216">
        <f>IF('CF表（ご主人様死亡時）'!U3="","",'CF表（ご主人様死亡時）'!U3)</f>
        <v/>
      </c>
      <c r="V3" s="216">
        <f>IF('CF表（ご主人様死亡時）'!V3="","",'CF表（ご主人様死亡時）'!V3)</f>
        <v/>
      </c>
      <c r="W3" s="216">
        <f>IF('CF表（ご主人様死亡時）'!W3="","",'CF表（ご主人様死亡時）'!W3)</f>
        <v/>
      </c>
      <c r="X3" s="216">
        <f>IF('CF表（ご主人様死亡時）'!X3="","",'CF表（ご主人様死亡時）'!X3)</f>
        <v/>
      </c>
      <c r="Y3" s="216">
        <f>IF('CF表（ご主人様死亡時）'!Y3="","",'CF表（ご主人様死亡時）'!Y3)</f>
        <v/>
      </c>
      <c r="Z3" s="216">
        <f>IF('CF表（ご主人様死亡時）'!Z3="","",'CF表（ご主人様死亡時）'!Z3)</f>
        <v/>
      </c>
      <c r="AA3" s="216">
        <f>IF('CF表（ご主人様死亡時）'!AA3="","",'CF表（ご主人様死亡時）'!AA3)</f>
        <v/>
      </c>
      <c r="AB3" s="216">
        <f>IF('CF表（ご主人様死亡時）'!AB3="","",'CF表（ご主人様死亡時）'!AB3)</f>
        <v/>
      </c>
      <c r="AC3" s="216">
        <f>IF('CF表（ご主人様死亡時）'!AC3="","",'CF表（ご主人様死亡時）'!AC3)</f>
        <v/>
      </c>
      <c r="AD3" s="216">
        <f>IF('CF表（ご主人様死亡時）'!AD3="","",'CF表（ご主人様死亡時）'!AD3)</f>
        <v/>
      </c>
      <c r="AE3" s="216">
        <f>IF('CF表（ご主人様死亡時）'!AE3="","",'CF表（ご主人様死亡時）'!AE3)</f>
        <v/>
      </c>
      <c r="AF3" s="216">
        <f>IF('CF表（ご主人様死亡時）'!AF3="","",'CF表（ご主人様死亡時）'!AF3)</f>
        <v/>
      </c>
      <c r="AG3" s="216">
        <f>IF('CF表（ご主人様死亡時）'!AG3="","",'CF表（ご主人様死亡時）'!AG3)</f>
        <v/>
      </c>
      <c r="AH3" s="216">
        <f>IF('CF表（ご主人様死亡時）'!AH3="","",'CF表（ご主人様死亡時）'!AH3)</f>
        <v/>
      </c>
      <c r="AI3" s="216">
        <f>IF('CF表（ご主人様死亡時）'!AI3="","",'CF表（ご主人様死亡時）'!AI3)</f>
        <v/>
      </c>
      <c r="AJ3" s="216">
        <f>IF('CF表（ご主人様死亡時）'!AJ3="","",'CF表（ご主人様死亡時）'!AJ3)</f>
        <v/>
      </c>
      <c r="AK3" s="216">
        <f>IF('CF表（ご主人様死亡時）'!AK3="","",'CF表（ご主人様死亡時）'!AK3)</f>
        <v/>
      </c>
      <c r="AL3" s="216">
        <f>IF('CF表（ご主人様死亡時）'!AL3="","",'CF表（ご主人様死亡時）'!AL3)</f>
        <v/>
      </c>
      <c r="AM3" s="216">
        <f>IF('CF表（ご主人様死亡時）'!AM3="","",'CF表（ご主人様死亡時）'!AM3)</f>
        <v/>
      </c>
      <c r="AN3" s="216">
        <f>IF('CF表（ご主人様死亡時）'!AN3="","",'CF表（ご主人様死亡時）'!AN3)</f>
        <v/>
      </c>
      <c r="AO3" s="216">
        <f>IF('CF表（ご主人様死亡時）'!AO3="","",'CF表（ご主人様死亡時）'!AO3)</f>
        <v/>
      </c>
      <c r="AP3" s="216">
        <f>IF('CF表（ご主人様死亡時）'!AP3="","",'CF表（ご主人様死亡時）'!AP3)</f>
        <v/>
      </c>
      <c r="AQ3" s="216">
        <f>IF('CF表（ご主人様死亡時）'!AQ3="","",'CF表（ご主人様死亡時）'!AQ3)</f>
        <v/>
      </c>
      <c r="AR3" s="216">
        <f>IF('CF表（ご主人様死亡時）'!AR3="","",'CF表（ご主人様死亡時）'!AR3)</f>
        <v/>
      </c>
      <c r="AS3" s="216">
        <f>IF('CF表（ご主人様死亡時）'!AS3="","",'CF表（ご主人様死亡時）'!AS3)</f>
        <v/>
      </c>
      <c r="AT3" s="216">
        <f>IF('CF表（ご主人様死亡時）'!AT3="","",'CF表（ご主人様死亡時）'!AT3)</f>
        <v/>
      </c>
      <c r="AU3" s="216">
        <f>IF('CF表（ご主人様死亡時）'!AU3="","",'CF表（ご主人様死亡時）'!AU3)</f>
        <v/>
      </c>
      <c r="AV3" s="216">
        <f>IF('CF表（ご主人様死亡時）'!AV3="","",'CF表（ご主人様死亡時）'!AV3)</f>
        <v/>
      </c>
      <c r="AW3" s="216">
        <f>IF('CF表（ご主人様死亡時）'!AW3="","",'CF表（ご主人様死亡時）'!AW3)</f>
        <v/>
      </c>
      <c r="AX3" s="216">
        <f>IF('CF表（ご主人様死亡時）'!AX3="","",'CF表（ご主人様死亡時）'!AX3)</f>
        <v/>
      </c>
      <c r="AY3" s="216">
        <f>IF('CF表（ご主人様死亡時）'!AY3="","",'CF表（ご主人様死亡時）'!AY3)</f>
        <v/>
      </c>
      <c r="AZ3" s="216">
        <f>IF('CF表（ご主人様死亡時）'!AZ3="","",'CF表（ご主人様死亡時）'!AZ3)</f>
        <v/>
      </c>
      <c r="BA3" s="216">
        <f>IF('CF表（ご主人様死亡時）'!BA3="","",'CF表（ご主人様死亡時）'!BA3)</f>
        <v/>
      </c>
      <c r="BB3" s="216">
        <f>IF('CF表（ご主人様死亡時）'!BB3="","",'CF表（ご主人様死亡時）'!BB3)</f>
        <v/>
      </c>
      <c r="BC3" s="216">
        <f>IF('CF表（ご主人様死亡時）'!BC3="","",'CF表（ご主人様死亡時）'!BC3)</f>
        <v/>
      </c>
      <c r="BD3" s="216">
        <f>IF('CF表（ご主人様死亡時）'!BD3="","",'CF表（ご主人様死亡時）'!BD3)</f>
        <v/>
      </c>
      <c r="BE3" s="216">
        <f>IF('CF表（ご主人様死亡時）'!BE3="","",'CF表（ご主人様死亡時）'!BE3)</f>
        <v/>
      </c>
      <c r="BF3" s="216">
        <f>IF('CF表（ご主人様死亡時）'!BF3="","",'CF表（ご主人様死亡時）'!BF3)</f>
        <v/>
      </c>
      <c r="BG3" s="216">
        <f>IF('CF表（ご主人様死亡時）'!BG3="","",'CF表（ご主人様死亡時）'!BG3)</f>
        <v/>
      </c>
      <c r="BH3" s="216">
        <f>IF('CF表（ご主人様死亡時）'!BH3="","",'CF表（ご主人様死亡時）'!BH3)</f>
        <v/>
      </c>
      <c r="BI3" s="216">
        <f>IF('CF表（ご主人様死亡時）'!BI3="","",'CF表（ご主人様死亡時）'!BI3)</f>
        <v/>
      </c>
      <c r="BJ3" s="216">
        <f>IF('CF表（ご主人様死亡時）'!BJ3="","",'CF表（ご主人様死亡時）'!BJ3)</f>
        <v/>
      </c>
      <c r="BK3" s="216">
        <f>IF('CF表（ご主人様死亡時）'!BK3="","",'CF表（ご主人様死亡時）'!BK3)</f>
        <v/>
      </c>
      <c r="BL3" s="216">
        <f>IF('CF表（ご主人様死亡時）'!BL3="","",'CF表（ご主人様死亡時）'!BL3)</f>
        <v/>
      </c>
      <c r="BM3" s="216">
        <f>IF('CF表（ご主人様死亡時）'!BM3="","",'CF表（ご主人様死亡時）'!BM3)</f>
        <v/>
      </c>
      <c r="BN3" s="216">
        <f>IF('CF表（ご主人様死亡時）'!BN3="","",'CF表（ご主人様死亡時）'!BN3)</f>
        <v/>
      </c>
      <c r="BO3" s="216">
        <f>IF('CF表（ご主人様死亡時）'!BO3="","",'CF表（ご主人様死亡時）'!BO3)</f>
        <v/>
      </c>
      <c r="BP3" s="216">
        <f>IF('CF表（ご主人様死亡時）'!BP3="","",'CF表（ご主人様死亡時）'!BP3)</f>
        <v/>
      </c>
      <c r="BQ3" s="216">
        <f>IF('CF表（ご主人様死亡時）'!BQ3="","",'CF表（ご主人様死亡時）'!BQ3)</f>
        <v/>
      </c>
      <c r="BR3" s="216">
        <f>IF('CF表（ご主人様死亡時）'!BR3="","",'CF表（ご主人様死亡時）'!BR3)</f>
        <v/>
      </c>
      <c r="BS3" s="216">
        <f>IF('CF表（ご主人様死亡時）'!BS3="","",'CF表（ご主人様死亡時）'!BS3)</f>
        <v/>
      </c>
      <c r="BT3" s="216">
        <f>IF('CF表（ご主人様死亡時）'!BT3="","",'CF表（ご主人様死亡時）'!BT3)</f>
        <v/>
      </c>
      <c r="BU3" s="216">
        <f>IF('CF表（ご主人様死亡時）'!BU3="","",'CF表（ご主人様死亡時）'!BU3)</f>
        <v/>
      </c>
      <c r="BV3" s="216">
        <f>IF('CF表（ご主人様死亡時）'!BV3="","",'CF表（ご主人様死亡時）'!BV3)</f>
        <v/>
      </c>
      <c r="BW3" s="216">
        <f>IF('CF表（ご主人様死亡時）'!BW3="","",'CF表（ご主人様死亡時）'!BW3)</f>
        <v/>
      </c>
      <c r="BX3" s="216">
        <f>IF('CF表（ご主人様死亡時）'!BX3="","",'CF表（ご主人様死亡時）'!BX3)</f>
        <v/>
      </c>
      <c r="BY3" s="216">
        <f>IF('CF表（ご主人様死亡時）'!BY3="","",'CF表（ご主人様死亡時）'!BY3)</f>
        <v/>
      </c>
      <c r="BZ3" s="216">
        <f>IF('CF表（ご主人様死亡時）'!BZ3="","",'CF表（ご主人様死亡時）'!BZ3)</f>
        <v/>
      </c>
      <c r="CA3" s="216">
        <f>IF('CF表（ご主人様死亡時）'!CA3="","",'CF表（ご主人様死亡時）'!CA3)</f>
        <v/>
      </c>
      <c r="CB3" s="216">
        <f>IF('CF表（ご主人様死亡時）'!CB3="","",'CF表（ご主人様死亡時）'!CB3)</f>
        <v/>
      </c>
      <c r="CC3" s="216">
        <f>IF('CF表（ご主人様死亡時）'!CC3="","",'CF表（ご主人様死亡時）'!CC3)</f>
        <v/>
      </c>
      <c r="CD3" s="216">
        <f>IF('CF表（ご主人様死亡時）'!CD3="","",'CF表（ご主人様死亡時）'!CD3)</f>
        <v/>
      </c>
      <c r="CE3" s="216">
        <f>IF('CF表（ご主人様死亡時）'!CE3="","",'CF表（ご主人様死亡時）'!CE3)</f>
        <v/>
      </c>
      <c r="CF3" s="216">
        <f>IF('CF表（ご主人様死亡時）'!CF3="","",'CF表（ご主人様死亡時）'!CF3)</f>
        <v/>
      </c>
      <c r="CG3" s="216">
        <f>IF('CF表（ご主人様死亡時）'!CG3="","",'CF表（ご主人様死亡時）'!CG3)</f>
        <v/>
      </c>
      <c r="CH3" s="216">
        <f>IF('CF表（ご主人様死亡時）'!CH3="","",'CF表（ご主人様死亡時）'!CH3)</f>
        <v/>
      </c>
      <c r="CI3" s="216">
        <f>IF('CF表（ご主人様死亡時）'!CI3="","",'CF表（ご主人様死亡時）'!CI3)</f>
        <v/>
      </c>
      <c r="CJ3" s="216">
        <f>IF('CF表（ご主人様死亡時）'!CJ3="","",'CF表（ご主人様死亡時）'!CJ3)</f>
        <v/>
      </c>
      <c r="CK3" s="216">
        <f>IF('CF表（ご主人様死亡時）'!CK3="","",'CF表（ご主人様死亡時）'!CK3)</f>
        <v/>
      </c>
      <c r="CL3" s="216">
        <f>IF('CF表（ご主人様死亡時）'!CL3="","",'CF表（ご主人様死亡時）'!CL3)</f>
        <v/>
      </c>
      <c r="CM3" s="216">
        <f>IF('CF表（ご主人様死亡時）'!CM3="","",'CF表（ご主人様死亡時）'!CM3)</f>
        <v/>
      </c>
      <c r="CN3" s="216">
        <f>IF('CF表（ご主人様死亡時）'!CN3="","",'CF表（ご主人様死亡時）'!CN3)</f>
        <v/>
      </c>
      <c r="CO3" s="216">
        <f>IF('CF表（ご主人様死亡時）'!CO3="","",'CF表（ご主人様死亡時）'!CO3)</f>
        <v/>
      </c>
      <c r="CP3" s="216">
        <f>IF('CF表（ご主人様死亡時）'!CP3="","",'CF表（ご主人様死亡時）'!CP3)</f>
        <v/>
      </c>
      <c r="CQ3" s="216">
        <f>IF('CF表（ご主人様死亡時）'!CQ3="","",'CF表（ご主人様死亡時）'!CQ3)</f>
        <v/>
      </c>
      <c r="CR3" s="216">
        <f>IF('CF表（ご主人様死亡時）'!CR3="","",'CF表（ご主人様死亡時）'!CR3)</f>
        <v/>
      </c>
      <c r="CS3" s="216">
        <f>IF('CF表（ご主人様死亡時）'!CS3="","",'CF表（ご主人様死亡時）'!CS3)</f>
        <v/>
      </c>
      <c r="CT3" s="216">
        <f>IF('CF表（ご主人様死亡時）'!CT3="","",'CF表（ご主人様死亡時）'!CT3)</f>
        <v/>
      </c>
      <c r="CU3" s="216">
        <f>IF('CF表（ご主人様死亡時）'!CU3="","",'CF表（ご主人様死亡時）'!CU3)</f>
        <v/>
      </c>
      <c r="CV3" s="216">
        <f>IF('CF表（ご主人様死亡時）'!CV3="","",'CF表（ご主人様死亡時）'!CV3)</f>
        <v/>
      </c>
      <c r="CW3" s="216">
        <f>IF('CF表（ご主人様死亡時）'!CW3="","",'CF表（ご主人様死亡時）'!CW3)</f>
        <v/>
      </c>
    </row>
    <row r="4" ht="15" customHeight="1" s="180">
      <c r="A4" s="217" t="inlineStr">
        <is>
          <t>ご主人様年齢</t>
        </is>
      </c>
      <c r="B4" s="218">
        <f>IF('CF表（ご主人様死亡時）'!B4="","",'CF表（ご主人様死亡時）'!B4)</f>
        <v/>
      </c>
      <c r="C4" s="218">
        <f>IF('CF表（ご主人様死亡時）'!C4="","",'CF表（ご主人様死亡時）'!C4)</f>
        <v/>
      </c>
      <c r="D4" s="218">
        <f>IF('CF表（ご主人様死亡時）'!D4="","",'CF表（ご主人様死亡時）'!D4)</f>
        <v/>
      </c>
      <c r="E4" s="218">
        <f>IF('CF表（ご主人様死亡時）'!E4="","",'CF表（ご主人様死亡時）'!E4)</f>
        <v/>
      </c>
      <c r="F4" s="218">
        <f>IF('CF表（ご主人様死亡時）'!F4="","",'CF表（ご主人様死亡時）'!F4)</f>
        <v/>
      </c>
      <c r="G4" s="218">
        <f>IF('CF表（ご主人様死亡時）'!G4="","",'CF表（ご主人様死亡時）'!G4)</f>
        <v/>
      </c>
      <c r="H4" s="218">
        <f>IF('CF表（ご主人様死亡時）'!H4="","",'CF表（ご主人様死亡時）'!H4)</f>
        <v/>
      </c>
      <c r="I4" s="218">
        <f>IF('CF表（ご主人様死亡時）'!I4="","",'CF表（ご主人様死亡時）'!I4)</f>
        <v/>
      </c>
      <c r="J4" s="218">
        <f>IF('CF表（ご主人様死亡時）'!J4="","",'CF表（ご主人様死亡時）'!J4)</f>
        <v/>
      </c>
      <c r="K4" s="218">
        <f>IF('CF表（ご主人様死亡時）'!K4="","",'CF表（ご主人様死亡時）'!K4)</f>
        <v/>
      </c>
      <c r="L4" s="218">
        <f>IF('CF表（ご主人様死亡時）'!L4="","",'CF表（ご主人様死亡時）'!L4)</f>
        <v/>
      </c>
      <c r="M4" s="218">
        <f>IF('CF表（ご主人様死亡時）'!M4="","",'CF表（ご主人様死亡時）'!M4)</f>
        <v/>
      </c>
      <c r="N4" s="218">
        <f>IF('CF表（ご主人様死亡時）'!N4="","",'CF表（ご主人様死亡時）'!N4)</f>
        <v/>
      </c>
      <c r="O4" s="218">
        <f>IF('CF表（ご主人様死亡時）'!O4="","",'CF表（ご主人様死亡時）'!O4)</f>
        <v/>
      </c>
      <c r="P4" s="218">
        <f>IF('CF表（ご主人様死亡時）'!P4="","",'CF表（ご主人様死亡時）'!P4)</f>
        <v/>
      </c>
      <c r="Q4" s="218">
        <f>IF('CF表（ご主人様死亡時）'!Q4="","",'CF表（ご主人様死亡時）'!Q4)</f>
        <v/>
      </c>
      <c r="R4" s="218">
        <f>IF('CF表（ご主人様死亡時）'!R4="","",'CF表（ご主人様死亡時）'!R4)</f>
        <v/>
      </c>
      <c r="S4" s="218">
        <f>IF('CF表（ご主人様死亡時）'!S4="","",'CF表（ご主人様死亡時）'!S4)</f>
        <v/>
      </c>
      <c r="T4" s="218">
        <f>IF('CF表（ご主人様死亡時）'!T4="","",'CF表（ご主人様死亡時）'!T4)</f>
        <v/>
      </c>
      <c r="U4" s="218">
        <f>IF('CF表（ご主人様死亡時）'!U4="","",'CF表（ご主人様死亡時）'!U4)</f>
        <v/>
      </c>
      <c r="V4" s="218">
        <f>IF('CF表（ご主人様死亡時）'!V4="","",'CF表（ご主人様死亡時）'!V4)</f>
        <v/>
      </c>
      <c r="W4" s="218">
        <f>IF('CF表（ご主人様死亡時）'!W4="","",'CF表（ご主人様死亡時）'!W4)</f>
        <v/>
      </c>
      <c r="X4" s="218">
        <f>IF('CF表（ご主人様死亡時）'!X4="","",'CF表（ご主人様死亡時）'!X4)</f>
        <v/>
      </c>
      <c r="Y4" s="218">
        <f>IF('CF表（ご主人様死亡時）'!Y4="","",'CF表（ご主人様死亡時）'!Y4)</f>
        <v/>
      </c>
      <c r="Z4" s="218">
        <f>IF('CF表（ご主人様死亡時）'!Z4="","",'CF表（ご主人様死亡時）'!Z4)</f>
        <v/>
      </c>
      <c r="AA4" s="218">
        <f>IF('CF表（ご主人様死亡時）'!AA4="","",'CF表（ご主人様死亡時）'!AA4)</f>
        <v/>
      </c>
      <c r="AB4" s="218">
        <f>IF('CF表（ご主人様死亡時）'!AB4="","",'CF表（ご主人様死亡時）'!AB4)</f>
        <v/>
      </c>
      <c r="AC4" s="218">
        <f>IF('CF表（ご主人様死亡時）'!AC4="","",'CF表（ご主人様死亡時）'!AC4)</f>
        <v/>
      </c>
      <c r="AD4" s="218">
        <f>IF('CF表（ご主人様死亡時）'!AD4="","",'CF表（ご主人様死亡時）'!AD4)</f>
        <v/>
      </c>
      <c r="AE4" s="218">
        <f>IF('CF表（ご主人様死亡時）'!AE4="","",'CF表（ご主人様死亡時）'!AE4)</f>
        <v/>
      </c>
      <c r="AF4" s="218">
        <f>IF('CF表（ご主人様死亡時）'!AF4="","",'CF表（ご主人様死亡時）'!AF4)</f>
        <v/>
      </c>
      <c r="AG4" s="218">
        <f>IF('CF表（ご主人様死亡時）'!AG4="","",'CF表（ご主人様死亡時）'!AG4)</f>
        <v/>
      </c>
      <c r="AH4" s="218">
        <f>IF('CF表（ご主人様死亡時）'!AH4="","",'CF表（ご主人様死亡時）'!AH4)</f>
        <v/>
      </c>
      <c r="AI4" s="218">
        <f>IF('CF表（ご主人様死亡時）'!AI4="","",'CF表（ご主人様死亡時）'!AI4)</f>
        <v/>
      </c>
      <c r="AJ4" s="218">
        <f>IF('CF表（ご主人様死亡時）'!AJ4="","",'CF表（ご主人様死亡時）'!AJ4)</f>
        <v/>
      </c>
      <c r="AK4" s="218">
        <f>IF('CF表（ご主人様死亡時）'!AK4="","",'CF表（ご主人様死亡時）'!AK4)</f>
        <v/>
      </c>
      <c r="AL4" s="218">
        <f>IF('CF表（ご主人様死亡時）'!AL4="","",'CF表（ご主人様死亡時）'!AL4)</f>
        <v/>
      </c>
      <c r="AM4" s="218">
        <f>IF('CF表（ご主人様死亡時）'!AM4="","",'CF表（ご主人様死亡時）'!AM4)</f>
        <v/>
      </c>
      <c r="AN4" s="218">
        <f>IF('CF表（ご主人様死亡時）'!AN4="","",'CF表（ご主人様死亡時）'!AN4)</f>
        <v/>
      </c>
      <c r="AO4" s="218">
        <f>IF('CF表（ご主人様死亡時）'!AO4="","",'CF表（ご主人様死亡時）'!AO4)</f>
        <v/>
      </c>
      <c r="AP4" s="218">
        <f>IF('CF表（ご主人様死亡時）'!AP4="","",'CF表（ご主人様死亡時）'!AP4)</f>
        <v/>
      </c>
      <c r="AQ4" s="218">
        <f>IF('CF表（ご主人様死亡時）'!AQ4="","",'CF表（ご主人様死亡時）'!AQ4)</f>
        <v/>
      </c>
      <c r="AR4" s="218">
        <f>IF('CF表（ご主人様死亡時）'!AR4="","",'CF表（ご主人様死亡時）'!AR4)</f>
        <v/>
      </c>
      <c r="AS4" s="218">
        <f>IF('CF表（ご主人様死亡時）'!AS4="","",'CF表（ご主人様死亡時）'!AS4)</f>
        <v/>
      </c>
      <c r="AT4" s="218">
        <f>IF('CF表（ご主人様死亡時）'!AT4="","",'CF表（ご主人様死亡時）'!AT4)</f>
        <v/>
      </c>
      <c r="AU4" s="218">
        <f>IF('CF表（ご主人様死亡時）'!AU4="","",'CF表（ご主人様死亡時）'!AU4)</f>
        <v/>
      </c>
      <c r="AV4" s="218">
        <f>IF('CF表（ご主人様死亡時）'!AV4="","",'CF表（ご主人様死亡時）'!AV4)</f>
        <v/>
      </c>
      <c r="AW4" s="218">
        <f>IF('CF表（ご主人様死亡時）'!AW4="","",'CF表（ご主人様死亡時）'!AW4)</f>
        <v/>
      </c>
      <c r="AX4" s="218">
        <f>IF('CF表（ご主人様死亡時）'!AX4="","",'CF表（ご主人様死亡時）'!AX4)</f>
        <v/>
      </c>
      <c r="AY4" s="218">
        <f>IF('CF表（ご主人様死亡時）'!AY4="","",'CF表（ご主人様死亡時）'!AY4)</f>
        <v/>
      </c>
      <c r="AZ4" s="218">
        <f>IF('CF表（ご主人様死亡時）'!AZ4="","",'CF表（ご主人様死亡時）'!AZ4)</f>
        <v/>
      </c>
      <c r="BA4" s="218">
        <f>IF('CF表（ご主人様死亡時）'!BA4="","",'CF表（ご主人様死亡時）'!BA4)</f>
        <v/>
      </c>
      <c r="BB4" s="218">
        <f>IF('CF表（ご主人様死亡時）'!BB4="","",'CF表（ご主人様死亡時）'!BB4)</f>
        <v/>
      </c>
      <c r="BC4" s="218">
        <f>IF('CF表（ご主人様死亡時）'!BC4="","",'CF表（ご主人様死亡時）'!BC4)</f>
        <v/>
      </c>
      <c r="BD4" s="218">
        <f>IF('CF表（ご主人様死亡時）'!BD4="","",'CF表（ご主人様死亡時）'!BD4)</f>
        <v/>
      </c>
      <c r="BE4" s="218">
        <f>IF('CF表（ご主人様死亡時）'!BE4="","",'CF表（ご主人様死亡時）'!BE4)</f>
        <v/>
      </c>
      <c r="BF4" s="218">
        <f>IF('CF表（ご主人様死亡時）'!BF4="","",'CF表（ご主人様死亡時）'!BF4)</f>
        <v/>
      </c>
      <c r="BG4" s="218">
        <f>IF('CF表（ご主人様死亡時）'!BG4="","",'CF表（ご主人様死亡時）'!BG4)</f>
        <v/>
      </c>
      <c r="BH4" s="218">
        <f>IF('CF表（ご主人様死亡時）'!BH4="","",'CF表（ご主人様死亡時）'!BH4)</f>
        <v/>
      </c>
      <c r="BI4" s="218">
        <f>IF('CF表（ご主人様死亡時）'!BI4="","",'CF表（ご主人様死亡時）'!BI4)</f>
        <v/>
      </c>
      <c r="BJ4" s="218">
        <f>IF('CF表（ご主人様死亡時）'!BJ4="","",'CF表（ご主人様死亡時）'!BJ4)</f>
        <v/>
      </c>
      <c r="BK4" s="218">
        <f>IF('CF表（ご主人様死亡時）'!BK4="","",'CF表（ご主人様死亡時）'!BK4)</f>
        <v/>
      </c>
      <c r="BL4" s="218">
        <f>IF('CF表（ご主人様死亡時）'!BL4="","",'CF表（ご主人様死亡時）'!BL4)</f>
        <v/>
      </c>
      <c r="BM4" s="218">
        <f>IF('CF表（ご主人様死亡時）'!BM4="","",'CF表（ご主人様死亡時）'!BM4)</f>
        <v/>
      </c>
      <c r="BN4" s="218">
        <f>IF('CF表（ご主人様死亡時）'!BN4="","",'CF表（ご主人様死亡時）'!BN4)</f>
        <v/>
      </c>
      <c r="BO4" s="218">
        <f>IF('CF表（ご主人様死亡時）'!BO4="","",'CF表（ご主人様死亡時）'!BO4)</f>
        <v/>
      </c>
      <c r="BP4" s="218">
        <f>IF('CF表（ご主人様死亡時）'!BP4="","",'CF表（ご主人様死亡時）'!BP4)</f>
        <v/>
      </c>
      <c r="BQ4" s="218">
        <f>IF('CF表（ご主人様死亡時）'!BQ4="","",'CF表（ご主人様死亡時）'!BQ4)</f>
        <v/>
      </c>
      <c r="BR4" s="218">
        <f>IF('CF表（ご主人様死亡時）'!BR4="","",'CF表（ご主人様死亡時）'!BR4)</f>
        <v/>
      </c>
      <c r="BS4" s="218">
        <f>IF('CF表（ご主人様死亡時）'!BS4="","",'CF表（ご主人様死亡時）'!BS4)</f>
        <v/>
      </c>
      <c r="BT4" s="218">
        <f>IF('CF表（ご主人様死亡時）'!BT4="","",'CF表（ご主人様死亡時）'!BT4)</f>
        <v/>
      </c>
      <c r="BU4" s="218">
        <f>IF('CF表（ご主人様死亡時）'!BU4="","",'CF表（ご主人様死亡時）'!BU4)</f>
        <v/>
      </c>
      <c r="BV4" s="218">
        <f>IF('CF表（ご主人様死亡時）'!BV4="","",'CF表（ご主人様死亡時）'!BV4)</f>
        <v/>
      </c>
      <c r="BW4" s="218">
        <f>IF('CF表（ご主人様死亡時）'!BW4="","",'CF表（ご主人様死亡時）'!BW4)</f>
        <v/>
      </c>
      <c r="BX4" s="218">
        <f>IF('CF表（ご主人様死亡時）'!BX4="","",'CF表（ご主人様死亡時）'!BX4)</f>
        <v/>
      </c>
      <c r="BY4" s="218">
        <f>IF('CF表（ご主人様死亡時）'!BY4="","",'CF表（ご主人様死亡時）'!BY4)</f>
        <v/>
      </c>
      <c r="BZ4" s="218">
        <f>IF('CF表（ご主人様死亡時）'!BZ4="","",'CF表（ご主人様死亡時）'!BZ4)</f>
        <v/>
      </c>
      <c r="CA4" s="218">
        <f>IF('CF表（ご主人様死亡時）'!CA4="","",'CF表（ご主人様死亡時）'!CA4)</f>
        <v/>
      </c>
      <c r="CB4" s="218">
        <f>IF('CF表（ご主人様死亡時）'!CB4="","",'CF表（ご主人様死亡時）'!CB4)</f>
        <v/>
      </c>
      <c r="CC4" s="218">
        <f>IF('CF表（ご主人様死亡時）'!CC4="","",'CF表（ご主人様死亡時）'!CC4)</f>
        <v/>
      </c>
      <c r="CD4" s="218">
        <f>IF('CF表（ご主人様死亡時）'!CD4="","",'CF表（ご主人様死亡時）'!CD4)</f>
        <v/>
      </c>
      <c r="CE4" s="218">
        <f>IF('CF表（ご主人様死亡時）'!CE4="","",'CF表（ご主人様死亡時）'!CE4)</f>
        <v/>
      </c>
      <c r="CF4" s="218">
        <f>IF('CF表（ご主人様死亡時）'!CF4="","",'CF表（ご主人様死亡時）'!CF4)</f>
        <v/>
      </c>
      <c r="CG4" s="218">
        <f>IF('CF表（ご主人様死亡時）'!CG4="","",'CF表（ご主人様死亡時）'!CG4)</f>
        <v/>
      </c>
      <c r="CH4" s="218">
        <f>IF('CF表（ご主人様死亡時）'!CH4="","",'CF表（ご主人様死亡時）'!CH4)</f>
        <v/>
      </c>
      <c r="CI4" s="218">
        <f>IF('CF表（ご主人様死亡時）'!CI4="","",'CF表（ご主人様死亡時）'!CI4)</f>
        <v/>
      </c>
      <c r="CJ4" s="218">
        <f>IF('CF表（ご主人様死亡時）'!CJ4="","",'CF表（ご主人様死亡時）'!CJ4)</f>
        <v/>
      </c>
      <c r="CK4" s="218">
        <f>IF('CF表（ご主人様死亡時）'!CK4="","",'CF表（ご主人様死亡時）'!CK4)</f>
        <v/>
      </c>
      <c r="CL4" s="218">
        <f>IF('CF表（ご主人様死亡時）'!CL4="","",'CF表（ご主人様死亡時）'!CL4)</f>
        <v/>
      </c>
      <c r="CM4" s="218">
        <f>IF('CF表（ご主人様死亡時）'!CM4="","",'CF表（ご主人様死亡時）'!CM4)</f>
        <v/>
      </c>
      <c r="CN4" s="218">
        <f>IF('CF表（ご主人様死亡時）'!CN4="","",'CF表（ご主人様死亡時）'!CN4)</f>
        <v/>
      </c>
      <c r="CO4" s="218">
        <f>IF('CF表（ご主人様死亡時）'!CO4="","",'CF表（ご主人様死亡時）'!CO4)</f>
        <v/>
      </c>
      <c r="CP4" s="218">
        <f>IF('CF表（ご主人様死亡時）'!CP4="","",'CF表（ご主人様死亡時）'!CP4)</f>
        <v/>
      </c>
      <c r="CQ4" s="218">
        <f>IF('CF表（ご主人様死亡時）'!CQ4="","",'CF表（ご主人様死亡時）'!CQ4)</f>
        <v/>
      </c>
      <c r="CR4" s="218">
        <f>IF('CF表（ご主人様死亡時）'!CR4="","",'CF表（ご主人様死亡時）'!CR4)</f>
        <v/>
      </c>
      <c r="CS4" s="218">
        <f>IF('CF表（ご主人様死亡時）'!CS4="","",'CF表（ご主人様死亡時）'!CS4)</f>
        <v/>
      </c>
      <c r="CT4" s="218">
        <f>IF('CF表（ご主人様死亡時）'!CT4="","",'CF表（ご主人様死亡時）'!CT4)</f>
        <v/>
      </c>
      <c r="CU4" s="218">
        <f>IF('CF表（ご主人様死亡時）'!CU4="","",'CF表（ご主人様死亡時）'!CU4)</f>
        <v/>
      </c>
      <c r="CV4" s="218">
        <f>IF('CF表（ご主人様死亡時）'!CV4="","",'CF表（ご主人様死亡時）'!CV4)</f>
        <v/>
      </c>
      <c r="CW4" s="218">
        <f>IF('CF表（ご主人様死亡時）'!CW4="","",'CF表（ご主人様死亡時）'!CW4)</f>
        <v/>
      </c>
    </row>
    <row r="5" ht="15" customHeight="1" s="180">
      <c r="A5" s="217" t="inlineStr">
        <is>
          <t>奥様年齢</t>
        </is>
      </c>
      <c r="B5" s="218">
        <f>IF('CF表（ご主人様死亡時）'!B5="","",'CF表（ご主人様死亡時）'!B5)</f>
        <v/>
      </c>
      <c r="C5" s="218">
        <f>IF('CF表（ご主人様死亡時）'!C5="","",'CF表（ご主人様死亡時）'!C5)</f>
        <v/>
      </c>
      <c r="D5" s="218">
        <f>IF('CF表（ご主人様死亡時）'!D5="","",'CF表（ご主人様死亡時）'!D5)</f>
        <v/>
      </c>
      <c r="E5" s="218">
        <f>IF('CF表（ご主人様死亡時）'!E5="","",'CF表（ご主人様死亡時）'!E5)</f>
        <v/>
      </c>
      <c r="F5" s="218">
        <f>IF('CF表（ご主人様死亡時）'!F5="","",'CF表（ご主人様死亡時）'!F5)</f>
        <v/>
      </c>
      <c r="G5" s="218">
        <f>IF('CF表（ご主人様死亡時）'!G5="","",'CF表（ご主人様死亡時）'!G5)</f>
        <v/>
      </c>
      <c r="H5" s="218">
        <f>IF('CF表（ご主人様死亡時）'!H5="","",'CF表（ご主人様死亡時）'!H5)</f>
        <v/>
      </c>
      <c r="I5" s="218">
        <f>IF('CF表（ご主人様死亡時）'!I5="","",'CF表（ご主人様死亡時）'!I5)</f>
        <v/>
      </c>
      <c r="J5" s="218">
        <f>IF('CF表（ご主人様死亡時）'!J5="","",'CF表（ご主人様死亡時）'!J5)</f>
        <v/>
      </c>
      <c r="K5" s="218">
        <f>IF('CF表（ご主人様死亡時）'!K5="","",'CF表（ご主人様死亡時）'!K5)</f>
        <v/>
      </c>
      <c r="L5" s="218">
        <f>IF('CF表（ご主人様死亡時）'!L5="","",'CF表（ご主人様死亡時）'!L5)</f>
        <v/>
      </c>
      <c r="M5" s="218">
        <f>IF('CF表（ご主人様死亡時）'!M5="","",'CF表（ご主人様死亡時）'!M5)</f>
        <v/>
      </c>
      <c r="N5" s="218">
        <f>IF('CF表（ご主人様死亡時）'!N5="","",'CF表（ご主人様死亡時）'!N5)</f>
        <v/>
      </c>
      <c r="O5" s="218">
        <f>IF('CF表（ご主人様死亡時）'!O5="","",'CF表（ご主人様死亡時）'!O5)</f>
        <v/>
      </c>
      <c r="P5" s="218">
        <f>IF('CF表（ご主人様死亡時）'!P5="","",'CF表（ご主人様死亡時）'!P5)</f>
        <v/>
      </c>
      <c r="Q5" s="218">
        <f>IF('CF表（ご主人様死亡時）'!Q5="","",'CF表（ご主人様死亡時）'!Q5)</f>
        <v/>
      </c>
      <c r="R5" s="218">
        <f>IF('CF表（ご主人様死亡時）'!R5="","",'CF表（ご主人様死亡時）'!R5)</f>
        <v/>
      </c>
      <c r="S5" s="218">
        <f>IF('CF表（ご主人様死亡時）'!S5="","",'CF表（ご主人様死亡時）'!S5)</f>
        <v/>
      </c>
      <c r="T5" s="218">
        <f>IF('CF表（ご主人様死亡時）'!T5="","",'CF表（ご主人様死亡時）'!T5)</f>
        <v/>
      </c>
      <c r="U5" s="218">
        <f>IF('CF表（ご主人様死亡時）'!U5="","",'CF表（ご主人様死亡時）'!U5)</f>
        <v/>
      </c>
      <c r="V5" s="218">
        <f>IF('CF表（ご主人様死亡時）'!V5="","",'CF表（ご主人様死亡時）'!V5)</f>
        <v/>
      </c>
      <c r="W5" s="218">
        <f>IF('CF表（ご主人様死亡時）'!W5="","",'CF表（ご主人様死亡時）'!W5)</f>
        <v/>
      </c>
      <c r="X5" s="218">
        <f>IF('CF表（ご主人様死亡時）'!X5="","",'CF表（ご主人様死亡時）'!X5)</f>
        <v/>
      </c>
      <c r="Y5" s="218">
        <f>IF('CF表（ご主人様死亡時）'!Y5="","",'CF表（ご主人様死亡時）'!Y5)</f>
        <v/>
      </c>
      <c r="Z5" s="218">
        <f>IF('CF表（ご主人様死亡時）'!Z5="","",'CF表（ご主人様死亡時）'!Z5)</f>
        <v/>
      </c>
      <c r="AA5" s="218">
        <f>IF('CF表（ご主人様死亡時）'!AA5="","",'CF表（ご主人様死亡時）'!AA5)</f>
        <v/>
      </c>
      <c r="AB5" s="218">
        <f>IF('CF表（ご主人様死亡時）'!AB5="","",'CF表（ご主人様死亡時）'!AB5)</f>
        <v/>
      </c>
      <c r="AC5" s="218">
        <f>IF('CF表（ご主人様死亡時）'!AC5="","",'CF表（ご主人様死亡時）'!AC5)</f>
        <v/>
      </c>
      <c r="AD5" s="218">
        <f>IF('CF表（ご主人様死亡時）'!AD5="","",'CF表（ご主人様死亡時）'!AD5)</f>
        <v/>
      </c>
      <c r="AE5" s="218">
        <f>IF('CF表（ご主人様死亡時）'!AE5="","",'CF表（ご主人様死亡時）'!AE5)</f>
        <v/>
      </c>
      <c r="AF5" s="218">
        <f>IF('CF表（ご主人様死亡時）'!AF5="","",'CF表（ご主人様死亡時）'!AF5)</f>
        <v/>
      </c>
      <c r="AG5" s="218">
        <f>IF('CF表（ご主人様死亡時）'!AG5="","",'CF表（ご主人様死亡時）'!AG5)</f>
        <v/>
      </c>
      <c r="AH5" s="218">
        <f>IF('CF表（ご主人様死亡時）'!AH5="","",'CF表（ご主人様死亡時）'!AH5)</f>
        <v/>
      </c>
      <c r="AI5" s="218">
        <f>IF('CF表（ご主人様死亡時）'!AI5="","",'CF表（ご主人様死亡時）'!AI5)</f>
        <v/>
      </c>
      <c r="AJ5" s="218">
        <f>IF('CF表（ご主人様死亡時）'!AJ5="","",'CF表（ご主人様死亡時）'!AJ5)</f>
        <v/>
      </c>
      <c r="AK5" s="218">
        <f>IF('CF表（ご主人様死亡時）'!AK5="","",'CF表（ご主人様死亡時）'!AK5)</f>
        <v/>
      </c>
      <c r="AL5" s="218">
        <f>IF('CF表（ご主人様死亡時）'!AL5="","",'CF表（ご主人様死亡時）'!AL5)</f>
        <v/>
      </c>
      <c r="AM5" s="218">
        <f>IF('CF表（ご主人様死亡時）'!AM5="","",'CF表（ご主人様死亡時）'!AM5)</f>
        <v/>
      </c>
      <c r="AN5" s="218">
        <f>IF('CF表（ご主人様死亡時）'!AN5="","",'CF表（ご主人様死亡時）'!AN5)</f>
        <v/>
      </c>
      <c r="AO5" s="218">
        <f>IF('CF表（ご主人様死亡時）'!AO5="","",'CF表（ご主人様死亡時）'!AO5)</f>
        <v/>
      </c>
      <c r="AP5" s="218">
        <f>IF('CF表（ご主人様死亡時）'!AP5="","",'CF表（ご主人様死亡時）'!AP5)</f>
        <v/>
      </c>
      <c r="AQ5" s="218">
        <f>IF('CF表（ご主人様死亡時）'!AQ5="","",'CF表（ご主人様死亡時）'!AQ5)</f>
        <v/>
      </c>
      <c r="AR5" s="218">
        <f>IF('CF表（ご主人様死亡時）'!AR5="","",'CF表（ご主人様死亡時）'!AR5)</f>
        <v/>
      </c>
      <c r="AS5" s="218">
        <f>IF('CF表（ご主人様死亡時）'!AS5="","",'CF表（ご主人様死亡時）'!AS5)</f>
        <v/>
      </c>
      <c r="AT5" s="218">
        <f>IF('CF表（ご主人様死亡時）'!AT5="","",'CF表（ご主人様死亡時）'!AT5)</f>
        <v/>
      </c>
      <c r="AU5" s="218">
        <f>IF('CF表（ご主人様死亡時）'!AU5="","",'CF表（ご主人様死亡時）'!AU5)</f>
        <v/>
      </c>
      <c r="AV5" s="218">
        <f>IF('CF表（ご主人様死亡時）'!AV5="","",'CF表（ご主人様死亡時）'!AV5)</f>
        <v/>
      </c>
      <c r="AW5" s="218">
        <f>IF('CF表（ご主人様死亡時）'!AW5="","",'CF表（ご主人様死亡時）'!AW5)</f>
        <v/>
      </c>
      <c r="AX5" s="218">
        <f>IF('CF表（ご主人様死亡時）'!AX5="","",'CF表（ご主人様死亡時）'!AX5)</f>
        <v/>
      </c>
      <c r="AY5" s="218">
        <f>IF('CF表（ご主人様死亡時）'!AY5="","",'CF表（ご主人様死亡時）'!AY5)</f>
        <v/>
      </c>
      <c r="AZ5" s="218">
        <f>IF('CF表（ご主人様死亡時）'!AZ5="","",'CF表（ご主人様死亡時）'!AZ5)</f>
        <v/>
      </c>
      <c r="BA5" s="218">
        <f>IF('CF表（ご主人様死亡時）'!BA5="","",'CF表（ご主人様死亡時）'!BA5)</f>
        <v/>
      </c>
      <c r="BB5" s="218">
        <f>IF('CF表（ご主人様死亡時）'!BB5="","",'CF表（ご主人様死亡時）'!BB5)</f>
        <v/>
      </c>
      <c r="BC5" s="218">
        <f>IF('CF表（ご主人様死亡時）'!BC5="","",'CF表（ご主人様死亡時）'!BC5)</f>
        <v/>
      </c>
      <c r="BD5" s="218">
        <f>IF('CF表（ご主人様死亡時）'!BD5="","",'CF表（ご主人様死亡時）'!BD5)</f>
        <v/>
      </c>
      <c r="BE5" s="218">
        <f>IF('CF表（ご主人様死亡時）'!BE5="","",'CF表（ご主人様死亡時）'!BE5)</f>
        <v/>
      </c>
      <c r="BF5" s="218">
        <f>IF('CF表（ご主人様死亡時）'!BF5="","",'CF表（ご主人様死亡時）'!BF5)</f>
        <v/>
      </c>
      <c r="BG5" s="218">
        <f>IF('CF表（ご主人様死亡時）'!BG5="","",'CF表（ご主人様死亡時）'!BG5)</f>
        <v/>
      </c>
      <c r="BH5" s="218">
        <f>IF('CF表（ご主人様死亡時）'!BH5="","",'CF表（ご主人様死亡時）'!BH5)</f>
        <v/>
      </c>
      <c r="BI5" s="218">
        <f>IF('CF表（ご主人様死亡時）'!BI5="","",'CF表（ご主人様死亡時）'!BI5)</f>
        <v/>
      </c>
      <c r="BJ5" s="218">
        <f>IF('CF表（ご主人様死亡時）'!BJ5="","",'CF表（ご主人様死亡時）'!BJ5)</f>
        <v/>
      </c>
      <c r="BK5" s="218">
        <f>IF('CF表（ご主人様死亡時）'!BK5="","",'CF表（ご主人様死亡時）'!BK5)</f>
        <v/>
      </c>
      <c r="BL5" s="218">
        <f>IF('CF表（ご主人様死亡時）'!BL5="","",'CF表（ご主人様死亡時）'!BL5)</f>
        <v/>
      </c>
      <c r="BM5" s="218">
        <f>IF('CF表（ご主人様死亡時）'!BM5="","",'CF表（ご主人様死亡時）'!BM5)</f>
        <v/>
      </c>
      <c r="BN5" s="218">
        <f>IF('CF表（ご主人様死亡時）'!BN5="","",'CF表（ご主人様死亡時）'!BN5)</f>
        <v/>
      </c>
      <c r="BO5" s="218">
        <f>IF('CF表（ご主人様死亡時）'!BO5="","",'CF表（ご主人様死亡時）'!BO5)</f>
        <v/>
      </c>
      <c r="BP5" s="218">
        <f>IF('CF表（ご主人様死亡時）'!BP5="","",'CF表（ご主人様死亡時）'!BP5)</f>
        <v/>
      </c>
      <c r="BQ5" s="218">
        <f>IF('CF表（ご主人様死亡時）'!BQ5="","",'CF表（ご主人様死亡時）'!BQ5)</f>
        <v/>
      </c>
      <c r="BR5" s="218">
        <f>IF('CF表（ご主人様死亡時）'!BR5="","",'CF表（ご主人様死亡時）'!BR5)</f>
        <v/>
      </c>
      <c r="BS5" s="218">
        <f>IF('CF表（ご主人様死亡時）'!BS5="","",'CF表（ご主人様死亡時）'!BS5)</f>
        <v/>
      </c>
      <c r="BT5" s="218">
        <f>IF('CF表（ご主人様死亡時）'!BT5="","",'CF表（ご主人様死亡時）'!BT5)</f>
        <v/>
      </c>
      <c r="BU5" s="218">
        <f>IF('CF表（ご主人様死亡時）'!BU5="","",'CF表（ご主人様死亡時）'!BU5)</f>
        <v/>
      </c>
      <c r="BV5" s="218">
        <f>IF('CF表（ご主人様死亡時）'!BV5="","",'CF表（ご主人様死亡時）'!BV5)</f>
        <v/>
      </c>
      <c r="BW5" s="218">
        <f>IF('CF表（ご主人様死亡時）'!BW5="","",'CF表（ご主人様死亡時）'!BW5)</f>
        <v/>
      </c>
      <c r="BX5" s="218">
        <f>IF('CF表（ご主人様死亡時）'!BX5="","",'CF表（ご主人様死亡時）'!BX5)</f>
        <v/>
      </c>
      <c r="BY5" s="218">
        <f>IF('CF表（ご主人様死亡時）'!BY5="","",'CF表（ご主人様死亡時）'!BY5)</f>
        <v/>
      </c>
      <c r="BZ5" s="218">
        <f>IF('CF表（ご主人様死亡時）'!BZ5="","",'CF表（ご主人様死亡時）'!BZ5)</f>
        <v/>
      </c>
      <c r="CA5" s="218">
        <f>IF('CF表（ご主人様死亡時）'!CA5="","",'CF表（ご主人様死亡時）'!CA5)</f>
        <v/>
      </c>
      <c r="CB5" s="218">
        <f>IF('CF表（ご主人様死亡時）'!CB5="","",'CF表（ご主人様死亡時）'!CB5)</f>
        <v/>
      </c>
      <c r="CC5" s="218">
        <f>IF('CF表（ご主人様死亡時）'!CC5="","",'CF表（ご主人様死亡時）'!CC5)</f>
        <v/>
      </c>
      <c r="CD5" s="218">
        <f>IF('CF表（ご主人様死亡時）'!CD5="","",'CF表（ご主人様死亡時）'!CD5)</f>
        <v/>
      </c>
      <c r="CE5" s="218">
        <f>IF('CF表（ご主人様死亡時）'!CE5="","",'CF表（ご主人様死亡時）'!CE5)</f>
        <v/>
      </c>
      <c r="CF5" s="218">
        <f>IF('CF表（ご主人様死亡時）'!CF5="","",'CF表（ご主人様死亡時）'!CF5)</f>
        <v/>
      </c>
      <c r="CG5" s="218">
        <f>IF('CF表（ご主人様死亡時）'!CG5="","",'CF表（ご主人様死亡時）'!CG5)</f>
        <v/>
      </c>
      <c r="CH5" s="218">
        <f>IF('CF表（ご主人様死亡時）'!CH5="","",'CF表（ご主人様死亡時）'!CH5)</f>
        <v/>
      </c>
      <c r="CI5" s="218">
        <f>IF('CF表（ご主人様死亡時）'!CI5="","",'CF表（ご主人様死亡時）'!CI5)</f>
        <v/>
      </c>
      <c r="CJ5" s="218">
        <f>IF('CF表（ご主人様死亡時）'!CJ5="","",'CF表（ご主人様死亡時）'!CJ5)</f>
        <v/>
      </c>
      <c r="CK5" s="218">
        <f>IF('CF表（ご主人様死亡時）'!CK5="","",'CF表（ご主人様死亡時）'!CK5)</f>
        <v/>
      </c>
      <c r="CL5" s="218">
        <f>IF('CF表（ご主人様死亡時）'!CL5="","",'CF表（ご主人様死亡時）'!CL5)</f>
        <v/>
      </c>
      <c r="CM5" s="218">
        <f>IF('CF表（ご主人様死亡時）'!CM5="","",'CF表（ご主人様死亡時）'!CM5)</f>
        <v/>
      </c>
      <c r="CN5" s="218">
        <f>IF('CF表（ご主人様死亡時）'!CN5="","",'CF表（ご主人様死亡時）'!CN5)</f>
        <v/>
      </c>
      <c r="CO5" s="218">
        <f>IF('CF表（ご主人様死亡時）'!CO5="","",'CF表（ご主人様死亡時）'!CO5)</f>
        <v/>
      </c>
      <c r="CP5" s="218">
        <f>IF('CF表（ご主人様死亡時）'!CP5="","",'CF表（ご主人様死亡時）'!CP5)</f>
        <v/>
      </c>
      <c r="CQ5" s="218">
        <f>IF('CF表（ご主人様死亡時）'!CQ5="","",'CF表（ご主人様死亡時）'!CQ5)</f>
        <v/>
      </c>
      <c r="CR5" s="218">
        <f>IF('CF表（ご主人様死亡時）'!CR5="","",'CF表（ご主人様死亡時）'!CR5)</f>
        <v/>
      </c>
      <c r="CS5" s="218">
        <f>IF('CF表（ご主人様死亡時）'!CS5="","",'CF表（ご主人様死亡時）'!CS5)</f>
        <v/>
      </c>
      <c r="CT5" s="218">
        <f>IF('CF表（ご主人様死亡時）'!CT5="","",'CF表（ご主人様死亡時）'!CT5)</f>
        <v/>
      </c>
      <c r="CU5" s="218">
        <f>IF('CF表（ご主人様死亡時）'!CU5="","",'CF表（ご主人様死亡時）'!CU5)</f>
        <v/>
      </c>
      <c r="CV5" s="218">
        <f>IF('CF表（ご主人様死亡時）'!CV5="","",'CF表（ご主人様死亡時）'!CV5)</f>
        <v/>
      </c>
      <c r="CW5" s="218">
        <f>IF('CF表（ご主人様死亡時）'!CW5="","",'CF表（ご主人様死亡時）'!CW5)</f>
        <v/>
      </c>
    </row>
    <row r="6" ht="16.5" customHeight="1" s="180">
      <c r="A6" s="217" t="inlineStr">
        <is>
          <t>子1年齢</t>
        </is>
      </c>
      <c r="B6" s="218">
        <f>IF('CF表（ご主人様死亡時）'!B6="","",'CF表（ご主人様死亡時）'!B6)</f>
        <v/>
      </c>
      <c r="C6" s="218">
        <f>IF('CF表（ご主人様死亡時）'!C6="","",'CF表（ご主人様死亡時）'!C6)</f>
        <v/>
      </c>
      <c r="D6" s="218">
        <f>IF('CF表（ご主人様死亡時）'!D6="","",'CF表（ご主人様死亡時）'!D6)</f>
        <v/>
      </c>
      <c r="E6" s="218">
        <f>IF('CF表（ご主人様死亡時）'!E6="","",'CF表（ご主人様死亡時）'!E6)</f>
        <v/>
      </c>
      <c r="F6" s="218">
        <f>IF('CF表（ご主人様死亡時）'!F6="","",'CF表（ご主人様死亡時）'!F6)</f>
        <v/>
      </c>
      <c r="G6" s="218">
        <f>IF('CF表（ご主人様死亡時）'!G6="","",'CF表（ご主人様死亡時）'!G6)</f>
        <v/>
      </c>
      <c r="H6" s="218">
        <f>IF('CF表（ご主人様死亡時）'!H6="","",'CF表（ご主人様死亡時）'!H6)</f>
        <v/>
      </c>
      <c r="I6" s="218">
        <f>IF('CF表（ご主人様死亡時）'!I6="","",'CF表（ご主人様死亡時）'!I6)</f>
        <v/>
      </c>
      <c r="J6" s="218">
        <f>IF('CF表（ご主人様死亡時）'!J6="","",'CF表（ご主人様死亡時）'!J6)</f>
        <v/>
      </c>
      <c r="K6" s="218">
        <f>IF('CF表（ご主人様死亡時）'!K6="","",'CF表（ご主人様死亡時）'!K6)</f>
        <v/>
      </c>
      <c r="L6" s="218">
        <f>IF('CF表（ご主人様死亡時）'!L6="","",'CF表（ご主人様死亡時）'!L6)</f>
        <v/>
      </c>
      <c r="M6" s="218">
        <f>IF('CF表（ご主人様死亡時）'!M6="","",'CF表（ご主人様死亡時）'!M6)</f>
        <v/>
      </c>
      <c r="N6" s="218">
        <f>IF('CF表（ご主人様死亡時）'!N6="","",'CF表（ご主人様死亡時）'!N6)</f>
        <v/>
      </c>
      <c r="O6" s="218">
        <f>IF('CF表（ご主人様死亡時）'!O6="","",'CF表（ご主人様死亡時）'!O6)</f>
        <v/>
      </c>
      <c r="P6" s="218">
        <f>IF('CF表（ご主人様死亡時）'!P6="","",'CF表（ご主人様死亡時）'!P6)</f>
        <v/>
      </c>
      <c r="Q6" s="218">
        <f>IF('CF表（ご主人様死亡時）'!Q6="","",'CF表（ご主人様死亡時）'!Q6)</f>
        <v/>
      </c>
      <c r="R6" s="218">
        <f>IF('CF表（ご主人様死亡時）'!R6="","",'CF表（ご主人様死亡時）'!R6)</f>
        <v/>
      </c>
      <c r="S6" s="218">
        <f>IF('CF表（ご主人様死亡時）'!S6="","",'CF表（ご主人様死亡時）'!S6)</f>
        <v/>
      </c>
      <c r="T6" s="218">
        <f>IF('CF表（ご主人様死亡時）'!T6="","",'CF表（ご主人様死亡時）'!T6)</f>
        <v/>
      </c>
      <c r="U6" s="218">
        <f>IF('CF表（ご主人様死亡時）'!U6="","",'CF表（ご主人様死亡時）'!U6)</f>
        <v/>
      </c>
      <c r="V6" s="218">
        <f>IF('CF表（ご主人様死亡時）'!V6="","",'CF表（ご主人様死亡時）'!V6)</f>
        <v/>
      </c>
      <c r="W6" s="218">
        <f>IF('CF表（ご主人様死亡時）'!W6="","",'CF表（ご主人様死亡時）'!W6)</f>
        <v/>
      </c>
      <c r="X6" s="218">
        <f>IF('CF表（ご主人様死亡時）'!X6="","",'CF表（ご主人様死亡時）'!X6)</f>
        <v/>
      </c>
      <c r="Y6" s="218">
        <f>IF('CF表（ご主人様死亡時）'!Y6="","",'CF表（ご主人様死亡時）'!Y6)</f>
        <v/>
      </c>
      <c r="Z6" s="218">
        <f>IF('CF表（ご主人様死亡時）'!Z6="","",'CF表（ご主人様死亡時）'!Z6)</f>
        <v/>
      </c>
      <c r="AA6" s="218">
        <f>IF('CF表（ご主人様死亡時）'!AA6="","",'CF表（ご主人様死亡時）'!AA6)</f>
        <v/>
      </c>
      <c r="AB6" s="218">
        <f>IF('CF表（ご主人様死亡時）'!AB6="","",'CF表（ご主人様死亡時）'!AB6)</f>
        <v/>
      </c>
      <c r="AC6" s="218">
        <f>IF('CF表（ご主人様死亡時）'!AC6="","",'CF表（ご主人様死亡時）'!AC6)</f>
        <v/>
      </c>
      <c r="AD6" s="218">
        <f>IF('CF表（ご主人様死亡時）'!AD6="","",'CF表（ご主人様死亡時）'!AD6)</f>
        <v/>
      </c>
      <c r="AE6" s="218">
        <f>IF('CF表（ご主人様死亡時）'!AE6="","",'CF表（ご主人様死亡時）'!AE6)</f>
        <v/>
      </c>
      <c r="AF6" s="218">
        <f>IF('CF表（ご主人様死亡時）'!AF6="","",'CF表（ご主人様死亡時）'!AF6)</f>
        <v/>
      </c>
      <c r="AG6" s="218">
        <f>IF('CF表（ご主人様死亡時）'!AG6="","",'CF表（ご主人様死亡時）'!AG6)</f>
        <v/>
      </c>
      <c r="AH6" s="218">
        <f>IF('CF表（ご主人様死亡時）'!AH6="","",'CF表（ご主人様死亡時）'!AH6)</f>
        <v/>
      </c>
      <c r="AI6" s="218">
        <f>IF('CF表（ご主人様死亡時）'!AI6="","",'CF表（ご主人様死亡時）'!AI6)</f>
        <v/>
      </c>
      <c r="AJ6" s="218">
        <f>IF('CF表（ご主人様死亡時）'!AJ6="","",'CF表（ご主人様死亡時）'!AJ6)</f>
        <v/>
      </c>
      <c r="AK6" s="218">
        <f>IF('CF表（ご主人様死亡時）'!AK6="","",'CF表（ご主人様死亡時）'!AK6)</f>
        <v/>
      </c>
      <c r="AL6" s="218">
        <f>IF('CF表（ご主人様死亡時）'!AL6="","",'CF表（ご主人様死亡時）'!AL6)</f>
        <v/>
      </c>
      <c r="AM6" s="218">
        <f>IF('CF表（ご主人様死亡時）'!AM6="","",'CF表（ご主人様死亡時）'!AM6)</f>
        <v/>
      </c>
      <c r="AN6" s="218">
        <f>IF('CF表（ご主人様死亡時）'!AN6="","",'CF表（ご主人様死亡時）'!AN6)</f>
        <v/>
      </c>
      <c r="AO6" s="218">
        <f>IF('CF表（ご主人様死亡時）'!AO6="","",'CF表（ご主人様死亡時）'!AO6)</f>
        <v/>
      </c>
      <c r="AP6" s="218">
        <f>IF('CF表（ご主人様死亡時）'!AP6="","",'CF表（ご主人様死亡時）'!AP6)</f>
        <v/>
      </c>
      <c r="AQ6" s="218">
        <f>IF('CF表（ご主人様死亡時）'!AQ6="","",'CF表（ご主人様死亡時）'!AQ6)</f>
        <v/>
      </c>
      <c r="AR6" s="218">
        <f>IF('CF表（ご主人様死亡時）'!AR6="","",'CF表（ご主人様死亡時）'!AR6)</f>
        <v/>
      </c>
      <c r="AS6" s="218">
        <f>IF('CF表（ご主人様死亡時）'!AS6="","",'CF表（ご主人様死亡時）'!AS6)</f>
        <v/>
      </c>
      <c r="AT6" s="218">
        <f>IF('CF表（ご主人様死亡時）'!AT6="","",'CF表（ご主人様死亡時）'!AT6)</f>
        <v/>
      </c>
      <c r="AU6" s="218">
        <f>IF('CF表（ご主人様死亡時）'!AU6="","",'CF表（ご主人様死亡時）'!AU6)</f>
        <v/>
      </c>
      <c r="AV6" s="218">
        <f>IF('CF表（ご主人様死亡時）'!AV6="","",'CF表（ご主人様死亡時）'!AV6)</f>
        <v/>
      </c>
      <c r="AW6" s="218">
        <f>IF('CF表（ご主人様死亡時）'!AW6="","",'CF表（ご主人様死亡時）'!AW6)</f>
        <v/>
      </c>
      <c r="AX6" s="218">
        <f>IF('CF表（ご主人様死亡時）'!AX6="","",'CF表（ご主人様死亡時）'!AX6)</f>
        <v/>
      </c>
      <c r="AY6" s="218">
        <f>IF('CF表（ご主人様死亡時）'!AY6="","",'CF表（ご主人様死亡時）'!AY6)</f>
        <v/>
      </c>
      <c r="AZ6" s="218">
        <f>IF('CF表（ご主人様死亡時）'!AZ6="","",'CF表（ご主人様死亡時）'!AZ6)</f>
        <v/>
      </c>
      <c r="BA6" s="218">
        <f>IF('CF表（ご主人様死亡時）'!BA6="","",'CF表（ご主人様死亡時）'!BA6)</f>
        <v/>
      </c>
      <c r="BB6" s="218">
        <f>IF('CF表（ご主人様死亡時）'!BB6="","",'CF表（ご主人様死亡時）'!BB6)</f>
        <v/>
      </c>
      <c r="BC6" s="218">
        <f>IF('CF表（ご主人様死亡時）'!BC6="","",'CF表（ご主人様死亡時）'!BC6)</f>
        <v/>
      </c>
      <c r="BD6" s="218">
        <f>IF('CF表（ご主人様死亡時）'!BD6="","",'CF表（ご主人様死亡時）'!BD6)</f>
        <v/>
      </c>
      <c r="BE6" s="218">
        <f>IF('CF表（ご主人様死亡時）'!BE6="","",'CF表（ご主人様死亡時）'!BE6)</f>
        <v/>
      </c>
      <c r="BF6" s="218">
        <f>IF('CF表（ご主人様死亡時）'!BF6="","",'CF表（ご主人様死亡時）'!BF6)</f>
        <v/>
      </c>
      <c r="BG6" s="218">
        <f>IF('CF表（ご主人様死亡時）'!BG6="","",'CF表（ご主人様死亡時）'!BG6)</f>
        <v/>
      </c>
      <c r="BH6" s="218">
        <f>IF('CF表（ご主人様死亡時）'!BH6="","",'CF表（ご主人様死亡時）'!BH6)</f>
        <v/>
      </c>
      <c r="BI6" s="218">
        <f>IF('CF表（ご主人様死亡時）'!BI6="","",'CF表（ご主人様死亡時）'!BI6)</f>
        <v/>
      </c>
      <c r="BJ6" s="218">
        <f>IF('CF表（ご主人様死亡時）'!BJ6="","",'CF表（ご主人様死亡時）'!BJ6)</f>
        <v/>
      </c>
      <c r="BK6" s="218">
        <f>IF('CF表（ご主人様死亡時）'!BK6="","",'CF表（ご主人様死亡時）'!BK6)</f>
        <v/>
      </c>
      <c r="BL6" s="218">
        <f>IF('CF表（ご主人様死亡時）'!BL6="","",'CF表（ご主人様死亡時）'!BL6)</f>
        <v/>
      </c>
      <c r="BM6" s="218">
        <f>IF('CF表（ご主人様死亡時）'!BM6="","",'CF表（ご主人様死亡時）'!BM6)</f>
        <v/>
      </c>
      <c r="BN6" s="218">
        <f>IF('CF表（ご主人様死亡時）'!BN6="","",'CF表（ご主人様死亡時）'!BN6)</f>
        <v/>
      </c>
      <c r="BO6" s="218">
        <f>IF('CF表（ご主人様死亡時）'!BO6="","",'CF表（ご主人様死亡時）'!BO6)</f>
        <v/>
      </c>
      <c r="BP6" s="218">
        <f>IF('CF表（ご主人様死亡時）'!BP6="","",'CF表（ご主人様死亡時）'!BP6)</f>
        <v/>
      </c>
      <c r="BQ6" s="218">
        <f>IF('CF表（ご主人様死亡時）'!BQ6="","",'CF表（ご主人様死亡時）'!BQ6)</f>
        <v/>
      </c>
      <c r="BR6" s="218">
        <f>IF('CF表（ご主人様死亡時）'!BR6="","",'CF表（ご主人様死亡時）'!BR6)</f>
        <v/>
      </c>
      <c r="BS6" s="218">
        <f>IF('CF表（ご主人様死亡時）'!BS6="","",'CF表（ご主人様死亡時）'!BS6)</f>
        <v/>
      </c>
      <c r="BT6" s="218">
        <f>IF('CF表（ご主人様死亡時）'!BT6="","",'CF表（ご主人様死亡時）'!BT6)</f>
        <v/>
      </c>
      <c r="BU6" s="218">
        <f>IF('CF表（ご主人様死亡時）'!BU6="","",'CF表（ご主人様死亡時）'!BU6)</f>
        <v/>
      </c>
      <c r="BV6" s="218">
        <f>IF('CF表（ご主人様死亡時）'!BV6="","",'CF表（ご主人様死亡時）'!BV6)</f>
        <v/>
      </c>
      <c r="BW6" s="218">
        <f>IF('CF表（ご主人様死亡時）'!BW6="","",'CF表（ご主人様死亡時）'!BW6)</f>
        <v/>
      </c>
      <c r="BX6" s="218">
        <f>IF('CF表（ご主人様死亡時）'!BX6="","",'CF表（ご主人様死亡時）'!BX6)</f>
        <v/>
      </c>
      <c r="BY6" s="218">
        <f>IF('CF表（ご主人様死亡時）'!BY6="","",'CF表（ご主人様死亡時）'!BY6)</f>
        <v/>
      </c>
      <c r="BZ6" s="218">
        <f>IF('CF表（ご主人様死亡時）'!BZ6="","",'CF表（ご主人様死亡時）'!BZ6)</f>
        <v/>
      </c>
      <c r="CA6" s="218">
        <f>IF('CF表（ご主人様死亡時）'!CA6="","",'CF表（ご主人様死亡時）'!CA6)</f>
        <v/>
      </c>
      <c r="CB6" s="218">
        <f>IF('CF表（ご主人様死亡時）'!CB6="","",'CF表（ご主人様死亡時）'!CB6)</f>
        <v/>
      </c>
      <c r="CC6" s="218">
        <f>IF('CF表（ご主人様死亡時）'!CC6="","",'CF表（ご主人様死亡時）'!CC6)</f>
        <v/>
      </c>
      <c r="CD6" s="218">
        <f>IF('CF表（ご主人様死亡時）'!CD6="","",'CF表（ご主人様死亡時）'!CD6)</f>
        <v/>
      </c>
      <c r="CE6" s="218">
        <f>IF('CF表（ご主人様死亡時）'!CE6="","",'CF表（ご主人様死亡時）'!CE6)</f>
        <v/>
      </c>
      <c r="CF6" s="218">
        <f>IF('CF表（ご主人様死亡時）'!CF6="","",'CF表（ご主人様死亡時）'!CF6)</f>
        <v/>
      </c>
      <c r="CG6" s="218">
        <f>IF('CF表（ご主人様死亡時）'!CG6="","",'CF表（ご主人様死亡時）'!CG6)</f>
        <v/>
      </c>
      <c r="CH6" s="218">
        <f>IF('CF表（ご主人様死亡時）'!CH6="","",'CF表（ご主人様死亡時）'!CH6)</f>
        <v/>
      </c>
      <c r="CI6" s="218">
        <f>IF('CF表（ご主人様死亡時）'!CI6="","",'CF表（ご主人様死亡時）'!CI6)</f>
        <v/>
      </c>
      <c r="CJ6" s="218">
        <f>IF('CF表（ご主人様死亡時）'!CJ6="","",'CF表（ご主人様死亡時）'!CJ6)</f>
        <v/>
      </c>
      <c r="CK6" s="218">
        <f>IF('CF表（ご主人様死亡時）'!CK6="","",'CF表（ご主人様死亡時）'!CK6)</f>
        <v/>
      </c>
      <c r="CL6" s="218">
        <f>IF('CF表（ご主人様死亡時）'!CL6="","",'CF表（ご主人様死亡時）'!CL6)</f>
        <v/>
      </c>
      <c r="CM6" s="218">
        <f>IF('CF表（ご主人様死亡時）'!CM6="","",'CF表（ご主人様死亡時）'!CM6)</f>
        <v/>
      </c>
      <c r="CN6" s="218">
        <f>IF('CF表（ご主人様死亡時）'!CN6="","",'CF表（ご主人様死亡時）'!CN6)</f>
        <v/>
      </c>
      <c r="CO6" s="218">
        <f>IF('CF表（ご主人様死亡時）'!CO6="","",'CF表（ご主人様死亡時）'!CO6)</f>
        <v/>
      </c>
      <c r="CP6" s="218">
        <f>IF('CF表（ご主人様死亡時）'!CP6="","",'CF表（ご主人様死亡時）'!CP6)</f>
        <v/>
      </c>
      <c r="CQ6" s="218">
        <f>IF('CF表（ご主人様死亡時）'!CQ6="","",'CF表（ご主人様死亡時）'!CQ6)</f>
        <v/>
      </c>
      <c r="CR6" s="218">
        <f>IF('CF表（ご主人様死亡時）'!CR6="","",'CF表（ご主人様死亡時）'!CR6)</f>
        <v/>
      </c>
      <c r="CS6" s="218">
        <f>IF('CF表（ご主人様死亡時）'!CS6="","",'CF表（ご主人様死亡時）'!CS6)</f>
        <v/>
      </c>
      <c r="CT6" s="218">
        <f>IF('CF表（ご主人様死亡時）'!CT6="","",'CF表（ご主人様死亡時）'!CT6)</f>
        <v/>
      </c>
      <c r="CU6" s="218">
        <f>IF('CF表（ご主人様死亡時）'!CU6="","",'CF表（ご主人様死亡時）'!CU6)</f>
        <v/>
      </c>
      <c r="CV6" s="218">
        <f>IF('CF表（ご主人様死亡時）'!CV6="","",'CF表（ご主人様死亡時）'!CV6)</f>
        <v/>
      </c>
      <c r="CW6" s="218">
        <f>IF('CF表（ご主人様死亡時）'!CW6="","",'CF表（ご主人様死亡時）'!CW6)</f>
        <v/>
      </c>
    </row>
    <row r="7" ht="16.5" customHeight="1" s="180">
      <c r="A7" s="217" t="inlineStr">
        <is>
          <t>子2年齢</t>
        </is>
      </c>
      <c r="B7" s="218">
        <f>IF('CF表（ご主人様死亡時）'!B7="","",'CF表（ご主人様死亡時）'!B7)</f>
        <v/>
      </c>
      <c r="C7" s="218">
        <f>IF('CF表（ご主人様死亡時）'!C7="","",'CF表（ご主人様死亡時）'!C7)</f>
        <v/>
      </c>
      <c r="D7" s="218">
        <f>IF('CF表（ご主人様死亡時）'!D7="","",'CF表（ご主人様死亡時）'!D7)</f>
        <v/>
      </c>
      <c r="E7" s="218">
        <f>IF('CF表（ご主人様死亡時）'!E7="","",'CF表（ご主人様死亡時）'!E7)</f>
        <v/>
      </c>
      <c r="F7" s="218">
        <f>IF('CF表（ご主人様死亡時）'!F7="","",'CF表（ご主人様死亡時）'!F7)</f>
        <v/>
      </c>
      <c r="G7" s="218">
        <f>IF('CF表（ご主人様死亡時）'!G7="","",'CF表（ご主人様死亡時）'!G7)</f>
        <v/>
      </c>
      <c r="H7" s="218">
        <f>IF('CF表（ご主人様死亡時）'!H7="","",'CF表（ご主人様死亡時）'!H7)</f>
        <v/>
      </c>
      <c r="I7" s="218">
        <f>IF('CF表（ご主人様死亡時）'!I7="","",'CF表（ご主人様死亡時）'!I7)</f>
        <v/>
      </c>
      <c r="J7" s="218">
        <f>IF('CF表（ご主人様死亡時）'!J7="","",'CF表（ご主人様死亡時）'!J7)</f>
        <v/>
      </c>
      <c r="K7" s="218">
        <f>IF('CF表（ご主人様死亡時）'!K7="","",'CF表（ご主人様死亡時）'!K7)</f>
        <v/>
      </c>
      <c r="L7" s="218">
        <f>IF('CF表（ご主人様死亡時）'!L7="","",'CF表（ご主人様死亡時）'!L7)</f>
        <v/>
      </c>
      <c r="M7" s="218">
        <f>IF('CF表（ご主人様死亡時）'!M7="","",'CF表（ご主人様死亡時）'!M7)</f>
        <v/>
      </c>
      <c r="N7" s="218">
        <f>IF('CF表（ご主人様死亡時）'!N7="","",'CF表（ご主人様死亡時）'!N7)</f>
        <v/>
      </c>
      <c r="O7" s="218">
        <f>IF('CF表（ご主人様死亡時）'!O7="","",'CF表（ご主人様死亡時）'!O7)</f>
        <v/>
      </c>
      <c r="P7" s="218">
        <f>IF('CF表（ご主人様死亡時）'!P7="","",'CF表（ご主人様死亡時）'!P7)</f>
        <v/>
      </c>
      <c r="Q7" s="218">
        <f>IF('CF表（ご主人様死亡時）'!Q7="","",'CF表（ご主人様死亡時）'!Q7)</f>
        <v/>
      </c>
      <c r="R7" s="218">
        <f>IF('CF表（ご主人様死亡時）'!R7="","",'CF表（ご主人様死亡時）'!R7)</f>
        <v/>
      </c>
      <c r="S7" s="218">
        <f>IF('CF表（ご主人様死亡時）'!S7="","",'CF表（ご主人様死亡時）'!S7)</f>
        <v/>
      </c>
      <c r="T7" s="218">
        <f>IF('CF表（ご主人様死亡時）'!T7="","",'CF表（ご主人様死亡時）'!T7)</f>
        <v/>
      </c>
      <c r="U7" s="218">
        <f>IF('CF表（ご主人様死亡時）'!U7="","",'CF表（ご主人様死亡時）'!U7)</f>
        <v/>
      </c>
      <c r="V7" s="218">
        <f>IF('CF表（ご主人様死亡時）'!V7="","",'CF表（ご主人様死亡時）'!V7)</f>
        <v/>
      </c>
      <c r="W7" s="218">
        <f>IF('CF表（ご主人様死亡時）'!W7="","",'CF表（ご主人様死亡時）'!W7)</f>
        <v/>
      </c>
      <c r="X7" s="218">
        <f>IF('CF表（ご主人様死亡時）'!X7="","",'CF表（ご主人様死亡時）'!X7)</f>
        <v/>
      </c>
      <c r="Y7" s="218">
        <f>IF('CF表（ご主人様死亡時）'!Y7="","",'CF表（ご主人様死亡時）'!Y7)</f>
        <v/>
      </c>
      <c r="Z7" s="218">
        <f>IF('CF表（ご主人様死亡時）'!Z7="","",'CF表（ご主人様死亡時）'!Z7)</f>
        <v/>
      </c>
      <c r="AA7" s="218">
        <f>IF('CF表（ご主人様死亡時）'!AA7="","",'CF表（ご主人様死亡時）'!AA7)</f>
        <v/>
      </c>
      <c r="AB7" s="218">
        <f>IF('CF表（ご主人様死亡時）'!AB7="","",'CF表（ご主人様死亡時）'!AB7)</f>
        <v/>
      </c>
      <c r="AC7" s="218">
        <f>IF('CF表（ご主人様死亡時）'!AC7="","",'CF表（ご主人様死亡時）'!AC7)</f>
        <v/>
      </c>
      <c r="AD7" s="218">
        <f>IF('CF表（ご主人様死亡時）'!AD7="","",'CF表（ご主人様死亡時）'!AD7)</f>
        <v/>
      </c>
      <c r="AE7" s="218">
        <f>IF('CF表（ご主人様死亡時）'!AE7="","",'CF表（ご主人様死亡時）'!AE7)</f>
        <v/>
      </c>
      <c r="AF7" s="218">
        <f>IF('CF表（ご主人様死亡時）'!AF7="","",'CF表（ご主人様死亡時）'!AF7)</f>
        <v/>
      </c>
      <c r="AG7" s="218">
        <f>IF('CF表（ご主人様死亡時）'!AG7="","",'CF表（ご主人様死亡時）'!AG7)</f>
        <v/>
      </c>
      <c r="AH7" s="218">
        <f>IF('CF表（ご主人様死亡時）'!AH7="","",'CF表（ご主人様死亡時）'!AH7)</f>
        <v/>
      </c>
      <c r="AI7" s="218">
        <f>IF('CF表（ご主人様死亡時）'!AI7="","",'CF表（ご主人様死亡時）'!AI7)</f>
        <v/>
      </c>
      <c r="AJ7" s="218">
        <f>IF('CF表（ご主人様死亡時）'!AJ7="","",'CF表（ご主人様死亡時）'!AJ7)</f>
        <v/>
      </c>
      <c r="AK7" s="218">
        <f>IF('CF表（ご主人様死亡時）'!AK7="","",'CF表（ご主人様死亡時）'!AK7)</f>
        <v/>
      </c>
      <c r="AL7" s="218">
        <f>IF('CF表（ご主人様死亡時）'!AL7="","",'CF表（ご主人様死亡時）'!AL7)</f>
        <v/>
      </c>
      <c r="AM7" s="218">
        <f>IF('CF表（ご主人様死亡時）'!AM7="","",'CF表（ご主人様死亡時）'!AM7)</f>
        <v/>
      </c>
      <c r="AN7" s="218">
        <f>IF('CF表（ご主人様死亡時）'!AN7="","",'CF表（ご主人様死亡時）'!AN7)</f>
        <v/>
      </c>
      <c r="AO7" s="218">
        <f>IF('CF表（ご主人様死亡時）'!AO7="","",'CF表（ご主人様死亡時）'!AO7)</f>
        <v/>
      </c>
      <c r="AP7" s="218">
        <f>IF('CF表（ご主人様死亡時）'!AP7="","",'CF表（ご主人様死亡時）'!AP7)</f>
        <v/>
      </c>
      <c r="AQ7" s="218">
        <f>IF('CF表（ご主人様死亡時）'!AQ7="","",'CF表（ご主人様死亡時）'!AQ7)</f>
        <v/>
      </c>
      <c r="AR7" s="218">
        <f>IF('CF表（ご主人様死亡時）'!AR7="","",'CF表（ご主人様死亡時）'!AR7)</f>
        <v/>
      </c>
      <c r="AS7" s="218">
        <f>IF('CF表（ご主人様死亡時）'!AS7="","",'CF表（ご主人様死亡時）'!AS7)</f>
        <v/>
      </c>
      <c r="AT7" s="218">
        <f>IF('CF表（ご主人様死亡時）'!AT7="","",'CF表（ご主人様死亡時）'!AT7)</f>
        <v/>
      </c>
      <c r="AU7" s="218">
        <f>IF('CF表（ご主人様死亡時）'!AU7="","",'CF表（ご主人様死亡時）'!AU7)</f>
        <v/>
      </c>
      <c r="AV7" s="218">
        <f>IF('CF表（ご主人様死亡時）'!AV7="","",'CF表（ご主人様死亡時）'!AV7)</f>
        <v/>
      </c>
      <c r="AW7" s="218">
        <f>IF('CF表（ご主人様死亡時）'!AW7="","",'CF表（ご主人様死亡時）'!AW7)</f>
        <v/>
      </c>
      <c r="AX7" s="218">
        <f>IF('CF表（ご主人様死亡時）'!AX7="","",'CF表（ご主人様死亡時）'!AX7)</f>
        <v/>
      </c>
      <c r="AY7" s="218">
        <f>IF('CF表（ご主人様死亡時）'!AY7="","",'CF表（ご主人様死亡時）'!AY7)</f>
        <v/>
      </c>
      <c r="AZ7" s="218">
        <f>IF('CF表（ご主人様死亡時）'!AZ7="","",'CF表（ご主人様死亡時）'!AZ7)</f>
        <v/>
      </c>
      <c r="BA7" s="218">
        <f>IF('CF表（ご主人様死亡時）'!BA7="","",'CF表（ご主人様死亡時）'!BA7)</f>
        <v/>
      </c>
      <c r="BB7" s="218">
        <f>IF('CF表（ご主人様死亡時）'!BB7="","",'CF表（ご主人様死亡時）'!BB7)</f>
        <v/>
      </c>
      <c r="BC7" s="218">
        <f>IF('CF表（ご主人様死亡時）'!BC7="","",'CF表（ご主人様死亡時）'!BC7)</f>
        <v/>
      </c>
      <c r="BD7" s="218">
        <f>IF('CF表（ご主人様死亡時）'!BD7="","",'CF表（ご主人様死亡時）'!BD7)</f>
        <v/>
      </c>
      <c r="BE7" s="218">
        <f>IF('CF表（ご主人様死亡時）'!BE7="","",'CF表（ご主人様死亡時）'!BE7)</f>
        <v/>
      </c>
      <c r="BF7" s="218">
        <f>IF('CF表（ご主人様死亡時）'!BF7="","",'CF表（ご主人様死亡時）'!BF7)</f>
        <v/>
      </c>
      <c r="BG7" s="218">
        <f>IF('CF表（ご主人様死亡時）'!BG7="","",'CF表（ご主人様死亡時）'!BG7)</f>
        <v/>
      </c>
      <c r="BH7" s="218">
        <f>IF('CF表（ご主人様死亡時）'!BH7="","",'CF表（ご主人様死亡時）'!BH7)</f>
        <v/>
      </c>
      <c r="BI7" s="218">
        <f>IF('CF表（ご主人様死亡時）'!BI7="","",'CF表（ご主人様死亡時）'!BI7)</f>
        <v/>
      </c>
      <c r="BJ7" s="218">
        <f>IF('CF表（ご主人様死亡時）'!BJ7="","",'CF表（ご主人様死亡時）'!BJ7)</f>
        <v/>
      </c>
      <c r="BK7" s="218">
        <f>IF('CF表（ご主人様死亡時）'!BK7="","",'CF表（ご主人様死亡時）'!BK7)</f>
        <v/>
      </c>
      <c r="BL7" s="218">
        <f>IF('CF表（ご主人様死亡時）'!BL7="","",'CF表（ご主人様死亡時）'!BL7)</f>
        <v/>
      </c>
      <c r="BM7" s="218">
        <f>IF('CF表（ご主人様死亡時）'!BM7="","",'CF表（ご主人様死亡時）'!BM7)</f>
        <v/>
      </c>
      <c r="BN7" s="218">
        <f>IF('CF表（ご主人様死亡時）'!BN7="","",'CF表（ご主人様死亡時）'!BN7)</f>
        <v/>
      </c>
      <c r="BO7" s="218">
        <f>IF('CF表（ご主人様死亡時）'!BO7="","",'CF表（ご主人様死亡時）'!BO7)</f>
        <v/>
      </c>
      <c r="BP7" s="218">
        <f>IF('CF表（ご主人様死亡時）'!BP7="","",'CF表（ご主人様死亡時）'!BP7)</f>
        <v/>
      </c>
      <c r="BQ7" s="218">
        <f>IF('CF表（ご主人様死亡時）'!BQ7="","",'CF表（ご主人様死亡時）'!BQ7)</f>
        <v/>
      </c>
      <c r="BR7" s="218">
        <f>IF('CF表（ご主人様死亡時）'!BR7="","",'CF表（ご主人様死亡時）'!BR7)</f>
        <v/>
      </c>
      <c r="BS7" s="218">
        <f>IF('CF表（ご主人様死亡時）'!BS7="","",'CF表（ご主人様死亡時）'!BS7)</f>
        <v/>
      </c>
      <c r="BT7" s="218">
        <f>IF('CF表（ご主人様死亡時）'!BT7="","",'CF表（ご主人様死亡時）'!BT7)</f>
        <v/>
      </c>
      <c r="BU7" s="218">
        <f>IF('CF表（ご主人様死亡時）'!BU7="","",'CF表（ご主人様死亡時）'!BU7)</f>
        <v/>
      </c>
      <c r="BV7" s="218">
        <f>IF('CF表（ご主人様死亡時）'!BV7="","",'CF表（ご主人様死亡時）'!BV7)</f>
        <v/>
      </c>
      <c r="BW7" s="218">
        <f>IF('CF表（ご主人様死亡時）'!BW7="","",'CF表（ご主人様死亡時）'!BW7)</f>
        <v/>
      </c>
      <c r="BX7" s="218">
        <f>IF('CF表（ご主人様死亡時）'!BX7="","",'CF表（ご主人様死亡時）'!BX7)</f>
        <v/>
      </c>
      <c r="BY7" s="218">
        <f>IF('CF表（ご主人様死亡時）'!BY7="","",'CF表（ご主人様死亡時）'!BY7)</f>
        <v/>
      </c>
      <c r="BZ7" s="218">
        <f>IF('CF表（ご主人様死亡時）'!BZ7="","",'CF表（ご主人様死亡時）'!BZ7)</f>
        <v/>
      </c>
      <c r="CA7" s="218">
        <f>IF('CF表（ご主人様死亡時）'!CA7="","",'CF表（ご主人様死亡時）'!CA7)</f>
        <v/>
      </c>
      <c r="CB7" s="218">
        <f>IF('CF表（ご主人様死亡時）'!CB7="","",'CF表（ご主人様死亡時）'!CB7)</f>
        <v/>
      </c>
      <c r="CC7" s="218">
        <f>IF('CF表（ご主人様死亡時）'!CC7="","",'CF表（ご主人様死亡時）'!CC7)</f>
        <v/>
      </c>
      <c r="CD7" s="218">
        <f>IF('CF表（ご主人様死亡時）'!CD7="","",'CF表（ご主人様死亡時）'!CD7)</f>
        <v/>
      </c>
      <c r="CE7" s="218">
        <f>IF('CF表（ご主人様死亡時）'!CE7="","",'CF表（ご主人様死亡時）'!CE7)</f>
        <v/>
      </c>
      <c r="CF7" s="218">
        <f>IF('CF表（ご主人様死亡時）'!CF7="","",'CF表（ご主人様死亡時）'!CF7)</f>
        <v/>
      </c>
      <c r="CG7" s="218">
        <f>IF('CF表（ご主人様死亡時）'!CG7="","",'CF表（ご主人様死亡時）'!CG7)</f>
        <v/>
      </c>
      <c r="CH7" s="218">
        <f>IF('CF表（ご主人様死亡時）'!CH7="","",'CF表（ご主人様死亡時）'!CH7)</f>
        <v/>
      </c>
      <c r="CI7" s="218">
        <f>IF('CF表（ご主人様死亡時）'!CI7="","",'CF表（ご主人様死亡時）'!CI7)</f>
        <v/>
      </c>
      <c r="CJ7" s="218">
        <f>IF('CF表（ご主人様死亡時）'!CJ7="","",'CF表（ご主人様死亡時）'!CJ7)</f>
        <v/>
      </c>
      <c r="CK7" s="218">
        <f>IF('CF表（ご主人様死亡時）'!CK7="","",'CF表（ご主人様死亡時）'!CK7)</f>
        <v/>
      </c>
      <c r="CL7" s="218">
        <f>IF('CF表（ご主人様死亡時）'!CL7="","",'CF表（ご主人様死亡時）'!CL7)</f>
        <v/>
      </c>
      <c r="CM7" s="218">
        <f>IF('CF表（ご主人様死亡時）'!CM7="","",'CF表（ご主人様死亡時）'!CM7)</f>
        <v/>
      </c>
      <c r="CN7" s="218">
        <f>IF('CF表（ご主人様死亡時）'!CN7="","",'CF表（ご主人様死亡時）'!CN7)</f>
        <v/>
      </c>
      <c r="CO7" s="218">
        <f>IF('CF表（ご主人様死亡時）'!CO7="","",'CF表（ご主人様死亡時）'!CO7)</f>
        <v/>
      </c>
      <c r="CP7" s="218">
        <f>IF('CF表（ご主人様死亡時）'!CP7="","",'CF表（ご主人様死亡時）'!CP7)</f>
        <v/>
      </c>
      <c r="CQ7" s="218">
        <f>IF('CF表（ご主人様死亡時）'!CQ7="","",'CF表（ご主人様死亡時）'!CQ7)</f>
        <v/>
      </c>
      <c r="CR7" s="218">
        <f>IF('CF表（ご主人様死亡時）'!CR7="","",'CF表（ご主人様死亡時）'!CR7)</f>
        <v/>
      </c>
      <c r="CS7" s="218">
        <f>IF('CF表（ご主人様死亡時）'!CS7="","",'CF表（ご主人様死亡時）'!CS7)</f>
        <v/>
      </c>
      <c r="CT7" s="218">
        <f>IF('CF表（ご主人様死亡時）'!CT7="","",'CF表（ご主人様死亡時）'!CT7)</f>
        <v/>
      </c>
      <c r="CU7" s="218">
        <f>IF('CF表（ご主人様死亡時）'!CU7="","",'CF表（ご主人様死亡時）'!CU7)</f>
        <v/>
      </c>
      <c r="CV7" s="218">
        <f>IF('CF表（ご主人様死亡時）'!CV7="","",'CF表（ご主人様死亡時）'!CV7)</f>
        <v/>
      </c>
      <c r="CW7" s="218">
        <f>IF('CF表（ご主人様死亡時）'!CW7="","",'CF表（ご主人様死亡時）'!CW7)</f>
        <v/>
      </c>
    </row>
    <row r="8" ht="16.5" customHeight="1" s="180">
      <c r="A8" s="217" t="inlineStr">
        <is>
          <t>子3年齢</t>
        </is>
      </c>
      <c r="B8" s="218">
        <f>IF('CF表（ご主人様死亡時）'!B8="","",'CF表（ご主人様死亡時）'!B8)</f>
        <v/>
      </c>
      <c r="C8" s="218">
        <f>IF('CF表（ご主人様死亡時）'!C8="","",'CF表（ご主人様死亡時）'!C8)</f>
        <v/>
      </c>
      <c r="D8" s="218">
        <f>IF('CF表（ご主人様死亡時）'!D8="","",'CF表（ご主人様死亡時）'!D8)</f>
        <v/>
      </c>
      <c r="E8" s="218">
        <f>IF('CF表（ご主人様死亡時）'!E8="","",'CF表（ご主人様死亡時）'!E8)</f>
        <v/>
      </c>
      <c r="F8" s="218">
        <f>IF('CF表（ご主人様死亡時）'!F8="","",'CF表（ご主人様死亡時）'!F8)</f>
        <v/>
      </c>
      <c r="G8" s="218">
        <f>IF('CF表（ご主人様死亡時）'!G8="","",'CF表（ご主人様死亡時）'!G8)</f>
        <v/>
      </c>
      <c r="H8" s="218">
        <f>IF('CF表（ご主人様死亡時）'!H8="","",'CF表（ご主人様死亡時）'!H8)</f>
        <v/>
      </c>
      <c r="I8" s="218">
        <f>IF('CF表（ご主人様死亡時）'!I8="","",'CF表（ご主人様死亡時）'!I8)</f>
        <v/>
      </c>
      <c r="J8" s="218">
        <f>IF('CF表（ご主人様死亡時）'!J8="","",'CF表（ご主人様死亡時）'!J8)</f>
        <v/>
      </c>
      <c r="K8" s="218">
        <f>IF('CF表（ご主人様死亡時）'!K8="","",'CF表（ご主人様死亡時）'!K8)</f>
        <v/>
      </c>
      <c r="L8" s="218">
        <f>IF('CF表（ご主人様死亡時）'!L8="","",'CF表（ご主人様死亡時）'!L8)</f>
        <v/>
      </c>
      <c r="M8" s="218">
        <f>IF('CF表（ご主人様死亡時）'!M8="","",'CF表（ご主人様死亡時）'!M8)</f>
        <v/>
      </c>
      <c r="N8" s="218">
        <f>IF('CF表（ご主人様死亡時）'!N8="","",'CF表（ご主人様死亡時）'!N8)</f>
        <v/>
      </c>
      <c r="O8" s="218">
        <f>IF('CF表（ご主人様死亡時）'!O8="","",'CF表（ご主人様死亡時）'!O8)</f>
        <v/>
      </c>
      <c r="P8" s="218">
        <f>IF('CF表（ご主人様死亡時）'!P8="","",'CF表（ご主人様死亡時）'!P8)</f>
        <v/>
      </c>
      <c r="Q8" s="218">
        <f>IF('CF表（ご主人様死亡時）'!Q8="","",'CF表（ご主人様死亡時）'!Q8)</f>
        <v/>
      </c>
      <c r="R8" s="218">
        <f>IF('CF表（ご主人様死亡時）'!R8="","",'CF表（ご主人様死亡時）'!R8)</f>
        <v/>
      </c>
      <c r="S8" s="218">
        <f>IF('CF表（ご主人様死亡時）'!S8="","",'CF表（ご主人様死亡時）'!S8)</f>
        <v/>
      </c>
      <c r="T8" s="218">
        <f>IF('CF表（ご主人様死亡時）'!T8="","",'CF表（ご主人様死亡時）'!T8)</f>
        <v/>
      </c>
      <c r="U8" s="218">
        <f>IF('CF表（ご主人様死亡時）'!U8="","",'CF表（ご主人様死亡時）'!U8)</f>
        <v/>
      </c>
      <c r="V8" s="218">
        <f>IF('CF表（ご主人様死亡時）'!V8="","",'CF表（ご主人様死亡時）'!V8)</f>
        <v/>
      </c>
      <c r="W8" s="218">
        <f>IF('CF表（ご主人様死亡時）'!W8="","",'CF表（ご主人様死亡時）'!W8)</f>
        <v/>
      </c>
      <c r="X8" s="218">
        <f>IF('CF表（ご主人様死亡時）'!X8="","",'CF表（ご主人様死亡時）'!X8)</f>
        <v/>
      </c>
      <c r="Y8" s="218">
        <f>IF('CF表（ご主人様死亡時）'!Y8="","",'CF表（ご主人様死亡時）'!Y8)</f>
        <v/>
      </c>
      <c r="Z8" s="218">
        <f>IF('CF表（ご主人様死亡時）'!Z8="","",'CF表（ご主人様死亡時）'!Z8)</f>
        <v/>
      </c>
      <c r="AA8" s="218">
        <f>IF('CF表（ご主人様死亡時）'!AA8="","",'CF表（ご主人様死亡時）'!AA8)</f>
        <v/>
      </c>
      <c r="AB8" s="218">
        <f>IF('CF表（ご主人様死亡時）'!AB8="","",'CF表（ご主人様死亡時）'!AB8)</f>
        <v/>
      </c>
      <c r="AC8" s="218">
        <f>IF('CF表（ご主人様死亡時）'!AC8="","",'CF表（ご主人様死亡時）'!AC8)</f>
        <v/>
      </c>
      <c r="AD8" s="218">
        <f>IF('CF表（ご主人様死亡時）'!AD8="","",'CF表（ご主人様死亡時）'!AD8)</f>
        <v/>
      </c>
      <c r="AE8" s="218">
        <f>IF('CF表（ご主人様死亡時）'!AE8="","",'CF表（ご主人様死亡時）'!AE8)</f>
        <v/>
      </c>
      <c r="AF8" s="218">
        <f>IF('CF表（ご主人様死亡時）'!AF8="","",'CF表（ご主人様死亡時）'!AF8)</f>
        <v/>
      </c>
      <c r="AG8" s="218">
        <f>IF('CF表（ご主人様死亡時）'!AG8="","",'CF表（ご主人様死亡時）'!AG8)</f>
        <v/>
      </c>
      <c r="AH8" s="218">
        <f>IF('CF表（ご主人様死亡時）'!AH8="","",'CF表（ご主人様死亡時）'!AH8)</f>
        <v/>
      </c>
      <c r="AI8" s="218">
        <f>IF('CF表（ご主人様死亡時）'!AI8="","",'CF表（ご主人様死亡時）'!AI8)</f>
        <v/>
      </c>
      <c r="AJ8" s="218">
        <f>IF('CF表（ご主人様死亡時）'!AJ8="","",'CF表（ご主人様死亡時）'!AJ8)</f>
        <v/>
      </c>
      <c r="AK8" s="218">
        <f>IF('CF表（ご主人様死亡時）'!AK8="","",'CF表（ご主人様死亡時）'!AK8)</f>
        <v/>
      </c>
      <c r="AL8" s="218">
        <f>IF('CF表（ご主人様死亡時）'!AL8="","",'CF表（ご主人様死亡時）'!AL8)</f>
        <v/>
      </c>
      <c r="AM8" s="218">
        <f>IF('CF表（ご主人様死亡時）'!AM8="","",'CF表（ご主人様死亡時）'!AM8)</f>
        <v/>
      </c>
      <c r="AN8" s="218">
        <f>IF('CF表（ご主人様死亡時）'!AN8="","",'CF表（ご主人様死亡時）'!AN8)</f>
        <v/>
      </c>
      <c r="AO8" s="218">
        <f>IF('CF表（ご主人様死亡時）'!AO8="","",'CF表（ご主人様死亡時）'!AO8)</f>
        <v/>
      </c>
      <c r="AP8" s="218">
        <f>IF('CF表（ご主人様死亡時）'!AP8="","",'CF表（ご主人様死亡時）'!AP8)</f>
        <v/>
      </c>
      <c r="AQ8" s="218">
        <f>IF('CF表（ご主人様死亡時）'!AQ8="","",'CF表（ご主人様死亡時）'!AQ8)</f>
        <v/>
      </c>
      <c r="AR8" s="218">
        <f>IF('CF表（ご主人様死亡時）'!AR8="","",'CF表（ご主人様死亡時）'!AR8)</f>
        <v/>
      </c>
      <c r="AS8" s="218">
        <f>IF('CF表（ご主人様死亡時）'!AS8="","",'CF表（ご主人様死亡時）'!AS8)</f>
        <v/>
      </c>
      <c r="AT8" s="218">
        <f>IF('CF表（ご主人様死亡時）'!AT8="","",'CF表（ご主人様死亡時）'!AT8)</f>
        <v/>
      </c>
      <c r="AU8" s="218">
        <f>IF('CF表（ご主人様死亡時）'!AU8="","",'CF表（ご主人様死亡時）'!AU8)</f>
        <v/>
      </c>
      <c r="AV8" s="218">
        <f>IF('CF表（ご主人様死亡時）'!AV8="","",'CF表（ご主人様死亡時）'!AV8)</f>
        <v/>
      </c>
      <c r="AW8" s="218">
        <f>IF('CF表（ご主人様死亡時）'!AW8="","",'CF表（ご主人様死亡時）'!AW8)</f>
        <v/>
      </c>
      <c r="AX8" s="218">
        <f>IF('CF表（ご主人様死亡時）'!AX8="","",'CF表（ご主人様死亡時）'!AX8)</f>
        <v/>
      </c>
      <c r="AY8" s="218">
        <f>IF('CF表（ご主人様死亡時）'!AY8="","",'CF表（ご主人様死亡時）'!AY8)</f>
        <v/>
      </c>
      <c r="AZ8" s="218">
        <f>IF('CF表（ご主人様死亡時）'!AZ8="","",'CF表（ご主人様死亡時）'!AZ8)</f>
        <v/>
      </c>
      <c r="BA8" s="218">
        <f>IF('CF表（ご主人様死亡時）'!BA8="","",'CF表（ご主人様死亡時）'!BA8)</f>
        <v/>
      </c>
      <c r="BB8" s="218">
        <f>IF('CF表（ご主人様死亡時）'!BB8="","",'CF表（ご主人様死亡時）'!BB8)</f>
        <v/>
      </c>
      <c r="BC8" s="218">
        <f>IF('CF表（ご主人様死亡時）'!BC8="","",'CF表（ご主人様死亡時）'!BC8)</f>
        <v/>
      </c>
      <c r="BD8" s="218">
        <f>IF('CF表（ご主人様死亡時）'!BD8="","",'CF表（ご主人様死亡時）'!BD8)</f>
        <v/>
      </c>
      <c r="BE8" s="218">
        <f>IF('CF表（ご主人様死亡時）'!BE8="","",'CF表（ご主人様死亡時）'!BE8)</f>
        <v/>
      </c>
      <c r="BF8" s="218">
        <f>IF('CF表（ご主人様死亡時）'!BF8="","",'CF表（ご主人様死亡時）'!BF8)</f>
        <v/>
      </c>
      <c r="BG8" s="218">
        <f>IF('CF表（ご主人様死亡時）'!BG8="","",'CF表（ご主人様死亡時）'!BG8)</f>
        <v/>
      </c>
      <c r="BH8" s="218">
        <f>IF('CF表（ご主人様死亡時）'!BH8="","",'CF表（ご主人様死亡時）'!BH8)</f>
        <v/>
      </c>
      <c r="BI8" s="218">
        <f>IF('CF表（ご主人様死亡時）'!BI8="","",'CF表（ご主人様死亡時）'!BI8)</f>
        <v/>
      </c>
      <c r="BJ8" s="218">
        <f>IF('CF表（ご主人様死亡時）'!BJ8="","",'CF表（ご主人様死亡時）'!BJ8)</f>
        <v/>
      </c>
      <c r="BK8" s="218">
        <f>IF('CF表（ご主人様死亡時）'!BK8="","",'CF表（ご主人様死亡時）'!BK8)</f>
        <v/>
      </c>
      <c r="BL8" s="218">
        <f>IF('CF表（ご主人様死亡時）'!BL8="","",'CF表（ご主人様死亡時）'!BL8)</f>
        <v/>
      </c>
      <c r="BM8" s="218">
        <f>IF('CF表（ご主人様死亡時）'!BM8="","",'CF表（ご主人様死亡時）'!BM8)</f>
        <v/>
      </c>
      <c r="BN8" s="218">
        <f>IF('CF表（ご主人様死亡時）'!BN8="","",'CF表（ご主人様死亡時）'!BN8)</f>
        <v/>
      </c>
      <c r="BO8" s="218">
        <f>IF('CF表（ご主人様死亡時）'!BO8="","",'CF表（ご主人様死亡時）'!BO8)</f>
        <v/>
      </c>
      <c r="BP8" s="218">
        <f>IF('CF表（ご主人様死亡時）'!BP8="","",'CF表（ご主人様死亡時）'!BP8)</f>
        <v/>
      </c>
      <c r="BQ8" s="218">
        <f>IF('CF表（ご主人様死亡時）'!BQ8="","",'CF表（ご主人様死亡時）'!BQ8)</f>
        <v/>
      </c>
      <c r="BR8" s="218">
        <f>IF('CF表（ご主人様死亡時）'!BR8="","",'CF表（ご主人様死亡時）'!BR8)</f>
        <v/>
      </c>
      <c r="BS8" s="218">
        <f>IF('CF表（ご主人様死亡時）'!BS8="","",'CF表（ご主人様死亡時）'!BS8)</f>
        <v/>
      </c>
      <c r="BT8" s="218">
        <f>IF('CF表（ご主人様死亡時）'!BT8="","",'CF表（ご主人様死亡時）'!BT8)</f>
        <v/>
      </c>
      <c r="BU8" s="218">
        <f>IF('CF表（ご主人様死亡時）'!BU8="","",'CF表（ご主人様死亡時）'!BU8)</f>
        <v/>
      </c>
      <c r="BV8" s="218">
        <f>IF('CF表（ご主人様死亡時）'!BV8="","",'CF表（ご主人様死亡時）'!BV8)</f>
        <v/>
      </c>
      <c r="BW8" s="218">
        <f>IF('CF表（ご主人様死亡時）'!BW8="","",'CF表（ご主人様死亡時）'!BW8)</f>
        <v/>
      </c>
      <c r="BX8" s="218">
        <f>IF('CF表（ご主人様死亡時）'!BX8="","",'CF表（ご主人様死亡時）'!BX8)</f>
        <v/>
      </c>
      <c r="BY8" s="218">
        <f>IF('CF表（ご主人様死亡時）'!BY8="","",'CF表（ご主人様死亡時）'!BY8)</f>
        <v/>
      </c>
      <c r="BZ8" s="218">
        <f>IF('CF表（ご主人様死亡時）'!BZ8="","",'CF表（ご主人様死亡時）'!BZ8)</f>
        <v/>
      </c>
      <c r="CA8" s="218">
        <f>IF('CF表（ご主人様死亡時）'!CA8="","",'CF表（ご主人様死亡時）'!CA8)</f>
        <v/>
      </c>
      <c r="CB8" s="218">
        <f>IF('CF表（ご主人様死亡時）'!CB8="","",'CF表（ご主人様死亡時）'!CB8)</f>
        <v/>
      </c>
      <c r="CC8" s="218">
        <f>IF('CF表（ご主人様死亡時）'!CC8="","",'CF表（ご主人様死亡時）'!CC8)</f>
        <v/>
      </c>
      <c r="CD8" s="218">
        <f>IF('CF表（ご主人様死亡時）'!CD8="","",'CF表（ご主人様死亡時）'!CD8)</f>
        <v/>
      </c>
      <c r="CE8" s="218">
        <f>IF('CF表（ご主人様死亡時）'!CE8="","",'CF表（ご主人様死亡時）'!CE8)</f>
        <v/>
      </c>
      <c r="CF8" s="218">
        <f>IF('CF表（ご主人様死亡時）'!CF8="","",'CF表（ご主人様死亡時）'!CF8)</f>
        <v/>
      </c>
      <c r="CG8" s="218">
        <f>IF('CF表（ご主人様死亡時）'!CG8="","",'CF表（ご主人様死亡時）'!CG8)</f>
        <v/>
      </c>
      <c r="CH8" s="218">
        <f>IF('CF表（ご主人様死亡時）'!CH8="","",'CF表（ご主人様死亡時）'!CH8)</f>
        <v/>
      </c>
      <c r="CI8" s="218">
        <f>IF('CF表（ご主人様死亡時）'!CI8="","",'CF表（ご主人様死亡時）'!CI8)</f>
        <v/>
      </c>
      <c r="CJ8" s="218">
        <f>IF('CF表（ご主人様死亡時）'!CJ8="","",'CF表（ご主人様死亡時）'!CJ8)</f>
        <v/>
      </c>
      <c r="CK8" s="218">
        <f>IF('CF表（ご主人様死亡時）'!CK8="","",'CF表（ご主人様死亡時）'!CK8)</f>
        <v/>
      </c>
      <c r="CL8" s="218">
        <f>IF('CF表（ご主人様死亡時）'!CL8="","",'CF表（ご主人様死亡時）'!CL8)</f>
        <v/>
      </c>
      <c r="CM8" s="218">
        <f>IF('CF表（ご主人様死亡時）'!CM8="","",'CF表（ご主人様死亡時）'!CM8)</f>
        <v/>
      </c>
      <c r="CN8" s="218">
        <f>IF('CF表（ご主人様死亡時）'!CN8="","",'CF表（ご主人様死亡時）'!CN8)</f>
        <v/>
      </c>
      <c r="CO8" s="218">
        <f>IF('CF表（ご主人様死亡時）'!CO8="","",'CF表（ご主人様死亡時）'!CO8)</f>
        <v/>
      </c>
      <c r="CP8" s="218">
        <f>IF('CF表（ご主人様死亡時）'!CP8="","",'CF表（ご主人様死亡時）'!CP8)</f>
        <v/>
      </c>
      <c r="CQ8" s="218">
        <f>IF('CF表（ご主人様死亡時）'!CQ8="","",'CF表（ご主人様死亡時）'!CQ8)</f>
        <v/>
      </c>
      <c r="CR8" s="218">
        <f>IF('CF表（ご主人様死亡時）'!CR8="","",'CF表（ご主人様死亡時）'!CR8)</f>
        <v/>
      </c>
      <c r="CS8" s="218">
        <f>IF('CF表（ご主人様死亡時）'!CS8="","",'CF表（ご主人様死亡時）'!CS8)</f>
        <v/>
      </c>
      <c r="CT8" s="218">
        <f>IF('CF表（ご主人様死亡時）'!CT8="","",'CF表（ご主人様死亡時）'!CT8)</f>
        <v/>
      </c>
      <c r="CU8" s="218">
        <f>IF('CF表（ご主人様死亡時）'!CU8="","",'CF表（ご主人様死亡時）'!CU8)</f>
        <v/>
      </c>
      <c r="CV8" s="218">
        <f>IF('CF表（ご主人様死亡時）'!CV8="","",'CF表（ご主人様死亡時）'!CV8)</f>
        <v/>
      </c>
      <c r="CW8" s="218">
        <f>IF('CF表（ご主人様死亡時）'!CW8="","",'CF表（ご主人様死亡時）'!CW8)</f>
        <v/>
      </c>
    </row>
    <row r="9" ht="15" customHeight="1" s="180">
      <c r="A9" s="205" t="inlineStr">
        <is>
          <t>家族年齢</t>
        </is>
      </c>
      <c r="B9" s="219" t="n"/>
      <c r="C9" s="219" t="n"/>
      <c r="D9" s="219" t="n"/>
      <c r="E9" s="219" t="n"/>
      <c r="F9" s="219" t="n"/>
      <c r="G9" s="219" t="n"/>
      <c r="H9" s="219" t="n"/>
      <c r="I9" s="219" t="n"/>
      <c r="J9" s="219" t="n"/>
      <c r="K9" s="219" t="n"/>
      <c r="L9" s="219" t="n"/>
      <c r="M9" s="219" t="n"/>
      <c r="N9" s="219" t="n"/>
      <c r="O9" s="219" t="n"/>
      <c r="P9" s="219" t="n"/>
      <c r="Q9" s="219" t="n"/>
      <c r="R9" s="219" t="n"/>
      <c r="S9" s="219" t="n"/>
      <c r="T9" s="219" t="n"/>
      <c r="U9" s="219" t="n"/>
      <c r="V9" s="219" t="n"/>
      <c r="W9" s="219" t="n"/>
      <c r="X9" s="219" t="n"/>
      <c r="Y9" s="219" t="n"/>
      <c r="Z9" s="219" t="n"/>
      <c r="AA9" s="219" t="n"/>
      <c r="AB9" s="219" t="n"/>
      <c r="AC9" s="219" t="n"/>
      <c r="AD9" s="219" t="n"/>
      <c r="AE9" s="219" t="n"/>
      <c r="AF9" s="219" t="n"/>
      <c r="AG9" s="219" t="n"/>
      <c r="AH9" s="219" t="n"/>
      <c r="AI9" s="219" t="n"/>
      <c r="AJ9" s="219" t="n"/>
      <c r="AK9" s="219" t="n"/>
      <c r="AL9" s="219" t="n"/>
      <c r="AM9" s="219" t="n"/>
      <c r="AN9" s="219" t="n"/>
      <c r="AO9" s="219" t="n"/>
      <c r="AP9" s="219" t="n"/>
      <c r="AQ9" s="219" t="n"/>
      <c r="AR9" s="219" t="n"/>
      <c r="AS9" s="219" t="n"/>
      <c r="AT9" s="219" t="n"/>
      <c r="AU9" s="219" t="n"/>
      <c r="AV9" s="219" t="n"/>
      <c r="AW9" s="219" t="n"/>
      <c r="AX9" s="219" t="n"/>
      <c r="AY9" s="219" t="n"/>
      <c r="AZ9" s="219" t="n"/>
      <c r="BA9" s="219" t="n"/>
      <c r="BB9" s="219" t="n"/>
      <c r="BC9" s="219" t="n"/>
      <c r="BD9" s="219" t="n"/>
      <c r="BE9" s="219" t="n"/>
      <c r="BF9" s="219" t="n"/>
      <c r="BG9" s="219" t="n"/>
      <c r="BH9" s="219" t="n"/>
      <c r="BI9" s="219" t="n"/>
      <c r="BJ9" s="219" t="n"/>
      <c r="BK9" s="219" t="n"/>
      <c r="BL9" s="219" t="n"/>
      <c r="BM9" s="219" t="n"/>
      <c r="BN9" s="219" t="n"/>
      <c r="BO9" s="219" t="n"/>
      <c r="BP9" s="219" t="n"/>
      <c r="BQ9" s="219" t="n"/>
      <c r="BR9" s="219" t="n"/>
      <c r="BS9" s="219" t="n"/>
      <c r="BT9" s="219" t="n"/>
      <c r="BU9" s="219" t="n"/>
      <c r="BV9" s="219" t="n"/>
      <c r="BW9" s="219" t="n"/>
      <c r="BX9" s="219" t="n"/>
      <c r="BY9" s="219" t="n"/>
      <c r="BZ9" s="219" t="n"/>
      <c r="CA9" s="219" t="n"/>
      <c r="CB9" s="219" t="n"/>
      <c r="CC9" s="219" t="n"/>
      <c r="CD9" s="219" t="n"/>
      <c r="CE9" s="219" t="n"/>
      <c r="CF9" s="219" t="n"/>
      <c r="CG9" s="219" t="n"/>
      <c r="CH9" s="219" t="n"/>
      <c r="CI9" s="219" t="n"/>
      <c r="CJ9" s="219" t="n"/>
      <c r="CK9" s="219" t="n"/>
      <c r="CL9" s="219" t="n"/>
      <c r="CM9" s="219" t="n"/>
      <c r="CN9" s="219" t="n"/>
      <c r="CO9" s="219" t="n"/>
      <c r="CP9" s="219" t="n"/>
      <c r="CQ9" s="219" t="n"/>
      <c r="CR9" s="219" t="n"/>
      <c r="CS9" s="219" t="n"/>
      <c r="CT9" s="219" t="n"/>
      <c r="CU9" s="219" t="n"/>
      <c r="CV9" s="219" t="n"/>
      <c r="CW9" s="219" t="n"/>
    </row>
    <row r="10" ht="15" customHeight="1" s="180">
      <c r="A10" s="220" t="inlineStr">
        <is>
          <t>ご主人様収入</t>
        </is>
      </c>
      <c r="B10" s="221">
        <f>IF('CF表（ご主人様死亡時）'!B$3="","",'CF表（ご主人様死亡時）'!B10/10000)</f>
        <v/>
      </c>
      <c r="C10" s="221">
        <f>IF('CF表（ご主人様死亡時）'!C$3="","",'CF表（ご主人様死亡時）'!C10/10000)</f>
        <v/>
      </c>
      <c r="D10" s="221">
        <f>IF('CF表（ご主人様死亡時）'!D$3="","",'CF表（ご主人様死亡時）'!D10/10000)</f>
        <v/>
      </c>
      <c r="E10" s="221">
        <f>IF('CF表（ご主人様死亡時）'!E$3="","",'CF表（ご主人様死亡時）'!E10/10000)</f>
        <v/>
      </c>
      <c r="F10" s="221">
        <f>IF('CF表（ご主人様死亡時）'!F$3="","",'CF表（ご主人様死亡時）'!F10/10000)</f>
        <v/>
      </c>
      <c r="G10" s="221">
        <f>IF('CF表（ご主人様死亡時）'!G$3="","",'CF表（ご主人様死亡時）'!G10/10000)</f>
        <v/>
      </c>
      <c r="H10" s="221">
        <f>IF('CF表（ご主人様死亡時）'!H$3="","",'CF表（ご主人様死亡時）'!H10/10000)</f>
        <v/>
      </c>
      <c r="I10" s="221">
        <f>IF('CF表（ご主人様死亡時）'!I$3="","",'CF表（ご主人様死亡時）'!I10/10000)</f>
        <v/>
      </c>
      <c r="J10" s="221">
        <f>IF('CF表（ご主人様死亡時）'!J$3="","",'CF表（ご主人様死亡時）'!J10/10000)</f>
        <v/>
      </c>
      <c r="K10" s="221">
        <f>IF('CF表（ご主人様死亡時）'!K$3="","",'CF表（ご主人様死亡時）'!K10/10000)</f>
        <v/>
      </c>
      <c r="L10" s="221">
        <f>IF('CF表（ご主人様死亡時）'!L$3="","",'CF表（ご主人様死亡時）'!L10/10000)</f>
        <v/>
      </c>
      <c r="M10" s="221">
        <f>IF('CF表（ご主人様死亡時）'!M$3="","",'CF表（ご主人様死亡時）'!M10/10000)</f>
        <v/>
      </c>
      <c r="N10" s="221">
        <f>IF('CF表（ご主人様死亡時）'!N$3="","",'CF表（ご主人様死亡時）'!N10/10000)</f>
        <v/>
      </c>
      <c r="O10" s="221">
        <f>IF('CF表（ご主人様死亡時）'!O$3="","",'CF表（ご主人様死亡時）'!O10/10000)</f>
        <v/>
      </c>
      <c r="P10" s="221">
        <f>IF('CF表（ご主人様死亡時）'!P$3="","",'CF表（ご主人様死亡時）'!P10/10000)</f>
        <v/>
      </c>
      <c r="Q10" s="221">
        <f>IF('CF表（ご主人様死亡時）'!Q$3="","",'CF表（ご主人様死亡時）'!Q10/10000)</f>
        <v/>
      </c>
      <c r="R10" s="221">
        <f>IF('CF表（ご主人様死亡時）'!R$3="","",'CF表（ご主人様死亡時）'!R10/10000)</f>
        <v/>
      </c>
      <c r="S10" s="221">
        <f>IF('CF表（ご主人様死亡時）'!S$3="","",'CF表（ご主人様死亡時）'!S10/10000)</f>
        <v/>
      </c>
      <c r="T10" s="221">
        <f>IF('CF表（ご主人様死亡時）'!T$3="","",'CF表（ご主人様死亡時）'!T10/10000)</f>
        <v/>
      </c>
      <c r="U10" s="221">
        <f>IF('CF表（ご主人様死亡時）'!U$3="","",'CF表（ご主人様死亡時）'!U10/10000)</f>
        <v/>
      </c>
      <c r="V10" s="221">
        <f>IF('CF表（ご主人様死亡時）'!V$3="","",'CF表（ご主人様死亡時）'!V10/10000)</f>
        <v/>
      </c>
      <c r="W10" s="221">
        <f>IF('CF表（ご主人様死亡時）'!W$3="","",'CF表（ご主人様死亡時）'!W10/10000)</f>
        <v/>
      </c>
      <c r="X10" s="221">
        <f>IF('CF表（ご主人様死亡時）'!X$3="","",'CF表（ご主人様死亡時）'!X10/10000)</f>
        <v/>
      </c>
      <c r="Y10" s="221">
        <f>IF('CF表（ご主人様死亡時）'!Y$3="","",'CF表（ご主人様死亡時）'!Y10/10000)</f>
        <v/>
      </c>
      <c r="Z10" s="221">
        <f>IF('CF表（ご主人様死亡時）'!Z$3="","",'CF表（ご主人様死亡時）'!Z10/10000)</f>
        <v/>
      </c>
      <c r="AA10" s="221">
        <f>IF('CF表（ご主人様死亡時）'!AA$3="","",'CF表（ご主人様死亡時）'!AA10/10000)</f>
        <v/>
      </c>
      <c r="AB10" s="221">
        <f>IF('CF表（ご主人様死亡時）'!AB$3="","",'CF表（ご主人様死亡時）'!AB10/10000)</f>
        <v/>
      </c>
      <c r="AC10" s="221">
        <f>IF('CF表（ご主人様死亡時）'!AC$3="","",'CF表（ご主人様死亡時）'!AC10/10000)</f>
        <v/>
      </c>
      <c r="AD10" s="221">
        <f>IF('CF表（ご主人様死亡時）'!AD$3="","",'CF表（ご主人様死亡時）'!AD10/10000)</f>
        <v/>
      </c>
      <c r="AE10" s="221">
        <f>IF('CF表（ご主人様死亡時）'!AE$3="","",'CF表（ご主人様死亡時）'!AE10/10000)</f>
        <v/>
      </c>
      <c r="AF10" s="221">
        <f>IF('CF表（ご主人様死亡時）'!AF$3="","",'CF表（ご主人様死亡時）'!AF10/10000)</f>
        <v/>
      </c>
      <c r="AG10" s="221">
        <f>IF('CF表（ご主人様死亡時）'!AG$3="","",'CF表（ご主人様死亡時）'!AG10/10000)</f>
        <v/>
      </c>
      <c r="AH10" s="221">
        <f>IF('CF表（ご主人様死亡時）'!AH$3="","",'CF表（ご主人様死亡時）'!AH10/10000)</f>
        <v/>
      </c>
      <c r="AI10" s="221">
        <f>IF('CF表（ご主人様死亡時）'!AI$3="","",'CF表（ご主人様死亡時）'!AI10/10000)</f>
        <v/>
      </c>
      <c r="AJ10" s="221">
        <f>IF('CF表（ご主人様死亡時）'!AJ$3="","",'CF表（ご主人様死亡時）'!AJ10/10000)</f>
        <v/>
      </c>
      <c r="AK10" s="221">
        <f>IF('CF表（ご主人様死亡時）'!AK$3="","",'CF表（ご主人様死亡時）'!AK10/10000)</f>
        <v/>
      </c>
      <c r="AL10" s="221">
        <f>IF('CF表（ご主人様死亡時）'!AL$3="","",'CF表（ご主人様死亡時）'!AL10/10000)</f>
        <v/>
      </c>
      <c r="AM10" s="221">
        <f>IF('CF表（ご主人様死亡時）'!AM$3="","",'CF表（ご主人様死亡時）'!AM10/10000)</f>
        <v/>
      </c>
      <c r="AN10" s="221">
        <f>IF('CF表（ご主人様死亡時）'!AN$3="","",'CF表（ご主人様死亡時）'!AN10/10000)</f>
        <v/>
      </c>
      <c r="AO10" s="221">
        <f>IF('CF表（ご主人様死亡時）'!AO$3="","",'CF表（ご主人様死亡時）'!AO10/10000)</f>
        <v/>
      </c>
      <c r="AP10" s="221">
        <f>IF('CF表（ご主人様死亡時）'!AP$3="","",'CF表（ご主人様死亡時）'!AP10/10000)</f>
        <v/>
      </c>
      <c r="AQ10" s="221">
        <f>IF('CF表（ご主人様死亡時）'!AQ$3="","",'CF表（ご主人様死亡時）'!AQ10/10000)</f>
        <v/>
      </c>
      <c r="AR10" s="221">
        <f>IF('CF表（ご主人様死亡時）'!AR$3="","",'CF表（ご主人様死亡時）'!AR10/10000)</f>
        <v/>
      </c>
      <c r="AS10" s="221">
        <f>IF('CF表（ご主人様死亡時）'!AS$3="","",'CF表（ご主人様死亡時）'!AS10/10000)</f>
        <v/>
      </c>
      <c r="AT10" s="221">
        <f>IF('CF表（ご主人様死亡時）'!AT$3="","",'CF表（ご主人様死亡時）'!AT10/10000)</f>
        <v/>
      </c>
      <c r="AU10" s="221">
        <f>IF('CF表（ご主人様死亡時）'!AU$3="","",'CF表（ご主人様死亡時）'!AU10/10000)</f>
        <v/>
      </c>
      <c r="AV10" s="221">
        <f>IF('CF表（ご主人様死亡時）'!AV$3="","",'CF表（ご主人様死亡時）'!AV10/10000)</f>
        <v/>
      </c>
      <c r="AW10" s="221">
        <f>IF('CF表（ご主人様死亡時）'!AW$3="","",'CF表（ご主人様死亡時）'!AW10/10000)</f>
        <v/>
      </c>
      <c r="AX10" s="221">
        <f>IF('CF表（ご主人様死亡時）'!AX$3="","",'CF表（ご主人様死亡時）'!AX10/10000)</f>
        <v/>
      </c>
      <c r="AY10" s="221">
        <f>IF('CF表（ご主人様死亡時）'!AY$3="","",'CF表（ご主人様死亡時）'!AY10/10000)</f>
        <v/>
      </c>
      <c r="AZ10" s="221">
        <f>IF('CF表（ご主人様死亡時）'!AZ$3="","",'CF表（ご主人様死亡時）'!AZ10/10000)</f>
        <v/>
      </c>
      <c r="BA10" s="221">
        <f>IF('CF表（ご主人様死亡時）'!BA$3="","",'CF表（ご主人様死亡時）'!BA10/10000)</f>
        <v/>
      </c>
      <c r="BB10" s="221">
        <f>IF('CF表（ご主人様死亡時）'!BB$3="","",'CF表（ご主人様死亡時）'!BB10/10000)</f>
        <v/>
      </c>
      <c r="BC10" s="221">
        <f>IF('CF表（ご主人様死亡時）'!BC$3="","",'CF表（ご主人様死亡時）'!BC10/10000)</f>
        <v/>
      </c>
      <c r="BD10" s="221">
        <f>IF('CF表（ご主人様死亡時）'!BD$3="","",'CF表（ご主人様死亡時）'!BD10/10000)</f>
        <v/>
      </c>
      <c r="BE10" s="221">
        <f>IF('CF表（ご主人様死亡時）'!BE$3="","",'CF表（ご主人様死亡時）'!BE10/10000)</f>
        <v/>
      </c>
      <c r="BF10" s="221">
        <f>IF('CF表（ご主人様死亡時）'!BF$3="","",'CF表（ご主人様死亡時）'!BF10/10000)</f>
        <v/>
      </c>
      <c r="BG10" s="221">
        <f>IF('CF表（ご主人様死亡時）'!BG$3="","",'CF表（ご主人様死亡時）'!BG10/10000)</f>
        <v/>
      </c>
      <c r="BH10" s="221">
        <f>IF('CF表（ご主人様死亡時）'!BH$3="","",'CF表（ご主人様死亡時）'!BH10/10000)</f>
        <v/>
      </c>
      <c r="BI10" s="221">
        <f>IF('CF表（ご主人様死亡時）'!BI$3="","",'CF表（ご主人様死亡時）'!BI10/10000)</f>
        <v/>
      </c>
      <c r="BJ10" s="221">
        <f>IF('CF表（ご主人様死亡時）'!BJ$3="","",'CF表（ご主人様死亡時）'!BJ10/10000)</f>
        <v/>
      </c>
      <c r="BK10" s="221">
        <f>IF('CF表（ご主人様死亡時）'!BK$3="","",'CF表（ご主人様死亡時）'!BK10/10000)</f>
        <v/>
      </c>
      <c r="BL10" s="221">
        <f>IF('CF表（ご主人様死亡時）'!BL$3="","",'CF表（ご主人様死亡時）'!BL10/10000)</f>
        <v/>
      </c>
      <c r="BM10" s="221">
        <f>IF('CF表（ご主人様死亡時）'!BM$3="","",'CF表（ご主人様死亡時）'!BM10/10000)</f>
        <v/>
      </c>
      <c r="BN10" s="221">
        <f>IF('CF表（ご主人様死亡時）'!BN$3="","",'CF表（ご主人様死亡時）'!BN10/10000)</f>
        <v/>
      </c>
      <c r="BO10" s="221">
        <f>IF('CF表（ご主人様死亡時）'!BO$3="","",'CF表（ご主人様死亡時）'!BO10/10000)</f>
        <v/>
      </c>
      <c r="BP10" s="221">
        <f>IF('CF表（ご主人様死亡時）'!BP$3="","",'CF表（ご主人様死亡時）'!BP10/10000)</f>
        <v/>
      </c>
      <c r="BQ10" s="221">
        <f>IF('CF表（ご主人様死亡時）'!BQ$3="","",'CF表（ご主人様死亡時）'!BQ10/10000)</f>
        <v/>
      </c>
      <c r="BR10" s="221">
        <f>IF('CF表（ご主人様死亡時）'!BR$3="","",'CF表（ご主人様死亡時）'!BR10/10000)</f>
        <v/>
      </c>
      <c r="BS10" s="221">
        <f>IF('CF表（ご主人様死亡時）'!BS$3="","",'CF表（ご主人様死亡時）'!BS10/10000)</f>
        <v/>
      </c>
      <c r="BT10" s="221">
        <f>IF('CF表（ご主人様死亡時）'!BT$3="","",'CF表（ご主人様死亡時）'!BT10/10000)</f>
        <v/>
      </c>
      <c r="BU10" s="221">
        <f>IF('CF表（ご主人様死亡時）'!BU$3="","",'CF表（ご主人様死亡時）'!BU10/10000)</f>
        <v/>
      </c>
      <c r="BV10" s="221">
        <f>IF('CF表（ご主人様死亡時）'!BV$3="","",'CF表（ご主人様死亡時）'!BV10/10000)</f>
        <v/>
      </c>
      <c r="BW10" s="221">
        <f>IF('CF表（ご主人様死亡時）'!BW$3="","",'CF表（ご主人様死亡時）'!BW10/10000)</f>
        <v/>
      </c>
      <c r="BX10" s="221">
        <f>IF('CF表（ご主人様死亡時）'!BX$3="","",'CF表（ご主人様死亡時）'!BX10/10000)</f>
        <v/>
      </c>
      <c r="BY10" s="221">
        <f>IF('CF表（ご主人様死亡時）'!BY$3="","",'CF表（ご主人様死亡時）'!BY10/10000)</f>
        <v/>
      </c>
      <c r="BZ10" s="221">
        <f>IF('CF表（ご主人様死亡時）'!BZ$3="","",'CF表（ご主人様死亡時）'!BZ10/10000)</f>
        <v/>
      </c>
      <c r="CA10" s="221">
        <f>IF('CF表（ご主人様死亡時）'!CA$3="","",'CF表（ご主人様死亡時）'!CA10/10000)</f>
        <v/>
      </c>
      <c r="CB10" s="221">
        <f>IF('CF表（ご主人様死亡時）'!CB$3="","",'CF表（ご主人様死亡時）'!CB10/10000)</f>
        <v/>
      </c>
      <c r="CC10" s="221">
        <f>IF('CF表（ご主人様死亡時）'!CC$3="","",'CF表（ご主人様死亡時）'!CC10/10000)</f>
        <v/>
      </c>
      <c r="CD10" s="221">
        <f>IF('CF表（ご主人様死亡時）'!CD$3="","",'CF表（ご主人様死亡時）'!CD10/10000)</f>
        <v/>
      </c>
      <c r="CE10" s="221">
        <f>IF('CF表（ご主人様死亡時）'!CE$3="","",'CF表（ご主人様死亡時）'!CE10/10000)</f>
        <v/>
      </c>
      <c r="CF10" s="221">
        <f>IF('CF表（ご主人様死亡時）'!CF$3="","",'CF表（ご主人様死亡時）'!CF10/10000)</f>
        <v/>
      </c>
      <c r="CG10" s="221">
        <f>IF('CF表（ご主人様死亡時）'!CG$3="","",'CF表（ご主人様死亡時）'!CG10/10000)</f>
        <v/>
      </c>
      <c r="CH10" s="221">
        <f>IF('CF表（ご主人様死亡時）'!CH$3="","",'CF表（ご主人様死亡時）'!CH10/10000)</f>
        <v/>
      </c>
      <c r="CI10" s="221">
        <f>IF('CF表（ご主人様死亡時）'!CI$3="","",'CF表（ご主人様死亡時）'!CI10/10000)</f>
        <v/>
      </c>
      <c r="CJ10" s="221">
        <f>IF('CF表（ご主人様死亡時）'!CJ$3="","",'CF表（ご主人様死亡時）'!CJ10/10000)</f>
        <v/>
      </c>
      <c r="CK10" s="221">
        <f>IF('CF表（ご主人様死亡時）'!CK$3="","",'CF表（ご主人様死亡時）'!CK10/10000)</f>
        <v/>
      </c>
      <c r="CL10" s="221">
        <f>IF('CF表（ご主人様死亡時）'!CL$3="","",'CF表（ご主人様死亡時）'!CL10/10000)</f>
        <v/>
      </c>
      <c r="CM10" s="221">
        <f>IF('CF表（ご主人様死亡時）'!CM$3="","",'CF表（ご主人様死亡時）'!CM10/10000)</f>
        <v/>
      </c>
      <c r="CN10" s="221">
        <f>IF('CF表（ご主人様死亡時）'!CN$3="","",'CF表（ご主人様死亡時）'!CN10/10000)</f>
        <v/>
      </c>
      <c r="CO10" s="221">
        <f>IF('CF表（ご主人様死亡時）'!CO$3="","",'CF表（ご主人様死亡時）'!CO10/10000)</f>
        <v/>
      </c>
      <c r="CP10" s="221">
        <f>IF('CF表（ご主人様死亡時）'!CP$3="","",'CF表（ご主人様死亡時）'!CP10/10000)</f>
        <v/>
      </c>
      <c r="CQ10" s="221">
        <f>IF('CF表（ご主人様死亡時）'!CQ$3="","",'CF表（ご主人様死亡時）'!CQ10/10000)</f>
        <v/>
      </c>
      <c r="CR10" s="221">
        <f>IF('CF表（ご主人様死亡時）'!CR$3="","",'CF表（ご主人様死亡時）'!CR10/10000)</f>
        <v/>
      </c>
      <c r="CS10" s="221">
        <f>IF('CF表（ご主人様死亡時）'!CS$3="","",'CF表（ご主人様死亡時）'!CS10/10000)</f>
        <v/>
      </c>
      <c r="CT10" s="221">
        <f>IF('CF表（ご主人様死亡時）'!CT$3="","",'CF表（ご主人様死亡時）'!CT10/10000)</f>
        <v/>
      </c>
      <c r="CU10" s="221">
        <f>IF('CF表（ご主人様死亡時）'!CU$3="","",'CF表（ご主人様死亡時）'!CU10/10000)</f>
        <v/>
      </c>
      <c r="CV10" s="221">
        <f>IF('CF表（ご主人様死亡時）'!CV$3="","",'CF表（ご主人様死亡時）'!CV10/10000)</f>
        <v/>
      </c>
      <c r="CW10" s="221">
        <f>IF('CF表（ご主人様死亡時）'!CW$3="","",'CF表（ご主人様死亡時）'!CW10/10000)</f>
        <v/>
      </c>
    </row>
    <row r="11" ht="15" customHeight="1" s="180">
      <c r="A11" s="220" t="inlineStr">
        <is>
          <t>奥様収入</t>
        </is>
      </c>
      <c r="B11" s="221">
        <f>IF('CF表（ご主人様死亡時）'!B$3="","",'CF表（ご主人様死亡時）'!B11/10000)</f>
        <v/>
      </c>
      <c r="C11" s="221">
        <f>IF('CF表（ご主人様死亡時）'!C$3="","",'CF表（ご主人様死亡時）'!C11/10000)</f>
        <v/>
      </c>
      <c r="D11" s="221">
        <f>IF('CF表（ご主人様死亡時）'!D$3="","",'CF表（ご主人様死亡時）'!D11/10000)</f>
        <v/>
      </c>
      <c r="E11" s="221">
        <f>IF('CF表（ご主人様死亡時）'!E$3="","",'CF表（ご主人様死亡時）'!E11/10000)</f>
        <v/>
      </c>
      <c r="F11" s="221">
        <f>IF('CF表（ご主人様死亡時）'!F$3="","",'CF表（ご主人様死亡時）'!F11/10000)</f>
        <v/>
      </c>
      <c r="G11" s="221">
        <f>IF('CF表（ご主人様死亡時）'!G$3="","",'CF表（ご主人様死亡時）'!G11/10000)</f>
        <v/>
      </c>
      <c r="H11" s="221">
        <f>IF('CF表（ご主人様死亡時）'!H$3="","",'CF表（ご主人様死亡時）'!H11/10000)</f>
        <v/>
      </c>
      <c r="I11" s="221">
        <f>IF('CF表（ご主人様死亡時）'!I$3="","",'CF表（ご主人様死亡時）'!I11/10000)</f>
        <v/>
      </c>
      <c r="J11" s="221">
        <f>IF('CF表（ご主人様死亡時）'!J$3="","",'CF表（ご主人様死亡時）'!J11/10000)</f>
        <v/>
      </c>
      <c r="K11" s="221">
        <f>IF('CF表（ご主人様死亡時）'!K$3="","",'CF表（ご主人様死亡時）'!K11/10000)</f>
        <v/>
      </c>
      <c r="L11" s="221">
        <f>IF('CF表（ご主人様死亡時）'!L$3="","",'CF表（ご主人様死亡時）'!L11/10000)</f>
        <v/>
      </c>
      <c r="M11" s="221">
        <f>IF('CF表（ご主人様死亡時）'!M$3="","",'CF表（ご主人様死亡時）'!M11/10000)</f>
        <v/>
      </c>
      <c r="N11" s="221">
        <f>IF('CF表（ご主人様死亡時）'!N$3="","",'CF表（ご主人様死亡時）'!N11/10000)</f>
        <v/>
      </c>
      <c r="O11" s="221">
        <f>IF('CF表（ご主人様死亡時）'!O$3="","",'CF表（ご主人様死亡時）'!O11/10000)</f>
        <v/>
      </c>
      <c r="P11" s="221">
        <f>IF('CF表（ご主人様死亡時）'!P$3="","",'CF表（ご主人様死亡時）'!P11/10000)</f>
        <v/>
      </c>
      <c r="Q11" s="221">
        <f>IF('CF表（ご主人様死亡時）'!Q$3="","",'CF表（ご主人様死亡時）'!Q11/10000)</f>
        <v/>
      </c>
      <c r="R11" s="221">
        <f>IF('CF表（ご主人様死亡時）'!R$3="","",'CF表（ご主人様死亡時）'!R11/10000)</f>
        <v/>
      </c>
      <c r="S11" s="221">
        <f>IF('CF表（ご主人様死亡時）'!S$3="","",'CF表（ご主人様死亡時）'!S11/10000)</f>
        <v/>
      </c>
      <c r="T11" s="221">
        <f>IF('CF表（ご主人様死亡時）'!T$3="","",'CF表（ご主人様死亡時）'!T11/10000)</f>
        <v/>
      </c>
      <c r="U11" s="221">
        <f>IF('CF表（ご主人様死亡時）'!U$3="","",'CF表（ご主人様死亡時）'!U11/10000)</f>
        <v/>
      </c>
      <c r="V11" s="221">
        <f>IF('CF表（ご主人様死亡時）'!V$3="","",'CF表（ご主人様死亡時）'!V11/10000)</f>
        <v/>
      </c>
      <c r="W11" s="221">
        <f>IF('CF表（ご主人様死亡時）'!W$3="","",'CF表（ご主人様死亡時）'!W11/10000)</f>
        <v/>
      </c>
      <c r="X11" s="221">
        <f>IF('CF表（ご主人様死亡時）'!X$3="","",'CF表（ご主人様死亡時）'!X11/10000)</f>
        <v/>
      </c>
      <c r="Y11" s="221">
        <f>IF('CF表（ご主人様死亡時）'!Y$3="","",'CF表（ご主人様死亡時）'!Y11/10000)</f>
        <v/>
      </c>
      <c r="Z11" s="221">
        <f>IF('CF表（ご主人様死亡時）'!Z$3="","",'CF表（ご主人様死亡時）'!Z11/10000)</f>
        <v/>
      </c>
      <c r="AA11" s="221">
        <f>IF('CF表（ご主人様死亡時）'!AA$3="","",'CF表（ご主人様死亡時）'!AA11/10000)</f>
        <v/>
      </c>
      <c r="AB11" s="221">
        <f>IF('CF表（ご主人様死亡時）'!AB$3="","",'CF表（ご主人様死亡時）'!AB11/10000)</f>
        <v/>
      </c>
      <c r="AC11" s="221">
        <f>IF('CF表（ご主人様死亡時）'!AC$3="","",'CF表（ご主人様死亡時）'!AC11/10000)</f>
        <v/>
      </c>
      <c r="AD11" s="221">
        <f>IF('CF表（ご主人様死亡時）'!AD$3="","",'CF表（ご主人様死亡時）'!AD11/10000)</f>
        <v/>
      </c>
      <c r="AE11" s="221">
        <f>IF('CF表（ご主人様死亡時）'!AE$3="","",'CF表（ご主人様死亡時）'!AE11/10000)</f>
        <v/>
      </c>
      <c r="AF11" s="221">
        <f>IF('CF表（ご主人様死亡時）'!AF$3="","",'CF表（ご主人様死亡時）'!AF11/10000)</f>
        <v/>
      </c>
      <c r="AG11" s="221">
        <f>IF('CF表（ご主人様死亡時）'!AG$3="","",'CF表（ご主人様死亡時）'!AG11/10000)</f>
        <v/>
      </c>
      <c r="AH11" s="221">
        <f>IF('CF表（ご主人様死亡時）'!AH$3="","",'CF表（ご主人様死亡時）'!AH11/10000)</f>
        <v/>
      </c>
      <c r="AI11" s="221">
        <f>IF('CF表（ご主人様死亡時）'!AI$3="","",'CF表（ご主人様死亡時）'!AI11/10000)</f>
        <v/>
      </c>
      <c r="AJ11" s="221">
        <f>IF('CF表（ご主人様死亡時）'!AJ$3="","",'CF表（ご主人様死亡時）'!AJ11/10000)</f>
        <v/>
      </c>
      <c r="AK11" s="221">
        <f>IF('CF表（ご主人様死亡時）'!AK$3="","",'CF表（ご主人様死亡時）'!AK11/10000)</f>
        <v/>
      </c>
      <c r="AL11" s="221">
        <f>IF('CF表（ご主人様死亡時）'!AL$3="","",'CF表（ご主人様死亡時）'!AL11/10000)</f>
        <v/>
      </c>
      <c r="AM11" s="221">
        <f>IF('CF表（ご主人様死亡時）'!AM$3="","",'CF表（ご主人様死亡時）'!AM11/10000)</f>
        <v/>
      </c>
      <c r="AN11" s="221">
        <f>IF('CF表（ご主人様死亡時）'!AN$3="","",'CF表（ご主人様死亡時）'!AN11/10000)</f>
        <v/>
      </c>
      <c r="AO11" s="221">
        <f>IF('CF表（ご主人様死亡時）'!AO$3="","",'CF表（ご主人様死亡時）'!AO11/10000)</f>
        <v/>
      </c>
      <c r="AP11" s="221">
        <f>IF('CF表（ご主人様死亡時）'!AP$3="","",'CF表（ご主人様死亡時）'!AP11/10000)</f>
        <v/>
      </c>
      <c r="AQ11" s="221">
        <f>IF('CF表（ご主人様死亡時）'!AQ$3="","",'CF表（ご主人様死亡時）'!AQ11/10000)</f>
        <v/>
      </c>
      <c r="AR11" s="221">
        <f>IF('CF表（ご主人様死亡時）'!AR$3="","",'CF表（ご主人様死亡時）'!AR11/10000)</f>
        <v/>
      </c>
      <c r="AS11" s="221">
        <f>IF('CF表（ご主人様死亡時）'!AS$3="","",'CF表（ご主人様死亡時）'!AS11/10000)</f>
        <v/>
      </c>
      <c r="AT11" s="221">
        <f>IF('CF表（ご主人様死亡時）'!AT$3="","",'CF表（ご主人様死亡時）'!AT11/10000)</f>
        <v/>
      </c>
      <c r="AU11" s="221">
        <f>IF('CF表（ご主人様死亡時）'!AU$3="","",'CF表（ご主人様死亡時）'!AU11/10000)</f>
        <v/>
      </c>
      <c r="AV11" s="221">
        <f>IF('CF表（ご主人様死亡時）'!AV$3="","",'CF表（ご主人様死亡時）'!AV11/10000)</f>
        <v/>
      </c>
      <c r="AW11" s="221">
        <f>IF('CF表（ご主人様死亡時）'!AW$3="","",'CF表（ご主人様死亡時）'!AW11/10000)</f>
        <v/>
      </c>
      <c r="AX11" s="221">
        <f>IF('CF表（ご主人様死亡時）'!AX$3="","",'CF表（ご主人様死亡時）'!AX11/10000)</f>
        <v/>
      </c>
      <c r="AY11" s="221">
        <f>IF('CF表（ご主人様死亡時）'!AY$3="","",'CF表（ご主人様死亡時）'!AY11/10000)</f>
        <v/>
      </c>
      <c r="AZ11" s="221">
        <f>IF('CF表（ご主人様死亡時）'!AZ$3="","",'CF表（ご主人様死亡時）'!AZ11/10000)</f>
        <v/>
      </c>
      <c r="BA11" s="221">
        <f>IF('CF表（ご主人様死亡時）'!BA$3="","",'CF表（ご主人様死亡時）'!BA11/10000)</f>
        <v/>
      </c>
      <c r="BB11" s="221">
        <f>IF('CF表（ご主人様死亡時）'!BB$3="","",'CF表（ご主人様死亡時）'!BB11/10000)</f>
        <v/>
      </c>
      <c r="BC11" s="221">
        <f>IF('CF表（ご主人様死亡時）'!BC$3="","",'CF表（ご主人様死亡時）'!BC11/10000)</f>
        <v/>
      </c>
      <c r="BD11" s="221">
        <f>IF('CF表（ご主人様死亡時）'!BD$3="","",'CF表（ご主人様死亡時）'!BD11/10000)</f>
        <v/>
      </c>
      <c r="BE11" s="221">
        <f>IF('CF表（ご主人様死亡時）'!BE$3="","",'CF表（ご主人様死亡時）'!BE11/10000)</f>
        <v/>
      </c>
      <c r="BF11" s="221">
        <f>IF('CF表（ご主人様死亡時）'!BF$3="","",'CF表（ご主人様死亡時）'!BF11/10000)</f>
        <v/>
      </c>
      <c r="BG11" s="221">
        <f>IF('CF表（ご主人様死亡時）'!BG$3="","",'CF表（ご主人様死亡時）'!BG11/10000)</f>
        <v/>
      </c>
      <c r="BH11" s="221">
        <f>IF('CF表（ご主人様死亡時）'!BH$3="","",'CF表（ご主人様死亡時）'!BH11/10000)</f>
        <v/>
      </c>
      <c r="BI11" s="221">
        <f>IF('CF表（ご主人様死亡時）'!BI$3="","",'CF表（ご主人様死亡時）'!BI11/10000)</f>
        <v/>
      </c>
      <c r="BJ11" s="221">
        <f>IF('CF表（ご主人様死亡時）'!BJ$3="","",'CF表（ご主人様死亡時）'!BJ11/10000)</f>
        <v/>
      </c>
      <c r="BK11" s="221">
        <f>IF('CF表（ご主人様死亡時）'!BK$3="","",'CF表（ご主人様死亡時）'!BK11/10000)</f>
        <v/>
      </c>
      <c r="BL11" s="221">
        <f>IF('CF表（ご主人様死亡時）'!BL$3="","",'CF表（ご主人様死亡時）'!BL11/10000)</f>
        <v/>
      </c>
      <c r="BM11" s="221">
        <f>IF('CF表（ご主人様死亡時）'!BM$3="","",'CF表（ご主人様死亡時）'!BM11/10000)</f>
        <v/>
      </c>
      <c r="BN11" s="221">
        <f>IF('CF表（ご主人様死亡時）'!BN$3="","",'CF表（ご主人様死亡時）'!BN11/10000)</f>
        <v/>
      </c>
      <c r="BO11" s="221">
        <f>IF('CF表（ご主人様死亡時）'!BO$3="","",'CF表（ご主人様死亡時）'!BO11/10000)</f>
        <v/>
      </c>
      <c r="BP11" s="221">
        <f>IF('CF表（ご主人様死亡時）'!BP$3="","",'CF表（ご主人様死亡時）'!BP11/10000)</f>
        <v/>
      </c>
      <c r="BQ11" s="221">
        <f>IF('CF表（ご主人様死亡時）'!BQ$3="","",'CF表（ご主人様死亡時）'!BQ11/10000)</f>
        <v/>
      </c>
      <c r="BR11" s="221">
        <f>IF('CF表（ご主人様死亡時）'!BR$3="","",'CF表（ご主人様死亡時）'!BR11/10000)</f>
        <v/>
      </c>
      <c r="BS11" s="221">
        <f>IF('CF表（ご主人様死亡時）'!BS$3="","",'CF表（ご主人様死亡時）'!BS11/10000)</f>
        <v/>
      </c>
      <c r="BT11" s="221">
        <f>IF('CF表（ご主人様死亡時）'!BT$3="","",'CF表（ご主人様死亡時）'!BT11/10000)</f>
        <v/>
      </c>
      <c r="BU11" s="221">
        <f>IF('CF表（ご主人様死亡時）'!BU$3="","",'CF表（ご主人様死亡時）'!BU11/10000)</f>
        <v/>
      </c>
      <c r="BV11" s="221">
        <f>IF('CF表（ご主人様死亡時）'!BV$3="","",'CF表（ご主人様死亡時）'!BV11/10000)</f>
        <v/>
      </c>
      <c r="BW11" s="221">
        <f>IF('CF表（ご主人様死亡時）'!BW$3="","",'CF表（ご主人様死亡時）'!BW11/10000)</f>
        <v/>
      </c>
      <c r="BX11" s="221">
        <f>IF('CF表（ご主人様死亡時）'!BX$3="","",'CF表（ご主人様死亡時）'!BX11/10000)</f>
        <v/>
      </c>
      <c r="BY11" s="221">
        <f>IF('CF表（ご主人様死亡時）'!BY$3="","",'CF表（ご主人様死亡時）'!BY11/10000)</f>
        <v/>
      </c>
      <c r="BZ11" s="221">
        <f>IF('CF表（ご主人様死亡時）'!BZ$3="","",'CF表（ご主人様死亡時）'!BZ11/10000)</f>
        <v/>
      </c>
      <c r="CA11" s="221">
        <f>IF('CF表（ご主人様死亡時）'!CA$3="","",'CF表（ご主人様死亡時）'!CA11/10000)</f>
        <v/>
      </c>
      <c r="CB11" s="221">
        <f>IF('CF表（ご主人様死亡時）'!CB$3="","",'CF表（ご主人様死亡時）'!CB11/10000)</f>
        <v/>
      </c>
      <c r="CC11" s="221">
        <f>IF('CF表（ご主人様死亡時）'!CC$3="","",'CF表（ご主人様死亡時）'!CC11/10000)</f>
        <v/>
      </c>
      <c r="CD11" s="221">
        <f>IF('CF表（ご主人様死亡時）'!CD$3="","",'CF表（ご主人様死亡時）'!CD11/10000)</f>
        <v/>
      </c>
      <c r="CE11" s="221">
        <f>IF('CF表（ご主人様死亡時）'!CE$3="","",'CF表（ご主人様死亡時）'!CE11/10000)</f>
        <v/>
      </c>
      <c r="CF11" s="221">
        <f>IF('CF表（ご主人様死亡時）'!CF$3="","",'CF表（ご主人様死亡時）'!CF11/10000)</f>
        <v/>
      </c>
      <c r="CG11" s="221">
        <f>IF('CF表（ご主人様死亡時）'!CG$3="","",'CF表（ご主人様死亡時）'!CG11/10000)</f>
        <v/>
      </c>
      <c r="CH11" s="221">
        <f>IF('CF表（ご主人様死亡時）'!CH$3="","",'CF表（ご主人様死亡時）'!CH11/10000)</f>
        <v/>
      </c>
      <c r="CI11" s="221">
        <f>IF('CF表（ご主人様死亡時）'!CI$3="","",'CF表（ご主人様死亡時）'!CI11/10000)</f>
        <v/>
      </c>
      <c r="CJ11" s="221">
        <f>IF('CF表（ご主人様死亡時）'!CJ$3="","",'CF表（ご主人様死亡時）'!CJ11/10000)</f>
        <v/>
      </c>
      <c r="CK11" s="221">
        <f>IF('CF表（ご主人様死亡時）'!CK$3="","",'CF表（ご主人様死亡時）'!CK11/10000)</f>
        <v/>
      </c>
      <c r="CL11" s="221">
        <f>IF('CF表（ご主人様死亡時）'!CL$3="","",'CF表（ご主人様死亡時）'!CL11/10000)</f>
        <v/>
      </c>
      <c r="CM11" s="221">
        <f>IF('CF表（ご主人様死亡時）'!CM$3="","",'CF表（ご主人様死亡時）'!CM11/10000)</f>
        <v/>
      </c>
      <c r="CN11" s="221">
        <f>IF('CF表（ご主人様死亡時）'!CN$3="","",'CF表（ご主人様死亡時）'!CN11/10000)</f>
        <v/>
      </c>
      <c r="CO11" s="221">
        <f>IF('CF表（ご主人様死亡時）'!CO$3="","",'CF表（ご主人様死亡時）'!CO11/10000)</f>
        <v/>
      </c>
      <c r="CP11" s="221">
        <f>IF('CF表（ご主人様死亡時）'!CP$3="","",'CF表（ご主人様死亡時）'!CP11/10000)</f>
        <v/>
      </c>
      <c r="CQ11" s="221">
        <f>IF('CF表（ご主人様死亡時）'!CQ$3="","",'CF表（ご主人様死亡時）'!CQ11/10000)</f>
        <v/>
      </c>
      <c r="CR11" s="221">
        <f>IF('CF表（ご主人様死亡時）'!CR$3="","",'CF表（ご主人様死亡時）'!CR11/10000)</f>
        <v/>
      </c>
      <c r="CS11" s="221">
        <f>IF('CF表（ご主人様死亡時）'!CS$3="","",'CF表（ご主人様死亡時）'!CS11/10000)</f>
        <v/>
      </c>
      <c r="CT11" s="221">
        <f>IF('CF表（ご主人様死亡時）'!CT$3="","",'CF表（ご主人様死亡時）'!CT11/10000)</f>
        <v/>
      </c>
      <c r="CU11" s="221">
        <f>IF('CF表（ご主人様死亡時）'!CU$3="","",'CF表（ご主人様死亡時）'!CU11/10000)</f>
        <v/>
      </c>
      <c r="CV11" s="221">
        <f>IF('CF表（ご主人様死亡時）'!CV$3="","",'CF表（ご主人様死亡時）'!CV11/10000)</f>
        <v/>
      </c>
      <c r="CW11" s="221">
        <f>IF('CF表（ご主人様死亡時）'!CW$3="","",'CF表（ご主人様死亡時）'!CW11/10000)</f>
        <v/>
      </c>
    </row>
    <row r="12" ht="15" customHeight="1" s="180">
      <c r="A12" s="220" t="inlineStr">
        <is>
          <t>児童手当</t>
        </is>
      </c>
      <c r="B12" s="221">
        <f>IF('CF表（ご主人様死亡時）'!B$3="","",'CF表（ご主人様死亡時）'!B12/10000)</f>
        <v/>
      </c>
      <c r="C12" s="221">
        <f>IF('CF表（ご主人様死亡時）'!C$3="","",'CF表（ご主人様死亡時）'!C12/10000)</f>
        <v/>
      </c>
      <c r="D12" s="221">
        <f>IF('CF表（ご主人様死亡時）'!D$3="","",'CF表（ご主人様死亡時）'!D12/10000)</f>
        <v/>
      </c>
      <c r="E12" s="221">
        <f>IF('CF表（ご主人様死亡時）'!E$3="","",'CF表（ご主人様死亡時）'!E12/10000)</f>
        <v/>
      </c>
      <c r="F12" s="221">
        <f>IF('CF表（ご主人様死亡時）'!F$3="","",'CF表（ご主人様死亡時）'!F12/10000)</f>
        <v/>
      </c>
      <c r="G12" s="221">
        <f>IF('CF表（ご主人様死亡時）'!G$3="","",'CF表（ご主人様死亡時）'!G12/10000)</f>
        <v/>
      </c>
      <c r="H12" s="221">
        <f>IF('CF表（ご主人様死亡時）'!H$3="","",'CF表（ご主人様死亡時）'!H12/10000)</f>
        <v/>
      </c>
      <c r="I12" s="221">
        <f>IF('CF表（ご主人様死亡時）'!I$3="","",'CF表（ご主人様死亡時）'!I12/10000)</f>
        <v/>
      </c>
      <c r="J12" s="221">
        <f>IF('CF表（ご主人様死亡時）'!J$3="","",'CF表（ご主人様死亡時）'!J12/10000)</f>
        <v/>
      </c>
      <c r="K12" s="221">
        <f>IF('CF表（ご主人様死亡時）'!K$3="","",'CF表（ご主人様死亡時）'!K12/10000)</f>
        <v/>
      </c>
      <c r="L12" s="221">
        <f>IF('CF表（ご主人様死亡時）'!L$3="","",'CF表（ご主人様死亡時）'!L12/10000)</f>
        <v/>
      </c>
      <c r="M12" s="221">
        <f>IF('CF表（ご主人様死亡時）'!M$3="","",'CF表（ご主人様死亡時）'!M12/10000)</f>
        <v/>
      </c>
      <c r="N12" s="221">
        <f>IF('CF表（ご主人様死亡時）'!N$3="","",'CF表（ご主人様死亡時）'!N12/10000)</f>
        <v/>
      </c>
      <c r="O12" s="221">
        <f>IF('CF表（ご主人様死亡時）'!O$3="","",'CF表（ご主人様死亡時）'!O12/10000)</f>
        <v/>
      </c>
      <c r="P12" s="221">
        <f>IF('CF表（ご主人様死亡時）'!P$3="","",'CF表（ご主人様死亡時）'!P12/10000)</f>
        <v/>
      </c>
      <c r="Q12" s="221">
        <f>IF('CF表（ご主人様死亡時）'!Q$3="","",'CF表（ご主人様死亡時）'!Q12/10000)</f>
        <v/>
      </c>
      <c r="R12" s="221">
        <f>IF('CF表（ご主人様死亡時）'!R$3="","",'CF表（ご主人様死亡時）'!R12/10000)</f>
        <v/>
      </c>
      <c r="S12" s="221">
        <f>IF('CF表（ご主人様死亡時）'!S$3="","",'CF表（ご主人様死亡時）'!S12/10000)</f>
        <v/>
      </c>
      <c r="T12" s="221">
        <f>IF('CF表（ご主人様死亡時）'!T$3="","",'CF表（ご主人様死亡時）'!T12/10000)</f>
        <v/>
      </c>
      <c r="U12" s="221">
        <f>IF('CF表（ご主人様死亡時）'!U$3="","",'CF表（ご主人様死亡時）'!U12/10000)</f>
        <v/>
      </c>
      <c r="V12" s="221">
        <f>IF('CF表（ご主人様死亡時）'!V$3="","",'CF表（ご主人様死亡時）'!V12/10000)</f>
        <v/>
      </c>
      <c r="W12" s="221">
        <f>IF('CF表（ご主人様死亡時）'!W$3="","",'CF表（ご主人様死亡時）'!W12/10000)</f>
        <v/>
      </c>
      <c r="X12" s="221">
        <f>IF('CF表（ご主人様死亡時）'!X$3="","",'CF表（ご主人様死亡時）'!X12/10000)</f>
        <v/>
      </c>
      <c r="Y12" s="221">
        <f>IF('CF表（ご主人様死亡時）'!Y$3="","",'CF表（ご主人様死亡時）'!Y12/10000)</f>
        <v/>
      </c>
      <c r="Z12" s="221">
        <f>IF('CF表（ご主人様死亡時）'!Z$3="","",'CF表（ご主人様死亡時）'!Z12/10000)</f>
        <v/>
      </c>
      <c r="AA12" s="221">
        <f>IF('CF表（ご主人様死亡時）'!AA$3="","",'CF表（ご主人様死亡時）'!AA12/10000)</f>
        <v/>
      </c>
      <c r="AB12" s="221">
        <f>IF('CF表（ご主人様死亡時）'!AB$3="","",'CF表（ご主人様死亡時）'!AB12/10000)</f>
        <v/>
      </c>
      <c r="AC12" s="221">
        <f>IF('CF表（ご主人様死亡時）'!AC$3="","",'CF表（ご主人様死亡時）'!AC12/10000)</f>
        <v/>
      </c>
      <c r="AD12" s="221">
        <f>IF('CF表（ご主人様死亡時）'!AD$3="","",'CF表（ご主人様死亡時）'!AD12/10000)</f>
        <v/>
      </c>
      <c r="AE12" s="221">
        <f>IF('CF表（ご主人様死亡時）'!AE$3="","",'CF表（ご主人様死亡時）'!AE12/10000)</f>
        <v/>
      </c>
      <c r="AF12" s="221">
        <f>IF('CF表（ご主人様死亡時）'!AF$3="","",'CF表（ご主人様死亡時）'!AF12/10000)</f>
        <v/>
      </c>
      <c r="AG12" s="221">
        <f>IF('CF表（ご主人様死亡時）'!AG$3="","",'CF表（ご主人様死亡時）'!AG12/10000)</f>
        <v/>
      </c>
      <c r="AH12" s="221">
        <f>IF('CF表（ご主人様死亡時）'!AH$3="","",'CF表（ご主人様死亡時）'!AH12/10000)</f>
        <v/>
      </c>
      <c r="AI12" s="221">
        <f>IF('CF表（ご主人様死亡時）'!AI$3="","",'CF表（ご主人様死亡時）'!AI12/10000)</f>
        <v/>
      </c>
      <c r="AJ12" s="221">
        <f>IF('CF表（ご主人様死亡時）'!AJ$3="","",'CF表（ご主人様死亡時）'!AJ12/10000)</f>
        <v/>
      </c>
      <c r="AK12" s="221">
        <f>IF('CF表（ご主人様死亡時）'!AK$3="","",'CF表（ご主人様死亡時）'!AK12/10000)</f>
        <v/>
      </c>
      <c r="AL12" s="221">
        <f>IF('CF表（ご主人様死亡時）'!AL$3="","",'CF表（ご主人様死亡時）'!AL12/10000)</f>
        <v/>
      </c>
      <c r="AM12" s="221">
        <f>IF('CF表（ご主人様死亡時）'!AM$3="","",'CF表（ご主人様死亡時）'!AM12/10000)</f>
        <v/>
      </c>
      <c r="AN12" s="221">
        <f>IF('CF表（ご主人様死亡時）'!AN$3="","",'CF表（ご主人様死亡時）'!AN12/10000)</f>
        <v/>
      </c>
      <c r="AO12" s="221">
        <f>IF('CF表（ご主人様死亡時）'!AO$3="","",'CF表（ご主人様死亡時）'!AO12/10000)</f>
        <v/>
      </c>
      <c r="AP12" s="221">
        <f>IF('CF表（ご主人様死亡時）'!AP$3="","",'CF表（ご主人様死亡時）'!AP12/10000)</f>
        <v/>
      </c>
      <c r="AQ12" s="221">
        <f>IF('CF表（ご主人様死亡時）'!AQ$3="","",'CF表（ご主人様死亡時）'!AQ12/10000)</f>
        <v/>
      </c>
      <c r="AR12" s="221">
        <f>IF('CF表（ご主人様死亡時）'!AR$3="","",'CF表（ご主人様死亡時）'!AR12/10000)</f>
        <v/>
      </c>
      <c r="AS12" s="221">
        <f>IF('CF表（ご主人様死亡時）'!AS$3="","",'CF表（ご主人様死亡時）'!AS12/10000)</f>
        <v/>
      </c>
      <c r="AT12" s="221">
        <f>IF('CF表（ご主人様死亡時）'!AT$3="","",'CF表（ご主人様死亡時）'!AT12/10000)</f>
        <v/>
      </c>
      <c r="AU12" s="221">
        <f>IF('CF表（ご主人様死亡時）'!AU$3="","",'CF表（ご主人様死亡時）'!AU12/10000)</f>
        <v/>
      </c>
      <c r="AV12" s="221">
        <f>IF('CF表（ご主人様死亡時）'!AV$3="","",'CF表（ご主人様死亡時）'!AV12/10000)</f>
        <v/>
      </c>
      <c r="AW12" s="221">
        <f>IF('CF表（ご主人様死亡時）'!AW$3="","",'CF表（ご主人様死亡時）'!AW12/10000)</f>
        <v/>
      </c>
      <c r="AX12" s="221">
        <f>IF('CF表（ご主人様死亡時）'!AX$3="","",'CF表（ご主人様死亡時）'!AX12/10000)</f>
        <v/>
      </c>
      <c r="AY12" s="221">
        <f>IF('CF表（ご主人様死亡時）'!AY$3="","",'CF表（ご主人様死亡時）'!AY12/10000)</f>
        <v/>
      </c>
      <c r="AZ12" s="221">
        <f>IF('CF表（ご主人様死亡時）'!AZ$3="","",'CF表（ご主人様死亡時）'!AZ12/10000)</f>
        <v/>
      </c>
      <c r="BA12" s="221">
        <f>IF('CF表（ご主人様死亡時）'!BA$3="","",'CF表（ご主人様死亡時）'!BA12/10000)</f>
        <v/>
      </c>
      <c r="BB12" s="221">
        <f>IF('CF表（ご主人様死亡時）'!BB$3="","",'CF表（ご主人様死亡時）'!BB12/10000)</f>
        <v/>
      </c>
      <c r="BC12" s="221">
        <f>IF('CF表（ご主人様死亡時）'!BC$3="","",'CF表（ご主人様死亡時）'!BC12/10000)</f>
        <v/>
      </c>
      <c r="BD12" s="221">
        <f>IF('CF表（ご主人様死亡時）'!BD$3="","",'CF表（ご主人様死亡時）'!BD12/10000)</f>
        <v/>
      </c>
      <c r="BE12" s="221">
        <f>IF('CF表（ご主人様死亡時）'!BE$3="","",'CF表（ご主人様死亡時）'!BE12/10000)</f>
        <v/>
      </c>
      <c r="BF12" s="221">
        <f>IF('CF表（ご主人様死亡時）'!BF$3="","",'CF表（ご主人様死亡時）'!BF12/10000)</f>
        <v/>
      </c>
      <c r="BG12" s="221">
        <f>IF('CF表（ご主人様死亡時）'!BG$3="","",'CF表（ご主人様死亡時）'!BG12/10000)</f>
        <v/>
      </c>
      <c r="BH12" s="221">
        <f>IF('CF表（ご主人様死亡時）'!BH$3="","",'CF表（ご主人様死亡時）'!BH12/10000)</f>
        <v/>
      </c>
      <c r="BI12" s="221">
        <f>IF('CF表（ご主人様死亡時）'!BI$3="","",'CF表（ご主人様死亡時）'!BI12/10000)</f>
        <v/>
      </c>
      <c r="BJ12" s="221">
        <f>IF('CF表（ご主人様死亡時）'!BJ$3="","",'CF表（ご主人様死亡時）'!BJ12/10000)</f>
        <v/>
      </c>
      <c r="BK12" s="221">
        <f>IF('CF表（ご主人様死亡時）'!BK$3="","",'CF表（ご主人様死亡時）'!BK12/10000)</f>
        <v/>
      </c>
      <c r="BL12" s="221">
        <f>IF('CF表（ご主人様死亡時）'!BL$3="","",'CF表（ご主人様死亡時）'!BL12/10000)</f>
        <v/>
      </c>
      <c r="BM12" s="221">
        <f>IF('CF表（ご主人様死亡時）'!BM$3="","",'CF表（ご主人様死亡時）'!BM12/10000)</f>
        <v/>
      </c>
      <c r="BN12" s="221">
        <f>IF('CF表（ご主人様死亡時）'!BN$3="","",'CF表（ご主人様死亡時）'!BN12/10000)</f>
        <v/>
      </c>
      <c r="BO12" s="221">
        <f>IF('CF表（ご主人様死亡時）'!BO$3="","",'CF表（ご主人様死亡時）'!BO12/10000)</f>
        <v/>
      </c>
      <c r="BP12" s="221">
        <f>IF('CF表（ご主人様死亡時）'!BP$3="","",'CF表（ご主人様死亡時）'!BP12/10000)</f>
        <v/>
      </c>
      <c r="BQ12" s="221">
        <f>IF('CF表（ご主人様死亡時）'!BQ$3="","",'CF表（ご主人様死亡時）'!BQ12/10000)</f>
        <v/>
      </c>
      <c r="BR12" s="221">
        <f>IF('CF表（ご主人様死亡時）'!BR$3="","",'CF表（ご主人様死亡時）'!BR12/10000)</f>
        <v/>
      </c>
      <c r="BS12" s="221">
        <f>IF('CF表（ご主人様死亡時）'!BS$3="","",'CF表（ご主人様死亡時）'!BS12/10000)</f>
        <v/>
      </c>
      <c r="BT12" s="221">
        <f>IF('CF表（ご主人様死亡時）'!BT$3="","",'CF表（ご主人様死亡時）'!BT12/10000)</f>
        <v/>
      </c>
      <c r="BU12" s="221">
        <f>IF('CF表（ご主人様死亡時）'!BU$3="","",'CF表（ご主人様死亡時）'!BU12/10000)</f>
        <v/>
      </c>
      <c r="BV12" s="221">
        <f>IF('CF表（ご主人様死亡時）'!BV$3="","",'CF表（ご主人様死亡時）'!BV12/10000)</f>
        <v/>
      </c>
      <c r="BW12" s="221">
        <f>IF('CF表（ご主人様死亡時）'!BW$3="","",'CF表（ご主人様死亡時）'!BW12/10000)</f>
        <v/>
      </c>
      <c r="BX12" s="221">
        <f>IF('CF表（ご主人様死亡時）'!BX$3="","",'CF表（ご主人様死亡時）'!BX12/10000)</f>
        <v/>
      </c>
      <c r="BY12" s="221">
        <f>IF('CF表（ご主人様死亡時）'!BY$3="","",'CF表（ご主人様死亡時）'!BY12/10000)</f>
        <v/>
      </c>
      <c r="BZ12" s="221">
        <f>IF('CF表（ご主人様死亡時）'!BZ$3="","",'CF表（ご主人様死亡時）'!BZ12/10000)</f>
        <v/>
      </c>
      <c r="CA12" s="221">
        <f>IF('CF表（ご主人様死亡時）'!CA$3="","",'CF表（ご主人様死亡時）'!CA12/10000)</f>
        <v/>
      </c>
      <c r="CB12" s="221">
        <f>IF('CF表（ご主人様死亡時）'!CB$3="","",'CF表（ご主人様死亡時）'!CB12/10000)</f>
        <v/>
      </c>
      <c r="CC12" s="221">
        <f>IF('CF表（ご主人様死亡時）'!CC$3="","",'CF表（ご主人様死亡時）'!CC12/10000)</f>
        <v/>
      </c>
      <c r="CD12" s="221">
        <f>IF('CF表（ご主人様死亡時）'!CD$3="","",'CF表（ご主人様死亡時）'!CD12/10000)</f>
        <v/>
      </c>
      <c r="CE12" s="221">
        <f>IF('CF表（ご主人様死亡時）'!CE$3="","",'CF表（ご主人様死亡時）'!CE12/10000)</f>
        <v/>
      </c>
      <c r="CF12" s="221">
        <f>IF('CF表（ご主人様死亡時）'!CF$3="","",'CF表（ご主人様死亡時）'!CF12/10000)</f>
        <v/>
      </c>
      <c r="CG12" s="221">
        <f>IF('CF表（ご主人様死亡時）'!CG$3="","",'CF表（ご主人様死亡時）'!CG12/10000)</f>
        <v/>
      </c>
      <c r="CH12" s="221">
        <f>IF('CF表（ご主人様死亡時）'!CH$3="","",'CF表（ご主人様死亡時）'!CH12/10000)</f>
        <v/>
      </c>
      <c r="CI12" s="221">
        <f>IF('CF表（ご主人様死亡時）'!CI$3="","",'CF表（ご主人様死亡時）'!CI12/10000)</f>
        <v/>
      </c>
      <c r="CJ12" s="221">
        <f>IF('CF表（ご主人様死亡時）'!CJ$3="","",'CF表（ご主人様死亡時）'!CJ12/10000)</f>
        <v/>
      </c>
      <c r="CK12" s="221">
        <f>IF('CF表（ご主人様死亡時）'!CK$3="","",'CF表（ご主人様死亡時）'!CK12/10000)</f>
        <v/>
      </c>
      <c r="CL12" s="221">
        <f>IF('CF表（ご主人様死亡時）'!CL$3="","",'CF表（ご主人様死亡時）'!CL12/10000)</f>
        <v/>
      </c>
      <c r="CM12" s="221">
        <f>IF('CF表（ご主人様死亡時）'!CM$3="","",'CF表（ご主人様死亡時）'!CM12/10000)</f>
        <v/>
      </c>
      <c r="CN12" s="221">
        <f>IF('CF表（ご主人様死亡時）'!CN$3="","",'CF表（ご主人様死亡時）'!CN12/10000)</f>
        <v/>
      </c>
      <c r="CO12" s="221">
        <f>IF('CF表（ご主人様死亡時）'!CO$3="","",'CF表（ご主人様死亡時）'!CO12/10000)</f>
        <v/>
      </c>
      <c r="CP12" s="221">
        <f>IF('CF表（ご主人様死亡時）'!CP$3="","",'CF表（ご主人様死亡時）'!CP12/10000)</f>
        <v/>
      </c>
      <c r="CQ12" s="221">
        <f>IF('CF表（ご主人様死亡時）'!CQ$3="","",'CF表（ご主人様死亡時）'!CQ12/10000)</f>
        <v/>
      </c>
      <c r="CR12" s="221">
        <f>IF('CF表（ご主人様死亡時）'!CR$3="","",'CF表（ご主人様死亡時）'!CR12/10000)</f>
        <v/>
      </c>
      <c r="CS12" s="221">
        <f>IF('CF表（ご主人様死亡時）'!CS$3="","",'CF表（ご主人様死亡時）'!CS12/10000)</f>
        <v/>
      </c>
      <c r="CT12" s="221">
        <f>IF('CF表（ご主人様死亡時）'!CT$3="","",'CF表（ご主人様死亡時）'!CT12/10000)</f>
        <v/>
      </c>
      <c r="CU12" s="221">
        <f>IF('CF表（ご主人様死亡時）'!CU$3="","",'CF表（ご主人様死亡時）'!CU12/10000)</f>
        <v/>
      </c>
      <c r="CV12" s="221">
        <f>IF('CF表（ご主人様死亡時）'!CV$3="","",'CF表（ご主人様死亡時）'!CV12/10000)</f>
        <v/>
      </c>
      <c r="CW12" s="221">
        <f>IF('CF表（ご主人様死亡時）'!CW$3="","",'CF表（ご主人様死亡時）'!CW12/10000)</f>
        <v/>
      </c>
    </row>
    <row r="13" ht="15" customHeight="1" s="180">
      <c r="A13" s="220" t="inlineStr">
        <is>
          <t>その他収入</t>
        </is>
      </c>
      <c r="B13" s="221">
        <f>IF('CF表（ご主人様死亡時）'!B$3="","",'CF表（ご主人様死亡時）'!B13/10000)</f>
        <v/>
      </c>
      <c r="C13" s="221">
        <f>IF('CF表（ご主人様死亡時）'!C$3="","",'CF表（ご主人様死亡時）'!C13/10000)</f>
        <v/>
      </c>
      <c r="D13" s="221">
        <f>IF('CF表（ご主人様死亡時）'!D$3="","",'CF表（ご主人様死亡時）'!D13/10000)</f>
        <v/>
      </c>
      <c r="E13" s="221">
        <f>IF('CF表（ご主人様死亡時）'!E$3="","",'CF表（ご主人様死亡時）'!E13/10000)</f>
        <v/>
      </c>
      <c r="F13" s="221">
        <f>IF('CF表（ご主人様死亡時）'!F$3="","",'CF表（ご主人様死亡時）'!F13/10000)</f>
        <v/>
      </c>
      <c r="G13" s="221">
        <f>IF('CF表（ご主人様死亡時）'!G$3="","",'CF表（ご主人様死亡時）'!G13/10000)</f>
        <v/>
      </c>
      <c r="H13" s="221">
        <f>IF('CF表（ご主人様死亡時）'!H$3="","",'CF表（ご主人様死亡時）'!H13/10000)</f>
        <v/>
      </c>
      <c r="I13" s="221">
        <f>IF('CF表（ご主人様死亡時）'!I$3="","",'CF表（ご主人様死亡時）'!I13/10000)</f>
        <v/>
      </c>
      <c r="J13" s="221">
        <f>IF('CF表（ご主人様死亡時）'!J$3="","",'CF表（ご主人様死亡時）'!J13/10000)</f>
        <v/>
      </c>
      <c r="K13" s="221">
        <f>IF('CF表（ご主人様死亡時）'!K$3="","",'CF表（ご主人様死亡時）'!K13/10000)</f>
        <v/>
      </c>
      <c r="L13" s="221">
        <f>IF('CF表（ご主人様死亡時）'!L$3="","",'CF表（ご主人様死亡時）'!L13/10000)</f>
        <v/>
      </c>
      <c r="M13" s="221">
        <f>IF('CF表（ご主人様死亡時）'!M$3="","",'CF表（ご主人様死亡時）'!M13/10000)</f>
        <v/>
      </c>
      <c r="N13" s="221">
        <f>IF('CF表（ご主人様死亡時）'!N$3="","",'CF表（ご主人様死亡時）'!N13/10000)</f>
        <v/>
      </c>
      <c r="O13" s="221">
        <f>IF('CF表（ご主人様死亡時）'!O$3="","",'CF表（ご主人様死亡時）'!O13/10000)</f>
        <v/>
      </c>
      <c r="P13" s="221">
        <f>IF('CF表（ご主人様死亡時）'!P$3="","",'CF表（ご主人様死亡時）'!P13/10000)</f>
        <v/>
      </c>
      <c r="Q13" s="221">
        <f>IF('CF表（ご主人様死亡時）'!Q$3="","",'CF表（ご主人様死亡時）'!Q13/10000)</f>
        <v/>
      </c>
      <c r="R13" s="221">
        <f>IF('CF表（ご主人様死亡時）'!R$3="","",'CF表（ご主人様死亡時）'!R13/10000)</f>
        <v/>
      </c>
      <c r="S13" s="221">
        <f>IF('CF表（ご主人様死亡時）'!S$3="","",'CF表（ご主人様死亡時）'!S13/10000)</f>
        <v/>
      </c>
      <c r="T13" s="221">
        <f>IF('CF表（ご主人様死亡時）'!T$3="","",'CF表（ご主人様死亡時）'!T13/10000)</f>
        <v/>
      </c>
      <c r="U13" s="221">
        <f>IF('CF表（ご主人様死亡時）'!U$3="","",'CF表（ご主人様死亡時）'!U13/10000)</f>
        <v/>
      </c>
      <c r="V13" s="221">
        <f>IF('CF表（ご主人様死亡時）'!V$3="","",'CF表（ご主人様死亡時）'!V13/10000)</f>
        <v/>
      </c>
      <c r="W13" s="221">
        <f>IF('CF表（ご主人様死亡時）'!W$3="","",'CF表（ご主人様死亡時）'!W13/10000)</f>
        <v/>
      </c>
      <c r="X13" s="221">
        <f>IF('CF表（ご主人様死亡時）'!X$3="","",'CF表（ご主人様死亡時）'!X13/10000)</f>
        <v/>
      </c>
      <c r="Y13" s="221">
        <f>IF('CF表（ご主人様死亡時）'!Y$3="","",'CF表（ご主人様死亡時）'!Y13/10000)</f>
        <v/>
      </c>
      <c r="Z13" s="221">
        <f>IF('CF表（ご主人様死亡時）'!Z$3="","",'CF表（ご主人様死亡時）'!Z13/10000)</f>
        <v/>
      </c>
      <c r="AA13" s="221">
        <f>IF('CF表（ご主人様死亡時）'!AA$3="","",'CF表（ご主人様死亡時）'!AA13/10000)</f>
        <v/>
      </c>
      <c r="AB13" s="221">
        <f>IF('CF表（ご主人様死亡時）'!AB$3="","",'CF表（ご主人様死亡時）'!AB13/10000)</f>
        <v/>
      </c>
      <c r="AC13" s="221">
        <f>IF('CF表（ご主人様死亡時）'!AC$3="","",'CF表（ご主人様死亡時）'!AC13/10000)</f>
        <v/>
      </c>
      <c r="AD13" s="221">
        <f>IF('CF表（ご主人様死亡時）'!AD$3="","",'CF表（ご主人様死亡時）'!AD13/10000)</f>
        <v/>
      </c>
      <c r="AE13" s="221">
        <f>IF('CF表（ご主人様死亡時）'!AE$3="","",'CF表（ご主人様死亡時）'!AE13/10000)</f>
        <v/>
      </c>
      <c r="AF13" s="221">
        <f>IF('CF表（ご主人様死亡時）'!AF$3="","",'CF表（ご主人様死亡時）'!AF13/10000)</f>
        <v/>
      </c>
      <c r="AG13" s="221">
        <f>IF('CF表（ご主人様死亡時）'!AG$3="","",'CF表（ご主人様死亡時）'!AG13/10000)</f>
        <v/>
      </c>
      <c r="AH13" s="221">
        <f>IF('CF表（ご主人様死亡時）'!AH$3="","",'CF表（ご主人様死亡時）'!AH13/10000)</f>
        <v/>
      </c>
      <c r="AI13" s="221">
        <f>IF('CF表（ご主人様死亡時）'!AI$3="","",'CF表（ご主人様死亡時）'!AI13/10000)</f>
        <v/>
      </c>
      <c r="AJ13" s="221">
        <f>IF('CF表（ご主人様死亡時）'!AJ$3="","",'CF表（ご主人様死亡時）'!AJ13/10000)</f>
        <v/>
      </c>
      <c r="AK13" s="221">
        <f>IF('CF表（ご主人様死亡時）'!AK$3="","",'CF表（ご主人様死亡時）'!AK13/10000)</f>
        <v/>
      </c>
      <c r="AL13" s="221">
        <f>IF('CF表（ご主人様死亡時）'!AL$3="","",'CF表（ご主人様死亡時）'!AL13/10000)</f>
        <v/>
      </c>
      <c r="AM13" s="221">
        <f>IF('CF表（ご主人様死亡時）'!AM$3="","",'CF表（ご主人様死亡時）'!AM13/10000)</f>
        <v/>
      </c>
      <c r="AN13" s="221">
        <f>IF('CF表（ご主人様死亡時）'!AN$3="","",'CF表（ご主人様死亡時）'!AN13/10000)</f>
        <v/>
      </c>
      <c r="AO13" s="221">
        <f>IF('CF表（ご主人様死亡時）'!AO$3="","",'CF表（ご主人様死亡時）'!AO13/10000)</f>
        <v/>
      </c>
      <c r="AP13" s="221">
        <f>IF('CF表（ご主人様死亡時）'!AP$3="","",'CF表（ご主人様死亡時）'!AP13/10000)</f>
        <v/>
      </c>
      <c r="AQ13" s="221">
        <f>IF('CF表（ご主人様死亡時）'!AQ$3="","",'CF表（ご主人様死亡時）'!AQ13/10000)</f>
        <v/>
      </c>
      <c r="AR13" s="221">
        <f>IF('CF表（ご主人様死亡時）'!AR$3="","",'CF表（ご主人様死亡時）'!AR13/10000)</f>
        <v/>
      </c>
      <c r="AS13" s="221">
        <f>IF('CF表（ご主人様死亡時）'!AS$3="","",'CF表（ご主人様死亡時）'!AS13/10000)</f>
        <v/>
      </c>
      <c r="AT13" s="221">
        <f>IF('CF表（ご主人様死亡時）'!AT$3="","",'CF表（ご主人様死亡時）'!AT13/10000)</f>
        <v/>
      </c>
      <c r="AU13" s="221">
        <f>IF('CF表（ご主人様死亡時）'!AU$3="","",'CF表（ご主人様死亡時）'!AU13/10000)</f>
        <v/>
      </c>
      <c r="AV13" s="221">
        <f>IF('CF表（ご主人様死亡時）'!AV$3="","",'CF表（ご主人様死亡時）'!AV13/10000)</f>
        <v/>
      </c>
      <c r="AW13" s="221">
        <f>IF('CF表（ご主人様死亡時）'!AW$3="","",'CF表（ご主人様死亡時）'!AW13/10000)</f>
        <v/>
      </c>
      <c r="AX13" s="221">
        <f>IF('CF表（ご主人様死亡時）'!AX$3="","",'CF表（ご主人様死亡時）'!AX13/10000)</f>
        <v/>
      </c>
      <c r="AY13" s="221">
        <f>IF('CF表（ご主人様死亡時）'!AY$3="","",'CF表（ご主人様死亡時）'!AY13/10000)</f>
        <v/>
      </c>
      <c r="AZ13" s="221">
        <f>IF('CF表（ご主人様死亡時）'!AZ$3="","",'CF表（ご主人様死亡時）'!AZ13/10000)</f>
        <v/>
      </c>
      <c r="BA13" s="221">
        <f>IF('CF表（ご主人様死亡時）'!BA$3="","",'CF表（ご主人様死亡時）'!BA13/10000)</f>
        <v/>
      </c>
      <c r="BB13" s="221">
        <f>IF('CF表（ご主人様死亡時）'!BB$3="","",'CF表（ご主人様死亡時）'!BB13/10000)</f>
        <v/>
      </c>
      <c r="BC13" s="221">
        <f>IF('CF表（ご主人様死亡時）'!BC$3="","",'CF表（ご主人様死亡時）'!BC13/10000)</f>
        <v/>
      </c>
      <c r="BD13" s="221">
        <f>IF('CF表（ご主人様死亡時）'!BD$3="","",'CF表（ご主人様死亡時）'!BD13/10000)</f>
        <v/>
      </c>
      <c r="BE13" s="221">
        <f>IF('CF表（ご主人様死亡時）'!BE$3="","",'CF表（ご主人様死亡時）'!BE13/10000)</f>
        <v/>
      </c>
      <c r="BF13" s="221">
        <f>IF('CF表（ご主人様死亡時）'!BF$3="","",'CF表（ご主人様死亡時）'!BF13/10000)</f>
        <v/>
      </c>
      <c r="BG13" s="221">
        <f>IF('CF表（ご主人様死亡時）'!BG$3="","",'CF表（ご主人様死亡時）'!BG13/10000)</f>
        <v/>
      </c>
      <c r="BH13" s="221">
        <f>IF('CF表（ご主人様死亡時）'!BH$3="","",'CF表（ご主人様死亡時）'!BH13/10000)</f>
        <v/>
      </c>
      <c r="BI13" s="221">
        <f>IF('CF表（ご主人様死亡時）'!BI$3="","",'CF表（ご主人様死亡時）'!BI13/10000)</f>
        <v/>
      </c>
      <c r="BJ13" s="221">
        <f>IF('CF表（ご主人様死亡時）'!BJ$3="","",'CF表（ご主人様死亡時）'!BJ13/10000)</f>
        <v/>
      </c>
      <c r="BK13" s="221">
        <f>IF('CF表（ご主人様死亡時）'!BK$3="","",'CF表（ご主人様死亡時）'!BK13/10000)</f>
        <v/>
      </c>
      <c r="BL13" s="221">
        <f>IF('CF表（ご主人様死亡時）'!BL$3="","",'CF表（ご主人様死亡時）'!BL13/10000)</f>
        <v/>
      </c>
      <c r="BM13" s="221">
        <f>IF('CF表（ご主人様死亡時）'!BM$3="","",'CF表（ご主人様死亡時）'!BM13/10000)</f>
        <v/>
      </c>
      <c r="BN13" s="221">
        <f>IF('CF表（ご主人様死亡時）'!BN$3="","",'CF表（ご主人様死亡時）'!BN13/10000)</f>
        <v/>
      </c>
      <c r="BO13" s="221">
        <f>IF('CF表（ご主人様死亡時）'!BO$3="","",'CF表（ご主人様死亡時）'!BO13/10000)</f>
        <v/>
      </c>
      <c r="BP13" s="221">
        <f>IF('CF表（ご主人様死亡時）'!BP$3="","",'CF表（ご主人様死亡時）'!BP13/10000)</f>
        <v/>
      </c>
      <c r="BQ13" s="221">
        <f>IF('CF表（ご主人様死亡時）'!BQ$3="","",'CF表（ご主人様死亡時）'!BQ13/10000)</f>
        <v/>
      </c>
      <c r="BR13" s="221">
        <f>IF('CF表（ご主人様死亡時）'!BR$3="","",'CF表（ご主人様死亡時）'!BR13/10000)</f>
        <v/>
      </c>
      <c r="BS13" s="221">
        <f>IF('CF表（ご主人様死亡時）'!BS$3="","",'CF表（ご主人様死亡時）'!BS13/10000)</f>
        <v/>
      </c>
      <c r="BT13" s="221">
        <f>IF('CF表（ご主人様死亡時）'!BT$3="","",'CF表（ご主人様死亡時）'!BT13/10000)</f>
        <v/>
      </c>
      <c r="BU13" s="221">
        <f>IF('CF表（ご主人様死亡時）'!BU$3="","",'CF表（ご主人様死亡時）'!BU13/10000)</f>
        <v/>
      </c>
      <c r="BV13" s="221">
        <f>IF('CF表（ご主人様死亡時）'!BV$3="","",'CF表（ご主人様死亡時）'!BV13/10000)</f>
        <v/>
      </c>
      <c r="BW13" s="221">
        <f>IF('CF表（ご主人様死亡時）'!BW$3="","",'CF表（ご主人様死亡時）'!BW13/10000)</f>
        <v/>
      </c>
      <c r="BX13" s="221">
        <f>IF('CF表（ご主人様死亡時）'!BX$3="","",'CF表（ご主人様死亡時）'!BX13/10000)</f>
        <v/>
      </c>
      <c r="BY13" s="221">
        <f>IF('CF表（ご主人様死亡時）'!BY$3="","",'CF表（ご主人様死亡時）'!BY13/10000)</f>
        <v/>
      </c>
      <c r="BZ13" s="221">
        <f>IF('CF表（ご主人様死亡時）'!BZ$3="","",'CF表（ご主人様死亡時）'!BZ13/10000)</f>
        <v/>
      </c>
      <c r="CA13" s="221">
        <f>IF('CF表（ご主人様死亡時）'!CA$3="","",'CF表（ご主人様死亡時）'!CA13/10000)</f>
        <v/>
      </c>
      <c r="CB13" s="221">
        <f>IF('CF表（ご主人様死亡時）'!CB$3="","",'CF表（ご主人様死亡時）'!CB13/10000)</f>
        <v/>
      </c>
      <c r="CC13" s="221">
        <f>IF('CF表（ご主人様死亡時）'!CC$3="","",'CF表（ご主人様死亡時）'!CC13/10000)</f>
        <v/>
      </c>
      <c r="CD13" s="221">
        <f>IF('CF表（ご主人様死亡時）'!CD$3="","",'CF表（ご主人様死亡時）'!CD13/10000)</f>
        <v/>
      </c>
      <c r="CE13" s="221">
        <f>IF('CF表（ご主人様死亡時）'!CE$3="","",'CF表（ご主人様死亡時）'!CE13/10000)</f>
        <v/>
      </c>
      <c r="CF13" s="221">
        <f>IF('CF表（ご主人様死亡時）'!CF$3="","",'CF表（ご主人様死亡時）'!CF13/10000)</f>
        <v/>
      </c>
      <c r="CG13" s="221">
        <f>IF('CF表（ご主人様死亡時）'!CG$3="","",'CF表（ご主人様死亡時）'!CG13/10000)</f>
        <v/>
      </c>
      <c r="CH13" s="221">
        <f>IF('CF表（ご主人様死亡時）'!CH$3="","",'CF表（ご主人様死亡時）'!CH13/10000)</f>
        <v/>
      </c>
      <c r="CI13" s="221">
        <f>IF('CF表（ご主人様死亡時）'!CI$3="","",'CF表（ご主人様死亡時）'!CI13/10000)</f>
        <v/>
      </c>
      <c r="CJ13" s="221">
        <f>IF('CF表（ご主人様死亡時）'!CJ$3="","",'CF表（ご主人様死亡時）'!CJ13/10000)</f>
        <v/>
      </c>
      <c r="CK13" s="221">
        <f>IF('CF表（ご主人様死亡時）'!CK$3="","",'CF表（ご主人様死亡時）'!CK13/10000)</f>
        <v/>
      </c>
      <c r="CL13" s="221">
        <f>IF('CF表（ご主人様死亡時）'!CL$3="","",'CF表（ご主人様死亡時）'!CL13/10000)</f>
        <v/>
      </c>
      <c r="CM13" s="221">
        <f>IF('CF表（ご主人様死亡時）'!CM$3="","",'CF表（ご主人様死亡時）'!CM13/10000)</f>
        <v/>
      </c>
      <c r="CN13" s="221">
        <f>IF('CF表（ご主人様死亡時）'!CN$3="","",'CF表（ご主人様死亡時）'!CN13/10000)</f>
        <v/>
      </c>
      <c r="CO13" s="221">
        <f>IF('CF表（ご主人様死亡時）'!CO$3="","",'CF表（ご主人様死亡時）'!CO13/10000)</f>
        <v/>
      </c>
      <c r="CP13" s="221">
        <f>IF('CF表（ご主人様死亡時）'!CP$3="","",'CF表（ご主人様死亡時）'!CP13/10000)</f>
        <v/>
      </c>
      <c r="CQ13" s="221">
        <f>IF('CF表（ご主人様死亡時）'!CQ$3="","",'CF表（ご主人様死亡時）'!CQ13/10000)</f>
        <v/>
      </c>
      <c r="CR13" s="221">
        <f>IF('CF表（ご主人様死亡時）'!CR$3="","",'CF表（ご主人様死亡時）'!CR13/10000)</f>
        <v/>
      </c>
      <c r="CS13" s="221">
        <f>IF('CF表（ご主人様死亡時）'!CS$3="","",'CF表（ご主人様死亡時）'!CS13/10000)</f>
        <v/>
      </c>
      <c r="CT13" s="221">
        <f>IF('CF表（ご主人様死亡時）'!CT$3="","",'CF表（ご主人様死亡時）'!CT13/10000)</f>
        <v/>
      </c>
      <c r="CU13" s="221">
        <f>IF('CF表（ご主人様死亡時）'!CU$3="","",'CF表（ご主人様死亡時）'!CU13/10000)</f>
        <v/>
      </c>
      <c r="CV13" s="221">
        <f>IF('CF表（ご主人様死亡時）'!CV$3="","",'CF表（ご主人様死亡時）'!CV13/10000)</f>
        <v/>
      </c>
      <c r="CW13" s="221">
        <f>IF('CF表（ご主人様死亡時）'!CW$3="","",'CF表（ご主人様死亡時）'!CW13/10000)</f>
        <v/>
      </c>
    </row>
    <row r="14" ht="15" customHeight="1" s="180">
      <c r="A14" s="220" t="inlineStr">
        <is>
          <t>ご主人様退職金</t>
        </is>
      </c>
      <c r="B14" s="221">
        <f>IF('CF表（ご主人様死亡時）'!B$3="","",'CF表（ご主人様死亡時）'!B14/10000)</f>
        <v/>
      </c>
      <c r="C14" s="221">
        <f>IF('CF表（ご主人様死亡時）'!C$3="","",'CF表（ご主人様死亡時）'!C14/10000)</f>
        <v/>
      </c>
      <c r="D14" s="221">
        <f>IF('CF表（ご主人様死亡時）'!D$3="","",'CF表（ご主人様死亡時）'!D14/10000)</f>
        <v/>
      </c>
      <c r="E14" s="221">
        <f>IF('CF表（ご主人様死亡時）'!E$3="","",'CF表（ご主人様死亡時）'!E14/10000)</f>
        <v/>
      </c>
      <c r="F14" s="221">
        <f>IF('CF表（ご主人様死亡時）'!F$3="","",'CF表（ご主人様死亡時）'!F14/10000)</f>
        <v/>
      </c>
      <c r="G14" s="221">
        <f>IF('CF表（ご主人様死亡時）'!G$3="","",'CF表（ご主人様死亡時）'!G14/10000)</f>
        <v/>
      </c>
      <c r="H14" s="221">
        <f>IF('CF表（ご主人様死亡時）'!H$3="","",'CF表（ご主人様死亡時）'!H14/10000)</f>
        <v/>
      </c>
      <c r="I14" s="221">
        <f>IF('CF表（ご主人様死亡時）'!I$3="","",'CF表（ご主人様死亡時）'!I14/10000)</f>
        <v/>
      </c>
      <c r="J14" s="221">
        <f>IF('CF表（ご主人様死亡時）'!J$3="","",'CF表（ご主人様死亡時）'!J14/10000)</f>
        <v/>
      </c>
      <c r="K14" s="221">
        <f>IF('CF表（ご主人様死亡時）'!K$3="","",'CF表（ご主人様死亡時）'!K14/10000)</f>
        <v/>
      </c>
      <c r="L14" s="221">
        <f>IF('CF表（ご主人様死亡時）'!L$3="","",'CF表（ご主人様死亡時）'!L14/10000)</f>
        <v/>
      </c>
      <c r="M14" s="221">
        <f>IF('CF表（ご主人様死亡時）'!M$3="","",'CF表（ご主人様死亡時）'!M14/10000)</f>
        <v/>
      </c>
      <c r="N14" s="221">
        <f>IF('CF表（ご主人様死亡時）'!N$3="","",'CF表（ご主人様死亡時）'!N14/10000)</f>
        <v/>
      </c>
      <c r="O14" s="221">
        <f>IF('CF表（ご主人様死亡時）'!O$3="","",'CF表（ご主人様死亡時）'!O14/10000)</f>
        <v/>
      </c>
      <c r="P14" s="221">
        <f>IF('CF表（ご主人様死亡時）'!P$3="","",'CF表（ご主人様死亡時）'!P14/10000)</f>
        <v/>
      </c>
      <c r="Q14" s="221">
        <f>IF('CF表（ご主人様死亡時）'!Q$3="","",'CF表（ご主人様死亡時）'!Q14/10000)</f>
        <v/>
      </c>
      <c r="R14" s="221">
        <f>IF('CF表（ご主人様死亡時）'!R$3="","",'CF表（ご主人様死亡時）'!R14/10000)</f>
        <v/>
      </c>
      <c r="S14" s="221">
        <f>IF('CF表（ご主人様死亡時）'!S$3="","",'CF表（ご主人様死亡時）'!S14/10000)</f>
        <v/>
      </c>
      <c r="T14" s="221">
        <f>IF('CF表（ご主人様死亡時）'!T$3="","",'CF表（ご主人様死亡時）'!T14/10000)</f>
        <v/>
      </c>
      <c r="U14" s="221">
        <f>IF('CF表（ご主人様死亡時）'!U$3="","",'CF表（ご主人様死亡時）'!U14/10000)</f>
        <v/>
      </c>
      <c r="V14" s="221">
        <f>IF('CF表（ご主人様死亡時）'!V$3="","",'CF表（ご主人様死亡時）'!V14/10000)</f>
        <v/>
      </c>
      <c r="W14" s="221">
        <f>IF('CF表（ご主人様死亡時）'!W$3="","",'CF表（ご主人様死亡時）'!W14/10000)</f>
        <v/>
      </c>
      <c r="X14" s="221">
        <f>IF('CF表（ご主人様死亡時）'!X$3="","",'CF表（ご主人様死亡時）'!X14/10000)</f>
        <v/>
      </c>
      <c r="Y14" s="221">
        <f>IF('CF表（ご主人様死亡時）'!Y$3="","",'CF表（ご主人様死亡時）'!Y14/10000)</f>
        <v/>
      </c>
      <c r="Z14" s="221">
        <f>IF('CF表（ご主人様死亡時）'!Z$3="","",'CF表（ご主人様死亡時）'!Z14/10000)</f>
        <v/>
      </c>
      <c r="AA14" s="221">
        <f>IF('CF表（ご主人様死亡時）'!AA$3="","",'CF表（ご主人様死亡時）'!AA14/10000)</f>
        <v/>
      </c>
      <c r="AB14" s="221">
        <f>IF('CF表（ご主人様死亡時）'!AB$3="","",'CF表（ご主人様死亡時）'!AB14/10000)</f>
        <v/>
      </c>
      <c r="AC14" s="221">
        <f>IF('CF表（ご主人様死亡時）'!AC$3="","",'CF表（ご主人様死亡時）'!AC14/10000)</f>
        <v/>
      </c>
      <c r="AD14" s="221">
        <f>IF('CF表（ご主人様死亡時）'!AD$3="","",'CF表（ご主人様死亡時）'!AD14/10000)</f>
        <v/>
      </c>
      <c r="AE14" s="221">
        <f>IF('CF表（ご主人様死亡時）'!AE$3="","",'CF表（ご主人様死亡時）'!AE14/10000)</f>
        <v/>
      </c>
      <c r="AF14" s="221">
        <f>IF('CF表（ご主人様死亡時）'!AF$3="","",'CF表（ご主人様死亡時）'!AF14/10000)</f>
        <v/>
      </c>
      <c r="AG14" s="221">
        <f>IF('CF表（ご主人様死亡時）'!AG$3="","",'CF表（ご主人様死亡時）'!AG14/10000)</f>
        <v/>
      </c>
      <c r="AH14" s="221">
        <f>IF('CF表（ご主人様死亡時）'!AH$3="","",'CF表（ご主人様死亡時）'!AH14/10000)</f>
        <v/>
      </c>
      <c r="AI14" s="221">
        <f>IF('CF表（ご主人様死亡時）'!AI$3="","",'CF表（ご主人様死亡時）'!AI14/10000)</f>
        <v/>
      </c>
      <c r="AJ14" s="221">
        <f>IF('CF表（ご主人様死亡時）'!AJ$3="","",'CF表（ご主人様死亡時）'!AJ14/10000)</f>
        <v/>
      </c>
      <c r="AK14" s="221">
        <f>IF('CF表（ご主人様死亡時）'!AK$3="","",'CF表（ご主人様死亡時）'!AK14/10000)</f>
        <v/>
      </c>
      <c r="AL14" s="221">
        <f>IF('CF表（ご主人様死亡時）'!AL$3="","",'CF表（ご主人様死亡時）'!AL14/10000)</f>
        <v/>
      </c>
      <c r="AM14" s="221">
        <f>IF('CF表（ご主人様死亡時）'!AM$3="","",'CF表（ご主人様死亡時）'!AM14/10000)</f>
        <v/>
      </c>
      <c r="AN14" s="221">
        <f>IF('CF表（ご主人様死亡時）'!AN$3="","",'CF表（ご主人様死亡時）'!AN14/10000)</f>
        <v/>
      </c>
      <c r="AO14" s="221">
        <f>IF('CF表（ご主人様死亡時）'!AO$3="","",'CF表（ご主人様死亡時）'!AO14/10000)</f>
        <v/>
      </c>
      <c r="AP14" s="221">
        <f>IF('CF表（ご主人様死亡時）'!AP$3="","",'CF表（ご主人様死亡時）'!AP14/10000)</f>
        <v/>
      </c>
      <c r="AQ14" s="221">
        <f>IF('CF表（ご主人様死亡時）'!AQ$3="","",'CF表（ご主人様死亡時）'!AQ14/10000)</f>
        <v/>
      </c>
      <c r="AR14" s="221">
        <f>IF('CF表（ご主人様死亡時）'!AR$3="","",'CF表（ご主人様死亡時）'!AR14/10000)</f>
        <v/>
      </c>
      <c r="AS14" s="221">
        <f>IF('CF表（ご主人様死亡時）'!AS$3="","",'CF表（ご主人様死亡時）'!AS14/10000)</f>
        <v/>
      </c>
      <c r="AT14" s="221">
        <f>IF('CF表（ご主人様死亡時）'!AT$3="","",'CF表（ご主人様死亡時）'!AT14/10000)</f>
        <v/>
      </c>
      <c r="AU14" s="221">
        <f>IF('CF表（ご主人様死亡時）'!AU$3="","",'CF表（ご主人様死亡時）'!AU14/10000)</f>
        <v/>
      </c>
      <c r="AV14" s="221">
        <f>IF('CF表（ご主人様死亡時）'!AV$3="","",'CF表（ご主人様死亡時）'!AV14/10000)</f>
        <v/>
      </c>
      <c r="AW14" s="221">
        <f>IF('CF表（ご主人様死亡時）'!AW$3="","",'CF表（ご主人様死亡時）'!AW14/10000)</f>
        <v/>
      </c>
      <c r="AX14" s="221">
        <f>IF('CF表（ご主人様死亡時）'!AX$3="","",'CF表（ご主人様死亡時）'!AX14/10000)</f>
        <v/>
      </c>
      <c r="AY14" s="221">
        <f>IF('CF表（ご主人様死亡時）'!AY$3="","",'CF表（ご主人様死亡時）'!AY14/10000)</f>
        <v/>
      </c>
      <c r="AZ14" s="221">
        <f>IF('CF表（ご主人様死亡時）'!AZ$3="","",'CF表（ご主人様死亡時）'!AZ14/10000)</f>
        <v/>
      </c>
      <c r="BA14" s="221">
        <f>IF('CF表（ご主人様死亡時）'!BA$3="","",'CF表（ご主人様死亡時）'!BA14/10000)</f>
        <v/>
      </c>
      <c r="BB14" s="221">
        <f>IF('CF表（ご主人様死亡時）'!BB$3="","",'CF表（ご主人様死亡時）'!BB14/10000)</f>
        <v/>
      </c>
      <c r="BC14" s="221">
        <f>IF('CF表（ご主人様死亡時）'!BC$3="","",'CF表（ご主人様死亡時）'!BC14/10000)</f>
        <v/>
      </c>
      <c r="BD14" s="221">
        <f>IF('CF表（ご主人様死亡時）'!BD$3="","",'CF表（ご主人様死亡時）'!BD14/10000)</f>
        <v/>
      </c>
      <c r="BE14" s="221">
        <f>IF('CF表（ご主人様死亡時）'!BE$3="","",'CF表（ご主人様死亡時）'!BE14/10000)</f>
        <v/>
      </c>
      <c r="BF14" s="221">
        <f>IF('CF表（ご主人様死亡時）'!BF$3="","",'CF表（ご主人様死亡時）'!BF14/10000)</f>
        <v/>
      </c>
      <c r="BG14" s="221">
        <f>IF('CF表（ご主人様死亡時）'!BG$3="","",'CF表（ご主人様死亡時）'!BG14/10000)</f>
        <v/>
      </c>
      <c r="BH14" s="221">
        <f>IF('CF表（ご主人様死亡時）'!BH$3="","",'CF表（ご主人様死亡時）'!BH14/10000)</f>
        <v/>
      </c>
      <c r="BI14" s="221">
        <f>IF('CF表（ご主人様死亡時）'!BI$3="","",'CF表（ご主人様死亡時）'!BI14/10000)</f>
        <v/>
      </c>
      <c r="BJ14" s="221">
        <f>IF('CF表（ご主人様死亡時）'!BJ$3="","",'CF表（ご主人様死亡時）'!BJ14/10000)</f>
        <v/>
      </c>
      <c r="BK14" s="221">
        <f>IF('CF表（ご主人様死亡時）'!BK$3="","",'CF表（ご主人様死亡時）'!BK14/10000)</f>
        <v/>
      </c>
      <c r="BL14" s="221">
        <f>IF('CF表（ご主人様死亡時）'!BL$3="","",'CF表（ご主人様死亡時）'!BL14/10000)</f>
        <v/>
      </c>
      <c r="BM14" s="221">
        <f>IF('CF表（ご主人様死亡時）'!BM$3="","",'CF表（ご主人様死亡時）'!BM14/10000)</f>
        <v/>
      </c>
      <c r="BN14" s="221">
        <f>IF('CF表（ご主人様死亡時）'!BN$3="","",'CF表（ご主人様死亡時）'!BN14/10000)</f>
        <v/>
      </c>
      <c r="BO14" s="221">
        <f>IF('CF表（ご主人様死亡時）'!BO$3="","",'CF表（ご主人様死亡時）'!BO14/10000)</f>
        <v/>
      </c>
      <c r="BP14" s="221">
        <f>IF('CF表（ご主人様死亡時）'!BP$3="","",'CF表（ご主人様死亡時）'!BP14/10000)</f>
        <v/>
      </c>
      <c r="BQ14" s="221">
        <f>IF('CF表（ご主人様死亡時）'!BQ$3="","",'CF表（ご主人様死亡時）'!BQ14/10000)</f>
        <v/>
      </c>
      <c r="BR14" s="221">
        <f>IF('CF表（ご主人様死亡時）'!BR$3="","",'CF表（ご主人様死亡時）'!BR14/10000)</f>
        <v/>
      </c>
      <c r="BS14" s="221">
        <f>IF('CF表（ご主人様死亡時）'!BS$3="","",'CF表（ご主人様死亡時）'!BS14/10000)</f>
        <v/>
      </c>
      <c r="BT14" s="221">
        <f>IF('CF表（ご主人様死亡時）'!BT$3="","",'CF表（ご主人様死亡時）'!BT14/10000)</f>
        <v/>
      </c>
      <c r="BU14" s="221">
        <f>IF('CF表（ご主人様死亡時）'!BU$3="","",'CF表（ご主人様死亡時）'!BU14/10000)</f>
        <v/>
      </c>
      <c r="BV14" s="221">
        <f>IF('CF表（ご主人様死亡時）'!BV$3="","",'CF表（ご主人様死亡時）'!BV14/10000)</f>
        <v/>
      </c>
      <c r="BW14" s="221">
        <f>IF('CF表（ご主人様死亡時）'!BW$3="","",'CF表（ご主人様死亡時）'!BW14/10000)</f>
        <v/>
      </c>
      <c r="BX14" s="221">
        <f>IF('CF表（ご主人様死亡時）'!BX$3="","",'CF表（ご主人様死亡時）'!BX14/10000)</f>
        <v/>
      </c>
      <c r="BY14" s="221">
        <f>IF('CF表（ご主人様死亡時）'!BY$3="","",'CF表（ご主人様死亡時）'!BY14/10000)</f>
        <v/>
      </c>
      <c r="BZ14" s="221">
        <f>IF('CF表（ご主人様死亡時）'!BZ$3="","",'CF表（ご主人様死亡時）'!BZ14/10000)</f>
        <v/>
      </c>
      <c r="CA14" s="221">
        <f>IF('CF表（ご主人様死亡時）'!CA$3="","",'CF表（ご主人様死亡時）'!CA14/10000)</f>
        <v/>
      </c>
      <c r="CB14" s="221">
        <f>IF('CF表（ご主人様死亡時）'!CB$3="","",'CF表（ご主人様死亡時）'!CB14/10000)</f>
        <v/>
      </c>
      <c r="CC14" s="221">
        <f>IF('CF表（ご主人様死亡時）'!CC$3="","",'CF表（ご主人様死亡時）'!CC14/10000)</f>
        <v/>
      </c>
      <c r="CD14" s="221">
        <f>IF('CF表（ご主人様死亡時）'!CD$3="","",'CF表（ご主人様死亡時）'!CD14/10000)</f>
        <v/>
      </c>
      <c r="CE14" s="221">
        <f>IF('CF表（ご主人様死亡時）'!CE$3="","",'CF表（ご主人様死亡時）'!CE14/10000)</f>
        <v/>
      </c>
      <c r="CF14" s="221">
        <f>IF('CF表（ご主人様死亡時）'!CF$3="","",'CF表（ご主人様死亡時）'!CF14/10000)</f>
        <v/>
      </c>
      <c r="CG14" s="221">
        <f>IF('CF表（ご主人様死亡時）'!CG$3="","",'CF表（ご主人様死亡時）'!CG14/10000)</f>
        <v/>
      </c>
      <c r="CH14" s="221">
        <f>IF('CF表（ご主人様死亡時）'!CH$3="","",'CF表（ご主人様死亡時）'!CH14/10000)</f>
        <v/>
      </c>
      <c r="CI14" s="221">
        <f>IF('CF表（ご主人様死亡時）'!CI$3="","",'CF表（ご主人様死亡時）'!CI14/10000)</f>
        <v/>
      </c>
      <c r="CJ14" s="221">
        <f>IF('CF表（ご主人様死亡時）'!CJ$3="","",'CF表（ご主人様死亡時）'!CJ14/10000)</f>
        <v/>
      </c>
      <c r="CK14" s="221">
        <f>IF('CF表（ご主人様死亡時）'!CK$3="","",'CF表（ご主人様死亡時）'!CK14/10000)</f>
        <v/>
      </c>
      <c r="CL14" s="221">
        <f>IF('CF表（ご主人様死亡時）'!CL$3="","",'CF表（ご主人様死亡時）'!CL14/10000)</f>
        <v/>
      </c>
      <c r="CM14" s="221">
        <f>IF('CF表（ご主人様死亡時）'!CM$3="","",'CF表（ご主人様死亡時）'!CM14/10000)</f>
        <v/>
      </c>
      <c r="CN14" s="221">
        <f>IF('CF表（ご主人様死亡時）'!CN$3="","",'CF表（ご主人様死亡時）'!CN14/10000)</f>
        <v/>
      </c>
      <c r="CO14" s="221">
        <f>IF('CF表（ご主人様死亡時）'!CO$3="","",'CF表（ご主人様死亡時）'!CO14/10000)</f>
        <v/>
      </c>
      <c r="CP14" s="221">
        <f>IF('CF表（ご主人様死亡時）'!CP$3="","",'CF表（ご主人様死亡時）'!CP14/10000)</f>
        <v/>
      </c>
      <c r="CQ14" s="221">
        <f>IF('CF表（ご主人様死亡時）'!CQ$3="","",'CF表（ご主人様死亡時）'!CQ14/10000)</f>
        <v/>
      </c>
      <c r="CR14" s="221">
        <f>IF('CF表（ご主人様死亡時）'!CR$3="","",'CF表（ご主人様死亡時）'!CR14/10000)</f>
        <v/>
      </c>
      <c r="CS14" s="221">
        <f>IF('CF表（ご主人様死亡時）'!CS$3="","",'CF表（ご主人様死亡時）'!CS14/10000)</f>
        <v/>
      </c>
      <c r="CT14" s="221">
        <f>IF('CF表（ご主人様死亡時）'!CT$3="","",'CF表（ご主人様死亡時）'!CT14/10000)</f>
        <v/>
      </c>
      <c r="CU14" s="221">
        <f>IF('CF表（ご主人様死亡時）'!CU$3="","",'CF表（ご主人様死亡時）'!CU14/10000)</f>
        <v/>
      </c>
      <c r="CV14" s="221">
        <f>IF('CF表（ご主人様死亡時）'!CV$3="","",'CF表（ご主人様死亡時）'!CV14/10000)</f>
        <v/>
      </c>
      <c r="CW14" s="221">
        <f>IF('CF表（ご主人様死亡時）'!CW$3="","",'CF表（ご主人様死亡時）'!CW14/10000)</f>
        <v/>
      </c>
    </row>
    <row r="15" ht="15" customHeight="1" s="180">
      <c r="A15" s="220" t="inlineStr">
        <is>
          <t>奥様退職金</t>
        </is>
      </c>
      <c r="B15" s="221">
        <f>IF('CF表（ご主人様死亡時）'!B$3="","",'CF表（ご主人様死亡時）'!B15/10000)</f>
        <v/>
      </c>
      <c r="C15" s="221">
        <f>IF('CF表（ご主人様死亡時）'!C$3="","",'CF表（ご主人様死亡時）'!C15/10000)</f>
        <v/>
      </c>
      <c r="D15" s="221">
        <f>IF('CF表（ご主人様死亡時）'!D$3="","",'CF表（ご主人様死亡時）'!D15/10000)</f>
        <v/>
      </c>
      <c r="E15" s="221">
        <f>IF('CF表（ご主人様死亡時）'!E$3="","",'CF表（ご主人様死亡時）'!E15/10000)</f>
        <v/>
      </c>
      <c r="F15" s="221">
        <f>IF('CF表（ご主人様死亡時）'!F$3="","",'CF表（ご主人様死亡時）'!F15/10000)</f>
        <v/>
      </c>
      <c r="G15" s="221">
        <f>IF('CF表（ご主人様死亡時）'!G$3="","",'CF表（ご主人様死亡時）'!G15/10000)</f>
        <v/>
      </c>
      <c r="H15" s="221">
        <f>IF('CF表（ご主人様死亡時）'!H$3="","",'CF表（ご主人様死亡時）'!H15/10000)</f>
        <v/>
      </c>
      <c r="I15" s="221">
        <f>IF('CF表（ご主人様死亡時）'!I$3="","",'CF表（ご主人様死亡時）'!I15/10000)</f>
        <v/>
      </c>
      <c r="J15" s="221">
        <f>IF('CF表（ご主人様死亡時）'!J$3="","",'CF表（ご主人様死亡時）'!J15/10000)</f>
        <v/>
      </c>
      <c r="K15" s="221">
        <f>IF('CF表（ご主人様死亡時）'!K$3="","",'CF表（ご主人様死亡時）'!K15/10000)</f>
        <v/>
      </c>
      <c r="L15" s="221">
        <f>IF('CF表（ご主人様死亡時）'!L$3="","",'CF表（ご主人様死亡時）'!L15/10000)</f>
        <v/>
      </c>
      <c r="M15" s="221">
        <f>IF('CF表（ご主人様死亡時）'!M$3="","",'CF表（ご主人様死亡時）'!M15/10000)</f>
        <v/>
      </c>
      <c r="N15" s="221">
        <f>IF('CF表（ご主人様死亡時）'!N$3="","",'CF表（ご主人様死亡時）'!N15/10000)</f>
        <v/>
      </c>
      <c r="O15" s="221">
        <f>IF('CF表（ご主人様死亡時）'!O$3="","",'CF表（ご主人様死亡時）'!O15/10000)</f>
        <v/>
      </c>
      <c r="P15" s="221">
        <f>IF('CF表（ご主人様死亡時）'!P$3="","",'CF表（ご主人様死亡時）'!P15/10000)</f>
        <v/>
      </c>
      <c r="Q15" s="221">
        <f>IF('CF表（ご主人様死亡時）'!Q$3="","",'CF表（ご主人様死亡時）'!Q15/10000)</f>
        <v/>
      </c>
      <c r="R15" s="221">
        <f>IF('CF表（ご主人様死亡時）'!R$3="","",'CF表（ご主人様死亡時）'!R15/10000)</f>
        <v/>
      </c>
      <c r="S15" s="221">
        <f>IF('CF表（ご主人様死亡時）'!S$3="","",'CF表（ご主人様死亡時）'!S15/10000)</f>
        <v/>
      </c>
      <c r="T15" s="221">
        <f>IF('CF表（ご主人様死亡時）'!T$3="","",'CF表（ご主人様死亡時）'!T15/10000)</f>
        <v/>
      </c>
      <c r="U15" s="221">
        <f>IF('CF表（ご主人様死亡時）'!U$3="","",'CF表（ご主人様死亡時）'!U15/10000)</f>
        <v/>
      </c>
      <c r="V15" s="221">
        <f>IF('CF表（ご主人様死亡時）'!V$3="","",'CF表（ご主人様死亡時）'!V15/10000)</f>
        <v/>
      </c>
      <c r="W15" s="221">
        <f>IF('CF表（ご主人様死亡時）'!W$3="","",'CF表（ご主人様死亡時）'!W15/10000)</f>
        <v/>
      </c>
      <c r="X15" s="221">
        <f>IF('CF表（ご主人様死亡時）'!X$3="","",'CF表（ご主人様死亡時）'!X15/10000)</f>
        <v/>
      </c>
      <c r="Y15" s="221">
        <f>IF('CF表（ご主人様死亡時）'!Y$3="","",'CF表（ご主人様死亡時）'!Y15/10000)</f>
        <v/>
      </c>
      <c r="Z15" s="221">
        <f>IF('CF表（ご主人様死亡時）'!Z$3="","",'CF表（ご主人様死亡時）'!Z15/10000)</f>
        <v/>
      </c>
      <c r="AA15" s="221">
        <f>IF('CF表（ご主人様死亡時）'!AA$3="","",'CF表（ご主人様死亡時）'!AA15/10000)</f>
        <v/>
      </c>
      <c r="AB15" s="221">
        <f>IF('CF表（ご主人様死亡時）'!AB$3="","",'CF表（ご主人様死亡時）'!AB15/10000)</f>
        <v/>
      </c>
      <c r="AC15" s="221">
        <f>IF('CF表（ご主人様死亡時）'!AC$3="","",'CF表（ご主人様死亡時）'!AC15/10000)</f>
        <v/>
      </c>
      <c r="AD15" s="221">
        <f>IF('CF表（ご主人様死亡時）'!AD$3="","",'CF表（ご主人様死亡時）'!AD15/10000)</f>
        <v/>
      </c>
      <c r="AE15" s="221">
        <f>IF('CF表（ご主人様死亡時）'!AE$3="","",'CF表（ご主人様死亡時）'!AE15/10000)</f>
        <v/>
      </c>
      <c r="AF15" s="221">
        <f>IF('CF表（ご主人様死亡時）'!AF$3="","",'CF表（ご主人様死亡時）'!AF15/10000)</f>
        <v/>
      </c>
      <c r="AG15" s="221">
        <f>IF('CF表（ご主人様死亡時）'!AG$3="","",'CF表（ご主人様死亡時）'!AG15/10000)</f>
        <v/>
      </c>
      <c r="AH15" s="221">
        <f>IF('CF表（ご主人様死亡時）'!AH$3="","",'CF表（ご主人様死亡時）'!AH15/10000)</f>
        <v/>
      </c>
      <c r="AI15" s="221">
        <f>IF('CF表（ご主人様死亡時）'!AI$3="","",'CF表（ご主人様死亡時）'!AI15/10000)</f>
        <v/>
      </c>
      <c r="AJ15" s="221">
        <f>IF('CF表（ご主人様死亡時）'!AJ$3="","",'CF表（ご主人様死亡時）'!AJ15/10000)</f>
        <v/>
      </c>
      <c r="AK15" s="221">
        <f>IF('CF表（ご主人様死亡時）'!AK$3="","",'CF表（ご主人様死亡時）'!AK15/10000)</f>
        <v/>
      </c>
      <c r="AL15" s="221">
        <f>IF('CF表（ご主人様死亡時）'!AL$3="","",'CF表（ご主人様死亡時）'!AL15/10000)</f>
        <v/>
      </c>
      <c r="AM15" s="221">
        <f>IF('CF表（ご主人様死亡時）'!AM$3="","",'CF表（ご主人様死亡時）'!AM15/10000)</f>
        <v/>
      </c>
      <c r="AN15" s="221">
        <f>IF('CF表（ご主人様死亡時）'!AN$3="","",'CF表（ご主人様死亡時）'!AN15/10000)</f>
        <v/>
      </c>
      <c r="AO15" s="221">
        <f>IF('CF表（ご主人様死亡時）'!AO$3="","",'CF表（ご主人様死亡時）'!AO15/10000)</f>
        <v/>
      </c>
      <c r="AP15" s="221">
        <f>IF('CF表（ご主人様死亡時）'!AP$3="","",'CF表（ご主人様死亡時）'!AP15/10000)</f>
        <v/>
      </c>
      <c r="AQ15" s="221">
        <f>IF('CF表（ご主人様死亡時）'!AQ$3="","",'CF表（ご主人様死亡時）'!AQ15/10000)</f>
        <v/>
      </c>
      <c r="AR15" s="221">
        <f>IF('CF表（ご主人様死亡時）'!AR$3="","",'CF表（ご主人様死亡時）'!AR15/10000)</f>
        <v/>
      </c>
      <c r="AS15" s="221">
        <f>IF('CF表（ご主人様死亡時）'!AS$3="","",'CF表（ご主人様死亡時）'!AS15/10000)</f>
        <v/>
      </c>
      <c r="AT15" s="221">
        <f>IF('CF表（ご主人様死亡時）'!AT$3="","",'CF表（ご主人様死亡時）'!AT15/10000)</f>
        <v/>
      </c>
      <c r="AU15" s="221">
        <f>IF('CF表（ご主人様死亡時）'!AU$3="","",'CF表（ご主人様死亡時）'!AU15/10000)</f>
        <v/>
      </c>
      <c r="AV15" s="221">
        <f>IF('CF表（ご主人様死亡時）'!AV$3="","",'CF表（ご主人様死亡時）'!AV15/10000)</f>
        <v/>
      </c>
      <c r="AW15" s="221">
        <f>IF('CF表（ご主人様死亡時）'!AW$3="","",'CF表（ご主人様死亡時）'!AW15/10000)</f>
        <v/>
      </c>
      <c r="AX15" s="221">
        <f>IF('CF表（ご主人様死亡時）'!AX$3="","",'CF表（ご主人様死亡時）'!AX15/10000)</f>
        <v/>
      </c>
      <c r="AY15" s="221">
        <f>IF('CF表（ご主人様死亡時）'!AY$3="","",'CF表（ご主人様死亡時）'!AY15/10000)</f>
        <v/>
      </c>
      <c r="AZ15" s="221">
        <f>IF('CF表（ご主人様死亡時）'!AZ$3="","",'CF表（ご主人様死亡時）'!AZ15/10000)</f>
        <v/>
      </c>
      <c r="BA15" s="221">
        <f>IF('CF表（ご主人様死亡時）'!BA$3="","",'CF表（ご主人様死亡時）'!BA15/10000)</f>
        <v/>
      </c>
      <c r="BB15" s="221">
        <f>IF('CF表（ご主人様死亡時）'!BB$3="","",'CF表（ご主人様死亡時）'!BB15/10000)</f>
        <v/>
      </c>
      <c r="BC15" s="221">
        <f>IF('CF表（ご主人様死亡時）'!BC$3="","",'CF表（ご主人様死亡時）'!BC15/10000)</f>
        <v/>
      </c>
      <c r="BD15" s="221">
        <f>IF('CF表（ご主人様死亡時）'!BD$3="","",'CF表（ご主人様死亡時）'!BD15/10000)</f>
        <v/>
      </c>
      <c r="BE15" s="221">
        <f>IF('CF表（ご主人様死亡時）'!BE$3="","",'CF表（ご主人様死亡時）'!BE15/10000)</f>
        <v/>
      </c>
      <c r="BF15" s="221">
        <f>IF('CF表（ご主人様死亡時）'!BF$3="","",'CF表（ご主人様死亡時）'!BF15/10000)</f>
        <v/>
      </c>
      <c r="BG15" s="221">
        <f>IF('CF表（ご主人様死亡時）'!BG$3="","",'CF表（ご主人様死亡時）'!BG15/10000)</f>
        <v/>
      </c>
      <c r="BH15" s="221">
        <f>IF('CF表（ご主人様死亡時）'!BH$3="","",'CF表（ご主人様死亡時）'!BH15/10000)</f>
        <v/>
      </c>
      <c r="BI15" s="221">
        <f>IF('CF表（ご主人様死亡時）'!BI$3="","",'CF表（ご主人様死亡時）'!BI15/10000)</f>
        <v/>
      </c>
      <c r="BJ15" s="221">
        <f>IF('CF表（ご主人様死亡時）'!BJ$3="","",'CF表（ご主人様死亡時）'!BJ15/10000)</f>
        <v/>
      </c>
      <c r="BK15" s="221">
        <f>IF('CF表（ご主人様死亡時）'!BK$3="","",'CF表（ご主人様死亡時）'!BK15/10000)</f>
        <v/>
      </c>
      <c r="BL15" s="221">
        <f>IF('CF表（ご主人様死亡時）'!BL$3="","",'CF表（ご主人様死亡時）'!BL15/10000)</f>
        <v/>
      </c>
      <c r="BM15" s="221">
        <f>IF('CF表（ご主人様死亡時）'!BM$3="","",'CF表（ご主人様死亡時）'!BM15/10000)</f>
        <v/>
      </c>
      <c r="BN15" s="221">
        <f>IF('CF表（ご主人様死亡時）'!BN$3="","",'CF表（ご主人様死亡時）'!BN15/10000)</f>
        <v/>
      </c>
      <c r="BO15" s="221">
        <f>IF('CF表（ご主人様死亡時）'!BO$3="","",'CF表（ご主人様死亡時）'!BO15/10000)</f>
        <v/>
      </c>
      <c r="BP15" s="221">
        <f>IF('CF表（ご主人様死亡時）'!BP$3="","",'CF表（ご主人様死亡時）'!BP15/10000)</f>
        <v/>
      </c>
      <c r="BQ15" s="221">
        <f>IF('CF表（ご主人様死亡時）'!BQ$3="","",'CF表（ご主人様死亡時）'!BQ15/10000)</f>
        <v/>
      </c>
      <c r="BR15" s="221">
        <f>IF('CF表（ご主人様死亡時）'!BR$3="","",'CF表（ご主人様死亡時）'!BR15/10000)</f>
        <v/>
      </c>
      <c r="BS15" s="221">
        <f>IF('CF表（ご主人様死亡時）'!BS$3="","",'CF表（ご主人様死亡時）'!BS15/10000)</f>
        <v/>
      </c>
      <c r="BT15" s="221">
        <f>IF('CF表（ご主人様死亡時）'!BT$3="","",'CF表（ご主人様死亡時）'!BT15/10000)</f>
        <v/>
      </c>
      <c r="BU15" s="221">
        <f>IF('CF表（ご主人様死亡時）'!BU$3="","",'CF表（ご主人様死亡時）'!BU15/10000)</f>
        <v/>
      </c>
      <c r="BV15" s="221">
        <f>IF('CF表（ご主人様死亡時）'!BV$3="","",'CF表（ご主人様死亡時）'!BV15/10000)</f>
        <v/>
      </c>
      <c r="BW15" s="221">
        <f>IF('CF表（ご主人様死亡時）'!BW$3="","",'CF表（ご主人様死亡時）'!BW15/10000)</f>
        <v/>
      </c>
      <c r="BX15" s="221">
        <f>IF('CF表（ご主人様死亡時）'!BX$3="","",'CF表（ご主人様死亡時）'!BX15/10000)</f>
        <v/>
      </c>
      <c r="BY15" s="221">
        <f>IF('CF表（ご主人様死亡時）'!BY$3="","",'CF表（ご主人様死亡時）'!BY15/10000)</f>
        <v/>
      </c>
      <c r="BZ15" s="221">
        <f>IF('CF表（ご主人様死亡時）'!BZ$3="","",'CF表（ご主人様死亡時）'!BZ15/10000)</f>
        <v/>
      </c>
      <c r="CA15" s="221">
        <f>IF('CF表（ご主人様死亡時）'!CA$3="","",'CF表（ご主人様死亡時）'!CA15/10000)</f>
        <v/>
      </c>
      <c r="CB15" s="221">
        <f>IF('CF表（ご主人様死亡時）'!CB$3="","",'CF表（ご主人様死亡時）'!CB15/10000)</f>
        <v/>
      </c>
      <c r="CC15" s="221">
        <f>IF('CF表（ご主人様死亡時）'!CC$3="","",'CF表（ご主人様死亡時）'!CC15/10000)</f>
        <v/>
      </c>
      <c r="CD15" s="221">
        <f>IF('CF表（ご主人様死亡時）'!CD$3="","",'CF表（ご主人様死亡時）'!CD15/10000)</f>
        <v/>
      </c>
      <c r="CE15" s="221">
        <f>IF('CF表（ご主人様死亡時）'!CE$3="","",'CF表（ご主人様死亡時）'!CE15/10000)</f>
        <v/>
      </c>
      <c r="CF15" s="221">
        <f>IF('CF表（ご主人様死亡時）'!CF$3="","",'CF表（ご主人様死亡時）'!CF15/10000)</f>
        <v/>
      </c>
      <c r="CG15" s="221">
        <f>IF('CF表（ご主人様死亡時）'!CG$3="","",'CF表（ご主人様死亡時）'!CG15/10000)</f>
        <v/>
      </c>
      <c r="CH15" s="221">
        <f>IF('CF表（ご主人様死亡時）'!CH$3="","",'CF表（ご主人様死亡時）'!CH15/10000)</f>
        <v/>
      </c>
      <c r="CI15" s="221">
        <f>IF('CF表（ご主人様死亡時）'!CI$3="","",'CF表（ご主人様死亡時）'!CI15/10000)</f>
        <v/>
      </c>
      <c r="CJ15" s="221">
        <f>IF('CF表（ご主人様死亡時）'!CJ$3="","",'CF表（ご主人様死亡時）'!CJ15/10000)</f>
        <v/>
      </c>
      <c r="CK15" s="221">
        <f>IF('CF表（ご主人様死亡時）'!CK$3="","",'CF表（ご主人様死亡時）'!CK15/10000)</f>
        <v/>
      </c>
      <c r="CL15" s="221">
        <f>IF('CF表（ご主人様死亡時）'!CL$3="","",'CF表（ご主人様死亡時）'!CL15/10000)</f>
        <v/>
      </c>
      <c r="CM15" s="221">
        <f>IF('CF表（ご主人様死亡時）'!CM$3="","",'CF表（ご主人様死亡時）'!CM15/10000)</f>
        <v/>
      </c>
      <c r="CN15" s="221">
        <f>IF('CF表（ご主人様死亡時）'!CN$3="","",'CF表（ご主人様死亡時）'!CN15/10000)</f>
        <v/>
      </c>
      <c r="CO15" s="221">
        <f>IF('CF表（ご主人様死亡時）'!CO$3="","",'CF表（ご主人様死亡時）'!CO15/10000)</f>
        <v/>
      </c>
      <c r="CP15" s="221">
        <f>IF('CF表（ご主人様死亡時）'!CP$3="","",'CF表（ご主人様死亡時）'!CP15/10000)</f>
        <v/>
      </c>
      <c r="CQ15" s="221">
        <f>IF('CF表（ご主人様死亡時）'!CQ$3="","",'CF表（ご主人様死亡時）'!CQ15/10000)</f>
        <v/>
      </c>
      <c r="CR15" s="221">
        <f>IF('CF表（ご主人様死亡時）'!CR$3="","",'CF表（ご主人様死亡時）'!CR15/10000)</f>
        <v/>
      </c>
      <c r="CS15" s="221">
        <f>IF('CF表（ご主人様死亡時）'!CS$3="","",'CF表（ご主人様死亡時）'!CS15/10000)</f>
        <v/>
      </c>
      <c r="CT15" s="221">
        <f>IF('CF表（ご主人様死亡時）'!CT$3="","",'CF表（ご主人様死亡時）'!CT15/10000)</f>
        <v/>
      </c>
      <c r="CU15" s="221">
        <f>IF('CF表（ご主人様死亡時）'!CU$3="","",'CF表（ご主人様死亡時）'!CU15/10000)</f>
        <v/>
      </c>
      <c r="CV15" s="221">
        <f>IF('CF表（ご主人様死亡時）'!CV$3="","",'CF表（ご主人様死亡時）'!CV15/10000)</f>
        <v/>
      </c>
      <c r="CW15" s="221">
        <f>IF('CF表（ご主人様死亡時）'!CW$3="","",'CF表（ご主人様死亡時）'!CW15/10000)</f>
        <v/>
      </c>
    </row>
    <row r="16" ht="15" customHeight="1" s="180">
      <c r="A16" s="220" t="inlineStr">
        <is>
          <t>ご主人様年金収入</t>
        </is>
      </c>
      <c r="B16" s="221">
        <f>IF('CF表（ご主人様死亡時）'!B$3="","",'CF表（ご主人様死亡時）'!B16/10000)</f>
        <v/>
      </c>
      <c r="C16" s="221">
        <f>IF('CF表（ご主人様死亡時）'!C$3="","",'CF表（ご主人様死亡時）'!C16/10000)</f>
        <v/>
      </c>
      <c r="D16" s="221">
        <f>IF('CF表（ご主人様死亡時）'!D$3="","",'CF表（ご主人様死亡時）'!D16/10000)</f>
        <v/>
      </c>
      <c r="E16" s="221">
        <f>IF('CF表（ご主人様死亡時）'!E$3="","",'CF表（ご主人様死亡時）'!E16/10000)</f>
        <v/>
      </c>
      <c r="F16" s="221">
        <f>IF('CF表（ご主人様死亡時）'!F$3="","",'CF表（ご主人様死亡時）'!F16/10000)</f>
        <v/>
      </c>
      <c r="G16" s="221">
        <f>IF('CF表（ご主人様死亡時）'!G$3="","",'CF表（ご主人様死亡時）'!G16/10000)</f>
        <v/>
      </c>
      <c r="H16" s="221">
        <f>IF('CF表（ご主人様死亡時）'!H$3="","",'CF表（ご主人様死亡時）'!H16/10000)</f>
        <v/>
      </c>
      <c r="I16" s="221">
        <f>IF('CF表（ご主人様死亡時）'!I$3="","",'CF表（ご主人様死亡時）'!I16/10000)</f>
        <v/>
      </c>
      <c r="J16" s="221">
        <f>IF('CF表（ご主人様死亡時）'!J$3="","",'CF表（ご主人様死亡時）'!J16/10000)</f>
        <v/>
      </c>
      <c r="K16" s="221">
        <f>IF('CF表（ご主人様死亡時）'!K$3="","",'CF表（ご主人様死亡時）'!K16/10000)</f>
        <v/>
      </c>
      <c r="L16" s="221">
        <f>IF('CF表（ご主人様死亡時）'!L$3="","",'CF表（ご主人様死亡時）'!L16/10000)</f>
        <v/>
      </c>
      <c r="M16" s="221">
        <f>IF('CF表（ご主人様死亡時）'!M$3="","",'CF表（ご主人様死亡時）'!M16/10000)</f>
        <v/>
      </c>
      <c r="N16" s="221">
        <f>IF('CF表（ご主人様死亡時）'!N$3="","",'CF表（ご主人様死亡時）'!N16/10000)</f>
        <v/>
      </c>
      <c r="O16" s="221">
        <f>IF('CF表（ご主人様死亡時）'!O$3="","",'CF表（ご主人様死亡時）'!O16/10000)</f>
        <v/>
      </c>
      <c r="P16" s="221">
        <f>IF('CF表（ご主人様死亡時）'!P$3="","",'CF表（ご主人様死亡時）'!P16/10000)</f>
        <v/>
      </c>
      <c r="Q16" s="221">
        <f>IF('CF表（ご主人様死亡時）'!Q$3="","",'CF表（ご主人様死亡時）'!Q16/10000)</f>
        <v/>
      </c>
      <c r="R16" s="221">
        <f>IF('CF表（ご主人様死亡時）'!R$3="","",'CF表（ご主人様死亡時）'!R16/10000)</f>
        <v/>
      </c>
      <c r="S16" s="221">
        <f>IF('CF表（ご主人様死亡時）'!S$3="","",'CF表（ご主人様死亡時）'!S16/10000)</f>
        <v/>
      </c>
      <c r="T16" s="221">
        <f>IF('CF表（ご主人様死亡時）'!T$3="","",'CF表（ご主人様死亡時）'!T16/10000)</f>
        <v/>
      </c>
      <c r="U16" s="221">
        <f>IF('CF表（ご主人様死亡時）'!U$3="","",'CF表（ご主人様死亡時）'!U16/10000)</f>
        <v/>
      </c>
      <c r="V16" s="221">
        <f>IF('CF表（ご主人様死亡時）'!V$3="","",'CF表（ご主人様死亡時）'!V16/10000)</f>
        <v/>
      </c>
      <c r="W16" s="221">
        <f>IF('CF表（ご主人様死亡時）'!W$3="","",'CF表（ご主人様死亡時）'!W16/10000)</f>
        <v/>
      </c>
      <c r="X16" s="221">
        <f>IF('CF表（ご主人様死亡時）'!X$3="","",'CF表（ご主人様死亡時）'!X16/10000)</f>
        <v/>
      </c>
      <c r="Y16" s="221">
        <f>IF('CF表（ご主人様死亡時）'!Y$3="","",'CF表（ご主人様死亡時）'!Y16/10000)</f>
        <v/>
      </c>
      <c r="Z16" s="221">
        <f>IF('CF表（ご主人様死亡時）'!Z$3="","",'CF表（ご主人様死亡時）'!Z16/10000)</f>
        <v/>
      </c>
      <c r="AA16" s="221">
        <f>IF('CF表（ご主人様死亡時）'!AA$3="","",'CF表（ご主人様死亡時）'!AA16/10000)</f>
        <v/>
      </c>
      <c r="AB16" s="221">
        <f>IF('CF表（ご主人様死亡時）'!AB$3="","",'CF表（ご主人様死亡時）'!AB16/10000)</f>
        <v/>
      </c>
      <c r="AC16" s="221">
        <f>IF('CF表（ご主人様死亡時）'!AC$3="","",'CF表（ご主人様死亡時）'!AC16/10000)</f>
        <v/>
      </c>
      <c r="AD16" s="221">
        <f>IF('CF表（ご主人様死亡時）'!AD$3="","",'CF表（ご主人様死亡時）'!AD16/10000)</f>
        <v/>
      </c>
      <c r="AE16" s="221">
        <f>IF('CF表（ご主人様死亡時）'!AE$3="","",'CF表（ご主人様死亡時）'!AE16/10000)</f>
        <v/>
      </c>
      <c r="AF16" s="221">
        <f>IF('CF表（ご主人様死亡時）'!AF$3="","",'CF表（ご主人様死亡時）'!AF16/10000)</f>
        <v/>
      </c>
      <c r="AG16" s="221">
        <f>IF('CF表（ご主人様死亡時）'!AG$3="","",'CF表（ご主人様死亡時）'!AG16/10000)</f>
        <v/>
      </c>
      <c r="AH16" s="221">
        <f>IF('CF表（ご主人様死亡時）'!AH$3="","",'CF表（ご主人様死亡時）'!AH16/10000)</f>
        <v/>
      </c>
      <c r="AI16" s="221">
        <f>IF('CF表（ご主人様死亡時）'!AI$3="","",'CF表（ご主人様死亡時）'!AI16/10000)</f>
        <v/>
      </c>
      <c r="AJ16" s="221">
        <f>IF('CF表（ご主人様死亡時）'!AJ$3="","",'CF表（ご主人様死亡時）'!AJ16/10000)</f>
        <v/>
      </c>
      <c r="AK16" s="221">
        <f>IF('CF表（ご主人様死亡時）'!AK$3="","",'CF表（ご主人様死亡時）'!AK16/10000)</f>
        <v/>
      </c>
      <c r="AL16" s="221">
        <f>IF('CF表（ご主人様死亡時）'!AL$3="","",'CF表（ご主人様死亡時）'!AL16/10000)</f>
        <v/>
      </c>
      <c r="AM16" s="221">
        <f>IF('CF表（ご主人様死亡時）'!AM$3="","",'CF表（ご主人様死亡時）'!AM16/10000)</f>
        <v/>
      </c>
      <c r="AN16" s="221">
        <f>IF('CF表（ご主人様死亡時）'!AN$3="","",'CF表（ご主人様死亡時）'!AN16/10000)</f>
        <v/>
      </c>
      <c r="AO16" s="221">
        <f>IF('CF表（ご主人様死亡時）'!AO$3="","",'CF表（ご主人様死亡時）'!AO16/10000)</f>
        <v/>
      </c>
      <c r="AP16" s="221">
        <f>IF('CF表（ご主人様死亡時）'!AP$3="","",'CF表（ご主人様死亡時）'!AP16/10000)</f>
        <v/>
      </c>
      <c r="AQ16" s="221">
        <f>IF('CF表（ご主人様死亡時）'!AQ$3="","",'CF表（ご主人様死亡時）'!AQ16/10000)</f>
        <v/>
      </c>
      <c r="AR16" s="221">
        <f>IF('CF表（ご主人様死亡時）'!AR$3="","",'CF表（ご主人様死亡時）'!AR16/10000)</f>
        <v/>
      </c>
      <c r="AS16" s="221">
        <f>IF('CF表（ご主人様死亡時）'!AS$3="","",'CF表（ご主人様死亡時）'!AS16/10000)</f>
        <v/>
      </c>
      <c r="AT16" s="221">
        <f>IF('CF表（ご主人様死亡時）'!AT$3="","",'CF表（ご主人様死亡時）'!AT16/10000)</f>
        <v/>
      </c>
      <c r="AU16" s="221">
        <f>IF('CF表（ご主人様死亡時）'!AU$3="","",'CF表（ご主人様死亡時）'!AU16/10000)</f>
        <v/>
      </c>
      <c r="AV16" s="221">
        <f>IF('CF表（ご主人様死亡時）'!AV$3="","",'CF表（ご主人様死亡時）'!AV16/10000)</f>
        <v/>
      </c>
      <c r="AW16" s="221">
        <f>IF('CF表（ご主人様死亡時）'!AW$3="","",'CF表（ご主人様死亡時）'!AW16/10000)</f>
        <v/>
      </c>
      <c r="AX16" s="221">
        <f>IF('CF表（ご主人様死亡時）'!AX$3="","",'CF表（ご主人様死亡時）'!AX16/10000)</f>
        <v/>
      </c>
      <c r="AY16" s="221">
        <f>IF('CF表（ご主人様死亡時）'!AY$3="","",'CF表（ご主人様死亡時）'!AY16/10000)</f>
        <v/>
      </c>
      <c r="AZ16" s="221">
        <f>IF('CF表（ご主人様死亡時）'!AZ$3="","",'CF表（ご主人様死亡時）'!AZ16/10000)</f>
        <v/>
      </c>
      <c r="BA16" s="221">
        <f>IF('CF表（ご主人様死亡時）'!BA$3="","",'CF表（ご主人様死亡時）'!BA16/10000)</f>
        <v/>
      </c>
      <c r="BB16" s="221">
        <f>IF('CF表（ご主人様死亡時）'!BB$3="","",'CF表（ご主人様死亡時）'!BB16/10000)</f>
        <v/>
      </c>
      <c r="BC16" s="221">
        <f>IF('CF表（ご主人様死亡時）'!BC$3="","",'CF表（ご主人様死亡時）'!BC16/10000)</f>
        <v/>
      </c>
      <c r="BD16" s="221">
        <f>IF('CF表（ご主人様死亡時）'!BD$3="","",'CF表（ご主人様死亡時）'!BD16/10000)</f>
        <v/>
      </c>
      <c r="BE16" s="221">
        <f>IF('CF表（ご主人様死亡時）'!BE$3="","",'CF表（ご主人様死亡時）'!BE16/10000)</f>
        <v/>
      </c>
      <c r="BF16" s="221">
        <f>IF('CF表（ご主人様死亡時）'!BF$3="","",'CF表（ご主人様死亡時）'!BF16/10000)</f>
        <v/>
      </c>
      <c r="BG16" s="221">
        <f>IF('CF表（ご主人様死亡時）'!BG$3="","",'CF表（ご主人様死亡時）'!BG16/10000)</f>
        <v/>
      </c>
      <c r="BH16" s="221">
        <f>IF('CF表（ご主人様死亡時）'!BH$3="","",'CF表（ご主人様死亡時）'!BH16/10000)</f>
        <v/>
      </c>
      <c r="BI16" s="221">
        <f>IF('CF表（ご主人様死亡時）'!BI$3="","",'CF表（ご主人様死亡時）'!BI16/10000)</f>
        <v/>
      </c>
      <c r="BJ16" s="221">
        <f>IF('CF表（ご主人様死亡時）'!BJ$3="","",'CF表（ご主人様死亡時）'!BJ16/10000)</f>
        <v/>
      </c>
      <c r="BK16" s="221">
        <f>IF('CF表（ご主人様死亡時）'!BK$3="","",'CF表（ご主人様死亡時）'!BK16/10000)</f>
        <v/>
      </c>
      <c r="BL16" s="221">
        <f>IF('CF表（ご主人様死亡時）'!BL$3="","",'CF表（ご主人様死亡時）'!BL16/10000)</f>
        <v/>
      </c>
      <c r="BM16" s="221">
        <f>IF('CF表（ご主人様死亡時）'!BM$3="","",'CF表（ご主人様死亡時）'!BM16/10000)</f>
        <v/>
      </c>
      <c r="BN16" s="221">
        <f>IF('CF表（ご主人様死亡時）'!BN$3="","",'CF表（ご主人様死亡時）'!BN16/10000)</f>
        <v/>
      </c>
      <c r="BO16" s="221">
        <f>IF('CF表（ご主人様死亡時）'!BO$3="","",'CF表（ご主人様死亡時）'!BO16/10000)</f>
        <v/>
      </c>
      <c r="BP16" s="221">
        <f>IF('CF表（ご主人様死亡時）'!BP$3="","",'CF表（ご主人様死亡時）'!BP16/10000)</f>
        <v/>
      </c>
      <c r="BQ16" s="221">
        <f>IF('CF表（ご主人様死亡時）'!BQ$3="","",'CF表（ご主人様死亡時）'!BQ16/10000)</f>
        <v/>
      </c>
      <c r="BR16" s="221">
        <f>IF('CF表（ご主人様死亡時）'!BR$3="","",'CF表（ご主人様死亡時）'!BR16/10000)</f>
        <v/>
      </c>
      <c r="BS16" s="221">
        <f>IF('CF表（ご主人様死亡時）'!BS$3="","",'CF表（ご主人様死亡時）'!BS16/10000)</f>
        <v/>
      </c>
      <c r="BT16" s="221">
        <f>IF('CF表（ご主人様死亡時）'!BT$3="","",'CF表（ご主人様死亡時）'!BT16/10000)</f>
        <v/>
      </c>
      <c r="BU16" s="221">
        <f>IF('CF表（ご主人様死亡時）'!BU$3="","",'CF表（ご主人様死亡時）'!BU16/10000)</f>
        <v/>
      </c>
      <c r="BV16" s="221">
        <f>IF('CF表（ご主人様死亡時）'!BV$3="","",'CF表（ご主人様死亡時）'!BV16/10000)</f>
        <v/>
      </c>
      <c r="BW16" s="221">
        <f>IF('CF表（ご主人様死亡時）'!BW$3="","",'CF表（ご主人様死亡時）'!BW16/10000)</f>
        <v/>
      </c>
      <c r="BX16" s="221">
        <f>IF('CF表（ご主人様死亡時）'!BX$3="","",'CF表（ご主人様死亡時）'!BX16/10000)</f>
        <v/>
      </c>
      <c r="BY16" s="221">
        <f>IF('CF表（ご主人様死亡時）'!BY$3="","",'CF表（ご主人様死亡時）'!BY16/10000)</f>
        <v/>
      </c>
      <c r="BZ16" s="221">
        <f>IF('CF表（ご主人様死亡時）'!BZ$3="","",'CF表（ご主人様死亡時）'!BZ16/10000)</f>
        <v/>
      </c>
      <c r="CA16" s="221">
        <f>IF('CF表（ご主人様死亡時）'!CA$3="","",'CF表（ご主人様死亡時）'!CA16/10000)</f>
        <v/>
      </c>
      <c r="CB16" s="221">
        <f>IF('CF表（ご主人様死亡時）'!CB$3="","",'CF表（ご主人様死亡時）'!CB16/10000)</f>
        <v/>
      </c>
      <c r="CC16" s="221">
        <f>IF('CF表（ご主人様死亡時）'!CC$3="","",'CF表（ご主人様死亡時）'!CC16/10000)</f>
        <v/>
      </c>
      <c r="CD16" s="221">
        <f>IF('CF表（ご主人様死亡時）'!CD$3="","",'CF表（ご主人様死亡時）'!CD16/10000)</f>
        <v/>
      </c>
      <c r="CE16" s="221">
        <f>IF('CF表（ご主人様死亡時）'!CE$3="","",'CF表（ご主人様死亡時）'!CE16/10000)</f>
        <v/>
      </c>
      <c r="CF16" s="221">
        <f>IF('CF表（ご主人様死亡時）'!CF$3="","",'CF表（ご主人様死亡時）'!CF16/10000)</f>
        <v/>
      </c>
      <c r="CG16" s="221">
        <f>IF('CF表（ご主人様死亡時）'!CG$3="","",'CF表（ご主人様死亡時）'!CG16/10000)</f>
        <v/>
      </c>
      <c r="CH16" s="221">
        <f>IF('CF表（ご主人様死亡時）'!CH$3="","",'CF表（ご主人様死亡時）'!CH16/10000)</f>
        <v/>
      </c>
      <c r="CI16" s="221">
        <f>IF('CF表（ご主人様死亡時）'!CI$3="","",'CF表（ご主人様死亡時）'!CI16/10000)</f>
        <v/>
      </c>
      <c r="CJ16" s="221">
        <f>IF('CF表（ご主人様死亡時）'!CJ$3="","",'CF表（ご主人様死亡時）'!CJ16/10000)</f>
        <v/>
      </c>
      <c r="CK16" s="221">
        <f>IF('CF表（ご主人様死亡時）'!CK$3="","",'CF表（ご主人様死亡時）'!CK16/10000)</f>
        <v/>
      </c>
      <c r="CL16" s="221">
        <f>IF('CF表（ご主人様死亡時）'!CL$3="","",'CF表（ご主人様死亡時）'!CL16/10000)</f>
        <v/>
      </c>
      <c r="CM16" s="221">
        <f>IF('CF表（ご主人様死亡時）'!CM$3="","",'CF表（ご主人様死亡時）'!CM16/10000)</f>
        <v/>
      </c>
      <c r="CN16" s="221">
        <f>IF('CF表（ご主人様死亡時）'!CN$3="","",'CF表（ご主人様死亡時）'!CN16/10000)</f>
        <v/>
      </c>
      <c r="CO16" s="221">
        <f>IF('CF表（ご主人様死亡時）'!CO$3="","",'CF表（ご主人様死亡時）'!CO16/10000)</f>
        <v/>
      </c>
      <c r="CP16" s="221">
        <f>IF('CF表（ご主人様死亡時）'!CP$3="","",'CF表（ご主人様死亡時）'!CP16/10000)</f>
        <v/>
      </c>
      <c r="CQ16" s="221">
        <f>IF('CF表（ご主人様死亡時）'!CQ$3="","",'CF表（ご主人様死亡時）'!CQ16/10000)</f>
        <v/>
      </c>
      <c r="CR16" s="221">
        <f>IF('CF表（ご主人様死亡時）'!CR$3="","",'CF表（ご主人様死亡時）'!CR16/10000)</f>
        <v/>
      </c>
      <c r="CS16" s="221">
        <f>IF('CF表（ご主人様死亡時）'!CS$3="","",'CF表（ご主人様死亡時）'!CS16/10000)</f>
        <v/>
      </c>
      <c r="CT16" s="221">
        <f>IF('CF表（ご主人様死亡時）'!CT$3="","",'CF表（ご主人様死亡時）'!CT16/10000)</f>
        <v/>
      </c>
      <c r="CU16" s="221">
        <f>IF('CF表（ご主人様死亡時）'!CU$3="","",'CF表（ご主人様死亡時）'!CU16/10000)</f>
        <v/>
      </c>
      <c r="CV16" s="221">
        <f>IF('CF表（ご主人様死亡時）'!CV$3="","",'CF表（ご主人様死亡時）'!CV16/10000)</f>
        <v/>
      </c>
      <c r="CW16" s="221">
        <f>IF('CF表（ご主人様死亡時）'!CW$3="","",'CF表（ご主人様死亡時）'!CW16/10000)</f>
        <v/>
      </c>
    </row>
    <row r="17" ht="15" customHeight="1" s="180">
      <c r="A17" s="220" t="inlineStr">
        <is>
          <t>奥様年金収入</t>
        </is>
      </c>
      <c r="B17" s="221">
        <f>IF('CF表（ご主人様死亡時）'!B$3="","",'CF表（ご主人様死亡時）'!B17/10000)</f>
        <v/>
      </c>
      <c r="C17" s="221">
        <f>IF('CF表（ご主人様死亡時）'!C$3="","",'CF表（ご主人様死亡時）'!C17/10000)</f>
        <v/>
      </c>
      <c r="D17" s="221">
        <f>IF('CF表（ご主人様死亡時）'!D$3="","",'CF表（ご主人様死亡時）'!D17/10000)</f>
        <v/>
      </c>
      <c r="E17" s="221">
        <f>IF('CF表（ご主人様死亡時）'!E$3="","",'CF表（ご主人様死亡時）'!E17/10000)</f>
        <v/>
      </c>
      <c r="F17" s="221">
        <f>IF('CF表（ご主人様死亡時）'!F$3="","",'CF表（ご主人様死亡時）'!F17/10000)</f>
        <v/>
      </c>
      <c r="G17" s="221">
        <f>IF('CF表（ご主人様死亡時）'!G$3="","",'CF表（ご主人様死亡時）'!G17/10000)</f>
        <v/>
      </c>
      <c r="H17" s="221">
        <f>IF('CF表（ご主人様死亡時）'!H$3="","",'CF表（ご主人様死亡時）'!H17/10000)</f>
        <v/>
      </c>
      <c r="I17" s="221">
        <f>IF('CF表（ご主人様死亡時）'!I$3="","",'CF表（ご主人様死亡時）'!I17/10000)</f>
        <v/>
      </c>
      <c r="J17" s="221">
        <f>IF('CF表（ご主人様死亡時）'!J$3="","",'CF表（ご主人様死亡時）'!J17/10000)</f>
        <v/>
      </c>
      <c r="K17" s="221">
        <f>IF('CF表（ご主人様死亡時）'!K$3="","",'CF表（ご主人様死亡時）'!K17/10000)</f>
        <v/>
      </c>
      <c r="L17" s="221">
        <f>IF('CF表（ご主人様死亡時）'!L$3="","",'CF表（ご主人様死亡時）'!L17/10000)</f>
        <v/>
      </c>
      <c r="M17" s="221">
        <f>IF('CF表（ご主人様死亡時）'!M$3="","",'CF表（ご主人様死亡時）'!M17/10000)</f>
        <v/>
      </c>
      <c r="N17" s="221">
        <f>IF('CF表（ご主人様死亡時）'!N$3="","",'CF表（ご主人様死亡時）'!N17/10000)</f>
        <v/>
      </c>
      <c r="O17" s="221">
        <f>IF('CF表（ご主人様死亡時）'!O$3="","",'CF表（ご主人様死亡時）'!O17/10000)</f>
        <v/>
      </c>
      <c r="P17" s="221">
        <f>IF('CF表（ご主人様死亡時）'!P$3="","",'CF表（ご主人様死亡時）'!P17/10000)</f>
        <v/>
      </c>
      <c r="Q17" s="221">
        <f>IF('CF表（ご主人様死亡時）'!Q$3="","",'CF表（ご主人様死亡時）'!Q17/10000)</f>
        <v/>
      </c>
      <c r="R17" s="221">
        <f>IF('CF表（ご主人様死亡時）'!R$3="","",'CF表（ご主人様死亡時）'!R17/10000)</f>
        <v/>
      </c>
      <c r="S17" s="221">
        <f>IF('CF表（ご主人様死亡時）'!S$3="","",'CF表（ご主人様死亡時）'!S17/10000)</f>
        <v/>
      </c>
      <c r="T17" s="221">
        <f>IF('CF表（ご主人様死亡時）'!T$3="","",'CF表（ご主人様死亡時）'!T17/10000)</f>
        <v/>
      </c>
      <c r="U17" s="221">
        <f>IF('CF表（ご主人様死亡時）'!U$3="","",'CF表（ご主人様死亡時）'!U17/10000)</f>
        <v/>
      </c>
      <c r="V17" s="221">
        <f>IF('CF表（ご主人様死亡時）'!V$3="","",'CF表（ご主人様死亡時）'!V17/10000)</f>
        <v/>
      </c>
      <c r="W17" s="221">
        <f>IF('CF表（ご主人様死亡時）'!W$3="","",'CF表（ご主人様死亡時）'!W17/10000)</f>
        <v/>
      </c>
      <c r="X17" s="221">
        <f>IF('CF表（ご主人様死亡時）'!X$3="","",'CF表（ご主人様死亡時）'!X17/10000)</f>
        <v/>
      </c>
      <c r="Y17" s="221">
        <f>IF('CF表（ご主人様死亡時）'!Y$3="","",'CF表（ご主人様死亡時）'!Y17/10000)</f>
        <v/>
      </c>
      <c r="Z17" s="221">
        <f>IF('CF表（ご主人様死亡時）'!Z$3="","",'CF表（ご主人様死亡時）'!Z17/10000)</f>
        <v/>
      </c>
      <c r="AA17" s="221">
        <f>IF('CF表（ご主人様死亡時）'!AA$3="","",'CF表（ご主人様死亡時）'!AA17/10000)</f>
        <v/>
      </c>
      <c r="AB17" s="221">
        <f>IF('CF表（ご主人様死亡時）'!AB$3="","",'CF表（ご主人様死亡時）'!AB17/10000)</f>
        <v/>
      </c>
      <c r="AC17" s="221">
        <f>IF('CF表（ご主人様死亡時）'!AC$3="","",'CF表（ご主人様死亡時）'!AC17/10000)</f>
        <v/>
      </c>
      <c r="AD17" s="221">
        <f>IF('CF表（ご主人様死亡時）'!AD$3="","",'CF表（ご主人様死亡時）'!AD17/10000)</f>
        <v/>
      </c>
      <c r="AE17" s="221">
        <f>IF('CF表（ご主人様死亡時）'!AE$3="","",'CF表（ご主人様死亡時）'!AE17/10000)</f>
        <v/>
      </c>
      <c r="AF17" s="221">
        <f>IF('CF表（ご主人様死亡時）'!AF$3="","",'CF表（ご主人様死亡時）'!AF17/10000)</f>
        <v/>
      </c>
      <c r="AG17" s="221">
        <f>IF('CF表（ご主人様死亡時）'!AG$3="","",'CF表（ご主人様死亡時）'!AG17/10000)</f>
        <v/>
      </c>
      <c r="AH17" s="221">
        <f>IF('CF表（ご主人様死亡時）'!AH$3="","",'CF表（ご主人様死亡時）'!AH17/10000)</f>
        <v/>
      </c>
      <c r="AI17" s="221">
        <f>IF('CF表（ご主人様死亡時）'!AI$3="","",'CF表（ご主人様死亡時）'!AI17/10000)</f>
        <v/>
      </c>
      <c r="AJ17" s="221">
        <f>IF('CF表（ご主人様死亡時）'!AJ$3="","",'CF表（ご主人様死亡時）'!AJ17/10000)</f>
        <v/>
      </c>
      <c r="AK17" s="221">
        <f>IF('CF表（ご主人様死亡時）'!AK$3="","",'CF表（ご主人様死亡時）'!AK17/10000)</f>
        <v/>
      </c>
      <c r="AL17" s="221">
        <f>IF('CF表（ご主人様死亡時）'!AL$3="","",'CF表（ご主人様死亡時）'!AL17/10000)</f>
        <v/>
      </c>
      <c r="AM17" s="221">
        <f>IF('CF表（ご主人様死亡時）'!AM$3="","",'CF表（ご主人様死亡時）'!AM17/10000)</f>
        <v/>
      </c>
      <c r="AN17" s="221">
        <f>IF('CF表（ご主人様死亡時）'!AN$3="","",'CF表（ご主人様死亡時）'!AN17/10000)</f>
        <v/>
      </c>
      <c r="AO17" s="221">
        <f>IF('CF表（ご主人様死亡時）'!AO$3="","",'CF表（ご主人様死亡時）'!AO17/10000)</f>
        <v/>
      </c>
      <c r="AP17" s="221">
        <f>IF('CF表（ご主人様死亡時）'!AP$3="","",'CF表（ご主人様死亡時）'!AP17/10000)</f>
        <v/>
      </c>
      <c r="AQ17" s="221">
        <f>IF('CF表（ご主人様死亡時）'!AQ$3="","",'CF表（ご主人様死亡時）'!AQ17/10000)</f>
        <v/>
      </c>
      <c r="AR17" s="221">
        <f>IF('CF表（ご主人様死亡時）'!AR$3="","",'CF表（ご主人様死亡時）'!AR17/10000)</f>
        <v/>
      </c>
      <c r="AS17" s="221">
        <f>IF('CF表（ご主人様死亡時）'!AS$3="","",'CF表（ご主人様死亡時）'!AS17/10000)</f>
        <v/>
      </c>
      <c r="AT17" s="221">
        <f>IF('CF表（ご主人様死亡時）'!AT$3="","",'CF表（ご主人様死亡時）'!AT17/10000)</f>
        <v/>
      </c>
      <c r="AU17" s="221">
        <f>IF('CF表（ご主人様死亡時）'!AU$3="","",'CF表（ご主人様死亡時）'!AU17/10000)</f>
        <v/>
      </c>
      <c r="AV17" s="221">
        <f>IF('CF表（ご主人様死亡時）'!AV$3="","",'CF表（ご主人様死亡時）'!AV17/10000)</f>
        <v/>
      </c>
      <c r="AW17" s="221">
        <f>IF('CF表（ご主人様死亡時）'!AW$3="","",'CF表（ご主人様死亡時）'!AW17/10000)</f>
        <v/>
      </c>
      <c r="AX17" s="221">
        <f>IF('CF表（ご主人様死亡時）'!AX$3="","",'CF表（ご主人様死亡時）'!AX17/10000)</f>
        <v/>
      </c>
      <c r="AY17" s="221">
        <f>IF('CF表（ご主人様死亡時）'!AY$3="","",'CF表（ご主人様死亡時）'!AY17/10000)</f>
        <v/>
      </c>
      <c r="AZ17" s="221">
        <f>IF('CF表（ご主人様死亡時）'!AZ$3="","",'CF表（ご主人様死亡時）'!AZ17/10000)</f>
        <v/>
      </c>
      <c r="BA17" s="221">
        <f>IF('CF表（ご主人様死亡時）'!BA$3="","",'CF表（ご主人様死亡時）'!BA17/10000)</f>
        <v/>
      </c>
      <c r="BB17" s="221">
        <f>IF('CF表（ご主人様死亡時）'!BB$3="","",'CF表（ご主人様死亡時）'!BB17/10000)</f>
        <v/>
      </c>
      <c r="BC17" s="221">
        <f>IF('CF表（ご主人様死亡時）'!BC$3="","",'CF表（ご主人様死亡時）'!BC17/10000)</f>
        <v/>
      </c>
      <c r="BD17" s="221">
        <f>IF('CF表（ご主人様死亡時）'!BD$3="","",'CF表（ご主人様死亡時）'!BD17/10000)</f>
        <v/>
      </c>
      <c r="BE17" s="221">
        <f>IF('CF表（ご主人様死亡時）'!BE$3="","",'CF表（ご主人様死亡時）'!BE17/10000)</f>
        <v/>
      </c>
      <c r="BF17" s="221">
        <f>IF('CF表（ご主人様死亡時）'!BF$3="","",'CF表（ご主人様死亡時）'!BF17/10000)</f>
        <v/>
      </c>
      <c r="BG17" s="221">
        <f>IF('CF表（ご主人様死亡時）'!BG$3="","",'CF表（ご主人様死亡時）'!BG17/10000)</f>
        <v/>
      </c>
      <c r="BH17" s="221">
        <f>IF('CF表（ご主人様死亡時）'!BH$3="","",'CF表（ご主人様死亡時）'!BH17/10000)</f>
        <v/>
      </c>
      <c r="BI17" s="221">
        <f>IF('CF表（ご主人様死亡時）'!BI$3="","",'CF表（ご主人様死亡時）'!BI17/10000)</f>
        <v/>
      </c>
      <c r="BJ17" s="221">
        <f>IF('CF表（ご主人様死亡時）'!BJ$3="","",'CF表（ご主人様死亡時）'!BJ17/10000)</f>
        <v/>
      </c>
      <c r="BK17" s="221">
        <f>IF('CF表（ご主人様死亡時）'!BK$3="","",'CF表（ご主人様死亡時）'!BK17/10000)</f>
        <v/>
      </c>
      <c r="BL17" s="221">
        <f>IF('CF表（ご主人様死亡時）'!BL$3="","",'CF表（ご主人様死亡時）'!BL17/10000)</f>
        <v/>
      </c>
      <c r="BM17" s="221">
        <f>IF('CF表（ご主人様死亡時）'!BM$3="","",'CF表（ご主人様死亡時）'!BM17/10000)</f>
        <v/>
      </c>
      <c r="BN17" s="221">
        <f>IF('CF表（ご主人様死亡時）'!BN$3="","",'CF表（ご主人様死亡時）'!BN17/10000)</f>
        <v/>
      </c>
      <c r="BO17" s="221">
        <f>IF('CF表（ご主人様死亡時）'!BO$3="","",'CF表（ご主人様死亡時）'!BO17/10000)</f>
        <v/>
      </c>
      <c r="BP17" s="221">
        <f>IF('CF表（ご主人様死亡時）'!BP$3="","",'CF表（ご主人様死亡時）'!BP17/10000)</f>
        <v/>
      </c>
      <c r="BQ17" s="221">
        <f>IF('CF表（ご主人様死亡時）'!BQ$3="","",'CF表（ご主人様死亡時）'!BQ17/10000)</f>
        <v/>
      </c>
      <c r="BR17" s="221">
        <f>IF('CF表（ご主人様死亡時）'!BR$3="","",'CF表（ご主人様死亡時）'!BR17/10000)</f>
        <v/>
      </c>
      <c r="BS17" s="221">
        <f>IF('CF表（ご主人様死亡時）'!BS$3="","",'CF表（ご主人様死亡時）'!BS17/10000)</f>
        <v/>
      </c>
      <c r="BT17" s="221">
        <f>IF('CF表（ご主人様死亡時）'!BT$3="","",'CF表（ご主人様死亡時）'!BT17/10000)</f>
        <v/>
      </c>
      <c r="BU17" s="221">
        <f>IF('CF表（ご主人様死亡時）'!BU$3="","",'CF表（ご主人様死亡時）'!BU17/10000)</f>
        <v/>
      </c>
      <c r="BV17" s="221">
        <f>IF('CF表（ご主人様死亡時）'!BV$3="","",'CF表（ご主人様死亡時）'!BV17/10000)</f>
        <v/>
      </c>
      <c r="BW17" s="221">
        <f>IF('CF表（ご主人様死亡時）'!BW$3="","",'CF表（ご主人様死亡時）'!BW17/10000)</f>
        <v/>
      </c>
      <c r="BX17" s="221">
        <f>IF('CF表（ご主人様死亡時）'!BX$3="","",'CF表（ご主人様死亡時）'!BX17/10000)</f>
        <v/>
      </c>
      <c r="BY17" s="221">
        <f>IF('CF表（ご主人様死亡時）'!BY$3="","",'CF表（ご主人様死亡時）'!BY17/10000)</f>
        <v/>
      </c>
      <c r="BZ17" s="221">
        <f>IF('CF表（ご主人様死亡時）'!BZ$3="","",'CF表（ご主人様死亡時）'!BZ17/10000)</f>
        <v/>
      </c>
      <c r="CA17" s="221">
        <f>IF('CF表（ご主人様死亡時）'!CA$3="","",'CF表（ご主人様死亡時）'!CA17/10000)</f>
        <v/>
      </c>
      <c r="CB17" s="221">
        <f>IF('CF表（ご主人様死亡時）'!CB$3="","",'CF表（ご主人様死亡時）'!CB17/10000)</f>
        <v/>
      </c>
      <c r="CC17" s="221">
        <f>IF('CF表（ご主人様死亡時）'!CC$3="","",'CF表（ご主人様死亡時）'!CC17/10000)</f>
        <v/>
      </c>
      <c r="CD17" s="221">
        <f>IF('CF表（ご主人様死亡時）'!CD$3="","",'CF表（ご主人様死亡時）'!CD17/10000)</f>
        <v/>
      </c>
      <c r="CE17" s="221">
        <f>IF('CF表（ご主人様死亡時）'!CE$3="","",'CF表（ご主人様死亡時）'!CE17/10000)</f>
        <v/>
      </c>
      <c r="CF17" s="221">
        <f>IF('CF表（ご主人様死亡時）'!CF$3="","",'CF表（ご主人様死亡時）'!CF17/10000)</f>
        <v/>
      </c>
      <c r="CG17" s="221">
        <f>IF('CF表（ご主人様死亡時）'!CG$3="","",'CF表（ご主人様死亡時）'!CG17/10000)</f>
        <v/>
      </c>
      <c r="CH17" s="221">
        <f>IF('CF表（ご主人様死亡時）'!CH$3="","",'CF表（ご主人様死亡時）'!CH17/10000)</f>
        <v/>
      </c>
      <c r="CI17" s="221">
        <f>IF('CF表（ご主人様死亡時）'!CI$3="","",'CF表（ご主人様死亡時）'!CI17/10000)</f>
        <v/>
      </c>
      <c r="CJ17" s="221">
        <f>IF('CF表（ご主人様死亡時）'!CJ$3="","",'CF表（ご主人様死亡時）'!CJ17/10000)</f>
        <v/>
      </c>
      <c r="CK17" s="221">
        <f>IF('CF表（ご主人様死亡時）'!CK$3="","",'CF表（ご主人様死亡時）'!CK17/10000)</f>
        <v/>
      </c>
      <c r="CL17" s="221">
        <f>IF('CF表（ご主人様死亡時）'!CL$3="","",'CF表（ご主人様死亡時）'!CL17/10000)</f>
        <v/>
      </c>
      <c r="CM17" s="221">
        <f>IF('CF表（ご主人様死亡時）'!CM$3="","",'CF表（ご主人様死亡時）'!CM17/10000)</f>
        <v/>
      </c>
      <c r="CN17" s="221">
        <f>IF('CF表（ご主人様死亡時）'!CN$3="","",'CF表（ご主人様死亡時）'!CN17/10000)</f>
        <v/>
      </c>
      <c r="CO17" s="221">
        <f>IF('CF表（ご主人様死亡時）'!CO$3="","",'CF表（ご主人様死亡時）'!CO17/10000)</f>
        <v/>
      </c>
      <c r="CP17" s="221">
        <f>IF('CF表（ご主人様死亡時）'!CP$3="","",'CF表（ご主人様死亡時）'!CP17/10000)</f>
        <v/>
      </c>
      <c r="CQ17" s="221">
        <f>IF('CF表（ご主人様死亡時）'!CQ$3="","",'CF表（ご主人様死亡時）'!CQ17/10000)</f>
        <v/>
      </c>
      <c r="CR17" s="221">
        <f>IF('CF表（ご主人様死亡時）'!CR$3="","",'CF表（ご主人様死亡時）'!CR17/10000)</f>
        <v/>
      </c>
      <c r="CS17" s="221">
        <f>IF('CF表（ご主人様死亡時）'!CS$3="","",'CF表（ご主人様死亡時）'!CS17/10000)</f>
        <v/>
      </c>
      <c r="CT17" s="221">
        <f>IF('CF表（ご主人様死亡時）'!CT$3="","",'CF表（ご主人様死亡時）'!CT17/10000)</f>
        <v/>
      </c>
      <c r="CU17" s="221">
        <f>IF('CF表（ご主人様死亡時）'!CU$3="","",'CF表（ご主人様死亡時）'!CU17/10000)</f>
        <v/>
      </c>
      <c r="CV17" s="221">
        <f>IF('CF表（ご主人様死亡時）'!CV$3="","",'CF表（ご主人様死亡時）'!CV17/10000)</f>
        <v/>
      </c>
      <c r="CW17" s="221">
        <f>IF('CF表（ご主人様死亡時）'!CW$3="","",'CF表（ご主人様死亡時）'!CW17/10000)</f>
        <v/>
      </c>
    </row>
    <row r="18" ht="15" customHeight="1" s="180">
      <c r="A18" s="222" t="inlineStr">
        <is>
          <t>世帯収入合計</t>
        </is>
      </c>
      <c r="B18" s="223">
        <f>IF('CF表（ご主人様死亡時）'!B$3="","",'CF表（ご主人様死亡時）'!B18/10000)</f>
        <v/>
      </c>
      <c r="C18" s="223">
        <f>IF('CF表（ご主人様死亡時）'!C$3="","",'CF表（ご主人様死亡時）'!C18/10000)</f>
        <v/>
      </c>
      <c r="D18" s="223">
        <f>IF('CF表（ご主人様死亡時）'!D$3="","",'CF表（ご主人様死亡時）'!D18/10000)</f>
        <v/>
      </c>
      <c r="E18" s="223">
        <f>IF('CF表（ご主人様死亡時）'!E$3="","",'CF表（ご主人様死亡時）'!E18/10000)</f>
        <v/>
      </c>
      <c r="F18" s="223">
        <f>IF('CF表（ご主人様死亡時）'!F$3="","",'CF表（ご主人様死亡時）'!F18/10000)</f>
        <v/>
      </c>
      <c r="G18" s="223">
        <f>IF('CF表（ご主人様死亡時）'!G$3="","",'CF表（ご主人様死亡時）'!G18/10000)</f>
        <v/>
      </c>
      <c r="H18" s="223">
        <f>IF('CF表（ご主人様死亡時）'!H$3="","",'CF表（ご主人様死亡時）'!H18/10000)</f>
        <v/>
      </c>
      <c r="I18" s="223">
        <f>IF('CF表（ご主人様死亡時）'!I$3="","",'CF表（ご主人様死亡時）'!I18/10000)</f>
        <v/>
      </c>
      <c r="J18" s="223">
        <f>IF('CF表（ご主人様死亡時）'!J$3="","",'CF表（ご主人様死亡時）'!J18/10000)</f>
        <v/>
      </c>
      <c r="K18" s="223">
        <f>IF('CF表（ご主人様死亡時）'!K$3="","",'CF表（ご主人様死亡時）'!K18/10000)</f>
        <v/>
      </c>
      <c r="L18" s="223">
        <f>IF('CF表（ご主人様死亡時）'!L$3="","",'CF表（ご主人様死亡時）'!L18/10000)</f>
        <v/>
      </c>
      <c r="M18" s="223">
        <f>IF('CF表（ご主人様死亡時）'!M$3="","",'CF表（ご主人様死亡時）'!M18/10000)</f>
        <v/>
      </c>
      <c r="N18" s="223">
        <f>IF('CF表（ご主人様死亡時）'!N$3="","",'CF表（ご主人様死亡時）'!N18/10000)</f>
        <v/>
      </c>
      <c r="O18" s="223">
        <f>IF('CF表（ご主人様死亡時）'!O$3="","",'CF表（ご主人様死亡時）'!O18/10000)</f>
        <v/>
      </c>
      <c r="P18" s="223">
        <f>IF('CF表（ご主人様死亡時）'!P$3="","",'CF表（ご主人様死亡時）'!P18/10000)</f>
        <v/>
      </c>
      <c r="Q18" s="223">
        <f>IF('CF表（ご主人様死亡時）'!Q$3="","",'CF表（ご主人様死亡時）'!Q18/10000)</f>
        <v/>
      </c>
      <c r="R18" s="223">
        <f>IF('CF表（ご主人様死亡時）'!R$3="","",'CF表（ご主人様死亡時）'!R18/10000)</f>
        <v/>
      </c>
      <c r="S18" s="223">
        <f>IF('CF表（ご主人様死亡時）'!S$3="","",'CF表（ご主人様死亡時）'!S18/10000)</f>
        <v/>
      </c>
      <c r="T18" s="223">
        <f>IF('CF表（ご主人様死亡時）'!T$3="","",'CF表（ご主人様死亡時）'!T18/10000)</f>
        <v/>
      </c>
      <c r="U18" s="223">
        <f>IF('CF表（ご主人様死亡時）'!U$3="","",'CF表（ご主人様死亡時）'!U18/10000)</f>
        <v/>
      </c>
      <c r="V18" s="223">
        <f>IF('CF表（ご主人様死亡時）'!V$3="","",'CF表（ご主人様死亡時）'!V18/10000)</f>
        <v/>
      </c>
      <c r="W18" s="223">
        <f>IF('CF表（ご主人様死亡時）'!W$3="","",'CF表（ご主人様死亡時）'!W18/10000)</f>
        <v/>
      </c>
      <c r="X18" s="223">
        <f>IF('CF表（ご主人様死亡時）'!X$3="","",'CF表（ご主人様死亡時）'!X18/10000)</f>
        <v/>
      </c>
      <c r="Y18" s="223">
        <f>IF('CF表（ご主人様死亡時）'!Y$3="","",'CF表（ご主人様死亡時）'!Y18/10000)</f>
        <v/>
      </c>
      <c r="Z18" s="223">
        <f>IF('CF表（ご主人様死亡時）'!Z$3="","",'CF表（ご主人様死亡時）'!Z18/10000)</f>
        <v/>
      </c>
      <c r="AA18" s="223">
        <f>IF('CF表（ご主人様死亡時）'!AA$3="","",'CF表（ご主人様死亡時）'!AA18/10000)</f>
        <v/>
      </c>
      <c r="AB18" s="223">
        <f>IF('CF表（ご主人様死亡時）'!AB$3="","",'CF表（ご主人様死亡時）'!AB18/10000)</f>
        <v/>
      </c>
      <c r="AC18" s="223">
        <f>IF('CF表（ご主人様死亡時）'!AC$3="","",'CF表（ご主人様死亡時）'!AC18/10000)</f>
        <v/>
      </c>
      <c r="AD18" s="223">
        <f>IF('CF表（ご主人様死亡時）'!AD$3="","",'CF表（ご主人様死亡時）'!AD18/10000)</f>
        <v/>
      </c>
      <c r="AE18" s="223">
        <f>IF('CF表（ご主人様死亡時）'!AE$3="","",'CF表（ご主人様死亡時）'!AE18/10000)</f>
        <v/>
      </c>
      <c r="AF18" s="223">
        <f>IF('CF表（ご主人様死亡時）'!AF$3="","",'CF表（ご主人様死亡時）'!AF18/10000)</f>
        <v/>
      </c>
      <c r="AG18" s="223">
        <f>IF('CF表（ご主人様死亡時）'!AG$3="","",'CF表（ご主人様死亡時）'!AG18/10000)</f>
        <v/>
      </c>
      <c r="AH18" s="223">
        <f>IF('CF表（ご主人様死亡時）'!AH$3="","",'CF表（ご主人様死亡時）'!AH18/10000)</f>
        <v/>
      </c>
      <c r="AI18" s="223">
        <f>IF('CF表（ご主人様死亡時）'!AI$3="","",'CF表（ご主人様死亡時）'!AI18/10000)</f>
        <v/>
      </c>
      <c r="AJ18" s="223">
        <f>IF('CF表（ご主人様死亡時）'!AJ$3="","",'CF表（ご主人様死亡時）'!AJ18/10000)</f>
        <v/>
      </c>
      <c r="AK18" s="223">
        <f>IF('CF表（ご主人様死亡時）'!AK$3="","",'CF表（ご主人様死亡時）'!AK18/10000)</f>
        <v/>
      </c>
      <c r="AL18" s="223">
        <f>IF('CF表（ご主人様死亡時）'!AL$3="","",'CF表（ご主人様死亡時）'!AL18/10000)</f>
        <v/>
      </c>
      <c r="AM18" s="223">
        <f>IF('CF表（ご主人様死亡時）'!AM$3="","",'CF表（ご主人様死亡時）'!AM18/10000)</f>
        <v/>
      </c>
      <c r="AN18" s="223">
        <f>IF('CF表（ご主人様死亡時）'!AN$3="","",'CF表（ご主人様死亡時）'!AN18/10000)</f>
        <v/>
      </c>
      <c r="AO18" s="223">
        <f>IF('CF表（ご主人様死亡時）'!AO$3="","",'CF表（ご主人様死亡時）'!AO18/10000)</f>
        <v/>
      </c>
      <c r="AP18" s="223">
        <f>IF('CF表（ご主人様死亡時）'!AP$3="","",'CF表（ご主人様死亡時）'!AP18/10000)</f>
        <v/>
      </c>
      <c r="AQ18" s="223">
        <f>IF('CF表（ご主人様死亡時）'!AQ$3="","",'CF表（ご主人様死亡時）'!AQ18/10000)</f>
        <v/>
      </c>
      <c r="AR18" s="223">
        <f>IF('CF表（ご主人様死亡時）'!AR$3="","",'CF表（ご主人様死亡時）'!AR18/10000)</f>
        <v/>
      </c>
      <c r="AS18" s="223">
        <f>IF('CF表（ご主人様死亡時）'!AS$3="","",'CF表（ご主人様死亡時）'!AS18/10000)</f>
        <v/>
      </c>
      <c r="AT18" s="223">
        <f>IF('CF表（ご主人様死亡時）'!AT$3="","",'CF表（ご主人様死亡時）'!AT18/10000)</f>
        <v/>
      </c>
      <c r="AU18" s="223">
        <f>IF('CF表（ご主人様死亡時）'!AU$3="","",'CF表（ご主人様死亡時）'!AU18/10000)</f>
        <v/>
      </c>
      <c r="AV18" s="223">
        <f>IF('CF表（ご主人様死亡時）'!AV$3="","",'CF表（ご主人様死亡時）'!AV18/10000)</f>
        <v/>
      </c>
      <c r="AW18" s="223">
        <f>IF('CF表（ご主人様死亡時）'!AW$3="","",'CF表（ご主人様死亡時）'!AW18/10000)</f>
        <v/>
      </c>
      <c r="AX18" s="223">
        <f>IF('CF表（ご主人様死亡時）'!AX$3="","",'CF表（ご主人様死亡時）'!AX18/10000)</f>
        <v/>
      </c>
      <c r="AY18" s="223">
        <f>IF('CF表（ご主人様死亡時）'!AY$3="","",'CF表（ご主人様死亡時）'!AY18/10000)</f>
        <v/>
      </c>
      <c r="AZ18" s="223">
        <f>IF('CF表（ご主人様死亡時）'!AZ$3="","",'CF表（ご主人様死亡時）'!AZ18/10000)</f>
        <v/>
      </c>
      <c r="BA18" s="223">
        <f>IF('CF表（ご主人様死亡時）'!BA$3="","",'CF表（ご主人様死亡時）'!BA18/10000)</f>
        <v/>
      </c>
      <c r="BB18" s="223">
        <f>IF('CF表（ご主人様死亡時）'!BB$3="","",'CF表（ご主人様死亡時）'!BB18/10000)</f>
        <v/>
      </c>
      <c r="BC18" s="223">
        <f>IF('CF表（ご主人様死亡時）'!BC$3="","",'CF表（ご主人様死亡時）'!BC18/10000)</f>
        <v/>
      </c>
      <c r="BD18" s="223">
        <f>IF('CF表（ご主人様死亡時）'!BD$3="","",'CF表（ご主人様死亡時）'!BD18/10000)</f>
        <v/>
      </c>
      <c r="BE18" s="223">
        <f>IF('CF表（ご主人様死亡時）'!BE$3="","",'CF表（ご主人様死亡時）'!BE18/10000)</f>
        <v/>
      </c>
      <c r="BF18" s="223">
        <f>IF('CF表（ご主人様死亡時）'!BF$3="","",'CF表（ご主人様死亡時）'!BF18/10000)</f>
        <v/>
      </c>
      <c r="BG18" s="223">
        <f>IF('CF表（ご主人様死亡時）'!BG$3="","",'CF表（ご主人様死亡時）'!BG18/10000)</f>
        <v/>
      </c>
      <c r="BH18" s="223">
        <f>IF('CF表（ご主人様死亡時）'!BH$3="","",'CF表（ご主人様死亡時）'!BH18/10000)</f>
        <v/>
      </c>
      <c r="BI18" s="223">
        <f>IF('CF表（ご主人様死亡時）'!BI$3="","",'CF表（ご主人様死亡時）'!BI18/10000)</f>
        <v/>
      </c>
      <c r="BJ18" s="223">
        <f>IF('CF表（ご主人様死亡時）'!BJ$3="","",'CF表（ご主人様死亡時）'!BJ18/10000)</f>
        <v/>
      </c>
      <c r="BK18" s="223">
        <f>IF('CF表（ご主人様死亡時）'!BK$3="","",'CF表（ご主人様死亡時）'!BK18/10000)</f>
        <v/>
      </c>
      <c r="BL18" s="223">
        <f>IF('CF表（ご主人様死亡時）'!BL$3="","",'CF表（ご主人様死亡時）'!BL18/10000)</f>
        <v/>
      </c>
      <c r="BM18" s="223">
        <f>IF('CF表（ご主人様死亡時）'!BM$3="","",'CF表（ご主人様死亡時）'!BM18/10000)</f>
        <v/>
      </c>
      <c r="BN18" s="223">
        <f>IF('CF表（ご主人様死亡時）'!BN$3="","",'CF表（ご主人様死亡時）'!BN18/10000)</f>
        <v/>
      </c>
      <c r="BO18" s="223">
        <f>IF('CF表（ご主人様死亡時）'!BO$3="","",'CF表（ご主人様死亡時）'!BO18/10000)</f>
        <v/>
      </c>
      <c r="BP18" s="223">
        <f>IF('CF表（ご主人様死亡時）'!BP$3="","",'CF表（ご主人様死亡時）'!BP18/10000)</f>
        <v/>
      </c>
      <c r="BQ18" s="223">
        <f>IF('CF表（ご主人様死亡時）'!BQ$3="","",'CF表（ご主人様死亡時）'!BQ18/10000)</f>
        <v/>
      </c>
      <c r="BR18" s="223">
        <f>IF('CF表（ご主人様死亡時）'!BR$3="","",'CF表（ご主人様死亡時）'!BR18/10000)</f>
        <v/>
      </c>
      <c r="BS18" s="223">
        <f>IF('CF表（ご主人様死亡時）'!BS$3="","",'CF表（ご主人様死亡時）'!BS18/10000)</f>
        <v/>
      </c>
      <c r="BT18" s="223">
        <f>IF('CF表（ご主人様死亡時）'!BT$3="","",'CF表（ご主人様死亡時）'!BT18/10000)</f>
        <v/>
      </c>
      <c r="BU18" s="223">
        <f>IF('CF表（ご主人様死亡時）'!BU$3="","",'CF表（ご主人様死亡時）'!BU18/10000)</f>
        <v/>
      </c>
      <c r="BV18" s="223">
        <f>IF('CF表（ご主人様死亡時）'!BV$3="","",'CF表（ご主人様死亡時）'!BV18/10000)</f>
        <v/>
      </c>
      <c r="BW18" s="223">
        <f>IF('CF表（ご主人様死亡時）'!BW$3="","",'CF表（ご主人様死亡時）'!BW18/10000)</f>
        <v/>
      </c>
      <c r="BX18" s="223">
        <f>IF('CF表（ご主人様死亡時）'!BX$3="","",'CF表（ご主人様死亡時）'!BX18/10000)</f>
        <v/>
      </c>
      <c r="BY18" s="223">
        <f>IF('CF表（ご主人様死亡時）'!BY$3="","",'CF表（ご主人様死亡時）'!BY18/10000)</f>
        <v/>
      </c>
      <c r="BZ18" s="223">
        <f>IF('CF表（ご主人様死亡時）'!BZ$3="","",'CF表（ご主人様死亡時）'!BZ18/10000)</f>
        <v/>
      </c>
      <c r="CA18" s="223">
        <f>IF('CF表（ご主人様死亡時）'!CA$3="","",'CF表（ご主人様死亡時）'!CA18/10000)</f>
        <v/>
      </c>
      <c r="CB18" s="223">
        <f>IF('CF表（ご主人様死亡時）'!CB$3="","",'CF表（ご主人様死亡時）'!CB18/10000)</f>
        <v/>
      </c>
      <c r="CC18" s="223">
        <f>IF('CF表（ご主人様死亡時）'!CC$3="","",'CF表（ご主人様死亡時）'!CC18/10000)</f>
        <v/>
      </c>
      <c r="CD18" s="223">
        <f>IF('CF表（ご主人様死亡時）'!CD$3="","",'CF表（ご主人様死亡時）'!CD18/10000)</f>
        <v/>
      </c>
      <c r="CE18" s="223">
        <f>IF('CF表（ご主人様死亡時）'!CE$3="","",'CF表（ご主人様死亡時）'!CE18/10000)</f>
        <v/>
      </c>
      <c r="CF18" s="223">
        <f>IF('CF表（ご主人様死亡時）'!CF$3="","",'CF表（ご主人様死亡時）'!CF18/10000)</f>
        <v/>
      </c>
      <c r="CG18" s="223">
        <f>IF('CF表（ご主人様死亡時）'!CG$3="","",'CF表（ご主人様死亡時）'!CG18/10000)</f>
        <v/>
      </c>
      <c r="CH18" s="223">
        <f>IF('CF表（ご主人様死亡時）'!CH$3="","",'CF表（ご主人様死亡時）'!CH18/10000)</f>
        <v/>
      </c>
      <c r="CI18" s="223">
        <f>IF('CF表（ご主人様死亡時）'!CI$3="","",'CF表（ご主人様死亡時）'!CI18/10000)</f>
        <v/>
      </c>
      <c r="CJ18" s="223">
        <f>IF('CF表（ご主人様死亡時）'!CJ$3="","",'CF表（ご主人様死亡時）'!CJ18/10000)</f>
        <v/>
      </c>
      <c r="CK18" s="223">
        <f>IF('CF表（ご主人様死亡時）'!CK$3="","",'CF表（ご主人様死亡時）'!CK18/10000)</f>
        <v/>
      </c>
      <c r="CL18" s="223">
        <f>IF('CF表（ご主人様死亡時）'!CL$3="","",'CF表（ご主人様死亡時）'!CL18/10000)</f>
        <v/>
      </c>
      <c r="CM18" s="223">
        <f>IF('CF表（ご主人様死亡時）'!CM$3="","",'CF表（ご主人様死亡時）'!CM18/10000)</f>
        <v/>
      </c>
      <c r="CN18" s="223">
        <f>IF('CF表（ご主人様死亡時）'!CN$3="","",'CF表（ご主人様死亡時）'!CN18/10000)</f>
        <v/>
      </c>
      <c r="CO18" s="223">
        <f>IF('CF表（ご主人様死亡時）'!CO$3="","",'CF表（ご主人様死亡時）'!CO18/10000)</f>
        <v/>
      </c>
      <c r="CP18" s="223">
        <f>IF('CF表（ご主人様死亡時）'!CP$3="","",'CF表（ご主人様死亡時）'!CP18/10000)</f>
        <v/>
      </c>
      <c r="CQ18" s="223">
        <f>IF('CF表（ご主人様死亡時）'!CQ$3="","",'CF表（ご主人様死亡時）'!CQ18/10000)</f>
        <v/>
      </c>
      <c r="CR18" s="223">
        <f>IF('CF表（ご主人様死亡時）'!CR$3="","",'CF表（ご主人様死亡時）'!CR18/10000)</f>
        <v/>
      </c>
      <c r="CS18" s="223">
        <f>IF('CF表（ご主人様死亡時）'!CS$3="","",'CF表（ご主人様死亡時）'!CS18/10000)</f>
        <v/>
      </c>
      <c r="CT18" s="223">
        <f>IF('CF表（ご主人様死亡時）'!CT$3="","",'CF表（ご主人様死亡時）'!CT18/10000)</f>
        <v/>
      </c>
      <c r="CU18" s="223">
        <f>IF('CF表（ご主人様死亡時）'!CU$3="","",'CF表（ご主人様死亡時）'!CU18/10000)</f>
        <v/>
      </c>
      <c r="CV18" s="223">
        <f>IF('CF表（ご主人様死亡時）'!CV$3="","",'CF表（ご主人様死亡時）'!CV18/10000)</f>
        <v/>
      </c>
      <c r="CW18" s="223">
        <f>IF('CF表（ご主人様死亡時）'!CW$3="","",'CF表（ご主人様死亡時）'!CW18/10000)</f>
        <v/>
      </c>
    </row>
    <row r="19" ht="15" customHeight="1" s="180">
      <c r="A19" s="205" t="inlineStr">
        <is>
          <t>収入</t>
        </is>
      </c>
      <c r="B19" s="219" t="n"/>
      <c r="C19" s="219" t="n"/>
      <c r="D19" s="219" t="n"/>
      <c r="E19" s="219" t="n"/>
      <c r="F19" s="219" t="n"/>
      <c r="G19" s="219" t="n"/>
      <c r="H19" s="219" t="n"/>
      <c r="I19" s="219" t="n"/>
      <c r="J19" s="219" t="n"/>
      <c r="K19" s="219" t="n"/>
      <c r="L19" s="219" t="n"/>
      <c r="M19" s="219" t="n"/>
      <c r="N19" s="219" t="n"/>
      <c r="O19" s="219" t="n"/>
      <c r="P19" s="219" t="n"/>
      <c r="Q19" s="219" t="n"/>
      <c r="R19" s="219" t="n"/>
      <c r="S19" s="219" t="n"/>
      <c r="T19" s="219" t="n"/>
      <c r="U19" s="219" t="n"/>
      <c r="V19" s="219" t="n"/>
      <c r="W19" s="219" t="n"/>
      <c r="X19" s="219" t="n"/>
      <c r="Y19" s="219" t="n"/>
      <c r="Z19" s="219" t="n"/>
      <c r="AA19" s="219" t="n"/>
      <c r="AB19" s="219" t="n"/>
      <c r="AC19" s="219" t="n"/>
      <c r="AD19" s="219" t="n"/>
      <c r="AE19" s="219" t="n"/>
      <c r="AF19" s="219" t="n"/>
      <c r="AG19" s="219" t="n"/>
      <c r="AH19" s="219" t="n"/>
      <c r="AI19" s="219" t="n"/>
      <c r="AJ19" s="219" t="n"/>
      <c r="AK19" s="219" t="n"/>
      <c r="AL19" s="219" t="n"/>
      <c r="AM19" s="219" t="n"/>
      <c r="AN19" s="219" t="n"/>
      <c r="AO19" s="219" t="n"/>
      <c r="AP19" s="219" t="n"/>
      <c r="AQ19" s="219" t="n"/>
      <c r="AR19" s="219" t="n"/>
      <c r="AS19" s="219" t="n"/>
      <c r="AT19" s="219" t="n"/>
      <c r="AU19" s="219" t="n"/>
      <c r="AV19" s="219" t="n"/>
      <c r="AW19" s="219" t="n"/>
      <c r="AX19" s="219" t="n"/>
      <c r="AY19" s="219" t="n"/>
      <c r="AZ19" s="219" t="n"/>
      <c r="BA19" s="219" t="n"/>
      <c r="BB19" s="219" t="n"/>
      <c r="BC19" s="219" t="n"/>
      <c r="BD19" s="219" t="n"/>
      <c r="BE19" s="219" t="n"/>
      <c r="BF19" s="219" t="n"/>
      <c r="BG19" s="219" t="n"/>
      <c r="BH19" s="219" t="n"/>
      <c r="BI19" s="219" t="n"/>
      <c r="BJ19" s="219" t="n"/>
      <c r="BK19" s="219" t="n"/>
      <c r="BL19" s="219" t="n"/>
      <c r="BM19" s="219" t="n"/>
      <c r="BN19" s="219" t="n"/>
      <c r="BO19" s="219" t="n"/>
      <c r="BP19" s="219" t="n"/>
      <c r="BQ19" s="219" t="n"/>
      <c r="BR19" s="219" t="n"/>
      <c r="BS19" s="219" t="n"/>
      <c r="BT19" s="219" t="n"/>
      <c r="BU19" s="219" t="n"/>
      <c r="BV19" s="219" t="n"/>
      <c r="BW19" s="219" t="n"/>
      <c r="BX19" s="219" t="n"/>
      <c r="BY19" s="219" t="n"/>
      <c r="BZ19" s="219" t="n"/>
      <c r="CA19" s="219" t="n"/>
      <c r="CB19" s="219" t="n"/>
      <c r="CC19" s="219" t="n"/>
      <c r="CD19" s="219" t="n"/>
      <c r="CE19" s="219" t="n"/>
      <c r="CF19" s="219" t="n"/>
      <c r="CG19" s="219" t="n"/>
      <c r="CH19" s="219" t="n"/>
      <c r="CI19" s="219" t="n"/>
      <c r="CJ19" s="219" t="n"/>
      <c r="CK19" s="219" t="n"/>
      <c r="CL19" s="219" t="n"/>
      <c r="CM19" s="219" t="n"/>
      <c r="CN19" s="219" t="n"/>
      <c r="CO19" s="219" t="n"/>
      <c r="CP19" s="219" t="n"/>
      <c r="CQ19" s="219" t="n"/>
      <c r="CR19" s="219" t="n"/>
      <c r="CS19" s="219" t="n"/>
      <c r="CT19" s="219" t="n"/>
      <c r="CU19" s="219" t="n"/>
      <c r="CV19" s="219" t="n"/>
      <c r="CW19" s="219" t="n"/>
    </row>
    <row r="20" ht="15" customHeight="1" s="180">
      <c r="A20" s="224" t="inlineStr">
        <is>
          <t>基本生活費</t>
        </is>
      </c>
      <c r="B20" s="225">
        <f>IF('CF表（ご主人様死亡時）'!B$3="","",'CF表（ご主人様死亡時）'!B20/10000)</f>
        <v/>
      </c>
      <c r="C20" s="225">
        <f>IF('CF表（ご主人様死亡時）'!C$3="","",'CF表（ご主人様死亡時）'!C20/10000)</f>
        <v/>
      </c>
      <c r="D20" s="225">
        <f>IF('CF表（ご主人様死亡時）'!D$3="","",'CF表（ご主人様死亡時）'!D20/10000)</f>
        <v/>
      </c>
      <c r="E20" s="225">
        <f>IF('CF表（ご主人様死亡時）'!E$3="","",'CF表（ご主人様死亡時）'!E20/10000)</f>
        <v/>
      </c>
      <c r="F20" s="225">
        <f>IF('CF表（ご主人様死亡時）'!F$3="","",'CF表（ご主人様死亡時）'!F20/10000)</f>
        <v/>
      </c>
      <c r="G20" s="225">
        <f>IF('CF表（ご主人様死亡時）'!G$3="","",'CF表（ご主人様死亡時）'!G20/10000)</f>
        <v/>
      </c>
      <c r="H20" s="225">
        <f>IF('CF表（ご主人様死亡時）'!H$3="","",'CF表（ご主人様死亡時）'!H20/10000)</f>
        <v/>
      </c>
      <c r="I20" s="225">
        <f>IF('CF表（ご主人様死亡時）'!I$3="","",'CF表（ご主人様死亡時）'!I20/10000)</f>
        <v/>
      </c>
      <c r="J20" s="225">
        <f>IF('CF表（ご主人様死亡時）'!J$3="","",'CF表（ご主人様死亡時）'!J20/10000)</f>
        <v/>
      </c>
      <c r="K20" s="225">
        <f>IF('CF表（ご主人様死亡時）'!K$3="","",'CF表（ご主人様死亡時）'!K20/10000)</f>
        <v/>
      </c>
      <c r="L20" s="225">
        <f>IF('CF表（ご主人様死亡時）'!L$3="","",'CF表（ご主人様死亡時）'!L20/10000)</f>
        <v/>
      </c>
      <c r="M20" s="225">
        <f>IF('CF表（ご主人様死亡時）'!M$3="","",'CF表（ご主人様死亡時）'!M20/10000)</f>
        <v/>
      </c>
      <c r="N20" s="225">
        <f>IF('CF表（ご主人様死亡時）'!N$3="","",'CF表（ご主人様死亡時）'!N20/10000)</f>
        <v/>
      </c>
      <c r="O20" s="225">
        <f>IF('CF表（ご主人様死亡時）'!O$3="","",'CF表（ご主人様死亡時）'!O20/10000)</f>
        <v/>
      </c>
      <c r="P20" s="225">
        <f>IF('CF表（ご主人様死亡時）'!P$3="","",'CF表（ご主人様死亡時）'!P20/10000)</f>
        <v/>
      </c>
      <c r="Q20" s="225">
        <f>IF('CF表（ご主人様死亡時）'!Q$3="","",'CF表（ご主人様死亡時）'!Q20/10000)</f>
        <v/>
      </c>
      <c r="R20" s="225">
        <f>IF('CF表（ご主人様死亡時）'!R$3="","",'CF表（ご主人様死亡時）'!R20/10000)</f>
        <v/>
      </c>
      <c r="S20" s="225">
        <f>IF('CF表（ご主人様死亡時）'!S$3="","",'CF表（ご主人様死亡時）'!S20/10000)</f>
        <v/>
      </c>
      <c r="T20" s="225">
        <f>IF('CF表（ご主人様死亡時）'!T$3="","",'CF表（ご主人様死亡時）'!T20/10000)</f>
        <v/>
      </c>
      <c r="U20" s="225">
        <f>IF('CF表（ご主人様死亡時）'!U$3="","",'CF表（ご主人様死亡時）'!U20/10000)</f>
        <v/>
      </c>
      <c r="V20" s="225">
        <f>IF('CF表（ご主人様死亡時）'!V$3="","",'CF表（ご主人様死亡時）'!V20/10000)</f>
        <v/>
      </c>
      <c r="W20" s="225">
        <f>IF('CF表（ご主人様死亡時）'!W$3="","",'CF表（ご主人様死亡時）'!W20/10000)</f>
        <v/>
      </c>
      <c r="X20" s="225">
        <f>IF('CF表（ご主人様死亡時）'!X$3="","",'CF表（ご主人様死亡時）'!X20/10000)</f>
        <v/>
      </c>
      <c r="Y20" s="225">
        <f>IF('CF表（ご主人様死亡時）'!Y$3="","",'CF表（ご主人様死亡時）'!Y20/10000)</f>
        <v/>
      </c>
      <c r="Z20" s="225">
        <f>IF('CF表（ご主人様死亡時）'!Z$3="","",'CF表（ご主人様死亡時）'!Z20/10000)</f>
        <v/>
      </c>
      <c r="AA20" s="225">
        <f>IF('CF表（ご主人様死亡時）'!AA$3="","",'CF表（ご主人様死亡時）'!AA20/10000)</f>
        <v/>
      </c>
      <c r="AB20" s="225">
        <f>IF('CF表（ご主人様死亡時）'!AB$3="","",'CF表（ご主人様死亡時）'!AB20/10000)</f>
        <v/>
      </c>
      <c r="AC20" s="225">
        <f>IF('CF表（ご主人様死亡時）'!AC$3="","",'CF表（ご主人様死亡時）'!AC20/10000)</f>
        <v/>
      </c>
      <c r="AD20" s="225">
        <f>IF('CF表（ご主人様死亡時）'!AD$3="","",'CF表（ご主人様死亡時）'!AD20/10000)</f>
        <v/>
      </c>
      <c r="AE20" s="225">
        <f>IF('CF表（ご主人様死亡時）'!AE$3="","",'CF表（ご主人様死亡時）'!AE20/10000)</f>
        <v/>
      </c>
      <c r="AF20" s="225">
        <f>IF('CF表（ご主人様死亡時）'!AF$3="","",'CF表（ご主人様死亡時）'!AF20/10000)</f>
        <v/>
      </c>
      <c r="AG20" s="225">
        <f>IF('CF表（ご主人様死亡時）'!AG$3="","",'CF表（ご主人様死亡時）'!AG20/10000)</f>
        <v/>
      </c>
      <c r="AH20" s="225">
        <f>IF('CF表（ご主人様死亡時）'!AH$3="","",'CF表（ご主人様死亡時）'!AH20/10000)</f>
        <v/>
      </c>
      <c r="AI20" s="225">
        <f>IF('CF表（ご主人様死亡時）'!AI$3="","",'CF表（ご主人様死亡時）'!AI20/10000)</f>
        <v/>
      </c>
      <c r="AJ20" s="225">
        <f>IF('CF表（ご主人様死亡時）'!AJ$3="","",'CF表（ご主人様死亡時）'!AJ20/10000)</f>
        <v/>
      </c>
      <c r="AK20" s="225">
        <f>IF('CF表（ご主人様死亡時）'!AK$3="","",'CF表（ご主人様死亡時）'!AK20/10000)</f>
        <v/>
      </c>
      <c r="AL20" s="225">
        <f>IF('CF表（ご主人様死亡時）'!AL$3="","",'CF表（ご主人様死亡時）'!AL20/10000)</f>
        <v/>
      </c>
      <c r="AM20" s="225">
        <f>IF('CF表（ご主人様死亡時）'!AM$3="","",'CF表（ご主人様死亡時）'!AM20/10000)</f>
        <v/>
      </c>
      <c r="AN20" s="225">
        <f>IF('CF表（ご主人様死亡時）'!AN$3="","",'CF表（ご主人様死亡時）'!AN20/10000)</f>
        <v/>
      </c>
      <c r="AO20" s="225">
        <f>IF('CF表（ご主人様死亡時）'!AO$3="","",'CF表（ご主人様死亡時）'!AO20/10000)</f>
        <v/>
      </c>
      <c r="AP20" s="225">
        <f>IF('CF表（ご主人様死亡時）'!AP$3="","",'CF表（ご主人様死亡時）'!AP20/10000)</f>
        <v/>
      </c>
      <c r="AQ20" s="225">
        <f>IF('CF表（ご主人様死亡時）'!AQ$3="","",'CF表（ご主人様死亡時）'!AQ20/10000)</f>
        <v/>
      </c>
      <c r="AR20" s="225">
        <f>IF('CF表（ご主人様死亡時）'!AR$3="","",'CF表（ご主人様死亡時）'!AR20/10000)</f>
        <v/>
      </c>
      <c r="AS20" s="225">
        <f>IF('CF表（ご主人様死亡時）'!AS$3="","",'CF表（ご主人様死亡時）'!AS20/10000)</f>
        <v/>
      </c>
      <c r="AT20" s="225">
        <f>IF('CF表（ご主人様死亡時）'!AT$3="","",'CF表（ご主人様死亡時）'!AT20/10000)</f>
        <v/>
      </c>
      <c r="AU20" s="225">
        <f>IF('CF表（ご主人様死亡時）'!AU$3="","",'CF表（ご主人様死亡時）'!AU20/10000)</f>
        <v/>
      </c>
      <c r="AV20" s="225">
        <f>IF('CF表（ご主人様死亡時）'!AV$3="","",'CF表（ご主人様死亡時）'!AV20/10000)</f>
        <v/>
      </c>
      <c r="AW20" s="225">
        <f>IF('CF表（ご主人様死亡時）'!AW$3="","",'CF表（ご主人様死亡時）'!AW20/10000)</f>
        <v/>
      </c>
      <c r="AX20" s="225">
        <f>IF('CF表（ご主人様死亡時）'!AX$3="","",'CF表（ご主人様死亡時）'!AX20/10000)</f>
        <v/>
      </c>
      <c r="AY20" s="225">
        <f>IF('CF表（ご主人様死亡時）'!AY$3="","",'CF表（ご主人様死亡時）'!AY20/10000)</f>
        <v/>
      </c>
      <c r="AZ20" s="225">
        <f>IF('CF表（ご主人様死亡時）'!AZ$3="","",'CF表（ご主人様死亡時）'!AZ20/10000)</f>
        <v/>
      </c>
      <c r="BA20" s="225">
        <f>IF('CF表（ご主人様死亡時）'!BA$3="","",'CF表（ご主人様死亡時）'!BA20/10000)</f>
        <v/>
      </c>
      <c r="BB20" s="225">
        <f>IF('CF表（ご主人様死亡時）'!BB$3="","",'CF表（ご主人様死亡時）'!BB20/10000)</f>
        <v/>
      </c>
      <c r="BC20" s="225">
        <f>IF('CF表（ご主人様死亡時）'!BC$3="","",'CF表（ご主人様死亡時）'!BC20/10000)</f>
        <v/>
      </c>
      <c r="BD20" s="225">
        <f>IF('CF表（ご主人様死亡時）'!BD$3="","",'CF表（ご主人様死亡時）'!BD20/10000)</f>
        <v/>
      </c>
      <c r="BE20" s="225">
        <f>IF('CF表（ご主人様死亡時）'!BE$3="","",'CF表（ご主人様死亡時）'!BE20/10000)</f>
        <v/>
      </c>
      <c r="BF20" s="225">
        <f>IF('CF表（ご主人様死亡時）'!BF$3="","",'CF表（ご主人様死亡時）'!BF20/10000)</f>
        <v/>
      </c>
      <c r="BG20" s="225">
        <f>IF('CF表（ご主人様死亡時）'!BG$3="","",'CF表（ご主人様死亡時）'!BG20/10000)</f>
        <v/>
      </c>
      <c r="BH20" s="225">
        <f>IF('CF表（ご主人様死亡時）'!BH$3="","",'CF表（ご主人様死亡時）'!BH20/10000)</f>
        <v/>
      </c>
      <c r="BI20" s="225">
        <f>IF('CF表（ご主人様死亡時）'!BI$3="","",'CF表（ご主人様死亡時）'!BI20/10000)</f>
        <v/>
      </c>
      <c r="BJ20" s="225">
        <f>IF('CF表（ご主人様死亡時）'!BJ$3="","",'CF表（ご主人様死亡時）'!BJ20/10000)</f>
        <v/>
      </c>
      <c r="BK20" s="225">
        <f>IF('CF表（ご主人様死亡時）'!BK$3="","",'CF表（ご主人様死亡時）'!BK20/10000)</f>
        <v/>
      </c>
      <c r="BL20" s="225">
        <f>IF('CF表（ご主人様死亡時）'!BL$3="","",'CF表（ご主人様死亡時）'!BL20/10000)</f>
        <v/>
      </c>
      <c r="BM20" s="225">
        <f>IF('CF表（ご主人様死亡時）'!BM$3="","",'CF表（ご主人様死亡時）'!BM20/10000)</f>
        <v/>
      </c>
      <c r="BN20" s="225">
        <f>IF('CF表（ご主人様死亡時）'!BN$3="","",'CF表（ご主人様死亡時）'!BN20/10000)</f>
        <v/>
      </c>
      <c r="BO20" s="225">
        <f>IF('CF表（ご主人様死亡時）'!BO$3="","",'CF表（ご主人様死亡時）'!BO20/10000)</f>
        <v/>
      </c>
      <c r="BP20" s="225">
        <f>IF('CF表（ご主人様死亡時）'!BP$3="","",'CF表（ご主人様死亡時）'!BP20/10000)</f>
        <v/>
      </c>
      <c r="BQ20" s="225">
        <f>IF('CF表（ご主人様死亡時）'!BQ$3="","",'CF表（ご主人様死亡時）'!BQ20/10000)</f>
        <v/>
      </c>
      <c r="BR20" s="225">
        <f>IF('CF表（ご主人様死亡時）'!BR$3="","",'CF表（ご主人様死亡時）'!BR20/10000)</f>
        <v/>
      </c>
      <c r="BS20" s="225">
        <f>IF('CF表（ご主人様死亡時）'!BS$3="","",'CF表（ご主人様死亡時）'!BS20/10000)</f>
        <v/>
      </c>
      <c r="BT20" s="225">
        <f>IF('CF表（ご主人様死亡時）'!BT$3="","",'CF表（ご主人様死亡時）'!BT20/10000)</f>
        <v/>
      </c>
      <c r="BU20" s="225">
        <f>IF('CF表（ご主人様死亡時）'!BU$3="","",'CF表（ご主人様死亡時）'!BU20/10000)</f>
        <v/>
      </c>
      <c r="BV20" s="225">
        <f>IF('CF表（ご主人様死亡時）'!BV$3="","",'CF表（ご主人様死亡時）'!BV20/10000)</f>
        <v/>
      </c>
      <c r="BW20" s="225">
        <f>IF('CF表（ご主人様死亡時）'!BW$3="","",'CF表（ご主人様死亡時）'!BW20/10000)</f>
        <v/>
      </c>
      <c r="BX20" s="225">
        <f>IF('CF表（ご主人様死亡時）'!BX$3="","",'CF表（ご主人様死亡時）'!BX20/10000)</f>
        <v/>
      </c>
      <c r="BY20" s="225">
        <f>IF('CF表（ご主人様死亡時）'!BY$3="","",'CF表（ご主人様死亡時）'!BY20/10000)</f>
        <v/>
      </c>
      <c r="BZ20" s="225">
        <f>IF('CF表（ご主人様死亡時）'!BZ$3="","",'CF表（ご主人様死亡時）'!BZ20/10000)</f>
        <v/>
      </c>
      <c r="CA20" s="225">
        <f>IF('CF表（ご主人様死亡時）'!CA$3="","",'CF表（ご主人様死亡時）'!CA20/10000)</f>
        <v/>
      </c>
      <c r="CB20" s="225">
        <f>IF('CF表（ご主人様死亡時）'!CB$3="","",'CF表（ご主人様死亡時）'!CB20/10000)</f>
        <v/>
      </c>
      <c r="CC20" s="225">
        <f>IF('CF表（ご主人様死亡時）'!CC$3="","",'CF表（ご主人様死亡時）'!CC20/10000)</f>
        <v/>
      </c>
      <c r="CD20" s="225">
        <f>IF('CF表（ご主人様死亡時）'!CD$3="","",'CF表（ご主人様死亡時）'!CD20/10000)</f>
        <v/>
      </c>
      <c r="CE20" s="225">
        <f>IF('CF表（ご主人様死亡時）'!CE$3="","",'CF表（ご主人様死亡時）'!CE20/10000)</f>
        <v/>
      </c>
      <c r="CF20" s="225">
        <f>IF('CF表（ご主人様死亡時）'!CF$3="","",'CF表（ご主人様死亡時）'!CF20/10000)</f>
        <v/>
      </c>
      <c r="CG20" s="225">
        <f>IF('CF表（ご主人様死亡時）'!CG$3="","",'CF表（ご主人様死亡時）'!CG20/10000)</f>
        <v/>
      </c>
      <c r="CH20" s="225">
        <f>IF('CF表（ご主人様死亡時）'!CH$3="","",'CF表（ご主人様死亡時）'!CH20/10000)</f>
        <v/>
      </c>
      <c r="CI20" s="225">
        <f>IF('CF表（ご主人様死亡時）'!CI$3="","",'CF表（ご主人様死亡時）'!CI20/10000)</f>
        <v/>
      </c>
      <c r="CJ20" s="225">
        <f>IF('CF表（ご主人様死亡時）'!CJ$3="","",'CF表（ご主人様死亡時）'!CJ20/10000)</f>
        <v/>
      </c>
      <c r="CK20" s="225">
        <f>IF('CF表（ご主人様死亡時）'!CK$3="","",'CF表（ご主人様死亡時）'!CK20/10000)</f>
        <v/>
      </c>
      <c r="CL20" s="225">
        <f>IF('CF表（ご主人様死亡時）'!CL$3="","",'CF表（ご主人様死亡時）'!CL20/10000)</f>
        <v/>
      </c>
      <c r="CM20" s="225">
        <f>IF('CF表（ご主人様死亡時）'!CM$3="","",'CF表（ご主人様死亡時）'!CM20/10000)</f>
        <v/>
      </c>
      <c r="CN20" s="225">
        <f>IF('CF表（ご主人様死亡時）'!CN$3="","",'CF表（ご主人様死亡時）'!CN20/10000)</f>
        <v/>
      </c>
      <c r="CO20" s="225">
        <f>IF('CF表（ご主人様死亡時）'!CO$3="","",'CF表（ご主人様死亡時）'!CO20/10000)</f>
        <v/>
      </c>
      <c r="CP20" s="225">
        <f>IF('CF表（ご主人様死亡時）'!CP$3="","",'CF表（ご主人様死亡時）'!CP20/10000)</f>
        <v/>
      </c>
      <c r="CQ20" s="225">
        <f>IF('CF表（ご主人様死亡時）'!CQ$3="","",'CF表（ご主人様死亡時）'!CQ20/10000)</f>
        <v/>
      </c>
      <c r="CR20" s="225">
        <f>IF('CF表（ご主人様死亡時）'!CR$3="","",'CF表（ご主人様死亡時）'!CR20/10000)</f>
        <v/>
      </c>
      <c r="CS20" s="225">
        <f>IF('CF表（ご主人様死亡時）'!CS$3="","",'CF表（ご主人様死亡時）'!CS20/10000)</f>
        <v/>
      </c>
      <c r="CT20" s="225">
        <f>IF('CF表（ご主人様死亡時）'!CT$3="","",'CF表（ご主人様死亡時）'!CT20/10000)</f>
        <v/>
      </c>
      <c r="CU20" s="225">
        <f>IF('CF表（ご主人様死亡時）'!CU$3="","",'CF表（ご主人様死亡時）'!CU20/10000)</f>
        <v/>
      </c>
      <c r="CV20" s="225">
        <f>IF('CF表（ご主人様死亡時）'!CV$3="","",'CF表（ご主人様死亡時）'!CV20/10000)</f>
        <v/>
      </c>
      <c r="CW20" s="225">
        <f>IF('CF表（ご主人様死亡時）'!CW$3="","",'CF表（ご主人様死亡時）'!CW20/10000)</f>
        <v/>
      </c>
    </row>
    <row r="21" ht="15" customHeight="1" s="180">
      <c r="A21" s="224" t="inlineStr">
        <is>
          <t>住居費</t>
        </is>
      </c>
      <c r="B21" s="225">
        <f>IF('CF表（ご主人様死亡時）'!B$3="","",'CF表（ご主人様死亡時）'!B21/10000)</f>
        <v/>
      </c>
      <c r="C21" s="225">
        <f>IF('CF表（ご主人様死亡時）'!C$3="","",'CF表（ご主人様死亡時）'!C21/10000)</f>
        <v/>
      </c>
      <c r="D21" s="225">
        <f>IF('CF表（ご主人様死亡時）'!D$3="","",'CF表（ご主人様死亡時）'!D21/10000)</f>
        <v/>
      </c>
      <c r="E21" s="225">
        <f>IF('CF表（ご主人様死亡時）'!E$3="","",'CF表（ご主人様死亡時）'!E21/10000)</f>
        <v/>
      </c>
      <c r="F21" s="225">
        <f>IF('CF表（ご主人様死亡時）'!F$3="","",'CF表（ご主人様死亡時）'!F21/10000)</f>
        <v/>
      </c>
      <c r="G21" s="225">
        <f>IF('CF表（ご主人様死亡時）'!G$3="","",'CF表（ご主人様死亡時）'!G21/10000)</f>
        <v/>
      </c>
      <c r="H21" s="225">
        <f>IF('CF表（ご主人様死亡時）'!H$3="","",'CF表（ご主人様死亡時）'!H21/10000)</f>
        <v/>
      </c>
      <c r="I21" s="225">
        <f>IF('CF表（ご主人様死亡時）'!I$3="","",'CF表（ご主人様死亡時）'!I21/10000)</f>
        <v/>
      </c>
      <c r="J21" s="225">
        <f>IF('CF表（ご主人様死亡時）'!J$3="","",'CF表（ご主人様死亡時）'!J21/10000)</f>
        <v/>
      </c>
      <c r="K21" s="225">
        <f>IF('CF表（ご主人様死亡時）'!K$3="","",'CF表（ご主人様死亡時）'!K21/10000)</f>
        <v/>
      </c>
      <c r="L21" s="225">
        <f>IF('CF表（ご主人様死亡時）'!L$3="","",'CF表（ご主人様死亡時）'!L21/10000)</f>
        <v/>
      </c>
      <c r="M21" s="225">
        <f>IF('CF表（ご主人様死亡時）'!M$3="","",'CF表（ご主人様死亡時）'!M21/10000)</f>
        <v/>
      </c>
      <c r="N21" s="225">
        <f>IF('CF表（ご主人様死亡時）'!N$3="","",'CF表（ご主人様死亡時）'!N21/10000)</f>
        <v/>
      </c>
      <c r="O21" s="225">
        <f>IF('CF表（ご主人様死亡時）'!O$3="","",'CF表（ご主人様死亡時）'!O21/10000)</f>
        <v/>
      </c>
      <c r="P21" s="225">
        <f>IF('CF表（ご主人様死亡時）'!P$3="","",'CF表（ご主人様死亡時）'!P21/10000)</f>
        <v/>
      </c>
      <c r="Q21" s="225">
        <f>IF('CF表（ご主人様死亡時）'!Q$3="","",'CF表（ご主人様死亡時）'!Q21/10000)</f>
        <v/>
      </c>
      <c r="R21" s="225">
        <f>IF('CF表（ご主人様死亡時）'!R$3="","",'CF表（ご主人様死亡時）'!R21/10000)</f>
        <v/>
      </c>
      <c r="S21" s="225">
        <f>IF('CF表（ご主人様死亡時）'!S$3="","",'CF表（ご主人様死亡時）'!S21/10000)</f>
        <v/>
      </c>
      <c r="T21" s="225">
        <f>IF('CF表（ご主人様死亡時）'!T$3="","",'CF表（ご主人様死亡時）'!T21/10000)</f>
        <v/>
      </c>
      <c r="U21" s="225">
        <f>IF('CF表（ご主人様死亡時）'!U$3="","",'CF表（ご主人様死亡時）'!U21/10000)</f>
        <v/>
      </c>
      <c r="V21" s="225">
        <f>IF('CF表（ご主人様死亡時）'!V$3="","",'CF表（ご主人様死亡時）'!V21/10000)</f>
        <v/>
      </c>
      <c r="W21" s="225">
        <f>IF('CF表（ご主人様死亡時）'!W$3="","",'CF表（ご主人様死亡時）'!W21/10000)</f>
        <v/>
      </c>
      <c r="X21" s="225">
        <f>IF('CF表（ご主人様死亡時）'!X$3="","",'CF表（ご主人様死亡時）'!X21/10000)</f>
        <v/>
      </c>
      <c r="Y21" s="225">
        <f>IF('CF表（ご主人様死亡時）'!Y$3="","",'CF表（ご主人様死亡時）'!Y21/10000)</f>
        <v/>
      </c>
      <c r="Z21" s="225">
        <f>IF('CF表（ご主人様死亡時）'!Z$3="","",'CF表（ご主人様死亡時）'!Z21/10000)</f>
        <v/>
      </c>
      <c r="AA21" s="225">
        <f>IF('CF表（ご主人様死亡時）'!AA$3="","",'CF表（ご主人様死亡時）'!AA21/10000)</f>
        <v/>
      </c>
      <c r="AB21" s="225">
        <f>IF('CF表（ご主人様死亡時）'!AB$3="","",'CF表（ご主人様死亡時）'!AB21/10000)</f>
        <v/>
      </c>
      <c r="AC21" s="225">
        <f>IF('CF表（ご主人様死亡時）'!AC$3="","",'CF表（ご主人様死亡時）'!AC21/10000)</f>
        <v/>
      </c>
      <c r="AD21" s="225">
        <f>IF('CF表（ご主人様死亡時）'!AD$3="","",'CF表（ご主人様死亡時）'!AD21/10000)</f>
        <v/>
      </c>
      <c r="AE21" s="225">
        <f>IF('CF表（ご主人様死亡時）'!AE$3="","",'CF表（ご主人様死亡時）'!AE21/10000)</f>
        <v/>
      </c>
      <c r="AF21" s="225">
        <f>IF('CF表（ご主人様死亡時）'!AF$3="","",'CF表（ご主人様死亡時）'!AF21/10000)</f>
        <v/>
      </c>
      <c r="AG21" s="225">
        <f>IF('CF表（ご主人様死亡時）'!AG$3="","",'CF表（ご主人様死亡時）'!AG21/10000)</f>
        <v/>
      </c>
      <c r="AH21" s="225">
        <f>IF('CF表（ご主人様死亡時）'!AH$3="","",'CF表（ご主人様死亡時）'!AH21/10000)</f>
        <v/>
      </c>
      <c r="AI21" s="225">
        <f>IF('CF表（ご主人様死亡時）'!AI$3="","",'CF表（ご主人様死亡時）'!AI21/10000)</f>
        <v/>
      </c>
      <c r="AJ21" s="225">
        <f>IF('CF表（ご主人様死亡時）'!AJ$3="","",'CF表（ご主人様死亡時）'!AJ21/10000)</f>
        <v/>
      </c>
      <c r="AK21" s="225">
        <f>IF('CF表（ご主人様死亡時）'!AK$3="","",'CF表（ご主人様死亡時）'!AK21/10000)</f>
        <v/>
      </c>
      <c r="AL21" s="225">
        <f>IF('CF表（ご主人様死亡時）'!AL$3="","",'CF表（ご主人様死亡時）'!AL21/10000)</f>
        <v/>
      </c>
      <c r="AM21" s="225">
        <f>IF('CF表（ご主人様死亡時）'!AM$3="","",'CF表（ご主人様死亡時）'!AM21/10000)</f>
        <v/>
      </c>
      <c r="AN21" s="225">
        <f>IF('CF表（ご主人様死亡時）'!AN$3="","",'CF表（ご主人様死亡時）'!AN21/10000)</f>
        <v/>
      </c>
      <c r="AO21" s="225">
        <f>IF('CF表（ご主人様死亡時）'!AO$3="","",'CF表（ご主人様死亡時）'!AO21/10000)</f>
        <v/>
      </c>
      <c r="AP21" s="225">
        <f>IF('CF表（ご主人様死亡時）'!AP$3="","",'CF表（ご主人様死亡時）'!AP21/10000)</f>
        <v/>
      </c>
      <c r="AQ21" s="225">
        <f>IF('CF表（ご主人様死亡時）'!AQ$3="","",'CF表（ご主人様死亡時）'!AQ21/10000)</f>
        <v/>
      </c>
      <c r="AR21" s="225">
        <f>IF('CF表（ご主人様死亡時）'!AR$3="","",'CF表（ご主人様死亡時）'!AR21/10000)</f>
        <v/>
      </c>
      <c r="AS21" s="225">
        <f>IF('CF表（ご主人様死亡時）'!AS$3="","",'CF表（ご主人様死亡時）'!AS21/10000)</f>
        <v/>
      </c>
      <c r="AT21" s="225">
        <f>IF('CF表（ご主人様死亡時）'!AT$3="","",'CF表（ご主人様死亡時）'!AT21/10000)</f>
        <v/>
      </c>
      <c r="AU21" s="225">
        <f>IF('CF表（ご主人様死亡時）'!AU$3="","",'CF表（ご主人様死亡時）'!AU21/10000)</f>
        <v/>
      </c>
      <c r="AV21" s="225">
        <f>IF('CF表（ご主人様死亡時）'!AV$3="","",'CF表（ご主人様死亡時）'!AV21/10000)</f>
        <v/>
      </c>
      <c r="AW21" s="225">
        <f>IF('CF表（ご主人様死亡時）'!AW$3="","",'CF表（ご主人様死亡時）'!AW21/10000)</f>
        <v/>
      </c>
      <c r="AX21" s="225">
        <f>IF('CF表（ご主人様死亡時）'!AX$3="","",'CF表（ご主人様死亡時）'!AX21/10000)</f>
        <v/>
      </c>
      <c r="AY21" s="225">
        <f>IF('CF表（ご主人様死亡時）'!AY$3="","",'CF表（ご主人様死亡時）'!AY21/10000)</f>
        <v/>
      </c>
      <c r="AZ21" s="225">
        <f>IF('CF表（ご主人様死亡時）'!AZ$3="","",'CF表（ご主人様死亡時）'!AZ21/10000)</f>
        <v/>
      </c>
      <c r="BA21" s="225">
        <f>IF('CF表（ご主人様死亡時）'!BA$3="","",'CF表（ご主人様死亡時）'!BA21/10000)</f>
        <v/>
      </c>
      <c r="BB21" s="225">
        <f>IF('CF表（ご主人様死亡時）'!BB$3="","",'CF表（ご主人様死亡時）'!BB21/10000)</f>
        <v/>
      </c>
      <c r="BC21" s="225">
        <f>IF('CF表（ご主人様死亡時）'!BC$3="","",'CF表（ご主人様死亡時）'!BC21/10000)</f>
        <v/>
      </c>
      <c r="BD21" s="225">
        <f>IF('CF表（ご主人様死亡時）'!BD$3="","",'CF表（ご主人様死亡時）'!BD21/10000)</f>
        <v/>
      </c>
      <c r="BE21" s="225">
        <f>IF('CF表（ご主人様死亡時）'!BE$3="","",'CF表（ご主人様死亡時）'!BE21/10000)</f>
        <v/>
      </c>
      <c r="BF21" s="225">
        <f>IF('CF表（ご主人様死亡時）'!BF$3="","",'CF表（ご主人様死亡時）'!BF21/10000)</f>
        <v/>
      </c>
      <c r="BG21" s="225">
        <f>IF('CF表（ご主人様死亡時）'!BG$3="","",'CF表（ご主人様死亡時）'!BG21/10000)</f>
        <v/>
      </c>
      <c r="BH21" s="225">
        <f>IF('CF表（ご主人様死亡時）'!BH$3="","",'CF表（ご主人様死亡時）'!BH21/10000)</f>
        <v/>
      </c>
      <c r="BI21" s="225">
        <f>IF('CF表（ご主人様死亡時）'!BI$3="","",'CF表（ご主人様死亡時）'!BI21/10000)</f>
        <v/>
      </c>
      <c r="BJ21" s="225">
        <f>IF('CF表（ご主人様死亡時）'!BJ$3="","",'CF表（ご主人様死亡時）'!BJ21/10000)</f>
        <v/>
      </c>
      <c r="BK21" s="225">
        <f>IF('CF表（ご主人様死亡時）'!BK$3="","",'CF表（ご主人様死亡時）'!BK21/10000)</f>
        <v/>
      </c>
      <c r="BL21" s="225">
        <f>IF('CF表（ご主人様死亡時）'!BL$3="","",'CF表（ご主人様死亡時）'!BL21/10000)</f>
        <v/>
      </c>
      <c r="BM21" s="225">
        <f>IF('CF表（ご主人様死亡時）'!BM$3="","",'CF表（ご主人様死亡時）'!BM21/10000)</f>
        <v/>
      </c>
      <c r="BN21" s="225">
        <f>IF('CF表（ご主人様死亡時）'!BN$3="","",'CF表（ご主人様死亡時）'!BN21/10000)</f>
        <v/>
      </c>
      <c r="BO21" s="225">
        <f>IF('CF表（ご主人様死亡時）'!BO$3="","",'CF表（ご主人様死亡時）'!BO21/10000)</f>
        <v/>
      </c>
      <c r="BP21" s="225">
        <f>IF('CF表（ご主人様死亡時）'!BP$3="","",'CF表（ご主人様死亡時）'!BP21/10000)</f>
        <v/>
      </c>
      <c r="BQ21" s="225">
        <f>IF('CF表（ご主人様死亡時）'!BQ$3="","",'CF表（ご主人様死亡時）'!BQ21/10000)</f>
        <v/>
      </c>
      <c r="BR21" s="225">
        <f>IF('CF表（ご主人様死亡時）'!BR$3="","",'CF表（ご主人様死亡時）'!BR21/10000)</f>
        <v/>
      </c>
      <c r="BS21" s="225">
        <f>IF('CF表（ご主人様死亡時）'!BS$3="","",'CF表（ご主人様死亡時）'!BS21/10000)</f>
        <v/>
      </c>
      <c r="BT21" s="225">
        <f>IF('CF表（ご主人様死亡時）'!BT$3="","",'CF表（ご主人様死亡時）'!BT21/10000)</f>
        <v/>
      </c>
      <c r="BU21" s="225">
        <f>IF('CF表（ご主人様死亡時）'!BU$3="","",'CF表（ご主人様死亡時）'!BU21/10000)</f>
        <v/>
      </c>
      <c r="BV21" s="225">
        <f>IF('CF表（ご主人様死亡時）'!BV$3="","",'CF表（ご主人様死亡時）'!BV21/10000)</f>
        <v/>
      </c>
      <c r="BW21" s="225">
        <f>IF('CF表（ご主人様死亡時）'!BW$3="","",'CF表（ご主人様死亡時）'!BW21/10000)</f>
        <v/>
      </c>
      <c r="BX21" s="225">
        <f>IF('CF表（ご主人様死亡時）'!BX$3="","",'CF表（ご主人様死亡時）'!BX21/10000)</f>
        <v/>
      </c>
      <c r="BY21" s="225">
        <f>IF('CF表（ご主人様死亡時）'!BY$3="","",'CF表（ご主人様死亡時）'!BY21/10000)</f>
        <v/>
      </c>
      <c r="BZ21" s="225">
        <f>IF('CF表（ご主人様死亡時）'!BZ$3="","",'CF表（ご主人様死亡時）'!BZ21/10000)</f>
        <v/>
      </c>
      <c r="CA21" s="225">
        <f>IF('CF表（ご主人様死亡時）'!CA$3="","",'CF表（ご主人様死亡時）'!CA21/10000)</f>
        <v/>
      </c>
      <c r="CB21" s="225">
        <f>IF('CF表（ご主人様死亡時）'!CB$3="","",'CF表（ご主人様死亡時）'!CB21/10000)</f>
        <v/>
      </c>
      <c r="CC21" s="225">
        <f>IF('CF表（ご主人様死亡時）'!CC$3="","",'CF表（ご主人様死亡時）'!CC21/10000)</f>
        <v/>
      </c>
      <c r="CD21" s="225">
        <f>IF('CF表（ご主人様死亡時）'!CD$3="","",'CF表（ご主人様死亡時）'!CD21/10000)</f>
        <v/>
      </c>
      <c r="CE21" s="225">
        <f>IF('CF表（ご主人様死亡時）'!CE$3="","",'CF表（ご主人様死亡時）'!CE21/10000)</f>
        <v/>
      </c>
      <c r="CF21" s="225">
        <f>IF('CF表（ご主人様死亡時）'!CF$3="","",'CF表（ご主人様死亡時）'!CF21/10000)</f>
        <v/>
      </c>
      <c r="CG21" s="225">
        <f>IF('CF表（ご主人様死亡時）'!CG$3="","",'CF表（ご主人様死亡時）'!CG21/10000)</f>
        <v/>
      </c>
      <c r="CH21" s="225">
        <f>IF('CF表（ご主人様死亡時）'!CH$3="","",'CF表（ご主人様死亡時）'!CH21/10000)</f>
        <v/>
      </c>
      <c r="CI21" s="225">
        <f>IF('CF表（ご主人様死亡時）'!CI$3="","",'CF表（ご主人様死亡時）'!CI21/10000)</f>
        <v/>
      </c>
      <c r="CJ21" s="225">
        <f>IF('CF表（ご主人様死亡時）'!CJ$3="","",'CF表（ご主人様死亡時）'!CJ21/10000)</f>
        <v/>
      </c>
      <c r="CK21" s="225">
        <f>IF('CF表（ご主人様死亡時）'!CK$3="","",'CF表（ご主人様死亡時）'!CK21/10000)</f>
        <v/>
      </c>
      <c r="CL21" s="225">
        <f>IF('CF表（ご主人様死亡時）'!CL$3="","",'CF表（ご主人様死亡時）'!CL21/10000)</f>
        <v/>
      </c>
      <c r="CM21" s="225">
        <f>IF('CF表（ご主人様死亡時）'!CM$3="","",'CF表（ご主人様死亡時）'!CM21/10000)</f>
        <v/>
      </c>
      <c r="CN21" s="225">
        <f>IF('CF表（ご主人様死亡時）'!CN$3="","",'CF表（ご主人様死亡時）'!CN21/10000)</f>
        <v/>
      </c>
      <c r="CO21" s="225">
        <f>IF('CF表（ご主人様死亡時）'!CO$3="","",'CF表（ご主人様死亡時）'!CO21/10000)</f>
        <v/>
      </c>
      <c r="CP21" s="225">
        <f>IF('CF表（ご主人様死亡時）'!CP$3="","",'CF表（ご主人様死亡時）'!CP21/10000)</f>
        <v/>
      </c>
      <c r="CQ21" s="225">
        <f>IF('CF表（ご主人様死亡時）'!CQ$3="","",'CF表（ご主人様死亡時）'!CQ21/10000)</f>
        <v/>
      </c>
      <c r="CR21" s="225">
        <f>IF('CF表（ご主人様死亡時）'!CR$3="","",'CF表（ご主人様死亡時）'!CR21/10000)</f>
        <v/>
      </c>
      <c r="CS21" s="225">
        <f>IF('CF表（ご主人様死亡時）'!CS$3="","",'CF表（ご主人様死亡時）'!CS21/10000)</f>
        <v/>
      </c>
      <c r="CT21" s="225">
        <f>IF('CF表（ご主人様死亡時）'!CT$3="","",'CF表（ご主人様死亡時）'!CT21/10000)</f>
        <v/>
      </c>
      <c r="CU21" s="225">
        <f>IF('CF表（ご主人様死亡時）'!CU$3="","",'CF表（ご主人様死亡時）'!CU21/10000)</f>
        <v/>
      </c>
      <c r="CV21" s="225">
        <f>IF('CF表（ご主人様死亡時）'!CV$3="","",'CF表（ご主人様死亡時）'!CV21/10000)</f>
        <v/>
      </c>
      <c r="CW21" s="225">
        <f>IF('CF表（ご主人様死亡時）'!CW$3="","",'CF表（ご主人様死亡時）'!CW21/10000)</f>
        <v/>
      </c>
    </row>
    <row r="22" ht="15" customHeight="1" s="180">
      <c r="A22" s="224" t="inlineStr">
        <is>
          <t>終身系保険料</t>
        </is>
      </c>
      <c r="B22" s="225">
        <f>IF('CF表（ご主人様死亡時）'!B$3="","",'CF表（ご主人様死亡時）'!B22/10000)</f>
        <v/>
      </c>
      <c r="C22" s="225">
        <f>IF('CF表（ご主人様死亡時）'!C$3="","",'CF表（ご主人様死亡時）'!C22/10000)</f>
        <v/>
      </c>
      <c r="D22" s="225">
        <f>IF('CF表（ご主人様死亡時）'!D$3="","",'CF表（ご主人様死亡時）'!D22/10000)</f>
        <v/>
      </c>
      <c r="E22" s="225">
        <f>IF('CF表（ご主人様死亡時）'!E$3="","",'CF表（ご主人様死亡時）'!E22/10000)</f>
        <v/>
      </c>
      <c r="F22" s="225">
        <f>IF('CF表（ご主人様死亡時）'!F$3="","",'CF表（ご主人様死亡時）'!F22/10000)</f>
        <v/>
      </c>
      <c r="G22" s="225">
        <f>IF('CF表（ご主人様死亡時）'!G$3="","",'CF表（ご主人様死亡時）'!G22/10000)</f>
        <v/>
      </c>
      <c r="H22" s="225">
        <f>IF('CF表（ご主人様死亡時）'!H$3="","",'CF表（ご主人様死亡時）'!H22/10000)</f>
        <v/>
      </c>
      <c r="I22" s="225">
        <f>IF('CF表（ご主人様死亡時）'!I$3="","",'CF表（ご主人様死亡時）'!I22/10000)</f>
        <v/>
      </c>
      <c r="J22" s="225">
        <f>IF('CF表（ご主人様死亡時）'!J$3="","",'CF表（ご主人様死亡時）'!J22/10000)</f>
        <v/>
      </c>
      <c r="K22" s="225">
        <f>IF('CF表（ご主人様死亡時）'!K$3="","",'CF表（ご主人様死亡時）'!K22/10000)</f>
        <v/>
      </c>
      <c r="L22" s="225">
        <f>IF('CF表（ご主人様死亡時）'!L$3="","",'CF表（ご主人様死亡時）'!L22/10000)</f>
        <v/>
      </c>
      <c r="M22" s="225">
        <f>IF('CF表（ご主人様死亡時）'!M$3="","",'CF表（ご主人様死亡時）'!M22/10000)</f>
        <v/>
      </c>
      <c r="N22" s="225">
        <f>IF('CF表（ご主人様死亡時）'!N$3="","",'CF表（ご主人様死亡時）'!N22/10000)</f>
        <v/>
      </c>
      <c r="O22" s="225">
        <f>IF('CF表（ご主人様死亡時）'!O$3="","",'CF表（ご主人様死亡時）'!O22/10000)</f>
        <v/>
      </c>
      <c r="P22" s="225">
        <f>IF('CF表（ご主人様死亡時）'!P$3="","",'CF表（ご主人様死亡時）'!P22/10000)</f>
        <v/>
      </c>
      <c r="Q22" s="225">
        <f>IF('CF表（ご主人様死亡時）'!Q$3="","",'CF表（ご主人様死亡時）'!Q22/10000)</f>
        <v/>
      </c>
      <c r="R22" s="225">
        <f>IF('CF表（ご主人様死亡時）'!R$3="","",'CF表（ご主人様死亡時）'!R22/10000)</f>
        <v/>
      </c>
      <c r="S22" s="225">
        <f>IF('CF表（ご主人様死亡時）'!S$3="","",'CF表（ご主人様死亡時）'!S22/10000)</f>
        <v/>
      </c>
      <c r="T22" s="225">
        <f>IF('CF表（ご主人様死亡時）'!T$3="","",'CF表（ご主人様死亡時）'!T22/10000)</f>
        <v/>
      </c>
      <c r="U22" s="225">
        <f>IF('CF表（ご主人様死亡時）'!U$3="","",'CF表（ご主人様死亡時）'!U22/10000)</f>
        <v/>
      </c>
      <c r="V22" s="225">
        <f>IF('CF表（ご主人様死亡時）'!V$3="","",'CF表（ご主人様死亡時）'!V22/10000)</f>
        <v/>
      </c>
      <c r="W22" s="225">
        <f>IF('CF表（ご主人様死亡時）'!W$3="","",'CF表（ご主人様死亡時）'!W22/10000)</f>
        <v/>
      </c>
      <c r="X22" s="225">
        <f>IF('CF表（ご主人様死亡時）'!X$3="","",'CF表（ご主人様死亡時）'!X22/10000)</f>
        <v/>
      </c>
      <c r="Y22" s="225">
        <f>IF('CF表（ご主人様死亡時）'!Y$3="","",'CF表（ご主人様死亡時）'!Y22/10000)</f>
        <v/>
      </c>
      <c r="Z22" s="225">
        <f>IF('CF表（ご主人様死亡時）'!Z$3="","",'CF表（ご主人様死亡時）'!Z22/10000)</f>
        <v/>
      </c>
      <c r="AA22" s="225">
        <f>IF('CF表（ご主人様死亡時）'!AA$3="","",'CF表（ご主人様死亡時）'!AA22/10000)</f>
        <v/>
      </c>
      <c r="AB22" s="225">
        <f>IF('CF表（ご主人様死亡時）'!AB$3="","",'CF表（ご主人様死亡時）'!AB22/10000)</f>
        <v/>
      </c>
      <c r="AC22" s="225">
        <f>IF('CF表（ご主人様死亡時）'!AC$3="","",'CF表（ご主人様死亡時）'!AC22/10000)</f>
        <v/>
      </c>
      <c r="AD22" s="225">
        <f>IF('CF表（ご主人様死亡時）'!AD$3="","",'CF表（ご主人様死亡時）'!AD22/10000)</f>
        <v/>
      </c>
      <c r="AE22" s="225">
        <f>IF('CF表（ご主人様死亡時）'!AE$3="","",'CF表（ご主人様死亡時）'!AE22/10000)</f>
        <v/>
      </c>
      <c r="AF22" s="225">
        <f>IF('CF表（ご主人様死亡時）'!AF$3="","",'CF表（ご主人様死亡時）'!AF22/10000)</f>
        <v/>
      </c>
      <c r="AG22" s="225">
        <f>IF('CF表（ご主人様死亡時）'!AG$3="","",'CF表（ご主人様死亡時）'!AG22/10000)</f>
        <v/>
      </c>
      <c r="AH22" s="225">
        <f>IF('CF表（ご主人様死亡時）'!AH$3="","",'CF表（ご主人様死亡時）'!AH22/10000)</f>
        <v/>
      </c>
      <c r="AI22" s="225">
        <f>IF('CF表（ご主人様死亡時）'!AI$3="","",'CF表（ご主人様死亡時）'!AI22/10000)</f>
        <v/>
      </c>
      <c r="AJ22" s="225">
        <f>IF('CF表（ご主人様死亡時）'!AJ$3="","",'CF表（ご主人様死亡時）'!AJ22/10000)</f>
        <v/>
      </c>
      <c r="AK22" s="225">
        <f>IF('CF表（ご主人様死亡時）'!AK$3="","",'CF表（ご主人様死亡時）'!AK22/10000)</f>
        <v/>
      </c>
      <c r="AL22" s="225">
        <f>IF('CF表（ご主人様死亡時）'!AL$3="","",'CF表（ご主人様死亡時）'!AL22/10000)</f>
        <v/>
      </c>
      <c r="AM22" s="225">
        <f>IF('CF表（ご主人様死亡時）'!AM$3="","",'CF表（ご主人様死亡時）'!AM22/10000)</f>
        <v/>
      </c>
      <c r="AN22" s="225">
        <f>IF('CF表（ご主人様死亡時）'!AN$3="","",'CF表（ご主人様死亡時）'!AN22/10000)</f>
        <v/>
      </c>
      <c r="AO22" s="225">
        <f>IF('CF表（ご主人様死亡時）'!AO$3="","",'CF表（ご主人様死亡時）'!AO22/10000)</f>
        <v/>
      </c>
      <c r="AP22" s="225">
        <f>IF('CF表（ご主人様死亡時）'!AP$3="","",'CF表（ご主人様死亡時）'!AP22/10000)</f>
        <v/>
      </c>
      <c r="AQ22" s="225">
        <f>IF('CF表（ご主人様死亡時）'!AQ$3="","",'CF表（ご主人様死亡時）'!AQ22/10000)</f>
        <v/>
      </c>
      <c r="AR22" s="225">
        <f>IF('CF表（ご主人様死亡時）'!AR$3="","",'CF表（ご主人様死亡時）'!AR22/10000)</f>
        <v/>
      </c>
      <c r="AS22" s="225">
        <f>IF('CF表（ご主人様死亡時）'!AS$3="","",'CF表（ご主人様死亡時）'!AS22/10000)</f>
        <v/>
      </c>
      <c r="AT22" s="225">
        <f>IF('CF表（ご主人様死亡時）'!AT$3="","",'CF表（ご主人様死亡時）'!AT22/10000)</f>
        <v/>
      </c>
      <c r="AU22" s="225">
        <f>IF('CF表（ご主人様死亡時）'!AU$3="","",'CF表（ご主人様死亡時）'!AU22/10000)</f>
        <v/>
      </c>
      <c r="AV22" s="225">
        <f>IF('CF表（ご主人様死亡時）'!AV$3="","",'CF表（ご主人様死亡時）'!AV22/10000)</f>
        <v/>
      </c>
      <c r="AW22" s="225">
        <f>IF('CF表（ご主人様死亡時）'!AW$3="","",'CF表（ご主人様死亡時）'!AW22/10000)</f>
        <v/>
      </c>
      <c r="AX22" s="225">
        <f>IF('CF表（ご主人様死亡時）'!AX$3="","",'CF表（ご主人様死亡時）'!AX22/10000)</f>
        <v/>
      </c>
      <c r="AY22" s="225">
        <f>IF('CF表（ご主人様死亡時）'!AY$3="","",'CF表（ご主人様死亡時）'!AY22/10000)</f>
        <v/>
      </c>
      <c r="AZ22" s="225">
        <f>IF('CF表（ご主人様死亡時）'!AZ$3="","",'CF表（ご主人様死亡時）'!AZ22/10000)</f>
        <v/>
      </c>
      <c r="BA22" s="225">
        <f>IF('CF表（ご主人様死亡時）'!BA$3="","",'CF表（ご主人様死亡時）'!BA22/10000)</f>
        <v/>
      </c>
      <c r="BB22" s="225">
        <f>IF('CF表（ご主人様死亡時）'!BB$3="","",'CF表（ご主人様死亡時）'!BB22/10000)</f>
        <v/>
      </c>
      <c r="BC22" s="225">
        <f>IF('CF表（ご主人様死亡時）'!BC$3="","",'CF表（ご主人様死亡時）'!BC22/10000)</f>
        <v/>
      </c>
      <c r="BD22" s="225">
        <f>IF('CF表（ご主人様死亡時）'!BD$3="","",'CF表（ご主人様死亡時）'!BD22/10000)</f>
        <v/>
      </c>
      <c r="BE22" s="225">
        <f>IF('CF表（ご主人様死亡時）'!BE$3="","",'CF表（ご主人様死亡時）'!BE22/10000)</f>
        <v/>
      </c>
      <c r="BF22" s="225">
        <f>IF('CF表（ご主人様死亡時）'!BF$3="","",'CF表（ご主人様死亡時）'!BF22/10000)</f>
        <v/>
      </c>
      <c r="BG22" s="225">
        <f>IF('CF表（ご主人様死亡時）'!BG$3="","",'CF表（ご主人様死亡時）'!BG22/10000)</f>
        <v/>
      </c>
      <c r="BH22" s="225">
        <f>IF('CF表（ご主人様死亡時）'!BH$3="","",'CF表（ご主人様死亡時）'!BH22/10000)</f>
        <v/>
      </c>
      <c r="BI22" s="225">
        <f>IF('CF表（ご主人様死亡時）'!BI$3="","",'CF表（ご主人様死亡時）'!BI22/10000)</f>
        <v/>
      </c>
      <c r="BJ22" s="225">
        <f>IF('CF表（ご主人様死亡時）'!BJ$3="","",'CF表（ご主人様死亡時）'!BJ22/10000)</f>
        <v/>
      </c>
      <c r="BK22" s="225">
        <f>IF('CF表（ご主人様死亡時）'!BK$3="","",'CF表（ご主人様死亡時）'!BK22/10000)</f>
        <v/>
      </c>
      <c r="BL22" s="225">
        <f>IF('CF表（ご主人様死亡時）'!BL$3="","",'CF表（ご主人様死亡時）'!BL22/10000)</f>
        <v/>
      </c>
      <c r="BM22" s="225">
        <f>IF('CF表（ご主人様死亡時）'!BM$3="","",'CF表（ご主人様死亡時）'!BM22/10000)</f>
        <v/>
      </c>
      <c r="BN22" s="225">
        <f>IF('CF表（ご主人様死亡時）'!BN$3="","",'CF表（ご主人様死亡時）'!BN22/10000)</f>
        <v/>
      </c>
      <c r="BO22" s="225">
        <f>IF('CF表（ご主人様死亡時）'!BO$3="","",'CF表（ご主人様死亡時）'!BO22/10000)</f>
        <v/>
      </c>
      <c r="BP22" s="225">
        <f>IF('CF表（ご主人様死亡時）'!BP$3="","",'CF表（ご主人様死亡時）'!BP22/10000)</f>
        <v/>
      </c>
      <c r="BQ22" s="225">
        <f>IF('CF表（ご主人様死亡時）'!BQ$3="","",'CF表（ご主人様死亡時）'!BQ22/10000)</f>
        <v/>
      </c>
      <c r="BR22" s="225">
        <f>IF('CF表（ご主人様死亡時）'!BR$3="","",'CF表（ご主人様死亡時）'!BR22/10000)</f>
        <v/>
      </c>
      <c r="BS22" s="225">
        <f>IF('CF表（ご主人様死亡時）'!BS$3="","",'CF表（ご主人様死亡時）'!BS22/10000)</f>
        <v/>
      </c>
      <c r="BT22" s="225">
        <f>IF('CF表（ご主人様死亡時）'!BT$3="","",'CF表（ご主人様死亡時）'!BT22/10000)</f>
        <v/>
      </c>
      <c r="BU22" s="225">
        <f>IF('CF表（ご主人様死亡時）'!BU$3="","",'CF表（ご主人様死亡時）'!BU22/10000)</f>
        <v/>
      </c>
      <c r="BV22" s="225">
        <f>IF('CF表（ご主人様死亡時）'!BV$3="","",'CF表（ご主人様死亡時）'!BV22/10000)</f>
        <v/>
      </c>
      <c r="BW22" s="225">
        <f>IF('CF表（ご主人様死亡時）'!BW$3="","",'CF表（ご主人様死亡時）'!BW22/10000)</f>
        <v/>
      </c>
      <c r="BX22" s="225">
        <f>IF('CF表（ご主人様死亡時）'!BX$3="","",'CF表（ご主人様死亡時）'!BX22/10000)</f>
        <v/>
      </c>
      <c r="BY22" s="225">
        <f>IF('CF表（ご主人様死亡時）'!BY$3="","",'CF表（ご主人様死亡時）'!BY22/10000)</f>
        <v/>
      </c>
      <c r="BZ22" s="225">
        <f>IF('CF表（ご主人様死亡時）'!BZ$3="","",'CF表（ご主人様死亡時）'!BZ22/10000)</f>
        <v/>
      </c>
      <c r="CA22" s="225">
        <f>IF('CF表（ご主人様死亡時）'!CA$3="","",'CF表（ご主人様死亡時）'!CA22/10000)</f>
        <v/>
      </c>
      <c r="CB22" s="225">
        <f>IF('CF表（ご主人様死亡時）'!CB$3="","",'CF表（ご主人様死亡時）'!CB22/10000)</f>
        <v/>
      </c>
      <c r="CC22" s="225">
        <f>IF('CF表（ご主人様死亡時）'!CC$3="","",'CF表（ご主人様死亡時）'!CC22/10000)</f>
        <v/>
      </c>
      <c r="CD22" s="225">
        <f>IF('CF表（ご主人様死亡時）'!CD$3="","",'CF表（ご主人様死亡時）'!CD22/10000)</f>
        <v/>
      </c>
      <c r="CE22" s="225">
        <f>IF('CF表（ご主人様死亡時）'!CE$3="","",'CF表（ご主人様死亡時）'!CE22/10000)</f>
        <v/>
      </c>
      <c r="CF22" s="225">
        <f>IF('CF表（ご主人様死亡時）'!CF$3="","",'CF表（ご主人様死亡時）'!CF22/10000)</f>
        <v/>
      </c>
      <c r="CG22" s="225">
        <f>IF('CF表（ご主人様死亡時）'!CG$3="","",'CF表（ご主人様死亡時）'!CG22/10000)</f>
        <v/>
      </c>
      <c r="CH22" s="225">
        <f>IF('CF表（ご主人様死亡時）'!CH$3="","",'CF表（ご主人様死亡時）'!CH22/10000)</f>
        <v/>
      </c>
      <c r="CI22" s="225">
        <f>IF('CF表（ご主人様死亡時）'!CI$3="","",'CF表（ご主人様死亡時）'!CI22/10000)</f>
        <v/>
      </c>
      <c r="CJ22" s="225">
        <f>IF('CF表（ご主人様死亡時）'!CJ$3="","",'CF表（ご主人様死亡時）'!CJ22/10000)</f>
        <v/>
      </c>
      <c r="CK22" s="225">
        <f>IF('CF表（ご主人様死亡時）'!CK$3="","",'CF表（ご主人様死亡時）'!CK22/10000)</f>
        <v/>
      </c>
      <c r="CL22" s="225">
        <f>IF('CF表（ご主人様死亡時）'!CL$3="","",'CF表（ご主人様死亡時）'!CL22/10000)</f>
        <v/>
      </c>
      <c r="CM22" s="225">
        <f>IF('CF表（ご主人様死亡時）'!CM$3="","",'CF表（ご主人様死亡時）'!CM22/10000)</f>
        <v/>
      </c>
      <c r="CN22" s="225">
        <f>IF('CF表（ご主人様死亡時）'!CN$3="","",'CF表（ご主人様死亡時）'!CN22/10000)</f>
        <v/>
      </c>
      <c r="CO22" s="225">
        <f>IF('CF表（ご主人様死亡時）'!CO$3="","",'CF表（ご主人様死亡時）'!CO22/10000)</f>
        <v/>
      </c>
      <c r="CP22" s="225">
        <f>IF('CF表（ご主人様死亡時）'!CP$3="","",'CF表（ご主人様死亡時）'!CP22/10000)</f>
        <v/>
      </c>
      <c r="CQ22" s="225">
        <f>IF('CF表（ご主人様死亡時）'!CQ$3="","",'CF表（ご主人様死亡時）'!CQ22/10000)</f>
        <v/>
      </c>
      <c r="CR22" s="225">
        <f>IF('CF表（ご主人様死亡時）'!CR$3="","",'CF表（ご主人様死亡時）'!CR22/10000)</f>
        <v/>
      </c>
      <c r="CS22" s="225">
        <f>IF('CF表（ご主人様死亡時）'!CS$3="","",'CF表（ご主人様死亡時）'!CS22/10000)</f>
        <v/>
      </c>
      <c r="CT22" s="225">
        <f>IF('CF表（ご主人様死亡時）'!CT$3="","",'CF表（ご主人様死亡時）'!CT22/10000)</f>
        <v/>
      </c>
      <c r="CU22" s="225">
        <f>IF('CF表（ご主人様死亡時）'!CU$3="","",'CF表（ご主人様死亡時）'!CU22/10000)</f>
        <v/>
      </c>
      <c r="CV22" s="225">
        <f>IF('CF表（ご主人様死亡時）'!CV$3="","",'CF表（ご主人様死亡時）'!CV22/10000)</f>
        <v/>
      </c>
      <c r="CW22" s="225">
        <f>IF('CF表（ご主人様死亡時）'!CW$3="","",'CF表（ご主人様死亡時）'!CW22/10000)</f>
        <v/>
      </c>
    </row>
    <row r="23" ht="15" customHeight="1" s="180">
      <c r="A23" s="224" t="inlineStr">
        <is>
          <t>定期系保険料</t>
        </is>
      </c>
      <c r="B23" s="225">
        <f>IF('CF表（ご主人様死亡時）'!B$3="","",'CF表（ご主人様死亡時）'!B23/10000)</f>
        <v/>
      </c>
      <c r="C23" s="225">
        <f>IF('CF表（ご主人様死亡時）'!C$3="","",'CF表（ご主人様死亡時）'!C23/10000)</f>
        <v/>
      </c>
      <c r="D23" s="225">
        <f>IF('CF表（ご主人様死亡時）'!D$3="","",'CF表（ご主人様死亡時）'!D23/10000)</f>
        <v/>
      </c>
      <c r="E23" s="225">
        <f>IF('CF表（ご主人様死亡時）'!E$3="","",'CF表（ご主人様死亡時）'!E23/10000)</f>
        <v/>
      </c>
      <c r="F23" s="225">
        <f>IF('CF表（ご主人様死亡時）'!F$3="","",'CF表（ご主人様死亡時）'!F23/10000)</f>
        <v/>
      </c>
      <c r="G23" s="225">
        <f>IF('CF表（ご主人様死亡時）'!G$3="","",'CF表（ご主人様死亡時）'!G23/10000)</f>
        <v/>
      </c>
      <c r="H23" s="225">
        <f>IF('CF表（ご主人様死亡時）'!H$3="","",'CF表（ご主人様死亡時）'!H23/10000)</f>
        <v/>
      </c>
      <c r="I23" s="225">
        <f>IF('CF表（ご主人様死亡時）'!I$3="","",'CF表（ご主人様死亡時）'!I23/10000)</f>
        <v/>
      </c>
      <c r="J23" s="225">
        <f>IF('CF表（ご主人様死亡時）'!J$3="","",'CF表（ご主人様死亡時）'!J23/10000)</f>
        <v/>
      </c>
      <c r="K23" s="225">
        <f>IF('CF表（ご主人様死亡時）'!K$3="","",'CF表（ご主人様死亡時）'!K23/10000)</f>
        <v/>
      </c>
      <c r="L23" s="225">
        <f>IF('CF表（ご主人様死亡時）'!L$3="","",'CF表（ご主人様死亡時）'!L23/10000)</f>
        <v/>
      </c>
      <c r="M23" s="225">
        <f>IF('CF表（ご主人様死亡時）'!M$3="","",'CF表（ご主人様死亡時）'!M23/10000)</f>
        <v/>
      </c>
      <c r="N23" s="225">
        <f>IF('CF表（ご主人様死亡時）'!N$3="","",'CF表（ご主人様死亡時）'!N23/10000)</f>
        <v/>
      </c>
      <c r="O23" s="225">
        <f>IF('CF表（ご主人様死亡時）'!O$3="","",'CF表（ご主人様死亡時）'!O23/10000)</f>
        <v/>
      </c>
      <c r="P23" s="225">
        <f>IF('CF表（ご主人様死亡時）'!P$3="","",'CF表（ご主人様死亡時）'!P23/10000)</f>
        <v/>
      </c>
      <c r="Q23" s="225">
        <f>IF('CF表（ご主人様死亡時）'!Q$3="","",'CF表（ご主人様死亡時）'!Q23/10000)</f>
        <v/>
      </c>
      <c r="R23" s="225">
        <f>IF('CF表（ご主人様死亡時）'!R$3="","",'CF表（ご主人様死亡時）'!R23/10000)</f>
        <v/>
      </c>
      <c r="S23" s="225">
        <f>IF('CF表（ご主人様死亡時）'!S$3="","",'CF表（ご主人様死亡時）'!S23/10000)</f>
        <v/>
      </c>
      <c r="T23" s="225">
        <f>IF('CF表（ご主人様死亡時）'!T$3="","",'CF表（ご主人様死亡時）'!T23/10000)</f>
        <v/>
      </c>
      <c r="U23" s="225">
        <f>IF('CF表（ご主人様死亡時）'!U$3="","",'CF表（ご主人様死亡時）'!U23/10000)</f>
        <v/>
      </c>
      <c r="V23" s="225">
        <f>IF('CF表（ご主人様死亡時）'!V$3="","",'CF表（ご主人様死亡時）'!V23/10000)</f>
        <v/>
      </c>
      <c r="W23" s="225">
        <f>IF('CF表（ご主人様死亡時）'!W$3="","",'CF表（ご主人様死亡時）'!W23/10000)</f>
        <v/>
      </c>
      <c r="X23" s="225">
        <f>IF('CF表（ご主人様死亡時）'!X$3="","",'CF表（ご主人様死亡時）'!X23/10000)</f>
        <v/>
      </c>
      <c r="Y23" s="225">
        <f>IF('CF表（ご主人様死亡時）'!Y$3="","",'CF表（ご主人様死亡時）'!Y23/10000)</f>
        <v/>
      </c>
      <c r="Z23" s="225">
        <f>IF('CF表（ご主人様死亡時）'!Z$3="","",'CF表（ご主人様死亡時）'!Z23/10000)</f>
        <v/>
      </c>
      <c r="AA23" s="225">
        <f>IF('CF表（ご主人様死亡時）'!AA$3="","",'CF表（ご主人様死亡時）'!AA23/10000)</f>
        <v/>
      </c>
      <c r="AB23" s="225">
        <f>IF('CF表（ご主人様死亡時）'!AB$3="","",'CF表（ご主人様死亡時）'!AB23/10000)</f>
        <v/>
      </c>
      <c r="AC23" s="225">
        <f>IF('CF表（ご主人様死亡時）'!AC$3="","",'CF表（ご主人様死亡時）'!AC23/10000)</f>
        <v/>
      </c>
      <c r="AD23" s="225">
        <f>IF('CF表（ご主人様死亡時）'!AD$3="","",'CF表（ご主人様死亡時）'!AD23/10000)</f>
        <v/>
      </c>
      <c r="AE23" s="225">
        <f>IF('CF表（ご主人様死亡時）'!AE$3="","",'CF表（ご主人様死亡時）'!AE23/10000)</f>
        <v/>
      </c>
      <c r="AF23" s="225">
        <f>IF('CF表（ご主人様死亡時）'!AF$3="","",'CF表（ご主人様死亡時）'!AF23/10000)</f>
        <v/>
      </c>
      <c r="AG23" s="225">
        <f>IF('CF表（ご主人様死亡時）'!AG$3="","",'CF表（ご主人様死亡時）'!AG23/10000)</f>
        <v/>
      </c>
      <c r="AH23" s="225">
        <f>IF('CF表（ご主人様死亡時）'!AH$3="","",'CF表（ご主人様死亡時）'!AH23/10000)</f>
        <v/>
      </c>
      <c r="AI23" s="225">
        <f>IF('CF表（ご主人様死亡時）'!AI$3="","",'CF表（ご主人様死亡時）'!AI23/10000)</f>
        <v/>
      </c>
      <c r="AJ23" s="225">
        <f>IF('CF表（ご主人様死亡時）'!AJ$3="","",'CF表（ご主人様死亡時）'!AJ23/10000)</f>
        <v/>
      </c>
      <c r="AK23" s="225">
        <f>IF('CF表（ご主人様死亡時）'!AK$3="","",'CF表（ご主人様死亡時）'!AK23/10000)</f>
        <v/>
      </c>
      <c r="AL23" s="225">
        <f>IF('CF表（ご主人様死亡時）'!AL$3="","",'CF表（ご主人様死亡時）'!AL23/10000)</f>
        <v/>
      </c>
      <c r="AM23" s="225">
        <f>IF('CF表（ご主人様死亡時）'!AM$3="","",'CF表（ご主人様死亡時）'!AM23/10000)</f>
        <v/>
      </c>
      <c r="AN23" s="225">
        <f>IF('CF表（ご主人様死亡時）'!AN$3="","",'CF表（ご主人様死亡時）'!AN23/10000)</f>
        <v/>
      </c>
      <c r="AO23" s="225">
        <f>IF('CF表（ご主人様死亡時）'!AO$3="","",'CF表（ご主人様死亡時）'!AO23/10000)</f>
        <v/>
      </c>
      <c r="AP23" s="225">
        <f>IF('CF表（ご主人様死亡時）'!AP$3="","",'CF表（ご主人様死亡時）'!AP23/10000)</f>
        <v/>
      </c>
      <c r="AQ23" s="225">
        <f>IF('CF表（ご主人様死亡時）'!AQ$3="","",'CF表（ご主人様死亡時）'!AQ23/10000)</f>
        <v/>
      </c>
      <c r="AR23" s="225">
        <f>IF('CF表（ご主人様死亡時）'!AR$3="","",'CF表（ご主人様死亡時）'!AR23/10000)</f>
        <v/>
      </c>
      <c r="AS23" s="225">
        <f>IF('CF表（ご主人様死亡時）'!AS$3="","",'CF表（ご主人様死亡時）'!AS23/10000)</f>
        <v/>
      </c>
      <c r="AT23" s="225">
        <f>IF('CF表（ご主人様死亡時）'!AT$3="","",'CF表（ご主人様死亡時）'!AT23/10000)</f>
        <v/>
      </c>
      <c r="AU23" s="225">
        <f>IF('CF表（ご主人様死亡時）'!AU$3="","",'CF表（ご主人様死亡時）'!AU23/10000)</f>
        <v/>
      </c>
      <c r="AV23" s="225">
        <f>IF('CF表（ご主人様死亡時）'!AV$3="","",'CF表（ご主人様死亡時）'!AV23/10000)</f>
        <v/>
      </c>
      <c r="AW23" s="225">
        <f>IF('CF表（ご主人様死亡時）'!AW$3="","",'CF表（ご主人様死亡時）'!AW23/10000)</f>
        <v/>
      </c>
      <c r="AX23" s="225">
        <f>IF('CF表（ご主人様死亡時）'!AX$3="","",'CF表（ご主人様死亡時）'!AX23/10000)</f>
        <v/>
      </c>
      <c r="AY23" s="225">
        <f>IF('CF表（ご主人様死亡時）'!AY$3="","",'CF表（ご主人様死亡時）'!AY23/10000)</f>
        <v/>
      </c>
      <c r="AZ23" s="225">
        <f>IF('CF表（ご主人様死亡時）'!AZ$3="","",'CF表（ご主人様死亡時）'!AZ23/10000)</f>
        <v/>
      </c>
      <c r="BA23" s="225">
        <f>IF('CF表（ご主人様死亡時）'!BA$3="","",'CF表（ご主人様死亡時）'!BA23/10000)</f>
        <v/>
      </c>
      <c r="BB23" s="225">
        <f>IF('CF表（ご主人様死亡時）'!BB$3="","",'CF表（ご主人様死亡時）'!BB23/10000)</f>
        <v/>
      </c>
      <c r="BC23" s="225">
        <f>IF('CF表（ご主人様死亡時）'!BC$3="","",'CF表（ご主人様死亡時）'!BC23/10000)</f>
        <v/>
      </c>
      <c r="BD23" s="225">
        <f>IF('CF表（ご主人様死亡時）'!BD$3="","",'CF表（ご主人様死亡時）'!BD23/10000)</f>
        <v/>
      </c>
      <c r="BE23" s="225">
        <f>IF('CF表（ご主人様死亡時）'!BE$3="","",'CF表（ご主人様死亡時）'!BE23/10000)</f>
        <v/>
      </c>
      <c r="BF23" s="225">
        <f>IF('CF表（ご主人様死亡時）'!BF$3="","",'CF表（ご主人様死亡時）'!BF23/10000)</f>
        <v/>
      </c>
      <c r="BG23" s="225">
        <f>IF('CF表（ご主人様死亡時）'!BG$3="","",'CF表（ご主人様死亡時）'!BG23/10000)</f>
        <v/>
      </c>
      <c r="BH23" s="225">
        <f>IF('CF表（ご主人様死亡時）'!BH$3="","",'CF表（ご主人様死亡時）'!BH23/10000)</f>
        <v/>
      </c>
      <c r="BI23" s="225">
        <f>IF('CF表（ご主人様死亡時）'!BI$3="","",'CF表（ご主人様死亡時）'!BI23/10000)</f>
        <v/>
      </c>
      <c r="BJ23" s="225">
        <f>IF('CF表（ご主人様死亡時）'!BJ$3="","",'CF表（ご主人様死亡時）'!BJ23/10000)</f>
        <v/>
      </c>
      <c r="BK23" s="225">
        <f>IF('CF表（ご主人様死亡時）'!BK$3="","",'CF表（ご主人様死亡時）'!BK23/10000)</f>
        <v/>
      </c>
      <c r="BL23" s="225">
        <f>IF('CF表（ご主人様死亡時）'!BL$3="","",'CF表（ご主人様死亡時）'!BL23/10000)</f>
        <v/>
      </c>
      <c r="BM23" s="225">
        <f>IF('CF表（ご主人様死亡時）'!BM$3="","",'CF表（ご主人様死亡時）'!BM23/10000)</f>
        <v/>
      </c>
      <c r="BN23" s="225">
        <f>IF('CF表（ご主人様死亡時）'!BN$3="","",'CF表（ご主人様死亡時）'!BN23/10000)</f>
        <v/>
      </c>
      <c r="BO23" s="225">
        <f>IF('CF表（ご主人様死亡時）'!BO$3="","",'CF表（ご主人様死亡時）'!BO23/10000)</f>
        <v/>
      </c>
      <c r="BP23" s="225">
        <f>IF('CF表（ご主人様死亡時）'!BP$3="","",'CF表（ご主人様死亡時）'!BP23/10000)</f>
        <v/>
      </c>
      <c r="BQ23" s="225">
        <f>IF('CF表（ご主人様死亡時）'!BQ$3="","",'CF表（ご主人様死亡時）'!BQ23/10000)</f>
        <v/>
      </c>
      <c r="BR23" s="225">
        <f>IF('CF表（ご主人様死亡時）'!BR$3="","",'CF表（ご主人様死亡時）'!BR23/10000)</f>
        <v/>
      </c>
      <c r="BS23" s="225">
        <f>IF('CF表（ご主人様死亡時）'!BS$3="","",'CF表（ご主人様死亡時）'!BS23/10000)</f>
        <v/>
      </c>
      <c r="BT23" s="225">
        <f>IF('CF表（ご主人様死亡時）'!BT$3="","",'CF表（ご主人様死亡時）'!BT23/10000)</f>
        <v/>
      </c>
      <c r="BU23" s="225">
        <f>IF('CF表（ご主人様死亡時）'!BU$3="","",'CF表（ご主人様死亡時）'!BU23/10000)</f>
        <v/>
      </c>
      <c r="BV23" s="225">
        <f>IF('CF表（ご主人様死亡時）'!BV$3="","",'CF表（ご主人様死亡時）'!BV23/10000)</f>
        <v/>
      </c>
      <c r="BW23" s="225">
        <f>IF('CF表（ご主人様死亡時）'!BW$3="","",'CF表（ご主人様死亡時）'!BW23/10000)</f>
        <v/>
      </c>
      <c r="BX23" s="225">
        <f>IF('CF表（ご主人様死亡時）'!BX$3="","",'CF表（ご主人様死亡時）'!BX23/10000)</f>
        <v/>
      </c>
      <c r="BY23" s="225">
        <f>IF('CF表（ご主人様死亡時）'!BY$3="","",'CF表（ご主人様死亡時）'!BY23/10000)</f>
        <v/>
      </c>
      <c r="BZ23" s="225">
        <f>IF('CF表（ご主人様死亡時）'!BZ$3="","",'CF表（ご主人様死亡時）'!BZ23/10000)</f>
        <v/>
      </c>
      <c r="CA23" s="225">
        <f>IF('CF表（ご主人様死亡時）'!CA$3="","",'CF表（ご主人様死亡時）'!CA23/10000)</f>
        <v/>
      </c>
      <c r="CB23" s="225">
        <f>IF('CF表（ご主人様死亡時）'!CB$3="","",'CF表（ご主人様死亡時）'!CB23/10000)</f>
        <v/>
      </c>
      <c r="CC23" s="225">
        <f>IF('CF表（ご主人様死亡時）'!CC$3="","",'CF表（ご主人様死亡時）'!CC23/10000)</f>
        <v/>
      </c>
      <c r="CD23" s="225">
        <f>IF('CF表（ご主人様死亡時）'!CD$3="","",'CF表（ご主人様死亡時）'!CD23/10000)</f>
        <v/>
      </c>
      <c r="CE23" s="225">
        <f>IF('CF表（ご主人様死亡時）'!CE$3="","",'CF表（ご主人様死亡時）'!CE23/10000)</f>
        <v/>
      </c>
      <c r="CF23" s="225">
        <f>IF('CF表（ご主人様死亡時）'!CF$3="","",'CF表（ご主人様死亡時）'!CF23/10000)</f>
        <v/>
      </c>
      <c r="CG23" s="225">
        <f>IF('CF表（ご主人様死亡時）'!CG$3="","",'CF表（ご主人様死亡時）'!CG23/10000)</f>
        <v/>
      </c>
      <c r="CH23" s="225">
        <f>IF('CF表（ご主人様死亡時）'!CH$3="","",'CF表（ご主人様死亡時）'!CH23/10000)</f>
        <v/>
      </c>
      <c r="CI23" s="225">
        <f>IF('CF表（ご主人様死亡時）'!CI$3="","",'CF表（ご主人様死亡時）'!CI23/10000)</f>
        <v/>
      </c>
      <c r="CJ23" s="225">
        <f>IF('CF表（ご主人様死亡時）'!CJ$3="","",'CF表（ご主人様死亡時）'!CJ23/10000)</f>
        <v/>
      </c>
      <c r="CK23" s="225">
        <f>IF('CF表（ご主人様死亡時）'!CK$3="","",'CF表（ご主人様死亡時）'!CK23/10000)</f>
        <v/>
      </c>
      <c r="CL23" s="225">
        <f>IF('CF表（ご主人様死亡時）'!CL$3="","",'CF表（ご主人様死亡時）'!CL23/10000)</f>
        <v/>
      </c>
      <c r="CM23" s="225">
        <f>IF('CF表（ご主人様死亡時）'!CM$3="","",'CF表（ご主人様死亡時）'!CM23/10000)</f>
        <v/>
      </c>
      <c r="CN23" s="225">
        <f>IF('CF表（ご主人様死亡時）'!CN$3="","",'CF表（ご主人様死亡時）'!CN23/10000)</f>
        <v/>
      </c>
      <c r="CO23" s="225">
        <f>IF('CF表（ご主人様死亡時）'!CO$3="","",'CF表（ご主人様死亡時）'!CO23/10000)</f>
        <v/>
      </c>
      <c r="CP23" s="225">
        <f>IF('CF表（ご主人様死亡時）'!CP$3="","",'CF表（ご主人様死亡時）'!CP23/10000)</f>
        <v/>
      </c>
      <c r="CQ23" s="225">
        <f>IF('CF表（ご主人様死亡時）'!CQ$3="","",'CF表（ご主人様死亡時）'!CQ23/10000)</f>
        <v/>
      </c>
      <c r="CR23" s="225">
        <f>IF('CF表（ご主人様死亡時）'!CR$3="","",'CF表（ご主人様死亡時）'!CR23/10000)</f>
        <v/>
      </c>
      <c r="CS23" s="225">
        <f>IF('CF表（ご主人様死亡時）'!CS$3="","",'CF表（ご主人様死亡時）'!CS23/10000)</f>
        <v/>
      </c>
      <c r="CT23" s="225">
        <f>IF('CF表（ご主人様死亡時）'!CT$3="","",'CF表（ご主人様死亡時）'!CT23/10000)</f>
        <v/>
      </c>
      <c r="CU23" s="225">
        <f>IF('CF表（ご主人様死亡時）'!CU$3="","",'CF表（ご主人様死亡時）'!CU23/10000)</f>
        <v/>
      </c>
      <c r="CV23" s="225">
        <f>IF('CF表（ご主人様死亡時）'!CV$3="","",'CF表（ご主人様死亡時）'!CV23/10000)</f>
        <v/>
      </c>
      <c r="CW23" s="225">
        <f>IF('CF表（ご主人様死亡時）'!CW$3="","",'CF表（ご主人様死亡時）'!CW23/10000)</f>
        <v/>
      </c>
    </row>
    <row r="24" ht="15" customHeight="1" s="180">
      <c r="A24" s="224" t="inlineStr">
        <is>
          <t>教育費</t>
        </is>
      </c>
      <c r="B24" s="225">
        <f>IF('CF表（ご主人様死亡時）'!B$3="","",'CF表（ご主人様死亡時）'!B24/10000)</f>
        <v/>
      </c>
      <c r="C24" s="225">
        <f>IF('CF表（ご主人様死亡時）'!C$3="","",'CF表（ご主人様死亡時）'!C24/10000)</f>
        <v/>
      </c>
      <c r="D24" s="225">
        <f>IF('CF表（ご主人様死亡時）'!D$3="","",'CF表（ご主人様死亡時）'!D24/10000)</f>
        <v/>
      </c>
      <c r="E24" s="225">
        <f>IF('CF表（ご主人様死亡時）'!E$3="","",'CF表（ご主人様死亡時）'!E24/10000)</f>
        <v/>
      </c>
      <c r="F24" s="225">
        <f>IF('CF表（ご主人様死亡時）'!F$3="","",'CF表（ご主人様死亡時）'!F24/10000)</f>
        <v/>
      </c>
      <c r="G24" s="225">
        <f>IF('CF表（ご主人様死亡時）'!G$3="","",'CF表（ご主人様死亡時）'!G24/10000)</f>
        <v/>
      </c>
      <c r="H24" s="225">
        <f>IF('CF表（ご主人様死亡時）'!H$3="","",'CF表（ご主人様死亡時）'!H24/10000)</f>
        <v/>
      </c>
      <c r="I24" s="225">
        <f>IF('CF表（ご主人様死亡時）'!I$3="","",'CF表（ご主人様死亡時）'!I24/10000)</f>
        <v/>
      </c>
      <c r="J24" s="225">
        <f>IF('CF表（ご主人様死亡時）'!J$3="","",'CF表（ご主人様死亡時）'!J24/10000)</f>
        <v/>
      </c>
      <c r="K24" s="225">
        <f>IF('CF表（ご主人様死亡時）'!K$3="","",'CF表（ご主人様死亡時）'!K24/10000)</f>
        <v/>
      </c>
      <c r="L24" s="225">
        <f>IF('CF表（ご主人様死亡時）'!L$3="","",'CF表（ご主人様死亡時）'!L24/10000)</f>
        <v/>
      </c>
      <c r="M24" s="225">
        <f>IF('CF表（ご主人様死亡時）'!M$3="","",'CF表（ご主人様死亡時）'!M24/10000)</f>
        <v/>
      </c>
      <c r="N24" s="225">
        <f>IF('CF表（ご主人様死亡時）'!N$3="","",'CF表（ご主人様死亡時）'!N24/10000)</f>
        <v/>
      </c>
      <c r="O24" s="225">
        <f>IF('CF表（ご主人様死亡時）'!O$3="","",'CF表（ご主人様死亡時）'!O24/10000)</f>
        <v/>
      </c>
      <c r="P24" s="225">
        <f>IF('CF表（ご主人様死亡時）'!P$3="","",'CF表（ご主人様死亡時）'!P24/10000)</f>
        <v/>
      </c>
      <c r="Q24" s="225">
        <f>IF('CF表（ご主人様死亡時）'!Q$3="","",'CF表（ご主人様死亡時）'!Q24/10000)</f>
        <v/>
      </c>
      <c r="R24" s="225">
        <f>IF('CF表（ご主人様死亡時）'!R$3="","",'CF表（ご主人様死亡時）'!R24/10000)</f>
        <v/>
      </c>
      <c r="S24" s="225">
        <f>IF('CF表（ご主人様死亡時）'!S$3="","",'CF表（ご主人様死亡時）'!S24/10000)</f>
        <v/>
      </c>
      <c r="T24" s="225">
        <f>IF('CF表（ご主人様死亡時）'!T$3="","",'CF表（ご主人様死亡時）'!T24/10000)</f>
        <v/>
      </c>
      <c r="U24" s="225">
        <f>IF('CF表（ご主人様死亡時）'!U$3="","",'CF表（ご主人様死亡時）'!U24/10000)</f>
        <v/>
      </c>
      <c r="V24" s="225">
        <f>IF('CF表（ご主人様死亡時）'!V$3="","",'CF表（ご主人様死亡時）'!V24/10000)</f>
        <v/>
      </c>
      <c r="W24" s="225">
        <f>IF('CF表（ご主人様死亡時）'!W$3="","",'CF表（ご主人様死亡時）'!W24/10000)</f>
        <v/>
      </c>
      <c r="X24" s="225">
        <f>IF('CF表（ご主人様死亡時）'!X$3="","",'CF表（ご主人様死亡時）'!X24/10000)</f>
        <v/>
      </c>
      <c r="Y24" s="225">
        <f>IF('CF表（ご主人様死亡時）'!Y$3="","",'CF表（ご主人様死亡時）'!Y24/10000)</f>
        <v/>
      </c>
      <c r="Z24" s="225">
        <f>IF('CF表（ご主人様死亡時）'!Z$3="","",'CF表（ご主人様死亡時）'!Z24/10000)</f>
        <v/>
      </c>
      <c r="AA24" s="225">
        <f>IF('CF表（ご主人様死亡時）'!AA$3="","",'CF表（ご主人様死亡時）'!AA24/10000)</f>
        <v/>
      </c>
      <c r="AB24" s="225">
        <f>IF('CF表（ご主人様死亡時）'!AB$3="","",'CF表（ご主人様死亡時）'!AB24/10000)</f>
        <v/>
      </c>
      <c r="AC24" s="225">
        <f>IF('CF表（ご主人様死亡時）'!AC$3="","",'CF表（ご主人様死亡時）'!AC24/10000)</f>
        <v/>
      </c>
      <c r="AD24" s="225">
        <f>IF('CF表（ご主人様死亡時）'!AD$3="","",'CF表（ご主人様死亡時）'!AD24/10000)</f>
        <v/>
      </c>
      <c r="AE24" s="225">
        <f>IF('CF表（ご主人様死亡時）'!AE$3="","",'CF表（ご主人様死亡時）'!AE24/10000)</f>
        <v/>
      </c>
      <c r="AF24" s="225">
        <f>IF('CF表（ご主人様死亡時）'!AF$3="","",'CF表（ご主人様死亡時）'!AF24/10000)</f>
        <v/>
      </c>
      <c r="AG24" s="225">
        <f>IF('CF表（ご主人様死亡時）'!AG$3="","",'CF表（ご主人様死亡時）'!AG24/10000)</f>
        <v/>
      </c>
      <c r="AH24" s="225">
        <f>IF('CF表（ご主人様死亡時）'!AH$3="","",'CF表（ご主人様死亡時）'!AH24/10000)</f>
        <v/>
      </c>
      <c r="AI24" s="225">
        <f>IF('CF表（ご主人様死亡時）'!AI$3="","",'CF表（ご主人様死亡時）'!AI24/10000)</f>
        <v/>
      </c>
      <c r="AJ24" s="225">
        <f>IF('CF表（ご主人様死亡時）'!AJ$3="","",'CF表（ご主人様死亡時）'!AJ24/10000)</f>
        <v/>
      </c>
      <c r="AK24" s="225">
        <f>IF('CF表（ご主人様死亡時）'!AK$3="","",'CF表（ご主人様死亡時）'!AK24/10000)</f>
        <v/>
      </c>
      <c r="AL24" s="225">
        <f>IF('CF表（ご主人様死亡時）'!AL$3="","",'CF表（ご主人様死亡時）'!AL24/10000)</f>
        <v/>
      </c>
      <c r="AM24" s="225">
        <f>IF('CF表（ご主人様死亡時）'!AM$3="","",'CF表（ご主人様死亡時）'!AM24/10000)</f>
        <v/>
      </c>
      <c r="AN24" s="225">
        <f>IF('CF表（ご主人様死亡時）'!AN$3="","",'CF表（ご主人様死亡時）'!AN24/10000)</f>
        <v/>
      </c>
      <c r="AO24" s="225">
        <f>IF('CF表（ご主人様死亡時）'!AO$3="","",'CF表（ご主人様死亡時）'!AO24/10000)</f>
        <v/>
      </c>
      <c r="AP24" s="225">
        <f>IF('CF表（ご主人様死亡時）'!AP$3="","",'CF表（ご主人様死亡時）'!AP24/10000)</f>
        <v/>
      </c>
      <c r="AQ24" s="225">
        <f>IF('CF表（ご主人様死亡時）'!AQ$3="","",'CF表（ご主人様死亡時）'!AQ24/10000)</f>
        <v/>
      </c>
      <c r="AR24" s="225">
        <f>IF('CF表（ご主人様死亡時）'!AR$3="","",'CF表（ご主人様死亡時）'!AR24/10000)</f>
        <v/>
      </c>
      <c r="AS24" s="225">
        <f>IF('CF表（ご主人様死亡時）'!AS$3="","",'CF表（ご主人様死亡時）'!AS24/10000)</f>
        <v/>
      </c>
      <c r="AT24" s="225">
        <f>IF('CF表（ご主人様死亡時）'!AT$3="","",'CF表（ご主人様死亡時）'!AT24/10000)</f>
        <v/>
      </c>
      <c r="AU24" s="225">
        <f>IF('CF表（ご主人様死亡時）'!AU$3="","",'CF表（ご主人様死亡時）'!AU24/10000)</f>
        <v/>
      </c>
      <c r="AV24" s="225">
        <f>IF('CF表（ご主人様死亡時）'!AV$3="","",'CF表（ご主人様死亡時）'!AV24/10000)</f>
        <v/>
      </c>
      <c r="AW24" s="225">
        <f>IF('CF表（ご主人様死亡時）'!AW$3="","",'CF表（ご主人様死亡時）'!AW24/10000)</f>
        <v/>
      </c>
      <c r="AX24" s="225">
        <f>IF('CF表（ご主人様死亡時）'!AX$3="","",'CF表（ご主人様死亡時）'!AX24/10000)</f>
        <v/>
      </c>
      <c r="AY24" s="225">
        <f>IF('CF表（ご主人様死亡時）'!AY$3="","",'CF表（ご主人様死亡時）'!AY24/10000)</f>
        <v/>
      </c>
      <c r="AZ24" s="225">
        <f>IF('CF表（ご主人様死亡時）'!AZ$3="","",'CF表（ご主人様死亡時）'!AZ24/10000)</f>
        <v/>
      </c>
      <c r="BA24" s="225">
        <f>IF('CF表（ご主人様死亡時）'!BA$3="","",'CF表（ご主人様死亡時）'!BA24/10000)</f>
        <v/>
      </c>
      <c r="BB24" s="225">
        <f>IF('CF表（ご主人様死亡時）'!BB$3="","",'CF表（ご主人様死亡時）'!BB24/10000)</f>
        <v/>
      </c>
      <c r="BC24" s="225">
        <f>IF('CF表（ご主人様死亡時）'!BC$3="","",'CF表（ご主人様死亡時）'!BC24/10000)</f>
        <v/>
      </c>
      <c r="BD24" s="225">
        <f>IF('CF表（ご主人様死亡時）'!BD$3="","",'CF表（ご主人様死亡時）'!BD24/10000)</f>
        <v/>
      </c>
      <c r="BE24" s="225">
        <f>IF('CF表（ご主人様死亡時）'!BE$3="","",'CF表（ご主人様死亡時）'!BE24/10000)</f>
        <v/>
      </c>
      <c r="BF24" s="225">
        <f>IF('CF表（ご主人様死亡時）'!BF$3="","",'CF表（ご主人様死亡時）'!BF24/10000)</f>
        <v/>
      </c>
      <c r="BG24" s="225">
        <f>IF('CF表（ご主人様死亡時）'!BG$3="","",'CF表（ご主人様死亡時）'!BG24/10000)</f>
        <v/>
      </c>
      <c r="BH24" s="225">
        <f>IF('CF表（ご主人様死亡時）'!BH$3="","",'CF表（ご主人様死亡時）'!BH24/10000)</f>
        <v/>
      </c>
      <c r="BI24" s="225">
        <f>IF('CF表（ご主人様死亡時）'!BI$3="","",'CF表（ご主人様死亡時）'!BI24/10000)</f>
        <v/>
      </c>
      <c r="BJ24" s="225">
        <f>IF('CF表（ご主人様死亡時）'!BJ$3="","",'CF表（ご主人様死亡時）'!BJ24/10000)</f>
        <v/>
      </c>
      <c r="BK24" s="225">
        <f>IF('CF表（ご主人様死亡時）'!BK$3="","",'CF表（ご主人様死亡時）'!BK24/10000)</f>
        <v/>
      </c>
      <c r="BL24" s="225">
        <f>IF('CF表（ご主人様死亡時）'!BL$3="","",'CF表（ご主人様死亡時）'!BL24/10000)</f>
        <v/>
      </c>
      <c r="BM24" s="225">
        <f>IF('CF表（ご主人様死亡時）'!BM$3="","",'CF表（ご主人様死亡時）'!BM24/10000)</f>
        <v/>
      </c>
      <c r="BN24" s="225">
        <f>IF('CF表（ご主人様死亡時）'!BN$3="","",'CF表（ご主人様死亡時）'!BN24/10000)</f>
        <v/>
      </c>
      <c r="BO24" s="225">
        <f>IF('CF表（ご主人様死亡時）'!BO$3="","",'CF表（ご主人様死亡時）'!BO24/10000)</f>
        <v/>
      </c>
      <c r="BP24" s="225">
        <f>IF('CF表（ご主人様死亡時）'!BP$3="","",'CF表（ご主人様死亡時）'!BP24/10000)</f>
        <v/>
      </c>
      <c r="BQ24" s="225">
        <f>IF('CF表（ご主人様死亡時）'!BQ$3="","",'CF表（ご主人様死亡時）'!BQ24/10000)</f>
        <v/>
      </c>
      <c r="BR24" s="225">
        <f>IF('CF表（ご主人様死亡時）'!BR$3="","",'CF表（ご主人様死亡時）'!BR24/10000)</f>
        <v/>
      </c>
      <c r="BS24" s="225">
        <f>IF('CF表（ご主人様死亡時）'!BS$3="","",'CF表（ご主人様死亡時）'!BS24/10000)</f>
        <v/>
      </c>
      <c r="BT24" s="225">
        <f>IF('CF表（ご主人様死亡時）'!BT$3="","",'CF表（ご主人様死亡時）'!BT24/10000)</f>
        <v/>
      </c>
      <c r="BU24" s="225">
        <f>IF('CF表（ご主人様死亡時）'!BU$3="","",'CF表（ご主人様死亡時）'!BU24/10000)</f>
        <v/>
      </c>
      <c r="BV24" s="225">
        <f>IF('CF表（ご主人様死亡時）'!BV$3="","",'CF表（ご主人様死亡時）'!BV24/10000)</f>
        <v/>
      </c>
      <c r="BW24" s="225">
        <f>IF('CF表（ご主人様死亡時）'!BW$3="","",'CF表（ご主人様死亡時）'!BW24/10000)</f>
        <v/>
      </c>
      <c r="BX24" s="225">
        <f>IF('CF表（ご主人様死亡時）'!BX$3="","",'CF表（ご主人様死亡時）'!BX24/10000)</f>
        <v/>
      </c>
      <c r="BY24" s="225">
        <f>IF('CF表（ご主人様死亡時）'!BY$3="","",'CF表（ご主人様死亡時）'!BY24/10000)</f>
        <v/>
      </c>
      <c r="BZ24" s="225">
        <f>IF('CF表（ご主人様死亡時）'!BZ$3="","",'CF表（ご主人様死亡時）'!BZ24/10000)</f>
        <v/>
      </c>
      <c r="CA24" s="225">
        <f>IF('CF表（ご主人様死亡時）'!CA$3="","",'CF表（ご主人様死亡時）'!CA24/10000)</f>
        <v/>
      </c>
      <c r="CB24" s="225">
        <f>IF('CF表（ご主人様死亡時）'!CB$3="","",'CF表（ご主人様死亡時）'!CB24/10000)</f>
        <v/>
      </c>
      <c r="CC24" s="225">
        <f>IF('CF表（ご主人様死亡時）'!CC$3="","",'CF表（ご主人様死亡時）'!CC24/10000)</f>
        <v/>
      </c>
      <c r="CD24" s="225">
        <f>IF('CF表（ご主人様死亡時）'!CD$3="","",'CF表（ご主人様死亡時）'!CD24/10000)</f>
        <v/>
      </c>
      <c r="CE24" s="225">
        <f>IF('CF表（ご主人様死亡時）'!CE$3="","",'CF表（ご主人様死亡時）'!CE24/10000)</f>
        <v/>
      </c>
      <c r="CF24" s="225">
        <f>IF('CF表（ご主人様死亡時）'!CF$3="","",'CF表（ご主人様死亡時）'!CF24/10000)</f>
        <v/>
      </c>
      <c r="CG24" s="225">
        <f>IF('CF表（ご主人様死亡時）'!CG$3="","",'CF表（ご主人様死亡時）'!CG24/10000)</f>
        <v/>
      </c>
      <c r="CH24" s="225">
        <f>IF('CF表（ご主人様死亡時）'!CH$3="","",'CF表（ご主人様死亡時）'!CH24/10000)</f>
        <v/>
      </c>
      <c r="CI24" s="225">
        <f>IF('CF表（ご主人様死亡時）'!CI$3="","",'CF表（ご主人様死亡時）'!CI24/10000)</f>
        <v/>
      </c>
      <c r="CJ24" s="225">
        <f>IF('CF表（ご主人様死亡時）'!CJ$3="","",'CF表（ご主人様死亡時）'!CJ24/10000)</f>
        <v/>
      </c>
      <c r="CK24" s="225">
        <f>IF('CF表（ご主人様死亡時）'!CK$3="","",'CF表（ご主人様死亡時）'!CK24/10000)</f>
        <v/>
      </c>
      <c r="CL24" s="225">
        <f>IF('CF表（ご主人様死亡時）'!CL$3="","",'CF表（ご主人様死亡時）'!CL24/10000)</f>
        <v/>
      </c>
      <c r="CM24" s="225">
        <f>IF('CF表（ご主人様死亡時）'!CM$3="","",'CF表（ご主人様死亡時）'!CM24/10000)</f>
        <v/>
      </c>
      <c r="CN24" s="225">
        <f>IF('CF表（ご主人様死亡時）'!CN$3="","",'CF表（ご主人様死亡時）'!CN24/10000)</f>
        <v/>
      </c>
      <c r="CO24" s="225">
        <f>IF('CF表（ご主人様死亡時）'!CO$3="","",'CF表（ご主人様死亡時）'!CO24/10000)</f>
        <v/>
      </c>
      <c r="CP24" s="225">
        <f>IF('CF表（ご主人様死亡時）'!CP$3="","",'CF表（ご主人様死亡時）'!CP24/10000)</f>
        <v/>
      </c>
      <c r="CQ24" s="225">
        <f>IF('CF表（ご主人様死亡時）'!CQ$3="","",'CF表（ご主人様死亡時）'!CQ24/10000)</f>
        <v/>
      </c>
      <c r="CR24" s="225">
        <f>IF('CF表（ご主人様死亡時）'!CR$3="","",'CF表（ご主人様死亡時）'!CR24/10000)</f>
        <v/>
      </c>
      <c r="CS24" s="225">
        <f>IF('CF表（ご主人様死亡時）'!CS$3="","",'CF表（ご主人様死亡時）'!CS24/10000)</f>
        <v/>
      </c>
      <c r="CT24" s="225">
        <f>IF('CF表（ご主人様死亡時）'!CT$3="","",'CF表（ご主人様死亡時）'!CT24/10000)</f>
        <v/>
      </c>
      <c r="CU24" s="225">
        <f>IF('CF表（ご主人様死亡時）'!CU$3="","",'CF表（ご主人様死亡時）'!CU24/10000)</f>
        <v/>
      </c>
      <c r="CV24" s="225">
        <f>IF('CF表（ご主人様死亡時）'!CV$3="","",'CF表（ご主人様死亡時）'!CV24/10000)</f>
        <v/>
      </c>
      <c r="CW24" s="225">
        <f>IF('CF表（ご主人様死亡時）'!CW$3="","",'CF表（ご主人様死亡時）'!CW24/10000)</f>
        <v/>
      </c>
    </row>
    <row r="25" ht="15" customHeight="1" s="180">
      <c r="A25" s="224" t="inlineStr">
        <is>
          <t>車関連費</t>
        </is>
      </c>
      <c r="B25" s="225">
        <f>IF('CF表（ご主人様死亡時）'!B$3="","",'CF表（ご主人様死亡時）'!B25/10000)</f>
        <v/>
      </c>
      <c r="C25" s="225">
        <f>IF('CF表（ご主人様死亡時）'!C$3="","",'CF表（ご主人様死亡時）'!C25/10000)</f>
        <v/>
      </c>
      <c r="D25" s="225">
        <f>IF('CF表（ご主人様死亡時）'!D$3="","",'CF表（ご主人様死亡時）'!D25/10000)</f>
        <v/>
      </c>
      <c r="E25" s="225">
        <f>IF('CF表（ご主人様死亡時）'!E$3="","",'CF表（ご主人様死亡時）'!E25/10000)</f>
        <v/>
      </c>
      <c r="F25" s="225">
        <f>IF('CF表（ご主人様死亡時）'!F$3="","",'CF表（ご主人様死亡時）'!F25/10000)</f>
        <v/>
      </c>
      <c r="G25" s="225">
        <f>IF('CF表（ご主人様死亡時）'!G$3="","",'CF表（ご主人様死亡時）'!G25/10000)</f>
        <v/>
      </c>
      <c r="H25" s="225">
        <f>IF('CF表（ご主人様死亡時）'!H$3="","",'CF表（ご主人様死亡時）'!H25/10000)</f>
        <v/>
      </c>
      <c r="I25" s="225">
        <f>IF('CF表（ご主人様死亡時）'!I$3="","",'CF表（ご主人様死亡時）'!I25/10000)</f>
        <v/>
      </c>
      <c r="J25" s="225">
        <f>IF('CF表（ご主人様死亡時）'!J$3="","",'CF表（ご主人様死亡時）'!J25/10000)</f>
        <v/>
      </c>
      <c r="K25" s="225">
        <f>IF('CF表（ご主人様死亡時）'!K$3="","",'CF表（ご主人様死亡時）'!K25/10000)</f>
        <v/>
      </c>
      <c r="L25" s="225">
        <f>IF('CF表（ご主人様死亡時）'!L$3="","",'CF表（ご主人様死亡時）'!L25/10000)</f>
        <v/>
      </c>
      <c r="M25" s="225">
        <f>IF('CF表（ご主人様死亡時）'!M$3="","",'CF表（ご主人様死亡時）'!M25/10000)</f>
        <v/>
      </c>
      <c r="N25" s="225">
        <f>IF('CF表（ご主人様死亡時）'!N$3="","",'CF表（ご主人様死亡時）'!N25/10000)</f>
        <v/>
      </c>
      <c r="O25" s="225">
        <f>IF('CF表（ご主人様死亡時）'!O$3="","",'CF表（ご主人様死亡時）'!O25/10000)</f>
        <v/>
      </c>
      <c r="P25" s="225">
        <f>IF('CF表（ご主人様死亡時）'!P$3="","",'CF表（ご主人様死亡時）'!P25/10000)</f>
        <v/>
      </c>
      <c r="Q25" s="225">
        <f>IF('CF表（ご主人様死亡時）'!Q$3="","",'CF表（ご主人様死亡時）'!Q25/10000)</f>
        <v/>
      </c>
      <c r="R25" s="225">
        <f>IF('CF表（ご主人様死亡時）'!R$3="","",'CF表（ご主人様死亡時）'!R25/10000)</f>
        <v/>
      </c>
      <c r="S25" s="225">
        <f>IF('CF表（ご主人様死亡時）'!S$3="","",'CF表（ご主人様死亡時）'!S25/10000)</f>
        <v/>
      </c>
      <c r="T25" s="225">
        <f>IF('CF表（ご主人様死亡時）'!T$3="","",'CF表（ご主人様死亡時）'!T25/10000)</f>
        <v/>
      </c>
      <c r="U25" s="225">
        <f>IF('CF表（ご主人様死亡時）'!U$3="","",'CF表（ご主人様死亡時）'!U25/10000)</f>
        <v/>
      </c>
      <c r="V25" s="225">
        <f>IF('CF表（ご主人様死亡時）'!V$3="","",'CF表（ご主人様死亡時）'!V25/10000)</f>
        <v/>
      </c>
      <c r="W25" s="225">
        <f>IF('CF表（ご主人様死亡時）'!W$3="","",'CF表（ご主人様死亡時）'!W25/10000)</f>
        <v/>
      </c>
      <c r="X25" s="225">
        <f>IF('CF表（ご主人様死亡時）'!X$3="","",'CF表（ご主人様死亡時）'!X25/10000)</f>
        <v/>
      </c>
      <c r="Y25" s="225">
        <f>IF('CF表（ご主人様死亡時）'!Y$3="","",'CF表（ご主人様死亡時）'!Y25/10000)</f>
        <v/>
      </c>
      <c r="Z25" s="225">
        <f>IF('CF表（ご主人様死亡時）'!Z$3="","",'CF表（ご主人様死亡時）'!Z25/10000)</f>
        <v/>
      </c>
      <c r="AA25" s="225">
        <f>IF('CF表（ご主人様死亡時）'!AA$3="","",'CF表（ご主人様死亡時）'!AA25/10000)</f>
        <v/>
      </c>
      <c r="AB25" s="225">
        <f>IF('CF表（ご主人様死亡時）'!AB$3="","",'CF表（ご主人様死亡時）'!AB25/10000)</f>
        <v/>
      </c>
      <c r="AC25" s="225">
        <f>IF('CF表（ご主人様死亡時）'!AC$3="","",'CF表（ご主人様死亡時）'!AC25/10000)</f>
        <v/>
      </c>
      <c r="AD25" s="225">
        <f>IF('CF表（ご主人様死亡時）'!AD$3="","",'CF表（ご主人様死亡時）'!AD25/10000)</f>
        <v/>
      </c>
      <c r="AE25" s="225">
        <f>IF('CF表（ご主人様死亡時）'!AE$3="","",'CF表（ご主人様死亡時）'!AE25/10000)</f>
        <v/>
      </c>
      <c r="AF25" s="225">
        <f>IF('CF表（ご主人様死亡時）'!AF$3="","",'CF表（ご主人様死亡時）'!AF25/10000)</f>
        <v/>
      </c>
      <c r="AG25" s="225">
        <f>IF('CF表（ご主人様死亡時）'!AG$3="","",'CF表（ご主人様死亡時）'!AG25/10000)</f>
        <v/>
      </c>
      <c r="AH25" s="225">
        <f>IF('CF表（ご主人様死亡時）'!AH$3="","",'CF表（ご主人様死亡時）'!AH25/10000)</f>
        <v/>
      </c>
      <c r="AI25" s="225">
        <f>IF('CF表（ご主人様死亡時）'!AI$3="","",'CF表（ご主人様死亡時）'!AI25/10000)</f>
        <v/>
      </c>
      <c r="AJ25" s="225">
        <f>IF('CF表（ご主人様死亡時）'!AJ$3="","",'CF表（ご主人様死亡時）'!AJ25/10000)</f>
        <v/>
      </c>
      <c r="AK25" s="225">
        <f>IF('CF表（ご主人様死亡時）'!AK$3="","",'CF表（ご主人様死亡時）'!AK25/10000)</f>
        <v/>
      </c>
      <c r="AL25" s="225">
        <f>IF('CF表（ご主人様死亡時）'!AL$3="","",'CF表（ご主人様死亡時）'!AL25/10000)</f>
        <v/>
      </c>
      <c r="AM25" s="225">
        <f>IF('CF表（ご主人様死亡時）'!AM$3="","",'CF表（ご主人様死亡時）'!AM25/10000)</f>
        <v/>
      </c>
      <c r="AN25" s="225">
        <f>IF('CF表（ご主人様死亡時）'!AN$3="","",'CF表（ご主人様死亡時）'!AN25/10000)</f>
        <v/>
      </c>
      <c r="AO25" s="225">
        <f>IF('CF表（ご主人様死亡時）'!AO$3="","",'CF表（ご主人様死亡時）'!AO25/10000)</f>
        <v/>
      </c>
      <c r="AP25" s="225">
        <f>IF('CF表（ご主人様死亡時）'!AP$3="","",'CF表（ご主人様死亡時）'!AP25/10000)</f>
        <v/>
      </c>
      <c r="AQ25" s="225">
        <f>IF('CF表（ご主人様死亡時）'!AQ$3="","",'CF表（ご主人様死亡時）'!AQ25/10000)</f>
        <v/>
      </c>
      <c r="AR25" s="225">
        <f>IF('CF表（ご主人様死亡時）'!AR$3="","",'CF表（ご主人様死亡時）'!AR25/10000)</f>
        <v/>
      </c>
      <c r="AS25" s="225">
        <f>IF('CF表（ご主人様死亡時）'!AS$3="","",'CF表（ご主人様死亡時）'!AS25/10000)</f>
        <v/>
      </c>
      <c r="AT25" s="225">
        <f>IF('CF表（ご主人様死亡時）'!AT$3="","",'CF表（ご主人様死亡時）'!AT25/10000)</f>
        <v/>
      </c>
      <c r="AU25" s="225">
        <f>IF('CF表（ご主人様死亡時）'!AU$3="","",'CF表（ご主人様死亡時）'!AU25/10000)</f>
        <v/>
      </c>
      <c r="AV25" s="225">
        <f>IF('CF表（ご主人様死亡時）'!AV$3="","",'CF表（ご主人様死亡時）'!AV25/10000)</f>
        <v/>
      </c>
      <c r="AW25" s="225">
        <f>IF('CF表（ご主人様死亡時）'!AW$3="","",'CF表（ご主人様死亡時）'!AW25/10000)</f>
        <v/>
      </c>
      <c r="AX25" s="225">
        <f>IF('CF表（ご主人様死亡時）'!AX$3="","",'CF表（ご主人様死亡時）'!AX25/10000)</f>
        <v/>
      </c>
      <c r="AY25" s="225">
        <f>IF('CF表（ご主人様死亡時）'!AY$3="","",'CF表（ご主人様死亡時）'!AY25/10000)</f>
        <v/>
      </c>
      <c r="AZ25" s="225">
        <f>IF('CF表（ご主人様死亡時）'!AZ$3="","",'CF表（ご主人様死亡時）'!AZ25/10000)</f>
        <v/>
      </c>
      <c r="BA25" s="225">
        <f>IF('CF表（ご主人様死亡時）'!BA$3="","",'CF表（ご主人様死亡時）'!BA25/10000)</f>
        <v/>
      </c>
      <c r="BB25" s="225">
        <f>IF('CF表（ご主人様死亡時）'!BB$3="","",'CF表（ご主人様死亡時）'!BB25/10000)</f>
        <v/>
      </c>
      <c r="BC25" s="225">
        <f>IF('CF表（ご主人様死亡時）'!BC$3="","",'CF表（ご主人様死亡時）'!BC25/10000)</f>
        <v/>
      </c>
      <c r="BD25" s="225">
        <f>IF('CF表（ご主人様死亡時）'!BD$3="","",'CF表（ご主人様死亡時）'!BD25/10000)</f>
        <v/>
      </c>
      <c r="BE25" s="225">
        <f>IF('CF表（ご主人様死亡時）'!BE$3="","",'CF表（ご主人様死亡時）'!BE25/10000)</f>
        <v/>
      </c>
      <c r="BF25" s="225">
        <f>IF('CF表（ご主人様死亡時）'!BF$3="","",'CF表（ご主人様死亡時）'!BF25/10000)</f>
        <v/>
      </c>
      <c r="BG25" s="225">
        <f>IF('CF表（ご主人様死亡時）'!BG$3="","",'CF表（ご主人様死亡時）'!BG25/10000)</f>
        <v/>
      </c>
      <c r="BH25" s="225">
        <f>IF('CF表（ご主人様死亡時）'!BH$3="","",'CF表（ご主人様死亡時）'!BH25/10000)</f>
        <v/>
      </c>
      <c r="BI25" s="225">
        <f>IF('CF表（ご主人様死亡時）'!BI$3="","",'CF表（ご主人様死亡時）'!BI25/10000)</f>
        <v/>
      </c>
      <c r="BJ25" s="225">
        <f>IF('CF表（ご主人様死亡時）'!BJ$3="","",'CF表（ご主人様死亡時）'!BJ25/10000)</f>
        <v/>
      </c>
      <c r="BK25" s="225">
        <f>IF('CF表（ご主人様死亡時）'!BK$3="","",'CF表（ご主人様死亡時）'!BK25/10000)</f>
        <v/>
      </c>
      <c r="BL25" s="225">
        <f>IF('CF表（ご主人様死亡時）'!BL$3="","",'CF表（ご主人様死亡時）'!BL25/10000)</f>
        <v/>
      </c>
      <c r="BM25" s="225">
        <f>IF('CF表（ご主人様死亡時）'!BM$3="","",'CF表（ご主人様死亡時）'!BM25/10000)</f>
        <v/>
      </c>
      <c r="BN25" s="225">
        <f>IF('CF表（ご主人様死亡時）'!BN$3="","",'CF表（ご主人様死亡時）'!BN25/10000)</f>
        <v/>
      </c>
      <c r="BO25" s="225">
        <f>IF('CF表（ご主人様死亡時）'!BO$3="","",'CF表（ご主人様死亡時）'!BO25/10000)</f>
        <v/>
      </c>
      <c r="BP25" s="225">
        <f>IF('CF表（ご主人様死亡時）'!BP$3="","",'CF表（ご主人様死亡時）'!BP25/10000)</f>
        <v/>
      </c>
      <c r="BQ25" s="225">
        <f>IF('CF表（ご主人様死亡時）'!BQ$3="","",'CF表（ご主人様死亡時）'!BQ25/10000)</f>
        <v/>
      </c>
      <c r="BR25" s="225">
        <f>IF('CF表（ご主人様死亡時）'!BR$3="","",'CF表（ご主人様死亡時）'!BR25/10000)</f>
        <v/>
      </c>
      <c r="BS25" s="225">
        <f>IF('CF表（ご主人様死亡時）'!BS$3="","",'CF表（ご主人様死亡時）'!BS25/10000)</f>
        <v/>
      </c>
      <c r="BT25" s="225">
        <f>IF('CF表（ご主人様死亡時）'!BT$3="","",'CF表（ご主人様死亡時）'!BT25/10000)</f>
        <v/>
      </c>
      <c r="BU25" s="225">
        <f>IF('CF表（ご主人様死亡時）'!BU$3="","",'CF表（ご主人様死亡時）'!BU25/10000)</f>
        <v/>
      </c>
      <c r="BV25" s="225">
        <f>IF('CF表（ご主人様死亡時）'!BV$3="","",'CF表（ご主人様死亡時）'!BV25/10000)</f>
        <v/>
      </c>
      <c r="BW25" s="225">
        <f>IF('CF表（ご主人様死亡時）'!BW$3="","",'CF表（ご主人様死亡時）'!BW25/10000)</f>
        <v/>
      </c>
      <c r="BX25" s="225">
        <f>IF('CF表（ご主人様死亡時）'!BX$3="","",'CF表（ご主人様死亡時）'!BX25/10000)</f>
        <v/>
      </c>
      <c r="BY25" s="225">
        <f>IF('CF表（ご主人様死亡時）'!BY$3="","",'CF表（ご主人様死亡時）'!BY25/10000)</f>
        <v/>
      </c>
      <c r="BZ25" s="225">
        <f>IF('CF表（ご主人様死亡時）'!BZ$3="","",'CF表（ご主人様死亡時）'!BZ25/10000)</f>
        <v/>
      </c>
      <c r="CA25" s="225">
        <f>IF('CF表（ご主人様死亡時）'!CA$3="","",'CF表（ご主人様死亡時）'!CA25/10000)</f>
        <v/>
      </c>
      <c r="CB25" s="225">
        <f>IF('CF表（ご主人様死亡時）'!CB$3="","",'CF表（ご主人様死亡時）'!CB25/10000)</f>
        <v/>
      </c>
      <c r="CC25" s="225">
        <f>IF('CF表（ご主人様死亡時）'!CC$3="","",'CF表（ご主人様死亡時）'!CC25/10000)</f>
        <v/>
      </c>
      <c r="CD25" s="225">
        <f>IF('CF表（ご主人様死亡時）'!CD$3="","",'CF表（ご主人様死亡時）'!CD25/10000)</f>
        <v/>
      </c>
      <c r="CE25" s="225">
        <f>IF('CF表（ご主人様死亡時）'!CE$3="","",'CF表（ご主人様死亡時）'!CE25/10000)</f>
        <v/>
      </c>
      <c r="CF25" s="225">
        <f>IF('CF表（ご主人様死亡時）'!CF$3="","",'CF表（ご主人様死亡時）'!CF25/10000)</f>
        <v/>
      </c>
      <c r="CG25" s="225">
        <f>IF('CF表（ご主人様死亡時）'!CG$3="","",'CF表（ご主人様死亡時）'!CG25/10000)</f>
        <v/>
      </c>
      <c r="CH25" s="225">
        <f>IF('CF表（ご主人様死亡時）'!CH$3="","",'CF表（ご主人様死亡時）'!CH25/10000)</f>
        <v/>
      </c>
      <c r="CI25" s="225">
        <f>IF('CF表（ご主人様死亡時）'!CI$3="","",'CF表（ご主人様死亡時）'!CI25/10000)</f>
        <v/>
      </c>
      <c r="CJ25" s="225">
        <f>IF('CF表（ご主人様死亡時）'!CJ$3="","",'CF表（ご主人様死亡時）'!CJ25/10000)</f>
        <v/>
      </c>
      <c r="CK25" s="225">
        <f>IF('CF表（ご主人様死亡時）'!CK$3="","",'CF表（ご主人様死亡時）'!CK25/10000)</f>
        <v/>
      </c>
      <c r="CL25" s="225">
        <f>IF('CF表（ご主人様死亡時）'!CL$3="","",'CF表（ご主人様死亡時）'!CL25/10000)</f>
        <v/>
      </c>
      <c r="CM25" s="225">
        <f>IF('CF表（ご主人様死亡時）'!CM$3="","",'CF表（ご主人様死亡時）'!CM25/10000)</f>
        <v/>
      </c>
      <c r="CN25" s="225">
        <f>IF('CF表（ご主人様死亡時）'!CN$3="","",'CF表（ご主人様死亡時）'!CN25/10000)</f>
        <v/>
      </c>
      <c r="CO25" s="225">
        <f>IF('CF表（ご主人様死亡時）'!CO$3="","",'CF表（ご主人様死亡時）'!CO25/10000)</f>
        <v/>
      </c>
      <c r="CP25" s="225">
        <f>IF('CF表（ご主人様死亡時）'!CP$3="","",'CF表（ご主人様死亡時）'!CP25/10000)</f>
        <v/>
      </c>
      <c r="CQ25" s="225">
        <f>IF('CF表（ご主人様死亡時）'!CQ$3="","",'CF表（ご主人様死亡時）'!CQ25/10000)</f>
        <v/>
      </c>
      <c r="CR25" s="225">
        <f>IF('CF表（ご主人様死亡時）'!CR$3="","",'CF表（ご主人様死亡時）'!CR25/10000)</f>
        <v/>
      </c>
      <c r="CS25" s="225">
        <f>IF('CF表（ご主人様死亡時）'!CS$3="","",'CF表（ご主人様死亡時）'!CS25/10000)</f>
        <v/>
      </c>
      <c r="CT25" s="225">
        <f>IF('CF表（ご主人様死亡時）'!CT$3="","",'CF表（ご主人様死亡時）'!CT25/10000)</f>
        <v/>
      </c>
      <c r="CU25" s="225">
        <f>IF('CF表（ご主人様死亡時）'!CU$3="","",'CF表（ご主人様死亡時）'!CU25/10000)</f>
        <v/>
      </c>
      <c r="CV25" s="225">
        <f>IF('CF表（ご主人様死亡時）'!CV$3="","",'CF表（ご主人様死亡時）'!CV25/10000)</f>
        <v/>
      </c>
      <c r="CW25" s="225">
        <f>IF('CF表（ご主人様死亡時）'!CW$3="","",'CF表（ご主人様死亡時）'!CW25/10000)</f>
        <v/>
      </c>
    </row>
    <row r="26" ht="15" customHeight="1" s="180">
      <c r="A26" s="224" t="inlineStr">
        <is>
          <t>その他支出</t>
        </is>
      </c>
      <c r="B26" s="225">
        <f>IF('CF表（ご主人様死亡時）'!B$3="","",'CF表（ご主人様死亡時）'!B26/10000)</f>
        <v/>
      </c>
      <c r="C26" s="225">
        <f>IF('CF表（ご主人様死亡時）'!C$3="","",'CF表（ご主人様死亡時）'!C26/10000)</f>
        <v/>
      </c>
      <c r="D26" s="225">
        <f>IF('CF表（ご主人様死亡時）'!D$3="","",'CF表（ご主人様死亡時）'!D26/10000)</f>
        <v/>
      </c>
      <c r="E26" s="225">
        <f>IF('CF表（ご主人様死亡時）'!E$3="","",'CF表（ご主人様死亡時）'!E26/10000)</f>
        <v/>
      </c>
      <c r="F26" s="225">
        <f>IF('CF表（ご主人様死亡時）'!F$3="","",'CF表（ご主人様死亡時）'!F26/10000)</f>
        <v/>
      </c>
      <c r="G26" s="225">
        <f>IF('CF表（ご主人様死亡時）'!G$3="","",'CF表（ご主人様死亡時）'!G26/10000)</f>
        <v/>
      </c>
      <c r="H26" s="225">
        <f>IF('CF表（ご主人様死亡時）'!H$3="","",'CF表（ご主人様死亡時）'!H26/10000)</f>
        <v/>
      </c>
      <c r="I26" s="225">
        <f>IF('CF表（ご主人様死亡時）'!I$3="","",'CF表（ご主人様死亡時）'!I26/10000)</f>
        <v/>
      </c>
      <c r="J26" s="225">
        <f>IF('CF表（ご主人様死亡時）'!J$3="","",'CF表（ご主人様死亡時）'!J26/10000)</f>
        <v/>
      </c>
      <c r="K26" s="225">
        <f>IF('CF表（ご主人様死亡時）'!K$3="","",'CF表（ご主人様死亡時）'!K26/10000)</f>
        <v/>
      </c>
      <c r="L26" s="225">
        <f>IF('CF表（ご主人様死亡時）'!L$3="","",'CF表（ご主人様死亡時）'!L26/10000)</f>
        <v/>
      </c>
      <c r="M26" s="225">
        <f>IF('CF表（ご主人様死亡時）'!M$3="","",'CF表（ご主人様死亡時）'!M26/10000)</f>
        <v/>
      </c>
      <c r="N26" s="225">
        <f>IF('CF表（ご主人様死亡時）'!N$3="","",'CF表（ご主人様死亡時）'!N26/10000)</f>
        <v/>
      </c>
      <c r="O26" s="225">
        <f>IF('CF表（ご主人様死亡時）'!O$3="","",'CF表（ご主人様死亡時）'!O26/10000)</f>
        <v/>
      </c>
      <c r="P26" s="225">
        <f>IF('CF表（ご主人様死亡時）'!P$3="","",'CF表（ご主人様死亡時）'!P26/10000)</f>
        <v/>
      </c>
      <c r="Q26" s="225">
        <f>IF('CF表（ご主人様死亡時）'!Q$3="","",'CF表（ご主人様死亡時）'!Q26/10000)</f>
        <v/>
      </c>
      <c r="R26" s="225">
        <f>IF('CF表（ご主人様死亡時）'!R$3="","",'CF表（ご主人様死亡時）'!R26/10000)</f>
        <v/>
      </c>
      <c r="S26" s="225">
        <f>IF('CF表（ご主人様死亡時）'!S$3="","",'CF表（ご主人様死亡時）'!S26/10000)</f>
        <v/>
      </c>
      <c r="T26" s="225">
        <f>IF('CF表（ご主人様死亡時）'!T$3="","",'CF表（ご主人様死亡時）'!T26/10000)</f>
        <v/>
      </c>
      <c r="U26" s="225">
        <f>IF('CF表（ご主人様死亡時）'!U$3="","",'CF表（ご主人様死亡時）'!U26/10000)</f>
        <v/>
      </c>
      <c r="V26" s="225">
        <f>IF('CF表（ご主人様死亡時）'!V$3="","",'CF表（ご主人様死亡時）'!V26/10000)</f>
        <v/>
      </c>
      <c r="W26" s="225">
        <f>IF('CF表（ご主人様死亡時）'!W$3="","",'CF表（ご主人様死亡時）'!W26/10000)</f>
        <v/>
      </c>
      <c r="X26" s="225">
        <f>IF('CF表（ご主人様死亡時）'!X$3="","",'CF表（ご主人様死亡時）'!X26/10000)</f>
        <v/>
      </c>
      <c r="Y26" s="225">
        <f>IF('CF表（ご主人様死亡時）'!Y$3="","",'CF表（ご主人様死亡時）'!Y26/10000)</f>
        <v/>
      </c>
      <c r="Z26" s="225">
        <f>IF('CF表（ご主人様死亡時）'!Z$3="","",'CF表（ご主人様死亡時）'!Z26/10000)</f>
        <v/>
      </c>
      <c r="AA26" s="225">
        <f>IF('CF表（ご主人様死亡時）'!AA$3="","",'CF表（ご主人様死亡時）'!AA26/10000)</f>
        <v/>
      </c>
      <c r="AB26" s="225">
        <f>IF('CF表（ご主人様死亡時）'!AB$3="","",'CF表（ご主人様死亡時）'!AB26/10000)</f>
        <v/>
      </c>
      <c r="AC26" s="225">
        <f>IF('CF表（ご主人様死亡時）'!AC$3="","",'CF表（ご主人様死亡時）'!AC26/10000)</f>
        <v/>
      </c>
      <c r="AD26" s="225">
        <f>IF('CF表（ご主人様死亡時）'!AD$3="","",'CF表（ご主人様死亡時）'!AD26/10000)</f>
        <v/>
      </c>
      <c r="AE26" s="225">
        <f>IF('CF表（ご主人様死亡時）'!AE$3="","",'CF表（ご主人様死亡時）'!AE26/10000)</f>
        <v/>
      </c>
      <c r="AF26" s="225">
        <f>IF('CF表（ご主人様死亡時）'!AF$3="","",'CF表（ご主人様死亡時）'!AF26/10000)</f>
        <v/>
      </c>
      <c r="AG26" s="225">
        <f>IF('CF表（ご主人様死亡時）'!AG$3="","",'CF表（ご主人様死亡時）'!AG26/10000)</f>
        <v/>
      </c>
      <c r="AH26" s="225">
        <f>IF('CF表（ご主人様死亡時）'!AH$3="","",'CF表（ご主人様死亡時）'!AH26/10000)</f>
        <v/>
      </c>
      <c r="AI26" s="225">
        <f>IF('CF表（ご主人様死亡時）'!AI$3="","",'CF表（ご主人様死亡時）'!AI26/10000)</f>
        <v/>
      </c>
      <c r="AJ26" s="225">
        <f>IF('CF表（ご主人様死亡時）'!AJ$3="","",'CF表（ご主人様死亡時）'!AJ26/10000)</f>
        <v/>
      </c>
      <c r="AK26" s="225">
        <f>IF('CF表（ご主人様死亡時）'!AK$3="","",'CF表（ご主人様死亡時）'!AK26/10000)</f>
        <v/>
      </c>
      <c r="AL26" s="225">
        <f>IF('CF表（ご主人様死亡時）'!AL$3="","",'CF表（ご主人様死亡時）'!AL26/10000)</f>
        <v/>
      </c>
      <c r="AM26" s="225">
        <f>IF('CF表（ご主人様死亡時）'!AM$3="","",'CF表（ご主人様死亡時）'!AM26/10000)</f>
        <v/>
      </c>
      <c r="AN26" s="225">
        <f>IF('CF表（ご主人様死亡時）'!AN$3="","",'CF表（ご主人様死亡時）'!AN26/10000)</f>
        <v/>
      </c>
      <c r="AO26" s="225">
        <f>IF('CF表（ご主人様死亡時）'!AO$3="","",'CF表（ご主人様死亡時）'!AO26/10000)</f>
        <v/>
      </c>
      <c r="AP26" s="225">
        <f>IF('CF表（ご主人様死亡時）'!AP$3="","",'CF表（ご主人様死亡時）'!AP26/10000)</f>
        <v/>
      </c>
      <c r="AQ26" s="225">
        <f>IF('CF表（ご主人様死亡時）'!AQ$3="","",'CF表（ご主人様死亡時）'!AQ26/10000)</f>
        <v/>
      </c>
      <c r="AR26" s="225">
        <f>IF('CF表（ご主人様死亡時）'!AR$3="","",'CF表（ご主人様死亡時）'!AR26/10000)</f>
        <v/>
      </c>
      <c r="AS26" s="225">
        <f>IF('CF表（ご主人様死亡時）'!AS$3="","",'CF表（ご主人様死亡時）'!AS26/10000)</f>
        <v/>
      </c>
      <c r="AT26" s="225">
        <f>IF('CF表（ご主人様死亡時）'!AT$3="","",'CF表（ご主人様死亡時）'!AT26/10000)</f>
        <v/>
      </c>
      <c r="AU26" s="225">
        <f>IF('CF表（ご主人様死亡時）'!AU$3="","",'CF表（ご主人様死亡時）'!AU26/10000)</f>
        <v/>
      </c>
      <c r="AV26" s="225">
        <f>IF('CF表（ご主人様死亡時）'!AV$3="","",'CF表（ご主人様死亡時）'!AV26/10000)</f>
        <v/>
      </c>
      <c r="AW26" s="225">
        <f>IF('CF表（ご主人様死亡時）'!AW$3="","",'CF表（ご主人様死亡時）'!AW26/10000)</f>
        <v/>
      </c>
      <c r="AX26" s="225">
        <f>IF('CF表（ご主人様死亡時）'!AX$3="","",'CF表（ご主人様死亡時）'!AX26/10000)</f>
        <v/>
      </c>
      <c r="AY26" s="225">
        <f>IF('CF表（ご主人様死亡時）'!AY$3="","",'CF表（ご主人様死亡時）'!AY26/10000)</f>
        <v/>
      </c>
      <c r="AZ26" s="225">
        <f>IF('CF表（ご主人様死亡時）'!AZ$3="","",'CF表（ご主人様死亡時）'!AZ26/10000)</f>
        <v/>
      </c>
      <c r="BA26" s="225">
        <f>IF('CF表（ご主人様死亡時）'!BA$3="","",'CF表（ご主人様死亡時）'!BA26/10000)</f>
        <v/>
      </c>
      <c r="BB26" s="225">
        <f>IF('CF表（ご主人様死亡時）'!BB$3="","",'CF表（ご主人様死亡時）'!BB26/10000)</f>
        <v/>
      </c>
      <c r="BC26" s="225">
        <f>IF('CF表（ご主人様死亡時）'!BC$3="","",'CF表（ご主人様死亡時）'!BC26/10000)</f>
        <v/>
      </c>
      <c r="BD26" s="225">
        <f>IF('CF表（ご主人様死亡時）'!BD$3="","",'CF表（ご主人様死亡時）'!BD26/10000)</f>
        <v/>
      </c>
      <c r="BE26" s="225">
        <f>IF('CF表（ご主人様死亡時）'!BE$3="","",'CF表（ご主人様死亡時）'!BE26/10000)</f>
        <v/>
      </c>
      <c r="BF26" s="225">
        <f>IF('CF表（ご主人様死亡時）'!BF$3="","",'CF表（ご主人様死亡時）'!BF26/10000)</f>
        <v/>
      </c>
      <c r="BG26" s="225">
        <f>IF('CF表（ご主人様死亡時）'!BG$3="","",'CF表（ご主人様死亡時）'!BG26/10000)</f>
        <v/>
      </c>
      <c r="BH26" s="225">
        <f>IF('CF表（ご主人様死亡時）'!BH$3="","",'CF表（ご主人様死亡時）'!BH26/10000)</f>
        <v/>
      </c>
      <c r="BI26" s="225">
        <f>IF('CF表（ご主人様死亡時）'!BI$3="","",'CF表（ご主人様死亡時）'!BI26/10000)</f>
        <v/>
      </c>
      <c r="BJ26" s="225">
        <f>IF('CF表（ご主人様死亡時）'!BJ$3="","",'CF表（ご主人様死亡時）'!BJ26/10000)</f>
        <v/>
      </c>
      <c r="BK26" s="225">
        <f>IF('CF表（ご主人様死亡時）'!BK$3="","",'CF表（ご主人様死亡時）'!BK26/10000)</f>
        <v/>
      </c>
      <c r="BL26" s="225">
        <f>IF('CF表（ご主人様死亡時）'!BL$3="","",'CF表（ご主人様死亡時）'!BL26/10000)</f>
        <v/>
      </c>
      <c r="BM26" s="225">
        <f>IF('CF表（ご主人様死亡時）'!BM$3="","",'CF表（ご主人様死亡時）'!BM26/10000)</f>
        <v/>
      </c>
      <c r="BN26" s="225">
        <f>IF('CF表（ご主人様死亡時）'!BN$3="","",'CF表（ご主人様死亡時）'!BN26/10000)</f>
        <v/>
      </c>
      <c r="BO26" s="225">
        <f>IF('CF表（ご主人様死亡時）'!BO$3="","",'CF表（ご主人様死亡時）'!BO26/10000)</f>
        <v/>
      </c>
      <c r="BP26" s="225">
        <f>IF('CF表（ご主人様死亡時）'!BP$3="","",'CF表（ご主人様死亡時）'!BP26/10000)</f>
        <v/>
      </c>
      <c r="BQ26" s="225">
        <f>IF('CF表（ご主人様死亡時）'!BQ$3="","",'CF表（ご主人様死亡時）'!BQ26/10000)</f>
        <v/>
      </c>
      <c r="BR26" s="225">
        <f>IF('CF表（ご主人様死亡時）'!BR$3="","",'CF表（ご主人様死亡時）'!BR26/10000)</f>
        <v/>
      </c>
      <c r="BS26" s="225">
        <f>IF('CF表（ご主人様死亡時）'!BS$3="","",'CF表（ご主人様死亡時）'!BS26/10000)</f>
        <v/>
      </c>
      <c r="BT26" s="225">
        <f>IF('CF表（ご主人様死亡時）'!BT$3="","",'CF表（ご主人様死亡時）'!BT26/10000)</f>
        <v/>
      </c>
      <c r="BU26" s="225">
        <f>IF('CF表（ご主人様死亡時）'!BU$3="","",'CF表（ご主人様死亡時）'!BU26/10000)</f>
        <v/>
      </c>
      <c r="BV26" s="225">
        <f>IF('CF表（ご主人様死亡時）'!BV$3="","",'CF表（ご主人様死亡時）'!BV26/10000)</f>
        <v/>
      </c>
      <c r="BW26" s="225">
        <f>IF('CF表（ご主人様死亡時）'!BW$3="","",'CF表（ご主人様死亡時）'!BW26/10000)</f>
        <v/>
      </c>
      <c r="BX26" s="225">
        <f>IF('CF表（ご主人様死亡時）'!BX$3="","",'CF表（ご主人様死亡時）'!BX26/10000)</f>
        <v/>
      </c>
      <c r="BY26" s="225">
        <f>IF('CF表（ご主人様死亡時）'!BY$3="","",'CF表（ご主人様死亡時）'!BY26/10000)</f>
        <v/>
      </c>
      <c r="BZ26" s="225">
        <f>IF('CF表（ご主人様死亡時）'!BZ$3="","",'CF表（ご主人様死亡時）'!BZ26/10000)</f>
        <v/>
      </c>
      <c r="CA26" s="225">
        <f>IF('CF表（ご主人様死亡時）'!CA$3="","",'CF表（ご主人様死亡時）'!CA26/10000)</f>
        <v/>
      </c>
      <c r="CB26" s="225">
        <f>IF('CF表（ご主人様死亡時）'!CB$3="","",'CF表（ご主人様死亡時）'!CB26/10000)</f>
        <v/>
      </c>
      <c r="CC26" s="225">
        <f>IF('CF表（ご主人様死亡時）'!CC$3="","",'CF表（ご主人様死亡時）'!CC26/10000)</f>
        <v/>
      </c>
      <c r="CD26" s="225">
        <f>IF('CF表（ご主人様死亡時）'!CD$3="","",'CF表（ご主人様死亡時）'!CD26/10000)</f>
        <v/>
      </c>
      <c r="CE26" s="225">
        <f>IF('CF表（ご主人様死亡時）'!CE$3="","",'CF表（ご主人様死亡時）'!CE26/10000)</f>
        <v/>
      </c>
      <c r="CF26" s="225">
        <f>IF('CF表（ご主人様死亡時）'!CF$3="","",'CF表（ご主人様死亡時）'!CF26/10000)</f>
        <v/>
      </c>
      <c r="CG26" s="225">
        <f>IF('CF表（ご主人様死亡時）'!CG$3="","",'CF表（ご主人様死亡時）'!CG26/10000)</f>
        <v/>
      </c>
      <c r="CH26" s="225">
        <f>IF('CF表（ご主人様死亡時）'!CH$3="","",'CF表（ご主人様死亡時）'!CH26/10000)</f>
        <v/>
      </c>
      <c r="CI26" s="225">
        <f>IF('CF表（ご主人様死亡時）'!CI$3="","",'CF表（ご主人様死亡時）'!CI26/10000)</f>
        <v/>
      </c>
      <c r="CJ26" s="225">
        <f>IF('CF表（ご主人様死亡時）'!CJ$3="","",'CF表（ご主人様死亡時）'!CJ26/10000)</f>
        <v/>
      </c>
      <c r="CK26" s="225">
        <f>IF('CF表（ご主人様死亡時）'!CK$3="","",'CF表（ご主人様死亡時）'!CK26/10000)</f>
        <v/>
      </c>
      <c r="CL26" s="225">
        <f>IF('CF表（ご主人様死亡時）'!CL$3="","",'CF表（ご主人様死亡時）'!CL26/10000)</f>
        <v/>
      </c>
      <c r="CM26" s="225">
        <f>IF('CF表（ご主人様死亡時）'!CM$3="","",'CF表（ご主人様死亡時）'!CM26/10000)</f>
        <v/>
      </c>
      <c r="CN26" s="225">
        <f>IF('CF表（ご主人様死亡時）'!CN$3="","",'CF表（ご主人様死亡時）'!CN26/10000)</f>
        <v/>
      </c>
      <c r="CO26" s="225">
        <f>IF('CF表（ご主人様死亡時）'!CO$3="","",'CF表（ご主人様死亡時）'!CO26/10000)</f>
        <v/>
      </c>
      <c r="CP26" s="225">
        <f>IF('CF表（ご主人様死亡時）'!CP$3="","",'CF表（ご主人様死亡時）'!CP26/10000)</f>
        <v/>
      </c>
      <c r="CQ26" s="225">
        <f>IF('CF表（ご主人様死亡時）'!CQ$3="","",'CF表（ご主人様死亡時）'!CQ26/10000)</f>
        <v/>
      </c>
      <c r="CR26" s="225">
        <f>IF('CF表（ご主人様死亡時）'!CR$3="","",'CF表（ご主人様死亡時）'!CR26/10000)</f>
        <v/>
      </c>
      <c r="CS26" s="225">
        <f>IF('CF表（ご主人様死亡時）'!CS$3="","",'CF表（ご主人様死亡時）'!CS26/10000)</f>
        <v/>
      </c>
      <c r="CT26" s="225">
        <f>IF('CF表（ご主人様死亡時）'!CT$3="","",'CF表（ご主人様死亡時）'!CT26/10000)</f>
        <v/>
      </c>
      <c r="CU26" s="225">
        <f>IF('CF表（ご主人様死亡時）'!CU$3="","",'CF表（ご主人様死亡時）'!CU26/10000)</f>
        <v/>
      </c>
      <c r="CV26" s="225">
        <f>IF('CF表（ご主人様死亡時）'!CV$3="","",'CF表（ご主人様死亡時）'!CV26/10000)</f>
        <v/>
      </c>
      <c r="CW26" s="225">
        <f>IF('CF表（ご主人様死亡時）'!CW$3="","",'CF表（ご主人様死亡時）'!CW26/10000)</f>
        <v/>
      </c>
    </row>
    <row r="27" ht="15" customHeight="1" s="180">
      <c r="A27" s="224" t="inlineStr">
        <is>
          <t>一時支出</t>
        </is>
      </c>
      <c r="B27" s="225">
        <f>IF('CF表（ご主人様死亡時）'!B$3="","",'CF表（ご主人様死亡時）'!B27/10000)</f>
        <v/>
      </c>
      <c r="C27" s="225">
        <f>IF('CF表（ご主人様死亡時）'!C$3="","",'CF表（ご主人様死亡時）'!C27/10000)</f>
        <v/>
      </c>
      <c r="D27" s="225">
        <f>IF('CF表（ご主人様死亡時）'!D$3="","",'CF表（ご主人様死亡時）'!D27/10000)</f>
        <v/>
      </c>
      <c r="E27" s="225">
        <f>IF('CF表（ご主人様死亡時）'!E$3="","",'CF表（ご主人様死亡時）'!E27/10000)</f>
        <v/>
      </c>
      <c r="F27" s="225">
        <f>IF('CF表（ご主人様死亡時）'!F$3="","",'CF表（ご主人様死亡時）'!F27/10000)</f>
        <v/>
      </c>
      <c r="G27" s="225">
        <f>IF('CF表（ご主人様死亡時）'!G$3="","",'CF表（ご主人様死亡時）'!G27/10000)</f>
        <v/>
      </c>
      <c r="H27" s="225">
        <f>IF('CF表（ご主人様死亡時）'!H$3="","",'CF表（ご主人様死亡時）'!H27/10000)</f>
        <v/>
      </c>
      <c r="I27" s="225">
        <f>IF('CF表（ご主人様死亡時）'!I$3="","",'CF表（ご主人様死亡時）'!I27/10000)</f>
        <v/>
      </c>
      <c r="J27" s="225">
        <f>IF('CF表（ご主人様死亡時）'!J$3="","",'CF表（ご主人様死亡時）'!J27/10000)</f>
        <v/>
      </c>
      <c r="K27" s="225">
        <f>IF('CF表（ご主人様死亡時）'!K$3="","",'CF表（ご主人様死亡時）'!K27/10000)</f>
        <v/>
      </c>
      <c r="L27" s="225">
        <f>IF('CF表（ご主人様死亡時）'!L$3="","",'CF表（ご主人様死亡時）'!L27/10000)</f>
        <v/>
      </c>
      <c r="M27" s="225">
        <f>IF('CF表（ご主人様死亡時）'!M$3="","",'CF表（ご主人様死亡時）'!M27/10000)</f>
        <v/>
      </c>
      <c r="N27" s="225">
        <f>IF('CF表（ご主人様死亡時）'!N$3="","",'CF表（ご主人様死亡時）'!N27/10000)</f>
        <v/>
      </c>
      <c r="O27" s="225">
        <f>IF('CF表（ご主人様死亡時）'!O$3="","",'CF表（ご主人様死亡時）'!O27/10000)</f>
        <v/>
      </c>
      <c r="P27" s="225">
        <f>IF('CF表（ご主人様死亡時）'!P$3="","",'CF表（ご主人様死亡時）'!P27/10000)</f>
        <v/>
      </c>
      <c r="Q27" s="225">
        <f>IF('CF表（ご主人様死亡時）'!Q$3="","",'CF表（ご主人様死亡時）'!Q27/10000)</f>
        <v/>
      </c>
      <c r="R27" s="225">
        <f>IF('CF表（ご主人様死亡時）'!R$3="","",'CF表（ご主人様死亡時）'!R27/10000)</f>
        <v/>
      </c>
      <c r="S27" s="225">
        <f>IF('CF表（ご主人様死亡時）'!S$3="","",'CF表（ご主人様死亡時）'!S27/10000)</f>
        <v/>
      </c>
      <c r="T27" s="225">
        <f>IF('CF表（ご主人様死亡時）'!T$3="","",'CF表（ご主人様死亡時）'!T27/10000)</f>
        <v/>
      </c>
      <c r="U27" s="225">
        <f>IF('CF表（ご主人様死亡時）'!U$3="","",'CF表（ご主人様死亡時）'!U27/10000)</f>
        <v/>
      </c>
      <c r="V27" s="225">
        <f>IF('CF表（ご主人様死亡時）'!V$3="","",'CF表（ご主人様死亡時）'!V27/10000)</f>
        <v/>
      </c>
      <c r="W27" s="225">
        <f>IF('CF表（ご主人様死亡時）'!W$3="","",'CF表（ご主人様死亡時）'!W27/10000)</f>
        <v/>
      </c>
      <c r="X27" s="225">
        <f>IF('CF表（ご主人様死亡時）'!X$3="","",'CF表（ご主人様死亡時）'!X27/10000)</f>
        <v/>
      </c>
      <c r="Y27" s="225">
        <f>IF('CF表（ご主人様死亡時）'!Y$3="","",'CF表（ご主人様死亡時）'!Y27/10000)</f>
        <v/>
      </c>
      <c r="Z27" s="225">
        <f>IF('CF表（ご主人様死亡時）'!Z$3="","",'CF表（ご主人様死亡時）'!Z27/10000)</f>
        <v/>
      </c>
      <c r="AA27" s="225">
        <f>IF('CF表（ご主人様死亡時）'!AA$3="","",'CF表（ご主人様死亡時）'!AA27/10000)</f>
        <v/>
      </c>
      <c r="AB27" s="225">
        <f>IF('CF表（ご主人様死亡時）'!AB$3="","",'CF表（ご主人様死亡時）'!AB27/10000)</f>
        <v/>
      </c>
      <c r="AC27" s="225">
        <f>IF('CF表（ご主人様死亡時）'!AC$3="","",'CF表（ご主人様死亡時）'!AC27/10000)</f>
        <v/>
      </c>
      <c r="AD27" s="225">
        <f>IF('CF表（ご主人様死亡時）'!AD$3="","",'CF表（ご主人様死亡時）'!AD27/10000)</f>
        <v/>
      </c>
      <c r="AE27" s="225">
        <f>IF('CF表（ご主人様死亡時）'!AE$3="","",'CF表（ご主人様死亡時）'!AE27/10000)</f>
        <v/>
      </c>
      <c r="AF27" s="225">
        <f>IF('CF表（ご主人様死亡時）'!AF$3="","",'CF表（ご主人様死亡時）'!AF27/10000)</f>
        <v/>
      </c>
      <c r="AG27" s="225">
        <f>IF('CF表（ご主人様死亡時）'!AG$3="","",'CF表（ご主人様死亡時）'!AG27/10000)</f>
        <v/>
      </c>
      <c r="AH27" s="225">
        <f>IF('CF表（ご主人様死亡時）'!AH$3="","",'CF表（ご主人様死亡時）'!AH27/10000)</f>
        <v/>
      </c>
      <c r="AI27" s="225">
        <f>IF('CF表（ご主人様死亡時）'!AI$3="","",'CF表（ご主人様死亡時）'!AI27/10000)</f>
        <v/>
      </c>
      <c r="AJ27" s="225">
        <f>IF('CF表（ご主人様死亡時）'!AJ$3="","",'CF表（ご主人様死亡時）'!AJ27/10000)</f>
        <v/>
      </c>
      <c r="AK27" s="225">
        <f>IF('CF表（ご主人様死亡時）'!AK$3="","",'CF表（ご主人様死亡時）'!AK27/10000)</f>
        <v/>
      </c>
      <c r="AL27" s="225">
        <f>IF('CF表（ご主人様死亡時）'!AL$3="","",'CF表（ご主人様死亡時）'!AL27/10000)</f>
        <v/>
      </c>
      <c r="AM27" s="225">
        <f>IF('CF表（ご主人様死亡時）'!AM$3="","",'CF表（ご主人様死亡時）'!AM27/10000)</f>
        <v/>
      </c>
      <c r="AN27" s="225">
        <f>IF('CF表（ご主人様死亡時）'!AN$3="","",'CF表（ご主人様死亡時）'!AN27/10000)</f>
        <v/>
      </c>
      <c r="AO27" s="225">
        <f>IF('CF表（ご主人様死亡時）'!AO$3="","",'CF表（ご主人様死亡時）'!AO27/10000)</f>
        <v/>
      </c>
      <c r="AP27" s="225">
        <f>IF('CF表（ご主人様死亡時）'!AP$3="","",'CF表（ご主人様死亡時）'!AP27/10000)</f>
        <v/>
      </c>
      <c r="AQ27" s="225">
        <f>IF('CF表（ご主人様死亡時）'!AQ$3="","",'CF表（ご主人様死亡時）'!AQ27/10000)</f>
        <v/>
      </c>
      <c r="AR27" s="225">
        <f>IF('CF表（ご主人様死亡時）'!AR$3="","",'CF表（ご主人様死亡時）'!AR27/10000)</f>
        <v/>
      </c>
      <c r="AS27" s="225">
        <f>IF('CF表（ご主人様死亡時）'!AS$3="","",'CF表（ご主人様死亡時）'!AS27/10000)</f>
        <v/>
      </c>
      <c r="AT27" s="225">
        <f>IF('CF表（ご主人様死亡時）'!AT$3="","",'CF表（ご主人様死亡時）'!AT27/10000)</f>
        <v/>
      </c>
      <c r="AU27" s="225">
        <f>IF('CF表（ご主人様死亡時）'!AU$3="","",'CF表（ご主人様死亡時）'!AU27/10000)</f>
        <v/>
      </c>
      <c r="AV27" s="225">
        <f>IF('CF表（ご主人様死亡時）'!AV$3="","",'CF表（ご主人様死亡時）'!AV27/10000)</f>
        <v/>
      </c>
      <c r="AW27" s="225">
        <f>IF('CF表（ご主人様死亡時）'!AW$3="","",'CF表（ご主人様死亡時）'!AW27/10000)</f>
        <v/>
      </c>
      <c r="AX27" s="225">
        <f>IF('CF表（ご主人様死亡時）'!AX$3="","",'CF表（ご主人様死亡時）'!AX27/10000)</f>
        <v/>
      </c>
      <c r="AY27" s="225">
        <f>IF('CF表（ご主人様死亡時）'!AY$3="","",'CF表（ご主人様死亡時）'!AY27/10000)</f>
        <v/>
      </c>
      <c r="AZ27" s="225">
        <f>IF('CF表（ご主人様死亡時）'!AZ$3="","",'CF表（ご主人様死亡時）'!AZ27/10000)</f>
        <v/>
      </c>
      <c r="BA27" s="225">
        <f>IF('CF表（ご主人様死亡時）'!BA$3="","",'CF表（ご主人様死亡時）'!BA27/10000)</f>
        <v/>
      </c>
      <c r="BB27" s="225">
        <f>IF('CF表（ご主人様死亡時）'!BB$3="","",'CF表（ご主人様死亡時）'!BB27/10000)</f>
        <v/>
      </c>
      <c r="BC27" s="225">
        <f>IF('CF表（ご主人様死亡時）'!BC$3="","",'CF表（ご主人様死亡時）'!BC27/10000)</f>
        <v/>
      </c>
      <c r="BD27" s="225">
        <f>IF('CF表（ご主人様死亡時）'!BD$3="","",'CF表（ご主人様死亡時）'!BD27/10000)</f>
        <v/>
      </c>
      <c r="BE27" s="225">
        <f>IF('CF表（ご主人様死亡時）'!BE$3="","",'CF表（ご主人様死亡時）'!BE27/10000)</f>
        <v/>
      </c>
      <c r="BF27" s="225">
        <f>IF('CF表（ご主人様死亡時）'!BF$3="","",'CF表（ご主人様死亡時）'!BF27/10000)</f>
        <v/>
      </c>
      <c r="BG27" s="225">
        <f>IF('CF表（ご主人様死亡時）'!BG$3="","",'CF表（ご主人様死亡時）'!BG27/10000)</f>
        <v/>
      </c>
      <c r="BH27" s="225">
        <f>IF('CF表（ご主人様死亡時）'!BH$3="","",'CF表（ご主人様死亡時）'!BH27/10000)</f>
        <v/>
      </c>
      <c r="BI27" s="225">
        <f>IF('CF表（ご主人様死亡時）'!BI$3="","",'CF表（ご主人様死亡時）'!BI27/10000)</f>
        <v/>
      </c>
      <c r="BJ27" s="225">
        <f>IF('CF表（ご主人様死亡時）'!BJ$3="","",'CF表（ご主人様死亡時）'!BJ27/10000)</f>
        <v/>
      </c>
      <c r="BK27" s="225">
        <f>IF('CF表（ご主人様死亡時）'!BK$3="","",'CF表（ご主人様死亡時）'!BK27/10000)</f>
        <v/>
      </c>
      <c r="BL27" s="225">
        <f>IF('CF表（ご主人様死亡時）'!BL$3="","",'CF表（ご主人様死亡時）'!BL27/10000)</f>
        <v/>
      </c>
      <c r="BM27" s="225">
        <f>IF('CF表（ご主人様死亡時）'!BM$3="","",'CF表（ご主人様死亡時）'!BM27/10000)</f>
        <v/>
      </c>
      <c r="BN27" s="225">
        <f>IF('CF表（ご主人様死亡時）'!BN$3="","",'CF表（ご主人様死亡時）'!BN27/10000)</f>
        <v/>
      </c>
      <c r="BO27" s="225">
        <f>IF('CF表（ご主人様死亡時）'!BO$3="","",'CF表（ご主人様死亡時）'!BO27/10000)</f>
        <v/>
      </c>
      <c r="BP27" s="225">
        <f>IF('CF表（ご主人様死亡時）'!BP$3="","",'CF表（ご主人様死亡時）'!BP27/10000)</f>
        <v/>
      </c>
      <c r="BQ27" s="225">
        <f>IF('CF表（ご主人様死亡時）'!BQ$3="","",'CF表（ご主人様死亡時）'!BQ27/10000)</f>
        <v/>
      </c>
      <c r="BR27" s="225">
        <f>IF('CF表（ご主人様死亡時）'!BR$3="","",'CF表（ご主人様死亡時）'!BR27/10000)</f>
        <v/>
      </c>
      <c r="BS27" s="225">
        <f>IF('CF表（ご主人様死亡時）'!BS$3="","",'CF表（ご主人様死亡時）'!BS27/10000)</f>
        <v/>
      </c>
      <c r="BT27" s="225">
        <f>IF('CF表（ご主人様死亡時）'!BT$3="","",'CF表（ご主人様死亡時）'!BT27/10000)</f>
        <v/>
      </c>
      <c r="BU27" s="225">
        <f>IF('CF表（ご主人様死亡時）'!BU$3="","",'CF表（ご主人様死亡時）'!BU27/10000)</f>
        <v/>
      </c>
      <c r="BV27" s="225">
        <f>IF('CF表（ご主人様死亡時）'!BV$3="","",'CF表（ご主人様死亡時）'!BV27/10000)</f>
        <v/>
      </c>
      <c r="BW27" s="225">
        <f>IF('CF表（ご主人様死亡時）'!BW$3="","",'CF表（ご主人様死亡時）'!BW27/10000)</f>
        <v/>
      </c>
      <c r="BX27" s="225">
        <f>IF('CF表（ご主人様死亡時）'!BX$3="","",'CF表（ご主人様死亡時）'!BX27/10000)</f>
        <v/>
      </c>
      <c r="BY27" s="225">
        <f>IF('CF表（ご主人様死亡時）'!BY$3="","",'CF表（ご主人様死亡時）'!BY27/10000)</f>
        <v/>
      </c>
      <c r="BZ27" s="225">
        <f>IF('CF表（ご主人様死亡時）'!BZ$3="","",'CF表（ご主人様死亡時）'!BZ27/10000)</f>
        <v/>
      </c>
      <c r="CA27" s="225">
        <f>IF('CF表（ご主人様死亡時）'!CA$3="","",'CF表（ご主人様死亡時）'!CA27/10000)</f>
        <v/>
      </c>
      <c r="CB27" s="225">
        <f>IF('CF表（ご主人様死亡時）'!CB$3="","",'CF表（ご主人様死亡時）'!CB27/10000)</f>
        <v/>
      </c>
      <c r="CC27" s="225">
        <f>IF('CF表（ご主人様死亡時）'!CC$3="","",'CF表（ご主人様死亡時）'!CC27/10000)</f>
        <v/>
      </c>
      <c r="CD27" s="225">
        <f>IF('CF表（ご主人様死亡時）'!CD$3="","",'CF表（ご主人様死亡時）'!CD27/10000)</f>
        <v/>
      </c>
      <c r="CE27" s="225">
        <f>IF('CF表（ご主人様死亡時）'!CE$3="","",'CF表（ご主人様死亡時）'!CE27/10000)</f>
        <v/>
      </c>
      <c r="CF27" s="225">
        <f>IF('CF表（ご主人様死亡時）'!CF$3="","",'CF表（ご主人様死亡時）'!CF27/10000)</f>
        <v/>
      </c>
      <c r="CG27" s="225">
        <f>IF('CF表（ご主人様死亡時）'!CG$3="","",'CF表（ご主人様死亡時）'!CG27/10000)</f>
        <v/>
      </c>
      <c r="CH27" s="225">
        <f>IF('CF表（ご主人様死亡時）'!CH$3="","",'CF表（ご主人様死亡時）'!CH27/10000)</f>
        <v/>
      </c>
      <c r="CI27" s="225">
        <f>IF('CF表（ご主人様死亡時）'!CI$3="","",'CF表（ご主人様死亡時）'!CI27/10000)</f>
        <v/>
      </c>
      <c r="CJ27" s="225">
        <f>IF('CF表（ご主人様死亡時）'!CJ$3="","",'CF表（ご主人様死亡時）'!CJ27/10000)</f>
        <v/>
      </c>
      <c r="CK27" s="225">
        <f>IF('CF表（ご主人様死亡時）'!CK$3="","",'CF表（ご主人様死亡時）'!CK27/10000)</f>
        <v/>
      </c>
      <c r="CL27" s="225">
        <f>IF('CF表（ご主人様死亡時）'!CL$3="","",'CF表（ご主人様死亡時）'!CL27/10000)</f>
        <v/>
      </c>
      <c r="CM27" s="225">
        <f>IF('CF表（ご主人様死亡時）'!CM$3="","",'CF表（ご主人様死亡時）'!CM27/10000)</f>
        <v/>
      </c>
      <c r="CN27" s="225">
        <f>IF('CF表（ご主人様死亡時）'!CN$3="","",'CF表（ご主人様死亡時）'!CN27/10000)</f>
        <v/>
      </c>
      <c r="CO27" s="225">
        <f>IF('CF表（ご主人様死亡時）'!CO$3="","",'CF表（ご主人様死亡時）'!CO27/10000)</f>
        <v/>
      </c>
      <c r="CP27" s="225">
        <f>IF('CF表（ご主人様死亡時）'!CP$3="","",'CF表（ご主人様死亡時）'!CP27/10000)</f>
        <v/>
      </c>
      <c r="CQ27" s="225">
        <f>IF('CF表（ご主人様死亡時）'!CQ$3="","",'CF表（ご主人様死亡時）'!CQ27/10000)</f>
        <v/>
      </c>
      <c r="CR27" s="225">
        <f>IF('CF表（ご主人様死亡時）'!CR$3="","",'CF表（ご主人様死亡時）'!CR27/10000)</f>
        <v/>
      </c>
      <c r="CS27" s="225">
        <f>IF('CF表（ご主人様死亡時）'!CS$3="","",'CF表（ご主人様死亡時）'!CS27/10000)</f>
        <v/>
      </c>
      <c r="CT27" s="225">
        <f>IF('CF表（ご主人様死亡時）'!CT$3="","",'CF表（ご主人様死亡時）'!CT27/10000)</f>
        <v/>
      </c>
      <c r="CU27" s="225">
        <f>IF('CF表（ご主人様死亡時）'!CU$3="","",'CF表（ご主人様死亡時）'!CU27/10000)</f>
        <v/>
      </c>
      <c r="CV27" s="225">
        <f>IF('CF表（ご主人様死亡時）'!CV$3="","",'CF表（ご主人様死亡時）'!CV27/10000)</f>
        <v/>
      </c>
      <c r="CW27" s="225">
        <f>IF('CF表（ご主人様死亡時）'!CW$3="","",'CF表（ご主人様死亡時）'!CW27/10000)</f>
        <v/>
      </c>
    </row>
    <row r="28" ht="15" customHeight="1" s="180">
      <c r="A28" s="226" t="inlineStr">
        <is>
          <t>支出合計</t>
        </is>
      </c>
      <c r="B28" s="227">
        <f>IF('CF表（ご主人様死亡時）'!B$3="","",'CF表（ご主人様死亡時）'!B28/10000)</f>
        <v/>
      </c>
      <c r="C28" s="227">
        <f>IF('CF表（ご主人様死亡時）'!C$3="","",'CF表（ご主人様死亡時）'!C28/10000)</f>
        <v/>
      </c>
      <c r="D28" s="227">
        <f>IF('CF表（ご主人様死亡時）'!D$3="","",'CF表（ご主人様死亡時）'!D28/10000)</f>
        <v/>
      </c>
      <c r="E28" s="227">
        <f>IF('CF表（ご主人様死亡時）'!E$3="","",'CF表（ご主人様死亡時）'!E28/10000)</f>
        <v/>
      </c>
      <c r="F28" s="227">
        <f>IF('CF表（ご主人様死亡時）'!F$3="","",'CF表（ご主人様死亡時）'!F28/10000)</f>
        <v/>
      </c>
      <c r="G28" s="227">
        <f>IF('CF表（ご主人様死亡時）'!G$3="","",'CF表（ご主人様死亡時）'!G28/10000)</f>
        <v/>
      </c>
      <c r="H28" s="227">
        <f>IF('CF表（ご主人様死亡時）'!H$3="","",'CF表（ご主人様死亡時）'!H28/10000)</f>
        <v/>
      </c>
      <c r="I28" s="227">
        <f>IF('CF表（ご主人様死亡時）'!I$3="","",'CF表（ご主人様死亡時）'!I28/10000)</f>
        <v/>
      </c>
      <c r="J28" s="227">
        <f>IF('CF表（ご主人様死亡時）'!J$3="","",'CF表（ご主人様死亡時）'!J28/10000)</f>
        <v/>
      </c>
      <c r="K28" s="227">
        <f>IF('CF表（ご主人様死亡時）'!K$3="","",'CF表（ご主人様死亡時）'!K28/10000)</f>
        <v/>
      </c>
      <c r="L28" s="227">
        <f>IF('CF表（ご主人様死亡時）'!L$3="","",'CF表（ご主人様死亡時）'!L28/10000)</f>
        <v/>
      </c>
      <c r="M28" s="227">
        <f>IF('CF表（ご主人様死亡時）'!M$3="","",'CF表（ご主人様死亡時）'!M28/10000)</f>
        <v/>
      </c>
      <c r="N28" s="227">
        <f>IF('CF表（ご主人様死亡時）'!N$3="","",'CF表（ご主人様死亡時）'!N28/10000)</f>
        <v/>
      </c>
      <c r="O28" s="227">
        <f>IF('CF表（ご主人様死亡時）'!O$3="","",'CF表（ご主人様死亡時）'!O28/10000)</f>
        <v/>
      </c>
      <c r="P28" s="227">
        <f>IF('CF表（ご主人様死亡時）'!P$3="","",'CF表（ご主人様死亡時）'!P28/10000)</f>
        <v/>
      </c>
      <c r="Q28" s="227">
        <f>IF('CF表（ご主人様死亡時）'!Q$3="","",'CF表（ご主人様死亡時）'!Q28/10000)</f>
        <v/>
      </c>
      <c r="R28" s="227">
        <f>IF('CF表（ご主人様死亡時）'!R$3="","",'CF表（ご主人様死亡時）'!R28/10000)</f>
        <v/>
      </c>
      <c r="S28" s="227">
        <f>IF('CF表（ご主人様死亡時）'!S$3="","",'CF表（ご主人様死亡時）'!S28/10000)</f>
        <v/>
      </c>
      <c r="T28" s="227">
        <f>IF('CF表（ご主人様死亡時）'!T$3="","",'CF表（ご主人様死亡時）'!T28/10000)</f>
        <v/>
      </c>
      <c r="U28" s="227">
        <f>IF('CF表（ご主人様死亡時）'!U$3="","",'CF表（ご主人様死亡時）'!U28/10000)</f>
        <v/>
      </c>
      <c r="V28" s="227">
        <f>IF('CF表（ご主人様死亡時）'!V$3="","",'CF表（ご主人様死亡時）'!V28/10000)</f>
        <v/>
      </c>
      <c r="W28" s="227">
        <f>IF('CF表（ご主人様死亡時）'!W$3="","",'CF表（ご主人様死亡時）'!W28/10000)</f>
        <v/>
      </c>
      <c r="X28" s="227">
        <f>IF('CF表（ご主人様死亡時）'!X$3="","",'CF表（ご主人様死亡時）'!X28/10000)</f>
        <v/>
      </c>
      <c r="Y28" s="227">
        <f>IF('CF表（ご主人様死亡時）'!Y$3="","",'CF表（ご主人様死亡時）'!Y28/10000)</f>
        <v/>
      </c>
      <c r="Z28" s="227">
        <f>IF('CF表（ご主人様死亡時）'!Z$3="","",'CF表（ご主人様死亡時）'!Z28/10000)</f>
        <v/>
      </c>
      <c r="AA28" s="227">
        <f>IF('CF表（ご主人様死亡時）'!AA$3="","",'CF表（ご主人様死亡時）'!AA28/10000)</f>
        <v/>
      </c>
      <c r="AB28" s="227">
        <f>IF('CF表（ご主人様死亡時）'!AB$3="","",'CF表（ご主人様死亡時）'!AB28/10000)</f>
        <v/>
      </c>
      <c r="AC28" s="227">
        <f>IF('CF表（ご主人様死亡時）'!AC$3="","",'CF表（ご主人様死亡時）'!AC28/10000)</f>
        <v/>
      </c>
      <c r="AD28" s="227">
        <f>IF('CF表（ご主人様死亡時）'!AD$3="","",'CF表（ご主人様死亡時）'!AD28/10000)</f>
        <v/>
      </c>
      <c r="AE28" s="227">
        <f>IF('CF表（ご主人様死亡時）'!AE$3="","",'CF表（ご主人様死亡時）'!AE28/10000)</f>
        <v/>
      </c>
      <c r="AF28" s="227">
        <f>IF('CF表（ご主人様死亡時）'!AF$3="","",'CF表（ご主人様死亡時）'!AF28/10000)</f>
        <v/>
      </c>
      <c r="AG28" s="227">
        <f>IF('CF表（ご主人様死亡時）'!AG$3="","",'CF表（ご主人様死亡時）'!AG28/10000)</f>
        <v/>
      </c>
      <c r="AH28" s="227">
        <f>IF('CF表（ご主人様死亡時）'!AH$3="","",'CF表（ご主人様死亡時）'!AH28/10000)</f>
        <v/>
      </c>
      <c r="AI28" s="227">
        <f>IF('CF表（ご主人様死亡時）'!AI$3="","",'CF表（ご主人様死亡時）'!AI28/10000)</f>
        <v/>
      </c>
      <c r="AJ28" s="227">
        <f>IF('CF表（ご主人様死亡時）'!AJ$3="","",'CF表（ご主人様死亡時）'!AJ28/10000)</f>
        <v/>
      </c>
      <c r="AK28" s="227">
        <f>IF('CF表（ご主人様死亡時）'!AK$3="","",'CF表（ご主人様死亡時）'!AK28/10000)</f>
        <v/>
      </c>
      <c r="AL28" s="227">
        <f>IF('CF表（ご主人様死亡時）'!AL$3="","",'CF表（ご主人様死亡時）'!AL28/10000)</f>
        <v/>
      </c>
      <c r="AM28" s="227">
        <f>IF('CF表（ご主人様死亡時）'!AM$3="","",'CF表（ご主人様死亡時）'!AM28/10000)</f>
        <v/>
      </c>
      <c r="AN28" s="227">
        <f>IF('CF表（ご主人様死亡時）'!AN$3="","",'CF表（ご主人様死亡時）'!AN28/10000)</f>
        <v/>
      </c>
      <c r="AO28" s="227">
        <f>IF('CF表（ご主人様死亡時）'!AO$3="","",'CF表（ご主人様死亡時）'!AO28/10000)</f>
        <v/>
      </c>
      <c r="AP28" s="227">
        <f>IF('CF表（ご主人様死亡時）'!AP$3="","",'CF表（ご主人様死亡時）'!AP28/10000)</f>
        <v/>
      </c>
      <c r="AQ28" s="227">
        <f>IF('CF表（ご主人様死亡時）'!AQ$3="","",'CF表（ご主人様死亡時）'!AQ28/10000)</f>
        <v/>
      </c>
      <c r="AR28" s="227">
        <f>IF('CF表（ご主人様死亡時）'!AR$3="","",'CF表（ご主人様死亡時）'!AR28/10000)</f>
        <v/>
      </c>
      <c r="AS28" s="227">
        <f>IF('CF表（ご主人様死亡時）'!AS$3="","",'CF表（ご主人様死亡時）'!AS28/10000)</f>
        <v/>
      </c>
      <c r="AT28" s="227">
        <f>IF('CF表（ご主人様死亡時）'!AT$3="","",'CF表（ご主人様死亡時）'!AT28/10000)</f>
        <v/>
      </c>
      <c r="AU28" s="227">
        <f>IF('CF表（ご主人様死亡時）'!AU$3="","",'CF表（ご主人様死亡時）'!AU28/10000)</f>
        <v/>
      </c>
      <c r="AV28" s="227">
        <f>IF('CF表（ご主人様死亡時）'!AV$3="","",'CF表（ご主人様死亡時）'!AV28/10000)</f>
        <v/>
      </c>
      <c r="AW28" s="227">
        <f>IF('CF表（ご主人様死亡時）'!AW$3="","",'CF表（ご主人様死亡時）'!AW28/10000)</f>
        <v/>
      </c>
      <c r="AX28" s="227">
        <f>IF('CF表（ご主人様死亡時）'!AX$3="","",'CF表（ご主人様死亡時）'!AX28/10000)</f>
        <v/>
      </c>
      <c r="AY28" s="227">
        <f>IF('CF表（ご主人様死亡時）'!AY$3="","",'CF表（ご主人様死亡時）'!AY28/10000)</f>
        <v/>
      </c>
      <c r="AZ28" s="227">
        <f>IF('CF表（ご主人様死亡時）'!AZ$3="","",'CF表（ご主人様死亡時）'!AZ28/10000)</f>
        <v/>
      </c>
      <c r="BA28" s="227">
        <f>IF('CF表（ご主人様死亡時）'!BA$3="","",'CF表（ご主人様死亡時）'!BA28/10000)</f>
        <v/>
      </c>
      <c r="BB28" s="227">
        <f>IF('CF表（ご主人様死亡時）'!BB$3="","",'CF表（ご主人様死亡時）'!BB28/10000)</f>
        <v/>
      </c>
      <c r="BC28" s="227">
        <f>IF('CF表（ご主人様死亡時）'!BC$3="","",'CF表（ご主人様死亡時）'!BC28/10000)</f>
        <v/>
      </c>
      <c r="BD28" s="227">
        <f>IF('CF表（ご主人様死亡時）'!BD$3="","",'CF表（ご主人様死亡時）'!BD28/10000)</f>
        <v/>
      </c>
      <c r="BE28" s="227">
        <f>IF('CF表（ご主人様死亡時）'!BE$3="","",'CF表（ご主人様死亡時）'!BE28/10000)</f>
        <v/>
      </c>
      <c r="BF28" s="227">
        <f>IF('CF表（ご主人様死亡時）'!BF$3="","",'CF表（ご主人様死亡時）'!BF28/10000)</f>
        <v/>
      </c>
      <c r="BG28" s="227">
        <f>IF('CF表（ご主人様死亡時）'!BG$3="","",'CF表（ご主人様死亡時）'!BG28/10000)</f>
        <v/>
      </c>
      <c r="BH28" s="227">
        <f>IF('CF表（ご主人様死亡時）'!BH$3="","",'CF表（ご主人様死亡時）'!BH28/10000)</f>
        <v/>
      </c>
      <c r="BI28" s="227">
        <f>IF('CF表（ご主人様死亡時）'!BI$3="","",'CF表（ご主人様死亡時）'!BI28/10000)</f>
        <v/>
      </c>
      <c r="BJ28" s="227">
        <f>IF('CF表（ご主人様死亡時）'!BJ$3="","",'CF表（ご主人様死亡時）'!BJ28/10000)</f>
        <v/>
      </c>
      <c r="BK28" s="227">
        <f>IF('CF表（ご主人様死亡時）'!BK$3="","",'CF表（ご主人様死亡時）'!BK28/10000)</f>
        <v/>
      </c>
      <c r="BL28" s="227">
        <f>IF('CF表（ご主人様死亡時）'!BL$3="","",'CF表（ご主人様死亡時）'!BL28/10000)</f>
        <v/>
      </c>
      <c r="BM28" s="227">
        <f>IF('CF表（ご主人様死亡時）'!BM$3="","",'CF表（ご主人様死亡時）'!BM28/10000)</f>
        <v/>
      </c>
      <c r="BN28" s="227">
        <f>IF('CF表（ご主人様死亡時）'!BN$3="","",'CF表（ご主人様死亡時）'!BN28/10000)</f>
        <v/>
      </c>
      <c r="BO28" s="227">
        <f>IF('CF表（ご主人様死亡時）'!BO$3="","",'CF表（ご主人様死亡時）'!BO28/10000)</f>
        <v/>
      </c>
      <c r="BP28" s="227">
        <f>IF('CF表（ご主人様死亡時）'!BP$3="","",'CF表（ご主人様死亡時）'!BP28/10000)</f>
        <v/>
      </c>
      <c r="BQ28" s="227">
        <f>IF('CF表（ご主人様死亡時）'!BQ$3="","",'CF表（ご主人様死亡時）'!BQ28/10000)</f>
        <v/>
      </c>
      <c r="BR28" s="227">
        <f>IF('CF表（ご主人様死亡時）'!BR$3="","",'CF表（ご主人様死亡時）'!BR28/10000)</f>
        <v/>
      </c>
      <c r="BS28" s="227">
        <f>IF('CF表（ご主人様死亡時）'!BS$3="","",'CF表（ご主人様死亡時）'!BS28/10000)</f>
        <v/>
      </c>
      <c r="BT28" s="227">
        <f>IF('CF表（ご主人様死亡時）'!BT$3="","",'CF表（ご主人様死亡時）'!BT28/10000)</f>
        <v/>
      </c>
      <c r="BU28" s="227">
        <f>IF('CF表（ご主人様死亡時）'!BU$3="","",'CF表（ご主人様死亡時）'!BU28/10000)</f>
        <v/>
      </c>
      <c r="BV28" s="227">
        <f>IF('CF表（ご主人様死亡時）'!BV$3="","",'CF表（ご主人様死亡時）'!BV28/10000)</f>
        <v/>
      </c>
      <c r="BW28" s="227">
        <f>IF('CF表（ご主人様死亡時）'!BW$3="","",'CF表（ご主人様死亡時）'!BW28/10000)</f>
        <v/>
      </c>
      <c r="BX28" s="227">
        <f>IF('CF表（ご主人様死亡時）'!BX$3="","",'CF表（ご主人様死亡時）'!BX28/10000)</f>
        <v/>
      </c>
      <c r="BY28" s="227">
        <f>IF('CF表（ご主人様死亡時）'!BY$3="","",'CF表（ご主人様死亡時）'!BY28/10000)</f>
        <v/>
      </c>
      <c r="BZ28" s="227">
        <f>IF('CF表（ご主人様死亡時）'!BZ$3="","",'CF表（ご主人様死亡時）'!BZ28/10000)</f>
        <v/>
      </c>
      <c r="CA28" s="227">
        <f>IF('CF表（ご主人様死亡時）'!CA$3="","",'CF表（ご主人様死亡時）'!CA28/10000)</f>
        <v/>
      </c>
      <c r="CB28" s="227">
        <f>IF('CF表（ご主人様死亡時）'!CB$3="","",'CF表（ご主人様死亡時）'!CB28/10000)</f>
        <v/>
      </c>
      <c r="CC28" s="227">
        <f>IF('CF表（ご主人様死亡時）'!CC$3="","",'CF表（ご主人様死亡時）'!CC28/10000)</f>
        <v/>
      </c>
      <c r="CD28" s="227">
        <f>IF('CF表（ご主人様死亡時）'!CD$3="","",'CF表（ご主人様死亡時）'!CD28/10000)</f>
        <v/>
      </c>
      <c r="CE28" s="227">
        <f>IF('CF表（ご主人様死亡時）'!CE$3="","",'CF表（ご主人様死亡時）'!CE28/10000)</f>
        <v/>
      </c>
      <c r="CF28" s="227">
        <f>IF('CF表（ご主人様死亡時）'!CF$3="","",'CF表（ご主人様死亡時）'!CF28/10000)</f>
        <v/>
      </c>
      <c r="CG28" s="227">
        <f>IF('CF表（ご主人様死亡時）'!CG$3="","",'CF表（ご主人様死亡時）'!CG28/10000)</f>
        <v/>
      </c>
      <c r="CH28" s="227">
        <f>IF('CF表（ご主人様死亡時）'!CH$3="","",'CF表（ご主人様死亡時）'!CH28/10000)</f>
        <v/>
      </c>
      <c r="CI28" s="227">
        <f>IF('CF表（ご主人様死亡時）'!CI$3="","",'CF表（ご主人様死亡時）'!CI28/10000)</f>
        <v/>
      </c>
      <c r="CJ28" s="227">
        <f>IF('CF表（ご主人様死亡時）'!CJ$3="","",'CF表（ご主人様死亡時）'!CJ28/10000)</f>
        <v/>
      </c>
      <c r="CK28" s="227">
        <f>IF('CF表（ご主人様死亡時）'!CK$3="","",'CF表（ご主人様死亡時）'!CK28/10000)</f>
        <v/>
      </c>
      <c r="CL28" s="227">
        <f>IF('CF表（ご主人様死亡時）'!CL$3="","",'CF表（ご主人様死亡時）'!CL28/10000)</f>
        <v/>
      </c>
      <c r="CM28" s="227">
        <f>IF('CF表（ご主人様死亡時）'!CM$3="","",'CF表（ご主人様死亡時）'!CM28/10000)</f>
        <v/>
      </c>
      <c r="CN28" s="227">
        <f>IF('CF表（ご主人様死亡時）'!CN$3="","",'CF表（ご主人様死亡時）'!CN28/10000)</f>
        <v/>
      </c>
      <c r="CO28" s="227">
        <f>IF('CF表（ご主人様死亡時）'!CO$3="","",'CF表（ご主人様死亡時）'!CO28/10000)</f>
        <v/>
      </c>
      <c r="CP28" s="227">
        <f>IF('CF表（ご主人様死亡時）'!CP$3="","",'CF表（ご主人様死亡時）'!CP28/10000)</f>
        <v/>
      </c>
      <c r="CQ28" s="227">
        <f>IF('CF表（ご主人様死亡時）'!CQ$3="","",'CF表（ご主人様死亡時）'!CQ28/10000)</f>
        <v/>
      </c>
      <c r="CR28" s="227">
        <f>IF('CF表（ご主人様死亡時）'!CR$3="","",'CF表（ご主人様死亡時）'!CR28/10000)</f>
        <v/>
      </c>
      <c r="CS28" s="227">
        <f>IF('CF表（ご主人様死亡時）'!CS$3="","",'CF表（ご主人様死亡時）'!CS28/10000)</f>
        <v/>
      </c>
      <c r="CT28" s="227">
        <f>IF('CF表（ご主人様死亡時）'!CT$3="","",'CF表（ご主人様死亡時）'!CT28/10000)</f>
        <v/>
      </c>
      <c r="CU28" s="227">
        <f>IF('CF表（ご主人様死亡時）'!CU$3="","",'CF表（ご主人様死亡時）'!CU28/10000)</f>
        <v/>
      </c>
      <c r="CV28" s="227">
        <f>IF('CF表（ご主人様死亡時）'!CV$3="","",'CF表（ご主人様死亡時）'!CV28/10000)</f>
        <v/>
      </c>
      <c r="CW28" s="227">
        <f>IF('CF表（ご主人様死亡時）'!CW$3="","",'CF表（ご主人様死亡時）'!CW28/10000)</f>
        <v/>
      </c>
    </row>
    <row r="29" ht="15" customHeight="1" s="180">
      <c r="A29" s="205" t="inlineStr">
        <is>
          <t>収支・資産</t>
        </is>
      </c>
      <c r="B29" s="228">
        <f>IF('CF表（ご主人様死亡時）'!B$3="","",'CF表（ご主人様死亡時）'!B29/10000)</f>
        <v/>
      </c>
      <c r="C29" s="228">
        <f>IF('CF表（ご主人様死亡時）'!C$3="","",'CF表（ご主人様死亡時）'!C29/10000)</f>
        <v/>
      </c>
      <c r="D29" s="228">
        <f>IF('CF表（ご主人様死亡時）'!D$3="","",'CF表（ご主人様死亡時）'!D29/10000)</f>
        <v/>
      </c>
      <c r="E29" s="228">
        <f>IF('CF表（ご主人様死亡時）'!E$3="","",'CF表（ご主人様死亡時）'!E29/10000)</f>
        <v/>
      </c>
      <c r="F29" s="228">
        <f>IF('CF表（ご主人様死亡時）'!F$3="","",'CF表（ご主人様死亡時）'!F29/10000)</f>
        <v/>
      </c>
      <c r="G29" s="228">
        <f>IF('CF表（ご主人様死亡時）'!G$3="","",'CF表（ご主人様死亡時）'!G29/10000)</f>
        <v/>
      </c>
      <c r="H29" s="228">
        <f>IF('CF表（ご主人様死亡時）'!H$3="","",'CF表（ご主人様死亡時）'!H29/10000)</f>
        <v/>
      </c>
      <c r="I29" s="228">
        <f>IF('CF表（ご主人様死亡時）'!I$3="","",'CF表（ご主人様死亡時）'!I29/10000)</f>
        <v/>
      </c>
      <c r="J29" s="228">
        <f>IF('CF表（ご主人様死亡時）'!J$3="","",'CF表（ご主人様死亡時）'!J29/10000)</f>
        <v/>
      </c>
      <c r="K29" s="228">
        <f>IF('CF表（ご主人様死亡時）'!K$3="","",'CF表（ご主人様死亡時）'!K29/10000)</f>
        <v/>
      </c>
      <c r="L29" s="228">
        <f>IF('CF表（ご主人様死亡時）'!L$3="","",'CF表（ご主人様死亡時）'!L29/10000)</f>
        <v/>
      </c>
      <c r="M29" s="228">
        <f>IF('CF表（ご主人様死亡時）'!M$3="","",'CF表（ご主人様死亡時）'!M29/10000)</f>
        <v/>
      </c>
      <c r="N29" s="228">
        <f>IF('CF表（ご主人様死亡時）'!N$3="","",'CF表（ご主人様死亡時）'!N29/10000)</f>
        <v/>
      </c>
      <c r="O29" s="228">
        <f>IF('CF表（ご主人様死亡時）'!O$3="","",'CF表（ご主人様死亡時）'!O29/10000)</f>
        <v/>
      </c>
      <c r="P29" s="228">
        <f>IF('CF表（ご主人様死亡時）'!P$3="","",'CF表（ご主人様死亡時）'!P29/10000)</f>
        <v/>
      </c>
      <c r="Q29" s="228">
        <f>IF('CF表（ご主人様死亡時）'!Q$3="","",'CF表（ご主人様死亡時）'!Q29/10000)</f>
        <v/>
      </c>
      <c r="R29" s="228">
        <f>IF('CF表（ご主人様死亡時）'!R$3="","",'CF表（ご主人様死亡時）'!R29/10000)</f>
        <v/>
      </c>
      <c r="S29" s="228">
        <f>IF('CF表（ご主人様死亡時）'!S$3="","",'CF表（ご主人様死亡時）'!S29/10000)</f>
        <v/>
      </c>
      <c r="T29" s="228">
        <f>IF('CF表（ご主人様死亡時）'!T$3="","",'CF表（ご主人様死亡時）'!T29/10000)</f>
        <v/>
      </c>
      <c r="U29" s="228">
        <f>IF('CF表（ご主人様死亡時）'!U$3="","",'CF表（ご主人様死亡時）'!U29/10000)</f>
        <v/>
      </c>
      <c r="V29" s="228">
        <f>IF('CF表（ご主人様死亡時）'!V$3="","",'CF表（ご主人様死亡時）'!V29/10000)</f>
        <v/>
      </c>
      <c r="W29" s="228">
        <f>IF('CF表（ご主人様死亡時）'!W$3="","",'CF表（ご主人様死亡時）'!W29/10000)</f>
        <v/>
      </c>
      <c r="X29" s="228">
        <f>IF('CF表（ご主人様死亡時）'!X$3="","",'CF表（ご主人様死亡時）'!X29/10000)</f>
        <v/>
      </c>
      <c r="Y29" s="228">
        <f>IF('CF表（ご主人様死亡時）'!Y$3="","",'CF表（ご主人様死亡時）'!Y29/10000)</f>
        <v/>
      </c>
      <c r="Z29" s="228">
        <f>IF('CF表（ご主人様死亡時）'!Z$3="","",'CF表（ご主人様死亡時）'!Z29/10000)</f>
        <v/>
      </c>
      <c r="AA29" s="228">
        <f>IF('CF表（ご主人様死亡時）'!AA$3="","",'CF表（ご主人様死亡時）'!AA29/10000)</f>
        <v/>
      </c>
      <c r="AB29" s="228">
        <f>IF('CF表（ご主人様死亡時）'!AB$3="","",'CF表（ご主人様死亡時）'!AB29/10000)</f>
        <v/>
      </c>
      <c r="AC29" s="228">
        <f>IF('CF表（ご主人様死亡時）'!AC$3="","",'CF表（ご主人様死亡時）'!AC29/10000)</f>
        <v/>
      </c>
      <c r="AD29" s="228">
        <f>IF('CF表（ご主人様死亡時）'!AD$3="","",'CF表（ご主人様死亡時）'!AD29/10000)</f>
        <v/>
      </c>
      <c r="AE29" s="228">
        <f>IF('CF表（ご主人様死亡時）'!AE$3="","",'CF表（ご主人様死亡時）'!AE29/10000)</f>
        <v/>
      </c>
      <c r="AF29" s="228">
        <f>IF('CF表（ご主人様死亡時）'!AF$3="","",'CF表（ご主人様死亡時）'!AF29/10000)</f>
        <v/>
      </c>
      <c r="AG29" s="228">
        <f>IF('CF表（ご主人様死亡時）'!AG$3="","",'CF表（ご主人様死亡時）'!AG29/10000)</f>
        <v/>
      </c>
      <c r="AH29" s="228">
        <f>IF('CF表（ご主人様死亡時）'!AH$3="","",'CF表（ご主人様死亡時）'!AH29/10000)</f>
        <v/>
      </c>
      <c r="AI29" s="228">
        <f>IF('CF表（ご主人様死亡時）'!AI$3="","",'CF表（ご主人様死亡時）'!AI29/10000)</f>
        <v/>
      </c>
      <c r="AJ29" s="228">
        <f>IF('CF表（ご主人様死亡時）'!AJ$3="","",'CF表（ご主人様死亡時）'!AJ29/10000)</f>
        <v/>
      </c>
      <c r="AK29" s="228">
        <f>IF('CF表（ご主人様死亡時）'!AK$3="","",'CF表（ご主人様死亡時）'!AK29/10000)</f>
        <v/>
      </c>
      <c r="AL29" s="228">
        <f>IF('CF表（ご主人様死亡時）'!AL$3="","",'CF表（ご主人様死亡時）'!AL29/10000)</f>
        <v/>
      </c>
      <c r="AM29" s="228">
        <f>IF('CF表（ご主人様死亡時）'!AM$3="","",'CF表（ご主人様死亡時）'!AM29/10000)</f>
        <v/>
      </c>
      <c r="AN29" s="228">
        <f>IF('CF表（ご主人様死亡時）'!AN$3="","",'CF表（ご主人様死亡時）'!AN29/10000)</f>
        <v/>
      </c>
      <c r="AO29" s="228">
        <f>IF('CF表（ご主人様死亡時）'!AO$3="","",'CF表（ご主人様死亡時）'!AO29/10000)</f>
        <v/>
      </c>
      <c r="AP29" s="228">
        <f>IF('CF表（ご主人様死亡時）'!AP$3="","",'CF表（ご主人様死亡時）'!AP29/10000)</f>
        <v/>
      </c>
      <c r="AQ29" s="228">
        <f>IF('CF表（ご主人様死亡時）'!AQ$3="","",'CF表（ご主人様死亡時）'!AQ29/10000)</f>
        <v/>
      </c>
      <c r="AR29" s="228">
        <f>IF('CF表（ご主人様死亡時）'!AR$3="","",'CF表（ご主人様死亡時）'!AR29/10000)</f>
        <v/>
      </c>
      <c r="AS29" s="228">
        <f>IF('CF表（ご主人様死亡時）'!AS$3="","",'CF表（ご主人様死亡時）'!AS29/10000)</f>
        <v/>
      </c>
      <c r="AT29" s="228">
        <f>IF('CF表（ご主人様死亡時）'!AT$3="","",'CF表（ご主人様死亡時）'!AT29/10000)</f>
        <v/>
      </c>
      <c r="AU29" s="228">
        <f>IF('CF表（ご主人様死亡時）'!AU$3="","",'CF表（ご主人様死亡時）'!AU29/10000)</f>
        <v/>
      </c>
      <c r="AV29" s="228">
        <f>IF('CF表（ご主人様死亡時）'!AV$3="","",'CF表（ご主人様死亡時）'!AV29/10000)</f>
        <v/>
      </c>
      <c r="AW29" s="228">
        <f>IF('CF表（ご主人様死亡時）'!AW$3="","",'CF表（ご主人様死亡時）'!AW29/10000)</f>
        <v/>
      </c>
      <c r="AX29" s="228">
        <f>IF('CF表（ご主人様死亡時）'!AX$3="","",'CF表（ご主人様死亡時）'!AX29/10000)</f>
        <v/>
      </c>
      <c r="AY29" s="228">
        <f>IF('CF表（ご主人様死亡時）'!AY$3="","",'CF表（ご主人様死亡時）'!AY29/10000)</f>
        <v/>
      </c>
      <c r="AZ29" s="228">
        <f>IF('CF表（ご主人様死亡時）'!AZ$3="","",'CF表（ご主人様死亡時）'!AZ29/10000)</f>
        <v/>
      </c>
      <c r="BA29" s="228">
        <f>IF('CF表（ご主人様死亡時）'!BA$3="","",'CF表（ご主人様死亡時）'!BA29/10000)</f>
        <v/>
      </c>
      <c r="BB29" s="228">
        <f>IF('CF表（ご主人様死亡時）'!BB$3="","",'CF表（ご主人様死亡時）'!BB29/10000)</f>
        <v/>
      </c>
      <c r="BC29" s="228">
        <f>IF('CF表（ご主人様死亡時）'!BC$3="","",'CF表（ご主人様死亡時）'!BC29/10000)</f>
        <v/>
      </c>
      <c r="BD29" s="228">
        <f>IF('CF表（ご主人様死亡時）'!BD$3="","",'CF表（ご主人様死亡時）'!BD29/10000)</f>
        <v/>
      </c>
      <c r="BE29" s="228">
        <f>IF('CF表（ご主人様死亡時）'!BE$3="","",'CF表（ご主人様死亡時）'!BE29/10000)</f>
        <v/>
      </c>
      <c r="BF29" s="228">
        <f>IF('CF表（ご主人様死亡時）'!BF$3="","",'CF表（ご主人様死亡時）'!BF29/10000)</f>
        <v/>
      </c>
      <c r="BG29" s="228">
        <f>IF('CF表（ご主人様死亡時）'!BG$3="","",'CF表（ご主人様死亡時）'!BG29/10000)</f>
        <v/>
      </c>
      <c r="BH29" s="228">
        <f>IF('CF表（ご主人様死亡時）'!BH$3="","",'CF表（ご主人様死亡時）'!BH29/10000)</f>
        <v/>
      </c>
      <c r="BI29" s="228">
        <f>IF('CF表（ご主人様死亡時）'!BI$3="","",'CF表（ご主人様死亡時）'!BI29/10000)</f>
        <v/>
      </c>
      <c r="BJ29" s="228">
        <f>IF('CF表（ご主人様死亡時）'!BJ$3="","",'CF表（ご主人様死亡時）'!BJ29/10000)</f>
        <v/>
      </c>
      <c r="BK29" s="228">
        <f>IF('CF表（ご主人様死亡時）'!BK$3="","",'CF表（ご主人様死亡時）'!BK29/10000)</f>
        <v/>
      </c>
      <c r="BL29" s="228">
        <f>IF('CF表（ご主人様死亡時）'!BL$3="","",'CF表（ご主人様死亡時）'!BL29/10000)</f>
        <v/>
      </c>
      <c r="BM29" s="228">
        <f>IF('CF表（ご主人様死亡時）'!BM$3="","",'CF表（ご主人様死亡時）'!BM29/10000)</f>
        <v/>
      </c>
      <c r="BN29" s="228">
        <f>IF('CF表（ご主人様死亡時）'!BN$3="","",'CF表（ご主人様死亡時）'!BN29/10000)</f>
        <v/>
      </c>
      <c r="BO29" s="228">
        <f>IF('CF表（ご主人様死亡時）'!BO$3="","",'CF表（ご主人様死亡時）'!BO29/10000)</f>
        <v/>
      </c>
      <c r="BP29" s="228">
        <f>IF('CF表（ご主人様死亡時）'!BP$3="","",'CF表（ご主人様死亡時）'!BP29/10000)</f>
        <v/>
      </c>
      <c r="BQ29" s="228">
        <f>IF('CF表（ご主人様死亡時）'!BQ$3="","",'CF表（ご主人様死亡時）'!BQ29/10000)</f>
        <v/>
      </c>
      <c r="BR29" s="228">
        <f>IF('CF表（ご主人様死亡時）'!BR$3="","",'CF表（ご主人様死亡時）'!BR29/10000)</f>
        <v/>
      </c>
      <c r="BS29" s="228">
        <f>IF('CF表（ご主人様死亡時）'!BS$3="","",'CF表（ご主人様死亡時）'!BS29/10000)</f>
        <v/>
      </c>
      <c r="BT29" s="228">
        <f>IF('CF表（ご主人様死亡時）'!BT$3="","",'CF表（ご主人様死亡時）'!BT29/10000)</f>
        <v/>
      </c>
      <c r="BU29" s="228">
        <f>IF('CF表（ご主人様死亡時）'!BU$3="","",'CF表（ご主人様死亡時）'!BU29/10000)</f>
        <v/>
      </c>
      <c r="BV29" s="228">
        <f>IF('CF表（ご主人様死亡時）'!BV$3="","",'CF表（ご主人様死亡時）'!BV29/10000)</f>
        <v/>
      </c>
      <c r="BW29" s="228">
        <f>IF('CF表（ご主人様死亡時）'!BW$3="","",'CF表（ご主人様死亡時）'!BW29/10000)</f>
        <v/>
      </c>
      <c r="BX29" s="228">
        <f>IF('CF表（ご主人様死亡時）'!BX$3="","",'CF表（ご主人様死亡時）'!BX29/10000)</f>
        <v/>
      </c>
      <c r="BY29" s="228">
        <f>IF('CF表（ご主人様死亡時）'!BY$3="","",'CF表（ご主人様死亡時）'!BY29/10000)</f>
        <v/>
      </c>
      <c r="BZ29" s="228">
        <f>IF('CF表（ご主人様死亡時）'!BZ$3="","",'CF表（ご主人様死亡時）'!BZ29/10000)</f>
        <v/>
      </c>
      <c r="CA29" s="228">
        <f>IF('CF表（ご主人様死亡時）'!CA$3="","",'CF表（ご主人様死亡時）'!CA29/10000)</f>
        <v/>
      </c>
      <c r="CB29" s="228">
        <f>IF('CF表（ご主人様死亡時）'!CB$3="","",'CF表（ご主人様死亡時）'!CB29/10000)</f>
        <v/>
      </c>
      <c r="CC29" s="228">
        <f>IF('CF表（ご主人様死亡時）'!CC$3="","",'CF表（ご主人様死亡時）'!CC29/10000)</f>
        <v/>
      </c>
      <c r="CD29" s="228">
        <f>IF('CF表（ご主人様死亡時）'!CD$3="","",'CF表（ご主人様死亡時）'!CD29/10000)</f>
        <v/>
      </c>
      <c r="CE29" s="228">
        <f>IF('CF表（ご主人様死亡時）'!CE$3="","",'CF表（ご主人様死亡時）'!CE29/10000)</f>
        <v/>
      </c>
      <c r="CF29" s="228">
        <f>IF('CF表（ご主人様死亡時）'!CF$3="","",'CF表（ご主人様死亡時）'!CF29/10000)</f>
        <v/>
      </c>
      <c r="CG29" s="228">
        <f>IF('CF表（ご主人様死亡時）'!CG$3="","",'CF表（ご主人様死亡時）'!CG29/10000)</f>
        <v/>
      </c>
      <c r="CH29" s="228">
        <f>IF('CF表（ご主人様死亡時）'!CH$3="","",'CF表（ご主人様死亡時）'!CH29/10000)</f>
        <v/>
      </c>
      <c r="CI29" s="228">
        <f>IF('CF表（ご主人様死亡時）'!CI$3="","",'CF表（ご主人様死亡時）'!CI29/10000)</f>
        <v/>
      </c>
      <c r="CJ29" s="228">
        <f>IF('CF表（ご主人様死亡時）'!CJ$3="","",'CF表（ご主人様死亡時）'!CJ29/10000)</f>
        <v/>
      </c>
      <c r="CK29" s="228">
        <f>IF('CF表（ご主人様死亡時）'!CK$3="","",'CF表（ご主人様死亡時）'!CK29/10000)</f>
        <v/>
      </c>
      <c r="CL29" s="228">
        <f>IF('CF表（ご主人様死亡時）'!CL$3="","",'CF表（ご主人様死亡時）'!CL29/10000)</f>
        <v/>
      </c>
      <c r="CM29" s="228">
        <f>IF('CF表（ご主人様死亡時）'!CM$3="","",'CF表（ご主人様死亡時）'!CM29/10000)</f>
        <v/>
      </c>
      <c r="CN29" s="228">
        <f>IF('CF表（ご主人様死亡時）'!CN$3="","",'CF表（ご主人様死亡時）'!CN29/10000)</f>
        <v/>
      </c>
      <c r="CO29" s="228">
        <f>IF('CF表（ご主人様死亡時）'!CO$3="","",'CF表（ご主人様死亡時）'!CO29/10000)</f>
        <v/>
      </c>
      <c r="CP29" s="228">
        <f>IF('CF表（ご主人様死亡時）'!CP$3="","",'CF表（ご主人様死亡時）'!CP29/10000)</f>
        <v/>
      </c>
      <c r="CQ29" s="228">
        <f>IF('CF表（ご主人様死亡時）'!CQ$3="","",'CF表（ご主人様死亡時）'!CQ29/10000)</f>
        <v/>
      </c>
      <c r="CR29" s="228">
        <f>IF('CF表（ご主人様死亡時）'!CR$3="","",'CF表（ご主人様死亡時）'!CR29/10000)</f>
        <v/>
      </c>
      <c r="CS29" s="228">
        <f>IF('CF表（ご主人様死亡時）'!CS$3="","",'CF表（ご主人様死亡時）'!CS29/10000)</f>
        <v/>
      </c>
      <c r="CT29" s="228">
        <f>IF('CF表（ご主人様死亡時）'!CT$3="","",'CF表（ご主人様死亡時）'!CT29/10000)</f>
        <v/>
      </c>
      <c r="CU29" s="228">
        <f>IF('CF表（ご主人様死亡時）'!CU$3="","",'CF表（ご主人様死亡時）'!CU29/10000)</f>
        <v/>
      </c>
      <c r="CV29" s="228">
        <f>IF('CF表（ご主人様死亡時）'!CV$3="","",'CF表（ご主人様死亡時）'!CV29/10000)</f>
        <v/>
      </c>
      <c r="CW29" s="228">
        <f>IF('CF表（ご主人様死亡時）'!CW$3="","",'CF表（ご主人様死亡時）'!CW29/10000)</f>
        <v/>
      </c>
    </row>
    <row r="30" ht="21.75" customHeight="1" s="180">
      <c r="A30" s="229" t="inlineStr">
        <is>
          <t>年間収支</t>
        </is>
      </c>
      <c r="B30" s="230">
        <f>IF('CF表（ご主人様死亡時）'!B$3="","",'CF表（ご主人様死亡時）'!B30/10000)</f>
        <v/>
      </c>
      <c r="C30" s="230">
        <f>IF('CF表（ご主人様死亡時）'!C$3="","",'CF表（ご主人様死亡時）'!C30/10000)</f>
        <v/>
      </c>
      <c r="D30" s="230">
        <f>IF('CF表（ご主人様死亡時）'!D$3="","",'CF表（ご主人様死亡時）'!D30/10000)</f>
        <v/>
      </c>
      <c r="E30" s="230">
        <f>IF('CF表（ご主人様死亡時）'!E$3="","",'CF表（ご主人様死亡時）'!E30/10000)</f>
        <v/>
      </c>
      <c r="F30" s="230">
        <f>IF('CF表（ご主人様死亡時）'!F$3="","",'CF表（ご主人様死亡時）'!F30/10000)</f>
        <v/>
      </c>
      <c r="G30" s="230">
        <f>IF('CF表（ご主人様死亡時）'!G$3="","",'CF表（ご主人様死亡時）'!G30/10000)</f>
        <v/>
      </c>
      <c r="H30" s="230">
        <f>IF('CF表（ご主人様死亡時）'!H$3="","",'CF表（ご主人様死亡時）'!H30/10000)</f>
        <v/>
      </c>
      <c r="I30" s="230">
        <f>IF('CF表（ご主人様死亡時）'!I$3="","",'CF表（ご主人様死亡時）'!I30/10000)</f>
        <v/>
      </c>
      <c r="J30" s="230">
        <f>IF('CF表（ご主人様死亡時）'!J$3="","",'CF表（ご主人様死亡時）'!J30/10000)</f>
        <v/>
      </c>
      <c r="K30" s="230">
        <f>IF('CF表（ご主人様死亡時）'!K$3="","",'CF表（ご主人様死亡時）'!K30/10000)</f>
        <v/>
      </c>
      <c r="L30" s="230">
        <f>IF('CF表（ご主人様死亡時）'!L$3="","",'CF表（ご主人様死亡時）'!L30/10000)</f>
        <v/>
      </c>
      <c r="M30" s="230">
        <f>IF('CF表（ご主人様死亡時）'!M$3="","",'CF表（ご主人様死亡時）'!M30/10000)</f>
        <v/>
      </c>
      <c r="N30" s="230">
        <f>IF('CF表（ご主人様死亡時）'!N$3="","",'CF表（ご主人様死亡時）'!N30/10000)</f>
        <v/>
      </c>
      <c r="O30" s="230">
        <f>IF('CF表（ご主人様死亡時）'!O$3="","",'CF表（ご主人様死亡時）'!O30/10000)</f>
        <v/>
      </c>
      <c r="P30" s="230">
        <f>IF('CF表（ご主人様死亡時）'!P$3="","",'CF表（ご主人様死亡時）'!P30/10000)</f>
        <v/>
      </c>
      <c r="Q30" s="230">
        <f>IF('CF表（ご主人様死亡時）'!Q$3="","",'CF表（ご主人様死亡時）'!Q30/10000)</f>
        <v/>
      </c>
      <c r="R30" s="230">
        <f>IF('CF表（ご主人様死亡時）'!R$3="","",'CF表（ご主人様死亡時）'!R30/10000)</f>
        <v/>
      </c>
      <c r="S30" s="230">
        <f>IF('CF表（ご主人様死亡時）'!S$3="","",'CF表（ご主人様死亡時）'!S30/10000)</f>
        <v/>
      </c>
      <c r="T30" s="230">
        <f>IF('CF表（ご主人様死亡時）'!T$3="","",'CF表（ご主人様死亡時）'!T30/10000)</f>
        <v/>
      </c>
      <c r="U30" s="230">
        <f>IF('CF表（ご主人様死亡時）'!U$3="","",'CF表（ご主人様死亡時）'!U30/10000)</f>
        <v/>
      </c>
      <c r="V30" s="230">
        <f>IF('CF表（ご主人様死亡時）'!V$3="","",'CF表（ご主人様死亡時）'!V30/10000)</f>
        <v/>
      </c>
      <c r="W30" s="230">
        <f>IF('CF表（ご主人様死亡時）'!W$3="","",'CF表（ご主人様死亡時）'!W30/10000)</f>
        <v/>
      </c>
      <c r="X30" s="230">
        <f>IF('CF表（ご主人様死亡時）'!X$3="","",'CF表（ご主人様死亡時）'!X30/10000)</f>
        <v/>
      </c>
      <c r="Y30" s="230">
        <f>IF('CF表（ご主人様死亡時）'!Y$3="","",'CF表（ご主人様死亡時）'!Y30/10000)</f>
        <v/>
      </c>
      <c r="Z30" s="230">
        <f>IF('CF表（ご主人様死亡時）'!Z$3="","",'CF表（ご主人様死亡時）'!Z30/10000)</f>
        <v/>
      </c>
      <c r="AA30" s="230">
        <f>IF('CF表（ご主人様死亡時）'!AA$3="","",'CF表（ご主人様死亡時）'!AA30/10000)</f>
        <v/>
      </c>
      <c r="AB30" s="230">
        <f>IF('CF表（ご主人様死亡時）'!AB$3="","",'CF表（ご主人様死亡時）'!AB30/10000)</f>
        <v/>
      </c>
      <c r="AC30" s="230">
        <f>IF('CF表（ご主人様死亡時）'!AC$3="","",'CF表（ご主人様死亡時）'!AC30/10000)</f>
        <v/>
      </c>
      <c r="AD30" s="230">
        <f>IF('CF表（ご主人様死亡時）'!AD$3="","",'CF表（ご主人様死亡時）'!AD30/10000)</f>
        <v/>
      </c>
      <c r="AE30" s="230">
        <f>IF('CF表（ご主人様死亡時）'!AE$3="","",'CF表（ご主人様死亡時）'!AE30/10000)</f>
        <v/>
      </c>
      <c r="AF30" s="230">
        <f>IF('CF表（ご主人様死亡時）'!AF$3="","",'CF表（ご主人様死亡時）'!AF30/10000)</f>
        <v/>
      </c>
      <c r="AG30" s="230">
        <f>IF('CF表（ご主人様死亡時）'!AG$3="","",'CF表（ご主人様死亡時）'!AG30/10000)</f>
        <v/>
      </c>
      <c r="AH30" s="230">
        <f>IF('CF表（ご主人様死亡時）'!AH$3="","",'CF表（ご主人様死亡時）'!AH30/10000)</f>
        <v/>
      </c>
      <c r="AI30" s="230">
        <f>IF('CF表（ご主人様死亡時）'!AI$3="","",'CF表（ご主人様死亡時）'!AI30/10000)</f>
        <v/>
      </c>
      <c r="AJ30" s="230">
        <f>IF('CF表（ご主人様死亡時）'!AJ$3="","",'CF表（ご主人様死亡時）'!AJ30/10000)</f>
        <v/>
      </c>
      <c r="AK30" s="230">
        <f>IF('CF表（ご主人様死亡時）'!AK$3="","",'CF表（ご主人様死亡時）'!AK30/10000)</f>
        <v/>
      </c>
      <c r="AL30" s="230">
        <f>IF('CF表（ご主人様死亡時）'!AL$3="","",'CF表（ご主人様死亡時）'!AL30/10000)</f>
        <v/>
      </c>
      <c r="AM30" s="230">
        <f>IF('CF表（ご主人様死亡時）'!AM$3="","",'CF表（ご主人様死亡時）'!AM30/10000)</f>
        <v/>
      </c>
      <c r="AN30" s="230">
        <f>IF('CF表（ご主人様死亡時）'!AN$3="","",'CF表（ご主人様死亡時）'!AN30/10000)</f>
        <v/>
      </c>
      <c r="AO30" s="230">
        <f>IF('CF表（ご主人様死亡時）'!AO$3="","",'CF表（ご主人様死亡時）'!AO30/10000)</f>
        <v/>
      </c>
      <c r="AP30" s="230">
        <f>IF('CF表（ご主人様死亡時）'!AP$3="","",'CF表（ご主人様死亡時）'!AP30/10000)</f>
        <v/>
      </c>
      <c r="AQ30" s="230">
        <f>IF('CF表（ご主人様死亡時）'!AQ$3="","",'CF表（ご主人様死亡時）'!AQ30/10000)</f>
        <v/>
      </c>
      <c r="AR30" s="230">
        <f>IF('CF表（ご主人様死亡時）'!AR$3="","",'CF表（ご主人様死亡時）'!AR30/10000)</f>
        <v/>
      </c>
      <c r="AS30" s="230">
        <f>IF('CF表（ご主人様死亡時）'!AS$3="","",'CF表（ご主人様死亡時）'!AS30/10000)</f>
        <v/>
      </c>
      <c r="AT30" s="230">
        <f>IF('CF表（ご主人様死亡時）'!AT$3="","",'CF表（ご主人様死亡時）'!AT30/10000)</f>
        <v/>
      </c>
      <c r="AU30" s="230">
        <f>IF('CF表（ご主人様死亡時）'!AU$3="","",'CF表（ご主人様死亡時）'!AU30/10000)</f>
        <v/>
      </c>
      <c r="AV30" s="230">
        <f>IF('CF表（ご主人様死亡時）'!AV$3="","",'CF表（ご主人様死亡時）'!AV30/10000)</f>
        <v/>
      </c>
      <c r="AW30" s="230">
        <f>IF('CF表（ご主人様死亡時）'!AW$3="","",'CF表（ご主人様死亡時）'!AW30/10000)</f>
        <v/>
      </c>
      <c r="AX30" s="230">
        <f>IF('CF表（ご主人様死亡時）'!AX$3="","",'CF表（ご主人様死亡時）'!AX30/10000)</f>
        <v/>
      </c>
      <c r="AY30" s="230">
        <f>IF('CF表（ご主人様死亡時）'!AY$3="","",'CF表（ご主人様死亡時）'!AY30/10000)</f>
        <v/>
      </c>
      <c r="AZ30" s="230">
        <f>IF('CF表（ご主人様死亡時）'!AZ$3="","",'CF表（ご主人様死亡時）'!AZ30/10000)</f>
        <v/>
      </c>
      <c r="BA30" s="230">
        <f>IF('CF表（ご主人様死亡時）'!BA$3="","",'CF表（ご主人様死亡時）'!BA30/10000)</f>
        <v/>
      </c>
      <c r="BB30" s="230">
        <f>IF('CF表（ご主人様死亡時）'!BB$3="","",'CF表（ご主人様死亡時）'!BB30/10000)</f>
        <v/>
      </c>
      <c r="BC30" s="230">
        <f>IF('CF表（ご主人様死亡時）'!BC$3="","",'CF表（ご主人様死亡時）'!BC30/10000)</f>
        <v/>
      </c>
      <c r="BD30" s="230">
        <f>IF('CF表（ご主人様死亡時）'!BD$3="","",'CF表（ご主人様死亡時）'!BD30/10000)</f>
        <v/>
      </c>
      <c r="BE30" s="230">
        <f>IF('CF表（ご主人様死亡時）'!BE$3="","",'CF表（ご主人様死亡時）'!BE30/10000)</f>
        <v/>
      </c>
      <c r="BF30" s="230">
        <f>IF('CF表（ご主人様死亡時）'!BF$3="","",'CF表（ご主人様死亡時）'!BF30/10000)</f>
        <v/>
      </c>
      <c r="BG30" s="230">
        <f>IF('CF表（ご主人様死亡時）'!BG$3="","",'CF表（ご主人様死亡時）'!BG30/10000)</f>
        <v/>
      </c>
      <c r="BH30" s="230">
        <f>IF('CF表（ご主人様死亡時）'!BH$3="","",'CF表（ご主人様死亡時）'!BH30/10000)</f>
        <v/>
      </c>
      <c r="BI30" s="230">
        <f>IF('CF表（ご主人様死亡時）'!BI$3="","",'CF表（ご主人様死亡時）'!BI30/10000)</f>
        <v/>
      </c>
      <c r="BJ30" s="230">
        <f>IF('CF表（ご主人様死亡時）'!BJ$3="","",'CF表（ご主人様死亡時）'!BJ30/10000)</f>
        <v/>
      </c>
      <c r="BK30" s="230">
        <f>IF('CF表（ご主人様死亡時）'!BK$3="","",'CF表（ご主人様死亡時）'!BK30/10000)</f>
        <v/>
      </c>
      <c r="BL30" s="230">
        <f>IF('CF表（ご主人様死亡時）'!BL$3="","",'CF表（ご主人様死亡時）'!BL30/10000)</f>
        <v/>
      </c>
      <c r="BM30" s="230">
        <f>IF('CF表（ご主人様死亡時）'!BM$3="","",'CF表（ご主人様死亡時）'!BM30/10000)</f>
        <v/>
      </c>
      <c r="BN30" s="230">
        <f>IF('CF表（ご主人様死亡時）'!BN$3="","",'CF表（ご主人様死亡時）'!BN30/10000)</f>
        <v/>
      </c>
      <c r="BO30" s="230">
        <f>IF('CF表（ご主人様死亡時）'!BO$3="","",'CF表（ご主人様死亡時）'!BO30/10000)</f>
        <v/>
      </c>
      <c r="BP30" s="230">
        <f>IF('CF表（ご主人様死亡時）'!BP$3="","",'CF表（ご主人様死亡時）'!BP30/10000)</f>
        <v/>
      </c>
      <c r="BQ30" s="230">
        <f>IF('CF表（ご主人様死亡時）'!BQ$3="","",'CF表（ご主人様死亡時）'!BQ30/10000)</f>
        <v/>
      </c>
      <c r="BR30" s="230">
        <f>IF('CF表（ご主人様死亡時）'!BR$3="","",'CF表（ご主人様死亡時）'!BR30/10000)</f>
        <v/>
      </c>
      <c r="BS30" s="230">
        <f>IF('CF表（ご主人様死亡時）'!BS$3="","",'CF表（ご主人様死亡時）'!BS30/10000)</f>
        <v/>
      </c>
      <c r="BT30" s="230">
        <f>IF('CF表（ご主人様死亡時）'!BT$3="","",'CF表（ご主人様死亡時）'!BT30/10000)</f>
        <v/>
      </c>
      <c r="BU30" s="230">
        <f>IF('CF表（ご主人様死亡時）'!BU$3="","",'CF表（ご主人様死亡時）'!BU30/10000)</f>
        <v/>
      </c>
      <c r="BV30" s="230">
        <f>IF('CF表（ご主人様死亡時）'!BV$3="","",'CF表（ご主人様死亡時）'!BV30/10000)</f>
        <v/>
      </c>
      <c r="BW30" s="230">
        <f>IF('CF表（ご主人様死亡時）'!BW$3="","",'CF表（ご主人様死亡時）'!BW30/10000)</f>
        <v/>
      </c>
      <c r="BX30" s="230">
        <f>IF('CF表（ご主人様死亡時）'!BX$3="","",'CF表（ご主人様死亡時）'!BX30/10000)</f>
        <v/>
      </c>
      <c r="BY30" s="230">
        <f>IF('CF表（ご主人様死亡時）'!BY$3="","",'CF表（ご主人様死亡時）'!BY30/10000)</f>
        <v/>
      </c>
      <c r="BZ30" s="230">
        <f>IF('CF表（ご主人様死亡時）'!BZ$3="","",'CF表（ご主人様死亡時）'!BZ30/10000)</f>
        <v/>
      </c>
      <c r="CA30" s="230">
        <f>IF('CF表（ご主人様死亡時）'!CA$3="","",'CF表（ご主人様死亡時）'!CA30/10000)</f>
        <v/>
      </c>
      <c r="CB30" s="230">
        <f>IF('CF表（ご主人様死亡時）'!CB$3="","",'CF表（ご主人様死亡時）'!CB30/10000)</f>
        <v/>
      </c>
      <c r="CC30" s="230">
        <f>IF('CF表（ご主人様死亡時）'!CC$3="","",'CF表（ご主人様死亡時）'!CC30/10000)</f>
        <v/>
      </c>
      <c r="CD30" s="230">
        <f>IF('CF表（ご主人様死亡時）'!CD$3="","",'CF表（ご主人様死亡時）'!CD30/10000)</f>
        <v/>
      </c>
      <c r="CE30" s="230">
        <f>IF('CF表（ご主人様死亡時）'!CE$3="","",'CF表（ご主人様死亡時）'!CE30/10000)</f>
        <v/>
      </c>
      <c r="CF30" s="230">
        <f>IF('CF表（ご主人様死亡時）'!CF$3="","",'CF表（ご主人様死亡時）'!CF30/10000)</f>
        <v/>
      </c>
      <c r="CG30" s="230">
        <f>IF('CF表（ご主人様死亡時）'!CG$3="","",'CF表（ご主人様死亡時）'!CG30/10000)</f>
        <v/>
      </c>
      <c r="CH30" s="230">
        <f>IF('CF表（ご主人様死亡時）'!CH$3="","",'CF表（ご主人様死亡時）'!CH30/10000)</f>
        <v/>
      </c>
      <c r="CI30" s="230">
        <f>IF('CF表（ご主人様死亡時）'!CI$3="","",'CF表（ご主人様死亡時）'!CI30/10000)</f>
        <v/>
      </c>
      <c r="CJ30" s="230">
        <f>IF('CF表（ご主人様死亡時）'!CJ$3="","",'CF表（ご主人様死亡時）'!CJ30/10000)</f>
        <v/>
      </c>
      <c r="CK30" s="230">
        <f>IF('CF表（ご主人様死亡時）'!CK$3="","",'CF表（ご主人様死亡時）'!CK30/10000)</f>
        <v/>
      </c>
      <c r="CL30" s="230">
        <f>IF('CF表（ご主人様死亡時）'!CL$3="","",'CF表（ご主人様死亡時）'!CL30/10000)</f>
        <v/>
      </c>
      <c r="CM30" s="230">
        <f>IF('CF表（ご主人様死亡時）'!CM$3="","",'CF表（ご主人様死亡時）'!CM30/10000)</f>
        <v/>
      </c>
      <c r="CN30" s="230">
        <f>IF('CF表（ご主人様死亡時）'!CN$3="","",'CF表（ご主人様死亡時）'!CN30/10000)</f>
        <v/>
      </c>
      <c r="CO30" s="230">
        <f>IF('CF表（ご主人様死亡時）'!CO$3="","",'CF表（ご主人様死亡時）'!CO30/10000)</f>
        <v/>
      </c>
      <c r="CP30" s="230">
        <f>IF('CF表（ご主人様死亡時）'!CP$3="","",'CF表（ご主人様死亡時）'!CP30/10000)</f>
        <v/>
      </c>
      <c r="CQ30" s="230">
        <f>IF('CF表（ご主人様死亡時）'!CQ$3="","",'CF表（ご主人様死亡時）'!CQ30/10000)</f>
        <v/>
      </c>
      <c r="CR30" s="230">
        <f>IF('CF表（ご主人様死亡時）'!CR$3="","",'CF表（ご主人様死亡時）'!CR30/10000)</f>
        <v/>
      </c>
      <c r="CS30" s="230">
        <f>IF('CF表（ご主人様死亡時）'!CS$3="","",'CF表（ご主人様死亡時）'!CS30/10000)</f>
        <v/>
      </c>
      <c r="CT30" s="230">
        <f>IF('CF表（ご主人様死亡時）'!CT$3="","",'CF表（ご主人様死亡時）'!CT30/10000)</f>
        <v/>
      </c>
      <c r="CU30" s="230">
        <f>IF('CF表（ご主人様死亡時）'!CU$3="","",'CF表（ご主人様死亡時）'!CU30/10000)</f>
        <v/>
      </c>
      <c r="CV30" s="230">
        <f>IF('CF表（ご主人様死亡時）'!CV$3="","",'CF表（ご主人様死亡時）'!CV30/10000)</f>
        <v/>
      </c>
      <c r="CW30" s="230">
        <f>IF('CF表（ご主人様死亡時）'!CW$3="","",'CF表（ご主人様死亡時）'!CW30/10000)</f>
        <v/>
      </c>
    </row>
    <row r="31" ht="15" customHeight="1" s="180">
      <c r="A31" s="231" t="inlineStr">
        <is>
          <t>預貯金残高</t>
        </is>
      </c>
      <c r="B31" s="232">
        <f>IF('CF表（ご主人様死亡時）'!B$3="","",'CF表（ご主人様死亡時）'!B31/10000)</f>
        <v/>
      </c>
      <c r="C31" s="232">
        <f>IF('CF表（ご主人様死亡時）'!C$3="","",'CF表（ご主人様死亡時）'!C31/10000)</f>
        <v/>
      </c>
      <c r="D31" s="232">
        <f>IF('CF表（ご主人様死亡時）'!D$3="","",'CF表（ご主人様死亡時）'!D31/10000)</f>
        <v/>
      </c>
      <c r="E31" s="232">
        <f>IF('CF表（ご主人様死亡時）'!E$3="","",'CF表（ご主人様死亡時）'!E31/10000)</f>
        <v/>
      </c>
      <c r="F31" s="232">
        <f>IF('CF表（ご主人様死亡時）'!F$3="","",'CF表（ご主人様死亡時）'!F31/10000)</f>
        <v/>
      </c>
      <c r="G31" s="232">
        <f>IF('CF表（ご主人様死亡時）'!G$3="","",'CF表（ご主人様死亡時）'!G31/10000)</f>
        <v/>
      </c>
      <c r="H31" s="232">
        <f>IF('CF表（ご主人様死亡時）'!H$3="","",'CF表（ご主人様死亡時）'!H31/10000)</f>
        <v/>
      </c>
      <c r="I31" s="232">
        <f>IF('CF表（ご主人様死亡時）'!I$3="","",'CF表（ご主人様死亡時）'!I31/10000)</f>
        <v/>
      </c>
      <c r="J31" s="232">
        <f>IF('CF表（ご主人様死亡時）'!J$3="","",'CF表（ご主人様死亡時）'!J31/10000)</f>
        <v/>
      </c>
      <c r="K31" s="232">
        <f>IF('CF表（ご主人様死亡時）'!K$3="","",'CF表（ご主人様死亡時）'!K31/10000)</f>
        <v/>
      </c>
      <c r="L31" s="232">
        <f>IF('CF表（ご主人様死亡時）'!L$3="","",'CF表（ご主人様死亡時）'!L31/10000)</f>
        <v/>
      </c>
      <c r="M31" s="232">
        <f>IF('CF表（ご主人様死亡時）'!M$3="","",'CF表（ご主人様死亡時）'!M31/10000)</f>
        <v/>
      </c>
      <c r="N31" s="232">
        <f>IF('CF表（ご主人様死亡時）'!N$3="","",'CF表（ご主人様死亡時）'!N31/10000)</f>
        <v/>
      </c>
      <c r="O31" s="232">
        <f>IF('CF表（ご主人様死亡時）'!O$3="","",'CF表（ご主人様死亡時）'!O31/10000)</f>
        <v/>
      </c>
      <c r="P31" s="232">
        <f>IF('CF表（ご主人様死亡時）'!P$3="","",'CF表（ご主人様死亡時）'!P31/10000)</f>
        <v/>
      </c>
      <c r="Q31" s="232">
        <f>IF('CF表（ご主人様死亡時）'!Q$3="","",'CF表（ご主人様死亡時）'!Q31/10000)</f>
        <v/>
      </c>
      <c r="R31" s="232">
        <f>IF('CF表（ご主人様死亡時）'!R$3="","",'CF表（ご主人様死亡時）'!R31/10000)</f>
        <v/>
      </c>
      <c r="S31" s="232">
        <f>IF('CF表（ご主人様死亡時）'!S$3="","",'CF表（ご主人様死亡時）'!S31/10000)</f>
        <v/>
      </c>
      <c r="T31" s="232">
        <f>IF('CF表（ご主人様死亡時）'!T$3="","",'CF表（ご主人様死亡時）'!T31/10000)</f>
        <v/>
      </c>
      <c r="U31" s="232">
        <f>IF('CF表（ご主人様死亡時）'!U$3="","",'CF表（ご主人様死亡時）'!U31/10000)</f>
        <v/>
      </c>
      <c r="V31" s="232">
        <f>IF('CF表（ご主人様死亡時）'!V$3="","",'CF表（ご主人様死亡時）'!V31/10000)</f>
        <v/>
      </c>
      <c r="W31" s="232">
        <f>IF('CF表（ご主人様死亡時）'!W$3="","",'CF表（ご主人様死亡時）'!W31/10000)</f>
        <v/>
      </c>
      <c r="X31" s="232">
        <f>IF('CF表（ご主人様死亡時）'!X$3="","",'CF表（ご主人様死亡時）'!X31/10000)</f>
        <v/>
      </c>
      <c r="Y31" s="232">
        <f>IF('CF表（ご主人様死亡時）'!Y$3="","",'CF表（ご主人様死亡時）'!Y31/10000)</f>
        <v/>
      </c>
      <c r="Z31" s="232">
        <f>IF('CF表（ご主人様死亡時）'!Z$3="","",'CF表（ご主人様死亡時）'!Z31/10000)</f>
        <v/>
      </c>
      <c r="AA31" s="232">
        <f>IF('CF表（ご主人様死亡時）'!AA$3="","",'CF表（ご主人様死亡時）'!AA31/10000)</f>
        <v/>
      </c>
      <c r="AB31" s="232">
        <f>IF('CF表（ご主人様死亡時）'!AB$3="","",'CF表（ご主人様死亡時）'!AB31/10000)</f>
        <v/>
      </c>
      <c r="AC31" s="232">
        <f>IF('CF表（ご主人様死亡時）'!AC$3="","",'CF表（ご主人様死亡時）'!AC31/10000)</f>
        <v/>
      </c>
      <c r="AD31" s="232">
        <f>IF('CF表（ご主人様死亡時）'!AD$3="","",'CF表（ご主人様死亡時）'!AD31/10000)</f>
        <v/>
      </c>
      <c r="AE31" s="232">
        <f>IF('CF表（ご主人様死亡時）'!AE$3="","",'CF表（ご主人様死亡時）'!AE31/10000)</f>
        <v/>
      </c>
      <c r="AF31" s="232">
        <f>IF('CF表（ご主人様死亡時）'!AF$3="","",'CF表（ご主人様死亡時）'!AF31/10000)</f>
        <v/>
      </c>
      <c r="AG31" s="232">
        <f>IF('CF表（ご主人様死亡時）'!AG$3="","",'CF表（ご主人様死亡時）'!AG31/10000)</f>
        <v/>
      </c>
      <c r="AH31" s="232">
        <f>IF('CF表（ご主人様死亡時）'!AH$3="","",'CF表（ご主人様死亡時）'!AH31/10000)</f>
        <v/>
      </c>
      <c r="AI31" s="232">
        <f>IF('CF表（ご主人様死亡時）'!AI$3="","",'CF表（ご主人様死亡時）'!AI31/10000)</f>
        <v/>
      </c>
      <c r="AJ31" s="232">
        <f>IF('CF表（ご主人様死亡時）'!AJ$3="","",'CF表（ご主人様死亡時）'!AJ31/10000)</f>
        <v/>
      </c>
      <c r="AK31" s="232">
        <f>IF('CF表（ご主人様死亡時）'!AK$3="","",'CF表（ご主人様死亡時）'!AK31/10000)</f>
        <v/>
      </c>
      <c r="AL31" s="232">
        <f>IF('CF表（ご主人様死亡時）'!AL$3="","",'CF表（ご主人様死亡時）'!AL31/10000)</f>
        <v/>
      </c>
      <c r="AM31" s="232">
        <f>IF('CF表（ご主人様死亡時）'!AM$3="","",'CF表（ご主人様死亡時）'!AM31/10000)</f>
        <v/>
      </c>
      <c r="AN31" s="232">
        <f>IF('CF表（ご主人様死亡時）'!AN$3="","",'CF表（ご主人様死亡時）'!AN31/10000)</f>
        <v/>
      </c>
      <c r="AO31" s="232">
        <f>IF('CF表（ご主人様死亡時）'!AO$3="","",'CF表（ご主人様死亡時）'!AO31/10000)</f>
        <v/>
      </c>
      <c r="AP31" s="232">
        <f>IF('CF表（ご主人様死亡時）'!AP$3="","",'CF表（ご主人様死亡時）'!AP31/10000)</f>
        <v/>
      </c>
      <c r="AQ31" s="232">
        <f>IF('CF表（ご主人様死亡時）'!AQ$3="","",'CF表（ご主人様死亡時）'!AQ31/10000)</f>
        <v/>
      </c>
      <c r="AR31" s="232">
        <f>IF('CF表（ご主人様死亡時）'!AR$3="","",'CF表（ご主人様死亡時）'!AR31/10000)</f>
        <v/>
      </c>
      <c r="AS31" s="232">
        <f>IF('CF表（ご主人様死亡時）'!AS$3="","",'CF表（ご主人様死亡時）'!AS31/10000)</f>
        <v/>
      </c>
      <c r="AT31" s="232">
        <f>IF('CF表（ご主人様死亡時）'!AT$3="","",'CF表（ご主人様死亡時）'!AT31/10000)</f>
        <v/>
      </c>
      <c r="AU31" s="232">
        <f>IF('CF表（ご主人様死亡時）'!AU$3="","",'CF表（ご主人様死亡時）'!AU31/10000)</f>
        <v/>
      </c>
      <c r="AV31" s="232">
        <f>IF('CF表（ご主人様死亡時）'!AV$3="","",'CF表（ご主人様死亡時）'!AV31/10000)</f>
        <v/>
      </c>
      <c r="AW31" s="232">
        <f>IF('CF表（ご主人様死亡時）'!AW$3="","",'CF表（ご主人様死亡時）'!AW31/10000)</f>
        <v/>
      </c>
      <c r="AX31" s="232">
        <f>IF('CF表（ご主人様死亡時）'!AX$3="","",'CF表（ご主人様死亡時）'!AX31/10000)</f>
        <v/>
      </c>
      <c r="AY31" s="232">
        <f>IF('CF表（ご主人様死亡時）'!AY$3="","",'CF表（ご主人様死亡時）'!AY31/10000)</f>
        <v/>
      </c>
      <c r="AZ31" s="232">
        <f>IF('CF表（ご主人様死亡時）'!AZ$3="","",'CF表（ご主人様死亡時）'!AZ31/10000)</f>
        <v/>
      </c>
      <c r="BA31" s="232">
        <f>IF('CF表（ご主人様死亡時）'!BA$3="","",'CF表（ご主人様死亡時）'!BA31/10000)</f>
        <v/>
      </c>
      <c r="BB31" s="232">
        <f>IF('CF表（ご主人様死亡時）'!BB$3="","",'CF表（ご主人様死亡時）'!BB31/10000)</f>
        <v/>
      </c>
      <c r="BC31" s="232">
        <f>IF('CF表（ご主人様死亡時）'!BC$3="","",'CF表（ご主人様死亡時）'!BC31/10000)</f>
        <v/>
      </c>
      <c r="BD31" s="232">
        <f>IF('CF表（ご主人様死亡時）'!BD$3="","",'CF表（ご主人様死亡時）'!BD31/10000)</f>
        <v/>
      </c>
      <c r="BE31" s="232">
        <f>IF('CF表（ご主人様死亡時）'!BE$3="","",'CF表（ご主人様死亡時）'!BE31/10000)</f>
        <v/>
      </c>
      <c r="BF31" s="232">
        <f>IF('CF表（ご主人様死亡時）'!BF$3="","",'CF表（ご主人様死亡時）'!BF31/10000)</f>
        <v/>
      </c>
      <c r="BG31" s="232">
        <f>IF('CF表（ご主人様死亡時）'!BG$3="","",'CF表（ご主人様死亡時）'!BG31/10000)</f>
        <v/>
      </c>
      <c r="BH31" s="232">
        <f>IF('CF表（ご主人様死亡時）'!BH$3="","",'CF表（ご主人様死亡時）'!BH31/10000)</f>
        <v/>
      </c>
      <c r="BI31" s="232">
        <f>IF('CF表（ご主人様死亡時）'!BI$3="","",'CF表（ご主人様死亡時）'!BI31/10000)</f>
        <v/>
      </c>
      <c r="BJ31" s="232">
        <f>IF('CF表（ご主人様死亡時）'!BJ$3="","",'CF表（ご主人様死亡時）'!BJ31/10000)</f>
        <v/>
      </c>
      <c r="BK31" s="232">
        <f>IF('CF表（ご主人様死亡時）'!BK$3="","",'CF表（ご主人様死亡時）'!BK31/10000)</f>
        <v/>
      </c>
      <c r="BL31" s="232">
        <f>IF('CF表（ご主人様死亡時）'!BL$3="","",'CF表（ご主人様死亡時）'!BL31/10000)</f>
        <v/>
      </c>
      <c r="BM31" s="232">
        <f>IF('CF表（ご主人様死亡時）'!BM$3="","",'CF表（ご主人様死亡時）'!BM31/10000)</f>
        <v/>
      </c>
      <c r="BN31" s="232">
        <f>IF('CF表（ご主人様死亡時）'!BN$3="","",'CF表（ご主人様死亡時）'!BN31/10000)</f>
        <v/>
      </c>
      <c r="BO31" s="232">
        <f>IF('CF表（ご主人様死亡時）'!BO$3="","",'CF表（ご主人様死亡時）'!BO31/10000)</f>
        <v/>
      </c>
      <c r="BP31" s="232">
        <f>IF('CF表（ご主人様死亡時）'!BP$3="","",'CF表（ご主人様死亡時）'!BP31/10000)</f>
        <v/>
      </c>
      <c r="BQ31" s="232">
        <f>IF('CF表（ご主人様死亡時）'!BQ$3="","",'CF表（ご主人様死亡時）'!BQ31/10000)</f>
        <v/>
      </c>
      <c r="BR31" s="232">
        <f>IF('CF表（ご主人様死亡時）'!BR$3="","",'CF表（ご主人様死亡時）'!BR31/10000)</f>
        <v/>
      </c>
      <c r="BS31" s="232">
        <f>IF('CF表（ご主人様死亡時）'!BS$3="","",'CF表（ご主人様死亡時）'!BS31/10000)</f>
        <v/>
      </c>
      <c r="BT31" s="232">
        <f>IF('CF表（ご主人様死亡時）'!BT$3="","",'CF表（ご主人様死亡時）'!BT31/10000)</f>
        <v/>
      </c>
      <c r="BU31" s="232">
        <f>IF('CF表（ご主人様死亡時）'!BU$3="","",'CF表（ご主人様死亡時）'!BU31/10000)</f>
        <v/>
      </c>
      <c r="BV31" s="232">
        <f>IF('CF表（ご主人様死亡時）'!BV$3="","",'CF表（ご主人様死亡時）'!BV31/10000)</f>
        <v/>
      </c>
      <c r="BW31" s="232">
        <f>IF('CF表（ご主人様死亡時）'!BW$3="","",'CF表（ご主人様死亡時）'!BW31/10000)</f>
        <v/>
      </c>
      <c r="BX31" s="232">
        <f>IF('CF表（ご主人様死亡時）'!BX$3="","",'CF表（ご主人様死亡時）'!BX31/10000)</f>
        <v/>
      </c>
      <c r="BY31" s="232">
        <f>IF('CF表（ご主人様死亡時）'!BY$3="","",'CF表（ご主人様死亡時）'!BY31/10000)</f>
        <v/>
      </c>
      <c r="BZ31" s="232">
        <f>IF('CF表（ご主人様死亡時）'!BZ$3="","",'CF表（ご主人様死亡時）'!BZ31/10000)</f>
        <v/>
      </c>
      <c r="CA31" s="232">
        <f>IF('CF表（ご主人様死亡時）'!CA$3="","",'CF表（ご主人様死亡時）'!CA31/10000)</f>
        <v/>
      </c>
      <c r="CB31" s="232">
        <f>IF('CF表（ご主人様死亡時）'!CB$3="","",'CF表（ご主人様死亡時）'!CB31/10000)</f>
        <v/>
      </c>
      <c r="CC31" s="232">
        <f>IF('CF表（ご主人様死亡時）'!CC$3="","",'CF表（ご主人様死亡時）'!CC31/10000)</f>
        <v/>
      </c>
      <c r="CD31" s="232">
        <f>IF('CF表（ご主人様死亡時）'!CD$3="","",'CF表（ご主人様死亡時）'!CD31/10000)</f>
        <v/>
      </c>
      <c r="CE31" s="232">
        <f>IF('CF表（ご主人様死亡時）'!CE$3="","",'CF表（ご主人様死亡時）'!CE31/10000)</f>
        <v/>
      </c>
      <c r="CF31" s="232">
        <f>IF('CF表（ご主人様死亡時）'!CF$3="","",'CF表（ご主人様死亡時）'!CF31/10000)</f>
        <v/>
      </c>
      <c r="CG31" s="232">
        <f>IF('CF表（ご主人様死亡時）'!CG$3="","",'CF表（ご主人様死亡時）'!CG31/10000)</f>
        <v/>
      </c>
      <c r="CH31" s="232">
        <f>IF('CF表（ご主人様死亡時）'!CH$3="","",'CF表（ご主人様死亡時）'!CH31/10000)</f>
        <v/>
      </c>
      <c r="CI31" s="232">
        <f>IF('CF表（ご主人様死亡時）'!CI$3="","",'CF表（ご主人様死亡時）'!CI31/10000)</f>
        <v/>
      </c>
      <c r="CJ31" s="232">
        <f>IF('CF表（ご主人様死亡時）'!CJ$3="","",'CF表（ご主人様死亡時）'!CJ31/10000)</f>
        <v/>
      </c>
      <c r="CK31" s="232">
        <f>IF('CF表（ご主人様死亡時）'!CK$3="","",'CF表（ご主人様死亡時）'!CK31/10000)</f>
        <v/>
      </c>
      <c r="CL31" s="232">
        <f>IF('CF表（ご主人様死亡時）'!CL$3="","",'CF表（ご主人様死亡時）'!CL31/10000)</f>
        <v/>
      </c>
      <c r="CM31" s="232">
        <f>IF('CF表（ご主人様死亡時）'!CM$3="","",'CF表（ご主人様死亡時）'!CM31/10000)</f>
        <v/>
      </c>
      <c r="CN31" s="232">
        <f>IF('CF表（ご主人様死亡時）'!CN$3="","",'CF表（ご主人様死亡時）'!CN31/10000)</f>
        <v/>
      </c>
      <c r="CO31" s="232">
        <f>IF('CF表（ご主人様死亡時）'!CO$3="","",'CF表（ご主人様死亡時）'!CO31/10000)</f>
        <v/>
      </c>
      <c r="CP31" s="232">
        <f>IF('CF表（ご主人様死亡時）'!CP$3="","",'CF表（ご主人様死亡時）'!CP31/10000)</f>
        <v/>
      </c>
      <c r="CQ31" s="232">
        <f>IF('CF表（ご主人様死亡時）'!CQ$3="","",'CF表（ご主人様死亡時）'!CQ31/10000)</f>
        <v/>
      </c>
      <c r="CR31" s="232">
        <f>IF('CF表（ご主人様死亡時）'!CR$3="","",'CF表（ご主人様死亡時）'!CR31/10000)</f>
        <v/>
      </c>
      <c r="CS31" s="232">
        <f>IF('CF表（ご主人様死亡時）'!CS$3="","",'CF表（ご主人様死亡時）'!CS31/10000)</f>
        <v/>
      </c>
      <c r="CT31" s="232">
        <f>IF('CF表（ご主人様死亡時）'!CT$3="","",'CF表（ご主人様死亡時）'!CT31/10000)</f>
        <v/>
      </c>
      <c r="CU31" s="232">
        <f>IF('CF表（ご主人様死亡時）'!CU$3="","",'CF表（ご主人様死亡時）'!CU31/10000)</f>
        <v/>
      </c>
      <c r="CV31" s="232">
        <f>IF('CF表（ご主人様死亡時）'!CV$3="","",'CF表（ご主人様死亡時）'!CV31/10000)</f>
        <v/>
      </c>
      <c r="CW31" s="232">
        <f>IF('CF表（ご主人様死亡時）'!CW$3="","",'CF表（ご主人様死亡時）'!CW31/10000)</f>
        <v/>
      </c>
    </row>
    <row r="32" ht="15" customHeight="1" s="180">
      <c r="A32" s="233" t="inlineStr">
        <is>
          <t>投資資産残高</t>
        </is>
      </c>
      <c r="B32" s="234">
        <f>IF('CF表（ご主人様死亡時）'!B$3="","",'CF表（ご主人様死亡時）'!B32/10000)</f>
        <v/>
      </c>
      <c r="C32" s="234">
        <f>IF('CF表（ご主人様死亡時）'!C$3="","",'CF表（ご主人様死亡時）'!C32/10000)</f>
        <v/>
      </c>
      <c r="D32" s="234">
        <f>IF('CF表（ご主人様死亡時）'!D$3="","",'CF表（ご主人様死亡時）'!D32/10000)</f>
        <v/>
      </c>
      <c r="E32" s="234">
        <f>IF('CF表（ご主人様死亡時）'!E$3="","",'CF表（ご主人様死亡時）'!E32/10000)</f>
        <v/>
      </c>
      <c r="F32" s="234">
        <f>IF('CF表（ご主人様死亡時）'!F$3="","",'CF表（ご主人様死亡時）'!F32/10000)</f>
        <v/>
      </c>
      <c r="G32" s="234">
        <f>IF('CF表（ご主人様死亡時）'!G$3="","",'CF表（ご主人様死亡時）'!G32/10000)</f>
        <v/>
      </c>
      <c r="H32" s="234">
        <f>IF('CF表（ご主人様死亡時）'!H$3="","",'CF表（ご主人様死亡時）'!H32/10000)</f>
        <v/>
      </c>
      <c r="I32" s="234">
        <f>IF('CF表（ご主人様死亡時）'!I$3="","",'CF表（ご主人様死亡時）'!I32/10000)</f>
        <v/>
      </c>
      <c r="J32" s="234">
        <f>IF('CF表（ご主人様死亡時）'!J$3="","",'CF表（ご主人様死亡時）'!J32/10000)</f>
        <v/>
      </c>
      <c r="K32" s="234">
        <f>IF('CF表（ご主人様死亡時）'!K$3="","",'CF表（ご主人様死亡時）'!K32/10000)</f>
        <v/>
      </c>
      <c r="L32" s="234">
        <f>IF('CF表（ご主人様死亡時）'!L$3="","",'CF表（ご主人様死亡時）'!L32/10000)</f>
        <v/>
      </c>
      <c r="M32" s="234">
        <f>IF('CF表（ご主人様死亡時）'!M$3="","",'CF表（ご主人様死亡時）'!M32/10000)</f>
        <v/>
      </c>
      <c r="N32" s="234">
        <f>IF('CF表（ご主人様死亡時）'!N$3="","",'CF表（ご主人様死亡時）'!N32/10000)</f>
        <v/>
      </c>
      <c r="O32" s="234">
        <f>IF('CF表（ご主人様死亡時）'!O$3="","",'CF表（ご主人様死亡時）'!O32/10000)</f>
        <v/>
      </c>
      <c r="P32" s="234">
        <f>IF('CF表（ご主人様死亡時）'!P$3="","",'CF表（ご主人様死亡時）'!P32/10000)</f>
        <v/>
      </c>
      <c r="Q32" s="234">
        <f>IF('CF表（ご主人様死亡時）'!Q$3="","",'CF表（ご主人様死亡時）'!Q32/10000)</f>
        <v/>
      </c>
      <c r="R32" s="234">
        <f>IF('CF表（ご主人様死亡時）'!R$3="","",'CF表（ご主人様死亡時）'!R32/10000)</f>
        <v/>
      </c>
      <c r="S32" s="234">
        <f>IF('CF表（ご主人様死亡時）'!S$3="","",'CF表（ご主人様死亡時）'!S32/10000)</f>
        <v/>
      </c>
      <c r="T32" s="234">
        <f>IF('CF表（ご主人様死亡時）'!T$3="","",'CF表（ご主人様死亡時）'!T32/10000)</f>
        <v/>
      </c>
      <c r="U32" s="234">
        <f>IF('CF表（ご主人様死亡時）'!U$3="","",'CF表（ご主人様死亡時）'!U32/10000)</f>
        <v/>
      </c>
      <c r="V32" s="234">
        <f>IF('CF表（ご主人様死亡時）'!V$3="","",'CF表（ご主人様死亡時）'!V32/10000)</f>
        <v/>
      </c>
      <c r="W32" s="234">
        <f>IF('CF表（ご主人様死亡時）'!W$3="","",'CF表（ご主人様死亡時）'!W32/10000)</f>
        <v/>
      </c>
      <c r="X32" s="234">
        <f>IF('CF表（ご主人様死亡時）'!X$3="","",'CF表（ご主人様死亡時）'!X32/10000)</f>
        <v/>
      </c>
      <c r="Y32" s="234">
        <f>IF('CF表（ご主人様死亡時）'!Y$3="","",'CF表（ご主人様死亡時）'!Y32/10000)</f>
        <v/>
      </c>
      <c r="Z32" s="234">
        <f>IF('CF表（ご主人様死亡時）'!Z$3="","",'CF表（ご主人様死亡時）'!Z32/10000)</f>
        <v/>
      </c>
      <c r="AA32" s="234">
        <f>IF('CF表（ご主人様死亡時）'!AA$3="","",'CF表（ご主人様死亡時）'!AA32/10000)</f>
        <v/>
      </c>
      <c r="AB32" s="234">
        <f>IF('CF表（ご主人様死亡時）'!AB$3="","",'CF表（ご主人様死亡時）'!AB32/10000)</f>
        <v/>
      </c>
      <c r="AC32" s="234">
        <f>IF('CF表（ご主人様死亡時）'!AC$3="","",'CF表（ご主人様死亡時）'!AC32/10000)</f>
        <v/>
      </c>
      <c r="AD32" s="234">
        <f>IF('CF表（ご主人様死亡時）'!AD$3="","",'CF表（ご主人様死亡時）'!AD32/10000)</f>
        <v/>
      </c>
      <c r="AE32" s="234">
        <f>IF('CF表（ご主人様死亡時）'!AE$3="","",'CF表（ご主人様死亡時）'!AE32/10000)</f>
        <v/>
      </c>
      <c r="AF32" s="234">
        <f>IF('CF表（ご主人様死亡時）'!AF$3="","",'CF表（ご主人様死亡時）'!AF32/10000)</f>
        <v/>
      </c>
      <c r="AG32" s="234">
        <f>IF('CF表（ご主人様死亡時）'!AG$3="","",'CF表（ご主人様死亡時）'!AG32/10000)</f>
        <v/>
      </c>
      <c r="AH32" s="234">
        <f>IF('CF表（ご主人様死亡時）'!AH$3="","",'CF表（ご主人様死亡時）'!AH32/10000)</f>
        <v/>
      </c>
      <c r="AI32" s="234">
        <f>IF('CF表（ご主人様死亡時）'!AI$3="","",'CF表（ご主人様死亡時）'!AI32/10000)</f>
        <v/>
      </c>
      <c r="AJ32" s="234">
        <f>IF('CF表（ご主人様死亡時）'!AJ$3="","",'CF表（ご主人様死亡時）'!AJ32/10000)</f>
        <v/>
      </c>
      <c r="AK32" s="234">
        <f>IF('CF表（ご主人様死亡時）'!AK$3="","",'CF表（ご主人様死亡時）'!AK32/10000)</f>
        <v/>
      </c>
      <c r="AL32" s="234">
        <f>IF('CF表（ご主人様死亡時）'!AL$3="","",'CF表（ご主人様死亡時）'!AL32/10000)</f>
        <v/>
      </c>
      <c r="AM32" s="234">
        <f>IF('CF表（ご主人様死亡時）'!AM$3="","",'CF表（ご主人様死亡時）'!AM32/10000)</f>
        <v/>
      </c>
      <c r="AN32" s="234">
        <f>IF('CF表（ご主人様死亡時）'!AN$3="","",'CF表（ご主人様死亡時）'!AN32/10000)</f>
        <v/>
      </c>
      <c r="AO32" s="234">
        <f>IF('CF表（ご主人様死亡時）'!AO$3="","",'CF表（ご主人様死亡時）'!AO32/10000)</f>
        <v/>
      </c>
      <c r="AP32" s="234">
        <f>IF('CF表（ご主人様死亡時）'!AP$3="","",'CF表（ご主人様死亡時）'!AP32/10000)</f>
        <v/>
      </c>
      <c r="AQ32" s="234">
        <f>IF('CF表（ご主人様死亡時）'!AQ$3="","",'CF表（ご主人様死亡時）'!AQ32/10000)</f>
        <v/>
      </c>
      <c r="AR32" s="234">
        <f>IF('CF表（ご主人様死亡時）'!AR$3="","",'CF表（ご主人様死亡時）'!AR32/10000)</f>
        <v/>
      </c>
      <c r="AS32" s="234">
        <f>IF('CF表（ご主人様死亡時）'!AS$3="","",'CF表（ご主人様死亡時）'!AS32/10000)</f>
        <v/>
      </c>
      <c r="AT32" s="234">
        <f>IF('CF表（ご主人様死亡時）'!AT$3="","",'CF表（ご主人様死亡時）'!AT32/10000)</f>
        <v/>
      </c>
      <c r="AU32" s="234">
        <f>IF('CF表（ご主人様死亡時）'!AU$3="","",'CF表（ご主人様死亡時）'!AU32/10000)</f>
        <v/>
      </c>
      <c r="AV32" s="234">
        <f>IF('CF表（ご主人様死亡時）'!AV$3="","",'CF表（ご主人様死亡時）'!AV32/10000)</f>
        <v/>
      </c>
      <c r="AW32" s="234">
        <f>IF('CF表（ご主人様死亡時）'!AW$3="","",'CF表（ご主人様死亡時）'!AW32/10000)</f>
        <v/>
      </c>
      <c r="AX32" s="234">
        <f>IF('CF表（ご主人様死亡時）'!AX$3="","",'CF表（ご主人様死亡時）'!AX32/10000)</f>
        <v/>
      </c>
      <c r="AY32" s="234">
        <f>IF('CF表（ご主人様死亡時）'!AY$3="","",'CF表（ご主人様死亡時）'!AY32/10000)</f>
        <v/>
      </c>
      <c r="AZ32" s="234">
        <f>IF('CF表（ご主人様死亡時）'!AZ$3="","",'CF表（ご主人様死亡時）'!AZ32/10000)</f>
        <v/>
      </c>
      <c r="BA32" s="234">
        <f>IF('CF表（ご主人様死亡時）'!BA$3="","",'CF表（ご主人様死亡時）'!BA32/10000)</f>
        <v/>
      </c>
      <c r="BB32" s="234">
        <f>IF('CF表（ご主人様死亡時）'!BB$3="","",'CF表（ご主人様死亡時）'!BB32/10000)</f>
        <v/>
      </c>
      <c r="BC32" s="234">
        <f>IF('CF表（ご主人様死亡時）'!BC$3="","",'CF表（ご主人様死亡時）'!BC32/10000)</f>
        <v/>
      </c>
      <c r="BD32" s="234">
        <f>IF('CF表（ご主人様死亡時）'!BD$3="","",'CF表（ご主人様死亡時）'!BD32/10000)</f>
        <v/>
      </c>
      <c r="BE32" s="234">
        <f>IF('CF表（ご主人様死亡時）'!BE$3="","",'CF表（ご主人様死亡時）'!BE32/10000)</f>
        <v/>
      </c>
      <c r="BF32" s="234">
        <f>IF('CF表（ご主人様死亡時）'!BF$3="","",'CF表（ご主人様死亡時）'!BF32/10000)</f>
        <v/>
      </c>
      <c r="BG32" s="234">
        <f>IF('CF表（ご主人様死亡時）'!BG$3="","",'CF表（ご主人様死亡時）'!BG32/10000)</f>
        <v/>
      </c>
      <c r="BH32" s="234">
        <f>IF('CF表（ご主人様死亡時）'!BH$3="","",'CF表（ご主人様死亡時）'!BH32/10000)</f>
        <v/>
      </c>
      <c r="BI32" s="234">
        <f>IF('CF表（ご主人様死亡時）'!BI$3="","",'CF表（ご主人様死亡時）'!BI32/10000)</f>
        <v/>
      </c>
      <c r="BJ32" s="234">
        <f>IF('CF表（ご主人様死亡時）'!BJ$3="","",'CF表（ご主人様死亡時）'!BJ32/10000)</f>
        <v/>
      </c>
      <c r="BK32" s="234">
        <f>IF('CF表（ご主人様死亡時）'!BK$3="","",'CF表（ご主人様死亡時）'!BK32/10000)</f>
        <v/>
      </c>
      <c r="BL32" s="234">
        <f>IF('CF表（ご主人様死亡時）'!BL$3="","",'CF表（ご主人様死亡時）'!BL32/10000)</f>
        <v/>
      </c>
      <c r="BM32" s="234">
        <f>IF('CF表（ご主人様死亡時）'!BM$3="","",'CF表（ご主人様死亡時）'!BM32/10000)</f>
        <v/>
      </c>
      <c r="BN32" s="234">
        <f>IF('CF表（ご主人様死亡時）'!BN$3="","",'CF表（ご主人様死亡時）'!BN32/10000)</f>
        <v/>
      </c>
      <c r="BO32" s="234">
        <f>IF('CF表（ご主人様死亡時）'!BO$3="","",'CF表（ご主人様死亡時）'!BO32/10000)</f>
        <v/>
      </c>
      <c r="BP32" s="234">
        <f>IF('CF表（ご主人様死亡時）'!BP$3="","",'CF表（ご主人様死亡時）'!BP32/10000)</f>
        <v/>
      </c>
      <c r="BQ32" s="234">
        <f>IF('CF表（ご主人様死亡時）'!BQ$3="","",'CF表（ご主人様死亡時）'!BQ32/10000)</f>
        <v/>
      </c>
      <c r="BR32" s="234">
        <f>IF('CF表（ご主人様死亡時）'!BR$3="","",'CF表（ご主人様死亡時）'!BR32/10000)</f>
        <v/>
      </c>
      <c r="BS32" s="234">
        <f>IF('CF表（ご主人様死亡時）'!BS$3="","",'CF表（ご主人様死亡時）'!BS32/10000)</f>
        <v/>
      </c>
      <c r="BT32" s="234">
        <f>IF('CF表（ご主人様死亡時）'!BT$3="","",'CF表（ご主人様死亡時）'!BT32/10000)</f>
        <v/>
      </c>
      <c r="BU32" s="234">
        <f>IF('CF表（ご主人様死亡時）'!BU$3="","",'CF表（ご主人様死亡時）'!BU32/10000)</f>
        <v/>
      </c>
      <c r="BV32" s="234">
        <f>IF('CF表（ご主人様死亡時）'!BV$3="","",'CF表（ご主人様死亡時）'!BV32/10000)</f>
        <v/>
      </c>
      <c r="BW32" s="234">
        <f>IF('CF表（ご主人様死亡時）'!BW$3="","",'CF表（ご主人様死亡時）'!BW32/10000)</f>
        <v/>
      </c>
      <c r="BX32" s="234">
        <f>IF('CF表（ご主人様死亡時）'!BX$3="","",'CF表（ご主人様死亡時）'!BX32/10000)</f>
        <v/>
      </c>
      <c r="BY32" s="234">
        <f>IF('CF表（ご主人様死亡時）'!BY$3="","",'CF表（ご主人様死亡時）'!BY32/10000)</f>
        <v/>
      </c>
      <c r="BZ32" s="234">
        <f>IF('CF表（ご主人様死亡時）'!BZ$3="","",'CF表（ご主人様死亡時）'!BZ32/10000)</f>
        <v/>
      </c>
      <c r="CA32" s="234">
        <f>IF('CF表（ご主人様死亡時）'!CA$3="","",'CF表（ご主人様死亡時）'!CA32/10000)</f>
        <v/>
      </c>
      <c r="CB32" s="234">
        <f>IF('CF表（ご主人様死亡時）'!CB$3="","",'CF表（ご主人様死亡時）'!CB32/10000)</f>
        <v/>
      </c>
      <c r="CC32" s="234">
        <f>IF('CF表（ご主人様死亡時）'!CC$3="","",'CF表（ご主人様死亡時）'!CC32/10000)</f>
        <v/>
      </c>
      <c r="CD32" s="234">
        <f>IF('CF表（ご主人様死亡時）'!CD$3="","",'CF表（ご主人様死亡時）'!CD32/10000)</f>
        <v/>
      </c>
      <c r="CE32" s="234">
        <f>IF('CF表（ご主人様死亡時）'!CE$3="","",'CF表（ご主人様死亡時）'!CE32/10000)</f>
        <v/>
      </c>
      <c r="CF32" s="234">
        <f>IF('CF表（ご主人様死亡時）'!CF$3="","",'CF表（ご主人様死亡時）'!CF32/10000)</f>
        <v/>
      </c>
      <c r="CG32" s="234">
        <f>IF('CF表（ご主人様死亡時）'!CG$3="","",'CF表（ご主人様死亡時）'!CG32/10000)</f>
        <v/>
      </c>
      <c r="CH32" s="234">
        <f>IF('CF表（ご主人様死亡時）'!CH$3="","",'CF表（ご主人様死亡時）'!CH32/10000)</f>
        <v/>
      </c>
      <c r="CI32" s="234">
        <f>IF('CF表（ご主人様死亡時）'!CI$3="","",'CF表（ご主人様死亡時）'!CI32/10000)</f>
        <v/>
      </c>
      <c r="CJ32" s="234">
        <f>IF('CF表（ご主人様死亡時）'!CJ$3="","",'CF表（ご主人様死亡時）'!CJ32/10000)</f>
        <v/>
      </c>
      <c r="CK32" s="234">
        <f>IF('CF表（ご主人様死亡時）'!CK$3="","",'CF表（ご主人様死亡時）'!CK32/10000)</f>
        <v/>
      </c>
      <c r="CL32" s="234">
        <f>IF('CF表（ご主人様死亡時）'!CL$3="","",'CF表（ご主人様死亡時）'!CL32/10000)</f>
        <v/>
      </c>
      <c r="CM32" s="234">
        <f>IF('CF表（ご主人様死亡時）'!CM$3="","",'CF表（ご主人様死亡時）'!CM32/10000)</f>
        <v/>
      </c>
      <c r="CN32" s="234">
        <f>IF('CF表（ご主人様死亡時）'!CN$3="","",'CF表（ご主人様死亡時）'!CN32/10000)</f>
        <v/>
      </c>
      <c r="CO32" s="234">
        <f>IF('CF表（ご主人様死亡時）'!CO$3="","",'CF表（ご主人様死亡時）'!CO32/10000)</f>
        <v/>
      </c>
      <c r="CP32" s="234">
        <f>IF('CF表（ご主人様死亡時）'!CP$3="","",'CF表（ご主人様死亡時）'!CP32/10000)</f>
        <v/>
      </c>
      <c r="CQ32" s="234">
        <f>IF('CF表（ご主人様死亡時）'!CQ$3="","",'CF表（ご主人様死亡時）'!CQ32/10000)</f>
        <v/>
      </c>
      <c r="CR32" s="234">
        <f>IF('CF表（ご主人様死亡時）'!CR$3="","",'CF表（ご主人様死亡時）'!CR32/10000)</f>
        <v/>
      </c>
      <c r="CS32" s="234">
        <f>IF('CF表（ご主人様死亡時）'!CS$3="","",'CF表（ご主人様死亡時）'!CS32/10000)</f>
        <v/>
      </c>
      <c r="CT32" s="234">
        <f>IF('CF表（ご主人様死亡時）'!CT$3="","",'CF表（ご主人様死亡時）'!CT32/10000)</f>
        <v/>
      </c>
      <c r="CU32" s="234">
        <f>IF('CF表（ご主人様死亡時）'!CU$3="","",'CF表（ご主人様死亡時）'!CU32/10000)</f>
        <v/>
      </c>
      <c r="CV32" s="234">
        <f>IF('CF表（ご主人様死亡時）'!CV$3="","",'CF表（ご主人様死亡時）'!CV32/10000)</f>
        <v/>
      </c>
      <c r="CW32" s="234">
        <f>IF('CF表（ご主人様死亡時）'!CW$3="","",'CF表（ご主人様死亡時）'!CW32/10000)</f>
        <v/>
      </c>
    </row>
    <row r="33" ht="15" customHeight="1" s="180">
      <c r="A33" s="233" t="inlineStr">
        <is>
          <t>解約返戻金残高</t>
        </is>
      </c>
      <c r="B33" s="234">
        <f>IF('CF表（ご主人様死亡時）'!B$3="","",'CF表（ご主人様死亡時）'!B33/10000)</f>
        <v/>
      </c>
      <c r="C33" s="234">
        <f>IF('CF表（ご主人様死亡時）'!C$3="","",'CF表（ご主人様死亡時）'!C33/10000)</f>
        <v/>
      </c>
      <c r="D33" s="234">
        <f>IF('CF表（ご主人様死亡時）'!D$3="","",'CF表（ご主人様死亡時）'!D33/10000)</f>
        <v/>
      </c>
      <c r="E33" s="234">
        <f>IF('CF表（ご主人様死亡時）'!E$3="","",'CF表（ご主人様死亡時）'!E33/10000)</f>
        <v/>
      </c>
      <c r="F33" s="234">
        <f>IF('CF表（ご主人様死亡時）'!F$3="","",'CF表（ご主人様死亡時）'!F33/10000)</f>
        <v/>
      </c>
      <c r="G33" s="234">
        <f>IF('CF表（ご主人様死亡時）'!G$3="","",'CF表（ご主人様死亡時）'!G33/10000)</f>
        <v/>
      </c>
      <c r="H33" s="234">
        <f>IF('CF表（ご主人様死亡時）'!H$3="","",'CF表（ご主人様死亡時）'!H33/10000)</f>
        <v/>
      </c>
      <c r="I33" s="234">
        <f>IF('CF表（ご主人様死亡時）'!I$3="","",'CF表（ご主人様死亡時）'!I33/10000)</f>
        <v/>
      </c>
      <c r="J33" s="234">
        <f>IF('CF表（ご主人様死亡時）'!J$3="","",'CF表（ご主人様死亡時）'!J33/10000)</f>
        <v/>
      </c>
      <c r="K33" s="234">
        <f>IF('CF表（ご主人様死亡時）'!K$3="","",'CF表（ご主人様死亡時）'!K33/10000)</f>
        <v/>
      </c>
      <c r="L33" s="234">
        <f>IF('CF表（ご主人様死亡時）'!L$3="","",'CF表（ご主人様死亡時）'!L33/10000)</f>
        <v/>
      </c>
      <c r="M33" s="234">
        <f>IF('CF表（ご主人様死亡時）'!M$3="","",'CF表（ご主人様死亡時）'!M33/10000)</f>
        <v/>
      </c>
      <c r="N33" s="234">
        <f>IF('CF表（ご主人様死亡時）'!N$3="","",'CF表（ご主人様死亡時）'!N33/10000)</f>
        <v/>
      </c>
      <c r="O33" s="234">
        <f>IF('CF表（ご主人様死亡時）'!O$3="","",'CF表（ご主人様死亡時）'!O33/10000)</f>
        <v/>
      </c>
      <c r="P33" s="234">
        <f>IF('CF表（ご主人様死亡時）'!P$3="","",'CF表（ご主人様死亡時）'!P33/10000)</f>
        <v/>
      </c>
      <c r="Q33" s="234">
        <f>IF('CF表（ご主人様死亡時）'!Q$3="","",'CF表（ご主人様死亡時）'!Q33/10000)</f>
        <v/>
      </c>
      <c r="R33" s="234">
        <f>IF('CF表（ご主人様死亡時）'!R$3="","",'CF表（ご主人様死亡時）'!R33/10000)</f>
        <v/>
      </c>
      <c r="S33" s="234">
        <f>IF('CF表（ご主人様死亡時）'!S$3="","",'CF表（ご主人様死亡時）'!S33/10000)</f>
        <v/>
      </c>
      <c r="T33" s="234">
        <f>IF('CF表（ご主人様死亡時）'!T$3="","",'CF表（ご主人様死亡時）'!T33/10000)</f>
        <v/>
      </c>
      <c r="U33" s="234">
        <f>IF('CF表（ご主人様死亡時）'!U$3="","",'CF表（ご主人様死亡時）'!U33/10000)</f>
        <v/>
      </c>
      <c r="V33" s="234">
        <f>IF('CF表（ご主人様死亡時）'!V$3="","",'CF表（ご主人様死亡時）'!V33/10000)</f>
        <v/>
      </c>
      <c r="W33" s="234">
        <f>IF('CF表（ご主人様死亡時）'!W$3="","",'CF表（ご主人様死亡時）'!W33/10000)</f>
        <v/>
      </c>
      <c r="X33" s="234">
        <f>IF('CF表（ご主人様死亡時）'!X$3="","",'CF表（ご主人様死亡時）'!X33/10000)</f>
        <v/>
      </c>
      <c r="Y33" s="234">
        <f>IF('CF表（ご主人様死亡時）'!Y$3="","",'CF表（ご主人様死亡時）'!Y33/10000)</f>
        <v/>
      </c>
      <c r="Z33" s="234">
        <f>IF('CF表（ご主人様死亡時）'!Z$3="","",'CF表（ご主人様死亡時）'!Z33/10000)</f>
        <v/>
      </c>
      <c r="AA33" s="234">
        <f>IF('CF表（ご主人様死亡時）'!AA$3="","",'CF表（ご主人様死亡時）'!AA33/10000)</f>
        <v/>
      </c>
      <c r="AB33" s="234">
        <f>IF('CF表（ご主人様死亡時）'!AB$3="","",'CF表（ご主人様死亡時）'!AB33/10000)</f>
        <v/>
      </c>
      <c r="AC33" s="234">
        <f>IF('CF表（ご主人様死亡時）'!AC$3="","",'CF表（ご主人様死亡時）'!AC33/10000)</f>
        <v/>
      </c>
      <c r="AD33" s="234">
        <f>IF('CF表（ご主人様死亡時）'!AD$3="","",'CF表（ご主人様死亡時）'!AD33/10000)</f>
        <v/>
      </c>
      <c r="AE33" s="234">
        <f>IF('CF表（ご主人様死亡時）'!AE$3="","",'CF表（ご主人様死亡時）'!AE33/10000)</f>
        <v/>
      </c>
      <c r="AF33" s="234">
        <f>IF('CF表（ご主人様死亡時）'!AF$3="","",'CF表（ご主人様死亡時）'!AF33/10000)</f>
        <v/>
      </c>
      <c r="AG33" s="234">
        <f>IF('CF表（ご主人様死亡時）'!AG$3="","",'CF表（ご主人様死亡時）'!AG33/10000)</f>
        <v/>
      </c>
      <c r="AH33" s="234">
        <f>IF('CF表（ご主人様死亡時）'!AH$3="","",'CF表（ご主人様死亡時）'!AH33/10000)</f>
        <v/>
      </c>
      <c r="AI33" s="234">
        <f>IF('CF表（ご主人様死亡時）'!AI$3="","",'CF表（ご主人様死亡時）'!AI33/10000)</f>
        <v/>
      </c>
      <c r="AJ33" s="234">
        <f>IF('CF表（ご主人様死亡時）'!AJ$3="","",'CF表（ご主人様死亡時）'!AJ33/10000)</f>
        <v/>
      </c>
      <c r="AK33" s="234">
        <f>IF('CF表（ご主人様死亡時）'!AK$3="","",'CF表（ご主人様死亡時）'!AK33/10000)</f>
        <v/>
      </c>
      <c r="AL33" s="234">
        <f>IF('CF表（ご主人様死亡時）'!AL$3="","",'CF表（ご主人様死亡時）'!AL33/10000)</f>
        <v/>
      </c>
      <c r="AM33" s="234">
        <f>IF('CF表（ご主人様死亡時）'!AM$3="","",'CF表（ご主人様死亡時）'!AM33/10000)</f>
        <v/>
      </c>
      <c r="AN33" s="234">
        <f>IF('CF表（ご主人様死亡時）'!AN$3="","",'CF表（ご主人様死亡時）'!AN33/10000)</f>
        <v/>
      </c>
      <c r="AO33" s="234">
        <f>IF('CF表（ご主人様死亡時）'!AO$3="","",'CF表（ご主人様死亡時）'!AO33/10000)</f>
        <v/>
      </c>
      <c r="AP33" s="234">
        <f>IF('CF表（ご主人様死亡時）'!AP$3="","",'CF表（ご主人様死亡時）'!AP33/10000)</f>
        <v/>
      </c>
      <c r="AQ33" s="234">
        <f>IF('CF表（ご主人様死亡時）'!AQ$3="","",'CF表（ご主人様死亡時）'!AQ33/10000)</f>
        <v/>
      </c>
      <c r="AR33" s="234">
        <f>IF('CF表（ご主人様死亡時）'!AR$3="","",'CF表（ご主人様死亡時）'!AR33/10000)</f>
        <v/>
      </c>
      <c r="AS33" s="234">
        <f>IF('CF表（ご主人様死亡時）'!AS$3="","",'CF表（ご主人様死亡時）'!AS33/10000)</f>
        <v/>
      </c>
      <c r="AT33" s="234">
        <f>IF('CF表（ご主人様死亡時）'!AT$3="","",'CF表（ご主人様死亡時）'!AT33/10000)</f>
        <v/>
      </c>
      <c r="AU33" s="234">
        <f>IF('CF表（ご主人様死亡時）'!AU$3="","",'CF表（ご主人様死亡時）'!AU33/10000)</f>
        <v/>
      </c>
      <c r="AV33" s="234">
        <f>IF('CF表（ご主人様死亡時）'!AV$3="","",'CF表（ご主人様死亡時）'!AV33/10000)</f>
        <v/>
      </c>
      <c r="AW33" s="234">
        <f>IF('CF表（ご主人様死亡時）'!AW$3="","",'CF表（ご主人様死亡時）'!AW33/10000)</f>
        <v/>
      </c>
      <c r="AX33" s="234">
        <f>IF('CF表（ご主人様死亡時）'!AX$3="","",'CF表（ご主人様死亡時）'!AX33/10000)</f>
        <v/>
      </c>
      <c r="AY33" s="234">
        <f>IF('CF表（ご主人様死亡時）'!AY$3="","",'CF表（ご主人様死亡時）'!AY33/10000)</f>
        <v/>
      </c>
      <c r="AZ33" s="234">
        <f>IF('CF表（ご主人様死亡時）'!AZ$3="","",'CF表（ご主人様死亡時）'!AZ33/10000)</f>
        <v/>
      </c>
      <c r="BA33" s="234">
        <f>IF('CF表（ご主人様死亡時）'!BA$3="","",'CF表（ご主人様死亡時）'!BA33/10000)</f>
        <v/>
      </c>
      <c r="BB33" s="234">
        <f>IF('CF表（ご主人様死亡時）'!BB$3="","",'CF表（ご主人様死亡時）'!BB33/10000)</f>
        <v/>
      </c>
      <c r="BC33" s="234">
        <f>IF('CF表（ご主人様死亡時）'!BC$3="","",'CF表（ご主人様死亡時）'!BC33/10000)</f>
        <v/>
      </c>
      <c r="BD33" s="234">
        <f>IF('CF表（ご主人様死亡時）'!BD$3="","",'CF表（ご主人様死亡時）'!BD33/10000)</f>
        <v/>
      </c>
      <c r="BE33" s="234">
        <f>IF('CF表（ご主人様死亡時）'!BE$3="","",'CF表（ご主人様死亡時）'!BE33/10000)</f>
        <v/>
      </c>
      <c r="BF33" s="234">
        <f>IF('CF表（ご主人様死亡時）'!BF$3="","",'CF表（ご主人様死亡時）'!BF33/10000)</f>
        <v/>
      </c>
      <c r="BG33" s="234">
        <f>IF('CF表（ご主人様死亡時）'!BG$3="","",'CF表（ご主人様死亡時）'!BG33/10000)</f>
        <v/>
      </c>
      <c r="BH33" s="234">
        <f>IF('CF表（ご主人様死亡時）'!BH$3="","",'CF表（ご主人様死亡時）'!BH33/10000)</f>
        <v/>
      </c>
      <c r="BI33" s="234">
        <f>IF('CF表（ご主人様死亡時）'!BI$3="","",'CF表（ご主人様死亡時）'!BI33/10000)</f>
        <v/>
      </c>
      <c r="BJ33" s="234">
        <f>IF('CF表（ご主人様死亡時）'!BJ$3="","",'CF表（ご主人様死亡時）'!BJ33/10000)</f>
        <v/>
      </c>
      <c r="BK33" s="234">
        <f>IF('CF表（ご主人様死亡時）'!BK$3="","",'CF表（ご主人様死亡時）'!BK33/10000)</f>
        <v/>
      </c>
      <c r="BL33" s="234">
        <f>IF('CF表（ご主人様死亡時）'!BL$3="","",'CF表（ご主人様死亡時）'!BL33/10000)</f>
        <v/>
      </c>
      <c r="BM33" s="234">
        <f>IF('CF表（ご主人様死亡時）'!BM$3="","",'CF表（ご主人様死亡時）'!BM33/10000)</f>
        <v/>
      </c>
      <c r="BN33" s="234">
        <f>IF('CF表（ご主人様死亡時）'!BN$3="","",'CF表（ご主人様死亡時）'!BN33/10000)</f>
        <v/>
      </c>
      <c r="BO33" s="234">
        <f>IF('CF表（ご主人様死亡時）'!BO$3="","",'CF表（ご主人様死亡時）'!BO33/10000)</f>
        <v/>
      </c>
      <c r="BP33" s="234">
        <f>IF('CF表（ご主人様死亡時）'!BP$3="","",'CF表（ご主人様死亡時）'!BP33/10000)</f>
        <v/>
      </c>
      <c r="BQ33" s="234">
        <f>IF('CF表（ご主人様死亡時）'!BQ$3="","",'CF表（ご主人様死亡時）'!BQ33/10000)</f>
        <v/>
      </c>
      <c r="BR33" s="234">
        <f>IF('CF表（ご主人様死亡時）'!BR$3="","",'CF表（ご主人様死亡時）'!BR33/10000)</f>
        <v/>
      </c>
      <c r="BS33" s="234">
        <f>IF('CF表（ご主人様死亡時）'!BS$3="","",'CF表（ご主人様死亡時）'!BS33/10000)</f>
        <v/>
      </c>
      <c r="BT33" s="234">
        <f>IF('CF表（ご主人様死亡時）'!BT$3="","",'CF表（ご主人様死亡時）'!BT33/10000)</f>
        <v/>
      </c>
      <c r="BU33" s="234">
        <f>IF('CF表（ご主人様死亡時）'!BU$3="","",'CF表（ご主人様死亡時）'!BU33/10000)</f>
        <v/>
      </c>
      <c r="BV33" s="234">
        <f>IF('CF表（ご主人様死亡時）'!BV$3="","",'CF表（ご主人様死亡時）'!BV33/10000)</f>
        <v/>
      </c>
      <c r="BW33" s="234">
        <f>IF('CF表（ご主人様死亡時）'!BW$3="","",'CF表（ご主人様死亡時）'!BW33/10000)</f>
        <v/>
      </c>
      <c r="BX33" s="234">
        <f>IF('CF表（ご主人様死亡時）'!BX$3="","",'CF表（ご主人様死亡時）'!BX33/10000)</f>
        <v/>
      </c>
      <c r="BY33" s="234">
        <f>IF('CF表（ご主人様死亡時）'!BY$3="","",'CF表（ご主人様死亡時）'!BY33/10000)</f>
        <v/>
      </c>
      <c r="BZ33" s="234">
        <f>IF('CF表（ご主人様死亡時）'!BZ$3="","",'CF表（ご主人様死亡時）'!BZ33/10000)</f>
        <v/>
      </c>
      <c r="CA33" s="234">
        <f>IF('CF表（ご主人様死亡時）'!CA$3="","",'CF表（ご主人様死亡時）'!CA33/10000)</f>
        <v/>
      </c>
      <c r="CB33" s="234">
        <f>IF('CF表（ご主人様死亡時）'!CB$3="","",'CF表（ご主人様死亡時）'!CB33/10000)</f>
        <v/>
      </c>
      <c r="CC33" s="234">
        <f>IF('CF表（ご主人様死亡時）'!CC$3="","",'CF表（ご主人様死亡時）'!CC33/10000)</f>
        <v/>
      </c>
      <c r="CD33" s="234">
        <f>IF('CF表（ご主人様死亡時）'!CD$3="","",'CF表（ご主人様死亡時）'!CD33/10000)</f>
        <v/>
      </c>
      <c r="CE33" s="234">
        <f>IF('CF表（ご主人様死亡時）'!CE$3="","",'CF表（ご主人様死亡時）'!CE33/10000)</f>
        <v/>
      </c>
      <c r="CF33" s="234">
        <f>IF('CF表（ご主人様死亡時）'!CF$3="","",'CF表（ご主人様死亡時）'!CF33/10000)</f>
        <v/>
      </c>
      <c r="CG33" s="234">
        <f>IF('CF表（ご主人様死亡時）'!CG$3="","",'CF表（ご主人様死亡時）'!CG33/10000)</f>
        <v/>
      </c>
      <c r="CH33" s="234">
        <f>IF('CF表（ご主人様死亡時）'!CH$3="","",'CF表（ご主人様死亡時）'!CH33/10000)</f>
        <v/>
      </c>
      <c r="CI33" s="234">
        <f>IF('CF表（ご主人様死亡時）'!CI$3="","",'CF表（ご主人様死亡時）'!CI33/10000)</f>
        <v/>
      </c>
      <c r="CJ33" s="234">
        <f>IF('CF表（ご主人様死亡時）'!CJ$3="","",'CF表（ご主人様死亡時）'!CJ33/10000)</f>
        <v/>
      </c>
      <c r="CK33" s="234">
        <f>IF('CF表（ご主人様死亡時）'!CK$3="","",'CF表（ご主人様死亡時）'!CK33/10000)</f>
        <v/>
      </c>
      <c r="CL33" s="234">
        <f>IF('CF表（ご主人様死亡時）'!CL$3="","",'CF表（ご主人様死亡時）'!CL33/10000)</f>
        <v/>
      </c>
      <c r="CM33" s="234">
        <f>IF('CF表（ご主人様死亡時）'!CM$3="","",'CF表（ご主人様死亡時）'!CM33/10000)</f>
        <v/>
      </c>
      <c r="CN33" s="234">
        <f>IF('CF表（ご主人様死亡時）'!CN$3="","",'CF表（ご主人様死亡時）'!CN33/10000)</f>
        <v/>
      </c>
      <c r="CO33" s="234">
        <f>IF('CF表（ご主人様死亡時）'!CO$3="","",'CF表（ご主人様死亡時）'!CO33/10000)</f>
        <v/>
      </c>
      <c r="CP33" s="234">
        <f>IF('CF表（ご主人様死亡時）'!CP$3="","",'CF表（ご主人様死亡時）'!CP33/10000)</f>
        <v/>
      </c>
      <c r="CQ33" s="234">
        <f>IF('CF表（ご主人様死亡時）'!CQ$3="","",'CF表（ご主人様死亡時）'!CQ33/10000)</f>
        <v/>
      </c>
      <c r="CR33" s="234">
        <f>IF('CF表（ご主人様死亡時）'!CR$3="","",'CF表（ご主人様死亡時）'!CR33/10000)</f>
        <v/>
      </c>
      <c r="CS33" s="234">
        <f>IF('CF表（ご主人様死亡時）'!CS$3="","",'CF表（ご主人様死亡時）'!CS33/10000)</f>
        <v/>
      </c>
      <c r="CT33" s="234">
        <f>IF('CF表（ご主人様死亡時）'!CT$3="","",'CF表（ご主人様死亡時）'!CT33/10000)</f>
        <v/>
      </c>
      <c r="CU33" s="234">
        <f>IF('CF表（ご主人様死亡時）'!CU$3="","",'CF表（ご主人様死亡時）'!CU33/10000)</f>
        <v/>
      </c>
      <c r="CV33" s="234">
        <f>IF('CF表（ご主人様死亡時）'!CV$3="","",'CF表（ご主人様死亡時）'!CV33/10000)</f>
        <v/>
      </c>
      <c r="CW33" s="234">
        <f>IF('CF表（ご主人様死亡時）'!CW$3="","",'CF表（ご主人様死亡時）'!CW33/10000)</f>
        <v/>
      </c>
    </row>
    <row r="34" ht="15" customHeight="1" s="180">
      <c r="A34" s="235" t="inlineStr">
        <is>
          <t>住宅ローン残高</t>
        </is>
      </c>
      <c r="B34" s="236">
        <f>IF('CF表（ご主人様死亡時）'!B$3="","",'CF表（ご主人様死亡時）'!B34/10000)</f>
        <v/>
      </c>
      <c r="C34" s="236">
        <f>IF('CF表（ご主人様死亡時）'!C$3="","",'CF表（ご主人様死亡時）'!C34/10000)</f>
        <v/>
      </c>
      <c r="D34" s="236">
        <f>IF('CF表（ご主人様死亡時）'!D$3="","",'CF表（ご主人様死亡時）'!D34/10000)</f>
        <v/>
      </c>
      <c r="E34" s="236">
        <f>IF('CF表（ご主人様死亡時）'!E$3="","",'CF表（ご主人様死亡時）'!E34/10000)</f>
        <v/>
      </c>
      <c r="F34" s="236">
        <f>IF('CF表（ご主人様死亡時）'!F$3="","",'CF表（ご主人様死亡時）'!F34/10000)</f>
        <v/>
      </c>
      <c r="G34" s="236">
        <f>IF('CF表（ご主人様死亡時）'!G$3="","",'CF表（ご主人様死亡時）'!G34/10000)</f>
        <v/>
      </c>
      <c r="H34" s="236">
        <f>IF('CF表（ご主人様死亡時）'!H$3="","",'CF表（ご主人様死亡時）'!H34/10000)</f>
        <v/>
      </c>
      <c r="I34" s="236">
        <f>IF('CF表（ご主人様死亡時）'!I$3="","",'CF表（ご主人様死亡時）'!I34/10000)</f>
        <v/>
      </c>
      <c r="J34" s="236">
        <f>IF('CF表（ご主人様死亡時）'!J$3="","",'CF表（ご主人様死亡時）'!J34/10000)</f>
        <v/>
      </c>
      <c r="K34" s="236">
        <f>IF('CF表（ご主人様死亡時）'!K$3="","",'CF表（ご主人様死亡時）'!K34/10000)</f>
        <v/>
      </c>
      <c r="L34" s="236">
        <f>IF('CF表（ご主人様死亡時）'!L$3="","",'CF表（ご主人様死亡時）'!L34/10000)</f>
        <v/>
      </c>
      <c r="M34" s="236">
        <f>IF('CF表（ご主人様死亡時）'!M$3="","",'CF表（ご主人様死亡時）'!M34/10000)</f>
        <v/>
      </c>
      <c r="N34" s="236">
        <f>IF('CF表（ご主人様死亡時）'!N$3="","",'CF表（ご主人様死亡時）'!N34/10000)</f>
        <v/>
      </c>
      <c r="O34" s="236">
        <f>IF('CF表（ご主人様死亡時）'!O$3="","",'CF表（ご主人様死亡時）'!O34/10000)</f>
        <v/>
      </c>
      <c r="P34" s="236">
        <f>IF('CF表（ご主人様死亡時）'!P$3="","",'CF表（ご主人様死亡時）'!P34/10000)</f>
        <v/>
      </c>
      <c r="Q34" s="236">
        <f>IF('CF表（ご主人様死亡時）'!Q$3="","",'CF表（ご主人様死亡時）'!Q34/10000)</f>
        <v/>
      </c>
      <c r="R34" s="236">
        <f>IF('CF表（ご主人様死亡時）'!R$3="","",'CF表（ご主人様死亡時）'!R34/10000)</f>
        <v/>
      </c>
      <c r="S34" s="236">
        <f>IF('CF表（ご主人様死亡時）'!S$3="","",'CF表（ご主人様死亡時）'!S34/10000)</f>
        <v/>
      </c>
      <c r="T34" s="236">
        <f>IF('CF表（ご主人様死亡時）'!T$3="","",'CF表（ご主人様死亡時）'!T34/10000)</f>
        <v/>
      </c>
      <c r="U34" s="236">
        <f>IF('CF表（ご主人様死亡時）'!U$3="","",'CF表（ご主人様死亡時）'!U34/10000)</f>
        <v/>
      </c>
      <c r="V34" s="236">
        <f>IF('CF表（ご主人様死亡時）'!V$3="","",'CF表（ご主人様死亡時）'!V34/10000)</f>
        <v/>
      </c>
      <c r="W34" s="236">
        <f>IF('CF表（ご主人様死亡時）'!W$3="","",'CF表（ご主人様死亡時）'!W34/10000)</f>
        <v/>
      </c>
      <c r="X34" s="236">
        <f>IF('CF表（ご主人様死亡時）'!X$3="","",'CF表（ご主人様死亡時）'!X34/10000)</f>
        <v/>
      </c>
      <c r="Y34" s="236">
        <f>IF('CF表（ご主人様死亡時）'!Y$3="","",'CF表（ご主人様死亡時）'!Y34/10000)</f>
        <v/>
      </c>
      <c r="Z34" s="236">
        <f>IF('CF表（ご主人様死亡時）'!Z$3="","",'CF表（ご主人様死亡時）'!Z34/10000)</f>
        <v/>
      </c>
      <c r="AA34" s="236">
        <f>IF('CF表（ご主人様死亡時）'!AA$3="","",'CF表（ご主人様死亡時）'!AA34/10000)</f>
        <v/>
      </c>
      <c r="AB34" s="236">
        <f>IF('CF表（ご主人様死亡時）'!AB$3="","",'CF表（ご主人様死亡時）'!AB34/10000)</f>
        <v/>
      </c>
      <c r="AC34" s="236">
        <f>IF('CF表（ご主人様死亡時）'!AC$3="","",'CF表（ご主人様死亡時）'!AC34/10000)</f>
        <v/>
      </c>
      <c r="AD34" s="236">
        <f>IF('CF表（ご主人様死亡時）'!AD$3="","",'CF表（ご主人様死亡時）'!AD34/10000)</f>
        <v/>
      </c>
      <c r="AE34" s="236">
        <f>IF('CF表（ご主人様死亡時）'!AE$3="","",'CF表（ご主人様死亡時）'!AE34/10000)</f>
        <v/>
      </c>
      <c r="AF34" s="236">
        <f>IF('CF表（ご主人様死亡時）'!AF$3="","",'CF表（ご主人様死亡時）'!AF34/10000)</f>
        <v/>
      </c>
      <c r="AG34" s="236">
        <f>IF('CF表（ご主人様死亡時）'!AG$3="","",'CF表（ご主人様死亡時）'!AG34/10000)</f>
        <v/>
      </c>
      <c r="AH34" s="236">
        <f>IF('CF表（ご主人様死亡時）'!AH$3="","",'CF表（ご主人様死亡時）'!AH34/10000)</f>
        <v/>
      </c>
      <c r="AI34" s="236">
        <f>IF('CF表（ご主人様死亡時）'!AI$3="","",'CF表（ご主人様死亡時）'!AI34/10000)</f>
        <v/>
      </c>
      <c r="AJ34" s="236">
        <f>IF('CF表（ご主人様死亡時）'!AJ$3="","",'CF表（ご主人様死亡時）'!AJ34/10000)</f>
        <v/>
      </c>
      <c r="AK34" s="236">
        <f>IF('CF表（ご主人様死亡時）'!AK$3="","",'CF表（ご主人様死亡時）'!AK34/10000)</f>
        <v/>
      </c>
      <c r="AL34" s="236">
        <f>IF('CF表（ご主人様死亡時）'!AL$3="","",'CF表（ご主人様死亡時）'!AL34/10000)</f>
        <v/>
      </c>
      <c r="AM34" s="236">
        <f>IF('CF表（ご主人様死亡時）'!AM$3="","",'CF表（ご主人様死亡時）'!AM34/10000)</f>
        <v/>
      </c>
      <c r="AN34" s="236">
        <f>IF('CF表（ご主人様死亡時）'!AN$3="","",'CF表（ご主人様死亡時）'!AN34/10000)</f>
        <v/>
      </c>
      <c r="AO34" s="236">
        <f>IF('CF表（ご主人様死亡時）'!AO$3="","",'CF表（ご主人様死亡時）'!AO34/10000)</f>
        <v/>
      </c>
      <c r="AP34" s="236">
        <f>IF('CF表（ご主人様死亡時）'!AP$3="","",'CF表（ご主人様死亡時）'!AP34/10000)</f>
        <v/>
      </c>
      <c r="AQ34" s="236">
        <f>IF('CF表（ご主人様死亡時）'!AQ$3="","",'CF表（ご主人様死亡時）'!AQ34/10000)</f>
        <v/>
      </c>
      <c r="AR34" s="236">
        <f>IF('CF表（ご主人様死亡時）'!AR$3="","",'CF表（ご主人様死亡時）'!AR34/10000)</f>
        <v/>
      </c>
      <c r="AS34" s="236">
        <f>IF('CF表（ご主人様死亡時）'!AS$3="","",'CF表（ご主人様死亡時）'!AS34/10000)</f>
        <v/>
      </c>
      <c r="AT34" s="236">
        <f>IF('CF表（ご主人様死亡時）'!AT$3="","",'CF表（ご主人様死亡時）'!AT34/10000)</f>
        <v/>
      </c>
      <c r="AU34" s="236">
        <f>IF('CF表（ご主人様死亡時）'!AU$3="","",'CF表（ご主人様死亡時）'!AU34/10000)</f>
        <v/>
      </c>
      <c r="AV34" s="236">
        <f>IF('CF表（ご主人様死亡時）'!AV$3="","",'CF表（ご主人様死亡時）'!AV34/10000)</f>
        <v/>
      </c>
      <c r="AW34" s="236">
        <f>IF('CF表（ご主人様死亡時）'!AW$3="","",'CF表（ご主人様死亡時）'!AW34/10000)</f>
        <v/>
      </c>
      <c r="AX34" s="236">
        <f>IF('CF表（ご主人様死亡時）'!AX$3="","",'CF表（ご主人様死亡時）'!AX34/10000)</f>
        <v/>
      </c>
      <c r="AY34" s="236">
        <f>IF('CF表（ご主人様死亡時）'!AY$3="","",'CF表（ご主人様死亡時）'!AY34/10000)</f>
        <v/>
      </c>
      <c r="AZ34" s="236">
        <f>IF('CF表（ご主人様死亡時）'!AZ$3="","",'CF表（ご主人様死亡時）'!AZ34/10000)</f>
        <v/>
      </c>
      <c r="BA34" s="236">
        <f>IF('CF表（ご主人様死亡時）'!BA$3="","",'CF表（ご主人様死亡時）'!BA34/10000)</f>
        <v/>
      </c>
      <c r="BB34" s="236">
        <f>IF('CF表（ご主人様死亡時）'!BB$3="","",'CF表（ご主人様死亡時）'!BB34/10000)</f>
        <v/>
      </c>
      <c r="BC34" s="236">
        <f>IF('CF表（ご主人様死亡時）'!BC$3="","",'CF表（ご主人様死亡時）'!BC34/10000)</f>
        <v/>
      </c>
      <c r="BD34" s="236">
        <f>IF('CF表（ご主人様死亡時）'!BD$3="","",'CF表（ご主人様死亡時）'!BD34/10000)</f>
        <v/>
      </c>
      <c r="BE34" s="236">
        <f>IF('CF表（ご主人様死亡時）'!BE$3="","",'CF表（ご主人様死亡時）'!BE34/10000)</f>
        <v/>
      </c>
      <c r="BF34" s="236">
        <f>IF('CF表（ご主人様死亡時）'!BF$3="","",'CF表（ご主人様死亡時）'!BF34/10000)</f>
        <v/>
      </c>
      <c r="BG34" s="236">
        <f>IF('CF表（ご主人様死亡時）'!BG$3="","",'CF表（ご主人様死亡時）'!BG34/10000)</f>
        <v/>
      </c>
      <c r="BH34" s="236">
        <f>IF('CF表（ご主人様死亡時）'!BH$3="","",'CF表（ご主人様死亡時）'!BH34/10000)</f>
        <v/>
      </c>
      <c r="BI34" s="236">
        <f>IF('CF表（ご主人様死亡時）'!BI$3="","",'CF表（ご主人様死亡時）'!BI34/10000)</f>
        <v/>
      </c>
      <c r="BJ34" s="236">
        <f>IF('CF表（ご主人様死亡時）'!BJ$3="","",'CF表（ご主人様死亡時）'!BJ34/10000)</f>
        <v/>
      </c>
      <c r="BK34" s="236">
        <f>IF('CF表（ご主人様死亡時）'!BK$3="","",'CF表（ご主人様死亡時）'!BK34/10000)</f>
        <v/>
      </c>
      <c r="BL34" s="236">
        <f>IF('CF表（ご主人様死亡時）'!BL$3="","",'CF表（ご主人様死亡時）'!BL34/10000)</f>
        <v/>
      </c>
      <c r="BM34" s="236">
        <f>IF('CF表（ご主人様死亡時）'!BM$3="","",'CF表（ご主人様死亡時）'!BM34/10000)</f>
        <v/>
      </c>
      <c r="BN34" s="236">
        <f>IF('CF表（ご主人様死亡時）'!BN$3="","",'CF表（ご主人様死亡時）'!BN34/10000)</f>
        <v/>
      </c>
      <c r="BO34" s="236">
        <f>IF('CF表（ご主人様死亡時）'!BO$3="","",'CF表（ご主人様死亡時）'!BO34/10000)</f>
        <v/>
      </c>
      <c r="BP34" s="236">
        <f>IF('CF表（ご主人様死亡時）'!BP$3="","",'CF表（ご主人様死亡時）'!BP34/10000)</f>
        <v/>
      </c>
      <c r="BQ34" s="236">
        <f>IF('CF表（ご主人様死亡時）'!BQ$3="","",'CF表（ご主人様死亡時）'!BQ34/10000)</f>
        <v/>
      </c>
      <c r="BR34" s="236">
        <f>IF('CF表（ご主人様死亡時）'!BR$3="","",'CF表（ご主人様死亡時）'!BR34/10000)</f>
        <v/>
      </c>
      <c r="BS34" s="236">
        <f>IF('CF表（ご主人様死亡時）'!BS$3="","",'CF表（ご主人様死亡時）'!BS34/10000)</f>
        <v/>
      </c>
      <c r="BT34" s="236">
        <f>IF('CF表（ご主人様死亡時）'!BT$3="","",'CF表（ご主人様死亡時）'!BT34/10000)</f>
        <v/>
      </c>
      <c r="BU34" s="236">
        <f>IF('CF表（ご主人様死亡時）'!BU$3="","",'CF表（ご主人様死亡時）'!BU34/10000)</f>
        <v/>
      </c>
      <c r="BV34" s="236">
        <f>IF('CF表（ご主人様死亡時）'!BV$3="","",'CF表（ご主人様死亡時）'!BV34/10000)</f>
        <v/>
      </c>
      <c r="BW34" s="236">
        <f>IF('CF表（ご主人様死亡時）'!BW$3="","",'CF表（ご主人様死亡時）'!BW34/10000)</f>
        <v/>
      </c>
      <c r="BX34" s="236">
        <f>IF('CF表（ご主人様死亡時）'!BX$3="","",'CF表（ご主人様死亡時）'!BX34/10000)</f>
        <v/>
      </c>
      <c r="BY34" s="236">
        <f>IF('CF表（ご主人様死亡時）'!BY$3="","",'CF表（ご主人様死亡時）'!BY34/10000)</f>
        <v/>
      </c>
      <c r="BZ34" s="236">
        <f>IF('CF表（ご主人様死亡時）'!BZ$3="","",'CF表（ご主人様死亡時）'!BZ34/10000)</f>
        <v/>
      </c>
      <c r="CA34" s="236">
        <f>IF('CF表（ご主人様死亡時）'!CA$3="","",'CF表（ご主人様死亡時）'!CA34/10000)</f>
        <v/>
      </c>
      <c r="CB34" s="236">
        <f>IF('CF表（ご主人様死亡時）'!CB$3="","",'CF表（ご主人様死亡時）'!CB34/10000)</f>
        <v/>
      </c>
      <c r="CC34" s="236">
        <f>IF('CF表（ご主人様死亡時）'!CC$3="","",'CF表（ご主人様死亡時）'!CC34/10000)</f>
        <v/>
      </c>
      <c r="CD34" s="236">
        <f>IF('CF表（ご主人様死亡時）'!CD$3="","",'CF表（ご主人様死亡時）'!CD34/10000)</f>
        <v/>
      </c>
      <c r="CE34" s="236">
        <f>IF('CF表（ご主人様死亡時）'!CE$3="","",'CF表（ご主人様死亡時）'!CE34/10000)</f>
        <v/>
      </c>
      <c r="CF34" s="236">
        <f>IF('CF表（ご主人様死亡時）'!CF$3="","",'CF表（ご主人様死亡時）'!CF34/10000)</f>
        <v/>
      </c>
      <c r="CG34" s="236">
        <f>IF('CF表（ご主人様死亡時）'!CG$3="","",'CF表（ご主人様死亡時）'!CG34/10000)</f>
        <v/>
      </c>
      <c r="CH34" s="236">
        <f>IF('CF表（ご主人様死亡時）'!CH$3="","",'CF表（ご主人様死亡時）'!CH34/10000)</f>
        <v/>
      </c>
      <c r="CI34" s="236">
        <f>IF('CF表（ご主人様死亡時）'!CI$3="","",'CF表（ご主人様死亡時）'!CI34/10000)</f>
        <v/>
      </c>
      <c r="CJ34" s="236">
        <f>IF('CF表（ご主人様死亡時）'!CJ$3="","",'CF表（ご主人様死亡時）'!CJ34/10000)</f>
        <v/>
      </c>
      <c r="CK34" s="236">
        <f>IF('CF表（ご主人様死亡時）'!CK$3="","",'CF表（ご主人様死亡時）'!CK34/10000)</f>
        <v/>
      </c>
      <c r="CL34" s="236">
        <f>IF('CF表（ご主人様死亡時）'!CL$3="","",'CF表（ご主人様死亡時）'!CL34/10000)</f>
        <v/>
      </c>
      <c r="CM34" s="236">
        <f>IF('CF表（ご主人様死亡時）'!CM$3="","",'CF表（ご主人様死亡時）'!CM34/10000)</f>
        <v/>
      </c>
      <c r="CN34" s="236">
        <f>IF('CF表（ご主人様死亡時）'!CN$3="","",'CF表（ご主人様死亡時）'!CN34/10000)</f>
        <v/>
      </c>
      <c r="CO34" s="236">
        <f>IF('CF表（ご主人様死亡時）'!CO$3="","",'CF表（ご主人様死亡時）'!CO34/10000)</f>
        <v/>
      </c>
      <c r="CP34" s="236">
        <f>IF('CF表（ご主人様死亡時）'!CP$3="","",'CF表（ご主人様死亡時）'!CP34/10000)</f>
        <v/>
      </c>
      <c r="CQ34" s="236">
        <f>IF('CF表（ご主人様死亡時）'!CQ$3="","",'CF表（ご主人様死亡時）'!CQ34/10000)</f>
        <v/>
      </c>
      <c r="CR34" s="236">
        <f>IF('CF表（ご主人様死亡時）'!CR$3="","",'CF表（ご主人様死亡時）'!CR34/10000)</f>
        <v/>
      </c>
      <c r="CS34" s="236">
        <f>IF('CF表（ご主人様死亡時）'!CS$3="","",'CF表（ご主人様死亡時）'!CS34/10000)</f>
        <v/>
      </c>
      <c r="CT34" s="236">
        <f>IF('CF表（ご主人様死亡時）'!CT$3="","",'CF表（ご主人様死亡時）'!CT34/10000)</f>
        <v/>
      </c>
      <c r="CU34" s="236">
        <f>IF('CF表（ご主人様死亡時）'!CU$3="","",'CF表（ご主人様死亡時）'!CU34/10000)</f>
        <v/>
      </c>
      <c r="CV34" s="236">
        <f>IF('CF表（ご主人様死亡時）'!CV$3="","",'CF表（ご主人様死亡時）'!CV34/10000)</f>
        <v/>
      </c>
      <c r="CW34" s="236">
        <f>IF('CF表（ご主人様死亡時）'!CW$3="","",'CF表（ご主人様死亡時）'!CW34/10000)</f>
        <v/>
      </c>
    </row>
    <row r="35" ht="21.75" customHeight="1" s="180">
      <c r="A35" s="237" t="inlineStr">
        <is>
          <t>保有資産合計（ローン除く）</t>
        </is>
      </c>
      <c r="B35" s="238">
        <f>IF('CF表（ご主人様死亡時）'!B$3="","",'CF表（ご主人様死亡時）'!B35/10000)</f>
        <v/>
      </c>
      <c r="C35" s="238">
        <f>IF('CF表（ご主人様死亡時）'!C$3="","",'CF表（ご主人様死亡時）'!C35/10000)</f>
        <v/>
      </c>
      <c r="D35" s="238">
        <f>IF('CF表（ご主人様死亡時）'!D$3="","",'CF表（ご主人様死亡時）'!D35/10000)</f>
        <v/>
      </c>
      <c r="E35" s="238">
        <f>IF('CF表（ご主人様死亡時）'!E$3="","",'CF表（ご主人様死亡時）'!E35/10000)</f>
        <v/>
      </c>
      <c r="F35" s="238">
        <f>IF('CF表（ご主人様死亡時）'!F$3="","",'CF表（ご主人様死亡時）'!F35/10000)</f>
        <v/>
      </c>
      <c r="G35" s="238">
        <f>IF('CF表（ご主人様死亡時）'!G$3="","",'CF表（ご主人様死亡時）'!G35/10000)</f>
        <v/>
      </c>
      <c r="H35" s="238">
        <f>IF('CF表（ご主人様死亡時）'!H$3="","",'CF表（ご主人様死亡時）'!H35/10000)</f>
        <v/>
      </c>
      <c r="I35" s="238">
        <f>IF('CF表（ご主人様死亡時）'!I$3="","",'CF表（ご主人様死亡時）'!I35/10000)</f>
        <v/>
      </c>
      <c r="J35" s="238">
        <f>IF('CF表（ご主人様死亡時）'!J$3="","",'CF表（ご主人様死亡時）'!J35/10000)</f>
        <v/>
      </c>
      <c r="K35" s="238">
        <f>IF('CF表（ご主人様死亡時）'!K$3="","",'CF表（ご主人様死亡時）'!K35/10000)</f>
        <v/>
      </c>
      <c r="L35" s="238">
        <f>IF('CF表（ご主人様死亡時）'!L$3="","",'CF表（ご主人様死亡時）'!L35/10000)</f>
        <v/>
      </c>
      <c r="M35" s="238">
        <f>IF('CF表（ご主人様死亡時）'!M$3="","",'CF表（ご主人様死亡時）'!M35/10000)</f>
        <v/>
      </c>
      <c r="N35" s="238">
        <f>IF('CF表（ご主人様死亡時）'!N$3="","",'CF表（ご主人様死亡時）'!N35/10000)</f>
        <v/>
      </c>
      <c r="O35" s="238">
        <f>IF('CF表（ご主人様死亡時）'!O$3="","",'CF表（ご主人様死亡時）'!O35/10000)</f>
        <v/>
      </c>
      <c r="P35" s="238">
        <f>IF('CF表（ご主人様死亡時）'!P$3="","",'CF表（ご主人様死亡時）'!P35/10000)</f>
        <v/>
      </c>
      <c r="Q35" s="238">
        <f>IF('CF表（ご主人様死亡時）'!Q$3="","",'CF表（ご主人様死亡時）'!Q35/10000)</f>
        <v/>
      </c>
      <c r="R35" s="238">
        <f>IF('CF表（ご主人様死亡時）'!R$3="","",'CF表（ご主人様死亡時）'!R35/10000)</f>
        <v/>
      </c>
      <c r="S35" s="238">
        <f>IF('CF表（ご主人様死亡時）'!S$3="","",'CF表（ご主人様死亡時）'!S35/10000)</f>
        <v/>
      </c>
      <c r="T35" s="238">
        <f>IF('CF表（ご主人様死亡時）'!T$3="","",'CF表（ご主人様死亡時）'!T35/10000)</f>
        <v/>
      </c>
      <c r="U35" s="238">
        <f>IF('CF表（ご主人様死亡時）'!U$3="","",'CF表（ご主人様死亡時）'!U35/10000)</f>
        <v/>
      </c>
      <c r="V35" s="238">
        <f>IF('CF表（ご主人様死亡時）'!V$3="","",'CF表（ご主人様死亡時）'!V35/10000)</f>
        <v/>
      </c>
      <c r="W35" s="238">
        <f>IF('CF表（ご主人様死亡時）'!W$3="","",'CF表（ご主人様死亡時）'!W35/10000)</f>
        <v/>
      </c>
      <c r="X35" s="238">
        <f>IF('CF表（ご主人様死亡時）'!X$3="","",'CF表（ご主人様死亡時）'!X35/10000)</f>
        <v/>
      </c>
      <c r="Y35" s="238">
        <f>IF('CF表（ご主人様死亡時）'!Y$3="","",'CF表（ご主人様死亡時）'!Y35/10000)</f>
        <v/>
      </c>
      <c r="Z35" s="238">
        <f>IF('CF表（ご主人様死亡時）'!Z$3="","",'CF表（ご主人様死亡時）'!Z35/10000)</f>
        <v/>
      </c>
      <c r="AA35" s="238">
        <f>IF('CF表（ご主人様死亡時）'!AA$3="","",'CF表（ご主人様死亡時）'!AA35/10000)</f>
        <v/>
      </c>
      <c r="AB35" s="238">
        <f>IF('CF表（ご主人様死亡時）'!AB$3="","",'CF表（ご主人様死亡時）'!AB35/10000)</f>
        <v/>
      </c>
      <c r="AC35" s="238">
        <f>IF('CF表（ご主人様死亡時）'!AC$3="","",'CF表（ご主人様死亡時）'!AC35/10000)</f>
        <v/>
      </c>
      <c r="AD35" s="238">
        <f>IF('CF表（ご主人様死亡時）'!AD$3="","",'CF表（ご主人様死亡時）'!AD35/10000)</f>
        <v/>
      </c>
      <c r="AE35" s="238">
        <f>IF('CF表（ご主人様死亡時）'!AE$3="","",'CF表（ご主人様死亡時）'!AE35/10000)</f>
        <v/>
      </c>
      <c r="AF35" s="238">
        <f>IF('CF表（ご主人様死亡時）'!AF$3="","",'CF表（ご主人様死亡時）'!AF35/10000)</f>
        <v/>
      </c>
      <c r="AG35" s="238">
        <f>IF('CF表（ご主人様死亡時）'!AG$3="","",'CF表（ご主人様死亡時）'!AG35/10000)</f>
        <v/>
      </c>
      <c r="AH35" s="238">
        <f>IF('CF表（ご主人様死亡時）'!AH$3="","",'CF表（ご主人様死亡時）'!AH35/10000)</f>
        <v/>
      </c>
      <c r="AI35" s="238">
        <f>IF('CF表（ご主人様死亡時）'!AI$3="","",'CF表（ご主人様死亡時）'!AI35/10000)</f>
        <v/>
      </c>
      <c r="AJ35" s="238">
        <f>IF('CF表（ご主人様死亡時）'!AJ$3="","",'CF表（ご主人様死亡時）'!AJ35/10000)</f>
        <v/>
      </c>
      <c r="AK35" s="238">
        <f>IF('CF表（ご主人様死亡時）'!AK$3="","",'CF表（ご主人様死亡時）'!AK35/10000)</f>
        <v/>
      </c>
      <c r="AL35" s="238">
        <f>IF('CF表（ご主人様死亡時）'!AL$3="","",'CF表（ご主人様死亡時）'!AL35/10000)</f>
        <v/>
      </c>
      <c r="AM35" s="238">
        <f>IF('CF表（ご主人様死亡時）'!AM$3="","",'CF表（ご主人様死亡時）'!AM35/10000)</f>
        <v/>
      </c>
      <c r="AN35" s="238">
        <f>IF('CF表（ご主人様死亡時）'!AN$3="","",'CF表（ご主人様死亡時）'!AN35/10000)</f>
        <v/>
      </c>
      <c r="AO35" s="238">
        <f>IF('CF表（ご主人様死亡時）'!AO$3="","",'CF表（ご主人様死亡時）'!AO35/10000)</f>
        <v/>
      </c>
      <c r="AP35" s="238">
        <f>IF('CF表（ご主人様死亡時）'!AP$3="","",'CF表（ご主人様死亡時）'!AP35/10000)</f>
        <v/>
      </c>
      <c r="AQ35" s="238">
        <f>IF('CF表（ご主人様死亡時）'!AQ$3="","",'CF表（ご主人様死亡時）'!AQ35/10000)</f>
        <v/>
      </c>
      <c r="AR35" s="238">
        <f>IF('CF表（ご主人様死亡時）'!AR$3="","",'CF表（ご主人様死亡時）'!AR35/10000)</f>
        <v/>
      </c>
      <c r="AS35" s="238">
        <f>IF('CF表（ご主人様死亡時）'!AS$3="","",'CF表（ご主人様死亡時）'!AS35/10000)</f>
        <v/>
      </c>
      <c r="AT35" s="238">
        <f>IF('CF表（ご主人様死亡時）'!AT$3="","",'CF表（ご主人様死亡時）'!AT35/10000)</f>
        <v/>
      </c>
      <c r="AU35" s="238">
        <f>IF('CF表（ご主人様死亡時）'!AU$3="","",'CF表（ご主人様死亡時）'!AU35/10000)</f>
        <v/>
      </c>
      <c r="AV35" s="238">
        <f>IF('CF表（ご主人様死亡時）'!AV$3="","",'CF表（ご主人様死亡時）'!AV35/10000)</f>
        <v/>
      </c>
      <c r="AW35" s="238">
        <f>IF('CF表（ご主人様死亡時）'!AW$3="","",'CF表（ご主人様死亡時）'!AW35/10000)</f>
        <v/>
      </c>
      <c r="AX35" s="238">
        <f>IF('CF表（ご主人様死亡時）'!AX$3="","",'CF表（ご主人様死亡時）'!AX35/10000)</f>
        <v/>
      </c>
      <c r="AY35" s="238">
        <f>IF('CF表（ご主人様死亡時）'!AY$3="","",'CF表（ご主人様死亡時）'!AY35/10000)</f>
        <v/>
      </c>
      <c r="AZ35" s="238">
        <f>IF('CF表（ご主人様死亡時）'!AZ$3="","",'CF表（ご主人様死亡時）'!AZ35/10000)</f>
        <v/>
      </c>
      <c r="BA35" s="238">
        <f>IF('CF表（ご主人様死亡時）'!BA$3="","",'CF表（ご主人様死亡時）'!BA35/10000)</f>
        <v/>
      </c>
      <c r="BB35" s="238">
        <f>IF('CF表（ご主人様死亡時）'!BB$3="","",'CF表（ご主人様死亡時）'!BB35/10000)</f>
        <v/>
      </c>
      <c r="BC35" s="238">
        <f>IF('CF表（ご主人様死亡時）'!BC$3="","",'CF表（ご主人様死亡時）'!BC35/10000)</f>
        <v/>
      </c>
      <c r="BD35" s="238">
        <f>IF('CF表（ご主人様死亡時）'!BD$3="","",'CF表（ご主人様死亡時）'!BD35/10000)</f>
        <v/>
      </c>
      <c r="BE35" s="238">
        <f>IF('CF表（ご主人様死亡時）'!BE$3="","",'CF表（ご主人様死亡時）'!BE35/10000)</f>
        <v/>
      </c>
      <c r="BF35" s="238">
        <f>IF('CF表（ご主人様死亡時）'!BF$3="","",'CF表（ご主人様死亡時）'!BF35/10000)</f>
        <v/>
      </c>
      <c r="BG35" s="238">
        <f>IF('CF表（ご主人様死亡時）'!BG$3="","",'CF表（ご主人様死亡時）'!BG35/10000)</f>
        <v/>
      </c>
      <c r="BH35" s="238">
        <f>IF('CF表（ご主人様死亡時）'!BH$3="","",'CF表（ご主人様死亡時）'!BH35/10000)</f>
        <v/>
      </c>
      <c r="BI35" s="238">
        <f>IF('CF表（ご主人様死亡時）'!BI$3="","",'CF表（ご主人様死亡時）'!BI35/10000)</f>
        <v/>
      </c>
      <c r="BJ35" s="238">
        <f>IF('CF表（ご主人様死亡時）'!BJ$3="","",'CF表（ご主人様死亡時）'!BJ35/10000)</f>
        <v/>
      </c>
      <c r="BK35" s="238">
        <f>IF('CF表（ご主人様死亡時）'!BK$3="","",'CF表（ご主人様死亡時）'!BK35/10000)</f>
        <v/>
      </c>
      <c r="BL35" s="238">
        <f>IF('CF表（ご主人様死亡時）'!BL$3="","",'CF表（ご主人様死亡時）'!BL35/10000)</f>
        <v/>
      </c>
      <c r="BM35" s="238">
        <f>IF('CF表（ご主人様死亡時）'!BM$3="","",'CF表（ご主人様死亡時）'!BM35/10000)</f>
        <v/>
      </c>
      <c r="BN35" s="238">
        <f>IF('CF表（ご主人様死亡時）'!BN$3="","",'CF表（ご主人様死亡時）'!BN35/10000)</f>
        <v/>
      </c>
      <c r="BO35" s="238">
        <f>IF('CF表（ご主人様死亡時）'!BO$3="","",'CF表（ご主人様死亡時）'!BO35/10000)</f>
        <v/>
      </c>
      <c r="BP35" s="238">
        <f>IF('CF表（ご主人様死亡時）'!BP$3="","",'CF表（ご主人様死亡時）'!BP35/10000)</f>
        <v/>
      </c>
      <c r="BQ35" s="238">
        <f>IF('CF表（ご主人様死亡時）'!BQ$3="","",'CF表（ご主人様死亡時）'!BQ35/10000)</f>
        <v/>
      </c>
      <c r="BR35" s="238">
        <f>IF('CF表（ご主人様死亡時）'!BR$3="","",'CF表（ご主人様死亡時）'!BR35/10000)</f>
        <v/>
      </c>
      <c r="BS35" s="238">
        <f>IF('CF表（ご主人様死亡時）'!BS$3="","",'CF表（ご主人様死亡時）'!BS35/10000)</f>
        <v/>
      </c>
      <c r="BT35" s="238">
        <f>IF('CF表（ご主人様死亡時）'!BT$3="","",'CF表（ご主人様死亡時）'!BT35/10000)</f>
        <v/>
      </c>
      <c r="BU35" s="238">
        <f>IF('CF表（ご主人様死亡時）'!BU$3="","",'CF表（ご主人様死亡時）'!BU35/10000)</f>
        <v/>
      </c>
      <c r="BV35" s="238">
        <f>IF('CF表（ご主人様死亡時）'!BV$3="","",'CF表（ご主人様死亡時）'!BV35/10000)</f>
        <v/>
      </c>
      <c r="BW35" s="238">
        <f>IF('CF表（ご主人様死亡時）'!BW$3="","",'CF表（ご主人様死亡時）'!BW35/10000)</f>
        <v/>
      </c>
      <c r="BX35" s="238">
        <f>IF('CF表（ご主人様死亡時）'!BX$3="","",'CF表（ご主人様死亡時）'!BX35/10000)</f>
        <v/>
      </c>
      <c r="BY35" s="238">
        <f>IF('CF表（ご主人様死亡時）'!BY$3="","",'CF表（ご主人様死亡時）'!BY35/10000)</f>
        <v/>
      </c>
      <c r="BZ35" s="238">
        <f>IF('CF表（ご主人様死亡時）'!BZ$3="","",'CF表（ご主人様死亡時）'!BZ35/10000)</f>
        <v/>
      </c>
      <c r="CA35" s="238">
        <f>IF('CF表（ご主人様死亡時）'!CA$3="","",'CF表（ご主人様死亡時）'!CA35/10000)</f>
        <v/>
      </c>
      <c r="CB35" s="238">
        <f>IF('CF表（ご主人様死亡時）'!CB$3="","",'CF表（ご主人様死亡時）'!CB35/10000)</f>
        <v/>
      </c>
      <c r="CC35" s="238">
        <f>IF('CF表（ご主人様死亡時）'!CC$3="","",'CF表（ご主人様死亡時）'!CC35/10000)</f>
        <v/>
      </c>
      <c r="CD35" s="238">
        <f>IF('CF表（ご主人様死亡時）'!CD$3="","",'CF表（ご主人様死亡時）'!CD35/10000)</f>
        <v/>
      </c>
      <c r="CE35" s="238">
        <f>IF('CF表（ご主人様死亡時）'!CE$3="","",'CF表（ご主人様死亡時）'!CE35/10000)</f>
        <v/>
      </c>
      <c r="CF35" s="238">
        <f>IF('CF表（ご主人様死亡時）'!CF$3="","",'CF表（ご主人様死亡時）'!CF35/10000)</f>
        <v/>
      </c>
      <c r="CG35" s="238">
        <f>IF('CF表（ご主人様死亡時）'!CG$3="","",'CF表（ご主人様死亡時）'!CG35/10000)</f>
        <v/>
      </c>
      <c r="CH35" s="238">
        <f>IF('CF表（ご主人様死亡時）'!CH$3="","",'CF表（ご主人様死亡時）'!CH35/10000)</f>
        <v/>
      </c>
      <c r="CI35" s="238">
        <f>IF('CF表（ご主人様死亡時）'!CI$3="","",'CF表（ご主人様死亡時）'!CI35/10000)</f>
        <v/>
      </c>
      <c r="CJ35" s="238">
        <f>IF('CF表（ご主人様死亡時）'!CJ$3="","",'CF表（ご主人様死亡時）'!CJ35/10000)</f>
        <v/>
      </c>
      <c r="CK35" s="238">
        <f>IF('CF表（ご主人様死亡時）'!CK$3="","",'CF表（ご主人様死亡時）'!CK35/10000)</f>
        <v/>
      </c>
      <c r="CL35" s="238">
        <f>IF('CF表（ご主人様死亡時）'!CL$3="","",'CF表（ご主人様死亡時）'!CL35/10000)</f>
        <v/>
      </c>
      <c r="CM35" s="238">
        <f>IF('CF表（ご主人様死亡時）'!CM$3="","",'CF表（ご主人様死亡時）'!CM35/10000)</f>
        <v/>
      </c>
      <c r="CN35" s="238">
        <f>IF('CF表（ご主人様死亡時）'!CN$3="","",'CF表（ご主人様死亡時）'!CN35/10000)</f>
        <v/>
      </c>
      <c r="CO35" s="238">
        <f>IF('CF表（ご主人様死亡時）'!CO$3="","",'CF表（ご主人様死亡時）'!CO35/10000)</f>
        <v/>
      </c>
      <c r="CP35" s="238">
        <f>IF('CF表（ご主人様死亡時）'!CP$3="","",'CF表（ご主人様死亡時）'!CP35/10000)</f>
        <v/>
      </c>
      <c r="CQ35" s="238">
        <f>IF('CF表（ご主人様死亡時）'!CQ$3="","",'CF表（ご主人様死亡時）'!CQ35/10000)</f>
        <v/>
      </c>
      <c r="CR35" s="238">
        <f>IF('CF表（ご主人様死亡時）'!CR$3="","",'CF表（ご主人様死亡時）'!CR35/10000)</f>
        <v/>
      </c>
      <c r="CS35" s="238">
        <f>IF('CF表（ご主人様死亡時）'!CS$3="","",'CF表（ご主人様死亡時）'!CS35/10000)</f>
        <v/>
      </c>
      <c r="CT35" s="238">
        <f>IF('CF表（ご主人様死亡時）'!CT$3="","",'CF表（ご主人様死亡時）'!CT35/10000)</f>
        <v/>
      </c>
      <c r="CU35" s="238">
        <f>IF('CF表（ご主人様死亡時）'!CU$3="","",'CF表（ご主人様死亡時）'!CU35/10000)</f>
        <v/>
      </c>
      <c r="CV35" s="238">
        <f>IF('CF表（ご主人様死亡時）'!CV$3="","",'CF表（ご主人様死亡時）'!CV35/10000)</f>
        <v/>
      </c>
      <c r="CW35" s="238">
        <f>IF('CF表（ご主人様死亡時）'!CW$3="","",'CF表（ご主人様死亡時）'!CW35/10000)</f>
        <v/>
      </c>
    </row>
    <row r="36" hidden="1" ht="16.5" customHeight="1" s="180">
      <c r="A36" s="239" t="inlineStr">
        <is>
          <t>投資積立年額(補助)</t>
        </is>
      </c>
      <c r="B36" s="240">
        <f>IF('CF表（ご主人様死亡時）'!B$3="","",'CF表（ご主人様死亡時）'!B36/10000)</f>
        <v/>
      </c>
      <c r="C36" s="240">
        <f>IF('CF表（ご主人様死亡時）'!C$3="","",'CF表（ご主人様死亡時）'!C36/10000)</f>
        <v/>
      </c>
      <c r="D36" s="240">
        <f>IF('CF表（ご主人様死亡時）'!D$3="","",'CF表（ご主人様死亡時）'!D36/10000)</f>
        <v/>
      </c>
      <c r="E36" s="240">
        <f>IF('CF表（ご主人様死亡時）'!E$3="","",'CF表（ご主人様死亡時）'!E36/10000)</f>
        <v/>
      </c>
      <c r="F36" s="240">
        <f>IF('CF表（ご主人様死亡時）'!F$3="","",'CF表（ご主人様死亡時）'!F36/10000)</f>
        <v/>
      </c>
      <c r="G36" s="240">
        <f>IF('CF表（ご主人様死亡時）'!G$3="","",'CF表（ご主人様死亡時）'!G36/10000)</f>
        <v/>
      </c>
      <c r="H36" s="240">
        <f>IF('CF表（ご主人様死亡時）'!H$3="","",'CF表（ご主人様死亡時）'!H36/10000)</f>
        <v/>
      </c>
      <c r="I36" s="240">
        <f>IF('CF表（ご主人様死亡時）'!I$3="","",'CF表（ご主人様死亡時）'!I36/10000)</f>
        <v/>
      </c>
      <c r="J36" s="240">
        <f>IF('CF表（ご主人様死亡時）'!J$3="","",'CF表（ご主人様死亡時）'!J36/10000)</f>
        <v/>
      </c>
      <c r="K36" s="240">
        <f>IF('CF表（ご主人様死亡時）'!K$3="","",'CF表（ご主人様死亡時）'!K36/10000)</f>
        <v/>
      </c>
      <c r="L36" s="240">
        <f>IF('CF表（ご主人様死亡時）'!L$3="","",'CF表（ご主人様死亡時）'!L36/10000)</f>
        <v/>
      </c>
      <c r="M36" s="240">
        <f>IF('CF表（ご主人様死亡時）'!M$3="","",'CF表（ご主人様死亡時）'!M36/10000)</f>
        <v/>
      </c>
      <c r="N36" s="240">
        <f>IF('CF表（ご主人様死亡時）'!N$3="","",'CF表（ご主人様死亡時）'!N36/10000)</f>
        <v/>
      </c>
      <c r="O36" s="240">
        <f>IF('CF表（ご主人様死亡時）'!O$3="","",'CF表（ご主人様死亡時）'!O36/10000)</f>
        <v/>
      </c>
      <c r="P36" s="240">
        <f>IF('CF表（ご主人様死亡時）'!P$3="","",'CF表（ご主人様死亡時）'!P36/10000)</f>
        <v/>
      </c>
      <c r="Q36" s="240">
        <f>IF('CF表（ご主人様死亡時）'!Q$3="","",'CF表（ご主人様死亡時）'!Q36/10000)</f>
        <v/>
      </c>
      <c r="R36" s="240">
        <f>IF('CF表（ご主人様死亡時）'!R$3="","",'CF表（ご主人様死亡時）'!R36/10000)</f>
        <v/>
      </c>
      <c r="S36" s="240">
        <f>IF('CF表（ご主人様死亡時）'!S$3="","",'CF表（ご主人様死亡時）'!S36/10000)</f>
        <v/>
      </c>
      <c r="T36" s="240">
        <f>IF('CF表（ご主人様死亡時）'!T$3="","",'CF表（ご主人様死亡時）'!T36/10000)</f>
        <v/>
      </c>
      <c r="U36" s="240">
        <f>IF('CF表（ご主人様死亡時）'!U$3="","",'CF表（ご主人様死亡時）'!U36/10000)</f>
        <v/>
      </c>
      <c r="V36" s="240">
        <f>IF('CF表（ご主人様死亡時）'!V$3="","",'CF表（ご主人様死亡時）'!V36/10000)</f>
        <v/>
      </c>
      <c r="W36" s="240">
        <f>IF('CF表（ご主人様死亡時）'!W$3="","",'CF表（ご主人様死亡時）'!W36/10000)</f>
        <v/>
      </c>
      <c r="X36" s="240">
        <f>IF('CF表（ご主人様死亡時）'!X$3="","",'CF表（ご主人様死亡時）'!X36/10000)</f>
        <v/>
      </c>
      <c r="Y36" s="240">
        <f>IF('CF表（ご主人様死亡時）'!Y$3="","",'CF表（ご主人様死亡時）'!Y36/10000)</f>
        <v/>
      </c>
      <c r="Z36" s="240">
        <f>IF('CF表（ご主人様死亡時）'!Z$3="","",'CF表（ご主人様死亡時）'!Z36/10000)</f>
        <v/>
      </c>
      <c r="AA36" s="240">
        <f>IF('CF表（ご主人様死亡時）'!AA$3="","",'CF表（ご主人様死亡時）'!AA36/10000)</f>
        <v/>
      </c>
      <c r="AB36" s="240">
        <f>IF('CF表（ご主人様死亡時）'!AB$3="","",'CF表（ご主人様死亡時）'!AB36/10000)</f>
        <v/>
      </c>
      <c r="AC36" s="240">
        <f>IF('CF表（ご主人様死亡時）'!AC$3="","",'CF表（ご主人様死亡時）'!AC36/10000)</f>
        <v/>
      </c>
      <c r="AD36" s="240">
        <f>IF('CF表（ご主人様死亡時）'!AD$3="","",'CF表（ご主人様死亡時）'!AD36/10000)</f>
        <v/>
      </c>
      <c r="AE36" s="240">
        <f>IF('CF表（ご主人様死亡時）'!AE$3="","",'CF表（ご主人様死亡時）'!AE36/10000)</f>
        <v/>
      </c>
      <c r="AF36" s="240">
        <f>IF('CF表（ご主人様死亡時）'!AF$3="","",'CF表（ご主人様死亡時）'!AF36/10000)</f>
        <v/>
      </c>
      <c r="AG36" s="240">
        <f>IF('CF表（ご主人様死亡時）'!AG$3="","",'CF表（ご主人様死亡時）'!AG36/10000)</f>
        <v/>
      </c>
      <c r="AH36" s="240">
        <f>IF('CF表（ご主人様死亡時）'!AH$3="","",'CF表（ご主人様死亡時）'!AH36/10000)</f>
        <v/>
      </c>
      <c r="AI36" s="240">
        <f>IF('CF表（ご主人様死亡時）'!AI$3="","",'CF表（ご主人様死亡時）'!AI36/10000)</f>
        <v/>
      </c>
      <c r="AJ36" s="240">
        <f>IF('CF表（ご主人様死亡時）'!AJ$3="","",'CF表（ご主人様死亡時）'!AJ36/10000)</f>
        <v/>
      </c>
      <c r="AK36" s="240">
        <f>IF('CF表（ご主人様死亡時）'!AK$3="","",'CF表（ご主人様死亡時）'!AK36/10000)</f>
        <v/>
      </c>
      <c r="AL36" s="240">
        <f>IF('CF表（ご主人様死亡時）'!AL$3="","",'CF表（ご主人様死亡時）'!AL36/10000)</f>
        <v/>
      </c>
      <c r="AM36" s="240">
        <f>IF('CF表（ご主人様死亡時）'!AM$3="","",'CF表（ご主人様死亡時）'!AM36/10000)</f>
        <v/>
      </c>
      <c r="AN36" s="240">
        <f>IF('CF表（ご主人様死亡時）'!AN$3="","",'CF表（ご主人様死亡時）'!AN36/10000)</f>
        <v/>
      </c>
      <c r="AO36" s="240">
        <f>IF('CF表（ご主人様死亡時）'!AO$3="","",'CF表（ご主人様死亡時）'!AO36/10000)</f>
        <v/>
      </c>
      <c r="AP36" s="240">
        <f>IF('CF表（ご主人様死亡時）'!AP$3="","",'CF表（ご主人様死亡時）'!AP36/10000)</f>
        <v/>
      </c>
      <c r="AQ36" s="240">
        <f>IF('CF表（ご主人様死亡時）'!AQ$3="","",'CF表（ご主人様死亡時）'!AQ36/10000)</f>
        <v/>
      </c>
      <c r="AR36" s="240">
        <f>IF('CF表（ご主人様死亡時）'!AR$3="","",'CF表（ご主人様死亡時）'!AR36/10000)</f>
        <v/>
      </c>
      <c r="AS36" s="240">
        <f>IF('CF表（ご主人様死亡時）'!AS$3="","",'CF表（ご主人様死亡時）'!AS36/10000)</f>
        <v/>
      </c>
      <c r="AT36" s="240">
        <f>IF('CF表（ご主人様死亡時）'!AT$3="","",'CF表（ご主人様死亡時）'!AT36/10000)</f>
        <v/>
      </c>
      <c r="AU36" s="240">
        <f>IF('CF表（ご主人様死亡時）'!AU$3="","",'CF表（ご主人様死亡時）'!AU36/10000)</f>
        <v/>
      </c>
      <c r="AV36" s="240">
        <f>IF('CF表（ご主人様死亡時）'!AV$3="","",'CF表（ご主人様死亡時）'!AV36/10000)</f>
        <v/>
      </c>
      <c r="AW36" s="240">
        <f>IF('CF表（ご主人様死亡時）'!AW$3="","",'CF表（ご主人様死亡時）'!AW36/10000)</f>
        <v/>
      </c>
      <c r="AX36" s="240">
        <f>IF('CF表（ご主人様死亡時）'!AX$3="","",'CF表（ご主人様死亡時）'!AX36/10000)</f>
        <v/>
      </c>
      <c r="AY36" s="240">
        <f>IF('CF表（ご主人様死亡時）'!AY$3="","",'CF表（ご主人様死亡時）'!AY36/10000)</f>
        <v/>
      </c>
      <c r="AZ36" s="240">
        <f>IF('CF表（ご主人様死亡時）'!AZ$3="","",'CF表（ご主人様死亡時）'!AZ36/10000)</f>
        <v/>
      </c>
      <c r="BA36" s="240">
        <f>IF('CF表（ご主人様死亡時）'!BA$3="","",'CF表（ご主人様死亡時）'!BA36/10000)</f>
        <v/>
      </c>
      <c r="BB36" s="240">
        <f>IF('CF表（ご主人様死亡時）'!BB$3="","",'CF表（ご主人様死亡時）'!BB36/10000)</f>
        <v/>
      </c>
      <c r="BC36" s="240">
        <f>IF('CF表（ご主人様死亡時）'!BC$3="","",'CF表（ご主人様死亡時）'!BC36/10000)</f>
        <v/>
      </c>
      <c r="BD36" s="240">
        <f>IF('CF表（ご主人様死亡時）'!BD$3="","",'CF表（ご主人様死亡時）'!BD36/10000)</f>
        <v/>
      </c>
      <c r="BE36" s="240">
        <f>IF('CF表（ご主人様死亡時）'!BE$3="","",'CF表（ご主人様死亡時）'!BE36/10000)</f>
        <v/>
      </c>
      <c r="BF36" s="240">
        <f>IF('CF表（ご主人様死亡時）'!BF$3="","",'CF表（ご主人様死亡時）'!BF36/10000)</f>
        <v/>
      </c>
      <c r="BG36" s="240">
        <f>IF('CF表（ご主人様死亡時）'!BG$3="","",'CF表（ご主人様死亡時）'!BG36/10000)</f>
        <v/>
      </c>
      <c r="BH36" s="240">
        <f>IF('CF表（ご主人様死亡時）'!BH$3="","",'CF表（ご主人様死亡時）'!BH36/10000)</f>
        <v/>
      </c>
      <c r="BI36" s="240">
        <f>IF('CF表（ご主人様死亡時）'!BI$3="","",'CF表（ご主人様死亡時）'!BI36/10000)</f>
        <v/>
      </c>
      <c r="BJ36" s="240">
        <f>IF('CF表（ご主人様死亡時）'!BJ$3="","",'CF表（ご主人様死亡時）'!BJ36/10000)</f>
        <v/>
      </c>
      <c r="BK36" s="240">
        <f>IF('CF表（ご主人様死亡時）'!BK$3="","",'CF表（ご主人様死亡時）'!BK36/10000)</f>
        <v/>
      </c>
      <c r="BL36" s="240">
        <f>IF('CF表（ご主人様死亡時）'!BL$3="","",'CF表（ご主人様死亡時）'!BL36/10000)</f>
        <v/>
      </c>
      <c r="BM36" s="240">
        <f>IF('CF表（ご主人様死亡時）'!BM$3="","",'CF表（ご主人様死亡時）'!BM36/10000)</f>
        <v/>
      </c>
      <c r="BN36" s="240">
        <f>IF('CF表（ご主人様死亡時）'!BN$3="","",'CF表（ご主人様死亡時）'!BN36/10000)</f>
        <v/>
      </c>
      <c r="BO36" s="240">
        <f>IF('CF表（ご主人様死亡時）'!BO$3="","",'CF表（ご主人様死亡時）'!BO36/10000)</f>
        <v/>
      </c>
      <c r="BP36" s="240">
        <f>IF('CF表（ご主人様死亡時）'!BP$3="","",'CF表（ご主人様死亡時）'!BP36/10000)</f>
        <v/>
      </c>
      <c r="BQ36" s="240">
        <f>IF('CF表（ご主人様死亡時）'!BQ$3="","",'CF表（ご主人様死亡時）'!BQ36/10000)</f>
        <v/>
      </c>
      <c r="BR36" s="240">
        <f>IF('CF表（ご主人様死亡時）'!BR$3="","",'CF表（ご主人様死亡時）'!BR36/10000)</f>
        <v/>
      </c>
      <c r="BS36" s="240">
        <f>IF('CF表（ご主人様死亡時）'!BS$3="","",'CF表（ご主人様死亡時）'!BS36/10000)</f>
        <v/>
      </c>
      <c r="BT36" s="240">
        <f>IF('CF表（ご主人様死亡時）'!BT$3="","",'CF表（ご主人様死亡時）'!BT36/10000)</f>
        <v/>
      </c>
      <c r="BU36" s="240">
        <f>IF('CF表（ご主人様死亡時）'!BU$3="","",'CF表（ご主人様死亡時）'!BU36/10000)</f>
        <v/>
      </c>
      <c r="BV36" s="240">
        <f>IF('CF表（ご主人様死亡時）'!BV$3="","",'CF表（ご主人様死亡時）'!BV36/10000)</f>
        <v/>
      </c>
      <c r="BW36" s="240">
        <f>IF('CF表（ご主人様死亡時）'!BW$3="","",'CF表（ご主人様死亡時）'!BW36/10000)</f>
        <v/>
      </c>
      <c r="BX36" s="240">
        <f>IF('CF表（ご主人様死亡時）'!BX$3="","",'CF表（ご主人様死亡時）'!BX36/10000)</f>
        <v/>
      </c>
      <c r="BY36" s="240">
        <f>IF('CF表（ご主人様死亡時）'!BY$3="","",'CF表（ご主人様死亡時）'!BY36/10000)</f>
        <v/>
      </c>
      <c r="BZ36" s="240">
        <f>IF('CF表（ご主人様死亡時）'!BZ$3="","",'CF表（ご主人様死亡時）'!BZ36/10000)</f>
        <v/>
      </c>
      <c r="CA36" s="240">
        <f>IF('CF表（ご主人様死亡時）'!CA$3="","",'CF表（ご主人様死亡時）'!CA36/10000)</f>
        <v/>
      </c>
      <c r="CB36" s="240">
        <f>IF('CF表（ご主人様死亡時）'!CB$3="","",'CF表（ご主人様死亡時）'!CB36/10000)</f>
        <v/>
      </c>
      <c r="CC36" s="240">
        <f>IF('CF表（ご主人様死亡時）'!CC$3="","",'CF表（ご主人様死亡時）'!CC36/10000)</f>
        <v/>
      </c>
      <c r="CD36" s="240">
        <f>IF('CF表（ご主人様死亡時）'!CD$3="","",'CF表（ご主人様死亡時）'!CD36/10000)</f>
        <v/>
      </c>
      <c r="CE36" s="240">
        <f>IF('CF表（ご主人様死亡時）'!CE$3="","",'CF表（ご主人様死亡時）'!CE36/10000)</f>
        <v/>
      </c>
      <c r="CF36" s="240">
        <f>IF('CF表（ご主人様死亡時）'!CF$3="","",'CF表（ご主人様死亡時）'!CF36/10000)</f>
        <v/>
      </c>
      <c r="CG36" s="240">
        <f>IF('CF表（ご主人様死亡時）'!CG$3="","",'CF表（ご主人様死亡時）'!CG36/10000)</f>
        <v/>
      </c>
      <c r="CH36" s="240">
        <f>IF('CF表（ご主人様死亡時）'!CH$3="","",'CF表（ご主人様死亡時）'!CH36/10000)</f>
        <v/>
      </c>
      <c r="CI36" s="240">
        <f>IF('CF表（ご主人様死亡時）'!CI$3="","",'CF表（ご主人様死亡時）'!CI36/10000)</f>
        <v/>
      </c>
      <c r="CJ36" s="240">
        <f>IF('CF表（ご主人様死亡時）'!CJ$3="","",'CF表（ご主人様死亡時）'!CJ36/10000)</f>
        <v/>
      </c>
      <c r="CK36" s="240">
        <f>IF('CF表（ご主人様死亡時）'!CK$3="","",'CF表（ご主人様死亡時）'!CK36/10000)</f>
        <v/>
      </c>
      <c r="CL36" s="240">
        <f>IF('CF表（ご主人様死亡時）'!CL$3="","",'CF表（ご主人様死亡時）'!CL36/10000)</f>
        <v/>
      </c>
      <c r="CM36" s="240">
        <f>IF('CF表（ご主人様死亡時）'!CM$3="","",'CF表（ご主人様死亡時）'!CM36/10000)</f>
        <v/>
      </c>
      <c r="CN36" s="240">
        <f>IF('CF表（ご主人様死亡時）'!CN$3="","",'CF表（ご主人様死亡時）'!CN36/10000)</f>
        <v/>
      </c>
      <c r="CO36" s="240">
        <f>IF('CF表（ご主人様死亡時）'!CO$3="","",'CF表（ご主人様死亡時）'!CO36/10000)</f>
        <v/>
      </c>
      <c r="CP36" s="240">
        <f>IF('CF表（ご主人様死亡時）'!CP$3="","",'CF表（ご主人様死亡時）'!CP36/10000)</f>
        <v/>
      </c>
      <c r="CQ36" s="240">
        <f>IF('CF表（ご主人様死亡時）'!CQ$3="","",'CF表（ご主人様死亡時）'!CQ36/10000)</f>
        <v/>
      </c>
      <c r="CR36" s="240">
        <f>IF('CF表（ご主人様死亡時）'!CR$3="","",'CF表（ご主人様死亡時）'!CR36/10000)</f>
        <v/>
      </c>
      <c r="CS36" s="240">
        <f>IF('CF表（ご主人様死亡時）'!CS$3="","",'CF表（ご主人様死亡時）'!CS36/10000)</f>
        <v/>
      </c>
      <c r="CT36" s="240">
        <f>IF('CF表（ご主人様死亡時）'!CT$3="","",'CF表（ご主人様死亡時）'!CT36/10000)</f>
        <v/>
      </c>
      <c r="CU36" s="240">
        <f>IF('CF表（ご主人様死亡時）'!CU$3="","",'CF表（ご主人様死亡時）'!CU36/10000)</f>
        <v/>
      </c>
      <c r="CV36" s="240">
        <f>IF('CF表（ご主人様死亡時）'!CV$3="","",'CF表（ご主人様死亡時）'!CV36/10000)</f>
        <v/>
      </c>
      <c r="CW36" s="240">
        <f>IF('CF表（ご主人様死亡時）'!CW$3="","",'CF表（ご主人様死亡時）'!CW36/10000)</f>
        <v/>
      </c>
    </row>
    <row r="37" hidden="1" ht="16.5" customHeight="1" s="180">
      <c r="A37" s="239" t="inlineStr">
        <is>
          <t>返戻金積立年額(補助)</t>
        </is>
      </c>
      <c r="B37" s="240">
        <f>IF('CF表（ご主人様死亡時）'!B$3="","",'CF表（ご主人様死亡時）'!B37/10000)</f>
        <v/>
      </c>
      <c r="C37" s="240">
        <f>IF('CF表（ご主人様死亡時）'!C$3="","",'CF表（ご主人様死亡時）'!C37/10000)</f>
        <v/>
      </c>
      <c r="D37" s="240">
        <f>IF('CF表（ご主人様死亡時）'!D$3="","",'CF表（ご主人様死亡時）'!D37/10000)</f>
        <v/>
      </c>
      <c r="E37" s="240">
        <f>IF('CF表（ご主人様死亡時）'!E$3="","",'CF表（ご主人様死亡時）'!E37/10000)</f>
        <v/>
      </c>
      <c r="F37" s="240">
        <f>IF('CF表（ご主人様死亡時）'!F$3="","",'CF表（ご主人様死亡時）'!F37/10000)</f>
        <v/>
      </c>
      <c r="G37" s="240">
        <f>IF('CF表（ご主人様死亡時）'!G$3="","",'CF表（ご主人様死亡時）'!G37/10000)</f>
        <v/>
      </c>
      <c r="H37" s="240">
        <f>IF('CF表（ご主人様死亡時）'!H$3="","",'CF表（ご主人様死亡時）'!H37/10000)</f>
        <v/>
      </c>
      <c r="I37" s="240">
        <f>IF('CF表（ご主人様死亡時）'!I$3="","",'CF表（ご主人様死亡時）'!I37/10000)</f>
        <v/>
      </c>
      <c r="J37" s="240">
        <f>IF('CF表（ご主人様死亡時）'!J$3="","",'CF表（ご主人様死亡時）'!J37/10000)</f>
        <v/>
      </c>
      <c r="K37" s="240">
        <f>IF('CF表（ご主人様死亡時）'!K$3="","",'CF表（ご主人様死亡時）'!K37/10000)</f>
        <v/>
      </c>
      <c r="L37" s="240">
        <f>IF('CF表（ご主人様死亡時）'!L$3="","",'CF表（ご主人様死亡時）'!L37/10000)</f>
        <v/>
      </c>
      <c r="M37" s="240">
        <f>IF('CF表（ご主人様死亡時）'!M$3="","",'CF表（ご主人様死亡時）'!M37/10000)</f>
        <v/>
      </c>
      <c r="N37" s="240">
        <f>IF('CF表（ご主人様死亡時）'!N$3="","",'CF表（ご主人様死亡時）'!N37/10000)</f>
        <v/>
      </c>
      <c r="O37" s="240">
        <f>IF('CF表（ご主人様死亡時）'!O$3="","",'CF表（ご主人様死亡時）'!O37/10000)</f>
        <v/>
      </c>
      <c r="P37" s="240">
        <f>IF('CF表（ご主人様死亡時）'!P$3="","",'CF表（ご主人様死亡時）'!P37/10000)</f>
        <v/>
      </c>
      <c r="Q37" s="240">
        <f>IF('CF表（ご主人様死亡時）'!Q$3="","",'CF表（ご主人様死亡時）'!Q37/10000)</f>
        <v/>
      </c>
      <c r="R37" s="240">
        <f>IF('CF表（ご主人様死亡時）'!R$3="","",'CF表（ご主人様死亡時）'!R37/10000)</f>
        <v/>
      </c>
      <c r="S37" s="240">
        <f>IF('CF表（ご主人様死亡時）'!S$3="","",'CF表（ご主人様死亡時）'!S37/10000)</f>
        <v/>
      </c>
      <c r="T37" s="240">
        <f>IF('CF表（ご主人様死亡時）'!T$3="","",'CF表（ご主人様死亡時）'!T37/10000)</f>
        <v/>
      </c>
      <c r="U37" s="240">
        <f>IF('CF表（ご主人様死亡時）'!U$3="","",'CF表（ご主人様死亡時）'!U37/10000)</f>
        <v/>
      </c>
      <c r="V37" s="240">
        <f>IF('CF表（ご主人様死亡時）'!V$3="","",'CF表（ご主人様死亡時）'!V37/10000)</f>
        <v/>
      </c>
      <c r="W37" s="240">
        <f>IF('CF表（ご主人様死亡時）'!W$3="","",'CF表（ご主人様死亡時）'!W37/10000)</f>
        <v/>
      </c>
      <c r="X37" s="240">
        <f>IF('CF表（ご主人様死亡時）'!X$3="","",'CF表（ご主人様死亡時）'!X37/10000)</f>
        <v/>
      </c>
      <c r="Y37" s="240">
        <f>IF('CF表（ご主人様死亡時）'!Y$3="","",'CF表（ご主人様死亡時）'!Y37/10000)</f>
        <v/>
      </c>
      <c r="Z37" s="240">
        <f>IF('CF表（ご主人様死亡時）'!Z$3="","",'CF表（ご主人様死亡時）'!Z37/10000)</f>
        <v/>
      </c>
      <c r="AA37" s="240">
        <f>IF('CF表（ご主人様死亡時）'!AA$3="","",'CF表（ご主人様死亡時）'!AA37/10000)</f>
        <v/>
      </c>
      <c r="AB37" s="240">
        <f>IF('CF表（ご主人様死亡時）'!AB$3="","",'CF表（ご主人様死亡時）'!AB37/10000)</f>
        <v/>
      </c>
      <c r="AC37" s="240">
        <f>IF('CF表（ご主人様死亡時）'!AC$3="","",'CF表（ご主人様死亡時）'!AC37/10000)</f>
        <v/>
      </c>
      <c r="AD37" s="240">
        <f>IF('CF表（ご主人様死亡時）'!AD$3="","",'CF表（ご主人様死亡時）'!AD37/10000)</f>
        <v/>
      </c>
      <c r="AE37" s="240">
        <f>IF('CF表（ご主人様死亡時）'!AE$3="","",'CF表（ご主人様死亡時）'!AE37/10000)</f>
        <v/>
      </c>
      <c r="AF37" s="240">
        <f>IF('CF表（ご主人様死亡時）'!AF$3="","",'CF表（ご主人様死亡時）'!AF37/10000)</f>
        <v/>
      </c>
      <c r="AG37" s="240">
        <f>IF('CF表（ご主人様死亡時）'!AG$3="","",'CF表（ご主人様死亡時）'!AG37/10000)</f>
        <v/>
      </c>
      <c r="AH37" s="240">
        <f>IF('CF表（ご主人様死亡時）'!AH$3="","",'CF表（ご主人様死亡時）'!AH37/10000)</f>
        <v/>
      </c>
      <c r="AI37" s="240">
        <f>IF('CF表（ご主人様死亡時）'!AI$3="","",'CF表（ご主人様死亡時）'!AI37/10000)</f>
        <v/>
      </c>
      <c r="AJ37" s="240">
        <f>IF('CF表（ご主人様死亡時）'!AJ$3="","",'CF表（ご主人様死亡時）'!AJ37/10000)</f>
        <v/>
      </c>
      <c r="AK37" s="240">
        <f>IF('CF表（ご主人様死亡時）'!AK$3="","",'CF表（ご主人様死亡時）'!AK37/10000)</f>
        <v/>
      </c>
      <c r="AL37" s="240">
        <f>IF('CF表（ご主人様死亡時）'!AL$3="","",'CF表（ご主人様死亡時）'!AL37/10000)</f>
        <v/>
      </c>
      <c r="AM37" s="240">
        <f>IF('CF表（ご主人様死亡時）'!AM$3="","",'CF表（ご主人様死亡時）'!AM37/10000)</f>
        <v/>
      </c>
      <c r="AN37" s="240">
        <f>IF('CF表（ご主人様死亡時）'!AN$3="","",'CF表（ご主人様死亡時）'!AN37/10000)</f>
        <v/>
      </c>
      <c r="AO37" s="240">
        <f>IF('CF表（ご主人様死亡時）'!AO$3="","",'CF表（ご主人様死亡時）'!AO37/10000)</f>
        <v/>
      </c>
      <c r="AP37" s="240">
        <f>IF('CF表（ご主人様死亡時）'!AP$3="","",'CF表（ご主人様死亡時）'!AP37/10000)</f>
        <v/>
      </c>
      <c r="AQ37" s="240">
        <f>IF('CF表（ご主人様死亡時）'!AQ$3="","",'CF表（ご主人様死亡時）'!AQ37/10000)</f>
        <v/>
      </c>
      <c r="AR37" s="240">
        <f>IF('CF表（ご主人様死亡時）'!AR$3="","",'CF表（ご主人様死亡時）'!AR37/10000)</f>
        <v/>
      </c>
      <c r="AS37" s="240">
        <f>IF('CF表（ご主人様死亡時）'!AS$3="","",'CF表（ご主人様死亡時）'!AS37/10000)</f>
        <v/>
      </c>
      <c r="AT37" s="240">
        <f>IF('CF表（ご主人様死亡時）'!AT$3="","",'CF表（ご主人様死亡時）'!AT37/10000)</f>
        <v/>
      </c>
      <c r="AU37" s="240">
        <f>IF('CF表（ご主人様死亡時）'!AU$3="","",'CF表（ご主人様死亡時）'!AU37/10000)</f>
        <v/>
      </c>
      <c r="AV37" s="240">
        <f>IF('CF表（ご主人様死亡時）'!AV$3="","",'CF表（ご主人様死亡時）'!AV37/10000)</f>
        <v/>
      </c>
      <c r="AW37" s="240">
        <f>IF('CF表（ご主人様死亡時）'!AW$3="","",'CF表（ご主人様死亡時）'!AW37/10000)</f>
        <v/>
      </c>
      <c r="AX37" s="240">
        <f>IF('CF表（ご主人様死亡時）'!AX$3="","",'CF表（ご主人様死亡時）'!AX37/10000)</f>
        <v/>
      </c>
      <c r="AY37" s="240">
        <f>IF('CF表（ご主人様死亡時）'!AY$3="","",'CF表（ご主人様死亡時）'!AY37/10000)</f>
        <v/>
      </c>
      <c r="AZ37" s="240">
        <f>IF('CF表（ご主人様死亡時）'!AZ$3="","",'CF表（ご主人様死亡時）'!AZ37/10000)</f>
        <v/>
      </c>
      <c r="BA37" s="240">
        <f>IF('CF表（ご主人様死亡時）'!BA$3="","",'CF表（ご主人様死亡時）'!BA37/10000)</f>
        <v/>
      </c>
      <c r="BB37" s="240">
        <f>IF('CF表（ご主人様死亡時）'!BB$3="","",'CF表（ご主人様死亡時）'!BB37/10000)</f>
        <v/>
      </c>
      <c r="BC37" s="240">
        <f>IF('CF表（ご主人様死亡時）'!BC$3="","",'CF表（ご主人様死亡時）'!BC37/10000)</f>
        <v/>
      </c>
      <c r="BD37" s="240">
        <f>IF('CF表（ご主人様死亡時）'!BD$3="","",'CF表（ご主人様死亡時）'!BD37/10000)</f>
        <v/>
      </c>
      <c r="BE37" s="240">
        <f>IF('CF表（ご主人様死亡時）'!BE$3="","",'CF表（ご主人様死亡時）'!BE37/10000)</f>
        <v/>
      </c>
      <c r="BF37" s="240">
        <f>IF('CF表（ご主人様死亡時）'!BF$3="","",'CF表（ご主人様死亡時）'!BF37/10000)</f>
        <v/>
      </c>
      <c r="BG37" s="240">
        <f>IF('CF表（ご主人様死亡時）'!BG$3="","",'CF表（ご主人様死亡時）'!BG37/10000)</f>
        <v/>
      </c>
      <c r="BH37" s="240">
        <f>IF('CF表（ご主人様死亡時）'!BH$3="","",'CF表（ご主人様死亡時）'!BH37/10000)</f>
        <v/>
      </c>
      <c r="BI37" s="240">
        <f>IF('CF表（ご主人様死亡時）'!BI$3="","",'CF表（ご主人様死亡時）'!BI37/10000)</f>
        <v/>
      </c>
      <c r="BJ37" s="240">
        <f>IF('CF表（ご主人様死亡時）'!BJ$3="","",'CF表（ご主人様死亡時）'!BJ37/10000)</f>
        <v/>
      </c>
      <c r="BK37" s="240">
        <f>IF('CF表（ご主人様死亡時）'!BK$3="","",'CF表（ご主人様死亡時）'!BK37/10000)</f>
        <v/>
      </c>
      <c r="BL37" s="240">
        <f>IF('CF表（ご主人様死亡時）'!BL$3="","",'CF表（ご主人様死亡時）'!BL37/10000)</f>
        <v/>
      </c>
      <c r="BM37" s="240">
        <f>IF('CF表（ご主人様死亡時）'!BM$3="","",'CF表（ご主人様死亡時）'!BM37/10000)</f>
        <v/>
      </c>
      <c r="BN37" s="240">
        <f>IF('CF表（ご主人様死亡時）'!BN$3="","",'CF表（ご主人様死亡時）'!BN37/10000)</f>
        <v/>
      </c>
      <c r="BO37" s="240">
        <f>IF('CF表（ご主人様死亡時）'!BO$3="","",'CF表（ご主人様死亡時）'!BO37/10000)</f>
        <v/>
      </c>
      <c r="BP37" s="240">
        <f>IF('CF表（ご主人様死亡時）'!BP$3="","",'CF表（ご主人様死亡時）'!BP37/10000)</f>
        <v/>
      </c>
      <c r="BQ37" s="240">
        <f>IF('CF表（ご主人様死亡時）'!BQ$3="","",'CF表（ご主人様死亡時）'!BQ37/10000)</f>
        <v/>
      </c>
      <c r="BR37" s="240">
        <f>IF('CF表（ご主人様死亡時）'!BR$3="","",'CF表（ご主人様死亡時）'!BR37/10000)</f>
        <v/>
      </c>
      <c r="BS37" s="240">
        <f>IF('CF表（ご主人様死亡時）'!BS$3="","",'CF表（ご主人様死亡時）'!BS37/10000)</f>
        <v/>
      </c>
      <c r="BT37" s="240">
        <f>IF('CF表（ご主人様死亡時）'!BT$3="","",'CF表（ご主人様死亡時）'!BT37/10000)</f>
        <v/>
      </c>
      <c r="BU37" s="240">
        <f>IF('CF表（ご主人様死亡時）'!BU$3="","",'CF表（ご主人様死亡時）'!BU37/10000)</f>
        <v/>
      </c>
      <c r="BV37" s="240">
        <f>IF('CF表（ご主人様死亡時）'!BV$3="","",'CF表（ご主人様死亡時）'!BV37/10000)</f>
        <v/>
      </c>
      <c r="BW37" s="240">
        <f>IF('CF表（ご主人様死亡時）'!BW$3="","",'CF表（ご主人様死亡時）'!BW37/10000)</f>
        <v/>
      </c>
      <c r="BX37" s="240">
        <f>IF('CF表（ご主人様死亡時）'!BX$3="","",'CF表（ご主人様死亡時）'!BX37/10000)</f>
        <v/>
      </c>
      <c r="BY37" s="240">
        <f>IF('CF表（ご主人様死亡時）'!BY$3="","",'CF表（ご主人様死亡時）'!BY37/10000)</f>
        <v/>
      </c>
      <c r="BZ37" s="240">
        <f>IF('CF表（ご主人様死亡時）'!BZ$3="","",'CF表（ご主人様死亡時）'!BZ37/10000)</f>
        <v/>
      </c>
      <c r="CA37" s="240">
        <f>IF('CF表（ご主人様死亡時）'!CA$3="","",'CF表（ご主人様死亡時）'!CA37/10000)</f>
        <v/>
      </c>
      <c r="CB37" s="240">
        <f>IF('CF表（ご主人様死亡時）'!CB$3="","",'CF表（ご主人様死亡時）'!CB37/10000)</f>
        <v/>
      </c>
      <c r="CC37" s="240">
        <f>IF('CF表（ご主人様死亡時）'!CC$3="","",'CF表（ご主人様死亡時）'!CC37/10000)</f>
        <v/>
      </c>
      <c r="CD37" s="240">
        <f>IF('CF表（ご主人様死亡時）'!CD$3="","",'CF表（ご主人様死亡時）'!CD37/10000)</f>
        <v/>
      </c>
      <c r="CE37" s="240">
        <f>IF('CF表（ご主人様死亡時）'!CE$3="","",'CF表（ご主人様死亡時）'!CE37/10000)</f>
        <v/>
      </c>
      <c r="CF37" s="240">
        <f>IF('CF表（ご主人様死亡時）'!CF$3="","",'CF表（ご主人様死亡時）'!CF37/10000)</f>
        <v/>
      </c>
      <c r="CG37" s="240">
        <f>IF('CF表（ご主人様死亡時）'!CG$3="","",'CF表（ご主人様死亡時）'!CG37/10000)</f>
        <v/>
      </c>
      <c r="CH37" s="240">
        <f>IF('CF表（ご主人様死亡時）'!CH$3="","",'CF表（ご主人様死亡時）'!CH37/10000)</f>
        <v/>
      </c>
      <c r="CI37" s="240">
        <f>IF('CF表（ご主人様死亡時）'!CI$3="","",'CF表（ご主人様死亡時）'!CI37/10000)</f>
        <v/>
      </c>
      <c r="CJ37" s="240">
        <f>IF('CF表（ご主人様死亡時）'!CJ$3="","",'CF表（ご主人様死亡時）'!CJ37/10000)</f>
        <v/>
      </c>
      <c r="CK37" s="240">
        <f>IF('CF表（ご主人様死亡時）'!CK$3="","",'CF表（ご主人様死亡時）'!CK37/10000)</f>
        <v/>
      </c>
      <c r="CL37" s="240">
        <f>IF('CF表（ご主人様死亡時）'!CL$3="","",'CF表（ご主人様死亡時）'!CL37/10000)</f>
        <v/>
      </c>
      <c r="CM37" s="240">
        <f>IF('CF表（ご主人様死亡時）'!CM$3="","",'CF表（ご主人様死亡時）'!CM37/10000)</f>
        <v/>
      </c>
      <c r="CN37" s="240">
        <f>IF('CF表（ご主人様死亡時）'!CN$3="","",'CF表（ご主人様死亡時）'!CN37/10000)</f>
        <v/>
      </c>
      <c r="CO37" s="240">
        <f>IF('CF表（ご主人様死亡時）'!CO$3="","",'CF表（ご主人様死亡時）'!CO37/10000)</f>
        <v/>
      </c>
      <c r="CP37" s="240">
        <f>IF('CF表（ご主人様死亡時）'!CP$3="","",'CF表（ご主人様死亡時）'!CP37/10000)</f>
        <v/>
      </c>
      <c r="CQ37" s="240">
        <f>IF('CF表（ご主人様死亡時）'!CQ$3="","",'CF表（ご主人様死亡時）'!CQ37/10000)</f>
        <v/>
      </c>
      <c r="CR37" s="240">
        <f>IF('CF表（ご主人様死亡時）'!CR$3="","",'CF表（ご主人様死亡時）'!CR37/10000)</f>
        <v/>
      </c>
      <c r="CS37" s="240">
        <f>IF('CF表（ご主人様死亡時）'!CS$3="","",'CF表（ご主人様死亡時）'!CS37/10000)</f>
        <v/>
      </c>
      <c r="CT37" s="240">
        <f>IF('CF表（ご主人様死亡時）'!CT$3="","",'CF表（ご主人様死亡時）'!CT37/10000)</f>
        <v/>
      </c>
      <c r="CU37" s="240">
        <f>IF('CF表（ご主人様死亡時）'!CU$3="","",'CF表（ご主人様死亡時）'!CU37/10000)</f>
        <v/>
      </c>
      <c r="CV37" s="240">
        <f>IF('CF表（ご主人様死亡時）'!CV$3="","",'CF表（ご主人様死亡時）'!CV37/10000)</f>
        <v/>
      </c>
      <c r="CW37" s="240">
        <f>IF('CF表（ご主人様死亡時）'!CW$3="","",'CF表（ご主人様死亡時）'!CW37/10000)</f>
        <v/>
      </c>
    </row>
    <row r="38" hidden="1" ht="16.5" customHeight="1" s="180">
      <c r="A38" s="239" t="inlineStr">
        <is>
          <t>預貯金前年差引前(補助)</t>
        </is>
      </c>
      <c r="B38" s="240">
        <f>IF('CF表（ご主人様死亡時）'!B$3="","",'CF表（ご主人様死亡時）'!B38/10000)</f>
        <v/>
      </c>
      <c r="C38" s="240">
        <f>IF('CF表（ご主人様死亡時）'!C$3="","",'CF表（ご主人様死亡時）'!C38/10000)</f>
        <v/>
      </c>
      <c r="D38" s="240">
        <f>IF('CF表（ご主人様死亡時）'!D$3="","",'CF表（ご主人様死亡時）'!D38/10000)</f>
        <v/>
      </c>
      <c r="E38" s="240">
        <f>IF('CF表（ご主人様死亡時）'!E$3="","",'CF表（ご主人様死亡時）'!E38/10000)</f>
        <v/>
      </c>
      <c r="F38" s="240">
        <f>IF('CF表（ご主人様死亡時）'!F$3="","",'CF表（ご主人様死亡時）'!F38/10000)</f>
        <v/>
      </c>
      <c r="G38" s="240">
        <f>IF('CF表（ご主人様死亡時）'!G$3="","",'CF表（ご主人様死亡時）'!G38/10000)</f>
        <v/>
      </c>
      <c r="H38" s="240">
        <f>IF('CF表（ご主人様死亡時）'!H$3="","",'CF表（ご主人様死亡時）'!H38/10000)</f>
        <v/>
      </c>
      <c r="I38" s="240">
        <f>IF('CF表（ご主人様死亡時）'!I$3="","",'CF表（ご主人様死亡時）'!I38/10000)</f>
        <v/>
      </c>
      <c r="J38" s="240">
        <f>IF('CF表（ご主人様死亡時）'!J$3="","",'CF表（ご主人様死亡時）'!J38/10000)</f>
        <v/>
      </c>
      <c r="K38" s="240">
        <f>IF('CF表（ご主人様死亡時）'!K$3="","",'CF表（ご主人様死亡時）'!K38/10000)</f>
        <v/>
      </c>
      <c r="L38" s="240">
        <f>IF('CF表（ご主人様死亡時）'!L$3="","",'CF表（ご主人様死亡時）'!L38/10000)</f>
        <v/>
      </c>
      <c r="M38" s="240">
        <f>IF('CF表（ご主人様死亡時）'!M$3="","",'CF表（ご主人様死亡時）'!M38/10000)</f>
        <v/>
      </c>
      <c r="N38" s="240">
        <f>IF('CF表（ご主人様死亡時）'!N$3="","",'CF表（ご主人様死亡時）'!N38/10000)</f>
        <v/>
      </c>
      <c r="O38" s="240">
        <f>IF('CF表（ご主人様死亡時）'!O$3="","",'CF表（ご主人様死亡時）'!O38/10000)</f>
        <v/>
      </c>
      <c r="P38" s="240">
        <f>IF('CF表（ご主人様死亡時）'!P$3="","",'CF表（ご主人様死亡時）'!P38/10000)</f>
        <v/>
      </c>
      <c r="Q38" s="240">
        <f>IF('CF表（ご主人様死亡時）'!Q$3="","",'CF表（ご主人様死亡時）'!Q38/10000)</f>
        <v/>
      </c>
      <c r="R38" s="240">
        <f>IF('CF表（ご主人様死亡時）'!R$3="","",'CF表（ご主人様死亡時）'!R38/10000)</f>
        <v/>
      </c>
      <c r="S38" s="240">
        <f>IF('CF表（ご主人様死亡時）'!S$3="","",'CF表（ご主人様死亡時）'!S38/10000)</f>
        <v/>
      </c>
      <c r="T38" s="240">
        <f>IF('CF表（ご主人様死亡時）'!T$3="","",'CF表（ご主人様死亡時）'!T38/10000)</f>
        <v/>
      </c>
      <c r="U38" s="240">
        <f>IF('CF表（ご主人様死亡時）'!U$3="","",'CF表（ご主人様死亡時）'!U38/10000)</f>
        <v/>
      </c>
      <c r="V38" s="240">
        <f>IF('CF表（ご主人様死亡時）'!V$3="","",'CF表（ご主人様死亡時）'!V38/10000)</f>
        <v/>
      </c>
      <c r="W38" s="240">
        <f>IF('CF表（ご主人様死亡時）'!W$3="","",'CF表（ご主人様死亡時）'!W38/10000)</f>
        <v/>
      </c>
      <c r="X38" s="240">
        <f>IF('CF表（ご主人様死亡時）'!X$3="","",'CF表（ご主人様死亡時）'!X38/10000)</f>
        <v/>
      </c>
      <c r="Y38" s="240">
        <f>IF('CF表（ご主人様死亡時）'!Y$3="","",'CF表（ご主人様死亡時）'!Y38/10000)</f>
        <v/>
      </c>
      <c r="Z38" s="240">
        <f>IF('CF表（ご主人様死亡時）'!Z$3="","",'CF表（ご主人様死亡時）'!Z38/10000)</f>
        <v/>
      </c>
      <c r="AA38" s="240">
        <f>IF('CF表（ご主人様死亡時）'!AA$3="","",'CF表（ご主人様死亡時）'!AA38/10000)</f>
        <v/>
      </c>
      <c r="AB38" s="240">
        <f>IF('CF表（ご主人様死亡時）'!AB$3="","",'CF表（ご主人様死亡時）'!AB38/10000)</f>
        <v/>
      </c>
      <c r="AC38" s="240">
        <f>IF('CF表（ご主人様死亡時）'!AC$3="","",'CF表（ご主人様死亡時）'!AC38/10000)</f>
        <v/>
      </c>
      <c r="AD38" s="240">
        <f>IF('CF表（ご主人様死亡時）'!AD$3="","",'CF表（ご主人様死亡時）'!AD38/10000)</f>
        <v/>
      </c>
      <c r="AE38" s="240">
        <f>IF('CF表（ご主人様死亡時）'!AE$3="","",'CF表（ご主人様死亡時）'!AE38/10000)</f>
        <v/>
      </c>
      <c r="AF38" s="240">
        <f>IF('CF表（ご主人様死亡時）'!AF$3="","",'CF表（ご主人様死亡時）'!AF38/10000)</f>
        <v/>
      </c>
      <c r="AG38" s="240">
        <f>IF('CF表（ご主人様死亡時）'!AG$3="","",'CF表（ご主人様死亡時）'!AG38/10000)</f>
        <v/>
      </c>
      <c r="AH38" s="240">
        <f>IF('CF表（ご主人様死亡時）'!AH$3="","",'CF表（ご主人様死亡時）'!AH38/10000)</f>
        <v/>
      </c>
      <c r="AI38" s="240">
        <f>IF('CF表（ご主人様死亡時）'!AI$3="","",'CF表（ご主人様死亡時）'!AI38/10000)</f>
        <v/>
      </c>
      <c r="AJ38" s="240">
        <f>IF('CF表（ご主人様死亡時）'!AJ$3="","",'CF表（ご主人様死亡時）'!AJ38/10000)</f>
        <v/>
      </c>
      <c r="AK38" s="240">
        <f>IF('CF表（ご主人様死亡時）'!AK$3="","",'CF表（ご主人様死亡時）'!AK38/10000)</f>
        <v/>
      </c>
      <c r="AL38" s="240">
        <f>IF('CF表（ご主人様死亡時）'!AL$3="","",'CF表（ご主人様死亡時）'!AL38/10000)</f>
        <v/>
      </c>
      <c r="AM38" s="240">
        <f>IF('CF表（ご主人様死亡時）'!AM$3="","",'CF表（ご主人様死亡時）'!AM38/10000)</f>
        <v/>
      </c>
      <c r="AN38" s="240">
        <f>IF('CF表（ご主人様死亡時）'!AN$3="","",'CF表（ご主人様死亡時）'!AN38/10000)</f>
        <v/>
      </c>
      <c r="AO38" s="240">
        <f>IF('CF表（ご主人様死亡時）'!AO$3="","",'CF表（ご主人様死亡時）'!AO38/10000)</f>
        <v/>
      </c>
      <c r="AP38" s="240">
        <f>IF('CF表（ご主人様死亡時）'!AP$3="","",'CF表（ご主人様死亡時）'!AP38/10000)</f>
        <v/>
      </c>
      <c r="AQ38" s="240">
        <f>IF('CF表（ご主人様死亡時）'!AQ$3="","",'CF表（ご主人様死亡時）'!AQ38/10000)</f>
        <v/>
      </c>
      <c r="AR38" s="240">
        <f>IF('CF表（ご主人様死亡時）'!AR$3="","",'CF表（ご主人様死亡時）'!AR38/10000)</f>
        <v/>
      </c>
      <c r="AS38" s="240">
        <f>IF('CF表（ご主人様死亡時）'!AS$3="","",'CF表（ご主人様死亡時）'!AS38/10000)</f>
        <v/>
      </c>
      <c r="AT38" s="240">
        <f>IF('CF表（ご主人様死亡時）'!AT$3="","",'CF表（ご主人様死亡時）'!AT38/10000)</f>
        <v/>
      </c>
      <c r="AU38" s="240">
        <f>IF('CF表（ご主人様死亡時）'!AU$3="","",'CF表（ご主人様死亡時）'!AU38/10000)</f>
        <v/>
      </c>
      <c r="AV38" s="240">
        <f>IF('CF表（ご主人様死亡時）'!AV$3="","",'CF表（ご主人様死亡時）'!AV38/10000)</f>
        <v/>
      </c>
      <c r="AW38" s="240">
        <f>IF('CF表（ご主人様死亡時）'!AW$3="","",'CF表（ご主人様死亡時）'!AW38/10000)</f>
        <v/>
      </c>
      <c r="AX38" s="240">
        <f>IF('CF表（ご主人様死亡時）'!AX$3="","",'CF表（ご主人様死亡時）'!AX38/10000)</f>
        <v/>
      </c>
      <c r="AY38" s="240">
        <f>IF('CF表（ご主人様死亡時）'!AY$3="","",'CF表（ご主人様死亡時）'!AY38/10000)</f>
        <v/>
      </c>
      <c r="AZ38" s="240">
        <f>IF('CF表（ご主人様死亡時）'!AZ$3="","",'CF表（ご主人様死亡時）'!AZ38/10000)</f>
        <v/>
      </c>
      <c r="BA38" s="240">
        <f>IF('CF表（ご主人様死亡時）'!BA$3="","",'CF表（ご主人様死亡時）'!BA38/10000)</f>
        <v/>
      </c>
      <c r="BB38" s="240">
        <f>IF('CF表（ご主人様死亡時）'!BB$3="","",'CF表（ご主人様死亡時）'!BB38/10000)</f>
        <v/>
      </c>
      <c r="BC38" s="240">
        <f>IF('CF表（ご主人様死亡時）'!BC$3="","",'CF表（ご主人様死亡時）'!BC38/10000)</f>
        <v/>
      </c>
      <c r="BD38" s="240">
        <f>IF('CF表（ご主人様死亡時）'!BD$3="","",'CF表（ご主人様死亡時）'!BD38/10000)</f>
        <v/>
      </c>
      <c r="BE38" s="240">
        <f>IF('CF表（ご主人様死亡時）'!BE$3="","",'CF表（ご主人様死亡時）'!BE38/10000)</f>
        <v/>
      </c>
      <c r="BF38" s="240">
        <f>IF('CF表（ご主人様死亡時）'!BF$3="","",'CF表（ご主人様死亡時）'!BF38/10000)</f>
        <v/>
      </c>
      <c r="BG38" s="240">
        <f>IF('CF表（ご主人様死亡時）'!BG$3="","",'CF表（ご主人様死亡時）'!BG38/10000)</f>
        <v/>
      </c>
      <c r="BH38" s="240">
        <f>IF('CF表（ご主人様死亡時）'!BH$3="","",'CF表（ご主人様死亡時）'!BH38/10000)</f>
        <v/>
      </c>
      <c r="BI38" s="240">
        <f>IF('CF表（ご主人様死亡時）'!BI$3="","",'CF表（ご主人様死亡時）'!BI38/10000)</f>
        <v/>
      </c>
      <c r="BJ38" s="240">
        <f>IF('CF表（ご主人様死亡時）'!BJ$3="","",'CF表（ご主人様死亡時）'!BJ38/10000)</f>
        <v/>
      </c>
      <c r="BK38" s="240">
        <f>IF('CF表（ご主人様死亡時）'!BK$3="","",'CF表（ご主人様死亡時）'!BK38/10000)</f>
        <v/>
      </c>
      <c r="BL38" s="240">
        <f>IF('CF表（ご主人様死亡時）'!BL$3="","",'CF表（ご主人様死亡時）'!BL38/10000)</f>
        <v/>
      </c>
      <c r="BM38" s="240">
        <f>IF('CF表（ご主人様死亡時）'!BM$3="","",'CF表（ご主人様死亡時）'!BM38/10000)</f>
        <v/>
      </c>
      <c r="BN38" s="240">
        <f>IF('CF表（ご主人様死亡時）'!BN$3="","",'CF表（ご主人様死亡時）'!BN38/10000)</f>
        <v/>
      </c>
      <c r="BO38" s="240">
        <f>IF('CF表（ご主人様死亡時）'!BO$3="","",'CF表（ご主人様死亡時）'!BO38/10000)</f>
        <v/>
      </c>
      <c r="BP38" s="240">
        <f>IF('CF表（ご主人様死亡時）'!BP$3="","",'CF表（ご主人様死亡時）'!BP38/10000)</f>
        <v/>
      </c>
      <c r="BQ38" s="240">
        <f>IF('CF表（ご主人様死亡時）'!BQ$3="","",'CF表（ご主人様死亡時）'!BQ38/10000)</f>
        <v/>
      </c>
      <c r="BR38" s="240">
        <f>IF('CF表（ご主人様死亡時）'!BR$3="","",'CF表（ご主人様死亡時）'!BR38/10000)</f>
        <v/>
      </c>
      <c r="BS38" s="240">
        <f>IF('CF表（ご主人様死亡時）'!BS$3="","",'CF表（ご主人様死亡時）'!BS38/10000)</f>
        <v/>
      </c>
      <c r="BT38" s="240">
        <f>IF('CF表（ご主人様死亡時）'!BT$3="","",'CF表（ご主人様死亡時）'!BT38/10000)</f>
        <v/>
      </c>
      <c r="BU38" s="240">
        <f>IF('CF表（ご主人様死亡時）'!BU$3="","",'CF表（ご主人様死亡時）'!BU38/10000)</f>
        <v/>
      </c>
      <c r="BV38" s="240">
        <f>IF('CF表（ご主人様死亡時）'!BV$3="","",'CF表（ご主人様死亡時）'!BV38/10000)</f>
        <v/>
      </c>
      <c r="BW38" s="240">
        <f>IF('CF表（ご主人様死亡時）'!BW$3="","",'CF表（ご主人様死亡時）'!BW38/10000)</f>
        <v/>
      </c>
      <c r="BX38" s="240">
        <f>IF('CF表（ご主人様死亡時）'!BX$3="","",'CF表（ご主人様死亡時）'!BX38/10000)</f>
        <v/>
      </c>
      <c r="BY38" s="240">
        <f>IF('CF表（ご主人様死亡時）'!BY$3="","",'CF表（ご主人様死亡時）'!BY38/10000)</f>
        <v/>
      </c>
      <c r="BZ38" s="240">
        <f>IF('CF表（ご主人様死亡時）'!BZ$3="","",'CF表（ご主人様死亡時）'!BZ38/10000)</f>
        <v/>
      </c>
      <c r="CA38" s="240">
        <f>IF('CF表（ご主人様死亡時）'!CA$3="","",'CF表（ご主人様死亡時）'!CA38/10000)</f>
        <v/>
      </c>
      <c r="CB38" s="240">
        <f>IF('CF表（ご主人様死亡時）'!CB$3="","",'CF表（ご主人様死亡時）'!CB38/10000)</f>
        <v/>
      </c>
      <c r="CC38" s="240">
        <f>IF('CF表（ご主人様死亡時）'!CC$3="","",'CF表（ご主人様死亡時）'!CC38/10000)</f>
        <v/>
      </c>
      <c r="CD38" s="240">
        <f>IF('CF表（ご主人様死亡時）'!CD$3="","",'CF表（ご主人様死亡時）'!CD38/10000)</f>
        <v/>
      </c>
      <c r="CE38" s="240">
        <f>IF('CF表（ご主人様死亡時）'!CE$3="","",'CF表（ご主人様死亡時）'!CE38/10000)</f>
        <v/>
      </c>
      <c r="CF38" s="240">
        <f>IF('CF表（ご主人様死亡時）'!CF$3="","",'CF表（ご主人様死亡時）'!CF38/10000)</f>
        <v/>
      </c>
      <c r="CG38" s="240">
        <f>IF('CF表（ご主人様死亡時）'!CG$3="","",'CF表（ご主人様死亡時）'!CG38/10000)</f>
        <v/>
      </c>
      <c r="CH38" s="240">
        <f>IF('CF表（ご主人様死亡時）'!CH$3="","",'CF表（ご主人様死亡時）'!CH38/10000)</f>
        <v/>
      </c>
      <c r="CI38" s="240">
        <f>IF('CF表（ご主人様死亡時）'!CI$3="","",'CF表（ご主人様死亡時）'!CI38/10000)</f>
        <v/>
      </c>
      <c r="CJ38" s="240">
        <f>IF('CF表（ご主人様死亡時）'!CJ$3="","",'CF表（ご主人様死亡時）'!CJ38/10000)</f>
        <v/>
      </c>
      <c r="CK38" s="240">
        <f>IF('CF表（ご主人様死亡時）'!CK$3="","",'CF表（ご主人様死亡時）'!CK38/10000)</f>
        <v/>
      </c>
      <c r="CL38" s="240">
        <f>IF('CF表（ご主人様死亡時）'!CL$3="","",'CF表（ご主人様死亡時）'!CL38/10000)</f>
        <v/>
      </c>
      <c r="CM38" s="240">
        <f>IF('CF表（ご主人様死亡時）'!CM$3="","",'CF表（ご主人様死亡時）'!CM38/10000)</f>
        <v/>
      </c>
      <c r="CN38" s="240">
        <f>IF('CF表（ご主人様死亡時）'!CN$3="","",'CF表（ご主人様死亡時）'!CN38/10000)</f>
        <v/>
      </c>
      <c r="CO38" s="240">
        <f>IF('CF表（ご主人様死亡時）'!CO$3="","",'CF表（ご主人様死亡時）'!CO38/10000)</f>
        <v/>
      </c>
      <c r="CP38" s="240">
        <f>IF('CF表（ご主人様死亡時）'!CP$3="","",'CF表（ご主人様死亡時）'!CP38/10000)</f>
        <v/>
      </c>
      <c r="CQ38" s="240">
        <f>IF('CF表（ご主人様死亡時）'!CQ$3="","",'CF表（ご主人様死亡時）'!CQ38/10000)</f>
        <v/>
      </c>
      <c r="CR38" s="240">
        <f>IF('CF表（ご主人様死亡時）'!CR$3="","",'CF表（ご主人様死亡時）'!CR38/10000)</f>
        <v/>
      </c>
      <c r="CS38" s="240">
        <f>IF('CF表（ご主人様死亡時）'!CS$3="","",'CF表（ご主人様死亡時）'!CS38/10000)</f>
        <v/>
      </c>
      <c r="CT38" s="240">
        <f>IF('CF表（ご主人様死亡時）'!CT$3="","",'CF表（ご主人様死亡時）'!CT38/10000)</f>
        <v/>
      </c>
      <c r="CU38" s="240">
        <f>IF('CF表（ご主人様死亡時）'!CU$3="","",'CF表（ご主人様死亡時）'!CU38/10000)</f>
        <v/>
      </c>
      <c r="CV38" s="240">
        <f>IF('CF表（ご主人様死亡時）'!CV$3="","",'CF表（ご主人様死亡時）'!CV38/10000)</f>
        <v/>
      </c>
      <c r="CW38" s="240">
        <f>IF('CF表（ご主人様死亡時）'!CW$3="","",'CF表（ご主人様死亡時）'!CW38/10000)</f>
        <v/>
      </c>
    </row>
    <row r="39" hidden="1" ht="16.5" customHeight="1" s="180">
      <c r="A39" s="239" t="inlineStr">
        <is>
          <t>投資取り崩し額(補助)</t>
        </is>
      </c>
      <c r="B39" s="240">
        <f>IF('CF表（ご主人様死亡時）'!B$3="","",'CF表（ご主人様死亡時）'!B39/10000)</f>
        <v/>
      </c>
      <c r="C39" s="240">
        <f>IF('CF表（ご主人様死亡時）'!C$3="","",'CF表（ご主人様死亡時）'!C39/10000)</f>
        <v/>
      </c>
      <c r="D39" s="240">
        <f>IF('CF表（ご主人様死亡時）'!D$3="","",'CF表（ご主人様死亡時）'!D39/10000)</f>
        <v/>
      </c>
      <c r="E39" s="240">
        <f>IF('CF表（ご主人様死亡時）'!E$3="","",'CF表（ご主人様死亡時）'!E39/10000)</f>
        <v/>
      </c>
      <c r="F39" s="240">
        <f>IF('CF表（ご主人様死亡時）'!F$3="","",'CF表（ご主人様死亡時）'!F39/10000)</f>
        <v/>
      </c>
      <c r="G39" s="240">
        <f>IF('CF表（ご主人様死亡時）'!G$3="","",'CF表（ご主人様死亡時）'!G39/10000)</f>
        <v/>
      </c>
      <c r="H39" s="240">
        <f>IF('CF表（ご主人様死亡時）'!H$3="","",'CF表（ご主人様死亡時）'!H39/10000)</f>
        <v/>
      </c>
      <c r="I39" s="240">
        <f>IF('CF表（ご主人様死亡時）'!I$3="","",'CF表（ご主人様死亡時）'!I39/10000)</f>
        <v/>
      </c>
      <c r="J39" s="240">
        <f>IF('CF表（ご主人様死亡時）'!J$3="","",'CF表（ご主人様死亡時）'!J39/10000)</f>
        <v/>
      </c>
      <c r="K39" s="240">
        <f>IF('CF表（ご主人様死亡時）'!K$3="","",'CF表（ご主人様死亡時）'!K39/10000)</f>
        <v/>
      </c>
      <c r="L39" s="240">
        <f>IF('CF表（ご主人様死亡時）'!L$3="","",'CF表（ご主人様死亡時）'!L39/10000)</f>
        <v/>
      </c>
      <c r="M39" s="240">
        <f>IF('CF表（ご主人様死亡時）'!M$3="","",'CF表（ご主人様死亡時）'!M39/10000)</f>
        <v/>
      </c>
      <c r="N39" s="240">
        <f>IF('CF表（ご主人様死亡時）'!N$3="","",'CF表（ご主人様死亡時）'!N39/10000)</f>
        <v/>
      </c>
      <c r="O39" s="240">
        <f>IF('CF表（ご主人様死亡時）'!O$3="","",'CF表（ご主人様死亡時）'!O39/10000)</f>
        <v/>
      </c>
      <c r="P39" s="240">
        <f>IF('CF表（ご主人様死亡時）'!P$3="","",'CF表（ご主人様死亡時）'!P39/10000)</f>
        <v/>
      </c>
      <c r="Q39" s="240">
        <f>IF('CF表（ご主人様死亡時）'!Q$3="","",'CF表（ご主人様死亡時）'!Q39/10000)</f>
        <v/>
      </c>
      <c r="R39" s="240">
        <f>IF('CF表（ご主人様死亡時）'!R$3="","",'CF表（ご主人様死亡時）'!R39/10000)</f>
        <v/>
      </c>
      <c r="S39" s="240">
        <f>IF('CF表（ご主人様死亡時）'!S$3="","",'CF表（ご主人様死亡時）'!S39/10000)</f>
        <v/>
      </c>
      <c r="T39" s="240">
        <f>IF('CF表（ご主人様死亡時）'!T$3="","",'CF表（ご主人様死亡時）'!T39/10000)</f>
        <v/>
      </c>
      <c r="U39" s="240">
        <f>IF('CF表（ご主人様死亡時）'!U$3="","",'CF表（ご主人様死亡時）'!U39/10000)</f>
        <v/>
      </c>
      <c r="V39" s="240">
        <f>IF('CF表（ご主人様死亡時）'!V$3="","",'CF表（ご主人様死亡時）'!V39/10000)</f>
        <v/>
      </c>
      <c r="W39" s="240">
        <f>IF('CF表（ご主人様死亡時）'!W$3="","",'CF表（ご主人様死亡時）'!W39/10000)</f>
        <v/>
      </c>
      <c r="X39" s="240">
        <f>IF('CF表（ご主人様死亡時）'!X$3="","",'CF表（ご主人様死亡時）'!X39/10000)</f>
        <v/>
      </c>
      <c r="Y39" s="240">
        <f>IF('CF表（ご主人様死亡時）'!Y$3="","",'CF表（ご主人様死亡時）'!Y39/10000)</f>
        <v/>
      </c>
      <c r="Z39" s="240">
        <f>IF('CF表（ご主人様死亡時）'!Z$3="","",'CF表（ご主人様死亡時）'!Z39/10000)</f>
        <v/>
      </c>
      <c r="AA39" s="240">
        <f>IF('CF表（ご主人様死亡時）'!AA$3="","",'CF表（ご主人様死亡時）'!AA39/10000)</f>
        <v/>
      </c>
      <c r="AB39" s="240">
        <f>IF('CF表（ご主人様死亡時）'!AB$3="","",'CF表（ご主人様死亡時）'!AB39/10000)</f>
        <v/>
      </c>
      <c r="AC39" s="240">
        <f>IF('CF表（ご主人様死亡時）'!AC$3="","",'CF表（ご主人様死亡時）'!AC39/10000)</f>
        <v/>
      </c>
      <c r="AD39" s="240">
        <f>IF('CF表（ご主人様死亡時）'!AD$3="","",'CF表（ご主人様死亡時）'!AD39/10000)</f>
        <v/>
      </c>
      <c r="AE39" s="240">
        <f>IF('CF表（ご主人様死亡時）'!AE$3="","",'CF表（ご主人様死亡時）'!AE39/10000)</f>
        <v/>
      </c>
      <c r="AF39" s="240">
        <f>IF('CF表（ご主人様死亡時）'!AF$3="","",'CF表（ご主人様死亡時）'!AF39/10000)</f>
        <v/>
      </c>
      <c r="AG39" s="240">
        <f>IF('CF表（ご主人様死亡時）'!AG$3="","",'CF表（ご主人様死亡時）'!AG39/10000)</f>
        <v/>
      </c>
      <c r="AH39" s="240">
        <f>IF('CF表（ご主人様死亡時）'!AH$3="","",'CF表（ご主人様死亡時）'!AH39/10000)</f>
        <v/>
      </c>
      <c r="AI39" s="240">
        <f>IF('CF表（ご主人様死亡時）'!AI$3="","",'CF表（ご主人様死亡時）'!AI39/10000)</f>
        <v/>
      </c>
      <c r="AJ39" s="240">
        <f>IF('CF表（ご主人様死亡時）'!AJ$3="","",'CF表（ご主人様死亡時）'!AJ39/10000)</f>
        <v/>
      </c>
      <c r="AK39" s="240">
        <f>IF('CF表（ご主人様死亡時）'!AK$3="","",'CF表（ご主人様死亡時）'!AK39/10000)</f>
        <v/>
      </c>
      <c r="AL39" s="240">
        <f>IF('CF表（ご主人様死亡時）'!AL$3="","",'CF表（ご主人様死亡時）'!AL39/10000)</f>
        <v/>
      </c>
      <c r="AM39" s="240">
        <f>IF('CF表（ご主人様死亡時）'!AM$3="","",'CF表（ご主人様死亡時）'!AM39/10000)</f>
        <v/>
      </c>
      <c r="AN39" s="240">
        <f>IF('CF表（ご主人様死亡時）'!AN$3="","",'CF表（ご主人様死亡時）'!AN39/10000)</f>
        <v/>
      </c>
      <c r="AO39" s="240">
        <f>IF('CF表（ご主人様死亡時）'!AO$3="","",'CF表（ご主人様死亡時）'!AO39/10000)</f>
        <v/>
      </c>
      <c r="AP39" s="240">
        <f>IF('CF表（ご主人様死亡時）'!AP$3="","",'CF表（ご主人様死亡時）'!AP39/10000)</f>
        <v/>
      </c>
      <c r="AQ39" s="240">
        <f>IF('CF表（ご主人様死亡時）'!AQ$3="","",'CF表（ご主人様死亡時）'!AQ39/10000)</f>
        <v/>
      </c>
      <c r="AR39" s="240">
        <f>IF('CF表（ご主人様死亡時）'!AR$3="","",'CF表（ご主人様死亡時）'!AR39/10000)</f>
        <v/>
      </c>
      <c r="AS39" s="240">
        <f>IF('CF表（ご主人様死亡時）'!AS$3="","",'CF表（ご主人様死亡時）'!AS39/10000)</f>
        <v/>
      </c>
      <c r="AT39" s="240">
        <f>IF('CF表（ご主人様死亡時）'!AT$3="","",'CF表（ご主人様死亡時）'!AT39/10000)</f>
        <v/>
      </c>
      <c r="AU39" s="240">
        <f>IF('CF表（ご主人様死亡時）'!AU$3="","",'CF表（ご主人様死亡時）'!AU39/10000)</f>
        <v/>
      </c>
      <c r="AV39" s="240">
        <f>IF('CF表（ご主人様死亡時）'!AV$3="","",'CF表（ご主人様死亡時）'!AV39/10000)</f>
        <v/>
      </c>
      <c r="AW39" s="240">
        <f>IF('CF表（ご主人様死亡時）'!AW$3="","",'CF表（ご主人様死亡時）'!AW39/10000)</f>
        <v/>
      </c>
      <c r="AX39" s="240">
        <f>IF('CF表（ご主人様死亡時）'!AX$3="","",'CF表（ご主人様死亡時）'!AX39/10000)</f>
        <v/>
      </c>
      <c r="AY39" s="240">
        <f>IF('CF表（ご主人様死亡時）'!AY$3="","",'CF表（ご主人様死亡時）'!AY39/10000)</f>
        <v/>
      </c>
      <c r="AZ39" s="240">
        <f>IF('CF表（ご主人様死亡時）'!AZ$3="","",'CF表（ご主人様死亡時）'!AZ39/10000)</f>
        <v/>
      </c>
      <c r="BA39" s="240">
        <f>IF('CF表（ご主人様死亡時）'!BA$3="","",'CF表（ご主人様死亡時）'!BA39/10000)</f>
        <v/>
      </c>
      <c r="BB39" s="240">
        <f>IF('CF表（ご主人様死亡時）'!BB$3="","",'CF表（ご主人様死亡時）'!BB39/10000)</f>
        <v/>
      </c>
      <c r="BC39" s="240">
        <f>IF('CF表（ご主人様死亡時）'!BC$3="","",'CF表（ご主人様死亡時）'!BC39/10000)</f>
        <v/>
      </c>
      <c r="BD39" s="240">
        <f>IF('CF表（ご主人様死亡時）'!BD$3="","",'CF表（ご主人様死亡時）'!BD39/10000)</f>
        <v/>
      </c>
      <c r="BE39" s="240">
        <f>IF('CF表（ご主人様死亡時）'!BE$3="","",'CF表（ご主人様死亡時）'!BE39/10000)</f>
        <v/>
      </c>
      <c r="BF39" s="240">
        <f>IF('CF表（ご主人様死亡時）'!BF$3="","",'CF表（ご主人様死亡時）'!BF39/10000)</f>
        <v/>
      </c>
      <c r="BG39" s="240">
        <f>IF('CF表（ご主人様死亡時）'!BG$3="","",'CF表（ご主人様死亡時）'!BG39/10000)</f>
        <v/>
      </c>
      <c r="BH39" s="240">
        <f>IF('CF表（ご主人様死亡時）'!BH$3="","",'CF表（ご主人様死亡時）'!BH39/10000)</f>
        <v/>
      </c>
      <c r="BI39" s="240">
        <f>IF('CF表（ご主人様死亡時）'!BI$3="","",'CF表（ご主人様死亡時）'!BI39/10000)</f>
        <v/>
      </c>
      <c r="BJ39" s="240">
        <f>IF('CF表（ご主人様死亡時）'!BJ$3="","",'CF表（ご主人様死亡時）'!BJ39/10000)</f>
        <v/>
      </c>
      <c r="BK39" s="240">
        <f>IF('CF表（ご主人様死亡時）'!BK$3="","",'CF表（ご主人様死亡時）'!BK39/10000)</f>
        <v/>
      </c>
      <c r="BL39" s="240">
        <f>IF('CF表（ご主人様死亡時）'!BL$3="","",'CF表（ご主人様死亡時）'!BL39/10000)</f>
        <v/>
      </c>
      <c r="BM39" s="240">
        <f>IF('CF表（ご主人様死亡時）'!BM$3="","",'CF表（ご主人様死亡時）'!BM39/10000)</f>
        <v/>
      </c>
      <c r="BN39" s="240">
        <f>IF('CF表（ご主人様死亡時）'!BN$3="","",'CF表（ご主人様死亡時）'!BN39/10000)</f>
        <v/>
      </c>
      <c r="BO39" s="240">
        <f>IF('CF表（ご主人様死亡時）'!BO$3="","",'CF表（ご主人様死亡時）'!BO39/10000)</f>
        <v/>
      </c>
      <c r="BP39" s="240">
        <f>IF('CF表（ご主人様死亡時）'!BP$3="","",'CF表（ご主人様死亡時）'!BP39/10000)</f>
        <v/>
      </c>
      <c r="BQ39" s="240">
        <f>IF('CF表（ご主人様死亡時）'!BQ$3="","",'CF表（ご主人様死亡時）'!BQ39/10000)</f>
        <v/>
      </c>
      <c r="BR39" s="240">
        <f>IF('CF表（ご主人様死亡時）'!BR$3="","",'CF表（ご主人様死亡時）'!BR39/10000)</f>
        <v/>
      </c>
      <c r="BS39" s="240">
        <f>IF('CF表（ご主人様死亡時）'!BS$3="","",'CF表（ご主人様死亡時）'!BS39/10000)</f>
        <v/>
      </c>
      <c r="BT39" s="240">
        <f>IF('CF表（ご主人様死亡時）'!BT$3="","",'CF表（ご主人様死亡時）'!BT39/10000)</f>
        <v/>
      </c>
      <c r="BU39" s="240">
        <f>IF('CF表（ご主人様死亡時）'!BU$3="","",'CF表（ご主人様死亡時）'!BU39/10000)</f>
        <v/>
      </c>
      <c r="BV39" s="240">
        <f>IF('CF表（ご主人様死亡時）'!BV$3="","",'CF表（ご主人様死亡時）'!BV39/10000)</f>
        <v/>
      </c>
      <c r="BW39" s="240">
        <f>IF('CF表（ご主人様死亡時）'!BW$3="","",'CF表（ご主人様死亡時）'!BW39/10000)</f>
        <v/>
      </c>
      <c r="BX39" s="240">
        <f>IF('CF表（ご主人様死亡時）'!BX$3="","",'CF表（ご主人様死亡時）'!BX39/10000)</f>
        <v/>
      </c>
      <c r="BY39" s="240">
        <f>IF('CF表（ご主人様死亡時）'!BY$3="","",'CF表（ご主人様死亡時）'!BY39/10000)</f>
        <v/>
      </c>
      <c r="BZ39" s="240">
        <f>IF('CF表（ご主人様死亡時）'!BZ$3="","",'CF表（ご主人様死亡時）'!BZ39/10000)</f>
        <v/>
      </c>
      <c r="CA39" s="240">
        <f>IF('CF表（ご主人様死亡時）'!CA$3="","",'CF表（ご主人様死亡時）'!CA39/10000)</f>
        <v/>
      </c>
      <c r="CB39" s="240">
        <f>IF('CF表（ご主人様死亡時）'!CB$3="","",'CF表（ご主人様死亡時）'!CB39/10000)</f>
        <v/>
      </c>
      <c r="CC39" s="240">
        <f>IF('CF表（ご主人様死亡時）'!CC$3="","",'CF表（ご主人様死亡時）'!CC39/10000)</f>
        <v/>
      </c>
      <c r="CD39" s="240">
        <f>IF('CF表（ご主人様死亡時）'!CD$3="","",'CF表（ご主人様死亡時）'!CD39/10000)</f>
        <v/>
      </c>
      <c r="CE39" s="240">
        <f>IF('CF表（ご主人様死亡時）'!CE$3="","",'CF表（ご主人様死亡時）'!CE39/10000)</f>
        <v/>
      </c>
      <c r="CF39" s="240">
        <f>IF('CF表（ご主人様死亡時）'!CF$3="","",'CF表（ご主人様死亡時）'!CF39/10000)</f>
        <v/>
      </c>
      <c r="CG39" s="240">
        <f>IF('CF表（ご主人様死亡時）'!CG$3="","",'CF表（ご主人様死亡時）'!CG39/10000)</f>
        <v/>
      </c>
      <c r="CH39" s="240">
        <f>IF('CF表（ご主人様死亡時）'!CH$3="","",'CF表（ご主人様死亡時）'!CH39/10000)</f>
        <v/>
      </c>
      <c r="CI39" s="240">
        <f>IF('CF表（ご主人様死亡時）'!CI$3="","",'CF表（ご主人様死亡時）'!CI39/10000)</f>
        <v/>
      </c>
      <c r="CJ39" s="240">
        <f>IF('CF表（ご主人様死亡時）'!CJ$3="","",'CF表（ご主人様死亡時）'!CJ39/10000)</f>
        <v/>
      </c>
      <c r="CK39" s="240">
        <f>IF('CF表（ご主人様死亡時）'!CK$3="","",'CF表（ご主人様死亡時）'!CK39/10000)</f>
        <v/>
      </c>
      <c r="CL39" s="240">
        <f>IF('CF表（ご主人様死亡時）'!CL$3="","",'CF表（ご主人様死亡時）'!CL39/10000)</f>
        <v/>
      </c>
      <c r="CM39" s="240">
        <f>IF('CF表（ご主人様死亡時）'!CM$3="","",'CF表（ご主人様死亡時）'!CM39/10000)</f>
        <v/>
      </c>
      <c r="CN39" s="240">
        <f>IF('CF表（ご主人様死亡時）'!CN$3="","",'CF表（ご主人様死亡時）'!CN39/10000)</f>
        <v/>
      </c>
      <c r="CO39" s="240">
        <f>IF('CF表（ご主人様死亡時）'!CO$3="","",'CF表（ご主人様死亡時）'!CO39/10000)</f>
        <v/>
      </c>
      <c r="CP39" s="240">
        <f>IF('CF表（ご主人様死亡時）'!CP$3="","",'CF表（ご主人様死亡時）'!CP39/10000)</f>
        <v/>
      </c>
      <c r="CQ39" s="240">
        <f>IF('CF表（ご主人様死亡時）'!CQ$3="","",'CF表（ご主人様死亡時）'!CQ39/10000)</f>
        <v/>
      </c>
      <c r="CR39" s="240">
        <f>IF('CF表（ご主人様死亡時）'!CR$3="","",'CF表（ご主人様死亡時）'!CR39/10000)</f>
        <v/>
      </c>
      <c r="CS39" s="240">
        <f>IF('CF表（ご主人様死亡時）'!CS$3="","",'CF表（ご主人様死亡時）'!CS39/10000)</f>
        <v/>
      </c>
      <c r="CT39" s="240">
        <f>IF('CF表（ご主人様死亡時）'!CT$3="","",'CF表（ご主人様死亡時）'!CT39/10000)</f>
        <v/>
      </c>
      <c r="CU39" s="240">
        <f>IF('CF表（ご主人様死亡時）'!CU$3="","",'CF表（ご主人様死亡時）'!CU39/10000)</f>
        <v/>
      </c>
      <c r="CV39" s="240">
        <f>IF('CF表（ご主人様死亡時）'!CV$3="","",'CF表（ご主人様死亡時）'!CV39/10000)</f>
        <v/>
      </c>
      <c r="CW39" s="240">
        <f>IF('CF表（ご主人様死亡時）'!CW$3="","",'CF表（ご主人様死亡時）'!CW39/10000)</f>
        <v/>
      </c>
    </row>
    <row r="40" hidden="1" ht="16.5" customHeight="1" s="180">
      <c r="A40" s="239" t="inlineStr">
        <is>
          <t>返戻金取り崩し額(補助)</t>
        </is>
      </c>
      <c r="B40" s="240">
        <f>IF('CF表（ご主人様死亡時）'!B$3="","",'CF表（ご主人様死亡時）'!B40/10000)</f>
        <v/>
      </c>
      <c r="C40" s="240">
        <f>IF('CF表（ご主人様死亡時）'!C$3="","",'CF表（ご主人様死亡時）'!C40/10000)</f>
        <v/>
      </c>
      <c r="D40" s="240">
        <f>IF('CF表（ご主人様死亡時）'!D$3="","",'CF表（ご主人様死亡時）'!D40/10000)</f>
        <v/>
      </c>
      <c r="E40" s="240">
        <f>IF('CF表（ご主人様死亡時）'!E$3="","",'CF表（ご主人様死亡時）'!E40/10000)</f>
        <v/>
      </c>
      <c r="F40" s="240">
        <f>IF('CF表（ご主人様死亡時）'!F$3="","",'CF表（ご主人様死亡時）'!F40/10000)</f>
        <v/>
      </c>
      <c r="G40" s="240">
        <f>IF('CF表（ご主人様死亡時）'!G$3="","",'CF表（ご主人様死亡時）'!G40/10000)</f>
        <v/>
      </c>
      <c r="H40" s="240">
        <f>IF('CF表（ご主人様死亡時）'!H$3="","",'CF表（ご主人様死亡時）'!H40/10000)</f>
        <v/>
      </c>
      <c r="I40" s="240">
        <f>IF('CF表（ご主人様死亡時）'!I$3="","",'CF表（ご主人様死亡時）'!I40/10000)</f>
        <v/>
      </c>
      <c r="J40" s="240">
        <f>IF('CF表（ご主人様死亡時）'!J$3="","",'CF表（ご主人様死亡時）'!J40/10000)</f>
        <v/>
      </c>
      <c r="K40" s="240">
        <f>IF('CF表（ご主人様死亡時）'!K$3="","",'CF表（ご主人様死亡時）'!K40/10000)</f>
        <v/>
      </c>
      <c r="L40" s="240">
        <f>IF('CF表（ご主人様死亡時）'!L$3="","",'CF表（ご主人様死亡時）'!L40/10000)</f>
        <v/>
      </c>
      <c r="M40" s="240">
        <f>IF('CF表（ご主人様死亡時）'!M$3="","",'CF表（ご主人様死亡時）'!M40/10000)</f>
        <v/>
      </c>
      <c r="N40" s="240">
        <f>IF('CF表（ご主人様死亡時）'!N$3="","",'CF表（ご主人様死亡時）'!N40/10000)</f>
        <v/>
      </c>
      <c r="O40" s="240">
        <f>IF('CF表（ご主人様死亡時）'!O$3="","",'CF表（ご主人様死亡時）'!O40/10000)</f>
        <v/>
      </c>
      <c r="P40" s="240">
        <f>IF('CF表（ご主人様死亡時）'!P$3="","",'CF表（ご主人様死亡時）'!P40/10000)</f>
        <v/>
      </c>
      <c r="Q40" s="240">
        <f>IF('CF表（ご主人様死亡時）'!Q$3="","",'CF表（ご主人様死亡時）'!Q40/10000)</f>
        <v/>
      </c>
      <c r="R40" s="240">
        <f>IF('CF表（ご主人様死亡時）'!R$3="","",'CF表（ご主人様死亡時）'!R40/10000)</f>
        <v/>
      </c>
      <c r="S40" s="240">
        <f>IF('CF表（ご主人様死亡時）'!S$3="","",'CF表（ご主人様死亡時）'!S40/10000)</f>
        <v/>
      </c>
      <c r="T40" s="240">
        <f>IF('CF表（ご主人様死亡時）'!T$3="","",'CF表（ご主人様死亡時）'!T40/10000)</f>
        <v/>
      </c>
      <c r="U40" s="240">
        <f>IF('CF表（ご主人様死亡時）'!U$3="","",'CF表（ご主人様死亡時）'!U40/10000)</f>
        <v/>
      </c>
      <c r="V40" s="240">
        <f>IF('CF表（ご主人様死亡時）'!V$3="","",'CF表（ご主人様死亡時）'!V40/10000)</f>
        <v/>
      </c>
      <c r="W40" s="240">
        <f>IF('CF表（ご主人様死亡時）'!W$3="","",'CF表（ご主人様死亡時）'!W40/10000)</f>
        <v/>
      </c>
      <c r="X40" s="240">
        <f>IF('CF表（ご主人様死亡時）'!X$3="","",'CF表（ご主人様死亡時）'!X40/10000)</f>
        <v/>
      </c>
      <c r="Y40" s="240">
        <f>IF('CF表（ご主人様死亡時）'!Y$3="","",'CF表（ご主人様死亡時）'!Y40/10000)</f>
        <v/>
      </c>
      <c r="Z40" s="240">
        <f>IF('CF表（ご主人様死亡時）'!Z$3="","",'CF表（ご主人様死亡時）'!Z40/10000)</f>
        <v/>
      </c>
      <c r="AA40" s="240">
        <f>IF('CF表（ご主人様死亡時）'!AA$3="","",'CF表（ご主人様死亡時）'!AA40/10000)</f>
        <v/>
      </c>
      <c r="AB40" s="240">
        <f>IF('CF表（ご主人様死亡時）'!AB$3="","",'CF表（ご主人様死亡時）'!AB40/10000)</f>
        <v/>
      </c>
      <c r="AC40" s="240">
        <f>IF('CF表（ご主人様死亡時）'!AC$3="","",'CF表（ご主人様死亡時）'!AC40/10000)</f>
        <v/>
      </c>
      <c r="AD40" s="240">
        <f>IF('CF表（ご主人様死亡時）'!AD$3="","",'CF表（ご主人様死亡時）'!AD40/10000)</f>
        <v/>
      </c>
      <c r="AE40" s="240">
        <f>IF('CF表（ご主人様死亡時）'!AE$3="","",'CF表（ご主人様死亡時）'!AE40/10000)</f>
        <v/>
      </c>
      <c r="AF40" s="240">
        <f>IF('CF表（ご主人様死亡時）'!AF$3="","",'CF表（ご主人様死亡時）'!AF40/10000)</f>
        <v/>
      </c>
      <c r="AG40" s="240">
        <f>IF('CF表（ご主人様死亡時）'!AG$3="","",'CF表（ご主人様死亡時）'!AG40/10000)</f>
        <v/>
      </c>
      <c r="AH40" s="240">
        <f>IF('CF表（ご主人様死亡時）'!AH$3="","",'CF表（ご主人様死亡時）'!AH40/10000)</f>
        <v/>
      </c>
      <c r="AI40" s="240">
        <f>IF('CF表（ご主人様死亡時）'!AI$3="","",'CF表（ご主人様死亡時）'!AI40/10000)</f>
        <v/>
      </c>
      <c r="AJ40" s="240">
        <f>IF('CF表（ご主人様死亡時）'!AJ$3="","",'CF表（ご主人様死亡時）'!AJ40/10000)</f>
        <v/>
      </c>
      <c r="AK40" s="240">
        <f>IF('CF表（ご主人様死亡時）'!AK$3="","",'CF表（ご主人様死亡時）'!AK40/10000)</f>
        <v/>
      </c>
      <c r="AL40" s="240">
        <f>IF('CF表（ご主人様死亡時）'!AL$3="","",'CF表（ご主人様死亡時）'!AL40/10000)</f>
        <v/>
      </c>
      <c r="AM40" s="240">
        <f>IF('CF表（ご主人様死亡時）'!AM$3="","",'CF表（ご主人様死亡時）'!AM40/10000)</f>
        <v/>
      </c>
      <c r="AN40" s="240">
        <f>IF('CF表（ご主人様死亡時）'!AN$3="","",'CF表（ご主人様死亡時）'!AN40/10000)</f>
        <v/>
      </c>
      <c r="AO40" s="240">
        <f>IF('CF表（ご主人様死亡時）'!AO$3="","",'CF表（ご主人様死亡時）'!AO40/10000)</f>
        <v/>
      </c>
      <c r="AP40" s="240">
        <f>IF('CF表（ご主人様死亡時）'!AP$3="","",'CF表（ご主人様死亡時）'!AP40/10000)</f>
        <v/>
      </c>
      <c r="AQ40" s="240">
        <f>IF('CF表（ご主人様死亡時）'!AQ$3="","",'CF表（ご主人様死亡時）'!AQ40/10000)</f>
        <v/>
      </c>
      <c r="AR40" s="240">
        <f>IF('CF表（ご主人様死亡時）'!AR$3="","",'CF表（ご主人様死亡時）'!AR40/10000)</f>
        <v/>
      </c>
      <c r="AS40" s="240">
        <f>IF('CF表（ご主人様死亡時）'!AS$3="","",'CF表（ご主人様死亡時）'!AS40/10000)</f>
        <v/>
      </c>
      <c r="AT40" s="240">
        <f>IF('CF表（ご主人様死亡時）'!AT$3="","",'CF表（ご主人様死亡時）'!AT40/10000)</f>
        <v/>
      </c>
      <c r="AU40" s="240">
        <f>IF('CF表（ご主人様死亡時）'!AU$3="","",'CF表（ご主人様死亡時）'!AU40/10000)</f>
        <v/>
      </c>
      <c r="AV40" s="240">
        <f>IF('CF表（ご主人様死亡時）'!AV$3="","",'CF表（ご主人様死亡時）'!AV40/10000)</f>
        <v/>
      </c>
      <c r="AW40" s="240">
        <f>IF('CF表（ご主人様死亡時）'!AW$3="","",'CF表（ご主人様死亡時）'!AW40/10000)</f>
        <v/>
      </c>
      <c r="AX40" s="240">
        <f>IF('CF表（ご主人様死亡時）'!AX$3="","",'CF表（ご主人様死亡時）'!AX40/10000)</f>
        <v/>
      </c>
      <c r="AY40" s="240">
        <f>IF('CF表（ご主人様死亡時）'!AY$3="","",'CF表（ご主人様死亡時）'!AY40/10000)</f>
        <v/>
      </c>
      <c r="AZ40" s="240">
        <f>IF('CF表（ご主人様死亡時）'!AZ$3="","",'CF表（ご主人様死亡時）'!AZ40/10000)</f>
        <v/>
      </c>
      <c r="BA40" s="240">
        <f>IF('CF表（ご主人様死亡時）'!BA$3="","",'CF表（ご主人様死亡時）'!BA40/10000)</f>
        <v/>
      </c>
      <c r="BB40" s="240">
        <f>IF('CF表（ご主人様死亡時）'!BB$3="","",'CF表（ご主人様死亡時）'!BB40/10000)</f>
        <v/>
      </c>
      <c r="BC40" s="240">
        <f>IF('CF表（ご主人様死亡時）'!BC$3="","",'CF表（ご主人様死亡時）'!BC40/10000)</f>
        <v/>
      </c>
      <c r="BD40" s="240">
        <f>IF('CF表（ご主人様死亡時）'!BD$3="","",'CF表（ご主人様死亡時）'!BD40/10000)</f>
        <v/>
      </c>
      <c r="BE40" s="240">
        <f>IF('CF表（ご主人様死亡時）'!BE$3="","",'CF表（ご主人様死亡時）'!BE40/10000)</f>
        <v/>
      </c>
      <c r="BF40" s="240">
        <f>IF('CF表（ご主人様死亡時）'!BF$3="","",'CF表（ご主人様死亡時）'!BF40/10000)</f>
        <v/>
      </c>
      <c r="BG40" s="240">
        <f>IF('CF表（ご主人様死亡時）'!BG$3="","",'CF表（ご主人様死亡時）'!BG40/10000)</f>
        <v/>
      </c>
      <c r="BH40" s="240">
        <f>IF('CF表（ご主人様死亡時）'!BH$3="","",'CF表（ご主人様死亡時）'!BH40/10000)</f>
        <v/>
      </c>
      <c r="BI40" s="240">
        <f>IF('CF表（ご主人様死亡時）'!BI$3="","",'CF表（ご主人様死亡時）'!BI40/10000)</f>
        <v/>
      </c>
      <c r="BJ40" s="240">
        <f>IF('CF表（ご主人様死亡時）'!BJ$3="","",'CF表（ご主人様死亡時）'!BJ40/10000)</f>
        <v/>
      </c>
      <c r="BK40" s="240">
        <f>IF('CF表（ご主人様死亡時）'!BK$3="","",'CF表（ご主人様死亡時）'!BK40/10000)</f>
        <v/>
      </c>
      <c r="BL40" s="240">
        <f>IF('CF表（ご主人様死亡時）'!BL$3="","",'CF表（ご主人様死亡時）'!BL40/10000)</f>
        <v/>
      </c>
      <c r="BM40" s="240">
        <f>IF('CF表（ご主人様死亡時）'!BM$3="","",'CF表（ご主人様死亡時）'!BM40/10000)</f>
        <v/>
      </c>
      <c r="BN40" s="240">
        <f>IF('CF表（ご主人様死亡時）'!BN$3="","",'CF表（ご主人様死亡時）'!BN40/10000)</f>
        <v/>
      </c>
      <c r="BO40" s="240">
        <f>IF('CF表（ご主人様死亡時）'!BO$3="","",'CF表（ご主人様死亡時）'!BO40/10000)</f>
        <v/>
      </c>
      <c r="BP40" s="240">
        <f>IF('CF表（ご主人様死亡時）'!BP$3="","",'CF表（ご主人様死亡時）'!BP40/10000)</f>
        <v/>
      </c>
      <c r="BQ40" s="240">
        <f>IF('CF表（ご主人様死亡時）'!BQ$3="","",'CF表（ご主人様死亡時）'!BQ40/10000)</f>
        <v/>
      </c>
      <c r="BR40" s="240">
        <f>IF('CF表（ご主人様死亡時）'!BR$3="","",'CF表（ご主人様死亡時）'!BR40/10000)</f>
        <v/>
      </c>
      <c r="BS40" s="240">
        <f>IF('CF表（ご主人様死亡時）'!BS$3="","",'CF表（ご主人様死亡時）'!BS40/10000)</f>
        <v/>
      </c>
      <c r="BT40" s="240">
        <f>IF('CF表（ご主人様死亡時）'!BT$3="","",'CF表（ご主人様死亡時）'!BT40/10000)</f>
        <v/>
      </c>
      <c r="BU40" s="240">
        <f>IF('CF表（ご主人様死亡時）'!BU$3="","",'CF表（ご主人様死亡時）'!BU40/10000)</f>
        <v/>
      </c>
      <c r="BV40" s="240">
        <f>IF('CF表（ご主人様死亡時）'!BV$3="","",'CF表（ご主人様死亡時）'!BV40/10000)</f>
        <v/>
      </c>
      <c r="BW40" s="240">
        <f>IF('CF表（ご主人様死亡時）'!BW$3="","",'CF表（ご主人様死亡時）'!BW40/10000)</f>
        <v/>
      </c>
      <c r="BX40" s="240">
        <f>IF('CF表（ご主人様死亡時）'!BX$3="","",'CF表（ご主人様死亡時）'!BX40/10000)</f>
        <v/>
      </c>
      <c r="BY40" s="240">
        <f>IF('CF表（ご主人様死亡時）'!BY$3="","",'CF表（ご主人様死亡時）'!BY40/10000)</f>
        <v/>
      </c>
      <c r="BZ40" s="240">
        <f>IF('CF表（ご主人様死亡時）'!BZ$3="","",'CF表（ご主人様死亡時）'!BZ40/10000)</f>
        <v/>
      </c>
      <c r="CA40" s="240">
        <f>IF('CF表（ご主人様死亡時）'!CA$3="","",'CF表（ご主人様死亡時）'!CA40/10000)</f>
        <v/>
      </c>
      <c r="CB40" s="240">
        <f>IF('CF表（ご主人様死亡時）'!CB$3="","",'CF表（ご主人様死亡時）'!CB40/10000)</f>
        <v/>
      </c>
      <c r="CC40" s="240">
        <f>IF('CF表（ご主人様死亡時）'!CC$3="","",'CF表（ご主人様死亡時）'!CC40/10000)</f>
        <v/>
      </c>
      <c r="CD40" s="240">
        <f>IF('CF表（ご主人様死亡時）'!CD$3="","",'CF表（ご主人様死亡時）'!CD40/10000)</f>
        <v/>
      </c>
      <c r="CE40" s="240">
        <f>IF('CF表（ご主人様死亡時）'!CE$3="","",'CF表（ご主人様死亡時）'!CE40/10000)</f>
        <v/>
      </c>
      <c r="CF40" s="240">
        <f>IF('CF表（ご主人様死亡時）'!CF$3="","",'CF表（ご主人様死亡時）'!CF40/10000)</f>
        <v/>
      </c>
      <c r="CG40" s="240">
        <f>IF('CF表（ご主人様死亡時）'!CG$3="","",'CF表（ご主人様死亡時）'!CG40/10000)</f>
        <v/>
      </c>
      <c r="CH40" s="240">
        <f>IF('CF表（ご主人様死亡時）'!CH$3="","",'CF表（ご主人様死亡時）'!CH40/10000)</f>
        <v/>
      </c>
      <c r="CI40" s="240">
        <f>IF('CF表（ご主人様死亡時）'!CI$3="","",'CF表（ご主人様死亡時）'!CI40/10000)</f>
        <v/>
      </c>
      <c r="CJ40" s="240">
        <f>IF('CF表（ご主人様死亡時）'!CJ$3="","",'CF表（ご主人様死亡時）'!CJ40/10000)</f>
        <v/>
      </c>
      <c r="CK40" s="240">
        <f>IF('CF表（ご主人様死亡時）'!CK$3="","",'CF表（ご主人様死亡時）'!CK40/10000)</f>
        <v/>
      </c>
      <c r="CL40" s="240">
        <f>IF('CF表（ご主人様死亡時）'!CL$3="","",'CF表（ご主人様死亡時）'!CL40/10000)</f>
        <v/>
      </c>
      <c r="CM40" s="240">
        <f>IF('CF表（ご主人様死亡時）'!CM$3="","",'CF表（ご主人様死亡時）'!CM40/10000)</f>
        <v/>
      </c>
      <c r="CN40" s="240">
        <f>IF('CF表（ご主人様死亡時）'!CN$3="","",'CF表（ご主人様死亡時）'!CN40/10000)</f>
        <v/>
      </c>
      <c r="CO40" s="240">
        <f>IF('CF表（ご主人様死亡時）'!CO$3="","",'CF表（ご主人様死亡時）'!CO40/10000)</f>
        <v/>
      </c>
      <c r="CP40" s="240">
        <f>IF('CF表（ご主人様死亡時）'!CP$3="","",'CF表（ご主人様死亡時）'!CP40/10000)</f>
        <v/>
      </c>
      <c r="CQ40" s="240">
        <f>IF('CF表（ご主人様死亡時）'!CQ$3="","",'CF表（ご主人様死亡時）'!CQ40/10000)</f>
        <v/>
      </c>
      <c r="CR40" s="240">
        <f>IF('CF表（ご主人様死亡時）'!CR$3="","",'CF表（ご主人様死亡時）'!CR40/10000)</f>
        <v/>
      </c>
      <c r="CS40" s="240">
        <f>IF('CF表（ご主人様死亡時）'!CS$3="","",'CF表（ご主人様死亡時）'!CS40/10000)</f>
        <v/>
      </c>
      <c r="CT40" s="240">
        <f>IF('CF表（ご主人様死亡時）'!CT$3="","",'CF表（ご主人様死亡時）'!CT40/10000)</f>
        <v/>
      </c>
      <c r="CU40" s="240">
        <f>IF('CF表（ご主人様死亡時）'!CU$3="","",'CF表（ご主人様死亡時）'!CU40/10000)</f>
        <v/>
      </c>
      <c r="CV40" s="240">
        <f>IF('CF表（ご主人様死亡時）'!CV$3="","",'CF表（ご主人様死亡時）'!CV40/10000)</f>
        <v/>
      </c>
      <c r="CW40" s="240">
        <f>IF('CF表（ご主人様死亡時）'!CW$3="","",'CF表（ご主人様死亡時）'!CW40/10000)</f>
        <v/>
      </c>
    </row>
    <row r="41" hidden="1" ht="16.5" customHeight="1" s="180">
      <c r="A41" s="239" t="inlineStr">
        <is>
          <t>年間住宅ローン元本返済(補助)</t>
        </is>
      </c>
      <c r="B41" s="240">
        <f>IF('CF表（ご主人様死亡時）'!B$3="","",'CF表（ご主人様死亡時）'!B41/10000)</f>
        <v/>
      </c>
      <c r="C41" s="240">
        <f>IF('CF表（ご主人様死亡時）'!C$3="","",'CF表（ご主人様死亡時）'!C41/10000)</f>
        <v/>
      </c>
      <c r="D41" s="240">
        <f>IF('CF表（ご主人様死亡時）'!D$3="","",'CF表（ご主人様死亡時）'!D41/10000)</f>
        <v/>
      </c>
      <c r="E41" s="240">
        <f>IF('CF表（ご主人様死亡時）'!E$3="","",'CF表（ご主人様死亡時）'!E41/10000)</f>
        <v/>
      </c>
      <c r="F41" s="240">
        <f>IF('CF表（ご主人様死亡時）'!F$3="","",'CF表（ご主人様死亡時）'!F41/10000)</f>
        <v/>
      </c>
      <c r="G41" s="240">
        <f>IF('CF表（ご主人様死亡時）'!G$3="","",'CF表（ご主人様死亡時）'!G41/10000)</f>
        <v/>
      </c>
      <c r="H41" s="240">
        <f>IF('CF表（ご主人様死亡時）'!H$3="","",'CF表（ご主人様死亡時）'!H41/10000)</f>
        <v/>
      </c>
      <c r="I41" s="240">
        <f>IF('CF表（ご主人様死亡時）'!I$3="","",'CF表（ご主人様死亡時）'!I41/10000)</f>
        <v/>
      </c>
      <c r="J41" s="240">
        <f>IF('CF表（ご主人様死亡時）'!J$3="","",'CF表（ご主人様死亡時）'!J41/10000)</f>
        <v/>
      </c>
      <c r="K41" s="240">
        <f>IF('CF表（ご主人様死亡時）'!K$3="","",'CF表（ご主人様死亡時）'!K41/10000)</f>
        <v/>
      </c>
      <c r="L41" s="240">
        <f>IF('CF表（ご主人様死亡時）'!L$3="","",'CF表（ご主人様死亡時）'!L41/10000)</f>
        <v/>
      </c>
      <c r="M41" s="240">
        <f>IF('CF表（ご主人様死亡時）'!M$3="","",'CF表（ご主人様死亡時）'!M41/10000)</f>
        <v/>
      </c>
      <c r="N41" s="240">
        <f>IF('CF表（ご主人様死亡時）'!N$3="","",'CF表（ご主人様死亡時）'!N41/10000)</f>
        <v/>
      </c>
      <c r="O41" s="240">
        <f>IF('CF表（ご主人様死亡時）'!O$3="","",'CF表（ご主人様死亡時）'!O41/10000)</f>
        <v/>
      </c>
      <c r="P41" s="240">
        <f>IF('CF表（ご主人様死亡時）'!P$3="","",'CF表（ご主人様死亡時）'!P41/10000)</f>
        <v/>
      </c>
      <c r="Q41" s="240">
        <f>IF('CF表（ご主人様死亡時）'!Q$3="","",'CF表（ご主人様死亡時）'!Q41/10000)</f>
        <v/>
      </c>
      <c r="R41" s="240">
        <f>IF('CF表（ご主人様死亡時）'!R$3="","",'CF表（ご主人様死亡時）'!R41/10000)</f>
        <v/>
      </c>
      <c r="S41" s="240">
        <f>IF('CF表（ご主人様死亡時）'!S$3="","",'CF表（ご主人様死亡時）'!S41/10000)</f>
        <v/>
      </c>
      <c r="T41" s="240">
        <f>IF('CF表（ご主人様死亡時）'!T$3="","",'CF表（ご主人様死亡時）'!T41/10000)</f>
        <v/>
      </c>
      <c r="U41" s="240">
        <f>IF('CF表（ご主人様死亡時）'!U$3="","",'CF表（ご主人様死亡時）'!U41/10000)</f>
        <v/>
      </c>
      <c r="V41" s="240">
        <f>IF('CF表（ご主人様死亡時）'!V$3="","",'CF表（ご主人様死亡時）'!V41/10000)</f>
        <v/>
      </c>
      <c r="W41" s="240">
        <f>IF('CF表（ご主人様死亡時）'!W$3="","",'CF表（ご主人様死亡時）'!W41/10000)</f>
        <v/>
      </c>
      <c r="X41" s="240">
        <f>IF('CF表（ご主人様死亡時）'!X$3="","",'CF表（ご主人様死亡時）'!X41/10000)</f>
        <v/>
      </c>
      <c r="Y41" s="240">
        <f>IF('CF表（ご主人様死亡時）'!Y$3="","",'CF表（ご主人様死亡時）'!Y41/10000)</f>
        <v/>
      </c>
      <c r="Z41" s="240">
        <f>IF('CF表（ご主人様死亡時）'!Z$3="","",'CF表（ご主人様死亡時）'!Z41/10000)</f>
        <v/>
      </c>
      <c r="AA41" s="240">
        <f>IF('CF表（ご主人様死亡時）'!AA$3="","",'CF表（ご主人様死亡時）'!AA41/10000)</f>
        <v/>
      </c>
      <c r="AB41" s="240">
        <f>IF('CF表（ご主人様死亡時）'!AB$3="","",'CF表（ご主人様死亡時）'!AB41/10000)</f>
        <v/>
      </c>
      <c r="AC41" s="240">
        <f>IF('CF表（ご主人様死亡時）'!AC$3="","",'CF表（ご主人様死亡時）'!AC41/10000)</f>
        <v/>
      </c>
      <c r="AD41" s="240">
        <f>IF('CF表（ご主人様死亡時）'!AD$3="","",'CF表（ご主人様死亡時）'!AD41/10000)</f>
        <v/>
      </c>
      <c r="AE41" s="240">
        <f>IF('CF表（ご主人様死亡時）'!AE$3="","",'CF表（ご主人様死亡時）'!AE41/10000)</f>
        <v/>
      </c>
      <c r="AF41" s="240">
        <f>IF('CF表（ご主人様死亡時）'!AF$3="","",'CF表（ご主人様死亡時）'!AF41/10000)</f>
        <v/>
      </c>
      <c r="AG41" s="240">
        <f>IF('CF表（ご主人様死亡時）'!AG$3="","",'CF表（ご主人様死亡時）'!AG41/10000)</f>
        <v/>
      </c>
      <c r="AH41" s="240">
        <f>IF('CF表（ご主人様死亡時）'!AH$3="","",'CF表（ご主人様死亡時）'!AH41/10000)</f>
        <v/>
      </c>
      <c r="AI41" s="240">
        <f>IF('CF表（ご主人様死亡時）'!AI$3="","",'CF表（ご主人様死亡時）'!AI41/10000)</f>
        <v/>
      </c>
      <c r="AJ41" s="240">
        <f>IF('CF表（ご主人様死亡時）'!AJ$3="","",'CF表（ご主人様死亡時）'!AJ41/10000)</f>
        <v/>
      </c>
      <c r="AK41" s="240">
        <f>IF('CF表（ご主人様死亡時）'!AK$3="","",'CF表（ご主人様死亡時）'!AK41/10000)</f>
        <v/>
      </c>
      <c r="AL41" s="240">
        <f>IF('CF表（ご主人様死亡時）'!AL$3="","",'CF表（ご主人様死亡時）'!AL41/10000)</f>
        <v/>
      </c>
      <c r="AM41" s="240">
        <f>IF('CF表（ご主人様死亡時）'!AM$3="","",'CF表（ご主人様死亡時）'!AM41/10000)</f>
        <v/>
      </c>
      <c r="AN41" s="240">
        <f>IF('CF表（ご主人様死亡時）'!AN$3="","",'CF表（ご主人様死亡時）'!AN41/10000)</f>
        <v/>
      </c>
      <c r="AO41" s="240">
        <f>IF('CF表（ご主人様死亡時）'!AO$3="","",'CF表（ご主人様死亡時）'!AO41/10000)</f>
        <v/>
      </c>
      <c r="AP41" s="240">
        <f>IF('CF表（ご主人様死亡時）'!AP$3="","",'CF表（ご主人様死亡時）'!AP41/10000)</f>
        <v/>
      </c>
      <c r="AQ41" s="240">
        <f>IF('CF表（ご主人様死亡時）'!AQ$3="","",'CF表（ご主人様死亡時）'!AQ41/10000)</f>
        <v/>
      </c>
      <c r="AR41" s="240">
        <f>IF('CF表（ご主人様死亡時）'!AR$3="","",'CF表（ご主人様死亡時）'!AR41/10000)</f>
        <v/>
      </c>
      <c r="AS41" s="240">
        <f>IF('CF表（ご主人様死亡時）'!AS$3="","",'CF表（ご主人様死亡時）'!AS41/10000)</f>
        <v/>
      </c>
      <c r="AT41" s="240">
        <f>IF('CF表（ご主人様死亡時）'!AT$3="","",'CF表（ご主人様死亡時）'!AT41/10000)</f>
        <v/>
      </c>
      <c r="AU41" s="240">
        <f>IF('CF表（ご主人様死亡時）'!AU$3="","",'CF表（ご主人様死亡時）'!AU41/10000)</f>
        <v/>
      </c>
      <c r="AV41" s="240">
        <f>IF('CF表（ご主人様死亡時）'!AV$3="","",'CF表（ご主人様死亡時）'!AV41/10000)</f>
        <v/>
      </c>
      <c r="AW41" s="240">
        <f>IF('CF表（ご主人様死亡時）'!AW$3="","",'CF表（ご主人様死亡時）'!AW41/10000)</f>
        <v/>
      </c>
      <c r="AX41" s="240">
        <f>IF('CF表（ご主人様死亡時）'!AX$3="","",'CF表（ご主人様死亡時）'!AX41/10000)</f>
        <v/>
      </c>
      <c r="AY41" s="240">
        <f>IF('CF表（ご主人様死亡時）'!AY$3="","",'CF表（ご主人様死亡時）'!AY41/10000)</f>
        <v/>
      </c>
      <c r="AZ41" s="240">
        <f>IF('CF表（ご主人様死亡時）'!AZ$3="","",'CF表（ご主人様死亡時）'!AZ41/10000)</f>
        <v/>
      </c>
      <c r="BA41" s="240">
        <f>IF('CF表（ご主人様死亡時）'!BA$3="","",'CF表（ご主人様死亡時）'!BA41/10000)</f>
        <v/>
      </c>
      <c r="BB41" s="240">
        <f>IF('CF表（ご主人様死亡時）'!BB$3="","",'CF表（ご主人様死亡時）'!BB41/10000)</f>
        <v/>
      </c>
      <c r="BC41" s="240">
        <f>IF('CF表（ご主人様死亡時）'!BC$3="","",'CF表（ご主人様死亡時）'!BC41/10000)</f>
        <v/>
      </c>
      <c r="BD41" s="240">
        <f>IF('CF表（ご主人様死亡時）'!BD$3="","",'CF表（ご主人様死亡時）'!BD41/10000)</f>
        <v/>
      </c>
      <c r="BE41" s="240">
        <f>IF('CF表（ご主人様死亡時）'!BE$3="","",'CF表（ご主人様死亡時）'!BE41/10000)</f>
        <v/>
      </c>
      <c r="BF41" s="240">
        <f>IF('CF表（ご主人様死亡時）'!BF$3="","",'CF表（ご主人様死亡時）'!BF41/10000)</f>
        <v/>
      </c>
      <c r="BG41" s="240">
        <f>IF('CF表（ご主人様死亡時）'!BG$3="","",'CF表（ご主人様死亡時）'!BG41/10000)</f>
        <v/>
      </c>
      <c r="BH41" s="240">
        <f>IF('CF表（ご主人様死亡時）'!BH$3="","",'CF表（ご主人様死亡時）'!BH41/10000)</f>
        <v/>
      </c>
      <c r="BI41" s="240">
        <f>IF('CF表（ご主人様死亡時）'!BI$3="","",'CF表（ご主人様死亡時）'!BI41/10000)</f>
        <v/>
      </c>
      <c r="BJ41" s="240">
        <f>IF('CF表（ご主人様死亡時）'!BJ$3="","",'CF表（ご主人様死亡時）'!BJ41/10000)</f>
        <v/>
      </c>
      <c r="BK41" s="240">
        <f>IF('CF表（ご主人様死亡時）'!BK$3="","",'CF表（ご主人様死亡時）'!BK41/10000)</f>
        <v/>
      </c>
      <c r="BL41" s="240">
        <f>IF('CF表（ご主人様死亡時）'!BL$3="","",'CF表（ご主人様死亡時）'!BL41/10000)</f>
        <v/>
      </c>
      <c r="BM41" s="240">
        <f>IF('CF表（ご主人様死亡時）'!BM$3="","",'CF表（ご主人様死亡時）'!BM41/10000)</f>
        <v/>
      </c>
      <c r="BN41" s="240">
        <f>IF('CF表（ご主人様死亡時）'!BN$3="","",'CF表（ご主人様死亡時）'!BN41/10000)</f>
        <v/>
      </c>
      <c r="BO41" s="240">
        <f>IF('CF表（ご主人様死亡時）'!BO$3="","",'CF表（ご主人様死亡時）'!BO41/10000)</f>
        <v/>
      </c>
      <c r="BP41" s="240">
        <f>IF('CF表（ご主人様死亡時）'!BP$3="","",'CF表（ご主人様死亡時）'!BP41/10000)</f>
        <v/>
      </c>
      <c r="BQ41" s="240">
        <f>IF('CF表（ご主人様死亡時）'!BQ$3="","",'CF表（ご主人様死亡時）'!BQ41/10000)</f>
        <v/>
      </c>
      <c r="BR41" s="240">
        <f>IF('CF表（ご主人様死亡時）'!BR$3="","",'CF表（ご主人様死亡時）'!BR41/10000)</f>
        <v/>
      </c>
      <c r="BS41" s="240">
        <f>IF('CF表（ご主人様死亡時）'!BS$3="","",'CF表（ご主人様死亡時）'!BS41/10000)</f>
        <v/>
      </c>
      <c r="BT41" s="240">
        <f>IF('CF表（ご主人様死亡時）'!BT$3="","",'CF表（ご主人様死亡時）'!BT41/10000)</f>
        <v/>
      </c>
      <c r="BU41" s="240">
        <f>IF('CF表（ご主人様死亡時）'!BU$3="","",'CF表（ご主人様死亡時）'!BU41/10000)</f>
        <v/>
      </c>
      <c r="BV41" s="240">
        <f>IF('CF表（ご主人様死亡時）'!BV$3="","",'CF表（ご主人様死亡時）'!BV41/10000)</f>
        <v/>
      </c>
      <c r="BW41" s="240">
        <f>IF('CF表（ご主人様死亡時）'!BW$3="","",'CF表（ご主人様死亡時）'!BW41/10000)</f>
        <v/>
      </c>
      <c r="BX41" s="240">
        <f>IF('CF表（ご主人様死亡時）'!BX$3="","",'CF表（ご主人様死亡時）'!BX41/10000)</f>
        <v/>
      </c>
      <c r="BY41" s="240">
        <f>IF('CF表（ご主人様死亡時）'!BY$3="","",'CF表（ご主人様死亡時）'!BY41/10000)</f>
        <v/>
      </c>
      <c r="BZ41" s="240">
        <f>IF('CF表（ご主人様死亡時）'!BZ$3="","",'CF表（ご主人様死亡時）'!BZ41/10000)</f>
        <v/>
      </c>
      <c r="CA41" s="240">
        <f>IF('CF表（ご主人様死亡時）'!CA$3="","",'CF表（ご主人様死亡時）'!CA41/10000)</f>
        <v/>
      </c>
      <c r="CB41" s="240">
        <f>IF('CF表（ご主人様死亡時）'!CB$3="","",'CF表（ご主人様死亡時）'!CB41/10000)</f>
        <v/>
      </c>
      <c r="CC41" s="240">
        <f>IF('CF表（ご主人様死亡時）'!CC$3="","",'CF表（ご主人様死亡時）'!CC41/10000)</f>
        <v/>
      </c>
      <c r="CD41" s="240">
        <f>IF('CF表（ご主人様死亡時）'!CD$3="","",'CF表（ご主人様死亡時）'!CD41/10000)</f>
        <v/>
      </c>
      <c r="CE41" s="240">
        <f>IF('CF表（ご主人様死亡時）'!CE$3="","",'CF表（ご主人様死亡時）'!CE41/10000)</f>
        <v/>
      </c>
      <c r="CF41" s="240">
        <f>IF('CF表（ご主人様死亡時）'!CF$3="","",'CF表（ご主人様死亡時）'!CF41/10000)</f>
        <v/>
      </c>
      <c r="CG41" s="240">
        <f>IF('CF表（ご主人様死亡時）'!CG$3="","",'CF表（ご主人様死亡時）'!CG41/10000)</f>
        <v/>
      </c>
      <c r="CH41" s="240">
        <f>IF('CF表（ご主人様死亡時）'!CH$3="","",'CF表（ご主人様死亡時）'!CH41/10000)</f>
        <v/>
      </c>
      <c r="CI41" s="240">
        <f>IF('CF表（ご主人様死亡時）'!CI$3="","",'CF表（ご主人様死亡時）'!CI41/10000)</f>
        <v/>
      </c>
      <c r="CJ41" s="240">
        <f>IF('CF表（ご主人様死亡時）'!CJ$3="","",'CF表（ご主人様死亡時）'!CJ41/10000)</f>
        <v/>
      </c>
      <c r="CK41" s="240">
        <f>IF('CF表（ご主人様死亡時）'!CK$3="","",'CF表（ご主人様死亡時）'!CK41/10000)</f>
        <v/>
      </c>
      <c r="CL41" s="240">
        <f>IF('CF表（ご主人様死亡時）'!CL$3="","",'CF表（ご主人様死亡時）'!CL41/10000)</f>
        <v/>
      </c>
      <c r="CM41" s="240">
        <f>IF('CF表（ご主人様死亡時）'!CM$3="","",'CF表（ご主人様死亡時）'!CM41/10000)</f>
        <v/>
      </c>
      <c r="CN41" s="240">
        <f>IF('CF表（ご主人様死亡時）'!CN$3="","",'CF表（ご主人様死亡時）'!CN41/10000)</f>
        <v/>
      </c>
      <c r="CO41" s="240">
        <f>IF('CF表（ご主人様死亡時）'!CO$3="","",'CF表（ご主人様死亡時）'!CO41/10000)</f>
        <v/>
      </c>
      <c r="CP41" s="240">
        <f>IF('CF表（ご主人様死亡時）'!CP$3="","",'CF表（ご主人様死亡時）'!CP41/10000)</f>
        <v/>
      </c>
      <c r="CQ41" s="240">
        <f>IF('CF表（ご主人様死亡時）'!CQ$3="","",'CF表（ご主人様死亡時）'!CQ41/10000)</f>
        <v/>
      </c>
      <c r="CR41" s="240">
        <f>IF('CF表（ご主人様死亡時）'!CR$3="","",'CF表（ご主人様死亡時）'!CR41/10000)</f>
        <v/>
      </c>
      <c r="CS41" s="240">
        <f>IF('CF表（ご主人様死亡時）'!CS$3="","",'CF表（ご主人様死亡時）'!CS41/10000)</f>
        <v/>
      </c>
      <c r="CT41" s="240">
        <f>IF('CF表（ご主人様死亡時）'!CT$3="","",'CF表（ご主人様死亡時）'!CT41/10000)</f>
        <v/>
      </c>
      <c r="CU41" s="240">
        <f>IF('CF表（ご主人様死亡時）'!CU$3="","",'CF表（ご主人様死亡時）'!CU41/10000)</f>
        <v/>
      </c>
      <c r="CV41" s="240">
        <f>IF('CF表（ご主人様死亡時）'!CV$3="","",'CF表（ご主人様死亡時）'!CV41/10000)</f>
        <v/>
      </c>
      <c r="CW41" s="240">
        <f>IF('CF表（ご主人様死亡時）'!CW$3="","",'CF表（ご主人様死亡時）'!CW41/10000)</f>
        <v/>
      </c>
    </row>
    <row r="42" hidden="1" ht="16.5" customHeight="1" s="180">
      <c r="A42" s="239" t="inlineStr">
        <is>
          <t>老後期フラグ(補助)</t>
        </is>
      </c>
      <c r="B42" s="240">
        <f>IF('CF表（ご主人様死亡時）'!B$3="","",'CF表（ご主人様死亡時）'!B42/10000)</f>
        <v/>
      </c>
      <c r="C42" s="240">
        <f>IF('CF表（ご主人様死亡時）'!C$3="","",'CF表（ご主人様死亡時）'!C42/10000)</f>
        <v/>
      </c>
      <c r="D42" s="240">
        <f>IF('CF表（ご主人様死亡時）'!D$3="","",'CF表（ご主人様死亡時）'!D42/10000)</f>
        <v/>
      </c>
      <c r="E42" s="240">
        <f>IF('CF表（ご主人様死亡時）'!E$3="","",'CF表（ご主人様死亡時）'!E42/10000)</f>
        <v/>
      </c>
      <c r="F42" s="240">
        <f>IF('CF表（ご主人様死亡時）'!F$3="","",'CF表（ご主人様死亡時）'!F42/10000)</f>
        <v/>
      </c>
      <c r="G42" s="240">
        <f>IF('CF表（ご主人様死亡時）'!G$3="","",'CF表（ご主人様死亡時）'!G42/10000)</f>
        <v/>
      </c>
      <c r="H42" s="240">
        <f>IF('CF表（ご主人様死亡時）'!H$3="","",'CF表（ご主人様死亡時）'!H42/10000)</f>
        <v/>
      </c>
      <c r="I42" s="240">
        <f>IF('CF表（ご主人様死亡時）'!I$3="","",'CF表（ご主人様死亡時）'!I42/10000)</f>
        <v/>
      </c>
      <c r="J42" s="240">
        <f>IF('CF表（ご主人様死亡時）'!J$3="","",'CF表（ご主人様死亡時）'!J42/10000)</f>
        <v/>
      </c>
      <c r="K42" s="240">
        <f>IF('CF表（ご主人様死亡時）'!K$3="","",'CF表（ご主人様死亡時）'!K42/10000)</f>
        <v/>
      </c>
      <c r="L42" s="240">
        <f>IF('CF表（ご主人様死亡時）'!L$3="","",'CF表（ご主人様死亡時）'!L42/10000)</f>
        <v/>
      </c>
      <c r="M42" s="240">
        <f>IF('CF表（ご主人様死亡時）'!M$3="","",'CF表（ご主人様死亡時）'!M42/10000)</f>
        <v/>
      </c>
      <c r="N42" s="240">
        <f>IF('CF表（ご主人様死亡時）'!N$3="","",'CF表（ご主人様死亡時）'!N42/10000)</f>
        <v/>
      </c>
      <c r="O42" s="240">
        <f>IF('CF表（ご主人様死亡時）'!O$3="","",'CF表（ご主人様死亡時）'!O42/10000)</f>
        <v/>
      </c>
      <c r="P42" s="240">
        <f>IF('CF表（ご主人様死亡時）'!P$3="","",'CF表（ご主人様死亡時）'!P42/10000)</f>
        <v/>
      </c>
      <c r="Q42" s="240">
        <f>IF('CF表（ご主人様死亡時）'!Q$3="","",'CF表（ご主人様死亡時）'!Q42/10000)</f>
        <v/>
      </c>
      <c r="R42" s="240">
        <f>IF('CF表（ご主人様死亡時）'!R$3="","",'CF表（ご主人様死亡時）'!R42/10000)</f>
        <v/>
      </c>
      <c r="S42" s="240">
        <f>IF('CF表（ご主人様死亡時）'!S$3="","",'CF表（ご主人様死亡時）'!S42/10000)</f>
        <v/>
      </c>
      <c r="T42" s="240">
        <f>IF('CF表（ご主人様死亡時）'!T$3="","",'CF表（ご主人様死亡時）'!T42/10000)</f>
        <v/>
      </c>
      <c r="U42" s="240">
        <f>IF('CF表（ご主人様死亡時）'!U$3="","",'CF表（ご主人様死亡時）'!U42/10000)</f>
        <v/>
      </c>
      <c r="V42" s="240">
        <f>IF('CF表（ご主人様死亡時）'!V$3="","",'CF表（ご主人様死亡時）'!V42/10000)</f>
        <v/>
      </c>
      <c r="W42" s="240">
        <f>IF('CF表（ご主人様死亡時）'!W$3="","",'CF表（ご主人様死亡時）'!W42/10000)</f>
        <v/>
      </c>
      <c r="X42" s="240">
        <f>IF('CF表（ご主人様死亡時）'!X$3="","",'CF表（ご主人様死亡時）'!X42/10000)</f>
        <v/>
      </c>
      <c r="Y42" s="240">
        <f>IF('CF表（ご主人様死亡時）'!Y$3="","",'CF表（ご主人様死亡時）'!Y42/10000)</f>
        <v/>
      </c>
      <c r="Z42" s="240">
        <f>IF('CF表（ご主人様死亡時）'!Z$3="","",'CF表（ご主人様死亡時）'!Z42/10000)</f>
        <v/>
      </c>
      <c r="AA42" s="240">
        <f>IF('CF表（ご主人様死亡時）'!AA$3="","",'CF表（ご主人様死亡時）'!AA42/10000)</f>
        <v/>
      </c>
      <c r="AB42" s="240">
        <f>IF('CF表（ご主人様死亡時）'!AB$3="","",'CF表（ご主人様死亡時）'!AB42/10000)</f>
        <v/>
      </c>
      <c r="AC42" s="240">
        <f>IF('CF表（ご主人様死亡時）'!AC$3="","",'CF表（ご主人様死亡時）'!AC42/10000)</f>
        <v/>
      </c>
      <c r="AD42" s="240">
        <f>IF('CF表（ご主人様死亡時）'!AD$3="","",'CF表（ご主人様死亡時）'!AD42/10000)</f>
        <v/>
      </c>
      <c r="AE42" s="240">
        <f>IF('CF表（ご主人様死亡時）'!AE$3="","",'CF表（ご主人様死亡時）'!AE42/10000)</f>
        <v/>
      </c>
      <c r="AF42" s="240">
        <f>IF('CF表（ご主人様死亡時）'!AF$3="","",'CF表（ご主人様死亡時）'!AF42/10000)</f>
        <v/>
      </c>
      <c r="AG42" s="240">
        <f>IF('CF表（ご主人様死亡時）'!AG$3="","",'CF表（ご主人様死亡時）'!AG42/10000)</f>
        <v/>
      </c>
      <c r="AH42" s="240">
        <f>IF('CF表（ご主人様死亡時）'!AH$3="","",'CF表（ご主人様死亡時）'!AH42/10000)</f>
        <v/>
      </c>
      <c r="AI42" s="240">
        <f>IF('CF表（ご主人様死亡時）'!AI$3="","",'CF表（ご主人様死亡時）'!AI42/10000)</f>
        <v/>
      </c>
      <c r="AJ42" s="240">
        <f>IF('CF表（ご主人様死亡時）'!AJ$3="","",'CF表（ご主人様死亡時）'!AJ42/10000)</f>
        <v/>
      </c>
      <c r="AK42" s="240">
        <f>IF('CF表（ご主人様死亡時）'!AK$3="","",'CF表（ご主人様死亡時）'!AK42/10000)</f>
        <v/>
      </c>
      <c r="AL42" s="240">
        <f>IF('CF表（ご主人様死亡時）'!AL$3="","",'CF表（ご主人様死亡時）'!AL42/10000)</f>
        <v/>
      </c>
      <c r="AM42" s="240">
        <f>IF('CF表（ご主人様死亡時）'!AM$3="","",'CF表（ご主人様死亡時）'!AM42/10000)</f>
        <v/>
      </c>
      <c r="AN42" s="240">
        <f>IF('CF表（ご主人様死亡時）'!AN$3="","",'CF表（ご主人様死亡時）'!AN42/10000)</f>
        <v/>
      </c>
      <c r="AO42" s="240">
        <f>IF('CF表（ご主人様死亡時）'!AO$3="","",'CF表（ご主人様死亡時）'!AO42/10000)</f>
        <v/>
      </c>
      <c r="AP42" s="240">
        <f>IF('CF表（ご主人様死亡時）'!AP$3="","",'CF表（ご主人様死亡時）'!AP42/10000)</f>
        <v/>
      </c>
      <c r="AQ42" s="240">
        <f>IF('CF表（ご主人様死亡時）'!AQ$3="","",'CF表（ご主人様死亡時）'!AQ42/10000)</f>
        <v/>
      </c>
      <c r="AR42" s="240">
        <f>IF('CF表（ご主人様死亡時）'!AR$3="","",'CF表（ご主人様死亡時）'!AR42/10000)</f>
        <v/>
      </c>
      <c r="AS42" s="240">
        <f>IF('CF表（ご主人様死亡時）'!AS$3="","",'CF表（ご主人様死亡時）'!AS42/10000)</f>
        <v/>
      </c>
      <c r="AT42" s="240">
        <f>IF('CF表（ご主人様死亡時）'!AT$3="","",'CF表（ご主人様死亡時）'!AT42/10000)</f>
        <v/>
      </c>
      <c r="AU42" s="240">
        <f>IF('CF表（ご主人様死亡時）'!AU$3="","",'CF表（ご主人様死亡時）'!AU42/10000)</f>
        <v/>
      </c>
      <c r="AV42" s="240">
        <f>IF('CF表（ご主人様死亡時）'!AV$3="","",'CF表（ご主人様死亡時）'!AV42/10000)</f>
        <v/>
      </c>
      <c r="AW42" s="240">
        <f>IF('CF表（ご主人様死亡時）'!AW$3="","",'CF表（ご主人様死亡時）'!AW42/10000)</f>
        <v/>
      </c>
      <c r="AX42" s="240">
        <f>IF('CF表（ご主人様死亡時）'!AX$3="","",'CF表（ご主人様死亡時）'!AX42/10000)</f>
        <v/>
      </c>
      <c r="AY42" s="240">
        <f>IF('CF表（ご主人様死亡時）'!AY$3="","",'CF表（ご主人様死亡時）'!AY42/10000)</f>
        <v/>
      </c>
      <c r="AZ42" s="240">
        <f>IF('CF表（ご主人様死亡時）'!AZ$3="","",'CF表（ご主人様死亡時）'!AZ42/10000)</f>
        <v/>
      </c>
      <c r="BA42" s="240">
        <f>IF('CF表（ご主人様死亡時）'!BA$3="","",'CF表（ご主人様死亡時）'!BA42/10000)</f>
        <v/>
      </c>
      <c r="BB42" s="240">
        <f>IF('CF表（ご主人様死亡時）'!BB$3="","",'CF表（ご主人様死亡時）'!BB42/10000)</f>
        <v/>
      </c>
      <c r="BC42" s="240">
        <f>IF('CF表（ご主人様死亡時）'!BC$3="","",'CF表（ご主人様死亡時）'!BC42/10000)</f>
        <v/>
      </c>
      <c r="BD42" s="240">
        <f>IF('CF表（ご主人様死亡時）'!BD$3="","",'CF表（ご主人様死亡時）'!BD42/10000)</f>
        <v/>
      </c>
      <c r="BE42" s="240">
        <f>IF('CF表（ご主人様死亡時）'!BE$3="","",'CF表（ご主人様死亡時）'!BE42/10000)</f>
        <v/>
      </c>
      <c r="BF42" s="240">
        <f>IF('CF表（ご主人様死亡時）'!BF$3="","",'CF表（ご主人様死亡時）'!BF42/10000)</f>
        <v/>
      </c>
      <c r="BG42" s="240">
        <f>IF('CF表（ご主人様死亡時）'!BG$3="","",'CF表（ご主人様死亡時）'!BG42/10000)</f>
        <v/>
      </c>
      <c r="BH42" s="240">
        <f>IF('CF表（ご主人様死亡時）'!BH$3="","",'CF表（ご主人様死亡時）'!BH42/10000)</f>
        <v/>
      </c>
      <c r="BI42" s="240">
        <f>IF('CF表（ご主人様死亡時）'!BI$3="","",'CF表（ご主人様死亡時）'!BI42/10000)</f>
        <v/>
      </c>
      <c r="BJ42" s="240">
        <f>IF('CF表（ご主人様死亡時）'!BJ$3="","",'CF表（ご主人様死亡時）'!BJ42/10000)</f>
        <v/>
      </c>
      <c r="BK42" s="240">
        <f>IF('CF表（ご主人様死亡時）'!BK$3="","",'CF表（ご主人様死亡時）'!BK42/10000)</f>
        <v/>
      </c>
      <c r="BL42" s="240">
        <f>IF('CF表（ご主人様死亡時）'!BL$3="","",'CF表（ご主人様死亡時）'!BL42/10000)</f>
        <v/>
      </c>
      <c r="BM42" s="240">
        <f>IF('CF表（ご主人様死亡時）'!BM$3="","",'CF表（ご主人様死亡時）'!BM42/10000)</f>
        <v/>
      </c>
      <c r="BN42" s="240">
        <f>IF('CF表（ご主人様死亡時）'!BN$3="","",'CF表（ご主人様死亡時）'!BN42/10000)</f>
        <v/>
      </c>
      <c r="BO42" s="240">
        <f>IF('CF表（ご主人様死亡時）'!BO$3="","",'CF表（ご主人様死亡時）'!BO42/10000)</f>
        <v/>
      </c>
      <c r="BP42" s="240">
        <f>IF('CF表（ご主人様死亡時）'!BP$3="","",'CF表（ご主人様死亡時）'!BP42/10000)</f>
        <v/>
      </c>
      <c r="BQ42" s="240">
        <f>IF('CF表（ご主人様死亡時）'!BQ$3="","",'CF表（ご主人様死亡時）'!BQ42/10000)</f>
        <v/>
      </c>
      <c r="BR42" s="240">
        <f>IF('CF表（ご主人様死亡時）'!BR$3="","",'CF表（ご主人様死亡時）'!BR42/10000)</f>
        <v/>
      </c>
      <c r="BS42" s="240">
        <f>IF('CF表（ご主人様死亡時）'!BS$3="","",'CF表（ご主人様死亡時）'!BS42/10000)</f>
        <v/>
      </c>
      <c r="BT42" s="240">
        <f>IF('CF表（ご主人様死亡時）'!BT$3="","",'CF表（ご主人様死亡時）'!BT42/10000)</f>
        <v/>
      </c>
      <c r="BU42" s="240">
        <f>IF('CF表（ご主人様死亡時）'!BU$3="","",'CF表（ご主人様死亡時）'!BU42/10000)</f>
        <v/>
      </c>
      <c r="BV42" s="240">
        <f>IF('CF表（ご主人様死亡時）'!BV$3="","",'CF表（ご主人様死亡時）'!BV42/10000)</f>
        <v/>
      </c>
      <c r="BW42" s="240">
        <f>IF('CF表（ご主人様死亡時）'!BW$3="","",'CF表（ご主人様死亡時）'!BW42/10000)</f>
        <v/>
      </c>
      <c r="BX42" s="240">
        <f>IF('CF表（ご主人様死亡時）'!BX$3="","",'CF表（ご主人様死亡時）'!BX42/10000)</f>
        <v/>
      </c>
      <c r="BY42" s="240">
        <f>IF('CF表（ご主人様死亡時）'!BY$3="","",'CF表（ご主人様死亡時）'!BY42/10000)</f>
        <v/>
      </c>
      <c r="BZ42" s="240">
        <f>IF('CF表（ご主人様死亡時）'!BZ$3="","",'CF表（ご主人様死亡時）'!BZ42/10000)</f>
        <v/>
      </c>
      <c r="CA42" s="240">
        <f>IF('CF表（ご主人様死亡時）'!CA$3="","",'CF表（ご主人様死亡時）'!CA42/10000)</f>
        <v/>
      </c>
      <c r="CB42" s="240">
        <f>IF('CF表（ご主人様死亡時）'!CB$3="","",'CF表（ご主人様死亡時）'!CB42/10000)</f>
        <v/>
      </c>
      <c r="CC42" s="240">
        <f>IF('CF表（ご主人様死亡時）'!CC$3="","",'CF表（ご主人様死亡時）'!CC42/10000)</f>
        <v/>
      </c>
      <c r="CD42" s="240">
        <f>IF('CF表（ご主人様死亡時）'!CD$3="","",'CF表（ご主人様死亡時）'!CD42/10000)</f>
        <v/>
      </c>
      <c r="CE42" s="240">
        <f>IF('CF表（ご主人様死亡時）'!CE$3="","",'CF表（ご主人様死亡時）'!CE42/10000)</f>
        <v/>
      </c>
      <c r="CF42" s="240">
        <f>IF('CF表（ご主人様死亡時）'!CF$3="","",'CF表（ご主人様死亡時）'!CF42/10000)</f>
        <v/>
      </c>
      <c r="CG42" s="240">
        <f>IF('CF表（ご主人様死亡時）'!CG$3="","",'CF表（ご主人様死亡時）'!CG42/10000)</f>
        <v/>
      </c>
      <c r="CH42" s="240">
        <f>IF('CF表（ご主人様死亡時）'!CH$3="","",'CF表（ご主人様死亡時）'!CH42/10000)</f>
        <v/>
      </c>
      <c r="CI42" s="240">
        <f>IF('CF表（ご主人様死亡時）'!CI$3="","",'CF表（ご主人様死亡時）'!CI42/10000)</f>
        <v/>
      </c>
      <c r="CJ42" s="240">
        <f>IF('CF表（ご主人様死亡時）'!CJ$3="","",'CF表（ご主人様死亡時）'!CJ42/10000)</f>
        <v/>
      </c>
      <c r="CK42" s="240">
        <f>IF('CF表（ご主人様死亡時）'!CK$3="","",'CF表（ご主人様死亡時）'!CK42/10000)</f>
        <v/>
      </c>
      <c r="CL42" s="240">
        <f>IF('CF表（ご主人様死亡時）'!CL$3="","",'CF表（ご主人様死亡時）'!CL42/10000)</f>
        <v/>
      </c>
      <c r="CM42" s="240">
        <f>IF('CF表（ご主人様死亡時）'!CM$3="","",'CF表（ご主人様死亡時）'!CM42/10000)</f>
        <v/>
      </c>
      <c r="CN42" s="240">
        <f>IF('CF表（ご主人様死亡時）'!CN$3="","",'CF表（ご主人様死亡時）'!CN42/10000)</f>
        <v/>
      </c>
      <c r="CO42" s="240">
        <f>IF('CF表（ご主人様死亡時）'!CO$3="","",'CF表（ご主人様死亡時）'!CO42/10000)</f>
        <v/>
      </c>
      <c r="CP42" s="240">
        <f>IF('CF表（ご主人様死亡時）'!CP$3="","",'CF表（ご主人様死亡時）'!CP42/10000)</f>
        <v/>
      </c>
      <c r="CQ42" s="240">
        <f>IF('CF表（ご主人様死亡時）'!CQ$3="","",'CF表（ご主人様死亡時）'!CQ42/10000)</f>
        <v/>
      </c>
      <c r="CR42" s="240">
        <f>IF('CF表（ご主人様死亡時）'!CR$3="","",'CF表（ご主人様死亡時）'!CR42/10000)</f>
        <v/>
      </c>
      <c r="CS42" s="240">
        <f>IF('CF表（ご主人様死亡時）'!CS$3="","",'CF表（ご主人様死亡時）'!CS42/10000)</f>
        <v/>
      </c>
      <c r="CT42" s="240">
        <f>IF('CF表（ご主人様死亡時）'!CT$3="","",'CF表（ご主人様死亡時）'!CT42/10000)</f>
        <v/>
      </c>
      <c r="CU42" s="240">
        <f>IF('CF表（ご主人様死亡時）'!CU$3="","",'CF表（ご主人様死亡時）'!CU42/10000)</f>
        <v/>
      </c>
      <c r="CV42" s="240">
        <f>IF('CF表（ご主人様死亡時）'!CV$3="","",'CF表（ご主人様死亡時）'!CV42/10000)</f>
        <v/>
      </c>
      <c r="CW42" s="240">
        <f>IF('CF表（ご主人様死亡時）'!CW$3="","",'CF表（ご主人様死亡時）'!CW42/10000)</f>
        <v/>
      </c>
    </row>
    <row r="43" hidden="1" ht="16.5" customHeight="1" s="180">
      <c r="A43" s="239" t="inlineStr">
        <is>
          <t>老後不足額(補助)</t>
        </is>
      </c>
      <c r="B43" s="240">
        <f>IF('CF表（ご主人様死亡時）'!B$3="","",'CF表（ご主人様死亡時）'!B43/10000)</f>
        <v/>
      </c>
      <c r="C43" s="240">
        <f>IF('CF表（ご主人様死亡時）'!C$3="","",'CF表（ご主人様死亡時）'!C43/10000)</f>
        <v/>
      </c>
      <c r="D43" s="240">
        <f>IF('CF表（ご主人様死亡時）'!D$3="","",'CF表（ご主人様死亡時）'!D43/10000)</f>
        <v/>
      </c>
      <c r="E43" s="240">
        <f>IF('CF表（ご主人様死亡時）'!E$3="","",'CF表（ご主人様死亡時）'!E43/10000)</f>
        <v/>
      </c>
      <c r="F43" s="240">
        <f>IF('CF表（ご主人様死亡時）'!F$3="","",'CF表（ご主人様死亡時）'!F43/10000)</f>
        <v/>
      </c>
      <c r="G43" s="240">
        <f>IF('CF表（ご主人様死亡時）'!G$3="","",'CF表（ご主人様死亡時）'!G43/10000)</f>
        <v/>
      </c>
      <c r="H43" s="240">
        <f>IF('CF表（ご主人様死亡時）'!H$3="","",'CF表（ご主人様死亡時）'!H43/10000)</f>
        <v/>
      </c>
      <c r="I43" s="240">
        <f>IF('CF表（ご主人様死亡時）'!I$3="","",'CF表（ご主人様死亡時）'!I43/10000)</f>
        <v/>
      </c>
      <c r="J43" s="240">
        <f>IF('CF表（ご主人様死亡時）'!J$3="","",'CF表（ご主人様死亡時）'!J43/10000)</f>
        <v/>
      </c>
      <c r="K43" s="240">
        <f>IF('CF表（ご主人様死亡時）'!K$3="","",'CF表（ご主人様死亡時）'!K43/10000)</f>
        <v/>
      </c>
      <c r="L43" s="240">
        <f>IF('CF表（ご主人様死亡時）'!L$3="","",'CF表（ご主人様死亡時）'!L43/10000)</f>
        <v/>
      </c>
      <c r="M43" s="240">
        <f>IF('CF表（ご主人様死亡時）'!M$3="","",'CF表（ご主人様死亡時）'!M43/10000)</f>
        <v/>
      </c>
      <c r="N43" s="240">
        <f>IF('CF表（ご主人様死亡時）'!N$3="","",'CF表（ご主人様死亡時）'!N43/10000)</f>
        <v/>
      </c>
      <c r="O43" s="240">
        <f>IF('CF表（ご主人様死亡時）'!O$3="","",'CF表（ご主人様死亡時）'!O43/10000)</f>
        <v/>
      </c>
      <c r="P43" s="240">
        <f>IF('CF表（ご主人様死亡時）'!P$3="","",'CF表（ご主人様死亡時）'!P43/10000)</f>
        <v/>
      </c>
      <c r="Q43" s="240">
        <f>IF('CF表（ご主人様死亡時）'!Q$3="","",'CF表（ご主人様死亡時）'!Q43/10000)</f>
        <v/>
      </c>
      <c r="R43" s="240">
        <f>IF('CF表（ご主人様死亡時）'!R$3="","",'CF表（ご主人様死亡時）'!R43/10000)</f>
        <v/>
      </c>
      <c r="S43" s="240">
        <f>IF('CF表（ご主人様死亡時）'!S$3="","",'CF表（ご主人様死亡時）'!S43/10000)</f>
        <v/>
      </c>
      <c r="T43" s="240">
        <f>IF('CF表（ご主人様死亡時）'!T$3="","",'CF表（ご主人様死亡時）'!T43/10000)</f>
        <v/>
      </c>
      <c r="U43" s="240">
        <f>IF('CF表（ご主人様死亡時）'!U$3="","",'CF表（ご主人様死亡時）'!U43/10000)</f>
        <v/>
      </c>
      <c r="V43" s="240">
        <f>IF('CF表（ご主人様死亡時）'!V$3="","",'CF表（ご主人様死亡時）'!V43/10000)</f>
        <v/>
      </c>
      <c r="W43" s="240">
        <f>IF('CF表（ご主人様死亡時）'!W$3="","",'CF表（ご主人様死亡時）'!W43/10000)</f>
        <v/>
      </c>
      <c r="X43" s="240">
        <f>IF('CF表（ご主人様死亡時）'!X$3="","",'CF表（ご主人様死亡時）'!X43/10000)</f>
        <v/>
      </c>
      <c r="Y43" s="240">
        <f>IF('CF表（ご主人様死亡時）'!Y$3="","",'CF表（ご主人様死亡時）'!Y43/10000)</f>
        <v/>
      </c>
      <c r="Z43" s="240">
        <f>IF('CF表（ご主人様死亡時）'!Z$3="","",'CF表（ご主人様死亡時）'!Z43/10000)</f>
        <v/>
      </c>
      <c r="AA43" s="240">
        <f>IF('CF表（ご主人様死亡時）'!AA$3="","",'CF表（ご主人様死亡時）'!AA43/10000)</f>
        <v/>
      </c>
      <c r="AB43" s="240">
        <f>IF('CF表（ご主人様死亡時）'!AB$3="","",'CF表（ご主人様死亡時）'!AB43/10000)</f>
        <v/>
      </c>
      <c r="AC43" s="240">
        <f>IF('CF表（ご主人様死亡時）'!AC$3="","",'CF表（ご主人様死亡時）'!AC43/10000)</f>
        <v/>
      </c>
      <c r="AD43" s="240">
        <f>IF('CF表（ご主人様死亡時）'!AD$3="","",'CF表（ご主人様死亡時）'!AD43/10000)</f>
        <v/>
      </c>
      <c r="AE43" s="240">
        <f>IF('CF表（ご主人様死亡時）'!AE$3="","",'CF表（ご主人様死亡時）'!AE43/10000)</f>
        <v/>
      </c>
      <c r="AF43" s="240">
        <f>IF('CF表（ご主人様死亡時）'!AF$3="","",'CF表（ご主人様死亡時）'!AF43/10000)</f>
        <v/>
      </c>
      <c r="AG43" s="240">
        <f>IF('CF表（ご主人様死亡時）'!AG$3="","",'CF表（ご主人様死亡時）'!AG43/10000)</f>
        <v/>
      </c>
      <c r="AH43" s="240">
        <f>IF('CF表（ご主人様死亡時）'!AH$3="","",'CF表（ご主人様死亡時）'!AH43/10000)</f>
        <v/>
      </c>
      <c r="AI43" s="240">
        <f>IF('CF表（ご主人様死亡時）'!AI$3="","",'CF表（ご主人様死亡時）'!AI43/10000)</f>
        <v/>
      </c>
      <c r="AJ43" s="240">
        <f>IF('CF表（ご主人様死亡時）'!AJ$3="","",'CF表（ご主人様死亡時）'!AJ43/10000)</f>
        <v/>
      </c>
      <c r="AK43" s="240">
        <f>IF('CF表（ご主人様死亡時）'!AK$3="","",'CF表（ご主人様死亡時）'!AK43/10000)</f>
        <v/>
      </c>
      <c r="AL43" s="240">
        <f>IF('CF表（ご主人様死亡時）'!AL$3="","",'CF表（ご主人様死亡時）'!AL43/10000)</f>
        <v/>
      </c>
      <c r="AM43" s="240">
        <f>IF('CF表（ご主人様死亡時）'!AM$3="","",'CF表（ご主人様死亡時）'!AM43/10000)</f>
        <v/>
      </c>
      <c r="AN43" s="240">
        <f>IF('CF表（ご主人様死亡時）'!AN$3="","",'CF表（ご主人様死亡時）'!AN43/10000)</f>
        <v/>
      </c>
      <c r="AO43" s="240">
        <f>IF('CF表（ご主人様死亡時）'!AO$3="","",'CF表（ご主人様死亡時）'!AO43/10000)</f>
        <v/>
      </c>
      <c r="AP43" s="240">
        <f>IF('CF表（ご主人様死亡時）'!AP$3="","",'CF表（ご主人様死亡時）'!AP43/10000)</f>
        <v/>
      </c>
      <c r="AQ43" s="240">
        <f>IF('CF表（ご主人様死亡時）'!AQ$3="","",'CF表（ご主人様死亡時）'!AQ43/10000)</f>
        <v/>
      </c>
      <c r="AR43" s="240">
        <f>IF('CF表（ご主人様死亡時）'!AR$3="","",'CF表（ご主人様死亡時）'!AR43/10000)</f>
        <v/>
      </c>
      <c r="AS43" s="240">
        <f>IF('CF表（ご主人様死亡時）'!AS$3="","",'CF表（ご主人様死亡時）'!AS43/10000)</f>
        <v/>
      </c>
      <c r="AT43" s="240">
        <f>IF('CF表（ご主人様死亡時）'!AT$3="","",'CF表（ご主人様死亡時）'!AT43/10000)</f>
        <v/>
      </c>
      <c r="AU43" s="240">
        <f>IF('CF表（ご主人様死亡時）'!AU$3="","",'CF表（ご主人様死亡時）'!AU43/10000)</f>
        <v/>
      </c>
      <c r="AV43" s="240">
        <f>IF('CF表（ご主人様死亡時）'!AV$3="","",'CF表（ご主人様死亡時）'!AV43/10000)</f>
        <v/>
      </c>
      <c r="AW43" s="240">
        <f>IF('CF表（ご主人様死亡時）'!AW$3="","",'CF表（ご主人様死亡時）'!AW43/10000)</f>
        <v/>
      </c>
      <c r="AX43" s="240">
        <f>IF('CF表（ご主人様死亡時）'!AX$3="","",'CF表（ご主人様死亡時）'!AX43/10000)</f>
        <v/>
      </c>
      <c r="AY43" s="240">
        <f>IF('CF表（ご主人様死亡時）'!AY$3="","",'CF表（ご主人様死亡時）'!AY43/10000)</f>
        <v/>
      </c>
      <c r="AZ43" s="240">
        <f>IF('CF表（ご主人様死亡時）'!AZ$3="","",'CF表（ご主人様死亡時）'!AZ43/10000)</f>
        <v/>
      </c>
      <c r="BA43" s="240">
        <f>IF('CF表（ご主人様死亡時）'!BA$3="","",'CF表（ご主人様死亡時）'!BA43/10000)</f>
        <v/>
      </c>
      <c r="BB43" s="240">
        <f>IF('CF表（ご主人様死亡時）'!BB$3="","",'CF表（ご主人様死亡時）'!BB43/10000)</f>
        <v/>
      </c>
      <c r="BC43" s="240">
        <f>IF('CF表（ご主人様死亡時）'!BC$3="","",'CF表（ご主人様死亡時）'!BC43/10000)</f>
        <v/>
      </c>
      <c r="BD43" s="240">
        <f>IF('CF表（ご主人様死亡時）'!BD$3="","",'CF表（ご主人様死亡時）'!BD43/10000)</f>
        <v/>
      </c>
      <c r="BE43" s="240">
        <f>IF('CF表（ご主人様死亡時）'!BE$3="","",'CF表（ご主人様死亡時）'!BE43/10000)</f>
        <v/>
      </c>
      <c r="BF43" s="240">
        <f>IF('CF表（ご主人様死亡時）'!BF$3="","",'CF表（ご主人様死亡時）'!BF43/10000)</f>
        <v/>
      </c>
      <c r="BG43" s="240">
        <f>IF('CF表（ご主人様死亡時）'!BG$3="","",'CF表（ご主人様死亡時）'!BG43/10000)</f>
        <v/>
      </c>
      <c r="BH43" s="240">
        <f>IF('CF表（ご主人様死亡時）'!BH$3="","",'CF表（ご主人様死亡時）'!BH43/10000)</f>
        <v/>
      </c>
      <c r="BI43" s="240">
        <f>IF('CF表（ご主人様死亡時）'!BI$3="","",'CF表（ご主人様死亡時）'!BI43/10000)</f>
        <v/>
      </c>
      <c r="BJ43" s="240">
        <f>IF('CF表（ご主人様死亡時）'!BJ$3="","",'CF表（ご主人様死亡時）'!BJ43/10000)</f>
        <v/>
      </c>
      <c r="BK43" s="240">
        <f>IF('CF表（ご主人様死亡時）'!BK$3="","",'CF表（ご主人様死亡時）'!BK43/10000)</f>
        <v/>
      </c>
      <c r="BL43" s="240">
        <f>IF('CF表（ご主人様死亡時）'!BL$3="","",'CF表（ご主人様死亡時）'!BL43/10000)</f>
        <v/>
      </c>
      <c r="BM43" s="240">
        <f>IF('CF表（ご主人様死亡時）'!BM$3="","",'CF表（ご主人様死亡時）'!BM43/10000)</f>
        <v/>
      </c>
      <c r="BN43" s="240">
        <f>IF('CF表（ご主人様死亡時）'!BN$3="","",'CF表（ご主人様死亡時）'!BN43/10000)</f>
        <v/>
      </c>
      <c r="BO43" s="240">
        <f>IF('CF表（ご主人様死亡時）'!BO$3="","",'CF表（ご主人様死亡時）'!BO43/10000)</f>
        <v/>
      </c>
      <c r="BP43" s="240">
        <f>IF('CF表（ご主人様死亡時）'!BP$3="","",'CF表（ご主人様死亡時）'!BP43/10000)</f>
        <v/>
      </c>
      <c r="BQ43" s="240">
        <f>IF('CF表（ご主人様死亡時）'!BQ$3="","",'CF表（ご主人様死亡時）'!BQ43/10000)</f>
        <v/>
      </c>
      <c r="BR43" s="240">
        <f>IF('CF表（ご主人様死亡時）'!BR$3="","",'CF表（ご主人様死亡時）'!BR43/10000)</f>
        <v/>
      </c>
      <c r="BS43" s="240">
        <f>IF('CF表（ご主人様死亡時）'!BS$3="","",'CF表（ご主人様死亡時）'!BS43/10000)</f>
        <v/>
      </c>
      <c r="BT43" s="240">
        <f>IF('CF表（ご主人様死亡時）'!BT$3="","",'CF表（ご主人様死亡時）'!BT43/10000)</f>
        <v/>
      </c>
      <c r="BU43" s="240">
        <f>IF('CF表（ご主人様死亡時）'!BU$3="","",'CF表（ご主人様死亡時）'!BU43/10000)</f>
        <v/>
      </c>
      <c r="BV43" s="240">
        <f>IF('CF表（ご主人様死亡時）'!BV$3="","",'CF表（ご主人様死亡時）'!BV43/10000)</f>
        <v/>
      </c>
      <c r="BW43" s="240">
        <f>IF('CF表（ご主人様死亡時）'!BW$3="","",'CF表（ご主人様死亡時）'!BW43/10000)</f>
        <v/>
      </c>
      <c r="BX43" s="240">
        <f>IF('CF表（ご主人様死亡時）'!BX$3="","",'CF表（ご主人様死亡時）'!BX43/10000)</f>
        <v/>
      </c>
      <c r="BY43" s="240">
        <f>IF('CF表（ご主人様死亡時）'!BY$3="","",'CF表（ご主人様死亡時）'!BY43/10000)</f>
        <v/>
      </c>
      <c r="BZ43" s="240">
        <f>IF('CF表（ご主人様死亡時）'!BZ$3="","",'CF表（ご主人様死亡時）'!BZ43/10000)</f>
        <v/>
      </c>
      <c r="CA43" s="240">
        <f>IF('CF表（ご主人様死亡時）'!CA$3="","",'CF表（ご主人様死亡時）'!CA43/10000)</f>
        <v/>
      </c>
      <c r="CB43" s="240">
        <f>IF('CF表（ご主人様死亡時）'!CB$3="","",'CF表（ご主人様死亡時）'!CB43/10000)</f>
        <v/>
      </c>
      <c r="CC43" s="240">
        <f>IF('CF表（ご主人様死亡時）'!CC$3="","",'CF表（ご主人様死亡時）'!CC43/10000)</f>
        <v/>
      </c>
      <c r="CD43" s="240">
        <f>IF('CF表（ご主人様死亡時）'!CD$3="","",'CF表（ご主人様死亡時）'!CD43/10000)</f>
        <v/>
      </c>
      <c r="CE43" s="240">
        <f>IF('CF表（ご主人様死亡時）'!CE$3="","",'CF表（ご主人様死亡時）'!CE43/10000)</f>
        <v/>
      </c>
      <c r="CF43" s="240">
        <f>IF('CF表（ご主人様死亡時）'!CF$3="","",'CF表（ご主人様死亡時）'!CF43/10000)</f>
        <v/>
      </c>
      <c r="CG43" s="240">
        <f>IF('CF表（ご主人様死亡時）'!CG$3="","",'CF表（ご主人様死亡時）'!CG43/10000)</f>
        <v/>
      </c>
      <c r="CH43" s="240">
        <f>IF('CF表（ご主人様死亡時）'!CH$3="","",'CF表（ご主人様死亡時）'!CH43/10000)</f>
        <v/>
      </c>
      <c r="CI43" s="240">
        <f>IF('CF表（ご主人様死亡時）'!CI$3="","",'CF表（ご主人様死亡時）'!CI43/10000)</f>
        <v/>
      </c>
      <c r="CJ43" s="240">
        <f>IF('CF表（ご主人様死亡時）'!CJ$3="","",'CF表（ご主人様死亡時）'!CJ43/10000)</f>
        <v/>
      </c>
      <c r="CK43" s="240">
        <f>IF('CF表（ご主人様死亡時）'!CK$3="","",'CF表（ご主人様死亡時）'!CK43/10000)</f>
        <v/>
      </c>
      <c r="CL43" s="240">
        <f>IF('CF表（ご主人様死亡時）'!CL$3="","",'CF表（ご主人様死亡時）'!CL43/10000)</f>
        <v/>
      </c>
      <c r="CM43" s="240">
        <f>IF('CF表（ご主人様死亡時）'!CM$3="","",'CF表（ご主人様死亡時）'!CM43/10000)</f>
        <v/>
      </c>
      <c r="CN43" s="240">
        <f>IF('CF表（ご主人様死亡時）'!CN$3="","",'CF表（ご主人様死亡時）'!CN43/10000)</f>
        <v/>
      </c>
      <c r="CO43" s="240">
        <f>IF('CF表（ご主人様死亡時）'!CO$3="","",'CF表（ご主人様死亡時）'!CO43/10000)</f>
        <v/>
      </c>
      <c r="CP43" s="240">
        <f>IF('CF表（ご主人様死亡時）'!CP$3="","",'CF表（ご主人様死亡時）'!CP43/10000)</f>
        <v/>
      </c>
      <c r="CQ43" s="240">
        <f>IF('CF表（ご主人様死亡時）'!CQ$3="","",'CF表（ご主人様死亡時）'!CQ43/10000)</f>
        <v/>
      </c>
      <c r="CR43" s="240">
        <f>IF('CF表（ご主人様死亡時）'!CR$3="","",'CF表（ご主人様死亡時）'!CR43/10000)</f>
        <v/>
      </c>
      <c r="CS43" s="240">
        <f>IF('CF表（ご主人様死亡時）'!CS$3="","",'CF表（ご主人様死亡時）'!CS43/10000)</f>
        <v/>
      </c>
      <c r="CT43" s="240">
        <f>IF('CF表（ご主人様死亡時）'!CT$3="","",'CF表（ご主人様死亡時）'!CT43/10000)</f>
        <v/>
      </c>
      <c r="CU43" s="240">
        <f>IF('CF表（ご主人様死亡時）'!CU$3="","",'CF表（ご主人様死亡時）'!CU43/10000)</f>
        <v/>
      </c>
      <c r="CV43" s="240">
        <f>IF('CF表（ご主人様死亡時）'!CV$3="","",'CF表（ご主人様死亡時）'!CV43/10000)</f>
        <v/>
      </c>
      <c r="CW43" s="240">
        <f>IF('CF表（ご主人様死亡時）'!CW$3="","",'CF表（ご主人様死亡時）'!CW43/10000)</f>
        <v/>
      </c>
    </row>
    <row r="44" ht="15" customHeight="1" s="180">
      <c r="A44" s="241" t="inlineStr">
        <is>
          <t>保有資産合計（参考）</t>
        </is>
      </c>
      <c r="B44" s="242">
        <f>IF('CF表（ご主人様死亡時）'!B$3="","",'CF表（ご主人様死亡時）'!B44/10000)</f>
        <v/>
      </c>
      <c r="C44" s="242">
        <f>IF('CF表（ご主人様死亡時）'!C$3="","",'CF表（ご主人様死亡時）'!C44/10000)</f>
        <v/>
      </c>
      <c r="D44" s="242">
        <f>IF('CF表（ご主人様死亡時）'!D$3="","",'CF表（ご主人様死亡時）'!D44/10000)</f>
        <v/>
      </c>
      <c r="E44" s="242">
        <f>IF('CF表（ご主人様死亡時）'!E$3="","",'CF表（ご主人様死亡時）'!E44/10000)</f>
        <v/>
      </c>
      <c r="F44" s="242">
        <f>IF('CF表（ご主人様死亡時）'!F$3="","",'CF表（ご主人様死亡時）'!F44/10000)</f>
        <v/>
      </c>
      <c r="G44" s="242">
        <f>IF('CF表（ご主人様死亡時）'!G$3="","",'CF表（ご主人様死亡時）'!G44/10000)</f>
        <v/>
      </c>
      <c r="H44" s="242">
        <f>IF('CF表（ご主人様死亡時）'!H$3="","",'CF表（ご主人様死亡時）'!H44/10000)</f>
        <v/>
      </c>
      <c r="I44" s="242">
        <f>IF('CF表（ご主人様死亡時）'!I$3="","",'CF表（ご主人様死亡時）'!I44/10000)</f>
        <v/>
      </c>
      <c r="J44" s="242">
        <f>IF('CF表（ご主人様死亡時）'!J$3="","",'CF表（ご主人様死亡時）'!J44/10000)</f>
        <v/>
      </c>
      <c r="K44" s="242">
        <f>IF('CF表（ご主人様死亡時）'!K$3="","",'CF表（ご主人様死亡時）'!K44/10000)</f>
        <v/>
      </c>
      <c r="L44" s="242">
        <f>IF('CF表（ご主人様死亡時）'!L$3="","",'CF表（ご主人様死亡時）'!L44/10000)</f>
        <v/>
      </c>
      <c r="M44" s="242">
        <f>IF('CF表（ご主人様死亡時）'!M$3="","",'CF表（ご主人様死亡時）'!M44/10000)</f>
        <v/>
      </c>
      <c r="N44" s="242">
        <f>IF('CF表（ご主人様死亡時）'!N$3="","",'CF表（ご主人様死亡時）'!N44/10000)</f>
        <v/>
      </c>
      <c r="O44" s="242">
        <f>IF('CF表（ご主人様死亡時）'!O$3="","",'CF表（ご主人様死亡時）'!O44/10000)</f>
        <v/>
      </c>
      <c r="P44" s="242">
        <f>IF('CF表（ご主人様死亡時）'!P$3="","",'CF表（ご主人様死亡時）'!P44/10000)</f>
        <v/>
      </c>
      <c r="Q44" s="242">
        <f>IF('CF表（ご主人様死亡時）'!Q$3="","",'CF表（ご主人様死亡時）'!Q44/10000)</f>
        <v/>
      </c>
      <c r="R44" s="242">
        <f>IF('CF表（ご主人様死亡時）'!R$3="","",'CF表（ご主人様死亡時）'!R44/10000)</f>
        <v/>
      </c>
      <c r="S44" s="242">
        <f>IF('CF表（ご主人様死亡時）'!S$3="","",'CF表（ご主人様死亡時）'!S44/10000)</f>
        <v/>
      </c>
      <c r="T44" s="242">
        <f>IF('CF表（ご主人様死亡時）'!T$3="","",'CF表（ご主人様死亡時）'!T44/10000)</f>
        <v/>
      </c>
      <c r="U44" s="242">
        <f>IF('CF表（ご主人様死亡時）'!U$3="","",'CF表（ご主人様死亡時）'!U44/10000)</f>
        <v/>
      </c>
      <c r="V44" s="242">
        <f>IF('CF表（ご主人様死亡時）'!V$3="","",'CF表（ご主人様死亡時）'!V44/10000)</f>
        <v/>
      </c>
      <c r="W44" s="242">
        <f>IF('CF表（ご主人様死亡時）'!W$3="","",'CF表（ご主人様死亡時）'!W44/10000)</f>
        <v/>
      </c>
      <c r="X44" s="242">
        <f>IF('CF表（ご主人様死亡時）'!X$3="","",'CF表（ご主人様死亡時）'!X44/10000)</f>
        <v/>
      </c>
      <c r="Y44" s="242">
        <f>IF('CF表（ご主人様死亡時）'!Y$3="","",'CF表（ご主人様死亡時）'!Y44/10000)</f>
        <v/>
      </c>
      <c r="Z44" s="242">
        <f>IF('CF表（ご主人様死亡時）'!Z$3="","",'CF表（ご主人様死亡時）'!Z44/10000)</f>
        <v/>
      </c>
      <c r="AA44" s="242">
        <f>IF('CF表（ご主人様死亡時）'!AA$3="","",'CF表（ご主人様死亡時）'!AA44/10000)</f>
        <v/>
      </c>
      <c r="AB44" s="242">
        <f>IF('CF表（ご主人様死亡時）'!AB$3="","",'CF表（ご主人様死亡時）'!AB44/10000)</f>
        <v/>
      </c>
      <c r="AC44" s="242">
        <f>IF('CF表（ご主人様死亡時）'!AC$3="","",'CF表（ご主人様死亡時）'!AC44/10000)</f>
        <v/>
      </c>
      <c r="AD44" s="242">
        <f>IF('CF表（ご主人様死亡時）'!AD$3="","",'CF表（ご主人様死亡時）'!AD44/10000)</f>
        <v/>
      </c>
      <c r="AE44" s="242">
        <f>IF('CF表（ご主人様死亡時）'!AE$3="","",'CF表（ご主人様死亡時）'!AE44/10000)</f>
        <v/>
      </c>
      <c r="AF44" s="242">
        <f>IF('CF表（ご主人様死亡時）'!AF$3="","",'CF表（ご主人様死亡時）'!AF44/10000)</f>
        <v/>
      </c>
      <c r="AG44" s="242">
        <f>IF('CF表（ご主人様死亡時）'!AG$3="","",'CF表（ご主人様死亡時）'!AG44/10000)</f>
        <v/>
      </c>
      <c r="AH44" s="242">
        <f>IF('CF表（ご主人様死亡時）'!AH$3="","",'CF表（ご主人様死亡時）'!AH44/10000)</f>
        <v/>
      </c>
      <c r="AI44" s="242">
        <f>IF('CF表（ご主人様死亡時）'!AI$3="","",'CF表（ご主人様死亡時）'!AI44/10000)</f>
        <v/>
      </c>
      <c r="AJ44" s="242">
        <f>IF('CF表（ご主人様死亡時）'!AJ$3="","",'CF表（ご主人様死亡時）'!AJ44/10000)</f>
        <v/>
      </c>
      <c r="AK44" s="242">
        <f>IF('CF表（ご主人様死亡時）'!AK$3="","",'CF表（ご主人様死亡時）'!AK44/10000)</f>
        <v/>
      </c>
      <c r="AL44" s="242">
        <f>IF('CF表（ご主人様死亡時）'!AL$3="","",'CF表（ご主人様死亡時）'!AL44/10000)</f>
        <v/>
      </c>
      <c r="AM44" s="242">
        <f>IF('CF表（ご主人様死亡時）'!AM$3="","",'CF表（ご主人様死亡時）'!AM44/10000)</f>
        <v/>
      </c>
      <c r="AN44" s="242">
        <f>IF('CF表（ご主人様死亡時）'!AN$3="","",'CF表（ご主人様死亡時）'!AN44/10000)</f>
        <v/>
      </c>
      <c r="AO44" s="242">
        <f>IF('CF表（ご主人様死亡時）'!AO$3="","",'CF表（ご主人様死亡時）'!AO44/10000)</f>
        <v/>
      </c>
      <c r="AP44" s="242">
        <f>IF('CF表（ご主人様死亡時）'!AP$3="","",'CF表（ご主人様死亡時）'!AP44/10000)</f>
        <v/>
      </c>
      <c r="AQ44" s="242">
        <f>IF('CF表（ご主人様死亡時）'!AQ$3="","",'CF表（ご主人様死亡時）'!AQ44/10000)</f>
        <v/>
      </c>
      <c r="AR44" s="242">
        <f>IF('CF表（ご主人様死亡時）'!AR$3="","",'CF表（ご主人様死亡時）'!AR44/10000)</f>
        <v/>
      </c>
      <c r="AS44" s="242">
        <f>IF('CF表（ご主人様死亡時）'!AS$3="","",'CF表（ご主人様死亡時）'!AS44/10000)</f>
        <v/>
      </c>
      <c r="AT44" s="242">
        <f>IF('CF表（ご主人様死亡時）'!AT$3="","",'CF表（ご主人様死亡時）'!AT44/10000)</f>
        <v/>
      </c>
      <c r="AU44" s="242">
        <f>IF('CF表（ご主人様死亡時）'!AU$3="","",'CF表（ご主人様死亡時）'!AU44/10000)</f>
        <v/>
      </c>
      <c r="AV44" s="242">
        <f>IF('CF表（ご主人様死亡時）'!AV$3="","",'CF表（ご主人様死亡時）'!AV44/10000)</f>
        <v/>
      </c>
      <c r="AW44" s="242">
        <f>IF('CF表（ご主人様死亡時）'!AW$3="","",'CF表（ご主人様死亡時）'!AW44/10000)</f>
        <v/>
      </c>
      <c r="AX44" s="242">
        <f>IF('CF表（ご主人様死亡時）'!AX$3="","",'CF表（ご主人様死亡時）'!AX44/10000)</f>
        <v/>
      </c>
      <c r="AY44" s="242">
        <f>IF('CF表（ご主人様死亡時）'!AY$3="","",'CF表（ご主人様死亡時）'!AY44/10000)</f>
        <v/>
      </c>
      <c r="AZ44" s="242">
        <f>IF('CF表（ご主人様死亡時）'!AZ$3="","",'CF表（ご主人様死亡時）'!AZ44/10000)</f>
        <v/>
      </c>
      <c r="BA44" s="242">
        <f>IF('CF表（ご主人様死亡時）'!BA$3="","",'CF表（ご主人様死亡時）'!BA44/10000)</f>
        <v/>
      </c>
      <c r="BB44" s="242">
        <f>IF('CF表（ご主人様死亡時）'!BB$3="","",'CF表（ご主人様死亡時）'!BB44/10000)</f>
        <v/>
      </c>
      <c r="BC44" s="242">
        <f>IF('CF表（ご主人様死亡時）'!BC$3="","",'CF表（ご主人様死亡時）'!BC44/10000)</f>
        <v/>
      </c>
      <c r="BD44" s="242">
        <f>IF('CF表（ご主人様死亡時）'!BD$3="","",'CF表（ご主人様死亡時）'!BD44/10000)</f>
        <v/>
      </c>
      <c r="BE44" s="242">
        <f>IF('CF表（ご主人様死亡時）'!BE$3="","",'CF表（ご主人様死亡時）'!BE44/10000)</f>
        <v/>
      </c>
      <c r="BF44" s="242">
        <f>IF('CF表（ご主人様死亡時）'!BF$3="","",'CF表（ご主人様死亡時）'!BF44/10000)</f>
        <v/>
      </c>
      <c r="BG44" s="242">
        <f>IF('CF表（ご主人様死亡時）'!BG$3="","",'CF表（ご主人様死亡時）'!BG44/10000)</f>
        <v/>
      </c>
      <c r="BH44" s="242">
        <f>IF('CF表（ご主人様死亡時）'!BH$3="","",'CF表（ご主人様死亡時）'!BH44/10000)</f>
        <v/>
      </c>
      <c r="BI44" s="242">
        <f>IF('CF表（ご主人様死亡時）'!BI$3="","",'CF表（ご主人様死亡時）'!BI44/10000)</f>
        <v/>
      </c>
      <c r="BJ44" s="242">
        <f>IF('CF表（ご主人様死亡時）'!BJ$3="","",'CF表（ご主人様死亡時）'!BJ44/10000)</f>
        <v/>
      </c>
      <c r="BK44" s="242">
        <f>IF('CF表（ご主人様死亡時）'!BK$3="","",'CF表（ご主人様死亡時）'!BK44/10000)</f>
        <v/>
      </c>
      <c r="BL44" s="242">
        <f>IF('CF表（ご主人様死亡時）'!BL$3="","",'CF表（ご主人様死亡時）'!BL44/10000)</f>
        <v/>
      </c>
      <c r="BM44" s="242">
        <f>IF('CF表（ご主人様死亡時）'!BM$3="","",'CF表（ご主人様死亡時）'!BM44/10000)</f>
        <v/>
      </c>
      <c r="BN44" s="242">
        <f>IF('CF表（ご主人様死亡時）'!BN$3="","",'CF表（ご主人様死亡時）'!BN44/10000)</f>
        <v/>
      </c>
      <c r="BO44" s="242">
        <f>IF('CF表（ご主人様死亡時）'!BO$3="","",'CF表（ご主人様死亡時）'!BO44/10000)</f>
        <v/>
      </c>
      <c r="BP44" s="242">
        <f>IF('CF表（ご主人様死亡時）'!BP$3="","",'CF表（ご主人様死亡時）'!BP44/10000)</f>
        <v/>
      </c>
      <c r="BQ44" s="242">
        <f>IF('CF表（ご主人様死亡時）'!BQ$3="","",'CF表（ご主人様死亡時）'!BQ44/10000)</f>
        <v/>
      </c>
      <c r="BR44" s="242">
        <f>IF('CF表（ご主人様死亡時）'!BR$3="","",'CF表（ご主人様死亡時）'!BR44/10000)</f>
        <v/>
      </c>
      <c r="BS44" s="242">
        <f>IF('CF表（ご主人様死亡時）'!BS$3="","",'CF表（ご主人様死亡時）'!BS44/10000)</f>
        <v/>
      </c>
      <c r="BT44" s="242">
        <f>IF('CF表（ご主人様死亡時）'!BT$3="","",'CF表（ご主人様死亡時）'!BT44/10000)</f>
        <v/>
      </c>
      <c r="BU44" s="242">
        <f>IF('CF表（ご主人様死亡時）'!BU$3="","",'CF表（ご主人様死亡時）'!BU44/10000)</f>
        <v/>
      </c>
      <c r="BV44" s="242">
        <f>IF('CF表（ご主人様死亡時）'!BV$3="","",'CF表（ご主人様死亡時）'!BV44/10000)</f>
        <v/>
      </c>
      <c r="BW44" s="242">
        <f>IF('CF表（ご主人様死亡時）'!BW$3="","",'CF表（ご主人様死亡時）'!BW44/10000)</f>
        <v/>
      </c>
      <c r="BX44" s="242">
        <f>IF('CF表（ご主人様死亡時）'!BX$3="","",'CF表（ご主人様死亡時）'!BX44/10000)</f>
        <v/>
      </c>
      <c r="BY44" s="242">
        <f>IF('CF表（ご主人様死亡時）'!BY$3="","",'CF表（ご主人様死亡時）'!BY44/10000)</f>
        <v/>
      </c>
      <c r="BZ44" s="242">
        <f>IF('CF表（ご主人様死亡時）'!BZ$3="","",'CF表（ご主人様死亡時）'!BZ44/10000)</f>
        <v/>
      </c>
      <c r="CA44" s="242">
        <f>IF('CF表（ご主人様死亡時）'!CA$3="","",'CF表（ご主人様死亡時）'!CA44/10000)</f>
        <v/>
      </c>
      <c r="CB44" s="242">
        <f>IF('CF表（ご主人様死亡時）'!CB$3="","",'CF表（ご主人様死亡時）'!CB44/10000)</f>
        <v/>
      </c>
      <c r="CC44" s="242">
        <f>IF('CF表（ご主人様死亡時）'!CC$3="","",'CF表（ご主人様死亡時）'!CC44/10000)</f>
        <v/>
      </c>
      <c r="CD44" s="242">
        <f>IF('CF表（ご主人様死亡時）'!CD$3="","",'CF表（ご主人様死亡時）'!CD44/10000)</f>
        <v/>
      </c>
      <c r="CE44" s="242">
        <f>IF('CF表（ご主人様死亡時）'!CE$3="","",'CF表（ご主人様死亡時）'!CE44/10000)</f>
        <v/>
      </c>
      <c r="CF44" s="242">
        <f>IF('CF表（ご主人様死亡時）'!CF$3="","",'CF表（ご主人様死亡時）'!CF44/10000)</f>
        <v/>
      </c>
      <c r="CG44" s="242">
        <f>IF('CF表（ご主人様死亡時）'!CG$3="","",'CF表（ご主人様死亡時）'!CG44/10000)</f>
        <v/>
      </c>
      <c r="CH44" s="242">
        <f>IF('CF表（ご主人様死亡時）'!CH$3="","",'CF表（ご主人様死亡時）'!CH44/10000)</f>
        <v/>
      </c>
      <c r="CI44" s="242">
        <f>IF('CF表（ご主人様死亡時）'!CI$3="","",'CF表（ご主人様死亡時）'!CI44/10000)</f>
        <v/>
      </c>
      <c r="CJ44" s="242">
        <f>IF('CF表（ご主人様死亡時）'!CJ$3="","",'CF表（ご主人様死亡時）'!CJ44/10000)</f>
        <v/>
      </c>
      <c r="CK44" s="242">
        <f>IF('CF表（ご主人様死亡時）'!CK$3="","",'CF表（ご主人様死亡時）'!CK44/10000)</f>
        <v/>
      </c>
      <c r="CL44" s="242">
        <f>IF('CF表（ご主人様死亡時）'!CL$3="","",'CF表（ご主人様死亡時）'!CL44/10000)</f>
        <v/>
      </c>
      <c r="CM44" s="242">
        <f>IF('CF表（ご主人様死亡時）'!CM$3="","",'CF表（ご主人様死亡時）'!CM44/10000)</f>
        <v/>
      </c>
      <c r="CN44" s="242">
        <f>IF('CF表（ご主人様死亡時）'!CN$3="","",'CF表（ご主人様死亡時）'!CN44/10000)</f>
        <v/>
      </c>
      <c r="CO44" s="242">
        <f>IF('CF表（ご主人様死亡時）'!CO$3="","",'CF表（ご主人様死亡時）'!CO44/10000)</f>
        <v/>
      </c>
      <c r="CP44" s="242">
        <f>IF('CF表（ご主人様死亡時）'!CP$3="","",'CF表（ご主人様死亡時）'!CP44/10000)</f>
        <v/>
      </c>
      <c r="CQ44" s="242">
        <f>IF('CF表（ご主人様死亡時）'!CQ$3="","",'CF表（ご主人様死亡時）'!CQ44/10000)</f>
        <v/>
      </c>
      <c r="CR44" s="242">
        <f>IF('CF表（ご主人様死亡時）'!CR$3="","",'CF表（ご主人様死亡時）'!CR44/10000)</f>
        <v/>
      </c>
      <c r="CS44" s="242">
        <f>IF('CF表（ご主人様死亡時）'!CS$3="","",'CF表（ご主人様死亡時）'!CS44/10000)</f>
        <v/>
      </c>
      <c r="CT44" s="242">
        <f>IF('CF表（ご主人様死亡時）'!CT$3="","",'CF表（ご主人様死亡時）'!CT44/10000)</f>
        <v/>
      </c>
      <c r="CU44" s="242">
        <f>IF('CF表（ご主人様死亡時）'!CU$3="","",'CF表（ご主人様死亡時）'!CU44/10000)</f>
        <v/>
      </c>
      <c r="CV44" s="242">
        <f>IF('CF表（ご主人様死亡時）'!CV$3="","",'CF表（ご主人様死亡時）'!CV44/10000)</f>
        <v/>
      </c>
      <c r="CW44" s="242">
        <f>IF('CF表（ご主人様死亡時）'!CW$3="","",'CF表（ご主人様死亡時）'!CW44/10000)</f>
        <v/>
      </c>
    </row>
    <row r="45" ht="15" customHeight="1" s="180">
      <c r="A45" s="241" t="inlineStr">
        <is>
          <t>負債合計（参考）</t>
        </is>
      </c>
      <c r="B45" s="242">
        <f>IF('CF表（ご主人様死亡時）'!B$3="","",'CF表（ご主人様死亡時）'!B45/10000)</f>
        <v/>
      </c>
      <c r="C45" s="242">
        <f>IF('CF表（ご主人様死亡時）'!C$3="","",'CF表（ご主人様死亡時）'!C45/10000)</f>
        <v/>
      </c>
      <c r="D45" s="242">
        <f>IF('CF表（ご主人様死亡時）'!D$3="","",'CF表（ご主人様死亡時）'!D45/10000)</f>
        <v/>
      </c>
      <c r="E45" s="242">
        <f>IF('CF表（ご主人様死亡時）'!E$3="","",'CF表（ご主人様死亡時）'!E45/10000)</f>
        <v/>
      </c>
      <c r="F45" s="242">
        <f>IF('CF表（ご主人様死亡時）'!F$3="","",'CF表（ご主人様死亡時）'!F45/10000)</f>
        <v/>
      </c>
      <c r="G45" s="242">
        <f>IF('CF表（ご主人様死亡時）'!G$3="","",'CF表（ご主人様死亡時）'!G45/10000)</f>
        <v/>
      </c>
      <c r="H45" s="242">
        <f>IF('CF表（ご主人様死亡時）'!H$3="","",'CF表（ご主人様死亡時）'!H45/10000)</f>
        <v/>
      </c>
      <c r="I45" s="242">
        <f>IF('CF表（ご主人様死亡時）'!I$3="","",'CF表（ご主人様死亡時）'!I45/10000)</f>
        <v/>
      </c>
      <c r="J45" s="242">
        <f>IF('CF表（ご主人様死亡時）'!J$3="","",'CF表（ご主人様死亡時）'!J45/10000)</f>
        <v/>
      </c>
      <c r="K45" s="242">
        <f>IF('CF表（ご主人様死亡時）'!K$3="","",'CF表（ご主人様死亡時）'!K45/10000)</f>
        <v/>
      </c>
      <c r="L45" s="242">
        <f>IF('CF表（ご主人様死亡時）'!L$3="","",'CF表（ご主人様死亡時）'!L45/10000)</f>
        <v/>
      </c>
      <c r="M45" s="242">
        <f>IF('CF表（ご主人様死亡時）'!M$3="","",'CF表（ご主人様死亡時）'!M45/10000)</f>
        <v/>
      </c>
      <c r="N45" s="242">
        <f>IF('CF表（ご主人様死亡時）'!N$3="","",'CF表（ご主人様死亡時）'!N45/10000)</f>
        <v/>
      </c>
      <c r="O45" s="242">
        <f>IF('CF表（ご主人様死亡時）'!O$3="","",'CF表（ご主人様死亡時）'!O45/10000)</f>
        <v/>
      </c>
      <c r="P45" s="242">
        <f>IF('CF表（ご主人様死亡時）'!P$3="","",'CF表（ご主人様死亡時）'!P45/10000)</f>
        <v/>
      </c>
      <c r="Q45" s="242">
        <f>IF('CF表（ご主人様死亡時）'!Q$3="","",'CF表（ご主人様死亡時）'!Q45/10000)</f>
        <v/>
      </c>
      <c r="R45" s="242">
        <f>IF('CF表（ご主人様死亡時）'!R$3="","",'CF表（ご主人様死亡時）'!R45/10000)</f>
        <v/>
      </c>
      <c r="S45" s="242">
        <f>IF('CF表（ご主人様死亡時）'!S$3="","",'CF表（ご主人様死亡時）'!S45/10000)</f>
        <v/>
      </c>
      <c r="T45" s="242">
        <f>IF('CF表（ご主人様死亡時）'!T$3="","",'CF表（ご主人様死亡時）'!T45/10000)</f>
        <v/>
      </c>
      <c r="U45" s="242">
        <f>IF('CF表（ご主人様死亡時）'!U$3="","",'CF表（ご主人様死亡時）'!U45/10000)</f>
        <v/>
      </c>
      <c r="V45" s="242">
        <f>IF('CF表（ご主人様死亡時）'!V$3="","",'CF表（ご主人様死亡時）'!V45/10000)</f>
        <v/>
      </c>
      <c r="W45" s="242">
        <f>IF('CF表（ご主人様死亡時）'!W$3="","",'CF表（ご主人様死亡時）'!W45/10000)</f>
        <v/>
      </c>
      <c r="X45" s="242">
        <f>IF('CF表（ご主人様死亡時）'!X$3="","",'CF表（ご主人様死亡時）'!X45/10000)</f>
        <v/>
      </c>
      <c r="Y45" s="242">
        <f>IF('CF表（ご主人様死亡時）'!Y$3="","",'CF表（ご主人様死亡時）'!Y45/10000)</f>
        <v/>
      </c>
      <c r="Z45" s="242">
        <f>IF('CF表（ご主人様死亡時）'!Z$3="","",'CF表（ご主人様死亡時）'!Z45/10000)</f>
        <v/>
      </c>
      <c r="AA45" s="242">
        <f>IF('CF表（ご主人様死亡時）'!AA$3="","",'CF表（ご主人様死亡時）'!AA45/10000)</f>
        <v/>
      </c>
      <c r="AB45" s="242">
        <f>IF('CF表（ご主人様死亡時）'!AB$3="","",'CF表（ご主人様死亡時）'!AB45/10000)</f>
        <v/>
      </c>
      <c r="AC45" s="242">
        <f>IF('CF表（ご主人様死亡時）'!AC$3="","",'CF表（ご主人様死亡時）'!AC45/10000)</f>
        <v/>
      </c>
      <c r="AD45" s="242">
        <f>IF('CF表（ご主人様死亡時）'!AD$3="","",'CF表（ご主人様死亡時）'!AD45/10000)</f>
        <v/>
      </c>
      <c r="AE45" s="242">
        <f>IF('CF表（ご主人様死亡時）'!AE$3="","",'CF表（ご主人様死亡時）'!AE45/10000)</f>
        <v/>
      </c>
      <c r="AF45" s="242">
        <f>IF('CF表（ご主人様死亡時）'!AF$3="","",'CF表（ご主人様死亡時）'!AF45/10000)</f>
        <v/>
      </c>
      <c r="AG45" s="242">
        <f>IF('CF表（ご主人様死亡時）'!AG$3="","",'CF表（ご主人様死亡時）'!AG45/10000)</f>
        <v/>
      </c>
      <c r="AH45" s="242">
        <f>IF('CF表（ご主人様死亡時）'!AH$3="","",'CF表（ご主人様死亡時）'!AH45/10000)</f>
        <v/>
      </c>
      <c r="AI45" s="242">
        <f>IF('CF表（ご主人様死亡時）'!AI$3="","",'CF表（ご主人様死亡時）'!AI45/10000)</f>
        <v/>
      </c>
      <c r="AJ45" s="242">
        <f>IF('CF表（ご主人様死亡時）'!AJ$3="","",'CF表（ご主人様死亡時）'!AJ45/10000)</f>
        <v/>
      </c>
      <c r="AK45" s="242">
        <f>IF('CF表（ご主人様死亡時）'!AK$3="","",'CF表（ご主人様死亡時）'!AK45/10000)</f>
        <v/>
      </c>
      <c r="AL45" s="242">
        <f>IF('CF表（ご主人様死亡時）'!AL$3="","",'CF表（ご主人様死亡時）'!AL45/10000)</f>
        <v/>
      </c>
      <c r="AM45" s="242">
        <f>IF('CF表（ご主人様死亡時）'!AM$3="","",'CF表（ご主人様死亡時）'!AM45/10000)</f>
        <v/>
      </c>
      <c r="AN45" s="242">
        <f>IF('CF表（ご主人様死亡時）'!AN$3="","",'CF表（ご主人様死亡時）'!AN45/10000)</f>
        <v/>
      </c>
      <c r="AO45" s="242">
        <f>IF('CF表（ご主人様死亡時）'!AO$3="","",'CF表（ご主人様死亡時）'!AO45/10000)</f>
        <v/>
      </c>
      <c r="AP45" s="242">
        <f>IF('CF表（ご主人様死亡時）'!AP$3="","",'CF表（ご主人様死亡時）'!AP45/10000)</f>
        <v/>
      </c>
      <c r="AQ45" s="242">
        <f>IF('CF表（ご主人様死亡時）'!AQ$3="","",'CF表（ご主人様死亡時）'!AQ45/10000)</f>
        <v/>
      </c>
      <c r="AR45" s="242">
        <f>IF('CF表（ご主人様死亡時）'!AR$3="","",'CF表（ご主人様死亡時）'!AR45/10000)</f>
        <v/>
      </c>
      <c r="AS45" s="242">
        <f>IF('CF表（ご主人様死亡時）'!AS$3="","",'CF表（ご主人様死亡時）'!AS45/10000)</f>
        <v/>
      </c>
      <c r="AT45" s="242">
        <f>IF('CF表（ご主人様死亡時）'!AT$3="","",'CF表（ご主人様死亡時）'!AT45/10000)</f>
        <v/>
      </c>
      <c r="AU45" s="242">
        <f>IF('CF表（ご主人様死亡時）'!AU$3="","",'CF表（ご主人様死亡時）'!AU45/10000)</f>
        <v/>
      </c>
      <c r="AV45" s="242">
        <f>IF('CF表（ご主人様死亡時）'!AV$3="","",'CF表（ご主人様死亡時）'!AV45/10000)</f>
        <v/>
      </c>
      <c r="AW45" s="242">
        <f>IF('CF表（ご主人様死亡時）'!AW$3="","",'CF表（ご主人様死亡時）'!AW45/10000)</f>
        <v/>
      </c>
      <c r="AX45" s="242">
        <f>IF('CF表（ご主人様死亡時）'!AX$3="","",'CF表（ご主人様死亡時）'!AX45/10000)</f>
        <v/>
      </c>
      <c r="AY45" s="242">
        <f>IF('CF表（ご主人様死亡時）'!AY$3="","",'CF表（ご主人様死亡時）'!AY45/10000)</f>
        <v/>
      </c>
      <c r="AZ45" s="242">
        <f>IF('CF表（ご主人様死亡時）'!AZ$3="","",'CF表（ご主人様死亡時）'!AZ45/10000)</f>
        <v/>
      </c>
      <c r="BA45" s="242">
        <f>IF('CF表（ご主人様死亡時）'!BA$3="","",'CF表（ご主人様死亡時）'!BA45/10000)</f>
        <v/>
      </c>
      <c r="BB45" s="242">
        <f>IF('CF表（ご主人様死亡時）'!BB$3="","",'CF表（ご主人様死亡時）'!BB45/10000)</f>
        <v/>
      </c>
      <c r="BC45" s="242">
        <f>IF('CF表（ご主人様死亡時）'!BC$3="","",'CF表（ご主人様死亡時）'!BC45/10000)</f>
        <v/>
      </c>
      <c r="BD45" s="242">
        <f>IF('CF表（ご主人様死亡時）'!BD$3="","",'CF表（ご主人様死亡時）'!BD45/10000)</f>
        <v/>
      </c>
      <c r="BE45" s="242">
        <f>IF('CF表（ご主人様死亡時）'!BE$3="","",'CF表（ご主人様死亡時）'!BE45/10000)</f>
        <v/>
      </c>
      <c r="BF45" s="242">
        <f>IF('CF表（ご主人様死亡時）'!BF$3="","",'CF表（ご主人様死亡時）'!BF45/10000)</f>
        <v/>
      </c>
      <c r="BG45" s="242">
        <f>IF('CF表（ご主人様死亡時）'!BG$3="","",'CF表（ご主人様死亡時）'!BG45/10000)</f>
        <v/>
      </c>
      <c r="BH45" s="242">
        <f>IF('CF表（ご主人様死亡時）'!BH$3="","",'CF表（ご主人様死亡時）'!BH45/10000)</f>
        <v/>
      </c>
      <c r="BI45" s="242">
        <f>IF('CF表（ご主人様死亡時）'!BI$3="","",'CF表（ご主人様死亡時）'!BI45/10000)</f>
        <v/>
      </c>
      <c r="BJ45" s="242">
        <f>IF('CF表（ご主人様死亡時）'!BJ$3="","",'CF表（ご主人様死亡時）'!BJ45/10000)</f>
        <v/>
      </c>
      <c r="BK45" s="242">
        <f>IF('CF表（ご主人様死亡時）'!BK$3="","",'CF表（ご主人様死亡時）'!BK45/10000)</f>
        <v/>
      </c>
      <c r="BL45" s="242">
        <f>IF('CF表（ご主人様死亡時）'!BL$3="","",'CF表（ご主人様死亡時）'!BL45/10000)</f>
        <v/>
      </c>
      <c r="BM45" s="242">
        <f>IF('CF表（ご主人様死亡時）'!BM$3="","",'CF表（ご主人様死亡時）'!BM45/10000)</f>
        <v/>
      </c>
      <c r="BN45" s="242">
        <f>IF('CF表（ご主人様死亡時）'!BN$3="","",'CF表（ご主人様死亡時）'!BN45/10000)</f>
        <v/>
      </c>
      <c r="BO45" s="242">
        <f>IF('CF表（ご主人様死亡時）'!BO$3="","",'CF表（ご主人様死亡時）'!BO45/10000)</f>
        <v/>
      </c>
      <c r="BP45" s="242">
        <f>IF('CF表（ご主人様死亡時）'!BP$3="","",'CF表（ご主人様死亡時）'!BP45/10000)</f>
        <v/>
      </c>
      <c r="BQ45" s="242">
        <f>IF('CF表（ご主人様死亡時）'!BQ$3="","",'CF表（ご主人様死亡時）'!BQ45/10000)</f>
        <v/>
      </c>
      <c r="BR45" s="242">
        <f>IF('CF表（ご主人様死亡時）'!BR$3="","",'CF表（ご主人様死亡時）'!BR45/10000)</f>
        <v/>
      </c>
      <c r="BS45" s="242">
        <f>IF('CF表（ご主人様死亡時）'!BS$3="","",'CF表（ご主人様死亡時）'!BS45/10000)</f>
        <v/>
      </c>
      <c r="BT45" s="242">
        <f>IF('CF表（ご主人様死亡時）'!BT$3="","",'CF表（ご主人様死亡時）'!BT45/10000)</f>
        <v/>
      </c>
      <c r="BU45" s="242">
        <f>IF('CF表（ご主人様死亡時）'!BU$3="","",'CF表（ご主人様死亡時）'!BU45/10000)</f>
        <v/>
      </c>
      <c r="BV45" s="242">
        <f>IF('CF表（ご主人様死亡時）'!BV$3="","",'CF表（ご主人様死亡時）'!BV45/10000)</f>
        <v/>
      </c>
      <c r="BW45" s="242">
        <f>IF('CF表（ご主人様死亡時）'!BW$3="","",'CF表（ご主人様死亡時）'!BW45/10000)</f>
        <v/>
      </c>
      <c r="BX45" s="242">
        <f>IF('CF表（ご主人様死亡時）'!BX$3="","",'CF表（ご主人様死亡時）'!BX45/10000)</f>
        <v/>
      </c>
      <c r="BY45" s="242">
        <f>IF('CF表（ご主人様死亡時）'!BY$3="","",'CF表（ご主人様死亡時）'!BY45/10000)</f>
        <v/>
      </c>
      <c r="BZ45" s="242">
        <f>IF('CF表（ご主人様死亡時）'!BZ$3="","",'CF表（ご主人様死亡時）'!BZ45/10000)</f>
        <v/>
      </c>
      <c r="CA45" s="242">
        <f>IF('CF表（ご主人様死亡時）'!CA$3="","",'CF表（ご主人様死亡時）'!CA45/10000)</f>
        <v/>
      </c>
      <c r="CB45" s="242">
        <f>IF('CF表（ご主人様死亡時）'!CB$3="","",'CF表（ご主人様死亡時）'!CB45/10000)</f>
        <v/>
      </c>
      <c r="CC45" s="242">
        <f>IF('CF表（ご主人様死亡時）'!CC$3="","",'CF表（ご主人様死亡時）'!CC45/10000)</f>
        <v/>
      </c>
      <c r="CD45" s="242">
        <f>IF('CF表（ご主人様死亡時）'!CD$3="","",'CF表（ご主人様死亡時）'!CD45/10000)</f>
        <v/>
      </c>
      <c r="CE45" s="242">
        <f>IF('CF表（ご主人様死亡時）'!CE$3="","",'CF表（ご主人様死亡時）'!CE45/10000)</f>
        <v/>
      </c>
      <c r="CF45" s="242">
        <f>IF('CF表（ご主人様死亡時）'!CF$3="","",'CF表（ご主人様死亡時）'!CF45/10000)</f>
        <v/>
      </c>
      <c r="CG45" s="242">
        <f>IF('CF表（ご主人様死亡時）'!CG$3="","",'CF表（ご主人様死亡時）'!CG45/10000)</f>
        <v/>
      </c>
      <c r="CH45" s="242">
        <f>IF('CF表（ご主人様死亡時）'!CH$3="","",'CF表（ご主人様死亡時）'!CH45/10000)</f>
        <v/>
      </c>
      <c r="CI45" s="242">
        <f>IF('CF表（ご主人様死亡時）'!CI$3="","",'CF表（ご主人様死亡時）'!CI45/10000)</f>
        <v/>
      </c>
      <c r="CJ45" s="242">
        <f>IF('CF表（ご主人様死亡時）'!CJ$3="","",'CF表（ご主人様死亡時）'!CJ45/10000)</f>
        <v/>
      </c>
      <c r="CK45" s="242">
        <f>IF('CF表（ご主人様死亡時）'!CK$3="","",'CF表（ご主人様死亡時）'!CK45/10000)</f>
        <v/>
      </c>
      <c r="CL45" s="242">
        <f>IF('CF表（ご主人様死亡時）'!CL$3="","",'CF表（ご主人様死亡時）'!CL45/10000)</f>
        <v/>
      </c>
      <c r="CM45" s="242">
        <f>IF('CF表（ご主人様死亡時）'!CM$3="","",'CF表（ご主人様死亡時）'!CM45/10000)</f>
        <v/>
      </c>
      <c r="CN45" s="242">
        <f>IF('CF表（ご主人様死亡時）'!CN$3="","",'CF表（ご主人様死亡時）'!CN45/10000)</f>
        <v/>
      </c>
      <c r="CO45" s="242">
        <f>IF('CF表（ご主人様死亡時）'!CO$3="","",'CF表（ご主人様死亡時）'!CO45/10000)</f>
        <v/>
      </c>
      <c r="CP45" s="242">
        <f>IF('CF表（ご主人様死亡時）'!CP$3="","",'CF表（ご主人様死亡時）'!CP45/10000)</f>
        <v/>
      </c>
      <c r="CQ45" s="242">
        <f>IF('CF表（ご主人様死亡時）'!CQ$3="","",'CF表（ご主人様死亡時）'!CQ45/10000)</f>
        <v/>
      </c>
      <c r="CR45" s="242">
        <f>IF('CF表（ご主人様死亡時）'!CR$3="","",'CF表（ご主人様死亡時）'!CR45/10000)</f>
        <v/>
      </c>
      <c r="CS45" s="242">
        <f>IF('CF表（ご主人様死亡時）'!CS$3="","",'CF表（ご主人様死亡時）'!CS45/10000)</f>
        <v/>
      </c>
      <c r="CT45" s="242">
        <f>IF('CF表（ご主人様死亡時）'!CT$3="","",'CF表（ご主人様死亡時）'!CT45/10000)</f>
        <v/>
      </c>
      <c r="CU45" s="242">
        <f>IF('CF表（ご主人様死亡時）'!CU$3="","",'CF表（ご主人様死亡時）'!CU45/10000)</f>
        <v/>
      </c>
      <c r="CV45" s="242">
        <f>IF('CF表（ご主人様死亡時）'!CV$3="","",'CF表（ご主人様死亡時）'!CV45/10000)</f>
        <v/>
      </c>
      <c r="CW45" s="242">
        <f>IF('CF表（ご主人様死亡時）'!CW$3="","",'CF表（ご主人様死亡時）'!CW45/10000)</f>
        <v/>
      </c>
    </row>
    <row r="47" hidden="1" ht="24" customHeight="1" s="180">
      <c r="A47" s="243" t="n"/>
    </row>
  </sheetData>
  <mergeCells count="2">
    <mergeCell ref="A1:CW1"/>
    <mergeCell ref="A47:H4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CW4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4" customWidth="1" style="179" min="1" max="1"/>
    <col width="11" customWidth="1" style="179" min="2" max="101"/>
  </cols>
  <sheetData>
    <row r="1" ht="21" customHeight="1" s="180">
      <c r="A1" s="213" t="inlineStr">
        <is>
          <t>CF表（奥様死亡時・万円表示）</t>
        </is>
      </c>
    </row>
    <row r="2" ht="15" customHeight="1" s="180">
      <c r="A2" s="214" t="inlineStr">
        <is>
          <t>試算終了年</t>
        </is>
      </c>
      <c r="B2" s="179">
        <f>'CF表（奥様死亡時）'!B2</f>
        <v/>
      </c>
    </row>
    <row r="3" ht="15" customHeight="1" s="180">
      <c r="A3" s="215" t="inlineStr">
        <is>
          <t>年</t>
        </is>
      </c>
      <c r="B3" s="216">
        <f>IF('CF表（奥様死亡時）'!B3="","",'CF表（奥様死亡時）'!B3)</f>
        <v/>
      </c>
      <c r="C3" s="216">
        <f>IF('CF表（奥様死亡時）'!C3="","",'CF表（奥様死亡時）'!C3)</f>
        <v/>
      </c>
      <c r="D3" s="216">
        <f>IF('CF表（奥様死亡時）'!D3="","",'CF表（奥様死亡時）'!D3)</f>
        <v/>
      </c>
      <c r="E3" s="216">
        <f>IF('CF表（奥様死亡時）'!E3="","",'CF表（奥様死亡時）'!E3)</f>
        <v/>
      </c>
      <c r="F3" s="216">
        <f>IF('CF表（奥様死亡時）'!F3="","",'CF表（奥様死亡時）'!F3)</f>
        <v/>
      </c>
      <c r="G3" s="216">
        <f>IF('CF表（奥様死亡時）'!G3="","",'CF表（奥様死亡時）'!G3)</f>
        <v/>
      </c>
      <c r="H3" s="216">
        <f>IF('CF表（奥様死亡時）'!H3="","",'CF表（奥様死亡時）'!H3)</f>
        <v/>
      </c>
      <c r="I3" s="216">
        <f>IF('CF表（奥様死亡時）'!I3="","",'CF表（奥様死亡時）'!I3)</f>
        <v/>
      </c>
      <c r="J3" s="216">
        <f>IF('CF表（奥様死亡時）'!J3="","",'CF表（奥様死亡時）'!J3)</f>
        <v/>
      </c>
      <c r="K3" s="216">
        <f>IF('CF表（奥様死亡時）'!K3="","",'CF表（奥様死亡時）'!K3)</f>
        <v/>
      </c>
      <c r="L3" s="216">
        <f>IF('CF表（奥様死亡時）'!L3="","",'CF表（奥様死亡時）'!L3)</f>
        <v/>
      </c>
      <c r="M3" s="216">
        <f>IF('CF表（奥様死亡時）'!M3="","",'CF表（奥様死亡時）'!M3)</f>
        <v/>
      </c>
      <c r="N3" s="216">
        <f>IF('CF表（奥様死亡時）'!N3="","",'CF表（奥様死亡時）'!N3)</f>
        <v/>
      </c>
      <c r="O3" s="216">
        <f>IF('CF表（奥様死亡時）'!O3="","",'CF表（奥様死亡時）'!O3)</f>
        <v/>
      </c>
      <c r="P3" s="216">
        <f>IF('CF表（奥様死亡時）'!P3="","",'CF表（奥様死亡時）'!P3)</f>
        <v/>
      </c>
      <c r="Q3" s="216">
        <f>IF('CF表（奥様死亡時）'!Q3="","",'CF表（奥様死亡時）'!Q3)</f>
        <v/>
      </c>
      <c r="R3" s="216">
        <f>IF('CF表（奥様死亡時）'!R3="","",'CF表（奥様死亡時）'!R3)</f>
        <v/>
      </c>
      <c r="S3" s="216">
        <f>IF('CF表（奥様死亡時）'!S3="","",'CF表（奥様死亡時）'!S3)</f>
        <v/>
      </c>
      <c r="T3" s="216">
        <f>IF('CF表（奥様死亡時）'!T3="","",'CF表（奥様死亡時）'!T3)</f>
        <v/>
      </c>
      <c r="U3" s="216">
        <f>IF('CF表（奥様死亡時）'!U3="","",'CF表（奥様死亡時）'!U3)</f>
        <v/>
      </c>
      <c r="V3" s="216">
        <f>IF('CF表（奥様死亡時）'!V3="","",'CF表（奥様死亡時）'!V3)</f>
        <v/>
      </c>
      <c r="W3" s="216">
        <f>IF('CF表（奥様死亡時）'!W3="","",'CF表（奥様死亡時）'!W3)</f>
        <v/>
      </c>
      <c r="X3" s="216">
        <f>IF('CF表（奥様死亡時）'!X3="","",'CF表（奥様死亡時）'!X3)</f>
        <v/>
      </c>
      <c r="Y3" s="216">
        <f>IF('CF表（奥様死亡時）'!Y3="","",'CF表（奥様死亡時）'!Y3)</f>
        <v/>
      </c>
      <c r="Z3" s="216">
        <f>IF('CF表（奥様死亡時）'!Z3="","",'CF表（奥様死亡時）'!Z3)</f>
        <v/>
      </c>
      <c r="AA3" s="216">
        <f>IF('CF表（奥様死亡時）'!AA3="","",'CF表（奥様死亡時）'!AA3)</f>
        <v/>
      </c>
      <c r="AB3" s="216">
        <f>IF('CF表（奥様死亡時）'!AB3="","",'CF表（奥様死亡時）'!AB3)</f>
        <v/>
      </c>
      <c r="AC3" s="216">
        <f>IF('CF表（奥様死亡時）'!AC3="","",'CF表（奥様死亡時）'!AC3)</f>
        <v/>
      </c>
      <c r="AD3" s="216">
        <f>IF('CF表（奥様死亡時）'!AD3="","",'CF表（奥様死亡時）'!AD3)</f>
        <v/>
      </c>
      <c r="AE3" s="216">
        <f>IF('CF表（奥様死亡時）'!AE3="","",'CF表（奥様死亡時）'!AE3)</f>
        <v/>
      </c>
      <c r="AF3" s="216">
        <f>IF('CF表（奥様死亡時）'!AF3="","",'CF表（奥様死亡時）'!AF3)</f>
        <v/>
      </c>
      <c r="AG3" s="216">
        <f>IF('CF表（奥様死亡時）'!AG3="","",'CF表（奥様死亡時）'!AG3)</f>
        <v/>
      </c>
      <c r="AH3" s="216">
        <f>IF('CF表（奥様死亡時）'!AH3="","",'CF表（奥様死亡時）'!AH3)</f>
        <v/>
      </c>
      <c r="AI3" s="216">
        <f>IF('CF表（奥様死亡時）'!AI3="","",'CF表（奥様死亡時）'!AI3)</f>
        <v/>
      </c>
      <c r="AJ3" s="216">
        <f>IF('CF表（奥様死亡時）'!AJ3="","",'CF表（奥様死亡時）'!AJ3)</f>
        <v/>
      </c>
      <c r="AK3" s="216">
        <f>IF('CF表（奥様死亡時）'!AK3="","",'CF表（奥様死亡時）'!AK3)</f>
        <v/>
      </c>
      <c r="AL3" s="216">
        <f>IF('CF表（奥様死亡時）'!AL3="","",'CF表（奥様死亡時）'!AL3)</f>
        <v/>
      </c>
      <c r="AM3" s="216">
        <f>IF('CF表（奥様死亡時）'!AM3="","",'CF表（奥様死亡時）'!AM3)</f>
        <v/>
      </c>
      <c r="AN3" s="216">
        <f>IF('CF表（奥様死亡時）'!AN3="","",'CF表（奥様死亡時）'!AN3)</f>
        <v/>
      </c>
      <c r="AO3" s="216">
        <f>IF('CF表（奥様死亡時）'!AO3="","",'CF表（奥様死亡時）'!AO3)</f>
        <v/>
      </c>
      <c r="AP3" s="216">
        <f>IF('CF表（奥様死亡時）'!AP3="","",'CF表（奥様死亡時）'!AP3)</f>
        <v/>
      </c>
      <c r="AQ3" s="216">
        <f>IF('CF表（奥様死亡時）'!AQ3="","",'CF表（奥様死亡時）'!AQ3)</f>
        <v/>
      </c>
      <c r="AR3" s="216">
        <f>IF('CF表（奥様死亡時）'!AR3="","",'CF表（奥様死亡時）'!AR3)</f>
        <v/>
      </c>
      <c r="AS3" s="216">
        <f>IF('CF表（奥様死亡時）'!AS3="","",'CF表（奥様死亡時）'!AS3)</f>
        <v/>
      </c>
      <c r="AT3" s="216">
        <f>IF('CF表（奥様死亡時）'!AT3="","",'CF表（奥様死亡時）'!AT3)</f>
        <v/>
      </c>
      <c r="AU3" s="216">
        <f>IF('CF表（奥様死亡時）'!AU3="","",'CF表（奥様死亡時）'!AU3)</f>
        <v/>
      </c>
      <c r="AV3" s="216">
        <f>IF('CF表（奥様死亡時）'!AV3="","",'CF表（奥様死亡時）'!AV3)</f>
        <v/>
      </c>
      <c r="AW3" s="216">
        <f>IF('CF表（奥様死亡時）'!AW3="","",'CF表（奥様死亡時）'!AW3)</f>
        <v/>
      </c>
      <c r="AX3" s="216">
        <f>IF('CF表（奥様死亡時）'!AX3="","",'CF表（奥様死亡時）'!AX3)</f>
        <v/>
      </c>
      <c r="AY3" s="216">
        <f>IF('CF表（奥様死亡時）'!AY3="","",'CF表（奥様死亡時）'!AY3)</f>
        <v/>
      </c>
      <c r="AZ3" s="216">
        <f>IF('CF表（奥様死亡時）'!AZ3="","",'CF表（奥様死亡時）'!AZ3)</f>
        <v/>
      </c>
      <c r="BA3" s="216">
        <f>IF('CF表（奥様死亡時）'!BA3="","",'CF表（奥様死亡時）'!BA3)</f>
        <v/>
      </c>
      <c r="BB3" s="216">
        <f>IF('CF表（奥様死亡時）'!BB3="","",'CF表（奥様死亡時）'!BB3)</f>
        <v/>
      </c>
      <c r="BC3" s="216">
        <f>IF('CF表（奥様死亡時）'!BC3="","",'CF表（奥様死亡時）'!BC3)</f>
        <v/>
      </c>
      <c r="BD3" s="216">
        <f>IF('CF表（奥様死亡時）'!BD3="","",'CF表（奥様死亡時）'!BD3)</f>
        <v/>
      </c>
      <c r="BE3" s="216">
        <f>IF('CF表（奥様死亡時）'!BE3="","",'CF表（奥様死亡時）'!BE3)</f>
        <v/>
      </c>
      <c r="BF3" s="216">
        <f>IF('CF表（奥様死亡時）'!BF3="","",'CF表（奥様死亡時）'!BF3)</f>
        <v/>
      </c>
      <c r="BG3" s="216">
        <f>IF('CF表（奥様死亡時）'!BG3="","",'CF表（奥様死亡時）'!BG3)</f>
        <v/>
      </c>
      <c r="BH3" s="216">
        <f>IF('CF表（奥様死亡時）'!BH3="","",'CF表（奥様死亡時）'!BH3)</f>
        <v/>
      </c>
      <c r="BI3" s="216">
        <f>IF('CF表（奥様死亡時）'!BI3="","",'CF表（奥様死亡時）'!BI3)</f>
        <v/>
      </c>
      <c r="BJ3" s="216">
        <f>IF('CF表（奥様死亡時）'!BJ3="","",'CF表（奥様死亡時）'!BJ3)</f>
        <v/>
      </c>
      <c r="BK3" s="216">
        <f>IF('CF表（奥様死亡時）'!BK3="","",'CF表（奥様死亡時）'!BK3)</f>
        <v/>
      </c>
      <c r="BL3" s="216">
        <f>IF('CF表（奥様死亡時）'!BL3="","",'CF表（奥様死亡時）'!BL3)</f>
        <v/>
      </c>
      <c r="BM3" s="216">
        <f>IF('CF表（奥様死亡時）'!BM3="","",'CF表（奥様死亡時）'!BM3)</f>
        <v/>
      </c>
      <c r="BN3" s="216">
        <f>IF('CF表（奥様死亡時）'!BN3="","",'CF表（奥様死亡時）'!BN3)</f>
        <v/>
      </c>
      <c r="BO3" s="216">
        <f>IF('CF表（奥様死亡時）'!BO3="","",'CF表（奥様死亡時）'!BO3)</f>
        <v/>
      </c>
      <c r="BP3" s="216">
        <f>IF('CF表（奥様死亡時）'!BP3="","",'CF表（奥様死亡時）'!BP3)</f>
        <v/>
      </c>
      <c r="BQ3" s="216">
        <f>IF('CF表（奥様死亡時）'!BQ3="","",'CF表（奥様死亡時）'!BQ3)</f>
        <v/>
      </c>
      <c r="BR3" s="216">
        <f>IF('CF表（奥様死亡時）'!BR3="","",'CF表（奥様死亡時）'!BR3)</f>
        <v/>
      </c>
      <c r="BS3" s="216">
        <f>IF('CF表（奥様死亡時）'!BS3="","",'CF表（奥様死亡時）'!BS3)</f>
        <v/>
      </c>
      <c r="BT3" s="216">
        <f>IF('CF表（奥様死亡時）'!BT3="","",'CF表（奥様死亡時）'!BT3)</f>
        <v/>
      </c>
      <c r="BU3" s="216">
        <f>IF('CF表（奥様死亡時）'!BU3="","",'CF表（奥様死亡時）'!BU3)</f>
        <v/>
      </c>
      <c r="BV3" s="216">
        <f>IF('CF表（奥様死亡時）'!BV3="","",'CF表（奥様死亡時）'!BV3)</f>
        <v/>
      </c>
      <c r="BW3" s="216">
        <f>IF('CF表（奥様死亡時）'!BW3="","",'CF表（奥様死亡時）'!BW3)</f>
        <v/>
      </c>
      <c r="BX3" s="216">
        <f>IF('CF表（奥様死亡時）'!BX3="","",'CF表（奥様死亡時）'!BX3)</f>
        <v/>
      </c>
      <c r="BY3" s="216">
        <f>IF('CF表（奥様死亡時）'!BY3="","",'CF表（奥様死亡時）'!BY3)</f>
        <v/>
      </c>
      <c r="BZ3" s="216">
        <f>IF('CF表（奥様死亡時）'!BZ3="","",'CF表（奥様死亡時）'!BZ3)</f>
        <v/>
      </c>
      <c r="CA3" s="216">
        <f>IF('CF表（奥様死亡時）'!CA3="","",'CF表（奥様死亡時）'!CA3)</f>
        <v/>
      </c>
      <c r="CB3" s="216">
        <f>IF('CF表（奥様死亡時）'!CB3="","",'CF表（奥様死亡時）'!CB3)</f>
        <v/>
      </c>
      <c r="CC3" s="216">
        <f>IF('CF表（奥様死亡時）'!CC3="","",'CF表（奥様死亡時）'!CC3)</f>
        <v/>
      </c>
      <c r="CD3" s="216">
        <f>IF('CF表（奥様死亡時）'!CD3="","",'CF表（奥様死亡時）'!CD3)</f>
        <v/>
      </c>
      <c r="CE3" s="216">
        <f>IF('CF表（奥様死亡時）'!CE3="","",'CF表（奥様死亡時）'!CE3)</f>
        <v/>
      </c>
      <c r="CF3" s="216">
        <f>IF('CF表（奥様死亡時）'!CF3="","",'CF表（奥様死亡時）'!CF3)</f>
        <v/>
      </c>
      <c r="CG3" s="216">
        <f>IF('CF表（奥様死亡時）'!CG3="","",'CF表（奥様死亡時）'!CG3)</f>
        <v/>
      </c>
      <c r="CH3" s="216">
        <f>IF('CF表（奥様死亡時）'!CH3="","",'CF表（奥様死亡時）'!CH3)</f>
        <v/>
      </c>
      <c r="CI3" s="216">
        <f>IF('CF表（奥様死亡時）'!CI3="","",'CF表（奥様死亡時）'!CI3)</f>
        <v/>
      </c>
      <c r="CJ3" s="216">
        <f>IF('CF表（奥様死亡時）'!CJ3="","",'CF表（奥様死亡時）'!CJ3)</f>
        <v/>
      </c>
      <c r="CK3" s="216">
        <f>IF('CF表（奥様死亡時）'!CK3="","",'CF表（奥様死亡時）'!CK3)</f>
        <v/>
      </c>
      <c r="CL3" s="216">
        <f>IF('CF表（奥様死亡時）'!CL3="","",'CF表（奥様死亡時）'!CL3)</f>
        <v/>
      </c>
      <c r="CM3" s="216">
        <f>IF('CF表（奥様死亡時）'!CM3="","",'CF表（奥様死亡時）'!CM3)</f>
        <v/>
      </c>
      <c r="CN3" s="216">
        <f>IF('CF表（奥様死亡時）'!CN3="","",'CF表（奥様死亡時）'!CN3)</f>
        <v/>
      </c>
      <c r="CO3" s="216">
        <f>IF('CF表（奥様死亡時）'!CO3="","",'CF表（奥様死亡時）'!CO3)</f>
        <v/>
      </c>
      <c r="CP3" s="216">
        <f>IF('CF表（奥様死亡時）'!CP3="","",'CF表（奥様死亡時）'!CP3)</f>
        <v/>
      </c>
      <c r="CQ3" s="216">
        <f>IF('CF表（奥様死亡時）'!CQ3="","",'CF表（奥様死亡時）'!CQ3)</f>
        <v/>
      </c>
      <c r="CR3" s="216">
        <f>IF('CF表（奥様死亡時）'!CR3="","",'CF表（奥様死亡時）'!CR3)</f>
        <v/>
      </c>
      <c r="CS3" s="216">
        <f>IF('CF表（奥様死亡時）'!CS3="","",'CF表（奥様死亡時）'!CS3)</f>
        <v/>
      </c>
      <c r="CT3" s="216">
        <f>IF('CF表（奥様死亡時）'!CT3="","",'CF表（奥様死亡時）'!CT3)</f>
        <v/>
      </c>
      <c r="CU3" s="216">
        <f>IF('CF表（奥様死亡時）'!CU3="","",'CF表（奥様死亡時）'!CU3)</f>
        <v/>
      </c>
      <c r="CV3" s="216">
        <f>IF('CF表（奥様死亡時）'!CV3="","",'CF表（奥様死亡時）'!CV3)</f>
        <v/>
      </c>
      <c r="CW3" s="216">
        <f>IF('CF表（奥様死亡時）'!CW3="","",'CF表（奥様死亡時）'!CW3)</f>
        <v/>
      </c>
    </row>
    <row r="4" ht="15" customHeight="1" s="180">
      <c r="A4" s="217" t="inlineStr">
        <is>
          <t>ご主人様年齢</t>
        </is>
      </c>
      <c r="B4" s="218">
        <f>IF('CF表（奥様死亡時）'!B4="","",'CF表（奥様死亡時）'!B4)</f>
        <v/>
      </c>
      <c r="C4" s="218">
        <f>IF('CF表（奥様死亡時）'!C4="","",'CF表（奥様死亡時）'!C4)</f>
        <v/>
      </c>
      <c r="D4" s="218">
        <f>IF('CF表（奥様死亡時）'!D4="","",'CF表（奥様死亡時）'!D4)</f>
        <v/>
      </c>
      <c r="E4" s="218">
        <f>IF('CF表（奥様死亡時）'!E4="","",'CF表（奥様死亡時）'!E4)</f>
        <v/>
      </c>
      <c r="F4" s="218">
        <f>IF('CF表（奥様死亡時）'!F4="","",'CF表（奥様死亡時）'!F4)</f>
        <v/>
      </c>
      <c r="G4" s="218">
        <f>IF('CF表（奥様死亡時）'!G4="","",'CF表（奥様死亡時）'!G4)</f>
        <v/>
      </c>
      <c r="H4" s="218">
        <f>IF('CF表（奥様死亡時）'!H4="","",'CF表（奥様死亡時）'!H4)</f>
        <v/>
      </c>
      <c r="I4" s="218">
        <f>IF('CF表（奥様死亡時）'!I4="","",'CF表（奥様死亡時）'!I4)</f>
        <v/>
      </c>
      <c r="J4" s="218">
        <f>IF('CF表（奥様死亡時）'!J4="","",'CF表（奥様死亡時）'!J4)</f>
        <v/>
      </c>
      <c r="K4" s="218">
        <f>IF('CF表（奥様死亡時）'!K4="","",'CF表（奥様死亡時）'!K4)</f>
        <v/>
      </c>
      <c r="L4" s="218">
        <f>IF('CF表（奥様死亡時）'!L4="","",'CF表（奥様死亡時）'!L4)</f>
        <v/>
      </c>
      <c r="M4" s="218">
        <f>IF('CF表（奥様死亡時）'!M4="","",'CF表（奥様死亡時）'!M4)</f>
        <v/>
      </c>
      <c r="N4" s="218">
        <f>IF('CF表（奥様死亡時）'!N4="","",'CF表（奥様死亡時）'!N4)</f>
        <v/>
      </c>
      <c r="O4" s="218">
        <f>IF('CF表（奥様死亡時）'!O4="","",'CF表（奥様死亡時）'!O4)</f>
        <v/>
      </c>
      <c r="P4" s="218">
        <f>IF('CF表（奥様死亡時）'!P4="","",'CF表（奥様死亡時）'!P4)</f>
        <v/>
      </c>
      <c r="Q4" s="218">
        <f>IF('CF表（奥様死亡時）'!Q4="","",'CF表（奥様死亡時）'!Q4)</f>
        <v/>
      </c>
      <c r="R4" s="218">
        <f>IF('CF表（奥様死亡時）'!R4="","",'CF表（奥様死亡時）'!R4)</f>
        <v/>
      </c>
      <c r="S4" s="218">
        <f>IF('CF表（奥様死亡時）'!S4="","",'CF表（奥様死亡時）'!S4)</f>
        <v/>
      </c>
      <c r="T4" s="218">
        <f>IF('CF表（奥様死亡時）'!T4="","",'CF表（奥様死亡時）'!T4)</f>
        <v/>
      </c>
      <c r="U4" s="218">
        <f>IF('CF表（奥様死亡時）'!U4="","",'CF表（奥様死亡時）'!U4)</f>
        <v/>
      </c>
      <c r="V4" s="218">
        <f>IF('CF表（奥様死亡時）'!V4="","",'CF表（奥様死亡時）'!V4)</f>
        <v/>
      </c>
      <c r="W4" s="218">
        <f>IF('CF表（奥様死亡時）'!W4="","",'CF表（奥様死亡時）'!W4)</f>
        <v/>
      </c>
      <c r="X4" s="218">
        <f>IF('CF表（奥様死亡時）'!X4="","",'CF表（奥様死亡時）'!X4)</f>
        <v/>
      </c>
      <c r="Y4" s="218">
        <f>IF('CF表（奥様死亡時）'!Y4="","",'CF表（奥様死亡時）'!Y4)</f>
        <v/>
      </c>
      <c r="Z4" s="218">
        <f>IF('CF表（奥様死亡時）'!Z4="","",'CF表（奥様死亡時）'!Z4)</f>
        <v/>
      </c>
      <c r="AA4" s="218">
        <f>IF('CF表（奥様死亡時）'!AA4="","",'CF表（奥様死亡時）'!AA4)</f>
        <v/>
      </c>
      <c r="AB4" s="218">
        <f>IF('CF表（奥様死亡時）'!AB4="","",'CF表（奥様死亡時）'!AB4)</f>
        <v/>
      </c>
      <c r="AC4" s="218">
        <f>IF('CF表（奥様死亡時）'!AC4="","",'CF表（奥様死亡時）'!AC4)</f>
        <v/>
      </c>
      <c r="AD4" s="218">
        <f>IF('CF表（奥様死亡時）'!AD4="","",'CF表（奥様死亡時）'!AD4)</f>
        <v/>
      </c>
      <c r="AE4" s="218">
        <f>IF('CF表（奥様死亡時）'!AE4="","",'CF表（奥様死亡時）'!AE4)</f>
        <v/>
      </c>
      <c r="AF4" s="218">
        <f>IF('CF表（奥様死亡時）'!AF4="","",'CF表（奥様死亡時）'!AF4)</f>
        <v/>
      </c>
      <c r="AG4" s="218">
        <f>IF('CF表（奥様死亡時）'!AG4="","",'CF表（奥様死亡時）'!AG4)</f>
        <v/>
      </c>
      <c r="AH4" s="218">
        <f>IF('CF表（奥様死亡時）'!AH4="","",'CF表（奥様死亡時）'!AH4)</f>
        <v/>
      </c>
      <c r="AI4" s="218">
        <f>IF('CF表（奥様死亡時）'!AI4="","",'CF表（奥様死亡時）'!AI4)</f>
        <v/>
      </c>
      <c r="AJ4" s="218">
        <f>IF('CF表（奥様死亡時）'!AJ4="","",'CF表（奥様死亡時）'!AJ4)</f>
        <v/>
      </c>
      <c r="AK4" s="218">
        <f>IF('CF表（奥様死亡時）'!AK4="","",'CF表（奥様死亡時）'!AK4)</f>
        <v/>
      </c>
      <c r="AL4" s="218">
        <f>IF('CF表（奥様死亡時）'!AL4="","",'CF表（奥様死亡時）'!AL4)</f>
        <v/>
      </c>
      <c r="AM4" s="218">
        <f>IF('CF表（奥様死亡時）'!AM4="","",'CF表（奥様死亡時）'!AM4)</f>
        <v/>
      </c>
      <c r="AN4" s="218">
        <f>IF('CF表（奥様死亡時）'!AN4="","",'CF表（奥様死亡時）'!AN4)</f>
        <v/>
      </c>
      <c r="AO4" s="218">
        <f>IF('CF表（奥様死亡時）'!AO4="","",'CF表（奥様死亡時）'!AO4)</f>
        <v/>
      </c>
      <c r="AP4" s="218">
        <f>IF('CF表（奥様死亡時）'!AP4="","",'CF表（奥様死亡時）'!AP4)</f>
        <v/>
      </c>
      <c r="AQ4" s="218">
        <f>IF('CF表（奥様死亡時）'!AQ4="","",'CF表（奥様死亡時）'!AQ4)</f>
        <v/>
      </c>
      <c r="AR4" s="218">
        <f>IF('CF表（奥様死亡時）'!AR4="","",'CF表（奥様死亡時）'!AR4)</f>
        <v/>
      </c>
      <c r="AS4" s="218">
        <f>IF('CF表（奥様死亡時）'!AS4="","",'CF表（奥様死亡時）'!AS4)</f>
        <v/>
      </c>
      <c r="AT4" s="218">
        <f>IF('CF表（奥様死亡時）'!AT4="","",'CF表（奥様死亡時）'!AT4)</f>
        <v/>
      </c>
      <c r="AU4" s="218">
        <f>IF('CF表（奥様死亡時）'!AU4="","",'CF表（奥様死亡時）'!AU4)</f>
        <v/>
      </c>
      <c r="AV4" s="218">
        <f>IF('CF表（奥様死亡時）'!AV4="","",'CF表（奥様死亡時）'!AV4)</f>
        <v/>
      </c>
      <c r="AW4" s="218">
        <f>IF('CF表（奥様死亡時）'!AW4="","",'CF表（奥様死亡時）'!AW4)</f>
        <v/>
      </c>
      <c r="AX4" s="218">
        <f>IF('CF表（奥様死亡時）'!AX4="","",'CF表（奥様死亡時）'!AX4)</f>
        <v/>
      </c>
      <c r="AY4" s="218">
        <f>IF('CF表（奥様死亡時）'!AY4="","",'CF表（奥様死亡時）'!AY4)</f>
        <v/>
      </c>
      <c r="AZ4" s="218">
        <f>IF('CF表（奥様死亡時）'!AZ4="","",'CF表（奥様死亡時）'!AZ4)</f>
        <v/>
      </c>
      <c r="BA4" s="218">
        <f>IF('CF表（奥様死亡時）'!BA4="","",'CF表（奥様死亡時）'!BA4)</f>
        <v/>
      </c>
      <c r="BB4" s="218">
        <f>IF('CF表（奥様死亡時）'!BB4="","",'CF表（奥様死亡時）'!BB4)</f>
        <v/>
      </c>
      <c r="BC4" s="218">
        <f>IF('CF表（奥様死亡時）'!BC4="","",'CF表（奥様死亡時）'!BC4)</f>
        <v/>
      </c>
      <c r="BD4" s="218">
        <f>IF('CF表（奥様死亡時）'!BD4="","",'CF表（奥様死亡時）'!BD4)</f>
        <v/>
      </c>
      <c r="BE4" s="218">
        <f>IF('CF表（奥様死亡時）'!BE4="","",'CF表（奥様死亡時）'!BE4)</f>
        <v/>
      </c>
      <c r="BF4" s="218">
        <f>IF('CF表（奥様死亡時）'!BF4="","",'CF表（奥様死亡時）'!BF4)</f>
        <v/>
      </c>
      <c r="BG4" s="218">
        <f>IF('CF表（奥様死亡時）'!BG4="","",'CF表（奥様死亡時）'!BG4)</f>
        <v/>
      </c>
      <c r="BH4" s="218">
        <f>IF('CF表（奥様死亡時）'!BH4="","",'CF表（奥様死亡時）'!BH4)</f>
        <v/>
      </c>
      <c r="BI4" s="218">
        <f>IF('CF表（奥様死亡時）'!BI4="","",'CF表（奥様死亡時）'!BI4)</f>
        <v/>
      </c>
      <c r="BJ4" s="218">
        <f>IF('CF表（奥様死亡時）'!BJ4="","",'CF表（奥様死亡時）'!BJ4)</f>
        <v/>
      </c>
      <c r="BK4" s="218">
        <f>IF('CF表（奥様死亡時）'!BK4="","",'CF表（奥様死亡時）'!BK4)</f>
        <v/>
      </c>
      <c r="BL4" s="218">
        <f>IF('CF表（奥様死亡時）'!BL4="","",'CF表（奥様死亡時）'!BL4)</f>
        <v/>
      </c>
      <c r="BM4" s="218">
        <f>IF('CF表（奥様死亡時）'!BM4="","",'CF表（奥様死亡時）'!BM4)</f>
        <v/>
      </c>
      <c r="BN4" s="218">
        <f>IF('CF表（奥様死亡時）'!BN4="","",'CF表（奥様死亡時）'!BN4)</f>
        <v/>
      </c>
      <c r="BO4" s="218">
        <f>IF('CF表（奥様死亡時）'!BO4="","",'CF表（奥様死亡時）'!BO4)</f>
        <v/>
      </c>
      <c r="BP4" s="218">
        <f>IF('CF表（奥様死亡時）'!BP4="","",'CF表（奥様死亡時）'!BP4)</f>
        <v/>
      </c>
      <c r="BQ4" s="218">
        <f>IF('CF表（奥様死亡時）'!BQ4="","",'CF表（奥様死亡時）'!BQ4)</f>
        <v/>
      </c>
      <c r="BR4" s="218">
        <f>IF('CF表（奥様死亡時）'!BR4="","",'CF表（奥様死亡時）'!BR4)</f>
        <v/>
      </c>
      <c r="BS4" s="218">
        <f>IF('CF表（奥様死亡時）'!BS4="","",'CF表（奥様死亡時）'!BS4)</f>
        <v/>
      </c>
      <c r="BT4" s="218">
        <f>IF('CF表（奥様死亡時）'!BT4="","",'CF表（奥様死亡時）'!BT4)</f>
        <v/>
      </c>
      <c r="BU4" s="218">
        <f>IF('CF表（奥様死亡時）'!BU4="","",'CF表（奥様死亡時）'!BU4)</f>
        <v/>
      </c>
      <c r="BV4" s="218">
        <f>IF('CF表（奥様死亡時）'!BV4="","",'CF表（奥様死亡時）'!BV4)</f>
        <v/>
      </c>
      <c r="BW4" s="218">
        <f>IF('CF表（奥様死亡時）'!BW4="","",'CF表（奥様死亡時）'!BW4)</f>
        <v/>
      </c>
      <c r="BX4" s="218">
        <f>IF('CF表（奥様死亡時）'!BX4="","",'CF表（奥様死亡時）'!BX4)</f>
        <v/>
      </c>
      <c r="BY4" s="218">
        <f>IF('CF表（奥様死亡時）'!BY4="","",'CF表（奥様死亡時）'!BY4)</f>
        <v/>
      </c>
      <c r="BZ4" s="218">
        <f>IF('CF表（奥様死亡時）'!BZ4="","",'CF表（奥様死亡時）'!BZ4)</f>
        <v/>
      </c>
      <c r="CA4" s="218">
        <f>IF('CF表（奥様死亡時）'!CA4="","",'CF表（奥様死亡時）'!CA4)</f>
        <v/>
      </c>
      <c r="CB4" s="218">
        <f>IF('CF表（奥様死亡時）'!CB4="","",'CF表（奥様死亡時）'!CB4)</f>
        <v/>
      </c>
      <c r="CC4" s="218">
        <f>IF('CF表（奥様死亡時）'!CC4="","",'CF表（奥様死亡時）'!CC4)</f>
        <v/>
      </c>
      <c r="CD4" s="218">
        <f>IF('CF表（奥様死亡時）'!CD4="","",'CF表（奥様死亡時）'!CD4)</f>
        <v/>
      </c>
      <c r="CE4" s="218">
        <f>IF('CF表（奥様死亡時）'!CE4="","",'CF表（奥様死亡時）'!CE4)</f>
        <v/>
      </c>
      <c r="CF4" s="218">
        <f>IF('CF表（奥様死亡時）'!CF4="","",'CF表（奥様死亡時）'!CF4)</f>
        <v/>
      </c>
      <c r="CG4" s="218">
        <f>IF('CF表（奥様死亡時）'!CG4="","",'CF表（奥様死亡時）'!CG4)</f>
        <v/>
      </c>
      <c r="CH4" s="218">
        <f>IF('CF表（奥様死亡時）'!CH4="","",'CF表（奥様死亡時）'!CH4)</f>
        <v/>
      </c>
      <c r="CI4" s="218">
        <f>IF('CF表（奥様死亡時）'!CI4="","",'CF表（奥様死亡時）'!CI4)</f>
        <v/>
      </c>
      <c r="CJ4" s="218">
        <f>IF('CF表（奥様死亡時）'!CJ4="","",'CF表（奥様死亡時）'!CJ4)</f>
        <v/>
      </c>
      <c r="CK4" s="218">
        <f>IF('CF表（奥様死亡時）'!CK4="","",'CF表（奥様死亡時）'!CK4)</f>
        <v/>
      </c>
      <c r="CL4" s="218">
        <f>IF('CF表（奥様死亡時）'!CL4="","",'CF表（奥様死亡時）'!CL4)</f>
        <v/>
      </c>
      <c r="CM4" s="218">
        <f>IF('CF表（奥様死亡時）'!CM4="","",'CF表（奥様死亡時）'!CM4)</f>
        <v/>
      </c>
      <c r="CN4" s="218">
        <f>IF('CF表（奥様死亡時）'!CN4="","",'CF表（奥様死亡時）'!CN4)</f>
        <v/>
      </c>
      <c r="CO4" s="218">
        <f>IF('CF表（奥様死亡時）'!CO4="","",'CF表（奥様死亡時）'!CO4)</f>
        <v/>
      </c>
      <c r="CP4" s="218">
        <f>IF('CF表（奥様死亡時）'!CP4="","",'CF表（奥様死亡時）'!CP4)</f>
        <v/>
      </c>
      <c r="CQ4" s="218">
        <f>IF('CF表（奥様死亡時）'!CQ4="","",'CF表（奥様死亡時）'!CQ4)</f>
        <v/>
      </c>
      <c r="CR4" s="218">
        <f>IF('CF表（奥様死亡時）'!CR4="","",'CF表（奥様死亡時）'!CR4)</f>
        <v/>
      </c>
      <c r="CS4" s="218">
        <f>IF('CF表（奥様死亡時）'!CS4="","",'CF表（奥様死亡時）'!CS4)</f>
        <v/>
      </c>
      <c r="CT4" s="218">
        <f>IF('CF表（奥様死亡時）'!CT4="","",'CF表（奥様死亡時）'!CT4)</f>
        <v/>
      </c>
      <c r="CU4" s="218">
        <f>IF('CF表（奥様死亡時）'!CU4="","",'CF表（奥様死亡時）'!CU4)</f>
        <v/>
      </c>
      <c r="CV4" s="218">
        <f>IF('CF表（奥様死亡時）'!CV4="","",'CF表（奥様死亡時）'!CV4)</f>
        <v/>
      </c>
      <c r="CW4" s="218">
        <f>IF('CF表（奥様死亡時）'!CW4="","",'CF表（奥様死亡時）'!CW4)</f>
        <v/>
      </c>
    </row>
    <row r="5" ht="15" customHeight="1" s="180">
      <c r="A5" s="217" t="inlineStr">
        <is>
          <t>奥様年齢</t>
        </is>
      </c>
      <c r="B5" s="218">
        <f>IF('CF表（奥様死亡時）'!B5="","",'CF表（奥様死亡時）'!B5)</f>
        <v/>
      </c>
      <c r="C5" s="218">
        <f>IF('CF表（奥様死亡時）'!C5="","",'CF表（奥様死亡時）'!C5)</f>
        <v/>
      </c>
      <c r="D5" s="218">
        <f>IF('CF表（奥様死亡時）'!D5="","",'CF表（奥様死亡時）'!D5)</f>
        <v/>
      </c>
      <c r="E5" s="218">
        <f>IF('CF表（奥様死亡時）'!E5="","",'CF表（奥様死亡時）'!E5)</f>
        <v/>
      </c>
      <c r="F5" s="218">
        <f>IF('CF表（奥様死亡時）'!F5="","",'CF表（奥様死亡時）'!F5)</f>
        <v/>
      </c>
      <c r="G5" s="218">
        <f>IF('CF表（奥様死亡時）'!G5="","",'CF表（奥様死亡時）'!G5)</f>
        <v/>
      </c>
      <c r="H5" s="218">
        <f>IF('CF表（奥様死亡時）'!H5="","",'CF表（奥様死亡時）'!H5)</f>
        <v/>
      </c>
      <c r="I5" s="218">
        <f>IF('CF表（奥様死亡時）'!I5="","",'CF表（奥様死亡時）'!I5)</f>
        <v/>
      </c>
      <c r="J5" s="218">
        <f>IF('CF表（奥様死亡時）'!J5="","",'CF表（奥様死亡時）'!J5)</f>
        <v/>
      </c>
      <c r="K5" s="218">
        <f>IF('CF表（奥様死亡時）'!K5="","",'CF表（奥様死亡時）'!K5)</f>
        <v/>
      </c>
      <c r="L5" s="218">
        <f>IF('CF表（奥様死亡時）'!L5="","",'CF表（奥様死亡時）'!L5)</f>
        <v/>
      </c>
      <c r="M5" s="218">
        <f>IF('CF表（奥様死亡時）'!M5="","",'CF表（奥様死亡時）'!M5)</f>
        <v/>
      </c>
      <c r="N5" s="218">
        <f>IF('CF表（奥様死亡時）'!N5="","",'CF表（奥様死亡時）'!N5)</f>
        <v/>
      </c>
      <c r="O5" s="218">
        <f>IF('CF表（奥様死亡時）'!O5="","",'CF表（奥様死亡時）'!O5)</f>
        <v/>
      </c>
      <c r="P5" s="218">
        <f>IF('CF表（奥様死亡時）'!P5="","",'CF表（奥様死亡時）'!P5)</f>
        <v/>
      </c>
      <c r="Q5" s="218">
        <f>IF('CF表（奥様死亡時）'!Q5="","",'CF表（奥様死亡時）'!Q5)</f>
        <v/>
      </c>
      <c r="R5" s="218">
        <f>IF('CF表（奥様死亡時）'!R5="","",'CF表（奥様死亡時）'!R5)</f>
        <v/>
      </c>
      <c r="S5" s="218">
        <f>IF('CF表（奥様死亡時）'!S5="","",'CF表（奥様死亡時）'!S5)</f>
        <v/>
      </c>
      <c r="T5" s="218">
        <f>IF('CF表（奥様死亡時）'!T5="","",'CF表（奥様死亡時）'!T5)</f>
        <v/>
      </c>
      <c r="U5" s="218">
        <f>IF('CF表（奥様死亡時）'!U5="","",'CF表（奥様死亡時）'!U5)</f>
        <v/>
      </c>
      <c r="V5" s="218">
        <f>IF('CF表（奥様死亡時）'!V5="","",'CF表（奥様死亡時）'!V5)</f>
        <v/>
      </c>
      <c r="W5" s="218">
        <f>IF('CF表（奥様死亡時）'!W5="","",'CF表（奥様死亡時）'!W5)</f>
        <v/>
      </c>
      <c r="X5" s="218">
        <f>IF('CF表（奥様死亡時）'!X5="","",'CF表（奥様死亡時）'!X5)</f>
        <v/>
      </c>
      <c r="Y5" s="218">
        <f>IF('CF表（奥様死亡時）'!Y5="","",'CF表（奥様死亡時）'!Y5)</f>
        <v/>
      </c>
      <c r="Z5" s="218">
        <f>IF('CF表（奥様死亡時）'!Z5="","",'CF表（奥様死亡時）'!Z5)</f>
        <v/>
      </c>
      <c r="AA5" s="218">
        <f>IF('CF表（奥様死亡時）'!AA5="","",'CF表（奥様死亡時）'!AA5)</f>
        <v/>
      </c>
      <c r="AB5" s="218">
        <f>IF('CF表（奥様死亡時）'!AB5="","",'CF表（奥様死亡時）'!AB5)</f>
        <v/>
      </c>
      <c r="AC5" s="218">
        <f>IF('CF表（奥様死亡時）'!AC5="","",'CF表（奥様死亡時）'!AC5)</f>
        <v/>
      </c>
      <c r="AD5" s="218">
        <f>IF('CF表（奥様死亡時）'!AD5="","",'CF表（奥様死亡時）'!AD5)</f>
        <v/>
      </c>
      <c r="AE5" s="218">
        <f>IF('CF表（奥様死亡時）'!AE5="","",'CF表（奥様死亡時）'!AE5)</f>
        <v/>
      </c>
      <c r="AF5" s="218">
        <f>IF('CF表（奥様死亡時）'!AF5="","",'CF表（奥様死亡時）'!AF5)</f>
        <v/>
      </c>
      <c r="AG5" s="218">
        <f>IF('CF表（奥様死亡時）'!AG5="","",'CF表（奥様死亡時）'!AG5)</f>
        <v/>
      </c>
      <c r="AH5" s="218">
        <f>IF('CF表（奥様死亡時）'!AH5="","",'CF表（奥様死亡時）'!AH5)</f>
        <v/>
      </c>
      <c r="AI5" s="218">
        <f>IF('CF表（奥様死亡時）'!AI5="","",'CF表（奥様死亡時）'!AI5)</f>
        <v/>
      </c>
      <c r="AJ5" s="218">
        <f>IF('CF表（奥様死亡時）'!AJ5="","",'CF表（奥様死亡時）'!AJ5)</f>
        <v/>
      </c>
      <c r="AK5" s="218">
        <f>IF('CF表（奥様死亡時）'!AK5="","",'CF表（奥様死亡時）'!AK5)</f>
        <v/>
      </c>
      <c r="AL5" s="218">
        <f>IF('CF表（奥様死亡時）'!AL5="","",'CF表（奥様死亡時）'!AL5)</f>
        <v/>
      </c>
      <c r="AM5" s="218">
        <f>IF('CF表（奥様死亡時）'!AM5="","",'CF表（奥様死亡時）'!AM5)</f>
        <v/>
      </c>
      <c r="AN5" s="218">
        <f>IF('CF表（奥様死亡時）'!AN5="","",'CF表（奥様死亡時）'!AN5)</f>
        <v/>
      </c>
      <c r="AO5" s="218">
        <f>IF('CF表（奥様死亡時）'!AO5="","",'CF表（奥様死亡時）'!AO5)</f>
        <v/>
      </c>
      <c r="AP5" s="218">
        <f>IF('CF表（奥様死亡時）'!AP5="","",'CF表（奥様死亡時）'!AP5)</f>
        <v/>
      </c>
      <c r="AQ5" s="218">
        <f>IF('CF表（奥様死亡時）'!AQ5="","",'CF表（奥様死亡時）'!AQ5)</f>
        <v/>
      </c>
      <c r="AR5" s="218">
        <f>IF('CF表（奥様死亡時）'!AR5="","",'CF表（奥様死亡時）'!AR5)</f>
        <v/>
      </c>
      <c r="AS5" s="218">
        <f>IF('CF表（奥様死亡時）'!AS5="","",'CF表（奥様死亡時）'!AS5)</f>
        <v/>
      </c>
      <c r="AT5" s="218">
        <f>IF('CF表（奥様死亡時）'!AT5="","",'CF表（奥様死亡時）'!AT5)</f>
        <v/>
      </c>
      <c r="AU5" s="218">
        <f>IF('CF表（奥様死亡時）'!AU5="","",'CF表（奥様死亡時）'!AU5)</f>
        <v/>
      </c>
      <c r="AV5" s="218">
        <f>IF('CF表（奥様死亡時）'!AV5="","",'CF表（奥様死亡時）'!AV5)</f>
        <v/>
      </c>
      <c r="AW5" s="218">
        <f>IF('CF表（奥様死亡時）'!AW5="","",'CF表（奥様死亡時）'!AW5)</f>
        <v/>
      </c>
      <c r="AX5" s="218">
        <f>IF('CF表（奥様死亡時）'!AX5="","",'CF表（奥様死亡時）'!AX5)</f>
        <v/>
      </c>
      <c r="AY5" s="218">
        <f>IF('CF表（奥様死亡時）'!AY5="","",'CF表（奥様死亡時）'!AY5)</f>
        <v/>
      </c>
      <c r="AZ5" s="218">
        <f>IF('CF表（奥様死亡時）'!AZ5="","",'CF表（奥様死亡時）'!AZ5)</f>
        <v/>
      </c>
      <c r="BA5" s="218">
        <f>IF('CF表（奥様死亡時）'!BA5="","",'CF表（奥様死亡時）'!BA5)</f>
        <v/>
      </c>
      <c r="BB5" s="218">
        <f>IF('CF表（奥様死亡時）'!BB5="","",'CF表（奥様死亡時）'!BB5)</f>
        <v/>
      </c>
      <c r="BC5" s="218">
        <f>IF('CF表（奥様死亡時）'!BC5="","",'CF表（奥様死亡時）'!BC5)</f>
        <v/>
      </c>
      <c r="BD5" s="218">
        <f>IF('CF表（奥様死亡時）'!BD5="","",'CF表（奥様死亡時）'!BD5)</f>
        <v/>
      </c>
      <c r="BE5" s="218">
        <f>IF('CF表（奥様死亡時）'!BE5="","",'CF表（奥様死亡時）'!BE5)</f>
        <v/>
      </c>
      <c r="BF5" s="218">
        <f>IF('CF表（奥様死亡時）'!BF5="","",'CF表（奥様死亡時）'!BF5)</f>
        <v/>
      </c>
      <c r="BG5" s="218">
        <f>IF('CF表（奥様死亡時）'!BG5="","",'CF表（奥様死亡時）'!BG5)</f>
        <v/>
      </c>
      <c r="BH5" s="218">
        <f>IF('CF表（奥様死亡時）'!BH5="","",'CF表（奥様死亡時）'!BH5)</f>
        <v/>
      </c>
      <c r="BI5" s="218">
        <f>IF('CF表（奥様死亡時）'!BI5="","",'CF表（奥様死亡時）'!BI5)</f>
        <v/>
      </c>
      <c r="BJ5" s="218">
        <f>IF('CF表（奥様死亡時）'!BJ5="","",'CF表（奥様死亡時）'!BJ5)</f>
        <v/>
      </c>
      <c r="BK5" s="218">
        <f>IF('CF表（奥様死亡時）'!BK5="","",'CF表（奥様死亡時）'!BK5)</f>
        <v/>
      </c>
      <c r="BL5" s="218">
        <f>IF('CF表（奥様死亡時）'!BL5="","",'CF表（奥様死亡時）'!BL5)</f>
        <v/>
      </c>
      <c r="BM5" s="218">
        <f>IF('CF表（奥様死亡時）'!BM5="","",'CF表（奥様死亡時）'!BM5)</f>
        <v/>
      </c>
      <c r="BN5" s="218">
        <f>IF('CF表（奥様死亡時）'!BN5="","",'CF表（奥様死亡時）'!BN5)</f>
        <v/>
      </c>
      <c r="BO5" s="218">
        <f>IF('CF表（奥様死亡時）'!BO5="","",'CF表（奥様死亡時）'!BO5)</f>
        <v/>
      </c>
      <c r="BP5" s="218">
        <f>IF('CF表（奥様死亡時）'!BP5="","",'CF表（奥様死亡時）'!BP5)</f>
        <v/>
      </c>
      <c r="BQ5" s="218">
        <f>IF('CF表（奥様死亡時）'!BQ5="","",'CF表（奥様死亡時）'!BQ5)</f>
        <v/>
      </c>
      <c r="BR5" s="218">
        <f>IF('CF表（奥様死亡時）'!BR5="","",'CF表（奥様死亡時）'!BR5)</f>
        <v/>
      </c>
      <c r="BS5" s="218">
        <f>IF('CF表（奥様死亡時）'!BS5="","",'CF表（奥様死亡時）'!BS5)</f>
        <v/>
      </c>
      <c r="BT5" s="218">
        <f>IF('CF表（奥様死亡時）'!BT5="","",'CF表（奥様死亡時）'!BT5)</f>
        <v/>
      </c>
      <c r="BU5" s="218">
        <f>IF('CF表（奥様死亡時）'!BU5="","",'CF表（奥様死亡時）'!BU5)</f>
        <v/>
      </c>
      <c r="BV5" s="218">
        <f>IF('CF表（奥様死亡時）'!BV5="","",'CF表（奥様死亡時）'!BV5)</f>
        <v/>
      </c>
      <c r="BW5" s="218">
        <f>IF('CF表（奥様死亡時）'!BW5="","",'CF表（奥様死亡時）'!BW5)</f>
        <v/>
      </c>
      <c r="BX5" s="218">
        <f>IF('CF表（奥様死亡時）'!BX5="","",'CF表（奥様死亡時）'!BX5)</f>
        <v/>
      </c>
      <c r="BY5" s="218">
        <f>IF('CF表（奥様死亡時）'!BY5="","",'CF表（奥様死亡時）'!BY5)</f>
        <v/>
      </c>
      <c r="BZ5" s="218">
        <f>IF('CF表（奥様死亡時）'!BZ5="","",'CF表（奥様死亡時）'!BZ5)</f>
        <v/>
      </c>
      <c r="CA5" s="218">
        <f>IF('CF表（奥様死亡時）'!CA5="","",'CF表（奥様死亡時）'!CA5)</f>
        <v/>
      </c>
      <c r="CB5" s="218">
        <f>IF('CF表（奥様死亡時）'!CB5="","",'CF表（奥様死亡時）'!CB5)</f>
        <v/>
      </c>
      <c r="CC5" s="218">
        <f>IF('CF表（奥様死亡時）'!CC5="","",'CF表（奥様死亡時）'!CC5)</f>
        <v/>
      </c>
      <c r="CD5" s="218">
        <f>IF('CF表（奥様死亡時）'!CD5="","",'CF表（奥様死亡時）'!CD5)</f>
        <v/>
      </c>
      <c r="CE5" s="218">
        <f>IF('CF表（奥様死亡時）'!CE5="","",'CF表（奥様死亡時）'!CE5)</f>
        <v/>
      </c>
      <c r="CF5" s="218">
        <f>IF('CF表（奥様死亡時）'!CF5="","",'CF表（奥様死亡時）'!CF5)</f>
        <v/>
      </c>
      <c r="CG5" s="218">
        <f>IF('CF表（奥様死亡時）'!CG5="","",'CF表（奥様死亡時）'!CG5)</f>
        <v/>
      </c>
      <c r="CH5" s="218">
        <f>IF('CF表（奥様死亡時）'!CH5="","",'CF表（奥様死亡時）'!CH5)</f>
        <v/>
      </c>
      <c r="CI5" s="218">
        <f>IF('CF表（奥様死亡時）'!CI5="","",'CF表（奥様死亡時）'!CI5)</f>
        <v/>
      </c>
      <c r="CJ5" s="218">
        <f>IF('CF表（奥様死亡時）'!CJ5="","",'CF表（奥様死亡時）'!CJ5)</f>
        <v/>
      </c>
      <c r="CK5" s="218">
        <f>IF('CF表（奥様死亡時）'!CK5="","",'CF表（奥様死亡時）'!CK5)</f>
        <v/>
      </c>
      <c r="CL5" s="218">
        <f>IF('CF表（奥様死亡時）'!CL5="","",'CF表（奥様死亡時）'!CL5)</f>
        <v/>
      </c>
      <c r="CM5" s="218">
        <f>IF('CF表（奥様死亡時）'!CM5="","",'CF表（奥様死亡時）'!CM5)</f>
        <v/>
      </c>
      <c r="CN5" s="218">
        <f>IF('CF表（奥様死亡時）'!CN5="","",'CF表（奥様死亡時）'!CN5)</f>
        <v/>
      </c>
      <c r="CO5" s="218">
        <f>IF('CF表（奥様死亡時）'!CO5="","",'CF表（奥様死亡時）'!CO5)</f>
        <v/>
      </c>
      <c r="CP5" s="218">
        <f>IF('CF表（奥様死亡時）'!CP5="","",'CF表（奥様死亡時）'!CP5)</f>
        <v/>
      </c>
      <c r="CQ5" s="218">
        <f>IF('CF表（奥様死亡時）'!CQ5="","",'CF表（奥様死亡時）'!CQ5)</f>
        <v/>
      </c>
      <c r="CR5" s="218">
        <f>IF('CF表（奥様死亡時）'!CR5="","",'CF表（奥様死亡時）'!CR5)</f>
        <v/>
      </c>
      <c r="CS5" s="218">
        <f>IF('CF表（奥様死亡時）'!CS5="","",'CF表（奥様死亡時）'!CS5)</f>
        <v/>
      </c>
      <c r="CT5" s="218">
        <f>IF('CF表（奥様死亡時）'!CT5="","",'CF表（奥様死亡時）'!CT5)</f>
        <v/>
      </c>
      <c r="CU5" s="218">
        <f>IF('CF表（奥様死亡時）'!CU5="","",'CF表（奥様死亡時）'!CU5)</f>
        <v/>
      </c>
      <c r="CV5" s="218">
        <f>IF('CF表（奥様死亡時）'!CV5="","",'CF表（奥様死亡時）'!CV5)</f>
        <v/>
      </c>
      <c r="CW5" s="218">
        <f>IF('CF表（奥様死亡時）'!CW5="","",'CF表（奥様死亡時）'!CW5)</f>
        <v/>
      </c>
    </row>
    <row r="6" ht="16.5" customHeight="1" s="180">
      <c r="A6" s="217" t="inlineStr">
        <is>
          <t>子1年齢</t>
        </is>
      </c>
      <c r="B6" s="218">
        <f>IF('CF表（奥様死亡時）'!B6="","",'CF表（奥様死亡時）'!B6)</f>
        <v/>
      </c>
      <c r="C6" s="218">
        <f>IF('CF表（奥様死亡時）'!C6="","",'CF表（奥様死亡時）'!C6)</f>
        <v/>
      </c>
      <c r="D6" s="218">
        <f>IF('CF表（奥様死亡時）'!D6="","",'CF表（奥様死亡時）'!D6)</f>
        <v/>
      </c>
      <c r="E6" s="218">
        <f>IF('CF表（奥様死亡時）'!E6="","",'CF表（奥様死亡時）'!E6)</f>
        <v/>
      </c>
      <c r="F6" s="218">
        <f>IF('CF表（奥様死亡時）'!F6="","",'CF表（奥様死亡時）'!F6)</f>
        <v/>
      </c>
      <c r="G6" s="218">
        <f>IF('CF表（奥様死亡時）'!G6="","",'CF表（奥様死亡時）'!G6)</f>
        <v/>
      </c>
      <c r="H6" s="218">
        <f>IF('CF表（奥様死亡時）'!H6="","",'CF表（奥様死亡時）'!H6)</f>
        <v/>
      </c>
      <c r="I6" s="218">
        <f>IF('CF表（奥様死亡時）'!I6="","",'CF表（奥様死亡時）'!I6)</f>
        <v/>
      </c>
      <c r="J6" s="218">
        <f>IF('CF表（奥様死亡時）'!J6="","",'CF表（奥様死亡時）'!J6)</f>
        <v/>
      </c>
      <c r="K6" s="218">
        <f>IF('CF表（奥様死亡時）'!K6="","",'CF表（奥様死亡時）'!K6)</f>
        <v/>
      </c>
      <c r="L6" s="218">
        <f>IF('CF表（奥様死亡時）'!L6="","",'CF表（奥様死亡時）'!L6)</f>
        <v/>
      </c>
      <c r="M6" s="218">
        <f>IF('CF表（奥様死亡時）'!M6="","",'CF表（奥様死亡時）'!M6)</f>
        <v/>
      </c>
      <c r="N6" s="218">
        <f>IF('CF表（奥様死亡時）'!N6="","",'CF表（奥様死亡時）'!N6)</f>
        <v/>
      </c>
      <c r="O6" s="218">
        <f>IF('CF表（奥様死亡時）'!O6="","",'CF表（奥様死亡時）'!O6)</f>
        <v/>
      </c>
      <c r="P6" s="218">
        <f>IF('CF表（奥様死亡時）'!P6="","",'CF表（奥様死亡時）'!P6)</f>
        <v/>
      </c>
      <c r="Q6" s="218">
        <f>IF('CF表（奥様死亡時）'!Q6="","",'CF表（奥様死亡時）'!Q6)</f>
        <v/>
      </c>
      <c r="R6" s="218">
        <f>IF('CF表（奥様死亡時）'!R6="","",'CF表（奥様死亡時）'!R6)</f>
        <v/>
      </c>
      <c r="S6" s="218">
        <f>IF('CF表（奥様死亡時）'!S6="","",'CF表（奥様死亡時）'!S6)</f>
        <v/>
      </c>
      <c r="T6" s="218">
        <f>IF('CF表（奥様死亡時）'!T6="","",'CF表（奥様死亡時）'!T6)</f>
        <v/>
      </c>
      <c r="U6" s="218">
        <f>IF('CF表（奥様死亡時）'!U6="","",'CF表（奥様死亡時）'!U6)</f>
        <v/>
      </c>
      <c r="V6" s="218">
        <f>IF('CF表（奥様死亡時）'!V6="","",'CF表（奥様死亡時）'!V6)</f>
        <v/>
      </c>
      <c r="W6" s="218">
        <f>IF('CF表（奥様死亡時）'!W6="","",'CF表（奥様死亡時）'!W6)</f>
        <v/>
      </c>
      <c r="X6" s="218">
        <f>IF('CF表（奥様死亡時）'!X6="","",'CF表（奥様死亡時）'!X6)</f>
        <v/>
      </c>
      <c r="Y6" s="218">
        <f>IF('CF表（奥様死亡時）'!Y6="","",'CF表（奥様死亡時）'!Y6)</f>
        <v/>
      </c>
      <c r="Z6" s="218">
        <f>IF('CF表（奥様死亡時）'!Z6="","",'CF表（奥様死亡時）'!Z6)</f>
        <v/>
      </c>
      <c r="AA6" s="218">
        <f>IF('CF表（奥様死亡時）'!AA6="","",'CF表（奥様死亡時）'!AA6)</f>
        <v/>
      </c>
      <c r="AB6" s="218">
        <f>IF('CF表（奥様死亡時）'!AB6="","",'CF表（奥様死亡時）'!AB6)</f>
        <v/>
      </c>
      <c r="AC6" s="218">
        <f>IF('CF表（奥様死亡時）'!AC6="","",'CF表（奥様死亡時）'!AC6)</f>
        <v/>
      </c>
      <c r="AD6" s="218">
        <f>IF('CF表（奥様死亡時）'!AD6="","",'CF表（奥様死亡時）'!AD6)</f>
        <v/>
      </c>
      <c r="AE6" s="218">
        <f>IF('CF表（奥様死亡時）'!AE6="","",'CF表（奥様死亡時）'!AE6)</f>
        <v/>
      </c>
      <c r="AF6" s="218">
        <f>IF('CF表（奥様死亡時）'!AF6="","",'CF表（奥様死亡時）'!AF6)</f>
        <v/>
      </c>
      <c r="AG6" s="218">
        <f>IF('CF表（奥様死亡時）'!AG6="","",'CF表（奥様死亡時）'!AG6)</f>
        <v/>
      </c>
      <c r="AH6" s="218">
        <f>IF('CF表（奥様死亡時）'!AH6="","",'CF表（奥様死亡時）'!AH6)</f>
        <v/>
      </c>
      <c r="AI6" s="218">
        <f>IF('CF表（奥様死亡時）'!AI6="","",'CF表（奥様死亡時）'!AI6)</f>
        <v/>
      </c>
      <c r="AJ6" s="218">
        <f>IF('CF表（奥様死亡時）'!AJ6="","",'CF表（奥様死亡時）'!AJ6)</f>
        <v/>
      </c>
      <c r="AK6" s="218">
        <f>IF('CF表（奥様死亡時）'!AK6="","",'CF表（奥様死亡時）'!AK6)</f>
        <v/>
      </c>
      <c r="AL6" s="218">
        <f>IF('CF表（奥様死亡時）'!AL6="","",'CF表（奥様死亡時）'!AL6)</f>
        <v/>
      </c>
      <c r="AM6" s="218">
        <f>IF('CF表（奥様死亡時）'!AM6="","",'CF表（奥様死亡時）'!AM6)</f>
        <v/>
      </c>
      <c r="AN6" s="218">
        <f>IF('CF表（奥様死亡時）'!AN6="","",'CF表（奥様死亡時）'!AN6)</f>
        <v/>
      </c>
      <c r="AO6" s="218">
        <f>IF('CF表（奥様死亡時）'!AO6="","",'CF表（奥様死亡時）'!AO6)</f>
        <v/>
      </c>
      <c r="AP6" s="218">
        <f>IF('CF表（奥様死亡時）'!AP6="","",'CF表（奥様死亡時）'!AP6)</f>
        <v/>
      </c>
      <c r="AQ6" s="218">
        <f>IF('CF表（奥様死亡時）'!AQ6="","",'CF表（奥様死亡時）'!AQ6)</f>
        <v/>
      </c>
      <c r="AR6" s="218">
        <f>IF('CF表（奥様死亡時）'!AR6="","",'CF表（奥様死亡時）'!AR6)</f>
        <v/>
      </c>
      <c r="AS6" s="218">
        <f>IF('CF表（奥様死亡時）'!AS6="","",'CF表（奥様死亡時）'!AS6)</f>
        <v/>
      </c>
      <c r="AT6" s="218">
        <f>IF('CF表（奥様死亡時）'!AT6="","",'CF表（奥様死亡時）'!AT6)</f>
        <v/>
      </c>
      <c r="AU6" s="218">
        <f>IF('CF表（奥様死亡時）'!AU6="","",'CF表（奥様死亡時）'!AU6)</f>
        <v/>
      </c>
      <c r="AV6" s="218">
        <f>IF('CF表（奥様死亡時）'!AV6="","",'CF表（奥様死亡時）'!AV6)</f>
        <v/>
      </c>
      <c r="AW6" s="218">
        <f>IF('CF表（奥様死亡時）'!AW6="","",'CF表（奥様死亡時）'!AW6)</f>
        <v/>
      </c>
      <c r="AX6" s="218">
        <f>IF('CF表（奥様死亡時）'!AX6="","",'CF表（奥様死亡時）'!AX6)</f>
        <v/>
      </c>
      <c r="AY6" s="218">
        <f>IF('CF表（奥様死亡時）'!AY6="","",'CF表（奥様死亡時）'!AY6)</f>
        <v/>
      </c>
      <c r="AZ6" s="218">
        <f>IF('CF表（奥様死亡時）'!AZ6="","",'CF表（奥様死亡時）'!AZ6)</f>
        <v/>
      </c>
      <c r="BA6" s="218">
        <f>IF('CF表（奥様死亡時）'!BA6="","",'CF表（奥様死亡時）'!BA6)</f>
        <v/>
      </c>
      <c r="BB6" s="218">
        <f>IF('CF表（奥様死亡時）'!BB6="","",'CF表（奥様死亡時）'!BB6)</f>
        <v/>
      </c>
      <c r="BC6" s="218">
        <f>IF('CF表（奥様死亡時）'!BC6="","",'CF表（奥様死亡時）'!BC6)</f>
        <v/>
      </c>
      <c r="BD6" s="218">
        <f>IF('CF表（奥様死亡時）'!BD6="","",'CF表（奥様死亡時）'!BD6)</f>
        <v/>
      </c>
      <c r="BE6" s="218">
        <f>IF('CF表（奥様死亡時）'!BE6="","",'CF表（奥様死亡時）'!BE6)</f>
        <v/>
      </c>
      <c r="BF6" s="218">
        <f>IF('CF表（奥様死亡時）'!BF6="","",'CF表（奥様死亡時）'!BF6)</f>
        <v/>
      </c>
      <c r="BG6" s="218">
        <f>IF('CF表（奥様死亡時）'!BG6="","",'CF表（奥様死亡時）'!BG6)</f>
        <v/>
      </c>
      <c r="BH6" s="218">
        <f>IF('CF表（奥様死亡時）'!BH6="","",'CF表（奥様死亡時）'!BH6)</f>
        <v/>
      </c>
      <c r="BI6" s="218">
        <f>IF('CF表（奥様死亡時）'!BI6="","",'CF表（奥様死亡時）'!BI6)</f>
        <v/>
      </c>
      <c r="BJ6" s="218">
        <f>IF('CF表（奥様死亡時）'!BJ6="","",'CF表（奥様死亡時）'!BJ6)</f>
        <v/>
      </c>
      <c r="BK6" s="218">
        <f>IF('CF表（奥様死亡時）'!BK6="","",'CF表（奥様死亡時）'!BK6)</f>
        <v/>
      </c>
      <c r="BL6" s="218">
        <f>IF('CF表（奥様死亡時）'!BL6="","",'CF表（奥様死亡時）'!BL6)</f>
        <v/>
      </c>
      <c r="BM6" s="218">
        <f>IF('CF表（奥様死亡時）'!BM6="","",'CF表（奥様死亡時）'!BM6)</f>
        <v/>
      </c>
      <c r="BN6" s="218">
        <f>IF('CF表（奥様死亡時）'!BN6="","",'CF表（奥様死亡時）'!BN6)</f>
        <v/>
      </c>
      <c r="BO6" s="218">
        <f>IF('CF表（奥様死亡時）'!BO6="","",'CF表（奥様死亡時）'!BO6)</f>
        <v/>
      </c>
      <c r="BP6" s="218">
        <f>IF('CF表（奥様死亡時）'!BP6="","",'CF表（奥様死亡時）'!BP6)</f>
        <v/>
      </c>
      <c r="BQ6" s="218">
        <f>IF('CF表（奥様死亡時）'!BQ6="","",'CF表（奥様死亡時）'!BQ6)</f>
        <v/>
      </c>
      <c r="BR6" s="218">
        <f>IF('CF表（奥様死亡時）'!BR6="","",'CF表（奥様死亡時）'!BR6)</f>
        <v/>
      </c>
      <c r="BS6" s="218">
        <f>IF('CF表（奥様死亡時）'!BS6="","",'CF表（奥様死亡時）'!BS6)</f>
        <v/>
      </c>
      <c r="BT6" s="218">
        <f>IF('CF表（奥様死亡時）'!BT6="","",'CF表（奥様死亡時）'!BT6)</f>
        <v/>
      </c>
      <c r="BU6" s="218">
        <f>IF('CF表（奥様死亡時）'!BU6="","",'CF表（奥様死亡時）'!BU6)</f>
        <v/>
      </c>
      <c r="BV6" s="218">
        <f>IF('CF表（奥様死亡時）'!BV6="","",'CF表（奥様死亡時）'!BV6)</f>
        <v/>
      </c>
      <c r="BW6" s="218">
        <f>IF('CF表（奥様死亡時）'!BW6="","",'CF表（奥様死亡時）'!BW6)</f>
        <v/>
      </c>
      <c r="BX6" s="218">
        <f>IF('CF表（奥様死亡時）'!BX6="","",'CF表（奥様死亡時）'!BX6)</f>
        <v/>
      </c>
      <c r="BY6" s="218">
        <f>IF('CF表（奥様死亡時）'!BY6="","",'CF表（奥様死亡時）'!BY6)</f>
        <v/>
      </c>
      <c r="BZ6" s="218">
        <f>IF('CF表（奥様死亡時）'!BZ6="","",'CF表（奥様死亡時）'!BZ6)</f>
        <v/>
      </c>
      <c r="CA6" s="218">
        <f>IF('CF表（奥様死亡時）'!CA6="","",'CF表（奥様死亡時）'!CA6)</f>
        <v/>
      </c>
      <c r="CB6" s="218">
        <f>IF('CF表（奥様死亡時）'!CB6="","",'CF表（奥様死亡時）'!CB6)</f>
        <v/>
      </c>
      <c r="CC6" s="218">
        <f>IF('CF表（奥様死亡時）'!CC6="","",'CF表（奥様死亡時）'!CC6)</f>
        <v/>
      </c>
      <c r="CD6" s="218">
        <f>IF('CF表（奥様死亡時）'!CD6="","",'CF表（奥様死亡時）'!CD6)</f>
        <v/>
      </c>
      <c r="CE6" s="218">
        <f>IF('CF表（奥様死亡時）'!CE6="","",'CF表（奥様死亡時）'!CE6)</f>
        <v/>
      </c>
      <c r="CF6" s="218">
        <f>IF('CF表（奥様死亡時）'!CF6="","",'CF表（奥様死亡時）'!CF6)</f>
        <v/>
      </c>
      <c r="CG6" s="218">
        <f>IF('CF表（奥様死亡時）'!CG6="","",'CF表（奥様死亡時）'!CG6)</f>
        <v/>
      </c>
      <c r="CH6" s="218">
        <f>IF('CF表（奥様死亡時）'!CH6="","",'CF表（奥様死亡時）'!CH6)</f>
        <v/>
      </c>
      <c r="CI6" s="218">
        <f>IF('CF表（奥様死亡時）'!CI6="","",'CF表（奥様死亡時）'!CI6)</f>
        <v/>
      </c>
      <c r="CJ6" s="218">
        <f>IF('CF表（奥様死亡時）'!CJ6="","",'CF表（奥様死亡時）'!CJ6)</f>
        <v/>
      </c>
      <c r="CK6" s="218">
        <f>IF('CF表（奥様死亡時）'!CK6="","",'CF表（奥様死亡時）'!CK6)</f>
        <v/>
      </c>
      <c r="CL6" s="218">
        <f>IF('CF表（奥様死亡時）'!CL6="","",'CF表（奥様死亡時）'!CL6)</f>
        <v/>
      </c>
      <c r="CM6" s="218">
        <f>IF('CF表（奥様死亡時）'!CM6="","",'CF表（奥様死亡時）'!CM6)</f>
        <v/>
      </c>
      <c r="CN6" s="218">
        <f>IF('CF表（奥様死亡時）'!CN6="","",'CF表（奥様死亡時）'!CN6)</f>
        <v/>
      </c>
      <c r="CO6" s="218">
        <f>IF('CF表（奥様死亡時）'!CO6="","",'CF表（奥様死亡時）'!CO6)</f>
        <v/>
      </c>
      <c r="CP6" s="218">
        <f>IF('CF表（奥様死亡時）'!CP6="","",'CF表（奥様死亡時）'!CP6)</f>
        <v/>
      </c>
      <c r="CQ6" s="218">
        <f>IF('CF表（奥様死亡時）'!CQ6="","",'CF表（奥様死亡時）'!CQ6)</f>
        <v/>
      </c>
      <c r="CR6" s="218">
        <f>IF('CF表（奥様死亡時）'!CR6="","",'CF表（奥様死亡時）'!CR6)</f>
        <v/>
      </c>
      <c r="CS6" s="218">
        <f>IF('CF表（奥様死亡時）'!CS6="","",'CF表（奥様死亡時）'!CS6)</f>
        <v/>
      </c>
      <c r="CT6" s="218">
        <f>IF('CF表（奥様死亡時）'!CT6="","",'CF表（奥様死亡時）'!CT6)</f>
        <v/>
      </c>
      <c r="CU6" s="218">
        <f>IF('CF表（奥様死亡時）'!CU6="","",'CF表（奥様死亡時）'!CU6)</f>
        <v/>
      </c>
      <c r="CV6" s="218">
        <f>IF('CF表（奥様死亡時）'!CV6="","",'CF表（奥様死亡時）'!CV6)</f>
        <v/>
      </c>
      <c r="CW6" s="218">
        <f>IF('CF表（奥様死亡時）'!CW6="","",'CF表（奥様死亡時）'!CW6)</f>
        <v/>
      </c>
    </row>
    <row r="7" ht="16.5" customHeight="1" s="180">
      <c r="A7" s="217" t="inlineStr">
        <is>
          <t>子2年齢</t>
        </is>
      </c>
      <c r="B7" s="218">
        <f>IF('CF表（奥様死亡時）'!B7="","",'CF表（奥様死亡時）'!B7)</f>
        <v/>
      </c>
      <c r="C7" s="218">
        <f>IF('CF表（奥様死亡時）'!C7="","",'CF表（奥様死亡時）'!C7)</f>
        <v/>
      </c>
      <c r="D7" s="218">
        <f>IF('CF表（奥様死亡時）'!D7="","",'CF表（奥様死亡時）'!D7)</f>
        <v/>
      </c>
      <c r="E7" s="218">
        <f>IF('CF表（奥様死亡時）'!E7="","",'CF表（奥様死亡時）'!E7)</f>
        <v/>
      </c>
      <c r="F7" s="218">
        <f>IF('CF表（奥様死亡時）'!F7="","",'CF表（奥様死亡時）'!F7)</f>
        <v/>
      </c>
      <c r="G7" s="218">
        <f>IF('CF表（奥様死亡時）'!G7="","",'CF表（奥様死亡時）'!G7)</f>
        <v/>
      </c>
      <c r="H7" s="218">
        <f>IF('CF表（奥様死亡時）'!H7="","",'CF表（奥様死亡時）'!H7)</f>
        <v/>
      </c>
      <c r="I7" s="218">
        <f>IF('CF表（奥様死亡時）'!I7="","",'CF表（奥様死亡時）'!I7)</f>
        <v/>
      </c>
      <c r="J7" s="218">
        <f>IF('CF表（奥様死亡時）'!J7="","",'CF表（奥様死亡時）'!J7)</f>
        <v/>
      </c>
      <c r="K7" s="218">
        <f>IF('CF表（奥様死亡時）'!K7="","",'CF表（奥様死亡時）'!K7)</f>
        <v/>
      </c>
      <c r="L7" s="218">
        <f>IF('CF表（奥様死亡時）'!L7="","",'CF表（奥様死亡時）'!L7)</f>
        <v/>
      </c>
      <c r="M7" s="218">
        <f>IF('CF表（奥様死亡時）'!M7="","",'CF表（奥様死亡時）'!M7)</f>
        <v/>
      </c>
      <c r="N7" s="218">
        <f>IF('CF表（奥様死亡時）'!N7="","",'CF表（奥様死亡時）'!N7)</f>
        <v/>
      </c>
      <c r="O7" s="218">
        <f>IF('CF表（奥様死亡時）'!O7="","",'CF表（奥様死亡時）'!O7)</f>
        <v/>
      </c>
      <c r="P7" s="218">
        <f>IF('CF表（奥様死亡時）'!P7="","",'CF表（奥様死亡時）'!P7)</f>
        <v/>
      </c>
      <c r="Q7" s="218">
        <f>IF('CF表（奥様死亡時）'!Q7="","",'CF表（奥様死亡時）'!Q7)</f>
        <v/>
      </c>
      <c r="R7" s="218">
        <f>IF('CF表（奥様死亡時）'!R7="","",'CF表（奥様死亡時）'!R7)</f>
        <v/>
      </c>
      <c r="S7" s="218">
        <f>IF('CF表（奥様死亡時）'!S7="","",'CF表（奥様死亡時）'!S7)</f>
        <v/>
      </c>
      <c r="T7" s="218">
        <f>IF('CF表（奥様死亡時）'!T7="","",'CF表（奥様死亡時）'!T7)</f>
        <v/>
      </c>
      <c r="U7" s="218">
        <f>IF('CF表（奥様死亡時）'!U7="","",'CF表（奥様死亡時）'!U7)</f>
        <v/>
      </c>
      <c r="V7" s="218">
        <f>IF('CF表（奥様死亡時）'!V7="","",'CF表（奥様死亡時）'!V7)</f>
        <v/>
      </c>
      <c r="W7" s="218">
        <f>IF('CF表（奥様死亡時）'!W7="","",'CF表（奥様死亡時）'!W7)</f>
        <v/>
      </c>
      <c r="X7" s="218">
        <f>IF('CF表（奥様死亡時）'!X7="","",'CF表（奥様死亡時）'!X7)</f>
        <v/>
      </c>
      <c r="Y7" s="218">
        <f>IF('CF表（奥様死亡時）'!Y7="","",'CF表（奥様死亡時）'!Y7)</f>
        <v/>
      </c>
      <c r="Z7" s="218">
        <f>IF('CF表（奥様死亡時）'!Z7="","",'CF表（奥様死亡時）'!Z7)</f>
        <v/>
      </c>
      <c r="AA7" s="218">
        <f>IF('CF表（奥様死亡時）'!AA7="","",'CF表（奥様死亡時）'!AA7)</f>
        <v/>
      </c>
      <c r="AB7" s="218">
        <f>IF('CF表（奥様死亡時）'!AB7="","",'CF表（奥様死亡時）'!AB7)</f>
        <v/>
      </c>
      <c r="AC7" s="218">
        <f>IF('CF表（奥様死亡時）'!AC7="","",'CF表（奥様死亡時）'!AC7)</f>
        <v/>
      </c>
      <c r="AD7" s="218">
        <f>IF('CF表（奥様死亡時）'!AD7="","",'CF表（奥様死亡時）'!AD7)</f>
        <v/>
      </c>
      <c r="AE7" s="218">
        <f>IF('CF表（奥様死亡時）'!AE7="","",'CF表（奥様死亡時）'!AE7)</f>
        <v/>
      </c>
      <c r="AF7" s="218">
        <f>IF('CF表（奥様死亡時）'!AF7="","",'CF表（奥様死亡時）'!AF7)</f>
        <v/>
      </c>
      <c r="AG7" s="218">
        <f>IF('CF表（奥様死亡時）'!AG7="","",'CF表（奥様死亡時）'!AG7)</f>
        <v/>
      </c>
      <c r="AH7" s="218">
        <f>IF('CF表（奥様死亡時）'!AH7="","",'CF表（奥様死亡時）'!AH7)</f>
        <v/>
      </c>
      <c r="AI7" s="218">
        <f>IF('CF表（奥様死亡時）'!AI7="","",'CF表（奥様死亡時）'!AI7)</f>
        <v/>
      </c>
      <c r="AJ7" s="218">
        <f>IF('CF表（奥様死亡時）'!AJ7="","",'CF表（奥様死亡時）'!AJ7)</f>
        <v/>
      </c>
      <c r="AK7" s="218">
        <f>IF('CF表（奥様死亡時）'!AK7="","",'CF表（奥様死亡時）'!AK7)</f>
        <v/>
      </c>
      <c r="AL7" s="218">
        <f>IF('CF表（奥様死亡時）'!AL7="","",'CF表（奥様死亡時）'!AL7)</f>
        <v/>
      </c>
      <c r="AM7" s="218">
        <f>IF('CF表（奥様死亡時）'!AM7="","",'CF表（奥様死亡時）'!AM7)</f>
        <v/>
      </c>
      <c r="AN7" s="218">
        <f>IF('CF表（奥様死亡時）'!AN7="","",'CF表（奥様死亡時）'!AN7)</f>
        <v/>
      </c>
      <c r="AO7" s="218">
        <f>IF('CF表（奥様死亡時）'!AO7="","",'CF表（奥様死亡時）'!AO7)</f>
        <v/>
      </c>
      <c r="AP7" s="218">
        <f>IF('CF表（奥様死亡時）'!AP7="","",'CF表（奥様死亡時）'!AP7)</f>
        <v/>
      </c>
      <c r="AQ7" s="218">
        <f>IF('CF表（奥様死亡時）'!AQ7="","",'CF表（奥様死亡時）'!AQ7)</f>
        <v/>
      </c>
      <c r="AR7" s="218">
        <f>IF('CF表（奥様死亡時）'!AR7="","",'CF表（奥様死亡時）'!AR7)</f>
        <v/>
      </c>
      <c r="AS7" s="218">
        <f>IF('CF表（奥様死亡時）'!AS7="","",'CF表（奥様死亡時）'!AS7)</f>
        <v/>
      </c>
      <c r="AT7" s="218">
        <f>IF('CF表（奥様死亡時）'!AT7="","",'CF表（奥様死亡時）'!AT7)</f>
        <v/>
      </c>
      <c r="AU7" s="218">
        <f>IF('CF表（奥様死亡時）'!AU7="","",'CF表（奥様死亡時）'!AU7)</f>
        <v/>
      </c>
      <c r="AV7" s="218">
        <f>IF('CF表（奥様死亡時）'!AV7="","",'CF表（奥様死亡時）'!AV7)</f>
        <v/>
      </c>
      <c r="AW7" s="218">
        <f>IF('CF表（奥様死亡時）'!AW7="","",'CF表（奥様死亡時）'!AW7)</f>
        <v/>
      </c>
      <c r="AX7" s="218">
        <f>IF('CF表（奥様死亡時）'!AX7="","",'CF表（奥様死亡時）'!AX7)</f>
        <v/>
      </c>
      <c r="AY7" s="218">
        <f>IF('CF表（奥様死亡時）'!AY7="","",'CF表（奥様死亡時）'!AY7)</f>
        <v/>
      </c>
      <c r="AZ7" s="218">
        <f>IF('CF表（奥様死亡時）'!AZ7="","",'CF表（奥様死亡時）'!AZ7)</f>
        <v/>
      </c>
      <c r="BA7" s="218">
        <f>IF('CF表（奥様死亡時）'!BA7="","",'CF表（奥様死亡時）'!BA7)</f>
        <v/>
      </c>
      <c r="BB7" s="218">
        <f>IF('CF表（奥様死亡時）'!BB7="","",'CF表（奥様死亡時）'!BB7)</f>
        <v/>
      </c>
      <c r="BC7" s="218">
        <f>IF('CF表（奥様死亡時）'!BC7="","",'CF表（奥様死亡時）'!BC7)</f>
        <v/>
      </c>
      <c r="BD7" s="218">
        <f>IF('CF表（奥様死亡時）'!BD7="","",'CF表（奥様死亡時）'!BD7)</f>
        <v/>
      </c>
      <c r="BE7" s="218">
        <f>IF('CF表（奥様死亡時）'!BE7="","",'CF表（奥様死亡時）'!BE7)</f>
        <v/>
      </c>
      <c r="BF7" s="218">
        <f>IF('CF表（奥様死亡時）'!BF7="","",'CF表（奥様死亡時）'!BF7)</f>
        <v/>
      </c>
      <c r="BG7" s="218">
        <f>IF('CF表（奥様死亡時）'!BG7="","",'CF表（奥様死亡時）'!BG7)</f>
        <v/>
      </c>
      <c r="BH7" s="218">
        <f>IF('CF表（奥様死亡時）'!BH7="","",'CF表（奥様死亡時）'!BH7)</f>
        <v/>
      </c>
      <c r="BI7" s="218">
        <f>IF('CF表（奥様死亡時）'!BI7="","",'CF表（奥様死亡時）'!BI7)</f>
        <v/>
      </c>
      <c r="BJ7" s="218">
        <f>IF('CF表（奥様死亡時）'!BJ7="","",'CF表（奥様死亡時）'!BJ7)</f>
        <v/>
      </c>
      <c r="BK7" s="218">
        <f>IF('CF表（奥様死亡時）'!BK7="","",'CF表（奥様死亡時）'!BK7)</f>
        <v/>
      </c>
      <c r="BL7" s="218">
        <f>IF('CF表（奥様死亡時）'!BL7="","",'CF表（奥様死亡時）'!BL7)</f>
        <v/>
      </c>
      <c r="BM7" s="218">
        <f>IF('CF表（奥様死亡時）'!BM7="","",'CF表（奥様死亡時）'!BM7)</f>
        <v/>
      </c>
      <c r="BN7" s="218">
        <f>IF('CF表（奥様死亡時）'!BN7="","",'CF表（奥様死亡時）'!BN7)</f>
        <v/>
      </c>
      <c r="BO7" s="218">
        <f>IF('CF表（奥様死亡時）'!BO7="","",'CF表（奥様死亡時）'!BO7)</f>
        <v/>
      </c>
      <c r="BP7" s="218">
        <f>IF('CF表（奥様死亡時）'!BP7="","",'CF表（奥様死亡時）'!BP7)</f>
        <v/>
      </c>
      <c r="BQ7" s="218">
        <f>IF('CF表（奥様死亡時）'!BQ7="","",'CF表（奥様死亡時）'!BQ7)</f>
        <v/>
      </c>
      <c r="BR7" s="218">
        <f>IF('CF表（奥様死亡時）'!BR7="","",'CF表（奥様死亡時）'!BR7)</f>
        <v/>
      </c>
      <c r="BS7" s="218">
        <f>IF('CF表（奥様死亡時）'!BS7="","",'CF表（奥様死亡時）'!BS7)</f>
        <v/>
      </c>
      <c r="BT7" s="218">
        <f>IF('CF表（奥様死亡時）'!BT7="","",'CF表（奥様死亡時）'!BT7)</f>
        <v/>
      </c>
      <c r="BU7" s="218">
        <f>IF('CF表（奥様死亡時）'!BU7="","",'CF表（奥様死亡時）'!BU7)</f>
        <v/>
      </c>
      <c r="BV7" s="218">
        <f>IF('CF表（奥様死亡時）'!BV7="","",'CF表（奥様死亡時）'!BV7)</f>
        <v/>
      </c>
      <c r="BW7" s="218">
        <f>IF('CF表（奥様死亡時）'!BW7="","",'CF表（奥様死亡時）'!BW7)</f>
        <v/>
      </c>
      <c r="BX7" s="218">
        <f>IF('CF表（奥様死亡時）'!BX7="","",'CF表（奥様死亡時）'!BX7)</f>
        <v/>
      </c>
      <c r="BY7" s="218">
        <f>IF('CF表（奥様死亡時）'!BY7="","",'CF表（奥様死亡時）'!BY7)</f>
        <v/>
      </c>
      <c r="BZ7" s="218">
        <f>IF('CF表（奥様死亡時）'!BZ7="","",'CF表（奥様死亡時）'!BZ7)</f>
        <v/>
      </c>
      <c r="CA7" s="218">
        <f>IF('CF表（奥様死亡時）'!CA7="","",'CF表（奥様死亡時）'!CA7)</f>
        <v/>
      </c>
      <c r="CB7" s="218">
        <f>IF('CF表（奥様死亡時）'!CB7="","",'CF表（奥様死亡時）'!CB7)</f>
        <v/>
      </c>
      <c r="CC7" s="218">
        <f>IF('CF表（奥様死亡時）'!CC7="","",'CF表（奥様死亡時）'!CC7)</f>
        <v/>
      </c>
      <c r="CD7" s="218">
        <f>IF('CF表（奥様死亡時）'!CD7="","",'CF表（奥様死亡時）'!CD7)</f>
        <v/>
      </c>
      <c r="CE7" s="218">
        <f>IF('CF表（奥様死亡時）'!CE7="","",'CF表（奥様死亡時）'!CE7)</f>
        <v/>
      </c>
      <c r="CF7" s="218">
        <f>IF('CF表（奥様死亡時）'!CF7="","",'CF表（奥様死亡時）'!CF7)</f>
        <v/>
      </c>
      <c r="CG7" s="218">
        <f>IF('CF表（奥様死亡時）'!CG7="","",'CF表（奥様死亡時）'!CG7)</f>
        <v/>
      </c>
      <c r="CH7" s="218">
        <f>IF('CF表（奥様死亡時）'!CH7="","",'CF表（奥様死亡時）'!CH7)</f>
        <v/>
      </c>
      <c r="CI7" s="218">
        <f>IF('CF表（奥様死亡時）'!CI7="","",'CF表（奥様死亡時）'!CI7)</f>
        <v/>
      </c>
      <c r="CJ7" s="218">
        <f>IF('CF表（奥様死亡時）'!CJ7="","",'CF表（奥様死亡時）'!CJ7)</f>
        <v/>
      </c>
      <c r="CK7" s="218">
        <f>IF('CF表（奥様死亡時）'!CK7="","",'CF表（奥様死亡時）'!CK7)</f>
        <v/>
      </c>
      <c r="CL7" s="218">
        <f>IF('CF表（奥様死亡時）'!CL7="","",'CF表（奥様死亡時）'!CL7)</f>
        <v/>
      </c>
      <c r="CM7" s="218">
        <f>IF('CF表（奥様死亡時）'!CM7="","",'CF表（奥様死亡時）'!CM7)</f>
        <v/>
      </c>
      <c r="CN7" s="218">
        <f>IF('CF表（奥様死亡時）'!CN7="","",'CF表（奥様死亡時）'!CN7)</f>
        <v/>
      </c>
      <c r="CO7" s="218">
        <f>IF('CF表（奥様死亡時）'!CO7="","",'CF表（奥様死亡時）'!CO7)</f>
        <v/>
      </c>
      <c r="CP7" s="218">
        <f>IF('CF表（奥様死亡時）'!CP7="","",'CF表（奥様死亡時）'!CP7)</f>
        <v/>
      </c>
      <c r="CQ7" s="218">
        <f>IF('CF表（奥様死亡時）'!CQ7="","",'CF表（奥様死亡時）'!CQ7)</f>
        <v/>
      </c>
      <c r="CR7" s="218">
        <f>IF('CF表（奥様死亡時）'!CR7="","",'CF表（奥様死亡時）'!CR7)</f>
        <v/>
      </c>
      <c r="CS7" s="218">
        <f>IF('CF表（奥様死亡時）'!CS7="","",'CF表（奥様死亡時）'!CS7)</f>
        <v/>
      </c>
      <c r="CT7" s="218">
        <f>IF('CF表（奥様死亡時）'!CT7="","",'CF表（奥様死亡時）'!CT7)</f>
        <v/>
      </c>
      <c r="CU7" s="218">
        <f>IF('CF表（奥様死亡時）'!CU7="","",'CF表（奥様死亡時）'!CU7)</f>
        <v/>
      </c>
      <c r="CV7" s="218">
        <f>IF('CF表（奥様死亡時）'!CV7="","",'CF表（奥様死亡時）'!CV7)</f>
        <v/>
      </c>
      <c r="CW7" s="218">
        <f>IF('CF表（奥様死亡時）'!CW7="","",'CF表（奥様死亡時）'!CW7)</f>
        <v/>
      </c>
    </row>
    <row r="8" ht="16.5" customHeight="1" s="180">
      <c r="A8" s="217" t="inlineStr">
        <is>
          <t>子3年齢</t>
        </is>
      </c>
      <c r="B8" s="218">
        <f>IF('CF表（奥様死亡時）'!B8="","",'CF表（奥様死亡時）'!B8)</f>
        <v/>
      </c>
      <c r="C8" s="218">
        <f>IF('CF表（奥様死亡時）'!C8="","",'CF表（奥様死亡時）'!C8)</f>
        <v/>
      </c>
      <c r="D8" s="218">
        <f>IF('CF表（奥様死亡時）'!D8="","",'CF表（奥様死亡時）'!D8)</f>
        <v/>
      </c>
      <c r="E8" s="218">
        <f>IF('CF表（奥様死亡時）'!E8="","",'CF表（奥様死亡時）'!E8)</f>
        <v/>
      </c>
      <c r="F8" s="218">
        <f>IF('CF表（奥様死亡時）'!F8="","",'CF表（奥様死亡時）'!F8)</f>
        <v/>
      </c>
      <c r="G8" s="218">
        <f>IF('CF表（奥様死亡時）'!G8="","",'CF表（奥様死亡時）'!G8)</f>
        <v/>
      </c>
      <c r="H8" s="218">
        <f>IF('CF表（奥様死亡時）'!H8="","",'CF表（奥様死亡時）'!H8)</f>
        <v/>
      </c>
      <c r="I8" s="218">
        <f>IF('CF表（奥様死亡時）'!I8="","",'CF表（奥様死亡時）'!I8)</f>
        <v/>
      </c>
      <c r="J8" s="218">
        <f>IF('CF表（奥様死亡時）'!J8="","",'CF表（奥様死亡時）'!J8)</f>
        <v/>
      </c>
      <c r="K8" s="218">
        <f>IF('CF表（奥様死亡時）'!K8="","",'CF表（奥様死亡時）'!K8)</f>
        <v/>
      </c>
      <c r="L8" s="218">
        <f>IF('CF表（奥様死亡時）'!L8="","",'CF表（奥様死亡時）'!L8)</f>
        <v/>
      </c>
      <c r="M8" s="218">
        <f>IF('CF表（奥様死亡時）'!M8="","",'CF表（奥様死亡時）'!M8)</f>
        <v/>
      </c>
      <c r="N8" s="218">
        <f>IF('CF表（奥様死亡時）'!N8="","",'CF表（奥様死亡時）'!N8)</f>
        <v/>
      </c>
      <c r="O8" s="218">
        <f>IF('CF表（奥様死亡時）'!O8="","",'CF表（奥様死亡時）'!O8)</f>
        <v/>
      </c>
      <c r="P8" s="218">
        <f>IF('CF表（奥様死亡時）'!P8="","",'CF表（奥様死亡時）'!P8)</f>
        <v/>
      </c>
      <c r="Q8" s="218">
        <f>IF('CF表（奥様死亡時）'!Q8="","",'CF表（奥様死亡時）'!Q8)</f>
        <v/>
      </c>
      <c r="R8" s="218">
        <f>IF('CF表（奥様死亡時）'!R8="","",'CF表（奥様死亡時）'!R8)</f>
        <v/>
      </c>
      <c r="S8" s="218">
        <f>IF('CF表（奥様死亡時）'!S8="","",'CF表（奥様死亡時）'!S8)</f>
        <v/>
      </c>
      <c r="T8" s="218">
        <f>IF('CF表（奥様死亡時）'!T8="","",'CF表（奥様死亡時）'!T8)</f>
        <v/>
      </c>
      <c r="U8" s="218">
        <f>IF('CF表（奥様死亡時）'!U8="","",'CF表（奥様死亡時）'!U8)</f>
        <v/>
      </c>
      <c r="V8" s="218">
        <f>IF('CF表（奥様死亡時）'!V8="","",'CF表（奥様死亡時）'!V8)</f>
        <v/>
      </c>
      <c r="W8" s="218">
        <f>IF('CF表（奥様死亡時）'!W8="","",'CF表（奥様死亡時）'!W8)</f>
        <v/>
      </c>
      <c r="X8" s="218">
        <f>IF('CF表（奥様死亡時）'!X8="","",'CF表（奥様死亡時）'!X8)</f>
        <v/>
      </c>
      <c r="Y8" s="218">
        <f>IF('CF表（奥様死亡時）'!Y8="","",'CF表（奥様死亡時）'!Y8)</f>
        <v/>
      </c>
      <c r="Z8" s="218">
        <f>IF('CF表（奥様死亡時）'!Z8="","",'CF表（奥様死亡時）'!Z8)</f>
        <v/>
      </c>
      <c r="AA8" s="218">
        <f>IF('CF表（奥様死亡時）'!AA8="","",'CF表（奥様死亡時）'!AA8)</f>
        <v/>
      </c>
      <c r="AB8" s="218">
        <f>IF('CF表（奥様死亡時）'!AB8="","",'CF表（奥様死亡時）'!AB8)</f>
        <v/>
      </c>
      <c r="AC8" s="218">
        <f>IF('CF表（奥様死亡時）'!AC8="","",'CF表（奥様死亡時）'!AC8)</f>
        <v/>
      </c>
      <c r="AD8" s="218">
        <f>IF('CF表（奥様死亡時）'!AD8="","",'CF表（奥様死亡時）'!AD8)</f>
        <v/>
      </c>
      <c r="AE8" s="218">
        <f>IF('CF表（奥様死亡時）'!AE8="","",'CF表（奥様死亡時）'!AE8)</f>
        <v/>
      </c>
      <c r="AF8" s="218">
        <f>IF('CF表（奥様死亡時）'!AF8="","",'CF表（奥様死亡時）'!AF8)</f>
        <v/>
      </c>
      <c r="AG8" s="218">
        <f>IF('CF表（奥様死亡時）'!AG8="","",'CF表（奥様死亡時）'!AG8)</f>
        <v/>
      </c>
      <c r="AH8" s="218">
        <f>IF('CF表（奥様死亡時）'!AH8="","",'CF表（奥様死亡時）'!AH8)</f>
        <v/>
      </c>
      <c r="AI8" s="218">
        <f>IF('CF表（奥様死亡時）'!AI8="","",'CF表（奥様死亡時）'!AI8)</f>
        <v/>
      </c>
      <c r="AJ8" s="218">
        <f>IF('CF表（奥様死亡時）'!AJ8="","",'CF表（奥様死亡時）'!AJ8)</f>
        <v/>
      </c>
      <c r="AK8" s="218">
        <f>IF('CF表（奥様死亡時）'!AK8="","",'CF表（奥様死亡時）'!AK8)</f>
        <v/>
      </c>
      <c r="AL8" s="218">
        <f>IF('CF表（奥様死亡時）'!AL8="","",'CF表（奥様死亡時）'!AL8)</f>
        <v/>
      </c>
      <c r="AM8" s="218">
        <f>IF('CF表（奥様死亡時）'!AM8="","",'CF表（奥様死亡時）'!AM8)</f>
        <v/>
      </c>
      <c r="AN8" s="218">
        <f>IF('CF表（奥様死亡時）'!AN8="","",'CF表（奥様死亡時）'!AN8)</f>
        <v/>
      </c>
      <c r="AO8" s="218">
        <f>IF('CF表（奥様死亡時）'!AO8="","",'CF表（奥様死亡時）'!AO8)</f>
        <v/>
      </c>
      <c r="AP8" s="218">
        <f>IF('CF表（奥様死亡時）'!AP8="","",'CF表（奥様死亡時）'!AP8)</f>
        <v/>
      </c>
      <c r="AQ8" s="218">
        <f>IF('CF表（奥様死亡時）'!AQ8="","",'CF表（奥様死亡時）'!AQ8)</f>
        <v/>
      </c>
      <c r="AR8" s="218">
        <f>IF('CF表（奥様死亡時）'!AR8="","",'CF表（奥様死亡時）'!AR8)</f>
        <v/>
      </c>
      <c r="AS8" s="218">
        <f>IF('CF表（奥様死亡時）'!AS8="","",'CF表（奥様死亡時）'!AS8)</f>
        <v/>
      </c>
      <c r="AT8" s="218">
        <f>IF('CF表（奥様死亡時）'!AT8="","",'CF表（奥様死亡時）'!AT8)</f>
        <v/>
      </c>
      <c r="AU8" s="218">
        <f>IF('CF表（奥様死亡時）'!AU8="","",'CF表（奥様死亡時）'!AU8)</f>
        <v/>
      </c>
      <c r="AV8" s="218">
        <f>IF('CF表（奥様死亡時）'!AV8="","",'CF表（奥様死亡時）'!AV8)</f>
        <v/>
      </c>
      <c r="AW8" s="218">
        <f>IF('CF表（奥様死亡時）'!AW8="","",'CF表（奥様死亡時）'!AW8)</f>
        <v/>
      </c>
      <c r="AX8" s="218">
        <f>IF('CF表（奥様死亡時）'!AX8="","",'CF表（奥様死亡時）'!AX8)</f>
        <v/>
      </c>
      <c r="AY8" s="218">
        <f>IF('CF表（奥様死亡時）'!AY8="","",'CF表（奥様死亡時）'!AY8)</f>
        <v/>
      </c>
      <c r="AZ8" s="218">
        <f>IF('CF表（奥様死亡時）'!AZ8="","",'CF表（奥様死亡時）'!AZ8)</f>
        <v/>
      </c>
      <c r="BA8" s="218">
        <f>IF('CF表（奥様死亡時）'!BA8="","",'CF表（奥様死亡時）'!BA8)</f>
        <v/>
      </c>
      <c r="BB8" s="218">
        <f>IF('CF表（奥様死亡時）'!BB8="","",'CF表（奥様死亡時）'!BB8)</f>
        <v/>
      </c>
      <c r="BC8" s="218">
        <f>IF('CF表（奥様死亡時）'!BC8="","",'CF表（奥様死亡時）'!BC8)</f>
        <v/>
      </c>
      <c r="BD8" s="218">
        <f>IF('CF表（奥様死亡時）'!BD8="","",'CF表（奥様死亡時）'!BD8)</f>
        <v/>
      </c>
      <c r="BE8" s="218">
        <f>IF('CF表（奥様死亡時）'!BE8="","",'CF表（奥様死亡時）'!BE8)</f>
        <v/>
      </c>
      <c r="BF8" s="218">
        <f>IF('CF表（奥様死亡時）'!BF8="","",'CF表（奥様死亡時）'!BF8)</f>
        <v/>
      </c>
      <c r="BG8" s="218">
        <f>IF('CF表（奥様死亡時）'!BG8="","",'CF表（奥様死亡時）'!BG8)</f>
        <v/>
      </c>
      <c r="BH8" s="218">
        <f>IF('CF表（奥様死亡時）'!BH8="","",'CF表（奥様死亡時）'!BH8)</f>
        <v/>
      </c>
      <c r="BI8" s="218">
        <f>IF('CF表（奥様死亡時）'!BI8="","",'CF表（奥様死亡時）'!BI8)</f>
        <v/>
      </c>
      <c r="BJ8" s="218">
        <f>IF('CF表（奥様死亡時）'!BJ8="","",'CF表（奥様死亡時）'!BJ8)</f>
        <v/>
      </c>
      <c r="BK8" s="218">
        <f>IF('CF表（奥様死亡時）'!BK8="","",'CF表（奥様死亡時）'!BK8)</f>
        <v/>
      </c>
      <c r="BL8" s="218">
        <f>IF('CF表（奥様死亡時）'!BL8="","",'CF表（奥様死亡時）'!BL8)</f>
        <v/>
      </c>
      <c r="BM8" s="218">
        <f>IF('CF表（奥様死亡時）'!BM8="","",'CF表（奥様死亡時）'!BM8)</f>
        <v/>
      </c>
      <c r="BN8" s="218">
        <f>IF('CF表（奥様死亡時）'!BN8="","",'CF表（奥様死亡時）'!BN8)</f>
        <v/>
      </c>
      <c r="BO8" s="218">
        <f>IF('CF表（奥様死亡時）'!BO8="","",'CF表（奥様死亡時）'!BO8)</f>
        <v/>
      </c>
      <c r="BP8" s="218">
        <f>IF('CF表（奥様死亡時）'!BP8="","",'CF表（奥様死亡時）'!BP8)</f>
        <v/>
      </c>
      <c r="BQ8" s="218">
        <f>IF('CF表（奥様死亡時）'!BQ8="","",'CF表（奥様死亡時）'!BQ8)</f>
        <v/>
      </c>
      <c r="BR8" s="218">
        <f>IF('CF表（奥様死亡時）'!BR8="","",'CF表（奥様死亡時）'!BR8)</f>
        <v/>
      </c>
      <c r="BS8" s="218">
        <f>IF('CF表（奥様死亡時）'!BS8="","",'CF表（奥様死亡時）'!BS8)</f>
        <v/>
      </c>
      <c r="BT8" s="218">
        <f>IF('CF表（奥様死亡時）'!BT8="","",'CF表（奥様死亡時）'!BT8)</f>
        <v/>
      </c>
      <c r="BU8" s="218">
        <f>IF('CF表（奥様死亡時）'!BU8="","",'CF表（奥様死亡時）'!BU8)</f>
        <v/>
      </c>
      <c r="BV8" s="218">
        <f>IF('CF表（奥様死亡時）'!BV8="","",'CF表（奥様死亡時）'!BV8)</f>
        <v/>
      </c>
      <c r="BW8" s="218">
        <f>IF('CF表（奥様死亡時）'!BW8="","",'CF表（奥様死亡時）'!BW8)</f>
        <v/>
      </c>
      <c r="BX8" s="218">
        <f>IF('CF表（奥様死亡時）'!BX8="","",'CF表（奥様死亡時）'!BX8)</f>
        <v/>
      </c>
      <c r="BY8" s="218">
        <f>IF('CF表（奥様死亡時）'!BY8="","",'CF表（奥様死亡時）'!BY8)</f>
        <v/>
      </c>
      <c r="BZ8" s="218">
        <f>IF('CF表（奥様死亡時）'!BZ8="","",'CF表（奥様死亡時）'!BZ8)</f>
        <v/>
      </c>
      <c r="CA8" s="218">
        <f>IF('CF表（奥様死亡時）'!CA8="","",'CF表（奥様死亡時）'!CA8)</f>
        <v/>
      </c>
      <c r="CB8" s="218">
        <f>IF('CF表（奥様死亡時）'!CB8="","",'CF表（奥様死亡時）'!CB8)</f>
        <v/>
      </c>
      <c r="CC8" s="218">
        <f>IF('CF表（奥様死亡時）'!CC8="","",'CF表（奥様死亡時）'!CC8)</f>
        <v/>
      </c>
      <c r="CD8" s="218">
        <f>IF('CF表（奥様死亡時）'!CD8="","",'CF表（奥様死亡時）'!CD8)</f>
        <v/>
      </c>
      <c r="CE8" s="218">
        <f>IF('CF表（奥様死亡時）'!CE8="","",'CF表（奥様死亡時）'!CE8)</f>
        <v/>
      </c>
      <c r="CF8" s="218">
        <f>IF('CF表（奥様死亡時）'!CF8="","",'CF表（奥様死亡時）'!CF8)</f>
        <v/>
      </c>
      <c r="CG8" s="218">
        <f>IF('CF表（奥様死亡時）'!CG8="","",'CF表（奥様死亡時）'!CG8)</f>
        <v/>
      </c>
      <c r="CH8" s="218">
        <f>IF('CF表（奥様死亡時）'!CH8="","",'CF表（奥様死亡時）'!CH8)</f>
        <v/>
      </c>
      <c r="CI8" s="218">
        <f>IF('CF表（奥様死亡時）'!CI8="","",'CF表（奥様死亡時）'!CI8)</f>
        <v/>
      </c>
      <c r="CJ8" s="218">
        <f>IF('CF表（奥様死亡時）'!CJ8="","",'CF表（奥様死亡時）'!CJ8)</f>
        <v/>
      </c>
      <c r="CK8" s="218">
        <f>IF('CF表（奥様死亡時）'!CK8="","",'CF表（奥様死亡時）'!CK8)</f>
        <v/>
      </c>
      <c r="CL8" s="218">
        <f>IF('CF表（奥様死亡時）'!CL8="","",'CF表（奥様死亡時）'!CL8)</f>
        <v/>
      </c>
      <c r="CM8" s="218">
        <f>IF('CF表（奥様死亡時）'!CM8="","",'CF表（奥様死亡時）'!CM8)</f>
        <v/>
      </c>
      <c r="CN8" s="218">
        <f>IF('CF表（奥様死亡時）'!CN8="","",'CF表（奥様死亡時）'!CN8)</f>
        <v/>
      </c>
      <c r="CO8" s="218">
        <f>IF('CF表（奥様死亡時）'!CO8="","",'CF表（奥様死亡時）'!CO8)</f>
        <v/>
      </c>
      <c r="CP8" s="218">
        <f>IF('CF表（奥様死亡時）'!CP8="","",'CF表（奥様死亡時）'!CP8)</f>
        <v/>
      </c>
      <c r="CQ8" s="218">
        <f>IF('CF表（奥様死亡時）'!CQ8="","",'CF表（奥様死亡時）'!CQ8)</f>
        <v/>
      </c>
      <c r="CR8" s="218">
        <f>IF('CF表（奥様死亡時）'!CR8="","",'CF表（奥様死亡時）'!CR8)</f>
        <v/>
      </c>
      <c r="CS8" s="218">
        <f>IF('CF表（奥様死亡時）'!CS8="","",'CF表（奥様死亡時）'!CS8)</f>
        <v/>
      </c>
      <c r="CT8" s="218">
        <f>IF('CF表（奥様死亡時）'!CT8="","",'CF表（奥様死亡時）'!CT8)</f>
        <v/>
      </c>
      <c r="CU8" s="218">
        <f>IF('CF表（奥様死亡時）'!CU8="","",'CF表（奥様死亡時）'!CU8)</f>
        <v/>
      </c>
      <c r="CV8" s="218">
        <f>IF('CF表（奥様死亡時）'!CV8="","",'CF表（奥様死亡時）'!CV8)</f>
        <v/>
      </c>
      <c r="CW8" s="218">
        <f>IF('CF表（奥様死亡時）'!CW8="","",'CF表（奥様死亡時）'!CW8)</f>
        <v/>
      </c>
    </row>
    <row r="9" ht="15" customHeight="1" s="180">
      <c r="A9" s="205" t="inlineStr">
        <is>
          <t>家族年齢</t>
        </is>
      </c>
      <c r="B9" s="219" t="n"/>
      <c r="C9" s="219" t="n"/>
      <c r="D9" s="219" t="n"/>
      <c r="E9" s="219" t="n"/>
      <c r="F9" s="219" t="n"/>
      <c r="G9" s="219" t="n"/>
      <c r="H9" s="219" t="n"/>
      <c r="I9" s="219" t="n"/>
      <c r="J9" s="219" t="n"/>
      <c r="K9" s="219" t="n"/>
      <c r="L9" s="219" t="n"/>
      <c r="M9" s="219" t="n"/>
      <c r="N9" s="219" t="n"/>
      <c r="O9" s="219" t="n"/>
      <c r="P9" s="219" t="n"/>
      <c r="Q9" s="219" t="n"/>
      <c r="R9" s="219" t="n"/>
      <c r="S9" s="219" t="n"/>
      <c r="T9" s="219" t="n"/>
      <c r="U9" s="219" t="n"/>
      <c r="V9" s="219" t="n"/>
      <c r="W9" s="219" t="n"/>
      <c r="X9" s="219" t="n"/>
      <c r="Y9" s="219" t="n"/>
      <c r="Z9" s="219" t="n"/>
      <c r="AA9" s="219" t="n"/>
      <c r="AB9" s="219" t="n"/>
      <c r="AC9" s="219" t="n"/>
      <c r="AD9" s="219" t="n"/>
      <c r="AE9" s="219" t="n"/>
      <c r="AF9" s="219" t="n"/>
      <c r="AG9" s="219" t="n"/>
      <c r="AH9" s="219" t="n"/>
      <c r="AI9" s="219" t="n"/>
      <c r="AJ9" s="219" t="n"/>
      <c r="AK9" s="219" t="n"/>
      <c r="AL9" s="219" t="n"/>
      <c r="AM9" s="219" t="n"/>
      <c r="AN9" s="219" t="n"/>
      <c r="AO9" s="219" t="n"/>
      <c r="AP9" s="219" t="n"/>
      <c r="AQ9" s="219" t="n"/>
      <c r="AR9" s="219" t="n"/>
      <c r="AS9" s="219" t="n"/>
      <c r="AT9" s="219" t="n"/>
      <c r="AU9" s="219" t="n"/>
      <c r="AV9" s="219" t="n"/>
      <c r="AW9" s="219" t="n"/>
      <c r="AX9" s="219" t="n"/>
      <c r="AY9" s="219" t="n"/>
      <c r="AZ9" s="219" t="n"/>
      <c r="BA9" s="219" t="n"/>
      <c r="BB9" s="219" t="n"/>
      <c r="BC9" s="219" t="n"/>
      <c r="BD9" s="219" t="n"/>
      <c r="BE9" s="219" t="n"/>
      <c r="BF9" s="219" t="n"/>
      <c r="BG9" s="219" t="n"/>
      <c r="BH9" s="219" t="n"/>
      <c r="BI9" s="219" t="n"/>
      <c r="BJ9" s="219" t="n"/>
      <c r="BK9" s="219" t="n"/>
      <c r="BL9" s="219" t="n"/>
      <c r="BM9" s="219" t="n"/>
      <c r="BN9" s="219" t="n"/>
      <c r="BO9" s="219" t="n"/>
      <c r="BP9" s="219" t="n"/>
      <c r="BQ9" s="219" t="n"/>
      <c r="BR9" s="219" t="n"/>
      <c r="BS9" s="219" t="n"/>
      <c r="BT9" s="219" t="n"/>
      <c r="BU9" s="219" t="n"/>
      <c r="BV9" s="219" t="n"/>
      <c r="BW9" s="219" t="n"/>
      <c r="BX9" s="219" t="n"/>
      <c r="BY9" s="219" t="n"/>
      <c r="BZ9" s="219" t="n"/>
      <c r="CA9" s="219" t="n"/>
      <c r="CB9" s="219" t="n"/>
      <c r="CC9" s="219" t="n"/>
      <c r="CD9" s="219" t="n"/>
      <c r="CE9" s="219" t="n"/>
      <c r="CF9" s="219" t="n"/>
      <c r="CG9" s="219" t="n"/>
      <c r="CH9" s="219" t="n"/>
      <c r="CI9" s="219" t="n"/>
      <c r="CJ9" s="219" t="n"/>
      <c r="CK9" s="219" t="n"/>
      <c r="CL9" s="219" t="n"/>
      <c r="CM9" s="219" t="n"/>
      <c r="CN9" s="219" t="n"/>
      <c r="CO9" s="219" t="n"/>
      <c r="CP9" s="219" t="n"/>
      <c r="CQ9" s="219" t="n"/>
      <c r="CR9" s="219" t="n"/>
      <c r="CS9" s="219" t="n"/>
      <c r="CT9" s="219" t="n"/>
      <c r="CU9" s="219" t="n"/>
      <c r="CV9" s="219" t="n"/>
      <c r="CW9" s="219" t="n"/>
    </row>
    <row r="10" ht="15" customHeight="1" s="180">
      <c r="A10" s="220" t="inlineStr">
        <is>
          <t>ご主人様収入</t>
        </is>
      </c>
      <c r="B10" s="221">
        <f>IF('CF表（奥様死亡時）'!B$3="","",'CF表（奥様死亡時）'!B10/10000)</f>
        <v/>
      </c>
      <c r="C10" s="221">
        <f>IF('CF表（奥様死亡時）'!C$3="","",'CF表（奥様死亡時）'!C10/10000)</f>
        <v/>
      </c>
      <c r="D10" s="221">
        <f>IF('CF表（奥様死亡時）'!D$3="","",'CF表（奥様死亡時）'!D10/10000)</f>
        <v/>
      </c>
      <c r="E10" s="221">
        <f>IF('CF表（奥様死亡時）'!E$3="","",'CF表（奥様死亡時）'!E10/10000)</f>
        <v/>
      </c>
      <c r="F10" s="221">
        <f>IF('CF表（奥様死亡時）'!F$3="","",'CF表（奥様死亡時）'!F10/10000)</f>
        <v/>
      </c>
      <c r="G10" s="221">
        <f>IF('CF表（奥様死亡時）'!G$3="","",'CF表（奥様死亡時）'!G10/10000)</f>
        <v/>
      </c>
      <c r="H10" s="221">
        <f>IF('CF表（奥様死亡時）'!H$3="","",'CF表（奥様死亡時）'!H10/10000)</f>
        <v/>
      </c>
      <c r="I10" s="221">
        <f>IF('CF表（奥様死亡時）'!I$3="","",'CF表（奥様死亡時）'!I10/10000)</f>
        <v/>
      </c>
      <c r="J10" s="221">
        <f>IF('CF表（奥様死亡時）'!J$3="","",'CF表（奥様死亡時）'!J10/10000)</f>
        <v/>
      </c>
      <c r="K10" s="221">
        <f>IF('CF表（奥様死亡時）'!K$3="","",'CF表（奥様死亡時）'!K10/10000)</f>
        <v/>
      </c>
      <c r="L10" s="221">
        <f>IF('CF表（奥様死亡時）'!L$3="","",'CF表（奥様死亡時）'!L10/10000)</f>
        <v/>
      </c>
      <c r="M10" s="221">
        <f>IF('CF表（奥様死亡時）'!M$3="","",'CF表（奥様死亡時）'!M10/10000)</f>
        <v/>
      </c>
      <c r="N10" s="221">
        <f>IF('CF表（奥様死亡時）'!N$3="","",'CF表（奥様死亡時）'!N10/10000)</f>
        <v/>
      </c>
      <c r="O10" s="221">
        <f>IF('CF表（奥様死亡時）'!O$3="","",'CF表（奥様死亡時）'!O10/10000)</f>
        <v/>
      </c>
      <c r="P10" s="221">
        <f>IF('CF表（奥様死亡時）'!P$3="","",'CF表（奥様死亡時）'!P10/10000)</f>
        <v/>
      </c>
      <c r="Q10" s="221">
        <f>IF('CF表（奥様死亡時）'!Q$3="","",'CF表（奥様死亡時）'!Q10/10000)</f>
        <v/>
      </c>
      <c r="R10" s="221">
        <f>IF('CF表（奥様死亡時）'!R$3="","",'CF表（奥様死亡時）'!R10/10000)</f>
        <v/>
      </c>
      <c r="S10" s="221">
        <f>IF('CF表（奥様死亡時）'!S$3="","",'CF表（奥様死亡時）'!S10/10000)</f>
        <v/>
      </c>
      <c r="T10" s="221">
        <f>IF('CF表（奥様死亡時）'!T$3="","",'CF表（奥様死亡時）'!T10/10000)</f>
        <v/>
      </c>
      <c r="U10" s="221">
        <f>IF('CF表（奥様死亡時）'!U$3="","",'CF表（奥様死亡時）'!U10/10000)</f>
        <v/>
      </c>
      <c r="V10" s="221">
        <f>IF('CF表（奥様死亡時）'!V$3="","",'CF表（奥様死亡時）'!V10/10000)</f>
        <v/>
      </c>
      <c r="W10" s="221">
        <f>IF('CF表（奥様死亡時）'!W$3="","",'CF表（奥様死亡時）'!W10/10000)</f>
        <v/>
      </c>
      <c r="X10" s="221">
        <f>IF('CF表（奥様死亡時）'!X$3="","",'CF表（奥様死亡時）'!X10/10000)</f>
        <v/>
      </c>
      <c r="Y10" s="221">
        <f>IF('CF表（奥様死亡時）'!Y$3="","",'CF表（奥様死亡時）'!Y10/10000)</f>
        <v/>
      </c>
      <c r="Z10" s="221">
        <f>IF('CF表（奥様死亡時）'!Z$3="","",'CF表（奥様死亡時）'!Z10/10000)</f>
        <v/>
      </c>
      <c r="AA10" s="221">
        <f>IF('CF表（奥様死亡時）'!AA$3="","",'CF表（奥様死亡時）'!AA10/10000)</f>
        <v/>
      </c>
      <c r="AB10" s="221">
        <f>IF('CF表（奥様死亡時）'!AB$3="","",'CF表（奥様死亡時）'!AB10/10000)</f>
        <v/>
      </c>
      <c r="AC10" s="221">
        <f>IF('CF表（奥様死亡時）'!AC$3="","",'CF表（奥様死亡時）'!AC10/10000)</f>
        <v/>
      </c>
      <c r="AD10" s="221">
        <f>IF('CF表（奥様死亡時）'!AD$3="","",'CF表（奥様死亡時）'!AD10/10000)</f>
        <v/>
      </c>
      <c r="AE10" s="221">
        <f>IF('CF表（奥様死亡時）'!AE$3="","",'CF表（奥様死亡時）'!AE10/10000)</f>
        <v/>
      </c>
      <c r="AF10" s="221">
        <f>IF('CF表（奥様死亡時）'!AF$3="","",'CF表（奥様死亡時）'!AF10/10000)</f>
        <v/>
      </c>
      <c r="AG10" s="221">
        <f>IF('CF表（奥様死亡時）'!AG$3="","",'CF表（奥様死亡時）'!AG10/10000)</f>
        <v/>
      </c>
      <c r="AH10" s="221">
        <f>IF('CF表（奥様死亡時）'!AH$3="","",'CF表（奥様死亡時）'!AH10/10000)</f>
        <v/>
      </c>
      <c r="AI10" s="221">
        <f>IF('CF表（奥様死亡時）'!AI$3="","",'CF表（奥様死亡時）'!AI10/10000)</f>
        <v/>
      </c>
      <c r="AJ10" s="221">
        <f>IF('CF表（奥様死亡時）'!AJ$3="","",'CF表（奥様死亡時）'!AJ10/10000)</f>
        <v/>
      </c>
      <c r="AK10" s="221">
        <f>IF('CF表（奥様死亡時）'!AK$3="","",'CF表（奥様死亡時）'!AK10/10000)</f>
        <v/>
      </c>
      <c r="AL10" s="221">
        <f>IF('CF表（奥様死亡時）'!AL$3="","",'CF表（奥様死亡時）'!AL10/10000)</f>
        <v/>
      </c>
      <c r="AM10" s="221">
        <f>IF('CF表（奥様死亡時）'!AM$3="","",'CF表（奥様死亡時）'!AM10/10000)</f>
        <v/>
      </c>
      <c r="AN10" s="221">
        <f>IF('CF表（奥様死亡時）'!AN$3="","",'CF表（奥様死亡時）'!AN10/10000)</f>
        <v/>
      </c>
      <c r="AO10" s="221">
        <f>IF('CF表（奥様死亡時）'!AO$3="","",'CF表（奥様死亡時）'!AO10/10000)</f>
        <v/>
      </c>
      <c r="AP10" s="221">
        <f>IF('CF表（奥様死亡時）'!AP$3="","",'CF表（奥様死亡時）'!AP10/10000)</f>
        <v/>
      </c>
      <c r="AQ10" s="221">
        <f>IF('CF表（奥様死亡時）'!AQ$3="","",'CF表（奥様死亡時）'!AQ10/10000)</f>
        <v/>
      </c>
      <c r="AR10" s="221">
        <f>IF('CF表（奥様死亡時）'!AR$3="","",'CF表（奥様死亡時）'!AR10/10000)</f>
        <v/>
      </c>
      <c r="AS10" s="221">
        <f>IF('CF表（奥様死亡時）'!AS$3="","",'CF表（奥様死亡時）'!AS10/10000)</f>
        <v/>
      </c>
      <c r="AT10" s="221">
        <f>IF('CF表（奥様死亡時）'!AT$3="","",'CF表（奥様死亡時）'!AT10/10000)</f>
        <v/>
      </c>
      <c r="AU10" s="221">
        <f>IF('CF表（奥様死亡時）'!AU$3="","",'CF表（奥様死亡時）'!AU10/10000)</f>
        <v/>
      </c>
      <c r="AV10" s="221">
        <f>IF('CF表（奥様死亡時）'!AV$3="","",'CF表（奥様死亡時）'!AV10/10000)</f>
        <v/>
      </c>
      <c r="AW10" s="221">
        <f>IF('CF表（奥様死亡時）'!AW$3="","",'CF表（奥様死亡時）'!AW10/10000)</f>
        <v/>
      </c>
      <c r="AX10" s="221">
        <f>IF('CF表（奥様死亡時）'!AX$3="","",'CF表（奥様死亡時）'!AX10/10000)</f>
        <v/>
      </c>
      <c r="AY10" s="221">
        <f>IF('CF表（奥様死亡時）'!AY$3="","",'CF表（奥様死亡時）'!AY10/10000)</f>
        <v/>
      </c>
      <c r="AZ10" s="221">
        <f>IF('CF表（奥様死亡時）'!AZ$3="","",'CF表（奥様死亡時）'!AZ10/10000)</f>
        <v/>
      </c>
      <c r="BA10" s="221">
        <f>IF('CF表（奥様死亡時）'!BA$3="","",'CF表（奥様死亡時）'!BA10/10000)</f>
        <v/>
      </c>
      <c r="BB10" s="221">
        <f>IF('CF表（奥様死亡時）'!BB$3="","",'CF表（奥様死亡時）'!BB10/10000)</f>
        <v/>
      </c>
      <c r="BC10" s="221">
        <f>IF('CF表（奥様死亡時）'!BC$3="","",'CF表（奥様死亡時）'!BC10/10000)</f>
        <v/>
      </c>
      <c r="BD10" s="221">
        <f>IF('CF表（奥様死亡時）'!BD$3="","",'CF表（奥様死亡時）'!BD10/10000)</f>
        <v/>
      </c>
      <c r="BE10" s="221">
        <f>IF('CF表（奥様死亡時）'!BE$3="","",'CF表（奥様死亡時）'!BE10/10000)</f>
        <v/>
      </c>
      <c r="BF10" s="221">
        <f>IF('CF表（奥様死亡時）'!BF$3="","",'CF表（奥様死亡時）'!BF10/10000)</f>
        <v/>
      </c>
      <c r="BG10" s="221">
        <f>IF('CF表（奥様死亡時）'!BG$3="","",'CF表（奥様死亡時）'!BG10/10000)</f>
        <v/>
      </c>
      <c r="BH10" s="221">
        <f>IF('CF表（奥様死亡時）'!BH$3="","",'CF表（奥様死亡時）'!BH10/10000)</f>
        <v/>
      </c>
      <c r="BI10" s="221">
        <f>IF('CF表（奥様死亡時）'!BI$3="","",'CF表（奥様死亡時）'!BI10/10000)</f>
        <v/>
      </c>
      <c r="BJ10" s="221">
        <f>IF('CF表（奥様死亡時）'!BJ$3="","",'CF表（奥様死亡時）'!BJ10/10000)</f>
        <v/>
      </c>
      <c r="BK10" s="221">
        <f>IF('CF表（奥様死亡時）'!BK$3="","",'CF表（奥様死亡時）'!BK10/10000)</f>
        <v/>
      </c>
      <c r="BL10" s="221">
        <f>IF('CF表（奥様死亡時）'!BL$3="","",'CF表（奥様死亡時）'!BL10/10000)</f>
        <v/>
      </c>
      <c r="BM10" s="221">
        <f>IF('CF表（奥様死亡時）'!BM$3="","",'CF表（奥様死亡時）'!BM10/10000)</f>
        <v/>
      </c>
      <c r="BN10" s="221">
        <f>IF('CF表（奥様死亡時）'!BN$3="","",'CF表（奥様死亡時）'!BN10/10000)</f>
        <v/>
      </c>
      <c r="BO10" s="221">
        <f>IF('CF表（奥様死亡時）'!BO$3="","",'CF表（奥様死亡時）'!BO10/10000)</f>
        <v/>
      </c>
      <c r="BP10" s="221">
        <f>IF('CF表（奥様死亡時）'!BP$3="","",'CF表（奥様死亡時）'!BP10/10000)</f>
        <v/>
      </c>
      <c r="BQ10" s="221">
        <f>IF('CF表（奥様死亡時）'!BQ$3="","",'CF表（奥様死亡時）'!BQ10/10000)</f>
        <v/>
      </c>
      <c r="BR10" s="221">
        <f>IF('CF表（奥様死亡時）'!BR$3="","",'CF表（奥様死亡時）'!BR10/10000)</f>
        <v/>
      </c>
      <c r="BS10" s="221">
        <f>IF('CF表（奥様死亡時）'!BS$3="","",'CF表（奥様死亡時）'!BS10/10000)</f>
        <v/>
      </c>
      <c r="BT10" s="221">
        <f>IF('CF表（奥様死亡時）'!BT$3="","",'CF表（奥様死亡時）'!BT10/10000)</f>
        <v/>
      </c>
      <c r="BU10" s="221">
        <f>IF('CF表（奥様死亡時）'!BU$3="","",'CF表（奥様死亡時）'!BU10/10000)</f>
        <v/>
      </c>
      <c r="BV10" s="221">
        <f>IF('CF表（奥様死亡時）'!BV$3="","",'CF表（奥様死亡時）'!BV10/10000)</f>
        <v/>
      </c>
      <c r="BW10" s="221">
        <f>IF('CF表（奥様死亡時）'!BW$3="","",'CF表（奥様死亡時）'!BW10/10000)</f>
        <v/>
      </c>
      <c r="BX10" s="221">
        <f>IF('CF表（奥様死亡時）'!BX$3="","",'CF表（奥様死亡時）'!BX10/10000)</f>
        <v/>
      </c>
      <c r="BY10" s="221">
        <f>IF('CF表（奥様死亡時）'!BY$3="","",'CF表（奥様死亡時）'!BY10/10000)</f>
        <v/>
      </c>
      <c r="BZ10" s="221">
        <f>IF('CF表（奥様死亡時）'!BZ$3="","",'CF表（奥様死亡時）'!BZ10/10000)</f>
        <v/>
      </c>
      <c r="CA10" s="221">
        <f>IF('CF表（奥様死亡時）'!CA$3="","",'CF表（奥様死亡時）'!CA10/10000)</f>
        <v/>
      </c>
      <c r="CB10" s="221">
        <f>IF('CF表（奥様死亡時）'!CB$3="","",'CF表（奥様死亡時）'!CB10/10000)</f>
        <v/>
      </c>
      <c r="CC10" s="221">
        <f>IF('CF表（奥様死亡時）'!CC$3="","",'CF表（奥様死亡時）'!CC10/10000)</f>
        <v/>
      </c>
      <c r="CD10" s="221">
        <f>IF('CF表（奥様死亡時）'!CD$3="","",'CF表（奥様死亡時）'!CD10/10000)</f>
        <v/>
      </c>
      <c r="CE10" s="221">
        <f>IF('CF表（奥様死亡時）'!CE$3="","",'CF表（奥様死亡時）'!CE10/10000)</f>
        <v/>
      </c>
      <c r="CF10" s="221">
        <f>IF('CF表（奥様死亡時）'!CF$3="","",'CF表（奥様死亡時）'!CF10/10000)</f>
        <v/>
      </c>
      <c r="CG10" s="221">
        <f>IF('CF表（奥様死亡時）'!CG$3="","",'CF表（奥様死亡時）'!CG10/10000)</f>
        <v/>
      </c>
      <c r="CH10" s="221">
        <f>IF('CF表（奥様死亡時）'!CH$3="","",'CF表（奥様死亡時）'!CH10/10000)</f>
        <v/>
      </c>
      <c r="CI10" s="221">
        <f>IF('CF表（奥様死亡時）'!CI$3="","",'CF表（奥様死亡時）'!CI10/10000)</f>
        <v/>
      </c>
      <c r="CJ10" s="221">
        <f>IF('CF表（奥様死亡時）'!CJ$3="","",'CF表（奥様死亡時）'!CJ10/10000)</f>
        <v/>
      </c>
      <c r="CK10" s="221">
        <f>IF('CF表（奥様死亡時）'!CK$3="","",'CF表（奥様死亡時）'!CK10/10000)</f>
        <v/>
      </c>
      <c r="CL10" s="221">
        <f>IF('CF表（奥様死亡時）'!CL$3="","",'CF表（奥様死亡時）'!CL10/10000)</f>
        <v/>
      </c>
      <c r="CM10" s="221">
        <f>IF('CF表（奥様死亡時）'!CM$3="","",'CF表（奥様死亡時）'!CM10/10000)</f>
        <v/>
      </c>
      <c r="CN10" s="221">
        <f>IF('CF表（奥様死亡時）'!CN$3="","",'CF表（奥様死亡時）'!CN10/10000)</f>
        <v/>
      </c>
      <c r="CO10" s="221">
        <f>IF('CF表（奥様死亡時）'!CO$3="","",'CF表（奥様死亡時）'!CO10/10000)</f>
        <v/>
      </c>
      <c r="CP10" s="221">
        <f>IF('CF表（奥様死亡時）'!CP$3="","",'CF表（奥様死亡時）'!CP10/10000)</f>
        <v/>
      </c>
      <c r="CQ10" s="221">
        <f>IF('CF表（奥様死亡時）'!CQ$3="","",'CF表（奥様死亡時）'!CQ10/10000)</f>
        <v/>
      </c>
      <c r="CR10" s="221">
        <f>IF('CF表（奥様死亡時）'!CR$3="","",'CF表（奥様死亡時）'!CR10/10000)</f>
        <v/>
      </c>
      <c r="CS10" s="221">
        <f>IF('CF表（奥様死亡時）'!CS$3="","",'CF表（奥様死亡時）'!CS10/10000)</f>
        <v/>
      </c>
      <c r="CT10" s="221">
        <f>IF('CF表（奥様死亡時）'!CT$3="","",'CF表（奥様死亡時）'!CT10/10000)</f>
        <v/>
      </c>
      <c r="CU10" s="221">
        <f>IF('CF表（奥様死亡時）'!CU$3="","",'CF表（奥様死亡時）'!CU10/10000)</f>
        <v/>
      </c>
      <c r="CV10" s="221">
        <f>IF('CF表（奥様死亡時）'!CV$3="","",'CF表（奥様死亡時）'!CV10/10000)</f>
        <v/>
      </c>
      <c r="CW10" s="221">
        <f>IF('CF表（奥様死亡時）'!CW$3="","",'CF表（奥様死亡時）'!CW10/10000)</f>
        <v/>
      </c>
    </row>
    <row r="11" ht="15" customHeight="1" s="180">
      <c r="A11" s="220" t="inlineStr">
        <is>
          <t>奥様収入</t>
        </is>
      </c>
      <c r="B11" s="221">
        <f>IF('CF表（奥様死亡時）'!B$3="","",'CF表（奥様死亡時）'!B11/10000)</f>
        <v/>
      </c>
      <c r="C11" s="221">
        <f>IF('CF表（奥様死亡時）'!C$3="","",'CF表（奥様死亡時）'!C11/10000)</f>
        <v/>
      </c>
      <c r="D11" s="221">
        <f>IF('CF表（奥様死亡時）'!D$3="","",'CF表（奥様死亡時）'!D11/10000)</f>
        <v/>
      </c>
      <c r="E11" s="221">
        <f>IF('CF表（奥様死亡時）'!E$3="","",'CF表（奥様死亡時）'!E11/10000)</f>
        <v/>
      </c>
      <c r="F11" s="221">
        <f>IF('CF表（奥様死亡時）'!F$3="","",'CF表（奥様死亡時）'!F11/10000)</f>
        <v/>
      </c>
      <c r="G11" s="221">
        <f>IF('CF表（奥様死亡時）'!G$3="","",'CF表（奥様死亡時）'!G11/10000)</f>
        <v/>
      </c>
      <c r="H11" s="221">
        <f>IF('CF表（奥様死亡時）'!H$3="","",'CF表（奥様死亡時）'!H11/10000)</f>
        <v/>
      </c>
      <c r="I11" s="221">
        <f>IF('CF表（奥様死亡時）'!I$3="","",'CF表（奥様死亡時）'!I11/10000)</f>
        <v/>
      </c>
      <c r="J11" s="221">
        <f>IF('CF表（奥様死亡時）'!J$3="","",'CF表（奥様死亡時）'!J11/10000)</f>
        <v/>
      </c>
      <c r="K11" s="221">
        <f>IF('CF表（奥様死亡時）'!K$3="","",'CF表（奥様死亡時）'!K11/10000)</f>
        <v/>
      </c>
      <c r="L11" s="221">
        <f>IF('CF表（奥様死亡時）'!L$3="","",'CF表（奥様死亡時）'!L11/10000)</f>
        <v/>
      </c>
      <c r="M11" s="221">
        <f>IF('CF表（奥様死亡時）'!M$3="","",'CF表（奥様死亡時）'!M11/10000)</f>
        <v/>
      </c>
      <c r="N11" s="221">
        <f>IF('CF表（奥様死亡時）'!N$3="","",'CF表（奥様死亡時）'!N11/10000)</f>
        <v/>
      </c>
      <c r="O11" s="221">
        <f>IF('CF表（奥様死亡時）'!O$3="","",'CF表（奥様死亡時）'!O11/10000)</f>
        <v/>
      </c>
      <c r="P11" s="221">
        <f>IF('CF表（奥様死亡時）'!P$3="","",'CF表（奥様死亡時）'!P11/10000)</f>
        <v/>
      </c>
      <c r="Q11" s="221">
        <f>IF('CF表（奥様死亡時）'!Q$3="","",'CF表（奥様死亡時）'!Q11/10000)</f>
        <v/>
      </c>
      <c r="R11" s="221">
        <f>IF('CF表（奥様死亡時）'!R$3="","",'CF表（奥様死亡時）'!R11/10000)</f>
        <v/>
      </c>
      <c r="S11" s="221">
        <f>IF('CF表（奥様死亡時）'!S$3="","",'CF表（奥様死亡時）'!S11/10000)</f>
        <v/>
      </c>
      <c r="T11" s="221">
        <f>IF('CF表（奥様死亡時）'!T$3="","",'CF表（奥様死亡時）'!T11/10000)</f>
        <v/>
      </c>
      <c r="U11" s="221">
        <f>IF('CF表（奥様死亡時）'!U$3="","",'CF表（奥様死亡時）'!U11/10000)</f>
        <v/>
      </c>
      <c r="V11" s="221">
        <f>IF('CF表（奥様死亡時）'!V$3="","",'CF表（奥様死亡時）'!V11/10000)</f>
        <v/>
      </c>
      <c r="W11" s="221">
        <f>IF('CF表（奥様死亡時）'!W$3="","",'CF表（奥様死亡時）'!W11/10000)</f>
        <v/>
      </c>
      <c r="X11" s="221">
        <f>IF('CF表（奥様死亡時）'!X$3="","",'CF表（奥様死亡時）'!X11/10000)</f>
        <v/>
      </c>
      <c r="Y11" s="221">
        <f>IF('CF表（奥様死亡時）'!Y$3="","",'CF表（奥様死亡時）'!Y11/10000)</f>
        <v/>
      </c>
      <c r="Z11" s="221">
        <f>IF('CF表（奥様死亡時）'!Z$3="","",'CF表（奥様死亡時）'!Z11/10000)</f>
        <v/>
      </c>
      <c r="AA11" s="221">
        <f>IF('CF表（奥様死亡時）'!AA$3="","",'CF表（奥様死亡時）'!AA11/10000)</f>
        <v/>
      </c>
      <c r="AB11" s="221">
        <f>IF('CF表（奥様死亡時）'!AB$3="","",'CF表（奥様死亡時）'!AB11/10000)</f>
        <v/>
      </c>
      <c r="AC11" s="221">
        <f>IF('CF表（奥様死亡時）'!AC$3="","",'CF表（奥様死亡時）'!AC11/10000)</f>
        <v/>
      </c>
      <c r="AD11" s="221">
        <f>IF('CF表（奥様死亡時）'!AD$3="","",'CF表（奥様死亡時）'!AD11/10000)</f>
        <v/>
      </c>
      <c r="AE11" s="221">
        <f>IF('CF表（奥様死亡時）'!AE$3="","",'CF表（奥様死亡時）'!AE11/10000)</f>
        <v/>
      </c>
      <c r="AF11" s="221">
        <f>IF('CF表（奥様死亡時）'!AF$3="","",'CF表（奥様死亡時）'!AF11/10000)</f>
        <v/>
      </c>
      <c r="AG11" s="221">
        <f>IF('CF表（奥様死亡時）'!AG$3="","",'CF表（奥様死亡時）'!AG11/10000)</f>
        <v/>
      </c>
      <c r="AH11" s="221">
        <f>IF('CF表（奥様死亡時）'!AH$3="","",'CF表（奥様死亡時）'!AH11/10000)</f>
        <v/>
      </c>
      <c r="AI11" s="221">
        <f>IF('CF表（奥様死亡時）'!AI$3="","",'CF表（奥様死亡時）'!AI11/10000)</f>
        <v/>
      </c>
      <c r="AJ11" s="221">
        <f>IF('CF表（奥様死亡時）'!AJ$3="","",'CF表（奥様死亡時）'!AJ11/10000)</f>
        <v/>
      </c>
      <c r="AK11" s="221">
        <f>IF('CF表（奥様死亡時）'!AK$3="","",'CF表（奥様死亡時）'!AK11/10000)</f>
        <v/>
      </c>
      <c r="AL11" s="221">
        <f>IF('CF表（奥様死亡時）'!AL$3="","",'CF表（奥様死亡時）'!AL11/10000)</f>
        <v/>
      </c>
      <c r="AM11" s="221">
        <f>IF('CF表（奥様死亡時）'!AM$3="","",'CF表（奥様死亡時）'!AM11/10000)</f>
        <v/>
      </c>
      <c r="AN11" s="221">
        <f>IF('CF表（奥様死亡時）'!AN$3="","",'CF表（奥様死亡時）'!AN11/10000)</f>
        <v/>
      </c>
      <c r="AO11" s="221">
        <f>IF('CF表（奥様死亡時）'!AO$3="","",'CF表（奥様死亡時）'!AO11/10000)</f>
        <v/>
      </c>
      <c r="AP11" s="221">
        <f>IF('CF表（奥様死亡時）'!AP$3="","",'CF表（奥様死亡時）'!AP11/10000)</f>
        <v/>
      </c>
      <c r="AQ11" s="221">
        <f>IF('CF表（奥様死亡時）'!AQ$3="","",'CF表（奥様死亡時）'!AQ11/10000)</f>
        <v/>
      </c>
      <c r="AR11" s="221">
        <f>IF('CF表（奥様死亡時）'!AR$3="","",'CF表（奥様死亡時）'!AR11/10000)</f>
        <v/>
      </c>
      <c r="AS11" s="221">
        <f>IF('CF表（奥様死亡時）'!AS$3="","",'CF表（奥様死亡時）'!AS11/10000)</f>
        <v/>
      </c>
      <c r="AT11" s="221">
        <f>IF('CF表（奥様死亡時）'!AT$3="","",'CF表（奥様死亡時）'!AT11/10000)</f>
        <v/>
      </c>
      <c r="AU11" s="221">
        <f>IF('CF表（奥様死亡時）'!AU$3="","",'CF表（奥様死亡時）'!AU11/10000)</f>
        <v/>
      </c>
      <c r="AV11" s="221">
        <f>IF('CF表（奥様死亡時）'!AV$3="","",'CF表（奥様死亡時）'!AV11/10000)</f>
        <v/>
      </c>
      <c r="AW11" s="221">
        <f>IF('CF表（奥様死亡時）'!AW$3="","",'CF表（奥様死亡時）'!AW11/10000)</f>
        <v/>
      </c>
      <c r="AX11" s="221">
        <f>IF('CF表（奥様死亡時）'!AX$3="","",'CF表（奥様死亡時）'!AX11/10000)</f>
        <v/>
      </c>
      <c r="AY11" s="221">
        <f>IF('CF表（奥様死亡時）'!AY$3="","",'CF表（奥様死亡時）'!AY11/10000)</f>
        <v/>
      </c>
      <c r="AZ11" s="221">
        <f>IF('CF表（奥様死亡時）'!AZ$3="","",'CF表（奥様死亡時）'!AZ11/10000)</f>
        <v/>
      </c>
      <c r="BA11" s="221">
        <f>IF('CF表（奥様死亡時）'!BA$3="","",'CF表（奥様死亡時）'!BA11/10000)</f>
        <v/>
      </c>
      <c r="BB11" s="221">
        <f>IF('CF表（奥様死亡時）'!BB$3="","",'CF表（奥様死亡時）'!BB11/10000)</f>
        <v/>
      </c>
      <c r="BC11" s="221">
        <f>IF('CF表（奥様死亡時）'!BC$3="","",'CF表（奥様死亡時）'!BC11/10000)</f>
        <v/>
      </c>
      <c r="BD11" s="221">
        <f>IF('CF表（奥様死亡時）'!BD$3="","",'CF表（奥様死亡時）'!BD11/10000)</f>
        <v/>
      </c>
      <c r="BE11" s="221">
        <f>IF('CF表（奥様死亡時）'!BE$3="","",'CF表（奥様死亡時）'!BE11/10000)</f>
        <v/>
      </c>
      <c r="BF11" s="221">
        <f>IF('CF表（奥様死亡時）'!BF$3="","",'CF表（奥様死亡時）'!BF11/10000)</f>
        <v/>
      </c>
      <c r="BG11" s="221">
        <f>IF('CF表（奥様死亡時）'!BG$3="","",'CF表（奥様死亡時）'!BG11/10000)</f>
        <v/>
      </c>
      <c r="BH11" s="221">
        <f>IF('CF表（奥様死亡時）'!BH$3="","",'CF表（奥様死亡時）'!BH11/10000)</f>
        <v/>
      </c>
      <c r="BI11" s="221">
        <f>IF('CF表（奥様死亡時）'!BI$3="","",'CF表（奥様死亡時）'!BI11/10000)</f>
        <v/>
      </c>
      <c r="BJ11" s="221">
        <f>IF('CF表（奥様死亡時）'!BJ$3="","",'CF表（奥様死亡時）'!BJ11/10000)</f>
        <v/>
      </c>
      <c r="BK11" s="221">
        <f>IF('CF表（奥様死亡時）'!BK$3="","",'CF表（奥様死亡時）'!BK11/10000)</f>
        <v/>
      </c>
      <c r="BL11" s="221">
        <f>IF('CF表（奥様死亡時）'!BL$3="","",'CF表（奥様死亡時）'!BL11/10000)</f>
        <v/>
      </c>
      <c r="BM11" s="221">
        <f>IF('CF表（奥様死亡時）'!BM$3="","",'CF表（奥様死亡時）'!BM11/10000)</f>
        <v/>
      </c>
      <c r="BN11" s="221">
        <f>IF('CF表（奥様死亡時）'!BN$3="","",'CF表（奥様死亡時）'!BN11/10000)</f>
        <v/>
      </c>
      <c r="BO11" s="221">
        <f>IF('CF表（奥様死亡時）'!BO$3="","",'CF表（奥様死亡時）'!BO11/10000)</f>
        <v/>
      </c>
      <c r="BP11" s="221">
        <f>IF('CF表（奥様死亡時）'!BP$3="","",'CF表（奥様死亡時）'!BP11/10000)</f>
        <v/>
      </c>
      <c r="BQ11" s="221">
        <f>IF('CF表（奥様死亡時）'!BQ$3="","",'CF表（奥様死亡時）'!BQ11/10000)</f>
        <v/>
      </c>
      <c r="BR11" s="221">
        <f>IF('CF表（奥様死亡時）'!BR$3="","",'CF表（奥様死亡時）'!BR11/10000)</f>
        <v/>
      </c>
      <c r="BS11" s="221">
        <f>IF('CF表（奥様死亡時）'!BS$3="","",'CF表（奥様死亡時）'!BS11/10000)</f>
        <v/>
      </c>
      <c r="BT11" s="221">
        <f>IF('CF表（奥様死亡時）'!BT$3="","",'CF表（奥様死亡時）'!BT11/10000)</f>
        <v/>
      </c>
      <c r="BU11" s="221">
        <f>IF('CF表（奥様死亡時）'!BU$3="","",'CF表（奥様死亡時）'!BU11/10000)</f>
        <v/>
      </c>
      <c r="BV11" s="221">
        <f>IF('CF表（奥様死亡時）'!BV$3="","",'CF表（奥様死亡時）'!BV11/10000)</f>
        <v/>
      </c>
      <c r="BW11" s="221">
        <f>IF('CF表（奥様死亡時）'!BW$3="","",'CF表（奥様死亡時）'!BW11/10000)</f>
        <v/>
      </c>
      <c r="BX11" s="221">
        <f>IF('CF表（奥様死亡時）'!BX$3="","",'CF表（奥様死亡時）'!BX11/10000)</f>
        <v/>
      </c>
      <c r="BY11" s="221">
        <f>IF('CF表（奥様死亡時）'!BY$3="","",'CF表（奥様死亡時）'!BY11/10000)</f>
        <v/>
      </c>
      <c r="BZ11" s="221">
        <f>IF('CF表（奥様死亡時）'!BZ$3="","",'CF表（奥様死亡時）'!BZ11/10000)</f>
        <v/>
      </c>
      <c r="CA11" s="221">
        <f>IF('CF表（奥様死亡時）'!CA$3="","",'CF表（奥様死亡時）'!CA11/10000)</f>
        <v/>
      </c>
      <c r="CB11" s="221">
        <f>IF('CF表（奥様死亡時）'!CB$3="","",'CF表（奥様死亡時）'!CB11/10000)</f>
        <v/>
      </c>
      <c r="CC11" s="221">
        <f>IF('CF表（奥様死亡時）'!CC$3="","",'CF表（奥様死亡時）'!CC11/10000)</f>
        <v/>
      </c>
      <c r="CD11" s="221">
        <f>IF('CF表（奥様死亡時）'!CD$3="","",'CF表（奥様死亡時）'!CD11/10000)</f>
        <v/>
      </c>
      <c r="CE11" s="221">
        <f>IF('CF表（奥様死亡時）'!CE$3="","",'CF表（奥様死亡時）'!CE11/10000)</f>
        <v/>
      </c>
      <c r="CF11" s="221">
        <f>IF('CF表（奥様死亡時）'!CF$3="","",'CF表（奥様死亡時）'!CF11/10000)</f>
        <v/>
      </c>
      <c r="CG11" s="221">
        <f>IF('CF表（奥様死亡時）'!CG$3="","",'CF表（奥様死亡時）'!CG11/10000)</f>
        <v/>
      </c>
      <c r="CH11" s="221">
        <f>IF('CF表（奥様死亡時）'!CH$3="","",'CF表（奥様死亡時）'!CH11/10000)</f>
        <v/>
      </c>
      <c r="CI11" s="221">
        <f>IF('CF表（奥様死亡時）'!CI$3="","",'CF表（奥様死亡時）'!CI11/10000)</f>
        <v/>
      </c>
      <c r="CJ11" s="221">
        <f>IF('CF表（奥様死亡時）'!CJ$3="","",'CF表（奥様死亡時）'!CJ11/10000)</f>
        <v/>
      </c>
      <c r="CK11" s="221">
        <f>IF('CF表（奥様死亡時）'!CK$3="","",'CF表（奥様死亡時）'!CK11/10000)</f>
        <v/>
      </c>
      <c r="CL11" s="221">
        <f>IF('CF表（奥様死亡時）'!CL$3="","",'CF表（奥様死亡時）'!CL11/10000)</f>
        <v/>
      </c>
      <c r="CM11" s="221">
        <f>IF('CF表（奥様死亡時）'!CM$3="","",'CF表（奥様死亡時）'!CM11/10000)</f>
        <v/>
      </c>
      <c r="CN11" s="221">
        <f>IF('CF表（奥様死亡時）'!CN$3="","",'CF表（奥様死亡時）'!CN11/10000)</f>
        <v/>
      </c>
      <c r="CO11" s="221">
        <f>IF('CF表（奥様死亡時）'!CO$3="","",'CF表（奥様死亡時）'!CO11/10000)</f>
        <v/>
      </c>
      <c r="CP11" s="221">
        <f>IF('CF表（奥様死亡時）'!CP$3="","",'CF表（奥様死亡時）'!CP11/10000)</f>
        <v/>
      </c>
      <c r="CQ11" s="221">
        <f>IF('CF表（奥様死亡時）'!CQ$3="","",'CF表（奥様死亡時）'!CQ11/10000)</f>
        <v/>
      </c>
      <c r="CR11" s="221">
        <f>IF('CF表（奥様死亡時）'!CR$3="","",'CF表（奥様死亡時）'!CR11/10000)</f>
        <v/>
      </c>
      <c r="CS11" s="221">
        <f>IF('CF表（奥様死亡時）'!CS$3="","",'CF表（奥様死亡時）'!CS11/10000)</f>
        <v/>
      </c>
      <c r="CT11" s="221">
        <f>IF('CF表（奥様死亡時）'!CT$3="","",'CF表（奥様死亡時）'!CT11/10000)</f>
        <v/>
      </c>
      <c r="CU11" s="221">
        <f>IF('CF表（奥様死亡時）'!CU$3="","",'CF表（奥様死亡時）'!CU11/10000)</f>
        <v/>
      </c>
      <c r="CV11" s="221">
        <f>IF('CF表（奥様死亡時）'!CV$3="","",'CF表（奥様死亡時）'!CV11/10000)</f>
        <v/>
      </c>
      <c r="CW11" s="221">
        <f>IF('CF表（奥様死亡時）'!CW$3="","",'CF表（奥様死亡時）'!CW11/10000)</f>
        <v/>
      </c>
    </row>
    <row r="12" ht="15" customHeight="1" s="180">
      <c r="A12" s="220" t="inlineStr">
        <is>
          <t>児童手当</t>
        </is>
      </c>
      <c r="B12" s="221">
        <f>IF('CF表（奥様死亡時）'!B$3="","",'CF表（奥様死亡時）'!B12/10000)</f>
        <v/>
      </c>
      <c r="C12" s="221">
        <f>IF('CF表（奥様死亡時）'!C$3="","",'CF表（奥様死亡時）'!C12/10000)</f>
        <v/>
      </c>
      <c r="D12" s="221">
        <f>IF('CF表（奥様死亡時）'!D$3="","",'CF表（奥様死亡時）'!D12/10000)</f>
        <v/>
      </c>
      <c r="E12" s="221">
        <f>IF('CF表（奥様死亡時）'!E$3="","",'CF表（奥様死亡時）'!E12/10000)</f>
        <v/>
      </c>
      <c r="F12" s="221">
        <f>IF('CF表（奥様死亡時）'!F$3="","",'CF表（奥様死亡時）'!F12/10000)</f>
        <v/>
      </c>
      <c r="G12" s="221">
        <f>IF('CF表（奥様死亡時）'!G$3="","",'CF表（奥様死亡時）'!G12/10000)</f>
        <v/>
      </c>
      <c r="H12" s="221">
        <f>IF('CF表（奥様死亡時）'!H$3="","",'CF表（奥様死亡時）'!H12/10000)</f>
        <v/>
      </c>
      <c r="I12" s="221">
        <f>IF('CF表（奥様死亡時）'!I$3="","",'CF表（奥様死亡時）'!I12/10000)</f>
        <v/>
      </c>
      <c r="J12" s="221">
        <f>IF('CF表（奥様死亡時）'!J$3="","",'CF表（奥様死亡時）'!J12/10000)</f>
        <v/>
      </c>
      <c r="K12" s="221">
        <f>IF('CF表（奥様死亡時）'!K$3="","",'CF表（奥様死亡時）'!K12/10000)</f>
        <v/>
      </c>
      <c r="L12" s="221">
        <f>IF('CF表（奥様死亡時）'!L$3="","",'CF表（奥様死亡時）'!L12/10000)</f>
        <v/>
      </c>
      <c r="M12" s="221">
        <f>IF('CF表（奥様死亡時）'!M$3="","",'CF表（奥様死亡時）'!M12/10000)</f>
        <v/>
      </c>
      <c r="N12" s="221">
        <f>IF('CF表（奥様死亡時）'!N$3="","",'CF表（奥様死亡時）'!N12/10000)</f>
        <v/>
      </c>
      <c r="O12" s="221">
        <f>IF('CF表（奥様死亡時）'!O$3="","",'CF表（奥様死亡時）'!O12/10000)</f>
        <v/>
      </c>
      <c r="P12" s="221">
        <f>IF('CF表（奥様死亡時）'!P$3="","",'CF表（奥様死亡時）'!P12/10000)</f>
        <v/>
      </c>
      <c r="Q12" s="221">
        <f>IF('CF表（奥様死亡時）'!Q$3="","",'CF表（奥様死亡時）'!Q12/10000)</f>
        <v/>
      </c>
      <c r="R12" s="221">
        <f>IF('CF表（奥様死亡時）'!R$3="","",'CF表（奥様死亡時）'!R12/10000)</f>
        <v/>
      </c>
      <c r="S12" s="221">
        <f>IF('CF表（奥様死亡時）'!S$3="","",'CF表（奥様死亡時）'!S12/10000)</f>
        <v/>
      </c>
      <c r="T12" s="221">
        <f>IF('CF表（奥様死亡時）'!T$3="","",'CF表（奥様死亡時）'!T12/10000)</f>
        <v/>
      </c>
      <c r="U12" s="221">
        <f>IF('CF表（奥様死亡時）'!U$3="","",'CF表（奥様死亡時）'!U12/10000)</f>
        <v/>
      </c>
      <c r="V12" s="221">
        <f>IF('CF表（奥様死亡時）'!V$3="","",'CF表（奥様死亡時）'!V12/10000)</f>
        <v/>
      </c>
      <c r="W12" s="221">
        <f>IF('CF表（奥様死亡時）'!W$3="","",'CF表（奥様死亡時）'!W12/10000)</f>
        <v/>
      </c>
      <c r="X12" s="221">
        <f>IF('CF表（奥様死亡時）'!X$3="","",'CF表（奥様死亡時）'!X12/10000)</f>
        <v/>
      </c>
      <c r="Y12" s="221">
        <f>IF('CF表（奥様死亡時）'!Y$3="","",'CF表（奥様死亡時）'!Y12/10000)</f>
        <v/>
      </c>
      <c r="Z12" s="221">
        <f>IF('CF表（奥様死亡時）'!Z$3="","",'CF表（奥様死亡時）'!Z12/10000)</f>
        <v/>
      </c>
      <c r="AA12" s="221">
        <f>IF('CF表（奥様死亡時）'!AA$3="","",'CF表（奥様死亡時）'!AA12/10000)</f>
        <v/>
      </c>
      <c r="AB12" s="221">
        <f>IF('CF表（奥様死亡時）'!AB$3="","",'CF表（奥様死亡時）'!AB12/10000)</f>
        <v/>
      </c>
      <c r="AC12" s="221">
        <f>IF('CF表（奥様死亡時）'!AC$3="","",'CF表（奥様死亡時）'!AC12/10000)</f>
        <v/>
      </c>
      <c r="AD12" s="221">
        <f>IF('CF表（奥様死亡時）'!AD$3="","",'CF表（奥様死亡時）'!AD12/10000)</f>
        <v/>
      </c>
      <c r="AE12" s="221">
        <f>IF('CF表（奥様死亡時）'!AE$3="","",'CF表（奥様死亡時）'!AE12/10000)</f>
        <v/>
      </c>
      <c r="AF12" s="221">
        <f>IF('CF表（奥様死亡時）'!AF$3="","",'CF表（奥様死亡時）'!AF12/10000)</f>
        <v/>
      </c>
      <c r="AG12" s="221">
        <f>IF('CF表（奥様死亡時）'!AG$3="","",'CF表（奥様死亡時）'!AG12/10000)</f>
        <v/>
      </c>
      <c r="AH12" s="221">
        <f>IF('CF表（奥様死亡時）'!AH$3="","",'CF表（奥様死亡時）'!AH12/10000)</f>
        <v/>
      </c>
      <c r="AI12" s="221">
        <f>IF('CF表（奥様死亡時）'!AI$3="","",'CF表（奥様死亡時）'!AI12/10000)</f>
        <v/>
      </c>
      <c r="AJ12" s="221">
        <f>IF('CF表（奥様死亡時）'!AJ$3="","",'CF表（奥様死亡時）'!AJ12/10000)</f>
        <v/>
      </c>
      <c r="AK12" s="221">
        <f>IF('CF表（奥様死亡時）'!AK$3="","",'CF表（奥様死亡時）'!AK12/10000)</f>
        <v/>
      </c>
      <c r="AL12" s="221">
        <f>IF('CF表（奥様死亡時）'!AL$3="","",'CF表（奥様死亡時）'!AL12/10000)</f>
        <v/>
      </c>
      <c r="AM12" s="221">
        <f>IF('CF表（奥様死亡時）'!AM$3="","",'CF表（奥様死亡時）'!AM12/10000)</f>
        <v/>
      </c>
      <c r="AN12" s="221">
        <f>IF('CF表（奥様死亡時）'!AN$3="","",'CF表（奥様死亡時）'!AN12/10000)</f>
        <v/>
      </c>
      <c r="AO12" s="221">
        <f>IF('CF表（奥様死亡時）'!AO$3="","",'CF表（奥様死亡時）'!AO12/10000)</f>
        <v/>
      </c>
      <c r="AP12" s="221">
        <f>IF('CF表（奥様死亡時）'!AP$3="","",'CF表（奥様死亡時）'!AP12/10000)</f>
        <v/>
      </c>
      <c r="AQ12" s="221">
        <f>IF('CF表（奥様死亡時）'!AQ$3="","",'CF表（奥様死亡時）'!AQ12/10000)</f>
        <v/>
      </c>
      <c r="AR12" s="221">
        <f>IF('CF表（奥様死亡時）'!AR$3="","",'CF表（奥様死亡時）'!AR12/10000)</f>
        <v/>
      </c>
      <c r="AS12" s="221">
        <f>IF('CF表（奥様死亡時）'!AS$3="","",'CF表（奥様死亡時）'!AS12/10000)</f>
        <v/>
      </c>
      <c r="AT12" s="221">
        <f>IF('CF表（奥様死亡時）'!AT$3="","",'CF表（奥様死亡時）'!AT12/10000)</f>
        <v/>
      </c>
      <c r="AU12" s="221">
        <f>IF('CF表（奥様死亡時）'!AU$3="","",'CF表（奥様死亡時）'!AU12/10000)</f>
        <v/>
      </c>
      <c r="AV12" s="221">
        <f>IF('CF表（奥様死亡時）'!AV$3="","",'CF表（奥様死亡時）'!AV12/10000)</f>
        <v/>
      </c>
      <c r="AW12" s="221">
        <f>IF('CF表（奥様死亡時）'!AW$3="","",'CF表（奥様死亡時）'!AW12/10000)</f>
        <v/>
      </c>
      <c r="AX12" s="221">
        <f>IF('CF表（奥様死亡時）'!AX$3="","",'CF表（奥様死亡時）'!AX12/10000)</f>
        <v/>
      </c>
      <c r="AY12" s="221">
        <f>IF('CF表（奥様死亡時）'!AY$3="","",'CF表（奥様死亡時）'!AY12/10000)</f>
        <v/>
      </c>
      <c r="AZ12" s="221">
        <f>IF('CF表（奥様死亡時）'!AZ$3="","",'CF表（奥様死亡時）'!AZ12/10000)</f>
        <v/>
      </c>
      <c r="BA12" s="221">
        <f>IF('CF表（奥様死亡時）'!BA$3="","",'CF表（奥様死亡時）'!BA12/10000)</f>
        <v/>
      </c>
      <c r="BB12" s="221">
        <f>IF('CF表（奥様死亡時）'!BB$3="","",'CF表（奥様死亡時）'!BB12/10000)</f>
        <v/>
      </c>
      <c r="BC12" s="221">
        <f>IF('CF表（奥様死亡時）'!BC$3="","",'CF表（奥様死亡時）'!BC12/10000)</f>
        <v/>
      </c>
      <c r="BD12" s="221">
        <f>IF('CF表（奥様死亡時）'!BD$3="","",'CF表（奥様死亡時）'!BD12/10000)</f>
        <v/>
      </c>
      <c r="BE12" s="221">
        <f>IF('CF表（奥様死亡時）'!BE$3="","",'CF表（奥様死亡時）'!BE12/10000)</f>
        <v/>
      </c>
      <c r="BF12" s="221">
        <f>IF('CF表（奥様死亡時）'!BF$3="","",'CF表（奥様死亡時）'!BF12/10000)</f>
        <v/>
      </c>
      <c r="BG12" s="221">
        <f>IF('CF表（奥様死亡時）'!BG$3="","",'CF表（奥様死亡時）'!BG12/10000)</f>
        <v/>
      </c>
      <c r="BH12" s="221">
        <f>IF('CF表（奥様死亡時）'!BH$3="","",'CF表（奥様死亡時）'!BH12/10000)</f>
        <v/>
      </c>
      <c r="BI12" s="221">
        <f>IF('CF表（奥様死亡時）'!BI$3="","",'CF表（奥様死亡時）'!BI12/10000)</f>
        <v/>
      </c>
      <c r="BJ12" s="221">
        <f>IF('CF表（奥様死亡時）'!BJ$3="","",'CF表（奥様死亡時）'!BJ12/10000)</f>
        <v/>
      </c>
      <c r="BK12" s="221">
        <f>IF('CF表（奥様死亡時）'!BK$3="","",'CF表（奥様死亡時）'!BK12/10000)</f>
        <v/>
      </c>
      <c r="BL12" s="221">
        <f>IF('CF表（奥様死亡時）'!BL$3="","",'CF表（奥様死亡時）'!BL12/10000)</f>
        <v/>
      </c>
      <c r="BM12" s="221">
        <f>IF('CF表（奥様死亡時）'!BM$3="","",'CF表（奥様死亡時）'!BM12/10000)</f>
        <v/>
      </c>
      <c r="BN12" s="221">
        <f>IF('CF表（奥様死亡時）'!BN$3="","",'CF表（奥様死亡時）'!BN12/10000)</f>
        <v/>
      </c>
      <c r="BO12" s="221">
        <f>IF('CF表（奥様死亡時）'!BO$3="","",'CF表（奥様死亡時）'!BO12/10000)</f>
        <v/>
      </c>
      <c r="BP12" s="221">
        <f>IF('CF表（奥様死亡時）'!BP$3="","",'CF表（奥様死亡時）'!BP12/10000)</f>
        <v/>
      </c>
      <c r="BQ12" s="221">
        <f>IF('CF表（奥様死亡時）'!BQ$3="","",'CF表（奥様死亡時）'!BQ12/10000)</f>
        <v/>
      </c>
      <c r="BR12" s="221">
        <f>IF('CF表（奥様死亡時）'!BR$3="","",'CF表（奥様死亡時）'!BR12/10000)</f>
        <v/>
      </c>
      <c r="BS12" s="221">
        <f>IF('CF表（奥様死亡時）'!BS$3="","",'CF表（奥様死亡時）'!BS12/10000)</f>
        <v/>
      </c>
      <c r="BT12" s="221">
        <f>IF('CF表（奥様死亡時）'!BT$3="","",'CF表（奥様死亡時）'!BT12/10000)</f>
        <v/>
      </c>
      <c r="BU12" s="221">
        <f>IF('CF表（奥様死亡時）'!BU$3="","",'CF表（奥様死亡時）'!BU12/10000)</f>
        <v/>
      </c>
      <c r="BV12" s="221">
        <f>IF('CF表（奥様死亡時）'!BV$3="","",'CF表（奥様死亡時）'!BV12/10000)</f>
        <v/>
      </c>
      <c r="BW12" s="221">
        <f>IF('CF表（奥様死亡時）'!BW$3="","",'CF表（奥様死亡時）'!BW12/10000)</f>
        <v/>
      </c>
      <c r="BX12" s="221">
        <f>IF('CF表（奥様死亡時）'!BX$3="","",'CF表（奥様死亡時）'!BX12/10000)</f>
        <v/>
      </c>
      <c r="BY12" s="221">
        <f>IF('CF表（奥様死亡時）'!BY$3="","",'CF表（奥様死亡時）'!BY12/10000)</f>
        <v/>
      </c>
      <c r="BZ12" s="221">
        <f>IF('CF表（奥様死亡時）'!BZ$3="","",'CF表（奥様死亡時）'!BZ12/10000)</f>
        <v/>
      </c>
      <c r="CA12" s="221">
        <f>IF('CF表（奥様死亡時）'!CA$3="","",'CF表（奥様死亡時）'!CA12/10000)</f>
        <v/>
      </c>
      <c r="CB12" s="221">
        <f>IF('CF表（奥様死亡時）'!CB$3="","",'CF表（奥様死亡時）'!CB12/10000)</f>
        <v/>
      </c>
      <c r="CC12" s="221">
        <f>IF('CF表（奥様死亡時）'!CC$3="","",'CF表（奥様死亡時）'!CC12/10000)</f>
        <v/>
      </c>
      <c r="CD12" s="221">
        <f>IF('CF表（奥様死亡時）'!CD$3="","",'CF表（奥様死亡時）'!CD12/10000)</f>
        <v/>
      </c>
      <c r="CE12" s="221">
        <f>IF('CF表（奥様死亡時）'!CE$3="","",'CF表（奥様死亡時）'!CE12/10000)</f>
        <v/>
      </c>
      <c r="CF12" s="221">
        <f>IF('CF表（奥様死亡時）'!CF$3="","",'CF表（奥様死亡時）'!CF12/10000)</f>
        <v/>
      </c>
      <c r="CG12" s="221">
        <f>IF('CF表（奥様死亡時）'!CG$3="","",'CF表（奥様死亡時）'!CG12/10000)</f>
        <v/>
      </c>
      <c r="CH12" s="221">
        <f>IF('CF表（奥様死亡時）'!CH$3="","",'CF表（奥様死亡時）'!CH12/10000)</f>
        <v/>
      </c>
      <c r="CI12" s="221">
        <f>IF('CF表（奥様死亡時）'!CI$3="","",'CF表（奥様死亡時）'!CI12/10000)</f>
        <v/>
      </c>
      <c r="CJ12" s="221">
        <f>IF('CF表（奥様死亡時）'!CJ$3="","",'CF表（奥様死亡時）'!CJ12/10000)</f>
        <v/>
      </c>
      <c r="CK12" s="221">
        <f>IF('CF表（奥様死亡時）'!CK$3="","",'CF表（奥様死亡時）'!CK12/10000)</f>
        <v/>
      </c>
      <c r="CL12" s="221">
        <f>IF('CF表（奥様死亡時）'!CL$3="","",'CF表（奥様死亡時）'!CL12/10000)</f>
        <v/>
      </c>
      <c r="CM12" s="221">
        <f>IF('CF表（奥様死亡時）'!CM$3="","",'CF表（奥様死亡時）'!CM12/10000)</f>
        <v/>
      </c>
      <c r="CN12" s="221">
        <f>IF('CF表（奥様死亡時）'!CN$3="","",'CF表（奥様死亡時）'!CN12/10000)</f>
        <v/>
      </c>
      <c r="CO12" s="221">
        <f>IF('CF表（奥様死亡時）'!CO$3="","",'CF表（奥様死亡時）'!CO12/10000)</f>
        <v/>
      </c>
      <c r="CP12" s="221">
        <f>IF('CF表（奥様死亡時）'!CP$3="","",'CF表（奥様死亡時）'!CP12/10000)</f>
        <v/>
      </c>
      <c r="CQ12" s="221">
        <f>IF('CF表（奥様死亡時）'!CQ$3="","",'CF表（奥様死亡時）'!CQ12/10000)</f>
        <v/>
      </c>
      <c r="CR12" s="221">
        <f>IF('CF表（奥様死亡時）'!CR$3="","",'CF表（奥様死亡時）'!CR12/10000)</f>
        <v/>
      </c>
      <c r="CS12" s="221">
        <f>IF('CF表（奥様死亡時）'!CS$3="","",'CF表（奥様死亡時）'!CS12/10000)</f>
        <v/>
      </c>
      <c r="CT12" s="221">
        <f>IF('CF表（奥様死亡時）'!CT$3="","",'CF表（奥様死亡時）'!CT12/10000)</f>
        <v/>
      </c>
      <c r="CU12" s="221">
        <f>IF('CF表（奥様死亡時）'!CU$3="","",'CF表（奥様死亡時）'!CU12/10000)</f>
        <v/>
      </c>
      <c r="CV12" s="221">
        <f>IF('CF表（奥様死亡時）'!CV$3="","",'CF表（奥様死亡時）'!CV12/10000)</f>
        <v/>
      </c>
      <c r="CW12" s="221">
        <f>IF('CF表（奥様死亡時）'!CW$3="","",'CF表（奥様死亡時）'!CW12/10000)</f>
        <v/>
      </c>
    </row>
    <row r="13" ht="15" customHeight="1" s="180">
      <c r="A13" s="220" t="inlineStr">
        <is>
          <t>その他収入</t>
        </is>
      </c>
      <c r="B13" s="221">
        <f>IF('CF表（奥様死亡時）'!B$3="","",'CF表（奥様死亡時）'!B13/10000)</f>
        <v/>
      </c>
      <c r="C13" s="221">
        <f>IF('CF表（奥様死亡時）'!C$3="","",'CF表（奥様死亡時）'!C13/10000)</f>
        <v/>
      </c>
      <c r="D13" s="221">
        <f>IF('CF表（奥様死亡時）'!D$3="","",'CF表（奥様死亡時）'!D13/10000)</f>
        <v/>
      </c>
      <c r="E13" s="221">
        <f>IF('CF表（奥様死亡時）'!E$3="","",'CF表（奥様死亡時）'!E13/10000)</f>
        <v/>
      </c>
      <c r="F13" s="221">
        <f>IF('CF表（奥様死亡時）'!F$3="","",'CF表（奥様死亡時）'!F13/10000)</f>
        <v/>
      </c>
      <c r="G13" s="221">
        <f>IF('CF表（奥様死亡時）'!G$3="","",'CF表（奥様死亡時）'!G13/10000)</f>
        <v/>
      </c>
      <c r="H13" s="221">
        <f>IF('CF表（奥様死亡時）'!H$3="","",'CF表（奥様死亡時）'!H13/10000)</f>
        <v/>
      </c>
      <c r="I13" s="221">
        <f>IF('CF表（奥様死亡時）'!I$3="","",'CF表（奥様死亡時）'!I13/10000)</f>
        <v/>
      </c>
      <c r="J13" s="221">
        <f>IF('CF表（奥様死亡時）'!J$3="","",'CF表（奥様死亡時）'!J13/10000)</f>
        <v/>
      </c>
      <c r="K13" s="221">
        <f>IF('CF表（奥様死亡時）'!K$3="","",'CF表（奥様死亡時）'!K13/10000)</f>
        <v/>
      </c>
      <c r="L13" s="221">
        <f>IF('CF表（奥様死亡時）'!L$3="","",'CF表（奥様死亡時）'!L13/10000)</f>
        <v/>
      </c>
      <c r="M13" s="221">
        <f>IF('CF表（奥様死亡時）'!M$3="","",'CF表（奥様死亡時）'!M13/10000)</f>
        <v/>
      </c>
      <c r="N13" s="221">
        <f>IF('CF表（奥様死亡時）'!N$3="","",'CF表（奥様死亡時）'!N13/10000)</f>
        <v/>
      </c>
      <c r="O13" s="221">
        <f>IF('CF表（奥様死亡時）'!O$3="","",'CF表（奥様死亡時）'!O13/10000)</f>
        <v/>
      </c>
      <c r="P13" s="221">
        <f>IF('CF表（奥様死亡時）'!P$3="","",'CF表（奥様死亡時）'!P13/10000)</f>
        <v/>
      </c>
      <c r="Q13" s="221">
        <f>IF('CF表（奥様死亡時）'!Q$3="","",'CF表（奥様死亡時）'!Q13/10000)</f>
        <v/>
      </c>
      <c r="R13" s="221">
        <f>IF('CF表（奥様死亡時）'!R$3="","",'CF表（奥様死亡時）'!R13/10000)</f>
        <v/>
      </c>
      <c r="S13" s="221">
        <f>IF('CF表（奥様死亡時）'!S$3="","",'CF表（奥様死亡時）'!S13/10000)</f>
        <v/>
      </c>
      <c r="T13" s="221">
        <f>IF('CF表（奥様死亡時）'!T$3="","",'CF表（奥様死亡時）'!T13/10000)</f>
        <v/>
      </c>
      <c r="U13" s="221">
        <f>IF('CF表（奥様死亡時）'!U$3="","",'CF表（奥様死亡時）'!U13/10000)</f>
        <v/>
      </c>
      <c r="V13" s="221">
        <f>IF('CF表（奥様死亡時）'!V$3="","",'CF表（奥様死亡時）'!V13/10000)</f>
        <v/>
      </c>
      <c r="W13" s="221">
        <f>IF('CF表（奥様死亡時）'!W$3="","",'CF表（奥様死亡時）'!W13/10000)</f>
        <v/>
      </c>
      <c r="X13" s="221">
        <f>IF('CF表（奥様死亡時）'!X$3="","",'CF表（奥様死亡時）'!X13/10000)</f>
        <v/>
      </c>
      <c r="Y13" s="221">
        <f>IF('CF表（奥様死亡時）'!Y$3="","",'CF表（奥様死亡時）'!Y13/10000)</f>
        <v/>
      </c>
      <c r="Z13" s="221">
        <f>IF('CF表（奥様死亡時）'!Z$3="","",'CF表（奥様死亡時）'!Z13/10000)</f>
        <v/>
      </c>
      <c r="AA13" s="221">
        <f>IF('CF表（奥様死亡時）'!AA$3="","",'CF表（奥様死亡時）'!AA13/10000)</f>
        <v/>
      </c>
      <c r="AB13" s="221">
        <f>IF('CF表（奥様死亡時）'!AB$3="","",'CF表（奥様死亡時）'!AB13/10000)</f>
        <v/>
      </c>
      <c r="AC13" s="221">
        <f>IF('CF表（奥様死亡時）'!AC$3="","",'CF表（奥様死亡時）'!AC13/10000)</f>
        <v/>
      </c>
      <c r="AD13" s="221">
        <f>IF('CF表（奥様死亡時）'!AD$3="","",'CF表（奥様死亡時）'!AD13/10000)</f>
        <v/>
      </c>
      <c r="AE13" s="221">
        <f>IF('CF表（奥様死亡時）'!AE$3="","",'CF表（奥様死亡時）'!AE13/10000)</f>
        <v/>
      </c>
      <c r="AF13" s="221">
        <f>IF('CF表（奥様死亡時）'!AF$3="","",'CF表（奥様死亡時）'!AF13/10000)</f>
        <v/>
      </c>
      <c r="AG13" s="221">
        <f>IF('CF表（奥様死亡時）'!AG$3="","",'CF表（奥様死亡時）'!AG13/10000)</f>
        <v/>
      </c>
      <c r="AH13" s="221">
        <f>IF('CF表（奥様死亡時）'!AH$3="","",'CF表（奥様死亡時）'!AH13/10000)</f>
        <v/>
      </c>
      <c r="AI13" s="221">
        <f>IF('CF表（奥様死亡時）'!AI$3="","",'CF表（奥様死亡時）'!AI13/10000)</f>
        <v/>
      </c>
      <c r="AJ13" s="221">
        <f>IF('CF表（奥様死亡時）'!AJ$3="","",'CF表（奥様死亡時）'!AJ13/10000)</f>
        <v/>
      </c>
      <c r="AK13" s="221">
        <f>IF('CF表（奥様死亡時）'!AK$3="","",'CF表（奥様死亡時）'!AK13/10000)</f>
        <v/>
      </c>
      <c r="AL13" s="221">
        <f>IF('CF表（奥様死亡時）'!AL$3="","",'CF表（奥様死亡時）'!AL13/10000)</f>
        <v/>
      </c>
      <c r="AM13" s="221">
        <f>IF('CF表（奥様死亡時）'!AM$3="","",'CF表（奥様死亡時）'!AM13/10000)</f>
        <v/>
      </c>
      <c r="AN13" s="221">
        <f>IF('CF表（奥様死亡時）'!AN$3="","",'CF表（奥様死亡時）'!AN13/10000)</f>
        <v/>
      </c>
      <c r="AO13" s="221">
        <f>IF('CF表（奥様死亡時）'!AO$3="","",'CF表（奥様死亡時）'!AO13/10000)</f>
        <v/>
      </c>
      <c r="AP13" s="221">
        <f>IF('CF表（奥様死亡時）'!AP$3="","",'CF表（奥様死亡時）'!AP13/10000)</f>
        <v/>
      </c>
      <c r="AQ13" s="221">
        <f>IF('CF表（奥様死亡時）'!AQ$3="","",'CF表（奥様死亡時）'!AQ13/10000)</f>
        <v/>
      </c>
      <c r="AR13" s="221">
        <f>IF('CF表（奥様死亡時）'!AR$3="","",'CF表（奥様死亡時）'!AR13/10000)</f>
        <v/>
      </c>
      <c r="AS13" s="221">
        <f>IF('CF表（奥様死亡時）'!AS$3="","",'CF表（奥様死亡時）'!AS13/10000)</f>
        <v/>
      </c>
      <c r="AT13" s="221">
        <f>IF('CF表（奥様死亡時）'!AT$3="","",'CF表（奥様死亡時）'!AT13/10000)</f>
        <v/>
      </c>
      <c r="AU13" s="221">
        <f>IF('CF表（奥様死亡時）'!AU$3="","",'CF表（奥様死亡時）'!AU13/10000)</f>
        <v/>
      </c>
      <c r="AV13" s="221">
        <f>IF('CF表（奥様死亡時）'!AV$3="","",'CF表（奥様死亡時）'!AV13/10000)</f>
        <v/>
      </c>
      <c r="AW13" s="221">
        <f>IF('CF表（奥様死亡時）'!AW$3="","",'CF表（奥様死亡時）'!AW13/10000)</f>
        <v/>
      </c>
      <c r="AX13" s="221">
        <f>IF('CF表（奥様死亡時）'!AX$3="","",'CF表（奥様死亡時）'!AX13/10000)</f>
        <v/>
      </c>
      <c r="AY13" s="221">
        <f>IF('CF表（奥様死亡時）'!AY$3="","",'CF表（奥様死亡時）'!AY13/10000)</f>
        <v/>
      </c>
      <c r="AZ13" s="221">
        <f>IF('CF表（奥様死亡時）'!AZ$3="","",'CF表（奥様死亡時）'!AZ13/10000)</f>
        <v/>
      </c>
      <c r="BA13" s="221">
        <f>IF('CF表（奥様死亡時）'!BA$3="","",'CF表（奥様死亡時）'!BA13/10000)</f>
        <v/>
      </c>
      <c r="BB13" s="221">
        <f>IF('CF表（奥様死亡時）'!BB$3="","",'CF表（奥様死亡時）'!BB13/10000)</f>
        <v/>
      </c>
      <c r="BC13" s="221">
        <f>IF('CF表（奥様死亡時）'!BC$3="","",'CF表（奥様死亡時）'!BC13/10000)</f>
        <v/>
      </c>
      <c r="BD13" s="221">
        <f>IF('CF表（奥様死亡時）'!BD$3="","",'CF表（奥様死亡時）'!BD13/10000)</f>
        <v/>
      </c>
      <c r="BE13" s="221">
        <f>IF('CF表（奥様死亡時）'!BE$3="","",'CF表（奥様死亡時）'!BE13/10000)</f>
        <v/>
      </c>
      <c r="BF13" s="221">
        <f>IF('CF表（奥様死亡時）'!BF$3="","",'CF表（奥様死亡時）'!BF13/10000)</f>
        <v/>
      </c>
      <c r="BG13" s="221">
        <f>IF('CF表（奥様死亡時）'!BG$3="","",'CF表（奥様死亡時）'!BG13/10000)</f>
        <v/>
      </c>
      <c r="BH13" s="221">
        <f>IF('CF表（奥様死亡時）'!BH$3="","",'CF表（奥様死亡時）'!BH13/10000)</f>
        <v/>
      </c>
      <c r="BI13" s="221">
        <f>IF('CF表（奥様死亡時）'!BI$3="","",'CF表（奥様死亡時）'!BI13/10000)</f>
        <v/>
      </c>
      <c r="BJ13" s="221">
        <f>IF('CF表（奥様死亡時）'!BJ$3="","",'CF表（奥様死亡時）'!BJ13/10000)</f>
        <v/>
      </c>
      <c r="BK13" s="221">
        <f>IF('CF表（奥様死亡時）'!BK$3="","",'CF表（奥様死亡時）'!BK13/10000)</f>
        <v/>
      </c>
      <c r="BL13" s="221">
        <f>IF('CF表（奥様死亡時）'!BL$3="","",'CF表（奥様死亡時）'!BL13/10000)</f>
        <v/>
      </c>
      <c r="BM13" s="221">
        <f>IF('CF表（奥様死亡時）'!BM$3="","",'CF表（奥様死亡時）'!BM13/10000)</f>
        <v/>
      </c>
      <c r="BN13" s="221">
        <f>IF('CF表（奥様死亡時）'!BN$3="","",'CF表（奥様死亡時）'!BN13/10000)</f>
        <v/>
      </c>
      <c r="BO13" s="221">
        <f>IF('CF表（奥様死亡時）'!BO$3="","",'CF表（奥様死亡時）'!BO13/10000)</f>
        <v/>
      </c>
      <c r="BP13" s="221">
        <f>IF('CF表（奥様死亡時）'!BP$3="","",'CF表（奥様死亡時）'!BP13/10000)</f>
        <v/>
      </c>
      <c r="BQ13" s="221">
        <f>IF('CF表（奥様死亡時）'!BQ$3="","",'CF表（奥様死亡時）'!BQ13/10000)</f>
        <v/>
      </c>
      <c r="BR13" s="221">
        <f>IF('CF表（奥様死亡時）'!BR$3="","",'CF表（奥様死亡時）'!BR13/10000)</f>
        <v/>
      </c>
      <c r="BS13" s="221">
        <f>IF('CF表（奥様死亡時）'!BS$3="","",'CF表（奥様死亡時）'!BS13/10000)</f>
        <v/>
      </c>
      <c r="BT13" s="221">
        <f>IF('CF表（奥様死亡時）'!BT$3="","",'CF表（奥様死亡時）'!BT13/10000)</f>
        <v/>
      </c>
      <c r="BU13" s="221">
        <f>IF('CF表（奥様死亡時）'!BU$3="","",'CF表（奥様死亡時）'!BU13/10000)</f>
        <v/>
      </c>
      <c r="BV13" s="221">
        <f>IF('CF表（奥様死亡時）'!BV$3="","",'CF表（奥様死亡時）'!BV13/10000)</f>
        <v/>
      </c>
      <c r="BW13" s="221">
        <f>IF('CF表（奥様死亡時）'!BW$3="","",'CF表（奥様死亡時）'!BW13/10000)</f>
        <v/>
      </c>
      <c r="BX13" s="221">
        <f>IF('CF表（奥様死亡時）'!BX$3="","",'CF表（奥様死亡時）'!BX13/10000)</f>
        <v/>
      </c>
      <c r="BY13" s="221">
        <f>IF('CF表（奥様死亡時）'!BY$3="","",'CF表（奥様死亡時）'!BY13/10000)</f>
        <v/>
      </c>
      <c r="BZ13" s="221">
        <f>IF('CF表（奥様死亡時）'!BZ$3="","",'CF表（奥様死亡時）'!BZ13/10000)</f>
        <v/>
      </c>
      <c r="CA13" s="221">
        <f>IF('CF表（奥様死亡時）'!CA$3="","",'CF表（奥様死亡時）'!CA13/10000)</f>
        <v/>
      </c>
      <c r="CB13" s="221">
        <f>IF('CF表（奥様死亡時）'!CB$3="","",'CF表（奥様死亡時）'!CB13/10000)</f>
        <v/>
      </c>
      <c r="CC13" s="221">
        <f>IF('CF表（奥様死亡時）'!CC$3="","",'CF表（奥様死亡時）'!CC13/10000)</f>
        <v/>
      </c>
      <c r="CD13" s="221">
        <f>IF('CF表（奥様死亡時）'!CD$3="","",'CF表（奥様死亡時）'!CD13/10000)</f>
        <v/>
      </c>
      <c r="CE13" s="221">
        <f>IF('CF表（奥様死亡時）'!CE$3="","",'CF表（奥様死亡時）'!CE13/10000)</f>
        <v/>
      </c>
      <c r="CF13" s="221">
        <f>IF('CF表（奥様死亡時）'!CF$3="","",'CF表（奥様死亡時）'!CF13/10000)</f>
        <v/>
      </c>
      <c r="CG13" s="221">
        <f>IF('CF表（奥様死亡時）'!CG$3="","",'CF表（奥様死亡時）'!CG13/10000)</f>
        <v/>
      </c>
      <c r="CH13" s="221">
        <f>IF('CF表（奥様死亡時）'!CH$3="","",'CF表（奥様死亡時）'!CH13/10000)</f>
        <v/>
      </c>
      <c r="CI13" s="221">
        <f>IF('CF表（奥様死亡時）'!CI$3="","",'CF表（奥様死亡時）'!CI13/10000)</f>
        <v/>
      </c>
      <c r="CJ13" s="221">
        <f>IF('CF表（奥様死亡時）'!CJ$3="","",'CF表（奥様死亡時）'!CJ13/10000)</f>
        <v/>
      </c>
      <c r="CK13" s="221">
        <f>IF('CF表（奥様死亡時）'!CK$3="","",'CF表（奥様死亡時）'!CK13/10000)</f>
        <v/>
      </c>
      <c r="CL13" s="221">
        <f>IF('CF表（奥様死亡時）'!CL$3="","",'CF表（奥様死亡時）'!CL13/10000)</f>
        <v/>
      </c>
      <c r="CM13" s="221">
        <f>IF('CF表（奥様死亡時）'!CM$3="","",'CF表（奥様死亡時）'!CM13/10000)</f>
        <v/>
      </c>
      <c r="CN13" s="221">
        <f>IF('CF表（奥様死亡時）'!CN$3="","",'CF表（奥様死亡時）'!CN13/10000)</f>
        <v/>
      </c>
      <c r="CO13" s="221">
        <f>IF('CF表（奥様死亡時）'!CO$3="","",'CF表（奥様死亡時）'!CO13/10000)</f>
        <v/>
      </c>
      <c r="CP13" s="221">
        <f>IF('CF表（奥様死亡時）'!CP$3="","",'CF表（奥様死亡時）'!CP13/10000)</f>
        <v/>
      </c>
      <c r="CQ13" s="221">
        <f>IF('CF表（奥様死亡時）'!CQ$3="","",'CF表（奥様死亡時）'!CQ13/10000)</f>
        <v/>
      </c>
      <c r="CR13" s="221">
        <f>IF('CF表（奥様死亡時）'!CR$3="","",'CF表（奥様死亡時）'!CR13/10000)</f>
        <v/>
      </c>
      <c r="CS13" s="221">
        <f>IF('CF表（奥様死亡時）'!CS$3="","",'CF表（奥様死亡時）'!CS13/10000)</f>
        <v/>
      </c>
      <c r="CT13" s="221">
        <f>IF('CF表（奥様死亡時）'!CT$3="","",'CF表（奥様死亡時）'!CT13/10000)</f>
        <v/>
      </c>
      <c r="CU13" s="221">
        <f>IF('CF表（奥様死亡時）'!CU$3="","",'CF表（奥様死亡時）'!CU13/10000)</f>
        <v/>
      </c>
      <c r="CV13" s="221">
        <f>IF('CF表（奥様死亡時）'!CV$3="","",'CF表（奥様死亡時）'!CV13/10000)</f>
        <v/>
      </c>
      <c r="CW13" s="221">
        <f>IF('CF表（奥様死亡時）'!CW$3="","",'CF表（奥様死亡時）'!CW13/10000)</f>
        <v/>
      </c>
    </row>
    <row r="14" ht="15" customHeight="1" s="180">
      <c r="A14" s="220" t="inlineStr">
        <is>
          <t>ご主人様退職金</t>
        </is>
      </c>
      <c r="B14" s="221">
        <f>IF('CF表（奥様死亡時）'!B$3="","",'CF表（奥様死亡時）'!B14/10000)</f>
        <v/>
      </c>
      <c r="C14" s="221">
        <f>IF('CF表（奥様死亡時）'!C$3="","",'CF表（奥様死亡時）'!C14/10000)</f>
        <v/>
      </c>
      <c r="D14" s="221">
        <f>IF('CF表（奥様死亡時）'!D$3="","",'CF表（奥様死亡時）'!D14/10000)</f>
        <v/>
      </c>
      <c r="E14" s="221">
        <f>IF('CF表（奥様死亡時）'!E$3="","",'CF表（奥様死亡時）'!E14/10000)</f>
        <v/>
      </c>
      <c r="F14" s="221">
        <f>IF('CF表（奥様死亡時）'!F$3="","",'CF表（奥様死亡時）'!F14/10000)</f>
        <v/>
      </c>
      <c r="G14" s="221">
        <f>IF('CF表（奥様死亡時）'!G$3="","",'CF表（奥様死亡時）'!G14/10000)</f>
        <v/>
      </c>
      <c r="H14" s="221">
        <f>IF('CF表（奥様死亡時）'!H$3="","",'CF表（奥様死亡時）'!H14/10000)</f>
        <v/>
      </c>
      <c r="I14" s="221">
        <f>IF('CF表（奥様死亡時）'!I$3="","",'CF表（奥様死亡時）'!I14/10000)</f>
        <v/>
      </c>
      <c r="J14" s="221">
        <f>IF('CF表（奥様死亡時）'!J$3="","",'CF表（奥様死亡時）'!J14/10000)</f>
        <v/>
      </c>
      <c r="K14" s="221">
        <f>IF('CF表（奥様死亡時）'!K$3="","",'CF表（奥様死亡時）'!K14/10000)</f>
        <v/>
      </c>
      <c r="L14" s="221">
        <f>IF('CF表（奥様死亡時）'!L$3="","",'CF表（奥様死亡時）'!L14/10000)</f>
        <v/>
      </c>
      <c r="M14" s="221">
        <f>IF('CF表（奥様死亡時）'!M$3="","",'CF表（奥様死亡時）'!M14/10000)</f>
        <v/>
      </c>
      <c r="N14" s="221">
        <f>IF('CF表（奥様死亡時）'!N$3="","",'CF表（奥様死亡時）'!N14/10000)</f>
        <v/>
      </c>
      <c r="O14" s="221">
        <f>IF('CF表（奥様死亡時）'!O$3="","",'CF表（奥様死亡時）'!O14/10000)</f>
        <v/>
      </c>
      <c r="P14" s="221">
        <f>IF('CF表（奥様死亡時）'!P$3="","",'CF表（奥様死亡時）'!P14/10000)</f>
        <v/>
      </c>
      <c r="Q14" s="221">
        <f>IF('CF表（奥様死亡時）'!Q$3="","",'CF表（奥様死亡時）'!Q14/10000)</f>
        <v/>
      </c>
      <c r="R14" s="221">
        <f>IF('CF表（奥様死亡時）'!R$3="","",'CF表（奥様死亡時）'!R14/10000)</f>
        <v/>
      </c>
      <c r="S14" s="221">
        <f>IF('CF表（奥様死亡時）'!S$3="","",'CF表（奥様死亡時）'!S14/10000)</f>
        <v/>
      </c>
      <c r="T14" s="221">
        <f>IF('CF表（奥様死亡時）'!T$3="","",'CF表（奥様死亡時）'!T14/10000)</f>
        <v/>
      </c>
      <c r="U14" s="221">
        <f>IF('CF表（奥様死亡時）'!U$3="","",'CF表（奥様死亡時）'!U14/10000)</f>
        <v/>
      </c>
      <c r="V14" s="221">
        <f>IF('CF表（奥様死亡時）'!V$3="","",'CF表（奥様死亡時）'!V14/10000)</f>
        <v/>
      </c>
      <c r="W14" s="221">
        <f>IF('CF表（奥様死亡時）'!W$3="","",'CF表（奥様死亡時）'!W14/10000)</f>
        <v/>
      </c>
      <c r="X14" s="221">
        <f>IF('CF表（奥様死亡時）'!X$3="","",'CF表（奥様死亡時）'!X14/10000)</f>
        <v/>
      </c>
      <c r="Y14" s="221">
        <f>IF('CF表（奥様死亡時）'!Y$3="","",'CF表（奥様死亡時）'!Y14/10000)</f>
        <v/>
      </c>
      <c r="Z14" s="221">
        <f>IF('CF表（奥様死亡時）'!Z$3="","",'CF表（奥様死亡時）'!Z14/10000)</f>
        <v/>
      </c>
      <c r="AA14" s="221">
        <f>IF('CF表（奥様死亡時）'!AA$3="","",'CF表（奥様死亡時）'!AA14/10000)</f>
        <v/>
      </c>
      <c r="AB14" s="221">
        <f>IF('CF表（奥様死亡時）'!AB$3="","",'CF表（奥様死亡時）'!AB14/10000)</f>
        <v/>
      </c>
      <c r="AC14" s="221">
        <f>IF('CF表（奥様死亡時）'!AC$3="","",'CF表（奥様死亡時）'!AC14/10000)</f>
        <v/>
      </c>
      <c r="AD14" s="221">
        <f>IF('CF表（奥様死亡時）'!AD$3="","",'CF表（奥様死亡時）'!AD14/10000)</f>
        <v/>
      </c>
      <c r="AE14" s="221">
        <f>IF('CF表（奥様死亡時）'!AE$3="","",'CF表（奥様死亡時）'!AE14/10000)</f>
        <v/>
      </c>
      <c r="AF14" s="221">
        <f>IF('CF表（奥様死亡時）'!AF$3="","",'CF表（奥様死亡時）'!AF14/10000)</f>
        <v/>
      </c>
      <c r="AG14" s="221">
        <f>IF('CF表（奥様死亡時）'!AG$3="","",'CF表（奥様死亡時）'!AG14/10000)</f>
        <v/>
      </c>
      <c r="AH14" s="221">
        <f>IF('CF表（奥様死亡時）'!AH$3="","",'CF表（奥様死亡時）'!AH14/10000)</f>
        <v/>
      </c>
      <c r="AI14" s="221">
        <f>IF('CF表（奥様死亡時）'!AI$3="","",'CF表（奥様死亡時）'!AI14/10000)</f>
        <v/>
      </c>
      <c r="AJ14" s="221">
        <f>IF('CF表（奥様死亡時）'!AJ$3="","",'CF表（奥様死亡時）'!AJ14/10000)</f>
        <v/>
      </c>
      <c r="AK14" s="221">
        <f>IF('CF表（奥様死亡時）'!AK$3="","",'CF表（奥様死亡時）'!AK14/10000)</f>
        <v/>
      </c>
      <c r="AL14" s="221">
        <f>IF('CF表（奥様死亡時）'!AL$3="","",'CF表（奥様死亡時）'!AL14/10000)</f>
        <v/>
      </c>
      <c r="AM14" s="221">
        <f>IF('CF表（奥様死亡時）'!AM$3="","",'CF表（奥様死亡時）'!AM14/10000)</f>
        <v/>
      </c>
      <c r="AN14" s="221">
        <f>IF('CF表（奥様死亡時）'!AN$3="","",'CF表（奥様死亡時）'!AN14/10000)</f>
        <v/>
      </c>
      <c r="AO14" s="221">
        <f>IF('CF表（奥様死亡時）'!AO$3="","",'CF表（奥様死亡時）'!AO14/10000)</f>
        <v/>
      </c>
      <c r="AP14" s="221">
        <f>IF('CF表（奥様死亡時）'!AP$3="","",'CF表（奥様死亡時）'!AP14/10000)</f>
        <v/>
      </c>
      <c r="AQ14" s="221">
        <f>IF('CF表（奥様死亡時）'!AQ$3="","",'CF表（奥様死亡時）'!AQ14/10000)</f>
        <v/>
      </c>
      <c r="AR14" s="221">
        <f>IF('CF表（奥様死亡時）'!AR$3="","",'CF表（奥様死亡時）'!AR14/10000)</f>
        <v/>
      </c>
      <c r="AS14" s="221">
        <f>IF('CF表（奥様死亡時）'!AS$3="","",'CF表（奥様死亡時）'!AS14/10000)</f>
        <v/>
      </c>
      <c r="AT14" s="221">
        <f>IF('CF表（奥様死亡時）'!AT$3="","",'CF表（奥様死亡時）'!AT14/10000)</f>
        <v/>
      </c>
      <c r="AU14" s="221">
        <f>IF('CF表（奥様死亡時）'!AU$3="","",'CF表（奥様死亡時）'!AU14/10000)</f>
        <v/>
      </c>
      <c r="AV14" s="221">
        <f>IF('CF表（奥様死亡時）'!AV$3="","",'CF表（奥様死亡時）'!AV14/10000)</f>
        <v/>
      </c>
      <c r="AW14" s="221">
        <f>IF('CF表（奥様死亡時）'!AW$3="","",'CF表（奥様死亡時）'!AW14/10000)</f>
        <v/>
      </c>
      <c r="AX14" s="221">
        <f>IF('CF表（奥様死亡時）'!AX$3="","",'CF表（奥様死亡時）'!AX14/10000)</f>
        <v/>
      </c>
      <c r="AY14" s="221">
        <f>IF('CF表（奥様死亡時）'!AY$3="","",'CF表（奥様死亡時）'!AY14/10000)</f>
        <v/>
      </c>
      <c r="AZ14" s="221">
        <f>IF('CF表（奥様死亡時）'!AZ$3="","",'CF表（奥様死亡時）'!AZ14/10000)</f>
        <v/>
      </c>
      <c r="BA14" s="221">
        <f>IF('CF表（奥様死亡時）'!BA$3="","",'CF表（奥様死亡時）'!BA14/10000)</f>
        <v/>
      </c>
      <c r="BB14" s="221">
        <f>IF('CF表（奥様死亡時）'!BB$3="","",'CF表（奥様死亡時）'!BB14/10000)</f>
        <v/>
      </c>
      <c r="BC14" s="221">
        <f>IF('CF表（奥様死亡時）'!BC$3="","",'CF表（奥様死亡時）'!BC14/10000)</f>
        <v/>
      </c>
      <c r="BD14" s="221">
        <f>IF('CF表（奥様死亡時）'!BD$3="","",'CF表（奥様死亡時）'!BD14/10000)</f>
        <v/>
      </c>
      <c r="BE14" s="221">
        <f>IF('CF表（奥様死亡時）'!BE$3="","",'CF表（奥様死亡時）'!BE14/10000)</f>
        <v/>
      </c>
      <c r="BF14" s="221">
        <f>IF('CF表（奥様死亡時）'!BF$3="","",'CF表（奥様死亡時）'!BF14/10000)</f>
        <v/>
      </c>
      <c r="BG14" s="221">
        <f>IF('CF表（奥様死亡時）'!BG$3="","",'CF表（奥様死亡時）'!BG14/10000)</f>
        <v/>
      </c>
      <c r="BH14" s="221">
        <f>IF('CF表（奥様死亡時）'!BH$3="","",'CF表（奥様死亡時）'!BH14/10000)</f>
        <v/>
      </c>
      <c r="BI14" s="221">
        <f>IF('CF表（奥様死亡時）'!BI$3="","",'CF表（奥様死亡時）'!BI14/10000)</f>
        <v/>
      </c>
      <c r="BJ14" s="221">
        <f>IF('CF表（奥様死亡時）'!BJ$3="","",'CF表（奥様死亡時）'!BJ14/10000)</f>
        <v/>
      </c>
      <c r="BK14" s="221">
        <f>IF('CF表（奥様死亡時）'!BK$3="","",'CF表（奥様死亡時）'!BK14/10000)</f>
        <v/>
      </c>
      <c r="BL14" s="221">
        <f>IF('CF表（奥様死亡時）'!BL$3="","",'CF表（奥様死亡時）'!BL14/10000)</f>
        <v/>
      </c>
      <c r="BM14" s="221">
        <f>IF('CF表（奥様死亡時）'!BM$3="","",'CF表（奥様死亡時）'!BM14/10000)</f>
        <v/>
      </c>
      <c r="BN14" s="221">
        <f>IF('CF表（奥様死亡時）'!BN$3="","",'CF表（奥様死亡時）'!BN14/10000)</f>
        <v/>
      </c>
      <c r="BO14" s="221">
        <f>IF('CF表（奥様死亡時）'!BO$3="","",'CF表（奥様死亡時）'!BO14/10000)</f>
        <v/>
      </c>
      <c r="BP14" s="221">
        <f>IF('CF表（奥様死亡時）'!BP$3="","",'CF表（奥様死亡時）'!BP14/10000)</f>
        <v/>
      </c>
      <c r="BQ14" s="221">
        <f>IF('CF表（奥様死亡時）'!BQ$3="","",'CF表（奥様死亡時）'!BQ14/10000)</f>
        <v/>
      </c>
      <c r="BR14" s="221">
        <f>IF('CF表（奥様死亡時）'!BR$3="","",'CF表（奥様死亡時）'!BR14/10000)</f>
        <v/>
      </c>
      <c r="BS14" s="221">
        <f>IF('CF表（奥様死亡時）'!BS$3="","",'CF表（奥様死亡時）'!BS14/10000)</f>
        <v/>
      </c>
      <c r="BT14" s="221">
        <f>IF('CF表（奥様死亡時）'!BT$3="","",'CF表（奥様死亡時）'!BT14/10000)</f>
        <v/>
      </c>
      <c r="BU14" s="221">
        <f>IF('CF表（奥様死亡時）'!BU$3="","",'CF表（奥様死亡時）'!BU14/10000)</f>
        <v/>
      </c>
      <c r="BV14" s="221">
        <f>IF('CF表（奥様死亡時）'!BV$3="","",'CF表（奥様死亡時）'!BV14/10000)</f>
        <v/>
      </c>
      <c r="BW14" s="221">
        <f>IF('CF表（奥様死亡時）'!BW$3="","",'CF表（奥様死亡時）'!BW14/10000)</f>
        <v/>
      </c>
      <c r="BX14" s="221">
        <f>IF('CF表（奥様死亡時）'!BX$3="","",'CF表（奥様死亡時）'!BX14/10000)</f>
        <v/>
      </c>
      <c r="BY14" s="221">
        <f>IF('CF表（奥様死亡時）'!BY$3="","",'CF表（奥様死亡時）'!BY14/10000)</f>
        <v/>
      </c>
      <c r="BZ14" s="221">
        <f>IF('CF表（奥様死亡時）'!BZ$3="","",'CF表（奥様死亡時）'!BZ14/10000)</f>
        <v/>
      </c>
      <c r="CA14" s="221">
        <f>IF('CF表（奥様死亡時）'!CA$3="","",'CF表（奥様死亡時）'!CA14/10000)</f>
        <v/>
      </c>
      <c r="CB14" s="221">
        <f>IF('CF表（奥様死亡時）'!CB$3="","",'CF表（奥様死亡時）'!CB14/10000)</f>
        <v/>
      </c>
      <c r="CC14" s="221">
        <f>IF('CF表（奥様死亡時）'!CC$3="","",'CF表（奥様死亡時）'!CC14/10000)</f>
        <v/>
      </c>
      <c r="CD14" s="221">
        <f>IF('CF表（奥様死亡時）'!CD$3="","",'CF表（奥様死亡時）'!CD14/10000)</f>
        <v/>
      </c>
      <c r="CE14" s="221">
        <f>IF('CF表（奥様死亡時）'!CE$3="","",'CF表（奥様死亡時）'!CE14/10000)</f>
        <v/>
      </c>
      <c r="CF14" s="221">
        <f>IF('CF表（奥様死亡時）'!CF$3="","",'CF表（奥様死亡時）'!CF14/10000)</f>
        <v/>
      </c>
      <c r="CG14" s="221">
        <f>IF('CF表（奥様死亡時）'!CG$3="","",'CF表（奥様死亡時）'!CG14/10000)</f>
        <v/>
      </c>
      <c r="CH14" s="221">
        <f>IF('CF表（奥様死亡時）'!CH$3="","",'CF表（奥様死亡時）'!CH14/10000)</f>
        <v/>
      </c>
      <c r="CI14" s="221">
        <f>IF('CF表（奥様死亡時）'!CI$3="","",'CF表（奥様死亡時）'!CI14/10000)</f>
        <v/>
      </c>
      <c r="CJ14" s="221">
        <f>IF('CF表（奥様死亡時）'!CJ$3="","",'CF表（奥様死亡時）'!CJ14/10000)</f>
        <v/>
      </c>
      <c r="CK14" s="221">
        <f>IF('CF表（奥様死亡時）'!CK$3="","",'CF表（奥様死亡時）'!CK14/10000)</f>
        <v/>
      </c>
      <c r="CL14" s="221">
        <f>IF('CF表（奥様死亡時）'!CL$3="","",'CF表（奥様死亡時）'!CL14/10000)</f>
        <v/>
      </c>
      <c r="CM14" s="221">
        <f>IF('CF表（奥様死亡時）'!CM$3="","",'CF表（奥様死亡時）'!CM14/10000)</f>
        <v/>
      </c>
      <c r="CN14" s="221">
        <f>IF('CF表（奥様死亡時）'!CN$3="","",'CF表（奥様死亡時）'!CN14/10000)</f>
        <v/>
      </c>
      <c r="CO14" s="221">
        <f>IF('CF表（奥様死亡時）'!CO$3="","",'CF表（奥様死亡時）'!CO14/10000)</f>
        <v/>
      </c>
      <c r="CP14" s="221">
        <f>IF('CF表（奥様死亡時）'!CP$3="","",'CF表（奥様死亡時）'!CP14/10000)</f>
        <v/>
      </c>
      <c r="CQ14" s="221">
        <f>IF('CF表（奥様死亡時）'!CQ$3="","",'CF表（奥様死亡時）'!CQ14/10000)</f>
        <v/>
      </c>
      <c r="CR14" s="221">
        <f>IF('CF表（奥様死亡時）'!CR$3="","",'CF表（奥様死亡時）'!CR14/10000)</f>
        <v/>
      </c>
      <c r="CS14" s="221">
        <f>IF('CF表（奥様死亡時）'!CS$3="","",'CF表（奥様死亡時）'!CS14/10000)</f>
        <v/>
      </c>
      <c r="CT14" s="221">
        <f>IF('CF表（奥様死亡時）'!CT$3="","",'CF表（奥様死亡時）'!CT14/10000)</f>
        <v/>
      </c>
      <c r="CU14" s="221">
        <f>IF('CF表（奥様死亡時）'!CU$3="","",'CF表（奥様死亡時）'!CU14/10000)</f>
        <v/>
      </c>
      <c r="CV14" s="221">
        <f>IF('CF表（奥様死亡時）'!CV$3="","",'CF表（奥様死亡時）'!CV14/10000)</f>
        <v/>
      </c>
      <c r="CW14" s="221">
        <f>IF('CF表（奥様死亡時）'!CW$3="","",'CF表（奥様死亡時）'!CW14/10000)</f>
        <v/>
      </c>
    </row>
    <row r="15" ht="15" customHeight="1" s="180">
      <c r="A15" s="220" t="inlineStr">
        <is>
          <t>奥様退職金</t>
        </is>
      </c>
      <c r="B15" s="221">
        <f>IF('CF表（奥様死亡時）'!B$3="","",'CF表（奥様死亡時）'!B15/10000)</f>
        <v/>
      </c>
      <c r="C15" s="221">
        <f>IF('CF表（奥様死亡時）'!C$3="","",'CF表（奥様死亡時）'!C15/10000)</f>
        <v/>
      </c>
      <c r="D15" s="221">
        <f>IF('CF表（奥様死亡時）'!D$3="","",'CF表（奥様死亡時）'!D15/10000)</f>
        <v/>
      </c>
      <c r="E15" s="221">
        <f>IF('CF表（奥様死亡時）'!E$3="","",'CF表（奥様死亡時）'!E15/10000)</f>
        <v/>
      </c>
      <c r="F15" s="221">
        <f>IF('CF表（奥様死亡時）'!F$3="","",'CF表（奥様死亡時）'!F15/10000)</f>
        <v/>
      </c>
      <c r="G15" s="221">
        <f>IF('CF表（奥様死亡時）'!G$3="","",'CF表（奥様死亡時）'!G15/10000)</f>
        <v/>
      </c>
      <c r="H15" s="221">
        <f>IF('CF表（奥様死亡時）'!H$3="","",'CF表（奥様死亡時）'!H15/10000)</f>
        <v/>
      </c>
      <c r="I15" s="221">
        <f>IF('CF表（奥様死亡時）'!I$3="","",'CF表（奥様死亡時）'!I15/10000)</f>
        <v/>
      </c>
      <c r="J15" s="221">
        <f>IF('CF表（奥様死亡時）'!J$3="","",'CF表（奥様死亡時）'!J15/10000)</f>
        <v/>
      </c>
      <c r="K15" s="221">
        <f>IF('CF表（奥様死亡時）'!K$3="","",'CF表（奥様死亡時）'!K15/10000)</f>
        <v/>
      </c>
      <c r="L15" s="221">
        <f>IF('CF表（奥様死亡時）'!L$3="","",'CF表（奥様死亡時）'!L15/10000)</f>
        <v/>
      </c>
      <c r="M15" s="221">
        <f>IF('CF表（奥様死亡時）'!M$3="","",'CF表（奥様死亡時）'!M15/10000)</f>
        <v/>
      </c>
      <c r="N15" s="221">
        <f>IF('CF表（奥様死亡時）'!N$3="","",'CF表（奥様死亡時）'!N15/10000)</f>
        <v/>
      </c>
      <c r="O15" s="221">
        <f>IF('CF表（奥様死亡時）'!O$3="","",'CF表（奥様死亡時）'!O15/10000)</f>
        <v/>
      </c>
      <c r="P15" s="221">
        <f>IF('CF表（奥様死亡時）'!P$3="","",'CF表（奥様死亡時）'!P15/10000)</f>
        <v/>
      </c>
      <c r="Q15" s="221">
        <f>IF('CF表（奥様死亡時）'!Q$3="","",'CF表（奥様死亡時）'!Q15/10000)</f>
        <v/>
      </c>
      <c r="R15" s="221">
        <f>IF('CF表（奥様死亡時）'!R$3="","",'CF表（奥様死亡時）'!R15/10000)</f>
        <v/>
      </c>
      <c r="S15" s="221">
        <f>IF('CF表（奥様死亡時）'!S$3="","",'CF表（奥様死亡時）'!S15/10000)</f>
        <v/>
      </c>
      <c r="T15" s="221">
        <f>IF('CF表（奥様死亡時）'!T$3="","",'CF表（奥様死亡時）'!T15/10000)</f>
        <v/>
      </c>
      <c r="U15" s="221">
        <f>IF('CF表（奥様死亡時）'!U$3="","",'CF表（奥様死亡時）'!U15/10000)</f>
        <v/>
      </c>
      <c r="V15" s="221">
        <f>IF('CF表（奥様死亡時）'!V$3="","",'CF表（奥様死亡時）'!V15/10000)</f>
        <v/>
      </c>
      <c r="W15" s="221">
        <f>IF('CF表（奥様死亡時）'!W$3="","",'CF表（奥様死亡時）'!W15/10000)</f>
        <v/>
      </c>
      <c r="X15" s="221">
        <f>IF('CF表（奥様死亡時）'!X$3="","",'CF表（奥様死亡時）'!X15/10000)</f>
        <v/>
      </c>
      <c r="Y15" s="221">
        <f>IF('CF表（奥様死亡時）'!Y$3="","",'CF表（奥様死亡時）'!Y15/10000)</f>
        <v/>
      </c>
      <c r="Z15" s="221">
        <f>IF('CF表（奥様死亡時）'!Z$3="","",'CF表（奥様死亡時）'!Z15/10000)</f>
        <v/>
      </c>
      <c r="AA15" s="221">
        <f>IF('CF表（奥様死亡時）'!AA$3="","",'CF表（奥様死亡時）'!AA15/10000)</f>
        <v/>
      </c>
      <c r="AB15" s="221">
        <f>IF('CF表（奥様死亡時）'!AB$3="","",'CF表（奥様死亡時）'!AB15/10000)</f>
        <v/>
      </c>
      <c r="AC15" s="221">
        <f>IF('CF表（奥様死亡時）'!AC$3="","",'CF表（奥様死亡時）'!AC15/10000)</f>
        <v/>
      </c>
      <c r="AD15" s="221">
        <f>IF('CF表（奥様死亡時）'!AD$3="","",'CF表（奥様死亡時）'!AD15/10000)</f>
        <v/>
      </c>
      <c r="AE15" s="221">
        <f>IF('CF表（奥様死亡時）'!AE$3="","",'CF表（奥様死亡時）'!AE15/10000)</f>
        <v/>
      </c>
      <c r="AF15" s="221">
        <f>IF('CF表（奥様死亡時）'!AF$3="","",'CF表（奥様死亡時）'!AF15/10000)</f>
        <v/>
      </c>
      <c r="AG15" s="221">
        <f>IF('CF表（奥様死亡時）'!AG$3="","",'CF表（奥様死亡時）'!AG15/10000)</f>
        <v/>
      </c>
      <c r="AH15" s="221">
        <f>IF('CF表（奥様死亡時）'!AH$3="","",'CF表（奥様死亡時）'!AH15/10000)</f>
        <v/>
      </c>
      <c r="AI15" s="221">
        <f>IF('CF表（奥様死亡時）'!AI$3="","",'CF表（奥様死亡時）'!AI15/10000)</f>
        <v/>
      </c>
      <c r="AJ15" s="221">
        <f>IF('CF表（奥様死亡時）'!AJ$3="","",'CF表（奥様死亡時）'!AJ15/10000)</f>
        <v/>
      </c>
      <c r="AK15" s="221">
        <f>IF('CF表（奥様死亡時）'!AK$3="","",'CF表（奥様死亡時）'!AK15/10000)</f>
        <v/>
      </c>
      <c r="AL15" s="221">
        <f>IF('CF表（奥様死亡時）'!AL$3="","",'CF表（奥様死亡時）'!AL15/10000)</f>
        <v/>
      </c>
      <c r="AM15" s="221">
        <f>IF('CF表（奥様死亡時）'!AM$3="","",'CF表（奥様死亡時）'!AM15/10000)</f>
        <v/>
      </c>
      <c r="AN15" s="221">
        <f>IF('CF表（奥様死亡時）'!AN$3="","",'CF表（奥様死亡時）'!AN15/10000)</f>
        <v/>
      </c>
      <c r="AO15" s="221">
        <f>IF('CF表（奥様死亡時）'!AO$3="","",'CF表（奥様死亡時）'!AO15/10000)</f>
        <v/>
      </c>
      <c r="AP15" s="221">
        <f>IF('CF表（奥様死亡時）'!AP$3="","",'CF表（奥様死亡時）'!AP15/10000)</f>
        <v/>
      </c>
      <c r="AQ15" s="221">
        <f>IF('CF表（奥様死亡時）'!AQ$3="","",'CF表（奥様死亡時）'!AQ15/10000)</f>
        <v/>
      </c>
      <c r="AR15" s="221">
        <f>IF('CF表（奥様死亡時）'!AR$3="","",'CF表（奥様死亡時）'!AR15/10000)</f>
        <v/>
      </c>
      <c r="AS15" s="221">
        <f>IF('CF表（奥様死亡時）'!AS$3="","",'CF表（奥様死亡時）'!AS15/10000)</f>
        <v/>
      </c>
      <c r="AT15" s="221">
        <f>IF('CF表（奥様死亡時）'!AT$3="","",'CF表（奥様死亡時）'!AT15/10000)</f>
        <v/>
      </c>
      <c r="AU15" s="221">
        <f>IF('CF表（奥様死亡時）'!AU$3="","",'CF表（奥様死亡時）'!AU15/10000)</f>
        <v/>
      </c>
      <c r="AV15" s="221">
        <f>IF('CF表（奥様死亡時）'!AV$3="","",'CF表（奥様死亡時）'!AV15/10000)</f>
        <v/>
      </c>
      <c r="AW15" s="221">
        <f>IF('CF表（奥様死亡時）'!AW$3="","",'CF表（奥様死亡時）'!AW15/10000)</f>
        <v/>
      </c>
      <c r="AX15" s="221">
        <f>IF('CF表（奥様死亡時）'!AX$3="","",'CF表（奥様死亡時）'!AX15/10000)</f>
        <v/>
      </c>
      <c r="AY15" s="221">
        <f>IF('CF表（奥様死亡時）'!AY$3="","",'CF表（奥様死亡時）'!AY15/10000)</f>
        <v/>
      </c>
      <c r="AZ15" s="221">
        <f>IF('CF表（奥様死亡時）'!AZ$3="","",'CF表（奥様死亡時）'!AZ15/10000)</f>
        <v/>
      </c>
      <c r="BA15" s="221">
        <f>IF('CF表（奥様死亡時）'!BA$3="","",'CF表（奥様死亡時）'!BA15/10000)</f>
        <v/>
      </c>
      <c r="BB15" s="221">
        <f>IF('CF表（奥様死亡時）'!BB$3="","",'CF表（奥様死亡時）'!BB15/10000)</f>
        <v/>
      </c>
      <c r="BC15" s="221">
        <f>IF('CF表（奥様死亡時）'!BC$3="","",'CF表（奥様死亡時）'!BC15/10000)</f>
        <v/>
      </c>
      <c r="BD15" s="221">
        <f>IF('CF表（奥様死亡時）'!BD$3="","",'CF表（奥様死亡時）'!BD15/10000)</f>
        <v/>
      </c>
      <c r="BE15" s="221">
        <f>IF('CF表（奥様死亡時）'!BE$3="","",'CF表（奥様死亡時）'!BE15/10000)</f>
        <v/>
      </c>
      <c r="BF15" s="221">
        <f>IF('CF表（奥様死亡時）'!BF$3="","",'CF表（奥様死亡時）'!BF15/10000)</f>
        <v/>
      </c>
      <c r="BG15" s="221">
        <f>IF('CF表（奥様死亡時）'!BG$3="","",'CF表（奥様死亡時）'!BG15/10000)</f>
        <v/>
      </c>
      <c r="BH15" s="221">
        <f>IF('CF表（奥様死亡時）'!BH$3="","",'CF表（奥様死亡時）'!BH15/10000)</f>
        <v/>
      </c>
      <c r="BI15" s="221">
        <f>IF('CF表（奥様死亡時）'!BI$3="","",'CF表（奥様死亡時）'!BI15/10000)</f>
        <v/>
      </c>
      <c r="BJ15" s="221">
        <f>IF('CF表（奥様死亡時）'!BJ$3="","",'CF表（奥様死亡時）'!BJ15/10000)</f>
        <v/>
      </c>
      <c r="BK15" s="221">
        <f>IF('CF表（奥様死亡時）'!BK$3="","",'CF表（奥様死亡時）'!BK15/10000)</f>
        <v/>
      </c>
      <c r="BL15" s="221">
        <f>IF('CF表（奥様死亡時）'!BL$3="","",'CF表（奥様死亡時）'!BL15/10000)</f>
        <v/>
      </c>
      <c r="BM15" s="221">
        <f>IF('CF表（奥様死亡時）'!BM$3="","",'CF表（奥様死亡時）'!BM15/10000)</f>
        <v/>
      </c>
      <c r="BN15" s="221">
        <f>IF('CF表（奥様死亡時）'!BN$3="","",'CF表（奥様死亡時）'!BN15/10000)</f>
        <v/>
      </c>
      <c r="BO15" s="221">
        <f>IF('CF表（奥様死亡時）'!BO$3="","",'CF表（奥様死亡時）'!BO15/10000)</f>
        <v/>
      </c>
      <c r="BP15" s="221">
        <f>IF('CF表（奥様死亡時）'!BP$3="","",'CF表（奥様死亡時）'!BP15/10000)</f>
        <v/>
      </c>
      <c r="BQ15" s="221">
        <f>IF('CF表（奥様死亡時）'!BQ$3="","",'CF表（奥様死亡時）'!BQ15/10000)</f>
        <v/>
      </c>
      <c r="BR15" s="221">
        <f>IF('CF表（奥様死亡時）'!BR$3="","",'CF表（奥様死亡時）'!BR15/10000)</f>
        <v/>
      </c>
      <c r="BS15" s="221">
        <f>IF('CF表（奥様死亡時）'!BS$3="","",'CF表（奥様死亡時）'!BS15/10000)</f>
        <v/>
      </c>
      <c r="BT15" s="221">
        <f>IF('CF表（奥様死亡時）'!BT$3="","",'CF表（奥様死亡時）'!BT15/10000)</f>
        <v/>
      </c>
      <c r="BU15" s="221">
        <f>IF('CF表（奥様死亡時）'!BU$3="","",'CF表（奥様死亡時）'!BU15/10000)</f>
        <v/>
      </c>
      <c r="BV15" s="221">
        <f>IF('CF表（奥様死亡時）'!BV$3="","",'CF表（奥様死亡時）'!BV15/10000)</f>
        <v/>
      </c>
      <c r="BW15" s="221">
        <f>IF('CF表（奥様死亡時）'!BW$3="","",'CF表（奥様死亡時）'!BW15/10000)</f>
        <v/>
      </c>
      <c r="BX15" s="221">
        <f>IF('CF表（奥様死亡時）'!BX$3="","",'CF表（奥様死亡時）'!BX15/10000)</f>
        <v/>
      </c>
      <c r="BY15" s="221">
        <f>IF('CF表（奥様死亡時）'!BY$3="","",'CF表（奥様死亡時）'!BY15/10000)</f>
        <v/>
      </c>
      <c r="BZ15" s="221">
        <f>IF('CF表（奥様死亡時）'!BZ$3="","",'CF表（奥様死亡時）'!BZ15/10000)</f>
        <v/>
      </c>
      <c r="CA15" s="221">
        <f>IF('CF表（奥様死亡時）'!CA$3="","",'CF表（奥様死亡時）'!CA15/10000)</f>
        <v/>
      </c>
      <c r="CB15" s="221">
        <f>IF('CF表（奥様死亡時）'!CB$3="","",'CF表（奥様死亡時）'!CB15/10000)</f>
        <v/>
      </c>
      <c r="CC15" s="221">
        <f>IF('CF表（奥様死亡時）'!CC$3="","",'CF表（奥様死亡時）'!CC15/10000)</f>
        <v/>
      </c>
      <c r="CD15" s="221">
        <f>IF('CF表（奥様死亡時）'!CD$3="","",'CF表（奥様死亡時）'!CD15/10000)</f>
        <v/>
      </c>
      <c r="CE15" s="221">
        <f>IF('CF表（奥様死亡時）'!CE$3="","",'CF表（奥様死亡時）'!CE15/10000)</f>
        <v/>
      </c>
      <c r="CF15" s="221">
        <f>IF('CF表（奥様死亡時）'!CF$3="","",'CF表（奥様死亡時）'!CF15/10000)</f>
        <v/>
      </c>
      <c r="CG15" s="221">
        <f>IF('CF表（奥様死亡時）'!CG$3="","",'CF表（奥様死亡時）'!CG15/10000)</f>
        <v/>
      </c>
      <c r="CH15" s="221">
        <f>IF('CF表（奥様死亡時）'!CH$3="","",'CF表（奥様死亡時）'!CH15/10000)</f>
        <v/>
      </c>
      <c r="CI15" s="221">
        <f>IF('CF表（奥様死亡時）'!CI$3="","",'CF表（奥様死亡時）'!CI15/10000)</f>
        <v/>
      </c>
      <c r="CJ15" s="221">
        <f>IF('CF表（奥様死亡時）'!CJ$3="","",'CF表（奥様死亡時）'!CJ15/10000)</f>
        <v/>
      </c>
      <c r="CK15" s="221">
        <f>IF('CF表（奥様死亡時）'!CK$3="","",'CF表（奥様死亡時）'!CK15/10000)</f>
        <v/>
      </c>
      <c r="CL15" s="221">
        <f>IF('CF表（奥様死亡時）'!CL$3="","",'CF表（奥様死亡時）'!CL15/10000)</f>
        <v/>
      </c>
      <c r="CM15" s="221">
        <f>IF('CF表（奥様死亡時）'!CM$3="","",'CF表（奥様死亡時）'!CM15/10000)</f>
        <v/>
      </c>
      <c r="CN15" s="221">
        <f>IF('CF表（奥様死亡時）'!CN$3="","",'CF表（奥様死亡時）'!CN15/10000)</f>
        <v/>
      </c>
      <c r="CO15" s="221">
        <f>IF('CF表（奥様死亡時）'!CO$3="","",'CF表（奥様死亡時）'!CO15/10000)</f>
        <v/>
      </c>
      <c r="CP15" s="221">
        <f>IF('CF表（奥様死亡時）'!CP$3="","",'CF表（奥様死亡時）'!CP15/10000)</f>
        <v/>
      </c>
      <c r="CQ15" s="221">
        <f>IF('CF表（奥様死亡時）'!CQ$3="","",'CF表（奥様死亡時）'!CQ15/10000)</f>
        <v/>
      </c>
      <c r="CR15" s="221">
        <f>IF('CF表（奥様死亡時）'!CR$3="","",'CF表（奥様死亡時）'!CR15/10000)</f>
        <v/>
      </c>
      <c r="CS15" s="221">
        <f>IF('CF表（奥様死亡時）'!CS$3="","",'CF表（奥様死亡時）'!CS15/10000)</f>
        <v/>
      </c>
      <c r="CT15" s="221">
        <f>IF('CF表（奥様死亡時）'!CT$3="","",'CF表（奥様死亡時）'!CT15/10000)</f>
        <v/>
      </c>
      <c r="CU15" s="221">
        <f>IF('CF表（奥様死亡時）'!CU$3="","",'CF表（奥様死亡時）'!CU15/10000)</f>
        <v/>
      </c>
      <c r="CV15" s="221">
        <f>IF('CF表（奥様死亡時）'!CV$3="","",'CF表（奥様死亡時）'!CV15/10000)</f>
        <v/>
      </c>
      <c r="CW15" s="221">
        <f>IF('CF表（奥様死亡時）'!CW$3="","",'CF表（奥様死亡時）'!CW15/10000)</f>
        <v/>
      </c>
    </row>
    <row r="16" ht="15" customHeight="1" s="180">
      <c r="A16" s="220" t="inlineStr">
        <is>
          <t>ご主人様年金収入</t>
        </is>
      </c>
      <c r="B16" s="221">
        <f>IF('CF表（奥様死亡時）'!B$3="","",'CF表（奥様死亡時）'!B16/10000)</f>
        <v/>
      </c>
      <c r="C16" s="221">
        <f>IF('CF表（奥様死亡時）'!C$3="","",'CF表（奥様死亡時）'!C16/10000)</f>
        <v/>
      </c>
      <c r="D16" s="221">
        <f>IF('CF表（奥様死亡時）'!D$3="","",'CF表（奥様死亡時）'!D16/10000)</f>
        <v/>
      </c>
      <c r="E16" s="221">
        <f>IF('CF表（奥様死亡時）'!E$3="","",'CF表（奥様死亡時）'!E16/10000)</f>
        <v/>
      </c>
      <c r="F16" s="221">
        <f>IF('CF表（奥様死亡時）'!F$3="","",'CF表（奥様死亡時）'!F16/10000)</f>
        <v/>
      </c>
      <c r="G16" s="221">
        <f>IF('CF表（奥様死亡時）'!G$3="","",'CF表（奥様死亡時）'!G16/10000)</f>
        <v/>
      </c>
      <c r="H16" s="221">
        <f>IF('CF表（奥様死亡時）'!H$3="","",'CF表（奥様死亡時）'!H16/10000)</f>
        <v/>
      </c>
      <c r="I16" s="221">
        <f>IF('CF表（奥様死亡時）'!I$3="","",'CF表（奥様死亡時）'!I16/10000)</f>
        <v/>
      </c>
      <c r="J16" s="221">
        <f>IF('CF表（奥様死亡時）'!J$3="","",'CF表（奥様死亡時）'!J16/10000)</f>
        <v/>
      </c>
      <c r="K16" s="221">
        <f>IF('CF表（奥様死亡時）'!K$3="","",'CF表（奥様死亡時）'!K16/10000)</f>
        <v/>
      </c>
      <c r="L16" s="221">
        <f>IF('CF表（奥様死亡時）'!L$3="","",'CF表（奥様死亡時）'!L16/10000)</f>
        <v/>
      </c>
      <c r="M16" s="221">
        <f>IF('CF表（奥様死亡時）'!M$3="","",'CF表（奥様死亡時）'!M16/10000)</f>
        <v/>
      </c>
      <c r="N16" s="221">
        <f>IF('CF表（奥様死亡時）'!N$3="","",'CF表（奥様死亡時）'!N16/10000)</f>
        <v/>
      </c>
      <c r="O16" s="221">
        <f>IF('CF表（奥様死亡時）'!O$3="","",'CF表（奥様死亡時）'!O16/10000)</f>
        <v/>
      </c>
      <c r="P16" s="221">
        <f>IF('CF表（奥様死亡時）'!P$3="","",'CF表（奥様死亡時）'!P16/10000)</f>
        <v/>
      </c>
      <c r="Q16" s="221">
        <f>IF('CF表（奥様死亡時）'!Q$3="","",'CF表（奥様死亡時）'!Q16/10000)</f>
        <v/>
      </c>
      <c r="R16" s="221">
        <f>IF('CF表（奥様死亡時）'!R$3="","",'CF表（奥様死亡時）'!R16/10000)</f>
        <v/>
      </c>
      <c r="S16" s="221">
        <f>IF('CF表（奥様死亡時）'!S$3="","",'CF表（奥様死亡時）'!S16/10000)</f>
        <v/>
      </c>
      <c r="T16" s="221">
        <f>IF('CF表（奥様死亡時）'!T$3="","",'CF表（奥様死亡時）'!T16/10000)</f>
        <v/>
      </c>
      <c r="U16" s="221">
        <f>IF('CF表（奥様死亡時）'!U$3="","",'CF表（奥様死亡時）'!U16/10000)</f>
        <v/>
      </c>
      <c r="V16" s="221">
        <f>IF('CF表（奥様死亡時）'!V$3="","",'CF表（奥様死亡時）'!V16/10000)</f>
        <v/>
      </c>
      <c r="W16" s="221">
        <f>IF('CF表（奥様死亡時）'!W$3="","",'CF表（奥様死亡時）'!W16/10000)</f>
        <v/>
      </c>
      <c r="X16" s="221">
        <f>IF('CF表（奥様死亡時）'!X$3="","",'CF表（奥様死亡時）'!X16/10000)</f>
        <v/>
      </c>
      <c r="Y16" s="221">
        <f>IF('CF表（奥様死亡時）'!Y$3="","",'CF表（奥様死亡時）'!Y16/10000)</f>
        <v/>
      </c>
      <c r="Z16" s="221">
        <f>IF('CF表（奥様死亡時）'!Z$3="","",'CF表（奥様死亡時）'!Z16/10000)</f>
        <v/>
      </c>
      <c r="AA16" s="221">
        <f>IF('CF表（奥様死亡時）'!AA$3="","",'CF表（奥様死亡時）'!AA16/10000)</f>
        <v/>
      </c>
      <c r="AB16" s="221">
        <f>IF('CF表（奥様死亡時）'!AB$3="","",'CF表（奥様死亡時）'!AB16/10000)</f>
        <v/>
      </c>
      <c r="AC16" s="221">
        <f>IF('CF表（奥様死亡時）'!AC$3="","",'CF表（奥様死亡時）'!AC16/10000)</f>
        <v/>
      </c>
      <c r="AD16" s="221">
        <f>IF('CF表（奥様死亡時）'!AD$3="","",'CF表（奥様死亡時）'!AD16/10000)</f>
        <v/>
      </c>
      <c r="AE16" s="221">
        <f>IF('CF表（奥様死亡時）'!AE$3="","",'CF表（奥様死亡時）'!AE16/10000)</f>
        <v/>
      </c>
      <c r="AF16" s="221">
        <f>IF('CF表（奥様死亡時）'!AF$3="","",'CF表（奥様死亡時）'!AF16/10000)</f>
        <v/>
      </c>
      <c r="AG16" s="221">
        <f>IF('CF表（奥様死亡時）'!AG$3="","",'CF表（奥様死亡時）'!AG16/10000)</f>
        <v/>
      </c>
      <c r="AH16" s="221">
        <f>IF('CF表（奥様死亡時）'!AH$3="","",'CF表（奥様死亡時）'!AH16/10000)</f>
        <v/>
      </c>
      <c r="AI16" s="221">
        <f>IF('CF表（奥様死亡時）'!AI$3="","",'CF表（奥様死亡時）'!AI16/10000)</f>
        <v/>
      </c>
      <c r="AJ16" s="221">
        <f>IF('CF表（奥様死亡時）'!AJ$3="","",'CF表（奥様死亡時）'!AJ16/10000)</f>
        <v/>
      </c>
      <c r="AK16" s="221">
        <f>IF('CF表（奥様死亡時）'!AK$3="","",'CF表（奥様死亡時）'!AK16/10000)</f>
        <v/>
      </c>
      <c r="AL16" s="221">
        <f>IF('CF表（奥様死亡時）'!AL$3="","",'CF表（奥様死亡時）'!AL16/10000)</f>
        <v/>
      </c>
      <c r="AM16" s="221">
        <f>IF('CF表（奥様死亡時）'!AM$3="","",'CF表（奥様死亡時）'!AM16/10000)</f>
        <v/>
      </c>
      <c r="AN16" s="221">
        <f>IF('CF表（奥様死亡時）'!AN$3="","",'CF表（奥様死亡時）'!AN16/10000)</f>
        <v/>
      </c>
      <c r="AO16" s="221">
        <f>IF('CF表（奥様死亡時）'!AO$3="","",'CF表（奥様死亡時）'!AO16/10000)</f>
        <v/>
      </c>
      <c r="AP16" s="221">
        <f>IF('CF表（奥様死亡時）'!AP$3="","",'CF表（奥様死亡時）'!AP16/10000)</f>
        <v/>
      </c>
      <c r="AQ16" s="221">
        <f>IF('CF表（奥様死亡時）'!AQ$3="","",'CF表（奥様死亡時）'!AQ16/10000)</f>
        <v/>
      </c>
      <c r="AR16" s="221">
        <f>IF('CF表（奥様死亡時）'!AR$3="","",'CF表（奥様死亡時）'!AR16/10000)</f>
        <v/>
      </c>
      <c r="AS16" s="221">
        <f>IF('CF表（奥様死亡時）'!AS$3="","",'CF表（奥様死亡時）'!AS16/10000)</f>
        <v/>
      </c>
      <c r="AT16" s="221">
        <f>IF('CF表（奥様死亡時）'!AT$3="","",'CF表（奥様死亡時）'!AT16/10000)</f>
        <v/>
      </c>
      <c r="AU16" s="221">
        <f>IF('CF表（奥様死亡時）'!AU$3="","",'CF表（奥様死亡時）'!AU16/10000)</f>
        <v/>
      </c>
      <c r="AV16" s="221">
        <f>IF('CF表（奥様死亡時）'!AV$3="","",'CF表（奥様死亡時）'!AV16/10000)</f>
        <v/>
      </c>
      <c r="AW16" s="221">
        <f>IF('CF表（奥様死亡時）'!AW$3="","",'CF表（奥様死亡時）'!AW16/10000)</f>
        <v/>
      </c>
      <c r="AX16" s="221">
        <f>IF('CF表（奥様死亡時）'!AX$3="","",'CF表（奥様死亡時）'!AX16/10000)</f>
        <v/>
      </c>
      <c r="AY16" s="221">
        <f>IF('CF表（奥様死亡時）'!AY$3="","",'CF表（奥様死亡時）'!AY16/10000)</f>
        <v/>
      </c>
      <c r="AZ16" s="221">
        <f>IF('CF表（奥様死亡時）'!AZ$3="","",'CF表（奥様死亡時）'!AZ16/10000)</f>
        <v/>
      </c>
      <c r="BA16" s="221">
        <f>IF('CF表（奥様死亡時）'!BA$3="","",'CF表（奥様死亡時）'!BA16/10000)</f>
        <v/>
      </c>
      <c r="BB16" s="221">
        <f>IF('CF表（奥様死亡時）'!BB$3="","",'CF表（奥様死亡時）'!BB16/10000)</f>
        <v/>
      </c>
      <c r="BC16" s="221">
        <f>IF('CF表（奥様死亡時）'!BC$3="","",'CF表（奥様死亡時）'!BC16/10000)</f>
        <v/>
      </c>
      <c r="BD16" s="221">
        <f>IF('CF表（奥様死亡時）'!BD$3="","",'CF表（奥様死亡時）'!BD16/10000)</f>
        <v/>
      </c>
      <c r="BE16" s="221">
        <f>IF('CF表（奥様死亡時）'!BE$3="","",'CF表（奥様死亡時）'!BE16/10000)</f>
        <v/>
      </c>
      <c r="BF16" s="221">
        <f>IF('CF表（奥様死亡時）'!BF$3="","",'CF表（奥様死亡時）'!BF16/10000)</f>
        <v/>
      </c>
      <c r="BG16" s="221">
        <f>IF('CF表（奥様死亡時）'!BG$3="","",'CF表（奥様死亡時）'!BG16/10000)</f>
        <v/>
      </c>
      <c r="BH16" s="221">
        <f>IF('CF表（奥様死亡時）'!BH$3="","",'CF表（奥様死亡時）'!BH16/10000)</f>
        <v/>
      </c>
      <c r="BI16" s="221">
        <f>IF('CF表（奥様死亡時）'!BI$3="","",'CF表（奥様死亡時）'!BI16/10000)</f>
        <v/>
      </c>
      <c r="BJ16" s="221">
        <f>IF('CF表（奥様死亡時）'!BJ$3="","",'CF表（奥様死亡時）'!BJ16/10000)</f>
        <v/>
      </c>
      <c r="BK16" s="221">
        <f>IF('CF表（奥様死亡時）'!BK$3="","",'CF表（奥様死亡時）'!BK16/10000)</f>
        <v/>
      </c>
      <c r="BL16" s="221">
        <f>IF('CF表（奥様死亡時）'!BL$3="","",'CF表（奥様死亡時）'!BL16/10000)</f>
        <v/>
      </c>
      <c r="BM16" s="221">
        <f>IF('CF表（奥様死亡時）'!BM$3="","",'CF表（奥様死亡時）'!BM16/10000)</f>
        <v/>
      </c>
      <c r="BN16" s="221">
        <f>IF('CF表（奥様死亡時）'!BN$3="","",'CF表（奥様死亡時）'!BN16/10000)</f>
        <v/>
      </c>
      <c r="BO16" s="221">
        <f>IF('CF表（奥様死亡時）'!BO$3="","",'CF表（奥様死亡時）'!BO16/10000)</f>
        <v/>
      </c>
      <c r="BP16" s="221">
        <f>IF('CF表（奥様死亡時）'!BP$3="","",'CF表（奥様死亡時）'!BP16/10000)</f>
        <v/>
      </c>
      <c r="BQ16" s="221">
        <f>IF('CF表（奥様死亡時）'!BQ$3="","",'CF表（奥様死亡時）'!BQ16/10000)</f>
        <v/>
      </c>
      <c r="BR16" s="221">
        <f>IF('CF表（奥様死亡時）'!BR$3="","",'CF表（奥様死亡時）'!BR16/10000)</f>
        <v/>
      </c>
      <c r="BS16" s="221">
        <f>IF('CF表（奥様死亡時）'!BS$3="","",'CF表（奥様死亡時）'!BS16/10000)</f>
        <v/>
      </c>
      <c r="BT16" s="221">
        <f>IF('CF表（奥様死亡時）'!BT$3="","",'CF表（奥様死亡時）'!BT16/10000)</f>
        <v/>
      </c>
      <c r="BU16" s="221">
        <f>IF('CF表（奥様死亡時）'!BU$3="","",'CF表（奥様死亡時）'!BU16/10000)</f>
        <v/>
      </c>
      <c r="BV16" s="221">
        <f>IF('CF表（奥様死亡時）'!BV$3="","",'CF表（奥様死亡時）'!BV16/10000)</f>
        <v/>
      </c>
      <c r="BW16" s="221">
        <f>IF('CF表（奥様死亡時）'!BW$3="","",'CF表（奥様死亡時）'!BW16/10000)</f>
        <v/>
      </c>
      <c r="BX16" s="221">
        <f>IF('CF表（奥様死亡時）'!BX$3="","",'CF表（奥様死亡時）'!BX16/10000)</f>
        <v/>
      </c>
      <c r="BY16" s="221">
        <f>IF('CF表（奥様死亡時）'!BY$3="","",'CF表（奥様死亡時）'!BY16/10000)</f>
        <v/>
      </c>
      <c r="BZ16" s="221">
        <f>IF('CF表（奥様死亡時）'!BZ$3="","",'CF表（奥様死亡時）'!BZ16/10000)</f>
        <v/>
      </c>
      <c r="CA16" s="221">
        <f>IF('CF表（奥様死亡時）'!CA$3="","",'CF表（奥様死亡時）'!CA16/10000)</f>
        <v/>
      </c>
      <c r="CB16" s="221">
        <f>IF('CF表（奥様死亡時）'!CB$3="","",'CF表（奥様死亡時）'!CB16/10000)</f>
        <v/>
      </c>
      <c r="CC16" s="221">
        <f>IF('CF表（奥様死亡時）'!CC$3="","",'CF表（奥様死亡時）'!CC16/10000)</f>
        <v/>
      </c>
      <c r="CD16" s="221">
        <f>IF('CF表（奥様死亡時）'!CD$3="","",'CF表（奥様死亡時）'!CD16/10000)</f>
        <v/>
      </c>
      <c r="CE16" s="221">
        <f>IF('CF表（奥様死亡時）'!CE$3="","",'CF表（奥様死亡時）'!CE16/10000)</f>
        <v/>
      </c>
      <c r="CF16" s="221">
        <f>IF('CF表（奥様死亡時）'!CF$3="","",'CF表（奥様死亡時）'!CF16/10000)</f>
        <v/>
      </c>
      <c r="CG16" s="221">
        <f>IF('CF表（奥様死亡時）'!CG$3="","",'CF表（奥様死亡時）'!CG16/10000)</f>
        <v/>
      </c>
      <c r="CH16" s="221">
        <f>IF('CF表（奥様死亡時）'!CH$3="","",'CF表（奥様死亡時）'!CH16/10000)</f>
        <v/>
      </c>
      <c r="CI16" s="221">
        <f>IF('CF表（奥様死亡時）'!CI$3="","",'CF表（奥様死亡時）'!CI16/10000)</f>
        <v/>
      </c>
      <c r="CJ16" s="221">
        <f>IF('CF表（奥様死亡時）'!CJ$3="","",'CF表（奥様死亡時）'!CJ16/10000)</f>
        <v/>
      </c>
      <c r="CK16" s="221">
        <f>IF('CF表（奥様死亡時）'!CK$3="","",'CF表（奥様死亡時）'!CK16/10000)</f>
        <v/>
      </c>
      <c r="CL16" s="221">
        <f>IF('CF表（奥様死亡時）'!CL$3="","",'CF表（奥様死亡時）'!CL16/10000)</f>
        <v/>
      </c>
      <c r="CM16" s="221">
        <f>IF('CF表（奥様死亡時）'!CM$3="","",'CF表（奥様死亡時）'!CM16/10000)</f>
        <v/>
      </c>
      <c r="CN16" s="221">
        <f>IF('CF表（奥様死亡時）'!CN$3="","",'CF表（奥様死亡時）'!CN16/10000)</f>
        <v/>
      </c>
      <c r="CO16" s="221">
        <f>IF('CF表（奥様死亡時）'!CO$3="","",'CF表（奥様死亡時）'!CO16/10000)</f>
        <v/>
      </c>
      <c r="CP16" s="221">
        <f>IF('CF表（奥様死亡時）'!CP$3="","",'CF表（奥様死亡時）'!CP16/10000)</f>
        <v/>
      </c>
      <c r="CQ16" s="221">
        <f>IF('CF表（奥様死亡時）'!CQ$3="","",'CF表（奥様死亡時）'!CQ16/10000)</f>
        <v/>
      </c>
      <c r="CR16" s="221">
        <f>IF('CF表（奥様死亡時）'!CR$3="","",'CF表（奥様死亡時）'!CR16/10000)</f>
        <v/>
      </c>
      <c r="CS16" s="221">
        <f>IF('CF表（奥様死亡時）'!CS$3="","",'CF表（奥様死亡時）'!CS16/10000)</f>
        <v/>
      </c>
      <c r="CT16" s="221">
        <f>IF('CF表（奥様死亡時）'!CT$3="","",'CF表（奥様死亡時）'!CT16/10000)</f>
        <v/>
      </c>
      <c r="CU16" s="221">
        <f>IF('CF表（奥様死亡時）'!CU$3="","",'CF表（奥様死亡時）'!CU16/10000)</f>
        <v/>
      </c>
      <c r="CV16" s="221">
        <f>IF('CF表（奥様死亡時）'!CV$3="","",'CF表（奥様死亡時）'!CV16/10000)</f>
        <v/>
      </c>
      <c r="CW16" s="221">
        <f>IF('CF表（奥様死亡時）'!CW$3="","",'CF表（奥様死亡時）'!CW16/10000)</f>
        <v/>
      </c>
    </row>
    <row r="17" ht="15" customHeight="1" s="180">
      <c r="A17" s="220" t="inlineStr">
        <is>
          <t>奥様年金収入</t>
        </is>
      </c>
      <c r="B17" s="221">
        <f>IF('CF表（奥様死亡時）'!B$3="","",'CF表（奥様死亡時）'!B17/10000)</f>
        <v/>
      </c>
      <c r="C17" s="221">
        <f>IF('CF表（奥様死亡時）'!C$3="","",'CF表（奥様死亡時）'!C17/10000)</f>
        <v/>
      </c>
      <c r="D17" s="221">
        <f>IF('CF表（奥様死亡時）'!D$3="","",'CF表（奥様死亡時）'!D17/10000)</f>
        <v/>
      </c>
      <c r="E17" s="221">
        <f>IF('CF表（奥様死亡時）'!E$3="","",'CF表（奥様死亡時）'!E17/10000)</f>
        <v/>
      </c>
      <c r="F17" s="221">
        <f>IF('CF表（奥様死亡時）'!F$3="","",'CF表（奥様死亡時）'!F17/10000)</f>
        <v/>
      </c>
      <c r="G17" s="221">
        <f>IF('CF表（奥様死亡時）'!G$3="","",'CF表（奥様死亡時）'!G17/10000)</f>
        <v/>
      </c>
      <c r="H17" s="221">
        <f>IF('CF表（奥様死亡時）'!H$3="","",'CF表（奥様死亡時）'!H17/10000)</f>
        <v/>
      </c>
      <c r="I17" s="221">
        <f>IF('CF表（奥様死亡時）'!I$3="","",'CF表（奥様死亡時）'!I17/10000)</f>
        <v/>
      </c>
      <c r="J17" s="221">
        <f>IF('CF表（奥様死亡時）'!J$3="","",'CF表（奥様死亡時）'!J17/10000)</f>
        <v/>
      </c>
      <c r="K17" s="221">
        <f>IF('CF表（奥様死亡時）'!K$3="","",'CF表（奥様死亡時）'!K17/10000)</f>
        <v/>
      </c>
      <c r="L17" s="221">
        <f>IF('CF表（奥様死亡時）'!L$3="","",'CF表（奥様死亡時）'!L17/10000)</f>
        <v/>
      </c>
      <c r="M17" s="221">
        <f>IF('CF表（奥様死亡時）'!M$3="","",'CF表（奥様死亡時）'!M17/10000)</f>
        <v/>
      </c>
      <c r="N17" s="221">
        <f>IF('CF表（奥様死亡時）'!N$3="","",'CF表（奥様死亡時）'!N17/10000)</f>
        <v/>
      </c>
      <c r="O17" s="221">
        <f>IF('CF表（奥様死亡時）'!O$3="","",'CF表（奥様死亡時）'!O17/10000)</f>
        <v/>
      </c>
      <c r="P17" s="221">
        <f>IF('CF表（奥様死亡時）'!P$3="","",'CF表（奥様死亡時）'!P17/10000)</f>
        <v/>
      </c>
      <c r="Q17" s="221">
        <f>IF('CF表（奥様死亡時）'!Q$3="","",'CF表（奥様死亡時）'!Q17/10000)</f>
        <v/>
      </c>
      <c r="R17" s="221">
        <f>IF('CF表（奥様死亡時）'!R$3="","",'CF表（奥様死亡時）'!R17/10000)</f>
        <v/>
      </c>
      <c r="S17" s="221">
        <f>IF('CF表（奥様死亡時）'!S$3="","",'CF表（奥様死亡時）'!S17/10000)</f>
        <v/>
      </c>
      <c r="T17" s="221">
        <f>IF('CF表（奥様死亡時）'!T$3="","",'CF表（奥様死亡時）'!T17/10000)</f>
        <v/>
      </c>
      <c r="U17" s="221">
        <f>IF('CF表（奥様死亡時）'!U$3="","",'CF表（奥様死亡時）'!U17/10000)</f>
        <v/>
      </c>
      <c r="V17" s="221">
        <f>IF('CF表（奥様死亡時）'!V$3="","",'CF表（奥様死亡時）'!V17/10000)</f>
        <v/>
      </c>
      <c r="W17" s="221">
        <f>IF('CF表（奥様死亡時）'!W$3="","",'CF表（奥様死亡時）'!W17/10000)</f>
        <v/>
      </c>
      <c r="X17" s="221">
        <f>IF('CF表（奥様死亡時）'!X$3="","",'CF表（奥様死亡時）'!X17/10000)</f>
        <v/>
      </c>
      <c r="Y17" s="221">
        <f>IF('CF表（奥様死亡時）'!Y$3="","",'CF表（奥様死亡時）'!Y17/10000)</f>
        <v/>
      </c>
      <c r="Z17" s="221">
        <f>IF('CF表（奥様死亡時）'!Z$3="","",'CF表（奥様死亡時）'!Z17/10000)</f>
        <v/>
      </c>
      <c r="AA17" s="221">
        <f>IF('CF表（奥様死亡時）'!AA$3="","",'CF表（奥様死亡時）'!AA17/10000)</f>
        <v/>
      </c>
      <c r="AB17" s="221">
        <f>IF('CF表（奥様死亡時）'!AB$3="","",'CF表（奥様死亡時）'!AB17/10000)</f>
        <v/>
      </c>
      <c r="AC17" s="221">
        <f>IF('CF表（奥様死亡時）'!AC$3="","",'CF表（奥様死亡時）'!AC17/10000)</f>
        <v/>
      </c>
      <c r="AD17" s="221">
        <f>IF('CF表（奥様死亡時）'!AD$3="","",'CF表（奥様死亡時）'!AD17/10000)</f>
        <v/>
      </c>
      <c r="AE17" s="221">
        <f>IF('CF表（奥様死亡時）'!AE$3="","",'CF表（奥様死亡時）'!AE17/10000)</f>
        <v/>
      </c>
      <c r="AF17" s="221">
        <f>IF('CF表（奥様死亡時）'!AF$3="","",'CF表（奥様死亡時）'!AF17/10000)</f>
        <v/>
      </c>
      <c r="AG17" s="221">
        <f>IF('CF表（奥様死亡時）'!AG$3="","",'CF表（奥様死亡時）'!AG17/10000)</f>
        <v/>
      </c>
      <c r="AH17" s="221">
        <f>IF('CF表（奥様死亡時）'!AH$3="","",'CF表（奥様死亡時）'!AH17/10000)</f>
        <v/>
      </c>
      <c r="AI17" s="221">
        <f>IF('CF表（奥様死亡時）'!AI$3="","",'CF表（奥様死亡時）'!AI17/10000)</f>
        <v/>
      </c>
      <c r="AJ17" s="221">
        <f>IF('CF表（奥様死亡時）'!AJ$3="","",'CF表（奥様死亡時）'!AJ17/10000)</f>
        <v/>
      </c>
      <c r="AK17" s="221">
        <f>IF('CF表（奥様死亡時）'!AK$3="","",'CF表（奥様死亡時）'!AK17/10000)</f>
        <v/>
      </c>
      <c r="AL17" s="221">
        <f>IF('CF表（奥様死亡時）'!AL$3="","",'CF表（奥様死亡時）'!AL17/10000)</f>
        <v/>
      </c>
      <c r="AM17" s="221">
        <f>IF('CF表（奥様死亡時）'!AM$3="","",'CF表（奥様死亡時）'!AM17/10000)</f>
        <v/>
      </c>
      <c r="AN17" s="221">
        <f>IF('CF表（奥様死亡時）'!AN$3="","",'CF表（奥様死亡時）'!AN17/10000)</f>
        <v/>
      </c>
      <c r="AO17" s="221">
        <f>IF('CF表（奥様死亡時）'!AO$3="","",'CF表（奥様死亡時）'!AO17/10000)</f>
        <v/>
      </c>
      <c r="AP17" s="221">
        <f>IF('CF表（奥様死亡時）'!AP$3="","",'CF表（奥様死亡時）'!AP17/10000)</f>
        <v/>
      </c>
      <c r="AQ17" s="221">
        <f>IF('CF表（奥様死亡時）'!AQ$3="","",'CF表（奥様死亡時）'!AQ17/10000)</f>
        <v/>
      </c>
      <c r="AR17" s="221">
        <f>IF('CF表（奥様死亡時）'!AR$3="","",'CF表（奥様死亡時）'!AR17/10000)</f>
        <v/>
      </c>
      <c r="AS17" s="221">
        <f>IF('CF表（奥様死亡時）'!AS$3="","",'CF表（奥様死亡時）'!AS17/10000)</f>
        <v/>
      </c>
      <c r="AT17" s="221">
        <f>IF('CF表（奥様死亡時）'!AT$3="","",'CF表（奥様死亡時）'!AT17/10000)</f>
        <v/>
      </c>
      <c r="AU17" s="221">
        <f>IF('CF表（奥様死亡時）'!AU$3="","",'CF表（奥様死亡時）'!AU17/10000)</f>
        <v/>
      </c>
      <c r="AV17" s="221">
        <f>IF('CF表（奥様死亡時）'!AV$3="","",'CF表（奥様死亡時）'!AV17/10000)</f>
        <v/>
      </c>
      <c r="AW17" s="221">
        <f>IF('CF表（奥様死亡時）'!AW$3="","",'CF表（奥様死亡時）'!AW17/10000)</f>
        <v/>
      </c>
      <c r="AX17" s="221">
        <f>IF('CF表（奥様死亡時）'!AX$3="","",'CF表（奥様死亡時）'!AX17/10000)</f>
        <v/>
      </c>
      <c r="AY17" s="221">
        <f>IF('CF表（奥様死亡時）'!AY$3="","",'CF表（奥様死亡時）'!AY17/10000)</f>
        <v/>
      </c>
      <c r="AZ17" s="221">
        <f>IF('CF表（奥様死亡時）'!AZ$3="","",'CF表（奥様死亡時）'!AZ17/10000)</f>
        <v/>
      </c>
      <c r="BA17" s="221">
        <f>IF('CF表（奥様死亡時）'!BA$3="","",'CF表（奥様死亡時）'!BA17/10000)</f>
        <v/>
      </c>
      <c r="BB17" s="221">
        <f>IF('CF表（奥様死亡時）'!BB$3="","",'CF表（奥様死亡時）'!BB17/10000)</f>
        <v/>
      </c>
      <c r="BC17" s="221">
        <f>IF('CF表（奥様死亡時）'!BC$3="","",'CF表（奥様死亡時）'!BC17/10000)</f>
        <v/>
      </c>
      <c r="BD17" s="221">
        <f>IF('CF表（奥様死亡時）'!BD$3="","",'CF表（奥様死亡時）'!BD17/10000)</f>
        <v/>
      </c>
      <c r="BE17" s="221">
        <f>IF('CF表（奥様死亡時）'!BE$3="","",'CF表（奥様死亡時）'!BE17/10000)</f>
        <v/>
      </c>
      <c r="BF17" s="221">
        <f>IF('CF表（奥様死亡時）'!BF$3="","",'CF表（奥様死亡時）'!BF17/10000)</f>
        <v/>
      </c>
      <c r="BG17" s="221">
        <f>IF('CF表（奥様死亡時）'!BG$3="","",'CF表（奥様死亡時）'!BG17/10000)</f>
        <v/>
      </c>
      <c r="BH17" s="221">
        <f>IF('CF表（奥様死亡時）'!BH$3="","",'CF表（奥様死亡時）'!BH17/10000)</f>
        <v/>
      </c>
      <c r="BI17" s="221">
        <f>IF('CF表（奥様死亡時）'!BI$3="","",'CF表（奥様死亡時）'!BI17/10000)</f>
        <v/>
      </c>
      <c r="BJ17" s="221">
        <f>IF('CF表（奥様死亡時）'!BJ$3="","",'CF表（奥様死亡時）'!BJ17/10000)</f>
        <v/>
      </c>
      <c r="BK17" s="221">
        <f>IF('CF表（奥様死亡時）'!BK$3="","",'CF表（奥様死亡時）'!BK17/10000)</f>
        <v/>
      </c>
      <c r="BL17" s="221">
        <f>IF('CF表（奥様死亡時）'!BL$3="","",'CF表（奥様死亡時）'!BL17/10000)</f>
        <v/>
      </c>
      <c r="BM17" s="221">
        <f>IF('CF表（奥様死亡時）'!BM$3="","",'CF表（奥様死亡時）'!BM17/10000)</f>
        <v/>
      </c>
      <c r="BN17" s="221">
        <f>IF('CF表（奥様死亡時）'!BN$3="","",'CF表（奥様死亡時）'!BN17/10000)</f>
        <v/>
      </c>
      <c r="BO17" s="221">
        <f>IF('CF表（奥様死亡時）'!BO$3="","",'CF表（奥様死亡時）'!BO17/10000)</f>
        <v/>
      </c>
      <c r="BP17" s="221">
        <f>IF('CF表（奥様死亡時）'!BP$3="","",'CF表（奥様死亡時）'!BP17/10000)</f>
        <v/>
      </c>
      <c r="BQ17" s="221">
        <f>IF('CF表（奥様死亡時）'!BQ$3="","",'CF表（奥様死亡時）'!BQ17/10000)</f>
        <v/>
      </c>
      <c r="BR17" s="221">
        <f>IF('CF表（奥様死亡時）'!BR$3="","",'CF表（奥様死亡時）'!BR17/10000)</f>
        <v/>
      </c>
      <c r="BS17" s="221">
        <f>IF('CF表（奥様死亡時）'!BS$3="","",'CF表（奥様死亡時）'!BS17/10000)</f>
        <v/>
      </c>
      <c r="BT17" s="221">
        <f>IF('CF表（奥様死亡時）'!BT$3="","",'CF表（奥様死亡時）'!BT17/10000)</f>
        <v/>
      </c>
      <c r="BU17" s="221">
        <f>IF('CF表（奥様死亡時）'!BU$3="","",'CF表（奥様死亡時）'!BU17/10000)</f>
        <v/>
      </c>
      <c r="BV17" s="221">
        <f>IF('CF表（奥様死亡時）'!BV$3="","",'CF表（奥様死亡時）'!BV17/10000)</f>
        <v/>
      </c>
      <c r="BW17" s="221">
        <f>IF('CF表（奥様死亡時）'!BW$3="","",'CF表（奥様死亡時）'!BW17/10000)</f>
        <v/>
      </c>
      <c r="BX17" s="221">
        <f>IF('CF表（奥様死亡時）'!BX$3="","",'CF表（奥様死亡時）'!BX17/10000)</f>
        <v/>
      </c>
      <c r="BY17" s="221">
        <f>IF('CF表（奥様死亡時）'!BY$3="","",'CF表（奥様死亡時）'!BY17/10000)</f>
        <v/>
      </c>
      <c r="BZ17" s="221">
        <f>IF('CF表（奥様死亡時）'!BZ$3="","",'CF表（奥様死亡時）'!BZ17/10000)</f>
        <v/>
      </c>
      <c r="CA17" s="221">
        <f>IF('CF表（奥様死亡時）'!CA$3="","",'CF表（奥様死亡時）'!CA17/10000)</f>
        <v/>
      </c>
      <c r="CB17" s="221">
        <f>IF('CF表（奥様死亡時）'!CB$3="","",'CF表（奥様死亡時）'!CB17/10000)</f>
        <v/>
      </c>
      <c r="CC17" s="221">
        <f>IF('CF表（奥様死亡時）'!CC$3="","",'CF表（奥様死亡時）'!CC17/10000)</f>
        <v/>
      </c>
      <c r="CD17" s="221">
        <f>IF('CF表（奥様死亡時）'!CD$3="","",'CF表（奥様死亡時）'!CD17/10000)</f>
        <v/>
      </c>
      <c r="CE17" s="221">
        <f>IF('CF表（奥様死亡時）'!CE$3="","",'CF表（奥様死亡時）'!CE17/10000)</f>
        <v/>
      </c>
      <c r="CF17" s="221">
        <f>IF('CF表（奥様死亡時）'!CF$3="","",'CF表（奥様死亡時）'!CF17/10000)</f>
        <v/>
      </c>
      <c r="CG17" s="221">
        <f>IF('CF表（奥様死亡時）'!CG$3="","",'CF表（奥様死亡時）'!CG17/10000)</f>
        <v/>
      </c>
      <c r="CH17" s="221">
        <f>IF('CF表（奥様死亡時）'!CH$3="","",'CF表（奥様死亡時）'!CH17/10000)</f>
        <v/>
      </c>
      <c r="CI17" s="221">
        <f>IF('CF表（奥様死亡時）'!CI$3="","",'CF表（奥様死亡時）'!CI17/10000)</f>
        <v/>
      </c>
      <c r="CJ17" s="221">
        <f>IF('CF表（奥様死亡時）'!CJ$3="","",'CF表（奥様死亡時）'!CJ17/10000)</f>
        <v/>
      </c>
      <c r="CK17" s="221">
        <f>IF('CF表（奥様死亡時）'!CK$3="","",'CF表（奥様死亡時）'!CK17/10000)</f>
        <v/>
      </c>
      <c r="CL17" s="221">
        <f>IF('CF表（奥様死亡時）'!CL$3="","",'CF表（奥様死亡時）'!CL17/10000)</f>
        <v/>
      </c>
      <c r="CM17" s="221">
        <f>IF('CF表（奥様死亡時）'!CM$3="","",'CF表（奥様死亡時）'!CM17/10000)</f>
        <v/>
      </c>
      <c r="CN17" s="221">
        <f>IF('CF表（奥様死亡時）'!CN$3="","",'CF表（奥様死亡時）'!CN17/10000)</f>
        <v/>
      </c>
      <c r="CO17" s="221">
        <f>IF('CF表（奥様死亡時）'!CO$3="","",'CF表（奥様死亡時）'!CO17/10000)</f>
        <v/>
      </c>
      <c r="CP17" s="221">
        <f>IF('CF表（奥様死亡時）'!CP$3="","",'CF表（奥様死亡時）'!CP17/10000)</f>
        <v/>
      </c>
      <c r="CQ17" s="221">
        <f>IF('CF表（奥様死亡時）'!CQ$3="","",'CF表（奥様死亡時）'!CQ17/10000)</f>
        <v/>
      </c>
      <c r="CR17" s="221">
        <f>IF('CF表（奥様死亡時）'!CR$3="","",'CF表（奥様死亡時）'!CR17/10000)</f>
        <v/>
      </c>
      <c r="CS17" s="221">
        <f>IF('CF表（奥様死亡時）'!CS$3="","",'CF表（奥様死亡時）'!CS17/10000)</f>
        <v/>
      </c>
      <c r="CT17" s="221">
        <f>IF('CF表（奥様死亡時）'!CT$3="","",'CF表（奥様死亡時）'!CT17/10000)</f>
        <v/>
      </c>
      <c r="CU17" s="221">
        <f>IF('CF表（奥様死亡時）'!CU$3="","",'CF表（奥様死亡時）'!CU17/10000)</f>
        <v/>
      </c>
      <c r="CV17" s="221">
        <f>IF('CF表（奥様死亡時）'!CV$3="","",'CF表（奥様死亡時）'!CV17/10000)</f>
        <v/>
      </c>
      <c r="CW17" s="221">
        <f>IF('CF表（奥様死亡時）'!CW$3="","",'CF表（奥様死亡時）'!CW17/10000)</f>
        <v/>
      </c>
    </row>
    <row r="18" ht="15" customHeight="1" s="180">
      <c r="A18" s="222" t="inlineStr">
        <is>
          <t>世帯収入合計</t>
        </is>
      </c>
      <c r="B18" s="223">
        <f>IF('CF表（奥様死亡時）'!B$3="","",'CF表（奥様死亡時）'!B18/10000)</f>
        <v/>
      </c>
      <c r="C18" s="223">
        <f>IF('CF表（奥様死亡時）'!C$3="","",'CF表（奥様死亡時）'!C18/10000)</f>
        <v/>
      </c>
      <c r="D18" s="223">
        <f>IF('CF表（奥様死亡時）'!D$3="","",'CF表（奥様死亡時）'!D18/10000)</f>
        <v/>
      </c>
      <c r="E18" s="223">
        <f>IF('CF表（奥様死亡時）'!E$3="","",'CF表（奥様死亡時）'!E18/10000)</f>
        <v/>
      </c>
      <c r="F18" s="223">
        <f>IF('CF表（奥様死亡時）'!F$3="","",'CF表（奥様死亡時）'!F18/10000)</f>
        <v/>
      </c>
      <c r="G18" s="223">
        <f>IF('CF表（奥様死亡時）'!G$3="","",'CF表（奥様死亡時）'!G18/10000)</f>
        <v/>
      </c>
      <c r="H18" s="223">
        <f>IF('CF表（奥様死亡時）'!H$3="","",'CF表（奥様死亡時）'!H18/10000)</f>
        <v/>
      </c>
      <c r="I18" s="223">
        <f>IF('CF表（奥様死亡時）'!I$3="","",'CF表（奥様死亡時）'!I18/10000)</f>
        <v/>
      </c>
      <c r="J18" s="223">
        <f>IF('CF表（奥様死亡時）'!J$3="","",'CF表（奥様死亡時）'!J18/10000)</f>
        <v/>
      </c>
      <c r="K18" s="223">
        <f>IF('CF表（奥様死亡時）'!K$3="","",'CF表（奥様死亡時）'!K18/10000)</f>
        <v/>
      </c>
      <c r="L18" s="223">
        <f>IF('CF表（奥様死亡時）'!L$3="","",'CF表（奥様死亡時）'!L18/10000)</f>
        <v/>
      </c>
      <c r="M18" s="223">
        <f>IF('CF表（奥様死亡時）'!M$3="","",'CF表（奥様死亡時）'!M18/10000)</f>
        <v/>
      </c>
      <c r="N18" s="223">
        <f>IF('CF表（奥様死亡時）'!N$3="","",'CF表（奥様死亡時）'!N18/10000)</f>
        <v/>
      </c>
      <c r="O18" s="223">
        <f>IF('CF表（奥様死亡時）'!O$3="","",'CF表（奥様死亡時）'!O18/10000)</f>
        <v/>
      </c>
      <c r="P18" s="223">
        <f>IF('CF表（奥様死亡時）'!P$3="","",'CF表（奥様死亡時）'!P18/10000)</f>
        <v/>
      </c>
      <c r="Q18" s="223">
        <f>IF('CF表（奥様死亡時）'!Q$3="","",'CF表（奥様死亡時）'!Q18/10000)</f>
        <v/>
      </c>
      <c r="R18" s="223">
        <f>IF('CF表（奥様死亡時）'!R$3="","",'CF表（奥様死亡時）'!R18/10000)</f>
        <v/>
      </c>
      <c r="S18" s="223">
        <f>IF('CF表（奥様死亡時）'!S$3="","",'CF表（奥様死亡時）'!S18/10000)</f>
        <v/>
      </c>
      <c r="T18" s="223">
        <f>IF('CF表（奥様死亡時）'!T$3="","",'CF表（奥様死亡時）'!T18/10000)</f>
        <v/>
      </c>
      <c r="U18" s="223">
        <f>IF('CF表（奥様死亡時）'!U$3="","",'CF表（奥様死亡時）'!U18/10000)</f>
        <v/>
      </c>
      <c r="V18" s="223">
        <f>IF('CF表（奥様死亡時）'!V$3="","",'CF表（奥様死亡時）'!V18/10000)</f>
        <v/>
      </c>
      <c r="W18" s="223">
        <f>IF('CF表（奥様死亡時）'!W$3="","",'CF表（奥様死亡時）'!W18/10000)</f>
        <v/>
      </c>
      <c r="X18" s="223">
        <f>IF('CF表（奥様死亡時）'!X$3="","",'CF表（奥様死亡時）'!X18/10000)</f>
        <v/>
      </c>
      <c r="Y18" s="223">
        <f>IF('CF表（奥様死亡時）'!Y$3="","",'CF表（奥様死亡時）'!Y18/10000)</f>
        <v/>
      </c>
      <c r="Z18" s="223">
        <f>IF('CF表（奥様死亡時）'!Z$3="","",'CF表（奥様死亡時）'!Z18/10000)</f>
        <v/>
      </c>
      <c r="AA18" s="223">
        <f>IF('CF表（奥様死亡時）'!AA$3="","",'CF表（奥様死亡時）'!AA18/10000)</f>
        <v/>
      </c>
      <c r="AB18" s="223">
        <f>IF('CF表（奥様死亡時）'!AB$3="","",'CF表（奥様死亡時）'!AB18/10000)</f>
        <v/>
      </c>
      <c r="AC18" s="223">
        <f>IF('CF表（奥様死亡時）'!AC$3="","",'CF表（奥様死亡時）'!AC18/10000)</f>
        <v/>
      </c>
      <c r="AD18" s="223">
        <f>IF('CF表（奥様死亡時）'!AD$3="","",'CF表（奥様死亡時）'!AD18/10000)</f>
        <v/>
      </c>
      <c r="AE18" s="223">
        <f>IF('CF表（奥様死亡時）'!AE$3="","",'CF表（奥様死亡時）'!AE18/10000)</f>
        <v/>
      </c>
      <c r="AF18" s="223">
        <f>IF('CF表（奥様死亡時）'!AF$3="","",'CF表（奥様死亡時）'!AF18/10000)</f>
        <v/>
      </c>
      <c r="AG18" s="223">
        <f>IF('CF表（奥様死亡時）'!AG$3="","",'CF表（奥様死亡時）'!AG18/10000)</f>
        <v/>
      </c>
      <c r="AH18" s="223">
        <f>IF('CF表（奥様死亡時）'!AH$3="","",'CF表（奥様死亡時）'!AH18/10000)</f>
        <v/>
      </c>
      <c r="AI18" s="223">
        <f>IF('CF表（奥様死亡時）'!AI$3="","",'CF表（奥様死亡時）'!AI18/10000)</f>
        <v/>
      </c>
      <c r="AJ18" s="223">
        <f>IF('CF表（奥様死亡時）'!AJ$3="","",'CF表（奥様死亡時）'!AJ18/10000)</f>
        <v/>
      </c>
      <c r="AK18" s="223">
        <f>IF('CF表（奥様死亡時）'!AK$3="","",'CF表（奥様死亡時）'!AK18/10000)</f>
        <v/>
      </c>
      <c r="AL18" s="223">
        <f>IF('CF表（奥様死亡時）'!AL$3="","",'CF表（奥様死亡時）'!AL18/10000)</f>
        <v/>
      </c>
      <c r="AM18" s="223">
        <f>IF('CF表（奥様死亡時）'!AM$3="","",'CF表（奥様死亡時）'!AM18/10000)</f>
        <v/>
      </c>
      <c r="AN18" s="223">
        <f>IF('CF表（奥様死亡時）'!AN$3="","",'CF表（奥様死亡時）'!AN18/10000)</f>
        <v/>
      </c>
      <c r="AO18" s="223">
        <f>IF('CF表（奥様死亡時）'!AO$3="","",'CF表（奥様死亡時）'!AO18/10000)</f>
        <v/>
      </c>
      <c r="AP18" s="223">
        <f>IF('CF表（奥様死亡時）'!AP$3="","",'CF表（奥様死亡時）'!AP18/10000)</f>
        <v/>
      </c>
      <c r="AQ18" s="223">
        <f>IF('CF表（奥様死亡時）'!AQ$3="","",'CF表（奥様死亡時）'!AQ18/10000)</f>
        <v/>
      </c>
      <c r="AR18" s="223">
        <f>IF('CF表（奥様死亡時）'!AR$3="","",'CF表（奥様死亡時）'!AR18/10000)</f>
        <v/>
      </c>
      <c r="AS18" s="223">
        <f>IF('CF表（奥様死亡時）'!AS$3="","",'CF表（奥様死亡時）'!AS18/10000)</f>
        <v/>
      </c>
      <c r="AT18" s="223">
        <f>IF('CF表（奥様死亡時）'!AT$3="","",'CF表（奥様死亡時）'!AT18/10000)</f>
        <v/>
      </c>
      <c r="AU18" s="223">
        <f>IF('CF表（奥様死亡時）'!AU$3="","",'CF表（奥様死亡時）'!AU18/10000)</f>
        <v/>
      </c>
      <c r="AV18" s="223">
        <f>IF('CF表（奥様死亡時）'!AV$3="","",'CF表（奥様死亡時）'!AV18/10000)</f>
        <v/>
      </c>
      <c r="AW18" s="223">
        <f>IF('CF表（奥様死亡時）'!AW$3="","",'CF表（奥様死亡時）'!AW18/10000)</f>
        <v/>
      </c>
      <c r="AX18" s="223">
        <f>IF('CF表（奥様死亡時）'!AX$3="","",'CF表（奥様死亡時）'!AX18/10000)</f>
        <v/>
      </c>
      <c r="AY18" s="223">
        <f>IF('CF表（奥様死亡時）'!AY$3="","",'CF表（奥様死亡時）'!AY18/10000)</f>
        <v/>
      </c>
      <c r="AZ18" s="223">
        <f>IF('CF表（奥様死亡時）'!AZ$3="","",'CF表（奥様死亡時）'!AZ18/10000)</f>
        <v/>
      </c>
      <c r="BA18" s="223">
        <f>IF('CF表（奥様死亡時）'!BA$3="","",'CF表（奥様死亡時）'!BA18/10000)</f>
        <v/>
      </c>
      <c r="BB18" s="223">
        <f>IF('CF表（奥様死亡時）'!BB$3="","",'CF表（奥様死亡時）'!BB18/10000)</f>
        <v/>
      </c>
      <c r="BC18" s="223">
        <f>IF('CF表（奥様死亡時）'!BC$3="","",'CF表（奥様死亡時）'!BC18/10000)</f>
        <v/>
      </c>
      <c r="BD18" s="223">
        <f>IF('CF表（奥様死亡時）'!BD$3="","",'CF表（奥様死亡時）'!BD18/10000)</f>
        <v/>
      </c>
      <c r="BE18" s="223">
        <f>IF('CF表（奥様死亡時）'!BE$3="","",'CF表（奥様死亡時）'!BE18/10000)</f>
        <v/>
      </c>
      <c r="BF18" s="223">
        <f>IF('CF表（奥様死亡時）'!BF$3="","",'CF表（奥様死亡時）'!BF18/10000)</f>
        <v/>
      </c>
      <c r="BG18" s="223">
        <f>IF('CF表（奥様死亡時）'!BG$3="","",'CF表（奥様死亡時）'!BG18/10000)</f>
        <v/>
      </c>
      <c r="BH18" s="223">
        <f>IF('CF表（奥様死亡時）'!BH$3="","",'CF表（奥様死亡時）'!BH18/10000)</f>
        <v/>
      </c>
      <c r="BI18" s="223">
        <f>IF('CF表（奥様死亡時）'!BI$3="","",'CF表（奥様死亡時）'!BI18/10000)</f>
        <v/>
      </c>
      <c r="BJ18" s="223">
        <f>IF('CF表（奥様死亡時）'!BJ$3="","",'CF表（奥様死亡時）'!BJ18/10000)</f>
        <v/>
      </c>
      <c r="BK18" s="223">
        <f>IF('CF表（奥様死亡時）'!BK$3="","",'CF表（奥様死亡時）'!BK18/10000)</f>
        <v/>
      </c>
      <c r="BL18" s="223">
        <f>IF('CF表（奥様死亡時）'!BL$3="","",'CF表（奥様死亡時）'!BL18/10000)</f>
        <v/>
      </c>
      <c r="BM18" s="223">
        <f>IF('CF表（奥様死亡時）'!BM$3="","",'CF表（奥様死亡時）'!BM18/10000)</f>
        <v/>
      </c>
      <c r="BN18" s="223">
        <f>IF('CF表（奥様死亡時）'!BN$3="","",'CF表（奥様死亡時）'!BN18/10000)</f>
        <v/>
      </c>
      <c r="BO18" s="223">
        <f>IF('CF表（奥様死亡時）'!BO$3="","",'CF表（奥様死亡時）'!BO18/10000)</f>
        <v/>
      </c>
      <c r="BP18" s="223">
        <f>IF('CF表（奥様死亡時）'!BP$3="","",'CF表（奥様死亡時）'!BP18/10000)</f>
        <v/>
      </c>
      <c r="BQ18" s="223">
        <f>IF('CF表（奥様死亡時）'!BQ$3="","",'CF表（奥様死亡時）'!BQ18/10000)</f>
        <v/>
      </c>
      <c r="BR18" s="223">
        <f>IF('CF表（奥様死亡時）'!BR$3="","",'CF表（奥様死亡時）'!BR18/10000)</f>
        <v/>
      </c>
      <c r="BS18" s="223">
        <f>IF('CF表（奥様死亡時）'!BS$3="","",'CF表（奥様死亡時）'!BS18/10000)</f>
        <v/>
      </c>
      <c r="BT18" s="223">
        <f>IF('CF表（奥様死亡時）'!BT$3="","",'CF表（奥様死亡時）'!BT18/10000)</f>
        <v/>
      </c>
      <c r="BU18" s="223">
        <f>IF('CF表（奥様死亡時）'!BU$3="","",'CF表（奥様死亡時）'!BU18/10000)</f>
        <v/>
      </c>
      <c r="BV18" s="223">
        <f>IF('CF表（奥様死亡時）'!BV$3="","",'CF表（奥様死亡時）'!BV18/10000)</f>
        <v/>
      </c>
      <c r="BW18" s="223">
        <f>IF('CF表（奥様死亡時）'!BW$3="","",'CF表（奥様死亡時）'!BW18/10000)</f>
        <v/>
      </c>
      <c r="BX18" s="223">
        <f>IF('CF表（奥様死亡時）'!BX$3="","",'CF表（奥様死亡時）'!BX18/10000)</f>
        <v/>
      </c>
      <c r="BY18" s="223">
        <f>IF('CF表（奥様死亡時）'!BY$3="","",'CF表（奥様死亡時）'!BY18/10000)</f>
        <v/>
      </c>
      <c r="BZ18" s="223">
        <f>IF('CF表（奥様死亡時）'!BZ$3="","",'CF表（奥様死亡時）'!BZ18/10000)</f>
        <v/>
      </c>
      <c r="CA18" s="223">
        <f>IF('CF表（奥様死亡時）'!CA$3="","",'CF表（奥様死亡時）'!CA18/10000)</f>
        <v/>
      </c>
      <c r="CB18" s="223">
        <f>IF('CF表（奥様死亡時）'!CB$3="","",'CF表（奥様死亡時）'!CB18/10000)</f>
        <v/>
      </c>
      <c r="CC18" s="223">
        <f>IF('CF表（奥様死亡時）'!CC$3="","",'CF表（奥様死亡時）'!CC18/10000)</f>
        <v/>
      </c>
      <c r="CD18" s="223">
        <f>IF('CF表（奥様死亡時）'!CD$3="","",'CF表（奥様死亡時）'!CD18/10000)</f>
        <v/>
      </c>
      <c r="CE18" s="223">
        <f>IF('CF表（奥様死亡時）'!CE$3="","",'CF表（奥様死亡時）'!CE18/10000)</f>
        <v/>
      </c>
      <c r="CF18" s="223">
        <f>IF('CF表（奥様死亡時）'!CF$3="","",'CF表（奥様死亡時）'!CF18/10000)</f>
        <v/>
      </c>
      <c r="CG18" s="223">
        <f>IF('CF表（奥様死亡時）'!CG$3="","",'CF表（奥様死亡時）'!CG18/10000)</f>
        <v/>
      </c>
      <c r="CH18" s="223">
        <f>IF('CF表（奥様死亡時）'!CH$3="","",'CF表（奥様死亡時）'!CH18/10000)</f>
        <v/>
      </c>
      <c r="CI18" s="223">
        <f>IF('CF表（奥様死亡時）'!CI$3="","",'CF表（奥様死亡時）'!CI18/10000)</f>
        <v/>
      </c>
      <c r="CJ18" s="223">
        <f>IF('CF表（奥様死亡時）'!CJ$3="","",'CF表（奥様死亡時）'!CJ18/10000)</f>
        <v/>
      </c>
      <c r="CK18" s="223">
        <f>IF('CF表（奥様死亡時）'!CK$3="","",'CF表（奥様死亡時）'!CK18/10000)</f>
        <v/>
      </c>
      <c r="CL18" s="223">
        <f>IF('CF表（奥様死亡時）'!CL$3="","",'CF表（奥様死亡時）'!CL18/10000)</f>
        <v/>
      </c>
      <c r="CM18" s="223">
        <f>IF('CF表（奥様死亡時）'!CM$3="","",'CF表（奥様死亡時）'!CM18/10000)</f>
        <v/>
      </c>
      <c r="CN18" s="223">
        <f>IF('CF表（奥様死亡時）'!CN$3="","",'CF表（奥様死亡時）'!CN18/10000)</f>
        <v/>
      </c>
      <c r="CO18" s="223">
        <f>IF('CF表（奥様死亡時）'!CO$3="","",'CF表（奥様死亡時）'!CO18/10000)</f>
        <v/>
      </c>
      <c r="CP18" s="223">
        <f>IF('CF表（奥様死亡時）'!CP$3="","",'CF表（奥様死亡時）'!CP18/10000)</f>
        <v/>
      </c>
      <c r="CQ18" s="223">
        <f>IF('CF表（奥様死亡時）'!CQ$3="","",'CF表（奥様死亡時）'!CQ18/10000)</f>
        <v/>
      </c>
      <c r="CR18" s="223">
        <f>IF('CF表（奥様死亡時）'!CR$3="","",'CF表（奥様死亡時）'!CR18/10000)</f>
        <v/>
      </c>
      <c r="CS18" s="223">
        <f>IF('CF表（奥様死亡時）'!CS$3="","",'CF表（奥様死亡時）'!CS18/10000)</f>
        <v/>
      </c>
      <c r="CT18" s="223">
        <f>IF('CF表（奥様死亡時）'!CT$3="","",'CF表（奥様死亡時）'!CT18/10000)</f>
        <v/>
      </c>
      <c r="CU18" s="223">
        <f>IF('CF表（奥様死亡時）'!CU$3="","",'CF表（奥様死亡時）'!CU18/10000)</f>
        <v/>
      </c>
      <c r="CV18" s="223">
        <f>IF('CF表（奥様死亡時）'!CV$3="","",'CF表（奥様死亡時）'!CV18/10000)</f>
        <v/>
      </c>
      <c r="CW18" s="223">
        <f>IF('CF表（奥様死亡時）'!CW$3="","",'CF表（奥様死亡時）'!CW18/10000)</f>
        <v/>
      </c>
    </row>
    <row r="19" ht="15" customHeight="1" s="180">
      <c r="A19" s="205" t="inlineStr">
        <is>
          <t>収入</t>
        </is>
      </c>
      <c r="B19" s="219" t="n"/>
      <c r="C19" s="219" t="n"/>
      <c r="D19" s="219" t="n"/>
      <c r="E19" s="219" t="n"/>
      <c r="F19" s="219" t="n"/>
      <c r="G19" s="219" t="n"/>
      <c r="H19" s="219" t="n"/>
      <c r="I19" s="219" t="n"/>
      <c r="J19" s="219" t="n"/>
      <c r="K19" s="219" t="n"/>
      <c r="L19" s="219" t="n"/>
      <c r="M19" s="219" t="n"/>
      <c r="N19" s="219" t="n"/>
      <c r="O19" s="219" t="n"/>
      <c r="P19" s="219" t="n"/>
      <c r="Q19" s="219" t="n"/>
      <c r="R19" s="219" t="n"/>
      <c r="S19" s="219" t="n"/>
      <c r="T19" s="219" t="n"/>
      <c r="U19" s="219" t="n"/>
      <c r="V19" s="219" t="n"/>
      <c r="W19" s="219" t="n"/>
      <c r="X19" s="219" t="n"/>
      <c r="Y19" s="219" t="n"/>
      <c r="Z19" s="219" t="n"/>
      <c r="AA19" s="219" t="n"/>
      <c r="AB19" s="219" t="n"/>
      <c r="AC19" s="219" t="n"/>
      <c r="AD19" s="219" t="n"/>
      <c r="AE19" s="219" t="n"/>
      <c r="AF19" s="219" t="n"/>
      <c r="AG19" s="219" t="n"/>
      <c r="AH19" s="219" t="n"/>
      <c r="AI19" s="219" t="n"/>
      <c r="AJ19" s="219" t="n"/>
      <c r="AK19" s="219" t="n"/>
      <c r="AL19" s="219" t="n"/>
      <c r="AM19" s="219" t="n"/>
      <c r="AN19" s="219" t="n"/>
      <c r="AO19" s="219" t="n"/>
      <c r="AP19" s="219" t="n"/>
      <c r="AQ19" s="219" t="n"/>
      <c r="AR19" s="219" t="n"/>
      <c r="AS19" s="219" t="n"/>
      <c r="AT19" s="219" t="n"/>
      <c r="AU19" s="219" t="n"/>
      <c r="AV19" s="219" t="n"/>
      <c r="AW19" s="219" t="n"/>
      <c r="AX19" s="219" t="n"/>
      <c r="AY19" s="219" t="n"/>
      <c r="AZ19" s="219" t="n"/>
      <c r="BA19" s="219" t="n"/>
      <c r="BB19" s="219" t="n"/>
      <c r="BC19" s="219" t="n"/>
      <c r="BD19" s="219" t="n"/>
      <c r="BE19" s="219" t="n"/>
      <c r="BF19" s="219" t="n"/>
      <c r="BG19" s="219" t="n"/>
      <c r="BH19" s="219" t="n"/>
      <c r="BI19" s="219" t="n"/>
      <c r="BJ19" s="219" t="n"/>
      <c r="BK19" s="219" t="n"/>
      <c r="BL19" s="219" t="n"/>
      <c r="BM19" s="219" t="n"/>
      <c r="BN19" s="219" t="n"/>
      <c r="BO19" s="219" t="n"/>
      <c r="BP19" s="219" t="n"/>
      <c r="BQ19" s="219" t="n"/>
      <c r="BR19" s="219" t="n"/>
      <c r="BS19" s="219" t="n"/>
      <c r="BT19" s="219" t="n"/>
      <c r="BU19" s="219" t="n"/>
      <c r="BV19" s="219" t="n"/>
      <c r="BW19" s="219" t="n"/>
      <c r="BX19" s="219" t="n"/>
      <c r="BY19" s="219" t="n"/>
      <c r="BZ19" s="219" t="n"/>
      <c r="CA19" s="219" t="n"/>
      <c r="CB19" s="219" t="n"/>
      <c r="CC19" s="219" t="n"/>
      <c r="CD19" s="219" t="n"/>
      <c r="CE19" s="219" t="n"/>
      <c r="CF19" s="219" t="n"/>
      <c r="CG19" s="219" t="n"/>
      <c r="CH19" s="219" t="n"/>
      <c r="CI19" s="219" t="n"/>
      <c r="CJ19" s="219" t="n"/>
      <c r="CK19" s="219" t="n"/>
      <c r="CL19" s="219" t="n"/>
      <c r="CM19" s="219" t="n"/>
      <c r="CN19" s="219" t="n"/>
      <c r="CO19" s="219" t="n"/>
      <c r="CP19" s="219" t="n"/>
      <c r="CQ19" s="219" t="n"/>
      <c r="CR19" s="219" t="n"/>
      <c r="CS19" s="219" t="n"/>
      <c r="CT19" s="219" t="n"/>
      <c r="CU19" s="219" t="n"/>
      <c r="CV19" s="219" t="n"/>
      <c r="CW19" s="219" t="n"/>
    </row>
    <row r="20" ht="15" customHeight="1" s="180">
      <c r="A20" s="224" t="inlineStr">
        <is>
          <t>基本生活費</t>
        </is>
      </c>
      <c r="B20" s="225">
        <f>IF('CF表（奥様死亡時）'!B$3="","",'CF表（奥様死亡時）'!B20/10000)</f>
        <v/>
      </c>
      <c r="C20" s="225">
        <f>IF('CF表（奥様死亡時）'!C$3="","",'CF表（奥様死亡時）'!C20/10000)</f>
        <v/>
      </c>
      <c r="D20" s="225">
        <f>IF('CF表（奥様死亡時）'!D$3="","",'CF表（奥様死亡時）'!D20/10000)</f>
        <v/>
      </c>
      <c r="E20" s="225">
        <f>IF('CF表（奥様死亡時）'!E$3="","",'CF表（奥様死亡時）'!E20/10000)</f>
        <v/>
      </c>
      <c r="F20" s="225">
        <f>IF('CF表（奥様死亡時）'!F$3="","",'CF表（奥様死亡時）'!F20/10000)</f>
        <v/>
      </c>
      <c r="G20" s="225">
        <f>IF('CF表（奥様死亡時）'!G$3="","",'CF表（奥様死亡時）'!G20/10000)</f>
        <v/>
      </c>
      <c r="H20" s="225">
        <f>IF('CF表（奥様死亡時）'!H$3="","",'CF表（奥様死亡時）'!H20/10000)</f>
        <v/>
      </c>
      <c r="I20" s="225">
        <f>IF('CF表（奥様死亡時）'!I$3="","",'CF表（奥様死亡時）'!I20/10000)</f>
        <v/>
      </c>
      <c r="J20" s="225">
        <f>IF('CF表（奥様死亡時）'!J$3="","",'CF表（奥様死亡時）'!J20/10000)</f>
        <v/>
      </c>
      <c r="K20" s="225">
        <f>IF('CF表（奥様死亡時）'!K$3="","",'CF表（奥様死亡時）'!K20/10000)</f>
        <v/>
      </c>
      <c r="L20" s="225">
        <f>IF('CF表（奥様死亡時）'!L$3="","",'CF表（奥様死亡時）'!L20/10000)</f>
        <v/>
      </c>
      <c r="M20" s="225">
        <f>IF('CF表（奥様死亡時）'!M$3="","",'CF表（奥様死亡時）'!M20/10000)</f>
        <v/>
      </c>
      <c r="N20" s="225">
        <f>IF('CF表（奥様死亡時）'!N$3="","",'CF表（奥様死亡時）'!N20/10000)</f>
        <v/>
      </c>
      <c r="O20" s="225">
        <f>IF('CF表（奥様死亡時）'!O$3="","",'CF表（奥様死亡時）'!O20/10000)</f>
        <v/>
      </c>
      <c r="P20" s="225">
        <f>IF('CF表（奥様死亡時）'!P$3="","",'CF表（奥様死亡時）'!P20/10000)</f>
        <v/>
      </c>
      <c r="Q20" s="225">
        <f>IF('CF表（奥様死亡時）'!Q$3="","",'CF表（奥様死亡時）'!Q20/10000)</f>
        <v/>
      </c>
      <c r="R20" s="225">
        <f>IF('CF表（奥様死亡時）'!R$3="","",'CF表（奥様死亡時）'!R20/10000)</f>
        <v/>
      </c>
      <c r="S20" s="225">
        <f>IF('CF表（奥様死亡時）'!S$3="","",'CF表（奥様死亡時）'!S20/10000)</f>
        <v/>
      </c>
      <c r="T20" s="225">
        <f>IF('CF表（奥様死亡時）'!T$3="","",'CF表（奥様死亡時）'!T20/10000)</f>
        <v/>
      </c>
      <c r="U20" s="225">
        <f>IF('CF表（奥様死亡時）'!U$3="","",'CF表（奥様死亡時）'!U20/10000)</f>
        <v/>
      </c>
      <c r="V20" s="225">
        <f>IF('CF表（奥様死亡時）'!V$3="","",'CF表（奥様死亡時）'!V20/10000)</f>
        <v/>
      </c>
      <c r="W20" s="225">
        <f>IF('CF表（奥様死亡時）'!W$3="","",'CF表（奥様死亡時）'!W20/10000)</f>
        <v/>
      </c>
      <c r="X20" s="225">
        <f>IF('CF表（奥様死亡時）'!X$3="","",'CF表（奥様死亡時）'!X20/10000)</f>
        <v/>
      </c>
      <c r="Y20" s="225">
        <f>IF('CF表（奥様死亡時）'!Y$3="","",'CF表（奥様死亡時）'!Y20/10000)</f>
        <v/>
      </c>
      <c r="Z20" s="225">
        <f>IF('CF表（奥様死亡時）'!Z$3="","",'CF表（奥様死亡時）'!Z20/10000)</f>
        <v/>
      </c>
      <c r="AA20" s="225">
        <f>IF('CF表（奥様死亡時）'!AA$3="","",'CF表（奥様死亡時）'!AA20/10000)</f>
        <v/>
      </c>
      <c r="AB20" s="225">
        <f>IF('CF表（奥様死亡時）'!AB$3="","",'CF表（奥様死亡時）'!AB20/10000)</f>
        <v/>
      </c>
      <c r="AC20" s="225">
        <f>IF('CF表（奥様死亡時）'!AC$3="","",'CF表（奥様死亡時）'!AC20/10000)</f>
        <v/>
      </c>
      <c r="AD20" s="225">
        <f>IF('CF表（奥様死亡時）'!AD$3="","",'CF表（奥様死亡時）'!AD20/10000)</f>
        <v/>
      </c>
      <c r="AE20" s="225">
        <f>IF('CF表（奥様死亡時）'!AE$3="","",'CF表（奥様死亡時）'!AE20/10000)</f>
        <v/>
      </c>
      <c r="AF20" s="225">
        <f>IF('CF表（奥様死亡時）'!AF$3="","",'CF表（奥様死亡時）'!AF20/10000)</f>
        <v/>
      </c>
      <c r="AG20" s="225">
        <f>IF('CF表（奥様死亡時）'!AG$3="","",'CF表（奥様死亡時）'!AG20/10000)</f>
        <v/>
      </c>
      <c r="AH20" s="225">
        <f>IF('CF表（奥様死亡時）'!AH$3="","",'CF表（奥様死亡時）'!AH20/10000)</f>
        <v/>
      </c>
      <c r="AI20" s="225">
        <f>IF('CF表（奥様死亡時）'!AI$3="","",'CF表（奥様死亡時）'!AI20/10000)</f>
        <v/>
      </c>
      <c r="AJ20" s="225">
        <f>IF('CF表（奥様死亡時）'!AJ$3="","",'CF表（奥様死亡時）'!AJ20/10000)</f>
        <v/>
      </c>
      <c r="AK20" s="225">
        <f>IF('CF表（奥様死亡時）'!AK$3="","",'CF表（奥様死亡時）'!AK20/10000)</f>
        <v/>
      </c>
      <c r="AL20" s="225">
        <f>IF('CF表（奥様死亡時）'!AL$3="","",'CF表（奥様死亡時）'!AL20/10000)</f>
        <v/>
      </c>
      <c r="AM20" s="225">
        <f>IF('CF表（奥様死亡時）'!AM$3="","",'CF表（奥様死亡時）'!AM20/10000)</f>
        <v/>
      </c>
      <c r="AN20" s="225">
        <f>IF('CF表（奥様死亡時）'!AN$3="","",'CF表（奥様死亡時）'!AN20/10000)</f>
        <v/>
      </c>
      <c r="AO20" s="225">
        <f>IF('CF表（奥様死亡時）'!AO$3="","",'CF表（奥様死亡時）'!AO20/10000)</f>
        <v/>
      </c>
      <c r="AP20" s="225">
        <f>IF('CF表（奥様死亡時）'!AP$3="","",'CF表（奥様死亡時）'!AP20/10000)</f>
        <v/>
      </c>
      <c r="AQ20" s="225">
        <f>IF('CF表（奥様死亡時）'!AQ$3="","",'CF表（奥様死亡時）'!AQ20/10000)</f>
        <v/>
      </c>
      <c r="AR20" s="225">
        <f>IF('CF表（奥様死亡時）'!AR$3="","",'CF表（奥様死亡時）'!AR20/10000)</f>
        <v/>
      </c>
      <c r="AS20" s="225">
        <f>IF('CF表（奥様死亡時）'!AS$3="","",'CF表（奥様死亡時）'!AS20/10000)</f>
        <v/>
      </c>
      <c r="AT20" s="225">
        <f>IF('CF表（奥様死亡時）'!AT$3="","",'CF表（奥様死亡時）'!AT20/10000)</f>
        <v/>
      </c>
      <c r="AU20" s="225">
        <f>IF('CF表（奥様死亡時）'!AU$3="","",'CF表（奥様死亡時）'!AU20/10000)</f>
        <v/>
      </c>
      <c r="AV20" s="225">
        <f>IF('CF表（奥様死亡時）'!AV$3="","",'CF表（奥様死亡時）'!AV20/10000)</f>
        <v/>
      </c>
      <c r="AW20" s="225">
        <f>IF('CF表（奥様死亡時）'!AW$3="","",'CF表（奥様死亡時）'!AW20/10000)</f>
        <v/>
      </c>
      <c r="AX20" s="225">
        <f>IF('CF表（奥様死亡時）'!AX$3="","",'CF表（奥様死亡時）'!AX20/10000)</f>
        <v/>
      </c>
      <c r="AY20" s="225">
        <f>IF('CF表（奥様死亡時）'!AY$3="","",'CF表（奥様死亡時）'!AY20/10000)</f>
        <v/>
      </c>
      <c r="AZ20" s="225">
        <f>IF('CF表（奥様死亡時）'!AZ$3="","",'CF表（奥様死亡時）'!AZ20/10000)</f>
        <v/>
      </c>
      <c r="BA20" s="225">
        <f>IF('CF表（奥様死亡時）'!BA$3="","",'CF表（奥様死亡時）'!BA20/10000)</f>
        <v/>
      </c>
      <c r="BB20" s="225">
        <f>IF('CF表（奥様死亡時）'!BB$3="","",'CF表（奥様死亡時）'!BB20/10000)</f>
        <v/>
      </c>
      <c r="BC20" s="225">
        <f>IF('CF表（奥様死亡時）'!BC$3="","",'CF表（奥様死亡時）'!BC20/10000)</f>
        <v/>
      </c>
      <c r="BD20" s="225">
        <f>IF('CF表（奥様死亡時）'!BD$3="","",'CF表（奥様死亡時）'!BD20/10000)</f>
        <v/>
      </c>
      <c r="BE20" s="225">
        <f>IF('CF表（奥様死亡時）'!BE$3="","",'CF表（奥様死亡時）'!BE20/10000)</f>
        <v/>
      </c>
      <c r="BF20" s="225">
        <f>IF('CF表（奥様死亡時）'!BF$3="","",'CF表（奥様死亡時）'!BF20/10000)</f>
        <v/>
      </c>
      <c r="BG20" s="225">
        <f>IF('CF表（奥様死亡時）'!BG$3="","",'CF表（奥様死亡時）'!BG20/10000)</f>
        <v/>
      </c>
      <c r="BH20" s="225">
        <f>IF('CF表（奥様死亡時）'!BH$3="","",'CF表（奥様死亡時）'!BH20/10000)</f>
        <v/>
      </c>
      <c r="BI20" s="225">
        <f>IF('CF表（奥様死亡時）'!BI$3="","",'CF表（奥様死亡時）'!BI20/10000)</f>
        <v/>
      </c>
      <c r="BJ20" s="225">
        <f>IF('CF表（奥様死亡時）'!BJ$3="","",'CF表（奥様死亡時）'!BJ20/10000)</f>
        <v/>
      </c>
      <c r="BK20" s="225">
        <f>IF('CF表（奥様死亡時）'!BK$3="","",'CF表（奥様死亡時）'!BK20/10000)</f>
        <v/>
      </c>
      <c r="BL20" s="225">
        <f>IF('CF表（奥様死亡時）'!BL$3="","",'CF表（奥様死亡時）'!BL20/10000)</f>
        <v/>
      </c>
      <c r="BM20" s="225">
        <f>IF('CF表（奥様死亡時）'!BM$3="","",'CF表（奥様死亡時）'!BM20/10000)</f>
        <v/>
      </c>
      <c r="BN20" s="225">
        <f>IF('CF表（奥様死亡時）'!BN$3="","",'CF表（奥様死亡時）'!BN20/10000)</f>
        <v/>
      </c>
      <c r="BO20" s="225">
        <f>IF('CF表（奥様死亡時）'!BO$3="","",'CF表（奥様死亡時）'!BO20/10000)</f>
        <v/>
      </c>
      <c r="BP20" s="225">
        <f>IF('CF表（奥様死亡時）'!BP$3="","",'CF表（奥様死亡時）'!BP20/10000)</f>
        <v/>
      </c>
      <c r="BQ20" s="225">
        <f>IF('CF表（奥様死亡時）'!BQ$3="","",'CF表（奥様死亡時）'!BQ20/10000)</f>
        <v/>
      </c>
      <c r="BR20" s="225">
        <f>IF('CF表（奥様死亡時）'!BR$3="","",'CF表（奥様死亡時）'!BR20/10000)</f>
        <v/>
      </c>
      <c r="BS20" s="225">
        <f>IF('CF表（奥様死亡時）'!BS$3="","",'CF表（奥様死亡時）'!BS20/10000)</f>
        <v/>
      </c>
      <c r="BT20" s="225">
        <f>IF('CF表（奥様死亡時）'!BT$3="","",'CF表（奥様死亡時）'!BT20/10000)</f>
        <v/>
      </c>
      <c r="BU20" s="225">
        <f>IF('CF表（奥様死亡時）'!BU$3="","",'CF表（奥様死亡時）'!BU20/10000)</f>
        <v/>
      </c>
      <c r="BV20" s="225">
        <f>IF('CF表（奥様死亡時）'!BV$3="","",'CF表（奥様死亡時）'!BV20/10000)</f>
        <v/>
      </c>
      <c r="BW20" s="225">
        <f>IF('CF表（奥様死亡時）'!BW$3="","",'CF表（奥様死亡時）'!BW20/10000)</f>
        <v/>
      </c>
      <c r="BX20" s="225">
        <f>IF('CF表（奥様死亡時）'!BX$3="","",'CF表（奥様死亡時）'!BX20/10000)</f>
        <v/>
      </c>
      <c r="BY20" s="225">
        <f>IF('CF表（奥様死亡時）'!BY$3="","",'CF表（奥様死亡時）'!BY20/10000)</f>
        <v/>
      </c>
      <c r="BZ20" s="225">
        <f>IF('CF表（奥様死亡時）'!BZ$3="","",'CF表（奥様死亡時）'!BZ20/10000)</f>
        <v/>
      </c>
      <c r="CA20" s="225">
        <f>IF('CF表（奥様死亡時）'!CA$3="","",'CF表（奥様死亡時）'!CA20/10000)</f>
        <v/>
      </c>
      <c r="CB20" s="225">
        <f>IF('CF表（奥様死亡時）'!CB$3="","",'CF表（奥様死亡時）'!CB20/10000)</f>
        <v/>
      </c>
      <c r="CC20" s="225">
        <f>IF('CF表（奥様死亡時）'!CC$3="","",'CF表（奥様死亡時）'!CC20/10000)</f>
        <v/>
      </c>
      <c r="CD20" s="225">
        <f>IF('CF表（奥様死亡時）'!CD$3="","",'CF表（奥様死亡時）'!CD20/10000)</f>
        <v/>
      </c>
      <c r="CE20" s="225">
        <f>IF('CF表（奥様死亡時）'!CE$3="","",'CF表（奥様死亡時）'!CE20/10000)</f>
        <v/>
      </c>
      <c r="CF20" s="225">
        <f>IF('CF表（奥様死亡時）'!CF$3="","",'CF表（奥様死亡時）'!CF20/10000)</f>
        <v/>
      </c>
      <c r="CG20" s="225">
        <f>IF('CF表（奥様死亡時）'!CG$3="","",'CF表（奥様死亡時）'!CG20/10000)</f>
        <v/>
      </c>
      <c r="CH20" s="225">
        <f>IF('CF表（奥様死亡時）'!CH$3="","",'CF表（奥様死亡時）'!CH20/10000)</f>
        <v/>
      </c>
      <c r="CI20" s="225">
        <f>IF('CF表（奥様死亡時）'!CI$3="","",'CF表（奥様死亡時）'!CI20/10000)</f>
        <v/>
      </c>
      <c r="CJ20" s="225">
        <f>IF('CF表（奥様死亡時）'!CJ$3="","",'CF表（奥様死亡時）'!CJ20/10000)</f>
        <v/>
      </c>
      <c r="CK20" s="225">
        <f>IF('CF表（奥様死亡時）'!CK$3="","",'CF表（奥様死亡時）'!CK20/10000)</f>
        <v/>
      </c>
      <c r="CL20" s="225">
        <f>IF('CF表（奥様死亡時）'!CL$3="","",'CF表（奥様死亡時）'!CL20/10000)</f>
        <v/>
      </c>
      <c r="CM20" s="225">
        <f>IF('CF表（奥様死亡時）'!CM$3="","",'CF表（奥様死亡時）'!CM20/10000)</f>
        <v/>
      </c>
      <c r="CN20" s="225">
        <f>IF('CF表（奥様死亡時）'!CN$3="","",'CF表（奥様死亡時）'!CN20/10000)</f>
        <v/>
      </c>
      <c r="CO20" s="225">
        <f>IF('CF表（奥様死亡時）'!CO$3="","",'CF表（奥様死亡時）'!CO20/10000)</f>
        <v/>
      </c>
      <c r="CP20" s="225">
        <f>IF('CF表（奥様死亡時）'!CP$3="","",'CF表（奥様死亡時）'!CP20/10000)</f>
        <v/>
      </c>
      <c r="CQ20" s="225">
        <f>IF('CF表（奥様死亡時）'!CQ$3="","",'CF表（奥様死亡時）'!CQ20/10000)</f>
        <v/>
      </c>
      <c r="CR20" s="225">
        <f>IF('CF表（奥様死亡時）'!CR$3="","",'CF表（奥様死亡時）'!CR20/10000)</f>
        <v/>
      </c>
      <c r="CS20" s="225">
        <f>IF('CF表（奥様死亡時）'!CS$3="","",'CF表（奥様死亡時）'!CS20/10000)</f>
        <v/>
      </c>
      <c r="CT20" s="225">
        <f>IF('CF表（奥様死亡時）'!CT$3="","",'CF表（奥様死亡時）'!CT20/10000)</f>
        <v/>
      </c>
      <c r="CU20" s="225">
        <f>IF('CF表（奥様死亡時）'!CU$3="","",'CF表（奥様死亡時）'!CU20/10000)</f>
        <v/>
      </c>
      <c r="CV20" s="225">
        <f>IF('CF表（奥様死亡時）'!CV$3="","",'CF表（奥様死亡時）'!CV20/10000)</f>
        <v/>
      </c>
      <c r="CW20" s="225">
        <f>IF('CF表（奥様死亡時）'!CW$3="","",'CF表（奥様死亡時）'!CW20/10000)</f>
        <v/>
      </c>
    </row>
    <row r="21" ht="15" customHeight="1" s="180">
      <c r="A21" s="224" t="inlineStr">
        <is>
          <t>住居費</t>
        </is>
      </c>
      <c r="B21" s="225">
        <f>IF('CF表（奥様死亡時）'!B$3="","",'CF表（奥様死亡時）'!B21/10000)</f>
        <v/>
      </c>
      <c r="C21" s="225">
        <f>IF('CF表（奥様死亡時）'!C$3="","",'CF表（奥様死亡時）'!C21/10000)</f>
        <v/>
      </c>
      <c r="D21" s="225">
        <f>IF('CF表（奥様死亡時）'!D$3="","",'CF表（奥様死亡時）'!D21/10000)</f>
        <v/>
      </c>
      <c r="E21" s="225">
        <f>IF('CF表（奥様死亡時）'!E$3="","",'CF表（奥様死亡時）'!E21/10000)</f>
        <v/>
      </c>
      <c r="F21" s="225">
        <f>IF('CF表（奥様死亡時）'!F$3="","",'CF表（奥様死亡時）'!F21/10000)</f>
        <v/>
      </c>
      <c r="G21" s="225">
        <f>IF('CF表（奥様死亡時）'!G$3="","",'CF表（奥様死亡時）'!G21/10000)</f>
        <v/>
      </c>
      <c r="H21" s="225">
        <f>IF('CF表（奥様死亡時）'!H$3="","",'CF表（奥様死亡時）'!H21/10000)</f>
        <v/>
      </c>
      <c r="I21" s="225">
        <f>IF('CF表（奥様死亡時）'!I$3="","",'CF表（奥様死亡時）'!I21/10000)</f>
        <v/>
      </c>
      <c r="J21" s="225">
        <f>IF('CF表（奥様死亡時）'!J$3="","",'CF表（奥様死亡時）'!J21/10000)</f>
        <v/>
      </c>
      <c r="K21" s="225">
        <f>IF('CF表（奥様死亡時）'!K$3="","",'CF表（奥様死亡時）'!K21/10000)</f>
        <v/>
      </c>
      <c r="L21" s="225">
        <f>IF('CF表（奥様死亡時）'!L$3="","",'CF表（奥様死亡時）'!L21/10000)</f>
        <v/>
      </c>
      <c r="M21" s="225">
        <f>IF('CF表（奥様死亡時）'!M$3="","",'CF表（奥様死亡時）'!M21/10000)</f>
        <v/>
      </c>
      <c r="N21" s="225">
        <f>IF('CF表（奥様死亡時）'!N$3="","",'CF表（奥様死亡時）'!N21/10000)</f>
        <v/>
      </c>
      <c r="O21" s="225">
        <f>IF('CF表（奥様死亡時）'!O$3="","",'CF表（奥様死亡時）'!O21/10000)</f>
        <v/>
      </c>
      <c r="P21" s="225">
        <f>IF('CF表（奥様死亡時）'!P$3="","",'CF表（奥様死亡時）'!P21/10000)</f>
        <v/>
      </c>
      <c r="Q21" s="225">
        <f>IF('CF表（奥様死亡時）'!Q$3="","",'CF表（奥様死亡時）'!Q21/10000)</f>
        <v/>
      </c>
      <c r="R21" s="225">
        <f>IF('CF表（奥様死亡時）'!R$3="","",'CF表（奥様死亡時）'!R21/10000)</f>
        <v/>
      </c>
      <c r="S21" s="225">
        <f>IF('CF表（奥様死亡時）'!S$3="","",'CF表（奥様死亡時）'!S21/10000)</f>
        <v/>
      </c>
      <c r="T21" s="225">
        <f>IF('CF表（奥様死亡時）'!T$3="","",'CF表（奥様死亡時）'!T21/10000)</f>
        <v/>
      </c>
      <c r="U21" s="225">
        <f>IF('CF表（奥様死亡時）'!U$3="","",'CF表（奥様死亡時）'!U21/10000)</f>
        <v/>
      </c>
      <c r="V21" s="225">
        <f>IF('CF表（奥様死亡時）'!V$3="","",'CF表（奥様死亡時）'!V21/10000)</f>
        <v/>
      </c>
      <c r="W21" s="225">
        <f>IF('CF表（奥様死亡時）'!W$3="","",'CF表（奥様死亡時）'!W21/10000)</f>
        <v/>
      </c>
      <c r="X21" s="225">
        <f>IF('CF表（奥様死亡時）'!X$3="","",'CF表（奥様死亡時）'!X21/10000)</f>
        <v/>
      </c>
      <c r="Y21" s="225">
        <f>IF('CF表（奥様死亡時）'!Y$3="","",'CF表（奥様死亡時）'!Y21/10000)</f>
        <v/>
      </c>
      <c r="Z21" s="225">
        <f>IF('CF表（奥様死亡時）'!Z$3="","",'CF表（奥様死亡時）'!Z21/10000)</f>
        <v/>
      </c>
      <c r="AA21" s="225">
        <f>IF('CF表（奥様死亡時）'!AA$3="","",'CF表（奥様死亡時）'!AA21/10000)</f>
        <v/>
      </c>
      <c r="AB21" s="225">
        <f>IF('CF表（奥様死亡時）'!AB$3="","",'CF表（奥様死亡時）'!AB21/10000)</f>
        <v/>
      </c>
      <c r="AC21" s="225">
        <f>IF('CF表（奥様死亡時）'!AC$3="","",'CF表（奥様死亡時）'!AC21/10000)</f>
        <v/>
      </c>
      <c r="AD21" s="225">
        <f>IF('CF表（奥様死亡時）'!AD$3="","",'CF表（奥様死亡時）'!AD21/10000)</f>
        <v/>
      </c>
      <c r="AE21" s="225">
        <f>IF('CF表（奥様死亡時）'!AE$3="","",'CF表（奥様死亡時）'!AE21/10000)</f>
        <v/>
      </c>
      <c r="AF21" s="225">
        <f>IF('CF表（奥様死亡時）'!AF$3="","",'CF表（奥様死亡時）'!AF21/10000)</f>
        <v/>
      </c>
      <c r="AG21" s="225">
        <f>IF('CF表（奥様死亡時）'!AG$3="","",'CF表（奥様死亡時）'!AG21/10000)</f>
        <v/>
      </c>
      <c r="AH21" s="225">
        <f>IF('CF表（奥様死亡時）'!AH$3="","",'CF表（奥様死亡時）'!AH21/10000)</f>
        <v/>
      </c>
      <c r="AI21" s="225">
        <f>IF('CF表（奥様死亡時）'!AI$3="","",'CF表（奥様死亡時）'!AI21/10000)</f>
        <v/>
      </c>
      <c r="AJ21" s="225">
        <f>IF('CF表（奥様死亡時）'!AJ$3="","",'CF表（奥様死亡時）'!AJ21/10000)</f>
        <v/>
      </c>
      <c r="AK21" s="225">
        <f>IF('CF表（奥様死亡時）'!AK$3="","",'CF表（奥様死亡時）'!AK21/10000)</f>
        <v/>
      </c>
      <c r="AL21" s="225">
        <f>IF('CF表（奥様死亡時）'!AL$3="","",'CF表（奥様死亡時）'!AL21/10000)</f>
        <v/>
      </c>
      <c r="AM21" s="225">
        <f>IF('CF表（奥様死亡時）'!AM$3="","",'CF表（奥様死亡時）'!AM21/10000)</f>
        <v/>
      </c>
      <c r="AN21" s="225">
        <f>IF('CF表（奥様死亡時）'!AN$3="","",'CF表（奥様死亡時）'!AN21/10000)</f>
        <v/>
      </c>
      <c r="AO21" s="225">
        <f>IF('CF表（奥様死亡時）'!AO$3="","",'CF表（奥様死亡時）'!AO21/10000)</f>
        <v/>
      </c>
      <c r="AP21" s="225">
        <f>IF('CF表（奥様死亡時）'!AP$3="","",'CF表（奥様死亡時）'!AP21/10000)</f>
        <v/>
      </c>
      <c r="AQ21" s="225">
        <f>IF('CF表（奥様死亡時）'!AQ$3="","",'CF表（奥様死亡時）'!AQ21/10000)</f>
        <v/>
      </c>
      <c r="AR21" s="225">
        <f>IF('CF表（奥様死亡時）'!AR$3="","",'CF表（奥様死亡時）'!AR21/10000)</f>
        <v/>
      </c>
      <c r="AS21" s="225">
        <f>IF('CF表（奥様死亡時）'!AS$3="","",'CF表（奥様死亡時）'!AS21/10000)</f>
        <v/>
      </c>
      <c r="AT21" s="225">
        <f>IF('CF表（奥様死亡時）'!AT$3="","",'CF表（奥様死亡時）'!AT21/10000)</f>
        <v/>
      </c>
      <c r="AU21" s="225">
        <f>IF('CF表（奥様死亡時）'!AU$3="","",'CF表（奥様死亡時）'!AU21/10000)</f>
        <v/>
      </c>
      <c r="AV21" s="225">
        <f>IF('CF表（奥様死亡時）'!AV$3="","",'CF表（奥様死亡時）'!AV21/10000)</f>
        <v/>
      </c>
      <c r="AW21" s="225">
        <f>IF('CF表（奥様死亡時）'!AW$3="","",'CF表（奥様死亡時）'!AW21/10000)</f>
        <v/>
      </c>
      <c r="AX21" s="225">
        <f>IF('CF表（奥様死亡時）'!AX$3="","",'CF表（奥様死亡時）'!AX21/10000)</f>
        <v/>
      </c>
      <c r="AY21" s="225">
        <f>IF('CF表（奥様死亡時）'!AY$3="","",'CF表（奥様死亡時）'!AY21/10000)</f>
        <v/>
      </c>
      <c r="AZ21" s="225">
        <f>IF('CF表（奥様死亡時）'!AZ$3="","",'CF表（奥様死亡時）'!AZ21/10000)</f>
        <v/>
      </c>
      <c r="BA21" s="225">
        <f>IF('CF表（奥様死亡時）'!BA$3="","",'CF表（奥様死亡時）'!BA21/10000)</f>
        <v/>
      </c>
      <c r="BB21" s="225">
        <f>IF('CF表（奥様死亡時）'!BB$3="","",'CF表（奥様死亡時）'!BB21/10000)</f>
        <v/>
      </c>
      <c r="BC21" s="225">
        <f>IF('CF表（奥様死亡時）'!BC$3="","",'CF表（奥様死亡時）'!BC21/10000)</f>
        <v/>
      </c>
      <c r="BD21" s="225">
        <f>IF('CF表（奥様死亡時）'!BD$3="","",'CF表（奥様死亡時）'!BD21/10000)</f>
        <v/>
      </c>
      <c r="BE21" s="225">
        <f>IF('CF表（奥様死亡時）'!BE$3="","",'CF表（奥様死亡時）'!BE21/10000)</f>
        <v/>
      </c>
      <c r="BF21" s="225">
        <f>IF('CF表（奥様死亡時）'!BF$3="","",'CF表（奥様死亡時）'!BF21/10000)</f>
        <v/>
      </c>
      <c r="BG21" s="225">
        <f>IF('CF表（奥様死亡時）'!BG$3="","",'CF表（奥様死亡時）'!BG21/10000)</f>
        <v/>
      </c>
      <c r="BH21" s="225">
        <f>IF('CF表（奥様死亡時）'!BH$3="","",'CF表（奥様死亡時）'!BH21/10000)</f>
        <v/>
      </c>
      <c r="BI21" s="225">
        <f>IF('CF表（奥様死亡時）'!BI$3="","",'CF表（奥様死亡時）'!BI21/10000)</f>
        <v/>
      </c>
      <c r="BJ21" s="225">
        <f>IF('CF表（奥様死亡時）'!BJ$3="","",'CF表（奥様死亡時）'!BJ21/10000)</f>
        <v/>
      </c>
      <c r="BK21" s="225">
        <f>IF('CF表（奥様死亡時）'!BK$3="","",'CF表（奥様死亡時）'!BK21/10000)</f>
        <v/>
      </c>
      <c r="BL21" s="225">
        <f>IF('CF表（奥様死亡時）'!BL$3="","",'CF表（奥様死亡時）'!BL21/10000)</f>
        <v/>
      </c>
      <c r="BM21" s="225">
        <f>IF('CF表（奥様死亡時）'!BM$3="","",'CF表（奥様死亡時）'!BM21/10000)</f>
        <v/>
      </c>
      <c r="BN21" s="225">
        <f>IF('CF表（奥様死亡時）'!BN$3="","",'CF表（奥様死亡時）'!BN21/10000)</f>
        <v/>
      </c>
      <c r="BO21" s="225">
        <f>IF('CF表（奥様死亡時）'!BO$3="","",'CF表（奥様死亡時）'!BO21/10000)</f>
        <v/>
      </c>
      <c r="BP21" s="225">
        <f>IF('CF表（奥様死亡時）'!BP$3="","",'CF表（奥様死亡時）'!BP21/10000)</f>
        <v/>
      </c>
      <c r="BQ21" s="225">
        <f>IF('CF表（奥様死亡時）'!BQ$3="","",'CF表（奥様死亡時）'!BQ21/10000)</f>
        <v/>
      </c>
      <c r="BR21" s="225">
        <f>IF('CF表（奥様死亡時）'!BR$3="","",'CF表（奥様死亡時）'!BR21/10000)</f>
        <v/>
      </c>
      <c r="BS21" s="225">
        <f>IF('CF表（奥様死亡時）'!BS$3="","",'CF表（奥様死亡時）'!BS21/10000)</f>
        <v/>
      </c>
      <c r="BT21" s="225">
        <f>IF('CF表（奥様死亡時）'!BT$3="","",'CF表（奥様死亡時）'!BT21/10000)</f>
        <v/>
      </c>
      <c r="BU21" s="225">
        <f>IF('CF表（奥様死亡時）'!BU$3="","",'CF表（奥様死亡時）'!BU21/10000)</f>
        <v/>
      </c>
      <c r="BV21" s="225">
        <f>IF('CF表（奥様死亡時）'!BV$3="","",'CF表（奥様死亡時）'!BV21/10000)</f>
        <v/>
      </c>
      <c r="BW21" s="225">
        <f>IF('CF表（奥様死亡時）'!BW$3="","",'CF表（奥様死亡時）'!BW21/10000)</f>
        <v/>
      </c>
      <c r="BX21" s="225">
        <f>IF('CF表（奥様死亡時）'!BX$3="","",'CF表（奥様死亡時）'!BX21/10000)</f>
        <v/>
      </c>
      <c r="BY21" s="225">
        <f>IF('CF表（奥様死亡時）'!BY$3="","",'CF表（奥様死亡時）'!BY21/10000)</f>
        <v/>
      </c>
      <c r="BZ21" s="225">
        <f>IF('CF表（奥様死亡時）'!BZ$3="","",'CF表（奥様死亡時）'!BZ21/10000)</f>
        <v/>
      </c>
      <c r="CA21" s="225">
        <f>IF('CF表（奥様死亡時）'!CA$3="","",'CF表（奥様死亡時）'!CA21/10000)</f>
        <v/>
      </c>
      <c r="CB21" s="225">
        <f>IF('CF表（奥様死亡時）'!CB$3="","",'CF表（奥様死亡時）'!CB21/10000)</f>
        <v/>
      </c>
      <c r="CC21" s="225">
        <f>IF('CF表（奥様死亡時）'!CC$3="","",'CF表（奥様死亡時）'!CC21/10000)</f>
        <v/>
      </c>
      <c r="CD21" s="225">
        <f>IF('CF表（奥様死亡時）'!CD$3="","",'CF表（奥様死亡時）'!CD21/10000)</f>
        <v/>
      </c>
      <c r="CE21" s="225">
        <f>IF('CF表（奥様死亡時）'!CE$3="","",'CF表（奥様死亡時）'!CE21/10000)</f>
        <v/>
      </c>
      <c r="CF21" s="225">
        <f>IF('CF表（奥様死亡時）'!CF$3="","",'CF表（奥様死亡時）'!CF21/10000)</f>
        <v/>
      </c>
      <c r="CG21" s="225">
        <f>IF('CF表（奥様死亡時）'!CG$3="","",'CF表（奥様死亡時）'!CG21/10000)</f>
        <v/>
      </c>
      <c r="CH21" s="225">
        <f>IF('CF表（奥様死亡時）'!CH$3="","",'CF表（奥様死亡時）'!CH21/10000)</f>
        <v/>
      </c>
      <c r="CI21" s="225">
        <f>IF('CF表（奥様死亡時）'!CI$3="","",'CF表（奥様死亡時）'!CI21/10000)</f>
        <v/>
      </c>
      <c r="CJ21" s="225">
        <f>IF('CF表（奥様死亡時）'!CJ$3="","",'CF表（奥様死亡時）'!CJ21/10000)</f>
        <v/>
      </c>
      <c r="CK21" s="225">
        <f>IF('CF表（奥様死亡時）'!CK$3="","",'CF表（奥様死亡時）'!CK21/10000)</f>
        <v/>
      </c>
      <c r="CL21" s="225">
        <f>IF('CF表（奥様死亡時）'!CL$3="","",'CF表（奥様死亡時）'!CL21/10000)</f>
        <v/>
      </c>
      <c r="CM21" s="225">
        <f>IF('CF表（奥様死亡時）'!CM$3="","",'CF表（奥様死亡時）'!CM21/10000)</f>
        <v/>
      </c>
      <c r="CN21" s="225">
        <f>IF('CF表（奥様死亡時）'!CN$3="","",'CF表（奥様死亡時）'!CN21/10000)</f>
        <v/>
      </c>
      <c r="CO21" s="225">
        <f>IF('CF表（奥様死亡時）'!CO$3="","",'CF表（奥様死亡時）'!CO21/10000)</f>
        <v/>
      </c>
      <c r="CP21" s="225">
        <f>IF('CF表（奥様死亡時）'!CP$3="","",'CF表（奥様死亡時）'!CP21/10000)</f>
        <v/>
      </c>
      <c r="CQ21" s="225">
        <f>IF('CF表（奥様死亡時）'!CQ$3="","",'CF表（奥様死亡時）'!CQ21/10000)</f>
        <v/>
      </c>
      <c r="CR21" s="225">
        <f>IF('CF表（奥様死亡時）'!CR$3="","",'CF表（奥様死亡時）'!CR21/10000)</f>
        <v/>
      </c>
      <c r="CS21" s="225">
        <f>IF('CF表（奥様死亡時）'!CS$3="","",'CF表（奥様死亡時）'!CS21/10000)</f>
        <v/>
      </c>
      <c r="CT21" s="225">
        <f>IF('CF表（奥様死亡時）'!CT$3="","",'CF表（奥様死亡時）'!CT21/10000)</f>
        <v/>
      </c>
      <c r="CU21" s="225">
        <f>IF('CF表（奥様死亡時）'!CU$3="","",'CF表（奥様死亡時）'!CU21/10000)</f>
        <v/>
      </c>
      <c r="CV21" s="225">
        <f>IF('CF表（奥様死亡時）'!CV$3="","",'CF表（奥様死亡時）'!CV21/10000)</f>
        <v/>
      </c>
      <c r="CW21" s="225">
        <f>IF('CF表（奥様死亡時）'!CW$3="","",'CF表（奥様死亡時）'!CW21/10000)</f>
        <v/>
      </c>
    </row>
    <row r="22" ht="15" customHeight="1" s="180">
      <c r="A22" s="224" t="inlineStr">
        <is>
          <t>終身系保険料</t>
        </is>
      </c>
      <c r="B22" s="225">
        <f>IF('CF表（奥様死亡時）'!B$3="","",'CF表（奥様死亡時）'!B22/10000)</f>
        <v/>
      </c>
      <c r="C22" s="225">
        <f>IF('CF表（奥様死亡時）'!C$3="","",'CF表（奥様死亡時）'!C22/10000)</f>
        <v/>
      </c>
      <c r="D22" s="225">
        <f>IF('CF表（奥様死亡時）'!D$3="","",'CF表（奥様死亡時）'!D22/10000)</f>
        <v/>
      </c>
      <c r="E22" s="225">
        <f>IF('CF表（奥様死亡時）'!E$3="","",'CF表（奥様死亡時）'!E22/10000)</f>
        <v/>
      </c>
      <c r="F22" s="225">
        <f>IF('CF表（奥様死亡時）'!F$3="","",'CF表（奥様死亡時）'!F22/10000)</f>
        <v/>
      </c>
      <c r="G22" s="225">
        <f>IF('CF表（奥様死亡時）'!G$3="","",'CF表（奥様死亡時）'!G22/10000)</f>
        <v/>
      </c>
      <c r="H22" s="225">
        <f>IF('CF表（奥様死亡時）'!H$3="","",'CF表（奥様死亡時）'!H22/10000)</f>
        <v/>
      </c>
      <c r="I22" s="225">
        <f>IF('CF表（奥様死亡時）'!I$3="","",'CF表（奥様死亡時）'!I22/10000)</f>
        <v/>
      </c>
      <c r="J22" s="225">
        <f>IF('CF表（奥様死亡時）'!J$3="","",'CF表（奥様死亡時）'!J22/10000)</f>
        <v/>
      </c>
      <c r="K22" s="225">
        <f>IF('CF表（奥様死亡時）'!K$3="","",'CF表（奥様死亡時）'!K22/10000)</f>
        <v/>
      </c>
      <c r="L22" s="225">
        <f>IF('CF表（奥様死亡時）'!L$3="","",'CF表（奥様死亡時）'!L22/10000)</f>
        <v/>
      </c>
      <c r="M22" s="225">
        <f>IF('CF表（奥様死亡時）'!M$3="","",'CF表（奥様死亡時）'!M22/10000)</f>
        <v/>
      </c>
      <c r="N22" s="225">
        <f>IF('CF表（奥様死亡時）'!N$3="","",'CF表（奥様死亡時）'!N22/10000)</f>
        <v/>
      </c>
      <c r="O22" s="225">
        <f>IF('CF表（奥様死亡時）'!O$3="","",'CF表（奥様死亡時）'!O22/10000)</f>
        <v/>
      </c>
      <c r="P22" s="225">
        <f>IF('CF表（奥様死亡時）'!P$3="","",'CF表（奥様死亡時）'!P22/10000)</f>
        <v/>
      </c>
      <c r="Q22" s="225">
        <f>IF('CF表（奥様死亡時）'!Q$3="","",'CF表（奥様死亡時）'!Q22/10000)</f>
        <v/>
      </c>
      <c r="R22" s="225">
        <f>IF('CF表（奥様死亡時）'!R$3="","",'CF表（奥様死亡時）'!R22/10000)</f>
        <v/>
      </c>
      <c r="S22" s="225">
        <f>IF('CF表（奥様死亡時）'!S$3="","",'CF表（奥様死亡時）'!S22/10000)</f>
        <v/>
      </c>
      <c r="T22" s="225">
        <f>IF('CF表（奥様死亡時）'!T$3="","",'CF表（奥様死亡時）'!T22/10000)</f>
        <v/>
      </c>
      <c r="U22" s="225">
        <f>IF('CF表（奥様死亡時）'!U$3="","",'CF表（奥様死亡時）'!U22/10000)</f>
        <v/>
      </c>
      <c r="V22" s="225">
        <f>IF('CF表（奥様死亡時）'!V$3="","",'CF表（奥様死亡時）'!V22/10000)</f>
        <v/>
      </c>
      <c r="W22" s="225">
        <f>IF('CF表（奥様死亡時）'!W$3="","",'CF表（奥様死亡時）'!W22/10000)</f>
        <v/>
      </c>
      <c r="X22" s="225">
        <f>IF('CF表（奥様死亡時）'!X$3="","",'CF表（奥様死亡時）'!X22/10000)</f>
        <v/>
      </c>
      <c r="Y22" s="225">
        <f>IF('CF表（奥様死亡時）'!Y$3="","",'CF表（奥様死亡時）'!Y22/10000)</f>
        <v/>
      </c>
      <c r="Z22" s="225">
        <f>IF('CF表（奥様死亡時）'!Z$3="","",'CF表（奥様死亡時）'!Z22/10000)</f>
        <v/>
      </c>
      <c r="AA22" s="225">
        <f>IF('CF表（奥様死亡時）'!AA$3="","",'CF表（奥様死亡時）'!AA22/10000)</f>
        <v/>
      </c>
      <c r="AB22" s="225">
        <f>IF('CF表（奥様死亡時）'!AB$3="","",'CF表（奥様死亡時）'!AB22/10000)</f>
        <v/>
      </c>
      <c r="AC22" s="225">
        <f>IF('CF表（奥様死亡時）'!AC$3="","",'CF表（奥様死亡時）'!AC22/10000)</f>
        <v/>
      </c>
      <c r="AD22" s="225">
        <f>IF('CF表（奥様死亡時）'!AD$3="","",'CF表（奥様死亡時）'!AD22/10000)</f>
        <v/>
      </c>
      <c r="AE22" s="225">
        <f>IF('CF表（奥様死亡時）'!AE$3="","",'CF表（奥様死亡時）'!AE22/10000)</f>
        <v/>
      </c>
      <c r="AF22" s="225">
        <f>IF('CF表（奥様死亡時）'!AF$3="","",'CF表（奥様死亡時）'!AF22/10000)</f>
        <v/>
      </c>
      <c r="AG22" s="225">
        <f>IF('CF表（奥様死亡時）'!AG$3="","",'CF表（奥様死亡時）'!AG22/10000)</f>
        <v/>
      </c>
      <c r="AH22" s="225">
        <f>IF('CF表（奥様死亡時）'!AH$3="","",'CF表（奥様死亡時）'!AH22/10000)</f>
        <v/>
      </c>
      <c r="AI22" s="225">
        <f>IF('CF表（奥様死亡時）'!AI$3="","",'CF表（奥様死亡時）'!AI22/10000)</f>
        <v/>
      </c>
      <c r="AJ22" s="225">
        <f>IF('CF表（奥様死亡時）'!AJ$3="","",'CF表（奥様死亡時）'!AJ22/10000)</f>
        <v/>
      </c>
      <c r="AK22" s="225">
        <f>IF('CF表（奥様死亡時）'!AK$3="","",'CF表（奥様死亡時）'!AK22/10000)</f>
        <v/>
      </c>
      <c r="AL22" s="225">
        <f>IF('CF表（奥様死亡時）'!AL$3="","",'CF表（奥様死亡時）'!AL22/10000)</f>
        <v/>
      </c>
      <c r="AM22" s="225">
        <f>IF('CF表（奥様死亡時）'!AM$3="","",'CF表（奥様死亡時）'!AM22/10000)</f>
        <v/>
      </c>
      <c r="AN22" s="225">
        <f>IF('CF表（奥様死亡時）'!AN$3="","",'CF表（奥様死亡時）'!AN22/10000)</f>
        <v/>
      </c>
      <c r="AO22" s="225">
        <f>IF('CF表（奥様死亡時）'!AO$3="","",'CF表（奥様死亡時）'!AO22/10000)</f>
        <v/>
      </c>
      <c r="AP22" s="225">
        <f>IF('CF表（奥様死亡時）'!AP$3="","",'CF表（奥様死亡時）'!AP22/10000)</f>
        <v/>
      </c>
      <c r="AQ22" s="225">
        <f>IF('CF表（奥様死亡時）'!AQ$3="","",'CF表（奥様死亡時）'!AQ22/10000)</f>
        <v/>
      </c>
      <c r="AR22" s="225">
        <f>IF('CF表（奥様死亡時）'!AR$3="","",'CF表（奥様死亡時）'!AR22/10000)</f>
        <v/>
      </c>
      <c r="AS22" s="225">
        <f>IF('CF表（奥様死亡時）'!AS$3="","",'CF表（奥様死亡時）'!AS22/10000)</f>
        <v/>
      </c>
      <c r="AT22" s="225">
        <f>IF('CF表（奥様死亡時）'!AT$3="","",'CF表（奥様死亡時）'!AT22/10000)</f>
        <v/>
      </c>
      <c r="AU22" s="225">
        <f>IF('CF表（奥様死亡時）'!AU$3="","",'CF表（奥様死亡時）'!AU22/10000)</f>
        <v/>
      </c>
      <c r="AV22" s="225">
        <f>IF('CF表（奥様死亡時）'!AV$3="","",'CF表（奥様死亡時）'!AV22/10000)</f>
        <v/>
      </c>
      <c r="AW22" s="225">
        <f>IF('CF表（奥様死亡時）'!AW$3="","",'CF表（奥様死亡時）'!AW22/10000)</f>
        <v/>
      </c>
      <c r="AX22" s="225">
        <f>IF('CF表（奥様死亡時）'!AX$3="","",'CF表（奥様死亡時）'!AX22/10000)</f>
        <v/>
      </c>
      <c r="AY22" s="225">
        <f>IF('CF表（奥様死亡時）'!AY$3="","",'CF表（奥様死亡時）'!AY22/10000)</f>
        <v/>
      </c>
      <c r="AZ22" s="225">
        <f>IF('CF表（奥様死亡時）'!AZ$3="","",'CF表（奥様死亡時）'!AZ22/10000)</f>
        <v/>
      </c>
      <c r="BA22" s="225">
        <f>IF('CF表（奥様死亡時）'!BA$3="","",'CF表（奥様死亡時）'!BA22/10000)</f>
        <v/>
      </c>
      <c r="BB22" s="225">
        <f>IF('CF表（奥様死亡時）'!BB$3="","",'CF表（奥様死亡時）'!BB22/10000)</f>
        <v/>
      </c>
      <c r="BC22" s="225">
        <f>IF('CF表（奥様死亡時）'!BC$3="","",'CF表（奥様死亡時）'!BC22/10000)</f>
        <v/>
      </c>
      <c r="BD22" s="225">
        <f>IF('CF表（奥様死亡時）'!BD$3="","",'CF表（奥様死亡時）'!BD22/10000)</f>
        <v/>
      </c>
      <c r="BE22" s="225">
        <f>IF('CF表（奥様死亡時）'!BE$3="","",'CF表（奥様死亡時）'!BE22/10000)</f>
        <v/>
      </c>
      <c r="BF22" s="225">
        <f>IF('CF表（奥様死亡時）'!BF$3="","",'CF表（奥様死亡時）'!BF22/10000)</f>
        <v/>
      </c>
      <c r="BG22" s="225">
        <f>IF('CF表（奥様死亡時）'!BG$3="","",'CF表（奥様死亡時）'!BG22/10000)</f>
        <v/>
      </c>
      <c r="BH22" s="225">
        <f>IF('CF表（奥様死亡時）'!BH$3="","",'CF表（奥様死亡時）'!BH22/10000)</f>
        <v/>
      </c>
      <c r="BI22" s="225">
        <f>IF('CF表（奥様死亡時）'!BI$3="","",'CF表（奥様死亡時）'!BI22/10000)</f>
        <v/>
      </c>
      <c r="BJ22" s="225">
        <f>IF('CF表（奥様死亡時）'!BJ$3="","",'CF表（奥様死亡時）'!BJ22/10000)</f>
        <v/>
      </c>
      <c r="BK22" s="225">
        <f>IF('CF表（奥様死亡時）'!BK$3="","",'CF表（奥様死亡時）'!BK22/10000)</f>
        <v/>
      </c>
      <c r="BL22" s="225">
        <f>IF('CF表（奥様死亡時）'!BL$3="","",'CF表（奥様死亡時）'!BL22/10000)</f>
        <v/>
      </c>
      <c r="BM22" s="225">
        <f>IF('CF表（奥様死亡時）'!BM$3="","",'CF表（奥様死亡時）'!BM22/10000)</f>
        <v/>
      </c>
      <c r="BN22" s="225">
        <f>IF('CF表（奥様死亡時）'!BN$3="","",'CF表（奥様死亡時）'!BN22/10000)</f>
        <v/>
      </c>
      <c r="BO22" s="225">
        <f>IF('CF表（奥様死亡時）'!BO$3="","",'CF表（奥様死亡時）'!BO22/10000)</f>
        <v/>
      </c>
      <c r="BP22" s="225">
        <f>IF('CF表（奥様死亡時）'!BP$3="","",'CF表（奥様死亡時）'!BP22/10000)</f>
        <v/>
      </c>
      <c r="BQ22" s="225">
        <f>IF('CF表（奥様死亡時）'!BQ$3="","",'CF表（奥様死亡時）'!BQ22/10000)</f>
        <v/>
      </c>
      <c r="BR22" s="225">
        <f>IF('CF表（奥様死亡時）'!BR$3="","",'CF表（奥様死亡時）'!BR22/10000)</f>
        <v/>
      </c>
      <c r="BS22" s="225">
        <f>IF('CF表（奥様死亡時）'!BS$3="","",'CF表（奥様死亡時）'!BS22/10000)</f>
        <v/>
      </c>
      <c r="BT22" s="225">
        <f>IF('CF表（奥様死亡時）'!BT$3="","",'CF表（奥様死亡時）'!BT22/10000)</f>
        <v/>
      </c>
      <c r="BU22" s="225">
        <f>IF('CF表（奥様死亡時）'!BU$3="","",'CF表（奥様死亡時）'!BU22/10000)</f>
        <v/>
      </c>
      <c r="BV22" s="225">
        <f>IF('CF表（奥様死亡時）'!BV$3="","",'CF表（奥様死亡時）'!BV22/10000)</f>
        <v/>
      </c>
      <c r="BW22" s="225">
        <f>IF('CF表（奥様死亡時）'!BW$3="","",'CF表（奥様死亡時）'!BW22/10000)</f>
        <v/>
      </c>
      <c r="BX22" s="225">
        <f>IF('CF表（奥様死亡時）'!BX$3="","",'CF表（奥様死亡時）'!BX22/10000)</f>
        <v/>
      </c>
      <c r="BY22" s="225">
        <f>IF('CF表（奥様死亡時）'!BY$3="","",'CF表（奥様死亡時）'!BY22/10000)</f>
        <v/>
      </c>
      <c r="BZ22" s="225">
        <f>IF('CF表（奥様死亡時）'!BZ$3="","",'CF表（奥様死亡時）'!BZ22/10000)</f>
        <v/>
      </c>
      <c r="CA22" s="225">
        <f>IF('CF表（奥様死亡時）'!CA$3="","",'CF表（奥様死亡時）'!CA22/10000)</f>
        <v/>
      </c>
      <c r="CB22" s="225">
        <f>IF('CF表（奥様死亡時）'!CB$3="","",'CF表（奥様死亡時）'!CB22/10000)</f>
        <v/>
      </c>
      <c r="CC22" s="225">
        <f>IF('CF表（奥様死亡時）'!CC$3="","",'CF表（奥様死亡時）'!CC22/10000)</f>
        <v/>
      </c>
      <c r="CD22" s="225">
        <f>IF('CF表（奥様死亡時）'!CD$3="","",'CF表（奥様死亡時）'!CD22/10000)</f>
        <v/>
      </c>
      <c r="CE22" s="225">
        <f>IF('CF表（奥様死亡時）'!CE$3="","",'CF表（奥様死亡時）'!CE22/10000)</f>
        <v/>
      </c>
      <c r="CF22" s="225">
        <f>IF('CF表（奥様死亡時）'!CF$3="","",'CF表（奥様死亡時）'!CF22/10000)</f>
        <v/>
      </c>
      <c r="CG22" s="225">
        <f>IF('CF表（奥様死亡時）'!CG$3="","",'CF表（奥様死亡時）'!CG22/10000)</f>
        <v/>
      </c>
      <c r="CH22" s="225">
        <f>IF('CF表（奥様死亡時）'!CH$3="","",'CF表（奥様死亡時）'!CH22/10000)</f>
        <v/>
      </c>
      <c r="CI22" s="225">
        <f>IF('CF表（奥様死亡時）'!CI$3="","",'CF表（奥様死亡時）'!CI22/10000)</f>
        <v/>
      </c>
      <c r="CJ22" s="225">
        <f>IF('CF表（奥様死亡時）'!CJ$3="","",'CF表（奥様死亡時）'!CJ22/10000)</f>
        <v/>
      </c>
      <c r="CK22" s="225">
        <f>IF('CF表（奥様死亡時）'!CK$3="","",'CF表（奥様死亡時）'!CK22/10000)</f>
        <v/>
      </c>
      <c r="CL22" s="225">
        <f>IF('CF表（奥様死亡時）'!CL$3="","",'CF表（奥様死亡時）'!CL22/10000)</f>
        <v/>
      </c>
      <c r="CM22" s="225">
        <f>IF('CF表（奥様死亡時）'!CM$3="","",'CF表（奥様死亡時）'!CM22/10000)</f>
        <v/>
      </c>
      <c r="CN22" s="225">
        <f>IF('CF表（奥様死亡時）'!CN$3="","",'CF表（奥様死亡時）'!CN22/10000)</f>
        <v/>
      </c>
      <c r="CO22" s="225">
        <f>IF('CF表（奥様死亡時）'!CO$3="","",'CF表（奥様死亡時）'!CO22/10000)</f>
        <v/>
      </c>
      <c r="CP22" s="225">
        <f>IF('CF表（奥様死亡時）'!CP$3="","",'CF表（奥様死亡時）'!CP22/10000)</f>
        <v/>
      </c>
      <c r="CQ22" s="225">
        <f>IF('CF表（奥様死亡時）'!CQ$3="","",'CF表（奥様死亡時）'!CQ22/10000)</f>
        <v/>
      </c>
      <c r="CR22" s="225">
        <f>IF('CF表（奥様死亡時）'!CR$3="","",'CF表（奥様死亡時）'!CR22/10000)</f>
        <v/>
      </c>
      <c r="CS22" s="225">
        <f>IF('CF表（奥様死亡時）'!CS$3="","",'CF表（奥様死亡時）'!CS22/10000)</f>
        <v/>
      </c>
      <c r="CT22" s="225">
        <f>IF('CF表（奥様死亡時）'!CT$3="","",'CF表（奥様死亡時）'!CT22/10000)</f>
        <v/>
      </c>
      <c r="CU22" s="225">
        <f>IF('CF表（奥様死亡時）'!CU$3="","",'CF表（奥様死亡時）'!CU22/10000)</f>
        <v/>
      </c>
      <c r="CV22" s="225">
        <f>IF('CF表（奥様死亡時）'!CV$3="","",'CF表（奥様死亡時）'!CV22/10000)</f>
        <v/>
      </c>
      <c r="CW22" s="225">
        <f>IF('CF表（奥様死亡時）'!CW$3="","",'CF表（奥様死亡時）'!CW22/10000)</f>
        <v/>
      </c>
    </row>
    <row r="23" ht="15" customHeight="1" s="180">
      <c r="A23" s="224" t="inlineStr">
        <is>
          <t>定期系保険料</t>
        </is>
      </c>
      <c r="B23" s="225">
        <f>IF('CF表（奥様死亡時）'!B$3="","",'CF表（奥様死亡時）'!B23/10000)</f>
        <v/>
      </c>
      <c r="C23" s="225">
        <f>IF('CF表（奥様死亡時）'!C$3="","",'CF表（奥様死亡時）'!C23/10000)</f>
        <v/>
      </c>
      <c r="D23" s="225">
        <f>IF('CF表（奥様死亡時）'!D$3="","",'CF表（奥様死亡時）'!D23/10000)</f>
        <v/>
      </c>
      <c r="E23" s="225">
        <f>IF('CF表（奥様死亡時）'!E$3="","",'CF表（奥様死亡時）'!E23/10000)</f>
        <v/>
      </c>
      <c r="F23" s="225">
        <f>IF('CF表（奥様死亡時）'!F$3="","",'CF表（奥様死亡時）'!F23/10000)</f>
        <v/>
      </c>
      <c r="G23" s="225">
        <f>IF('CF表（奥様死亡時）'!G$3="","",'CF表（奥様死亡時）'!G23/10000)</f>
        <v/>
      </c>
      <c r="H23" s="225">
        <f>IF('CF表（奥様死亡時）'!H$3="","",'CF表（奥様死亡時）'!H23/10000)</f>
        <v/>
      </c>
      <c r="I23" s="225">
        <f>IF('CF表（奥様死亡時）'!I$3="","",'CF表（奥様死亡時）'!I23/10000)</f>
        <v/>
      </c>
      <c r="J23" s="225">
        <f>IF('CF表（奥様死亡時）'!J$3="","",'CF表（奥様死亡時）'!J23/10000)</f>
        <v/>
      </c>
      <c r="K23" s="225">
        <f>IF('CF表（奥様死亡時）'!K$3="","",'CF表（奥様死亡時）'!K23/10000)</f>
        <v/>
      </c>
      <c r="L23" s="225">
        <f>IF('CF表（奥様死亡時）'!L$3="","",'CF表（奥様死亡時）'!L23/10000)</f>
        <v/>
      </c>
      <c r="M23" s="225">
        <f>IF('CF表（奥様死亡時）'!M$3="","",'CF表（奥様死亡時）'!M23/10000)</f>
        <v/>
      </c>
      <c r="N23" s="225">
        <f>IF('CF表（奥様死亡時）'!N$3="","",'CF表（奥様死亡時）'!N23/10000)</f>
        <v/>
      </c>
      <c r="O23" s="225">
        <f>IF('CF表（奥様死亡時）'!O$3="","",'CF表（奥様死亡時）'!O23/10000)</f>
        <v/>
      </c>
      <c r="P23" s="225">
        <f>IF('CF表（奥様死亡時）'!P$3="","",'CF表（奥様死亡時）'!P23/10000)</f>
        <v/>
      </c>
      <c r="Q23" s="225">
        <f>IF('CF表（奥様死亡時）'!Q$3="","",'CF表（奥様死亡時）'!Q23/10000)</f>
        <v/>
      </c>
      <c r="R23" s="225">
        <f>IF('CF表（奥様死亡時）'!R$3="","",'CF表（奥様死亡時）'!R23/10000)</f>
        <v/>
      </c>
      <c r="S23" s="225">
        <f>IF('CF表（奥様死亡時）'!S$3="","",'CF表（奥様死亡時）'!S23/10000)</f>
        <v/>
      </c>
      <c r="T23" s="225">
        <f>IF('CF表（奥様死亡時）'!T$3="","",'CF表（奥様死亡時）'!T23/10000)</f>
        <v/>
      </c>
      <c r="U23" s="225">
        <f>IF('CF表（奥様死亡時）'!U$3="","",'CF表（奥様死亡時）'!U23/10000)</f>
        <v/>
      </c>
      <c r="V23" s="225">
        <f>IF('CF表（奥様死亡時）'!V$3="","",'CF表（奥様死亡時）'!V23/10000)</f>
        <v/>
      </c>
      <c r="W23" s="225">
        <f>IF('CF表（奥様死亡時）'!W$3="","",'CF表（奥様死亡時）'!W23/10000)</f>
        <v/>
      </c>
      <c r="X23" s="225">
        <f>IF('CF表（奥様死亡時）'!X$3="","",'CF表（奥様死亡時）'!X23/10000)</f>
        <v/>
      </c>
      <c r="Y23" s="225">
        <f>IF('CF表（奥様死亡時）'!Y$3="","",'CF表（奥様死亡時）'!Y23/10000)</f>
        <v/>
      </c>
      <c r="Z23" s="225">
        <f>IF('CF表（奥様死亡時）'!Z$3="","",'CF表（奥様死亡時）'!Z23/10000)</f>
        <v/>
      </c>
      <c r="AA23" s="225">
        <f>IF('CF表（奥様死亡時）'!AA$3="","",'CF表（奥様死亡時）'!AA23/10000)</f>
        <v/>
      </c>
      <c r="AB23" s="225">
        <f>IF('CF表（奥様死亡時）'!AB$3="","",'CF表（奥様死亡時）'!AB23/10000)</f>
        <v/>
      </c>
      <c r="AC23" s="225">
        <f>IF('CF表（奥様死亡時）'!AC$3="","",'CF表（奥様死亡時）'!AC23/10000)</f>
        <v/>
      </c>
      <c r="AD23" s="225">
        <f>IF('CF表（奥様死亡時）'!AD$3="","",'CF表（奥様死亡時）'!AD23/10000)</f>
        <v/>
      </c>
      <c r="AE23" s="225">
        <f>IF('CF表（奥様死亡時）'!AE$3="","",'CF表（奥様死亡時）'!AE23/10000)</f>
        <v/>
      </c>
      <c r="AF23" s="225">
        <f>IF('CF表（奥様死亡時）'!AF$3="","",'CF表（奥様死亡時）'!AF23/10000)</f>
        <v/>
      </c>
      <c r="AG23" s="225">
        <f>IF('CF表（奥様死亡時）'!AG$3="","",'CF表（奥様死亡時）'!AG23/10000)</f>
        <v/>
      </c>
      <c r="AH23" s="225">
        <f>IF('CF表（奥様死亡時）'!AH$3="","",'CF表（奥様死亡時）'!AH23/10000)</f>
        <v/>
      </c>
      <c r="AI23" s="225">
        <f>IF('CF表（奥様死亡時）'!AI$3="","",'CF表（奥様死亡時）'!AI23/10000)</f>
        <v/>
      </c>
      <c r="AJ23" s="225">
        <f>IF('CF表（奥様死亡時）'!AJ$3="","",'CF表（奥様死亡時）'!AJ23/10000)</f>
        <v/>
      </c>
      <c r="AK23" s="225">
        <f>IF('CF表（奥様死亡時）'!AK$3="","",'CF表（奥様死亡時）'!AK23/10000)</f>
        <v/>
      </c>
      <c r="AL23" s="225">
        <f>IF('CF表（奥様死亡時）'!AL$3="","",'CF表（奥様死亡時）'!AL23/10000)</f>
        <v/>
      </c>
      <c r="AM23" s="225">
        <f>IF('CF表（奥様死亡時）'!AM$3="","",'CF表（奥様死亡時）'!AM23/10000)</f>
        <v/>
      </c>
      <c r="AN23" s="225">
        <f>IF('CF表（奥様死亡時）'!AN$3="","",'CF表（奥様死亡時）'!AN23/10000)</f>
        <v/>
      </c>
      <c r="AO23" s="225">
        <f>IF('CF表（奥様死亡時）'!AO$3="","",'CF表（奥様死亡時）'!AO23/10000)</f>
        <v/>
      </c>
      <c r="AP23" s="225">
        <f>IF('CF表（奥様死亡時）'!AP$3="","",'CF表（奥様死亡時）'!AP23/10000)</f>
        <v/>
      </c>
      <c r="AQ23" s="225">
        <f>IF('CF表（奥様死亡時）'!AQ$3="","",'CF表（奥様死亡時）'!AQ23/10000)</f>
        <v/>
      </c>
      <c r="AR23" s="225">
        <f>IF('CF表（奥様死亡時）'!AR$3="","",'CF表（奥様死亡時）'!AR23/10000)</f>
        <v/>
      </c>
      <c r="AS23" s="225">
        <f>IF('CF表（奥様死亡時）'!AS$3="","",'CF表（奥様死亡時）'!AS23/10000)</f>
        <v/>
      </c>
      <c r="AT23" s="225">
        <f>IF('CF表（奥様死亡時）'!AT$3="","",'CF表（奥様死亡時）'!AT23/10000)</f>
        <v/>
      </c>
      <c r="AU23" s="225">
        <f>IF('CF表（奥様死亡時）'!AU$3="","",'CF表（奥様死亡時）'!AU23/10000)</f>
        <v/>
      </c>
      <c r="AV23" s="225">
        <f>IF('CF表（奥様死亡時）'!AV$3="","",'CF表（奥様死亡時）'!AV23/10000)</f>
        <v/>
      </c>
      <c r="AW23" s="225">
        <f>IF('CF表（奥様死亡時）'!AW$3="","",'CF表（奥様死亡時）'!AW23/10000)</f>
        <v/>
      </c>
      <c r="AX23" s="225">
        <f>IF('CF表（奥様死亡時）'!AX$3="","",'CF表（奥様死亡時）'!AX23/10000)</f>
        <v/>
      </c>
      <c r="AY23" s="225">
        <f>IF('CF表（奥様死亡時）'!AY$3="","",'CF表（奥様死亡時）'!AY23/10000)</f>
        <v/>
      </c>
      <c r="AZ23" s="225">
        <f>IF('CF表（奥様死亡時）'!AZ$3="","",'CF表（奥様死亡時）'!AZ23/10000)</f>
        <v/>
      </c>
      <c r="BA23" s="225">
        <f>IF('CF表（奥様死亡時）'!BA$3="","",'CF表（奥様死亡時）'!BA23/10000)</f>
        <v/>
      </c>
      <c r="BB23" s="225">
        <f>IF('CF表（奥様死亡時）'!BB$3="","",'CF表（奥様死亡時）'!BB23/10000)</f>
        <v/>
      </c>
      <c r="BC23" s="225">
        <f>IF('CF表（奥様死亡時）'!BC$3="","",'CF表（奥様死亡時）'!BC23/10000)</f>
        <v/>
      </c>
      <c r="BD23" s="225">
        <f>IF('CF表（奥様死亡時）'!BD$3="","",'CF表（奥様死亡時）'!BD23/10000)</f>
        <v/>
      </c>
      <c r="BE23" s="225">
        <f>IF('CF表（奥様死亡時）'!BE$3="","",'CF表（奥様死亡時）'!BE23/10000)</f>
        <v/>
      </c>
      <c r="BF23" s="225">
        <f>IF('CF表（奥様死亡時）'!BF$3="","",'CF表（奥様死亡時）'!BF23/10000)</f>
        <v/>
      </c>
      <c r="BG23" s="225">
        <f>IF('CF表（奥様死亡時）'!BG$3="","",'CF表（奥様死亡時）'!BG23/10000)</f>
        <v/>
      </c>
      <c r="BH23" s="225">
        <f>IF('CF表（奥様死亡時）'!BH$3="","",'CF表（奥様死亡時）'!BH23/10000)</f>
        <v/>
      </c>
      <c r="BI23" s="225">
        <f>IF('CF表（奥様死亡時）'!BI$3="","",'CF表（奥様死亡時）'!BI23/10000)</f>
        <v/>
      </c>
      <c r="BJ23" s="225">
        <f>IF('CF表（奥様死亡時）'!BJ$3="","",'CF表（奥様死亡時）'!BJ23/10000)</f>
        <v/>
      </c>
      <c r="BK23" s="225">
        <f>IF('CF表（奥様死亡時）'!BK$3="","",'CF表（奥様死亡時）'!BK23/10000)</f>
        <v/>
      </c>
      <c r="BL23" s="225">
        <f>IF('CF表（奥様死亡時）'!BL$3="","",'CF表（奥様死亡時）'!BL23/10000)</f>
        <v/>
      </c>
      <c r="BM23" s="225">
        <f>IF('CF表（奥様死亡時）'!BM$3="","",'CF表（奥様死亡時）'!BM23/10000)</f>
        <v/>
      </c>
      <c r="BN23" s="225">
        <f>IF('CF表（奥様死亡時）'!BN$3="","",'CF表（奥様死亡時）'!BN23/10000)</f>
        <v/>
      </c>
      <c r="BO23" s="225">
        <f>IF('CF表（奥様死亡時）'!BO$3="","",'CF表（奥様死亡時）'!BO23/10000)</f>
        <v/>
      </c>
      <c r="BP23" s="225">
        <f>IF('CF表（奥様死亡時）'!BP$3="","",'CF表（奥様死亡時）'!BP23/10000)</f>
        <v/>
      </c>
      <c r="BQ23" s="225">
        <f>IF('CF表（奥様死亡時）'!BQ$3="","",'CF表（奥様死亡時）'!BQ23/10000)</f>
        <v/>
      </c>
      <c r="BR23" s="225">
        <f>IF('CF表（奥様死亡時）'!BR$3="","",'CF表（奥様死亡時）'!BR23/10000)</f>
        <v/>
      </c>
      <c r="BS23" s="225">
        <f>IF('CF表（奥様死亡時）'!BS$3="","",'CF表（奥様死亡時）'!BS23/10000)</f>
        <v/>
      </c>
      <c r="BT23" s="225">
        <f>IF('CF表（奥様死亡時）'!BT$3="","",'CF表（奥様死亡時）'!BT23/10000)</f>
        <v/>
      </c>
      <c r="BU23" s="225">
        <f>IF('CF表（奥様死亡時）'!BU$3="","",'CF表（奥様死亡時）'!BU23/10000)</f>
        <v/>
      </c>
      <c r="BV23" s="225">
        <f>IF('CF表（奥様死亡時）'!BV$3="","",'CF表（奥様死亡時）'!BV23/10000)</f>
        <v/>
      </c>
      <c r="BW23" s="225">
        <f>IF('CF表（奥様死亡時）'!BW$3="","",'CF表（奥様死亡時）'!BW23/10000)</f>
        <v/>
      </c>
      <c r="BX23" s="225">
        <f>IF('CF表（奥様死亡時）'!BX$3="","",'CF表（奥様死亡時）'!BX23/10000)</f>
        <v/>
      </c>
      <c r="BY23" s="225">
        <f>IF('CF表（奥様死亡時）'!BY$3="","",'CF表（奥様死亡時）'!BY23/10000)</f>
        <v/>
      </c>
      <c r="BZ23" s="225">
        <f>IF('CF表（奥様死亡時）'!BZ$3="","",'CF表（奥様死亡時）'!BZ23/10000)</f>
        <v/>
      </c>
      <c r="CA23" s="225">
        <f>IF('CF表（奥様死亡時）'!CA$3="","",'CF表（奥様死亡時）'!CA23/10000)</f>
        <v/>
      </c>
      <c r="CB23" s="225">
        <f>IF('CF表（奥様死亡時）'!CB$3="","",'CF表（奥様死亡時）'!CB23/10000)</f>
        <v/>
      </c>
      <c r="CC23" s="225">
        <f>IF('CF表（奥様死亡時）'!CC$3="","",'CF表（奥様死亡時）'!CC23/10000)</f>
        <v/>
      </c>
      <c r="CD23" s="225">
        <f>IF('CF表（奥様死亡時）'!CD$3="","",'CF表（奥様死亡時）'!CD23/10000)</f>
        <v/>
      </c>
      <c r="CE23" s="225">
        <f>IF('CF表（奥様死亡時）'!CE$3="","",'CF表（奥様死亡時）'!CE23/10000)</f>
        <v/>
      </c>
      <c r="CF23" s="225">
        <f>IF('CF表（奥様死亡時）'!CF$3="","",'CF表（奥様死亡時）'!CF23/10000)</f>
        <v/>
      </c>
      <c r="CG23" s="225">
        <f>IF('CF表（奥様死亡時）'!CG$3="","",'CF表（奥様死亡時）'!CG23/10000)</f>
        <v/>
      </c>
      <c r="CH23" s="225">
        <f>IF('CF表（奥様死亡時）'!CH$3="","",'CF表（奥様死亡時）'!CH23/10000)</f>
        <v/>
      </c>
      <c r="CI23" s="225">
        <f>IF('CF表（奥様死亡時）'!CI$3="","",'CF表（奥様死亡時）'!CI23/10000)</f>
        <v/>
      </c>
      <c r="CJ23" s="225">
        <f>IF('CF表（奥様死亡時）'!CJ$3="","",'CF表（奥様死亡時）'!CJ23/10000)</f>
        <v/>
      </c>
      <c r="CK23" s="225">
        <f>IF('CF表（奥様死亡時）'!CK$3="","",'CF表（奥様死亡時）'!CK23/10000)</f>
        <v/>
      </c>
      <c r="CL23" s="225">
        <f>IF('CF表（奥様死亡時）'!CL$3="","",'CF表（奥様死亡時）'!CL23/10000)</f>
        <v/>
      </c>
      <c r="CM23" s="225">
        <f>IF('CF表（奥様死亡時）'!CM$3="","",'CF表（奥様死亡時）'!CM23/10000)</f>
        <v/>
      </c>
      <c r="CN23" s="225">
        <f>IF('CF表（奥様死亡時）'!CN$3="","",'CF表（奥様死亡時）'!CN23/10000)</f>
        <v/>
      </c>
      <c r="CO23" s="225">
        <f>IF('CF表（奥様死亡時）'!CO$3="","",'CF表（奥様死亡時）'!CO23/10000)</f>
        <v/>
      </c>
      <c r="CP23" s="225">
        <f>IF('CF表（奥様死亡時）'!CP$3="","",'CF表（奥様死亡時）'!CP23/10000)</f>
        <v/>
      </c>
      <c r="CQ23" s="225">
        <f>IF('CF表（奥様死亡時）'!CQ$3="","",'CF表（奥様死亡時）'!CQ23/10000)</f>
        <v/>
      </c>
      <c r="CR23" s="225">
        <f>IF('CF表（奥様死亡時）'!CR$3="","",'CF表（奥様死亡時）'!CR23/10000)</f>
        <v/>
      </c>
      <c r="CS23" s="225">
        <f>IF('CF表（奥様死亡時）'!CS$3="","",'CF表（奥様死亡時）'!CS23/10000)</f>
        <v/>
      </c>
      <c r="CT23" s="225">
        <f>IF('CF表（奥様死亡時）'!CT$3="","",'CF表（奥様死亡時）'!CT23/10000)</f>
        <v/>
      </c>
      <c r="CU23" s="225">
        <f>IF('CF表（奥様死亡時）'!CU$3="","",'CF表（奥様死亡時）'!CU23/10000)</f>
        <v/>
      </c>
      <c r="CV23" s="225">
        <f>IF('CF表（奥様死亡時）'!CV$3="","",'CF表（奥様死亡時）'!CV23/10000)</f>
        <v/>
      </c>
      <c r="CW23" s="225">
        <f>IF('CF表（奥様死亡時）'!CW$3="","",'CF表（奥様死亡時）'!CW23/10000)</f>
        <v/>
      </c>
    </row>
    <row r="24" ht="15" customHeight="1" s="180">
      <c r="A24" s="224" t="inlineStr">
        <is>
          <t>教育費</t>
        </is>
      </c>
      <c r="B24" s="225">
        <f>IF('CF表（奥様死亡時）'!B$3="","",'CF表（奥様死亡時）'!B24/10000)</f>
        <v/>
      </c>
      <c r="C24" s="225">
        <f>IF('CF表（奥様死亡時）'!C$3="","",'CF表（奥様死亡時）'!C24/10000)</f>
        <v/>
      </c>
      <c r="D24" s="225">
        <f>IF('CF表（奥様死亡時）'!D$3="","",'CF表（奥様死亡時）'!D24/10000)</f>
        <v/>
      </c>
      <c r="E24" s="225">
        <f>IF('CF表（奥様死亡時）'!E$3="","",'CF表（奥様死亡時）'!E24/10000)</f>
        <v/>
      </c>
      <c r="F24" s="225">
        <f>IF('CF表（奥様死亡時）'!F$3="","",'CF表（奥様死亡時）'!F24/10000)</f>
        <v/>
      </c>
      <c r="G24" s="225">
        <f>IF('CF表（奥様死亡時）'!G$3="","",'CF表（奥様死亡時）'!G24/10000)</f>
        <v/>
      </c>
      <c r="H24" s="225">
        <f>IF('CF表（奥様死亡時）'!H$3="","",'CF表（奥様死亡時）'!H24/10000)</f>
        <v/>
      </c>
      <c r="I24" s="225">
        <f>IF('CF表（奥様死亡時）'!I$3="","",'CF表（奥様死亡時）'!I24/10000)</f>
        <v/>
      </c>
      <c r="J24" s="225">
        <f>IF('CF表（奥様死亡時）'!J$3="","",'CF表（奥様死亡時）'!J24/10000)</f>
        <v/>
      </c>
      <c r="K24" s="225">
        <f>IF('CF表（奥様死亡時）'!K$3="","",'CF表（奥様死亡時）'!K24/10000)</f>
        <v/>
      </c>
      <c r="L24" s="225">
        <f>IF('CF表（奥様死亡時）'!L$3="","",'CF表（奥様死亡時）'!L24/10000)</f>
        <v/>
      </c>
      <c r="M24" s="225">
        <f>IF('CF表（奥様死亡時）'!M$3="","",'CF表（奥様死亡時）'!M24/10000)</f>
        <v/>
      </c>
      <c r="N24" s="225">
        <f>IF('CF表（奥様死亡時）'!N$3="","",'CF表（奥様死亡時）'!N24/10000)</f>
        <v/>
      </c>
      <c r="O24" s="225">
        <f>IF('CF表（奥様死亡時）'!O$3="","",'CF表（奥様死亡時）'!O24/10000)</f>
        <v/>
      </c>
      <c r="P24" s="225">
        <f>IF('CF表（奥様死亡時）'!P$3="","",'CF表（奥様死亡時）'!P24/10000)</f>
        <v/>
      </c>
      <c r="Q24" s="225">
        <f>IF('CF表（奥様死亡時）'!Q$3="","",'CF表（奥様死亡時）'!Q24/10000)</f>
        <v/>
      </c>
      <c r="R24" s="225">
        <f>IF('CF表（奥様死亡時）'!R$3="","",'CF表（奥様死亡時）'!R24/10000)</f>
        <v/>
      </c>
      <c r="S24" s="225">
        <f>IF('CF表（奥様死亡時）'!S$3="","",'CF表（奥様死亡時）'!S24/10000)</f>
        <v/>
      </c>
      <c r="T24" s="225">
        <f>IF('CF表（奥様死亡時）'!T$3="","",'CF表（奥様死亡時）'!T24/10000)</f>
        <v/>
      </c>
      <c r="U24" s="225">
        <f>IF('CF表（奥様死亡時）'!U$3="","",'CF表（奥様死亡時）'!U24/10000)</f>
        <v/>
      </c>
      <c r="V24" s="225">
        <f>IF('CF表（奥様死亡時）'!V$3="","",'CF表（奥様死亡時）'!V24/10000)</f>
        <v/>
      </c>
      <c r="W24" s="225">
        <f>IF('CF表（奥様死亡時）'!W$3="","",'CF表（奥様死亡時）'!W24/10000)</f>
        <v/>
      </c>
      <c r="X24" s="225">
        <f>IF('CF表（奥様死亡時）'!X$3="","",'CF表（奥様死亡時）'!X24/10000)</f>
        <v/>
      </c>
      <c r="Y24" s="225">
        <f>IF('CF表（奥様死亡時）'!Y$3="","",'CF表（奥様死亡時）'!Y24/10000)</f>
        <v/>
      </c>
      <c r="Z24" s="225">
        <f>IF('CF表（奥様死亡時）'!Z$3="","",'CF表（奥様死亡時）'!Z24/10000)</f>
        <v/>
      </c>
      <c r="AA24" s="225">
        <f>IF('CF表（奥様死亡時）'!AA$3="","",'CF表（奥様死亡時）'!AA24/10000)</f>
        <v/>
      </c>
      <c r="AB24" s="225">
        <f>IF('CF表（奥様死亡時）'!AB$3="","",'CF表（奥様死亡時）'!AB24/10000)</f>
        <v/>
      </c>
      <c r="AC24" s="225">
        <f>IF('CF表（奥様死亡時）'!AC$3="","",'CF表（奥様死亡時）'!AC24/10000)</f>
        <v/>
      </c>
      <c r="AD24" s="225">
        <f>IF('CF表（奥様死亡時）'!AD$3="","",'CF表（奥様死亡時）'!AD24/10000)</f>
        <v/>
      </c>
      <c r="AE24" s="225">
        <f>IF('CF表（奥様死亡時）'!AE$3="","",'CF表（奥様死亡時）'!AE24/10000)</f>
        <v/>
      </c>
      <c r="AF24" s="225">
        <f>IF('CF表（奥様死亡時）'!AF$3="","",'CF表（奥様死亡時）'!AF24/10000)</f>
        <v/>
      </c>
      <c r="AG24" s="225">
        <f>IF('CF表（奥様死亡時）'!AG$3="","",'CF表（奥様死亡時）'!AG24/10000)</f>
        <v/>
      </c>
      <c r="AH24" s="225">
        <f>IF('CF表（奥様死亡時）'!AH$3="","",'CF表（奥様死亡時）'!AH24/10000)</f>
        <v/>
      </c>
      <c r="AI24" s="225">
        <f>IF('CF表（奥様死亡時）'!AI$3="","",'CF表（奥様死亡時）'!AI24/10000)</f>
        <v/>
      </c>
      <c r="AJ24" s="225">
        <f>IF('CF表（奥様死亡時）'!AJ$3="","",'CF表（奥様死亡時）'!AJ24/10000)</f>
        <v/>
      </c>
      <c r="AK24" s="225">
        <f>IF('CF表（奥様死亡時）'!AK$3="","",'CF表（奥様死亡時）'!AK24/10000)</f>
        <v/>
      </c>
      <c r="AL24" s="225">
        <f>IF('CF表（奥様死亡時）'!AL$3="","",'CF表（奥様死亡時）'!AL24/10000)</f>
        <v/>
      </c>
      <c r="AM24" s="225">
        <f>IF('CF表（奥様死亡時）'!AM$3="","",'CF表（奥様死亡時）'!AM24/10000)</f>
        <v/>
      </c>
      <c r="AN24" s="225">
        <f>IF('CF表（奥様死亡時）'!AN$3="","",'CF表（奥様死亡時）'!AN24/10000)</f>
        <v/>
      </c>
      <c r="AO24" s="225">
        <f>IF('CF表（奥様死亡時）'!AO$3="","",'CF表（奥様死亡時）'!AO24/10000)</f>
        <v/>
      </c>
      <c r="AP24" s="225">
        <f>IF('CF表（奥様死亡時）'!AP$3="","",'CF表（奥様死亡時）'!AP24/10000)</f>
        <v/>
      </c>
      <c r="AQ24" s="225">
        <f>IF('CF表（奥様死亡時）'!AQ$3="","",'CF表（奥様死亡時）'!AQ24/10000)</f>
        <v/>
      </c>
      <c r="AR24" s="225">
        <f>IF('CF表（奥様死亡時）'!AR$3="","",'CF表（奥様死亡時）'!AR24/10000)</f>
        <v/>
      </c>
      <c r="AS24" s="225">
        <f>IF('CF表（奥様死亡時）'!AS$3="","",'CF表（奥様死亡時）'!AS24/10000)</f>
        <v/>
      </c>
      <c r="AT24" s="225">
        <f>IF('CF表（奥様死亡時）'!AT$3="","",'CF表（奥様死亡時）'!AT24/10000)</f>
        <v/>
      </c>
      <c r="AU24" s="225">
        <f>IF('CF表（奥様死亡時）'!AU$3="","",'CF表（奥様死亡時）'!AU24/10000)</f>
        <v/>
      </c>
      <c r="AV24" s="225">
        <f>IF('CF表（奥様死亡時）'!AV$3="","",'CF表（奥様死亡時）'!AV24/10000)</f>
        <v/>
      </c>
      <c r="AW24" s="225">
        <f>IF('CF表（奥様死亡時）'!AW$3="","",'CF表（奥様死亡時）'!AW24/10000)</f>
        <v/>
      </c>
      <c r="AX24" s="225">
        <f>IF('CF表（奥様死亡時）'!AX$3="","",'CF表（奥様死亡時）'!AX24/10000)</f>
        <v/>
      </c>
      <c r="AY24" s="225">
        <f>IF('CF表（奥様死亡時）'!AY$3="","",'CF表（奥様死亡時）'!AY24/10000)</f>
        <v/>
      </c>
      <c r="AZ24" s="225">
        <f>IF('CF表（奥様死亡時）'!AZ$3="","",'CF表（奥様死亡時）'!AZ24/10000)</f>
        <v/>
      </c>
      <c r="BA24" s="225">
        <f>IF('CF表（奥様死亡時）'!BA$3="","",'CF表（奥様死亡時）'!BA24/10000)</f>
        <v/>
      </c>
      <c r="BB24" s="225">
        <f>IF('CF表（奥様死亡時）'!BB$3="","",'CF表（奥様死亡時）'!BB24/10000)</f>
        <v/>
      </c>
      <c r="BC24" s="225">
        <f>IF('CF表（奥様死亡時）'!BC$3="","",'CF表（奥様死亡時）'!BC24/10000)</f>
        <v/>
      </c>
      <c r="BD24" s="225">
        <f>IF('CF表（奥様死亡時）'!BD$3="","",'CF表（奥様死亡時）'!BD24/10000)</f>
        <v/>
      </c>
      <c r="BE24" s="225">
        <f>IF('CF表（奥様死亡時）'!BE$3="","",'CF表（奥様死亡時）'!BE24/10000)</f>
        <v/>
      </c>
      <c r="BF24" s="225">
        <f>IF('CF表（奥様死亡時）'!BF$3="","",'CF表（奥様死亡時）'!BF24/10000)</f>
        <v/>
      </c>
      <c r="BG24" s="225">
        <f>IF('CF表（奥様死亡時）'!BG$3="","",'CF表（奥様死亡時）'!BG24/10000)</f>
        <v/>
      </c>
      <c r="BH24" s="225">
        <f>IF('CF表（奥様死亡時）'!BH$3="","",'CF表（奥様死亡時）'!BH24/10000)</f>
        <v/>
      </c>
      <c r="BI24" s="225">
        <f>IF('CF表（奥様死亡時）'!BI$3="","",'CF表（奥様死亡時）'!BI24/10000)</f>
        <v/>
      </c>
      <c r="BJ24" s="225">
        <f>IF('CF表（奥様死亡時）'!BJ$3="","",'CF表（奥様死亡時）'!BJ24/10000)</f>
        <v/>
      </c>
      <c r="BK24" s="225">
        <f>IF('CF表（奥様死亡時）'!BK$3="","",'CF表（奥様死亡時）'!BK24/10000)</f>
        <v/>
      </c>
      <c r="BL24" s="225">
        <f>IF('CF表（奥様死亡時）'!BL$3="","",'CF表（奥様死亡時）'!BL24/10000)</f>
        <v/>
      </c>
      <c r="BM24" s="225">
        <f>IF('CF表（奥様死亡時）'!BM$3="","",'CF表（奥様死亡時）'!BM24/10000)</f>
        <v/>
      </c>
      <c r="BN24" s="225">
        <f>IF('CF表（奥様死亡時）'!BN$3="","",'CF表（奥様死亡時）'!BN24/10000)</f>
        <v/>
      </c>
      <c r="BO24" s="225">
        <f>IF('CF表（奥様死亡時）'!BO$3="","",'CF表（奥様死亡時）'!BO24/10000)</f>
        <v/>
      </c>
      <c r="BP24" s="225">
        <f>IF('CF表（奥様死亡時）'!BP$3="","",'CF表（奥様死亡時）'!BP24/10000)</f>
        <v/>
      </c>
      <c r="BQ24" s="225">
        <f>IF('CF表（奥様死亡時）'!BQ$3="","",'CF表（奥様死亡時）'!BQ24/10000)</f>
        <v/>
      </c>
      <c r="BR24" s="225">
        <f>IF('CF表（奥様死亡時）'!BR$3="","",'CF表（奥様死亡時）'!BR24/10000)</f>
        <v/>
      </c>
      <c r="BS24" s="225">
        <f>IF('CF表（奥様死亡時）'!BS$3="","",'CF表（奥様死亡時）'!BS24/10000)</f>
        <v/>
      </c>
      <c r="BT24" s="225">
        <f>IF('CF表（奥様死亡時）'!BT$3="","",'CF表（奥様死亡時）'!BT24/10000)</f>
        <v/>
      </c>
      <c r="BU24" s="225">
        <f>IF('CF表（奥様死亡時）'!BU$3="","",'CF表（奥様死亡時）'!BU24/10000)</f>
        <v/>
      </c>
      <c r="BV24" s="225">
        <f>IF('CF表（奥様死亡時）'!BV$3="","",'CF表（奥様死亡時）'!BV24/10000)</f>
        <v/>
      </c>
      <c r="BW24" s="225">
        <f>IF('CF表（奥様死亡時）'!BW$3="","",'CF表（奥様死亡時）'!BW24/10000)</f>
        <v/>
      </c>
      <c r="BX24" s="225">
        <f>IF('CF表（奥様死亡時）'!BX$3="","",'CF表（奥様死亡時）'!BX24/10000)</f>
        <v/>
      </c>
      <c r="BY24" s="225">
        <f>IF('CF表（奥様死亡時）'!BY$3="","",'CF表（奥様死亡時）'!BY24/10000)</f>
        <v/>
      </c>
      <c r="BZ24" s="225">
        <f>IF('CF表（奥様死亡時）'!BZ$3="","",'CF表（奥様死亡時）'!BZ24/10000)</f>
        <v/>
      </c>
      <c r="CA24" s="225">
        <f>IF('CF表（奥様死亡時）'!CA$3="","",'CF表（奥様死亡時）'!CA24/10000)</f>
        <v/>
      </c>
      <c r="CB24" s="225">
        <f>IF('CF表（奥様死亡時）'!CB$3="","",'CF表（奥様死亡時）'!CB24/10000)</f>
        <v/>
      </c>
      <c r="CC24" s="225">
        <f>IF('CF表（奥様死亡時）'!CC$3="","",'CF表（奥様死亡時）'!CC24/10000)</f>
        <v/>
      </c>
      <c r="CD24" s="225">
        <f>IF('CF表（奥様死亡時）'!CD$3="","",'CF表（奥様死亡時）'!CD24/10000)</f>
        <v/>
      </c>
      <c r="CE24" s="225">
        <f>IF('CF表（奥様死亡時）'!CE$3="","",'CF表（奥様死亡時）'!CE24/10000)</f>
        <v/>
      </c>
      <c r="CF24" s="225">
        <f>IF('CF表（奥様死亡時）'!CF$3="","",'CF表（奥様死亡時）'!CF24/10000)</f>
        <v/>
      </c>
      <c r="CG24" s="225">
        <f>IF('CF表（奥様死亡時）'!CG$3="","",'CF表（奥様死亡時）'!CG24/10000)</f>
        <v/>
      </c>
      <c r="CH24" s="225">
        <f>IF('CF表（奥様死亡時）'!CH$3="","",'CF表（奥様死亡時）'!CH24/10000)</f>
        <v/>
      </c>
      <c r="CI24" s="225">
        <f>IF('CF表（奥様死亡時）'!CI$3="","",'CF表（奥様死亡時）'!CI24/10000)</f>
        <v/>
      </c>
      <c r="CJ24" s="225">
        <f>IF('CF表（奥様死亡時）'!CJ$3="","",'CF表（奥様死亡時）'!CJ24/10000)</f>
        <v/>
      </c>
      <c r="CK24" s="225">
        <f>IF('CF表（奥様死亡時）'!CK$3="","",'CF表（奥様死亡時）'!CK24/10000)</f>
        <v/>
      </c>
      <c r="CL24" s="225">
        <f>IF('CF表（奥様死亡時）'!CL$3="","",'CF表（奥様死亡時）'!CL24/10000)</f>
        <v/>
      </c>
      <c r="CM24" s="225">
        <f>IF('CF表（奥様死亡時）'!CM$3="","",'CF表（奥様死亡時）'!CM24/10000)</f>
        <v/>
      </c>
      <c r="CN24" s="225">
        <f>IF('CF表（奥様死亡時）'!CN$3="","",'CF表（奥様死亡時）'!CN24/10000)</f>
        <v/>
      </c>
      <c r="CO24" s="225">
        <f>IF('CF表（奥様死亡時）'!CO$3="","",'CF表（奥様死亡時）'!CO24/10000)</f>
        <v/>
      </c>
      <c r="CP24" s="225">
        <f>IF('CF表（奥様死亡時）'!CP$3="","",'CF表（奥様死亡時）'!CP24/10000)</f>
        <v/>
      </c>
      <c r="CQ24" s="225">
        <f>IF('CF表（奥様死亡時）'!CQ$3="","",'CF表（奥様死亡時）'!CQ24/10000)</f>
        <v/>
      </c>
      <c r="CR24" s="225">
        <f>IF('CF表（奥様死亡時）'!CR$3="","",'CF表（奥様死亡時）'!CR24/10000)</f>
        <v/>
      </c>
      <c r="CS24" s="225">
        <f>IF('CF表（奥様死亡時）'!CS$3="","",'CF表（奥様死亡時）'!CS24/10000)</f>
        <v/>
      </c>
      <c r="CT24" s="225">
        <f>IF('CF表（奥様死亡時）'!CT$3="","",'CF表（奥様死亡時）'!CT24/10000)</f>
        <v/>
      </c>
      <c r="CU24" s="225">
        <f>IF('CF表（奥様死亡時）'!CU$3="","",'CF表（奥様死亡時）'!CU24/10000)</f>
        <v/>
      </c>
      <c r="CV24" s="225">
        <f>IF('CF表（奥様死亡時）'!CV$3="","",'CF表（奥様死亡時）'!CV24/10000)</f>
        <v/>
      </c>
      <c r="CW24" s="225">
        <f>IF('CF表（奥様死亡時）'!CW$3="","",'CF表（奥様死亡時）'!CW24/10000)</f>
        <v/>
      </c>
    </row>
    <row r="25" ht="15" customHeight="1" s="180">
      <c r="A25" s="224" t="inlineStr">
        <is>
          <t>車関連費</t>
        </is>
      </c>
      <c r="B25" s="225">
        <f>IF('CF表（奥様死亡時）'!B$3="","",'CF表（奥様死亡時）'!B25/10000)</f>
        <v/>
      </c>
      <c r="C25" s="225">
        <f>IF('CF表（奥様死亡時）'!C$3="","",'CF表（奥様死亡時）'!C25/10000)</f>
        <v/>
      </c>
      <c r="D25" s="225">
        <f>IF('CF表（奥様死亡時）'!D$3="","",'CF表（奥様死亡時）'!D25/10000)</f>
        <v/>
      </c>
      <c r="E25" s="225">
        <f>IF('CF表（奥様死亡時）'!E$3="","",'CF表（奥様死亡時）'!E25/10000)</f>
        <v/>
      </c>
      <c r="F25" s="225">
        <f>IF('CF表（奥様死亡時）'!F$3="","",'CF表（奥様死亡時）'!F25/10000)</f>
        <v/>
      </c>
      <c r="G25" s="225">
        <f>IF('CF表（奥様死亡時）'!G$3="","",'CF表（奥様死亡時）'!G25/10000)</f>
        <v/>
      </c>
      <c r="H25" s="225">
        <f>IF('CF表（奥様死亡時）'!H$3="","",'CF表（奥様死亡時）'!H25/10000)</f>
        <v/>
      </c>
      <c r="I25" s="225">
        <f>IF('CF表（奥様死亡時）'!I$3="","",'CF表（奥様死亡時）'!I25/10000)</f>
        <v/>
      </c>
      <c r="J25" s="225">
        <f>IF('CF表（奥様死亡時）'!J$3="","",'CF表（奥様死亡時）'!J25/10000)</f>
        <v/>
      </c>
      <c r="K25" s="225">
        <f>IF('CF表（奥様死亡時）'!K$3="","",'CF表（奥様死亡時）'!K25/10000)</f>
        <v/>
      </c>
      <c r="L25" s="225">
        <f>IF('CF表（奥様死亡時）'!L$3="","",'CF表（奥様死亡時）'!L25/10000)</f>
        <v/>
      </c>
      <c r="M25" s="225">
        <f>IF('CF表（奥様死亡時）'!M$3="","",'CF表（奥様死亡時）'!M25/10000)</f>
        <v/>
      </c>
      <c r="N25" s="225">
        <f>IF('CF表（奥様死亡時）'!N$3="","",'CF表（奥様死亡時）'!N25/10000)</f>
        <v/>
      </c>
      <c r="O25" s="225">
        <f>IF('CF表（奥様死亡時）'!O$3="","",'CF表（奥様死亡時）'!O25/10000)</f>
        <v/>
      </c>
      <c r="P25" s="225">
        <f>IF('CF表（奥様死亡時）'!P$3="","",'CF表（奥様死亡時）'!P25/10000)</f>
        <v/>
      </c>
      <c r="Q25" s="225">
        <f>IF('CF表（奥様死亡時）'!Q$3="","",'CF表（奥様死亡時）'!Q25/10000)</f>
        <v/>
      </c>
      <c r="R25" s="225">
        <f>IF('CF表（奥様死亡時）'!R$3="","",'CF表（奥様死亡時）'!R25/10000)</f>
        <v/>
      </c>
      <c r="S25" s="225">
        <f>IF('CF表（奥様死亡時）'!S$3="","",'CF表（奥様死亡時）'!S25/10000)</f>
        <v/>
      </c>
      <c r="T25" s="225">
        <f>IF('CF表（奥様死亡時）'!T$3="","",'CF表（奥様死亡時）'!T25/10000)</f>
        <v/>
      </c>
      <c r="U25" s="225">
        <f>IF('CF表（奥様死亡時）'!U$3="","",'CF表（奥様死亡時）'!U25/10000)</f>
        <v/>
      </c>
      <c r="V25" s="225">
        <f>IF('CF表（奥様死亡時）'!V$3="","",'CF表（奥様死亡時）'!V25/10000)</f>
        <v/>
      </c>
      <c r="W25" s="225">
        <f>IF('CF表（奥様死亡時）'!W$3="","",'CF表（奥様死亡時）'!W25/10000)</f>
        <v/>
      </c>
      <c r="X25" s="225">
        <f>IF('CF表（奥様死亡時）'!X$3="","",'CF表（奥様死亡時）'!X25/10000)</f>
        <v/>
      </c>
      <c r="Y25" s="225">
        <f>IF('CF表（奥様死亡時）'!Y$3="","",'CF表（奥様死亡時）'!Y25/10000)</f>
        <v/>
      </c>
      <c r="Z25" s="225">
        <f>IF('CF表（奥様死亡時）'!Z$3="","",'CF表（奥様死亡時）'!Z25/10000)</f>
        <v/>
      </c>
      <c r="AA25" s="225">
        <f>IF('CF表（奥様死亡時）'!AA$3="","",'CF表（奥様死亡時）'!AA25/10000)</f>
        <v/>
      </c>
      <c r="AB25" s="225">
        <f>IF('CF表（奥様死亡時）'!AB$3="","",'CF表（奥様死亡時）'!AB25/10000)</f>
        <v/>
      </c>
      <c r="AC25" s="225">
        <f>IF('CF表（奥様死亡時）'!AC$3="","",'CF表（奥様死亡時）'!AC25/10000)</f>
        <v/>
      </c>
      <c r="AD25" s="225">
        <f>IF('CF表（奥様死亡時）'!AD$3="","",'CF表（奥様死亡時）'!AD25/10000)</f>
        <v/>
      </c>
      <c r="AE25" s="225">
        <f>IF('CF表（奥様死亡時）'!AE$3="","",'CF表（奥様死亡時）'!AE25/10000)</f>
        <v/>
      </c>
      <c r="AF25" s="225">
        <f>IF('CF表（奥様死亡時）'!AF$3="","",'CF表（奥様死亡時）'!AF25/10000)</f>
        <v/>
      </c>
      <c r="AG25" s="225">
        <f>IF('CF表（奥様死亡時）'!AG$3="","",'CF表（奥様死亡時）'!AG25/10000)</f>
        <v/>
      </c>
      <c r="AH25" s="225">
        <f>IF('CF表（奥様死亡時）'!AH$3="","",'CF表（奥様死亡時）'!AH25/10000)</f>
        <v/>
      </c>
      <c r="AI25" s="225">
        <f>IF('CF表（奥様死亡時）'!AI$3="","",'CF表（奥様死亡時）'!AI25/10000)</f>
        <v/>
      </c>
      <c r="AJ25" s="225">
        <f>IF('CF表（奥様死亡時）'!AJ$3="","",'CF表（奥様死亡時）'!AJ25/10000)</f>
        <v/>
      </c>
      <c r="AK25" s="225">
        <f>IF('CF表（奥様死亡時）'!AK$3="","",'CF表（奥様死亡時）'!AK25/10000)</f>
        <v/>
      </c>
      <c r="AL25" s="225">
        <f>IF('CF表（奥様死亡時）'!AL$3="","",'CF表（奥様死亡時）'!AL25/10000)</f>
        <v/>
      </c>
      <c r="AM25" s="225">
        <f>IF('CF表（奥様死亡時）'!AM$3="","",'CF表（奥様死亡時）'!AM25/10000)</f>
        <v/>
      </c>
      <c r="AN25" s="225">
        <f>IF('CF表（奥様死亡時）'!AN$3="","",'CF表（奥様死亡時）'!AN25/10000)</f>
        <v/>
      </c>
      <c r="AO25" s="225">
        <f>IF('CF表（奥様死亡時）'!AO$3="","",'CF表（奥様死亡時）'!AO25/10000)</f>
        <v/>
      </c>
      <c r="AP25" s="225">
        <f>IF('CF表（奥様死亡時）'!AP$3="","",'CF表（奥様死亡時）'!AP25/10000)</f>
        <v/>
      </c>
      <c r="AQ25" s="225">
        <f>IF('CF表（奥様死亡時）'!AQ$3="","",'CF表（奥様死亡時）'!AQ25/10000)</f>
        <v/>
      </c>
      <c r="AR25" s="225">
        <f>IF('CF表（奥様死亡時）'!AR$3="","",'CF表（奥様死亡時）'!AR25/10000)</f>
        <v/>
      </c>
      <c r="AS25" s="225">
        <f>IF('CF表（奥様死亡時）'!AS$3="","",'CF表（奥様死亡時）'!AS25/10000)</f>
        <v/>
      </c>
      <c r="AT25" s="225">
        <f>IF('CF表（奥様死亡時）'!AT$3="","",'CF表（奥様死亡時）'!AT25/10000)</f>
        <v/>
      </c>
      <c r="AU25" s="225">
        <f>IF('CF表（奥様死亡時）'!AU$3="","",'CF表（奥様死亡時）'!AU25/10000)</f>
        <v/>
      </c>
      <c r="AV25" s="225">
        <f>IF('CF表（奥様死亡時）'!AV$3="","",'CF表（奥様死亡時）'!AV25/10000)</f>
        <v/>
      </c>
      <c r="AW25" s="225">
        <f>IF('CF表（奥様死亡時）'!AW$3="","",'CF表（奥様死亡時）'!AW25/10000)</f>
        <v/>
      </c>
      <c r="AX25" s="225">
        <f>IF('CF表（奥様死亡時）'!AX$3="","",'CF表（奥様死亡時）'!AX25/10000)</f>
        <v/>
      </c>
      <c r="AY25" s="225">
        <f>IF('CF表（奥様死亡時）'!AY$3="","",'CF表（奥様死亡時）'!AY25/10000)</f>
        <v/>
      </c>
      <c r="AZ25" s="225">
        <f>IF('CF表（奥様死亡時）'!AZ$3="","",'CF表（奥様死亡時）'!AZ25/10000)</f>
        <v/>
      </c>
      <c r="BA25" s="225">
        <f>IF('CF表（奥様死亡時）'!BA$3="","",'CF表（奥様死亡時）'!BA25/10000)</f>
        <v/>
      </c>
      <c r="BB25" s="225">
        <f>IF('CF表（奥様死亡時）'!BB$3="","",'CF表（奥様死亡時）'!BB25/10000)</f>
        <v/>
      </c>
      <c r="BC25" s="225">
        <f>IF('CF表（奥様死亡時）'!BC$3="","",'CF表（奥様死亡時）'!BC25/10000)</f>
        <v/>
      </c>
      <c r="BD25" s="225">
        <f>IF('CF表（奥様死亡時）'!BD$3="","",'CF表（奥様死亡時）'!BD25/10000)</f>
        <v/>
      </c>
      <c r="BE25" s="225">
        <f>IF('CF表（奥様死亡時）'!BE$3="","",'CF表（奥様死亡時）'!BE25/10000)</f>
        <v/>
      </c>
      <c r="BF25" s="225">
        <f>IF('CF表（奥様死亡時）'!BF$3="","",'CF表（奥様死亡時）'!BF25/10000)</f>
        <v/>
      </c>
      <c r="BG25" s="225">
        <f>IF('CF表（奥様死亡時）'!BG$3="","",'CF表（奥様死亡時）'!BG25/10000)</f>
        <v/>
      </c>
      <c r="BH25" s="225">
        <f>IF('CF表（奥様死亡時）'!BH$3="","",'CF表（奥様死亡時）'!BH25/10000)</f>
        <v/>
      </c>
      <c r="BI25" s="225">
        <f>IF('CF表（奥様死亡時）'!BI$3="","",'CF表（奥様死亡時）'!BI25/10000)</f>
        <v/>
      </c>
      <c r="BJ25" s="225">
        <f>IF('CF表（奥様死亡時）'!BJ$3="","",'CF表（奥様死亡時）'!BJ25/10000)</f>
        <v/>
      </c>
      <c r="BK25" s="225">
        <f>IF('CF表（奥様死亡時）'!BK$3="","",'CF表（奥様死亡時）'!BK25/10000)</f>
        <v/>
      </c>
      <c r="BL25" s="225">
        <f>IF('CF表（奥様死亡時）'!BL$3="","",'CF表（奥様死亡時）'!BL25/10000)</f>
        <v/>
      </c>
      <c r="BM25" s="225">
        <f>IF('CF表（奥様死亡時）'!BM$3="","",'CF表（奥様死亡時）'!BM25/10000)</f>
        <v/>
      </c>
      <c r="BN25" s="225">
        <f>IF('CF表（奥様死亡時）'!BN$3="","",'CF表（奥様死亡時）'!BN25/10000)</f>
        <v/>
      </c>
      <c r="BO25" s="225">
        <f>IF('CF表（奥様死亡時）'!BO$3="","",'CF表（奥様死亡時）'!BO25/10000)</f>
        <v/>
      </c>
      <c r="BP25" s="225">
        <f>IF('CF表（奥様死亡時）'!BP$3="","",'CF表（奥様死亡時）'!BP25/10000)</f>
        <v/>
      </c>
      <c r="BQ25" s="225">
        <f>IF('CF表（奥様死亡時）'!BQ$3="","",'CF表（奥様死亡時）'!BQ25/10000)</f>
        <v/>
      </c>
      <c r="BR25" s="225">
        <f>IF('CF表（奥様死亡時）'!BR$3="","",'CF表（奥様死亡時）'!BR25/10000)</f>
        <v/>
      </c>
      <c r="BS25" s="225">
        <f>IF('CF表（奥様死亡時）'!BS$3="","",'CF表（奥様死亡時）'!BS25/10000)</f>
        <v/>
      </c>
      <c r="BT25" s="225">
        <f>IF('CF表（奥様死亡時）'!BT$3="","",'CF表（奥様死亡時）'!BT25/10000)</f>
        <v/>
      </c>
      <c r="BU25" s="225">
        <f>IF('CF表（奥様死亡時）'!BU$3="","",'CF表（奥様死亡時）'!BU25/10000)</f>
        <v/>
      </c>
      <c r="BV25" s="225">
        <f>IF('CF表（奥様死亡時）'!BV$3="","",'CF表（奥様死亡時）'!BV25/10000)</f>
        <v/>
      </c>
      <c r="BW25" s="225">
        <f>IF('CF表（奥様死亡時）'!BW$3="","",'CF表（奥様死亡時）'!BW25/10000)</f>
        <v/>
      </c>
      <c r="BX25" s="225">
        <f>IF('CF表（奥様死亡時）'!BX$3="","",'CF表（奥様死亡時）'!BX25/10000)</f>
        <v/>
      </c>
      <c r="BY25" s="225">
        <f>IF('CF表（奥様死亡時）'!BY$3="","",'CF表（奥様死亡時）'!BY25/10000)</f>
        <v/>
      </c>
      <c r="BZ25" s="225">
        <f>IF('CF表（奥様死亡時）'!BZ$3="","",'CF表（奥様死亡時）'!BZ25/10000)</f>
        <v/>
      </c>
      <c r="CA25" s="225">
        <f>IF('CF表（奥様死亡時）'!CA$3="","",'CF表（奥様死亡時）'!CA25/10000)</f>
        <v/>
      </c>
      <c r="CB25" s="225">
        <f>IF('CF表（奥様死亡時）'!CB$3="","",'CF表（奥様死亡時）'!CB25/10000)</f>
        <v/>
      </c>
      <c r="CC25" s="225">
        <f>IF('CF表（奥様死亡時）'!CC$3="","",'CF表（奥様死亡時）'!CC25/10000)</f>
        <v/>
      </c>
      <c r="CD25" s="225">
        <f>IF('CF表（奥様死亡時）'!CD$3="","",'CF表（奥様死亡時）'!CD25/10000)</f>
        <v/>
      </c>
      <c r="CE25" s="225">
        <f>IF('CF表（奥様死亡時）'!CE$3="","",'CF表（奥様死亡時）'!CE25/10000)</f>
        <v/>
      </c>
      <c r="CF25" s="225">
        <f>IF('CF表（奥様死亡時）'!CF$3="","",'CF表（奥様死亡時）'!CF25/10000)</f>
        <v/>
      </c>
      <c r="CG25" s="225">
        <f>IF('CF表（奥様死亡時）'!CG$3="","",'CF表（奥様死亡時）'!CG25/10000)</f>
        <v/>
      </c>
      <c r="CH25" s="225">
        <f>IF('CF表（奥様死亡時）'!CH$3="","",'CF表（奥様死亡時）'!CH25/10000)</f>
        <v/>
      </c>
      <c r="CI25" s="225">
        <f>IF('CF表（奥様死亡時）'!CI$3="","",'CF表（奥様死亡時）'!CI25/10000)</f>
        <v/>
      </c>
      <c r="CJ25" s="225">
        <f>IF('CF表（奥様死亡時）'!CJ$3="","",'CF表（奥様死亡時）'!CJ25/10000)</f>
        <v/>
      </c>
      <c r="CK25" s="225">
        <f>IF('CF表（奥様死亡時）'!CK$3="","",'CF表（奥様死亡時）'!CK25/10000)</f>
        <v/>
      </c>
      <c r="CL25" s="225">
        <f>IF('CF表（奥様死亡時）'!CL$3="","",'CF表（奥様死亡時）'!CL25/10000)</f>
        <v/>
      </c>
      <c r="CM25" s="225">
        <f>IF('CF表（奥様死亡時）'!CM$3="","",'CF表（奥様死亡時）'!CM25/10000)</f>
        <v/>
      </c>
      <c r="CN25" s="225">
        <f>IF('CF表（奥様死亡時）'!CN$3="","",'CF表（奥様死亡時）'!CN25/10000)</f>
        <v/>
      </c>
      <c r="CO25" s="225">
        <f>IF('CF表（奥様死亡時）'!CO$3="","",'CF表（奥様死亡時）'!CO25/10000)</f>
        <v/>
      </c>
      <c r="CP25" s="225">
        <f>IF('CF表（奥様死亡時）'!CP$3="","",'CF表（奥様死亡時）'!CP25/10000)</f>
        <v/>
      </c>
      <c r="CQ25" s="225">
        <f>IF('CF表（奥様死亡時）'!CQ$3="","",'CF表（奥様死亡時）'!CQ25/10000)</f>
        <v/>
      </c>
      <c r="CR25" s="225">
        <f>IF('CF表（奥様死亡時）'!CR$3="","",'CF表（奥様死亡時）'!CR25/10000)</f>
        <v/>
      </c>
      <c r="CS25" s="225">
        <f>IF('CF表（奥様死亡時）'!CS$3="","",'CF表（奥様死亡時）'!CS25/10000)</f>
        <v/>
      </c>
      <c r="CT25" s="225">
        <f>IF('CF表（奥様死亡時）'!CT$3="","",'CF表（奥様死亡時）'!CT25/10000)</f>
        <v/>
      </c>
      <c r="CU25" s="225">
        <f>IF('CF表（奥様死亡時）'!CU$3="","",'CF表（奥様死亡時）'!CU25/10000)</f>
        <v/>
      </c>
      <c r="CV25" s="225">
        <f>IF('CF表（奥様死亡時）'!CV$3="","",'CF表（奥様死亡時）'!CV25/10000)</f>
        <v/>
      </c>
      <c r="CW25" s="225">
        <f>IF('CF表（奥様死亡時）'!CW$3="","",'CF表（奥様死亡時）'!CW25/10000)</f>
        <v/>
      </c>
    </row>
    <row r="26" ht="15" customHeight="1" s="180">
      <c r="A26" s="224" t="inlineStr">
        <is>
          <t>その他支出</t>
        </is>
      </c>
      <c r="B26" s="225">
        <f>IF('CF表（奥様死亡時）'!B$3="","",'CF表（奥様死亡時）'!B26/10000)</f>
        <v/>
      </c>
      <c r="C26" s="225">
        <f>IF('CF表（奥様死亡時）'!C$3="","",'CF表（奥様死亡時）'!C26/10000)</f>
        <v/>
      </c>
      <c r="D26" s="225">
        <f>IF('CF表（奥様死亡時）'!D$3="","",'CF表（奥様死亡時）'!D26/10000)</f>
        <v/>
      </c>
      <c r="E26" s="225">
        <f>IF('CF表（奥様死亡時）'!E$3="","",'CF表（奥様死亡時）'!E26/10000)</f>
        <v/>
      </c>
      <c r="F26" s="225">
        <f>IF('CF表（奥様死亡時）'!F$3="","",'CF表（奥様死亡時）'!F26/10000)</f>
        <v/>
      </c>
      <c r="G26" s="225">
        <f>IF('CF表（奥様死亡時）'!G$3="","",'CF表（奥様死亡時）'!G26/10000)</f>
        <v/>
      </c>
      <c r="H26" s="225">
        <f>IF('CF表（奥様死亡時）'!H$3="","",'CF表（奥様死亡時）'!H26/10000)</f>
        <v/>
      </c>
      <c r="I26" s="225">
        <f>IF('CF表（奥様死亡時）'!I$3="","",'CF表（奥様死亡時）'!I26/10000)</f>
        <v/>
      </c>
      <c r="J26" s="225">
        <f>IF('CF表（奥様死亡時）'!J$3="","",'CF表（奥様死亡時）'!J26/10000)</f>
        <v/>
      </c>
      <c r="K26" s="225">
        <f>IF('CF表（奥様死亡時）'!K$3="","",'CF表（奥様死亡時）'!K26/10000)</f>
        <v/>
      </c>
      <c r="L26" s="225">
        <f>IF('CF表（奥様死亡時）'!L$3="","",'CF表（奥様死亡時）'!L26/10000)</f>
        <v/>
      </c>
      <c r="M26" s="225">
        <f>IF('CF表（奥様死亡時）'!M$3="","",'CF表（奥様死亡時）'!M26/10000)</f>
        <v/>
      </c>
      <c r="N26" s="225">
        <f>IF('CF表（奥様死亡時）'!N$3="","",'CF表（奥様死亡時）'!N26/10000)</f>
        <v/>
      </c>
      <c r="O26" s="225">
        <f>IF('CF表（奥様死亡時）'!O$3="","",'CF表（奥様死亡時）'!O26/10000)</f>
        <v/>
      </c>
      <c r="P26" s="225">
        <f>IF('CF表（奥様死亡時）'!P$3="","",'CF表（奥様死亡時）'!P26/10000)</f>
        <v/>
      </c>
      <c r="Q26" s="225">
        <f>IF('CF表（奥様死亡時）'!Q$3="","",'CF表（奥様死亡時）'!Q26/10000)</f>
        <v/>
      </c>
      <c r="R26" s="225">
        <f>IF('CF表（奥様死亡時）'!R$3="","",'CF表（奥様死亡時）'!R26/10000)</f>
        <v/>
      </c>
      <c r="S26" s="225">
        <f>IF('CF表（奥様死亡時）'!S$3="","",'CF表（奥様死亡時）'!S26/10000)</f>
        <v/>
      </c>
      <c r="T26" s="225">
        <f>IF('CF表（奥様死亡時）'!T$3="","",'CF表（奥様死亡時）'!T26/10000)</f>
        <v/>
      </c>
      <c r="U26" s="225">
        <f>IF('CF表（奥様死亡時）'!U$3="","",'CF表（奥様死亡時）'!U26/10000)</f>
        <v/>
      </c>
      <c r="V26" s="225">
        <f>IF('CF表（奥様死亡時）'!V$3="","",'CF表（奥様死亡時）'!V26/10000)</f>
        <v/>
      </c>
      <c r="W26" s="225">
        <f>IF('CF表（奥様死亡時）'!W$3="","",'CF表（奥様死亡時）'!W26/10000)</f>
        <v/>
      </c>
      <c r="X26" s="225">
        <f>IF('CF表（奥様死亡時）'!X$3="","",'CF表（奥様死亡時）'!X26/10000)</f>
        <v/>
      </c>
      <c r="Y26" s="225">
        <f>IF('CF表（奥様死亡時）'!Y$3="","",'CF表（奥様死亡時）'!Y26/10000)</f>
        <v/>
      </c>
      <c r="Z26" s="225">
        <f>IF('CF表（奥様死亡時）'!Z$3="","",'CF表（奥様死亡時）'!Z26/10000)</f>
        <v/>
      </c>
      <c r="AA26" s="225">
        <f>IF('CF表（奥様死亡時）'!AA$3="","",'CF表（奥様死亡時）'!AA26/10000)</f>
        <v/>
      </c>
      <c r="AB26" s="225">
        <f>IF('CF表（奥様死亡時）'!AB$3="","",'CF表（奥様死亡時）'!AB26/10000)</f>
        <v/>
      </c>
      <c r="AC26" s="225">
        <f>IF('CF表（奥様死亡時）'!AC$3="","",'CF表（奥様死亡時）'!AC26/10000)</f>
        <v/>
      </c>
      <c r="AD26" s="225">
        <f>IF('CF表（奥様死亡時）'!AD$3="","",'CF表（奥様死亡時）'!AD26/10000)</f>
        <v/>
      </c>
      <c r="AE26" s="225">
        <f>IF('CF表（奥様死亡時）'!AE$3="","",'CF表（奥様死亡時）'!AE26/10000)</f>
        <v/>
      </c>
      <c r="AF26" s="225">
        <f>IF('CF表（奥様死亡時）'!AF$3="","",'CF表（奥様死亡時）'!AF26/10000)</f>
        <v/>
      </c>
      <c r="AG26" s="225">
        <f>IF('CF表（奥様死亡時）'!AG$3="","",'CF表（奥様死亡時）'!AG26/10000)</f>
        <v/>
      </c>
      <c r="AH26" s="225">
        <f>IF('CF表（奥様死亡時）'!AH$3="","",'CF表（奥様死亡時）'!AH26/10000)</f>
        <v/>
      </c>
      <c r="AI26" s="225">
        <f>IF('CF表（奥様死亡時）'!AI$3="","",'CF表（奥様死亡時）'!AI26/10000)</f>
        <v/>
      </c>
      <c r="AJ26" s="225">
        <f>IF('CF表（奥様死亡時）'!AJ$3="","",'CF表（奥様死亡時）'!AJ26/10000)</f>
        <v/>
      </c>
      <c r="AK26" s="225">
        <f>IF('CF表（奥様死亡時）'!AK$3="","",'CF表（奥様死亡時）'!AK26/10000)</f>
        <v/>
      </c>
      <c r="AL26" s="225">
        <f>IF('CF表（奥様死亡時）'!AL$3="","",'CF表（奥様死亡時）'!AL26/10000)</f>
        <v/>
      </c>
      <c r="AM26" s="225">
        <f>IF('CF表（奥様死亡時）'!AM$3="","",'CF表（奥様死亡時）'!AM26/10000)</f>
        <v/>
      </c>
      <c r="AN26" s="225">
        <f>IF('CF表（奥様死亡時）'!AN$3="","",'CF表（奥様死亡時）'!AN26/10000)</f>
        <v/>
      </c>
      <c r="AO26" s="225">
        <f>IF('CF表（奥様死亡時）'!AO$3="","",'CF表（奥様死亡時）'!AO26/10000)</f>
        <v/>
      </c>
      <c r="AP26" s="225">
        <f>IF('CF表（奥様死亡時）'!AP$3="","",'CF表（奥様死亡時）'!AP26/10000)</f>
        <v/>
      </c>
      <c r="AQ26" s="225">
        <f>IF('CF表（奥様死亡時）'!AQ$3="","",'CF表（奥様死亡時）'!AQ26/10000)</f>
        <v/>
      </c>
      <c r="AR26" s="225">
        <f>IF('CF表（奥様死亡時）'!AR$3="","",'CF表（奥様死亡時）'!AR26/10000)</f>
        <v/>
      </c>
      <c r="AS26" s="225">
        <f>IF('CF表（奥様死亡時）'!AS$3="","",'CF表（奥様死亡時）'!AS26/10000)</f>
        <v/>
      </c>
      <c r="AT26" s="225">
        <f>IF('CF表（奥様死亡時）'!AT$3="","",'CF表（奥様死亡時）'!AT26/10000)</f>
        <v/>
      </c>
      <c r="AU26" s="225">
        <f>IF('CF表（奥様死亡時）'!AU$3="","",'CF表（奥様死亡時）'!AU26/10000)</f>
        <v/>
      </c>
      <c r="AV26" s="225">
        <f>IF('CF表（奥様死亡時）'!AV$3="","",'CF表（奥様死亡時）'!AV26/10000)</f>
        <v/>
      </c>
      <c r="AW26" s="225">
        <f>IF('CF表（奥様死亡時）'!AW$3="","",'CF表（奥様死亡時）'!AW26/10000)</f>
        <v/>
      </c>
      <c r="AX26" s="225">
        <f>IF('CF表（奥様死亡時）'!AX$3="","",'CF表（奥様死亡時）'!AX26/10000)</f>
        <v/>
      </c>
      <c r="AY26" s="225">
        <f>IF('CF表（奥様死亡時）'!AY$3="","",'CF表（奥様死亡時）'!AY26/10000)</f>
        <v/>
      </c>
      <c r="AZ26" s="225">
        <f>IF('CF表（奥様死亡時）'!AZ$3="","",'CF表（奥様死亡時）'!AZ26/10000)</f>
        <v/>
      </c>
      <c r="BA26" s="225">
        <f>IF('CF表（奥様死亡時）'!BA$3="","",'CF表（奥様死亡時）'!BA26/10000)</f>
        <v/>
      </c>
      <c r="BB26" s="225">
        <f>IF('CF表（奥様死亡時）'!BB$3="","",'CF表（奥様死亡時）'!BB26/10000)</f>
        <v/>
      </c>
      <c r="BC26" s="225">
        <f>IF('CF表（奥様死亡時）'!BC$3="","",'CF表（奥様死亡時）'!BC26/10000)</f>
        <v/>
      </c>
      <c r="BD26" s="225">
        <f>IF('CF表（奥様死亡時）'!BD$3="","",'CF表（奥様死亡時）'!BD26/10000)</f>
        <v/>
      </c>
      <c r="BE26" s="225">
        <f>IF('CF表（奥様死亡時）'!BE$3="","",'CF表（奥様死亡時）'!BE26/10000)</f>
        <v/>
      </c>
      <c r="BF26" s="225">
        <f>IF('CF表（奥様死亡時）'!BF$3="","",'CF表（奥様死亡時）'!BF26/10000)</f>
        <v/>
      </c>
      <c r="BG26" s="225">
        <f>IF('CF表（奥様死亡時）'!BG$3="","",'CF表（奥様死亡時）'!BG26/10000)</f>
        <v/>
      </c>
      <c r="BH26" s="225">
        <f>IF('CF表（奥様死亡時）'!BH$3="","",'CF表（奥様死亡時）'!BH26/10000)</f>
        <v/>
      </c>
      <c r="BI26" s="225">
        <f>IF('CF表（奥様死亡時）'!BI$3="","",'CF表（奥様死亡時）'!BI26/10000)</f>
        <v/>
      </c>
      <c r="BJ26" s="225">
        <f>IF('CF表（奥様死亡時）'!BJ$3="","",'CF表（奥様死亡時）'!BJ26/10000)</f>
        <v/>
      </c>
      <c r="BK26" s="225">
        <f>IF('CF表（奥様死亡時）'!BK$3="","",'CF表（奥様死亡時）'!BK26/10000)</f>
        <v/>
      </c>
      <c r="BL26" s="225">
        <f>IF('CF表（奥様死亡時）'!BL$3="","",'CF表（奥様死亡時）'!BL26/10000)</f>
        <v/>
      </c>
      <c r="BM26" s="225">
        <f>IF('CF表（奥様死亡時）'!BM$3="","",'CF表（奥様死亡時）'!BM26/10000)</f>
        <v/>
      </c>
      <c r="BN26" s="225">
        <f>IF('CF表（奥様死亡時）'!BN$3="","",'CF表（奥様死亡時）'!BN26/10000)</f>
        <v/>
      </c>
      <c r="BO26" s="225">
        <f>IF('CF表（奥様死亡時）'!BO$3="","",'CF表（奥様死亡時）'!BO26/10000)</f>
        <v/>
      </c>
      <c r="BP26" s="225">
        <f>IF('CF表（奥様死亡時）'!BP$3="","",'CF表（奥様死亡時）'!BP26/10000)</f>
        <v/>
      </c>
      <c r="BQ26" s="225">
        <f>IF('CF表（奥様死亡時）'!BQ$3="","",'CF表（奥様死亡時）'!BQ26/10000)</f>
        <v/>
      </c>
      <c r="BR26" s="225">
        <f>IF('CF表（奥様死亡時）'!BR$3="","",'CF表（奥様死亡時）'!BR26/10000)</f>
        <v/>
      </c>
      <c r="BS26" s="225">
        <f>IF('CF表（奥様死亡時）'!BS$3="","",'CF表（奥様死亡時）'!BS26/10000)</f>
        <v/>
      </c>
      <c r="BT26" s="225">
        <f>IF('CF表（奥様死亡時）'!BT$3="","",'CF表（奥様死亡時）'!BT26/10000)</f>
        <v/>
      </c>
      <c r="BU26" s="225">
        <f>IF('CF表（奥様死亡時）'!BU$3="","",'CF表（奥様死亡時）'!BU26/10000)</f>
        <v/>
      </c>
      <c r="BV26" s="225">
        <f>IF('CF表（奥様死亡時）'!BV$3="","",'CF表（奥様死亡時）'!BV26/10000)</f>
        <v/>
      </c>
      <c r="BW26" s="225">
        <f>IF('CF表（奥様死亡時）'!BW$3="","",'CF表（奥様死亡時）'!BW26/10000)</f>
        <v/>
      </c>
      <c r="BX26" s="225">
        <f>IF('CF表（奥様死亡時）'!BX$3="","",'CF表（奥様死亡時）'!BX26/10000)</f>
        <v/>
      </c>
      <c r="BY26" s="225">
        <f>IF('CF表（奥様死亡時）'!BY$3="","",'CF表（奥様死亡時）'!BY26/10000)</f>
        <v/>
      </c>
      <c r="BZ26" s="225">
        <f>IF('CF表（奥様死亡時）'!BZ$3="","",'CF表（奥様死亡時）'!BZ26/10000)</f>
        <v/>
      </c>
      <c r="CA26" s="225">
        <f>IF('CF表（奥様死亡時）'!CA$3="","",'CF表（奥様死亡時）'!CA26/10000)</f>
        <v/>
      </c>
      <c r="CB26" s="225">
        <f>IF('CF表（奥様死亡時）'!CB$3="","",'CF表（奥様死亡時）'!CB26/10000)</f>
        <v/>
      </c>
      <c r="CC26" s="225">
        <f>IF('CF表（奥様死亡時）'!CC$3="","",'CF表（奥様死亡時）'!CC26/10000)</f>
        <v/>
      </c>
      <c r="CD26" s="225">
        <f>IF('CF表（奥様死亡時）'!CD$3="","",'CF表（奥様死亡時）'!CD26/10000)</f>
        <v/>
      </c>
      <c r="CE26" s="225">
        <f>IF('CF表（奥様死亡時）'!CE$3="","",'CF表（奥様死亡時）'!CE26/10000)</f>
        <v/>
      </c>
      <c r="CF26" s="225">
        <f>IF('CF表（奥様死亡時）'!CF$3="","",'CF表（奥様死亡時）'!CF26/10000)</f>
        <v/>
      </c>
      <c r="CG26" s="225">
        <f>IF('CF表（奥様死亡時）'!CG$3="","",'CF表（奥様死亡時）'!CG26/10000)</f>
        <v/>
      </c>
      <c r="CH26" s="225">
        <f>IF('CF表（奥様死亡時）'!CH$3="","",'CF表（奥様死亡時）'!CH26/10000)</f>
        <v/>
      </c>
      <c r="CI26" s="225">
        <f>IF('CF表（奥様死亡時）'!CI$3="","",'CF表（奥様死亡時）'!CI26/10000)</f>
        <v/>
      </c>
      <c r="CJ26" s="225">
        <f>IF('CF表（奥様死亡時）'!CJ$3="","",'CF表（奥様死亡時）'!CJ26/10000)</f>
        <v/>
      </c>
      <c r="CK26" s="225">
        <f>IF('CF表（奥様死亡時）'!CK$3="","",'CF表（奥様死亡時）'!CK26/10000)</f>
        <v/>
      </c>
      <c r="CL26" s="225">
        <f>IF('CF表（奥様死亡時）'!CL$3="","",'CF表（奥様死亡時）'!CL26/10000)</f>
        <v/>
      </c>
      <c r="CM26" s="225">
        <f>IF('CF表（奥様死亡時）'!CM$3="","",'CF表（奥様死亡時）'!CM26/10000)</f>
        <v/>
      </c>
      <c r="CN26" s="225">
        <f>IF('CF表（奥様死亡時）'!CN$3="","",'CF表（奥様死亡時）'!CN26/10000)</f>
        <v/>
      </c>
      <c r="CO26" s="225">
        <f>IF('CF表（奥様死亡時）'!CO$3="","",'CF表（奥様死亡時）'!CO26/10000)</f>
        <v/>
      </c>
      <c r="CP26" s="225">
        <f>IF('CF表（奥様死亡時）'!CP$3="","",'CF表（奥様死亡時）'!CP26/10000)</f>
        <v/>
      </c>
      <c r="CQ26" s="225">
        <f>IF('CF表（奥様死亡時）'!CQ$3="","",'CF表（奥様死亡時）'!CQ26/10000)</f>
        <v/>
      </c>
      <c r="CR26" s="225">
        <f>IF('CF表（奥様死亡時）'!CR$3="","",'CF表（奥様死亡時）'!CR26/10000)</f>
        <v/>
      </c>
      <c r="CS26" s="225">
        <f>IF('CF表（奥様死亡時）'!CS$3="","",'CF表（奥様死亡時）'!CS26/10000)</f>
        <v/>
      </c>
      <c r="CT26" s="225">
        <f>IF('CF表（奥様死亡時）'!CT$3="","",'CF表（奥様死亡時）'!CT26/10000)</f>
        <v/>
      </c>
      <c r="CU26" s="225">
        <f>IF('CF表（奥様死亡時）'!CU$3="","",'CF表（奥様死亡時）'!CU26/10000)</f>
        <v/>
      </c>
      <c r="CV26" s="225">
        <f>IF('CF表（奥様死亡時）'!CV$3="","",'CF表（奥様死亡時）'!CV26/10000)</f>
        <v/>
      </c>
      <c r="CW26" s="225">
        <f>IF('CF表（奥様死亡時）'!CW$3="","",'CF表（奥様死亡時）'!CW26/10000)</f>
        <v/>
      </c>
    </row>
    <row r="27" ht="15" customHeight="1" s="180">
      <c r="A27" s="224" t="inlineStr">
        <is>
          <t>一時支出</t>
        </is>
      </c>
      <c r="B27" s="225">
        <f>IF('CF表（奥様死亡時）'!B$3="","",'CF表（奥様死亡時）'!B27/10000)</f>
        <v/>
      </c>
      <c r="C27" s="225">
        <f>IF('CF表（奥様死亡時）'!C$3="","",'CF表（奥様死亡時）'!C27/10000)</f>
        <v/>
      </c>
      <c r="D27" s="225">
        <f>IF('CF表（奥様死亡時）'!D$3="","",'CF表（奥様死亡時）'!D27/10000)</f>
        <v/>
      </c>
      <c r="E27" s="225">
        <f>IF('CF表（奥様死亡時）'!E$3="","",'CF表（奥様死亡時）'!E27/10000)</f>
        <v/>
      </c>
      <c r="F27" s="225">
        <f>IF('CF表（奥様死亡時）'!F$3="","",'CF表（奥様死亡時）'!F27/10000)</f>
        <v/>
      </c>
      <c r="G27" s="225">
        <f>IF('CF表（奥様死亡時）'!G$3="","",'CF表（奥様死亡時）'!G27/10000)</f>
        <v/>
      </c>
      <c r="H27" s="225">
        <f>IF('CF表（奥様死亡時）'!H$3="","",'CF表（奥様死亡時）'!H27/10000)</f>
        <v/>
      </c>
      <c r="I27" s="225">
        <f>IF('CF表（奥様死亡時）'!I$3="","",'CF表（奥様死亡時）'!I27/10000)</f>
        <v/>
      </c>
      <c r="J27" s="225">
        <f>IF('CF表（奥様死亡時）'!J$3="","",'CF表（奥様死亡時）'!J27/10000)</f>
        <v/>
      </c>
      <c r="K27" s="225">
        <f>IF('CF表（奥様死亡時）'!K$3="","",'CF表（奥様死亡時）'!K27/10000)</f>
        <v/>
      </c>
      <c r="L27" s="225">
        <f>IF('CF表（奥様死亡時）'!L$3="","",'CF表（奥様死亡時）'!L27/10000)</f>
        <v/>
      </c>
      <c r="M27" s="225">
        <f>IF('CF表（奥様死亡時）'!M$3="","",'CF表（奥様死亡時）'!M27/10000)</f>
        <v/>
      </c>
      <c r="N27" s="225">
        <f>IF('CF表（奥様死亡時）'!N$3="","",'CF表（奥様死亡時）'!N27/10000)</f>
        <v/>
      </c>
      <c r="O27" s="225">
        <f>IF('CF表（奥様死亡時）'!O$3="","",'CF表（奥様死亡時）'!O27/10000)</f>
        <v/>
      </c>
      <c r="P27" s="225">
        <f>IF('CF表（奥様死亡時）'!P$3="","",'CF表（奥様死亡時）'!P27/10000)</f>
        <v/>
      </c>
      <c r="Q27" s="225">
        <f>IF('CF表（奥様死亡時）'!Q$3="","",'CF表（奥様死亡時）'!Q27/10000)</f>
        <v/>
      </c>
      <c r="R27" s="225">
        <f>IF('CF表（奥様死亡時）'!R$3="","",'CF表（奥様死亡時）'!R27/10000)</f>
        <v/>
      </c>
      <c r="S27" s="225">
        <f>IF('CF表（奥様死亡時）'!S$3="","",'CF表（奥様死亡時）'!S27/10000)</f>
        <v/>
      </c>
      <c r="T27" s="225">
        <f>IF('CF表（奥様死亡時）'!T$3="","",'CF表（奥様死亡時）'!T27/10000)</f>
        <v/>
      </c>
      <c r="U27" s="225">
        <f>IF('CF表（奥様死亡時）'!U$3="","",'CF表（奥様死亡時）'!U27/10000)</f>
        <v/>
      </c>
      <c r="V27" s="225">
        <f>IF('CF表（奥様死亡時）'!V$3="","",'CF表（奥様死亡時）'!V27/10000)</f>
        <v/>
      </c>
      <c r="W27" s="225">
        <f>IF('CF表（奥様死亡時）'!W$3="","",'CF表（奥様死亡時）'!W27/10000)</f>
        <v/>
      </c>
      <c r="X27" s="225">
        <f>IF('CF表（奥様死亡時）'!X$3="","",'CF表（奥様死亡時）'!X27/10000)</f>
        <v/>
      </c>
      <c r="Y27" s="225">
        <f>IF('CF表（奥様死亡時）'!Y$3="","",'CF表（奥様死亡時）'!Y27/10000)</f>
        <v/>
      </c>
      <c r="Z27" s="225">
        <f>IF('CF表（奥様死亡時）'!Z$3="","",'CF表（奥様死亡時）'!Z27/10000)</f>
        <v/>
      </c>
      <c r="AA27" s="225">
        <f>IF('CF表（奥様死亡時）'!AA$3="","",'CF表（奥様死亡時）'!AA27/10000)</f>
        <v/>
      </c>
      <c r="AB27" s="225">
        <f>IF('CF表（奥様死亡時）'!AB$3="","",'CF表（奥様死亡時）'!AB27/10000)</f>
        <v/>
      </c>
      <c r="AC27" s="225">
        <f>IF('CF表（奥様死亡時）'!AC$3="","",'CF表（奥様死亡時）'!AC27/10000)</f>
        <v/>
      </c>
      <c r="AD27" s="225">
        <f>IF('CF表（奥様死亡時）'!AD$3="","",'CF表（奥様死亡時）'!AD27/10000)</f>
        <v/>
      </c>
      <c r="AE27" s="225">
        <f>IF('CF表（奥様死亡時）'!AE$3="","",'CF表（奥様死亡時）'!AE27/10000)</f>
        <v/>
      </c>
      <c r="AF27" s="225">
        <f>IF('CF表（奥様死亡時）'!AF$3="","",'CF表（奥様死亡時）'!AF27/10000)</f>
        <v/>
      </c>
      <c r="AG27" s="225">
        <f>IF('CF表（奥様死亡時）'!AG$3="","",'CF表（奥様死亡時）'!AG27/10000)</f>
        <v/>
      </c>
      <c r="AH27" s="225">
        <f>IF('CF表（奥様死亡時）'!AH$3="","",'CF表（奥様死亡時）'!AH27/10000)</f>
        <v/>
      </c>
      <c r="AI27" s="225">
        <f>IF('CF表（奥様死亡時）'!AI$3="","",'CF表（奥様死亡時）'!AI27/10000)</f>
        <v/>
      </c>
      <c r="AJ27" s="225">
        <f>IF('CF表（奥様死亡時）'!AJ$3="","",'CF表（奥様死亡時）'!AJ27/10000)</f>
        <v/>
      </c>
      <c r="AK27" s="225">
        <f>IF('CF表（奥様死亡時）'!AK$3="","",'CF表（奥様死亡時）'!AK27/10000)</f>
        <v/>
      </c>
      <c r="AL27" s="225">
        <f>IF('CF表（奥様死亡時）'!AL$3="","",'CF表（奥様死亡時）'!AL27/10000)</f>
        <v/>
      </c>
      <c r="AM27" s="225">
        <f>IF('CF表（奥様死亡時）'!AM$3="","",'CF表（奥様死亡時）'!AM27/10000)</f>
        <v/>
      </c>
      <c r="AN27" s="225">
        <f>IF('CF表（奥様死亡時）'!AN$3="","",'CF表（奥様死亡時）'!AN27/10000)</f>
        <v/>
      </c>
      <c r="AO27" s="225">
        <f>IF('CF表（奥様死亡時）'!AO$3="","",'CF表（奥様死亡時）'!AO27/10000)</f>
        <v/>
      </c>
      <c r="AP27" s="225">
        <f>IF('CF表（奥様死亡時）'!AP$3="","",'CF表（奥様死亡時）'!AP27/10000)</f>
        <v/>
      </c>
      <c r="AQ27" s="225">
        <f>IF('CF表（奥様死亡時）'!AQ$3="","",'CF表（奥様死亡時）'!AQ27/10000)</f>
        <v/>
      </c>
      <c r="AR27" s="225">
        <f>IF('CF表（奥様死亡時）'!AR$3="","",'CF表（奥様死亡時）'!AR27/10000)</f>
        <v/>
      </c>
      <c r="AS27" s="225">
        <f>IF('CF表（奥様死亡時）'!AS$3="","",'CF表（奥様死亡時）'!AS27/10000)</f>
        <v/>
      </c>
      <c r="AT27" s="225">
        <f>IF('CF表（奥様死亡時）'!AT$3="","",'CF表（奥様死亡時）'!AT27/10000)</f>
        <v/>
      </c>
      <c r="AU27" s="225">
        <f>IF('CF表（奥様死亡時）'!AU$3="","",'CF表（奥様死亡時）'!AU27/10000)</f>
        <v/>
      </c>
      <c r="AV27" s="225">
        <f>IF('CF表（奥様死亡時）'!AV$3="","",'CF表（奥様死亡時）'!AV27/10000)</f>
        <v/>
      </c>
      <c r="AW27" s="225">
        <f>IF('CF表（奥様死亡時）'!AW$3="","",'CF表（奥様死亡時）'!AW27/10000)</f>
        <v/>
      </c>
      <c r="AX27" s="225">
        <f>IF('CF表（奥様死亡時）'!AX$3="","",'CF表（奥様死亡時）'!AX27/10000)</f>
        <v/>
      </c>
      <c r="AY27" s="225">
        <f>IF('CF表（奥様死亡時）'!AY$3="","",'CF表（奥様死亡時）'!AY27/10000)</f>
        <v/>
      </c>
      <c r="AZ27" s="225">
        <f>IF('CF表（奥様死亡時）'!AZ$3="","",'CF表（奥様死亡時）'!AZ27/10000)</f>
        <v/>
      </c>
      <c r="BA27" s="225">
        <f>IF('CF表（奥様死亡時）'!BA$3="","",'CF表（奥様死亡時）'!BA27/10000)</f>
        <v/>
      </c>
      <c r="BB27" s="225">
        <f>IF('CF表（奥様死亡時）'!BB$3="","",'CF表（奥様死亡時）'!BB27/10000)</f>
        <v/>
      </c>
      <c r="BC27" s="225">
        <f>IF('CF表（奥様死亡時）'!BC$3="","",'CF表（奥様死亡時）'!BC27/10000)</f>
        <v/>
      </c>
      <c r="BD27" s="225">
        <f>IF('CF表（奥様死亡時）'!BD$3="","",'CF表（奥様死亡時）'!BD27/10000)</f>
        <v/>
      </c>
      <c r="BE27" s="225">
        <f>IF('CF表（奥様死亡時）'!BE$3="","",'CF表（奥様死亡時）'!BE27/10000)</f>
        <v/>
      </c>
      <c r="BF27" s="225">
        <f>IF('CF表（奥様死亡時）'!BF$3="","",'CF表（奥様死亡時）'!BF27/10000)</f>
        <v/>
      </c>
      <c r="BG27" s="225">
        <f>IF('CF表（奥様死亡時）'!BG$3="","",'CF表（奥様死亡時）'!BG27/10000)</f>
        <v/>
      </c>
      <c r="BH27" s="225">
        <f>IF('CF表（奥様死亡時）'!BH$3="","",'CF表（奥様死亡時）'!BH27/10000)</f>
        <v/>
      </c>
      <c r="BI27" s="225">
        <f>IF('CF表（奥様死亡時）'!BI$3="","",'CF表（奥様死亡時）'!BI27/10000)</f>
        <v/>
      </c>
      <c r="BJ27" s="225">
        <f>IF('CF表（奥様死亡時）'!BJ$3="","",'CF表（奥様死亡時）'!BJ27/10000)</f>
        <v/>
      </c>
      <c r="BK27" s="225">
        <f>IF('CF表（奥様死亡時）'!BK$3="","",'CF表（奥様死亡時）'!BK27/10000)</f>
        <v/>
      </c>
      <c r="BL27" s="225">
        <f>IF('CF表（奥様死亡時）'!BL$3="","",'CF表（奥様死亡時）'!BL27/10000)</f>
        <v/>
      </c>
      <c r="BM27" s="225">
        <f>IF('CF表（奥様死亡時）'!BM$3="","",'CF表（奥様死亡時）'!BM27/10000)</f>
        <v/>
      </c>
      <c r="BN27" s="225">
        <f>IF('CF表（奥様死亡時）'!BN$3="","",'CF表（奥様死亡時）'!BN27/10000)</f>
        <v/>
      </c>
      <c r="BO27" s="225">
        <f>IF('CF表（奥様死亡時）'!BO$3="","",'CF表（奥様死亡時）'!BO27/10000)</f>
        <v/>
      </c>
      <c r="BP27" s="225">
        <f>IF('CF表（奥様死亡時）'!BP$3="","",'CF表（奥様死亡時）'!BP27/10000)</f>
        <v/>
      </c>
      <c r="BQ27" s="225">
        <f>IF('CF表（奥様死亡時）'!BQ$3="","",'CF表（奥様死亡時）'!BQ27/10000)</f>
        <v/>
      </c>
      <c r="BR27" s="225">
        <f>IF('CF表（奥様死亡時）'!BR$3="","",'CF表（奥様死亡時）'!BR27/10000)</f>
        <v/>
      </c>
      <c r="BS27" s="225">
        <f>IF('CF表（奥様死亡時）'!BS$3="","",'CF表（奥様死亡時）'!BS27/10000)</f>
        <v/>
      </c>
      <c r="BT27" s="225">
        <f>IF('CF表（奥様死亡時）'!BT$3="","",'CF表（奥様死亡時）'!BT27/10000)</f>
        <v/>
      </c>
      <c r="BU27" s="225">
        <f>IF('CF表（奥様死亡時）'!BU$3="","",'CF表（奥様死亡時）'!BU27/10000)</f>
        <v/>
      </c>
      <c r="BV27" s="225">
        <f>IF('CF表（奥様死亡時）'!BV$3="","",'CF表（奥様死亡時）'!BV27/10000)</f>
        <v/>
      </c>
      <c r="BW27" s="225">
        <f>IF('CF表（奥様死亡時）'!BW$3="","",'CF表（奥様死亡時）'!BW27/10000)</f>
        <v/>
      </c>
      <c r="BX27" s="225">
        <f>IF('CF表（奥様死亡時）'!BX$3="","",'CF表（奥様死亡時）'!BX27/10000)</f>
        <v/>
      </c>
      <c r="BY27" s="225">
        <f>IF('CF表（奥様死亡時）'!BY$3="","",'CF表（奥様死亡時）'!BY27/10000)</f>
        <v/>
      </c>
      <c r="BZ27" s="225">
        <f>IF('CF表（奥様死亡時）'!BZ$3="","",'CF表（奥様死亡時）'!BZ27/10000)</f>
        <v/>
      </c>
      <c r="CA27" s="225">
        <f>IF('CF表（奥様死亡時）'!CA$3="","",'CF表（奥様死亡時）'!CA27/10000)</f>
        <v/>
      </c>
      <c r="CB27" s="225">
        <f>IF('CF表（奥様死亡時）'!CB$3="","",'CF表（奥様死亡時）'!CB27/10000)</f>
        <v/>
      </c>
      <c r="CC27" s="225">
        <f>IF('CF表（奥様死亡時）'!CC$3="","",'CF表（奥様死亡時）'!CC27/10000)</f>
        <v/>
      </c>
      <c r="CD27" s="225">
        <f>IF('CF表（奥様死亡時）'!CD$3="","",'CF表（奥様死亡時）'!CD27/10000)</f>
        <v/>
      </c>
      <c r="CE27" s="225">
        <f>IF('CF表（奥様死亡時）'!CE$3="","",'CF表（奥様死亡時）'!CE27/10000)</f>
        <v/>
      </c>
      <c r="CF27" s="225">
        <f>IF('CF表（奥様死亡時）'!CF$3="","",'CF表（奥様死亡時）'!CF27/10000)</f>
        <v/>
      </c>
      <c r="CG27" s="225">
        <f>IF('CF表（奥様死亡時）'!CG$3="","",'CF表（奥様死亡時）'!CG27/10000)</f>
        <v/>
      </c>
      <c r="CH27" s="225">
        <f>IF('CF表（奥様死亡時）'!CH$3="","",'CF表（奥様死亡時）'!CH27/10000)</f>
        <v/>
      </c>
      <c r="CI27" s="225">
        <f>IF('CF表（奥様死亡時）'!CI$3="","",'CF表（奥様死亡時）'!CI27/10000)</f>
        <v/>
      </c>
      <c r="CJ27" s="225">
        <f>IF('CF表（奥様死亡時）'!CJ$3="","",'CF表（奥様死亡時）'!CJ27/10000)</f>
        <v/>
      </c>
      <c r="CK27" s="225">
        <f>IF('CF表（奥様死亡時）'!CK$3="","",'CF表（奥様死亡時）'!CK27/10000)</f>
        <v/>
      </c>
      <c r="CL27" s="225">
        <f>IF('CF表（奥様死亡時）'!CL$3="","",'CF表（奥様死亡時）'!CL27/10000)</f>
        <v/>
      </c>
      <c r="CM27" s="225">
        <f>IF('CF表（奥様死亡時）'!CM$3="","",'CF表（奥様死亡時）'!CM27/10000)</f>
        <v/>
      </c>
      <c r="CN27" s="225">
        <f>IF('CF表（奥様死亡時）'!CN$3="","",'CF表（奥様死亡時）'!CN27/10000)</f>
        <v/>
      </c>
      <c r="CO27" s="225">
        <f>IF('CF表（奥様死亡時）'!CO$3="","",'CF表（奥様死亡時）'!CO27/10000)</f>
        <v/>
      </c>
      <c r="CP27" s="225">
        <f>IF('CF表（奥様死亡時）'!CP$3="","",'CF表（奥様死亡時）'!CP27/10000)</f>
        <v/>
      </c>
      <c r="CQ27" s="225">
        <f>IF('CF表（奥様死亡時）'!CQ$3="","",'CF表（奥様死亡時）'!CQ27/10000)</f>
        <v/>
      </c>
      <c r="CR27" s="225">
        <f>IF('CF表（奥様死亡時）'!CR$3="","",'CF表（奥様死亡時）'!CR27/10000)</f>
        <v/>
      </c>
      <c r="CS27" s="225">
        <f>IF('CF表（奥様死亡時）'!CS$3="","",'CF表（奥様死亡時）'!CS27/10000)</f>
        <v/>
      </c>
      <c r="CT27" s="225">
        <f>IF('CF表（奥様死亡時）'!CT$3="","",'CF表（奥様死亡時）'!CT27/10000)</f>
        <v/>
      </c>
      <c r="CU27" s="225">
        <f>IF('CF表（奥様死亡時）'!CU$3="","",'CF表（奥様死亡時）'!CU27/10000)</f>
        <v/>
      </c>
      <c r="CV27" s="225">
        <f>IF('CF表（奥様死亡時）'!CV$3="","",'CF表（奥様死亡時）'!CV27/10000)</f>
        <v/>
      </c>
      <c r="CW27" s="225">
        <f>IF('CF表（奥様死亡時）'!CW$3="","",'CF表（奥様死亡時）'!CW27/10000)</f>
        <v/>
      </c>
    </row>
    <row r="28" ht="15" customHeight="1" s="180">
      <c r="A28" s="226" t="inlineStr">
        <is>
          <t>支出合計</t>
        </is>
      </c>
      <c r="B28" s="227">
        <f>IF('CF表（奥様死亡時）'!B$3="","",'CF表（奥様死亡時）'!B28/10000)</f>
        <v/>
      </c>
      <c r="C28" s="227">
        <f>IF('CF表（奥様死亡時）'!C$3="","",'CF表（奥様死亡時）'!C28/10000)</f>
        <v/>
      </c>
      <c r="D28" s="227">
        <f>IF('CF表（奥様死亡時）'!D$3="","",'CF表（奥様死亡時）'!D28/10000)</f>
        <v/>
      </c>
      <c r="E28" s="227">
        <f>IF('CF表（奥様死亡時）'!E$3="","",'CF表（奥様死亡時）'!E28/10000)</f>
        <v/>
      </c>
      <c r="F28" s="227">
        <f>IF('CF表（奥様死亡時）'!F$3="","",'CF表（奥様死亡時）'!F28/10000)</f>
        <v/>
      </c>
      <c r="G28" s="227">
        <f>IF('CF表（奥様死亡時）'!G$3="","",'CF表（奥様死亡時）'!G28/10000)</f>
        <v/>
      </c>
      <c r="H28" s="227">
        <f>IF('CF表（奥様死亡時）'!H$3="","",'CF表（奥様死亡時）'!H28/10000)</f>
        <v/>
      </c>
      <c r="I28" s="227">
        <f>IF('CF表（奥様死亡時）'!I$3="","",'CF表（奥様死亡時）'!I28/10000)</f>
        <v/>
      </c>
      <c r="J28" s="227">
        <f>IF('CF表（奥様死亡時）'!J$3="","",'CF表（奥様死亡時）'!J28/10000)</f>
        <v/>
      </c>
      <c r="K28" s="227">
        <f>IF('CF表（奥様死亡時）'!K$3="","",'CF表（奥様死亡時）'!K28/10000)</f>
        <v/>
      </c>
      <c r="L28" s="227">
        <f>IF('CF表（奥様死亡時）'!L$3="","",'CF表（奥様死亡時）'!L28/10000)</f>
        <v/>
      </c>
      <c r="M28" s="227">
        <f>IF('CF表（奥様死亡時）'!M$3="","",'CF表（奥様死亡時）'!M28/10000)</f>
        <v/>
      </c>
      <c r="N28" s="227">
        <f>IF('CF表（奥様死亡時）'!N$3="","",'CF表（奥様死亡時）'!N28/10000)</f>
        <v/>
      </c>
      <c r="O28" s="227">
        <f>IF('CF表（奥様死亡時）'!O$3="","",'CF表（奥様死亡時）'!O28/10000)</f>
        <v/>
      </c>
      <c r="P28" s="227">
        <f>IF('CF表（奥様死亡時）'!P$3="","",'CF表（奥様死亡時）'!P28/10000)</f>
        <v/>
      </c>
      <c r="Q28" s="227">
        <f>IF('CF表（奥様死亡時）'!Q$3="","",'CF表（奥様死亡時）'!Q28/10000)</f>
        <v/>
      </c>
      <c r="R28" s="227">
        <f>IF('CF表（奥様死亡時）'!R$3="","",'CF表（奥様死亡時）'!R28/10000)</f>
        <v/>
      </c>
      <c r="S28" s="227">
        <f>IF('CF表（奥様死亡時）'!S$3="","",'CF表（奥様死亡時）'!S28/10000)</f>
        <v/>
      </c>
      <c r="T28" s="227">
        <f>IF('CF表（奥様死亡時）'!T$3="","",'CF表（奥様死亡時）'!T28/10000)</f>
        <v/>
      </c>
      <c r="U28" s="227">
        <f>IF('CF表（奥様死亡時）'!U$3="","",'CF表（奥様死亡時）'!U28/10000)</f>
        <v/>
      </c>
      <c r="V28" s="227">
        <f>IF('CF表（奥様死亡時）'!V$3="","",'CF表（奥様死亡時）'!V28/10000)</f>
        <v/>
      </c>
      <c r="W28" s="227">
        <f>IF('CF表（奥様死亡時）'!W$3="","",'CF表（奥様死亡時）'!W28/10000)</f>
        <v/>
      </c>
      <c r="X28" s="227">
        <f>IF('CF表（奥様死亡時）'!X$3="","",'CF表（奥様死亡時）'!X28/10000)</f>
        <v/>
      </c>
      <c r="Y28" s="227">
        <f>IF('CF表（奥様死亡時）'!Y$3="","",'CF表（奥様死亡時）'!Y28/10000)</f>
        <v/>
      </c>
      <c r="Z28" s="227">
        <f>IF('CF表（奥様死亡時）'!Z$3="","",'CF表（奥様死亡時）'!Z28/10000)</f>
        <v/>
      </c>
      <c r="AA28" s="227">
        <f>IF('CF表（奥様死亡時）'!AA$3="","",'CF表（奥様死亡時）'!AA28/10000)</f>
        <v/>
      </c>
      <c r="AB28" s="227">
        <f>IF('CF表（奥様死亡時）'!AB$3="","",'CF表（奥様死亡時）'!AB28/10000)</f>
        <v/>
      </c>
      <c r="AC28" s="227">
        <f>IF('CF表（奥様死亡時）'!AC$3="","",'CF表（奥様死亡時）'!AC28/10000)</f>
        <v/>
      </c>
      <c r="AD28" s="227">
        <f>IF('CF表（奥様死亡時）'!AD$3="","",'CF表（奥様死亡時）'!AD28/10000)</f>
        <v/>
      </c>
      <c r="AE28" s="227">
        <f>IF('CF表（奥様死亡時）'!AE$3="","",'CF表（奥様死亡時）'!AE28/10000)</f>
        <v/>
      </c>
      <c r="AF28" s="227">
        <f>IF('CF表（奥様死亡時）'!AF$3="","",'CF表（奥様死亡時）'!AF28/10000)</f>
        <v/>
      </c>
      <c r="AG28" s="227">
        <f>IF('CF表（奥様死亡時）'!AG$3="","",'CF表（奥様死亡時）'!AG28/10000)</f>
        <v/>
      </c>
      <c r="AH28" s="227">
        <f>IF('CF表（奥様死亡時）'!AH$3="","",'CF表（奥様死亡時）'!AH28/10000)</f>
        <v/>
      </c>
      <c r="AI28" s="227">
        <f>IF('CF表（奥様死亡時）'!AI$3="","",'CF表（奥様死亡時）'!AI28/10000)</f>
        <v/>
      </c>
      <c r="AJ28" s="227">
        <f>IF('CF表（奥様死亡時）'!AJ$3="","",'CF表（奥様死亡時）'!AJ28/10000)</f>
        <v/>
      </c>
      <c r="AK28" s="227">
        <f>IF('CF表（奥様死亡時）'!AK$3="","",'CF表（奥様死亡時）'!AK28/10000)</f>
        <v/>
      </c>
      <c r="AL28" s="227">
        <f>IF('CF表（奥様死亡時）'!AL$3="","",'CF表（奥様死亡時）'!AL28/10000)</f>
        <v/>
      </c>
      <c r="AM28" s="227">
        <f>IF('CF表（奥様死亡時）'!AM$3="","",'CF表（奥様死亡時）'!AM28/10000)</f>
        <v/>
      </c>
      <c r="AN28" s="227">
        <f>IF('CF表（奥様死亡時）'!AN$3="","",'CF表（奥様死亡時）'!AN28/10000)</f>
        <v/>
      </c>
      <c r="AO28" s="227">
        <f>IF('CF表（奥様死亡時）'!AO$3="","",'CF表（奥様死亡時）'!AO28/10000)</f>
        <v/>
      </c>
      <c r="AP28" s="227">
        <f>IF('CF表（奥様死亡時）'!AP$3="","",'CF表（奥様死亡時）'!AP28/10000)</f>
        <v/>
      </c>
      <c r="AQ28" s="227">
        <f>IF('CF表（奥様死亡時）'!AQ$3="","",'CF表（奥様死亡時）'!AQ28/10000)</f>
        <v/>
      </c>
      <c r="AR28" s="227">
        <f>IF('CF表（奥様死亡時）'!AR$3="","",'CF表（奥様死亡時）'!AR28/10000)</f>
        <v/>
      </c>
      <c r="AS28" s="227">
        <f>IF('CF表（奥様死亡時）'!AS$3="","",'CF表（奥様死亡時）'!AS28/10000)</f>
        <v/>
      </c>
      <c r="AT28" s="227">
        <f>IF('CF表（奥様死亡時）'!AT$3="","",'CF表（奥様死亡時）'!AT28/10000)</f>
        <v/>
      </c>
      <c r="AU28" s="227">
        <f>IF('CF表（奥様死亡時）'!AU$3="","",'CF表（奥様死亡時）'!AU28/10000)</f>
        <v/>
      </c>
      <c r="AV28" s="227">
        <f>IF('CF表（奥様死亡時）'!AV$3="","",'CF表（奥様死亡時）'!AV28/10000)</f>
        <v/>
      </c>
      <c r="AW28" s="227">
        <f>IF('CF表（奥様死亡時）'!AW$3="","",'CF表（奥様死亡時）'!AW28/10000)</f>
        <v/>
      </c>
      <c r="AX28" s="227">
        <f>IF('CF表（奥様死亡時）'!AX$3="","",'CF表（奥様死亡時）'!AX28/10000)</f>
        <v/>
      </c>
      <c r="AY28" s="227">
        <f>IF('CF表（奥様死亡時）'!AY$3="","",'CF表（奥様死亡時）'!AY28/10000)</f>
        <v/>
      </c>
      <c r="AZ28" s="227">
        <f>IF('CF表（奥様死亡時）'!AZ$3="","",'CF表（奥様死亡時）'!AZ28/10000)</f>
        <v/>
      </c>
      <c r="BA28" s="227">
        <f>IF('CF表（奥様死亡時）'!BA$3="","",'CF表（奥様死亡時）'!BA28/10000)</f>
        <v/>
      </c>
      <c r="BB28" s="227">
        <f>IF('CF表（奥様死亡時）'!BB$3="","",'CF表（奥様死亡時）'!BB28/10000)</f>
        <v/>
      </c>
      <c r="BC28" s="227">
        <f>IF('CF表（奥様死亡時）'!BC$3="","",'CF表（奥様死亡時）'!BC28/10000)</f>
        <v/>
      </c>
      <c r="BD28" s="227">
        <f>IF('CF表（奥様死亡時）'!BD$3="","",'CF表（奥様死亡時）'!BD28/10000)</f>
        <v/>
      </c>
      <c r="BE28" s="227">
        <f>IF('CF表（奥様死亡時）'!BE$3="","",'CF表（奥様死亡時）'!BE28/10000)</f>
        <v/>
      </c>
      <c r="BF28" s="227">
        <f>IF('CF表（奥様死亡時）'!BF$3="","",'CF表（奥様死亡時）'!BF28/10000)</f>
        <v/>
      </c>
      <c r="BG28" s="227">
        <f>IF('CF表（奥様死亡時）'!BG$3="","",'CF表（奥様死亡時）'!BG28/10000)</f>
        <v/>
      </c>
      <c r="BH28" s="227">
        <f>IF('CF表（奥様死亡時）'!BH$3="","",'CF表（奥様死亡時）'!BH28/10000)</f>
        <v/>
      </c>
      <c r="BI28" s="227">
        <f>IF('CF表（奥様死亡時）'!BI$3="","",'CF表（奥様死亡時）'!BI28/10000)</f>
        <v/>
      </c>
      <c r="BJ28" s="227">
        <f>IF('CF表（奥様死亡時）'!BJ$3="","",'CF表（奥様死亡時）'!BJ28/10000)</f>
        <v/>
      </c>
      <c r="BK28" s="227">
        <f>IF('CF表（奥様死亡時）'!BK$3="","",'CF表（奥様死亡時）'!BK28/10000)</f>
        <v/>
      </c>
      <c r="BL28" s="227">
        <f>IF('CF表（奥様死亡時）'!BL$3="","",'CF表（奥様死亡時）'!BL28/10000)</f>
        <v/>
      </c>
      <c r="BM28" s="227">
        <f>IF('CF表（奥様死亡時）'!BM$3="","",'CF表（奥様死亡時）'!BM28/10000)</f>
        <v/>
      </c>
      <c r="BN28" s="227">
        <f>IF('CF表（奥様死亡時）'!BN$3="","",'CF表（奥様死亡時）'!BN28/10000)</f>
        <v/>
      </c>
      <c r="BO28" s="227">
        <f>IF('CF表（奥様死亡時）'!BO$3="","",'CF表（奥様死亡時）'!BO28/10000)</f>
        <v/>
      </c>
      <c r="BP28" s="227">
        <f>IF('CF表（奥様死亡時）'!BP$3="","",'CF表（奥様死亡時）'!BP28/10000)</f>
        <v/>
      </c>
      <c r="BQ28" s="227">
        <f>IF('CF表（奥様死亡時）'!BQ$3="","",'CF表（奥様死亡時）'!BQ28/10000)</f>
        <v/>
      </c>
      <c r="BR28" s="227">
        <f>IF('CF表（奥様死亡時）'!BR$3="","",'CF表（奥様死亡時）'!BR28/10000)</f>
        <v/>
      </c>
      <c r="BS28" s="227">
        <f>IF('CF表（奥様死亡時）'!BS$3="","",'CF表（奥様死亡時）'!BS28/10000)</f>
        <v/>
      </c>
      <c r="BT28" s="227">
        <f>IF('CF表（奥様死亡時）'!BT$3="","",'CF表（奥様死亡時）'!BT28/10000)</f>
        <v/>
      </c>
      <c r="BU28" s="227">
        <f>IF('CF表（奥様死亡時）'!BU$3="","",'CF表（奥様死亡時）'!BU28/10000)</f>
        <v/>
      </c>
      <c r="BV28" s="227">
        <f>IF('CF表（奥様死亡時）'!BV$3="","",'CF表（奥様死亡時）'!BV28/10000)</f>
        <v/>
      </c>
      <c r="BW28" s="227">
        <f>IF('CF表（奥様死亡時）'!BW$3="","",'CF表（奥様死亡時）'!BW28/10000)</f>
        <v/>
      </c>
      <c r="BX28" s="227">
        <f>IF('CF表（奥様死亡時）'!BX$3="","",'CF表（奥様死亡時）'!BX28/10000)</f>
        <v/>
      </c>
      <c r="BY28" s="227">
        <f>IF('CF表（奥様死亡時）'!BY$3="","",'CF表（奥様死亡時）'!BY28/10000)</f>
        <v/>
      </c>
      <c r="BZ28" s="227">
        <f>IF('CF表（奥様死亡時）'!BZ$3="","",'CF表（奥様死亡時）'!BZ28/10000)</f>
        <v/>
      </c>
      <c r="CA28" s="227">
        <f>IF('CF表（奥様死亡時）'!CA$3="","",'CF表（奥様死亡時）'!CA28/10000)</f>
        <v/>
      </c>
      <c r="CB28" s="227">
        <f>IF('CF表（奥様死亡時）'!CB$3="","",'CF表（奥様死亡時）'!CB28/10000)</f>
        <v/>
      </c>
      <c r="CC28" s="227">
        <f>IF('CF表（奥様死亡時）'!CC$3="","",'CF表（奥様死亡時）'!CC28/10000)</f>
        <v/>
      </c>
      <c r="CD28" s="227">
        <f>IF('CF表（奥様死亡時）'!CD$3="","",'CF表（奥様死亡時）'!CD28/10000)</f>
        <v/>
      </c>
      <c r="CE28" s="227">
        <f>IF('CF表（奥様死亡時）'!CE$3="","",'CF表（奥様死亡時）'!CE28/10000)</f>
        <v/>
      </c>
      <c r="CF28" s="227">
        <f>IF('CF表（奥様死亡時）'!CF$3="","",'CF表（奥様死亡時）'!CF28/10000)</f>
        <v/>
      </c>
      <c r="CG28" s="227">
        <f>IF('CF表（奥様死亡時）'!CG$3="","",'CF表（奥様死亡時）'!CG28/10000)</f>
        <v/>
      </c>
      <c r="CH28" s="227">
        <f>IF('CF表（奥様死亡時）'!CH$3="","",'CF表（奥様死亡時）'!CH28/10000)</f>
        <v/>
      </c>
      <c r="CI28" s="227">
        <f>IF('CF表（奥様死亡時）'!CI$3="","",'CF表（奥様死亡時）'!CI28/10000)</f>
        <v/>
      </c>
      <c r="CJ28" s="227">
        <f>IF('CF表（奥様死亡時）'!CJ$3="","",'CF表（奥様死亡時）'!CJ28/10000)</f>
        <v/>
      </c>
      <c r="CK28" s="227">
        <f>IF('CF表（奥様死亡時）'!CK$3="","",'CF表（奥様死亡時）'!CK28/10000)</f>
        <v/>
      </c>
      <c r="CL28" s="227">
        <f>IF('CF表（奥様死亡時）'!CL$3="","",'CF表（奥様死亡時）'!CL28/10000)</f>
        <v/>
      </c>
      <c r="CM28" s="227">
        <f>IF('CF表（奥様死亡時）'!CM$3="","",'CF表（奥様死亡時）'!CM28/10000)</f>
        <v/>
      </c>
      <c r="CN28" s="227">
        <f>IF('CF表（奥様死亡時）'!CN$3="","",'CF表（奥様死亡時）'!CN28/10000)</f>
        <v/>
      </c>
      <c r="CO28" s="227">
        <f>IF('CF表（奥様死亡時）'!CO$3="","",'CF表（奥様死亡時）'!CO28/10000)</f>
        <v/>
      </c>
      <c r="CP28" s="227">
        <f>IF('CF表（奥様死亡時）'!CP$3="","",'CF表（奥様死亡時）'!CP28/10000)</f>
        <v/>
      </c>
      <c r="CQ28" s="227">
        <f>IF('CF表（奥様死亡時）'!CQ$3="","",'CF表（奥様死亡時）'!CQ28/10000)</f>
        <v/>
      </c>
      <c r="CR28" s="227">
        <f>IF('CF表（奥様死亡時）'!CR$3="","",'CF表（奥様死亡時）'!CR28/10000)</f>
        <v/>
      </c>
      <c r="CS28" s="227">
        <f>IF('CF表（奥様死亡時）'!CS$3="","",'CF表（奥様死亡時）'!CS28/10000)</f>
        <v/>
      </c>
      <c r="CT28" s="227">
        <f>IF('CF表（奥様死亡時）'!CT$3="","",'CF表（奥様死亡時）'!CT28/10000)</f>
        <v/>
      </c>
      <c r="CU28" s="227">
        <f>IF('CF表（奥様死亡時）'!CU$3="","",'CF表（奥様死亡時）'!CU28/10000)</f>
        <v/>
      </c>
      <c r="CV28" s="227">
        <f>IF('CF表（奥様死亡時）'!CV$3="","",'CF表（奥様死亡時）'!CV28/10000)</f>
        <v/>
      </c>
      <c r="CW28" s="227">
        <f>IF('CF表（奥様死亡時）'!CW$3="","",'CF表（奥様死亡時）'!CW28/10000)</f>
        <v/>
      </c>
    </row>
    <row r="29" ht="15" customHeight="1" s="180">
      <c r="A29" s="205" t="inlineStr">
        <is>
          <t>収支・資産</t>
        </is>
      </c>
      <c r="B29" s="228">
        <f>IF('CF表（奥様死亡時）'!B$3="","",'CF表（奥様死亡時）'!B29/10000)</f>
        <v/>
      </c>
      <c r="C29" s="228">
        <f>IF('CF表（奥様死亡時）'!C$3="","",'CF表（奥様死亡時）'!C29/10000)</f>
        <v/>
      </c>
      <c r="D29" s="228">
        <f>IF('CF表（奥様死亡時）'!D$3="","",'CF表（奥様死亡時）'!D29/10000)</f>
        <v/>
      </c>
      <c r="E29" s="228">
        <f>IF('CF表（奥様死亡時）'!E$3="","",'CF表（奥様死亡時）'!E29/10000)</f>
        <v/>
      </c>
      <c r="F29" s="228">
        <f>IF('CF表（奥様死亡時）'!F$3="","",'CF表（奥様死亡時）'!F29/10000)</f>
        <v/>
      </c>
      <c r="G29" s="228">
        <f>IF('CF表（奥様死亡時）'!G$3="","",'CF表（奥様死亡時）'!G29/10000)</f>
        <v/>
      </c>
      <c r="H29" s="228">
        <f>IF('CF表（奥様死亡時）'!H$3="","",'CF表（奥様死亡時）'!H29/10000)</f>
        <v/>
      </c>
      <c r="I29" s="228">
        <f>IF('CF表（奥様死亡時）'!I$3="","",'CF表（奥様死亡時）'!I29/10000)</f>
        <v/>
      </c>
      <c r="J29" s="228">
        <f>IF('CF表（奥様死亡時）'!J$3="","",'CF表（奥様死亡時）'!J29/10000)</f>
        <v/>
      </c>
      <c r="K29" s="228">
        <f>IF('CF表（奥様死亡時）'!K$3="","",'CF表（奥様死亡時）'!K29/10000)</f>
        <v/>
      </c>
      <c r="L29" s="228">
        <f>IF('CF表（奥様死亡時）'!L$3="","",'CF表（奥様死亡時）'!L29/10000)</f>
        <v/>
      </c>
      <c r="M29" s="228">
        <f>IF('CF表（奥様死亡時）'!M$3="","",'CF表（奥様死亡時）'!M29/10000)</f>
        <v/>
      </c>
      <c r="N29" s="228">
        <f>IF('CF表（奥様死亡時）'!N$3="","",'CF表（奥様死亡時）'!N29/10000)</f>
        <v/>
      </c>
      <c r="O29" s="228">
        <f>IF('CF表（奥様死亡時）'!O$3="","",'CF表（奥様死亡時）'!O29/10000)</f>
        <v/>
      </c>
      <c r="P29" s="228">
        <f>IF('CF表（奥様死亡時）'!P$3="","",'CF表（奥様死亡時）'!P29/10000)</f>
        <v/>
      </c>
      <c r="Q29" s="228">
        <f>IF('CF表（奥様死亡時）'!Q$3="","",'CF表（奥様死亡時）'!Q29/10000)</f>
        <v/>
      </c>
      <c r="R29" s="228">
        <f>IF('CF表（奥様死亡時）'!R$3="","",'CF表（奥様死亡時）'!R29/10000)</f>
        <v/>
      </c>
      <c r="S29" s="228">
        <f>IF('CF表（奥様死亡時）'!S$3="","",'CF表（奥様死亡時）'!S29/10000)</f>
        <v/>
      </c>
      <c r="T29" s="228">
        <f>IF('CF表（奥様死亡時）'!T$3="","",'CF表（奥様死亡時）'!T29/10000)</f>
        <v/>
      </c>
      <c r="U29" s="228">
        <f>IF('CF表（奥様死亡時）'!U$3="","",'CF表（奥様死亡時）'!U29/10000)</f>
        <v/>
      </c>
      <c r="V29" s="228">
        <f>IF('CF表（奥様死亡時）'!V$3="","",'CF表（奥様死亡時）'!V29/10000)</f>
        <v/>
      </c>
      <c r="W29" s="228">
        <f>IF('CF表（奥様死亡時）'!W$3="","",'CF表（奥様死亡時）'!W29/10000)</f>
        <v/>
      </c>
      <c r="X29" s="228">
        <f>IF('CF表（奥様死亡時）'!X$3="","",'CF表（奥様死亡時）'!X29/10000)</f>
        <v/>
      </c>
      <c r="Y29" s="228">
        <f>IF('CF表（奥様死亡時）'!Y$3="","",'CF表（奥様死亡時）'!Y29/10000)</f>
        <v/>
      </c>
      <c r="Z29" s="228">
        <f>IF('CF表（奥様死亡時）'!Z$3="","",'CF表（奥様死亡時）'!Z29/10000)</f>
        <v/>
      </c>
      <c r="AA29" s="228">
        <f>IF('CF表（奥様死亡時）'!AA$3="","",'CF表（奥様死亡時）'!AA29/10000)</f>
        <v/>
      </c>
      <c r="AB29" s="228">
        <f>IF('CF表（奥様死亡時）'!AB$3="","",'CF表（奥様死亡時）'!AB29/10000)</f>
        <v/>
      </c>
      <c r="AC29" s="228">
        <f>IF('CF表（奥様死亡時）'!AC$3="","",'CF表（奥様死亡時）'!AC29/10000)</f>
        <v/>
      </c>
      <c r="AD29" s="228">
        <f>IF('CF表（奥様死亡時）'!AD$3="","",'CF表（奥様死亡時）'!AD29/10000)</f>
        <v/>
      </c>
      <c r="AE29" s="228">
        <f>IF('CF表（奥様死亡時）'!AE$3="","",'CF表（奥様死亡時）'!AE29/10000)</f>
        <v/>
      </c>
      <c r="AF29" s="228">
        <f>IF('CF表（奥様死亡時）'!AF$3="","",'CF表（奥様死亡時）'!AF29/10000)</f>
        <v/>
      </c>
      <c r="AG29" s="228">
        <f>IF('CF表（奥様死亡時）'!AG$3="","",'CF表（奥様死亡時）'!AG29/10000)</f>
        <v/>
      </c>
      <c r="AH29" s="228">
        <f>IF('CF表（奥様死亡時）'!AH$3="","",'CF表（奥様死亡時）'!AH29/10000)</f>
        <v/>
      </c>
      <c r="AI29" s="228">
        <f>IF('CF表（奥様死亡時）'!AI$3="","",'CF表（奥様死亡時）'!AI29/10000)</f>
        <v/>
      </c>
      <c r="AJ29" s="228">
        <f>IF('CF表（奥様死亡時）'!AJ$3="","",'CF表（奥様死亡時）'!AJ29/10000)</f>
        <v/>
      </c>
      <c r="AK29" s="228">
        <f>IF('CF表（奥様死亡時）'!AK$3="","",'CF表（奥様死亡時）'!AK29/10000)</f>
        <v/>
      </c>
      <c r="AL29" s="228">
        <f>IF('CF表（奥様死亡時）'!AL$3="","",'CF表（奥様死亡時）'!AL29/10000)</f>
        <v/>
      </c>
      <c r="AM29" s="228">
        <f>IF('CF表（奥様死亡時）'!AM$3="","",'CF表（奥様死亡時）'!AM29/10000)</f>
        <v/>
      </c>
      <c r="AN29" s="228">
        <f>IF('CF表（奥様死亡時）'!AN$3="","",'CF表（奥様死亡時）'!AN29/10000)</f>
        <v/>
      </c>
      <c r="AO29" s="228">
        <f>IF('CF表（奥様死亡時）'!AO$3="","",'CF表（奥様死亡時）'!AO29/10000)</f>
        <v/>
      </c>
      <c r="AP29" s="228">
        <f>IF('CF表（奥様死亡時）'!AP$3="","",'CF表（奥様死亡時）'!AP29/10000)</f>
        <v/>
      </c>
      <c r="AQ29" s="228">
        <f>IF('CF表（奥様死亡時）'!AQ$3="","",'CF表（奥様死亡時）'!AQ29/10000)</f>
        <v/>
      </c>
      <c r="AR29" s="228">
        <f>IF('CF表（奥様死亡時）'!AR$3="","",'CF表（奥様死亡時）'!AR29/10000)</f>
        <v/>
      </c>
      <c r="AS29" s="228">
        <f>IF('CF表（奥様死亡時）'!AS$3="","",'CF表（奥様死亡時）'!AS29/10000)</f>
        <v/>
      </c>
      <c r="AT29" s="228">
        <f>IF('CF表（奥様死亡時）'!AT$3="","",'CF表（奥様死亡時）'!AT29/10000)</f>
        <v/>
      </c>
      <c r="AU29" s="228">
        <f>IF('CF表（奥様死亡時）'!AU$3="","",'CF表（奥様死亡時）'!AU29/10000)</f>
        <v/>
      </c>
      <c r="AV29" s="228">
        <f>IF('CF表（奥様死亡時）'!AV$3="","",'CF表（奥様死亡時）'!AV29/10000)</f>
        <v/>
      </c>
      <c r="AW29" s="228">
        <f>IF('CF表（奥様死亡時）'!AW$3="","",'CF表（奥様死亡時）'!AW29/10000)</f>
        <v/>
      </c>
      <c r="AX29" s="228">
        <f>IF('CF表（奥様死亡時）'!AX$3="","",'CF表（奥様死亡時）'!AX29/10000)</f>
        <v/>
      </c>
      <c r="AY29" s="228">
        <f>IF('CF表（奥様死亡時）'!AY$3="","",'CF表（奥様死亡時）'!AY29/10000)</f>
        <v/>
      </c>
      <c r="AZ29" s="228">
        <f>IF('CF表（奥様死亡時）'!AZ$3="","",'CF表（奥様死亡時）'!AZ29/10000)</f>
        <v/>
      </c>
      <c r="BA29" s="228">
        <f>IF('CF表（奥様死亡時）'!BA$3="","",'CF表（奥様死亡時）'!BA29/10000)</f>
        <v/>
      </c>
      <c r="BB29" s="228">
        <f>IF('CF表（奥様死亡時）'!BB$3="","",'CF表（奥様死亡時）'!BB29/10000)</f>
        <v/>
      </c>
      <c r="BC29" s="228">
        <f>IF('CF表（奥様死亡時）'!BC$3="","",'CF表（奥様死亡時）'!BC29/10000)</f>
        <v/>
      </c>
      <c r="BD29" s="228">
        <f>IF('CF表（奥様死亡時）'!BD$3="","",'CF表（奥様死亡時）'!BD29/10000)</f>
        <v/>
      </c>
      <c r="BE29" s="228">
        <f>IF('CF表（奥様死亡時）'!BE$3="","",'CF表（奥様死亡時）'!BE29/10000)</f>
        <v/>
      </c>
      <c r="BF29" s="228">
        <f>IF('CF表（奥様死亡時）'!BF$3="","",'CF表（奥様死亡時）'!BF29/10000)</f>
        <v/>
      </c>
      <c r="BG29" s="228">
        <f>IF('CF表（奥様死亡時）'!BG$3="","",'CF表（奥様死亡時）'!BG29/10000)</f>
        <v/>
      </c>
      <c r="BH29" s="228">
        <f>IF('CF表（奥様死亡時）'!BH$3="","",'CF表（奥様死亡時）'!BH29/10000)</f>
        <v/>
      </c>
      <c r="BI29" s="228">
        <f>IF('CF表（奥様死亡時）'!BI$3="","",'CF表（奥様死亡時）'!BI29/10000)</f>
        <v/>
      </c>
      <c r="BJ29" s="228">
        <f>IF('CF表（奥様死亡時）'!BJ$3="","",'CF表（奥様死亡時）'!BJ29/10000)</f>
        <v/>
      </c>
      <c r="BK29" s="228">
        <f>IF('CF表（奥様死亡時）'!BK$3="","",'CF表（奥様死亡時）'!BK29/10000)</f>
        <v/>
      </c>
      <c r="BL29" s="228">
        <f>IF('CF表（奥様死亡時）'!BL$3="","",'CF表（奥様死亡時）'!BL29/10000)</f>
        <v/>
      </c>
      <c r="BM29" s="228">
        <f>IF('CF表（奥様死亡時）'!BM$3="","",'CF表（奥様死亡時）'!BM29/10000)</f>
        <v/>
      </c>
      <c r="BN29" s="228">
        <f>IF('CF表（奥様死亡時）'!BN$3="","",'CF表（奥様死亡時）'!BN29/10000)</f>
        <v/>
      </c>
      <c r="BO29" s="228">
        <f>IF('CF表（奥様死亡時）'!BO$3="","",'CF表（奥様死亡時）'!BO29/10000)</f>
        <v/>
      </c>
      <c r="BP29" s="228">
        <f>IF('CF表（奥様死亡時）'!BP$3="","",'CF表（奥様死亡時）'!BP29/10000)</f>
        <v/>
      </c>
      <c r="BQ29" s="228">
        <f>IF('CF表（奥様死亡時）'!BQ$3="","",'CF表（奥様死亡時）'!BQ29/10000)</f>
        <v/>
      </c>
      <c r="BR29" s="228">
        <f>IF('CF表（奥様死亡時）'!BR$3="","",'CF表（奥様死亡時）'!BR29/10000)</f>
        <v/>
      </c>
      <c r="BS29" s="228">
        <f>IF('CF表（奥様死亡時）'!BS$3="","",'CF表（奥様死亡時）'!BS29/10000)</f>
        <v/>
      </c>
      <c r="BT29" s="228">
        <f>IF('CF表（奥様死亡時）'!BT$3="","",'CF表（奥様死亡時）'!BT29/10000)</f>
        <v/>
      </c>
      <c r="BU29" s="228">
        <f>IF('CF表（奥様死亡時）'!BU$3="","",'CF表（奥様死亡時）'!BU29/10000)</f>
        <v/>
      </c>
      <c r="BV29" s="228">
        <f>IF('CF表（奥様死亡時）'!BV$3="","",'CF表（奥様死亡時）'!BV29/10000)</f>
        <v/>
      </c>
      <c r="BW29" s="228">
        <f>IF('CF表（奥様死亡時）'!BW$3="","",'CF表（奥様死亡時）'!BW29/10000)</f>
        <v/>
      </c>
      <c r="BX29" s="228">
        <f>IF('CF表（奥様死亡時）'!BX$3="","",'CF表（奥様死亡時）'!BX29/10000)</f>
        <v/>
      </c>
      <c r="BY29" s="228">
        <f>IF('CF表（奥様死亡時）'!BY$3="","",'CF表（奥様死亡時）'!BY29/10000)</f>
        <v/>
      </c>
      <c r="BZ29" s="228">
        <f>IF('CF表（奥様死亡時）'!BZ$3="","",'CF表（奥様死亡時）'!BZ29/10000)</f>
        <v/>
      </c>
      <c r="CA29" s="228">
        <f>IF('CF表（奥様死亡時）'!CA$3="","",'CF表（奥様死亡時）'!CA29/10000)</f>
        <v/>
      </c>
      <c r="CB29" s="228">
        <f>IF('CF表（奥様死亡時）'!CB$3="","",'CF表（奥様死亡時）'!CB29/10000)</f>
        <v/>
      </c>
      <c r="CC29" s="228">
        <f>IF('CF表（奥様死亡時）'!CC$3="","",'CF表（奥様死亡時）'!CC29/10000)</f>
        <v/>
      </c>
      <c r="CD29" s="228">
        <f>IF('CF表（奥様死亡時）'!CD$3="","",'CF表（奥様死亡時）'!CD29/10000)</f>
        <v/>
      </c>
      <c r="CE29" s="228">
        <f>IF('CF表（奥様死亡時）'!CE$3="","",'CF表（奥様死亡時）'!CE29/10000)</f>
        <v/>
      </c>
      <c r="CF29" s="228">
        <f>IF('CF表（奥様死亡時）'!CF$3="","",'CF表（奥様死亡時）'!CF29/10000)</f>
        <v/>
      </c>
      <c r="CG29" s="228">
        <f>IF('CF表（奥様死亡時）'!CG$3="","",'CF表（奥様死亡時）'!CG29/10000)</f>
        <v/>
      </c>
      <c r="CH29" s="228">
        <f>IF('CF表（奥様死亡時）'!CH$3="","",'CF表（奥様死亡時）'!CH29/10000)</f>
        <v/>
      </c>
      <c r="CI29" s="228">
        <f>IF('CF表（奥様死亡時）'!CI$3="","",'CF表（奥様死亡時）'!CI29/10000)</f>
        <v/>
      </c>
      <c r="CJ29" s="228">
        <f>IF('CF表（奥様死亡時）'!CJ$3="","",'CF表（奥様死亡時）'!CJ29/10000)</f>
        <v/>
      </c>
      <c r="CK29" s="228">
        <f>IF('CF表（奥様死亡時）'!CK$3="","",'CF表（奥様死亡時）'!CK29/10000)</f>
        <v/>
      </c>
      <c r="CL29" s="228">
        <f>IF('CF表（奥様死亡時）'!CL$3="","",'CF表（奥様死亡時）'!CL29/10000)</f>
        <v/>
      </c>
      <c r="CM29" s="228">
        <f>IF('CF表（奥様死亡時）'!CM$3="","",'CF表（奥様死亡時）'!CM29/10000)</f>
        <v/>
      </c>
      <c r="CN29" s="228">
        <f>IF('CF表（奥様死亡時）'!CN$3="","",'CF表（奥様死亡時）'!CN29/10000)</f>
        <v/>
      </c>
      <c r="CO29" s="228">
        <f>IF('CF表（奥様死亡時）'!CO$3="","",'CF表（奥様死亡時）'!CO29/10000)</f>
        <v/>
      </c>
      <c r="CP29" s="228">
        <f>IF('CF表（奥様死亡時）'!CP$3="","",'CF表（奥様死亡時）'!CP29/10000)</f>
        <v/>
      </c>
      <c r="CQ29" s="228">
        <f>IF('CF表（奥様死亡時）'!CQ$3="","",'CF表（奥様死亡時）'!CQ29/10000)</f>
        <v/>
      </c>
      <c r="CR29" s="228">
        <f>IF('CF表（奥様死亡時）'!CR$3="","",'CF表（奥様死亡時）'!CR29/10000)</f>
        <v/>
      </c>
      <c r="CS29" s="228">
        <f>IF('CF表（奥様死亡時）'!CS$3="","",'CF表（奥様死亡時）'!CS29/10000)</f>
        <v/>
      </c>
      <c r="CT29" s="228">
        <f>IF('CF表（奥様死亡時）'!CT$3="","",'CF表（奥様死亡時）'!CT29/10000)</f>
        <v/>
      </c>
      <c r="CU29" s="228">
        <f>IF('CF表（奥様死亡時）'!CU$3="","",'CF表（奥様死亡時）'!CU29/10000)</f>
        <v/>
      </c>
      <c r="CV29" s="228">
        <f>IF('CF表（奥様死亡時）'!CV$3="","",'CF表（奥様死亡時）'!CV29/10000)</f>
        <v/>
      </c>
      <c r="CW29" s="228">
        <f>IF('CF表（奥様死亡時）'!CW$3="","",'CF表（奥様死亡時）'!CW29/10000)</f>
        <v/>
      </c>
    </row>
    <row r="30" ht="21.75" customHeight="1" s="180">
      <c r="A30" s="229" t="inlineStr">
        <is>
          <t>年間収支</t>
        </is>
      </c>
      <c r="B30" s="230">
        <f>IF('CF表（奥様死亡時）'!B$3="","",'CF表（奥様死亡時）'!B30/10000)</f>
        <v/>
      </c>
      <c r="C30" s="230">
        <f>IF('CF表（奥様死亡時）'!C$3="","",'CF表（奥様死亡時）'!C30/10000)</f>
        <v/>
      </c>
      <c r="D30" s="230">
        <f>IF('CF表（奥様死亡時）'!D$3="","",'CF表（奥様死亡時）'!D30/10000)</f>
        <v/>
      </c>
      <c r="E30" s="230">
        <f>IF('CF表（奥様死亡時）'!E$3="","",'CF表（奥様死亡時）'!E30/10000)</f>
        <v/>
      </c>
      <c r="F30" s="230">
        <f>IF('CF表（奥様死亡時）'!F$3="","",'CF表（奥様死亡時）'!F30/10000)</f>
        <v/>
      </c>
      <c r="G30" s="230">
        <f>IF('CF表（奥様死亡時）'!G$3="","",'CF表（奥様死亡時）'!G30/10000)</f>
        <v/>
      </c>
      <c r="H30" s="230">
        <f>IF('CF表（奥様死亡時）'!H$3="","",'CF表（奥様死亡時）'!H30/10000)</f>
        <v/>
      </c>
      <c r="I30" s="230">
        <f>IF('CF表（奥様死亡時）'!I$3="","",'CF表（奥様死亡時）'!I30/10000)</f>
        <v/>
      </c>
      <c r="J30" s="230">
        <f>IF('CF表（奥様死亡時）'!J$3="","",'CF表（奥様死亡時）'!J30/10000)</f>
        <v/>
      </c>
      <c r="K30" s="230">
        <f>IF('CF表（奥様死亡時）'!K$3="","",'CF表（奥様死亡時）'!K30/10000)</f>
        <v/>
      </c>
      <c r="L30" s="230">
        <f>IF('CF表（奥様死亡時）'!L$3="","",'CF表（奥様死亡時）'!L30/10000)</f>
        <v/>
      </c>
      <c r="M30" s="230">
        <f>IF('CF表（奥様死亡時）'!M$3="","",'CF表（奥様死亡時）'!M30/10000)</f>
        <v/>
      </c>
      <c r="N30" s="230">
        <f>IF('CF表（奥様死亡時）'!N$3="","",'CF表（奥様死亡時）'!N30/10000)</f>
        <v/>
      </c>
      <c r="O30" s="230">
        <f>IF('CF表（奥様死亡時）'!O$3="","",'CF表（奥様死亡時）'!O30/10000)</f>
        <v/>
      </c>
      <c r="P30" s="230">
        <f>IF('CF表（奥様死亡時）'!P$3="","",'CF表（奥様死亡時）'!P30/10000)</f>
        <v/>
      </c>
      <c r="Q30" s="230">
        <f>IF('CF表（奥様死亡時）'!Q$3="","",'CF表（奥様死亡時）'!Q30/10000)</f>
        <v/>
      </c>
      <c r="R30" s="230">
        <f>IF('CF表（奥様死亡時）'!R$3="","",'CF表（奥様死亡時）'!R30/10000)</f>
        <v/>
      </c>
      <c r="S30" s="230">
        <f>IF('CF表（奥様死亡時）'!S$3="","",'CF表（奥様死亡時）'!S30/10000)</f>
        <v/>
      </c>
      <c r="T30" s="230">
        <f>IF('CF表（奥様死亡時）'!T$3="","",'CF表（奥様死亡時）'!T30/10000)</f>
        <v/>
      </c>
      <c r="U30" s="230">
        <f>IF('CF表（奥様死亡時）'!U$3="","",'CF表（奥様死亡時）'!U30/10000)</f>
        <v/>
      </c>
      <c r="V30" s="230">
        <f>IF('CF表（奥様死亡時）'!V$3="","",'CF表（奥様死亡時）'!V30/10000)</f>
        <v/>
      </c>
      <c r="W30" s="230">
        <f>IF('CF表（奥様死亡時）'!W$3="","",'CF表（奥様死亡時）'!W30/10000)</f>
        <v/>
      </c>
      <c r="X30" s="230">
        <f>IF('CF表（奥様死亡時）'!X$3="","",'CF表（奥様死亡時）'!X30/10000)</f>
        <v/>
      </c>
      <c r="Y30" s="230">
        <f>IF('CF表（奥様死亡時）'!Y$3="","",'CF表（奥様死亡時）'!Y30/10000)</f>
        <v/>
      </c>
      <c r="Z30" s="230">
        <f>IF('CF表（奥様死亡時）'!Z$3="","",'CF表（奥様死亡時）'!Z30/10000)</f>
        <v/>
      </c>
      <c r="AA30" s="230">
        <f>IF('CF表（奥様死亡時）'!AA$3="","",'CF表（奥様死亡時）'!AA30/10000)</f>
        <v/>
      </c>
      <c r="AB30" s="230">
        <f>IF('CF表（奥様死亡時）'!AB$3="","",'CF表（奥様死亡時）'!AB30/10000)</f>
        <v/>
      </c>
      <c r="AC30" s="230">
        <f>IF('CF表（奥様死亡時）'!AC$3="","",'CF表（奥様死亡時）'!AC30/10000)</f>
        <v/>
      </c>
      <c r="AD30" s="230">
        <f>IF('CF表（奥様死亡時）'!AD$3="","",'CF表（奥様死亡時）'!AD30/10000)</f>
        <v/>
      </c>
      <c r="AE30" s="230">
        <f>IF('CF表（奥様死亡時）'!AE$3="","",'CF表（奥様死亡時）'!AE30/10000)</f>
        <v/>
      </c>
      <c r="AF30" s="230">
        <f>IF('CF表（奥様死亡時）'!AF$3="","",'CF表（奥様死亡時）'!AF30/10000)</f>
        <v/>
      </c>
      <c r="AG30" s="230">
        <f>IF('CF表（奥様死亡時）'!AG$3="","",'CF表（奥様死亡時）'!AG30/10000)</f>
        <v/>
      </c>
      <c r="AH30" s="230">
        <f>IF('CF表（奥様死亡時）'!AH$3="","",'CF表（奥様死亡時）'!AH30/10000)</f>
        <v/>
      </c>
      <c r="AI30" s="230">
        <f>IF('CF表（奥様死亡時）'!AI$3="","",'CF表（奥様死亡時）'!AI30/10000)</f>
        <v/>
      </c>
      <c r="AJ30" s="230">
        <f>IF('CF表（奥様死亡時）'!AJ$3="","",'CF表（奥様死亡時）'!AJ30/10000)</f>
        <v/>
      </c>
      <c r="AK30" s="230">
        <f>IF('CF表（奥様死亡時）'!AK$3="","",'CF表（奥様死亡時）'!AK30/10000)</f>
        <v/>
      </c>
      <c r="AL30" s="230">
        <f>IF('CF表（奥様死亡時）'!AL$3="","",'CF表（奥様死亡時）'!AL30/10000)</f>
        <v/>
      </c>
      <c r="AM30" s="230">
        <f>IF('CF表（奥様死亡時）'!AM$3="","",'CF表（奥様死亡時）'!AM30/10000)</f>
        <v/>
      </c>
      <c r="AN30" s="230">
        <f>IF('CF表（奥様死亡時）'!AN$3="","",'CF表（奥様死亡時）'!AN30/10000)</f>
        <v/>
      </c>
      <c r="AO30" s="230">
        <f>IF('CF表（奥様死亡時）'!AO$3="","",'CF表（奥様死亡時）'!AO30/10000)</f>
        <v/>
      </c>
      <c r="AP30" s="230">
        <f>IF('CF表（奥様死亡時）'!AP$3="","",'CF表（奥様死亡時）'!AP30/10000)</f>
        <v/>
      </c>
      <c r="AQ30" s="230">
        <f>IF('CF表（奥様死亡時）'!AQ$3="","",'CF表（奥様死亡時）'!AQ30/10000)</f>
        <v/>
      </c>
      <c r="AR30" s="230">
        <f>IF('CF表（奥様死亡時）'!AR$3="","",'CF表（奥様死亡時）'!AR30/10000)</f>
        <v/>
      </c>
      <c r="AS30" s="230">
        <f>IF('CF表（奥様死亡時）'!AS$3="","",'CF表（奥様死亡時）'!AS30/10000)</f>
        <v/>
      </c>
      <c r="AT30" s="230">
        <f>IF('CF表（奥様死亡時）'!AT$3="","",'CF表（奥様死亡時）'!AT30/10000)</f>
        <v/>
      </c>
      <c r="AU30" s="230">
        <f>IF('CF表（奥様死亡時）'!AU$3="","",'CF表（奥様死亡時）'!AU30/10000)</f>
        <v/>
      </c>
      <c r="AV30" s="230">
        <f>IF('CF表（奥様死亡時）'!AV$3="","",'CF表（奥様死亡時）'!AV30/10000)</f>
        <v/>
      </c>
      <c r="AW30" s="230">
        <f>IF('CF表（奥様死亡時）'!AW$3="","",'CF表（奥様死亡時）'!AW30/10000)</f>
        <v/>
      </c>
      <c r="AX30" s="230">
        <f>IF('CF表（奥様死亡時）'!AX$3="","",'CF表（奥様死亡時）'!AX30/10000)</f>
        <v/>
      </c>
      <c r="AY30" s="230">
        <f>IF('CF表（奥様死亡時）'!AY$3="","",'CF表（奥様死亡時）'!AY30/10000)</f>
        <v/>
      </c>
      <c r="AZ30" s="230">
        <f>IF('CF表（奥様死亡時）'!AZ$3="","",'CF表（奥様死亡時）'!AZ30/10000)</f>
        <v/>
      </c>
      <c r="BA30" s="230">
        <f>IF('CF表（奥様死亡時）'!BA$3="","",'CF表（奥様死亡時）'!BA30/10000)</f>
        <v/>
      </c>
      <c r="BB30" s="230">
        <f>IF('CF表（奥様死亡時）'!BB$3="","",'CF表（奥様死亡時）'!BB30/10000)</f>
        <v/>
      </c>
      <c r="BC30" s="230">
        <f>IF('CF表（奥様死亡時）'!BC$3="","",'CF表（奥様死亡時）'!BC30/10000)</f>
        <v/>
      </c>
      <c r="BD30" s="230">
        <f>IF('CF表（奥様死亡時）'!BD$3="","",'CF表（奥様死亡時）'!BD30/10000)</f>
        <v/>
      </c>
      <c r="BE30" s="230">
        <f>IF('CF表（奥様死亡時）'!BE$3="","",'CF表（奥様死亡時）'!BE30/10000)</f>
        <v/>
      </c>
      <c r="BF30" s="230">
        <f>IF('CF表（奥様死亡時）'!BF$3="","",'CF表（奥様死亡時）'!BF30/10000)</f>
        <v/>
      </c>
      <c r="BG30" s="230">
        <f>IF('CF表（奥様死亡時）'!BG$3="","",'CF表（奥様死亡時）'!BG30/10000)</f>
        <v/>
      </c>
      <c r="BH30" s="230">
        <f>IF('CF表（奥様死亡時）'!BH$3="","",'CF表（奥様死亡時）'!BH30/10000)</f>
        <v/>
      </c>
      <c r="BI30" s="230">
        <f>IF('CF表（奥様死亡時）'!BI$3="","",'CF表（奥様死亡時）'!BI30/10000)</f>
        <v/>
      </c>
      <c r="BJ30" s="230">
        <f>IF('CF表（奥様死亡時）'!BJ$3="","",'CF表（奥様死亡時）'!BJ30/10000)</f>
        <v/>
      </c>
      <c r="BK30" s="230">
        <f>IF('CF表（奥様死亡時）'!BK$3="","",'CF表（奥様死亡時）'!BK30/10000)</f>
        <v/>
      </c>
      <c r="BL30" s="230">
        <f>IF('CF表（奥様死亡時）'!BL$3="","",'CF表（奥様死亡時）'!BL30/10000)</f>
        <v/>
      </c>
      <c r="BM30" s="230">
        <f>IF('CF表（奥様死亡時）'!BM$3="","",'CF表（奥様死亡時）'!BM30/10000)</f>
        <v/>
      </c>
      <c r="BN30" s="230">
        <f>IF('CF表（奥様死亡時）'!BN$3="","",'CF表（奥様死亡時）'!BN30/10000)</f>
        <v/>
      </c>
      <c r="BO30" s="230">
        <f>IF('CF表（奥様死亡時）'!BO$3="","",'CF表（奥様死亡時）'!BO30/10000)</f>
        <v/>
      </c>
      <c r="BP30" s="230">
        <f>IF('CF表（奥様死亡時）'!BP$3="","",'CF表（奥様死亡時）'!BP30/10000)</f>
        <v/>
      </c>
      <c r="BQ30" s="230">
        <f>IF('CF表（奥様死亡時）'!BQ$3="","",'CF表（奥様死亡時）'!BQ30/10000)</f>
        <v/>
      </c>
      <c r="BR30" s="230">
        <f>IF('CF表（奥様死亡時）'!BR$3="","",'CF表（奥様死亡時）'!BR30/10000)</f>
        <v/>
      </c>
      <c r="BS30" s="230">
        <f>IF('CF表（奥様死亡時）'!BS$3="","",'CF表（奥様死亡時）'!BS30/10000)</f>
        <v/>
      </c>
      <c r="BT30" s="230">
        <f>IF('CF表（奥様死亡時）'!BT$3="","",'CF表（奥様死亡時）'!BT30/10000)</f>
        <v/>
      </c>
      <c r="BU30" s="230">
        <f>IF('CF表（奥様死亡時）'!BU$3="","",'CF表（奥様死亡時）'!BU30/10000)</f>
        <v/>
      </c>
      <c r="BV30" s="230">
        <f>IF('CF表（奥様死亡時）'!BV$3="","",'CF表（奥様死亡時）'!BV30/10000)</f>
        <v/>
      </c>
      <c r="BW30" s="230">
        <f>IF('CF表（奥様死亡時）'!BW$3="","",'CF表（奥様死亡時）'!BW30/10000)</f>
        <v/>
      </c>
      <c r="BX30" s="230">
        <f>IF('CF表（奥様死亡時）'!BX$3="","",'CF表（奥様死亡時）'!BX30/10000)</f>
        <v/>
      </c>
      <c r="BY30" s="230">
        <f>IF('CF表（奥様死亡時）'!BY$3="","",'CF表（奥様死亡時）'!BY30/10000)</f>
        <v/>
      </c>
      <c r="BZ30" s="230">
        <f>IF('CF表（奥様死亡時）'!BZ$3="","",'CF表（奥様死亡時）'!BZ30/10000)</f>
        <v/>
      </c>
      <c r="CA30" s="230">
        <f>IF('CF表（奥様死亡時）'!CA$3="","",'CF表（奥様死亡時）'!CA30/10000)</f>
        <v/>
      </c>
      <c r="CB30" s="230">
        <f>IF('CF表（奥様死亡時）'!CB$3="","",'CF表（奥様死亡時）'!CB30/10000)</f>
        <v/>
      </c>
      <c r="CC30" s="230">
        <f>IF('CF表（奥様死亡時）'!CC$3="","",'CF表（奥様死亡時）'!CC30/10000)</f>
        <v/>
      </c>
      <c r="CD30" s="230">
        <f>IF('CF表（奥様死亡時）'!CD$3="","",'CF表（奥様死亡時）'!CD30/10000)</f>
        <v/>
      </c>
      <c r="CE30" s="230">
        <f>IF('CF表（奥様死亡時）'!CE$3="","",'CF表（奥様死亡時）'!CE30/10000)</f>
        <v/>
      </c>
      <c r="CF30" s="230">
        <f>IF('CF表（奥様死亡時）'!CF$3="","",'CF表（奥様死亡時）'!CF30/10000)</f>
        <v/>
      </c>
      <c r="CG30" s="230">
        <f>IF('CF表（奥様死亡時）'!CG$3="","",'CF表（奥様死亡時）'!CG30/10000)</f>
        <v/>
      </c>
      <c r="CH30" s="230">
        <f>IF('CF表（奥様死亡時）'!CH$3="","",'CF表（奥様死亡時）'!CH30/10000)</f>
        <v/>
      </c>
      <c r="CI30" s="230">
        <f>IF('CF表（奥様死亡時）'!CI$3="","",'CF表（奥様死亡時）'!CI30/10000)</f>
        <v/>
      </c>
      <c r="CJ30" s="230">
        <f>IF('CF表（奥様死亡時）'!CJ$3="","",'CF表（奥様死亡時）'!CJ30/10000)</f>
        <v/>
      </c>
      <c r="CK30" s="230">
        <f>IF('CF表（奥様死亡時）'!CK$3="","",'CF表（奥様死亡時）'!CK30/10000)</f>
        <v/>
      </c>
      <c r="CL30" s="230">
        <f>IF('CF表（奥様死亡時）'!CL$3="","",'CF表（奥様死亡時）'!CL30/10000)</f>
        <v/>
      </c>
      <c r="CM30" s="230">
        <f>IF('CF表（奥様死亡時）'!CM$3="","",'CF表（奥様死亡時）'!CM30/10000)</f>
        <v/>
      </c>
      <c r="CN30" s="230">
        <f>IF('CF表（奥様死亡時）'!CN$3="","",'CF表（奥様死亡時）'!CN30/10000)</f>
        <v/>
      </c>
      <c r="CO30" s="230">
        <f>IF('CF表（奥様死亡時）'!CO$3="","",'CF表（奥様死亡時）'!CO30/10000)</f>
        <v/>
      </c>
      <c r="CP30" s="230">
        <f>IF('CF表（奥様死亡時）'!CP$3="","",'CF表（奥様死亡時）'!CP30/10000)</f>
        <v/>
      </c>
      <c r="CQ30" s="230">
        <f>IF('CF表（奥様死亡時）'!CQ$3="","",'CF表（奥様死亡時）'!CQ30/10000)</f>
        <v/>
      </c>
      <c r="CR30" s="230">
        <f>IF('CF表（奥様死亡時）'!CR$3="","",'CF表（奥様死亡時）'!CR30/10000)</f>
        <v/>
      </c>
      <c r="CS30" s="230">
        <f>IF('CF表（奥様死亡時）'!CS$3="","",'CF表（奥様死亡時）'!CS30/10000)</f>
        <v/>
      </c>
      <c r="CT30" s="230">
        <f>IF('CF表（奥様死亡時）'!CT$3="","",'CF表（奥様死亡時）'!CT30/10000)</f>
        <v/>
      </c>
      <c r="CU30" s="230">
        <f>IF('CF表（奥様死亡時）'!CU$3="","",'CF表（奥様死亡時）'!CU30/10000)</f>
        <v/>
      </c>
      <c r="CV30" s="230">
        <f>IF('CF表（奥様死亡時）'!CV$3="","",'CF表（奥様死亡時）'!CV30/10000)</f>
        <v/>
      </c>
      <c r="CW30" s="230">
        <f>IF('CF表（奥様死亡時）'!CW$3="","",'CF表（奥様死亡時）'!CW30/10000)</f>
        <v/>
      </c>
    </row>
    <row r="31" ht="15" customHeight="1" s="180">
      <c r="A31" s="231" t="inlineStr">
        <is>
          <t>預貯金残高</t>
        </is>
      </c>
      <c r="B31" s="232">
        <f>IF('CF表（奥様死亡時）'!B$3="","",'CF表（奥様死亡時）'!B31/10000)</f>
        <v/>
      </c>
      <c r="C31" s="232">
        <f>IF('CF表（奥様死亡時）'!C$3="","",'CF表（奥様死亡時）'!C31/10000)</f>
        <v/>
      </c>
      <c r="D31" s="232">
        <f>IF('CF表（奥様死亡時）'!D$3="","",'CF表（奥様死亡時）'!D31/10000)</f>
        <v/>
      </c>
      <c r="E31" s="232">
        <f>IF('CF表（奥様死亡時）'!E$3="","",'CF表（奥様死亡時）'!E31/10000)</f>
        <v/>
      </c>
      <c r="F31" s="232">
        <f>IF('CF表（奥様死亡時）'!F$3="","",'CF表（奥様死亡時）'!F31/10000)</f>
        <v/>
      </c>
      <c r="G31" s="232">
        <f>IF('CF表（奥様死亡時）'!G$3="","",'CF表（奥様死亡時）'!G31/10000)</f>
        <v/>
      </c>
      <c r="H31" s="232">
        <f>IF('CF表（奥様死亡時）'!H$3="","",'CF表（奥様死亡時）'!H31/10000)</f>
        <v/>
      </c>
      <c r="I31" s="232">
        <f>IF('CF表（奥様死亡時）'!I$3="","",'CF表（奥様死亡時）'!I31/10000)</f>
        <v/>
      </c>
      <c r="J31" s="232">
        <f>IF('CF表（奥様死亡時）'!J$3="","",'CF表（奥様死亡時）'!J31/10000)</f>
        <v/>
      </c>
      <c r="K31" s="232">
        <f>IF('CF表（奥様死亡時）'!K$3="","",'CF表（奥様死亡時）'!K31/10000)</f>
        <v/>
      </c>
      <c r="L31" s="232">
        <f>IF('CF表（奥様死亡時）'!L$3="","",'CF表（奥様死亡時）'!L31/10000)</f>
        <v/>
      </c>
      <c r="M31" s="232">
        <f>IF('CF表（奥様死亡時）'!M$3="","",'CF表（奥様死亡時）'!M31/10000)</f>
        <v/>
      </c>
      <c r="N31" s="232">
        <f>IF('CF表（奥様死亡時）'!N$3="","",'CF表（奥様死亡時）'!N31/10000)</f>
        <v/>
      </c>
      <c r="O31" s="232">
        <f>IF('CF表（奥様死亡時）'!O$3="","",'CF表（奥様死亡時）'!O31/10000)</f>
        <v/>
      </c>
      <c r="P31" s="232">
        <f>IF('CF表（奥様死亡時）'!P$3="","",'CF表（奥様死亡時）'!P31/10000)</f>
        <v/>
      </c>
      <c r="Q31" s="232">
        <f>IF('CF表（奥様死亡時）'!Q$3="","",'CF表（奥様死亡時）'!Q31/10000)</f>
        <v/>
      </c>
      <c r="R31" s="232">
        <f>IF('CF表（奥様死亡時）'!R$3="","",'CF表（奥様死亡時）'!R31/10000)</f>
        <v/>
      </c>
      <c r="S31" s="232">
        <f>IF('CF表（奥様死亡時）'!S$3="","",'CF表（奥様死亡時）'!S31/10000)</f>
        <v/>
      </c>
      <c r="T31" s="232">
        <f>IF('CF表（奥様死亡時）'!T$3="","",'CF表（奥様死亡時）'!T31/10000)</f>
        <v/>
      </c>
      <c r="U31" s="232">
        <f>IF('CF表（奥様死亡時）'!U$3="","",'CF表（奥様死亡時）'!U31/10000)</f>
        <v/>
      </c>
      <c r="V31" s="232">
        <f>IF('CF表（奥様死亡時）'!V$3="","",'CF表（奥様死亡時）'!V31/10000)</f>
        <v/>
      </c>
      <c r="W31" s="232">
        <f>IF('CF表（奥様死亡時）'!W$3="","",'CF表（奥様死亡時）'!W31/10000)</f>
        <v/>
      </c>
      <c r="X31" s="232">
        <f>IF('CF表（奥様死亡時）'!X$3="","",'CF表（奥様死亡時）'!X31/10000)</f>
        <v/>
      </c>
      <c r="Y31" s="232">
        <f>IF('CF表（奥様死亡時）'!Y$3="","",'CF表（奥様死亡時）'!Y31/10000)</f>
        <v/>
      </c>
      <c r="Z31" s="232">
        <f>IF('CF表（奥様死亡時）'!Z$3="","",'CF表（奥様死亡時）'!Z31/10000)</f>
        <v/>
      </c>
      <c r="AA31" s="232">
        <f>IF('CF表（奥様死亡時）'!AA$3="","",'CF表（奥様死亡時）'!AA31/10000)</f>
        <v/>
      </c>
      <c r="AB31" s="232">
        <f>IF('CF表（奥様死亡時）'!AB$3="","",'CF表（奥様死亡時）'!AB31/10000)</f>
        <v/>
      </c>
      <c r="AC31" s="232">
        <f>IF('CF表（奥様死亡時）'!AC$3="","",'CF表（奥様死亡時）'!AC31/10000)</f>
        <v/>
      </c>
      <c r="AD31" s="232">
        <f>IF('CF表（奥様死亡時）'!AD$3="","",'CF表（奥様死亡時）'!AD31/10000)</f>
        <v/>
      </c>
      <c r="AE31" s="232">
        <f>IF('CF表（奥様死亡時）'!AE$3="","",'CF表（奥様死亡時）'!AE31/10000)</f>
        <v/>
      </c>
      <c r="AF31" s="232">
        <f>IF('CF表（奥様死亡時）'!AF$3="","",'CF表（奥様死亡時）'!AF31/10000)</f>
        <v/>
      </c>
      <c r="AG31" s="232">
        <f>IF('CF表（奥様死亡時）'!AG$3="","",'CF表（奥様死亡時）'!AG31/10000)</f>
        <v/>
      </c>
      <c r="AH31" s="232">
        <f>IF('CF表（奥様死亡時）'!AH$3="","",'CF表（奥様死亡時）'!AH31/10000)</f>
        <v/>
      </c>
      <c r="AI31" s="232">
        <f>IF('CF表（奥様死亡時）'!AI$3="","",'CF表（奥様死亡時）'!AI31/10000)</f>
        <v/>
      </c>
      <c r="AJ31" s="232">
        <f>IF('CF表（奥様死亡時）'!AJ$3="","",'CF表（奥様死亡時）'!AJ31/10000)</f>
        <v/>
      </c>
      <c r="AK31" s="232">
        <f>IF('CF表（奥様死亡時）'!AK$3="","",'CF表（奥様死亡時）'!AK31/10000)</f>
        <v/>
      </c>
      <c r="AL31" s="232">
        <f>IF('CF表（奥様死亡時）'!AL$3="","",'CF表（奥様死亡時）'!AL31/10000)</f>
        <v/>
      </c>
      <c r="AM31" s="232">
        <f>IF('CF表（奥様死亡時）'!AM$3="","",'CF表（奥様死亡時）'!AM31/10000)</f>
        <v/>
      </c>
      <c r="AN31" s="232">
        <f>IF('CF表（奥様死亡時）'!AN$3="","",'CF表（奥様死亡時）'!AN31/10000)</f>
        <v/>
      </c>
      <c r="AO31" s="232">
        <f>IF('CF表（奥様死亡時）'!AO$3="","",'CF表（奥様死亡時）'!AO31/10000)</f>
        <v/>
      </c>
      <c r="AP31" s="232">
        <f>IF('CF表（奥様死亡時）'!AP$3="","",'CF表（奥様死亡時）'!AP31/10000)</f>
        <v/>
      </c>
      <c r="AQ31" s="232">
        <f>IF('CF表（奥様死亡時）'!AQ$3="","",'CF表（奥様死亡時）'!AQ31/10000)</f>
        <v/>
      </c>
      <c r="AR31" s="232">
        <f>IF('CF表（奥様死亡時）'!AR$3="","",'CF表（奥様死亡時）'!AR31/10000)</f>
        <v/>
      </c>
      <c r="AS31" s="232">
        <f>IF('CF表（奥様死亡時）'!AS$3="","",'CF表（奥様死亡時）'!AS31/10000)</f>
        <v/>
      </c>
      <c r="AT31" s="232">
        <f>IF('CF表（奥様死亡時）'!AT$3="","",'CF表（奥様死亡時）'!AT31/10000)</f>
        <v/>
      </c>
      <c r="AU31" s="232">
        <f>IF('CF表（奥様死亡時）'!AU$3="","",'CF表（奥様死亡時）'!AU31/10000)</f>
        <v/>
      </c>
      <c r="AV31" s="232">
        <f>IF('CF表（奥様死亡時）'!AV$3="","",'CF表（奥様死亡時）'!AV31/10000)</f>
        <v/>
      </c>
      <c r="AW31" s="232">
        <f>IF('CF表（奥様死亡時）'!AW$3="","",'CF表（奥様死亡時）'!AW31/10000)</f>
        <v/>
      </c>
      <c r="AX31" s="232">
        <f>IF('CF表（奥様死亡時）'!AX$3="","",'CF表（奥様死亡時）'!AX31/10000)</f>
        <v/>
      </c>
      <c r="AY31" s="232">
        <f>IF('CF表（奥様死亡時）'!AY$3="","",'CF表（奥様死亡時）'!AY31/10000)</f>
        <v/>
      </c>
      <c r="AZ31" s="232">
        <f>IF('CF表（奥様死亡時）'!AZ$3="","",'CF表（奥様死亡時）'!AZ31/10000)</f>
        <v/>
      </c>
      <c r="BA31" s="232">
        <f>IF('CF表（奥様死亡時）'!BA$3="","",'CF表（奥様死亡時）'!BA31/10000)</f>
        <v/>
      </c>
      <c r="BB31" s="232">
        <f>IF('CF表（奥様死亡時）'!BB$3="","",'CF表（奥様死亡時）'!BB31/10000)</f>
        <v/>
      </c>
      <c r="BC31" s="232">
        <f>IF('CF表（奥様死亡時）'!BC$3="","",'CF表（奥様死亡時）'!BC31/10000)</f>
        <v/>
      </c>
      <c r="BD31" s="232">
        <f>IF('CF表（奥様死亡時）'!BD$3="","",'CF表（奥様死亡時）'!BD31/10000)</f>
        <v/>
      </c>
      <c r="BE31" s="232">
        <f>IF('CF表（奥様死亡時）'!BE$3="","",'CF表（奥様死亡時）'!BE31/10000)</f>
        <v/>
      </c>
      <c r="BF31" s="232">
        <f>IF('CF表（奥様死亡時）'!BF$3="","",'CF表（奥様死亡時）'!BF31/10000)</f>
        <v/>
      </c>
      <c r="BG31" s="232">
        <f>IF('CF表（奥様死亡時）'!BG$3="","",'CF表（奥様死亡時）'!BG31/10000)</f>
        <v/>
      </c>
      <c r="BH31" s="232">
        <f>IF('CF表（奥様死亡時）'!BH$3="","",'CF表（奥様死亡時）'!BH31/10000)</f>
        <v/>
      </c>
      <c r="BI31" s="232">
        <f>IF('CF表（奥様死亡時）'!BI$3="","",'CF表（奥様死亡時）'!BI31/10000)</f>
        <v/>
      </c>
      <c r="BJ31" s="232">
        <f>IF('CF表（奥様死亡時）'!BJ$3="","",'CF表（奥様死亡時）'!BJ31/10000)</f>
        <v/>
      </c>
      <c r="BK31" s="232">
        <f>IF('CF表（奥様死亡時）'!BK$3="","",'CF表（奥様死亡時）'!BK31/10000)</f>
        <v/>
      </c>
      <c r="BL31" s="232">
        <f>IF('CF表（奥様死亡時）'!BL$3="","",'CF表（奥様死亡時）'!BL31/10000)</f>
        <v/>
      </c>
      <c r="BM31" s="232">
        <f>IF('CF表（奥様死亡時）'!BM$3="","",'CF表（奥様死亡時）'!BM31/10000)</f>
        <v/>
      </c>
      <c r="BN31" s="232">
        <f>IF('CF表（奥様死亡時）'!BN$3="","",'CF表（奥様死亡時）'!BN31/10000)</f>
        <v/>
      </c>
      <c r="BO31" s="232">
        <f>IF('CF表（奥様死亡時）'!BO$3="","",'CF表（奥様死亡時）'!BO31/10000)</f>
        <v/>
      </c>
      <c r="BP31" s="232">
        <f>IF('CF表（奥様死亡時）'!BP$3="","",'CF表（奥様死亡時）'!BP31/10000)</f>
        <v/>
      </c>
      <c r="BQ31" s="232">
        <f>IF('CF表（奥様死亡時）'!BQ$3="","",'CF表（奥様死亡時）'!BQ31/10000)</f>
        <v/>
      </c>
      <c r="BR31" s="232">
        <f>IF('CF表（奥様死亡時）'!BR$3="","",'CF表（奥様死亡時）'!BR31/10000)</f>
        <v/>
      </c>
      <c r="BS31" s="232">
        <f>IF('CF表（奥様死亡時）'!BS$3="","",'CF表（奥様死亡時）'!BS31/10000)</f>
        <v/>
      </c>
      <c r="BT31" s="232">
        <f>IF('CF表（奥様死亡時）'!BT$3="","",'CF表（奥様死亡時）'!BT31/10000)</f>
        <v/>
      </c>
      <c r="BU31" s="232">
        <f>IF('CF表（奥様死亡時）'!BU$3="","",'CF表（奥様死亡時）'!BU31/10000)</f>
        <v/>
      </c>
      <c r="BV31" s="232">
        <f>IF('CF表（奥様死亡時）'!BV$3="","",'CF表（奥様死亡時）'!BV31/10000)</f>
        <v/>
      </c>
      <c r="BW31" s="232">
        <f>IF('CF表（奥様死亡時）'!BW$3="","",'CF表（奥様死亡時）'!BW31/10000)</f>
        <v/>
      </c>
      <c r="BX31" s="232">
        <f>IF('CF表（奥様死亡時）'!BX$3="","",'CF表（奥様死亡時）'!BX31/10000)</f>
        <v/>
      </c>
      <c r="BY31" s="232">
        <f>IF('CF表（奥様死亡時）'!BY$3="","",'CF表（奥様死亡時）'!BY31/10000)</f>
        <v/>
      </c>
      <c r="BZ31" s="232">
        <f>IF('CF表（奥様死亡時）'!BZ$3="","",'CF表（奥様死亡時）'!BZ31/10000)</f>
        <v/>
      </c>
      <c r="CA31" s="232">
        <f>IF('CF表（奥様死亡時）'!CA$3="","",'CF表（奥様死亡時）'!CA31/10000)</f>
        <v/>
      </c>
      <c r="CB31" s="232">
        <f>IF('CF表（奥様死亡時）'!CB$3="","",'CF表（奥様死亡時）'!CB31/10000)</f>
        <v/>
      </c>
      <c r="CC31" s="232">
        <f>IF('CF表（奥様死亡時）'!CC$3="","",'CF表（奥様死亡時）'!CC31/10000)</f>
        <v/>
      </c>
      <c r="CD31" s="232">
        <f>IF('CF表（奥様死亡時）'!CD$3="","",'CF表（奥様死亡時）'!CD31/10000)</f>
        <v/>
      </c>
      <c r="CE31" s="232">
        <f>IF('CF表（奥様死亡時）'!CE$3="","",'CF表（奥様死亡時）'!CE31/10000)</f>
        <v/>
      </c>
      <c r="CF31" s="232">
        <f>IF('CF表（奥様死亡時）'!CF$3="","",'CF表（奥様死亡時）'!CF31/10000)</f>
        <v/>
      </c>
      <c r="CG31" s="232">
        <f>IF('CF表（奥様死亡時）'!CG$3="","",'CF表（奥様死亡時）'!CG31/10000)</f>
        <v/>
      </c>
      <c r="CH31" s="232">
        <f>IF('CF表（奥様死亡時）'!CH$3="","",'CF表（奥様死亡時）'!CH31/10000)</f>
        <v/>
      </c>
      <c r="CI31" s="232">
        <f>IF('CF表（奥様死亡時）'!CI$3="","",'CF表（奥様死亡時）'!CI31/10000)</f>
        <v/>
      </c>
      <c r="CJ31" s="232">
        <f>IF('CF表（奥様死亡時）'!CJ$3="","",'CF表（奥様死亡時）'!CJ31/10000)</f>
        <v/>
      </c>
      <c r="CK31" s="232">
        <f>IF('CF表（奥様死亡時）'!CK$3="","",'CF表（奥様死亡時）'!CK31/10000)</f>
        <v/>
      </c>
      <c r="CL31" s="232">
        <f>IF('CF表（奥様死亡時）'!CL$3="","",'CF表（奥様死亡時）'!CL31/10000)</f>
        <v/>
      </c>
      <c r="CM31" s="232">
        <f>IF('CF表（奥様死亡時）'!CM$3="","",'CF表（奥様死亡時）'!CM31/10000)</f>
        <v/>
      </c>
      <c r="CN31" s="232">
        <f>IF('CF表（奥様死亡時）'!CN$3="","",'CF表（奥様死亡時）'!CN31/10000)</f>
        <v/>
      </c>
      <c r="CO31" s="232">
        <f>IF('CF表（奥様死亡時）'!CO$3="","",'CF表（奥様死亡時）'!CO31/10000)</f>
        <v/>
      </c>
      <c r="CP31" s="232">
        <f>IF('CF表（奥様死亡時）'!CP$3="","",'CF表（奥様死亡時）'!CP31/10000)</f>
        <v/>
      </c>
      <c r="CQ31" s="232">
        <f>IF('CF表（奥様死亡時）'!CQ$3="","",'CF表（奥様死亡時）'!CQ31/10000)</f>
        <v/>
      </c>
      <c r="CR31" s="232">
        <f>IF('CF表（奥様死亡時）'!CR$3="","",'CF表（奥様死亡時）'!CR31/10000)</f>
        <v/>
      </c>
      <c r="CS31" s="232">
        <f>IF('CF表（奥様死亡時）'!CS$3="","",'CF表（奥様死亡時）'!CS31/10000)</f>
        <v/>
      </c>
      <c r="CT31" s="232">
        <f>IF('CF表（奥様死亡時）'!CT$3="","",'CF表（奥様死亡時）'!CT31/10000)</f>
        <v/>
      </c>
      <c r="CU31" s="232">
        <f>IF('CF表（奥様死亡時）'!CU$3="","",'CF表（奥様死亡時）'!CU31/10000)</f>
        <v/>
      </c>
      <c r="CV31" s="232">
        <f>IF('CF表（奥様死亡時）'!CV$3="","",'CF表（奥様死亡時）'!CV31/10000)</f>
        <v/>
      </c>
      <c r="CW31" s="232">
        <f>IF('CF表（奥様死亡時）'!CW$3="","",'CF表（奥様死亡時）'!CW31/10000)</f>
        <v/>
      </c>
    </row>
    <row r="32" ht="15" customHeight="1" s="180">
      <c r="A32" s="233" t="inlineStr">
        <is>
          <t>投資資産残高</t>
        </is>
      </c>
      <c r="B32" s="234">
        <f>IF('CF表（奥様死亡時）'!B$3="","",'CF表（奥様死亡時）'!B32/10000)</f>
        <v/>
      </c>
      <c r="C32" s="234">
        <f>IF('CF表（奥様死亡時）'!C$3="","",'CF表（奥様死亡時）'!C32/10000)</f>
        <v/>
      </c>
      <c r="D32" s="234">
        <f>IF('CF表（奥様死亡時）'!D$3="","",'CF表（奥様死亡時）'!D32/10000)</f>
        <v/>
      </c>
      <c r="E32" s="234">
        <f>IF('CF表（奥様死亡時）'!E$3="","",'CF表（奥様死亡時）'!E32/10000)</f>
        <v/>
      </c>
      <c r="F32" s="234">
        <f>IF('CF表（奥様死亡時）'!F$3="","",'CF表（奥様死亡時）'!F32/10000)</f>
        <v/>
      </c>
      <c r="G32" s="234">
        <f>IF('CF表（奥様死亡時）'!G$3="","",'CF表（奥様死亡時）'!G32/10000)</f>
        <v/>
      </c>
      <c r="H32" s="234">
        <f>IF('CF表（奥様死亡時）'!H$3="","",'CF表（奥様死亡時）'!H32/10000)</f>
        <v/>
      </c>
      <c r="I32" s="234">
        <f>IF('CF表（奥様死亡時）'!I$3="","",'CF表（奥様死亡時）'!I32/10000)</f>
        <v/>
      </c>
      <c r="J32" s="234">
        <f>IF('CF表（奥様死亡時）'!J$3="","",'CF表（奥様死亡時）'!J32/10000)</f>
        <v/>
      </c>
      <c r="K32" s="234">
        <f>IF('CF表（奥様死亡時）'!K$3="","",'CF表（奥様死亡時）'!K32/10000)</f>
        <v/>
      </c>
      <c r="L32" s="234">
        <f>IF('CF表（奥様死亡時）'!L$3="","",'CF表（奥様死亡時）'!L32/10000)</f>
        <v/>
      </c>
      <c r="M32" s="234">
        <f>IF('CF表（奥様死亡時）'!M$3="","",'CF表（奥様死亡時）'!M32/10000)</f>
        <v/>
      </c>
      <c r="N32" s="234">
        <f>IF('CF表（奥様死亡時）'!N$3="","",'CF表（奥様死亡時）'!N32/10000)</f>
        <v/>
      </c>
      <c r="O32" s="234">
        <f>IF('CF表（奥様死亡時）'!O$3="","",'CF表（奥様死亡時）'!O32/10000)</f>
        <v/>
      </c>
      <c r="P32" s="234">
        <f>IF('CF表（奥様死亡時）'!P$3="","",'CF表（奥様死亡時）'!P32/10000)</f>
        <v/>
      </c>
      <c r="Q32" s="234">
        <f>IF('CF表（奥様死亡時）'!Q$3="","",'CF表（奥様死亡時）'!Q32/10000)</f>
        <v/>
      </c>
      <c r="R32" s="234">
        <f>IF('CF表（奥様死亡時）'!R$3="","",'CF表（奥様死亡時）'!R32/10000)</f>
        <v/>
      </c>
      <c r="S32" s="234">
        <f>IF('CF表（奥様死亡時）'!S$3="","",'CF表（奥様死亡時）'!S32/10000)</f>
        <v/>
      </c>
      <c r="T32" s="234">
        <f>IF('CF表（奥様死亡時）'!T$3="","",'CF表（奥様死亡時）'!T32/10000)</f>
        <v/>
      </c>
      <c r="U32" s="234">
        <f>IF('CF表（奥様死亡時）'!U$3="","",'CF表（奥様死亡時）'!U32/10000)</f>
        <v/>
      </c>
      <c r="V32" s="234">
        <f>IF('CF表（奥様死亡時）'!V$3="","",'CF表（奥様死亡時）'!V32/10000)</f>
        <v/>
      </c>
      <c r="W32" s="234">
        <f>IF('CF表（奥様死亡時）'!W$3="","",'CF表（奥様死亡時）'!W32/10000)</f>
        <v/>
      </c>
      <c r="X32" s="234">
        <f>IF('CF表（奥様死亡時）'!X$3="","",'CF表（奥様死亡時）'!X32/10000)</f>
        <v/>
      </c>
      <c r="Y32" s="234">
        <f>IF('CF表（奥様死亡時）'!Y$3="","",'CF表（奥様死亡時）'!Y32/10000)</f>
        <v/>
      </c>
      <c r="Z32" s="234">
        <f>IF('CF表（奥様死亡時）'!Z$3="","",'CF表（奥様死亡時）'!Z32/10000)</f>
        <v/>
      </c>
      <c r="AA32" s="234">
        <f>IF('CF表（奥様死亡時）'!AA$3="","",'CF表（奥様死亡時）'!AA32/10000)</f>
        <v/>
      </c>
      <c r="AB32" s="234">
        <f>IF('CF表（奥様死亡時）'!AB$3="","",'CF表（奥様死亡時）'!AB32/10000)</f>
        <v/>
      </c>
      <c r="AC32" s="234">
        <f>IF('CF表（奥様死亡時）'!AC$3="","",'CF表（奥様死亡時）'!AC32/10000)</f>
        <v/>
      </c>
      <c r="AD32" s="234">
        <f>IF('CF表（奥様死亡時）'!AD$3="","",'CF表（奥様死亡時）'!AD32/10000)</f>
        <v/>
      </c>
      <c r="AE32" s="234">
        <f>IF('CF表（奥様死亡時）'!AE$3="","",'CF表（奥様死亡時）'!AE32/10000)</f>
        <v/>
      </c>
      <c r="AF32" s="234">
        <f>IF('CF表（奥様死亡時）'!AF$3="","",'CF表（奥様死亡時）'!AF32/10000)</f>
        <v/>
      </c>
      <c r="AG32" s="234">
        <f>IF('CF表（奥様死亡時）'!AG$3="","",'CF表（奥様死亡時）'!AG32/10000)</f>
        <v/>
      </c>
      <c r="AH32" s="234">
        <f>IF('CF表（奥様死亡時）'!AH$3="","",'CF表（奥様死亡時）'!AH32/10000)</f>
        <v/>
      </c>
      <c r="AI32" s="234">
        <f>IF('CF表（奥様死亡時）'!AI$3="","",'CF表（奥様死亡時）'!AI32/10000)</f>
        <v/>
      </c>
      <c r="AJ32" s="234">
        <f>IF('CF表（奥様死亡時）'!AJ$3="","",'CF表（奥様死亡時）'!AJ32/10000)</f>
        <v/>
      </c>
      <c r="AK32" s="234">
        <f>IF('CF表（奥様死亡時）'!AK$3="","",'CF表（奥様死亡時）'!AK32/10000)</f>
        <v/>
      </c>
      <c r="AL32" s="234">
        <f>IF('CF表（奥様死亡時）'!AL$3="","",'CF表（奥様死亡時）'!AL32/10000)</f>
        <v/>
      </c>
      <c r="AM32" s="234">
        <f>IF('CF表（奥様死亡時）'!AM$3="","",'CF表（奥様死亡時）'!AM32/10000)</f>
        <v/>
      </c>
      <c r="AN32" s="234">
        <f>IF('CF表（奥様死亡時）'!AN$3="","",'CF表（奥様死亡時）'!AN32/10000)</f>
        <v/>
      </c>
      <c r="AO32" s="234">
        <f>IF('CF表（奥様死亡時）'!AO$3="","",'CF表（奥様死亡時）'!AO32/10000)</f>
        <v/>
      </c>
      <c r="AP32" s="234">
        <f>IF('CF表（奥様死亡時）'!AP$3="","",'CF表（奥様死亡時）'!AP32/10000)</f>
        <v/>
      </c>
      <c r="AQ32" s="234">
        <f>IF('CF表（奥様死亡時）'!AQ$3="","",'CF表（奥様死亡時）'!AQ32/10000)</f>
        <v/>
      </c>
      <c r="AR32" s="234">
        <f>IF('CF表（奥様死亡時）'!AR$3="","",'CF表（奥様死亡時）'!AR32/10000)</f>
        <v/>
      </c>
      <c r="AS32" s="234">
        <f>IF('CF表（奥様死亡時）'!AS$3="","",'CF表（奥様死亡時）'!AS32/10000)</f>
        <v/>
      </c>
      <c r="AT32" s="234">
        <f>IF('CF表（奥様死亡時）'!AT$3="","",'CF表（奥様死亡時）'!AT32/10000)</f>
        <v/>
      </c>
      <c r="AU32" s="234">
        <f>IF('CF表（奥様死亡時）'!AU$3="","",'CF表（奥様死亡時）'!AU32/10000)</f>
        <v/>
      </c>
      <c r="AV32" s="234">
        <f>IF('CF表（奥様死亡時）'!AV$3="","",'CF表（奥様死亡時）'!AV32/10000)</f>
        <v/>
      </c>
      <c r="AW32" s="234">
        <f>IF('CF表（奥様死亡時）'!AW$3="","",'CF表（奥様死亡時）'!AW32/10000)</f>
        <v/>
      </c>
      <c r="AX32" s="234">
        <f>IF('CF表（奥様死亡時）'!AX$3="","",'CF表（奥様死亡時）'!AX32/10000)</f>
        <v/>
      </c>
      <c r="AY32" s="234">
        <f>IF('CF表（奥様死亡時）'!AY$3="","",'CF表（奥様死亡時）'!AY32/10000)</f>
        <v/>
      </c>
      <c r="AZ32" s="234">
        <f>IF('CF表（奥様死亡時）'!AZ$3="","",'CF表（奥様死亡時）'!AZ32/10000)</f>
        <v/>
      </c>
      <c r="BA32" s="234">
        <f>IF('CF表（奥様死亡時）'!BA$3="","",'CF表（奥様死亡時）'!BA32/10000)</f>
        <v/>
      </c>
      <c r="BB32" s="234">
        <f>IF('CF表（奥様死亡時）'!BB$3="","",'CF表（奥様死亡時）'!BB32/10000)</f>
        <v/>
      </c>
      <c r="BC32" s="234">
        <f>IF('CF表（奥様死亡時）'!BC$3="","",'CF表（奥様死亡時）'!BC32/10000)</f>
        <v/>
      </c>
      <c r="BD32" s="234">
        <f>IF('CF表（奥様死亡時）'!BD$3="","",'CF表（奥様死亡時）'!BD32/10000)</f>
        <v/>
      </c>
      <c r="BE32" s="234">
        <f>IF('CF表（奥様死亡時）'!BE$3="","",'CF表（奥様死亡時）'!BE32/10000)</f>
        <v/>
      </c>
      <c r="BF32" s="234">
        <f>IF('CF表（奥様死亡時）'!BF$3="","",'CF表（奥様死亡時）'!BF32/10000)</f>
        <v/>
      </c>
      <c r="BG32" s="234">
        <f>IF('CF表（奥様死亡時）'!BG$3="","",'CF表（奥様死亡時）'!BG32/10000)</f>
        <v/>
      </c>
      <c r="BH32" s="234">
        <f>IF('CF表（奥様死亡時）'!BH$3="","",'CF表（奥様死亡時）'!BH32/10000)</f>
        <v/>
      </c>
      <c r="BI32" s="234">
        <f>IF('CF表（奥様死亡時）'!BI$3="","",'CF表（奥様死亡時）'!BI32/10000)</f>
        <v/>
      </c>
      <c r="BJ32" s="234">
        <f>IF('CF表（奥様死亡時）'!BJ$3="","",'CF表（奥様死亡時）'!BJ32/10000)</f>
        <v/>
      </c>
      <c r="BK32" s="234">
        <f>IF('CF表（奥様死亡時）'!BK$3="","",'CF表（奥様死亡時）'!BK32/10000)</f>
        <v/>
      </c>
      <c r="BL32" s="234">
        <f>IF('CF表（奥様死亡時）'!BL$3="","",'CF表（奥様死亡時）'!BL32/10000)</f>
        <v/>
      </c>
      <c r="BM32" s="234">
        <f>IF('CF表（奥様死亡時）'!BM$3="","",'CF表（奥様死亡時）'!BM32/10000)</f>
        <v/>
      </c>
      <c r="BN32" s="234">
        <f>IF('CF表（奥様死亡時）'!BN$3="","",'CF表（奥様死亡時）'!BN32/10000)</f>
        <v/>
      </c>
      <c r="BO32" s="234">
        <f>IF('CF表（奥様死亡時）'!BO$3="","",'CF表（奥様死亡時）'!BO32/10000)</f>
        <v/>
      </c>
      <c r="BP32" s="234">
        <f>IF('CF表（奥様死亡時）'!BP$3="","",'CF表（奥様死亡時）'!BP32/10000)</f>
        <v/>
      </c>
      <c r="BQ32" s="234">
        <f>IF('CF表（奥様死亡時）'!BQ$3="","",'CF表（奥様死亡時）'!BQ32/10000)</f>
        <v/>
      </c>
      <c r="BR32" s="234">
        <f>IF('CF表（奥様死亡時）'!BR$3="","",'CF表（奥様死亡時）'!BR32/10000)</f>
        <v/>
      </c>
      <c r="BS32" s="234">
        <f>IF('CF表（奥様死亡時）'!BS$3="","",'CF表（奥様死亡時）'!BS32/10000)</f>
        <v/>
      </c>
      <c r="BT32" s="234">
        <f>IF('CF表（奥様死亡時）'!BT$3="","",'CF表（奥様死亡時）'!BT32/10000)</f>
        <v/>
      </c>
      <c r="BU32" s="234">
        <f>IF('CF表（奥様死亡時）'!BU$3="","",'CF表（奥様死亡時）'!BU32/10000)</f>
        <v/>
      </c>
      <c r="BV32" s="234">
        <f>IF('CF表（奥様死亡時）'!BV$3="","",'CF表（奥様死亡時）'!BV32/10000)</f>
        <v/>
      </c>
      <c r="BW32" s="234">
        <f>IF('CF表（奥様死亡時）'!BW$3="","",'CF表（奥様死亡時）'!BW32/10000)</f>
        <v/>
      </c>
      <c r="BX32" s="234">
        <f>IF('CF表（奥様死亡時）'!BX$3="","",'CF表（奥様死亡時）'!BX32/10000)</f>
        <v/>
      </c>
      <c r="BY32" s="234">
        <f>IF('CF表（奥様死亡時）'!BY$3="","",'CF表（奥様死亡時）'!BY32/10000)</f>
        <v/>
      </c>
      <c r="BZ32" s="234">
        <f>IF('CF表（奥様死亡時）'!BZ$3="","",'CF表（奥様死亡時）'!BZ32/10000)</f>
        <v/>
      </c>
      <c r="CA32" s="234">
        <f>IF('CF表（奥様死亡時）'!CA$3="","",'CF表（奥様死亡時）'!CA32/10000)</f>
        <v/>
      </c>
      <c r="CB32" s="234">
        <f>IF('CF表（奥様死亡時）'!CB$3="","",'CF表（奥様死亡時）'!CB32/10000)</f>
        <v/>
      </c>
      <c r="CC32" s="234">
        <f>IF('CF表（奥様死亡時）'!CC$3="","",'CF表（奥様死亡時）'!CC32/10000)</f>
        <v/>
      </c>
      <c r="CD32" s="234">
        <f>IF('CF表（奥様死亡時）'!CD$3="","",'CF表（奥様死亡時）'!CD32/10000)</f>
        <v/>
      </c>
      <c r="CE32" s="234">
        <f>IF('CF表（奥様死亡時）'!CE$3="","",'CF表（奥様死亡時）'!CE32/10000)</f>
        <v/>
      </c>
      <c r="CF32" s="234">
        <f>IF('CF表（奥様死亡時）'!CF$3="","",'CF表（奥様死亡時）'!CF32/10000)</f>
        <v/>
      </c>
      <c r="CG32" s="234">
        <f>IF('CF表（奥様死亡時）'!CG$3="","",'CF表（奥様死亡時）'!CG32/10000)</f>
        <v/>
      </c>
      <c r="CH32" s="234">
        <f>IF('CF表（奥様死亡時）'!CH$3="","",'CF表（奥様死亡時）'!CH32/10000)</f>
        <v/>
      </c>
      <c r="CI32" s="234">
        <f>IF('CF表（奥様死亡時）'!CI$3="","",'CF表（奥様死亡時）'!CI32/10000)</f>
        <v/>
      </c>
      <c r="CJ32" s="234">
        <f>IF('CF表（奥様死亡時）'!CJ$3="","",'CF表（奥様死亡時）'!CJ32/10000)</f>
        <v/>
      </c>
      <c r="CK32" s="234">
        <f>IF('CF表（奥様死亡時）'!CK$3="","",'CF表（奥様死亡時）'!CK32/10000)</f>
        <v/>
      </c>
      <c r="CL32" s="234">
        <f>IF('CF表（奥様死亡時）'!CL$3="","",'CF表（奥様死亡時）'!CL32/10000)</f>
        <v/>
      </c>
      <c r="CM32" s="234">
        <f>IF('CF表（奥様死亡時）'!CM$3="","",'CF表（奥様死亡時）'!CM32/10000)</f>
        <v/>
      </c>
      <c r="CN32" s="234">
        <f>IF('CF表（奥様死亡時）'!CN$3="","",'CF表（奥様死亡時）'!CN32/10000)</f>
        <v/>
      </c>
      <c r="CO32" s="234">
        <f>IF('CF表（奥様死亡時）'!CO$3="","",'CF表（奥様死亡時）'!CO32/10000)</f>
        <v/>
      </c>
      <c r="CP32" s="234">
        <f>IF('CF表（奥様死亡時）'!CP$3="","",'CF表（奥様死亡時）'!CP32/10000)</f>
        <v/>
      </c>
      <c r="CQ32" s="234">
        <f>IF('CF表（奥様死亡時）'!CQ$3="","",'CF表（奥様死亡時）'!CQ32/10000)</f>
        <v/>
      </c>
      <c r="CR32" s="234">
        <f>IF('CF表（奥様死亡時）'!CR$3="","",'CF表（奥様死亡時）'!CR32/10000)</f>
        <v/>
      </c>
      <c r="CS32" s="234">
        <f>IF('CF表（奥様死亡時）'!CS$3="","",'CF表（奥様死亡時）'!CS32/10000)</f>
        <v/>
      </c>
      <c r="CT32" s="234">
        <f>IF('CF表（奥様死亡時）'!CT$3="","",'CF表（奥様死亡時）'!CT32/10000)</f>
        <v/>
      </c>
      <c r="CU32" s="234">
        <f>IF('CF表（奥様死亡時）'!CU$3="","",'CF表（奥様死亡時）'!CU32/10000)</f>
        <v/>
      </c>
      <c r="CV32" s="234">
        <f>IF('CF表（奥様死亡時）'!CV$3="","",'CF表（奥様死亡時）'!CV32/10000)</f>
        <v/>
      </c>
      <c r="CW32" s="234">
        <f>IF('CF表（奥様死亡時）'!CW$3="","",'CF表（奥様死亡時）'!CW32/10000)</f>
        <v/>
      </c>
    </row>
    <row r="33" ht="15" customHeight="1" s="180">
      <c r="A33" s="233" t="inlineStr">
        <is>
          <t>解約返戻金残高</t>
        </is>
      </c>
      <c r="B33" s="234">
        <f>IF('CF表（奥様死亡時）'!B$3="","",'CF表（奥様死亡時）'!B33/10000)</f>
        <v/>
      </c>
      <c r="C33" s="234">
        <f>IF('CF表（奥様死亡時）'!C$3="","",'CF表（奥様死亡時）'!C33/10000)</f>
        <v/>
      </c>
      <c r="D33" s="234">
        <f>IF('CF表（奥様死亡時）'!D$3="","",'CF表（奥様死亡時）'!D33/10000)</f>
        <v/>
      </c>
      <c r="E33" s="234">
        <f>IF('CF表（奥様死亡時）'!E$3="","",'CF表（奥様死亡時）'!E33/10000)</f>
        <v/>
      </c>
      <c r="F33" s="234">
        <f>IF('CF表（奥様死亡時）'!F$3="","",'CF表（奥様死亡時）'!F33/10000)</f>
        <v/>
      </c>
      <c r="G33" s="234">
        <f>IF('CF表（奥様死亡時）'!G$3="","",'CF表（奥様死亡時）'!G33/10000)</f>
        <v/>
      </c>
      <c r="H33" s="234">
        <f>IF('CF表（奥様死亡時）'!H$3="","",'CF表（奥様死亡時）'!H33/10000)</f>
        <v/>
      </c>
      <c r="I33" s="234">
        <f>IF('CF表（奥様死亡時）'!I$3="","",'CF表（奥様死亡時）'!I33/10000)</f>
        <v/>
      </c>
      <c r="J33" s="234">
        <f>IF('CF表（奥様死亡時）'!J$3="","",'CF表（奥様死亡時）'!J33/10000)</f>
        <v/>
      </c>
      <c r="K33" s="234">
        <f>IF('CF表（奥様死亡時）'!K$3="","",'CF表（奥様死亡時）'!K33/10000)</f>
        <v/>
      </c>
      <c r="L33" s="234">
        <f>IF('CF表（奥様死亡時）'!L$3="","",'CF表（奥様死亡時）'!L33/10000)</f>
        <v/>
      </c>
      <c r="M33" s="234">
        <f>IF('CF表（奥様死亡時）'!M$3="","",'CF表（奥様死亡時）'!M33/10000)</f>
        <v/>
      </c>
      <c r="N33" s="234">
        <f>IF('CF表（奥様死亡時）'!N$3="","",'CF表（奥様死亡時）'!N33/10000)</f>
        <v/>
      </c>
      <c r="O33" s="234">
        <f>IF('CF表（奥様死亡時）'!O$3="","",'CF表（奥様死亡時）'!O33/10000)</f>
        <v/>
      </c>
      <c r="P33" s="234">
        <f>IF('CF表（奥様死亡時）'!P$3="","",'CF表（奥様死亡時）'!P33/10000)</f>
        <v/>
      </c>
      <c r="Q33" s="234">
        <f>IF('CF表（奥様死亡時）'!Q$3="","",'CF表（奥様死亡時）'!Q33/10000)</f>
        <v/>
      </c>
      <c r="R33" s="234">
        <f>IF('CF表（奥様死亡時）'!R$3="","",'CF表（奥様死亡時）'!R33/10000)</f>
        <v/>
      </c>
      <c r="S33" s="234">
        <f>IF('CF表（奥様死亡時）'!S$3="","",'CF表（奥様死亡時）'!S33/10000)</f>
        <v/>
      </c>
      <c r="T33" s="234">
        <f>IF('CF表（奥様死亡時）'!T$3="","",'CF表（奥様死亡時）'!T33/10000)</f>
        <v/>
      </c>
      <c r="U33" s="234">
        <f>IF('CF表（奥様死亡時）'!U$3="","",'CF表（奥様死亡時）'!U33/10000)</f>
        <v/>
      </c>
      <c r="V33" s="234">
        <f>IF('CF表（奥様死亡時）'!V$3="","",'CF表（奥様死亡時）'!V33/10000)</f>
        <v/>
      </c>
      <c r="W33" s="234">
        <f>IF('CF表（奥様死亡時）'!W$3="","",'CF表（奥様死亡時）'!W33/10000)</f>
        <v/>
      </c>
      <c r="X33" s="234">
        <f>IF('CF表（奥様死亡時）'!X$3="","",'CF表（奥様死亡時）'!X33/10000)</f>
        <v/>
      </c>
      <c r="Y33" s="234">
        <f>IF('CF表（奥様死亡時）'!Y$3="","",'CF表（奥様死亡時）'!Y33/10000)</f>
        <v/>
      </c>
      <c r="Z33" s="234">
        <f>IF('CF表（奥様死亡時）'!Z$3="","",'CF表（奥様死亡時）'!Z33/10000)</f>
        <v/>
      </c>
      <c r="AA33" s="234">
        <f>IF('CF表（奥様死亡時）'!AA$3="","",'CF表（奥様死亡時）'!AA33/10000)</f>
        <v/>
      </c>
      <c r="AB33" s="234">
        <f>IF('CF表（奥様死亡時）'!AB$3="","",'CF表（奥様死亡時）'!AB33/10000)</f>
        <v/>
      </c>
      <c r="AC33" s="234">
        <f>IF('CF表（奥様死亡時）'!AC$3="","",'CF表（奥様死亡時）'!AC33/10000)</f>
        <v/>
      </c>
      <c r="AD33" s="234">
        <f>IF('CF表（奥様死亡時）'!AD$3="","",'CF表（奥様死亡時）'!AD33/10000)</f>
        <v/>
      </c>
      <c r="AE33" s="234">
        <f>IF('CF表（奥様死亡時）'!AE$3="","",'CF表（奥様死亡時）'!AE33/10000)</f>
        <v/>
      </c>
      <c r="AF33" s="234">
        <f>IF('CF表（奥様死亡時）'!AF$3="","",'CF表（奥様死亡時）'!AF33/10000)</f>
        <v/>
      </c>
      <c r="AG33" s="234">
        <f>IF('CF表（奥様死亡時）'!AG$3="","",'CF表（奥様死亡時）'!AG33/10000)</f>
        <v/>
      </c>
      <c r="AH33" s="234">
        <f>IF('CF表（奥様死亡時）'!AH$3="","",'CF表（奥様死亡時）'!AH33/10000)</f>
        <v/>
      </c>
      <c r="AI33" s="234">
        <f>IF('CF表（奥様死亡時）'!AI$3="","",'CF表（奥様死亡時）'!AI33/10000)</f>
        <v/>
      </c>
      <c r="AJ33" s="234">
        <f>IF('CF表（奥様死亡時）'!AJ$3="","",'CF表（奥様死亡時）'!AJ33/10000)</f>
        <v/>
      </c>
      <c r="AK33" s="234">
        <f>IF('CF表（奥様死亡時）'!AK$3="","",'CF表（奥様死亡時）'!AK33/10000)</f>
        <v/>
      </c>
      <c r="AL33" s="234">
        <f>IF('CF表（奥様死亡時）'!AL$3="","",'CF表（奥様死亡時）'!AL33/10000)</f>
        <v/>
      </c>
      <c r="AM33" s="234">
        <f>IF('CF表（奥様死亡時）'!AM$3="","",'CF表（奥様死亡時）'!AM33/10000)</f>
        <v/>
      </c>
      <c r="AN33" s="234">
        <f>IF('CF表（奥様死亡時）'!AN$3="","",'CF表（奥様死亡時）'!AN33/10000)</f>
        <v/>
      </c>
      <c r="AO33" s="234">
        <f>IF('CF表（奥様死亡時）'!AO$3="","",'CF表（奥様死亡時）'!AO33/10000)</f>
        <v/>
      </c>
      <c r="AP33" s="234">
        <f>IF('CF表（奥様死亡時）'!AP$3="","",'CF表（奥様死亡時）'!AP33/10000)</f>
        <v/>
      </c>
      <c r="AQ33" s="234">
        <f>IF('CF表（奥様死亡時）'!AQ$3="","",'CF表（奥様死亡時）'!AQ33/10000)</f>
        <v/>
      </c>
      <c r="AR33" s="234">
        <f>IF('CF表（奥様死亡時）'!AR$3="","",'CF表（奥様死亡時）'!AR33/10000)</f>
        <v/>
      </c>
      <c r="AS33" s="234">
        <f>IF('CF表（奥様死亡時）'!AS$3="","",'CF表（奥様死亡時）'!AS33/10000)</f>
        <v/>
      </c>
      <c r="AT33" s="234">
        <f>IF('CF表（奥様死亡時）'!AT$3="","",'CF表（奥様死亡時）'!AT33/10000)</f>
        <v/>
      </c>
      <c r="AU33" s="234">
        <f>IF('CF表（奥様死亡時）'!AU$3="","",'CF表（奥様死亡時）'!AU33/10000)</f>
        <v/>
      </c>
      <c r="AV33" s="234">
        <f>IF('CF表（奥様死亡時）'!AV$3="","",'CF表（奥様死亡時）'!AV33/10000)</f>
        <v/>
      </c>
      <c r="AW33" s="234">
        <f>IF('CF表（奥様死亡時）'!AW$3="","",'CF表（奥様死亡時）'!AW33/10000)</f>
        <v/>
      </c>
      <c r="AX33" s="234">
        <f>IF('CF表（奥様死亡時）'!AX$3="","",'CF表（奥様死亡時）'!AX33/10000)</f>
        <v/>
      </c>
      <c r="AY33" s="234">
        <f>IF('CF表（奥様死亡時）'!AY$3="","",'CF表（奥様死亡時）'!AY33/10000)</f>
        <v/>
      </c>
      <c r="AZ33" s="234">
        <f>IF('CF表（奥様死亡時）'!AZ$3="","",'CF表（奥様死亡時）'!AZ33/10000)</f>
        <v/>
      </c>
      <c r="BA33" s="234">
        <f>IF('CF表（奥様死亡時）'!BA$3="","",'CF表（奥様死亡時）'!BA33/10000)</f>
        <v/>
      </c>
      <c r="BB33" s="234">
        <f>IF('CF表（奥様死亡時）'!BB$3="","",'CF表（奥様死亡時）'!BB33/10000)</f>
        <v/>
      </c>
      <c r="BC33" s="234">
        <f>IF('CF表（奥様死亡時）'!BC$3="","",'CF表（奥様死亡時）'!BC33/10000)</f>
        <v/>
      </c>
      <c r="BD33" s="234">
        <f>IF('CF表（奥様死亡時）'!BD$3="","",'CF表（奥様死亡時）'!BD33/10000)</f>
        <v/>
      </c>
      <c r="BE33" s="234">
        <f>IF('CF表（奥様死亡時）'!BE$3="","",'CF表（奥様死亡時）'!BE33/10000)</f>
        <v/>
      </c>
      <c r="BF33" s="234">
        <f>IF('CF表（奥様死亡時）'!BF$3="","",'CF表（奥様死亡時）'!BF33/10000)</f>
        <v/>
      </c>
      <c r="BG33" s="234">
        <f>IF('CF表（奥様死亡時）'!BG$3="","",'CF表（奥様死亡時）'!BG33/10000)</f>
        <v/>
      </c>
      <c r="BH33" s="234">
        <f>IF('CF表（奥様死亡時）'!BH$3="","",'CF表（奥様死亡時）'!BH33/10000)</f>
        <v/>
      </c>
      <c r="BI33" s="234">
        <f>IF('CF表（奥様死亡時）'!BI$3="","",'CF表（奥様死亡時）'!BI33/10000)</f>
        <v/>
      </c>
      <c r="BJ33" s="234">
        <f>IF('CF表（奥様死亡時）'!BJ$3="","",'CF表（奥様死亡時）'!BJ33/10000)</f>
        <v/>
      </c>
      <c r="BK33" s="234">
        <f>IF('CF表（奥様死亡時）'!BK$3="","",'CF表（奥様死亡時）'!BK33/10000)</f>
        <v/>
      </c>
      <c r="BL33" s="234">
        <f>IF('CF表（奥様死亡時）'!BL$3="","",'CF表（奥様死亡時）'!BL33/10000)</f>
        <v/>
      </c>
      <c r="BM33" s="234">
        <f>IF('CF表（奥様死亡時）'!BM$3="","",'CF表（奥様死亡時）'!BM33/10000)</f>
        <v/>
      </c>
      <c r="BN33" s="234">
        <f>IF('CF表（奥様死亡時）'!BN$3="","",'CF表（奥様死亡時）'!BN33/10000)</f>
        <v/>
      </c>
      <c r="BO33" s="234">
        <f>IF('CF表（奥様死亡時）'!BO$3="","",'CF表（奥様死亡時）'!BO33/10000)</f>
        <v/>
      </c>
      <c r="BP33" s="234">
        <f>IF('CF表（奥様死亡時）'!BP$3="","",'CF表（奥様死亡時）'!BP33/10000)</f>
        <v/>
      </c>
      <c r="BQ33" s="234">
        <f>IF('CF表（奥様死亡時）'!BQ$3="","",'CF表（奥様死亡時）'!BQ33/10000)</f>
        <v/>
      </c>
      <c r="BR33" s="234">
        <f>IF('CF表（奥様死亡時）'!BR$3="","",'CF表（奥様死亡時）'!BR33/10000)</f>
        <v/>
      </c>
      <c r="BS33" s="234">
        <f>IF('CF表（奥様死亡時）'!BS$3="","",'CF表（奥様死亡時）'!BS33/10000)</f>
        <v/>
      </c>
      <c r="BT33" s="234">
        <f>IF('CF表（奥様死亡時）'!BT$3="","",'CF表（奥様死亡時）'!BT33/10000)</f>
        <v/>
      </c>
      <c r="BU33" s="234">
        <f>IF('CF表（奥様死亡時）'!BU$3="","",'CF表（奥様死亡時）'!BU33/10000)</f>
        <v/>
      </c>
      <c r="BV33" s="234">
        <f>IF('CF表（奥様死亡時）'!BV$3="","",'CF表（奥様死亡時）'!BV33/10000)</f>
        <v/>
      </c>
      <c r="BW33" s="234">
        <f>IF('CF表（奥様死亡時）'!BW$3="","",'CF表（奥様死亡時）'!BW33/10000)</f>
        <v/>
      </c>
      <c r="BX33" s="234">
        <f>IF('CF表（奥様死亡時）'!BX$3="","",'CF表（奥様死亡時）'!BX33/10000)</f>
        <v/>
      </c>
      <c r="BY33" s="234">
        <f>IF('CF表（奥様死亡時）'!BY$3="","",'CF表（奥様死亡時）'!BY33/10000)</f>
        <v/>
      </c>
      <c r="BZ33" s="234">
        <f>IF('CF表（奥様死亡時）'!BZ$3="","",'CF表（奥様死亡時）'!BZ33/10000)</f>
        <v/>
      </c>
      <c r="CA33" s="234">
        <f>IF('CF表（奥様死亡時）'!CA$3="","",'CF表（奥様死亡時）'!CA33/10000)</f>
        <v/>
      </c>
      <c r="CB33" s="234">
        <f>IF('CF表（奥様死亡時）'!CB$3="","",'CF表（奥様死亡時）'!CB33/10000)</f>
        <v/>
      </c>
      <c r="CC33" s="234">
        <f>IF('CF表（奥様死亡時）'!CC$3="","",'CF表（奥様死亡時）'!CC33/10000)</f>
        <v/>
      </c>
      <c r="CD33" s="234">
        <f>IF('CF表（奥様死亡時）'!CD$3="","",'CF表（奥様死亡時）'!CD33/10000)</f>
        <v/>
      </c>
      <c r="CE33" s="234">
        <f>IF('CF表（奥様死亡時）'!CE$3="","",'CF表（奥様死亡時）'!CE33/10000)</f>
        <v/>
      </c>
      <c r="CF33" s="234">
        <f>IF('CF表（奥様死亡時）'!CF$3="","",'CF表（奥様死亡時）'!CF33/10000)</f>
        <v/>
      </c>
      <c r="CG33" s="234">
        <f>IF('CF表（奥様死亡時）'!CG$3="","",'CF表（奥様死亡時）'!CG33/10000)</f>
        <v/>
      </c>
      <c r="CH33" s="234">
        <f>IF('CF表（奥様死亡時）'!CH$3="","",'CF表（奥様死亡時）'!CH33/10000)</f>
        <v/>
      </c>
      <c r="CI33" s="234">
        <f>IF('CF表（奥様死亡時）'!CI$3="","",'CF表（奥様死亡時）'!CI33/10000)</f>
        <v/>
      </c>
      <c r="CJ33" s="234">
        <f>IF('CF表（奥様死亡時）'!CJ$3="","",'CF表（奥様死亡時）'!CJ33/10000)</f>
        <v/>
      </c>
      <c r="CK33" s="234">
        <f>IF('CF表（奥様死亡時）'!CK$3="","",'CF表（奥様死亡時）'!CK33/10000)</f>
        <v/>
      </c>
      <c r="CL33" s="234">
        <f>IF('CF表（奥様死亡時）'!CL$3="","",'CF表（奥様死亡時）'!CL33/10000)</f>
        <v/>
      </c>
      <c r="CM33" s="234">
        <f>IF('CF表（奥様死亡時）'!CM$3="","",'CF表（奥様死亡時）'!CM33/10000)</f>
        <v/>
      </c>
      <c r="CN33" s="234">
        <f>IF('CF表（奥様死亡時）'!CN$3="","",'CF表（奥様死亡時）'!CN33/10000)</f>
        <v/>
      </c>
      <c r="CO33" s="234">
        <f>IF('CF表（奥様死亡時）'!CO$3="","",'CF表（奥様死亡時）'!CO33/10000)</f>
        <v/>
      </c>
      <c r="CP33" s="234">
        <f>IF('CF表（奥様死亡時）'!CP$3="","",'CF表（奥様死亡時）'!CP33/10000)</f>
        <v/>
      </c>
      <c r="CQ33" s="234">
        <f>IF('CF表（奥様死亡時）'!CQ$3="","",'CF表（奥様死亡時）'!CQ33/10000)</f>
        <v/>
      </c>
      <c r="CR33" s="234">
        <f>IF('CF表（奥様死亡時）'!CR$3="","",'CF表（奥様死亡時）'!CR33/10000)</f>
        <v/>
      </c>
      <c r="CS33" s="234">
        <f>IF('CF表（奥様死亡時）'!CS$3="","",'CF表（奥様死亡時）'!CS33/10000)</f>
        <v/>
      </c>
      <c r="CT33" s="234">
        <f>IF('CF表（奥様死亡時）'!CT$3="","",'CF表（奥様死亡時）'!CT33/10000)</f>
        <v/>
      </c>
      <c r="CU33" s="234">
        <f>IF('CF表（奥様死亡時）'!CU$3="","",'CF表（奥様死亡時）'!CU33/10000)</f>
        <v/>
      </c>
      <c r="CV33" s="234">
        <f>IF('CF表（奥様死亡時）'!CV$3="","",'CF表（奥様死亡時）'!CV33/10000)</f>
        <v/>
      </c>
      <c r="CW33" s="234">
        <f>IF('CF表（奥様死亡時）'!CW$3="","",'CF表（奥様死亡時）'!CW33/10000)</f>
        <v/>
      </c>
    </row>
    <row r="34" ht="15" customHeight="1" s="180">
      <c r="A34" s="235" t="inlineStr">
        <is>
          <t>住宅ローン残高</t>
        </is>
      </c>
      <c r="B34" s="236">
        <f>IF('CF表（奥様死亡時）'!B$3="","",'CF表（奥様死亡時）'!B34/10000)</f>
        <v/>
      </c>
      <c r="C34" s="236">
        <f>IF('CF表（奥様死亡時）'!C$3="","",'CF表（奥様死亡時）'!C34/10000)</f>
        <v/>
      </c>
      <c r="D34" s="236">
        <f>IF('CF表（奥様死亡時）'!D$3="","",'CF表（奥様死亡時）'!D34/10000)</f>
        <v/>
      </c>
      <c r="E34" s="236">
        <f>IF('CF表（奥様死亡時）'!E$3="","",'CF表（奥様死亡時）'!E34/10000)</f>
        <v/>
      </c>
      <c r="F34" s="236">
        <f>IF('CF表（奥様死亡時）'!F$3="","",'CF表（奥様死亡時）'!F34/10000)</f>
        <v/>
      </c>
      <c r="G34" s="236">
        <f>IF('CF表（奥様死亡時）'!G$3="","",'CF表（奥様死亡時）'!G34/10000)</f>
        <v/>
      </c>
      <c r="H34" s="236">
        <f>IF('CF表（奥様死亡時）'!H$3="","",'CF表（奥様死亡時）'!H34/10000)</f>
        <v/>
      </c>
      <c r="I34" s="236">
        <f>IF('CF表（奥様死亡時）'!I$3="","",'CF表（奥様死亡時）'!I34/10000)</f>
        <v/>
      </c>
      <c r="J34" s="236">
        <f>IF('CF表（奥様死亡時）'!J$3="","",'CF表（奥様死亡時）'!J34/10000)</f>
        <v/>
      </c>
      <c r="K34" s="236">
        <f>IF('CF表（奥様死亡時）'!K$3="","",'CF表（奥様死亡時）'!K34/10000)</f>
        <v/>
      </c>
      <c r="L34" s="236">
        <f>IF('CF表（奥様死亡時）'!L$3="","",'CF表（奥様死亡時）'!L34/10000)</f>
        <v/>
      </c>
      <c r="M34" s="236">
        <f>IF('CF表（奥様死亡時）'!M$3="","",'CF表（奥様死亡時）'!M34/10000)</f>
        <v/>
      </c>
      <c r="N34" s="236">
        <f>IF('CF表（奥様死亡時）'!N$3="","",'CF表（奥様死亡時）'!N34/10000)</f>
        <v/>
      </c>
      <c r="O34" s="236">
        <f>IF('CF表（奥様死亡時）'!O$3="","",'CF表（奥様死亡時）'!O34/10000)</f>
        <v/>
      </c>
      <c r="P34" s="236">
        <f>IF('CF表（奥様死亡時）'!P$3="","",'CF表（奥様死亡時）'!P34/10000)</f>
        <v/>
      </c>
      <c r="Q34" s="236">
        <f>IF('CF表（奥様死亡時）'!Q$3="","",'CF表（奥様死亡時）'!Q34/10000)</f>
        <v/>
      </c>
      <c r="R34" s="236">
        <f>IF('CF表（奥様死亡時）'!R$3="","",'CF表（奥様死亡時）'!R34/10000)</f>
        <v/>
      </c>
      <c r="S34" s="236">
        <f>IF('CF表（奥様死亡時）'!S$3="","",'CF表（奥様死亡時）'!S34/10000)</f>
        <v/>
      </c>
      <c r="T34" s="236">
        <f>IF('CF表（奥様死亡時）'!T$3="","",'CF表（奥様死亡時）'!T34/10000)</f>
        <v/>
      </c>
      <c r="U34" s="236">
        <f>IF('CF表（奥様死亡時）'!U$3="","",'CF表（奥様死亡時）'!U34/10000)</f>
        <v/>
      </c>
      <c r="V34" s="236">
        <f>IF('CF表（奥様死亡時）'!V$3="","",'CF表（奥様死亡時）'!V34/10000)</f>
        <v/>
      </c>
      <c r="W34" s="236">
        <f>IF('CF表（奥様死亡時）'!W$3="","",'CF表（奥様死亡時）'!W34/10000)</f>
        <v/>
      </c>
      <c r="X34" s="236">
        <f>IF('CF表（奥様死亡時）'!X$3="","",'CF表（奥様死亡時）'!X34/10000)</f>
        <v/>
      </c>
      <c r="Y34" s="236">
        <f>IF('CF表（奥様死亡時）'!Y$3="","",'CF表（奥様死亡時）'!Y34/10000)</f>
        <v/>
      </c>
      <c r="Z34" s="236">
        <f>IF('CF表（奥様死亡時）'!Z$3="","",'CF表（奥様死亡時）'!Z34/10000)</f>
        <v/>
      </c>
      <c r="AA34" s="236">
        <f>IF('CF表（奥様死亡時）'!AA$3="","",'CF表（奥様死亡時）'!AA34/10000)</f>
        <v/>
      </c>
      <c r="AB34" s="236">
        <f>IF('CF表（奥様死亡時）'!AB$3="","",'CF表（奥様死亡時）'!AB34/10000)</f>
        <v/>
      </c>
      <c r="AC34" s="236">
        <f>IF('CF表（奥様死亡時）'!AC$3="","",'CF表（奥様死亡時）'!AC34/10000)</f>
        <v/>
      </c>
      <c r="AD34" s="236">
        <f>IF('CF表（奥様死亡時）'!AD$3="","",'CF表（奥様死亡時）'!AD34/10000)</f>
        <v/>
      </c>
      <c r="AE34" s="236">
        <f>IF('CF表（奥様死亡時）'!AE$3="","",'CF表（奥様死亡時）'!AE34/10000)</f>
        <v/>
      </c>
      <c r="AF34" s="236">
        <f>IF('CF表（奥様死亡時）'!AF$3="","",'CF表（奥様死亡時）'!AF34/10000)</f>
        <v/>
      </c>
      <c r="AG34" s="236">
        <f>IF('CF表（奥様死亡時）'!AG$3="","",'CF表（奥様死亡時）'!AG34/10000)</f>
        <v/>
      </c>
      <c r="AH34" s="236">
        <f>IF('CF表（奥様死亡時）'!AH$3="","",'CF表（奥様死亡時）'!AH34/10000)</f>
        <v/>
      </c>
      <c r="AI34" s="236">
        <f>IF('CF表（奥様死亡時）'!AI$3="","",'CF表（奥様死亡時）'!AI34/10000)</f>
        <v/>
      </c>
      <c r="AJ34" s="236">
        <f>IF('CF表（奥様死亡時）'!AJ$3="","",'CF表（奥様死亡時）'!AJ34/10000)</f>
        <v/>
      </c>
      <c r="AK34" s="236">
        <f>IF('CF表（奥様死亡時）'!AK$3="","",'CF表（奥様死亡時）'!AK34/10000)</f>
        <v/>
      </c>
      <c r="AL34" s="236">
        <f>IF('CF表（奥様死亡時）'!AL$3="","",'CF表（奥様死亡時）'!AL34/10000)</f>
        <v/>
      </c>
      <c r="AM34" s="236">
        <f>IF('CF表（奥様死亡時）'!AM$3="","",'CF表（奥様死亡時）'!AM34/10000)</f>
        <v/>
      </c>
      <c r="AN34" s="236">
        <f>IF('CF表（奥様死亡時）'!AN$3="","",'CF表（奥様死亡時）'!AN34/10000)</f>
        <v/>
      </c>
      <c r="AO34" s="236">
        <f>IF('CF表（奥様死亡時）'!AO$3="","",'CF表（奥様死亡時）'!AO34/10000)</f>
        <v/>
      </c>
      <c r="AP34" s="236">
        <f>IF('CF表（奥様死亡時）'!AP$3="","",'CF表（奥様死亡時）'!AP34/10000)</f>
        <v/>
      </c>
      <c r="AQ34" s="236">
        <f>IF('CF表（奥様死亡時）'!AQ$3="","",'CF表（奥様死亡時）'!AQ34/10000)</f>
        <v/>
      </c>
      <c r="AR34" s="236">
        <f>IF('CF表（奥様死亡時）'!AR$3="","",'CF表（奥様死亡時）'!AR34/10000)</f>
        <v/>
      </c>
      <c r="AS34" s="236">
        <f>IF('CF表（奥様死亡時）'!AS$3="","",'CF表（奥様死亡時）'!AS34/10000)</f>
        <v/>
      </c>
      <c r="AT34" s="236">
        <f>IF('CF表（奥様死亡時）'!AT$3="","",'CF表（奥様死亡時）'!AT34/10000)</f>
        <v/>
      </c>
      <c r="AU34" s="236">
        <f>IF('CF表（奥様死亡時）'!AU$3="","",'CF表（奥様死亡時）'!AU34/10000)</f>
        <v/>
      </c>
      <c r="AV34" s="236">
        <f>IF('CF表（奥様死亡時）'!AV$3="","",'CF表（奥様死亡時）'!AV34/10000)</f>
        <v/>
      </c>
      <c r="AW34" s="236">
        <f>IF('CF表（奥様死亡時）'!AW$3="","",'CF表（奥様死亡時）'!AW34/10000)</f>
        <v/>
      </c>
      <c r="AX34" s="236">
        <f>IF('CF表（奥様死亡時）'!AX$3="","",'CF表（奥様死亡時）'!AX34/10000)</f>
        <v/>
      </c>
      <c r="AY34" s="236">
        <f>IF('CF表（奥様死亡時）'!AY$3="","",'CF表（奥様死亡時）'!AY34/10000)</f>
        <v/>
      </c>
      <c r="AZ34" s="236">
        <f>IF('CF表（奥様死亡時）'!AZ$3="","",'CF表（奥様死亡時）'!AZ34/10000)</f>
        <v/>
      </c>
      <c r="BA34" s="236">
        <f>IF('CF表（奥様死亡時）'!BA$3="","",'CF表（奥様死亡時）'!BA34/10000)</f>
        <v/>
      </c>
      <c r="BB34" s="236">
        <f>IF('CF表（奥様死亡時）'!BB$3="","",'CF表（奥様死亡時）'!BB34/10000)</f>
        <v/>
      </c>
      <c r="BC34" s="236">
        <f>IF('CF表（奥様死亡時）'!BC$3="","",'CF表（奥様死亡時）'!BC34/10000)</f>
        <v/>
      </c>
      <c r="BD34" s="236">
        <f>IF('CF表（奥様死亡時）'!BD$3="","",'CF表（奥様死亡時）'!BD34/10000)</f>
        <v/>
      </c>
      <c r="BE34" s="236">
        <f>IF('CF表（奥様死亡時）'!BE$3="","",'CF表（奥様死亡時）'!BE34/10000)</f>
        <v/>
      </c>
      <c r="BF34" s="236">
        <f>IF('CF表（奥様死亡時）'!BF$3="","",'CF表（奥様死亡時）'!BF34/10000)</f>
        <v/>
      </c>
      <c r="BG34" s="236">
        <f>IF('CF表（奥様死亡時）'!BG$3="","",'CF表（奥様死亡時）'!BG34/10000)</f>
        <v/>
      </c>
      <c r="BH34" s="236">
        <f>IF('CF表（奥様死亡時）'!BH$3="","",'CF表（奥様死亡時）'!BH34/10000)</f>
        <v/>
      </c>
      <c r="BI34" s="236">
        <f>IF('CF表（奥様死亡時）'!BI$3="","",'CF表（奥様死亡時）'!BI34/10000)</f>
        <v/>
      </c>
      <c r="BJ34" s="236">
        <f>IF('CF表（奥様死亡時）'!BJ$3="","",'CF表（奥様死亡時）'!BJ34/10000)</f>
        <v/>
      </c>
      <c r="BK34" s="236">
        <f>IF('CF表（奥様死亡時）'!BK$3="","",'CF表（奥様死亡時）'!BK34/10000)</f>
        <v/>
      </c>
      <c r="BL34" s="236">
        <f>IF('CF表（奥様死亡時）'!BL$3="","",'CF表（奥様死亡時）'!BL34/10000)</f>
        <v/>
      </c>
      <c r="BM34" s="236">
        <f>IF('CF表（奥様死亡時）'!BM$3="","",'CF表（奥様死亡時）'!BM34/10000)</f>
        <v/>
      </c>
      <c r="BN34" s="236">
        <f>IF('CF表（奥様死亡時）'!BN$3="","",'CF表（奥様死亡時）'!BN34/10000)</f>
        <v/>
      </c>
      <c r="BO34" s="236">
        <f>IF('CF表（奥様死亡時）'!BO$3="","",'CF表（奥様死亡時）'!BO34/10000)</f>
        <v/>
      </c>
      <c r="BP34" s="236">
        <f>IF('CF表（奥様死亡時）'!BP$3="","",'CF表（奥様死亡時）'!BP34/10000)</f>
        <v/>
      </c>
      <c r="BQ34" s="236">
        <f>IF('CF表（奥様死亡時）'!BQ$3="","",'CF表（奥様死亡時）'!BQ34/10000)</f>
        <v/>
      </c>
      <c r="BR34" s="236">
        <f>IF('CF表（奥様死亡時）'!BR$3="","",'CF表（奥様死亡時）'!BR34/10000)</f>
        <v/>
      </c>
      <c r="BS34" s="236">
        <f>IF('CF表（奥様死亡時）'!BS$3="","",'CF表（奥様死亡時）'!BS34/10000)</f>
        <v/>
      </c>
      <c r="BT34" s="236">
        <f>IF('CF表（奥様死亡時）'!BT$3="","",'CF表（奥様死亡時）'!BT34/10000)</f>
        <v/>
      </c>
      <c r="BU34" s="236">
        <f>IF('CF表（奥様死亡時）'!BU$3="","",'CF表（奥様死亡時）'!BU34/10000)</f>
        <v/>
      </c>
      <c r="BV34" s="236">
        <f>IF('CF表（奥様死亡時）'!BV$3="","",'CF表（奥様死亡時）'!BV34/10000)</f>
        <v/>
      </c>
      <c r="BW34" s="236">
        <f>IF('CF表（奥様死亡時）'!BW$3="","",'CF表（奥様死亡時）'!BW34/10000)</f>
        <v/>
      </c>
      <c r="BX34" s="236">
        <f>IF('CF表（奥様死亡時）'!BX$3="","",'CF表（奥様死亡時）'!BX34/10000)</f>
        <v/>
      </c>
      <c r="BY34" s="236">
        <f>IF('CF表（奥様死亡時）'!BY$3="","",'CF表（奥様死亡時）'!BY34/10000)</f>
        <v/>
      </c>
      <c r="BZ34" s="236">
        <f>IF('CF表（奥様死亡時）'!BZ$3="","",'CF表（奥様死亡時）'!BZ34/10000)</f>
        <v/>
      </c>
      <c r="CA34" s="236">
        <f>IF('CF表（奥様死亡時）'!CA$3="","",'CF表（奥様死亡時）'!CA34/10000)</f>
        <v/>
      </c>
      <c r="CB34" s="236">
        <f>IF('CF表（奥様死亡時）'!CB$3="","",'CF表（奥様死亡時）'!CB34/10000)</f>
        <v/>
      </c>
      <c r="CC34" s="236">
        <f>IF('CF表（奥様死亡時）'!CC$3="","",'CF表（奥様死亡時）'!CC34/10000)</f>
        <v/>
      </c>
      <c r="CD34" s="236">
        <f>IF('CF表（奥様死亡時）'!CD$3="","",'CF表（奥様死亡時）'!CD34/10000)</f>
        <v/>
      </c>
      <c r="CE34" s="236">
        <f>IF('CF表（奥様死亡時）'!CE$3="","",'CF表（奥様死亡時）'!CE34/10000)</f>
        <v/>
      </c>
      <c r="CF34" s="236">
        <f>IF('CF表（奥様死亡時）'!CF$3="","",'CF表（奥様死亡時）'!CF34/10000)</f>
        <v/>
      </c>
      <c r="CG34" s="236">
        <f>IF('CF表（奥様死亡時）'!CG$3="","",'CF表（奥様死亡時）'!CG34/10000)</f>
        <v/>
      </c>
      <c r="CH34" s="236">
        <f>IF('CF表（奥様死亡時）'!CH$3="","",'CF表（奥様死亡時）'!CH34/10000)</f>
        <v/>
      </c>
      <c r="CI34" s="236">
        <f>IF('CF表（奥様死亡時）'!CI$3="","",'CF表（奥様死亡時）'!CI34/10000)</f>
        <v/>
      </c>
      <c r="CJ34" s="236">
        <f>IF('CF表（奥様死亡時）'!CJ$3="","",'CF表（奥様死亡時）'!CJ34/10000)</f>
        <v/>
      </c>
      <c r="CK34" s="236">
        <f>IF('CF表（奥様死亡時）'!CK$3="","",'CF表（奥様死亡時）'!CK34/10000)</f>
        <v/>
      </c>
      <c r="CL34" s="236">
        <f>IF('CF表（奥様死亡時）'!CL$3="","",'CF表（奥様死亡時）'!CL34/10000)</f>
        <v/>
      </c>
      <c r="CM34" s="236">
        <f>IF('CF表（奥様死亡時）'!CM$3="","",'CF表（奥様死亡時）'!CM34/10000)</f>
        <v/>
      </c>
      <c r="CN34" s="236">
        <f>IF('CF表（奥様死亡時）'!CN$3="","",'CF表（奥様死亡時）'!CN34/10000)</f>
        <v/>
      </c>
      <c r="CO34" s="236">
        <f>IF('CF表（奥様死亡時）'!CO$3="","",'CF表（奥様死亡時）'!CO34/10000)</f>
        <v/>
      </c>
      <c r="CP34" s="236">
        <f>IF('CF表（奥様死亡時）'!CP$3="","",'CF表（奥様死亡時）'!CP34/10000)</f>
        <v/>
      </c>
      <c r="CQ34" s="236">
        <f>IF('CF表（奥様死亡時）'!CQ$3="","",'CF表（奥様死亡時）'!CQ34/10000)</f>
        <v/>
      </c>
      <c r="CR34" s="236">
        <f>IF('CF表（奥様死亡時）'!CR$3="","",'CF表（奥様死亡時）'!CR34/10000)</f>
        <v/>
      </c>
      <c r="CS34" s="236">
        <f>IF('CF表（奥様死亡時）'!CS$3="","",'CF表（奥様死亡時）'!CS34/10000)</f>
        <v/>
      </c>
      <c r="CT34" s="236">
        <f>IF('CF表（奥様死亡時）'!CT$3="","",'CF表（奥様死亡時）'!CT34/10000)</f>
        <v/>
      </c>
      <c r="CU34" s="236">
        <f>IF('CF表（奥様死亡時）'!CU$3="","",'CF表（奥様死亡時）'!CU34/10000)</f>
        <v/>
      </c>
      <c r="CV34" s="236">
        <f>IF('CF表（奥様死亡時）'!CV$3="","",'CF表（奥様死亡時）'!CV34/10000)</f>
        <v/>
      </c>
      <c r="CW34" s="236">
        <f>IF('CF表（奥様死亡時）'!CW$3="","",'CF表（奥様死亡時）'!CW34/10000)</f>
        <v/>
      </c>
    </row>
    <row r="35" ht="21.75" customHeight="1" s="180">
      <c r="A35" s="237" t="inlineStr">
        <is>
          <t>保有資産合計（ローン除く）</t>
        </is>
      </c>
      <c r="B35" s="238">
        <f>IF('CF表（奥様死亡時）'!B$3="","",'CF表（奥様死亡時）'!B35/10000)</f>
        <v/>
      </c>
      <c r="C35" s="238">
        <f>IF('CF表（奥様死亡時）'!C$3="","",'CF表（奥様死亡時）'!C35/10000)</f>
        <v/>
      </c>
      <c r="D35" s="238">
        <f>IF('CF表（奥様死亡時）'!D$3="","",'CF表（奥様死亡時）'!D35/10000)</f>
        <v/>
      </c>
      <c r="E35" s="238">
        <f>IF('CF表（奥様死亡時）'!E$3="","",'CF表（奥様死亡時）'!E35/10000)</f>
        <v/>
      </c>
      <c r="F35" s="238">
        <f>IF('CF表（奥様死亡時）'!F$3="","",'CF表（奥様死亡時）'!F35/10000)</f>
        <v/>
      </c>
      <c r="G35" s="238">
        <f>IF('CF表（奥様死亡時）'!G$3="","",'CF表（奥様死亡時）'!G35/10000)</f>
        <v/>
      </c>
      <c r="H35" s="238">
        <f>IF('CF表（奥様死亡時）'!H$3="","",'CF表（奥様死亡時）'!H35/10000)</f>
        <v/>
      </c>
      <c r="I35" s="238">
        <f>IF('CF表（奥様死亡時）'!I$3="","",'CF表（奥様死亡時）'!I35/10000)</f>
        <v/>
      </c>
      <c r="J35" s="238">
        <f>IF('CF表（奥様死亡時）'!J$3="","",'CF表（奥様死亡時）'!J35/10000)</f>
        <v/>
      </c>
      <c r="K35" s="238">
        <f>IF('CF表（奥様死亡時）'!K$3="","",'CF表（奥様死亡時）'!K35/10000)</f>
        <v/>
      </c>
      <c r="L35" s="238">
        <f>IF('CF表（奥様死亡時）'!L$3="","",'CF表（奥様死亡時）'!L35/10000)</f>
        <v/>
      </c>
      <c r="M35" s="238">
        <f>IF('CF表（奥様死亡時）'!M$3="","",'CF表（奥様死亡時）'!M35/10000)</f>
        <v/>
      </c>
      <c r="N35" s="238">
        <f>IF('CF表（奥様死亡時）'!N$3="","",'CF表（奥様死亡時）'!N35/10000)</f>
        <v/>
      </c>
      <c r="O35" s="238">
        <f>IF('CF表（奥様死亡時）'!O$3="","",'CF表（奥様死亡時）'!O35/10000)</f>
        <v/>
      </c>
      <c r="P35" s="238">
        <f>IF('CF表（奥様死亡時）'!P$3="","",'CF表（奥様死亡時）'!P35/10000)</f>
        <v/>
      </c>
      <c r="Q35" s="238">
        <f>IF('CF表（奥様死亡時）'!Q$3="","",'CF表（奥様死亡時）'!Q35/10000)</f>
        <v/>
      </c>
      <c r="R35" s="238">
        <f>IF('CF表（奥様死亡時）'!R$3="","",'CF表（奥様死亡時）'!R35/10000)</f>
        <v/>
      </c>
      <c r="S35" s="238">
        <f>IF('CF表（奥様死亡時）'!S$3="","",'CF表（奥様死亡時）'!S35/10000)</f>
        <v/>
      </c>
      <c r="T35" s="238">
        <f>IF('CF表（奥様死亡時）'!T$3="","",'CF表（奥様死亡時）'!T35/10000)</f>
        <v/>
      </c>
      <c r="U35" s="238">
        <f>IF('CF表（奥様死亡時）'!U$3="","",'CF表（奥様死亡時）'!U35/10000)</f>
        <v/>
      </c>
      <c r="V35" s="238">
        <f>IF('CF表（奥様死亡時）'!V$3="","",'CF表（奥様死亡時）'!V35/10000)</f>
        <v/>
      </c>
      <c r="W35" s="238">
        <f>IF('CF表（奥様死亡時）'!W$3="","",'CF表（奥様死亡時）'!W35/10000)</f>
        <v/>
      </c>
      <c r="X35" s="238">
        <f>IF('CF表（奥様死亡時）'!X$3="","",'CF表（奥様死亡時）'!X35/10000)</f>
        <v/>
      </c>
      <c r="Y35" s="238">
        <f>IF('CF表（奥様死亡時）'!Y$3="","",'CF表（奥様死亡時）'!Y35/10000)</f>
        <v/>
      </c>
      <c r="Z35" s="238">
        <f>IF('CF表（奥様死亡時）'!Z$3="","",'CF表（奥様死亡時）'!Z35/10000)</f>
        <v/>
      </c>
      <c r="AA35" s="238">
        <f>IF('CF表（奥様死亡時）'!AA$3="","",'CF表（奥様死亡時）'!AA35/10000)</f>
        <v/>
      </c>
      <c r="AB35" s="238">
        <f>IF('CF表（奥様死亡時）'!AB$3="","",'CF表（奥様死亡時）'!AB35/10000)</f>
        <v/>
      </c>
      <c r="AC35" s="238">
        <f>IF('CF表（奥様死亡時）'!AC$3="","",'CF表（奥様死亡時）'!AC35/10000)</f>
        <v/>
      </c>
      <c r="AD35" s="238">
        <f>IF('CF表（奥様死亡時）'!AD$3="","",'CF表（奥様死亡時）'!AD35/10000)</f>
        <v/>
      </c>
      <c r="AE35" s="238">
        <f>IF('CF表（奥様死亡時）'!AE$3="","",'CF表（奥様死亡時）'!AE35/10000)</f>
        <v/>
      </c>
      <c r="AF35" s="238">
        <f>IF('CF表（奥様死亡時）'!AF$3="","",'CF表（奥様死亡時）'!AF35/10000)</f>
        <v/>
      </c>
      <c r="AG35" s="238">
        <f>IF('CF表（奥様死亡時）'!AG$3="","",'CF表（奥様死亡時）'!AG35/10000)</f>
        <v/>
      </c>
      <c r="AH35" s="238">
        <f>IF('CF表（奥様死亡時）'!AH$3="","",'CF表（奥様死亡時）'!AH35/10000)</f>
        <v/>
      </c>
      <c r="AI35" s="238">
        <f>IF('CF表（奥様死亡時）'!AI$3="","",'CF表（奥様死亡時）'!AI35/10000)</f>
        <v/>
      </c>
      <c r="AJ35" s="238">
        <f>IF('CF表（奥様死亡時）'!AJ$3="","",'CF表（奥様死亡時）'!AJ35/10000)</f>
        <v/>
      </c>
      <c r="AK35" s="238">
        <f>IF('CF表（奥様死亡時）'!AK$3="","",'CF表（奥様死亡時）'!AK35/10000)</f>
        <v/>
      </c>
      <c r="AL35" s="238">
        <f>IF('CF表（奥様死亡時）'!AL$3="","",'CF表（奥様死亡時）'!AL35/10000)</f>
        <v/>
      </c>
      <c r="AM35" s="238">
        <f>IF('CF表（奥様死亡時）'!AM$3="","",'CF表（奥様死亡時）'!AM35/10000)</f>
        <v/>
      </c>
      <c r="AN35" s="238">
        <f>IF('CF表（奥様死亡時）'!AN$3="","",'CF表（奥様死亡時）'!AN35/10000)</f>
        <v/>
      </c>
      <c r="AO35" s="238">
        <f>IF('CF表（奥様死亡時）'!AO$3="","",'CF表（奥様死亡時）'!AO35/10000)</f>
        <v/>
      </c>
      <c r="AP35" s="238">
        <f>IF('CF表（奥様死亡時）'!AP$3="","",'CF表（奥様死亡時）'!AP35/10000)</f>
        <v/>
      </c>
      <c r="AQ35" s="238">
        <f>IF('CF表（奥様死亡時）'!AQ$3="","",'CF表（奥様死亡時）'!AQ35/10000)</f>
        <v/>
      </c>
      <c r="AR35" s="238">
        <f>IF('CF表（奥様死亡時）'!AR$3="","",'CF表（奥様死亡時）'!AR35/10000)</f>
        <v/>
      </c>
      <c r="AS35" s="238">
        <f>IF('CF表（奥様死亡時）'!AS$3="","",'CF表（奥様死亡時）'!AS35/10000)</f>
        <v/>
      </c>
      <c r="AT35" s="238">
        <f>IF('CF表（奥様死亡時）'!AT$3="","",'CF表（奥様死亡時）'!AT35/10000)</f>
        <v/>
      </c>
      <c r="AU35" s="238">
        <f>IF('CF表（奥様死亡時）'!AU$3="","",'CF表（奥様死亡時）'!AU35/10000)</f>
        <v/>
      </c>
      <c r="AV35" s="238">
        <f>IF('CF表（奥様死亡時）'!AV$3="","",'CF表（奥様死亡時）'!AV35/10000)</f>
        <v/>
      </c>
      <c r="AW35" s="238">
        <f>IF('CF表（奥様死亡時）'!AW$3="","",'CF表（奥様死亡時）'!AW35/10000)</f>
        <v/>
      </c>
      <c r="AX35" s="238">
        <f>IF('CF表（奥様死亡時）'!AX$3="","",'CF表（奥様死亡時）'!AX35/10000)</f>
        <v/>
      </c>
      <c r="AY35" s="238">
        <f>IF('CF表（奥様死亡時）'!AY$3="","",'CF表（奥様死亡時）'!AY35/10000)</f>
        <v/>
      </c>
      <c r="AZ35" s="238">
        <f>IF('CF表（奥様死亡時）'!AZ$3="","",'CF表（奥様死亡時）'!AZ35/10000)</f>
        <v/>
      </c>
      <c r="BA35" s="238">
        <f>IF('CF表（奥様死亡時）'!BA$3="","",'CF表（奥様死亡時）'!BA35/10000)</f>
        <v/>
      </c>
      <c r="BB35" s="238">
        <f>IF('CF表（奥様死亡時）'!BB$3="","",'CF表（奥様死亡時）'!BB35/10000)</f>
        <v/>
      </c>
      <c r="BC35" s="238">
        <f>IF('CF表（奥様死亡時）'!BC$3="","",'CF表（奥様死亡時）'!BC35/10000)</f>
        <v/>
      </c>
      <c r="BD35" s="238">
        <f>IF('CF表（奥様死亡時）'!BD$3="","",'CF表（奥様死亡時）'!BD35/10000)</f>
        <v/>
      </c>
      <c r="BE35" s="238">
        <f>IF('CF表（奥様死亡時）'!BE$3="","",'CF表（奥様死亡時）'!BE35/10000)</f>
        <v/>
      </c>
      <c r="BF35" s="238">
        <f>IF('CF表（奥様死亡時）'!BF$3="","",'CF表（奥様死亡時）'!BF35/10000)</f>
        <v/>
      </c>
      <c r="BG35" s="238">
        <f>IF('CF表（奥様死亡時）'!BG$3="","",'CF表（奥様死亡時）'!BG35/10000)</f>
        <v/>
      </c>
      <c r="BH35" s="238">
        <f>IF('CF表（奥様死亡時）'!BH$3="","",'CF表（奥様死亡時）'!BH35/10000)</f>
        <v/>
      </c>
      <c r="BI35" s="238">
        <f>IF('CF表（奥様死亡時）'!BI$3="","",'CF表（奥様死亡時）'!BI35/10000)</f>
        <v/>
      </c>
      <c r="BJ35" s="238">
        <f>IF('CF表（奥様死亡時）'!BJ$3="","",'CF表（奥様死亡時）'!BJ35/10000)</f>
        <v/>
      </c>
      <c r="BK35" s="238">
        <f>IF('CF表（奥様死亡時）'!BK$3="","",'CF表（奥様死亡時）'!BK35/10000)</f>
        <v/>
      </c>
      <c r="BL35" s="238">
        <f>IF('CF表（奥様死亡時）'!BL$3="","",'CF表（奥様死亡時）'!BL35/10000)</f>
        <v/>
      </c>
      <c r="BM35" s="238">
        <f>IF('CF表（奥様死亡時）'!BM$3="","",'CF表（奥様死亡時）'!BM35/10000)</f>
        <v/>
      </c>
      <c r="BN35" s="238">
        <f>IF('CF表（奥様死亡時）'!BN$3="","",'CF表（奥様死亡時）'!BN35/10000)</f>
        <v/>
      </c>
      <c r="BO35" s="238">
        <f>IF('CF表（奥様死亡時）'!BO$3="","",'CF表（奥様死亡時）'!BO35/10000)</f>
        <v/>
      </c>
      <c r="BP35" s="238">
        <f>IF('CF表（奥様死亡時）'!BP$3="","",'CF表（奥様死亡時）'!BP35/10000)</f>
        <v/>
      </c>
      <c r="BQ35" s="238">
        <f>IF('CF表（奥様死亡時）'!BQ$3="","",'CF表（奥様死亡時）'!BQ35/10000)</f>
        <v/>
      </c>
      <c r="BR35" s="238">
        <f>IF('CF表（奥様死亡時）'!BR$3="","",'CF表（奥様死亡時）'!BR35/10000)</f>
        <v/>
      </c>
      <c r="BS35" s="238">
        <f>IF('CF表（奥様死亡時）'!BS$3="","",'CF表（奥様死亡時）'!BS35/10000)</f>
        <v/>
      </c>
      <c r="BT35" s="238">
        <f>IF('CF表（奥様死亡時）'!BT$3="","",'CF表（奥様死亡時）'!BT35/10000)</f>
        <v/>
      </c>
      <c r="BU35" s="238">
        <f>IF('CF表（奥様死亡時）'!BU$3="","",'CF表（奥様死亡時）'!BU35/10000)</f>
        <v/>
      </c>
      <c r="BV35" s="238">
        <f>IF('CF表（奥様死亡時）'!BV$3="","",'CF表（奥様死亡時）'!BV35/10000)</f>
        <v/>
      </c>
      <c r="BW35" s="238">
        <f>IF('CF表（奥様死亡時）'!BW$3="","",'CF表（奥様死亡時）'!BW35/10000)</f>
        <v/>
      </c>
      <c r="BX35" s="238">
        <f>IF('CF表（奥様死亡時）'!BX$3="","",'CF表（奥様死亡時）'!BX35/10000)</f>
        <v/>
      </c>
      <c r="BY35" s="238">
        <f>IF('CF表（奥様死亡時）'!BY$3="","",'CF表（奥様死亡時）'!BY35/10000)</f>
        <v/>
      </c>
      <c r="BZ35" s="238">
        <f>IF('CF表（奥様死亡時）'!BZ$3="","",'CF表（奥様死亡時）'!BZ35/10000)</f>
        <v/>
      </c>
      <c r="CA35" s="238">
        <f>IF('CF表（奥様死亡時）'!CA$3="","",'CF表（奥様死亡時）'!CA35/10000)</f>
        <v/>
      </c>
      <c r="CB35" s="238">
        <f>IF('CF表（奥様死亡時）'!CB$3="","",'CF表（奥様死亡時）'!CB35/10000)</f>
        <v/>
      </c>
      <c r="CC35" s="238">
        <f>IF('CF表（奥様死亡時）'!CC$3="","",'CF表（奥様死亡時）'!CC35/10000)</f>
        <v/>
      </c>
      <c r="CD35" s="238">
        <f>IF('CF表（奥様死亡時）'!CD$3="","",'CF表（奥様死亡時）'!CD35/10000)</f>
        <v/>
      </c>
      <c r="CE35" s="238">
        <f>IF('CF表（奥様死亡時）'!CE$3="","",'CF表（奥様死亡時）'!CE35/10000)</f>
        <v/>
      </c>
      <c r="CF35" s="238">
        <f>IF('CF表（奥様死亡時）'!CF$3="","",'CF表（奥様死亡時）'!CF35/10000)</f>
        <v/>
      </c>
      <c r="CG35" s="238">
        <f>IF('CF表（奥様死亡時）'!CG$3="","",'CF表（奥様死亡時）'!CG35/10000)</f>
        <v/>
      </c>
      <c r="CH35" s="238">
        <f>IF('CF表（奥様死亡時）'!CH$3="","",'CF表（奥様死亡時）'!CH35/10000)</f>
        <v/>
      </c>
      <c r="CI35" s="238">
        <f>IF('CF表（奥様死亡時）'!CI$3="","",'CF表（奥様死亡時）'!CI35/10000)</f>
        <v/>
      </c>
      <c r="CJ35" s="238">
        <f>IF('CF表（奥様死亡時）'!CJ$3="","",'CF表（奥様死亡時）'!CJ35/10000)</f>
        <v/>
      </c>
      <c r="CK35" s="238">
        <f>IF('CF表（奥様死亡時）'!CK$3="","",'CF表（奥様死亡時）'!CK35/10000)</f>
        <v/>
      </c>
      <c r="CL35" s="238">
        <f>IF('CF表（奥様死亡時）'!CL$3="","",'CF表（奥様死亡時）'!CL35/10000)</f>
        <v/>
      </c>
      <c r="CM35" s="238">
        <f>IF('CF表（奥様死亡時）'!CM$3="","",'CF表（奥様死亡時）'!CM35/10000)</f>
        <v/>
      </c>
      <c r="CN35" s="238">
        <f>IF('CF表（奥様死亡時）'!CN$3="","",'CF表（奥様死亡時）'!CN35/10000)</f>
        <v/>
      </c>
      <c r="CO35" s="238">
        <f>IF('CF表（奥様死亡時）'!CO$3="","",'CF表（奥様死亡時）'!CO35/10000)</f>
        <v/>
      </c>
      <c r="CP35" s="238">
        <f>IF('CF表（奥様死亡時）'!CP$3="","",'CF表（奥様死亡時）'!CP35/10000)</f>
        <v/>
      </c>
      <c r="CQ35" s="238">
        <f>IF('CF表（奥様死亡時）'!CQ$3="","",'CF表（奥様死亡時）'!CQ35/10000)</f>
        <v/>
      </c>
      <c r="CR35" s="238">
        <f>IF('CF表（奥様死亡時）'!CR$3="","",'CF表（奥様死亡時）'!CR35/10000)</f>
        <v/>
      </c>
      <c r="CS35" s="238">
        <f>IF('CF表（奥様死亡時）'!CS$3="","",'CF表（奥様死亡時）'!CS35/10000)</f>
        <v/>
      </c>
      <c r="CT35" s="238">
        <f>IF('CF表（奥様死亡時）'!CT$3="","",'CF表（奥様死亡時）'!CT35/10000)</f>
        <v/>
      </c>
      <c r="CU35" s="238">
        <f>IF('CF表（奥様死亡時）'!CU$3="","",'CF表（奥様死亡時）'!CU35/10000)</f>
        <v/>
      </c>
      <c r="CV35" s="238">
        <f>IF('CF表（奥様死亡時）'!CV$3="","",'CF表（奥様死亡時）'!CV35/10000)</f>
        <v/>
      </c>
      <c r="CW35" s="238">
        <f>IF('CF表（奥様死亡時）'!CW$3="","",'CF表（奥様死亡時）'!CW35/10000)</f>
        <v/>
      </c>
    </row>
    <row r="36" hidden="1" ht="16.5" customHeight="1" s="180">
      <c r="A36" s="239" t="inlineStr">
        <is>
          <t>投資積立年額(補助)</t>
        </is>
      </c>
      <c r="B36" s="240">
        <f>IF('CF表（奥様死亡時）'!B$3="","",'CF表（奥様死亡時）'!B36/10000)</f>
        <v/>
      </c>
      <c r="C36" s="240">
        <f>IF('CF表（奥様死亡時）'!C$3="","",'CF表（奥様死亡時）'!C36/10000)</f>
        <v/>
      </c>
      <c r="D36" s="240">
        <f>IF('CF表（奥様死亡時）'!D$3="","",'CF表（奥様死亡時）'!D36/10000)</f>
        <v/>
      </c>
      <c r="E36" s="240">
        <f>IF('CF表（奥様死亡時）'!E$3="","",'CF表（奥様死亡時）'!E36/10000)</f>
        <v/>
      </c>
      <c r="F36" s="240">
        <f>IF('CF表（奥様死亡時）'!F$3="","",'CF表（奥様死亡時）'!F36/10000)</f>
        <v/>
      </c>
      <c r="G36" s="240">
        <f>IF('CF表（奥様死亡時）'!G$3="","",'CF表（奥様死亡時）'!G36/10000)</f>
        <v/>
      </c>
      <c r="H36" s="240">
        <f>IF('CF表（奥様死亡時）'!H$3="","",'CF表（奥様死亡時）'!H36/10000)</f>
        <v/>
      </c>
      <c r="I36" s="240">
        <f>IF('CF表（奥様死亡時）'!I$3="","",'CF表（奥様死亡時）'!I36/10000)</f>
        <v/>
      </c>
      <c r="J36" s="240">
        <f>IF('CF表（奥様死亡時）'!J$3="","",'CF表（奥様死亡時）'!J36/10000)</f>
        <v/>
      </c>
      <c r="K36" s="240">
        <f>IF('CF表（奥様死亡時）'!K$3="","",'CF表（奥様死亡時）'!K36/10000)</f>
        <v/>
      </c>
      <c r="L36" s="240">
        <f>IF('CF表（奥様死亡時）'!L$3="","",'CF表（奥様死亡時）'!L36/10000)</f>
        <v/>
      </c>
      <c r="M36" s="240">
        <f>IF('CF表（奥様死亡時）'!M$3="","",'CF表（奥様死亡時）'!M36/10000)</f>
        <v/>
      </c>
      <c r="N36" s="240">
        <f>IF('CF表（奥様死亡時）'!N$3="","",'CF表（奥様死亡時）'!N36/10000)</f>
        <v/>
      </c>
      <c r="O36" s="240">
        <f>IF('CF表（奥様死亡時）'!O$3="","",'CF表（奥様死亡時）'!O36/10000)</f>
        <v/>
      </c>
      <c r="P36" s="240">
        <f>IF('CF表（奥様死亡時）'!P$3="","",'CF表（奥様死亡時）'!P36/10000)</f>
        <v/>
      </c>
      <c r="Q36" s="240">
        <f>IF('CF表（奥様死亡時）'!Q$3="","",'CF表（奥様死亡時）'!Q36/10000)</f>
        <v/>
      </c>
      <c r="R36" s="240">
        <f>IF('CF表（奥様死亡時）'!R$3="","",'CF表（奥様死亡時）'!R36/10000)</f>
        <v/>
      </c>
      <c r="S36" s="240">
        <f>IF('CF表（奥様死亡時）'!S$3="","",'CF表（奥様死亡時）'!S36/10000)</f>
        <v/>
      </c>
      <c r="T36" s="240">
        <f>IF('CF表（奥様死亡時）'!T$3="","",'CF表（奥様死亡時）'!T36/10000)</f>
        <v/>
      </c>
      <c r="U36" s="240">
        <f>IF('CF表（奥様死亡時）'!U$3="","",'CF表（奥様死亡時）'!U36/10000)</f>
        <v/>
      </c>
      <c r="V36" s="240">
        <f>IF('CF表（奥様死亡時）'!V$3="","",'CF表（奥様死亡時）'!V36/10000)</f>
        <v/>
      </c>
      <c r="W36" s="240">
        <f>IF('CF表（奥様死亡時）'!W$3="","",'CF表（奥様死亡時）'!W36/10000)</f>
        <v/>
      </c>
      <c r="X36" s="240">
        <f>IF('CF表（奥様死亡時）'!X$3="","",'CF表（奥様死亡時）'!X36/10000)</f>
        <v/>
      </c>
      <c r="Y36" s="240">
        <f>IF('CF表（奥様死亡時）'!Y$3="","",'CF表（奥様死亡時）'!Y36/10000)</f>
        <v/>
      </c>
      <c r="Z36" s="240">
        <f>IF('CF表（奥様死亡時）'!Z$3="","",'CF表（奥様死亡時）'!Z36/10000)</f>
        <v/>
      </c>
      <c r="AA36" s="240">
        <f>IF('CF表（奥様死亡時）'!AA$3="","",'CF表（奥様死亡時）'!AA36/10000)</f>
        <v/>
      </c>
      <c r="AB36" s="240">
        <f>IF('CF表（奥様死亡時）'!AB$3="","",'CF表（奥様死亡時）'!AB36/10000)</f>
        <v/>
      </c>
      <c r="AC36" s="240">
        <f>IF('CF表（奥様死亡時）'!AC$3="","",'CF表（奥様死亡時）'!AC36/10000)</f>
        <v/>
      </c>
      <c r="AD36" s="240">
        <f>IF('CF表（奥様死亡時）'!AD$3="","",'CF表（奥様死亡時）'!AD36/10000)</f>
        <v/>
      </c>
      <c r="AE36" s="240">
        <f>IF('CF表（奥様死亡時）'!AE$3="","",'CF表（奥様死亡時）'!AE36/10000)</f>
        <v/>
      </c>
      <c r="AF36" s="240">
        <f>IF('CF表（奥様死亡時）'!AF$3="","",'CF表（奥様死亡時）'!AF36/10000)</f>
        <v/>
      </c>
      <c r="AG36" s="240">
        <f>IF('CF表（奥様死亡時）'!AG$3="","",'CF表（奥様死亡時）'!AG36/10000)</f>
        <v/>
      </c>
      <c r="AH36" s="240">
        <f>IF('CF表（奥様死亡時）'!AH$3="","",'CF表（奥様死亡時）'!AH36/10000)</f>
        <v/>
      </c>
      <c r="AI36" s="240">
        <f>IF('CF表（奥様死亡時）'!AI$3="","",'CF表（奥様死亡時）'!AI36/10000)</f>
        <v/>
      </c>
      <c r="AJ36" s="240">
        <f>IF('CF表（奥様死亡時）'!AJ$3="","",'CF表（奥様死亡時）'!AJ36/10000)</f>
        <v/>
      </c>
      <c r="AK36" s="240">
        <f>IF('CF表（奥様死亡時）'!AK$3="","",'CF表（奥様死亡時）'!AK36/10000)</f>
        <v/>
      </c>
      <c r="AL36" s="240">
        <f>IF('CF表（奥様死亡時）'!AL$3="","",'CF表（奥様死亡時）'!AL36/10000)</f>
        <v/>
      </c>
      <c r="AM36" s="240">
        <f>IF('CF表（奥様死亡時）'!AM$3="","",'CF表（奥様死亡時）'!AM36/10000)</f>
        <v/>
      </c>
      <c r="AN36" s="240">
        <f>IF('CF表（奥様死亡時）'!AN$3="","",'CF表（奥様死亡時）'!AN36/10000)</f>
        <v/>
      </c>
      <c r="AO36" s="240">
        <f>IF('CF表（奥様死亡時）'!AO$3="","",'CF表（奥様死亡時）'!AO36/10000)</f>
        <v/>
      </c>
      <c r="AP36" s="240">
        <f>IF('CF表（奥様死亡時）'!AP$3="","",'CF表（奥様死亡時）'!AP36/10000)</f>
        <v/>
      </c>
      <c r="AQ36" s="240">
        <f>IF('CF表（奥様死亡時）'!AQ$3="","",'CF表（奥様死亡時）'!AQ36/10000)</f>
        <v/>
      </c>
      <c r="AR36" s="240">
        <f>IF('CF表（奥様死亡時）'!AR$3="","",'CF表（奥様死亡時）'!AR36/10000)</f>
        <v/>
      </c>
      <c r="AS36" s="240">
        <f>IF('CF表（奥様死亡時）'!AS$3="","",'CF表（奥様死亡時）'!AS36/10000)</f>
        <v/>
      </c>
      <c r="AT36" s="240">
        <f>IF('CF表（奥様死亡時）'!AT$3="","",'CF表（奥様死亡時）'!AT36/10000)</f>
        <v/>
      </c>
      <c r="AU36" s="240">
        <f>IF('CF表（奥様死亡時）'!AU$3="","",'CF表（奥様死亡時）'!AU36/10000)</f>
        <v/>
      </c>
      <c r="AV36" s="240">
        <f>IF('CF表（奥様死亡時）'!AV$3="","",'CF表（奥様死亡時）'!AV36/10000)</f>
        <v/>
      </c>
      <c r="AW36" s="240">
        <f>IF('CF表（奥様死亡時）'!AW$3="","",'CF表（奥様死亡時）'!AW36/10000)</f>
        <v/>
      </c>
      <c r="AX36" s="240">
        <f>IF('CF表（奥様死亡時）'!AX$3="","",'CF表（奥様死亡時）'!AX36/10000)</f>
        <v/>
      </c>
      <c r="AY36" s="240">
        <f>IF('CF表（奥様死亡時）'!AY$3="","",'CF表（奥様死亡時）'!AY36/10000)</f>
        <v/>
      </c>
      <c r="AZ36" s="240">
        <f>IF('CF表（奥様死亡時）'!AZ$3="","",'CF表（奥様死亡時）'!AZ36/10000)</f>
        <v/>
      </c>
      <c r="BA36" s="240">
        <f>IF('CF表（奥様死亡時）'!BA$3="","",'CF表（奥様死亡時）'!BA36/10000)</f>
        <v/>
      </c>
      <c r="BB36" s="240">
        <f>IF('CF表（奥様死亡時）'!BB$3="","",'CF表（奥様死亡時）'!BB36/10000)</f>
        <v/>
      </c>
      <c r="BC36" s="240">
        <f>IF('CF表（奥様死亡時）'!BC$3="","",'CF表（奥様死亡時）'!BC36/10000)</f>
        <v/>
      </c>
      <c r="BD36" s="240">
        <f>IF('CF表（奥様死亡時）'!BD$3="","",'CF表（奥様死亡時）'!BD36/10000)</f>
        <v/>
      </c>
      <c r="BE36" s="240">
        <f>IF('CF表（奥様死亡時）'!BE$3="","",'CF表（奥様死亡時）'!BE36/10000)</f>
        <v/>
      </c>
      <c r="BF36" s="240">
        <f>IF('CF表（奥様死亡時）'!BF$3="","",'CF表（奥様死亡時）'!BF36/10000)</f>
        <v/>
      </c>
      <c r="BG36" s="240">
        <f>IF('CF表（奥様死亡時）'!BG$3="","",'CF表（奥様死亡時）'!BG36/10000)</f>
        <v/>
      </c>
      <c r="BH36" s="240">
        <f>IF('CF表（奥様死亡時）'!BH$3="","",'CF表（奥様死亡時）'!BH36/10000)</f>
        <v/>
      </c>
      <c r="BI36" s="240">
        <f>IF('CF表（奥様死亡時）'!BI$3="","",'CF表（奥様死亡時）'!BI36/10000)</f>
        <v/>
      </c>
      <c r="BJ36" s="240">
        <f>IF('CF表（奥様死亡時）'!BJ$3="","",'CF表（奥様死亡時）'!BJ36/10000)</f>
        <v/>
      </c>
      <c r="BK36" s="240">
        <f>IF('CF表（奥様死亡時）'!BK$3="","",'CF表（奥様死亡時）'!BK36/10000)</f>
        <v/>
      </c>
      <c r="BL36" s="240">
        <f>IF('CF表（奥様死亡時）'!BL$3="","",'CF表（奥様死亡時）'!BL36/10000)</f>
        <v/>
      </c>
      <c r="BM36" s="240">
        <f>IF('CF表（奥様死亡時）'!BM$3="","",'CF表（奥様死亡時）'!BM36/10000)</f>
        <v/>
      </c>
      <c r="BN36" s="240">
        <f>IF('CF表（奥様死亡時）'!BN$3="","",'CF表（奥様死亡時）'!BN36/10000)</f>
        <v/>
      </c>
      <c r="BO36" s="240">
        <f>IF('CF表（奥様死亡時）'!BO$3="","",'CF表（奥様死亡時）'!BO36/10000)</f>
        <v/>
      </c>
      <c r="BP36" s="240">
        <f>IF('CF表（奥様死亡時）'!BP$3="","",'CF表（奥様死亡時）'!BP36/10000)</f>
        <v/>
      </c>
      <c r="BQ36" s="240">
        <f>IF('CF表（奥様死亡時）'!BQ$3="","",'CF表（奥様死亡時）'!BQ36/10000)</f>
        <v/>
      </c>
      <c r="BR36" s="240">
        <f>IF('CF表（奥様死亡時）'!BR$3="","",'CF表（奥様死亡時）'!BR36/10000)</f>
        <v/>
      </c>
      <c r="BS36" s="240">
        <f>IF('CF表（奥様死亡時）'!BS$3="","",'CF表（奥様死亡時）'!BS36/10000)</f>
        <v/>
      </c>
      <c r="BT36" s="240">
        <f>IF('CF表（奥様死亡時）'!BT$3="","",'CF表（奥様死亡時）'!BT36/10000)</f>
        <v/>
      </c>
      <c r="BU36" s="240">
        <f>IF('CF表（奥様死亡時）'!BU$3="","",'CF表（奥様死亡時）'!BU36/10000)</f>
        <v/>
      </c>
      <c r="BV36" s="240">
        <f>IF('CF表（奥様死亡時）'!BV$3="","",'CF表（奥様死亡時）'!BV36/10000)</f>
        <v/>
      </c>
      <c r="BW36" s="240">
        <f>IF('CF表（奥様死亡時）'!BW$3="","",'CF表（奥様死亡時）'!BW36/10000)</f>
        <v/>
      </c>
      <c r="BX36" s="240">
        <f>IF('CF表（奥様死亡時）'!BX$3="","",'CF表（奥様死亡時）'!BX36/10000)</f>
        <v/>
      </c>
      <c r="BY36" s="240">
        <f>IF('CF表（奥様死亡時）'!BY$3="","",'CF表（奥様死亡時）'!BY36/10000)</f>
        <v/>
      </c>
      <c r="BZ36" s="240">
        <f>IF('CF表（奥様死亡時）'!BZ$3="","",'CF表（奥様死亡時）'!BZ36/10000)</f>
        <v/>
      </c>
      <c r="CA36" s="240">
        <f>IF('CF表（奥様死亡時）'!CA$3="","",'CF表（奥様死亡時）'!CA36/10000)</f>
        <v/>
      </c>
      <c r="CB36" s="240">
        <f>IF('CF表（奥様死亡時）'!CB$3="","",'CF表（奥様死亡時）'!CB36/10000)</f>
        <v/>
      </c>
      <c r="CC36" s="240">
        <f>IF('CF表（奥様死亡時）'!CC$3="","",'CF表（奥様死亡時）'!CC36/10000)</f>
        <v/>
      </c>
      <c r="CD36" s="240">
        <f>IF('CF表（奥様死亡時）'!CD$3="","",'CF表（奥様死亡時）'!CD36/10000)</f>
        <v/>
      </c>
      <c r="CE36" s="240">
        <f>IF('CF表（奥様死亡時）'!CE$3="","",'CF表（奥様死亡時）'!CE36/10000)</f>
        <v/>
      </c>
      <c r="CF36" s="240">
        <f>IF('CF表（奥様死亡時）'!CF$3="","",'CF表（奥様死亡時）'!CF36/10000)</f>
        <v/>
      </c>
      <c r="CG36" s="240">
        <f>IF('CF表（奥様死亡時）'!CG$3="","",'CF表（奥様死亡時）'!CG36/10000)</f>
        <v/>
      </c>
      <c r="CH36" s="240">
        <f>IF('CF表（奥様死亡時）'!CH$3="","",'CF表（奥様死亡時）'!CH36/10000)</f>
        <v/>
      </c>
      <c r="CI36" s="240">
        <f>IF('CF表（奥様死亡時）'!CI$3="","",'CF表（奥様死亡時）'!CI36/10000)</f>
        <v/>
      </c>
      <c r="CJ36" s="240">
        <f>IF('CF表（奥様死亡時）'!CJ$3="","",'CF表（奥様死亡時）'!CJ36/10000)</f>
        <v/>
      </c>
      <c r="CK36" s="240">
        <f>IF('CF表（奥様死亡時）'!CK$3="","",'CF表（奥様死亡時）'!CK36/10000)</f>
        <v/>
      </c>
      <c r="CL36" s="240">
        <f>IF('CF表（奥様死亡時）'!CL$3="","",'CF表（奥様死亡時）'!CL36/10000)</f>
        <v/>
      </c>
      <c r="CM36" s="240">
        <f>IF('CF表（奥様死亡時）'!CM$3="","",'CF表（奥様死亡時）'!CM36/10000)</f>
        <v/>
      </c>
      <c r="CN36" s="240">
        <f>IF('CF表（奥様死亡時）'!CN$3="","",'CF表（奥様死亡時）'!CN36/10000)</f>
        <v/>
      </c>
      <c r="CO36" s="240">
        <f>IF('CF表（奥様死亡時）'!CO$3="","",'CF表（奥様死亡時）'!CO36/10000)</f>
        <v/>
      </c>
      <c r="CP36" s="240">
        <f>IF('CF表（奥様死亡時）'!CP$3="","",'CF表（奥様死亡時）'!CP36/10000)</f>
        <v/>
      </c>
      <c r="CQ36" s="240">
        <f>IF('CF表（奥様死亡時）'!CQ$3="","",'CF表（奥様死亡時）'!CQ36/10000)</f>
        <v/>
      </c>
      <c r="CR36" s="240">
        <f>IF('CF表（奥様死亡時）'!CR$3="","",'CF表（奥様死亡時）'!CR36/10000)</f>
        <v/>
      </c>
      <c r="CS36" s="240">
        <f>IF('CF表（奥様死亡時）'!CS$3="","",'CF表（奥様死亡時）'!CS36/10000)</f>
        <v/>
      </c>
      <c r="CT36" s="240">
        <f>IF('CF表（奥様死亡時）'!CT$3="","",'CF表（奥様死亡時）'!CT36/10000)</f>
        <v/>
      </c>
      <c r="CU36" s="240">
        <f>IF('CF表（奥様死亡時）'!CU$3="","",'CF表（奥様死亡時）'!CU36/10000)</f>
        <v/>
      </c>
      <c r="CV36" s="240">
        <f>IF('CF表（奥様死亡時）'!CV$3="","",'CF表（奥様死亡時）'!CV36/10000)</f>
        <v/>
      </c>
      <c r="CW36" s="240">
        <f>IF('CF表（奥様死亡時）'!CW$3="","",'CF表（奥様死亡時）'!CW36/10000)</f>
        <v/>
      </c>
    </row>
    <row r="37" hidden="1" ht="16.5" customHeight="1" s="180">
      <c r="A37" s="239" t="inlineStr">
        <is>
          <t>返戻金積立年額(補助)</t>
        </is>
      </c>
      <c r="B37" s="240">
        <f>IF('CF表（奥様死亡時）'!B$3="","",'CF表（奥様死亡時）'!B37/10000)</f>
        <v/>
      </c>
      <c r="C37" s="240">
        <f>IF('CF表（奥様死亡時）'!C$3="","",'CF表（奥様死亡時）'!C37/10000)</f>
        <v/>
      </c>
      <c r="D37" s="240">
        <f>IF('CF表（奥様死亡時）'!D$3="","",'CF表（奥様死亡時）'!D37/10000)</f>
        <v/>
      </c>
      <c r="E37" s="240">
        <f>IF('CF表（奥様死亡時）'!E$3="","",'CF表（奥様死亡時）'!E37/10000)</f>
        <v/>
      </c>
      <c r="F37" s="240">
        <f>IF('CF表（奥様死亡時）'!F$3="","",'CF表（奥様死亡時）'!F37/10000)</f>
        <v/>
      </c>
      <c r="G37" s="240">
        <f>IF('CF表（奥様死亡時）'!G$3="","",'CF表（奥様死亡時）'!G37/10000)</f>
        <v/>
      </c>
      <c r="H37" s="240">
        <f>IF('CF表（奥様死亡時）'!H$3="","",'CF表（奥様死亡時）'!H37/10000)</f>
        <v/>
      </c>
      <c r="I37" s="240">
        <f>IF('CF表（奥様死亡時）'!I$3="","",'CF表（奥様死亡時）'!I37/10000)</f>
        <v/>
      </c>
      <c r="J37" s="240">
        <f>IF('CF表（奥様死亡時）'!J$3="","",'CF表（奥様死亡時）'!J37/10000)</f>
        <v/>
      </c>
      <c r="K37" s="240">
        <f>IF('CF表（奥様死亡時）'!K$3="","",'CF表（奥様死亡時）'!K37/10000)</f>
        <v/>
      </c>
      <c r="L37" s="240">
        <f>IF('CF表（奥様死亡時）'!L$3="","",'CF表（奥様死亡時）'!L37/10000)</f>
        <v/>
      </c>
      <c r="M37" s="240">
        <f>IF('CF表（奥様死亡時）'!M$3="","",'CF表（奥様死亡時）'!M37/10000)</f>
        <v/>
      </c>
      <c r="N37" s="240">
        <f>IF('CF表（奥様死亡時）'!N$3="","",'CF表（奥様死亡時）'!N37/10000)</f>
        <v/>
      </c>
      <c r="O37" s="240">
        <f>IF('CF表（奥様死亡時）'!O$3="","",'CF表（奥様死亡時）'!O37/10000)</f>
        <v/>
      </c>
      <c r="P37" s="240">
        <f>IF('CF表（奥様死亡時）'!P$3="","",'CF表（奥様死亡時）'!P37/10000)</f>
        <v/>
      </c>
      <c r="Q37" s="240">
        <f>IF('CF表（奥様死亡時）'!Q$3="","",'CF表（奥様死亡時）'!Q37/10000)</f>
        <v/>
      </c>
      <c r="R37" s="240">
        <f>IF('CF表（奥様死亡時）'!R$3="","",'CF表（奥様死亡時）'!R37/10000)</f>
        <v/>
      </c>
      <c r="S37" s="240">
        <f>IF('CF表（奥様死亡時）'!S$3="","",'CF表（奥様死亡時）'!S37/10000)</f>
        <v/>
      </c>
      <c r="T37" s="240">
        <f>IF('CF表（奥様死亡時）'!T$3="","",'CF表（奥様死亡時）'!T37/10000)</f>
        <v/>
      </c>
      <c r="U37" s="240">
        <f>IF('CF表（奥様死亡時）'!U$3="","",'CF表（奥様死亡時）'!U37/10000)</f>
        <v/>
      </c>
      <c r="V37" s="240">
        <f>IF('CF表（奥様死亡時）'!V$3="","",'CF表（奥様死亡時）'!V37/10000)</f>
        <v/>
      </c>
      <c r="W37" s="240">
        <f>IF('CF表（奥様死亡時）'!W$3="","",'CF表（奥様死亡時）'!W37/10000)</f>
        <v/>
      </c>
      <c r="X37" s="240">
        <f>IF('CF表（奥様死亡時）'!X$3="","",'CF表（奥様死亡時）'!X37/10000)</f>
        <v/>
      </c>
      <c r="Y37" s="240">
        <f>IF('CF表（奥様死亡時）'!Y$3="","",'CF表（奥様死亡時）'!Y37/10000)</f>
        <v/>
      </c>
      <c r="Z37" s="240">
        <f>IF('CF表（奥様死亡時）'!Z$3="","",'CF表（奥様死亡時）'!Z37/10000)</f>
        <v/>
      </c>
      <c r="AA37" s="240">
        <f>IF('CF表（奥様死亡時）'!AA$3="","",'CF表（奥様死亡時）'!AA37/10000)</f>
        <v/>
      </c>
      <c r="AB37" s="240">
        <f>IF('CF表（奥様死亡時）'!AB$3="","",'CF表（奥様死亡時）'!AB37/10000)</f>
        <v/>
      </c>
      <c r="AC37" s="240">
        <f>IF('CF表（奥様死亡時）'!AC$3="","",'CF表（奥様死亡時）'!AC37/10000)</f>
        <v/>
      </c>
      <c r="AD37" s="240">
        <f>IF('CF表（奥様死亡時）'!AD$3="","",'CF表（奥様死亡時）'!AD37/10000)</f>
        <v/>
      </c>
      <c r="AE37" s="240">
        <f>IF('CF表（奥様死亡時）'!AE$3="","",'CF表（奥様死亡時）'!AE37/10000)</f>
        <v/>
      </c>
      <c r="AF37" s="240">
        <f>IF('CF表（奥様死亡時）'!AF$3="","",'CF表（奥様死亡時）'!AF37/10000)</f>
        <v/>
      </c>
      <c r="AG37" s="240">
        <f>IF('CF表（奥様死亡時）'!AG$3="","",'CF表（奥様死亡時）'!AG37/10000)</f>
        <v/>
      </c>
      <c r="AH37" s="240">
        <f>IF('CF表（奥様死亡時）'!AH$3="","",'CF表（奥様死亡時）'!AH37/10000)</f>
        <v/>
      </c>
      <c r="AI37" s="240">
        <f>IF('CF表（奥様死亡時）'!AI$3="","",'CF表（奥様死亡時）'!AI37/10000)</f>
        <v/>
      </c>
      <c r="AJ37" s="240">
        <f>IF('CF表（奥様死亡時）'!AJ$3="","",'CF表（奥様死亡時）'!AJ37/10000)</f>
        <v/>
      </c>
      <c r="AK37" s="240">
        <f>IF('CF表（奥様死亡時）'!AK$3="","",'CF表（奥様死亡時）'!AK37/10000)</f>
        <v/>
      </c>
      <c r="AL37" s="240">
        <f>IF('CF表（奥様死亡時）'!AL$3="","",'CF表（奥様死亡時）'!AL37/10000)</f>
        <v/>
      </c>
      <c r="AM37" s="240">
        <f>IF('CF表（奥様死亡時）'!AM$3="","",'CF表（奥様死亡時）'!AM37/10000)</f>
        <v/>
      </c>
      <c r="AN37" s="240">
        <f>IF('CF表（奥様死亡時）'!AN$3="","",'CF表（奥様死亡時）'!AN37/10000)</f>
        <v/>
      </c>
      <c r="AO37" s="240">
        <f>IF('CF表（奥様死亡時）'!AO$3="","",'CF表（奥様死亡時）'!AO37/10000)</f>
        <v/>
      </c>
      <c r="AP37" s="240">
        <f>IF('CF表（奥様死亡時）'!AP$3="","",'CF表（奥様死亡時）'!AP37/10000)</f>
        <v/>
      </c>
      <c r="AQ37" s="240">
        <f>IF('CF表（奥様死亡時）'!AQ$3="","",'CF表（奥様死亡時）'!AQ37/10000)</f>
        <v/>
      </c>
      <c r="AR37" s="240">
        <f>IF('CF表（奥様死亡時）'!AR$3="","",'CF表（奥様死亡時）'!AR37/10000)</f>
        <v/>
      </c>
      <c r="AS37" s="240">
        <f>IF('CF表（奥様死亡時）'!AS$3="","",'CF表（奥様死亡時）'!AS37/10000)</f>
        <v/>
      </c>
      <c r="AT37" s="240">
        <f>IF('CF表（奥様死亡時）'!AT$3="","",'CF表（奥様死亡時）'!AT37/10000)</f>
        <v/>
      </c>
      <c r="AU37" s="240">
        <f>IF('CF表（奥様死亡時）'!AU$3="","",'CF表（奥様死亡時）'!AU37/10000)</f>
        <v/>
      </c>
      <c r="AV37" s="240">
        <f>IF('CF表（奥様死亡時）'!AV$3="","",'CF表（奥様死亡時）'!AV37/10000)</f>
        <v/>
      </c>
      <c r="AW37" s="240">
        <f>IF('CF表（奥様死亡時）'!AW$3="","",'CF表（奥様死亡時）'!AW37/10000)</f>
        <v/>
      </c>
      <c r="AX37" s="240">
        <f>IF('CF表（奥様死亡時）'!AX$3="","",'CF表（奥様死亡時）'!AX37/10000)</f>
        <v/>
      </c>
      <c r="AY37" s="240">
        <f>IF('CF表（奥様死亡時）'!AY$3="","",'CF表（奥様死亡時）'!AY37/10000)</f>
        <v/>
      </c>
      <c r="AZ37" s="240">
        <f>IF('CF表（奥様死亡時）'!AZ$3="","",'CF表（奥様死亡時）'!AZ37/10000)</f>
        <v/>
      </c>
      <c r="BA37" s="240">
        <f>IF('CF表（奥様死亡時）'!BA$3="","",'CF表（奥様死亡時）'!BA37/10000)</f>
        <v/>
      </c>
      <c r="BB37" s="240">
        <f>IF('CF表（奥様死亡時）'!BB$3="","",'CF表（奥様死亡時）'!BB37/10000)</f>
        <v/>
      </c>
      <c r="BC37" s="240">
        <f>IF('CF表（奥様死亡時）'!BC$3="","",'CF表（奥様死亡時）'!BC37/10000)</f>
        <v/>
      </c>
      <c r="BD37" s="240">
        <f>IF('CF表（奥様死亡時）'!BD$3="","",'CF表（奥様死亡時）'!BD37/10000)</f>
        <v/>
      </c>
      <c r="BE37" s="240">
        <f>IF('CF表（奥様死亡時）'!BE$3="","",'CF表（奥様死亡時）'!BE37/10000)</f>
        <v/>
      </c>
      <c r="BF37" s="240">
        <f>IF('CF表（奥様死亡時）'!BF$3="","",'CF表（奥様死亡時）'!BF37/10000)</f>
        <v/>
      </c>
      <c r="BG37" s="240">
        <f>IF('CF表（奥様死亡時）'!BG$3="","",'CF表（奥様死亡時）'!BG37/10000)</f>
        <v/>
      </c>
      <c r="BH37" s="240">
        <f>IF('CF表（奥様死亡時）'!BH$3="","",'CF表（奥様死亡時）'!BH37/10000)</f>
        <v/>
      </c>
      <c r="BI37" s="240">
        <f>IF('CF表（奥様死亡時）'!BI$3="","",'CF表（奥様死亡時）'!BI37/10000)</f>
        <v/>
      </c>
      <c r="BJ37" s="240">
        <f>IF('CF表（奥様死亡時）'!BJ$3="","",'CF表（奥様死亡時）'!BJ37/10000)</f>
        <v/>
      </c>
      <c r="BK37" s="240">
        <f>IF('CF表（奥様死亡時）'!BK$3="","",'CF表（奥様死亡時）'!BK37/10000)</f>
        <v/>
      </c>
      <c r="BL37" s="240">
        <f>IF('CF表（奥様死亡時）'!BL$3="","",'CF表（奥様死亡時）'!BL37/10000)</f>
        <v/>
      </c>
      <c r="BM37" s="240">
        <f>IF('CF表（奥様死亡時）'!BM$3="","",'CF表（奥様死亡時）'!BM37/10000)</f>
        <v/>
      </c>
      <c r="BN37" s="240">
        <f>IF('CF表（奥様死亡時）'!BN$3="","",'CF表（奥様死亡時）'!BN37/10000)</f>
        <v/>
      </c>
      <c r="BO37" s="240">
        <f>IF('CF表（奥様死亡時）'!BO$3="","",'CF表（奥様死亡時）'!BO37/10000)</f>
        <v/>
      </c>
      <c r="BP37" s="240">
        <f>IF('CF表（奥様死亡時）'!BP$3="","",'CF表（奥様死亡時）'!BP37/10000)</f>
        <v/>
      </c>
      <c r="BQ37" s="240">
        <f>IF('CF表（奥様死亡時）'!BQ$3="","",'CF表（奥様死亡時）'!BQ37/10000)</f>
        <v/>
      </c>
      <c r="BR37" s="240">
        <f>IF('CF表（奥様死亡時）'!BR$3="","",'CF表（奥様死亡時）'!BR37/10000)</f>
        <v/>
      </c>
      <c r="BS37" s="240">
        <f>IF('CF表（奥様死亡時）'!BS$3="","",'CF表（奥様死亡時）'!BS37/10000)</f>
        <v/>
      </c>
      <c r="BT37" s="240">
        <f>IF('CF表（奥様死亡時）'!BT$3="","",'CF表（奥様死亡時）'!BT37/10000)</f>
        <v/>
      </c>
      <c r="BU37" s="240">
        <f>IF('CF表（奥様死亡時）'!BU$3="","",'CF表（奥様死亡時）'!BU37/10000)</f>
        <v/>
      </c>
      <c r="BV37" s="240">
        <f>IF('CF表（奥様死亡時）'!BV$3="","",'CF表（奥様死亡時）'!BV37/10000)</f>
        <v/>
      </c>
      <c r="BW37" s="240">
        <f>IF('CF表（奥様死亡時）'!BW$3="","",'CF表（奥様死亡時）'!BW37/10000)</f>
        <v/>
      </c>
      <c r="BX37" s="240">
        <f>IF('CF表（奥様死亡時）'!BX$3="","",'CF表（奥様死亡時）'!BX37/10000)</f>
        <v/>
      </c>
      <c r="BY37" s="240">
        <f>IF('CF表（奥様死亡時）'!BY$3="","",'CF表（奥様死亡時）'!BY37/10000)</f>
        <v/>
      </c>
      <c r="BZ37" s="240">
        <f>IF('CF表（奥様死亡時）'!BZ$3="","",'CF表（奥様死亡時）'!BZ37/10000)</f>
        <v/>
      </c>
      <c r="CA37" s="240">
        <f>IF('CF表（奥様死亡時）'!CA$3="","",'CF表（奥様死亡時）'!CA37/10000)</f>
        <v/>
      </c>
      <c r="CB37" s="240">
        <f>IF('CF表（奥様死亡時）'!CB$3="","",'CF表（奥様死亡時）'!CB37/10000)</f>
        <v/>
      </c>
      <c r="CC37" s="240">
        <f>IF('CF表（奥様死亡時）'!CC$3="","",'CF表（奥様死亡時）'!CC37/10000)</f>
        <v/>
      </c>
      <c r="CD37" s="240">
        <f>IF('CF表（奥様死亡時）'!CD$3="","",'CF表（奥様死亡時）'!CD37/10000)</f>
        <v/>
      </c>
      <c r="CE37" s="240">
        <f>IF('CF表（奥様死亡時）'!CE$3="","",'CF表（奥様死亡時）'!CE37/10000)</f>
        <v/>
      </c>
      <c r="CF37" s="240">
        <f>IF('CF表（奥様死亡時）'!CF$3="","",'CF表（奥様死亡時）'!CF37/10000)</f>
        <v/>
      </c>
      <c r="CG37" s="240">
        <f>IF('CF表（奥様死亡時）'!CG$3="","",'CF表（奥様死亡時）'!CG37/10000)</f>
        <v/>
      </c>
      <c r="CH37" s="240">
        <f>IF('CF表（奥様死亡時）'!CH$3="","",'CF表（奥様死亡時）'!CH37/10000)</f>
        <v/>
      </c>
      <c r="CI37" s="240">
        <f>IF('CF表（奥様死亡時）'!CI$3="","",'CF表（奥様死亡時）'!CI37/10000)</f>
        <v/>
      </c>
      <c r="CJ37" s="240">
        <f>IF('CF表（奥様死亡時）'!CJ$3="","",'CF表（奥様死亡時）'!CJ37/10000)</f>
        <v/>
      </c>
      <c r="CK37" s="240">
        <f>IF('CF表（奥様死亡時）'!CK$3="","",'CF表（奥様死亡時）'!CK37/10000)</f>
        <v/>
      </c>
      <c r="CL37" s="240">
        <f>IF('CF表（奥様死亡時）'!CL$3="","",'CF表（奥様死亡時）'!CL37/10000)</f>
        <v/>
      </c>
      <c r="CM37" s="240">
        <f>IF('CF表（奥様死亡時）'!CM$3="","",'CF表（奥様死亡時）'!CM37/10000)</f>
        <v/>
      </c>
      <c r="CN37" s="240">
        <f>IF('CF表（奥様死亡時）'!CN$3="","",'CF表（奥様死亡時）'!CN37/10000)</f>
        <v/>
      </c>
      <c r="CO37" s="240">
        <f>IF('CF表（奥様死亡時）'!CO$3="","",'CF表（奥様死亡時）'!CO37/10000)</f>
        <v/>
      </c>
      <c r="CP37" s="240">
        <f>IF('CF表（奥様死亡時）'!CP$3="","",'CF表（奥様死亡時）'!CP37/10000)</f>
        <v/>
      </c>
      <c r="CQ37" s="240">
        <f>IF('CF表（奥様死亡時）'!CQ$3="","",'CF表（奥様死亡時）'!CQ37/10000)</f>
        <v/>
      </c>
      <c r="CR37" s="240">
        <f>IF('CF表（奥様死亡時）'!CR$3="","",'CF表（奥様死亡時）'!CR37/10000)</f>
        <v/>
      </c>
      <c r="CS37" s="240">
        <f>IF('CF表（奥様死亡時）'!CS$3="","",'CF表（奥様死亡時）'!CS37/10000)</f>
        <v/>
      </c>
      <c r="CT37" s="240">
        <f>IF('CF表（奥様死亡時）'!CT$3="","",'CF表（奥様死亡時）'!CT37/10000)</f>
        <v/>
      </c>
      <c r="CU37" s="240">
        <f>IF('CF表（奥様死亡時）'!CU$3="","",'CF表（奥様死亡時）'!CU37/10000)</f>
        <v/>
      </c>
      <c r="CV37" s="240">
        <f>IF('CF表（奥様死亡時）'!CV$3="","",'CF表（奥様死亡時）'!CV37/10000)</f>
        <v/>
      </c>
      <c r="CW37" s="240">
        <f>IF('CF表（奥様死亡時）'!CW$3="","",'CF表（奥様死亡時）'!CW37/10000)</f>
        <v/>
      </c>
    </row>
    <row r="38" hidden="1" ht="16.5" customHeight="1" s="180">
      <c r="A38" s="239" t="inlineStr">
        <is>
          <t>預貯金前年差引前(補助)</t>
        </is>
      </c>
      <c r="B38" s="240">
        <f>IF('CF表（奥様死亡時）'!B$3="","",'CF表（奥様死亡時）'!B38/10000)</f>
        <v/>
      </c>
      <c r="C38" s="240">
        <f>IF('CF表（奥様死亡時）'!C$3="","",'CF表（奥様死亡時）'!C38/10000)</f>
        <v/>
      </c>
      <c r="D38" s="240">
        <f>IF('CF表（奥様死亡時）'!D$3="","",'CF表（奥様死亡時）'!D38/10000)</f>
        <v/>
      </c>
      <c r="E38" s="240">
        <f>IF('CF表（奥様死亡時）'!E$3="","",'CF表（奥様死亡時）'!E38/10000)</f>
        <v/>
      </c>
      <c r="F38" s="240">
        <f>IF('CF表（奥様死亡時）'!F$3="","",'CF表（奥様死亡時）'!F38/10000)</f>
        <v/>
      </c>
      <c r="G38" s="240">
        <f>IF('CF表（奥様死亡時）'!G$3="","",'CF表（奥様死亡時）'!G38/10000)</f>
        <v/>
      </c>
      <c r="H38" s="240">
        <f>IF('CF表（奥様死亡時）'!H$3="","",'CF表（奥様死亡時）'!H38/10000)</f>
        <v/>
      </c>
      <c r="I38" s="240">
        <f>IF('CF表（奥様死亡時）'!I$3="","",'CF表（奥様死亡時）'!I38/10000)</f>
        <v/>
      </c>
      <c r="J38" s="240">
        <f>IF('CF表（奥様死亡時）'!J$3="","",'CF表（奥様死亡時）'!J38/10000)</f>
        <v/>
      </c>
      <c r="K38" s="240">
        <f>IF('CF表（奥様死亡時）'!K$3="","",'CF表（奥様死亡時）'!K38/10000)</f>
        <v/>
      </c>
      <c r="L38" s="240">
        <f>IF('CF表（奥様死亡時）'!L$3="","",'CF表（奥様死亡時）'!L38/10000)</f>
        <v/>
      </c>
      <c r="M38" s="240">
        <f>IF('CF表（奥様死亡時）'!M$3="","",'CF表（奥様死亡時）'!M38/10000)</f>
        <v/>
      </c>
      <c r="N38" s="240">
        <f>IF('CF表（奥様死亡時）'!N$3="","",'CF表（奥様死亡時）'!N38/10000)</f>
        <v/>
      </c>
      <c r="O38" s="240">
        <f>IF('CF表（奥様死亡時）'!O$3="","",'CF表（奥様死亡時）'!O38/10000)</f>
        <v/>
      </c>
      <c r="P38" s="240">
        <f>IF('CF表（奥様死亡時）'!P$3="","",'CF表（奥様死亡時）'!P38/10000)</f>
        <v/>
      </c>
      <c r="Q38" s="240">
        <f>IF('CF表（奥様死亡時）'!Q$3="","",'CF表（奥様死亡時）'!Q38/10000)</f>
        <v/>
      </c>
      <c r="R38" s="240">
        <f>IF('CF表（奥様死亡時）'!R$3="","",'CF表（奥様死亡時）'!R38/10000)</f>
        <v/>
      </c>
      <c r="S38" s="240">
        <f>IF('CF表（奥様死亡時）'!S$3="","",'CF表（奥様死亡時）'!S38/10000)</f>
        <v/>
      </c>
      <c r="T38" s="240">
        <f>IF('CF表（奥様死亡時）'!T$3="","",'CF表（奥様死亡時）'!T38/10000)</f>
        <v/>
      </c>
      <c r="U38" s="240">
        <f>IF('CF表（奥様死亡時）'!U$3="","",'CF表（奥様死亡時）'!U38/10000)</f>
        <v/>
      </c>
      <c r="V38" s="240">
        <f>IF('CF表（奥様死亡時）'!V$3="","",'CF表（奥様死亡時）'!V38/10000)</f>
        <v/>
      </c>
      <c r="W38" s="240">
        <f>IF('CF表（奥様死亡時）'!W$3="","",'CF表（奥様死亡時）'!W38/10000)</f>
        <v/>
      </c>
      <c r="X38" s="240">
        <f>IF('CF表（奥様死亡時）'!X$3="","",'CF表（奥様死亡時）'!X38/10000)</f>
        <v/>
      </c>
      <c r="Y38" s="240">
        <f>IF('CF表（奥様死亡時）'!Y$3="","",'CF表（奥様死亡時）'!Y38/10000)</f>
        <v/>
      </c>
      <c r="Z38" s="240">
        <f>IF('CF表（奥様死亡時）'!Z$3="","",'CF表（奥様死亡時）'!Z38/10000)</f>
        <v/>
      </c>
      <c r="AA38" s="240">
        <f>IF('CF表（奥様死亡時）'!AA$3="","",'CF表（奥様死亡時）'!AA38/10000)</f>
        <v/>
      </c>
      <c r="AB38" s="240">
        <f>IF('CF表（奥様死亡時）'!AB$3="","",'CF表（奥様死亡時）'!AB38/10000)</f>
        <v/>
      </c>
      <c r="AC38" s="240">
        <f>IF('CF表（奥様死亡時）'!AC$3="","",'CF表（奥様死亡時）'!AC38/10000)</f>
        <v/>
      </c>
      <c r="AD38" s="240">
        <f>IF('CF表（奥様死亡時）'!AD$3="","",'CF表（奥様死亡時）'!AD38/10000)</f>
        <v/>
      </c>
      <c r="AE38" s="240">
        <f>IF('CF表（奥様死亡時）'!AE$3="","",'CF表（奥様死亡時）'!AE38/10000)</f>
        <v/>
      </c>
      <c r="AF38" s="240">
        <f>IF('CF表（奥様死亡時）'!AF$3="","",'CF表（奥様死亡時）'!AF38/10000)</f>
        <v/>
      </c>
      <c r="AG38" s="240">
        <f>IF('CF表（奥様死亡時）'!AG$3="","",'CF表（奥様死亡時）'!AG38/10000)</f>
        <v/>
      </c>
      <c r="AH38" s="240">
        <f>IF('CF表（奥様死亡時）'!AH$3="","",'CF表（奥様死亡時）'!AH38/10000)</f>
        <v/>
      </c>
      <c r="AI38" s="240">
        <f>IF('CF表（奥様死亡時）'!AI$3="","",'CF表（奥様死亡時）'!AI38/10000)</f>
        <v/>
      </c>
      <c r="AJ38" s="240">
        <f>IF('CF表（奥様死亡時）'!AJ$3="","",'CF表（奥様死亡時）'!AJ38/10000)</f>
        <v/>
      </c>
      <c r="AK38" s="240">
        <f>IF('CF表（奥様死亡時）'!AK$3="","",'CF表（奥様死亡時）'!AK38/10000)</f>
        <v/>
      </c>
      <c r="AL38" s="240">
        <f>IF('CF表（奥様死亡時）'!AL$3="","",'CF表（奥様死亡時）'!AL38/10000)</f>
        <v/>
      </c>
      <c r="AM38" s="240">
        <f>IF('CF表（奥様死亡時）'!AM$3="","",'CF表（奥様死亡時）'!AM38/10000)</f>
        <v/>
      </c>
      <c r="AN38" s="240">
        <f>IF('CF表（奥様死亡時）'!AN$3="","",'CF表（奥様死亡時）'!AN38/10000)</f>
        <v/>
      </c>
      <c r="AO38" s="240">
        <f>IF('CF表（奥様死亡時）'!AO$3="","",'CF表（奥様死亡時）'!AO38/10000)</f>
        <v/>
      </c>
      <c r="AP38" s="240">
        <f>IF('CF表（奥様死亡時）'!AP$3="","",'CF表（奥様死亡時）'!AP38/10000)</f>
        <v/>
      </c>
      <c r="AQ38" s="240">
        <f>IF('CF表（奥様死亡時）'!AQ$3="","",'CF表（奥様死亡時）'!AQ38/10000)</f>
        <v/>
      </c>
      <c r="AR38" s="240">
        <f>IF('CF表（奥様死亡時）'!AR$3="","",'CF表（奥様死亡時）'!AR38/10000)</f>
        <v/>
      </c>
      <c r="AS38" s="240">
        <f>IF('CF表（奥様死亡時）'!AS$3="","",'CF表（奥様死亡時）'!AS38/10000)</f>
        <v/>
      </c>
      <c r="AT38" s="240">
        <f>IF('CF表（奥様死亡時）'!AT$3="","",'CF表（奥様死亡時）'!AT38/10000)</f>
        <v/>
      </c>
      <c r="AU38" s="240">
        <f>IF('CF表（奥様死亡時）'!AU$3="","",'CF表（奥様死亡時）'!AU38/10000)</f>
        <v/>
      </c>
      <c r="AV38" s="240">
        <f>IF('CF表（奥様死亡時）'!AV$3="","",'CF表（奥様死亡時）'!AV38/10000)</f>
        <v/>
      </c>
      <c r="AW38" s="240">
        <f>IF('CF表（奥様死亡時）'!AW$3="","",'CF表（奥様死亡時）'!AW38/10000)</f>
        <v/>
      </c>
      <c r="AX38" s="240">
        <f>IF('CF表（奥様死亡時）'!AX$3="","",'CF表（奥様死亡時）'!AX38/10000)</f>
        <v/>
      </c>
      <c r="AY38" s="240">
        <f>IF('CF表（奥様死亡時）'!AY$3="","",'CF表（奥様死亡時）'!AY38/10000)</f>
        <v/>
      </c>
      <c r="AZ38" s="240">
        <f>IF('CF表（奥様死亡時）'!AZ$3="","",'CF表（奥様死亡時）'!AZ38/10000)</f>
        <v/>
      </c>
      <c r="BA38" s="240">
        <f>IF('CF表（奥様死亡時）'!BA$3="","",'CF表（奥様死亡時）'!BA38/10000)</f>
        <v/>
      </c>
      <c r="BB38" s="240">
        <f>IF('CF表（奥様死亡時）'!BB$3="","",'CF表（奥様死亡時）'!BB38/10000)</f>
        <v/>
      </c>
      <c r="BC38" s="240">
        <f>IF('CF表（奥様死亡時）'!BC$3="","",'CF表（奥様死亡時）'!BC38/10000)</f>
        <v/>
      </c>
      <c r="BD38" s="240">
        <f>IF('CF表（奥様死亡時）'!BD$3="","",'CF表（奥様死亡時）'!BD38/10000)</f>
        <v/>
      </c>
      <c r="BE38" s="240">
        <f>IF('CF表（奥様死亡時）'!BE$3="","",'CF表（奥様死亡時）'!BE38/10000)</f>
        <v/>
      </c>
      <c r="BF38" s="240">
        <f>IF('CF表（奥様死亡時）'!BF$3="","",'CF表（奥様死亡時）'!BF38/10000)</f>
        <v/>
      </c>
      <c r="BG38" s="240">
        <f>IF('CF表（奥様死亡時）'!BG$3="","",'CF表（奥様死亡時）'!BG38/10000)</f>
        <v/>
      </c>
      <c r="BH38" s="240">
        <f>IF('CF表（奥様死亡時）'!BH$3="","",'CF表（奥様死亡時）'!BH38/10000)</f>
        <v/>
      </c>
      <c r="BI38" s="240">
        <f>IF('CF表（奥様死亡時）'!BI$3="","",'CF表（奥様死亡時）'!BI38/10000)</f>
        <v/>
      </c>
      <c r="BJ38" s="240">
        <f>IF('CF表（奥様死亡時）'!BJ$3="","",'CF表（奥様死亡時）'!BJ38/10000)</f>
        <v/>
      </c>
      <c r="BK38" s="240">
        <f>IF('CF表（奥様死亡時）'!BK$3="","",'CF表（奥様死亡時）'!BK38/10000)</f>
        <v/>
      </c>
      <c r="BL38" s="240">
        <f>IF('CF表（奥様死亡時）'!BL$3="","",'CF表（奥様死亡時）'!BL38/10000)</f>
        <v/>
      </c>
      <c r="BM38" s="240">
        <f>IF('CF表（奥様死亡時）'!BM$3="","",'CF表（奥様死亡時）'!BM38/10000)</f>
        <v/>
      </c>
      <c r="BN38" s="240">
        <f>IF('CF表（奥様死亡時）'!BN$3="","",'CF表（奥様死亡時）'!BN38/10000)</f>
        <v/>
      </c>
      <c r="BO38" s="240">
        <f>IF('CF表（奥様死亡時）'!BO$3="","",'CF表（奥様死亡時）'!BO38/10000)</f>
        <v/>
      </c>
      <c r="BP38" s="240">
        <f>IF('CF表（奥様死亡時）'!BP$3="","",'CF表（奥様死亡時）'!BP38/10000)</f>
        <v/>
      </c>
      <c r="BQ38" s="240">
        <f>IF('CF表（奥様死亡時）'!BQ$3="","",'CF表（奥様死亡時）'!BQ38/10000)</f>
        <v/>
      </c>
      <c r="BR38" s="240">
        <f>IF('CF表（奥様死亡時）'!BR$3="","",'CF表（奥様死亡時）'!BR38/10000)</f>
        <v/>
      </c>
      <c r="BS38" s="240">
        <f>IF('CF表（奥様死亡時）'!BS$3="","",'CF表（奥様死亡時）'!BS38/10000)</f>
        <v/>
      </c>
      <c r="BT38" s="240">
        <f>IF('CF表（奥様死亡時）'!BT$3="","",'CF表（奥様死亡時）'!BT38/10000)</f>
        <v/>
      </c>
      <c r="BU38" s="240">
        <f>IF('CF表（奥様死亡時）'!BU$3="","",'CF表（奥様死亡時）'!BU38/10000)</f>
        <v/>
      </c>
      <c r="BV38" s="240">
        <f>IF('CF表（奥様死亡時）'!BV$3="","",'CF表（奥様死亡時）'!BV38/10000)</f>
        <v/>
      </c>
      <c r="BW38" s="240">
        <f>IF('CF表（奥様死亡時）'!BW$3="","",'CF表（奥様死亡時）'!BW38/10000)</f>
        <v/>
      </c>
      <c r="BX38" s="240">
        <f>IF('CF表（奥様死亡時）'!BX$3="","",'CF表（奥様死亡時）'!BX38/10000)</f>
        <v/>
      </c>
      <c r="BY38" s="240">
        <f>IF('CF表（奥様死亡時）'!BY$3="","",'CF表（奥様死亡時）'!BY38/10000)</f>
        <v/>
      </c>
      <c r="BZ38" s="240">
        <f>IF('CF表（奥様死亡時）'!BZ$3="","",'CF表（奥様死亡時）'!BZ38/10000)</f>
        <v/>
      </c>
      <c r="CA38" s="240">
        <f>IF('CF表（奥様死亡時）'!CA$3="","",'CF表（奥様死亡時）'!CA38/10000)</f>
        <v/>
      </c>
      <c r="CB38" s="240">
        <f>IF('CF表（奥様死亡時）'!CB$3="","",'CF表（奥様死亡時）'!CB38/10000)</f>
        <v/>
      </c>
      <c r="CC38" s="240">
        <f>IF('CF表（奥様死亡時）'!CC$3="","",'CF表（奥様死亡時）'!CC38/10000)</f>
        <v/>
      </c>
      <c r="CD38" s="240">
        <f>IF('CF表（奥様死亡時）'!CD$3="","",'CF表（奥様死亡時）'!CD38/10000)</f>
        <v/>
      </c>
      <c r="CE38" s="240">
        <f>IF('CF表（奥様死亡時）'!CE$3="","",'CF表（奥様死亡時）'!CE38/10000)</f>
        <v/>
      </c>
      <c r="CF38" s="240">
        <f>IF('CF表（奥様死亡時）'!CF$3="","",'CF表（奥様死亡時）'!CF38/10000)</f>
        <v/>
      </c>
      <c r="CG38" s="240">
        <f>IF('CF表（奥様死亡時）'!CG$3="","",'CF表（奥様死亡時）'!CG38/10000)</f>
        <v/>
      </c>
      <c r="CH38" s="240">
        <f>IF('CF表（奥様死亡時）'!CH$3="","",'CF表（奥様死亡時）'!CH38/10000)</f>
        <v/>
      </c>
      <c r="CI38" s="240">
        <f>IF('CF表（奥様死亡時）'!CI$3="","",'CF表（奥様死亡時）'!CI38/10000)</f>
        <v/>
      </c>
      <c r="CJ38" s="240">
        <f>IF('CF表（奥様死亡時）'!CJ$3="","",'CF表（奥様死亡時）'!CJ38/10000)</f>
        <v/>
      </c>
      <c r="CK38" s="240">
        <f>IF('CF表（奥様死亡時）'!CK$3="","",'CF表（奥様死亡時）'!CK38/10000)</f>
        <v/>
      </c>
      <c r="CL38" s="240">
        <f>IF('CF表（奥様死亡時）'!CL$3="","",'CF表（奥様死亡時）'!CL38/10000)</f>
        <v/>
      </c>
      <c r="CM38" s="240">
        <f>IF('CF表（奥様死亡時）'!CM$3="","",'CF表（奥様死亡時）'!CM38/10000)</f>
        <v/>
      </c>
      <c r="CN38" s="240">
        <f>IF('CF表（奥様死亡時）'!CN$3="","",'CF表（奥様死亡時）'!CN38/10000)</f>
        <v/>
      </c>
      <c r="CO38" s="240">
        <f>IF('CF表（奥様死亡時）'!CO$3="","",'CF表（奥様死亡時）'!CO38/10000)</f>
        <v/>
      </c>
      <c r="CP38" s="240">
        <f>IF('CF表（奥様死亡時）'!CP$3="","",'CF表（奥様死亡時）'!CP38/10000)</f>
        <v/>
      </c>
      <c r="CQ38" s="240">
        <f>IF('CF表（奥様死亡時）'!CQ$3="","",'CF表（奥様死亡時）'!CQ38/10000)</f>
        <v/>
      </c>
      <c r="CR38" s="240">
        <f>IF('CF表（奥様死亡時）'!CR$3="","",'CF表（奥様死亡時）'!CR38/10000)</f>
        <v/>
      </c>
      <c r="CS38" s="240">
        <f>IF('CF表（奥様死亡時）'!CS$3="","",'CF表（奥様死亡時）'!CS38/10000)</f>
        <v/>
      </c>
      <c r="CT38" s="240">
        <f>IF('CF表（奥様死亡時）'!CT$3="","",'CF表（奥様死亡時）'!CT38/10000)</f>
        <v/>
      </c>
      <c r="CU38" s="240">
        <f>IF('CF表（奥様死亡時）'!CU$3="","",'CF表（奥様死亡時）'!CU38/10000)</f>
        <v/>
      </c>
      <c r="CV38" s="240">
        <f>IF('CF表（奥様死亡時）'!CV$3="","",'CF表（奥様死亡時）'!CV38/10000)</f>
        <v/>
      </c>
      <c r="CW38" s="240">
        <f>IF('CF表（奥様死亡時）'!CW$3="","",'CF表（奥様死亡時）'!CW38/10000)</f>
        <v/>
      </c>
    </row>
    <row r="39" hidden="1" ht="16.5" customHeight="1" s="180">
      <c r="A39" s="239" t="inlineStr">
        <is>
          <t>投資取り崩し額(補助)</t>
        </is>
      </c>
      <c r="B39" s="240">
        <f>IF('CF表（奥様死亡時）'!B$3="","",'CF表（奥様死亡時）'!B39/10000)</f>
        <v/>
      </c>
      <c r="C39" s="240">
        <f>IF('CF表（奥様死亡時）'!C$3="","",'CF表（奥様死亡時）'!C39/10000)</f>
        <v/>
      </c>
      <c r="D39" s="240">
        <f>IF('CF表（奥様死亡時）'!D$3="","",'CF表（奥様死亡時）'!D39/10000)</f>
        <v/>
      </c>
      <c r="E39" s="240">
        <f>IF('CF表（奥様死亡時）'!E$3="","",'CF表（奥様死亡時）'!E39/10000)</f>
        <v/>
      </c>
      <c r="F39" s="240">
        <f>IF('CF表（奥様死亡時）'!F$3="","",'CF表（奥様死亡時）'!F39/10000)</f>
        <v/>
      </c>
      <c r="G39" s="240">
        <f>IF('CF表（奥様死亡時）'!G$3="","",'CF表（奥様死亡時）'!G39/10000)</f>
        <v/>
      </c>
      <c r="H39" s="240">
        <f>IF('CF表（奥様死亡時）'!H$3="","",'CF表（奥様死亡時）'!H39/10000)</f>
        <v/>
      </c>
      <c r="I39" s="240">
        <f>IF('CF表（奥様死亡時）'!I$3="","",'CF表（奥様死亡時）'!I39/10000)</f>
        <v/>
      </c>
      <c r="J39" s="240">
        <f>IF('CF表（奥様死亡時）'!J$3="","",'CF表（奥様死亡時）'!J39/10000)</f>
        <v/>
      </c>
      <c r="K39" s="240">
        <f>IF('CF表（奥様死亡時）'!K$3="","",'CF表（奥様死亡時）'!K39/10000)</f>
        <v/>
      </c>
      <c r="L39" s="240">
        <f>IF('CF表（奥様死亡時）'!L$3="","",'CF表（奥様死亡時）'!L39/10000)</f>
        <v/>
      </c>
      <c r="M39" s="240">
        <f>IF('CF表（奥様死亡時）'!M$3="","",'CF表（奥様死亡時）'!M39/10000)</f>
        <v/>
      </c>
      <c r="N39" s="240">
        <f>IF('CF表（奥様死亡時）'!N$3="","",'CF表（奥様死亡時）'!N39/10000)</f>
        <v/>
      </c>
      <c r="O39" s="240">
        <f>IF('CF表（奥様死亡時）'!O$3="","",'CF表（奥様死亡時）'!O39/10000)</f>
        <v/>
      </c>
      <c r="P39" s="240">
        <f>IF('CF表（奥様死亡時）'!P$3="","",'CF表（奥様死亡時）'!P39/10000)</f>
        <v/>
      </c>
      <c r="Q39" s="240">
        <f>IF('CF表（奥様死亡時）'!Q$3="","",'CF表（奥様死亡時）'!Q39/10000)</f>
        <v/>
      </c>
      <c r="R39" s="240">
        <f>IF('CF表（奥様死亡時）'!R$3="","",'CF表（奥様死亡時）'!R39/10000)</f>
        <v/>
      </c>
      <c r="S39" s="240">
        <f>IF('CF表（奥様死亡時）'!S$3="","",'CF表（奥様死亡時）'!S39/10000)</f>
        <v/>
      </c>
      <c r="T39" s="240">
        <f>IF('CF表（奥様死亡時）'!T$3="","",'CF表（奥様死亡時）'!T39/10000)</f>
        <v/>
      </c>
      <c r="U39" s="240">
        <f>IF('CF表（奥様死亡時）'!U$3="","",'CF表（奥様死亡時）'!U39/10000)</f>
        <v/>
      </c>
      <c r="V39" s="240">
        <f>IF('CF表（奥様死亡時）'!V$3="","",'CF表（奥様死亡時）'!V39/10000)</f>
        <v/>
      </c>
      <c r="W39" s="240">
        <f>IF('CF表（奥様死亡時）'!W$3="","",'CF表（奥様死亡時）'!W39/10000)</f>
        <v/>
      </c>
      <c r="X39" s="240">
        <f>IF('CF表（奥様死亡時）'!X$3="","",'CF表（奥様死亡時）'!X39/10000)</f>
        <v/>
      </c>
      <c r="Y39" s="240">
        <f>IF('CF表（奥様死亡時）'!Y$3="","",'CF表（奥様死亡時）'!Y39/10000)</f>
        <v/>
      </c>
      <c r="Z39" s="240">
        <f>IF('CF表（奥様死亡時）'!Z$3="","",'CF表（奥様死亡時）'!Z39/10000)</f>
        <v/>
      </c>
      <c r="AA39" s="240">
        <f>IF('CF表（奥様死亡時）'!AA$3="","",'CF表（奥様死亡時）'!AA39/10000)</f>
        <v/>
      </c>
      <c r="AB39" s="240">
        <f>IF('CF表（奥様死亡時）'!AB$3="","",'CF表（奥様死亡時）'!AB39/10000)</f>
        <v/>
      </c>
      <c r="AC39" s="240">
        <f>IF('CF表（奥様死亡時）'!AC$3="","",'CF表（奥様死亡時）'!AC39/10000)</f>
        <v/>
      </c>
      <c r="AD39" s="240">
        <f>IF('CF表（奥様死亡時）'!AD$3="","",'CF表（奥様死亡時）'!AD39/10000)</f>
        <v/>
      </c>
      <c r="AE39" s="240">
        <f>IF('CF表（奥様死亡時）'!AE$3="","",'CF表（奥様死亡時）'!AE39/10000)</f>
        <v/>
      </c>
      <c r="AF39" s="240">
        <f>IF('CF表（奥様死亡時）'!AF$3="","",'CF表（奥様死亡時）'!AF39/10000)</f>
        <v/>
      </c>
      <c r="AG39" s="240">
        <f>IF('CF表（奥様死亡時）'!AG$3="","",'CF表（奥様死亡時）'!AG39/10000)</f>
        <v/>
      </c>
      <c r="AH39" s="240">
        <f>IF('CF表（奥様死亡時）'!AH$3="","",'CF表（奥様死亡時）'!AH39/10000)</f>
        <v/>
      </c>
      <c r="AI39" s="240">
        <f>IF('CF表（奥様死亡時）'!AI$3="","",'CF表（奥様死亡時）'!AI39/10000)</f>
        <v/>
      </c>
      <c r="AJ39" s="240">
        <f>IF('CF表（奥様死亡時）'!AJ$3="","",'CF表（奥様死亡時）'!AJ39/10000)</f>
        <v/>
      </c>
      <c r="AK39" s="240">
        <f>IF('CF表（奥様死亡時）'!AK$3="","",'CF表（奥様死亡時）'!AK39/10000)</f>
        <v/>
      </c>
      <c r="AL39" s="240">
        <f>IF('CF表（奥様死亡時）'!AL$3="","",'CF表（奥様死亡時）'!AL39/10000)</f>
        <v/>
      </c>
      <c r="AM39" s="240">
        <f>IF('CF表（奥様死亡時）'!AM$3="","",'CF表（奥様死亡時）'!AM39/10000)</f>
        <v/>
      </c>
      <c r="AN39" s="240">
        <f>IF('CF表（奥様死亡時）'!AN$3="","",'CF表（奥様死亡時）'!AN39/10000)</f>
        <v/>
      </c>
      <c r="AO39" s="240">
        <f>IF('CF表（奥様死亡時）'!AO$3="","",'CF表（奥様死亡時）'!AO39/10000)</f>
        <v/>
      </c>
      <c r="AP39" s="240">
        <f>IF('CF表（奥様死亡時）'!AP$3="","",'CF表（奥様死亡時）'!AP39/10000)</f>
        <v/>
      </c>
      <c r="AQ39" s="240">
        <f>IF('CF表（奥様死亡時）'!AQ$3="","",'CF表（奥様死亡時）'!AQ39/10000)</f>
        <v/>
      </c>
      <c r="AR39" s="240">
        <f>IF('CF表（奥様死亡時）'!AR$3="","",'CF表（奥様死亡時）'!AR39/10000)</f>
        <v/>
      </c>
      <c r="AS39" s="240">
        <f>IF('CF表（奥様死亡時）'!AS$3="","",'CF表（奥様死亡時）'!AS39/10000)</f>
        <v/>
      </c>
      <c r="AT39" s="240">
        <f>IF('CF表（奥様死亡時）'!AT$3="","",'CF表（奥様死亡時）'!AT39/10000)</f>
        <v/>
      </c>
      <c r="AU39" s="240">
        <f>IF('CF表（奥様死亡時）'!AU$3="","",'CF表（奥様死亡時）'!AU39/10000)</f>
        <v/>
      </c>
      <c r="AV39" s="240">
        <f>IF('CF表（奥様死亡時）'!AV$3="","",'CF表（奥様死亡時）'!AV39/10000)</f>
        <v/>
      </c>
      <c r="AW39" s="240">
        <f>IF('CF表（奥様死亡時）'!AW$3="","",'CF表（奥様死亡時）'!AW39/10000)</f>
        <v/>
      </c>
      <c r="AX39" s="240">
        <f>IF('CF表（奥様死亡時）'!AX$3="","",'CF表（奥様死亡時）'!AX39/10000)</f>
        <v/>
      </c>
      <c r="AY39" s="240">
        <f>IF('CF表（奥様死亡時）'!AY$3="","",'CF表（奥様死亡時）'!AY39/10000)</f>
        <v/>
      </c>
      <c r="AZ39" s="240">
        <f>IF('CF表（奥様死亡時）'!AZ$3="","",'CF表（奥様死亡時）'!AZ39/10000)</f>
        <v/>
      </c>
      <c r="BA39" s="240">
        <f>IF('CF表（奥様死亡時）'!BA$3="","",'CF表（奥様死亡時）'!BA39/10000)</f>
        <v/>
      </c>
      <c r="BB39" s="240">
        <f>IF('CF表（奥様死亡時）'!BB$3="","",'CF表（奥様死亡時）'!BB39/10000)</f>
        <v/>
      </c>
      <c r="BC39" s="240">
        <f>IF('CF表（奥様死亡時）'!BC$3="","",'CF表（奥様死亡時）'!BC39/10000)</f>
        <v/>
      </c>
      <c r="BD39" s="240">
        <f>IF('CF表（奥様死亡時）'!BD$3="","",'CF表（奥様死亡時）'!BD39/10000)</f>
        <v/>
      </c>
      <c r="BE39" s="240">
        <f>IF('CF表（奥様死亡時）'!BE$3="","",'CF表（奥様死亡時）'!BE39/10000)</f>
        <v/>
      </c>
      <c r="BF39" s="240">
        <f>IF('CF表（奥様死亡時）'!BF$3="","",'CF表（奥様死亡時）'!BF39/10000)</f>
        <v/>
      </c>
      <c r="BG39" s="240">
        <f>IF('CF表（奥様死亡時）'!BG$3="","",'CF表（奥様死亡時）'!BG39/10000)</f>
        <v/>
      </c>
      <c r="BH39" s="240">
        <f>IF('CF表（奥様死亡時）'!BH$3="","",'CF表（奥様死亡時）'!BH39/10000)</f>
        <v/>
      </c>
      <c r="BI39" s="240">
        <f>IF('CF表（奥様死亡時）'!BI$3="","",'CF表（奥様死亡時）'!BI39/10000)</f>
        <v/>
      </c>
      <c r="BJ39" s="240">
        <f>IF('CF表（奥様死亡時）'!BJ$3="","",'CF表（奥様死亡時）'!BJ39/10000)</f>
        <v/>
      </c>
      <c r="BK39" s="240">
        <f>IF('CF表（奥様死亡時）'!BK$3="","",'CF表（奥様死亡時）'!BK39/10000)</f>
        <v/>
      </c>
      <c r="BL39" s="240">
        <f>IF('CF表（奥様死亡時）'!BL$3="","",'CF表（奥様死亡時）'!BL39/10000)</f>
        <v/>
      </c>
      <c r="BM39" s="240">
        <f>IF('CF表（奥様死亡時）'!BM$3="","",'CF表（奥様死亡時）'!BM39/10000)</f>
        <v/>
      </c>
      <c r="BN39" s="240">
        <f>IF('CF表（奥様死亡時）'!BN$3="","",'CF表（奥様死亡時）'!BN39/10000)</f>
        <v/>
      </c>
      <c r="BO39" s="240">
        <f>IF('CF表（奥様死亡時）'!BO$3="","",'CF表（奥様死亡時）'!BO39/10000)</f>
        <v/>
      </c>
      <c r="BP39" s="240">
        <f>IF('CF表（奥様死亡時）'!BP$3="","",'CF表（奥様死亡時）'!BP39/10000)</f>
        <v/>
      </c>
      <c r="BQ39" s="240">
        <f>IF('CF表（奥様死亡時）'!BQ$3="","",'CF表（奥様死亡時）'!BQ39/10000)</f>
        <v/>
      </c>
      <c r="BR39" s="240">
        <f>IF('CF表（奥様死亡時）'!BR$3="","",'CF表（奥様死亡時）'!BR39/10000)</f>
        <v/>
      </c>
      <c r="BS39" s="240">
        <f>IF('CF表（奥様死亡時）'!BS$3="","",'CF表（奥様死亡時）'!BS39/10000)</f>
        <v/>
      </c>
      <c r="BT39" s="240">
        <f>IF('CF表（奥様死亡時）'!BT$3="","",'CF表（奥様死亡時）'!BT39/10000)</f>
        <v/>
      </c>
      <c r="BU39" s="240">
        <f>IF('CF表（奥様死亡時）'!BU$3="","",'CF表（奥様死亡時）'!BU39/10000)</f>
        <v/>
      </c>
      <c r="BV39" s="240">
        <f>IF('CF表（奥様死亡時）'!BV$3="","",'CF表（奥様死亡時）'!BV39/10000)</f>
        <v/>
      </c>
      <c r="BW39" s="240">
        <f>IF('CF表（奥様死亡時）'!BW$3="","",'CF表（奥様死亡時）'!BW39/10000)</f>
        <v/>
      </c>
      <c r="BX39" s="240">
        <f>IF('CF表（奥様死亡時）'!BX$3="","",'CF表（奥様死亡時）'!BX39/10000)</f>
        <v/>
      </c>
      <c r="BY39" s="240">
        <f>IF('CF表（奥様死亡時）'!BY$3="","",'CF表（奥様死亡時）'!BY39/10000)</f>
        <v/>
      </c>
      <c r="BZ39" s="240">
        <f>IF('CF表（奥様死亡時）'!BZ$3="","",'CF表（奥様死亡時）'!BZ39/10000)</f>
        <v/>
      </c>
      <c r="CA39" s="240">
        <f>IF('CF表（奥様死亡時）'!CA$3="","",'CF表（奥様死亡時）'!CA39/10000)</f>
        <v/>
      </c>
      <c r="CB39" s="240">
        <f>IF('CF表（奥様死亡時）'!CB$3="","",'CF表（奥様死亡時）'!CB39/10000)</f>
        <v/>
      </c>
      <c r="CC39" s="240">
        <f>IF('CF表（奥様死亡時）'!CC$3="","",'CF表（奥様死亡時）'!CC39/10000)</f>
        <v/>
      </c>
      <c r="CD39" s="240">
        <f>IF('CF表（奥様死亡時）'!CD$3="","",'CF表（奥様死亡時）'!CD39/10000)</f>
        <v/>
      </c>
      <c r="CE39" s="240">
        <f>IF('CF表（奥様死亡時）'!CE$3="","",'CF表（奥様死亡時）'!CE39/10000)</f>
        <v/>
      </c>
      <c r="CF39" s="240">
        <f>IF('CF表（奥様死亡時）'!CF$3="","",'CF表（奥様死亡時）'!CF39/10000)</f>
        <v/>
      </c>
      <c r="CG39" s="240">
        <f>IF('CF表（奥様死亡時）'!CG$3="","",'CF表（奥様死亡時）'!CG39/10000)</f>
        <v/>
      </c>
      <c r="CH39" s="240">
        <f>IF('CF表（奥様死亡時）'!CH$3="","",'CF表（奥様死亡時）'!CH39/10000)</f>
        <v/>
      </c>
      <c r="CI39" s="240">
        <f>IF('CF表（奥様死亡時）'!CI$3="","",'CF表（奥様死亡時）'!CI39/10000)</f>
        <v/>
      </c>
      <c r="CJ39" s="240">
        <f>IF('CF表（奥様死亡時）'!CJ$3="","",'CF表（奥様死亡時）'!CJ39/10000)</f>
        <v/>
      </c>
      <c r="CK39" s="240">
        <f>IF('CF表（奥様死亡時）'!CK$3="","",'CF表（奥様死亡時）'!CK39/10000)</f>
        <v/>
      </c>
      <c r="CL39" s="240">
        <f>IF('CF表（奥様死亡時）'!CL$3="","",'CF表（奥様死亡時）'!CL39/10000)</f>
        <v/>
      </c>
      <c r="CM39" s="240">
        <f>IF('CF表（奥様死亡時）'!CM$3="","",'CF表（奥様死亡時）'!CM39/10000)</f>
        <v/>
      </c>
      <c r="CN39" s="240">
        <f>IF('CF表（奥様死亡時）'!CN$3="","",'CF表（奥様死亡時）'!CN39/10000)</f>
        <v/>
      </c>
      <c r="CO39" s="240">
        <f>IF('CF表（奥様死亡時）'!CO$3="","",'CF表（奥様死亡時）'!CO39/10000)</f>
        <v/>
      </c>
      <c r="CP39" s="240">
        <f>IF('CF表（奥様死亡時）'!CP$3="","",'CF表（奥様死亡時）'!CP39/10000)</f>
        <v/>
      </c>
      <c r="CQ39" s="240">
        <f>IF('CF表（奥様死亡時）'!CQ$3="","",'CF表（奥様死亡時）'!CQ39/10000)</f>
        <v/>
      </c>
      <c r="CR39" s="240">
        <f>IF('CF表（奥様死亡時）'!CR$3="","",'CF表（奥様死亡時）'!CR39/10000)</f>
        <v/>
      </c>
      <c r="CS39" s="240">
        <f>IF('CF表（奥様死亡時）'!CS$3="","",'CF表（奥様死亡時）'!CS39/10000)</f>
        <v/>
      </c>
      <c r="CT39" s="240">
        <f>IF('CF表（奥様死亡時）'!CT$3="","",'CF表（奥様死亡時）'!CT39/10000)</f>
        <v/>
      </c>
      <c r="CU39" s="240">
        <f>IF('CF表（奥様死亡時）'!CU$3="","",'CF表（奥様死亡時）'!CU39/10000)</f>
        <v/>
      </c>
      <c r="CV39" s="240">
        <f>IF('CF表（奥様死亡時）'!CV$3="","",'CF表（奥様死亡時）'!CV39/10000)</f>
        <v/>
      </c>
      <c r="CW39" s="240">
        <f>IF('CF表（奥様死亡時）'!CW$3="","",'CF表（奥様死亡時）'!CW39/10000)</f>
        <v/>
      </c>
    </row>
    <row r="40" hidden="1" ht="16.5" customHeight="1" s="180">
      <c r="A40" s="239" t="inlineStr">
        <is>
          <t>返戻金取り崩し額(補助)</t>
        </is>
      </c>
      <c r="B40" s="240">
        <f>IF('CF表（奥様死亡時）'!B$3="","",'CF表（奥様死亡時）'!B40/10000)</f>
        <v/>
      </c>
      <c r="C40" s="240">
        <f>IF('CF表（奥様死亡時）'!C$3="","",'CF表（奥様死亡時）'!C40/10000)</f>
        <v/>
      </c>
      <c r="D40" s="240">
        <f>IF('CF表（奥様死亡時）'!D$3="","",'CF表（奥様死亡時）'!D40/10000)</f>
        <v/>
      </c>
      <c r="E40" s="240">
        <f>IF('CF表（奥様死亡時）'!E$3="","",'CF表（奥様死亡時）'!E40/10000)</f>
        <v/>
      </c>
      <c r="F40" s="240">
        <f>IF('CF表（奥様死亡時）'!F$3="","",'CF表（奥様死亡時）'!F40/10000)</f>
        <v/>
      </c>
      <c r="G40" s="240">
        <f>IF('CF表（奥様死亡時）'!G$3="","",'CF表（奥様死亡時）'!G40/10000)</f>
        <v/>
      </c>
      <c r="H40" s="240">
        <f>IF('CF表（奥様死亡時）'!H$3="","",'CF表（奥様死亡時）'!H40/10000)</f>
        <v/>
      </c>
      <c r="I40" s="240">
        <f>IF('CF表（奥様死亡時）'!I$3="","",'CF表（奥様死亡時）'!I40/10000)</f>
        <v/>
      </c>
      <c r="J40" s="240">
        <f>IF('CF表（奥様死亡時）'!J$3="","",'CF表（奥様死亡時）'!J40/10000)</f>
        <v/>
      </c>
      <c r="K40" s="240">
        <f>IF('CF表（奥様死亡時）'!K$3="","",'CF表（奥様死亡時）'!K40/10000)</f>
        <v/>
      </c>
      <c r="L40" s="240">
        <f>IF('CF表（奥様死亡時）'!L$3="","",'CF表（奥様死亡時）'!L40/10000)</f>
        <v/>
      </c>
      <c r="M40" s="240">
        <f>IF('CF表（奥様死亡時）'!M$3="","",'CF表（奥様死亡時）'!M40/10000)</f>
        <v/>
      </c>
      <c r="N40" s="240">
        <f>IF('CF表（奥様死亡時）'!N$3="","",'CF表（奥様死亡時）'!N40/10000)</f>
        <v/>
      </c>
      <c r="O40" s="240">
        <f>IF('CF表（奥様死亡時）'!O$3="","",'CF表（奥様死亡時）'!O40/10000)</f>
        <v/>
      </c>
      <c r="P40" s="240">
        <f>IF('CF表（奥様死亡時）'!P$3="","",'CF表（奥様死亡時）'!P40/10000)</f>
        <v/>
      </c>
      <c r="Q40" s="240">
        <f>IF('CF表（奥様死亡時）'!Q$3="","",'CF表（奥様死亡時）'!Q40/10000)</f>
        <v/>
      </c>
      <c r="R40" s="240">
        <f>IF('CF表（奥様死亡時）'!R$3="","",'CF表（奥様死亡時）'!R40/10000)</f>
        <v/>
      </c>
      <c r="S40" s="240">
        <f>IF('CF表（奥様死亡時）'!S$3="","",'CF表（奥様死亡時）'!S40/10000)</f>
        <v/>
      </c>
      <c r="T40" s="240">
        <f>IF('CF表（奥様死亡時）'!T$3="","",'CF表（奥様死亡時）'!T40/10000)</f>
        <v/>
      </c>
      <c r="U40" s="240">
        <f>IF('CF表（奥様死亡時）'!U$3="","",'CF表（奥様死亡時）'!U40/10000)</f>
        <v/>
      </c>
      <c r="V40" s="240">
        <f>IF('CF表（奥様死亡時）'!V$3="","",'CF表（奥様死亡時）'!V40/10000)</f>
        <v/>
      </c>
      <c r="W40" s="240">
        <f>IF('CF表（奥様死亡時）'!W$3="","",'CF表（奥様死亡時）'!W40/10000)</f>
        <v/>
      </c>
      <c r="X40" s="240">
        <f>IF('CF表（奥様死亡時）'!X$3="","",'CF表（奥様死亡時）'!X40/10000)</f>
        <v/>
      </c>
      <c r="Y40" s="240">
        <f>IF('CF表（奥様死亡時）'!Y$3="","",'CF表（奥様死亡時）'!Y40/10000)</f>
        <v/>
      </c>
      <c r="Z40" s="240">
        <f>IF('CF表（奥様死亡時）'!Z$3="","",'CF表（奥様死亡時）'!Z40/10000)</f>
        <v/>
      </c>
      <c r="AA40" s="240">
        <f>IF('CF表（奥様死亡時）'!AA$3="","",'CF表（奥様死亡時）'!AA40/10000)</f>
        <v/>
      </c>
      <c r="AB40" s="240">
        <f>IF('CF表（奥様死亡時）'!AB$3="","",'CF表（奥様死亡時）'!AB40/10000)</f>
        <v/>
      </c>
      <c r="AC40" s="240">
        <f>IF('CF表（奥様死亡時）'!AC$3="","",'CF表（奥様死亡時）'!AC40/10000)</f>
        <v/>
      </c>
      <c r="AD40" s="240">
        <f>IF('CF表（奥様死亡時）'!AD$3="","",'CF表（奥様死亡時）'!AD40/10000)</f>
        <v/>
      </c>
      <c r="AE40" s="240">
        <f>IF('CF表（奥様死亡時）'!AE$3="","",'CF表（奥様死亡時）'!AE40/10000)</f>
        <v/>
      </c>
      <c r="AF40" s="240">
        <f>IF('CF表（奥様死亡時）'!AF$3="","",'CF表（奥様死亡時）'!AF40/10000)</f>
        <v/>
      </c>
      <c r="AG40" s="240">
        <f>IF('CF表（奥様死亡時）'!AG$3="","",'CF表（奥様死亡時）'!AG40/10000)</f>
        <v/>
      </c>
      <c r="AH40" s="240">
        <f>IF('CF表（奥様死亡時）'!AH$3="","",'CF表（奥様死亡時）'!AH40/10000)</f>
        <v/>
      </c>
      <c r="AI40" s="240">
        <f>IF('CF表（奥様死亡時）'!AI$3="","",'CF表（奥様死亡時）'!AI40/10000)</f>
        <v/>
      </c>
      <c r="AJ40" s="240">
        <f>IF('CF表（奥様死亡時）'!AJ$3="","",'CF表（奥様死亡時）'!AJ40/10000)</f>
        <v/>
      </c>
      <c r="AK40" s="240">
        <f>IF('CF表（奥様死亡時）'!AK$3="","",'CF表（奥様死亡時）'!AK40/10000)</f>
        <v/>
      </c>
      <c r="AL40" s="240">
        <f>IF('CF表（奥様死亡時）'!AL$3="","",'CF表（奥様死亡時）'!AL40/10000)</f>
        <v/>
      </c>
      <c r="AM40" s="240">
        <f>IF('CF表（奥様死亡時）'!AM$3="","",'CF表（奥様死亡時）'!AM40/10000)</f>
        <v/>
      </c>
      <c r="AN40" s="240">
        <f>IF('CF表（奥様死亡時）'!AN$3="","",'CF表（奥様死亡時）'!AN40/10000)</f>
        <v/>
      </c>
      <c r="AO40" s="240">
        <f>IF('CF表（奥様死亡時）'!AO$3="","",'CF表（奥様死亡時）'!AO40/10000)</f>
        <v/>
      </c>
      <c r="AP40" s="240">
        <f>IF('CF表（奥様死亡時）'!AP$3="","",'CF表（奥様死亡時）'!AP40/10000)</f>
        <v/>
      </c>
      <c r="AQ40" s="240">
        <f>IF('CF表（奥様死亡時）'!AQ$3="","",'CF表（奥様死亡時）'!AQ40/10000)</f>
        <v/>
      </c>
      <c r="AR40" s="240">
        <f>IF('CF表（奥様死亡時）'!AR$3="","",'CF表（奥様死亡時）'!AR40/10000)</f>
        <v/>
      </c>
      <c r="AS40" s="240">
        <f>IF('CF表（奥様死亡時）'!AS$3="","",'CF表（奥様死亡時）'!AS40/10000)</f>
        <v/>
      </c>
      <c r="AT40" s="240">
        <f>IF('CF表（奥様死亡時）'!AT$3="","",'CF表（奥様死亡時）'!AT40/10000)</f>
        <v/>
      </c>
      <c r="AU40" s="240">
        <f>IF('CF表（奥様死亡時）'!AU$3="","",'CF表（奥様死亡時）'!AU40/10000)</f>
        <v/>
      </c>
      <c r="AV40" s="240">
        <f>IF('CF表（奥様死亡時）'!AV$3="","",'CF表（奥様死亡時）'!AV40/10000)</f>
        <v/>
      </c>
      <c r="AW40" s="240">
        <f>IF('CF表（奥様死亡時）'!AW$3="","",'CF表（奥様死亡時）'!AW40/10000)</f>
        <v/>
      </c>
      <c r="AX40" s="240">
        <f>IF('CF表（奥様死亡時）'!AX$3="","",'CF表（奥様死亡時）'!AX40/10000)</f>
        <v/>
      </c>
      <c r="AY40" s="240">
        <f>IF('CF表（奥様死亡時）'!AY$3="","",'CF表（奥様死亡時）'!AY40/10000)</f>
        <v/>
      </c>
      <c r="AZ40" s="240">
        <f>IF('CF表（奥様死亡時）'!AZ$3="","",'CF表（奥様死亡時）'!AZ40/10000)</f>
        <v/>
      </c>
      <c r="BA40" s="240">
        <f>IF('CF表（奥様死亡時）'!BA$3="","",'CF表（奥様死亡時）'!BA40/10000)</f>
        <v/>
      </c>
      <c r="BB40" s="240">
        <f>IF('CF表（奥様死亡時）'!BB$3="","",'CF表（奥様死亡時）'!BB40/10000)</f>
        <v/>
      </c>
      <c r="BC40" s="240">
        <f>IF('CF表（奥様死亡時）'!BC$3="","",'CF表（奥様死亡時）'!BC40/10000)</f>
        <v/>
      </c>
      <c r="BD40" s="240">
        <f>IF('CF表（奥様死亡時）'!BD$3="","",'CF表（奥様死亡時）'!BD40/10000)</f>
        <v/>
      </c>
      <c r="BE40" s="240">
        <f>IF('CF表（奥様死亡時）'!BE$3="","",'CF表（奥様死亡時）'!BE40/10000)</f>
        <v/>
      </c>
      <c r="BF40" s="240">
        <f>IF('CF表（奥様死亡時）'!BF$3="","",'CF表（奥様死亡時）'!BF40/10000)</f>
        <v/>
      </c>
      <c r="BG40" s="240">
        <f>IF('CF表（奥様死亡時）'!BG$3="","",'CF表（奥様死亡時）'!BG40/10000)</f>
        <v/>
      </c>
      <c r="BH40" s="240">
        <f>IF('CF表（奥様死亡時）'!BH$3="","",'CF表（奥様死亡時）'!BH40/10000)</f>
        <v/>
      </c>
      <c r="BI40" s="240">
        <f>IF('CF表（奥様死亡時）'!BI$3="","",'CF表（奥様死亡時）'!BI40/10000)</f>
        <v/>
      </c>
      <c r="BJ40" s="240">
        <f>IF('CF表（奥様死亡時）'!BJ$3="","",'CF表（奥様死亡時）'!BJ40/10000)</f>
        <v/>
      </c>
      <c r="BK40" s="240">
        <f>IF('CF表（奥様死亡時）'!BK$3="","",'CF表（奥様死亡時）'!BK40/10000)</f>
        <v/>
      </c>
      <c r="BL40" s="240">
        <f>IF('CF表（奥様死亡時）'!BL$3="","",'CF表（奥様死亡時）'!BL40/10000)</f>
        <v/>
      </c>
      <c r="BM40" s="240">
        <f>IF('CF表（奥様死亡時）'!BM$3="","",'CF表（奥様死亡時）'!BM40/10000)</f>
        <v/>
      </c>
      <c r="BN40" s="240">
        <f>IF('CF表（奥様死亡時）'!BN$3="","",'CF表（奥様死亡時）'!BN40/10000)</f>
        <v/>
      </c>
      <c r="BO40" s="240">
        <f>IF('CF表（奥様死亡時）'!BO$3="","",'CF表（奥様死亡時）'!BO40/10000)</f>
        <v/>
      </c>
      <c r="BP40" s="240">
        <f>IF('CF表（奥様死亡時）'!BP$3="","",'CF表（奥様死亡時）'!BP40/10000)</f>
        <v/>
      </c>
      <c r="BQ40" s="240">
        <f>IF('CF表（奥様死亡時）'!BQ$3="","",'CF表（奥様死亡時）'!BQ40/10000)</f>
        <v/>
      </c>
      <c r="BR40" s="240">
        <f>IF('CF表（奥様死亡時）'!BR$3="","",'CF表（奥様死亡時）'!BR40/10000)</f>
        <v/>
      </c>
      <c r="BS40" s="240">
        <f>IF('CF表（奥様死亡時）'!BS$3="","",'CF表（奥様死亡時）'!BS40/10000)</f>
        <v/>
      </c>
      <c r="BT40" s="240">
        <f>IF('CF表（奥様死亡時）'!BT$3="","",'CF表（奥様死亡時）'!BT40/10000)</f>
        <v/>
      </c>
      <c r="BU40" s="240">
        <f>IF('CF表（奥様死亡時）'!BU$3="","",'CF表（奥様死亡時）'!BU40/10000)</f>
        <v/>
      </c>
      <c r="BV40" s="240">
        <f>IF('CF表（奥様死亡時）'!BV$3="","",'CF表（奥様死亡時）'!BV40/10000)</f>
        <v/>
      </c>
      <c r="BW40" s="240">
        <f>IF('CF表（奥様死亡時）'!BW$3="","",'CF表（奥様死亡時）'!BW40/10000)</f>
        <v/>
      </c>
      <c r="BX40" s="240">
        <f>IF('CF表（奥様死亡時）'!BX$3="","",'CF表（奥様死亡時）'!BX40/10000)</f>
        <v/>
      </c>
      <c r="BY40" s="240">
        <f>IF('CF表（奥様死亡時）'!BY$3="","",'CF表（奥様死亡時）'!BY40/10000)</f>
        <v/>
      </c>
      <c r="BZ40" s="240">
        <f>IF('CF表（奥様死亡時）'!BZ$3="","",'CF表（奥様死亡時）'!BZ40/10000)</f>
        <v/>
      </c>
      <c r="CA40" s="240">
        <f>IF('CF表（奥様死亡時）'!CA$3="","",'CF表（奥様死亡時）'!CA40/10000)</f>
        <v/>
      </c>
      <c r="CB40" s="240">
        <f>IF('CF表（奥様死亡時）'!CB$3="","",'CF表（奥様死亡時）'!CB40/10000)</f>
        <v/>
      </c>
      <c r="CC40" s="240">
        <f>IF('CF表（奥様死亡時）'!CC$3="","",'CF表（奥様死亡時）'!CC40/10000)</f>
        <v/>
      </c>
      <c r="CD40" s="240">
        <f>IF('CF表（奥様死亡時）'!CD$3="","",'CF表（奥様死亡時）'!CD40/10000)</f>
        <v/>
      </c>
      <c r="CE40" s="240">
        <f>IF('CF表（奥様死亡時）'!CE$3="","",'CF表（奥様死亡時）'!CE40/10000)</f>
        <v/>
      </c>
      <c r="CF40" s="240">
        <f>IF('CF表（奥様死亡時）'!CF$3="","",'CF表（奥様死亡時）'!CF40/10000)</f>
        <v/>
      </c>
      <c r="CG40" s="240">
        <f>IF('CF表（奥様死亡時）'!CG$3="","",'CF表（奥様死亡時）'!CG40/10000)</f>
        <v/>
      </c>
      <c r="CH40" s="240">
        <f>IF('CF表（奥様死亡時）'!CH$3="","",'CF表（奥様死亡時）'!CH40/10000)</f>
        <v/>
      </c>
      <c r="CI40" s="240">
        <f>IF('CF表（奥様死亡時）'!CI$3="","",'CF表（奥様死亡時）'!CI40/10000)</f>
        <v/>
      </c>
      <c r="CJ40" s="240">
        <f>IF('CF表（奥様死亡時）'!CJ$3="","",'CF表（奥様死亡時）'!CJ40/10000)</f>
        <v/>
      </c>
      <c r="CK40" s="240">
        <f>IF('CF表（奥様死亡時）'!CK$3="","",'CF表（奥様死亡時）'!CK40/10000)</f>
        <v/>
      </c>
      <c r="CL40" s="240">
        <f>IF('CF表（奥様死亡時）'!CL$3="","",'CF表（奥様死亡時）'!CL40/10000)</f>
        <v/>
      </c>
      <c r="CM40" s="240">
        <f>IF('CF表（奥様死亡時）'!CM$3="","",'CF表（奥様死亡時）'!CM40/10000)</f>
        <v/>
      </c>
      <c r="CN40" s="240">
        <f>IF('CF表（奥様死亡時）'!CN$3="","",'CF表（奥様死亡時）'!CN40/10000)</f>
        <v/>
      </c>
      <c r="CO40" s="240">
        <f>IF('CF表（奥様死亡時）'!CO$3="","",'CF表（奥様死亡時）'!CO40/10000)</f>
        <v/>
      </c>
      <c r="CP40" s="240">
        <f>IF('CF表（奥様死亡時）'!CP$3="","",'CF表（奥様死亡時）'!CP40/10000)</f>
        <v/>
      </c>
      <c r="CQ40" s="240">
        <f>IF('CF表（奥様死亡時）'!CQ$3="","",'CF表（奥様死亡時）'!CQ40/10000)</f>
        <v/>
      </c>
      <c r="CR40" s="240">
        <f>IF('CF表（奥様死亡時）'!CR$3="","",'CF表（奥様死亡時）'!CR40/10000)</f>
        <v/>
      </c>
      <c r="CS40" s="240">
        <f>IF('CF表（奥様死亡時）'!CS$3="","",'CF表（奥様死亡時）'!CS40/10000)</f>
        <v/>
      </c>
      <c r="CT40" s="240">
        <f>IF('CF表（奥様死亡時）'!CT$3="","",'CF表（奥様死亡時）'!CT40/10000)</f>
        <v/>
      </c>
      <c r="CU40" s="240">
        <f>IF('CF表（奥様死亡時）'!CU$3="","",'CF表（奥様死亡時）'!CU40/10000)</f>
        <v/>
      </c>
      <c r="CV40" s="240">
        <f>IF('CF表（奥様死亡時）'!CV$3="","",'CF表（奥様死亡時）'!CV40/10000)</f>
        <v/>
      </c>
      <c r="CW40" s="240">
        <f>IF('CF表（奥様死亡時）'!CW$3="","",'CF表（奥様死亡時）'!CW40/10000)</f>
        <v/>
      </c>
    </row>
    <row r="41" hidden="1" ht="16.5" customHeight="1" s="180">
      <c r="A41" s="239" t="inlineStr">
        <is>
          <t>年間住宅ローン元本返済(補助)</t>
        </is>
      </c>
      <c r="B41" s="240">
        <f>IF('CF表（奥様死亡時）'!B$3="","",'CF表（奥様死亡時）'!B41/10000)</f>
        <v/>
      </c>
      <c r="C41" s="240">
        <f>IF('CF表（奥様死亡時）'!C$3="","",'CF表（奥様死亡時）'!C41/10000)</f>
        <v/>
      </c>
      <c r="D41" s="240">
        <f>IF('CF表（奥様死亡時）'!D$3="","",'CF表（奥様死亡時）'!D41/10000)</f>
        <v/>
      </c>
      <c r="E41" s="240">
        <f>IF('CF表（奥様死亡時）'!E$3="","",'CF表（奥様死亡時）'!E41/10000)</f>
        <v/>
      </c>
      <c r="F41" s="240">
        <f>IF('CF表（奥様死亡時）'!F$3="","",'CF表（奥様死亡時）'!F41/10000)</f>
        <v/>
      </c>
      <c r="G41" s="240">
        <f>IF('CF表（奥様死亡時）'!G$3="","",'CF表（奥様死亡時）'!G41/10000)</f>
        <v/>
      </c>
      <c r="H41" s="240">
        <f>IF('CF表（奥様死亡時）'!H$3="","",'CF表（奥様死亡時）'!H41/10000)</f>
        <v/>
      </c>
      <c r="I41" s="240">
        <f>IF('CF表（奥様死亡時）'!I$3="","",'CF表（奥様死亡時）'!I41/10000)</f>
        <v/>
      </c>
      <c r="J41" s="240">
        <f>IF('CF表（奥様死亡時）'!J$3="","",'CF表（奥様死亡時）'!J41/10000)</f>
        <v/>
      </c>
      <c r="K41" s="240">
        <f>IF('CF表（奥様死亡時）'!K$3="","",'CF表（奥様死亡時）'!K41/10000)</f>
        <v/>
      </c>
      <c r="L41" s="240">
        <f>IF('CF表（奥様死亡時）'!L$3="","",'CF表（奥様死亡時）'!L41/10000)</f>
        <v/>
      </c>
      <c r="M41" s="240">
        <f>IF('CF表（奥様死亡時）'!M$3="","",'CF表（奥様死亡時）'!M41/10000)</f>
        <v/>
      </c>
      <c r="N41" s="240">
        <f>IF('CF表（奥様死亡時）'!N$3="","",'CF表（奥様死亡時）'!N41/10000)</f>
        <v/>
      </c>
      <c r="O41" s="240">
        <f>IF('CF表（奥様死亡時）'!O$3="","",'CF表（奥様死亡時）'!O41/10000)</f>
        <v/>
      </c>
      <c r="P41" s="240">
        <f>IF('CF表（奥様死亡時）'!P$3="","",'CF表（奥様死亡時）'!P41/10000)</f>
        <v/>
      </c>
      <c r="Q41" s="240">
        <f>IF('CF表（奥様死亡時）'!Q$3="","",'CF表（奥様死亡時）'!Q41/10000)</f>
        <v/>
      </c>
      <c r="R41" s="240">
        <f>IF('CF表（奥様死亡時）'!R$3="","",'CF表（奥様死亡時）'!R41/10000)</f>
        <v/>
      </c>
      <c r="S41" s="240">
        <f>IF('CF表（奥様死亡時）'!S$3="","",'CF表（奥様死亡時）'!S41/10000)</f>
        <v/>
      </c>
      <c r="T41" s="240">
        <f>IF('CF表（奥様死亡時）'!T$3="","",'CF表（奥様死亡時）'!T41/10000)</f>
        <v/>
      </c>
      <c r="U41" s="240">
        <f>IF('CF表（奥様死亡時）'!U$3="","",'CF表（奥様死亡時）'!U41/10000)</f>
        <v/>
      </c>
      <c r="V41" s="240">
        <f>IF('CF表（奥様死亡時）'!V$3="","",'CF表（奥様死亡時）'!V41/10000)</f>
        <v/>
      </c>
      <c r="W41" s="240">
        <f>IF('CF表（奥様死亡時）'!W$3="","",'CF表（奥様死亡時）'!W41/10000)</f>
        <v/>
      </c>
      <c r="X41" s="240">
        <f>IF('CF表（奥様死亡時）'!X$3="","",'CF表（奥様死亡時）'!X41/10000)</f>
        <v/>
      </c>
      <c r="Y41" s="240">
        <f>IF('CF表（奥様死亡時）'!Y$3="","",'CF表（奥様死亡時）'!Y41/10000)</f>
        <v/>
      </c>
      <c r="Z41" s="240">
        <f>IF('CF表（奥様死亡時）'!Z$3="","",'CF表（奥様死亡時）'!Z41/10000)</f>
        <v/>
      </c>
      <c r="AA41" s="240">
        <f>IF('CF表（奥様死亡時）'!AA$3="","",'CF表（奥様死亡時）'!AA41/10000)</f>
        <v/>
      </c>
      <c r="AB41" s="240">
        <f>IF('CF表（奥様死亡時）'!AB$3="","",'CF表（奥様死亡時）'!AB41/10000)</f>
        <v/>
      </c>
      <c r="AC41" s="240">
        <f>IF('CF表（奥様死亡時）'!AC$3="","",'CF表（奥様死亡時）'!AC41/10000)</f>
        <v/>
      </c>
      <c r="AD41" s="240">
        <f>IF('CF表（奥様死亡時）'!AD$3="","",'CF表（奥様死亡時）'!AD41/10000)</f>
        <v/>
      </c>
      <c r="AE41" s="240">
        <f>IF('CF表（奥様死亡時）'!AE$3="","",'CF表（奥様死亡時）'!AE41/10000)</f>
        <v/>
      </c>
      <c r="AF41" s="240">
        <f>IF('CF表（奥様死亡時）'!AF$3="","",'CF表（奥様死亡時）'!AF41/10000)</f>
        <v/>
      </c>
      <c r="AG41" s="240">
        <f>IF('CF表（奥様死亡時）'!AG$3="","",'CF表（奥様死亡時）'!AG41/10000)</f>
        <v/>
      </c>
      <c r="AH41" s="240">
        <f>IF('CF表（奥様死亡時）'!AH$3="","",'CF表（奥様死亡時）'!AH41/10000)</f>
        <v/>
      </c>
      <c r="AI41" s="240">
        <f>IF('CF表（奥様死亡時）'!AI$3="","",'CF表（奥様死亡時）'!AI41/10000)</f>
        <v/>
      </c>
      <c r="AJ41" s="240">
        <f>IF('CF表（奥様死亡時）'!AJ$3="","",'CF表（奥様死亡時）'!AJ41/10000)</f>
        <v/>
      </c>
      <c r="AK41" s="240">
        <f>IF('CF表（奥様死亡時）'!AK$3="","",'CF表（奥様死亡時）'!AK41/10000)</f>
        <v/>
      </c>
      <c r="AL41" s="240">
        <f>IF('CF表（奥様死亡時）'!AL$3="","",'CF表（奥様死亡時）'!AL41/10000)</f>
        <v/>
      </c>
      <c r="AM41" s="240">
        <f>IF('CF表（奥様死亡時）'!AM$3="","",'CF表（奥様死亡時）'!AM41/10000)</f>
        <v/>
      </c>
      <c r="AN41" s="240">
        <f>IF('CF表（奥様死亡時）'!AN$3="","",'CF表（奥様死亡時）'!AN41/10000)</f>
        <v/>
      </c>
      <c r="AO41" s="240">
        <f>IF('CF表（奥様死亡時）'!AO$3="","",'CF表（奥様死亡時）'!AO41/10000)</f>
        <v/>
      </c>
      <c r="AP41" s="240">
        <f>IF('CF表（奥様死亡時）'!AP$3="","",'CF表（奥様死亡時）'!AP41/10000)</f>
        <v/>
      </c>
      <c r="AQ41" s="240">
        <f>IF('CF表（奥様死亡時）'!AQ$3="","",'CF表（奥様死亡時）'!AQ41/10000)</f>
        <v/>
      </c>
      <c r="AR41" s="240">
        <f>IF('CF表（奥様死亡時）'!AR$3="","",'CF表（奥様死亡時）'!AR41/10000)</f>
        <v/>
      </c>
      <c r="AS41" s="240">
        <f>IF('CF表（奥様死亡時）'!AS$3="","",'CF表（奥様死亡時）'!AS41/10000)</f>
        <v/>
      </c>
      <c r="AT41" s="240">
        <f>IF('CF表（奥様死亡時）'!AT$3="","",'CF表（奥様死亡時）'!AT41/10000)</f>
        <v/>
      </c>
      <c r="AU41" s="240">
        <f>IF('CF表（奥様死亡時）'!AU$3="","",'CF表（奥様死亡時）'!AU41/10000)</f>
        <v/>
      </c>
      <c r="AV41" s="240">
        <f>IF('CF表（奥様死亡時）'!AV$3="","",'CF表（奥様死亡時）'!AV41/10000)</f>
        <v/>
      </c>
      <c r="AW41" s="240">
        <f>IF('CF表（奥様死亡時）'!AW$3="","",'CF表（奥様死亡時）'!AW41/10000)</f>
        <v/>
      </c>
      <c r="AX41" s="240">
        <f>IF('CF表（奥様死亡時）'!AX$3="","",'CF表（奥様死亡時）'!AX41/10000)</f>
        <v/>
      </c>
      <c r="AY41" s="240">
        <f>IF('CF表（奥様死亡時）'!AY$3="","",'CF表（奥様死亡時）'!AY41/10000)</f>
        <v/>
      </c>
      <c r="AZ41" s="240">
        <f>IF('CF表（奥様死亡時）'!AZ$3="","",'CF表（奥様死亡時）'!AZ41/10000)</f>
        <v/>
      </c>
      <c r="BA41" s="240">
        <f>IF('CF表（奥様死亡時）'!BA$3="","",'CF表（奥様死亡時）'!BA41/10000)</f>
        <v/>
      </c>
      <c r="BB41" s="240">
        <f>IF('CF表（奥様死亡時）'!BB$3="","",'CF表（奥様死亡時）'!BB41/10000)</f>
        <v/>
      </c>
      <c r="BC41" s="240">
        <f>IF('CF表（奥様死亡時）'!BC$3="","",'CF表（奥様死亡時）'!BC41/10000)</f>
        <v/>
      </c>
      <c r="BD41" s="240">
        <f>IF('CF表（奥様死亡時）'!BD$3="","",'CF表（奥様死亡時）'!BD41/10000)</f>
        <v/>
      </c>
      <c r="BE41" s="240">
        <f>IF('CF表（奥様死亡時）'!BE$3="","",'CF表（奥様死亡時）'!BE41/10000)</f>
        <v/>
      </c>
      <c r="BF41" s="240">
        <f>IF('CF表（奥様死亡時）'!BF$3="","",'CF表（奥様死亡時）'!BF41/10000)</f>
        <v/>
      </c>
      <c r="BG41" s="240">
        <f>IF('CF表（奥様死亡時）'!BG$3="","",'CF表（奥様死亡時）'!BG41/10000)</f>
        <v/>
      </c>
      <c r="BH41" s="240">
        <f>IF('CF表（奥様死亡時）'!BH$3="","",'CF表（奥様死亡時）'!BH41/10000)</f>
        <v/>
      </c>
      <c r="BI41" s="240">
        <f>IF('CF表（奥様死亡時）'!BI$3="","",'CF表（奥様死亡時）'!BI41/10000)</f>
        <v/>
      </c>
      <c r="BJ41" s="240">
        <f>IF('CF表（奥様死亡時）'!BJ$3="","",'CF表（奥様死亡時）'!BJ41/10000)</f>
        <v/>
      </c>
      <c r="BK41" s="240">
        <f>IF('CF表（奥様死亡時）'!BK$3="","",'CF表（奥様死亡時）'!BK41/10000)</f>
        <v/>
      </c>
      <c r="BL41" s="240">
        <f>IF('CF表（奥様死亡時）'!BL$3="","",'CF表（奥様死亡時）'!BL41/10000)</f>
        <v/>
      </c>
      <c r="BM41" s="240">
        <f>IF('CF表（奥様死亡時）'!BM$3="","",'CF表（奥様死亡時）'!BM41/10000)</f>
        <v/>
      </c>
      <c r="BN41" s="240">
        <f>IF('CF表（奥様死亡時）'!BN$3="","",'CF表（奥様死亡時）'!BN41/10000)</f>
        <v/>
      </c>
      <c r="BO41" s="240">
        <f>IF('CF表（奥様死亡時）'!BO$3="","",'CF表（奥様死亡時）'!BO41/10000)</f>
        <v/>
      </c>
      <c r="BP41" s="240">
        <f>IF('CF表（奥様死亡時）'!BP$3="","",'CF表（奥様死亡時）'!BP41/10000)</f>
        <v/>
      </c>
      <c r="BQ41" s="240">
        <f>IF('CF表（奥様死亡時）'!BQ$3="","",'CF表（奥様死亡時）'!BQ41/10000)</f>
        <v/>
      </c>
      <c r="BR41" s="240">
        <f>IF('CF表（奥様死亡時）'!BR$3="","",'CF表（奥様死亡時）'!BR41/10000)</f>
        <v/>
      </c>
      <c r="BS41" s="240">
        <f>IF('CF表（奥様死亡時）'!BS$3="","",'CF表（奥様死亡時）'!BS41/10000)</f>
        <v/>
      </c>
      <c r="BT41" s="240">
        <f>IF('CF表（奥様死亡時）'!BT$3="","",'CF表（奥様死亡時）'!BT41/10000)</f>
        <v/>
      </c>
      <c r="BU41" s="240">
        <f>IF('CF表（奥様死亡時）'!BU$3="","",'CF表（奥様死亡時）'!BU41/10000)</f>
        <v/>
      </c>
      <c r="BV41" s="240">
        <f>IF('CF表（奥様死亡時）'!BV$3="","",'CF表（奥様死亡時）'!BV41/10000)</f>
        <v/>
      </c>
      <c r="BW41" s="240">
        <f>IF('CF表（奥様死亡時）'!BW$3="","",'CF表（奥様死亡時）'!BW41/10000)</f>
        <v/>
      </c>
      <c r="BX41" s="240">
        <f>IF('CF表（奥様死亡時）'!BX$3="","",'CF表（奥様死亡時）'!BX41/10000)</f>
        <v/>
      </c>
      <c r="BY41" s="240">
        <f>IF('CF表（奥様死亡時）'!BY$3="","",'CF表（奥様死亡時）'!BY41/10000)</f>
        <v/>
      </c>
      <c r="BZ41" s="240">
        <f>IF('CF表（奥様死亡時）'!BZ$3="","",'CF表（奥様死亡時）'!BZ41/10000)</f>
        <v/>
      </c>
      <c r="CA41" s="240">
        <f>IF('CF表（奥様死亡時）'!CA$3="","",'CF表（奥様死亡時）'!CA41/10000)</f>
        <v/>
      </c>
      <c r="CB41" s="240">
        <f>IF('CF表（奥様死亡時）'!CB$3="","",'CF表（奥様死亡時）'!CB41/10000)</f>
        <v/>
      </c>
      <c r="CC41" s="240">
        <f>IF('CF表（奥様死亡時）'!CC$3="","",'CF表（奥様死亡時）'!CC41/10000)</f>
        <v/>
      </c>
      <c r="CD41" s="240">
        <f>IF('CF表（奥様死亡時）'!CD$3="","",'CF表（奥様死亡時）'!CD41/10000)</f>
        <v/>
      </c>
      <c r="CE41" s="240">
        <f>IF('CF表（奥様死亡時）'!CE$3="","",'CF表（奥様死亡時）'!CE41/10000)</f>
        <v/>
      </c>
      <c r="CF41" s="240">
        <f>IF('CF表（奥様死亡時）'!CF$3="","",'CF表（奥様死亡時）'!CF41/10000)</f>
        <v/>
      </c>
      <c r="CG41" s="240">
        <f>IF('CF表（奥様死亡時）'!CG$3="","",'CF表（奥様死亡時）'!CG41/10000)</f>
        <v/>
      </c>
      <c r="CH41" s="240">
        <f>IF('CF表（奥様死亡時）'!CH$3="","",'CF表（奥様死亡時）'!CH41/10000)</f>
        <v/>
      </c>
      <c r="CI41" s="240">
        <f>IF('CF表（奥様死亡時）'!CI$3="","",'CF表（奥様死亡時）'!CI41/10000)</f>
        <v/>
      </c>
      <c r="CJ41" s="240">
        <f>IF('CF表（奥様死亡時）'!CJ$3="","",'CF表（奥様死亡時）'!CJ41/10000)</f>
        <v/>
      </c>
      <c r="CK41" s="240">
        <f>IF('CF表（奥様死亡時）'!CK$3="","",'CF表（奥様死亡時）'!CK41/10000)</f>
        <v/>
      </c>
      <c r="CL41" s="240">
        <f>IF('CF表（奥様死亡時）'!CL$3="","",'CF表（奥様死亡時）'!CL41/10000)</f>
        <v/>
      </c>
      <c r="CM41" s="240">
        <f>IF('CF表（奥様死亡時）'!CM$3="","",'CF表（奥様死亡時）'!CM41/10000)</f>
        <v/>
      </c>
      <c r="CN41" s="240">
        <f>IF('CF表（奥様死亡時）'!CN$3="","",'CF表（奥様死亡時）'!CN41/10000)</f>
        <v/>
      </c>
      <c r="CO41" s="240">
        <f>IF('CF表（奥様死亡時）'!CO$3="","",'CF表（奥様死亡時）'!CO41/10000)</f>
        <v/>
      </c>
      <c r="CP41" s="240">
        <f>IF('CF表（奥様死亡時）'!CP$3="","",'CF表（奥様死亡時）'!CP41/10000)</f>
        <v/>
      </c>
      <c r="CQ41" s="240">
        <f>IF('CF表（奥様死亡時）'!CQ$3="","",'CF表（奥様死亡時）'!CQ41/10000)</f>
        <v/>
      </c>
      <c r="CR41" s="240">
        <f>IF('CF表（奥様死亡時）'!CR$3="","",'CF表（奥様死亡時）'!CR41/10000)</f>
        <v/>
      </c>
      <c r="CS41" s="240">
        <f>IF('CF表（奥様死亡時）'!CS$3="","",'CF表（奥様死亡時）'!CS41/10000)</f>
        <v/>
      </c>
      <c r="CT41" s="240">
        <f>IF('CF表（奥様死亡時）'!CT$3="","",'CF表（奥様死亡時）'!CT41/10000)</f>
        <v/>
      </c>
      <c r="CU41" s="240">
        <f>IF('CF表（奥様死亡時）'!CU$3="","",'CF表（奥様死亡時）'!CU41/10000)</f>
        <v/>
      </c>
      <c r="CV41" s="240">
        <f>IF('CF表（奥様死亡時）'!CV$3="","",'CF表（奥様死亡時）'!CV41/10000)</f>
        <v/>
      </c>
      <c r="CW41" s="240">
        <f>IF('CF表（奥様死亡時）'!CW$3="","",'CF表（奥様死亡時）'!CW41/10000)</f>
        <v/>
      </c>
    </row>
    <row r="42" hidden="1" ht="16.5" customHeight="1" s="180">
      <c r="A42" s="239" t="inlineStr">
        <is>
          <t>老後期フラグ(補助)</t>
        </is>
      </c>
      <c r="B42" s="240">
        <f>IF('CF表（奥様死亡時）'!B$3="","",'CF表（奥様死亡時）'!B42/10000)</f>
        <v/>
      </c>
      <c r="C42" s="240">
        <f>IF('CF表（奥様死亡時）'!C$3="","",'CF表（奥様死亡時）'!C42/10000)</f>
        <v/>
      </c>
      <c r="D42" s="240">
        <f>IF('CF表（奥様死亡時）'!D$3="","",'CF表（奥様死亡時）'!D42/10000)</f>
        <v/>
      </c>
      <c r="E42" s="240">
        <f>IF('CF表（奥様死亡時）'!E$3="","",'CF表（奥様死亡時）'!E42/10000)</f>
        <v/>
      </c>
      <c r="F42" s="240">
        <f>IF('CF表（奥様死亡時）'!F$3="","",'CF表（奥様死亡時）'!F42/10000)</f>
        <v/>
      </c>
      <c r="G42" s="240">
        <f>IF('CF表（奥様死亡時）'!G$3="","",'CF表（奥様死亡時）'!G42/10000)</f>
        <v/>
      </c>
      <c r="H42" s="240">
        <f>IF('CF表（奥様死亡時）'!H$3="","",'CF表（奥様死亡時）'!H42/10000)</f>
        <v/>
      </c>
      <c r="I42" s="240">
        <f>IF('CF表（奥様死亡時）'!I$3="","",'CF表（奥様死亡時）'!I42/10000)</f>
        <v/>
      </c>
      <c r="J42" s="240">
        <f>IF('CF表（奥様死亡時）'!J$3="","",'CF表（奥様死亡時）'!J42/10000)</f>
        <v/>
      </c>
      <c r="K42" s="240">
        <f>IF('CF表（奥様死亡時）'!K$3="","",'CF表（奥様死亡時）'!K42/10000)</f>
        <v/>
      </c>
      <c r="L42" s="240">
        <f>IF('CF表（奥様死亡時）'!L$3="","",'CF表（奥様死亡時）'!L42/10000)</f>
        <v/>
      </c>
      <c r="M42" s="240">
        <f>IF('CF表（奥様死亡時）'!M$3="","",'CF表（奥様死亡時）'!M42/10000)</f>
        <v/>
      </c>
      <c r="N42" s="240">
        <f>IF('CF表（奥様死亡時）'!N$3="","",'CF表（奥様死亡時）'!N42/10000)</f>
        <v/>
      </c>
      <c r="O42" s="240">
        <f>IF('CF表（奥様死亡時）'!O$3="","",'CF表（奥様死亡時）'!O42/10000)</f>
        <v/>
      </c>
      <c r="P42" s="240">
        <f>IF('CF表（奥様死亡時）'!P$3="","",'CF表（奥様死亡時）'!P42/10000)</f>
        <v/>
      </c>
      <c r="Q42" s="240">
        <f>IF('CF表（奥様死亡時）'!Q$3="","",'CF表（奥様死亡時）'!Q42/10000)</f>
        <v/>
      </c>
      <c r="R42" s="240">
        <f>IF('CF表（奥様死亡時）'!R$3="","",'CF表（奥様死亡時）'!R42/10000)</f>
        <v/>
      </c>
      <c r="S42" s="240">
        <f>IF('CF表（奥様死亡時）'!S$3="","",'CF表（奥様死亡時）'!S42/10000)</f>
        <v/>
      </c>
      <c r="T42" s="240">
        <f>IF('CF表（奥様死亡時）'!T$3="","",'CF表（奥様死亡時）'!T42/10000)</f>
        <v/>
      </c>
      <c r="U42" s="240">
        <f>IF('CF表（奥様死亡時）'!U$3="","",'CF表（奥様死亡時）'!U42/10000)</f>
        <v/>
      </c>
      <c r="V42" s="240">
        <f>IF('CF表（奥様死亡時）'!V$3="","",'CF表（奥様死亡時）'!V42/10000)</f>
        <v/>
      </c>
      <c r="W42" s="240">
        <f>IF('CF表（奥様死亡時）'!W$3="","",'CF表（奥様死亡時）'!W42/10000)</f>
        <v/>
      </c>
      <c r="X42" s="240">
        <f>IF('CF表（奥様死亡時）'!X$3="","",'CF表（奥様死亡時）'!X42/10000)</f>
        <v/>
      </c>
      <c r="Y42" s="240">
        <f>IF('CF表（奥様死亡時）'!Y$3="","",'CF表（奥様死亡時）'!Y42/10000)</f>
        <v/>
      </c>
      <c r="Z42" s="240">
        <f>IF('CF表（奥様死亡時）'!Z$3="","",'CF表（奥様死亡時）'!Z42/10000)</f>
        <v/>
      </c>
      <c r="AA42" s="240">
        <f>IF('CF表（奥様死亡時）'!AA$3="","",'CF表（奥様死亡時）'!AA42/10000)</f>
        <v/>
      </c>
      <c r="AB42" s="240">
        <f>IF('CF表（奥様死亡時）'!AB$3="","",'CF表（奥様死亡時）'!AB42/10000)</f>
        <v/>
      </c>
      <c r="AC42" s="240">
        <f>IF('CF表（奥様死亡時）'!AC$3="","",'CF表（奥様死亡時）'!AC42/10000)</f>
        <v/>
      </c>
      <c r="AD42" s="240">
        <f>IF('CF表（奥様死亡時）'!AD$3="","",'CF表（奥様死亡時）'!AD42/10000)</f>
        <v/>
      </c>
      <c r="AE42" s="240">
        <f>IF('CF表（奥様死亡時）'!AE$3="","",'CF表（奥様死亡時）'!AE42/10000)</f>
        <v/>
      </c>
      <c r="AF42" s="240">
        <f>IF('CF表（奥様死亡時）'!AF$3="","",'CF表（奥様死亡時）'!AF42/10000)</f>
        <v/>
      </c>
      <c r="AG42" s="240">
        <f>IF('CF表（奥様死亡時）'!AG$3="","",'CF表（奥様死亡時）'!AG42/10000)</f>
        <v/>
      </c>
      <c r="AH42" s="240">
        <f>IF('CF表（奥様死亡時）'!AH$3="","",'CF表（奥様死亡時）'!AH42/10000)</f>
        <v/>
      </c>
      <c r="AI42" s="240">
        <f>IF('CF表（奥様死亡時）'!AI$3="","",'CF表（奥様死亡時）'!AI42/10000)</f>
        <v/>
      </c>
      <c r="AJ42" s="240">
        <f>IF('CF表（奥様死亡時）'!AJ$3="","",'CF表（奥様死亡時）'!AJ42/10000)</f>
        <v/>
      </c>
      <c r="AK42" s="240">
        <f>IF('CF表（奥様死亡時）'!AK$3="","",'CF表（奥様死亡時）'!AK42/10000)</f>
        <v/>
      </c>
      <c r="AL42" s="240">
        <f>IF('CF表（奥様死亡時）'!AL$3="","",'CF表（奥様死亡時）'!AL42/10000)</f>
        <v/>
      </c>
      <c r="AM42" s="240">
        <f>IF('CF表（奥様死亡時）'!AM$3="","",'CF表（奥様死亡時）'!AM42/10000)</f>
        <v/>
      </c>
      <c r="AN42" s="240">
        <f>IF('CF表（奥様死亡時）'!AN$3="","",'CF表（奥様死亡時）'!AN42/10000)</f>
        <v/>
      </c>
      <c r="AO42" s="240">
        <f>IF('CF表（奥様死亡時）'!AO$3="","",'CF表（奥様死亡時）'!AO42/10000)</f>
        <v/>
      </c>
      <c r="AP42" s="240">
        <f>IF('CF表（奥様死亡時）'!AP$3="","",'CF表（奥様死亡時）'!AP42/10000)</f>
        <v/>
      </c>
      <c r="AQ42" s="240">
        <f>IF('CF表（奥様死亡時）'!AQ$3="","",'CF表（奥様死亡時）'!AQ42/10000)</f>
        <v/>
      </c>
      <c r="AR42" s="240">
        <f>IF('CF表（奥様死亡時）'!AR$3="","",'CF表（奥様死亡時）'!AR42/10000)</f>
        <v/>
      </c>
      <c r="AS42" s="240">
        <f>IF('CF表（奥様死亡時）'!AS$3="","",'CF表（奥様死亡時）'!AS42/10000)</f>
        <v/>
      </c>
      <c r="AT42" s="240">
        <f>IF('CF表（奥様死亡時）'!AT$3="","",'CF表（奥様死亡時）'!AT42/10000)</f>
        <v/>
      </c>
      <c r="AU42" s="240">
        <f>IF('CF表（奥様死亡時）'!AU$3="","",'CF表（奥様死亡時）'!AU42/10000)</f>
        <v/>
      </c>
      <c r="AV42" s="240">
        <f>IF('CF表（奥様死亡時）'!AV$3="","",'CF表（奥様死亡時）'!AV42/10000)</f>
        <v/>
      </c>
      <c r="AW42" s="240">
        <f>IF('CF表（奥様死亡時）'!AW$3="","",'CF表（奥様死亡時）'!AW42/10000)</f>
        <v/>
      </c>
      <c r="AX42" s="240">
        <f>IF('CF表（奥様死亡時）'!AX$3="","",'CF表（奥様死亡時）'!AX42/10000)</f>
        <v/>
      </c>
      <c r="AY42" s="240">
        <f>IF('CF表（奥様死亡時）'!AY$3="","",'CF表（奥様死亡時）'!AY42/10000)</f>
        <v/>
      </c>
      <c r="AZ42" s="240">
        <f>IF('CF表（奥様死亡時）'!AZ$3="","",'CF表（奥様死亡時）'!AZ42/10000)</f>
        <v/>
      </c>
      <c r="BA42" s="240">
        <f>IF('CF表（奥様死亡時）'!BA$3="","",'CF表（奥様死亡時）'!BA42/10000)</f>
        <v/>
      </c>
      <c r="BB42" s="240">
        <f>IF('CF表（奥様死亡時）'!BB$3="","",'CF表（奥様死亡時）'!BB42/10000)</f>
        <v/>
      </c>
      <c r="BC42" s="240">
        <f>IF('CF表（奥様死亡時）'!BC$3="","",'CF表（奥様死亡時）'!BC42/10000)</f>
        <v/>
      </c>
      <c r="BD42" s="240">
        <f>IF('CF表（奥様死亡時）'!BD$3="","",'CF表（奥様死亡時）'!BD42/10000)</f>
        <v/>
      </c>
      <c r="BE42" s="240">
        <f>IF('CF表（奥様死亡時）'!BE$3="","",'CF表（奥様死亡時）'!BE42/10000)</f>
        <v/>
      </c>
      <c r="BF42" s="240">
        <f>IF('CF表（奥様死亡時）'!BF$3="","",'CF表（奥様死亡時）'!BF42/10000)</f>
        <v/>
      </c>
      <c r="BG42" s="240">
        <f>IF('CF表（奥様死亡時）'!BG$3="","",'CF表（奥様死亡時）'!BG42/10000)</f>
        <v/>
      </c>
      <c r="BH42" s="240">
        <f>IF('CF表（奥様死亡時）'!BH$3="","",'CF表（奥様死亡時）'!BH42/10000)</f>
        <v/>
      </c>
      <c r="BI42" s="240">
        <f>IF('CF表（奥様死亡時）'!BI$3="","",'CF表（奥様死亡時）'!BI42/10000)</f>
        <v/>
      </c>
      <c r="BJ42" s="240">
        <f>IF('CF表（奥様死亡時）'!BJ$3="","",'CF表（奥様死亡時）'!BJ42/10000)</f>
        <v/>
      </c>
      <c r="BK42" s="240">
        <f>IF('CF表（奥様死亡時）'!BK$3="","",'CF表（奥様死亡時）'!BK42/10000)</f>
        <v/>
      </c>
      <c r="BL42" s="240">
        <f>IF('CF表（奥様死亡時）'!BL$3="","",'CF表（奥様死亡時）'!BL42/10000)</f>
        <v/>
      </c>
      <c r="BM42" s="240">
        <f>IF('CF表（奥様死亡時）'!BM$3="","",'CF表（奥様死亡時）'!BM42/10000)</f>
        <v/>
      </c>
      <c r="BN42" s="240">
        <f>IF('CF表（奥様死亡時）'!BN$3="","",'CF表（奥様死亡時）'!BN42/10000)</f>
        <v/>
      </c>
      <c r="BO42" s="240">
        <f>IF('CF表（奥様死亡時）'!BO$3="","",'CF表（奥様死亡時）'!BO42/10000)</f>
        <v/>
      </c>
      <c r="BP42" s="240">
        <f>IF('CF表（奥様死亡時）'!BP$3="","",'CF表（奥様死亡時）'!BP42/10000)</f>
        <v/>
      </c>
      <c r="BQ42" s="240">
        <f>IF('CF表（奥様死亡時）'!BQ$3="","",'CF表（奥様死亡時）'!BQ42/10000)</f>
        <v/>
      </c>
      <c r="BR42" s="240">
        <f>IF('CF表（奥様死亡時）'!BR$3="","",'CF表（奥様死亡時）'!BR42/10000)</f>
        <v/>
      </c>
      <c r="BS42" s="240">
        <f>IF('CF表（奥様死亡時）'!BS$3="","",'CF表（奥様死亡時）'!BS42/10000)</f>
        <v/>
      </c>
      <c r="BT42" s="240">
        <f>IF('CF表（奥様死亡時）'!BT$3="","",'CF表（奥様死亡時）'!BT42/10000)</f>
        <v/>
      </c>
      <c r="BU42" s="240">
        <f>IF('CF表（奥様死亡時）'!BU$3="","",'CF表（奥様死亡時）'!BU42/10000)</f>
        <v/>
      </c>
      <c r="BV42" s="240">
        <f>IF('CF表（奥様死亡時）'!BV$3="","",'CF表（奥様死亡時）'!BV42/10000)</f>
        <v/>
      </c>
      <c r="BW42" s="240">
        <f>IF('CF表（奥様死亡時）'!BW$3="","",'CF表（奥様死亡時）'!BW42/10000)</f>
        <v/>
      </c>
      <c r="BX42" s="240">
        <f>IF('CF表（奥様死亡時）'!BX$3="","",'CF表（奥様死亡時）'!BX42/10000)</f>
        <v/>
      </c>
      <c r="BY42" s="240">
        <f>IF('CF表（奥様死亡時）'!BY$3="","",'CF表（奥様死亡時）'!BY42/10000)</f>
        <v/>
      </c>
      <c r="BZ42" s="240">
        <f>IF('CF表（奥様死亡時）'!BZ$3="","",'CF表（奥様死亡時）'!BZ42/10000)</f>
        <v/>
      </c>
      <c r="CA42" s="240">
        <f>IF('CF表（奥様死亡時）'!CA$3="","",'CF表（奥様死亡時）'!CA42/10000)</f>
        <v/>
      </c>
      <c r="CB42" s="240">
        <f>IF('CF表（奥様死亡時）'!CB$3="","",'CF表（奥様死亡時）'!CB42/10000)</f>
        <v/>
      </c>
      <c r="CC42" s="240">
        <f>IF('CF表（奥様死亡時）'!CC$3="","",'CF表（奥様死亡時）'!CC42/10000)</f>
        <v/>
      </c>
      <c r="CD42" s="240">
        <f>IF('CF表（奥様死亡時）'!CD$3="","",'CF表（奥様死亡時）'!CD42/10000)</f>
        <v/>
      </c>
      <c r="CE42" s="240">
        <f>IF('CF表（奥様死亡時）'!CE$3="","",'CF表（奥様死亡時）'!CE42/10000)</f>
        <v/>
      </c>
      <c r="CF42" s="240">
        <f>IF('CF表（奥様死亡時）'!CF$3="","",'CF表（奥様死亡時）'!CF42/10000)</f>
        <v/>
      </c>
      <c r="CG42" s="240">
        <f>IF('CF表（奥様死亡時）'!CG$3="","",'CF表（奥様死亡時）'!CG42/10000)</f>
        <v/>
      </c>
      <c r="CH42" s="240">
        <f>IF('CF表（奥様死亡時）'!CH$3="","",'CF表（奥様死亡時）'!CH42/10000)</f>
        <v/>
      </c>
      <c r="CI42" s="240">
        <f>IF('CF表（奥様死亡時）'!CI$3="","",'CF表（奥様死亡時）'!CI42/10000)</f>
        <v/>
      </c>
      <c r="CJ42" s="240">
        <f>IF('CF表（奥様死亡時）'!CJ$3="","",'CF表（奥様死亡時）'!CJ42/10000)</f>
        <v/>
      </c>
      <c r="CK42" s="240">
        <f>IF('CF表（奥様死亡時）'!CK$3="","",'CF表（奥様死亡時）'!CK42/10000)</f>
        <v/>
      </c>
      <c r="CL42" s="240">
        <f>IF('CF表（奥様死亡時）'!CL$3="","",'CF表（奥様死亡時）'!CL42/10000)</f>
        <v/>
      </c>
      <c r="CM42" s="240">
        <f>IF('CF表（奥様死亡時）'!CM$3="","",'CF表（奥様死亡時）'!CM42/10000)</f>
        <v/>
      </c>
      <c r="CN42" s="240">
        <f>IF('CF表（奥様死亡時）'!CN$3="","",'CF表（奥様死亡時）'!CN42/10000)</f>
        <v/>
      </c>
      <c r="CO42" s="240">
        <f>IF('CF表（奥様死亡時）'!CO$3="","",'CF表（奥様死亡時）'!CO42/10000)</f>
        <v/>
      </c>
      <c r="CP42" s="240">
        <f>IF('CF表（奥様死亡時）'!CP$3="","",'CF表（奥様死亡時）'!CP42/10000)</f>
        <v/>
      </c>
      <c r="CQ42" s="240">
        <f>IF('CF表（奥様死亡時）'!CQ$3="","",'CF表（奥様死亡時）'!CQ42/10000)</f>
        <v/>
      </c>
      <c r="CR42" s="240">
        <f>IF('CF表（奥様死亡時）'!CR$3="","",'CF表（奥様死亡時）'!CR42/10000)</f>
        <v/>
      </c>
      <c r="CS42" s="240">
        <f>IF('CF表（奥様死亡時）'!CS$3="","",'CF表（奥様死亡時）'!CS42/10000)</f>
        <v/>
      </c>
      <c r="CT42" s="240">
        <f>IF('CF表（奥様死亡時）'!CT$3="","",'CF表（奥様死亡時）'!CT42/10000)</f>
        <v/>
      </c>
      <c r="CU42" s="240">
        <f>IF('CF表（奥様死亡時）'!CU$3="","",'CF表（奥様死亡時）'!CU42/10000)</f>
        <v/>
      </c>
      <c r="CV42" s="240">
        <f>IF('CF表（奥様死亡時）'!CV$3="","",'CF表（奥様死亡時）'!CV42/10000)</f>
        <v/>
      </c>
      <c r="CW42" s="240">
        <f>IF('CF表（奥様死亡時）'!CW$3="","",'CF表（奥様死亡時）'!CW42/10000)</f>
        <v/>
      </c>
    </row>
    <row r="43" hidden="1" ht="16.5" customHeight="1" s="180">
      <c r="A43" s="239" t="inlineStr">
        <is>
          <t>老後不足額(補助)</t>
        </is>
      </c>
      <c r="B43" s="240">
        <f>IF('CF表（奥様死亡時）'!B$3="","",'CF表（奥様死亡時）'!B43/10000)</f>
        <v/>
      </c>
      <c r="C43" s="240">
        <f>IF('CF表（奥様死亡時）'!C$3="","",'CF表（奥様死亡時）'!C43/10000)</f>
        <v/>
      </c>
      <c r="D43" s="240">
        <f>IF('CF表（奥様死亡時）'!D$3="","",'CF表（奥様死亡時）'!D43/10000)</f>
        <v/>
      </c>
      <c r="E43" s="240">
        <f>IF('CF表（奥様死亡時）'!E$3="","",'CF表（奥様死亡時）'!E43/10000)</f>
        <v/>
      </c>
      <c r="F43" s="240">
        <f>IF('CF表（奥様死亡時）'!F$3="","",'CF表（奥様死亡時）'!F43/10000)</f>
        <v/>
      </c>
      <c r="G43" s="240">
        <f>IF('CF表（奥様死亡時）'!G$3="","",'CF表（奥様死亡時）'!G43/10000)</f>
        <v/>
      </c>
      <c r="H43" s="240">
        <f>IF('CF表（奥様死亡時）'!H$3="","",'CF表（奥様死亡時）'!H43/10000)</f>
        <v/>
      </c>
      <c r="I43" s="240">
        <f>IF('CF表（奥様死亡時）'!I$3="","",'CF表（奥様死亡時）'!I43/10000)</f>
        <v/>
      </c>
      <c r="J43" s="240">
        <f>IF('CF表（奥様死亡時）'!J$3="","",'CF表（奥様死亡時）'!J43/10000)</f>
        <v/>
      </c>
      <c r="K43" s="240">
        <f>IF('CF表（奥様死亡時）'!K$3="","",'CF表（奥様死亡時）'!K43/10000)</f>
        <v/>
      </c>
      <c r="L43" s="240">
        <f>IF('CF表（奥様死亡時）'!L$3="","",'CF表（奥様死亡時）'!L43/10000)</f>
        <v/>
      </c>
      <c r="M43" s="240">
        <f>IF('CF表（奥様死亡時）'!M$3="","",'CF表（奥様死亡時）'!M43/10000)</f>
        <v/>
      </c>
      <c r="N43" s="240">
        <f>IF('CF表（奥様死亡時）'!N$3="","",'CF表（奥様死亡時）'!N43/10000)</f>
        <v/>
      </c>
      <c r="O43" s="240">
        <f>IF('CF表（奥様死亡時）'!O$3="","",'CF表（奥様死亡時）'!O43/10000)</f>
        <v/>
      </c>
      <c r="P43" s="240">
        <f>IF('CF表（奥様死亡時）'!P$3="","",'CF表（奥様死亡時）'!P43/10000)</f>
        <v/>
      </c>
      <c r="Q43" s="240">
        <f>IF('CF表（奥様死亡時）'!Q$3="","",'CF表（奥様死亡時）'!Q43/10000)</f>
        <v/>
      </c>
      <c r="R43" s="240">
        <f>IF('CF表（奥様死亡時）'!R$3="","",'CF表（奥様死亡時）'!R43/10000)</f>
        <v/>
      </c>
      <c r="S43" s="240">
        <f>IF('CF表（奥様死亡時）'!S$3="","",'CF表（奥様死亡時）'!S43/10000)</f>
        <v/>
      </c>
      <c r="T43" s="240">
        <f>IF('CF表（奥様死亡時）'!T$3="","",'CF表（奥様死亡時）'!T43/10000)</f>
        <v/>
      </c>
      <c r="U43" s="240">
        <f>IF('CF表（奥様死亡時）'!U$3="","",'CF表（奥様死亡時）'!U43/10000)</f>
        <v/>
      </c>
      <c r="V43" s="240">
        <f>IF('CF表（奥様死亡時）'!V$3="","",'CF表（奥様死亡時）'!V43/10000)</f>
        <v/>
      </c>
      <c r="W43" s="240">
        <f>IF('CF表（奥様死亡時）'!W$3="","",'CF表（奥様死亡時）'!W43/10000)</f>
        <v/>
      </c>
      <c r="X43" s="240">
        <f>IF('CF表（奥様死亡時）'!X$3="","",'CF表（奥様死亡時）'!X43/10000)</f>
        <v/>
      </c>
      <c r="Y43" s="240">
        <f>IF('CF表（奥様死亡時）'!Y$3="","",'CF表（奥様死亡時）'!Y43/10000)</f>
        <v/>
      </c>
      <c r="Z43" s="240">
        <f>IF('CF表（奥様死亡時）'!Z$3="","",'CF表（奥様死亡時）'!Z43/10000)</f>
        <v/>
      </c>
      <c r="AA43" s="240">
        <f>IF('CF表（奥様死亡時）'!AA$3="","",'CF表（奥様死亡時）'!AA43/10000)</f>
        <v/>
      </c>
      <c r="AB43" s="240">
        <f>IF('CF表（奥様死亡時）'!AB$3="","",'CF表（奥様死亡時）'!AB43/10000)</f>
        <v/>
      </c>
      <c r="AC43" s="240">
        <f>IF('CF表（奥様死亡時）'!AC$3="","",'CF表（奥様死亡時）'!AC43/10000)</f>
        <v/>
      </c>
      <c r="AD43" s="240">
        <f>IF('CF表（奥様死亡時）'!AD$3="","",'CF表（奥様死亡時）'!AD43/10000)</f>
        <v/>
      </c>
      <c r="AE43" s="240">
        <f>IF('CF表（奥様死亡時）'!AE$3="","",'CF表（奥様死亡時）'!AE43/10000)</f>
        <v/>
      </c>
      <c r="AF43" s="240">
        <f>IF('CF表（奥様死亡時）'!AF$3="","",'CF表（奥様死亡時）'!AF43/10000)</f>
        <v/>
      </c>
      <c r="AG43" s="240">
        <f>IF('CF表（奥様死亡時）'!AG$3="","",'CF表（奥様死亡時）'!AG43/10000)</f>
        <v/>
      </c>
      <c r="AH43" s="240">
        <f>IF('CF表（奥様死亡時）'!AH$3="","",'CF表（奥様死亡時）'!AH43/10000)</f>
        <v/>
      </c>
      <c r="AI43" s="240">
        <f>IF('CF表（奥様死亡時）'!AI$3="","",'CF表（奥様死亡時）'!AI43/10000)</f>
        <v/>
      </c>
      <c r="AJ43" s="240">
        <f>IF('CF表（奥様死亡時）'!AJ$3="","",'CF表（奥様死亡時）'!AJ43/10000)</f>
        <v/>
      </c>
      <c r="AK43" s="240">
        <f>IF('CF表（奥様死亡時）'!AK$3="","",'CF表（奥様死亡時）'!AK43/10000)</f>
        <v/>
      </c>
      <c r="AL43" s="240">
        <f>IF('CF表（奥様死亡時）'!AL$3="","",'CF表（奥様死亡時）'!AL43/10000)</f>
        <v/>
      </c>
      <c r="AM43" s="240">
        <f>IF('CF表（奥様死亡時）'!AM$3="","",'CF表（奥様死亡時）'!AM43/10000)</f>
        <v/>
      </c>
      <c r="AN43" s="240">
        <f>IF('CF表（奥様死亡時）'!AN$3="","",'CF表（奥様死亡時）'!AN43/10000)</f>
        <v/>
      </c>
      <c r="AO43" s="240">
        <f>IF('CF表（奥様死亡時）'!AO$3="","",'CF表（奥様死亡時）'!AO43/10000)</f>
        <v/>
      </c>
      <c r="AP43" s="240">
        <f>IF('CF表（奥様死亡時）'!AP$3="","",'CF表（奥様死亡時）'!AP43/10000)</f>
        <v/>
      </c>
      <c r="AQ43" s="240">
        <f>IF('CF表（奥様死亡時）'!AQ$3="","",'CF表（奥様死亡時）'!AQ43/10000)</f>
        <v/>
      </c>
      <c r="AR43" s="240">
        <f>IF('CF表（奥様死亡時）'!AR$3="","",'CF表（奥様死亡時）'!AR43/10000)</f>
        <v/>
      </c>
      <c r="AS43" s="240">
        <f>IF('CF表（奥様死亡時）'!AS$3="","",'CF表（奥様死亡時）'!AS43/10000)</f>
        <v/>
      </c>
      <c r="AT43" s="240">
        <f>IF('CF表（奥様死亡時）'!AT$3="","",'CF表（奥様死亡時）'!AT43/10000)</f>
        <v/>
      </c>
      <c r="AU43" s="240">
        <f>IF('CF表（奥様死亡時）'!AU$3="","",'CF表（奥様死亡時）'!AU43/10000)</f>
        <v/>
      </c>
      <c r="AV43" s="240">
        <f>IF('CF表（奥様死亡時）'!AV$3="","",'CF表（奥様死亡時）'!AV43/10000)</f>
        <v/>
      </c>
      <c r="AW43" s="240">
        <f>IF('CF表（奥様死亡時）'!AW$3="","",'CF表（奥様死亡時）'!AW43/10000)</f>
        <v/>
      </c>
      <c r="AX43" s="240">
        <f>IF('CF表（奥様死亡時）'!AX$3="","",'CF表（奥様死亡時）'!AX43/10000)</f>
        <v/>
      </c>
      <c r="AY43" s="240">
        <f>IF('CF表（奥様死亡時）'!AY$3="","",'CF表（奥様死亡時）'!AY43/10000)</f>
        <v/>
      </c>
      <c r="AZ43" s="240">
        <f>IF('CF表（奥様死亡時）'!AZ$3="","",'CF表（奥様死亡時）'!AZ43/10000)</f>
        <v/>
      </c>
      <c r="BA43" s="240">
        <f>IF('CF表（奥様死亡時）'!BA$3="","",'CF表（奥様死亡時）'!BA43/10000)</f>
        <v/>
      </c>
      <c r="BB43" s="240">
        <f>IF('CF表（奥様死亡時）'!BB$3="","",'CF表（奥様死亡時）'!BB43/10000)</f>
        <v/>
      </c>
      <c r="BC43" s="240">
        <f>IF('CF表（奥様死亡時）'!BC$3="","",'CF表（奥様死亡時）'!BC43/10000)</f>
        <v/>
      </c>
      <c r="BD43" s="240">
        <f>IF('CF表（奥様死亡時）'!BD$3="","",'CF表（奥様死亡時）'!BD43/10000)</f>
        <v/>
      </c>
      <c r="BE43" s="240">
        <f>IF('CF表（奥様死亡時）'!BE$3="","",'CF表（奥様死亡時）'!BE43/10000)</f>
        <v/>
      </c>
      <c r="BF43" s="240">
        <f>IF('CF表（奥様死亡時）'!BF$3="","",'CF表（奥様死亡時）'!BF43/10000)</f>
        <v/>
      </c>
      <c r="BG43" s="240">
        <f>IF('CF表（奥様死亡時）'!BG$3="","",'CF表（奥様死亡時）'!BG43/10000)</f>
        <v/>
      </c>
      <c r="BH43" s="240">
        <f>IF('CF表（奥様死亡時）'!BH$3="","",'CF表（奥様死亡時）'!BH43/10000)</f>
        <v/>
      </c>
      <c r="BI43" s="240">
        <f>IF('CF表（奥様死亡時）'!BI$3="","",'CF表（奥様死亡時）'!BI43/10000)</f>
        <v/>
      </c>
      <c r="BJ43" s="240">
        <f>IF('CF表（奥様死亡時）'!BJ$3="","",'CF表（奥様死亡時）'!BJ43/10000)</f>
        <v/>
      </c>
      <c r="BK43" s="240">
        <f>IF('CF表（奥様死亡時）'!BK$3="","",'CF表（奥様死亡時）'!BK43/10000)</f>
        <v/>
      </c>
      <c r="BL43" s="240">
        <f>IF('CF表（奥様死亡時）'!BL$3="","",'CF表（奥様死亡時）'!BL43/10000)</f>
        <v/>
      </c>
      <c r="BM43" s="240">
        <f>IF('CF表（奥様死亡時）'!BM$3="","",'CF表（奥様死亡時）'!BM43/10000)</f>
        <v/>
      </c>
      <c r="BN43" s="240">
        <f>IF('CF表（奥様死亡時）'!BN$3="","",'CF表（奥様死亡時）'!BN43/10000)</f>
        <v/>
      </c>
      <c r="BO43" s="240">
        <f>IF('CF表（奥様死亡時）'!BO$3="","",'CF表（奥様死亡時）'!BO43/10000)</f>
        <v/>
      </c>
      <c r="BP43" s="240">
        <f>IF('CF表（奥様死亡時）'!BP$3="","",'CF表（奥様死亡時）'!BP43/10000)</f>
        <v/>
      </c>
      <c r="BQ43" s="240">
        <f>IF('CF表（奥様死亡時）'!BQ$3="","",'CF表（奥様死亡時）'!BQ43/10000)</f>
        <v/>
      </c>
      <c r="BR43" s="240">
        <f>IF('CF表（奥様死亡時）'!BR$3="","",'CF表（奥様死亡時）'!BR43/10000)</f>
        <v/>
      </c>
      <c r="BS43" s="240">
        <f>IF('CF表（奥様死亡時）'!BS$3="","",'CF表（奥様死亡時）'!BS43/10000)</f>
        <v/>
      </c>
      <c r="BT43" s="240">
        <f>IF('CF表（奥様死亡時）'!BT$3="","",'CF表（奥様死亡時）'!BT43/10000)</f>
        <v/>
      </c>
      <c r="BU43" s="240">
        <f>IF('CF表（奥様死亡時）'!BU$3="","",'CF表（奥様死亡時）'!BU43/10000)</f>
        <v/>
      </c>
      <c r="BV43" s="240">
        <f>IF('CF表（奥様死亡時）'!BV$3="","",'CF表（奥様死亡時）'!BV43/10000)</f>
        <v/>
      </c>
      <c r="BW43" s="240">
        <f>IF('CF表（奥様死亡時）'!BW$3="","",'CF表（奥様死亡時）'!BW43/10000)</f>
        <v/>
      </c>
      <c r="BX43" s="240">
        <f>IF('CF表（奥様死亡時）'!BX$3="","",'CF表（奥様死亡時）'!BX43/10000)</f>
        <v/>
      </c>
      <c r="BY43" s="240">
        <f>IF('CF表（奥様死亡時）'!BY$3="","",'CF表（奥様死亡時）'!BY43/10000)</f>
        <v/>
      </c>
      <c r="BZ43" s="240">
        <f>IF('CF表（奥様死亡時）'!BZ$3="","",'CF表（奥様死亡時）'!BZ43/10000)</f>
        <v/>
      </c>
      <c r="CA43" s="240">
        <f>IF('CF表（奥様死亡時）'!CA$3="","",'CF表（奥様死亡時）'!CA43/10000)</f>
        <v/>
      </c>
      <c r="CB43" s="240">
        <f>IF('CF表（奥様死亡時）'!CB$3="","",'CF表（奥様死亡時）'!CB43/10000)</f>
        <v/>
      </c>
      <c r="CC43" s="240">
        <f>IF('CF表（奥様死亡時）'!CC$3="","",'CF表（奥様死亡時）'!CC43/10000)</f>
        <v/>
      </c>
      <c r="CD43" s="240">
        <f>IF('CF表（奥様死亡時）'!CD$3="","",'CF表（奥様死亡時）'!CD43/10000)</f>
        <v/>
      </c>
      <c r="CE43" s="240">
        <f>IF('CF表（奥様死亡時）'!CE$3="","",'CF表（奥様死亡時）'!CE43/10000)</f>
        <v/>
      </c>
      <c r="CF43" s="240">
        <f>IF('CF表（奥様死亡時）'!CF$3="","",'CF表（奥様死亡時）'!CF43/10000)</f>
        <v/>
      </c>
      <c r="CG43" s="240">
        <f>IF('CF表（奥様死亡時）'!CG$3="","",'CF表（奥様死亡時）'!CG43/10000)</f>
        <v/>
      </c>
      <c r="CH43" s="240">
        <f>IF('CF表（奥様死亡時）'!CH$3="","",'CF表（奥様死亡時）'!CH43/10000)</f>
        <v/>
      </c>
      <c r="CI43" s="240">
        <f>IF('CF表（奥様死亡時）'!CI$3="","",'CF表（奥様死亡時）'!CI43/10000)</f>
        <v/>
      </c>
      <c r="CJ43" s="240">
        <f>IF('CF表（奥様死亡時）'!CJ$3="","",'CF表（奥様死亡時）'!CJ43/10000)</f>
        <v/>
      </c>
      <c r="CK43" s="240">
        <f>IF('CF表（奥様死亡時）'!CK$3="","",'CF表（奥様死亡時）'!CK43/10000)</f>
        <v/>
      </c>
      <c r="CL43" s="240">
        <f>IF('CF表（奥様死亡時）'!CL$3="","",'CF表（奥様死亡時）'!CL43/10000)</f>
        <v/>
      </c>
      <c r="CM43" s="240">
        <f>IF('CF表（奥様死亡時）'!CM$3="","",'CF表（奥様死亡時）'!CM43/10000)</f>
        <v/>
      </c>
      <c r="CN43" s="240">
        <f>IF('CF表（奥様死亡時）'!CN$3="","",'CF表（奥様死亡時）'!CN43/10000)</f>
        <v/>
      </c>
      <c r="CO43" s="240">
        <f>IF('CF表（奥様死亡時）'!CO$3="","",'CF表（奥様死亡時）'!CO43/10000)</f>
        <v/>
      </c>
      <c r="CP43" s="240">
        <f>IF('CF表（奥様死亡時）'!CP$3="","",'CF表（奥様死亡時）'!CP43/10000)</f>
        <v/>
      </c>
      <c r="CQ43" s="240">
        <f>IF('CF表（奥様死亡時）'!CQ$3="","",'CF表（奥様死亡時）'!CQ43/10000)</f>
        <v/>
      </c>
      <c r="CR43" s="240">
        <f>IF('CF表（奥様死亡時）'!CR$3="","",'CF表（奥様死亡時）'!CR43/10000)</f>
        <v/>
      </c>
      <c r="CS43" s="240">
        <f>IF('CF表（奥様死亡時）'!CS$3="","",'CF表（奥様死亡時）'!CS43/10000)</f>
        <v/>
      </c>
      <c r="CT43" s="240">
        <f>IF('CF表（奥様死亡時）'!CT$3="","",'CF表（奥様死亡時）'!CT43/10000)</f>
        <v/>
      </c>
      <c r="CU43" s="240">
        <f>IF('CF表（奥様死亡時）'!CU$3="","",'CF表（奥様死亡時）'!CU43/10000)</f>
        <v/>
      </c>
      <c r="CV43" s="240">
        <f>IF('CF表（奥様死亡時）'!CV$3="","",'CF表（奥様死亡時）'!CV43/10000)</f>
        <v/>
      </c>
      <c r="CW43" s="240">
        <f>IF('CF表（奥様死亡時）'!CW$3="","",'CF表（奥様死亡時）'!CW43/10000)</f>
        <v/>
      </c>
    </row>
    <row r="44" ht="15" customHeight="1" s="180">
      <c r="A44" s="241" t="inlineStr">
        <is>
          <t>保有資産合計（参考）</t>
        </is>
      </c>
      <c r="B44" s="242">
        <f>IF('CF表（奥様死亡時）'!B$3="","",'CF表（奥様死亡時）'!B44/10000)</f>
        <v/>
      </c>
      <c r="C44" s="242">
        <f>IF('CF表（奥様死亡時）'!C$3="","",'CF表（奥様死亡時）'!C44/10000)</f>
        <v/>
      </c>
      <c r="D44" s="242">
        <f>IF('CF表（奥様死亡時）'!D$3="","",'CF表（奥様死亡時）'!D44/10000)</f>
        <v/>
      </c>
      <c r="E44" s="242">
        <f>IF('CF表（奥様死亡時）'!E$3="","",'CF表（奥様死亡時）'!E44/10000)</f>
        <v/>
      </c>
      <c r="F44" s="242">
        <f>IF('CF表（奥様死亡時）'!F$3="","",'CF表（奥様死亡時）'!F44/10000)</f>
        <v/>
      </c>
      <c r="G44" s="242">
        <f>IF('CF表（奥様死亡時）'!G$3="","",'CF表（奥様死亡時）'!G44/10000)</f>
        <v/>
      </c>
      <c r="H44" s="242">
        <f>IF('CF表（奥様死亡時）'!H$3="","",'CF表（奥様死亡時）'!H44/10000)</f>
        <v/>
      </c>
      <c r="I44" s="242">
        <f>IF('CF表（奥様死亡時）'!I$3="","",'CF表（奥様死亡時）'!I44/10000)</f>
        <v/>
      </c>
      <c r="J44" s="242">
        <f>IF('CF表（奥様死亡時）'!J$3="","",'CF表（奥様死亡時）'!J44/10000)</f>
        <v/>
      </c>
      <c r="K44" s="242">
        <f>IF('CF表（奥様死亡時）'!K$3="","",'CF表（奥様死亡時）'!K44/10000)</f>
        <v/>
      </c>
      <c r="L44" s="242">
        <f>IF('CF表（奥様死亡時）'!L$3="","",'CF表（奥様死亡時）'!L44/10000)</f>
        <v/>
      </c>
      <c r="M44" s="242">
        <f>IF('CF表（奥様死亡時）'!M$3="","",'CF表（奥様死亡時）'!M44/10000)</f>
        <v/>
      </c>
      <c r="N44" s="242">
        <f>IF('CF表（奥様死亡時）'!N$3="","",'CF表（奥様死亡時）'!N44/10000)</f>
        <v/>
      </c>
      <c r="O44" s="242">
        <f>IF('CF表（奥様死亡時）'!O$3="","",'CF表（奥様死亡時）'!O44/10000)</f>
        <v/>
      </c>
      <c r="P44" s="242">
        <f>IF('CF表（奥様死亡時）'!P$3="","",'CF表（奥様死亡時）'!P44/10000)</f>
        <v/>
      </c>
      <c r="Q44" s="242">
        <f>IF('CF表（奥様死亡時）'!Q$3="","",'CF表（奥様死亡時）'!Q44/10000)</f>
        <v/>
      </c>
      <c r="R44" s="242">
        <f>IF('CF表（奥様死亡時）'!R$3="","",'CF表（奥様死亡時）'!R44/10000)</f>
        <v/>
      </c>
      <c r="S44" s="242">
        <f>IF('CF表（奥様死亡時）'!S$3="","",'CF表（奥様死亡時）'!S44/10000)</f>
        <v/>
      </c>
      <c r="T44" s="242">
        <f>IF('CF表（奥様死亡時）'!T$3="","",'CF表（奥様死亡時）'!T44/10000)</f>
        <v/>
      </c>
      <c r="U44" s="242">
        <f>IF('CF表（奥様死亡時）'!U$3="","",'CF表（奥様死亡時）'!U44/10000)</f>
        <v/>
      </c>
      <c r="V44" s="242">
        <f>IF('CF表（奥様死亡時）'!V$3="","",'CF表（奥様死亡時）'!V44/10000)</f>
        <v/>
      </c>
      <c r="W44" s="242">
        <f>IF('CF表（奥様死亡時）'!W$3="","",'CF表（奥様死亡時）'!W44/10000)</f>
        <v/>
      </c>
      <c r="X44" s="242">
        <f>IF('CF表（奥様死亡時）'!X$3="","",'CF表（奥様死亡時）'!X44/10000)</f>
        <v/>
      </c>
      <c r="Y44" s="242">
        <f>IF('CF表（奥様死亡時）'!Y$3="","",'CF表（奥様死亡時）'!Y44/10000)</f>
        <v/>
      </c>
      <c r="Z44" s="242">
        <f>IF('CF表（奥様死亡時）'!Z$3="","",'CF表（奥様死亡時）'!Z44/10000)</f>
        <v/>
      </c>
      <c r="AA44" s="242">
        <f>IF('CF表（奥様死亡時）'!AA$3="","",'CF表（奥様死亡時）'!AA44/10000)</f>
        <v/>
      </c>
      <c r="AB44" s="242">
        <f>IF('CF表（奥様死亡時）'!AB$3="","",'CF表（奥様死亡時）'!AB44/10000)</f>
        <v/>
      </c>
      <c r="AC44" s="242">
        <f>IF('CF表（奥様死亡時）'!AC$3="","",'CF表（奥様死亡時）'!AC44/10000)</f>
        <v/>
      </c>
      <c r="AD44" s="242">
        <f>IF('CF表（奥様死亡時）'!AD$3="","",'CF表（奥様死亡時）'!AD44/10000)</f>
        <v/>
      </c>
      <c r="AE44" s="242">
        <f>IF('CF表（奥様死亡時）'!AE$3="","",'CF表（奥様死亡時）'!AE44/10000)</f>
        <v/>
      </c>
      <c r="AF44" s="242">
        <f>IF('CF表（奥様死亡時）'!AF$3="","",'CF表（奥様死亡時）'!AF44/10000)</f>
        <v/>
      </c>
      <c r="AG44" s="242">
        <f>IF('CF表（奥様死亡時）'!AG$3="","",'CF表（奥様死亡時）'!AG44/10000)</f>
        <v/>
      </c>
      <c r="AH44" s="242">
        <f>IF('CF表（奥様死亡時）'!AH$3="","",'CF表（奥様死亡時）'!AH44/10000)</f>
        <v/>
      </c>
      <c r="AI44" s="242">
        <f>IF('CF表（奥様死亡時）'!AI$3="","",'CF表（奥様死亡時）'!AI44/10000)</f>
        <v/>
      </c>
      <c r="AJ44" s="242">
        <f>IF('CF表（奥様死亡時）'!AJ$3="","",'CF表（奥様死亡時）'!AJ44/10000)</f>
        <v/>
      </c>
      <c r="AK44" s="242">
        <f>IF('CF表（奥様死亡時）'!AK$3="","",'CF表（奥様死亡時）'!AK44/10000)</f>
        <v/>
      </c>
      <c r="AL44" s="242">
        <f>IF('CF表（奥様死亡時）'!AL$3="","",'CF表（奥様死亡時）'!AL44/10000)</f>
        <v/>
      </c>
      <c r="AM44" s="242">
        <f>IF('CF表（奥様死亡時）'!AM$3="","",'CF表（奥様死亡時）'!AM44/10000)</f>
        <v/>
      </c>
      <c r="AN44" s="242">
        <f>IF('CF表（奥様死亡時）'!AN$3="","",'CF表（奥様死亡時）'!AN44/10000)</f>
        <v/>
      </c>
      <c r="AO44" s="242">
        <f>IF('CF表（奥様死亡時）'!AO$3="","",'CF表（奥様死亡時）'!AO44/10000)</f>
        <v/>
      </c>
      <c r="AP44" s="242">
        <f>IF('CF表（奥様死亡時）'!AP$3="","",'CF表（奥様死亡時）'!AP44/10000)</f>
        <v/>
      </c>
      <c r="AQ44" s="242">
        <f>IF('CF表（奥様死亡時）'!AQ$3="","",'CF表（奥様死亡時）'!AQ44/10000)</f>
        <v/>
      </c>
      <c r="AR44" s="242">
        <f>IF('CF表（奥様死亡時）'!AR$3="","",'CF表（奥様死亡時）'!AR44/10000)</f>
        <v/>
      </c>
      <c r="AS44" s="242">
        <f>IF('CF表（奥様死亡時）'!AS$3="","",'CF表（奥様死亡時）'!AS44/10000)</f>
        <v/>
      </c>
      <c r="AT44" s="242">
        <f>IF('CF表（奥様死亡時）'!AT$3="","",'CF表（奥様死亡時）'!AT44/10000)</f>
        <v/>
      </c>
      <c r="AU44" s="242">
        <f>IF('CF表（奥様死亡時）'!AU$3="","",'CF表（奥様死亡時）'!AU44/10000)</f>
        <v/>
      </c>
      <c r="AV44" s="242">
        <f>IF('CF表（奥様死亡時）'!AV$3="","",'CF表（奥様死亡時）'!AV44/10000)</f>
        <v/>
      </c>
      <c r="AW44" s="242">
        <f>IF('CF表（奥様死亡時）'!AW$3="","",'CF表（奥様死亡時）'!AW44/10000)</f>
        <v/>
      </c>
      <c r="AX44" s="242">
        <f>IF('CF表（奥様死亡時）'!AX$3="","",'CF表（奥様死亡時）'!AX44/10000)</f>
        <v/>
      </c>
      <c r="AY44" s="242">
        <f>IF('CF表（奥様死亡時）'!AY$3="","",'CF表（奥様死亡時）'!AY44/10000)</f>
        <v/>
      </c>
      <c r="AZ44" s="242">
        <f>IF('CF表（奥様死亡時）'!AZ$3="","",'CF表（奥様死亡時）'!AZ44/10000)</f>
        <v/>
      </c>
      <c r="BA44" s="242">
        <f>IF('CF表（奥様死亡時）'!BA$3="","",'CF表（奥様死亡時）'!BA44/10000)</f>
        <v/>
      </c>
      <c r="BB44" s="242">
        <f>IF('CF表（奥様死亡時）'!BB$3="","",'CF表（奥様死亡時）'!BB44/10000)</f>
        <v/>
      </c>
      <c r="BC44" s="242">
        <f>IF('CF表（奥様死亡時）'!BC$3="","",'CF表（奥様死亡時）'!BC44/10000)</f>
        <v/>
      </c>
      <c r="BD44" s="242">
        <f>IF('CF表（奥様死亡時）'!BD$3="","",'CF表（奥様死亡時）'!BD44/10000)</f>
        <v/>
      </c>
      <c r="BE44" s="242">
        <f>IF('CF表（奥様死亡時）'!BE$3="","",'CF表（奥様死亡時）'!BE44/10000)</f>
        <v/>
      </c>
      <c r="BF44" s="242">
        <f>IF('CF表（奥様死亡時）'!BF$3="","",'CF表（奥様死亡時）'!BF44/10000)</f>
        <v/>
      </c>
      <c r="BG44" s="242">
        <f>IF('CF表（奥様死亡時）'!BG$3="","",'CF表（奥様死亡時）'!BG44/10000)</f>
        <v/>
      </c>
      <c r="BH44" s="242">
        <f>IF('CF表（奥様死亡時）'!BH$3="","",'CF表（奥様死亡時）'!BH44/10000)</f>
        <v/>
      </c>
      <c r="BI44" s="242">
        <f>IF('CF表（奥様死亡時）'!BI$3="","",'CF表（奥様死亡時）'!BI44/10000)</f>
        <v/>
      </c>
      <c r="BJ44" s="242">
        <f>IF('CF表（奥様死亡時）'!BJ$3="","",'CF表（奥様死亡時）'!BJ44/10000)</f>
        <v/>
      </c>
      <c r="BK44" s="242">
        <f>IF('CF表（奥様死亡時）'!BK$3="","",'CF表（奥様死亡時）'!BK44/10000)</f>
        <v/>
      </c>
      <c r="BL44" s="242">
        <f>IF('CF表（奥様死亡時）'!BL$3="","",'CF表（奥様死亡時）'!BL44/10000)</f>
        <v/>
      </c>
      <c r="BM44" s="242">
        <f>IF('CF表（奥様死亡時）'!BM$3="","",'CF表（奥様死亡時）'!BM44/10000)</f>
        <v/>
      </c>
      <c r="BN44" s="242">
        <f>IF('CF表（奥様死亡時）'!BN$3="","",'CF表（奥様死亡時）'!BN44/10000)</f>
        <v/>
      </c>
      <c r="BO44" s="242">
        <f>IF('CF表（奥様死亡時）'!BO$3="","",'CF表（奥様死亡時）'!BO44/10000)</f>
        <v/>
      </c>
      <c r="BP44" s="242">
        <f>IF('CF表（奥様死亡時）'!BP$3="","",'CF表（奥様死亡時）'!BP44/10000)</f>
        <v/>
      </c>
      <c r="BQ44" s="242">
        <f>IF('CF表（奥様死亡時）'!BQ$3="","",'CF表（奥様死亡時）'!BQ44/10000)</f>
        <v/>
      </c>
      <c r="BR44" s="242">
        <f>IF('CF表（奥様死亡時）'!BR$3="","",'CF表（奥様死亡時）'!BR44/10000)</f>
        <v/>
      </c>
      <c r="BS44" s="242">
        <f>IF('CF表（奥様死亡時）'!BS$3="","",'CF表（奥様死亡時）'!BS44/10000)</f>
        <v/>
      </c>
      <c r="BT44" s="242">
        <f>IF('CF表（奥様死亡時）'!BT$3="","",'CF表（奥様死亡時）'!BT44/10000)</f>
        <v/>
      </c>
      <c r="BU44" s="242">
        <f>IF('CF表（奥様死亡時）'!BU$3="","",'CF表（奥様死亡時）'!BU44/10000)</f>
        <v/>
      </c>
      <c r="BV44" s="242">
        <f>IF('CF表（奥様死亡時）'!BV$3="","",'CF表（奥様死亡時）'!BV44/10000)</f>
        <v/>
      </c>
      <c r="BW44" s="242">
        <f>IF('CF表（奥様死亡時）'!BW$3="","",'CF表（奥様死亡時）'!BW44/10000)</f>
        <v/>
      </c>
      <c r="BX44" s="242">
        <f>IF('CF表（奥様死亡時）'!BX$3="","",'CF表（奥様死亡時）'!BX44/10000)</f>
        <v/>
      </c>
      <c r="BY44" s="242">
        <f>IF('CF表（奥様死亡時）'!BY$3="","",'CF表（奥様死亡時）'!BY44/10000)</f>
        <v/>
      </c>
      <c r="BZ44" s="242">
        <f>IF('CF表（奥様死亡時）'!BZ$3="","",'CF表（奥様死亡時）'!BZ44/10000)</f>
        <v/>
      </c>
      <c r="CA44" s="242">
        <f>IF('CF表（奥様死亡時）'!CA$3="","",'CF表（奥様死亡時）'!CA44/10000)</f>
        <v/>
      </c>
      <c r="CB44" s="242">
        <f>IF('CF表（奥様死亡時）'!CB$3="","",'CF表（奥様死亡時）'!CB44/10000)</f>
        <v/>
      </c>
      <c r="CC44" s="242">
        <f>IF('CF表（奥様死亡時）'!CC$3="","",'CF表（奥様死亡時）'!CC44/10000)</f>
        <v/>
      </c>
      <c r="CD44" s="242">
        <f>IF('CF表（奥様死亡時）'!CD$3="","",'CF表（奥様死亡時）'!CD44/10000)</f>
        <v/>
      </c>
      <c r="CE44" s="242">
        <f>IF('CF表（奥様死亡時）'!CE$3="","",'CF表（奥様死亡時）'!CE44/10000)</f>
        <v/>
      </c>
      <c r="CF44" s="242">
        <f>IF('CF表（奥様死亡時）'!CF$3="","",'CF表（奥様死亡時）'!CF44/10000)</f>
        <v/>
      </c>
      <c r="CG44" s="242">
        <f>IF('CF表（奥様死亡時）'!CG$3="","",'CF表（奥様死亡時）'!CG44/10000)</f>
        <v/>
      </c>
      <c r="CH44" s="242">
        <f>IF('CF表（奥様死亡時）'!CH$3="","",'CF表（奥様死亡時）'!CH44/10000)</f>
        <v/>
      </c>
      <c r="CI44" s="242">
        <f>IF('CF表（奥様死亡時）'!CI$3="","",'CF表（奥様死亡時）'!CI44/10000)</f>
        <v/>
      </c>
      <c r="CJ44" s="242">
        <f>IF('CF表（奥様死亡時）'!CJ$3="","",'CF表（奥様死亡時）'!CJ44/10000)</f>
        <v/>
      </c>
      <c r="CK44" s="242">
        <f>IF('CF表（奥様死亡時）'!CK$3="","",'CF表（奥様死亡時）'!CK44/10000)</f>
        <v/>
      </c>
      <c r="CL44" s="242">
        <f>IF('CF表（奥様死亡時）'!CL$3="","",'CF表（奥様死亡時）'!CL44/10000)</f>
        <v/>
      </c>
      <c r="CM44" s="242">
        <f>IF('CF表（奥様死亡時）'!CM$3="","",'CF表（奥様死亡時）'!CM44/10000)</f>
        <v/>
      </c>
      <c r="CN44" s="242">
        <f>IF('CF表（奥様死亡時）'!CN$3="","",'CF表（奥様死亡時）'!CN44/10000)</f>
        <v/>
      </c>
      <c r="CO44" s="242">
        <f>IF('CF表（奥様死亡時）'!CO$3="","",'CF表（奥様死亡時）'!CO44/10000)</f>
        <v/>
      </c>
      <c r="CP44" s="242">
        <f>IF('CF表（奥様死亡時）'!CP$3="","",'CF表（奥様死亡時）'!CP44/10000)</f>
        <v/>
      </c>
      <c r="CQ44" s="242">
        <f>IF('CF表（奥様死亡時）'!CQ$3="","",'CF表（奥様死亡時）'!CQ44/10000)</f>
        <v/>
      </c>
      <c r="CR44" s="242">
        <f>IF('CF表（奥様死亡時）'!CR$3="","",'CF表（奥様死亡時）'!CR44/10000)</f>
        <v/>
      </c>
      <c r="CS44" s="242">
        <f>IF('CF表（奥様死亡時）'!CS$3="","",'CF表（奥様死亡時）'!CS44/10000)</f>
        <v/>
      </c>
      <c r="CT44" s="242">
        <f>IF('CF表（奥様死亡時）'!CT$3="","",'CF表（奥様死亡時）'!CT44/10000)</f>
        <v/>
      </c>
      <c r="CU44" s="242">
        <f>IF('CF表（奥様死亡時）'!CU$3="","",'CF表（奥様死亡時）'!CU44/10000)</f>
        <v/>
      </c>
      <c r="CV44" s="242">
        <f>IF('CF表（奥様死亡時）'!CV$3="","",'CF表（奥様死亡時）'!CV44/10000)</f>
        <v/>
      </c>
      <c r="CW44" s="242">
        <f>IF('CF表（奥様死亡時）'!CW$3="","",'CF表（奥様死亡時）'!CW44/10000)</f>
        <v/>
      </c>
    </row>
    <row r="45" ht="15" customHeight="1" s="180">
      <c r="A45" s="241" t="inlineStr">
        <is>
          <t>負債合計（参考）</t>
        </is>
      </c>
      <c r="B45" s="242">
        <f>IF('CF表（奥様死亡時）'!B$3="","",'CF表（奥様死亡時）'!B45/10000)</f>
        <v/>
      </c>
      <c r="C45" s="242">
        <f>IF('CF表（奥様死亡時）'!C$3="","",'CF表（奥様死亡時）'!C45/10000)</f>
        <v/>
      </c>
      <c r="D45" s="242">
        <f>IF('CF表（奥様死亡時）'!D$3="","",'CF表（奥様死亡時）'!D45/10000)</f>
        <v/>
      </c>
      <c r="E45" s="242">
        <f>IF('CF表（奥様死亡時）'!E$3="","",'CF表（奥様死亡時）'!E45/10000)</f>
        <v/>
      </c>
      <c r="F45" s="242">
        <f>IF('CF表（奥様死亡時）'!F$3="","",'CF表（奥様死亡時）'!F45/10000)</f>
        <v/>
      </c>
      <c r="G45" s="242">
        <f>IF('CF表（奥様死亡時）'!G$3="","",'CF表（奥様死亡時）'!G45/10000)</f>
        <v/>
      </c>
      <c r="H45" s="242">
        <f>IF('CF表（奥様死亡時）'!H$3="","",'CF表（奥様死亡時）'!H45/10000)</f>
        <v/>
      </c>
      <c r="I45" s="242">
        <f>IF('CF表（奥様死亡時）'!I$3="","",'CF表（奥様死亡時）'!I45/10000)</f>
        <v/>
      </c>
      <c r="J45" s="242">
        <f>IF('CF表（奥様死亡時）'!J$3="","",'CF表（奥様死亡時）'!J45/10000)</f>
        <v/>
      </c>
      <c r="K45" s="242">
        <f>IF('CF表（奥様死亡時）'!K$3="","",'CF表（奥様死亡時）'!K45/10000)</f>
        <v/>
      </c>
      <c r="L45" s="242">
        <f>IF('CF表（奥様死亡時）'!L$3="","",'CF表（奥様死亡時）'!L45/10000)</f>
        <v/>
      </c>
      <c r="M45" s="242">
        <f>IF('CF表（奥様死亡時）'!M$3="","",'CF表（奥様死亡時）'!M45/10000)</f>
        <v/>
      </c>
      <c r="N45" s="242">
        <f>IF('CF表（奥様死亡時）'!N$3="","",'CF表（奥様死亡時）'!N45/10000)</f>
        <v/>
      </c>
      <c r="O45" s="242">
        <f>IF('CF表（奥様死亡時）'!O$3="","",'CF表（奥様死亡時）'!O45/10000)</f>
        <v/>
      </c>
      <c r="P45" s="242">
        <f>IF('CF表（奥様死亡時）'!P$3="","",'CF表（奥様死亡時）'!P45/10000)</f>
        <v/>
      </c>
      <c r="Q45" s="242">
        <f>IF('CF表（奥様死亡時）'!Q$3="","",'CF表（奥様死亡時）'!Q45/10000)</f>
        <v/>
      </c>
      <c r="R45" s="242">
        <f>IF('CF表（奥様死亡時）'!R$3="","",'CF表（奥様死亡時）'!R45/10000)</f>
        <v/>
      </c>
      <c r="S45" s="242">
        <f>IF('CF表（奥様死亡時）'!S$3="","",'CF表（奥様死亡時）'!S45/10000)</f>
        <v/>
      </c>
      <c r="T45" s="242">
        <f>IF('CF表（奥様死亡時）'!T$3="","",'CF表（奥様死亡時）'!T45/10000)</f>
        <v/>
      </c>
      <c r="U45" s="242">
        <f>IF('CF表（奥様死亡時）'!U$3="","",'CF表（奥様死亡時）'!U45/10000)</f>
        <v/>
      </c>
      <c r="V45" s="242">
        <f>IF('CF表（奥様死亡時）'!V$3="","",'CF表（奥様死亡時）'!V45/10000)</f>
        <v/>
      </c>
      <c r="W45" s="242">
        <f>IF('CF表（奥様死亡時）'!W$3="","",'CF表（奥様死亡時）'!W45/10000)</f>
        <v/>
      </c>
      <c r="X45" s="242">
        <f>IF('CF表（奥様死亡時）'!X$3="","",'CF表（奥様死亡時）'!X45/10000)</f>
        <v/>
      </c>
      <c r="Y45" s="242">
        <f>IF('CF表（奥様死亡時）'!Y$3="","",'CF表（奥様死亡時）'!Y45/10000)</f>
        <v/>
      </c>
      <c r="Z45" s="242">
        <f>IF('CF表（奥様死亡時）'!Z$3="","",'CF表（奥様死亡時）'!Z45/10000)</f>
        <v/>
      </c>
      <c r="AA45" s="242">
        <f>IF('CF表（奥様死亡時）'!AA$3="","",'CF表（奥様死亡時）'!AA45/10000)</f>
        <v/>
      </c>
      <c r="AB45" s="242">
        <f>IF('CF表（奥様死亡時）'!AB$3="","",'CF表（奥様死亡時）'!AB45/10000)</f>
        <v/>
      </c>
      <c r="AC45" s="242">
        <f>IF('CF表（奥様死亡時）'!AC$3="","",'CF表（奥様死亡時）'!AC45/10000)</f>
        <v/>
      </c>
      <c r="AD45" s="242">
        <f>IF('CF表（奥様死亡時）'!AD$3="","",'CF表（奥様死亡時）'!AD45/10000)</f>
        <v/>
      </c>
      <c r="AE45" s="242">
        <f>IF('CF表（奥様死亡時）'!AE$3="","",'CF表（奥様死亡時）'!AE45/10000)</f>
        <v/>
      </c>
      <c r="AF45" s="242">
        <f>IF('CF表（奥様死亡時）'!AF$3="","",'CF表（奥様死亡時）'!AF45/10000)</f>
        <v/>
      </c>
      <c r="AG45" s="242">
        <f>IF('CF表（奥様死亡時）'!AG$3="","",'CF表（奥様死亡時）'!AG45/10000)</f>
        <v/>
      </c>
      <c r="AH45" s="242">
        <f>IF('CF表（奥様死亡時）'!AH$3="","",'CF表（奥様死亡時）'!AH45/10000)</f>
        <v/>
      </c>
      <c r="AI45" s="242">
        <f>IF('CF表（奥様死亡時）'!AI$3="","",'CF表（奥様死亡時）'!AI45/10000)</f>
        <v/>
      </c>
      <c r="AJ45" s="242">
        <f>IF('CF表（奥様死亡時）'!AJ$3="","",'CF表（奥様死亡時）'!AJ45/10000)</f>
        <v/>
      </c>
      <c r="AK45" s="242">
        <f>IF('CF表（奥様死亡時）'!AK$3="","",'CF表（奥様死亡時）'!AK45/10000)</f>
        <v/>
      </c>
      <c r="AL45" s="242">
        <f>IF('CF表（奥様死亡時）'!AL$3="","",'CF表（奥様死亡時）'!AL45/10000)</f>
        <v/>
      </c>
      <c r="AM45" s="242">
        <f>IF('CF表（奥様死亡時）'!AM$3="","",'CF表（奥様死亡時）'!AM45/10000)</f>
        <v/>
      </c>
      <c r="AN45" s="242">
        <f>IF('CF表（奥様死亡時）'!AN$3="","",'CF表（奥様死亡時）'!AN45/10000)</f>
        <v/>
      </c>
      <c r="AO45" s="242">
        <f>IF('CF表（奥様死亡時）'!AO$3="","",'CF表（奥様死亡時）'!AO45/10000)</f>
        <v/>
      </c>
      <c r="AP45" s="242">
        <f>IF('CF表（奥様死亡時）'!AP$3="","",'CF表（奥様死亡時）'!AP45/10000)</f>
        <v/>
      </c>
      <c r="AQ45" s="242">
        <f>IF('CF表（奥様死亡時）'!AQ$3="","",'CF表（奥様死亡時）'!AQ45/10000)</f>
        <v/>
      </c>
      <c r="AR45" s="242">
        <f>IF('CF表（奥様死亡時）'!AR$3="","",'CF表（奥様死亡時）'!AR45/10000)</f>
        <v/>
      </c>
      <c r="AS45" s="242">
        <f>IF('CF表（奥様死亡時）'!AS$3="","",'CF表（奥様死亡時）'!AS45/10000)</f>
        <v/>
      </c>
      <c r="AT45" s="242">
        <f>IF('CF表（奥様死亡時）'!AT$3="","",'CF表（奥様死亡時）'!AT45/10000)</f>
        <v/>
      </c>
      <c r="AU45" s="242">
        <f>IF('CF表（奥様死亡時）'!AU$3="","",'CF表（奥様死亡時）'!AU45/10000)</f>
        <v/>
      </c>
      <c r="AV45" s="242">
        <f>IF('CF表（奥様死亡時）'!AV$3="","",'CF表（奥様死亡時）'!AV45/10000)</f>
        <v/>
      </c>
      <c r="AW45" s="242">
        <f>IF('CF表（奥様死亡時）'!AW$3="","",'CF表（奥様死亡時）'!AW45/10000)</f>
        <v/>
      </c>
      <c r="AX45" s="242">
        <f>IF('CF表（奥様死亡時）'!AX$3="","",'CF表（奥様死亡時）'!AX45/10000)</f>
        <v/>
      </c>
      <c r="AY45" s="242">
        <f>IF('CF表（奥様死亡時）'!AY$3="","",'CF表（奥様死亡時）'!AY45/10000)</f>
        <v/>
      </c>
      <c r="AZ45" s="242">
        <f>IF('CF表（奥様死亡時）'!AZ$3="","",'CF表（奥様死亡時）'!AZ45/10000)</f>
        <v/>
      </c>
      <c r="BA45" s="242">
        <f>IF('CF表（奥様死亡時）'!BA$3="","",'CF表（奥様死亡時）'!BA45/10000)</f>
        <v/>
      </c>
      <c r="BB45" s="242">
        <f>IF('CF表（奥様死亡時）'!BB$3="","",'CF表（奥様死亡時）'!BB45/10000)</f>
        <v/>
      </c>
      <c r="BC45" s="242">
        <f>IF('CF表（奥様死亡時）'!BC$3="","",'CF表（奥様死亡時）'!BC45/10000)</f>
        <v/>
      </c>
      <c r="BD45" s="242">
        <f>IF('CF表（奥様死亡時）'!BD$3="","",'CF表（奥様死亡時）'!BD45/10000)</f>
        <v/>
      </c>
      <c r="BE45" s="242">
        <f>IF('CF表（奥様死亡時）'!BE$3="","",'CF表（奥様死亡時）'!BE45/10000)</f>
        <v/>
      </c>
      <c r="BF45" s="242">
        <f>IF('CF表（奥様死亡時）'!BF$3="","",'CF表（奥様死亡時）'!BF45/10000)</f>
        <v/>
      </c>
      <c r="BG45" s="242">
        <f>IF('CF表（奥様死亡時）'!BG$3="","",'CF表（奥様死亡時）'!BG45/10000)</f>
        <v/>
      </c>
      <c r="BH45" s="242">
        <f>IF('CF表（奥様死亡時）'!BH$3="","",'CF表（奥様死亡時）'!BH45/10000)</f>
        <v/>
      </c>
      <c r="BI45" s="242">
        <f>IF('CF表（奥様死亡時）'!BI$3="","",'CF表（奥様死亡時）'!BI45/10000)</f>
        <v/>
      </c>
      <c r="BJ45" s="242">
        <f>IF('CF表（奥様死亡時）'!BJ$3="","",'CF表（奥様死亡時）'!BJ45/10000)</f>
        <v/>
      </c>
      <c r="BK45" s="242">
        <f>IF('CF表（奥様死亡時）'!BK$3="","",'CF表（奥様死亡時）'!BK45/10000)</f>
        <v/>
      </c>
      <c r="BL45" s="242">
        <f>IF('CF表（奥様死亡時）'!BL$3="","",'CF表（奥様死亡時）'!BL45/10000)</f>
        <v/>
      </c>
      <c r="BM45" s="242">
        <f>IF('CF表（奥様死亡時）'!BM$3="","",'CF表（奥様死亡時）'!BM45/10000)</f>
        <v/>
      </c>
      <c r="BN45" s="242">
        <f>IF('CF表（奥様死亡時）'!BN$3="","",'CF表（奥様死亡時）'!BN45/10000)</f>
        <v/>
      </c>
      <c r="BO45" s="242">
        <f>IF('CF表（奥様死亡時）'!BO$3="","",'CF表（奥様死亡時）'!BO45/10000)</f>
        <v/>
      </c>
      <c r="BP45" s="242">
        <f>IF('CF表（奥様死亡時）'!BP$3="","",'CF表（奥様死亡時）'!BP45/10000)</f>
        <v/>
      </c>
      <c r="BQ45" s="242">
        <f>IF('CF表（奥様死亡時）'!BQ$3="","",'CF表（奥様死亡時）'!BQ45/10000)</f>
        <v/>
      </c>
      <c r="BR45" s="242">
        <f>IF('CF表（奥様死亡時）'!BR$3="","",'CF表（奥様死亡時）'!BR45/10000)</f>
        <v/>
      </c>
      <c r="BS45" s="242">
        <f>IF('CF表（奥様死亡時）'!BS$3="","",'CF表（奥様死亡時）'!BS45/10000)</f>
        <v/>
      </c>
      <c r="BT45" s="242">
        <f>IF('CF表（奥様死亡時）'!BT$3="","",'CF表（奥様死亡時）'!BT45/10000)</f>
        <v/>
      </c>
      <c r="BU45" s="242">
        <f>IF('CF表（奥様死亡時）'!BU$3="","",'CF表（奥様死亡時）'!BU45/10000)</f>
        <v/>
      </c>
      <c r="BV45" s="242">
        <f>IF('CF表（奥様死亡時）'!BV$3="","",'CF表（奥様死亡時）'!BV45/10000)</f>
        <v/>
      </c>
      <c r="BW45" s="242">
        <f>IF('CF表（奥様死亡時）'!BW$3="","",'CF表（奥様死亡時）'!BW45/10000)</f>
        <v/>
      </c>
      <c r="BX45" s="242">
        <f>IF('CF表（奥様死亡時）'!BX$3="","",'CF表（奥様死亡時）'!BX45/10000)</f>
        <v/>
      </c>
      <c r="BY45" s="242">
        <f>IF('CF表（奥様死亡時）'!BY$3="","",'CF表（奥様死亡時）'!BY45/10000)</f>
        <v/>
      </c>
      <c r="BZ45" s="242">
        <f>IF('CF表（奥様死亡時）'!BZ$3="","",'CF表（奥様死亡時）'!BZ45/10000)</f>
        <v/>
      </c>
      <c r="CA45" s="242">
        <f>IF('CF表（奥様死亡時）'!CA$3="","",'CF表（奥様死亡時）'!CA45/10000)</f>
        <v/>
      </c>
      <c r="CB45" s="242">
        <f>IF('CF表（奥様死亡時）'!CB$3="","",'CF表（奥様死亡時）'!CB45/10000)</f>
        <v/>
      </c>
      <c r="CC45" s="242">
        <f>IF('CF表（奥様死亡時）'!CC$3="","",'CF表（奥様死亡時）'!CC45/10000)</f>
        <v/>
      </c>
      <c r="CD45" s="242">
        <f>IF('CF表（奥様死亡時）'!CD$3="","",'CF表（奥様死亡時）'!CD45/10000)</f>
        <v/>
      </c>
      <c r="CE45" s="242">
        <f>IF('CF表（奥様死亡時）'!CE$3="","",'CF表（奥様死亡時）'!CE45/10000)</f>
        <v/>
      </c>
      <c r="CF45" s="242">
        <f>IF('CF表（奥様死亡時）'!CF$3="","",'CF表（奥様死亡時）'!CF45/10000)</f>
        <v/>
      </c>
      <c r="CG45" s="242">
        <f>IF('CF表（奥様死亡時）'!CG$3="","",'CF表（奥様死亡時）'!CG45/10000)</f>
        <v/>
      </c>
      <c r="CH45" s="242">
        <f>IF('CF表（奥様死亡時）'!CH$3="","",'CF表（奥様死亡時）'!CH45/10000)</f>
        <v/>
      </c>
      <c r="CI45" s="242">
        <f>IF('CF表（奥様死亡時）'!CI$3="","",'CF表（奥様死亡時）'!CI45/10000)</f>
        <v/>
      </c>
      <c r="CJ45" s="242">
        <f>IF('CF表（奥様死亡時）'!CJ$3="","",'CF表（奥様死亡時）'!CJ45/10000)</f>
        <v/>
      </c>
      <c r="CK45" s="242">
        <f>IF('CF表（奥様死亡時）'!CK$3="","",'CF表（奥様死亡時）'!CK45/10000)</f>
        <v/>
      </c>
      <c r="CL45" s="242">
        <f>IF('CF表（奥様死亡時）'!CL$3="","",'CF表（奥様死亡時）'!CL45/10000)</f>
        <v/>
      </c>
      <c r="CM45" s="242">
        <f>IF('CF表（奥様死亡時）'!CM$3="","",'CF表（奥様死亡時）'!CM45/10000)</f>
        <v/>
      </c>
      <c r="CN45" s="242">
        <f>IF('CF表（奥様死亡時）'!CN$3="","",'CF表（奥様死亡時）'!CN45/10000)</f>
        <v/>
      </c>
      <c r="CO45" s="242">
        <f>IF('CF表（奥様死亡時）'!CO$3="","",'CF表（奥様死亡時）'!CO45/10000)</f>
        <v/>
      </c>
      <c r="CP45" s="242">
        <f>IF('CF表（奥様死亡時）'!CP$3="","",'CF表（奥様死亡時）'!CP45/10000)</f>
        <v/>
      </c>
      <c r="CQ45" s="242">
        <f>IF('CF表（奥様死亡時）'!CQ$3="","",'CF表（奥様死亡時）'!CQ45/10000)</f>
        <v/>
      </c>
      <c r="CR45" s="242">
        <f>IF('CF表（奥様死亡時）'!CR$3="","",'CF表（奥様死亡時）'!CR45/10000)</f>
        <v/>
      </c>
      <c r="CS45" s="242">
        <f>IF('CF表（奥様死亡時）'!CS$3="","",'CF表（奥様死亡時）'!CS45/10000)</f>
        <v/>
      </c>
      <c r="CT45" s="242">
        <f>IF('CF表（奥様死亡時）'!CT$3="","",'CF表（奥様死亡時）'!CT45/10000)</f>
        <v/>
      </c>
      <c r="CU45" s="242">
        <f>IF('CF表（奥様死亡時）'!CU$3="","",'CF表（奥様死亡時）'!CU45/10000)</f>
        <v/>
      </c>
      <c r="CV45" s="242">
        <f>IF('CF表（奥様死亡時）'!CV$3="","",'CF表（奥様死亡時）'!CV45/10000)</f>
        <v/>
      </c>
      <c r="CW45" s="242">
        <f>IF('CF表（奥様死亡時）'!CW$3="","",'CF表（奥様死亡時）'!CW45/10000)</f>
        <v/>
      </c>
    </row>
    <row r="47" hidden="1" ht="24" customHeight="1" s="180">
      <c r="A47" s="243" t="n"/>
    </row>
  </sheetData>
  <mergeCells count="2">
    <mergeCell ref="A1:CW1"/>
    <mergeCell ref="A47:H4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53"/>
  <sheetViews>
    <sheetView showFormulas="0" showGridLines="0"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179" min="1" max="1"/>
    <col width="26" customWidth="1" style="179" min="2" max="2"/>
    <col width="18" customWidth="1" style="179" min="3" max="3"/>
    <col width="42" customWidth="1" style="179" min="4" max="4"/>
    <col hidden="1" width="13" customWidth="1" style="179" min="6" max="7"/>
  </cols>
  <sheetData>
    <row r="1" ht="27.75" customHeight="1" s="180">
      <c r="A1" s="204" t="inlineStr">
        <is>
          <t>リスク判定</t>
        </is>
      </c>
    </row>
    <row r="2" ht="21.75" customHeight="1" s="180">
      <c r="A2" s="244" t="n"/>
    </row>
    <row r="3" ht="24" customHeight="1" s="180">
      <c r="A3" s="245" t="inlineStr">
        <is>
          <t>テーマ</t>
        </is>
      </c>
      <c r="B3" s="245" t="inlineStr">
        <is>
          <t>判定</t>
        </is>
      </c>
      <c r="C3" s="245" t="inlineStr">
        <is>
          <t>今見る数値</t>
        </is>
      </c>
      <c r="D3" s="245" t="n"/>
    </row>
    <row r="4" ht="30" customHeight="1" s="180">
      <c r="A4" s="246" t="inlineStr">
        <is>
          <t>死亡時</t>
        </is>
      </c>
      <c r="B4" s="247">
        <f>C11</f>
        <v/>
      </c>
      <c r="C4" s="248">
        <f>TEXT(C12,"#,##0")&amp;" 円/年不足"</f>
        <v/>
      </c>
      <c r="D4" s="249">
        <f>IF(B4="安心","今すぐの大きな不足は見えにくい状態です。",IF(B4="注意","一度点検しておきたい状態です。","直近不足または将来の資産不足が見えており、優先して備えを見直したい状態です。"))</f>
        <v/>
      </c>
    </row>
    <row r="5" ht="30" customHeight="1" s="180">
      <c r="A5" s="246" t="inlineStr">
        <is>
          <t>働けない時</t>
        </is>
      </c>
      <c r="B5" s="247">
        <f>C17</f>
        <v/>
      </c>
      <c r="C5" s="248">
        <f>TEXT(C18,"#,##0")&amp;" 円/月不足"</f>
        <v/>
      </c>
      <c r="D5" s="249">
        <f>IF(B5="安心","現状でも一定の備えがある状態です。",IF(B5="注意","働けない時の家計影響を確認したい状態です。","追加の備えを優先して検討したい状態です。"))</f>
        <v/>
      </c>
    </row>
    <row r="6" ht="30" customHeight="1" s="180">
      <c r="A6" s="246" t="inlineStr">
        <is>
          <t>老後</t>
        </is>
      </c>
      <c r="B6" s="247">
        <f>C23</f>
        <v/>
      </c>
      <c r="C6" s="248">
        <f>TEXT(C24,"#,##0")&amp;" 円/年不足"</f>
        <v/>
      </c>
      <c r="D6" s="249">
        <f>IF(B6="安心","現状前提では大きな不足が見えにくい状態です。",IF(B6="注意","積立や支出バランスを見直したい状態です。","今のうちから老後対策を強めたい状態です。"))</f>
        <v/>
      </c>
    </row>
    <row r="7" ht="9.75" customHeight="1" s="180">
      <c r="A7" s="250" t="n"/>
      <c r="B7" s="250" t="n"/>
      <c r="C7" s="250" t="n"/>
      <c r="D7" s="250" t="n"/>
    </row>
    <row r="8" ht="24" customHeight="1" s="180">
      <c r="A8" s="251" t="inlineStr">
        <is>
          <t>死亡時リスク</t>
        </is>
      </c>
    </row>
    <row r="9" ht="21.75" customHeight="1" s="180">
      <c r="A9" s="245" t="inlineStr">
        <is>
          <t>区分</t>
        </is>
      </c>
      <c r="B9" s="245" t="inlineStr">
        <is>
          <t>項目</t>
        </is>
      </c>
      <c r="C9" s="245" t="inlineStr">
        <is>
          <t>値</t>
        </is>
      </c>
      <c r="D9" s="245" t="n"/>
    </row>
    <row r="10" ht="30" customHeight="1" s="180">
      <c r="A10" s="252" t="inlineStr">
        <is>
          <t>死亡時</t>
        </is>
      </c>
      <c r="B10" s="253" t="n"/>
      <c r="C10" s="253" t="n"/>
      <c r="D10" s="253" t="n"/>
    </row>
    <row r="11" ht="30" customHeight="1" s="180">
      <c r="B11" s="254" t="inlineStr">
        <is>
          <t>判定結果</t>
        </is>
      </c>
      <c r="C11" s="254">
        <f>IF(OR(MIN('CF表（ご主人様死亡時・万円表示）'!B35:CW35)&lt;0,MIN('CF表（奥様死亡時・万円表示）'!B35:CW35)&lt;0),"要対策",IF(C12=0,"安心",IF(C12&lt;=500000,"注意","要対策")))</f>
        <v/>
      </c>
      <c r="D11" s="254" t="n"/>
    </row>
    <row r="12" ht="30" customHeight="1" s="180">
      <c r="B12" s="255" t="inlineStr">
        <is>
          <t>年間平均不足額</t>
        </is>
      </c>
      <c r="C12" s="256">
        <f>ROUND(MAX(IFERROR(AVERAGE(FILTER(-'CF表（ご主人様死亡時・万円表示）'!B30:CW30,'CF表（ご主人様死亡時・万円表示）'!B30:CW30&lt;0)),0)*10000,IFERROR(AVERAGE(FILTER(-'CF表（奥様死亡時・万円表示）'!B30:CW30,'CF表（奥様死亡時・万円表示）'!B30:CW30&lt;0)),0)*10000),0)</f>
        <v/>
      </c>
      <c r="D12" s="255" t="n"/>
    </row>
    <row r="13" ht="30" customHeight="1" s="180">
      <c r="B13" s="255" t="inlineStr">
        <is>
          <t>必要保障額</t>
        </is>
      </c>
      <c r="C13" s="256">
        <f>ROUND(C12*MAX(IF(N(CF表!B6)&gt;0,MAX(22-N(CF表!B6),0),0),IF(N(CF表!B7)&gt;0,MAX(22-N(CF表!B7),0),0),IF(N(CF表!B8)&gt;0,MAX(22-N(CF表!B8),0),0),1),0)</f>
        <v/>
      </c>
      <c r="D13" s="255" t="n"/>
    </row>
    <row r="14" ht="30" customHeight="1" s="180">
      <c r="B14" s="255" t="inlineStr">
        <is>
          <t>現在の保障との差額</t>
        </is>
      </c>
      <c r="C14" s="256">
        <f>MAX(0,C13-C52)</f>
        <v/>
      </c>
      <c r="D14" s="255" t="n"/>
    </row>
    <row r="15" ht="58" customHeight="1" s="180">
      <c r="A15" s="257" t="n"/>
      <c r="B15" s="246" t="inlineStr">
        <is>
          <t>次の一手</t>
        </is>
      </c>
      <c r="C15" s="378">
        <f>IF(OR(MIN('CF表（ご主人様死亡時・万円表示）'!B35:CW35)&lt;0,MIN('CF表（奥様死亡時・万円表示）'!B35:CW35)&lt;0),"直近だけでなく長期の資産不足が見えているため、年間平均不足額も踏まえて保障額・家計配分・備え方を優先して点検したいです。",IF(C14=0,"現在の保障で大枠はカバーできる可能性があります。","年間平均不足額を踏まえて、必要保障額・保険期間・遺族年金前提を点検したいです。"))</f>
        <v/>
      </c>
      <c r="D15" s="257" t="n"/>
    </row>
    <row r="16" ht="24" customHeight="1" s="180">
      <c r="A16" s="251" t="inlineStr">
        <is>
          <t>働けない時のリスク</t>
        </is>
      </c>
    </row>
    <row r="17" ht="30" customHeight="1" s="180">
      <c r="A17" s="252" t="inlineStr">
        <is>
          <t>働けない時</t>
        </is>
      </c>
      <c r="B17" s="254" t="inlineStr">
        <is>
          <t>判定結果</t>
        </is>
      </c>
      <c r="C17" s="254">
        <f>IF(C18=0,"安心",IF(C18&lt;=50000,"注意","要対策"))</f>
        <v/>
      </c>
      <c r="D17" s="254" t="n"/>
    </row>
    <row r="18" ht="30" customHeight="1" s="180">
      <c r="B18" s="255" t="inlineStr">
        <is>
          <t>毎月不足額</t>
        </is>
      </c>
      <c r="C18" s="256">
        <f>MAX(0,MAX((N(CF表!B28)/12)-(N(入力データ!$C$30)+N(入力データ!$C$33)/12+N(入力データ!$C$34)+N(入力データ!$C$35)+N(前提条件!$C$55)),(N(CF表!B28)/12)-(N(入力データ!$C$29)+N(入力データ!$C$32)/12+N(入力データ!$C$34)+N(入力データ!$C$35)+N(前提条件!$C$56))))</f>
        <v/>
      </c>
      <c r="D18" s="255" t="n"/>
    </row>
    <row r="19" ht="30" customHeight="1" s="180">
      <c r="B19" s="255" t="inlineStr">
        <is>
          <t>必要備え額（65歳まで）</t>
        </is>
      </c>
      <c r="C19" s="256">
        <f>C18*12*IF(((N(CF表!B28)/12)-(N(入力データ!$C$30)+N(入力データ!$C$33)/12+N(入力データ!$C$34)+N(入力データ!$C$35)+N(前提条件!$C$55)))&gt;=((N(CF表!B28)/12)-(N(入力データ!$C$29)+N(入力データ!$C$32)/12+N(入力データ!$C$34)+N(入力データ!$C$35)+N(前提条件!$C$56))),MAX(65-N(CF表!B4),0),MAX(65-N(CF表!B5),0))</f>
        <v/>
      </c>
      <c r="D19" s="255" t="n"/>
    </row>
    <row r="20" ht="30" customHeight="1" s="180">
      <c r="B20" s="255" t="inlineStr">
        <is>
          <t>現在の保障との差額</t>
        </is>
      </c>
      <c r="C20" s="256">
        <f>MAX(0,C19-(N(C53)*12*IF(((N(CF表!B28)/12)-(N(入力データ!$C$30)+N(入力データ!$C$33)/12+N(入力データ!$C$34)+N(入力データ!$C$35)+N(前提条件!$C$55)))&gt;=((N(CF表!B28)/12)-(N(入力データ!$C$29)+N(入力データ!$C$32)/12+N(入力データ!$C$34)+N(入力データ!$C$35)+N(前提条件!$C$56))),MAX(65-N(CF表!B4),0),MAX(65-N(CF表!B5),0))))</f>
        <v/>
      </c>
      <c r="D20" s="255" t="n"/>
    </row>
    <row r="21" ht="43.5" customHeight="1" s="180">
      <c r="A21" s="257" t="n"/>
      <c r="B21" s="246" t="inlineStr">
        <is>
          <t>次の一手</t>
        </is>
      </c>
      <c r="C21" s="255">
        <f>IF(C20=0,"今ある保障や資産で一定の対応余地があります。","就業不能保険・生活防衛資金・固定費の見直しを優先したいです。")</f>
        <v/>
      </c>
      <c r="D21" s="255" t="n"/>
    </row>
    <row r="22" ht="24" customHeight="1" s="180">
      <c r="A22" s="251" t="inlineStr">
        <is>
          <t>老後リスク</t>
        </is>
      </c>
      <c r="F22" s="258" t="n"/>
    </row>
    <row r="23" ht="30" customHeight="1" s="180">
      <c r="A23" s="252" t="inlineStr">
        <is>
          <t>老後</t>
        </is>
      </c>
      <c r="B23" s="254" t="inlineStr">
        <is>
          <t>判定結果</t>
        </is>
      </c>
      <c r="C23" s="254">
        <f>IF(C24=0,"安心",IF(C24&lt;=1000000,"注意","要対策"))</f>
        <v/>
      </c>
      <c r="D23" s="254" t="n"/>
      <c r="F23" s="259" t="n"/>
    </row>
    <row r="24" ht="30" customHeight="1" s="180">
      <c r="B24" s="255" t="inlineStr">
        <is>
          <t>年間不足見込額</t>
        </is>
      </c>
      <c r="C24" s="256">
        <f>IFERROR(MAX(0,-MIN(filter(CF表!B30:CW30,(CF表!B4:CW4&gt;=入力データ!$C$111)*(CF表!B5:CW5&gt;=入力データ!$C$111)))),0)</f>
        <v/>
      </c>
      <c r="D24" s="255" t="n"/>
    </row>
    <row r="25" ht="30" customHeight="1" s="180">
      <c r="B25" s="255" t="inlineStr">
        <is>
          <t>不足が出始める年齢</t>
        </is>
      </c>
      <c r="C25" s="260">
        <f>IF(C24=0,"不足なし",INDEX(filter(CF表!B4:CW4,(CF表!B4:CW4&gt;=入力データ!$C$111)*(CF表!B5:CW5&gt;=入力データ!$C$111)*(CF表!B30:CW30&lt;0)),1)&amp;"歳")</f>
        <v/>
      </c>
      <c r="D25" s="255" t="n"/>
    </row>
    <row r="26" ht="30" customHeight="1" s="180">
      <c r="B26" s="249" t="inlineStr">
        <is>
          <t>65歳時点の必要準備額</t>
        </is>
      </c>
      <c r="C26" s="256">
        <f>IFERROR(SUM(filter(-CF表!B30:CW30,(CF表!B4:CW4&gt;=65)*(CF表!B5:CW5&gt;=65)*(CF表!B30:CW30&lt;0))),0)</f>
        <v/>
      </c>
      <c r="D26" s="255" t="n"/>
    </row>
    <row r="27" ht="43.5" customHeight="1" s="180">
      <c r="A27" s="257" t="n"/>
      <c r="B27" s="246" t="inlineStr">
        <is>
          <t>次の一手</t>
        </is>
      </c>
      <c r="C27" s="249">
        <f>IF(C26=0,"現状前提では老後資金の準備余地があります。","積立額・退職時期・老後生活費の前提を一度見直したいです。")</f>
        <v/>
      </c>
      <c r="D27" s="255" t="n"/>
    </row>
    <row r="28" ht="9.75" customHeight="1" s="180">
      <c r="A28" s="250" t="n"/>
      <c r="B28" s="250" t="n"/>
      <c r="C28" s="250" t="n"/>
      <c r="D28" s="250" t="n"/>
    </row>
    <row r="29" ht="9.75" customHeight="1" s="180">
      <c r="A29" s="250" t="n"/>
      <c r="B29" s="250" t="n"/>
      <c r="C29" s="250" t="n"/>
      <c r="D29" s="250" t="n"/>
    </row>
    <row r="30" ht="9.75" customHeight="1" s="180">
      <c r="A30" s="250" t="n"/>
      <c r="B30" s="250" t="n"/>
      <c r="C30" s="250" t="n"/>
      <c r="D30" s="250" t="n"/>
    </row>
    <row r="31" ht="9.75" customHeight="1" s="180">
      <c r="A31" s="250" t="n"/>
      <c r="B31" s="250" t="n"/>
      <c r="C31" s="250" t="n"/>
      <c r="D31" s="250" t="n"/>
    </row>
    <row r="32" ht="9.75" customHeight="1" s="180">
      <c r="A32" s="250" t="n"/>
      <c r="B32" s="250" t="n"/>
      <c r="C32" s="250" t="n"/>
      <c r="D32" s="250" t="n"/>
    </row>
    <row r="33" ht="9.75" customHeight="1" s="180">
      <c r="A33" s="250" t="n"/>
      <c r="B33" s="250" t="n"/>
      <c r="C33" s="250" t="n"/>
      <c r="D33" s="250" t="n"/>
    </row>
    <row r="34" ht="9.75" customHeight="1" s="180">
      <c r="A34" s="250" t="n"/>
      <c r="B34" s="250" t="n"/>
      <c r="C34" s="250" t="n"/>
      <c r="D34" s="250" t="n"/>
    </row>
    <row r="35" ht="9.75" customHeight="1" s="180">
      <c r="A35" s="250" t="n"/>
      <c r="B35" s="250" t="n"/>
      <c r="C35" s="250" t="n"/>
      <c r="D35" s="250" t="n"/>
    </row>
    <row r="36" ht="15" customHeight="1" s="180">
      <c r="A36" s="250" t="n"/>
      <c r="B36" s="250" t="n"/>
      <c r="C36" s="250" t="n"/>
      <c r="D36" s="250" t="n"/>
    </row>
    <row r="37" ht="15" customHeight="1" s="180">
      <c r="A37" s="250" t="n"/>
      <c r="B37" s="250" t="n"/>
      <c r="C37" s="250" t="n"/>
      <c r="D37" s="250" t="n"/>
    </row>
    <row r="38" ht="15" customHeight="1" s="180">
      <c r="A38" s="250" t="n"/>
      <c r="B38" s="250" t="n"/>
      <c r="C38" s="250" t="n"/>
      <c r="D38" s="250" t="n"/>
    </row>
    <row r="39" ht="15" customHeight="1" s="180">
      <c r="A39" s="250" t="n"/>
      <c r="B39" s="250" t="n"/>
      <c r="C39" s="250" t="n"/>
      <c r="D39" s="250" t="n"/>
    </row>
    <row r="40" ht="15" customHeight="1" s="180">
      <c r="A40" s="250" t="n"/>
      <c r="B40" s="250" t="n"/>
      <c r="C40" s="250" t="n"/>
      <c r="D40" s="250" t="n"/>
    </row>
    <row r="41" ht="15" customHeight="1" s="180">
      <c r="A41" s="250" t="n"/>
      <c r="B41" s="250" t="n"/>
      <c r="C41" s="250" t="n"/>
      <c r="D41" s="250" t="n"/>
    </row>
    <row r="42" ht="15" customHeight="1" s="180">
      <c r="A42" s="250" t="n"/>
      <c r="B42" s="250" t="n"/>
      <c r="C42" s="250" t="n"/>
      <c r="D42" s="250" t="n"/>
    </row>
    <row r="43" ht="15" customHeight="1" s="180">
      <c r="A43" s="250" t="n"/>
      <c r="B43" s="250" t="n"/>
      <c r="C43" s="250" t="n"/>
      <c r="D43" s="250" t="n"/>
    </row>
    <row r="44" ht="15" customHeight="1" s="180">
      <c r="A44" s="250" t="n"/>
      <c r="B44" s="250" t="n"/>
      <c r="C44" s="250" t="n"/>
      <c r="D44" s="250" t="n"/>
    </row>
    <row r="45" ht="32.25" customHeight="1" s="180">
      <c r="A45" s="250" t="n"/>
      <c r="B45" s="250" t="n"/>
      <c r="C45" s="250" t="n"/>
      <c r="D45" s="250" t="n"/>
    </row>
    <row r="46" ht="15" customHeight="1" s="180">
      <c r="A46" s="250" t="n"/>
      <c r="B46" s="250" t="n"/>
      <c r="C46" s="250" t="n"/>
      <c r="D46" s="250" t="n"/>
    </row>
    <row r="47" ht="15" customHeight="1" s="180">
      <c r="A47" s="250" t="n"/>
      <c r="B47" s="250" t="n"/>
      <c r="C47" s="250" t="n"/>
      <c r="D47" s="250" t="n"/>
    </row>
    <row r="48" ht="15" customHeight="1" s="180">
      <c r="A48" s="250" t="n"/>
      <c r="B48" s="250" t="n"/>
      <c r="C48" s="250" t="n"/>
      <c r="D48" s="250" t="n"/>
    </row>
    <row r="49" ht="15" customHeight="1" s="180">
      <c r="A49" s="250" t="n"/>
      <c r="B49" s="250" t="n"/>
      <c r="C49" s="250" t="n"/>
      <c r="D49" s="250" t="n"/>
    </row>
    <row r="50" ht="15" customHeight="1" s="180">
      <c r="A50" s="250" t="n"/>
      <c r="B50" s="250" t="n"/>
      <c r="C50" s="250" t="n"/>
      <c r="D50" s="250" t="n"/>
    </row>
    <row r="51" ht="15" customHeight="1" s="180">
      <c r="A51" s="250" t="n"/>
      <c r="B51" s="250" t="n"/>
      <c r="C51" s="250" t="n"/>
      <c r="D51" s="250" t="n"/>
    </row>
    <row r="52" ht="32.25" customHeight="1" s="180">
      <c r="A52" s="250" t="n"/>
      <c r="B52" s="261" t="inlineStr">
        <is>
          <t>現在死亡保障総額</t>
        </is>
      </c>
      <c r="C52" s="262">
        <f>SUM(入力データ!O5:O20)</f>
        <v/>
      </c>
      <c r="D52" s="261" t="inlineStr">
        <is>
          <t>死亡保障の集計値（保険情報から入力ベース）</t>
        </is>
      </c>
    </row>
    <row r="53" ht="16.5" customHeight="1" s="180">
      <c r="A53" s="250" t="n"/>
      <c r="B53" s="261" t="inlineStr">
        <is>
          <t>現在就業不能保障月額</t>
        </is>
      </c>
      <c r="C53" s="262">
        <f>SUM(入力データ!P5:P20)</f>
        <v/>
      </c>
      <c r="D53" s="250" t="n"/>
    </row>
  </sheetData>
  <mergeCells count="9">
    <mergeCell ref="A1:D1"/>
    <mergeCell ref="A17:A21"/>
    <mergeCell ref="A8:D8"/>
    <mergeCell ref="A22:D22"/>
    <mergeCell ref="C15:D15"/>
    <mergeCell ref="A10:A15"/>
    <mergeCell ref="A16:D16"/>
    <mergeCell ref="A2:D2"/>
    <mergeCell ref="A23:A27"/>
  </mergeCells>
  <conditionalFormatting sqref="B4:B6">
    <cfRule type="expression" rank="0" priority="2" equalAverage="0" aboveAverage="0" dxfId="0" text="" percent="0" bottom="0">
      <formula>B4="安心"</formula>
    </cfRule>
    <cfRule type="expression" rank="0" priority="3" equalAverage="0" aboveAverage="0" dxfId="1" text="" percent="0" bottom="0">
      <formula>B4="注意"</formula>
    </cfRule>
    <cfRule type="expression" rank="0" priority="4" equalAverage="0" aboveAverage="0" dxfId="2" text="" percent="0" bottom="0">
      <formula>B4="要対策"</formula>
    </cfRule>
  </conditionalFormatting>
  <conditionalFormatting sqref="C11">
    <cfRule type="expression" rank="0" priority="5" equalAverage="0" aboveAverage="0" dxfId="0" text="" percent="0" bottom="0">
      <formula>C11="安心"</formula>
    </cfRule>
    <cfRule type="expression" rank="0" priority="6" equalAverage="0" aboveAverage="0" dxfId="1" text="" percent="0" bottom="0">
      <formula>C11="注意"</formula>
    </cfRule>
    <cfRule type="expression" rank="0" priority="7" equalAverage="0" aboveAverage="0" dxfId="2" text="" percent="0" bottom="0">
      <formula>C11="要対策"</formula>
    </cfRule>
  </conditionalFormatting>
  <conditionalFormatting sqref="C17">
    <cfRule type="expression" rank="0" priority="8" equalAverage="0" aboveAverage="0" dxfId="0" text="" percent="0" bottom="0">
      <formula>C17="安心"</formula>
    </cfRule>
    <cfRule type="expression" rank="0" priority="9" equalAverage="0" aboveAverage="0" dxfId="1" text="" percent="0" bottom="0">
      <formula>C17="注意"</formula>
    </cfRule>
    <cfRule type="expression" rank="0" priority="10" equalAverage="0" aboveAverage="0" dxfId="2" text="" percent="0" bottom="0">
      <formula>C17="要対策"</formula>
    </cfRule>
  </conditionalFormatting>
  <conditionalFormatting sqref="C23">
    <cfRule type="expression" rank="0" priority="11" equalAverage="0" aboveAverage="0" dxfId="0" text="" percent="0" bottom="0">
      <formula>C23="安心"</formula>
    </cfRule>
    <cfRule type="expression" rank="0" priority="12" equalAverage="0" aboveAverage="0" dxfId="1" text="" percent="0" bottom="0">
      <formula>C23="注意"</formula>
    </cfRule>
    <cfRule type="expression" rank="0" priority="13" equalAverage="0" aboveAverage="0" dxfId="2" text="" percent="0" bottom="0">
      <formula>C23="要対策"</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L146"/>
  <sheetViews>
    <sheetView showFormulas="0" showGridLines="0" showRowColHeaders="1" showZeros="1" rightToLeft="0" tabSelected="0" showOutlineSymbols="1" defaultGridColor="1" view="normal" topLeftCell="A1" colorId="64" zoomScale="90" zoomScaleNormal="9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2" customWidth="1" style="179" min="1" max="11"/>
  </cols>
  <sheetData>
    <row r="1" ht="27.75" customHeight="1" s="180">
      <c r="A1" s="263" t="inlineStr">
        <is>
          <t>グラフ</t>
        </is>
      </c>
      <c r="B1" s="264" t="n"/>
      <c r="C1" s="264" t="n"/>
      <c r="D1" s="264" t="n"/>
      <c r="E1" s="264" t="n"/>
      <c r="F1" s="264" t="n"/>
      <c r="G1" s="264" t="n"/>
      <c r="H1" s="265" t="n"/>
      <c r="I1" s="266" t="n"/>
      <c r="J1" s="266" t="n"/>
      <c r="K1" s="266" t="n"/>
      <c r="L1" s="266" t="n"/>
    </row>
    <row r="2" ht="15" customHeight="1" s="180">
      <c r="A2" s="266" t="n"/>
      <c r="B2" s="266" t="n"/>
      <c r="C2" s="266" t="n"/>
      <c r="D2" s="266" t="n"/>
      <c r="E2" s="266" t="n"/>
      <c r="F2" s="266" t="n"/>
      <c r="G2" s="266" t="n"/>
      <c r="H2" s="266" t="n"/>
      <c r="I2" s="266" t="n"/>
      <c r="J2" s="266" t="n"/>
      <c r="K2" s="266" t="n"/>
      <c r="L2" s="266" t="n"/>
    </row>
    <row r="3" ht="16.5" customHeight="1" s="180">
      <c r="A3" s="267" t="inlineStr">
        <is>
          <t>このシートで見ること</t>
        </is>
      </c>
      <c r="B3" s="264" t="n"/>
      <c r="C3" s="264" t="n"/>
      <c r="D3" s="264" t="n"/>
      <c r="E3" s="264" t="n"/>
      <c r="F3" s="264" t="n"/>
      <c r="G3" s="264" t="n"/>
      <c r="H3" s="265" t="n"/>
      <c r="I3" s="266" t="n"/>
      <c r="J3" s="266" t="n"/>
      <c r="K3" s="266" t="n"/>
      <c r="L3" s="266" t="n"/>
    </row>
    <row r="4" ht="15" customHeight="1" s="180">
      <c r="A4" s="268" t="inlineStr">
        <is>
          <t>① 通常時・ご主人様死亡時・奥様死亡時の資産推移を比較
② どのケースで資産が減りやすいかを確認
③ 面談で優先して整理すべき論点を見つける</t>
        </is>
      </c>
      <c r="B4" s="269" t="n"/>
      <c r="C4" s="269" t="n"/>
      <c r="D4" s="269" t="n"/>
      <c r="E4" s="269" t="n"/>
      <c r="F4" s="269" t="n"/>
      <c r="G4" s="269" t="n"/>
      <c r="H4" s="270" t="n"/>
      <c r="I4" s="266" t="n"/>
      <c r="J4" s="266" t="n"/>
      <c r="K4" s="266" t="n"/>
      <c r="L4" s="266" t="n"/>
    </row>
    <row r="5" ht="95.25" customHeight="1" s="180">
      <c r="A5" s="271" t="n"/>
      <c r="B5" s="272" t="n"/>
      <c r="C5" s="272" t="n"/>
      <c r="D5" s="272" t="n"/>
      <c r="E5" s="272" t="n"/>
      <c r="F5" s="272" t="n"/>
      <c r="G5" s="272" t="n"/>
      <c r="H5" s="273" t="n"/>
      <c r="I5" s="266" t="n"/>
      <c r="J5" s="266" t="n"/>
      <c r="K5" s="266" t="n"/>
      <c r="L5" s="266" t="n"/>
    </row>
    <row r="6" ht="15" customHeight="1" s="180">
      <c r="A6" s="266" t="n"/>
      <c r="B6" s="266" t="n"/>
      <c r="C6" s="266" t="n"/>
      <c r="D6" s="266" t="n"/>
      <c r="E6" s="266" t="n"/>
      <c r="F6" s="266" t="n"/>
      <c r="G6" s="266" t="n"/>
      <c r="H6" s="266" t="n"/>
      <c r="I6" s="266" t="n"/>
      <c r="J6" s="266" t="n"/>
      <c r="K6" s="266" t="n"/>
      <c r="L6" s="266" t="n"/>
    </row>
    <row r="7" ht="15" customHeight="1" s="180">
      <c r="A7" s="274" t="inlineStr">
        <is>
          <t>① 3つのケースの保有資産推移</t>
        </is>
      </c>
      <c r="B7" s="264" t="n"/>
      <c r="C7" s="264" t="n"/>
      <c r="D7" s="264" t="n"/>
      <c r="E7" s="264" t="n"/>
      <c r="F7" s="264" t="n"/>
      <c r="G7" s="264" t="n"/>
      <c r="H7" s="265" t="n"/>
      <c r="I7" s="266" t="n"/>
      <c r="J7" s="266" t="n"/>
      <c r="K7" s="266" t="n"/>
      <c r="L7" s="266" t="n"/>
    </row>
    <row r="8" ht="15" customHeight="1" s="180">
      <c r="A8" s="268" t="inlineStr">
        <is>
          <t>見どころ：通常時と比べて、ご主人様死亡時・奥様死亡時でどの程度差が出るかを確認します。右肩下がりが続く場合は、保障や家計配分の見直し優先度が高いサインです。</t>
        </is>
      </c>
      <c r="B8" s="269" t="n"/>
      <c r="C8" s="269" t="n"/>
      <c r="D8" s="269" t="n"/>
      <c r="E8" s="269" t="n"/>
      <c r="F8" s="269" t="n"/>
      <c r="G8" s="269" t="n"/>
      <c r="H8" s="270" t="n"/>
      <c r="I8" s="266" t="n"/>
      <c r="J8" s="266" t="n"/>
      <c r="K8" s="266" t="n"/>
      <c r="L8" s="266" t="n"/>
    </row>
    <row r="9" ht="15" customHeight="1" s="180">
      <c r="A9" s="275" t="n"/>
      <c r="H9" s="276" t="n"/>
      <c r="I9" s="266" t="n"/>
      <c r="J9" s="266" t="n"/>
      <c r="K9" s="266" t="n"/>
      <c r="L9" s="266" t="n"/>
    </row>
    <row r="10" ht="15" customHeight="1" s="180">
      <c r="A10" s="271" t="n"/>
      <c r="B10" s="272" t="n"/>
      <c r="C10" s="272" t="n"/>
      <c r="D10" s="272" t="n"/>
      <c r="E10" s="272" t="n"/>
      <c r="F10" s="272" t="n"/>
      <c r="G10" s="272" t="n"/>
      <c r="H10" s="273" t="n"/>
      <c r="I10" s="266" t="n"/>
      <c r="J10" s="266" t="n"/>
      <c r="K10" s="266" t="n"/>
      <c r="L10" s="266" t="n"/>
    </row>
    <row r="11" ht="15" customHeight="1" s="180">
      <c r="A11" s="266" t="n"/>
      <c r="B11" s="266" t="n"/>
      <c r="C11" s="266" t="n"/>
      <c r="D11" s="266" t="n"/>
      <c r="E11" s="266" t="n"/>
      <c r="F11" s="266" t="n"/>
      <c r="G11" s="266" t="n"/>
      <c r="H11" s="266" t="n"/>
      <c r="I11" s="266" t="n"/>
      <c r="J11" s="266" t="n"/>
      <c r="K11" s="266" t="n"/>
      <c r="L11" s="266" t="n"/>
    </row>
    <row r="12" ht="15" customHeight="1" s="180">
      <c r="A12" s="266" t="n"/>
      <c r="B12" s="266" t="n"/>
      <c r="C12" s="266" t="n"/>
      <c r="D12" s="266" t="n"/>
      <c r="E12" s="266" t="n"/>
      <c r="F12" s="266" t="n"/>
      <c r="G12" s="266" t="n"/>
      <c r="H12" s="266" t="n"/>
      <c r="I12" s="266" t="n"/>
      <c r="J12" s="266" t="n"/>
      <c r="K12" s="266" t="n"/>
      <c r="L12" s="266" t="n"/>
    </row>
    <row r="13" ht="15" customHeight="1" s="180">
      <c r="A13" s="266" t="n"/>
      <c r="B13" s="266" t="n"/>
      <c r="C13" s="266" t="n"/>
      <c r="D13" s="266" t="n"/>
      <c r="E13" s="266" t="n"/>
      <c r="F13" s="266" t="n"/>
      <c r="G13" s="266" t="n"/>
      <c r="H13" s="266" t="n"/>
      <c r="I13" s="266" t="n"/>
      <c r="J13" s="266" t="n"/>
      <c r="K13" s="266" t="n"/>
      <c r="L13" s="266" t="n"/>
    </row>
    <row r="14" ht="15" customHeight="1" s="180">
      <c r="A14" s="266" t="n"/>
      <c r="B14" s="266" t="n"/>
      <c r="C14" s="266" t="n"/>
      <c r="D14" s="266" t="n"/>
      <c r="E14" s="266" t="n"/>
      <c r="F14" s="266" t="n"/>
      <c r="G14" s="266" t="n"/>
      <c r="H14" s="266" t="n"/>
      <c r="I14" s="266" t="n"/>
      <c r="J14" s="266" t="n"/>
      <c r="K14" s="266" t="n"/>
      <c r="L14" s="266" t="n"/>
    </row>
    <row r="15" ht="15" customHeight="1" s="180">
      <c r="A15" s="266" t="n"/>
      <c r="B15" s="266" t="n"/>
      <c r="C15" s="266" t="n"/>
      <c r="D15" s="266" t="n"/>
      <c r="E15" s="266" t="n"/>
      <c r="F15" s="266" t="n"/>
      <c r="G15" s="266" t="n"/>
      <c r="H15" s="266" t="n"/>
      <c r="I15" s="266" t="n"/>
      <c r="J15" s="266" t="n"/>
      <c r="K15" s="266" t="n"/>
      <c r="L15" s="266" t="n"/>
    </row>
    <row r="16" ht="15" customHeight="1" s="180">
      <c r="A16" s="266" t="n"/>
      <c r="B16" s="266" t="n"/>
      <c r="C16" s="266" t="n"/>
      <c r="D16" s="266" t="n"/>
      <c r="E16" s="266" t="n"/>
      <c r="F16" s="266" t="n"/>
      <c r="G16" s="266" t="n"/>
      <c r="H16" s="266" t="n"/>
      <c r="I16" s="266" t="n"/>
      <c r="J16" s="266" t="n"/>
      <c r="K16" s="266" t="n"/>
      <c r="L16" s="266" t="n"/>
    </row>
    <row r="17" ht="15" customHeight="1" s="180">
      <c r="A17" s="266" t="n"/>
      <c r="B17" s="266" t="n"/>
      <c r="C17" s="266" t="n"/>
      <c r="D17" s="266" t="n"/>
      <c r="E17" s="266" t="n"/>
      <c r="F17" s="266" t="n"/>
      <c r="G17" s="266" t="n"/>
      <c r="H17" s="266" t="n"/>
      <c r="I17" s="266" t="n"/>
      <c r="J17" s="266" t="n"/>
      <c r="K17" s="266" t="n"/>
      <c r="L17" s="266" t="n"/>
    </row>
    <row r="18" ht="15" customHeight="1" s="180">
      <c r="A18" s="266" t="n"/>
      <c r="B18" s="266" t="n"/>
      <c r="C18" s="266" t="n"/>
      <c r="D18" s="266" t="n"/>
      <c r="E18" s="266" t="n"/>
      <c r="F18" s="266" t="n"/>
      <c r="G18" s="266" t="n"/>
      <c r="H18" s="266" t="n"/>
      <c r="I18" s="266" t="n"/>
      <c r="J18" s="266" t="n"/>
      <c r="K18" s="266" t="n"/>
      <c r="L18" s="266" t="n"/>
    </row>
    <row r="19" ht="15" customHeight="1" s="180">
      <c r="A19" s="266" t="n"/>
      <c r="B19" s="266" t="n"/>
      <c r="C19" s="266" t="n"/>
      <c r="D19" s="266" t="n"/>
      <c r="E19" s="266" t="n"/>
      <c r="F19" s="266" t="n"/>
      <c r="G19" s="266" t="n"/>
      <c r="H19" s="266" t="n"/>
      <c r="I19" s="266" t="n"/>
      <c r="J19" s="266" t="n"/>
      <c r="K19" s="266" t="n"/>
      <c r="L19" s="266" t="n"/>
    </row>
    <row r="20" ht="15" customHeight="1" s="180">
      <c r="A20" s="266" t="n"/>
      <c r="B20" s="266" t="n"/>
      <c r="C20" s="266" t="n"/>
      <c r="D20" s="266" t="n"/>
      <c r="E20" s="266" t="n"/>
      <c r="F20" s="266" t="n"/>
      <c r="G20" s="266" t="n"/>
      <c r="H20" s="266" t="n"/>
      <c r="I20" s="266" t="n"/>
      <c r="J20" s="266" t="n"/>
      <c r="K20" s="266" t="n"/>
      <c r="L20" s="266" t="n"/>
    </row>
    <row r="21" ht="15" customHeight="1" s="180">
      <c r="A21" s="266" t="n"/>
      <c r="B21" s="266" t="n"/>
      <c r="C21" s="266" t="n"/>
      <c r="D21" s="266" t="n"/>
      <c r="E21" s="266" t="n"/>
      <c r="F21" s="266" t="n"/>
      <c r="G21" s="266" t="n"/>
      <c r="H21" s="266" t="n"/>
      <c r="I21" s="266" t="n"/>
      <c r="J21" s="266" t="n"/>
      <c r="K21" s="266" t="n"/>
      <c r="L21" s="266" t="n"/>
    </row>
    <row r="22" ht="15" customHeight="1" s="180">
      <c r="A22" s="266" t="n"/>
      <c r="B22" s="266" t="n"/>
      <c r="C22" s="266" t="n"/>
      <c r="D22" s="266" t="n"/>
      <c r="E22" s="266" t="n"/>
      <c r="F22" s="266" t="n"/>
      <c r="G22" s="266" t="n"/>
      <c r="H22" s="266" t="n"/>
      <c r="I22" s="266" t="n"/>
      <c r="J22" s="266" t="n"/>
      <c r="K22" s="266" t="n"/>
      <c r="L22" s="266" t="n"/>
    </row>
    <row r="23" ht="15" customHeight="1" s="180">
      <c r="A23" s="266" t="n"/>
      <c r="B23" s="266" t="n"/>
      <c r="C23" s="266" t="n"/>
      <c r="D23" s="266" t="n"/>
      <c r="E23" s="266" t="n"/>
      <c r="F23" s="266" t="n"/>
      <c r="G23" s="266" t="n"/>
      <c r="H23" s="266" t="n"/>
      <c r="I23" s="266" t="n"/>
      <c r="J23" s="266" t="n"/>
      <c r="K23" s="266" t="n"/>
      <c r="L23" s="266" t="n"/>
    </row>
    <row r="24" ht="15" customHeight="1" s="180">
      <c r="A24" s="266" t="n"/>
      <c r="B24" s="266" t="n"/>
      <c r="C24" s="266" t="n"/>
      <c r="D24" s="266" t="n"/>
      <c r="E24" s="266" t="n"/>
      <c r="F24" s="266" t="n"/>
      <c r="G24" s="266" t="n"/>
      <c r="H24" s="266" t="n"/>
      <c r="I24" s="266" t="n"/>
      <c r="J24" s="266" t="n"/>
      <c r="K24" s="266" t="n"/>
      <c r="L24" s="266" t="n"/>
    </row>
    <row r="25" ht="15" customHeight="1" s="180">
      <c r="A25" s="274" t="n"/>
      <c r="I25" s="266" t="n"/>
      <c r="J25" s="266" t="n"/>
      <c r="K25" s="266" t="n"/>
      <c r="L25" s="266" t="n"/>
    </row>
    <row r="26" ht="15" customHeight="1" s="180">
      <c r="A26" s="268" t="n"/>
      <c r="I26" s="266" t="n"/>
      <c r="J26" s="266" t="n"/>
      <c r="K26" s="266" t="n"/>
      <c r="L26" s="266" t="n"/>
    </row>
    <row r="27" ht="15" customHeight="1" s="180">
      <c r="I27" s="266" t="n"/>
      <c r="J27" s="266" t="n"/>
      <c r="K27" s="266" t="n"/>
      <c r="L27" s="266" t="n"/>
    </row>
    <row r="28" ht="15" customHeight="1" s="180">
      <c r="I28" s="266" t="n"/>
      <c r="J28" s="266" t="n"/>
      <c r="K28" s="266" t="n"/>
      <c r="L28" s="266" t="n"/>
    </row>
    <row r="29" ht="15" customHeight="1" s="180">
      <c r="A29" s="266" t="n"/>
      <c r="B29" s="266" t="n"/>
      <c r="C29" s="266" t="n"/>
      <c r="D29" s="266" t="n"/>
      <c r="E29" s="266" t="n"/>
      <c r="F29" s="266" t="n"/>
      <c r="G29" s="266" t="n"/>
      <c r="H29" s="266" t="n"/>
      <c r="I29" s="266" t="n"/>
      <c r="J29" s="266" t="n"/>
      <c r="K29" s="266" t="n"/>
      <c r="L29" s="266" t="n"/>
    </row>
    <row r="30" ht="15" customHeight="1" s="180">
      <c r="A30" s="266" t="n"/>
      <c r="B30" s="266" t="n"/>
      <c r="C30" s="266" t="n"/>
      <c r="D30" s="266" t="n"/>
      <c r="E30" s="266" t="n"/>
      <c r="F30" s="266" t="n"/>
      <c r="G30" s="266" t="n"/>
      <c r="H30" s="266" t="n"/>
      <c r="I30" s="266" t="n"/>
      <c r="J30" s="266" t="n"/>
      <c r="K30" s="266" t="n"/>
      <c r="L30" s="266" t="n"/>
    </row>
    <row r="31" ht="15" customHeight="1" s="180">
      <c r="A31" s="266" t="n"/>
      <c r="B31" s="266" t="n"/>
      <c r="C31" s="266" t="n"/>
      <c r="D31" s="266" t="n"/>
      <c r="E31" s="266" t="n"/>
      <c r="F31" s="266" t="n"/>
      <c r="G31" s="266" t="n"/>
      <c r="H31" s="266" t="n"/>
      <c r="I31" s="266" t="n"/>
      <c r="J31" s="266" t="n"/>
      <c r="K31" s="266" t="n"/>
      <c r="L31" s="266" t="n"/>
    </row>
    <row r="32" ht="15" customHeight="1" s="180">
      <c r="A32" s="266" t="n"/>
      <c r="B32" s="266" t="n"/>
      <c r="C32" s="266" t="n"/>
      <c r="D32" s="266" t="n"/>
      <c r="E32" s="266" t="n"/>
      <c r="F32" s="266" t="n"/>
      <c r="G32" s="266" t="n"/>
      <c r="H32" s="266" t="n"/>
      <c r="I32" s="266" t="n"/>
      <c r="J32" s="266" t="n"/>
      <c r="K32" s="266" t="n"/>
      <c r="L32" s="266" t="n"/>
    </row>
    <row r="33" ht="15" customHeight="1" s="180">
      <c r="A33" s="266" t="n"/>
      <c r="B33" s="266" t="n"/>
      <c r="C33" s="266" t="n"/>
      <c r="D33" s="266" t="n"/>
      <c r="E33" s="266" t="n"/>
      <c r="F33" s="266" t="n"/>
      <c r="G33" s="266" t="n"/>
      <c r="H33" s="266" t="n"/>
      <c r="I33" s="266" t="n"/>
      <c r="J33" s="266" t="n"/>
      <c r="K33" s="266" t="n"/>
      <c r="L33" s="266" t="n"/>
    </row>
    <row r="34" ht="15" customHeight="1" s="180">
      <c r="A34" s="266" t="n"/>
      <c r="B34" s="266" t="n"/>
      <c r="C34" s="266" t="n"/>
      <c r="D34" s="266" t="n"/>
      <c r="E34" s="266" t="n"/>
      <c r="F34" s="266" t="n"/>
      <c r="G34" s="266" t="n"/>
      <c r="H34" s="266" t="n"/>
      <c r="I34" s="266" t="n"/>
      <c r="J34" s="266" t="n"/>
      <c r="K34" s="266" t="n"/>
      <c r="L34" s="266" t="n"/>
    </row>
    <row r="35" ht="15" customHeight="1" s="180">
      <c r="A35" s="266" t="n"/>
      <c r="B35" s="266" t="n"/>
      <c r="C35" s="266" t="n"/>
      <c r="D35" s="266" t="n"/>
      <c r="E35" s="266" t="n"/>
      <c r="F35" s="266" t="n"/>
      <c r="G35" s="266" t="n"/>
      <c r="H35" s="266" t="n"/>
      <c r="I35" s="266" t="n"/>
      <c r="J35" s="266" t="n"/>
      <c r="K35" s="266" t="n"/>
      <c r="L35" s="266" t="n"/>
    </row>
    <row r="36" ht="15" customHeight="1" s="180">
      <c r="A36" s="266" t="n"/>
      <c r="B36" s="266" t="n"/>
      <c r="C36" s="266" t="n"/>
      <c r="D36" s="266" t="n"/>
      <c r="E36" s="266" t="n"/>
      <c r="F36" s="266" t="n"/>
      <c r="G36" s="266" t="n"/>
      <c r="H36" s="266" t="n"/>
      <c r="I36" s="266" t="n"/>
      <c r="J36" s="266" t="n"/>
      <c r="K36" s="266" t="n"/>
      <c r="L36" s="266" t="n"/>
    </row>
    <row r="37" ht="15" customHeight="1" s="180">
      <c r="A37" s="266" t="n"/>
      <c r="B37" s="266" t="n"/>
      <c r="C37" s="266" t="n"/>
      <c r="D37" s="266" t="n"/>
      <c r="E37" s="266" t="n"/>
      <c r="F37" s="266" t="n"/>
      <c r="G37" s="266" t="n"/>
      <c r="H37" s="266" t="n"/>
      <c r="I37" s="266" t="n"/>
      <c r="J37" s="266" t="n"/>
      <c r="K37" s="266" t="n"/>
      <c r="L37" s="266" t="n"/>
    </row>
    <row r="38" ht="15" customHeight="1" s="180">
      <c r="A38" s="266" t="n"/>
      <c r="B38" s="266" t="n"/>
      <c r="C38" s="266" t="n"/>
      <c r="D38" s="266" t="n"/>
      <c r="E38" s="266" t="n"/>
      <c r="F38" s="266" t="n"/>
      <c r="G38" s="266" t="n"/>
      <c r="H38" s="266" t="n"/>
      <c r="I38" s="266" t="n"/>
      <c r="J38" s="266" t="n"/>
      <c r="K38" s="266" t="n"/>
      <c r="L38" s="266" t="n"/>
    </row>
    <row r="39" ht="15" customHeight="1" s="180">
      <c r="A39" s="266" t="n"/>
      <c r="B39" s="266" t="n"/>
      <c r="C39" s="266" t="n"/>
      <c r="D39" s="266" t="n"/>
      <c r="E39" s="266" t="n"/>
      <c r="F39" s="266" t="n"/>
      <c r="G39" s="266" t="n"/>
      <c r="H39" s="266" t="n"/>
      <c r="I39" s="266" t="n"/>
      <c r="J39" s="266" t="n"/>
      <c r="K39" s="266" t="n"/>
      <c r="L39" s="266" t="n"/>
    </row>
    <row r="40" ht="15" customHeight="1" s="180">
      <c r="A40" s="266" t="n"/>
      <c r="B40" s="266" t="n"/>
      <c r="C40" s="266" t="n"/>
      <c r="D40" s="266" t="n"/>
      <c r="E40" s="266" t="n"/>
      <c r="F40" s="266" t="n"/>
      <c r="G40" s="266" t="n"/>
      <c r="H40" s="266" t="n"/>
      <c r="I40" s="266" t="n"/>
      <c r="J40" s="266" t="n"/>
      <c r="K40" s="266" t="n"/>
      <c r="L40" s="266" t="n"/>
    </row>
    <row r="41" ht="15" customHeight="1" s="180">
      <c r="A41" s="266" t="n"/>
      <c r="B41" s="266" t="n"/>
      <c r="C41" s="266" t="n"/>
      <c r="D41" s="266" t="n"/>
      <c r="E41" s="266" t="n"/>
      <c r="F41" s="266" t="n"/>
      <c r="G41" s="266" t="n"/>
      <c r="H41" s="266" t="n"/>
      <c r="I41" s="266" t="n"/>
      <c r="J41" s="266" t="n"/>
      <c r="K41" s="266" t="n"/>
      <c r="L41" s="266" t="n"/>
    </row>
    <row r="42" ht="15" customHeight="1" s="180">
      <c r="A42" s="277" t="inlineStr">
        <is>
          <t>グラフ用データ（Googleスプレッドシートで壊れにくい表）</t>
        </is>
      </c>
      <c r="B42" s="278" t="n"/>
      <c r="C42" s="278" t="n"/>
      <c r="D42" s="278" t="n"/>
      <c r="E42" s="278" t="n"/>
      <c r="F42" s="278" t="n"/>
      <c r="G42" s="278" t="n"/>
      <c r="H42" s="279" t="n"/>
      <c r="I42" s="266" t="n"/>
      <c r="J42" s="266" t="n"/>
      <c r="K42" s="266" t="n"/>
      <c r="L42" s="266" t="n"/>
    </row>
    <row r="43" ht="15" customHeight="1" s="180">
      <c r="A43" s="280" t="inlineStr">
        <is>
          <t>下の表をそのまま選択して「挿入 → グラフ」で折れ線グラフを作れます。
PDF用に整える時は、この表を元にCanvaへ反映します。</t>
        </is>
      </c>
      <c r="B43" s="281" t="n"/>
      <c r="C43" s="281" t="n"/>
      <c r="D43" s="281" t="n"/>
      <c r="E43" s="281" t="n"/>
      <c r="F43" s="281" t="n"/>
      <c r="G43" s="281" t="n"/>
      <c r="H43" s="282" t="n"/>
      <c r="I43" s="266" t="n"/>
      <c r="J43" s="266" t="n"/>
      <c r="K43" s="266" t="n"/>
      <c r="L43" s="266" t="n"/>
    </row>
    <row r="44" ht="15" customHeight="1" s="180">
      <c r="A44" s="283" t="n"/>
      <c r="B44" s="284" t="n"/>
      <c r="C44" s="284" t="n"/>
      <c r="D44" s="284" t="n"/>
      <c r="E44" s="284" t="n"/>
      <c r="F44" s="284" t="n"/>
      <c r="G44" s="284" t="n"/>
      <c r="H44" s="285" t="n"/>
      <c r="I44" s="266" t="n"/>
      <c r="J44" s="266" t="n"/>
      <c r="K44" s="266" t="n"/>
      <c r="L44" s="266" t="n"/>
    </row>
    <row r="45" ht="15" customHeight="1" s="180">
      <c r="I45" s="266" t="n"/>
      <c r="J45" s="266" t="n"/>
      <c r="K45" s="266" t="n"/>
      <c r="L45" s="266" t="n"/>
    </row>
    <row r="46" ht="15" customHeight="1" s="180">
      <c r="A46" s="286" t="inlineStr">
        <is>
          <t>年</t>
        </is>
      </c>
      <c r="B46" s="286" t="inlineStr">
        <is>
          <t>通常時 保有資産合計</t>
        </is>
      </c>
      <c r="C46" s="286" t="inlineStr">
        <is>
          <t>ご主人様死亡時 保有資産合計</t>
        </is>
      </c>
      <c r="D46" s="286" t="inlineStr">
        <is>
          <t>奥様死亡時 保有資産合計</t>
        </is>
      </c>
      <c r="I46" s="266" t="n"/>
      <c r="J46" s="266" t="n"/>
      <c r="K46" s="266" t="n"/>
      <c r="L46" s="266" t="n"/>
    </row>
    <row r="47" ht="15" customHeight="1" s="180">
      <c r="A47" s="287">
        <f>'CF表（万円表示）'!B3</f>
        <v/>
      </c>
      <c r="B47" s="288">
        <f>'CF表（万円表示）'!B35</f>
        <v/>
      </c>
      <c r="C47" s="288">
        <f>'CF表（ご主人様死亡時・万円表示）'!B35</f>
        <v/>
      </c>
      <c r="D47" s="288">
        <f>'CF表（奥様死亡時・万円表示）'!B35</f>
        <v/>
      </c>
      <c r="E47" s="266" t="n"/>
      <c r="F47" s="266" t="n"/>
      <c r="G47" s="266" t="n"/>
      <c r="H47" s="266" t="n"/>
      <c r="I47" s="266" t="n"/>
      <c r="J47" s="266" t="n"/>
      <c r="K47" s="266" t="n"/>
      <c r="L47" s="266" t="n"/>
    </row>
    <row r="48" ht="15" customHeight="1" s="180">
      <c r="A48" s="287">
        <f>'CF表（万円表示）'!C3</f>
        <v/>
      </c>
      <c r="B48" s="288">
        <f>'CF表（万円表示）'!C35</f>
        <v/>
      </c>
      <c r="C48" s="288">
        <f>'CF表（ご主人様死亡時・万円表示）'!C35</f>
        <v/>
      </c>
      <c r="D48" s="288">
        <f>'CF表（奥様死亡時・万円表示）'!C35</f>
        <v/>
      </c>
      <c r="E48" s="266" t="n"/>
      <c r="F48" s="266" t="n"/>
      <c r="G48" s="266" t="n"/>
      <c r="H48" s="266" t="n"/>
      <c r="I48" s="266" t="n"/>
      <c r="J48" s="266" t="n"/>
      <c r="K48" s="266" t="n"/>
      <c r="L48" s="266" t="n"/>
    </row>
    <row r="49" ht="15" customHeight="1" s="180">
      <c r="A49" s="287">
        <f>'CF表（万円表示）'!D3</f>
        <v/>
      </c>
      <c r="B49" s="288">
        <f>'CF表（万円表示）'!D35</f>
        <v/>
      </c>
      <c r="C49" s="288">
        <f>'CF表（ご主人様死亡時・万円表示）'!D35</f>
        <v/>
      </c>
      <c r="D49" s="288">
        <f>'CF表（奥様死亡時・万円表示）'!D35</f>
        <v/>
      </c>
      <c r="E49" s="266" t="n"/>
      <c r="F49" s="266" t="n"/>
      <c r="G49" s="266" t="n"/>
      <c r="H49" s="266" t="n"/>
      <c r="I49" s="266" t="n"/>
      <c r="J49" s="266" t="n"/>
      <c r="K49" s="266" t="n"/>
      <c r="L49" s="266" t="n"/>
    </row>
    <row r="50" ht="15" customHeight="1" s="180">
      <c r="A50" s="287">
        <f>'CF表（万円表示）'!E3</f>
        <v/>
      </c>
      <c r="B50" s="288">
        <f>'CF表（万円表示）'!E35</f>
        <v/>
      </c>
      <c r="C50" s="288">
        <f>'CF表（ご主人様死亡時・万円表示）'!E35</f>
        <v/>
      </c>
      <c r="D50" s="288">
        <f>'CF表（奥様死亡時・万円表示）'!E35</f>
        <v/>
      </c>
      <c r="E50" s="266" t="n"/>
      <c r="F50" s="266" t="n"/>
      <c r="G50" s="266" t="n"/>
      <c r="H50" s="266" t="n"/>
      <c r="I50" s="266" t="n"/>
      <c r="J50" s="266" t="n"/>
      <c r="K50" s="266" t="n"/>
      <c r="L50" s="266" t="n"/>
    </row>
    <row r="51" ht="15" customHeight="1" s="180">
      <c r="A51" s="287">
        <f>'CF表（万円表示）'!F3</f>
        <v/>
      </c>
      <c r="B51" s="288">
        <f>'CF表（万円表示）'!F35</f>
        <v/>
      </c>
      <c r="C51" s="288">
        <f>'CF表（ご主人様死亡時・万円表示）'!F35</f>
        <v/>
      </c>
      <c r="D51" s="288">
        <f>'CF表（奥様死亡時・万円表示）'!F35</f>
        <v/>
      </c>
      <c r="E51" s="266" t="n"/>
      <c r="F51" s="266" t="n"/>
      <c r="G51" s="266" t="n"/>
      <c r="H51" s="266" t="n"/>
      <c r="I51" s="266" t="n"/>
      <c r="J51" s="266" t="n"/>
      <c r="K51" s="266" t="n"/>
      <c r="L51" s="266" t="n"/>
    </row>
    <row r="52" ht="15" customHeight="1" s="180">
      <c r="A52" s="287">
        <f>'CF表（万円表示）'!G3</f>
        <v/>
      </c>
      <c r="B52" s="288">
        <f>'CF表（万円表示）'!G35</f>
        <v/>
      </c>
      <c r="C52" s="288">
        <f>'CF表（ご主人様死亡時・万円表示）'!G35</f>
        <v/>
      </c>
      <c r="D52" s="288">
        <f>'CF表（奥様死亡時・万円表示）'!G35</f>
        <v/>
      </c>
      <c r="E52" s="266" t="n"/>
      <c r="F52" s="266" t="n"/>
      <c r="G52" s="266" t="n"/>
      <c r="H52" s="266" t="n"/>
      <c r="I52" s="266" t="n"/>
      <c r="J52" s="266" t="n"/>
      <c r="K52" s="266" t="n"/>
      <c r="L52" s="266" t="n"/>
    </row>
    <row r="53" ht="15" customHeight="1" s="180">
      <c r="A53" s="287">
        <f>'CF表（万円表示）'!H3</f>
        <v/>
      </c>
      <c r="B53" s="288">
        <f>'CF表（万円表示）'!H35</f>
        <v/>
      </c>
      <c r="C53" s="288">
        <f>'CF表（ご主人様死亡時・万円表示）'!H35</f>
        <v/>
      </c>
      <c r="D53" s="288">
        <f>'CF表（奥様死亡時・万円表示）'!H35</f>
        <v/>
      </c>
      <c r="E53" s="266" t="n"/>
      <c r="F53" s="266" t="n"/>
      <c r="G53" s="266" t="n"/>
      <c r="H53" s="266" t="n"/>
      <c r="I53" s="266" t="n"/>
      <c r="J53" s="266" t="n"/>
      <c r="K53" s="266" t="n"/>
      <c r="L53" s="266" t="n"/>
    </row>
    <row r="54" ht="15" customHeight="1" s="180">
      <c r="A54" s="287">
        <f>'CF表（万円表示）'!I3</f>
        <v/>
      </c>
      <c r="B54" s="288">
        <f>'CF表（万円表示）'!I35</f>
        <v/>
      </c>
      <c r="C54" s="288">
        <f>'CF表（ご主人様死亡時・万円表示）'!I35</f>
        <v/>
      </c>
      <c r="D54" s="288">
        <f>'CF表（奥様死亡時・万円表示）'!I35</f>
        <v/>
      </c>
      <c r="E54" s="266" t="n"/>
      <c r="F54" s="266" t="n"/>
      <c r="G54" s="266" t="n"/>
      <c r="H54" s="266" t="n"/>
      <c r="I54" s="266" t="n"/>
      <c r="J54" s="266" t="n"/>
      <c r="K54" s="266" t="n"/>
      <c r="L54" s="266" t="n"/>
    </row>
    <row r="55" ht="15" customHeight="1" s="180">
      <c r="A55" s="287">
        <f>'CF表（万円表示）'!J3</f>
        <v/>
      </c>
      <c r="B55" s="288">
        <f>'CF表（万円表示）'!J35</f>
        <v/>
      </c>
      <c r="C55" s="288">
        <f>'CF表（ご主人様死亡時・万円表示）'!J35</f>
        <v/>
      </c>
      <c r="D55" s="288">
        <f>'CF表（奥様死亡時・万円表示）'!J35</f>
        <v/>
      </c>
      <c r="E55" s="266" t="n"/>
      <c r="F55" s="266" t="n"/>
      <c r="G55" s="266" t="n"/>
      <c r="H55" s="266" t="n"/>
      <c r="I55" s="266" t="n"/>
      <c r="J55" s="266" t="n"/>
      <c r="K55" s="266" t="n"/>
      <c r="L55" s="266" t="n"/>
    </row>
    <row r="56" ht="15" customHeight="1" s="180">
      <c r="A56" s="287">
        <f>'CF表（万円表示）'!K3</f>
        <v/>
      </c>
      <c r="B56" s="288">
        <f>'CF表（万円表示）'!K35</f>
        <v/>
      </c>
      <c r="C56" s="288">
        <f>'CF表（ご主人様死亡時・万円表示）'!K35</f>
        <v/>
      </c>
      <c r="D56" s="288">
        <f>'CF表（奥様死亡時・万円表示）'!K35</f>
        <v/>
      </c>
      <c r="E56" s="266" t="n"/>
      <c r="F56" s="266" t="n"/>
      <c r="G56" s="266" t="n"/>
      <c r="H56" s="266" t="n"/>
      <c r="I56" s="266" t="n"/>
      <c r="J56" s="266" t="n"/>
      <c r="K56" s="266" t="n"/>
      <c r="L56" s="266" t="n"/>
    </row>
    <row r="57" ht="15" customHeight="1" s="180">
      <c r="A57" s="287">
        <f>'CF表（万円表示）'!L3</f>
        <v/>
      </c>
      <c r="B57" s="288">
        <f>'CF表（万円表示）'!L35</f>
        <v/>
      </c>
      <c r="C57" s="288">
        <f>'CF表（ご主人様死亡時・万円表示）'!L35</f>
        <v/>
      </c>
      <c r="D57" s="288">
        <f>'CF表（奥様死亡時・万円表示）'!L35</f>
        <v/>
      </c>
      <c r="E57" s="266" t="n"/>
      <c r="F57" s="266" t="n"/>
      <c r="G57" s="266" t="n"/>
      <c r="H57" s="266" t="n"/>
      <c r="I57" s="266" t="n"/>
      <c r="J57" s="266" t="n"/>
      <c r="K57" s="266" t="n"/>
      <c r="L57" s="266" t="n"/>
    </row>
    <row r="58" ht="15" customHeight="1" s="180">
      <c r="A58" s="287">
        <f>'CF表（万円表示）'!M3</f>
        <v/>
      </c>
      <c r="B58" s="288">
        <f>'CF表（万円表示）'!M35</f>
        <v/>
      </c>
      <c r="C58" s="288">
        <f>'CF表（ご主人様死亡時・万円表示）'!M35</f>
        <v/>
      </c>
      <c r="D58" s="288">
        <f>'CF表（奥様死亡時・万円表示）'!M35</f>
        <v/>
      </c>
      <c r="E58" s="266" t="n"/>
      <c r="F58" s="266" t="n"/>
      <c r="G58" s="266" t="n"/>
      <c r="H58" s="266" t="n"/>
      <c r="I58" s="266" t="n"/>
      <c r="J58" s="266" t="n"/>
      <c r="K58" s="266" t="n"/>
      <c r="L58" s="266" t="n"/>
    </row>
    <row r="59" ht="15" customHeight="1" s="180">
      <c r="A59" s="287">
        <f>'CF表（万円表示）'!N3</f>
        <v/>
      </c>
      <c r="B59" s="288">
        <f>'CF表（万円表示）'!N35</f>
        <v/>
      </c>
      <c r="C59" s="288">
        <f>'CF表（ご主人様死亡時・万円表示）'!N35</f>
        <v/>
      </c>
      <c r="D59" s="288">
        <f>'CF表（奥様死亡時・万円表示）'!N35</f>
        <v/>
      </c>
      <c r="E59" s="266" t="n"/>
      <c r="F59" s="266" t="n"/>
      <c r="G59" s="266" t="n"/>
      <c r="H59" s="266" t="n"/>
      <c r="I59" s="266" t="n"/>
      <c r="J59" s="266" t="n"/>
      <c r="K59" s="266" t="n"/>
      <c r="L59" s="266" t="n"/>
    </row>
    <row r="60" ht="15" customHeight="1" s="180">
      <c r="A60" s="287">
        <f>'CF表（万円表示）'!O3</f>
        <v/>
      </c>
      <c r="B60" s="288">
        <f>'CF表（万円表示）'!O35</f>
        <v/>
      </c>
      <c r="C60" s="288">
        <f>'CF表（ご主人様死亡時・万円表示）'!O35</f>
        <v/>
      </c>
      <c r="D60" s="288">
        <f>'CF表（奥様死亡時・万円表示）'!O35</f>
        <v/>
      </c>
      <c r="E60" s="266" t="n"/>
      <c r="F60" s="266" t="n"/>
      <c r="G60" s="266" t="n"/>
      <c r="H60" s="266" t="n"/>
      <c r="I60" s="266" t="n"/>
      <c r="J60" s="266" t="n"/>
      <c r="K60" s="266" t="n"/>
      <c r="L60" s="266" t="n"/>
    </row>
    <row r="61" ht="15" customHeight="1" s="180">
      <c r="A61" s="287">
        <f>'CF表（万円表示）'!P3</f>
        <v/>
      </c>
      <c r="B61" s="288">
        <f>'CF表（万円表示）'!P35</f>
        <v/>
      </c>
      <c r="C61" s="288">
        <f>'CF表（ご主人様死亡時・万円表示）'!P35</f>
        <v/>
      </c>
      <c r="D61" s="288">
        <f>'CF表（奥様死亡時・万円表示）'!P35</f>
        <v/>
      </c>
      <c r="E61" s="266" t="n"/>
      <c r="F61" s="266" t="n"/>
      <c r="G61" s="266" t="n"/>
      <c r="H61" s="266" t="n"/>
      <c r="I61" s="266" t="n"/>
      <c r="J61" s="266" t="n"/>
      <c r="K61" s="266" t="n"/>
      <c r="L61" s="266" t="n"/>
    </row>
    <row r="62" ht="15" customHeight="1" s="180">
      <c r="A62" s="287">
        <f>'CF表（万円表示）'!Q3</f>
        <v/>
      </c>
      <c r="B62" s="288">
        <f>'CF表（万円表示）'!Q35</f>
        <v/>
      </c>
      <c r="C62" s="288">
        <f>'CF表（ご主人様死亡時・万円表示）'!Q35</f>
        <v/>
      </c>
      <c r="D62" s="288">
        <f>'CF表（奥様死亡時・万円表示）'!Q35</f>
        <v/>
      </c>
      <c r="E62" s="266" t="n"/>
      <c r="F62" s="266" t="n"/>
      <c r="G62" s="266" t="n"/>
      <c r="H62" s="266" t="n"/>
      <c r="I62" s="266" t="n"/>
      <c r="J62" s="266" t="n"/>
      <c r="K62" s="266" t="n"/>
      <c r="L62" s="266" t="n"/>
    </row>
    <row r="63" ht="15" customHeight="1" s="180">
      <c r="A63" s="287">
        <f>'CF表（万円表示）'!R3</f>
        <v/>
      </c>
      <c r="B63" s="288">
        <f>'CF表（万円表示）'!R35</f>
        <v/>
      </c>
      <c r="C63" s="288">
        <f>'CF表（ご主人様死亡時・万円表示）'!R35</f>
        <v/>
      </c>
      <c r="D63" s="288">
        <f>'CF表（奥様死亡時・万円表示）'!R35</f>
        <v/>
      </c>
      <c r="E63" s="266" t="n"/>
      <c r="F63" s="266" t="n"/>
      <c r="G63" s="266" t="n"/>
      <c r="H63" s="266" t="n"/>
      <c r="I63" s="266" t="n"/>
      <c r="J63" s="266" t="n"/>
      <c r="K63" s="266" t="n"/>
      <c r="L63" s="266" t="n"/>
    </row>
    <row r="64" ht="15" customHeight="1" s="180">
      <c r="A64" s="287">
        <f>'CF表（万円表示）'!S3</f>
        <v/>
      </c>
      <c r="B64" s="288">
        <f>'CF表（万円表示）'!S35</f>
        <v/>
      </c>
      <c r="C64" s="288">
        <f>'CF表（ご主人様死亡時・万円表示）'!S35</f>
        <v/>
      </c>
      <c r="D64" s="288">
        <f>'CF表（奥様死亡時・万円表示）'!S35</f>
        <v/>
      </c>
      <c r="E64" s="266" t="n"/>
      <c r="F64" s="266" t="n"/>
      <c r="G64" s="266" t="n"/>
      <c r="H64" s="266" t="n"/>
      <c r="I64" s="266" t="n"/>
      <c r="J64" s="266" t="n"/>
      <c r="K64" s="266" t="n"/>
      <c r="L64" s="266" t="n"/>
    </row>
    <row r="65" ht="15" customHeight="1" s="180">
      <c r="A65" s="287">
        <f>'CF表（万円表示）'!T3</f>
        <v/>
      </c>
      <c r="B65" s="288">
        <f>'CF表（万円表示）'!T35</f>
        <v/>
      </c>
      <c r="C65" s="288">
        <f>'CF表（ご主人様死亡時・万円表示）'!T35</f>
        <v/>
      </c>
      <c r="D65" s="288">
        <f>'CF表（奥様死亡時・万円表示）'!T35</f>
        <v/>
      </c>
      <c r="E65" s="266" t="n"/>
      <c r="F65" s="266" t="n"/>
      <c r="G65" s="266" t="n"/>
      <c r="H65" s="266" t="n"/>
      <c r="I65" s="266" t="n"/>
      <c r="J65" s="266" t="n"/>
      <c r="K65" s="266" t="n"/>
      <c r="L65" s="266" t="n"/>
    </row>
    <row r="66" ht="15" customHeight="1" s="180">
      <c r="A66" s="287">
        <f>'CF表（万円表示）'!U3</f>
        <v/>
      </c>
      <c r="B66" s="288">
        <f>'CF表（万円表示）'!U35</f>
        <v/>
      </c>
      <c r="C66" s="288">
        <f>'CF表（ご主人様死亡時・万円表示）'!U35</f>
        <v/>
      </c>
      <c r="D66" s="288">
        <f>'CF表（奥様死亡時・万円表示）'!U35</f>
        <v/>
      </c>
      <c r="E66" s="266" t="n"/>
      <c r="F66" s="266" t="n"/>
      <c r="G66" s="266" t="n"/>
      <c r="H66" s="266" t="n"/>
      <c r="I66" s="266" t="n"/>
      <c r="J66" s="266" t="n"/>
      <c r="K66" s="266" t="n"/>
      <c r="L66" s="266" t="n"/>
    </row>
    <row r="67" ht="15" customHeight="1" s="180">
      <c r="A67" s="287">
        <f>'CF表（万円表示）'!V3</f>
        <v/>
      </c>
      <c r="B67" s="288">
        <f>'CF表（万円表示）'!V35</f>
        <v/>
      </c>
      <c r="C67" s="288">
        <f>'CF表（ご主人様死亡時・万円表示）'!V35</f>
        <v/>
      </c>
      <c r="D67" s="288">
        <f>'CF表（奥様死亡時・万円表示）'!V35</f>
        <v/>
      </c>
      <c r="E67" s="266" t="n"/>
      <c r="F67" s="266" t="n"/>
      <c r="G67" s="266" t="n"/>
      <c r="H67" s="266" t="n"/>
      <c r="I67" s="266" t="n"/>
      <c r="J67" s="266" t="n"/>
      <c r="K67" s="266" t="n"/>
      <c r="L67" s="266" t="n"/>
    </row>
    <row r="68" ht="15" customHeight="1" s="180">
      <c r="A68" s="287">
        <f>'CF表（万円表示）'!W3</f>
        <v/>
      </c>
      <c r="B68" s="288">
        <f>'CF表（万円表示）'!W35</f>
        <v/>
      </c>
      <c r="C68" s="288">
        <f>'CF表（ご主人様死亡時・万円表示）'!W35</f>
        <v/>
      </c>
      <c r="D68" s="288">
        <f>'CF表（奥様死亡時・万円表示）'!W35</f>
        <v/>
      </c>
      <c r="E68" s="266" t="n"/>
      <c r="F68" s="266" t="n"/>
      <c r="G68" s="266" t="n"/>
      <c r="H68" s="266" t="n"/>
      <c r="I68" s="266" t="n"/>
      <c r="J68" s="266" t="n"/>
      <c r="K68" s="266" t="n"/>
      <c r="L68" s="266" t="n"/>
    </row>
    <row r="69" ht="15" customHeight="1" s="180">
      <c r="A69" s="287">
        <f>'CF表（万円表示）'!X3</f>
        <v/>
      </c>
      <c r="B69" s="288">
        <f>'CF表（万円表示）'!X35</f>
        <v/>
      </c>
      <c r="C69" s="288">
        <f>'CF表（ご主人様死亡時・万円表示）'!X35</f>
        <v/>
      </c>
      <c r="D69" s="288">
        <f>'CF表（奥様死亡時・万円表示）'!X35</f>
        <v/>
      </c>
      <c r="E69" s="266" t="n"/>
      <c r="F69" s="266" t="n"/>
      <c r="G69" s="266" t="n"/>
      <c r="H69" s="266" t="n"/>
      <c r="I69" s="266" t="n"/>
      <c r="J69" s="266" t="n"/>
      <c r="K69" s="266" t="n"/>
      <c r="L69" s="266" t="n"/>
    </row>
    <row r="70" ht="15" customHeight="1" s="180">
      <c r="A70" s="287">
        <f>'CF表（万円表示）'!Y3</f>
        <v/>
      </c>
      <c r="B70" s="288">
        <f>'CF表（万円表示）'!Y35</f>
        <v/>
      </c>
      <c r="C70" s="288">
        <f>'CF表（ご主人様死亡時・万円表示）'!Y35</f>
        <v/>
      </c>
      <c r="D70" s="288">
        <f>'CF表（奥様死亡時・万円表示）'!Y35</f>
        <v/>
      </c>
      <c r="E70" s="266" t="n"/>
      <c r="F70" s="266" t="n"/>
      <c r="G70" s="266" t="n"/>
      <c r="H70" s="266" t="n"/>
      <c r="I70" s="266" t="n"/>
      <c r="J70" s="266" t="n"/>
      <c r="K70" s="266" t="n"/>
      <c r="L70" s="266" t="n"/>
    </row>
    <row r="71" ht="15" customHeight="1" s="180">
      <c r="A71" s="287">
        <f>'CF表（万円表示）'!Z3</f>
        <v/>
      </c>
      <c r="B71" s="288">
        <f>'CF表（万円表示）'!Z35</f>
        <v/>
      </c>
      <c r="C71" s="288">
        <f>'CF表（ご主人様死亡時・万円表示）'!Z35</f>
        <v/>
      </c>
      <c r="D71" s="288">
        <f>'CF表（奥様死亡時・万円表示）'!Z35</f>
        <v/>
      </c>
      <c r="E71" s="266" t="n"/>
      <c r="F71" s="266" t="n"/>
      <c r="G71" s="266" t="n"/>
      <c r="H71" s="266" t="n"/>
      <c r="I71" s="266" t="n"/>
      <c r="J71" s="266" t="n"/>
      <c r="K71" s="266" t="n"/>
      <c r="L71" s="266" t="n"/>
    </row>
    <row r="72" ht="15" customHeight="1" s="180">
      <c r="A72" s="287">
        <f>'CF表（万円表示）'!AA3</f>
        <v/>
      </c>
      <c r="B72" s="288">
        <f>'CF表（万円表示）'!AA35</f>
        <v/>
      </c>
      <c r="C72" s="288">
        <f>'CF表（ご主人様死亡時・万円表示）'!AA35</f>
        <v/>
      </c>
      <c r="D72" s="288">
        <f>'CF表（奥様死亡時・万円表示）'!AA35</f>
        <v/>
      </c>
      <c r="E72" s="266" t="n"/>
      <c r="F72" s="266" t="n"/>
      <c r="G72" s="266" t="n"/>
      <c r="H72" s="266" t="n"/>
      <c r="I72" s="266" t="n"/>
      <c r="J72" s="266" t="n"/>
      <c r="K72" s="266" t="n"/>
      <c r="L72" s="266" t="n"/>
    </row>
    <row r="73" ht="15" customHeight="1" s="180">
      <c r="A73" s="287">
        <f>'CF表（万円表示）'!AB3</f>
        <v/>
      </c>
      <c r="B73" s="288">
        <f>'CF表（万円表示）'!AB35</f>
        <v/>
      </c>
      <c r="C73" s="288">
        <f>'CF表（ご主人様死亡時・万円表示）'!AB35</f>
        <v/>
      </c>
      <c r="D73" s="288">
        <f>'CF表（奥様死亡時・万円表示）'!AB35</f>
        <v/>
      </c>
      <c r="E73" s="266" t="n"/>
      <c r="F73" s="266" t="n"/>
      <c r="G73" s="266" t="n"/>
      <c r="H73" s="266" t="n"/>
      <c r="I73" s="266" t="n"/>
      <c r="J73" s="266" t="n"/>
      <c r="K73" s="266" t="n"/>
      <c r="L73" s="266" t="n"/>
    </row>
    <row r="74" ht="15" customHeight="1" s="180">
      <c r="A74" s="287">
        <f>'CF表（万円表示）'!AC3</f>
        <v/>
      </c>
      <c r="B74" s="288">
        <f>'CF表（万円表示）'!AC35</f>
        <v/>
      </c>
      <c r="C74" s="288">
        <f>'CF表（ご主人様死亡時・万円表示）'!AC35</f>
        <v/>
      </c>
      <c r="D74" s="288">
        <f>'CF表（奥様死亡時・万円表示）'!AC35</f>
        <v/>
      </c>
      <c r="E74" s="266" t="n"/>
      <c r="F74" s="266" t="n"/>
      <c r="G74" s="266" t="n"/>
      <c r="H74" s="266" t="n"/>
      <c r="I74" s="266" t="n"/>
      <c r="J74" s="266" t="n"/>
      <c r="K74" s="266" t="n"/>
      <c r="L74" s="266" t="n"/>
    </row>
    <row r="75" ht="15" customHeight="1" s="180">
      <c r="A75" s="287">
        <f>'CF表（万円表示）'!AD3</f>
        <v/>
      </c>
      <c r="B75" s="288">
        <f>'CF表（万円表示）'!AD35</f>
        <v/>
      </c>
      <c r="C75" s="288">
        <f>'CF表（ご主人様死亡時・万円表示）'!AD35</f>
        <v/>
      </c>
      <c r="D75" s="288">
        <f>'CF表（奥様死亡時・万円表示）'!AD35</f>
        <v/>
      </c>
      <c r="E75" s="266" t="n"/>
      <c r="F75" s="266" t="n"/>
      <c r="G75" s="266" t="n"/>
      <c r="H75" s="266" t="n"/>
      <c r="I75" s="266" t="n"/>
      <c r="J75" s="266" t="n"/>
      <c r="K75" s="266" t="n"/>
      <c r="L75" s="266" t="n"/>
    </row>
    <row r="76" ht="15" customHeight="1" s="180">
      <c r="A76" s="287">
        <f>'CF表（万円表示）'!AE3</f>
        <v/>
      </c>
      <c r="B76" s="288">
        <f>'CF表（万円表示）'!AE35</f>
        <v/>
      </c>
      <c r="C76" s="288">
        <f>'CF表（ご主人様死亡時・万円表示）'!AE35</f>
        <v/>
      </c>
      <c r="D76" s="288">
        <f>'CF表（奥様死亡時・万円表示）'!AE35</f>
        <v/>
      </c>
      <c r="E76" s="266" t="n"/>
      <c r="F76" s="266" t="n"/>
      <c r="G76" s="266" t="n"/>
      <c r="H76" s="266" t="n"/>
      <c r="I76" s="266" t="n"/>
      <c r="J76" s="266" t="n"/>
      <c r="K76" s="266" t="n"/>
      <c r="L76" s="266" t="n"/>
    </row>
    <row r="77" ht="15" customHeight="1" s="180">
      <c r="A77" s="287">
        <f>'CF表（万円表示）'!AF3</f>
        <v/>
      </c>
      <c r="B77" s="288">
        <f>'CF表（万円表示）'!AF35</f>
        <v/>
      </c>
      <c r="C77" s="288">
        <f>'CF表（ご主人様死亡時・万円表示）'!AF35</f>
        <v/>
      </c>
      <c r="D77" s="288">
        <f>'CF表（奥様死亡時・万円表示）'!AF35</f>
        <v/>
      </c>
      <c r="E77" s="266" t="n"/>
      <c r="F77" s="266" t="n"/>
      <c r="G77" s="266" t="n"/>
      <c r="H77" s="266" t="n"/>
      <c r="I77" s="266" t="n"/>
      <c r="J77" s="266" t="n"/>
      <c r="K77" s="266" t="n"/>
      <c r="L77" s="266" t="n"/>
    </row>
    <row r="78" ht="15" customHeight="1" s="180">
      <c r="A78" s="287">
        <f>'CF表（万円表示）'!AG3</f>
        <v/>
      </c>
      <c r="B78" s="288">
        <f>'CF表（万円表示）'!AG35</f>
        <v/>
      </c>
      <c r="C78" s="288">
        <f>'CF表（ご主人様死亡時・万円表示）'!AG35</f>
        <v/>
      </c>
      <c r="D78" s="288">
        <f>'CF表（奥様死亡時・万円表示）'!AG35</f>
        <v/>
      </c>
      <c r="E78" s="266" t="n"/>
      <c r="F78" s="266" t="n"/>
      <c r="G78" s="266" t="n"/>
      <c r="H78" s="266" t="n"/>
      <c r="I78" s="266" t="n"/>
      <c r="J78" s="266" t="n"/>
      <c r="K78" s="266" t="n"/>
      <c r="L78" s="266" t="n"/>
    </row>
    <row r="79" ht="15" customHeight="1" s="180">
      <c r="A79" s="287">
        <f>'CF表（万円表示）'!AH3</f>
        <v/>
      </c>
      <c r="B79" s="288">
        <f>'CF表（万円表示）'!AH35</f>
        <v/>
      </c>
      <c r="C79" s="288">
        <f>'CF表（ご主人様死亡時・万円表示）'!AH35</f>
        <v/>
      </c>
      <c r="D79" s="288">
        <f>'CF表（奥様死亡時・万円表示）'!AH35</f>
        <v/>
      </c>
      <c r="E79" s="266" t="n"/>
      <c r="F79" s="266" t="n"/>
      <c r="G79" s="266" t="n"/>
      <c r="H79" s="266" t="n"/>
      <c r="I79" s="266" t="n"/>
      <c r="J79" s="266" t="n"/>
      <c r="K79" s="266" t="n"/>
      <c r="L79" s="266" t="n"/>
    </row>
    <row r="80" ht="15" customHeight="1" s="180">
      <c r="A80" s="287">
        <f>'CF表（万円表示）'!AI3</f>
        <v/>
      </c>
      <c r="B80" s="288">
        <f>'CF表（万円表示）'!AI35</f>
        <v/>
      </c>
      <c r="C80" s="288">
        <f>'CF表（ご主人様死亡時・万円表示）'!AI35</f>
        <v/>
      </c>
      <c r="D80" s="288">
        <f>'CF表（奥様死亡時・万円表示）'!AI35</f>
        <v/>
      </c>
      <c r="E80" s="266" t="n"/>
      <c r="F80" s="266" t="n"/>
      <c r="G80" s="266" t="n"/>
      <c r="H80" s="266" t="n"/>
      <c r="I80" s="266" t="n"/>
      <c r="J80" s="266" t="n"/>
      <c r="K80" s="266" t="n"/>
      <c r="L80" s="266" t="n"/>
    </row>
    <row r="81" ht="15" customHeight="1" s="180">
      <c r="A81" s="289">
        <f>'CF表（万円表示）'!AJ3</f>
        <v/>
      </c>
      <c r="B81" s="290">
        <f>'CF表（万円表示）'!AJ35</f>
        <v/>
      </c>
      <c r="C81" s="290">
        <f>'CF表（ご主人様死亡時・万円表示）'!AJ35</f>
        <v/>
      </c>
      <c r="D81" s="290">
        <f>'CF表（奥様死亡時・万円表示）'!AJ35</f>
        <v/>
      </c>
    </row>
    <row r="82" ht="15" customHeight="1" s="180">
      <c r="A82" s="289">
        <f>'CF表（万円表示）'!AK3</f>
        <v/>
      </c>
      <c r="B82" s="290">
        <f>'CF表（万円表示）'!AK35</f>
        <v/>
      </c>
      <c r="C82" s="290">
        <f>'CF表（ご主人様死亡時・万円表示）'!AK35</f>
        <v/>
      </c>
      <c r="D82" s="290">
        <f>'CF表（奥様死亡時・万円表示）'!AK35</f>
        <v/>
      </c>
    </row>
    <row r="83" ht="15" customHeight="1" s="180">
      <c r="A83" s="289">
        <f>'CF表（万円表示）'!AL3</f>
        <v/>
      </c>
      <c r="B83" s="290">
        <f>'CF表（万円表示）'!AL35</f>
        <v/>
      </c>
      <c r="C83" s="290">
        <f>'CF表（ご主人様死亡時・万円表示）'!AL35</f>
        <v/>
      </c>
      <c r="D83" s="290">
        <f>'CF表（奥様死亡時・万円表示）'!AL35</f>
        <v/>
      </c>
    </row>
    <row r="84" ht="15" customHeight="1" s="180">
      <c r="A84" s="289">
        <f>'CF表（万円表示）'!AM3</f>
        <v/>
      </c>
      <c r="B84" s="290">
        <f>'CF表（万円表示）'!AM35</f>
        <v/>
      </c>
      <c r="C84" s="290">
        <f>'CF表（ご主人様死亡時・万円表示）'!AM35</f>
        <v/>
      </c>
      <c r="D84" s="290">
        <f>'CF表（奥様死亡時・万円表示）'!AM35</f>
        <v/>
      </c>
    </row>
    <row r="85" ht="15" customHeight="1" s="180">
      <c r="A85" s="289">
        <f>'CF表（万円表示）'!AN3</f>
        <v/>
      </c>
      <c r="B85" s="290">
        <f>'CF表（万円表示）'!AN35</f>
        <v/>
      </c>
      <c r="C85" s="290">
        <f>'CF表（ご主人様死亡時・万円表示）'!AN35</f>
        <v/>
      </c>
      <c r="D85" s="290">
        <f>'CF表（奥様死亡時・万円表示）'!AN35</f>
        <v/>
      </c>
    </row>
    <row r="86" ht="15" customHeight="1" s="180">
      <c r="A86" s="289">
        <f>'CF表（万円表示）'!AO3</f>
        <v/>
      </c>
      <c r="B86" s="290">
        <f>'CF表（万円表示）'!AO35</f>
        <v/>
      </c>
      <c r="C86" s="290">
        <f>'CF表（ご主人様死亡時・万円表示）'!AO35</f>
        <v/>
      </c>
      <c r="D86" s="290">
        <f>'CF表（奥様死亡時・万円表示）'!AO35</f>
        <v/>
      </c>
    </row>
    <row r="87" ht="15" customHeight="1" s="180">
      <c r="A87" s="289">
        <f>'CF表（万円表示）'!AP3</f>
        <v/>
      </c>
      <c r="B87" s="290">
        <f>'CF表（万円表示）'!AP35</f>
        <v/>
      </c>
      <c r="C87" s="290">
        <f>'CF表（ご主人様死亡時・万円表示）'!AP35</f>
        <v/>
      </c>
      <c r="D87" s="290">
        <f>'CF表（奥様死亡時・万円表示）'!AP35</f>
        <v/>
      </c>
    </row>
    <row r="88" ht="15" customHeight="1" s="180">
      <c r="A88" s="289">
        <f>'CF表（万円表示）'!AQ3</f>
        <v/>
      </c>
      <c r="B88" s="290">
        <f>'CF表（万円表示）'!AQ35</f>
        <v/>
      </c>
      <c r="C88" s="290">
        <f>'CF表（ご主人様死亡時・万円表示）'!AQ35</f>
        <v/>
      </c>
      <c r="D88" s="290">
        <f>'CF表（奥様死亡時・万円表示）'!AQ35</f>
        <v/>
      </c>
    </row>
    <row r="89" ht="15" customHeight="1" s="180">
      <c r="A89" s="289">
        <f>'CF表（万円表示）'!AR3</f>
        <v/>
      </c>
      <c r="B89" s="290">
        <f>'CF表（万円表示）'!AR35</f>
        <v/>
      </c>
      <c r="C89" s="290">
        <f>'CF表（ご主人様死亡時・万円表示）'!AR35</f>
        <v/>
      </c>
      <c r="D89" s="290">
        <f>'CF表（奥様死亡時・万円表示）'!AR35</f>
        <v/>
      </c>
    </row>
    <row r="90" ht="15" customHeight="1" s="180">
      <c r="A90" s="289">
        <f>'CF表（万円表示）'!AS3</f>
        <v/>
      </c>
      <c r="B90" s="290">
        <f>'CF表（万円表示）'!AS35</f>
        <v/>
      </c>
      <c r="C90" s="290">
        <f>'CF表（ご主人様死亡時・万円表示）'!AS35</f>
        <v/>
      </c>
      <c r="D90" s="290">
        <f>'CF表（奥様死亡時・万円表示）'!AS35</f>
        <v/>
      </c>
    </row>
    <row r="91" ht="15" customHeight="1" s="180">
      <c r="A91" s="289">
        <f>'CF表（万円表示）'!AT3</f>
        <v/>
      </c>
      <c r="B91" s="290">
        <f>'CF表（万円表示）'!AT35</f>
        <v/>
      </c>
      <c r="C91" s="290">
        <f>'CF表（ご主人様死亡時・万円表示）'!AT35</f>
        <v/>
      </c>
      <c r="D91" s="290">
        <f>'CF表（奥様死亡時・万円表示）'!AT35</f>
        <v/>
      </c>
    </row>
    <row r="92" ht="15" customHeight="1" s="180">
      <c r="A92" s="289">
        <f>'CF表（万円表示）'!AU3</f>
        <v/>
      </c>
      <c r="B92" s="290">
        <f>'CF表（万円表示）'!AU35</f>
        <v/>
      </c>
      <c r="C92" s="290">
        <f>'CF表（ご主人様死亡時・万円表示）'!AU35</f>
        <v/>
      </c>
      <c r="D92" s="290">
        <f>'CF表（奥様死亡時・万円表示）'!AU35</f>
        <v/>
      </c>
    </row>
    <row r="93" ht="15" customHeight="1" s="180">
      <c r="A93" s="289">
        <f>'CF表（万円表示）'!AV3</f>
        <v/>
      </c>
      <c r="B93" s="290">
        <f>'CF表（万円表示）'!AV35</f>
        <v/>
      </c>
      <c r="C93" s="290">
        <f>'CF表（ご主人様死亡時・万円表示）'!AV35</f>
        <v/>
      </c>
      <c r="D93" s="290">
        <f>'CF表（奥様死亡時・万円表示）'!AV35</f>
        <v/>
      </c>
    </row>
    <row r="94" ht="15" customHeight="1" s="180">
      <c r="A94" s="289">
        <f>'CF表（万円表示）'!AW3</f>
        <v/>
      </c>
      <c r="B94" s="290">
        <f>'CF表（万円表示）'!AW35</f>
        <v/>
      </c>
      <c r="C94" s="290">
        <f>'CF表（ご主人様死亡時・万円表示）'!AW35</f>
        <v/>
      </c>
      <c r="D94" s="290">
        <f>'CF表（奥様死亡時・万円表示）'!AW35</f>
        <v/>
      </c>
    </row>
    <row r="95" ht="15" customHeight="1" s="180">
      <c r="A95" s="289">
        <f>'CF表（万円表示）'!AX3</f>
        <v/>
      </c>
      <c r="B95" s="290">
        <f>'CF表（万円表示）'!AX35</f>
        <v/>
      </c>
      <c r="C95" s="290">
        <f>'CF表（ご主人様死亡時・万円表示）'!AX35</f>
        <v/>
      </c>
      <c r="D95" s="290">
        <f>'CF表（奥様死亡時・万円表示）'!AX35</f>
        <v/>
      </c>
    </row>
    <row r="96" ht="15" customHeight="1" s="180">
      <c r="A96" s="289">
        <f>'CF表（万円表示）'!AY3</f>
        <v/>
      </c>
      <c r="B96" s="290">
        <f>'CF表（万円表示）'!AY35</f>
        <v/>
      </c>
      <c r="C96" s="290">
        <f>'CF表（ご主人様死亡時・万円表示）'!AY35</f>
        <v/>
      </c>
      <c r="D96" s="290">
        <f>'CF表（奥様死亡時・万円表示）'!AY35</f>
        <v/>
      </c>
    </row>
    <row r="97" ht="15" customHeight="1" s="180">
      <c r="A97" s="289">
        <f>'CF表（万円表示）'!AZ3</f>
        <v/>
      </c>
      <c r="B97" s="290">
        <f>'CF表（万円表示）'!AZ35</f>
        <v/>
      </c>
      <c r="C97" s="290">
        <f>'CF表（ご主人様死亡時・万円表示）'!AZ35</f>
        <v/>
      </c>
      <c r="D97" s="290">
        <f>'CF表（奥様死亡時・万円表示）'!AZ35</f>
        <v/>
      </c>
    </row>
    <row r="98" ht="15" customHeight="1" s="180">
      <c r="A98" s="289">
        <f>'CF表（万円表示）'!BA3</f>
        <v/>
      </c>
      <c r="B98" s="290">
        <f>'CF表（万円表示）'!BA35</f>
        <v/>
      </c>
      <c r="C98" s="290">
        <f>'CF表（ご主人様死亡時・万円表示）'!BA35</f>
        <v/>
      </c>
      <c r="D98" s="290">
        <f>'CF表（奥様死亡時・万円表示）'!BA35</f>
        <v/>
      </c>
    </row>
    <row r="99" ht="15" customHeight="1" s="180">
      <c r="A99" s="289">
        <f>'CF表（万円表示）'!BB3</f>
        <v/>
      </c>
      <c r="B99" s="290">
        <f>'CF表（万円表示）'!BB35</f>
        <v/>
      </c>
      <c r="C99" s="290">
        <f>'CF表（ご主人様死亡時・万円表示）'!BB35</f>
        <v/>
      </c>
      <c r="D99" s="290">
        <f>'CF表（奥様死亡時・万円表示）'!BB35</f>
        <v/>
      </c>
    </row>
    <row r="100" ht="15" customHeight="1" s="180">
      <c r="A100" s="289">
        <f>'CF表（万円表示）'!BC3</f>
        <v/>
      </c>
      <c r="B100" s="290">
        <f>'CF表（万円表示）'!BC35</f>
        <v/>
      </c>
      <c r="C100" s="290">
        <f>'CF表（ご主人様死亡時・万円表示）'!BC35</f>
        <v/>
      </c>
      <c r="D100" s="290">
        <f>'CF表（奥様死亡時・万円表示）'!BC35</f>
        <v/>
      </c>
    </row>
    <row r="101" ht="15" customHeight="1" s="180">
      <c r="A101" s="289">
        <f>'CF表（万円表示）'!BD3</f>
        <v/>
      </c>
      <c r="B101" s="290">
        <f>'CF表（万円表示）'!BD35</f>
        <v/>
      </c>
      <c r="C101" s="290">
        <f>'CF表（ご主人様死亡時・万円表示）'!BD35</f>
        <v/>
      </c>
      <c r="D101" s="290">
        <f>'CF表（奥様死亡時・万円表示）'!BD35</f>
        <v/>
      </c>
    </row>
    <row r="102" ht="15" customHeight="1" s="180">
      <c r="A102" s="289">
        <f>'CF表（万円表示）'!BE3</f>
        <v/>
      </c>
      <c r="B102" s="290">
        <f>'CF表（万円表示）'!BE35</f>
        <v/>
      </c>
      <c r="C102" s="290">
        <f>'CF表（ご主人様死亡時・万円表示）'!BE35</f>
        <v/>
      </c>
      <c r="D102" s="290">
        <f>'CF表（奥様死亡時・万円表示）'!BE35</f>
        <v/>
      </c>
    </row>
    <row r="103" ht="15" customHeight="1" s="180">
      <c r="A103" s="289">
        <f>'CF表（万円表示）'!BF3</f>
        <v/>
      </c>
      <c r="B103" s="290">
        <f>'CF表（万円表示）'!BF35</f>
        <v/>
      </c>
      <c r="C103" s="290">
        <f>'CF表（ご主人様死亡時・万円表示）'!BF35</f>
        <v/>
      </c>
      <c r="D103" s="290">
        <f>'CF表（奥様死亡時・万円表示）'!BF35</f>
        <v/>
      </c>
    </row>
    <row r="104" ht="15" customHeight="1" s="180">
      <c r="A104" s="289">
        <f>'CF表（万円表示）'!BG3</f>
        <v/>
      </c>
      <c r="B104" s="290">
        <f>'CF表（万円表示）'!BG35</f>
        <v/>
      </c>
      <c r="C104" s="290">
        <f>'CF表（ご主人様死亡時・万円表示）'!BG35</f>
        <v/>
      </c>
      <c r="D104" s="290">
        <f>'CF表（奥様死亡時・万円表示）'!BG35</f>
        <v/>
      </c>
    </row>
    <row r="105" ht="15" customHeight="1" s="180">
      <c r="A105" s="289">
        <f>'CF表（万円表示）'!BH3</f>
        <v/>
      </c>
      <c r="B105" s="290">
        <f>'CF表（万円表示）'!BH35</f>
        <v/>
      </c>
      <c r="C105" s="290">
        <f>'CF表（ご主人様死亡時・万円表示）'!BH35</f>
        <v/>
      </c>
      <c r="D105" s="290">
        <f>'CF表（奥様死亡時・万円表示）'!BH35</f>
        <v/>
      </c>
    </row>
    <row r="106" ht="15" customHeight="1" s="180">
      <c r="A106" s="289">
        <f>'CF表（万円表示）'!BI3</f>
        <v/>
      </c>
      <c r="B106" s="290">
        <f>'CF表（万円表示）'!BI35</f>
        <v/>
      </c>
      <c r="C106" s="290">
        <f>'CF表（ご主人様死亡時・万円表示）'!BI35</f>
        <v/>
      </c>
      <c r="D106" s="290">
        <f>'CF表（奥様死亡時・万円表示）'!BI35</f>
        <v/>
      </c>
    </row>
    <row r="107" ht="15" customHeight="1" s="180">
      <c r="A107" s="289">
        <f>'CF表（万円表示）'!BJ3</f>
        <v/>
      </c>
      <c r="B107" s="290">
        <f>'CF表（万円表示）'!BJ35</f>
        <v/>
      </c>
      <c r="C107" s="290">
        <f>'CF表（ご主人様死亡時・万円表示）'!BJ35</f>
        <v/>
      </c>
      <c r="D107" s="290">
        <f>'CF表（奥様死亡時・万円表示）'!BJ35</f>
        <v/>
      </c>
    </row>
    <row r="108" ht="15" customHeight="1" s="180">
      <c r="A108" s="289">
        <f>'CF表（万円表示）'!BK3</f>
        <v/>
      </c>
      <c r="B108" s="290">
        <f>'CF表（万円表示）'!BK35</f>
        <v/>
      </c>
      <c r="C108" s="290">
        <f>'CF表（ご主人様死亡時・万円表示）'!BK35</f>
        <v/>
      </c>
      <c r="D108" s="290">
        <f>'CF表（奥様死亡時・万円表示）'!BK35</f>
        <v/>
      </c>
    </row>
    <row r="109" ht="15" customHeight="1" s="180">
      <c r="A109" s="289">
        <f>'CF表（万円表示）'!BL3</f>
        <v/>
      </c>
      <c r="B109" s="290">
        <f>'CF表（万円表示）'!BL35</f>
        <v/>
      </c>
      <c r="C109" s="290">
        <f>'CF表（ご主人様死亡時・万円表示）'!BL35</f>
        <v/>
      </c>
      <c r="D109" s="290">
        <f>'CF表（奥様死亡時・万円表示）'!BL35</f>
        <v/>
      </c>
    </row>
    <row r="110" ht="15" customHeight="1" s="180">
      <c r="A110" s="289">
        <f>'CF表（万円表示）'!BM3</f>
        <v/>
      </c>
      <c r="B110" s="290">
        <f>'CF表（万円表示）'!BM35</f>
        <v/>
      </c>
      <c r="C110" s="290">
        <f>'CF表（ご主人様死亡時・万円表示）'!BM35</f>
        <v/>
      </c>
      <c r="D110" s="290">
        <f>'CF表（奥様死亡時・万円表示）'!BM35</f>
        <v/>
      </c>
    </row>
    <row r="111" ht="15" customHeight="1" s="180">
      <c r="A111" s="289">
        <f>'CF表（万円表示）'!BN3</f>
        <v/>
      </c>
      <c r="B111" s="290">
        <f>'CF表（万円表示）'!BN35</f>
        <v/>
      </c>
      <c r="C111" s="290">
        <f>'CF表（ご主人様死亡時・万円表示）'!BN35</f>
        <v/>
      </c>
      <c r="D111" s="290">
        <f>'CF表（奥様死亡時・万円表示）'!BN35</f>
        <v/>
      </c>
    </row>
    <row r="112" ht="15" customHeight="1" s="180">
      <c r="A112" s="289">
        <f>'CF表（万円表示）'!BO3</f>
        <v/>
      </c>
      <c r="B112" s="290">
        <f>'CF表（万円表示）'!BO35</f>
        <v/>
      </c>
      <c r="C112" s="290">
        <f>'CF表（ご主人様死亡時・万円表示）'!BO35</f>
        <v/>
      </c>
      <c r="D112" s="290">
        <f>'CF表（奥様死亡時・万円表示）'!BO35</f>
        <v/>
      </c>
    </row>
    <row r="113" ht="15" customHeight="1" s="180">
      <c r="A113" s="289">
        <f>'CF表（万円表示）'!BP3</f>
        <v/>
      </c>
      <c r="B113" s="290">
        <f>'CF表（万円表示）'!BP35</f>
        <v/>
      </c>
      <c r="C113" s="290">
        <f>'CF表（ご主人様死亡時・万円表示）'!BP35</f>
        <v/>
      </c>
      <c r="D113" s="290">
        <f>'CF表（奥様死亡時・万円表示）'!BP35</f>
        <v/>
      </c>
    </row>
    <row r="114" ht="15" customHeight="1" s="180">
      <c r="A114" s="289">
        <f>'CF表（万円表示）'!BQ3</f>
        <v/>
      </c>
      <c r="B114" s="290">
        <f>'CF表（万円表示）'!BQ35</f>
        <v/>
      </c>
      <c r="C114" s="290">
        <f>'CF表（ご主人様死亡時・万円表示）'!BQ35</f>
        <v/>
      </c>
      <c r="D114" s="290">
        <f>'CF表（奥様死亡時・万円表示）'!BQ35</f>
        <v/>
      </c>
    </row>
    <row r="115" ht="15" customHeight="1" s="180">
      <c r="A115" s="289">
        <f>'CF表（万円表示）'!BR3</f>
        <v/>
      </c>
      <c r="B115" s="290">
        <f>'CF表（万円表示）'!BR35</f>
        <v/>
      </c>
      <c r="C115" s="290">
        <f>'CF表（ご主人様死亡時・万円表示）'!BR35</f>
        <v/>
      </c>
      <c r="D115" s="290">
        <f>'CF表（奥様死亡時・万円表示）'!BR35</f>
        <v/>
      </c>
    </row>
    <row r="116" ht="15" customHeight="1" s="180">
      <c r="A116" s="289">
        <f>'CF表（万円表示）'!BS3</f>
        <v/>
      </c>
      <c r="B116" s="290">
        <f>'CF表（万円表示）'!BS35</f>
        <v/>
      </c>
      <c r="C116" s="290">
        <f>'CF表（ご主人様死亡時・万円表示）'!BS35</f>
        <v/>
      </c>
      <c r="D116" s="290">
        <f>'CF表（奥様死亡時・万円表示）'!BS35</f>
        <v/>
      </c>
    </row>
    <row r="117" ht="15" customHeight="1" s="180">
      <c r="A117" s="289">
        <f>'CF表（万円表示）'!BT3</f>
        <v/>
      </c>
      <c r="B117" s="290">
        <f>'CF表（万円表示）'!BT35</f>
        <v/>
      </c>
      <c r="C117" s="290">
        <f>'CF表（ご主人様死亡時・万円表示）'!BT35</f>
        <v/>
      </c>
      <c r="D117" s="290">
        <f>'CF表（奥様死亡時・万円表示）'!BT35</f>
        <v/>
      </c>
    </row>
    <row r="118" ht="15" customHeight="1" s="180">
      <c r="A118" s="289">
        <f>'CF表（万円表示）'!BU3</f>
        <v/>
      </c>
      <c r="B118" s="290">
        <f>'CF表（万円表示）'!BU35</f>
        <v/>
      </c>
      <c r="C118" s="290">
        <f>'CF表（ご主人様死亡時・万円表示）'!BU35</f>
        <v/>
      </c>
      <c r="D118" s="290">
        <f>'CF表（奥様死亡時・万円表示）'!BU35</f>
        <v/>
      </c>
    </row>
    <row r="119" ht="15" customHeight="1" s="180">
      <c r="A119" s="289">
        <f>'CF表（万円表示）'!BV3</f>
        <v/>
      </c>
      <c r="B119" s="290">
        <f>'CF表（万円表示）'!BV35</f>
        <v/>
      </c>
      <c r="C119" s="290">
        <f>'CF表（ご主人様死亡時・万円表示）'!BV35</f>
        <v/>
      </c>
      <c r="D119" s="290">
        <f>'CF表（奥様死亡時・万円表示）'!BV35</f>
        <v/>
      </c>
    </row>
    <row r="120" ht="15" customHeight="1" s="180">
      <c r="A120" s="289">
        <f>'CF表（万円表示）'!BW3</f>
        <v/>
      </c>
      <c r="B120" s="290">
        <f>'CF表（万円表示）'!BW35</f>
        <v/>
      </c>
      <c r="C120" s="290">
        <f>'CF表（ご主人様死亡時・万円表示）'!BW35</f>
        <v/>
      </c>
      <c r="D120" s="290">
        <f>'CF表（奥様死亡時・万円表示）'!BW35</f>
        <v/>
      </c>
    </row>
    <row r="121" ht="15" customHeight="1" s="180">
      <c r="A121" s="289">
        <f>'CF表（万円表示）'!BX3</f>
        <v/>
      </c>
      <c r="B121" s="290">
        <f>'CF表（万円表示）'!BX35</f>
        <v/>
      </c>
      <c r="C121" s="290">
        <f>'CF表（ご主人様死亡時・万円表示）'!BX35</f>
        <v/>
      </c>
      <c r="D121" s="290">
        <f>'CF表（奥様死亡時・万円表示）'!BX35</f>
        <v/>
      </c>
    </row>
    <row r="122" ht="15" customHeight="1" s="180">
      <c r="A122" s="289">
        <f>'CF表（万円表示）'!BY3</f>
        <v/>
      </c>
      <c r="B122" s="290">
        <f>'CF表（万円表示）'!BY35</f>
        <v/>
      </c>
      <c r="C122" s="290">
        <f>'CF表（ご主人様死亡時・万円表示）'!BY35</f>
        <v/>
      </c>
      <c r="D122" s="290">
        <f>'CF表（奥様死亡時・万円表示）'!BY35</f>
        <v/>
      </c>
    </row>
    <row r="123" ht="15" customHeight="1" s="180">
      <c r="A123" s="289">
        <f>'CF表（万円表示）'!BZ3</f>
        <v/>
      </c>
      <c r="B123" s="290">
        <f>'CF表（万円表示）'!BZ35</f>
        <v/>
      </c>
      <c r="C123" s="290">
        <f>'CF表（ご主人様死亡時・万円表示）'!BZ35</f>
        <v/>
      </c>
      <c r="D123" s="290">
        <f>'CF表（奥様死亡時・万円表示）'!BZ35</f>
        <v/>
      </c>
    </row>
    <row r="124" ht="15" customHeight="1" s="180">
      <c r="A124" s="289">
        <f>'CF表（万円表示）'!CA3</f>
        <v/>
      </c>
      <c r="B124" s="290">
        <f>'CF表（万円表示）'!CA35</f>
        <v/>
      </c>
      <c r="C124" s="290">
        <f>'CF表（ご主人様死亡時・万円表示）'!CA35</f>
        <v/>
      </c>
      <c r="D124" s="290">
        <f>'CF表（奥様死亡時・万円表示）'!CA35</f>
        <v/>
      </c>
    </row>
    <row r="125" ht="15" customHeight="1" s="180">
      <c r="A125" s="289">
        <f>'CF表（万円表示）'!CB3</f>
        <v/>
      </c>
      <c r="B125" s="290">
        <f>'CF表（万円表示）'!CB35</f>
        <v/>
      </c>
      <c r="C125" s="290">
        <f>'CF表（ご主人様死亡時・万円表示）'!CB35</f>
        <v/>
      </c>
      <c r="D125" s="290">
        <f>'CF表（奥様死亡時・万円表示）'!CB35</f>
        <v/>
      </c>
    </row>
    <row r="126" ht="15" customHeight="1" s="180">
      <c r="A126" s="289">
        <f>'CF表（万円表示）'!CC3</f>
        <v/>
      </c>
      <c r="B126" s="290">
        <f>'CF表（万円表示）'!CC35</f>
        <v/>
      </c>
      <c r="C126" s="290">
        <f>'CF表（ご主人様死亡時・万円表示）'!CC35</f>
        <v/>
      </c>
      <c r="D126" s="290">
        <f>'CF表（奥様死亡時・万円表示）'!CC35</f>
        <v/>
      </c>
    </row>
    <row r="127" ht="15" customHeight="1" s="180">
      <c r="A127" s="289">
        <f>'CF表（万円表示）'!CD3</f>
        <v/>
      </c>
      <c r="B127" s="290">
        <f>'CF表（万円表示）'!CD35</f>
        <v/>
      </c>
      <c r="C127" s="290">
        <f>'CF表（ご主人様死亡時・万円表示）'!CD35</f>
        <v/>
      </c>
      <c r="D127" s="290">
        <f>'CF表（奥様死亡時・万円表示）'!CD35</f>
        <v/>
      </c>
    </row>
    <row r="128" ht="15" customHeight="1" s="180">
      <c r="A128" s="289">
        <f>'CF表（万円表示）'!CE3</f>
        <v/>
      </c>
      <c r="B128" s="290">
        <f>'CF表（万円表示）'!CE35</f>
        <v/>
      </c>
      <c r="C128" s="290">
        <f>'CF表（ご主人様死亡時・万円表示）'!CE35</f>
        <v/>
      </c>
      <c r="D128" s="290">
        <f>'CF表（奥様死亡時・万円表示）'!CE35</f>
        <v/>
      </c>
    </row>
    <row r="129" ht="15" customHeight="1" s="180">
      <c r="A129" s="289">
        <f>'CF表（万円表示）'!CF3</f>
        <v/>
      </c>
      <c r="B129" s="290">
        <f>'CF表（万円表示）'!CF35</f>
        <v/>
      </c>
      <c r="C129" s="290">
        <f>'CF表（ご主人様死亡時・万円表示）'!CF35</f>
        <v/>
      </c>
      <c r="D129" s="290">
        <f>'CF表（奥様死亡時・万円表示）'!CF35</f>
        <v/>
      </c>
    </row>
    <row r="130" ht="15" customHeight="1" s="180">
      <c r="A130" s="289">
        <f>'CF表（万円表示）'!CG3</f>
        <v/>
      </c>
      <c r="B130" s="290">
        <f>'CF表（万円表示）'!CG35</f>
        <v/>
      </c>
      <c r="C130" s="290">
        <f>'CF表（ご主人様死亡時・万円表示）'!CG35</f>
        <v/>
      </c>
      <c r="D130" s="290">
        <f>'CF表（奥様死亡時・万円表示）'!CG35</f>
        <v/>
      </c>
    </row>
    <row r="131" ht="15" customHeight="1" s="180">
      <c r="A131" s="289">
        <f>'CF表（万円表示）'!CH3</f>
        <v/>
      </c>
      <c r="B131" s="290">
        <f>'CF表（万円表示）'!CH35</f>
        <v/>
      </c>
      <c r="C131" s="290">
        <f>'CF表（ご主人様死亡時・万円表示）'!CH35</f>
        <v/>
      </c>
      <c r="D131" s="290">
        <f>'CF表（奥様死亡時・万円表示）'!CH35</f>
        <v/>
      </c>
    </row>
    <row r="132" ht="15" customHeight="1" s="180">
      <c r="A132" s="289">
        <f>'CF表（万円表示）'!CI3</f>
        <v/>
      </c>
      <c r="B132" s="290">
        <f>'CF表（万円表示）'!CI35</f>
        <v/>
      </c>
      <c r="C132" s="290">
        <f>'CF表（ご主人様死亡時・万円表示）'!CI35</f>
        <v/>
      </c>
      <c r="D132" s="290">
        <f>'CF表（奥様死亡時・万円表示）'!CI35</f>
        <v/>
      </c>
    </row>
    <row r="133" ht="15" customHeight="1" s="180">
      <c r="A133" s="289">
        <f>'CF表（万円表示）'!CJ3</f>
        <v/>
      </c>
      <c r="B133" s="290">
        <f>'CF表（万円表示）'!CJ35</f>
        <v/>
      </c>
      <c r="C133" s="290">
        <f>'CF表（ご主人様死亡時・万円表示）'!CJ35</f>
        <v/>
      </c>
      <c r="D133" s="290">
        <f>'CF表（奥様死亡時・万円表示）'!CJ35</f>
        <v/>
      </c>
    </row>
    <row r="134" ht="15" customHeight="1" s="180">
      <c r="A134" s="289">
        <f>'CF表（万円表示）'!CK3</f>
        <v/>
      </c>
      <c r="B134" s="290">
        <f>'CF表（万円表示）'!CK35</f>
        <v/>
      </c>
      <c r="C134" s="290">
        <f>'CF表（ご主人様死亡時・万円表示）'!CK35</f>
        <v/>
      </c>
      <c r="D134" s="290">
        <f>'CF表（奥様死亡時・万円表示）'!CK35</f>
        <v/>
      </c>
    </row>
    <row r="135" ht="15" customHeight="1" s="180">
      <c r="A135" s="289">
        <f>'CF表（万円表示）'!CL3</f>
        <v/>
      </c>
      <c r="B135" s="290">
        <f>'CF表（万円表示）'!CL35</f>
        <v/>
      </c>
      <c r="C135" s="290">
        <f>'CF表（ご主人様死亡時・万円表示）'!CL35</f>
        <v/>
      </c>
      <c r="D135" s="290">
        <f>'CF表（奥様死亡時・万円表示）'!CL35</f>
        <v/>
      </c>
    </row>
    <row r="136" ht="15" customHeight="1" s="180">
      <c r="A136" s="289">
        <f>'CF表（万円表示）'!CM3</f>
        <v/>
      </c>
      <c r="B136" s="290">
        <f>'CF表（万円表示）'!CM35</f>
        <v/>
      </c>
      <c r="C136" s="290">
        <f>'CF表（ご主人様死亡時・万円表示）'!CM35</f>
        <v/>
      </c>
      <c r="D136" s="290">
        <f>'CF表（奥様死亡時・万円表示）'!CM35</f>
        <v/>
      </c>
    </row>
    <row r="137" ht="15" customHeight="1" s="180">
      <c r="A137" s="289">
        <f>'CF表（万円表示）'!CN3</f>
        <v/>
      </c>
      <c r="B137" s="290">
        <f>'CF表（万円表示）'!CN35</f>
        <v/>
      </c>
      <c r="C137" s="290">
        <f>'CF表（ご主人様死亡時・万円表示）'!CN35</f>
        <v/>
      </c>
      <c r="D137" s="290">
        <f>'CF表（奥様死亡時・万円表示）'!CN35</f>
        <v/>
      </c>
    </row>
    <row r="138" ht="15" customHeight="1" s="180">
      <c r="A138" s="289">
        <f>'CF表（万円表示）'!CO3</f>
        <v/>
      </c>
      <c r="B138" s="290">
        <f>'CF表（万円表示）'!CO35</f>
        <v/>
      </c>
      <c r="C138" s="290">
        <f>'CF表（ご主人様死亡時・万円表示）'!CO35</f>
        <v/>
      </c>
      <c r="D138" s="290">
        <f>'CF表（奥様死亡時・万円表示）'!CO35</f>
        <v/>
      </c>
    </row>
    <row r="139" ht="15" customHeight="1" s="180">
      <c r="A139" s="289">
        <f>'CF表（万円表示）'!CP3</f>
        <v/>
      </c>
      <c r="B139" s="290">
        <f>'CF表（万円表示）'!CP35</f>
        <v/>
      </c>
      <c r="C139" s="290">
        <f>'CF表（ご主人様死亡時・万円表示）'!CP35</f>
        <v/>
      </c>
      <c r="D139" s="290">
        <f>'CF表（奥様死亡時・万円表示）'!CP35</f>
        <v/>
      </c>
    </row>
    <row r="140" ht="15" customHeight="1" s="180">
      <c r="A140" s="289">
        <f>'CF表（万円表示）'!CQ3</f>
        <v/>
      </c>
      <c r="B140" s="290">
        <f>'CF表（万円表示）'!CQ35</f>
        <v/>
      </c>
      <c r="C140" s="290">
        <f>'CF表（ご主人様死亡時・万円表示）'!CQ35</f>
        <v/>
      </c>
      <c r="D140" s="290">
        <f>'CF表（奥様死亡時・万円表示）'!CQ35</f>
        <v/>
      </c>
    </row>
    <row r="141" ht="15" customHeight="1" s="180">
      <c r="A141" s="289">
        <f>'CF表（万円表示）'!CR3</f>
        <v/>
      </c>
      <c r="B141" s="290">
        <f>'CF表（万円表示）'!CR35</f>
        <v/>
      </c>
      <c r="C141" s="290">
        <f>'CF表（ご主人様死亡時・万円表示）'!CR35</f>
        <v/>
      </c>
      <c r="D141" s="290">
        <f>'CF表（奥様死亡時・万円表示）'!CR35</f>
        <v/>
      </c>
    </row>
    <row r="142" ht="15" customHeight="1" s="180">
      <c r="A142" s="289">
        <f>'CF表（万円表示）'!CS3</f>
        <v/>
      </c>
      <c r="B142" s="290">
        <f>'CF表（万円表示）'!CS35</f>
        <v/>
      </c>
      <c r="C142" s="290">
        <f>'CF表（ご主人様死亡時・万円表示）'!CS35</f>
        <v/>
      </c>
      <c r="D142" s="290">
        <f>'CF表（奥様死亡時・万円表示）'!CS35</f>
        <v/>
      </c>
    </row>
    <row r="143" ht="15" customHeight="1" s="180">
      <c r="A143" s="289">
        <f>'CF表（万円表示）'!CT3</f>
        <v/>
      </c>
      <c r="B143" s="290">
        <f>'CF表（万円表示）'!CT35</f>
        <v/>
      </c>
      <c r="C143" s="290">
        <f>'CF表（ご主人様死亡時・万円表示）'!CT35</f>
        <v/>
      </c>
      <c r="D143" s="290">
        <f>'CF表（奥様死亡時・万円表示）'!CT35</f>
        <v/>
      </c>
    </row>
    <row r="144" ht="15" customHeight="1" s="180">
      <c r="A144" s="289">
        <f>'CF表（万円表示）'!CU3</f>
        <v/>
      </c>
      <c r="B144" s="290">
        <f>'CF表（万円表示）'!CU35</f>
        <v/>
      </c>
      <c r="C144" s="290">
        <f>'CF表（ご主人様死亡時・万円表示）'!CU35</f>
        <v/>
      </c>
      <c r="D144" s="290">
        <f>'CF表（奥様死亡時・万円表示）'!CU35</f>
        <v/>
      </c>
    </row>
    <row r="145" ht="15" customHeight="1" s="180">
      <c r="A145" s="289">
        <f>'CF表（万円表示）'!CV3</f>
        <v/>
      </c>
      <c r="B145" s="290">
        <f>'CF表（万円表示）'!CV35</f>
        <v/>
      </c>
      <c r="C145" s="290">
        <f>'CF表（ご主人様死亡時・万円表示）'!CV35</f>
        <v/>
      </c>
      <c r="D145" s="290">
        <f>'CF表（奥様死亡時・万円表示）'!CV35</f>
        <v/>
      </c>
    </row>
    <row r="146" ht="15" customHeight="1" s="180">
      <c r="A146" s="289">
        <f>'CF表（万円表示）'!CW3</f>
        <v/>
      </c>
      <c r="B146" s="290">
        <f>'CF表（万円表示）'!CW35</f>
        <v/>
      </c>
      <c r="C146" s="290">
        <f>'CF表（ご主人様死亡時・万円表示）'!CW35</f>
        <v/>
      </c>
      <c r="D146" s="290">
        <f>'CF表（奥様死亡時・万円表示）'!CW35</f>
        <v/>
      </c>
    </row>
  </sheetData>
  <mergeCells count="7">
    <mergeCell ref="A8:H10"/>
    <mergeCell ref="A3:H3"/>
    <mergeCell ref="A4:H5"/>
    <mergeCell ref="A7:H7"/>
    <mergeCell ref="A42:H42"/>
    <mergeCell ref="A1:H1"/>
    <mergeCell ref="A43:H4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8.xml><?xml version="1.0" encoding="utf-8"?>
<worksheet xmlns="http://schemas.openxmlformats.org/spreadsheetml/2006/main">
  <sheetPr filterMode="0">
    <outlinePr summaryBelow="1" summaryRight="1"/>
    <pageSetUpPr fitToPage="0"/>
  </sheetPr>
  <dimension ref="A1:G5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179" min="1" max="1"/>
    <col width="28" customWidth="1" style="179" min="2" max="2"/>
    <col width="22" customWidth="1" style="179" min="3" max="3"/>
    <col hidden="1" width="30" customWidth="1" style="179" min="4" max="4"/>
    <col hidden="1" width="3" customWidth="1" style="179" min="5" max="5"/>
    <col hidden="1" width="24" customWidth="1" style="179" min="6" max="6"/>
    <col hidden="1" width="54" customWidth="1" style="179" min="7" max="7"/>
  </cols>
  <sheetData>
    <row r="1" ht="30" customHeight="1" s="180">
      <c r="A1" s="213" t="inlineStr">
        <is>
          <t>AI出力用</t>
        </is>
      </c>
    </row>
    <row r="2" ht="19.5" customHeight="1" s="180">
      <c r="A2" s="291" t="n"/>
      <c r="B2" s="291" t="n"/>
      <c r="C2" s="291" t="n"/>
      <c r="D2" s="291" t="n"/>
      <c r="E2" s="291" t="n"/>
      <c r="F2" s="291" t="n"/>
      <c r="G2" s="291" t="n"/>
    </row>
    <row r="3" ht="24" customHeight="1" s="180">
      <c r="A3" s="213" t="inlineStr">
        <is>
          <t>1ページ目｜全体サマリー</t>
        </is>
      </c>
      <c r="E3" s="291" t="n"/>
      <c r="F3" s="292" t="inlineStr">
        <is>
          <t>そのままAIに渡す要約</t>
        </is>
      </c>
    </row>
    <row r="4" ht="21.75" customHeight="1" s="180">
      <c r="A4" s="293" t="inlineStr">
        <is>
          <t>区分</t>
        </is>
      </c>
      <c r="B4" s="293" t="inlineStr">
        <is>
          <t>項目名</t>
        </is>
      </c>
      <c r="C4" s="293" t="inlineStr">
        <is>
          <t>値</t>
        </is>
      </c>
      <c r="D4" s="293" t="inlineStr">
        <is>
          <t>AI用補足</t>
        </is>
      </c>
      <c r="E4" s="291" t="n"/>
      <c r="F4" s="294" t="n"/>
      <c r="G4" s="295" t="n"/>
    </row>
    <row r="5" ht="19.5" customHeight="1" s="180">
      <c r="A5" s="296" t="inlineStr">
        <is>
          <t>1ページ目</t>
        </is>
      </c>
      <c r="B5" s="296" t="inlineStr">
        <is>
          <t>家庭名</t>
        </is>
      </c>
      <c r="C5" s="297">
        <f>入力データ!C6</f>
        <v/>
      </c>
      <c r="D5" s="298" t="n"/>
      <c r="E5" s="291" t="n"/>
      <c r="F5" s="299" t="n"/>
      <c r="G5" s="300" t="n"/>
    </row>
    <row r="6" ht="19.5" customHeight="1" s="180">
      <c r="A6" s="301" t="inlineStr">
        <is>
          <t>1ページ目</t>
        </is>
      </c>
      <c r="B6" s="301" t="inlineStr">
        <is>
          <t>家族構成</t>
        </is>
      </c>
      <c r="C6" s="302">
        <f>IF(入力データ!C17=0,"ご夫婦",IF(入力データ!C17=1,"ご夫婦＋子ども1人","ご夫婦＋子ども"&amp;入力データ!C17&amp;"人"))</f>
        <v/>
      </c>
      <c r="D6" s="303" t="n"/>
      <c r="E6" s="291" t="n"/>
      <c r="F6" s="299" t="n"/>
      <c r="G6" s="300" t="n"/>
    </row>
    <row r="7" ht="19.5" customHeight="1" s="180">
      <c r="A7" s="301" t="inlineStr">
        <is>
          <t>1ページ目</t>
        </is>
      </c>
      <c r="B7" s="301" t="inlineStr">
        <is>
          <t>住まい区分</t>
        </is>
      </c>
      <c r="C7" s="302">
        <f>入力データ!C13</f>
        <v/>
      </c>
      <c r="D7" s="303" t="n"/>
      <c r="E7" s="291" t="n"/>
      <c r="F7" s="299" t="n"/>
      <c r="G7" s="300" t="n"/>
    </row>
    <row r="8" ht="19.5" customHeight="1" s="180">
      <c r="A8" s="301" t="inlineStr">
        <is>
          <t>1ページ目</t>
        </is>
      </c>
      <c r="B8" s="301" t="inlineStr">
        <is>
          <t>世帯月収</t>
        </is>
      </c>
      <c r="C8" s="302">
        <f>入力データ!C29+入力データ!C30+入力データ!C34+入力データ!C35</f>
        <v/>
      </c>
      <c r="D8" s="303" t="n"/>
      <c r="E8" s="291" t="n"/>
      <c r="F8" s="299" t="n"/>
      <c r="G8" s="300" t="n"/>
    </row>
    <row r="9" ht="19.5" customHeight="1" s="180">
      <c r="A9" s="301" t="inlineStr">
        <is>
          <t>1ページ目</t>
        </is>
      </c>
      <c r="B9" s="301" t="inlineStr">
        <is>
          <t>月間支出</t>
        </is>
      </c>
      <c r="C9" s="304">
        <f>CF表!B28/12</f>
        <v/>
      </c>
      <c r="D9" s="303" t="n"/>
      <c r="E9" s="291" t="n"/>
      <c r="F9" s="299" t="n"/>
      <c r="G9" s="300" t="n"/>
    </row>
    <row r="10" ht="19.5" customHeight="1" s="180">
      <c r="A10" s="301" t="inlineStr">
        <is>
          <t>1ページ目</t>
        </is>
      </c>
      <c r="B10" s="301" t="inlineStr">
        <is>
          <t>現在貯蓄額</t>
        </is>
      </c>
      <c r="C10" s="304">
        <f>入力データ!C88+入力データ!C89</f>
        <v/>
      </c>
      <c r="D10" s="303" t="n"/>
      <c r="E10" s="291" t="n"/>
      <c r="F10" s="299" t="n"/>
      <c r="G10" s="300" t="n"/>
    </row>
    <row r="11" ht="19.5" customHeight="1" s="180">
      <c r="A11" s="301" t="inlineStr">
        <is>
          <t>1ページ目</t>
        </is>
      </c>
      <c r="B11" s="301" t="inlineStr">
        <is>
          <t>保有資産残高</t>
        </is>
      </c>
      <c r="C11" s="304">
        <f>CF表!B35</f>
        <v/>
      </c>
      <c r="D11" s="303" t="n"/>
      <c r="E11" s="291" t="n"/>
      <c r="F11" s="299" t="n"/>
      <c r="G11" s="300" t="n"/>
    </row>
    <row r="12" ht="19.5" customHeight="1" s="180">
      <c r="A12" s="301" t="inlineStr">
        <is>
          <t>1ページ目</t>
        </is>
      </c>
      <c r="B12" s="301" t="inlineStr">
        <is>
          <t>住宅ローン残高</t>
        </is>
      </c>
      <c r="C12" s="304">
        <f>入力データ!C95</f>
        <v/>
      </c>
      <c r="D12" s="303" t="n"/>
      <c r="E12" s="291" t="n"/>
      <c r="F12" s="299" t="n"/>
      <c r="G12" s="300" t="n"/>
    </row>
    <row r="13" ht="19.5" customHeight="1" s="180">
      <c r="A13" s="301" t="inlineStr">
        <is>
          <t>1ページ目</t>
        </is>
      </c>
      <c r="B13" s="301" t="inlineStr">
        <is>
          <t>全体サマリー文</t>
        </is>
      </c>
      <c r="C13" s="305">
        <f>IF(CF表!B30&gt;=0,"現状の家計は一定の安定感があります。今後は万一の事態や将来の支出に向けて、備えの優先順位を整理する段階です。","現状の家計は見直し余地があります。まずは日常の収支を整えながら、将来のリスクへの備え方を整理する段階です。")</f>
        <v/>
      </c>
      <c r="D13" s="303" t="n"/>
      <c r="E13" s="291" t="n"/>
      <c r="F13" s="299" t="n"/>
      <c r="G13" s="300" t="n"/>
    </row>
    <row r="14" ht="19.5" customHeight="1" s="180">
      <c r="A14" s="301" t="inlineStr">
        <is>
          <t>1ページ目</t>
        </is>
      </c>
      <c r="B14" s="301" t="inlineStr">
        <is>
          <t>家計の強み</t>
        </is>
      </c>
      <c r="C14" s="304">
        <f>IF(CF表!B35&gt;=10000000,"一定の資産があり、今後の選択肢を持ちやすい状態です。","現時点で家計の状況が整理できており、早めに打ち手を考えやすい状態です。")</f>
        <v/>
      </c>
      <c r="D14" s="303" t="n"/>
      <c r="E14" s="291" t="n"/>
      <c r="F14" s="299" t="n"/>
      <c r="G14" s="300" t="n"/>
    </row>
    <row r="15" ht="19.5" customHeight="1" s="180">
      <c r="A15" s="301" t="inlineStr">
        <is>
          <t>1ページ目</t>
        </is>
      </c>
      <c r="B15" s="301" t="inlineStr">
        <is>
          <t>注意ポイント</t>
        </is>
      </c>
      <c r="C15" s="305">
        <f>IF(OR(リスク判定!B4="要対策",リスク判定!B5="要対策",リスク判定!B6="要対策"),"万一の収入減少や生活変化が起きた際に、家計負担が大きくなりやすい可能性があります。優先順位をつけて備えを整理することが重要です。","大きな破綻は見えにくいものの、死亡時・働けない時・老後への備えを早めに確認しておくと安心です。")</f>
        <v/>
      </c>
      <c r="D15" s="303" t="n"/>
      <c r="E15" s="291" t="n"/>
      <c r="F15" s="299" t="n"/>
      <c r="G15" s="300" t="n"/>
    </row>
    <row r="16" ht="19.5" customHeight="1" s="180">
      <c r="A16" s="291" t="n"/>
      <c r="B16" s="291" t="n"/>
      <c r="C16" s="291" t="n"/>
      <c r="D16" s="291" t="n"/>
      <c r="E16" s="291" t="n"/>
      <c r="F16" s="299" t="n"/>
      <c r="G16" s="300" t="n"/>
    </row>
    <row r="17" ht="24" customHeight="1" s="180">
      <c r="A17" s="213" t="inlineStr">
        <is>
          <t>2ページ目｜リスクとCFの要点</t>
        </is>
      </c>
      <c r="E17" s="291" t="n"/>
      <c r="F17" s="299" t="n"/>
      <c r="G17" s="300" t="n"/>
    </row>
    <row r="18" ht="21.75" customHeight="1" s="180">
      <c r="A18" s="293" t="inlineStr">
        <is>
          <t>区分</t>
        </is>
      </c>
      <c r="B18" s="293" t="inlineStr">
        <is>
          <t>項目名</t>
        </is>
      </c>
      <c r="C18" s="293" t="inlineStr">
        <is>
          <t>値</t>
        </is>
      </c>
      <c r="D18" s="293" t="inlineStr">
        <is>
          <t>AI用補足</t>
        </is>
      </c>
      <c r="E18" s="291" t="n"/>
      <c r="F18" s="306" t="n"/>
      <c r="G18" s="307" t="n"/>
    </row>
    <row r="19" ht="19.5" customHeight="1" s="180">
      <c r="A19" s="296" t="inlineStr">
        <is>
          <t>2ページ目</t>
        </is>
      </c>
      <c r="B19" s="296" t="inlineStr">
        <is>
          <t>年間収支</t>
        </is>
      </c>
      <c r="C19" s="296">
        <f>CF表!B30</f>
        <v/>
      </c>
      <c r="D19" s="298" t="n"/>
      <c r="E19" s="291" t="n"/>
      <c r="F19" s="291" t="n"/>
      <c r="G19" s="291" t="n"/>
    </row>
    <row r="20" ht="24" customHeight="1" s="180">
      <c r="A20" s="301" t="inlineStr">
        <is>
          <t>2ページ目</t>
        </is>
      </c>
      <c r="B20" s="301" t="inlineStr">
        <is>
          <t>通常時CFの要点</t>
        </is>
      </c>
      <c r="C20" s="301">
        <f>IF(CF表!B30&gt;=0,"通常時の家計は大きく崩れておらず、土台は保たれています。","通常時から年間収支に課題があり、まずは家計の整え方を確認したい状態です。")</f>
        <v/>
      </c>
      <c r="D20" s="303" t="n"/>
      <c r="E20" s="291" t="n"/>
      <c r="F20" s="213" t="n"/>
    </row>
    <row r="21" ht="19.5" customHeight="1" s="180">
      <c r="A21" s="301" t="inlineStr">
        <is>
          <t>2ページ目</t>
        </is>
      </c>
      <c r="B21" s="301" t="inlineStr">
        <is>
          <t>ご主人様死亡時CFの要点</t>
        </is>
      </c>
      <c r="C21" s="301">
        <f>IF('CF表（ご主人様死亡時）'!B35&lt;0,"ご主人様に万一のことがあった場合、家計の継続に向けた備えを確認したい状態です。","ご主人様に万一のことがあっても、直ちに大きく崩れにくい見通しです。")</f>
        <v/>
      </c>
      <c r="D21" s="303" t="n"/>
      <c r="E21" s="291" t="n"/>
      <c r="F21" s="294" t="n"/>
      <c r="G21" s="295" t="n"/>
    </row>
    <row r="22" ht="19.5" customHeight="1" s="180">
      <c r="A22" s="291" t="inlineStr">
        <is>
          <t>2ページ目</t>
        </is>
      </c>
      <c r="B22" s="308" t="inlineStr">
        <is>
          <t>奥様死亡時CFの要点</t>
        </is>
      </c>
      <c r="C22" s="291">
        <f>IF('CF表（奥様死亡時）'!B35&lt;0,"奥様に万一のことがあった場合、家計の継続に向けた備えを確認したい状態です。","奥様に万一のことがあっても、直ちに大きく崩れにくい見通しです。")</f>
        <v/>
      </c>
      <c r="D22" s="291" t="n"/>
      <c r="E22" s="291" t="n"/>
      <c r="F22" s="299" t="n"/>
      <c r="G22" s="300" t="n"/>
    </row>
    <row r="23" ht="24" customHeight="1" s="180">
      <c r="A23" s="179" t="inlineStr">
        <is>
          <t>2ページ目</t>
        </is>
      </c>
      <c r="F23" s="299" t="n"/>
      <c r="G23" s="300" t="n"/>
    </row>
    <row r="24" ht="30" customHeight="1" s="180">
      <c r="A24" s="179" t="inlineStr">
        <is>
          <t>2ページ目</t>
        </is>
      </c>
      <c r="B24" s="191" t="inlineStr">
        <is>
          <t>死亡時リスク判定</t>
        </is>
      </c>
      <c r="C24" s="179">
        <f>リスク判定!B4</f>
        <v/>
      </c>
      <c r="F24" s="299" t="n"/>
      <c r="G24" s="300" t="n"/>
    </row>
    <row r="25" ht="30" customHeight="1" s="180">
      <c r="A25" s="179" t="inlineStr">
        <is>
          <t>2ページ目</t>
        </is>
      </c>
      <c r="B25" s="191" t="inlineStr">
        <is>
          <t>働けない時リスク判定</t>
        </is>
      </c>
      <c r="C25" s="179">
        <f>リスク判定!B5</f>
        <v/>
      </c>
      <c r="F25" s="299" t="n"/>
      <c r="G25" s="300" t="n"/>
    </row>
    <row r="26" ht="30" customHeight="1" s="180">
      <c r="A26" s="179" t="inlineStr">
        <is>
          <t>2ページ目</t>
        </is>
      </c>
      <c r="B26" s="191" t="inlineStr">
        <is>
          <t>老後リスク判定</t>
        </is>
      </c>
      <c r="C26" s="179">
        <f>リスク判定!B6</f>
        <v/>
      </c>
      <c r="F26" s="299" t="n"/>
      <c r="G26" s="300" t="n"/>
    </row>
    <row r="27" ht="30" customHeight="1" s="180">
      <c r="A27" s="179" t="inlineStr">
        <is>
          <t>2ページ目</t>
        </is>
      </c>
      <c r="B27" s="191" t="inlineStr">
        <is>
          <t>死亡時主要数値</t>
        </is>
      </c>
      <c r="C27" s="179">
        <f>リスク判定!C4</f>
        <v/>
      </c>
      <c r="F27" s="299" t="n"/>
      <c r="G27" s="300" t="n"/>
    </row>
    <row r="28" ht="30" customHeight="1" s="180">
      <c r="A28" s="179" t="inlineStr">
        <is>
          <t>2ページ目</t>
        </is>
      </c>
      <c r="B28" s="191" t="inlineStr">
        <is>
          <t>働けない時主要数値</t>
        </is>
      </c>
      <c r="C28" s="179">
        <f>リスク判定!C5</f>
        <v/>
      </c>
      <c r="F28" s="299" t="n"/>
      <c r="G28" s="300" t="n"/>
    </row>
    <row r="29" ht="30" customHeight="1" s="180">
      <c r="A29" s="179" t="inlineStr">
        <is>
          <t>2ページ目</t>
        </is>
      </c>
      <c r="B29" s="191" t="inlineStr">
        <is>
          <t>老後主要数値</t>
        </is>
      </c>
      <c r="C29" s="179">
        <f>リスク判定!C6</f>
        <v/>
      </c>
      <c r="F29" s="299" t="n"/>
      <c r="G29" s="300" t="n"/>
    </row>
    <row r="30" ht="30" customHeight="1" s="180">
      <c r="A30" s="179" t="inlineStr">
        <is>
          <t>2ページ目</t>
        </is>
      </c>
      <c r="B30" s="191" t="inlineStr">
        <is>
          <t>リスク要約文</t>
        </is>
      </c>
      <c r="C30" s="179">
        <f>IF(OR(リスク判定!B4="要対策",リスク判定!B5="要対策",リスク判定!B6="要対策"),"通常時は見えにくくても、万一や将来の場面では家計負担が重くなる可能性があります。どこから整えるかを決めることが大切です。","現時点では大きな破綻は見えにくいものの、今のうちに備え方を整理しておくと安心につながります。")</f>
        <v/>
      </c>
      <c r="F30" s="299" t="n"/>
      <c r="G30" s="300" t="n"/>
    </row>
    <row r="31" ht="30" customHeight="1" s="180">
      <c r="F31" s="299" t="n"/>
      <c r="G31" s="300" t="n"/>
    </row>
    <row r="32" ht="19.5" customHeight="1" s="180">
      <c r="F32" s="299" t="n"/>
      <c r="G32" s="300" t="n"/>
    </row>
    <row r="33" ht="19.5" customHeight="1" s="180">
      <c r="F33" s="306" t="n"/>
      <c r="G33" s="307" t="n"/>
    </row>
    <row r="34" ht="19.5" customHeight="1" s="180">
      <c r="A34" s="213" t="inlineStr">
        <is>
          <t>3ページ目｜改善アクション</t>
        </is>
      </c>
      <c r="E34" s="291" t="n"/>
      <c r="F34" s="309" t="n"/>
      <c r="G34" s="310" t="n"/>
    </row>
    <row r="35" ht="19.5" customHeight="1" s="180">
      <c r="A35" s="293" t="inlineStr">
        <is>
          <t>区分</t>
        </is>
      </c>
      <c r="B35" s="293" t="inlineStr">
        <is>
          <t>項目名</t>
        </is>
      </c>
      <c r="C35" s="293" t="inlineStr">
        <is>
          <t>値</t>
        </is>
      </c>
      <c r="D35" s="293" t="inlineStr">
        <is>
          <t>AI用補足</t>
        </is>
      </c>
      <c r="E35" s="291" t="n"/>
      <c r="F35" s="311" t="n"/>
      <c r="G35" s="312" t="n"/>
    </row>
    <row r="36" ht="19.5" customHeight="1" s="180">
      <c r="A36" s="296" t="inlineStr">
        <is>
          <t>3ページ目</t>
        </is>
      </c>
      <c r="B36" s="296" t="inlineStr">
        <is>
          <t>優先アクション1</t>
        </is>
      </c>
      <c r="C36" s="298">
        <f>IF(リスク判定!B4="要対策","死亡時に家計が崩れやすい部分を先に整理する",IF(リスク判定!B5="要対策","働けない時に備える優先順位を整理する",IF(CF表!B30&lt;0,"通常時の家計収支を整える","将来に向けた備えの優先順位を整理する")))</f>
        <v/>
      </c>
      <c r="D36" s="298" t="n"/>
      <c r="E36" s="291" t="n"/>
      <c r="F36" s="311" t="n"/>
      <c r="G36" s="312" t="n"/>
    </row>
    <row r="37" ht="19.5" customHeight="1" s="180">
      <c r="A37" s="296" t="inlineStr">
        <is>
          <t>3ページ目</t>
        </is>
      </c>
      <c r="B37" s="296" t="inlineStr">
        <is>
          <t>優先アクション2</t>
        </is>
      </c>
      <c r="C37" s="298">
        <f>IF(CF表!B30&lt;0,"固定費と毎月の支出配分を見直す",IF(リスク判定!B5="要対策","就業不能時の備え方を確認する","手元資金と保障のバランスを整える"))</f>
        <v/>
      </c>
      <c r="D37" s="298" t="n"/>
      <c r="E37" s="291" t="n"/>
      <c r="F37" s="311" t="n"/>
      <c r="G37" s="312" t="n"/>
    </row>
    <row r="38" ht="19.5" customHeight="1" s="180">
      <c r="A38" s="296" t="inlineStr">
        <is>
          <t>3ページ目</t>
        </is>
      </c>
      <c r="B38" s="296" t="inlineStr">
        <is>
          <t>優先アクション3</t>
        </is>
      </c>
      <c r="C38" s="298">
        <f>IF(リスク判定!B6="要対策","老後に向けた準備方針を決める",IF(入力データ!C95&gt;0,"住宅ローンと保障のバランスを確認する","積立と貯蓄の役割分担を整える"))</f>
        <v/>
      </c>
      <c r="D38" s="298" t="n"/>
      <c r="E38" s="291" t="n"/>
      <c r="F38" s="311" t="n"/>
      <c r="G38" s="312" t="n"/>
    </row>
    <row r="39" ht="19.5" customHeight="1" s="180">
      <c r="A39" s="296" t="inlineStr">
        <is>
          <t>3ページ目</t>
        </is>
      </c>
      <c r="B39" s="296" t="inlineStr">
        <is>
          <t>優先順位</t>
        </is>
      </c>
      <c r="C39" s="298">
        <f>"1. 今の家計を守る / 2. 大きなリスクに備える / 3. 将来への準備を整える"</f>
        <v/>
      </c>
      <c r="D39" s="298" t="n"/>
      <c r="E39" s="291" t="n"/>
      <c r="F39" s="311" t="n"/>
      <c r="G39" s="312" t="n"/>
    </row>
    <row r="40" ht="19.5" customHeight="1" s="180">
      <c r="A40" s="296" t="inlineStr">
        <is>
          <t>3ページ目</t>
        </is>
      </c>
      <c r="B40" s="296" t="inlineStr">
        <is>
          <t>進め方の考え方</t>
        </is>
      </c>
      <c r="C40" s="298">
        <f>IF(CF表!B30&lt;0,"まずは通常時の赤字要因を整理し、固定費・支出配分・保障内容の順で整えていく進め方が合っています。","現状の家計は大きく崩れていないため、万一の場面で弱くなりやすい部分から順に整えていく進め方が合っています。")</f>
        <v/>
      </c>
      <c r="D40" s="298" t="n"/>
      <c r="E40" s="291" t="n"/>
      <c r="F40" s="311" t="n"/>
      <c r="G40" s="312" t="n"/>
    </row>
    <row r="41" ht="19.5" customHeight="1" s="180">
      <c r="A41" s="296" t="inlineStr">
        <is>
          <t>3ページ目</t>
        </is>
      </c>
      <c r="B41" s="296" t="inlineStr">
        <is>
          <t>FPと一緒に考えること</t>
        </is>
      </c>
      <c r="C41" s="298">
        <f>IF(入力データ!C95&gt;0,"住宅ローン、保障内容、手元資金のバランスをどう整えるかを一緒に確認します。","家計改善・保障・積立配分をどの順番で整えるかを一緒に確認します。")</f>
        <v/>
      </c>
      <c r="D41" s="298" t="n"/>
      <c r="E41" s="291" t="n"/>
      <c r="F41" s="311" t="n"/>
      <c r="G41" s="312" t="n"/>
    </row>
    <row r="42" ht="19.5" customHeight="1" s="180">
      <c r="A42" s="296" t="inlineStr">
        <is>
          <t>3ページ目</t>
        </is>
      </c>
      <c r="B42" s="296" t="inlineStr">
        <is>
          <t>面談で確認したいこと</t>
        </is>
      </c>
      <c r="C42" s="298">
        <f>"今いちばん気になっている不安、見直したい支出、これから優先したいことを確認したいです。"</f>
        <v/>
      </c>
      <c r="D42" s="298" t="n"/>
      <c r="E42" s="291" t="n"/>
      <c r="F42" s="311" t="n"/>
      <c r="G42" s="312" t="n"/>
    </row>
    <row r="43" ht="19.5" customHeight="1" s="180">
      <c r="A43" s="291" t="n"/>
      <c r="B43" s="291" t="n"/>
      <c r="C43" s="291" t="n"/>
      <c r="D43" s="291" t="n"/>
      <c r="E43" s="291" t="n"/>
      <c r="F43" s="311" t="n"/>
      <c r="G43" s="312" t="n"/>
    </row>
    <row r="44" ht="19.5" customHeight="1" s="180">
      <c r="A44" s="291" t="n"/>
      <c r="B44" s="291" t="n"/>
      <c r="C44" s="291" t="n"/>
      <c r="D44" s="291" t="n"/>
      <c r="E44" s="291" t="n"/>
      <c r="F44" s="309" t="n"/>
      <c r="G44" s="310" t="n"/>
    </row>
    <row r="45" ht="19.5" customHeight="1" s="180">
      <c r="A45" s="291" t="n"/>
      <c r="B45" s="291" t="n"/>
      <c r="C45" s="291" t="n"/>
      <c r="D45" s="291" t="n"/>
      <c r="E45" s="291" t="n"/>
      <c r="F45" s="291" t="n"/>
      <c r="G45" s="291" t="n"/>
    </row>
    <row r="46" ht="15" customHeight="1" s="180">
      <c r="A46" s="291" t="n"/>
      <c r="B46" s="291" t="n"/>
      <c r="C46" s="291" t="n"/>
      <c r="D46" s="291" t="n"/>
      <c r="E46" s="291" t="n"/>
      <c r="F46" s="291" t="n"/>
      <c r="G46" s="291" t="n"/>
    </row>
    <row r="47" ht="15" customHeight="1" s="180">
      <c r="A47" s="291" t="n"/>
      <c r="B47" s="291" t="n"/>
      <c r="C47" s="291" t="n"/>
      <c r="D47" s="291" t="n"/>
      <c r="E47" s="291" t="n"/>
      <c r="F47" s="291" t="n"/>
      <c r="G47" s="291" t="n"/>
    </row>
    <row r="48" ht="15" customHeight="1" s="180">
      <c r="A48" s="291" t="n"/>
      <c r="B48" s="291" t="n"/>
      <c r="C48" s="291" t="n"/>
      <c r="D48" s="291" t="n"/>
      <c r="E48" s="291" t="n"/>
      <c r="F48" s="291" t="n"/>
      <c r="G48" s="291" t="n"/>
    </row>
    <row r="49" ht="15" customHeight="1" s="180">
      <c r="A49" s="291" t="n"/>
      <c r="B49" s="291" t="n"/>
      <c r="C49" s="291" t="n"/>
      <c r="D49" s="291" t="n"/>
      <c r="E49" s="291" t="n"/>
      <c r="F49" s="291" t="n"/>
      <c r="G49" s="291" t="n"/>
    </row>
    <row r="50" ht="15" customHeight="1" s="180">
      <c r="A50" s="291" t="n"/>
      <c r="B50" s="291" t="n"/>
      <c r="C50" s="291" t="n"/>
      <c r="D50" s="291" t="n"/>
      <c r="E50" s="291" t="n"/>
      <c r="F50" s="291" t="n"/>
      <c r="G50" s="291" t="n"/>
    </row>
    <row r="51" ht="15" customHeight="1" s="180">
      <c r="A51" s="291" t="n"/>
      <c r="B51" s="291" t="n"/>
      <c r="C51" s="291" t="n"/>
      <c r="D51" s="291" t="n"/>
      <c r="E51" s="291" t="n"/>
      <c r="F51" s="291" t="n"/>
      <c r="G51" s="291" t="n"/>
    </row>
    <row r="52" ht="15" customHeight="1" s="180">
      <c r="A52" s="291" t="n"/>
      <c r="B52" s="291" t="n"/>
      <c r="C52" s="291" t="n"/>
      <c r="D52" s="291" t="n"/>
      <c r="E52" s="291" t="n"/>
      <c r="F52" s="291" t="n"/>
      <c r="G52" s="291" t="n"/>
    </row>
    <row r="53" ht="15" customHeight="1" s="180">
      <c r="A53" s="291" t="n"/>
      <c r="B53" s="291" t="n"/>
      <c r="C53" s="291" t="n"/>
      <c r="D53" s="291" t="n"/>
      <c r="E53" s="291" t="n"/>
      <c r="F53" s="291" t="n"/>
      <c r="G53" s="291" t="n"/>
    </row>
    <row r="54" ht="15" customHeight="1" s="180">
      <c r="A54" s="291" t="n"/>
      <c r="B54" s="291" t="n"/>
      <c r="C54" s="291" t="n"/>
      <c r="D54" s="291" t="n"/>
      <c r="E54" s="291" t="n"/>
      <c r="F54" s="291" t="n"/>
      <c r="G54" s="291" t="n"/>
    </row>
    <row r="55" ht="15" customHeight="1" s="180">
      <c r="A55" s="291" t="n"/>
      <c r="B55" s="291" t="n"/>
      <c r="C55" s="291" t="n"/>
      <c r="D55" s="291" t="n"/>
      <c r="E55" s="291" t="n"/>
      <c r="F55" s="291" t="n"/>
      <c r="G55" s="291" t="n"/>
    </row>
    <row r="56" ht="15" customHeight="1" s="180">
      <c r="A56" s="291" t="n"/>
      <c r="B56" s="291" t="n"/>
      <c r="C56" s="291" t="n"/>
      <c r="D56" s="291" t="n"/>
      <c r="E56" s="291" t="n"/>
      <c r="F56" s="291" t="n"/>
      <c r="G56" s="291" t="n"/>
    </row>
  </sheetData>
  <mergeCells count="8">
    <mergeCell ref="F3:G3"/>
    <mergeCell ref="A17:D17"/>
    <mergeCell ref="A23:D23"/>
    <mergeCell ref="F21:G33"/>
    <mergeCell ref="A1:G1"/>
    <mergeCell ref="A3:D3"/>
    <mergeCell ref="F20:G20"/>
    <mergeCell ref="F4:G1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S117"/>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customHeight="1" zeroHeight="0" outlineLevelRow="0"/>
  <cols>
    <col width="14" customWidth="1" style="179" min="1" max="1"/>
    <col width="22" customWidth="1" style="179" min="2" max="2"/>
    <col width="18" customWidth="1" style="179" min="3" max="3"/>
    <col width="16" customWidth="1" style="179" min="4" max="4"/>
    <col width="3" customWidth="1" style="179" min="5" max="5"/>
    <col width="16" customWidth="1" style="179" min="6" max="6"/>
    <col width="10" customWidth="1" style="179" min="7" max="7"/>
    <col width="12" customWidth="1" style="179" min="8" max="8"/>
    <col width="14" customWidth="1" style="179" min="9" max="9"/>
    <col width="12" customWidth="1" style="179" min="10" max="19"/>
    <col width="13" customWidth="1" style="179" min="20" max="29"/>
  </cols>
  <sheetData>
    <row r="1" ht="21.75" customHeight="1" s="180">
      <c r="A1" s="204" t="inlineStr">
        <is>
          <t>情報入力</t>
        </is>
      </c>
    </row>
    <row r="2" ht="16.5" customHeight="1" s="180">
      <c r="A2" s="313" t="inlineStr">
        <is>
          <t>入力ルール：黄色セルを中心に入力 / CF表は左→右に年が進みます / 未使用項目は空欄でOK</t>
        </is>
      </c>
    </row>
    <row r="3" ht="19.5" customHeight="1" s="180">
      <c r="A3" s="314" t="inlineStr">
        <is>
          <t>基本情報</t>
        </is>
      </c>
      <c r="B3" s="315" t="n"/>
      <c r="C3" s="315" t="n"/>
      <c r="D3" s="315" t="n"/>
      <c r="E3" s="316" t="n"/>
      <c r="F3" s="314" t="inlineStr">
        <is>
          <t>保険情報（複数行入力）</t>
        </is>
      </c>
      <c r="G3" s="315" t="n"/>
      <c r="H3" s="315" t="n"/>
      <c r="I3" s="315" t="n"/>
      <c r="J3" s="315" t="n"/>
      <c r="K3" s="315" t="n"/>
      <c r="L3" s="315" t="n"/>
      <c r="M3" s="315" t="n"/>
    </row>
    <row r="4" ht="29.25" customHeight="1" s="180">
      <c r="A4" s="317" t="inlineStr">
        <is>
          <t>大項目</t>
        </is>
      </c>
      <c r="B4" s="317" t="inlineStr">
        <is>
          <t>項目名</t>
        </is>
      </c>
      <c r="C4" s="317" t="inlineStr">
        <is>
          <t>入力値</t>
        </is>
      </c>
      <c r="D4" s="317" t="inlineStr">
        <is>
          <t>補足</t>
        </is>
      </c>
      <c r="E4" s="318" t="n"/>
      <c r="F4" s="317" t="inlineStr">
        <is>
          <t>保険種類</t>
        </is>
      </c>
      <c r="G4" s="317" t="inlineStr">
        <is>
          <t>対象者</t>
        </is>
      </c>
      <c r="H4" s="317" t="inlineStr">
        <is>
          <t>被保険者</t>
        </is>
      </c>
      <c r="I4" s="317" t="inlineStr">
        <is>
          <t>保険会社</t>
        </is>
      </c>
      <c r="J4" s="317" t="inlineStr">
        <is>
          <t>保険始期</t>
        </is>
      </c>
      <c r="K4" s="317" t="inlineStr">
        <is>
          <t>保険終期</t>
        </is>
      </c>
      <c r="L4" s="317" t="inlineStr">
        <is>
          <t>月額保険料</t>
        </is>
      </c>
      <c r="M4" s="317" t="inlineStr">
        <is>
          <t>受取人</t>
        </is>
      </c>
      <c r="N4" s="206" t="inlineStr">
        <is>
          <t>払込期間</t>
        </is>
      </c>
      <c r="O4" s="206" t="inlineStr">
        <is>
          <t>死亡保険金</t>
        </is>
      </c>
      <c r="P4" s="206" t="inlineStr">
        <is>
          <t>就業不能給付金</t>
        </is>
      </c>
      <c r="Q4" s="206" t="inlineStr">
        <is>
          <t>入院給付金</t>
        </is>
      </c>
      <c r="R4" s="206" t="inlineStr">
        <is>
          <t>解約返戻金</t>
        </is>
      </c>
      <c r="S4" s="206" t="inlineStr">
        <is>
          <t>備考</t>
        </is>
      </c>
    </row>
    <row r="5" ht="16.5" customHeight="1" s="180">
      <c r="A5" s="319" t="inlineStr">
        <is>
          <t>基本情報</t>
        </is>
      </c>
      <c r="B5" s="319" t="inlineStr">
        <is>
          <t>作成日</t>
        </is>
      </c>
      <c r="C5" s="320">
        <f>情報入力!C5</f>
        <v/>
      </c>
      <c r="D5" s="321" t="n"/>
      <c r="E5" s="322" t="inlineStr">
        <is>
          <t>・未使用項目は空欄でOK</t>
        </is>
      </c>
      <c r="F5" s="323">
        <f>情報入力!A94</f>
        <v/>
      </c>
      <c r="G5" s="323">
        <f>情報入力!B94</f>
        <v/>
      </c>
      <c r="H5" s="323">
        <f>情報入力!C94</f>
        <v/>
      </c>
      <c r="I5" s="323">
        <f>情報入力!D94</f>
        <v/>
      </c>
      <c r="J5" s="320">
        <f>情報入力!E94</f>
        <v/>
      </c>
      <c r="K5" s="320">
        <f>情報入力!F94</f>
        <v/>
      </c>
      <c r="L5" s="324">
        <f>情報入力!G94</f>
        <v/>
      </c>
      <c r="M5" s="325">
        <f>情報入力!H94</f>
        <v/>
      </c>
      <c r="N5" s="326" t="inlineStr">
        <is>
          <t>60歳満了</t>
        </is>
      </c>
      <c r="O5" s="210" t="n">
        <v>30000000</v>
      </c>
      <c r="P5" s="210" t="n">
        <v>0</v>
      </c>
      <c r="Q5" s="210" t="n">
        <v>0</v>
      </c>
      <c r="R5" s="210" t="n">
        <v>0</v>
      </c>
      <c r="S5" s="212" t="inlineStr">
        <is>
          <t>月払</t>
        </is>
      </c>
    </row>
    <row r="6" ht="16.5" customHeight="1" s="180">
      <c r="A6" s="319" t="n"/>
      <c r="B6" s="319" t="inlineStr">
        <is>
          <t>家庭名</t>
        </is>
      </c>
      <c r="C6" s="324">
        <f>情報入力!C6</f>
        <v/>
      </c>
      <c r="D6" s="321" t="n"/>
      <c r="E6" s="322" t="inlineStr">
        <is>
          <t>・CF表は左→右に年が進みます</t>
        </is>
      </c>
      <c r="F6" s="323">
        <f>情報入力!A95</f>
        <v/>
      </c>
      <c r="G6" s="323">
        <f>情報入力!B95</f>
        <v/>
      </c>
      <c r="H6" s="323">
        <f>情報入力!C95</f>
        <v/>
      </c>
      <c r="I6" s="323">
        <f>情報入力!D95</f>
        <v/>
      </c>
      <c r="J6" s="320">
        <f>情報入力!E95</f>
        <v/>
      </c>
      <c r="K6" s="320">
        <f>情報入力!F95</f>
        <v/>
      </c>
      <c r="L6" s="324">
        <f>情報入力!G95</f>
        <v/>
      </c>
      <c r="M6" s="325">
        <f>情報入力!H95</f>
        <v/>
      </c>
      <c r="N6" s="212" t="inlineStr">
        <is>
          <t>終身払</t>
        </is>
      </c>
      <c r="O6" s="210" t="n">
        <v>5000000</v>
      </c>
      <c r="P6" s="210" t="n">
        <v>0</v>
      </c>
      <c r="Q6" s="210" t="n">
        <v>0</v>
      </c>
      <c r="R6" s="210" t="n">
        <v>300000</v>
      </c>
      <c r="S6" s="212" t="inlineStr">
        <is>
          <t>死亡保障</t>
        </is>
      </c>
    </row>
    <row r="7" ht="16.5" customHeight="1" s="180">
      <c r="A7" s="319" t="n"/>
      <c r="B7" s="319" t="inlineStr">
        <is>
          <t>担当者名</t>
        </is>
      </c>
      <c r="C7" s="324">
        <f>情報入力!C7</f>
        <v/>
      </c>
      <c r="D7" s="321" t="n"/>
      <c r="E7" s="291" t="n"/>
      <c r="F7" s="324">
        <f>情報入力!A96</f>
        <v/>
      </c>
      <c r="G7" s="324">
        <f>情報入力!B96</f>
        <v/>
      </c>
      <c r="H7" s="324">
        <f>情報入力!C96</f>
        <v/>
      </c>
      <c r="I7" s="324">
        <f>情報入力!D96</f>
        <v/>
      </c>
      <c r="J7" s="320">
        <f>情報入力!E96</f>
        <v/>
      </c>
      <c r="K7" s="320">
        <f>情報入力!F96</f>
        <v/>
      </c>
      <c r="L7" s="324">
        <f>情報入力!G96</f>
        <v/>
      </c>
      <c r="M7" s="325">
        <f>情報入力!H96</f>
        <v/>
      </c>
      <c r="N7" s="326" t="inlineStr">
        <is>
          <t>65歳満了</t>
        </is>
      </c>
      <c r="O7" s="210" t="n">
        <v>0</v>
      </c>
      <c r="P7" s="210" t="n">
        <v>100000</v>
      </c>
      <c r="Q7" s="210" t="n">
        <v>0</v>
      </c>
      <c r="R7" s="210" t="n">
        <v>0</v>
      </c>
      <c r="S7" s="212" t="inlineStr">
        <is>
          <t>月10万円</t>
        </is>
      </c>
    </row>
    <row r="8" ht="16.5" customHeight="1" s="180">
      <c r="A8" s="319" t="n"/>
      <c r="B8" s="319" t="inlineStr">
        <is>
          <t>ご主人様氏名</t>
        </is>
      </c>
      <c r="C8" s="324">
        <f>情報入力!C8</f>
        <v/>
      </c>
      <c r="D8" s="321" t="n"/>
      <c r="E8" s="291" t="n"/>
      <c r="F8" s="324">
        <f>情報入力!A97</f>
        <v/>
      </c>
      <c r="G8" s="324">
        <f>情報入力!B97</f>
        <v/>
      </c>
      <c r="H8" s="324">
        <f>情報入力!C97</f>
        <v/>
      </c>
      <c r="I8" s="324">
        <f>情報入力!D97</f>
        <v/>
      </c>
      <c r="J8" s="320">
        <f>情報入力!E97</f>
        <v/>
      </c>
      <c r="K8" s="320">
        <f>情報入力!F97</f>
        <v/>
      </c>
      <c r="L8" s="324">
        <f>情報入力!G97</f>
        <v/>
      </c>
      <c r="M8" s="325">
        <f>情報入力!H97</f>
        <v/>
      </c>
      <c r="N8" s="212" t="inlineStr">
        <is>
          <t>終身払</t>
        </is>
      </c>
      <c r="O8" s="210" t="n">
        <v>0</v>
      </c>
      <c r="P8" s="210" t="n">
        <v>0</v>
      </c>
      <c r="Q8" s="210" t="n">
        <v>5000</v>
      </c>
      <c r="R8" s="210" t="n">
        <v>0</v>
      </c>
      <c r="S8" s="212" t="inlineStr">
        <is>
          <t>入院給付金</t>
        </is>
      </c>
    </row>
    <row r="9" ht="15" customHeight="1" s="180">
      <c r="A9" s="319" t="n"/>
      <c r="B9" s="319" t="inlineStr">
        <is>
          <t>奥様氏名</t>
        </is>
      </c>
      <c r="C9" s="324">
        <f>情報入力!C9</f>
        <v/>
      </c>
      <c r="D9" s="321" t="n"/>
      <c r="E9" s="291" t="n"/>
      <c r="F9" s="324">
        <f>情報入力!A98</f>
        <v/>
      </c>
      <c r="G9" s="324">
        <f>情報入力!B98</f>
        <v/>
      </c>
      <c r="H9" s="324">
        <f>情報入力!C98</f>
        <v/>
      </c>
      <c r="I9" s="324">
        <f>情報入力!D98</f>
        <v/>
      </c>
      <c r="J9" s="320">
        <f>情報入力!E98</f>
        <v/>
      </c>
      <c r="K9" s="320">
        <f>情報入力!F98</f>
        <v/>
      </c>
      <c r="L9" s="324">
        <f>情報入力!G98</f>
        <v/>
      </c>
      <c r="M9" s="325">
        <f>情報入力!H98</f>
        <v/>
      </c>
      <c r="N9" s="326" t="n"/>
      <c r="O9" s="210" t="n"/>
      <c r="P9" s="210" t="n"/>
      <c r="Q9" s="210" t="n"/>
      <c r="R9" s="210" t="n"/>
      <c r="S9" s="326" t="n"/>
    </row>
    <row r="10" ht="15" customHeight="1" s="180">
      <c r="A10" s="319" t="n"/>
      <c r="B10" s="319" t="inlineStr">
        <is>
          <t>ご主人様生年月日</t>
        </is>
      </c>
      <c r="C10" s="320">
        <f>情報入力!C10</f>
        <v/>
      </c>
      <c r="D10" s="321" t="n"/>
      <c r="E10" s="291" t="n"/>
      <c r="F10" s="324">
        <f>情報入力!A99</f>
        <v/>
      </c>
      <c r="G10" s="324">
        <f>情報入力!B99</f>
        <v/>
      </c>
      <c r="H10" s="324">
        <f>情報入力!C99</f>
        <v/>
      </c>
      <c r="I10" s="324">
        <f>情報入力!D99</f>
        <v/>
      </c>
      <c r="J10" s="320">
        <f>情報入力!E99</f>
        <v/>
      </c>
      <c r="K10" s="320">
        <f>情報入力!F99</f>
        <v/>
      </c>
      <c r="L10" s="324">
        <f>情報入力!G99</f>
        <v/>
      </c>
      <c r="M10" s="325">
        <f>情報入力!H99</f>
        <v/>
      </c>
      <c r="N10" s="326" t="n"/>
      <c r="O10" s="210" t="n"/>
      <c r="P10" s="210" t="n"/>
      <c r="Q10" s="210" t="n"/>
      <c r="R10" s="210" t="n"/>
      <c r="S10" s="326" t="n"/>
    </row>
    <row r="11" ht="15" customHeight="1" s="180">
      <c r="A11" s="319" t="n"/>
      <c r="B11" s="319" t="inlineStr">
        <is>
          <t>奥様生年月日</t>
        </is>
      </c>
      <c r="C11" s="320">
        <f>情報入力!C11</f>
        <v/>
      </c>
      <c r="D11" s="321" t="n"/>
      <c r="E11" s="291" t="n"/>
      <c r="F11" s="324">
        <f>情報入力!A100</f>
        <v/>
      </c>
      <c r="G11" s="324">
        <f>情報入力!B100</f>
        <v/>
      </c>
      <c r="H11" s="324">
        <f>情報入力!C100</f>
        <v/>
      </c>
      <c r="I11" s="324">
        <f>情報入力!D100</f>
        <v/>
      </c>
      <c r="J11" s="320">
        <f>情報入力!E100</f>
        <v/>
      </c>
      <c r="K11" s="320">
        <f>情報入力!F100</f>
        <v/>
      </c>
      <c r="L11" s="324">
        <f>情報入力!G100</f>
        <v/>
      </c>
      <c r="M11" s="325">
        <f>情報入力!H100</f>
        <v/>
      </c>
      <c r="N11" s="326" t="n"/>
      <c r="O11" s="210" t="n"/>
      <c r="P11" s="210" t="n"/>
      <c r="Q11" s="210" t="n"/>
      <c r="R11" s="210" t="n"/>
      <c r="S11" s="326" t="n"/>
    </row>
    <row r="12" ht="15" customHeight="1" s="180">
      <c r="A12" s="319" t="n"/>
      <c r="B12" s="319" t="inlineStr">
        <is>
          <t>都道府県</t>
        </is>
      </c>
      <c r="C12" s="324">
        <f>情報入力!C12</f>
        <v/>
      </c>
      <c r="D12" s="321" t="n"/>
      <c r="E12" s="291" t="n"/>
      <c r="F12" s="324">
        <f>情報入力!A101</f>
        <v/>
      </c>
      <c r="G12" s="324">
        <f>情報入力!B101</f>
        <v/>
      </c>
      <c r="H12" s="324">
        <f>情報入力!C101</f>
        <v/>
      </c>
      <c r="I12" s="324">
        <f>情報入力!D101</f>
        <v/>
      </c>
      <c r="J12" s="320">
        <f>情報入力!E101</f>
        <v/>
      </c>
      <c r="K12" s="320">
        <f>情報入力!F101</f>
        <v/>
      </c>
      <c r="L12" s="324">
        <f>情報入力!G101</f>
        <v/>
      </c>
      <c r="M12" s="325">
        <f>情報入力!H101</f>
        <v/>
      </c>
      <c r="N12" s="326" t="n"/>
      <c r="O12" s="210" t="n"/>
      <c r="P12" s="210" t="n"/>
      <c r="Q12" s="210" t="n"/>
      <c r="R12" s="210" t="n"/>
      <c r="S12" s="326" t="n"/>
    </row>
    <row r="13" ht="15" customHeight="1" s="180">
      <c r="A13" s="319" t="n"/>
      <c r="B13" s="319" t="inlineStr">
        <is>
          <t>住まい区分</t>
        </is>
      </c>
      <c r="C13" s="324">
        <f>情報入力!C13</f>
        <v/>
      </c>
      <c r="D13" s="321" t="n"/>
      <c r="E13" s="291" t="n"/>
      <c r="F13" s="324" t="n"/>
      <c r="G13" s="324" t="n"/>
      <c r="H13" s="324" t="n"/>
      <c r="I13" s="324" t="n"/>
      <c r="J13" s="320" t="n"/>
      <c r="K13" s="320" t="n"/>
      <c r="L13" s="324" t="n"/>
      <c r="M13" s="325" t="n"/>
      <c r="N13" s="326" t="n"/>
      <c r="O13" s="210" t="n"/>
      <c r="P13" s="210" t="n"/>
      <c r="Q13" s="210" t="n"/>
      <c r="R13" s="210" t="n"/>
      <c r="S13" s="326" t="n"/>
    </row>
    <row r="14" ht="15" customHeight="1" s="180">
      <c r="A14" s="291" t="n"/>
      <c r="B14" s="291" t="n"/>
      <c r="C14" s="327" t="n"/>
      <c r="D14" s="291" t="n"/>
      <c r="E14" s="291" t="n"/>
      <c r="F14" s="324" t="n"/>
      <c r="G14" s="324" t="n"/>
      <c r="H14" s="324" t="n"/>
      <c r="I14" s="324" t="n"/>
      <c r="J14" s="320" t="n"/>
      <c r="K14" s="320" t="n"/>
      <c r="L14" s="324" t="n"/>
      <c r="M14" s="325" t="n"/>
      <c r="N14" s="326" t="n"/>
      <c r="O14" s="210" t="n"/>
      <c r="P14" s="210" t="n"/>
      <c r="Q14" s="210" t="n"/>
      <c r="R14" s="210" t="n"/>
      <c r="S14" s="326" t="n"/>
    </row>
    <row r="15" ht="19.5" customHeight="1" s="180">
      <c r="A15" s="314" t="inlineStr">
        <is>
          <t>家族情報</t>
        </is>
      </c>
      <c r="B15" s="315" t="n"/>
      <c r="C15" s="315" t="n"/>
      <c r="D15" s="315" t="n"/>
      <c r="E15" s="328" t="n"/>
      <c r="F15" s="329" t="n"/>
      <c r="G15" s="329" t="n"/>
      <c r="H15" s="329" t="n"/>
      <c r="I15" s="329" t="n"/>
      <c r="J15" s="330" t="n"/>
      <c r="K15" s="330" t="n"/>
      <c r="L15" s="329" t="n"/>
      <c r="M15" s="325" t="n"/>
      <c r="N15" s="326" t="n"/>
      <c r="O15" s="210" t="n"/>
      <c r="P15" s="210" t="n"/>
      <c r="Q15" s="210" t="n"/>
      <c r="R15" s="210" t="n"/>
      <c r="S15" s="326" t="n"/>
    </row>
    <row r="16" ht="15" customHeight="1" s="180">
      <c r="A16" s="317" t="inlineStr">
        <is>
          <t>大項目</t>
        </is>
      </c>
      <c r="B16" s="317" t="inlineStr">
        <is>
          <t>項目名</t>
        </is>
      </c>
      <c r="C16" s="331" t="inlineStr">
        <is>
          <t>入力値</t>
        </is>
      </c>
      <c r="D16" s="317" t="inlineStr">
        <is>
          <t>補足</t>
        </is>
      </c>
      <c r="E16" s="332" t="n"/>
      <c r="F16" s="333" t="n"/>
      <c r="G16" s="333" t="n"/>
      <c r="H16" s="333" t="n"/>
      <c r="I16" s="333" t="n"/>
      <c r="J16" s="334" t="n"/>
      <c r="K16" s="334" t="n"/>
      <c r="L16" s="333" t="n"/>
      <c r="M16" s="335" t="n"/>
      <c r="N16" s="326" t="n"/>
      <c r="O16" s="210" t="n"/>
      <c r="P16" s="210" t="n"/>
      <c r="Q16" s="210" t="n"/>
      <c r="R16" s="210" t="n"/>
      <c r="S16" s="326" t="n"/>
    </row>
    <row r="17" ht="15" customHeight="1" s="180">
      <c r="A17" s="336" t="inlineStr">
        <is>
          <t>家族情報</t>
        </is>
      </c>
      <c r="B17" s="336" t="inlineStr">
        <is>
          <t>子ども人数</t>
        </is>
      </c>
      <c r="C17" s="329">
        <f>情報入力!C17</f>
        <v/>
      </c>
      <c r="D17" s="337" t="n"/>
      <c r="E17" s="328" t="n"/>
      <c r="F17" s="329" t="n"/>
      <c r="G17" s="329" t="n"/>
      <c r="H17" s="329" t="n"/>
      <c r="I17" s="329" t="n"/>
      <c r="J17" s="330" t="n"/>
      <c r="K17" s="330" t="n"/>
      <c r="L17" s="329" t="n"/>
      <c r="M17" s="325" t="n"/>
      <c r="N17" s="326" t="n"/>
      <c r="O17" s="210" t="n"/>
      <c r="P17" s="210" t="n"/>
      <c r="Q17" s="210" t="n"/>
      <c r="R17" s="210" t="n"/>
      <c r="S17" s="326" t="n"/>
    </row>
    <row r="18" ht="16.5" customHeight="1" s="180">
      <c r="A18" s="336" t="n"/>
      <c r="B18" s="336" t="inlineStr">
        <is>
          <t>子1氏名</t>
        </is>
      </c>
      <c r="C18" s="329">
        <f>情報入力!C18</f>
        <v/>
      </c>
      <c r="D18" s="337" t="n"/>
      <c r="E18" s="328" t="n"/>
      <c r="F18" s="329" t="n"/>
      <c r="G18" s="329" t="n"/>
      <c r="H18" s="329" t="n"/>
      <c r="I18" s="329" t="n"/>
      <c r="J18" s="330" t="n"/>
      <c r="K18" s="330" t="n"/>
      <c r="L18" s="329" t="n"/>
      <c r="M18" s="325" t="n"/>
      <c r="N18" s="326" t="n"/>
      <c r="O18" s="210" t="n"/>
      <c r="P18" s="210" t="n"/>
      <c r="Q18" s="210" t="n"/>
      <c r="R18" s="210" t="n"/>
      <c r="S18" s="326" t="n"/>
    </row>
    <row r="19" ht="16.5" customHeight="1" s="180">
      <c r="A19" s="336" t="n"/>
      <c r="B19" s="336" t="inlineStr">
        <is>
          <t>子1生年月日</t>
        </is>
      </c>
      <c r="C19" s="330">
        <f>情報入力!C19</f>
        <v/>
      </c>
      <c r="D19" s="337" t="n"/>
      <c r="E19" s="328" t="n"/>
      <c r="F19" s="329" t="n"/>
      <c r="G19" s="329" t="n"/>
      <c r="H19" s="329" t="n"/>
      <c r="I19" s="329" t="n"/>
      <c r="J19" s="330" t="n"/>
      <c r="K19" s="330" t="n"/>
      <c r="L19" s="329" t="n"/>
      <c r="M19" s="325" t="n"/>
      <c r="N19" s="326" t="n"/>
      <c r="O19" s="210" t="n"/>
      <c r="P19" s="210" t="n"/>
      <c r="Q19" s="210" t="n"/>
      <c r="R19" s="210" t="n"/>
      <c r="S19" s="326" t="n"/>
    </row>
    <row r="20" ht="16.5" customHeight="1" s="180">
      <c r="A20" s="336" t="n"/>
      <c r="B20" s="336" t="inlineStr">
        <is>
          <t>子2氏名</t>
        </is>
      </c>
      <c r="C20" s="329">
        <f>情報入力!C20</f>
        <v/>
      </c>
      <c r="D20" s="337" t="n"/>
      <c r="E20" s="328" t="n"/>
      <c r="F20" s="329" t="n"/>
      <c r="G20" s="329" t="n"/>
      <c r="H20" s="329" t="n"/>
      <c r="I20" s="329" t="n"/>
      <c r="J20" s="330" t="n"/>
      <c r="K20" s="330" t="n"/>
      <c r="L20" s="329" t="n"/>
      <c r="M20" s="325" t="n"/>
      <c r="N20" s="326" t="n"/>
      <c r="O20" s="210" t="n"/>
      <c r="P20" s="210" t="n"/>
      <c r="Q20" s="210" t="n"/>
      <c r="R20" s="210" t="n"/>
      <c r="S20" s="326" t="n"/>
    </row>
    <row r="21" ht="16.5" customHeight="1" s="180">
      <c r="A21" s="336" t="n"/>
      <c r="B21" s="336" t="inlineStr">
        <is>
          <t>子2生年月日</t>
        </is>
      </c>
      <c r="C21" s="330">
        <f>情報入力!C21</f>
        <v/>
      </c>
      <c r="D21" s="337" t="n"/>
      <c r="E21" s="328" t="n"/>
      <c r="F21" s="328" t="n"/>
      <c r="G21" s="328" t="n"/>
      <c r="H21" s="328" t="n"/>
      <c r="I21" s="328" t="n"/>
      <c r="J21" s="328" t="n"/>
      <c r="K21" s="328" t="n"/>
      <c r="L21" s="328" t="n"/>
      <c r="M21" s="291" t="n"/>
    </row>
    <row r="22" ht="16.5" customHeight="1" s="180">
      <c r="A22" s="336" t="n"/>
      <c r="B22" s="336" t="inlineStr">
        <is>
          <t>子3氏名</t>
        </is>
      </c>
      <c r="C22" s="338">
        <f>情報入力!C22</f>
        <v/>
      </c>
      <c r="D22" s="337" t="n"/>
      <c r="E22" s="328" t="n"/>
      <c r="F22" s="328" t="n"/>
      <c r="G22" s="328" t="n"/>
      <c r="H22" s="328" t="n"/>
      <c r="I22" s="328" t="n"/>
      <c r="J22" s="328" t="n"/>
      <c r="K22" s="328" t="n"/>
      <c r="L22" s="328" t="n"/>
      <c r="M22" s="291" t="n"/>
    </row>
    <row r="23" ht="19.5" customHeight="1" s="180">
      <c r="A23" s="314" t="inlineStr">
        <is>
          <t>教育費情報（複数行入力）</t>
        </is>
      </c>
      <c r="B23" s="315" t="n"/>
      <c r="C23" s="315" t="n"/>
      <c r="D23" s="315" t="n"/>
      <c r="E23" s="328" t="n"/>
      <c r="F23" s="314" t="inlineStr">
        <is>
          <t>教育費情報（子ども別）</t>
        </is>
      </c>
      <c r="G23" s="315" t="n"/>
      <c r="H23" s="315" t="n"/>
      <c r="I23" s="315" t="n"/>
      <c r="J23" s="315" t="n"/>
      <c r="K23" s="315" t="n"/>
      <c r="L23" s="328" t="n"/>
      <c r="M23" s="291" t="n"/>
    </row>
    <row r="24" ht="15" customHeight="1" s="180">
      <c r="A24" s="332" t="n"/>
      <c r="B24" s="332" t="n"/>
      <c r="C24" s="339" t="n"/>
      <c r="D24" s="332" t="n"/>
      <c r="E24" s="332" t="n"/>
      <c r="F24" s="317" t="inlineStr">
        <is>
          <t>子ども名</t>
        </is>
      </c>
      <c r="G24" s="317" t="inlineStr">
        <is>
          <t>幼稚園区分</t>
        </is>
      </c>
      <c r="H24" s="317" t="inlineStr">
        <is>
          <t>小学校区分</t>
        </is>
      </c>
      <c r="I24" s="317" t="inlineStr">
        <is>
          <t>中学校区分</t>
        </is>
      </c>
      <c r="J24" s="317" t="inlineStr">
        <is>
          <t>高校区分</t>
        </is>
      </c>
      <c r="K24" s="317" t="inlineStr">
        <is>
          <t>大学区分</t>
        </is>
      </c>
      <c r="L24" s="340" t="inlineStr">
        <is>
          <t>大学通学</t>
        </is>
      </c>
      <c r="M24" s="332" t="n"/>
    </row>
    <row r="25" ht="19.5" customHeight="1" s="180">
      <c r="A25" s="336" t="inlineStr">
        <is>
          <t>収入情報</t>
        </is>
      </c>
      <c r="B25" s="291" t="n"/>
      <c r="C25" s="327" t="n"/>
      <c r="D25" s="291" t="n"/>
      <c r="E25" s="328" t="n"/>
      <c r="F25" s="329">
        <f>情報入力!A106</f>
        <v/>
      </c>
      <c r="G25" s="329">
        <f>情報入力!B106</f>
        <v/>
      </c>
      <c r="H25" s="329">
        <f>情報入力!C106</f>
        <v/>
      </c>
      <c r="I25" s="329">
        <f>情報入力!D106</f>
        <v/>
      </c>
      <c r="J25" s="329">
        <f>情報入力!E106</f>
        <v/>
      </c>
      <c r="K25" s="329">
        <f>情報入力!F106</f>
        <v/>
      </c>
      <c r="L25" s="336">
        <f>情報入力!G106</f>
        <v/>
      </c>
      <c r="M25" s="291" t="n"/>
    </row>
    <row r="26" ht="15" customHeight="1" s="180">
      <c r="A26" s="341" t="inlineStr">
        <is>
          <t>大項目</t>
        </is>
      </c>
      <c r="B26" s="341" t="inlineStr">
        <is>
          <t>項目名</t>
        </is>
      </c>
      <c r="C26" s="342" t="inlineStr">
        <is>
          <t>入力値</t>
        </is>
      </c>
      <c r="D26" s="341" t="inlineStr">
        <is>
          <t>補足</t>
        </is>
      </c>
      <c r="E26" s="291" t="n"/>
      <c r="F26" s="324">
        <f>情報入力!A107</f>
        <v/>
      </c>
      <c r="G26" s="324">
        <f>情報入力!B107</f>
        <v/>
      </c>
      <c r="H26" s="324">
        <f>情報入力!C107</f>
        <v/>
      </c>
      <c r="I26" s="324">
        <f>情報入力!D107</f>
        <v/>
      </c>
      <c r="J26" s="324">
        <f>情報入力!E107</f>
        <v/>
      </c>
      <c r="K26" s="324">
        <f>情報入力!F107</f>
        <v/>
      </c>
      <c r="L26" s="343">
        <f>情報入力!G107</f>
        <v/>
      </c>
      <c r="M26" s="291" t="n"/>
    </row>
    <row r="27" ht="15" customHeight="1" s="180">
      <c r="A27" s="336" t="inlineStr">
        <is>
          <t>収入情報</t>
        </is>
      </c>
      <c r="B27" s="336" t="inlineStr">
        <is>
          <t>ご主人様勤務形態</t>
        </is>
      </c>
      <c r="C27" s="344">
        <f>情報入力!C26</f>
        <v/>
      </c>
      <c r="D27" s="337" t="n"/>
      <c r="E27" s="328" t="n"/>
      <c r="F27" s="329">
        <f>情報入力!A108</f>
        <v/>
      </c>
      <c r="G27" s="329">
        <f>情報入力!B108</f>
        <v/>
      </c>
      <c r="H27" s="329">
        <f>情報入力!C108</f>
        <v/>
      </c>
      <c r="I27" s="329">
        <f>情報入力!D108</f>
        <v/>
      </c>
      <c r="J27" s="329">
        <f>情報入力!E108</f>
        <v/>
      </c>
      <c r="K27" s="329">
        <f>情報入力!F108</f>
        <v/>
      </c>
      <c r="L27" s="337">
        <f>情報入力!G108</f>
        <v/>
      </c>
      <c r="M27" s="291" t="n"/>
    </row>
    <row r="28" ht="15" customHeight="1" s="180">
      <c r="A28" s="336" t="n"/>
      <c r="B28" s="336" t="inlineStr">
        <is>
          <t>奥様勤務形態</t>
        </is>
      </c>
      <c r="C28" s="344">
        <f>情報入力!C27</f>
        <v/>
      </c>
      <c r="D28" s="337" t="n"/>
      <c r="E28" s="328" t="n"/>
      <c r="F28" s="337">
        <f>情報入力!A109</f>
        <v/>
      </c>
      <c r="G28" s="337">
        <f>情報入力!B109</f>
        <v/>
      </c>
      <c r="H28" s="337">
        <f>情報入力!C109</f>
        <v/>
      </c>
      <c r="I28" s="337">
        <f>情報入力!D109</f>
        <v/>
      </c>
      <c r="J28" s="337">
        <f>情報入力!E109</f>
        <v/>
      </c>
      <c r="K28" s="337">
        <f>情報入力!F109</f>
        <v/>
      </c>
      <c r="L28" s="337">
        <f>情報入力!G109</f>
        <v/>
      </c>
      <c r="M28" s="291" t="n"/>
    </row>
    <row r="29" ht="15" customHeight="1" s="180">
      <c r="A29" s="336" t="n"/>
      <c r="B29" s="336" t="inlineStr">
        <is>
          <t>ご主人様手取り月収</t>
        </is>
      </c>
      <c r="C29" s="345">
        <f>情報入力!C28</f>
        <v/>
      </c>
      <c r="D29" s="337" t="n"/>
      <c r="E29" s="328" t="n"/>
      <c r="F29" s="337" t="n"/>
      <c r="G29" s="337" t="n"/>
      <c r="H29" s="337" t="n"/>
      <c r="I29" s="337" t="n"/>
      <c r="J29" s="337" t="n"/>
      <c r="K29" s="337" t="n"/>
      <c r="L29" s="337" t="n"/>
      <c r="M29" s="291" t="n"/>
    </row>
    <row r="30" ht="15" customHeight="1" s="180">
      <c r="A30" s="336" t="n"/>
      <c r="B30" s="336" t="inlineStr">
        <is>
          <t>奥様手取り月収</t>
        </is>
      </c>
      <c r="C30" s="345">
        <f>情報入力!C29</f>
        <v/>
      </c>
      <c r="D30" s="337" t="n"/>
      <c r="E30" s="328" t="n"/>
      <c r="F30" s="337" t="n"/>
      <c r="G30" s="337" t="n"/>
      <c r="H30" s="337" t="n"/>
      <c r="I30" s="337" t="n"/>
      <c r="J30" s="337" t="n"/>
      <c r="K30" s="337" t="n"/>
      <c r="L30" s="337" t="n"/>
      <c r="M30" s="291" t="n"/>
    </row>
    <row r="31" ht="15" customHeight="1" s="180">
      <c r="A31" s="336" t="n"/>
      <c r="B31" s="336" t="inlineStr">
        <is>
          <t>ボーナス有無</t>
        </is>
      </c>
      <c r="C31" s="344">
        <f>情報入力!C30</f>
        <v/>
      </c>
      <c r="D31" s="337" t="n"/>
      <c r="E31" s="328" t="n"/>
      <c r="F31" s="328" t="n"/>
      <c r="G31" s="328" t="n"/>
      <c r="H31" s="328" t="n"/>
      <c r="I31" s="328" t="n"/>
      <c r="J31" s="328" t="n"/>
      <c r="K31" s="328" t="n"/>
      <c r="L31" s="328" t="n"/>
      <c r="M31" s="291" t="n"/>
    </row>
    <row r="32" ht="15" customHeight="1" s="180">
      <c r="A32" s="336" t="n"/>
      <c r="B32" s="336" t="inlineStr">
        <is>
          <t>ご主人様年間賞与手取</t>
        </is>
      </c>
      <c r="C32" s="345">
        <f>情報入力!C31</f>
        <v/>
      </c>
      <c r="D32" s="337" t="n"/>
      <c r="E32" s="328" t="n"/>
      <c r="F32" s="328" t="n"/>
      <c r="G32" s="328" t="n"/>
      <c r="H32" s="328" t="n"/>
      <c r="I32" s="328" t="n"/>
      <c r="J32" s="328" t="n"/>
      <c r="K32" s="328" t="n"/>
      <c r="L32" s="328" t="n"/>
      <c r="M32" s="291" t="n"/>
    </row>
    <row r="33" ht="15" customHeight="1" s="180">
      <c r="A33" s="336" t="n"/>
      <c r="B33" s="336" t="inlineStr">
        <is>
          <t>奥様年間賞与手取</t>
        </is>
      </c>
      <c r="C33" s="345">
        <f>情報入力!C32</f>
        <v/>
      </c>
      <c r="D33" s="337" t="n"/>
      <c r="E33" s="328" t="n"/>
      <c r="F33" s="328" t="n"/>
      <c r="G33" s="328" t="n"/>
      <c r="H33" s="328" t="n"/>
      <c r="I33" s="328" t="n"/>
      <c r="J33" s="328" t="n"/>
      <c r="K33" s="328" t="n"/>
      <c r="L33" s="328" t="n"/>
      <c r="M33" s="291" t="n"/>
    </row>
    <row r="34" ht="15" customHeight="1" s="180">
      <c r="A34" s="336" t="n"/>
      <c r="B34" s="336" t="inlineStr">
        <is>
          <t>児童手当月額</t>
        </is>
      </c>
      <c r="C34" s="345">
        <f>IFERROR(ROUND((IF($C$17&gt;=1,IF(YEAR(DATE(YEAR($C$5),12,31))-YEAR($C$19)-IF(DATE(YEAR($C$5),12,31)&lt;DATE(YEAR($C$5),MONTH($C$19),DAY($C$19)),1,0)&lt;3,15000,10000),0)+IF($C$17&gt;=2,IF(2&gt;=3,30000,IF(YEAR(DATE(YEAR($C$5),12,31))-YEAR($C$21)-IF(DATE(YEAR($C$5),12,31)&lt;DATE(YEAR($C$5),MONTH($C$21),DAY($C$21)),1,0)&lt;3,15000,10000)),0)+IF($C$17&gt;=3,30000,0))/MAX($C$17,1),0),0)</f>
        <v/>
      </c>
      <c r="D34" s="337" t="n"/>
      <c r="E34" s="328" t="n"/>
      <c r="F34" s="328" t="n"/>
      <c r="G34" s="328" t="n"/>
      <c r="H34" s="328" t="n"/>
      <c r="I34" s="328" t="n"/>
      <c r="J34" s="328" t="n"/>
      <c r="K34" s="328" t="n"/>
      <c r="L34" s="328" t="n"/>
      <c r="M34" s="291" t="n"/>
    </row>
    <row r="35" ht="15" customHeight="1" s="180">
      <c r="A35" s="336" t="n"/>
      <c r="B35" s="336" t="inlineStr">
        <is>
          <t>その他定期収入月額</t>
        </is>
      </c>
      <c r="C35" s="345">
        <f>IF(情報入力!C34="",0,情報入力!C34)</f>
        <v/>
      </c>
      <c r="D35" s="337" t="n"/>
      <c r="E35" s="328" t="n"/>
      <c r="F35" s="328" t="n"/>
      <c r="G35" s="328" t="n"/>
      <c r="H35" s="328" t="n"/>
      <c r="I35" s="328" t="n"/>
      <c r="J35" s="328" t="n"/>
      <c r="K35" s="328" t="n"/>
      <c r="L35" s="328" t="n"/>
      <c r="M35" s="291" t="n"/>
    </row>
    <row r="36" ht="15" customHeight="1" s="180">
      <c r="A36" s="336" t="n"/>
      <c r="B36" s="336" t="inlineStr">
        <is>
          <t>ご主人様退職金見込額</t>
        </is>
      </c>
      <c r="C36" s="345">
        <f>IF(情報入力!C35="",0,情報入力!C35)</f>
        <v/>
      </c>
      <c r="D36" s="337" t="n"/>
      <c r="E36" s="328" t="n"/>
      <c r="F36" s="328" t="n"/>
      <c r="G36" s="328" t="n"/>
      <c r="H36" s="328" t="n"/>
      <c r="I36" s="328" t="n"/>
      <c r="J36" s="328" t="n"/>
      <c r="K36" s="328" t="n"/>
      <c r="L36" s="328" t="n"/>
      <c r="M36" s="291" t="n"/>
    </row>
    <row r="37" ht="15" customHeight="1" s="180">
      <c r="A37" s="336" t="n"/>
      <c r="B37" s="336" t="inlineStr">
        <is>
          <t>奥様退職金見込額</t>
        </is>
      </c>
      <c r="C37" s="345">
        <f>IF(情報入力!C36="",0,情報入力!C36)</f>
        <v/>
      </c>
      <c r="D37" s="337" t="n"/>
      <c r="E37" s="328" t="n"/>
      <c r="F37" s="328" t="n"/>
      <c r="G37" s="328" t="n"/>
      <c r="H37" s="328" t="n"/>
      <c r="I37" s="328" t="n"/>
      <c r="J37" s="328" t="n"/>
      <c r="K37" s="328" t="n"/>
      <c r="L37" s="328" t="n"/>
      <c r="M37" s="291" t="n"/>
    </row>
    <row r="38" ht="15" customHeight="1" s="180">
      <c r="A38" s="291" t="n"/>
      <c r="B38" s="291" t="n"/>
      <c r="C38" s="327" t="n"/>
      <c r="D38" s="291" t="n"/>
      <c r="E38" s="291" t="n"/>
      <c r="F38" s="291" t="n"/>
      <c r="G38" s="291" t="n"/>
      <c r="H38" s="291" t="n"/>
      <c r="I38" s="291" t="n"/>
      <c r="J38" s="291" t="n"/>
      <c r="K38" s="291" t="n"/>
      <c r="L38" s="291" t="n"/>
      <c r="M38" s="291" t="n"/>
    </row>
    <row r="39" ht="19.5" customHeight="1" s="180">
      <c r="A39" s="336" t="inlineStr">
        <is>
          <t>支出情報（月額）</t>
        </is>
      </c>
      <c r="B39" s="291" t="n"/>
      <c r="C39" s="327" t="n"/>
      <c r="D39" s="291" t="n"/>
      <c r="E39" s="328" t="n"/>
      <c r="F39" s="328" t="n"/>
      <c r="G39" s="328" t="n"/>
      <c r="H39" s="328" t="n"/>
      <c r="I39" s="328" t="n"/>
      <c r="J39" s="328" t="n"/>
      <c r="K39" s="328" t="n"/>
      <c r="L39" s="328" t="n"/>
      <c r="M39" s="291" t="n"/>
    </row>
    <row r="40" ht="15" customHeight="1" s="180">
      <c r="A40" s="341" t="inlineStr">
        <is>
          <t>大項目</t>
        </is>
      </c>
      <c r="B40" s="341" t="inlineStr">
        <is>
          <t>項目名</t>
        </is>
      </c>
      <c r="C40" s="342" t="inlineStr">
        <is>
          <t>入力値</t>
        </is>
      </c>
      <c r="D40" s="341" t="inlineStr">
        <is>
          <t>補足</t>
        </is>
      </c>
      <c r="E40" s="291" t="n"/>
      <c r="F40" s="291" t="n"/>
      <c r="G40" s="291" t="n"/>
      <c r="H40" s="291" t="n"/>
      <c r="I40" s="291" t="n"/>
      <c r="J40" s="291" t="n"/>
      <c r="K40" s="291" t="n"/>
      <c r="L40" s="291" t="n"/>
      <c r="M40" s="291" t="n"/>
    </row>
    <row r="41" ht="15" customHeight="1" s="180">
      <c r="A41" s="336" t="inlineStr">
        <is>
          <t>支出情報（月額）</t>
        </is>
      </c>
      <c r="B41" s="336" t="inlineStr">
        <is>
          <t>食費</t>
        </is>
      </c>
      <c r="C41" s="345">
        <f>情報入力!C40</f>
        <v/>
      </c>
      <c r="D41" s="337" t="n"/>
      <c r="E41" s="328" t="n"/>
      <c r="F41" s="328" t="n"/>
      <c r="G41" s="328" t="n"/>
      <c r="H41" s="328" t="n"/>
      <c r="I41" s="328" t="n"/>
      <c r="J41" s="328" t="n"/>
      <c r="K41" s="328" t="n"/>
      <c r="L41" s="328" t="n"/>
      <c r="M41" s="291" t="n"/>
    </row>
    <row r="42" ht="15" customHeight="1" s="180">
      <c r="A42" s="336" t="n"/>
      <c r="B42" s="336" t="inlineStr">
        <is>
          <t>日用品費</t>
        </is>
      </c>
      <c r="C42" s="345">
        <f>情報入力!C41</f>
        <v/>
      </c>
      <c r="D42" s="337" t="n"/>
      <c r="E42" s="328" t="n"/>
      <c r="F42" s="328" t="n"/>
      <c r="G42" s="328" t="n"/>
      <c r="H42" s="328" t="n"/>
      <c r="I42" s="328" t="n"/>
      <c r="J42" s="328" t="n"/>
      <c r="K42" s="328" t="n"/>
      <c r="L42" s="328" t="n"/>
      <c r="M42" s="291" t="n"/>
    </row>
    <row r="43" ht="15" customHeight="1" s="180">
      <c r="A43" s="336" t="n"/>
      <c r="B43" s="336" t="inlineStr">
        <is>
          <t>水道光熱費</t>
        </is>
      </c>
      <c r="C43" s="345">
        <f>情報入力!C42</f>
        <v/>
      </c>
      <c r="D43" s="337" t="n"/>
      <c r="E43" s="328" t="n"/>
      <c r="F43" s="328" t="n"/>
      <c r="G43" s="328" t="n"/>
      <c r="H43" s="328" t="n"/>
      <c r="I43" s="328" t="n"/>
      <c r="J43" s="328" t="n"/>
      <c r="K43" s="328" t="n"/>
      <c r="L43" s="328" t="n"/>
      <c r="M43" s="291" t="n"/>
    </row>
    <row r="44" ht="15" customHeight="1" s="180">
      <c r="A44" s="336" t="n"/>
      <c r="B44" s="336" t="inlineStr">
        <is>
          <t>通信費</t>
        </is>
      </c>
      <c r="C44" s="345">
        <f>情報入力!C43</f>
        <v/>
      </c>
      <c r="D44" s="337" t="n"/>
      <c r="E44" s="328" t="n"/>
      <c r="F44" s="328" t="n"/>
      <c r="G44" s="328" t="n"/>
      <c r="H44" s="328" t="n"/>
      <c r="I44" s="328" t="n"/>
      <c r="J44" s="328" t="n"/>
      <c r="K44" s="328" t="n"/>
      <c r="L44" s="328" t="n"/>
      <c r="M44" s="291" t="n"/>
    </row>
    <row r="45" ht="15" customHeight="1" s="180">
      <c r="A45" s="336" t="n"/>
      <c r="B45" s="336" t="inlineStr">
        <is>
          <t>被服費</t>
        </is>
      </c>
      <c r="C45" s="345" t="n">
        <v>10000</v>
      </c>
      <c r="D45" s="337" t="n"/>
      <c r="E45" s="328" t="n"/>
      <c r="F45" s="328" t="n"/>
      <c r="G45" s="328" t="n"/>
      <c r="H45" s="328" t="n"/>
      <c r="I45" s="328" t="n"/>
      <c r="J45" s="328" t="n"/>
      <c r="K45" s="328" t="n"/>
      <c r="L45" s="328" t="n"/>
      <c r="M45" s="291" t="n"/>
    </row>
    <row r="46" ht="15" customHeight="1" s="180">
      <c r="A46" s="336" t="n"/>
      <c r="B46" s="336" t="inlineStr">
        <is>
          <t>美容費</t>
        </is>
      </c>
      <c r="C46" s="345" t="n">
        <v>8000</v>
      </c>
      <c r="D46" s="337" t="n"/>
      <c r="E46" s="328" t="n"/>
      <c r="F46" s="328" t="n"/>
      <c r="G46" s="328" t="n"/>
      <c r="H46" s="328" t="n"/>
      <c r="I46" s="328" t="n"/>
      <c r="J46" s="328" t="n"/>
      <c r="K46" s="328" t="n"/>
      <c r="L46" s="328" t="n"/>
      <c r="M46" s="291" t="n"/>
    </row>
    <row r="47" ht="15" customHeight="1" s="180">
      <c r="A47" s="336" t="n"/>
      <c r="B47" s="336" t="inlineStr">
        <is>
          <t>医療費</t>
        </is>
      </c>
      <c r="C47" s="345" t="n">
        <v>6000</v>
      </c>
      <c r="D47" s="337" t="n"/>
      <c r="E47" s="328" t="n"/>
      <c r="F47" s="328" t="n"/>
      <c r="G47" s="328" t="n"/>
      <c r="H47" s="328" t="n"/>
      <c r="I47" s="328" t="n"/>
      <c r="J47" s="328" t="n"/>
      <c r="K47" s="328" t="n"/>
      <c r="L47" s="328" t="n"/>
      <c r="M47" s="291" t="n"/>
    </row>
    <row r="48" ht="15" customHeight="1" s="180">
      <c r="A48" s="336" t="n"/>
      <c r="B48" s="336" t="inlineStr">
        <is>
          <t>交際費</t>
        </is>
      </c>
      <c r="C48" s="345" t="n">
        <v>12000</v>
      </c>
      <c r="D48" s="337" t="n"/>
      <c r="E48" s="328" t="n"/>
      <c r="F48" s="328" t="n"/>
      <c r="G48" s="328" t="n"/>
      <c r="H48" s="328" t="n"/>
      <c r="I48" s="328" t="n"/>
      <c r="J48" s="328" t="n"/>
      <c r="K48" s="328" t="n"/>
      <c r="L48" s="328" t="n"/>
      <c r="M48" s="291" t="n"/>
    </row>
    <row r="49" ht="15" customHeight="1" s="180">
      <c r="A49" s="336" t="n"/>
      <c r="B49" s="336" t="inlineStr">
        <is>
          <t>娯楽費</t>
        </is>
      </c>
      <c r="C49" s="345" t="n">
        <v>20000</v>
      </c>
      <c r="D49" s="337" t="n"/>
      <c r="E49" s="328" t="n"/>
      <c r="F49" s="328" t="n"/>
      <c r="G49" s="328" t="n"/>
      <c r="H49" s="328" t="n"/>
      <c r="I49" s="328" t="n"/>
      <c r="J49" s="328" t="n"/>
      <c r="K49" s="328" t="n"/>
      <c r="L49" s="328" t="n"/>
      <c r="M49" s="291" t="n"/>
    </row>
    <row r="50" ht="15" customHeight="1" s="180">
      <c r="A50" s="336" t="n"/>
      <c r="B50" s="336" t="inlineStr">
        <is>
          <t>ご主人様こづかい</t>
        </is>
      </c>
      <c r="C50" s="345" t="n">
        <v>30000</v>
      </c>
      <c r="D50" s="337" t="n"/>
      <c r="E50" s="328" t="n"/>
      <c r="F50" s="328" t="n"/>
      <c r="G50" s="328" t="n"/>
      <c r="H50" s="328" t="n"/>
      <c r="I50" s="328" t="n"/>
      <c r="J50" s="328" t="n"/>
      <c r="K50" s="328" t="n"/>
      <c r="L50" s="328" t="n"/>
      <c r="M50" s="291" t="n"/>
    </row>
    <row r="51" ht="15" customHeight="1" s="180">
      <c r="A51" s="336" t="n"/>
      <c r="B51" s="336" t="inlineStr">
        <is>
          <t>奥様こづかい</t>
        </is>
      </c>
      <c r="C51" s="345" t="n">
        <v>15000</v>
      </c>
      <c r="D51" s="337" t="n"/>
      <c r="E51" s="328" t="n"/>
      <c r="F51" s="328" t="n"/>
      <c r="G51" s="328" t="n"/>
      <c r="H51" s="328" t="n"/>
      <c r="I51" s="328" t="n"/>
      <c r="J51" s="328" t="n"/>
      <c r="K51" s="328" t="n"/>
      <c r="L51" s="328" t="n"/>
      <c r="M51" s="291" t="n"/>
    </row>
    <row r="52" ht="15" customHeight="1" s="180">
      <c r="A52" s="336" t="n"/>
      <c r="B52" s="336" t="inlineStr">
        <is>
          <t>その他生活費</t>
        </is>
      </c>
      <c r="C52" s="345" t="n">
        <v>10000</v>
      </c>
      <c r="D52" s="337" t="n"/>
      <c r="E52" s="328" t="n"/>
      <c r="F52" s="328" t="n"/>
      <c r="G52" s="328" t="n"/>
      <c r="H52" s="328" t="n"/>
      <c r="I52" s="328" t="n"/>
      <c r="J52" s="328" t="n"/>
      <c r="K52" s="328" t="n"/>
      <c r="L52" s="328" t="n"/>
      <c r="M52" s="291" t="n"/>
    </row>
    <row r="53" ht="15" customHeight="1" s="180">
      <c r="A53" s="336" t="n"/>
      <c r="B53" s="336" t="inlineStr">
        <is>
          <t>住居費月額</t>
        </is>
      </c>
      <c r="C53" s="345">
        <f>情報入力!C44</f>
        <v/>
      </c>
      <c r="D53" s="337" t="n"/>
      <c r="E53" s="328" t="n"/>
      <c r="F53" s="328" t="n"/>
      <c r="G53" s="328" t="n"/>
      <c r="H53" s="328" t="n"/>
      <c r="I53" s="328" t="n"/>
      <c r="J53" s="328" t="n"/>
      <c r="K53" s="328" t="n"/>
      <c r="L53" s="328" t="n"/>
      <c r="M53" s="291" t="n"/>
    </row>
    <row r="54" ht="15" customHeight="1" s="180">
      <c r="A54" s="336" t="n"/>
      <c r="B54" s="336" t="inlineStr">
        <is>
          <t>管理修繕費月額</t>
        </is>
      </c>
      <c r="C54" s="345">
        <f>情報入力!C45</f>
        <v/>
      </c>
      <c r="D54" s="337" t="n"/>
      <c r="E54" s="328" t="n"/>
      <c r="F54" s="328" t="n"/>
      <c r="G54" s="328" t="n"/>
      <c r="H54" s="328" t="n"/>
      <c r="I54" s="328" t="n"/>
      <c r="J54" s="328" t="n"/>
      <c r="K54" s="328" t="n"/>
      <c r="L54" s="328" t="n"/>
      <c r="M54" s="291" t="n"/>
    </row>
    <row r="55" ht="15" customHeight="1" s="180">
      <c r="A55" s="336" t="n"/>
      <c r="B55" s="336" t="inlineStr">
        <is>
          <t>火災保険月額</t>
        </is>
      </c>
      <c r="C55" s="345" t="n">
        <v>2000</v>
      </c>
      <c r="D55" s="337" t="n"/>
      <c r="E55" s="328" t="n"/>
      <c r="F55" s="328" t="n"/>
      <c r="G55" s="328" t="n"/>
      <c r="H55" s="328" t="n"/>
      <c r="I55" s="328" t="n"/>
      <c r="J55" s="328" t="n"/>
      <c r="K55" s="328" t="n"/>
      <c r="L55" s="328" t="n"/>
      <c r="M55" s="291" t="n"/>
    </row>
    <row r="56" ht="15" customHeight="1" s="180">
      <c r="A56" s="336" t="n"/>
      <c r="B56" s="336" t="inlineStr">
        <is>
          <t>その他住居費月額</t>
        </is>
      </c>
      <c r="C56" s="345" t="n">
        <v>0</v>
      </c>
      <c r="D56" s="337" t="n"/>
      <c r="E56" s="328" t="n"/>
      <c r="F56" s="328" t="n"/>
      <c r="G56" s="328" t="n"/>
      <c r="H56" s="328" t="n"/>
      <c r="I56" s="328" t="n"/>
      <c r="J56" s="328" t="n"/>
      <c r="K56" s="328" t="n"/>
      <c r="L56" s="328" t="n"/>
      <c r="M56" s="291" t="n"/>
    </row>
    <row r="57" ht="15" customHeight="1" s="180">
      <c r="A57" s="336" t="n"/>
      <c r="B57" s="336" t="inlineStr">
        <is>
          <t>住宅ローン団信有無</t>
        </is>
      </c>
      <c r="C57" s="345">
        <f>情報入力!C46</f>
        <v/>
      </c>
      <c r="D57" s="337" t="n"/>
      <c r="E57" s="328" t="n"/>
      <c r="F57" s="328" t="n"/>
      <c r="G57" s="328" t="n"/>
      <c r="H57" s="328" t="n"/>
      <c r="I57" s="328" t="n"/>
      <c r="J57" s="328" t="n"/>
      <c r="K57" s="328" t="n"/>
      <c r="L57" s="328" t="n"/>
      <c r="M57" s="291" t="n"/>
    </row>
    <row r="58" ht="15" customHeight="1" s="180">
      <c r="A58" s="336" t="n"/>
      <c r="B58" s="336" t="inlineStr">
        <is>
          <t>習い事費月額</t>
        </is>
      </c>
      <c r="C58" s="345">
        <f>情報入力!C47</f>
        <v/>
      </c>
      <c r="D58" s="337" t="n"/>
      <c r="E58" s="328" t="n"/>
      <c r="F58" s="328" t="n"/>
      <c r="G58" s="328" t="n"/>
      <c r="H58" s="328" t="n"/>
      <c r="I58" s="328" t="n"/>
      <c r="J58" s="328" t="n"/>
      <c r="K58" s="328" t="n"/>
      <c r="L58" s="328" t="n"/>
      <c r="M58" s="291" t="n"/>
    </row>
    <row r="59" ht="15" customHeight="1" s="180">
      <c r="A59" s="336" t="n"/>
      <c r="B59" s="336" t="inlineStr">
        <is>
          <t>学校関連費月額</t>
        </is>
      </c>
      <c r="C59" s="345" t="n">
        <v>0</v>
      </c>
      <c r="D59" s="337" t="n"/>
      <c r="E59" s="328" t="n"/>
      <c r="F59" s="328" t="n"/>
      <c r="G59" s="328" t="n"/>
      <c r="H59" s="328" t="n"/>
      <c r="I59" s="328" t="n"/>
      <c r="J59" s="328" t="n"/>
      <c r="K59" s="328" t="n"/>
      <c r="L59" s="328" t="n"/>
      <c r="M59" s="291" t="n"/>
    </row>
    <row r="60" ht="15" customHeight="1" s="180">
      <c r="A60" s="336" t="n"/>
      <c r="B60" s="336" t="inlineStr">
        <is>
          <t>塾費月額</t>
        </is>
      </c>
      <c r="C60" s="345" t="n">
        <v>0</v>
      </c>
      <c r="D60" s="337" t="n"/>
      <c r="E60" s="328" t="n"/>
      <c r="F60" s="328" t="n"/>
      <c r="G60" s="328" t="n"/>
      <c r="H60" s="328" t="n"/>
      <c r="I60" s="328" t="n"/>
      <c r="J60" s="328" t="n"/>
      <c r="K60" s="328" t="n"/>
      <c r="L60" s="328" t="n"/>
      <c r="M60" s="291" t="n"/>
    </row>
    <row r="61" ht="15" customHeight="1" s="180">
      <c r="A61" s="336" t="n"/>
      <c r="B61" s="336" t="inlineStr">
        <is>
          <t>その他教育費月額</t>
        </is>
      </c>
      <c r="C61" s="345" t="n">
        <v>0</v>
      </c>
      <c r="D61" s="337" t="n"/>
      <c r="E61" s="328" t="n"/>
      <c r="F61" s="328" t="n"/>
      <c r="G61" s="328" t="n"/>
      <c r="H61" s="328" t="n"/>
      <c r="I61" s="328" t="n"/>
      <c r="J61" s="328" t="n"/>
      <c r="K61" s="328" t="n"/>
      <c r="L61" s="328" t="n"/>
      <c r="M61" s="291" t="n"/>
    </row>
    <row r="62" ht="15" customHeight="1" s="180">
      <c r="A62" s="336" t="n"/>
      <c r="B62" s="336" t="inlineStr">
        <is>
          <t>生命保険料月額</t>
        </is>
      </c>
      <c r="C62" s="345">
        <f>情報入力!C48</f>
        <v/>
      </c>
      <c r="D62" s="337" t="n"/>
      <c r="E62" s="328" t="n"/>
      <c r="F62" s="328" t="n"/>
      <c r="G62" s="328" t="n"/>
      <c r="H62" s="328" t="n"/>
      <c r="I62" s="328" t="n"/>
      <c r="J62" s="328" t="n"/>
      <c r="K62" s="328" t="n"/>
      <c r="L62" s="328" t="n"/>
      <c r="M62" s="291" t="n"/>
    </row>
    <row r="63" ht="15" customHeight="1" s="180">
      <c r="A63" s="336" t="n"/>
      <c r="B63" s="336" t="inlineStr">
        <is>
          <t>医療保険料月額</t>
        </is>
      </c>
      <c r="C63" s="345">
        <f>情報入力!C49</f>
        <v/>
      </c>
      <c r="D63" s="337" t="n"/>
      <c r="E63" s="328" t="n"/>
      <c r="F63" s="328" t="n"/>
      <c r="G63" s="328" t="n"/>
      <c r="H63" s="328" t="n"/>
      <c r="I63" s="328" t="n"/>
      <c r="J63" s="328" t="n"/>
      <c r="K63" s="328" t="n"/>
      <c r="L63" s="328" t="n"/>
      <c r="M63" s="291" t="n"/>
    </row>
    <row r="64" ht="15" customHeight="1" s="180">
      <c r="A64" s="336" t="n"/>
      <c r="B64" s="336" t="inlineStr">
        <is>
          <t>学資保険料月額</t>
        </is>
      </c>
      <c r="C64" s="345" t="n">
        <v>0</v>
      </c>
      <c r="D64" s="337" t="n"/>
      <c r="E64" s="328" t="n"/>
      <c r="F64" s="328" t="n"/>
      <c r="G64" s="328" t="n"/>
      <c r="H64" s="328" t="n"/>
      <c r="I64" s="328" t="n"/>
      <c r="J64" s="328" t="n"/>
      <c r="K64" s="328" t="n"/>
      <c r="L64" s="328" t="n"/>
      <c r="M64" s="291" t="n"/>
    </row>
    <row r="65" ht="15" customHeight="1" s="180">
      <c r="A65" s="336" t="n"/>
      <c r="B65" s="336" t="inlineStr">
        <is>
          <t>その他保険料月額</t>
        </is>
      </c>
      <c r="C65" s="345" t="n">
        <v>0</v>
      </c>
      <c r="D65" s="337" t="n"/>
      <c r="E65" s="328" t="n"/>
      <c r="F65" s="328" t="n"/>
      <c r="G65" s="328" t="n"/>
      <c r="H65" s="328" t="n"/>
      <c r="I65" s="328" t="n"/>
      <c r="J65" s="328" t="n"/>
      <c r="K65" s="328" t="n"/>
      <c r="L65" s="328" t="n"/>
      <c r="M65" s="291" t="n"/>
    </row>
    <row r="66" ht="15" customHeight="1" s="180">
      <c r="A66" s="336" t="n"/>
      <c r="B66" s="336" t="inlineStr">
        <is>
          <t>駐車場代月額</t>
        </is>
      </c>
      <c r="C66" s="345" t="n">
        <v>0</v>
      </c>
      <c r="D66" s="337" t="n"/>
      <c r="E66" s="328" t="n"/>
      <c r="F66" s="328" t="n"/>
      <c r="G66" s="328" t="n"/>
      <c r="H66" s="328" t="n"/>
      <c r="I66" s="328" t="n"/>
      <c r="J66" s="328" t="n"/>
      <c r="K66" s="328" t="n"/>
      <c r="L66" s="328" t="n"/>
      <c r="M66" s="291" t="n"/>
    </row>
    <row r="67" ht="15" customHeight="1" s="180">
      <c r="A67" s="336" t="n"/>
      <c r="B67" s="336" t="inlineStr">
        <is>
          <t>ガソリン代月額</t>
        </is>
      </c>
      <c r="C67" s="345" t="n">
        <v>0</v>
      </c>
      <c r="D67" s="337" t="n"/>
      <c r="E67" s="328" t="n"/>
      <c r="F67" s="328" t="n"/>
      <c r="G67" s="328" t="n"/>
      <c r="H67" s="328" t="n"/>
      <c r="I67" s="328" t="n"/>
      <c r="J67" s="328" t="n"/>
      <c r="K67" s="328" t="n"/>
      <c r="L67" s="328" t="n"/>
      <c r="M67" s="291" t="n"/>
    </row>
    <row r="68" ht="15" customHeight="1" s="180">
      <c r="A68" s="336" t="n"/>
      <c r="B68" s="336" t="inlineStr">
        <is>
          <t>自動車保険料月額</t>
        </is>
      </c>
      <c r="C68" s="345" t="n">
        <v>0</v>
      </c>
      <c r="D68" s="337" t="n"/>
      <c r="E68" s="328" t="n"/>
      <c r="F68" s="328" t="n"/>
      <c r="G68" s="328" t="n"/>
      <c r="H68" s="328" t="n"/>
      <c r="I68" s="328" t="n"/>
      <c r="J68" s="328" t="n"/>
      <c r="K68" s="328" t="n"/>
      <c r="L68" s="328" t="n"/>
      <c r="M68" s="291" t="n"/>
    </row>
    <row r="69" ht="15" customHeight="1" s="180">
      <c r="A69" s="336" t="n"/>
      <c r="B69" s="336" t="inlineStr">
        <is>
          <t>車維持費月額</t>
        </is>
      </c>
      <c r="C69" s="345">
        <f>情報入力!C50</f>
        <v/>
      </c>
      <c r="D69" s="337" t="n"/>
      <c r="E69" s="328" t="n"/>
      <c r="F69" s="328" t="n"/>
      <c r="G69" s="328" t="n"/>
      <c r="H69" s="328" t="n"/>
      <c r="I69" s="328" t="n"/>
      <c r="J69" s="328" t="n"/>
      <c r="K69" s="328" t="n"/>
      <c r="L69" s="328" t="n"/>
      <c r="M69" s="291" t="n"/>
    </row>
    <row r="70" ht="15" customHeight="1" s="180">
      <c r="A70" s="336" t="n"/>
      <c r="B70" s="336" t="inlineStr">
        <is>
          <t>その他車費月額</t>
        </is>
      </c>
      <c r="C70" s="345" t="n">
        <v>0</v>
      </c>
      <c r="D70" s="337" t="n"/>
      <c r="E70" s="328" t="n"/>
      <c r="F70" s="328" t="n"/>
      <c r="G70" s="328" t="n"/>
      <c r="H70" s="328" t="n"/>
      <c r="I70" s="328" t="n"/>
      <c r="J70" s="328" t="n"/>
      <c r="K70" s="328" t="n"/>
      <c r="L70" s="328" t="n"/>
      <c r="M70" s="291" t="n"/>
    </row>
    <row r="71" ht="15" customHeight="1" s="180">
      <c r="A71" s="336" t="n"/>
      <c r="B71" s="336" t="inlineStr">
        <is>
          <t>サブスク月額</t>
        </is>
      </c>
      <c r="C71" s="345" t="n">
        <v>5000</v>
      </c>
      <c r="D71" s="337" t="n"/>
      <c r="E71" s="328" t="n"/>
      <c r="F71" s="328" t="n"/>
      <c r="G71" s="328" t="n"/>
      <c r="H71" s="328" t="n"/>
      <c r="I71" s="328" t="n"/>
      <c r="J71" s="328" t="n"/>
      <c r="K71" s="328" t="n"/>
      <c r="L71" s="328" t="n"/>
      <c r="M71" s="291" t="n"/>
    </row>
    <row r="72" ht="15" customHeight="1" s="180">
      <c r="A72" s="336" t="n"/>
      <c r="B72" s="336" t="inlineStr">
        <is>
          <t>仕送り月額</t>
        </is>
      </c>
      <c r="C72" s="345" t="n">
        <v>0</v>
      </c>
      <c r="D72" s="337" t="n"/>
      <c r="E72" s="328" t="n"/>
      <c r="F72" s="328" t="n"/>
      <c r="G72" s="328" t="n"/>
      <c r="H72" s="328" t="n"/>
      <c r="I72" s="328" t="n"/>
      <c r="J72" s="328" t="n"/>
      <c r="K72" s="328" t="n"/>
      <c r="L72" s="328" t="n"/>
      <c r="M72" s="291" t="n"/>
    </row>
    <row r="73" ht="15" customHeight="1" s="180">
      <c r="A73" s="336" t="n"/>
      <c r="B73" s="336" t="inlineStr">
        <is>
          <t>借入返済月額</t>
        </is>
      </c>
      <c r="C73" s="345" t="n">
        <v>0</v>
      </c>
      <c r="D73" s="337" t="n"/>
      <c r="E73" s="328" t="n"/>
      <c r="F73" s="328" t="n"/>
      <c r="G73" s="328" t="n"/>
      <c r="H73" s="328" t="n"/>
      <c r="I73" s="328" t="n"/>
      <c r="J73" s="328" t="n"/>
      <c r="K73" s="328" t="n"/>
      <c r="L73" s="328" t="n"/>
      <c r="M73" s="291" t="n"/>
    </row>
    <row r="74" ht="15" customHeight="1" s="180">
      <c r="A74" s="336" t="n"/>
      <c r="B74" s="336" t="inlineStr">
        <is>
          <t>その他固定費月額</t>
        </is>
      </c>
      <c r="C74" s="345">
        <f>情報入力!C51</f>
        <v/>
      </c>
      <c r="D74" s="337" t="n"/>
      <c r="E74" s="328" t="n"/>
      <c r="F74" s="328" t="n"/>
      <c r="G74" s="328" t="n"/>
      <c r="H74" s="328" t="n"/>
      <c r="I74" s="328" t="n"/>
      <c r="J74" s="328" t="n"/>
      <c r="K74" s="328" t="n"/>
      <c r="L74" s="328" t="n"/>
      <c r="M74" s="291" t="n"/>
    </row>
    <row r="75" ht="15" customHeight="1" s="180">
      <c r="A75" s="291" t="n"/>
      <c r="B75" s="291" t="n"/>
      <c r="C75" s="327" t="n"/>
      <c r="D75" s="291" t="n"/>
      <c r="E75" s="291" t="n"/>
      <c r="F75" s="291" t="n"/>
      <c r="G75" s="291" t="n"/>
      <c r="H75" s="291" t="n"/>
      <c r="I75" s="291" t="n"/>
      <c r="J75" s="291" t="n"/>
      <c r="K75" s="291" t="n"/>
      <c r="L75" s="291" t="n"/>
      <c r="M75" s="291" t="n"/>
    </row>
    <row r="76" hidden="1" ht="19.5" customHeight="1" s="180">
      <c r="A76" s="346" t="inlineStr">
        <is>
          <t>特別支出（年額）</t>
        </is>
      </c>
      <c r="B76" s="291" t="n"/>
      <c r="C76" s="327" t="n"/>
      <c r="D76" s="291" t="n"/>
      <c r="E76" s="291" t="n"/>
      <c r="F76" s="291" t="n"/>
      <c r="G76" s="291" t="n"/>
      <c r="H76" s="291" t="n"/>
      <c r="I76" s="291" t="n"/>
      <c r="J76" s="291" t="n"/>
      <c r="K76" s="291" t="n"/>
      <c r="L76" s="291" t="n"/>
      <c r="M76" s="291" t="n"/>
    </row>
    <row r="77" hidden="1" ht="15" customHeight="1" s="180">
      <c r="A77" s="341" t="inlineStr">
        <is>
          <t>大項目</t>
        </is>
      </c>
      <c r="B77" s="341" t="inlineStr">
        <is>
          <t>項目名</t>
        </is>
      </c>
      <c r="C77" s="342" t="inlineStr">
        <is>
          <t>入力値</t>
        </is>
      </c>
      <c r="D77" s="341" t="inlineStr">
        <is>
          <t>補足</t>
        </is>
      </c>
      <c r="E77" s="291" t="n"/>
      <c r="F77" s="291" t="n"/>
      <c r="G77" s="291" t="n"/>
      <c r="H77" s="291" t="n"/>
      <c r="I77" s="291" t="n"/>
      <c r="J77" s="291" t="n"/>
      <c r="K77" s="291" t="n"/>
      <c r="L77" s="291" t="n"/>
      <c r="M77" s="291" t="n"/>
    </row>
    <row r="78" hidden="1" ht="15" customHeight="1" s="180">
      <c r="A78" s="319" t="inlineStr">
        <is>
          <t>特別支出（年額）</t>
        </is>
      </c>
      <c r="B78" s="319" t="inlineStr">
        <is>
          <t>旅行年額</t>
        </is>
      </c>
      <c r="C78" s="347" t="n">
        <v>0</v>
      </c>
      <c r="D78" s="321" t="n"/>
      <c r="E78" s="291" t="n"/>
      <c r="F78" s="291" t="n"/>
      <c r="G78" s="291" t="n"/>
      <c r="H78" s="291" t="n"/>
      <c r="I78" s="291" t="n"/>
      <c r="J78" s="291" t="n"/>
      <c r="K78" s="291" t="n"/>
      <c r="L78" s="291" t="n"/>
      <c r="M78" s="291" t="n"/>
    </row>
    <row r="79" hidden="1" ht="15" customHeight="1" s="180">
      <c r="A79" s="319" t="n"/>
      <c r="B79" s="319" t="inlineStr">
        <is>
          <t>帰省年額</t>
        </is>
      </c>
      <c r="C79" s="347" t="n">
        <v>0</v>
      </c>
      <c r="D79" s="321" t="n"/>
      <c r="E79" s="291" t="n"/>
      <c r="F79" s="291" t="n"/>
      <c r="G79" s="291" t="n"/>
      <c r="H79" s="291" t="n"/>
      <c r="I79" s="291" t="n"/>
      <c r="J79" s="291" t="n"/>
      <c r="K79" s="291" t="n"/>
      <c r="L79" s="291" t="n"/>
      <c r="M79" s="291" t="n"/>
    </row>
    <row r="80" hidden="1" ht="15" customHeight="1" s="180">
      <c r="A80" s="319" t="n"/>
      <c r="B80" s="319" t="inlineStr">
        <is>
          <t>冠婚葬祭年額</t>
        </is>
      </c>
      <c r="C80" s="347" t="n">
        <v>0</v>
      </c>
      <c r="D80" s="321" t="n"/>
      <c r="E80" s="291" t="n"/>
      <c r="F80" s="291" t="n"/>
      <c r="G80" s="291" t="n"/>
      <c r="H80" s="291" t="n"/>
      <c r="I80" s="291" t="n"/>
      <c r="J80" s="291" t="n"/>
      <c r="K80" s="291" t="n"/>
      <c r="L80" s="291" t="n"/>
      <c r="M80" s="291" t="n"/>
    </row>
    <row r="81" hidden="1" ht="15" customHeight="1" s="180">
      <c r="A81" s="319" t="n"/>
      <c r="B81" s="319" t="inlineStr">
        <is>
          <t>家電買替年額</t>
        </is>
      </c>
      <c r="C81" s="347" t="n">
        <v>0</v>
      </c>
      <c r="D81" s="321" t="n"/>
      <c r="E81" s="291" t="n"/>
      <c r="F81" s="291" t="n"/>
      <c r="G81" s="291" t="n"/>
      <c r="H81" s="291" t="n"/>
      <c r="I81" s="291" t="n"/>
      <c r="J81" s="291" t="n"/>
      <c r="K81" s="291" t="n"/>
      <c r="L81" s="291" t="n"/>
      <c r="M81" s="291" t="n"/>
    </row>
    <row r="82" hidden="1" ht="15" customHeight="1" s="180">
      <c r="A82" s="319" t="n"/>
      <c r="B82" s="319" t="inlineStr">
        <is>
          <t>その他特別支出年額</t>
        </is>
      </c>
      <c r="C82" s="347" t="n">
        <v>0</v>
      </c>
      <c r="D82" s="321" t="n"/>
      <c r="E82" s="291" t="n"/>
      <c r="F82" s="291" t="n"/>
      <c r="G82" s="291" t="n"/>
      <c r="H82" s="291" t="n"/>
      <c r="I82" s="291" t="n"/>
      <c r="J82" s="291" t="n"/>
      <c r="K82" s="291" t="n"/>
      <c r="L82" s="291" t="n"/>
      <c r="M82" s="291" t="n"/>
    </row>
    <row r="83" hidden="1" ht="15" customHeight="1" s="180">
      <c r="A83" s="319" t="n"/>
      <c r="B83" s="319" t="inlineStr">
        <is>
          <t>固定資産税年額</t>
        </is>
      </c>
      <c r="C83" s="347" t="n">
        <v>0</v>
      </c>
      <c r="D83" s="321" t="n"/>
      <c r="E83" s="291" t="n"/>
      <c r="F83" s="291" t="n"/>
      <c r="G83" s="291" t="n"/>
      <c r="H83" s="291" t="n"/>
      <c r="I83" s="291" t="n"/>
      <c r="J83" s="291" t="n"/>
      <c r="K83" s="291" t="n"/>
      <c r="L83" s="291" t="n"/>
      <c r="M83" s="291" t="n"/>
    </row>
    <row r="84" hidden="1" ht="15" customHeight="1" s="180">
      <c r="A84" s="319" t="n"/>
      <c r="B84" s="319" t="inlineStr">
        <is>
          <t>賃貸更新料年額</t>
        </is>
      </c>
      <c r="C84" s="347" t="n">
        <v>0</v>
      </c>
      <c r="D84" s="321" t="n"/>
      <c r="E84" s="291" t="n"/>
      <c r="F84" s="291" t="n"/>
      <c r="G84" s="291" t="n"/>
      <c r="H84" s="291" t="n"/>
      <c r="I84" s="291" t="n"/>
      <c r="J84" s="291" t="n"/>
      <c r="K84" s="291" t="n"/>
      <c r="L84" s="291" t="n"/>
      <c r="M84" s="291" t="n"/>
    </row>
    <row r="85" ht="15" customHeight="1" s="180">
      <c r="A85" s="291" t="n"/>
      <c r="B85" s="291" t="n"/>
      <c r="C85" s="348" t="n"/>
      <c r="D85" s="291" t="n"/>
      <c r="E85" s="291" t="n"/>
      <c r="F85" s="291" t="n"/>
      <c r="G85" s="291" t="n"/>
      <c r="H85" s="291" t="n"/>
      <c r="I85" s="291" t="n"/>
      <c r="J85" s="291" t="n"/>
      <c r="K85" s="291" t="n"/>
      <c r="L85" s="291" t="n"/>
      <c r="M85" s="291" t="n"/>
    </row>
    <row r="86" ht="19.5" customHeight="1" s="180">
      <c r="A86" s="336" t="inlineStr">
        <is>
          <t>資産・負債情報</t>
        </is>
      </c>
      <c r="B86" s="291" t="n"/>
      <c r="C86" s="327" t="n"/>
      <c r="D86" s="291" t="n"/>
      <c r="E86" s="328" t="n"/>
      <c r="F86" s="328" t="n"/>
      <c r="G86" s="328" t="n"/>
      <c r="H86" s="328" t="n"/>
      <c r="I86" s="328" t="n"/>
      <c r="J86" s="328" t="n"/>
      <c r="K86" s="328" t="n"/>
      <c r="L86" s="328" t="n"/>
      <c r="M86" s="291" t="n"/>
    </row>
    <row r="87" ht="15" customHeight="1" s="180">
      <c r="A87" s="341" t="inlineStr">
        <is>
          <t>大項目</t>
        </is>
      </c>
      <c r="B87" s="341" t="inlineStr">
        <is>
          <t>項目名</t>
        </is>
      </c>
      <c r="C87" s="349" t="inlineStr">
        <is>
          <t>入力値</t>
        </is>
      </c>
      <c r="D87" s="341" t="inlineStr">
        <is>
          <t>補足</t>
        </is>
      </c>
      <c r="E87" s="291" t="n"/>
      <c r="F87" s="291" t="n"/>
      <c r="G87" s="291" t="n"/>
      <c r="H87" s="291" t="n"/>
      <c r="I87" s="291" t="n"/>
      <c r="J87" s="291" t="n"/>
      <c r="K87" s="291" t="n"/>
      <c r="L87" s="291" t="n"/>
      <c r="M87" s="291" t="n"/>
    </row>
    <row r="88" ht="15" customHeight="1" s="180">
      <c r="A88" s="336" t="inlineStr">
        <is>
          <t>資産・負債情報</t>
        </is>
      </c>
      <c r="B88" s="336" t="inlineStr">
        <is>
          <t>今ある預貯金（普通預金）</t>
        </is>
      </c>
      <c r="C88" s="345">
        <f>情報入力!C71</f>
        <v/>
      </c>
      <c r="D88" s="337" t="n"/>
      <c r="E88" s="328" t="n"/>
      <c r="F88" s="328" t="n"/>
      <c r="G88" s="328" t="n"/>
      <c r="H88" s="328" t="n"/>
      <c r="I88" s="328" t="n"/>
      <c r="J88" s="328" t="n"/>
      <c r="K88" s="328" t="n"/>
      <c r="L88" s="328" t="n"/>
      <c r="M88" s="291" t="n"/>
    </row>
    <row r="89" ht="15" customHeight="1" s="180">
      <c r="A89" s="336" t="inlineStr">
        <is>
          <t>資産・負債情報</t>
        </is>
      </c>
      <c r="B89" s="336" t="inlineStr">
        <is>
          <t>今ある預貯金（定期預金）</t>
        </is>
      </c>
      <c r="C89" s="345">
        <f>情報入力!C72</f>
        <v/>
      </c>
      <c r="D89" s="337" t="n"/>
      <c r="E89" s="328" t="n"/>
      <c r="F89" s="328" t="n"/>
      <c r="G89" s="328" t="n"/>
      <c r="H89" s="328" t="n"/>
      <c r="I89" s="328" t="n"/>
      <c r="J89" s="328" t="n"/>
      <c r="K89" s="328" t="n"/>
      <c r="L89" s="328" t="n"/>
      <c r="M89" s="291" t="n"/>
    </row>
    <row r="90" ht="15" customHeight="1" s="180">
      <c r="A90" s="336" t="inlineStr">
        <is>
          <t>資産・負債情報</t>
        </is>
      </c>
      <c r="B90" s="336" t="inlineStr">
        <is>
          <t>今ある投資残高（積立投資）</t>
        </is>
      </c>
      <c r="C90" s="345">
        <f>情報入力!C73</f>
        <v/>
      </c>
      <c r="D90" s="337" t="n"/>
      <c r="E90" s="328" t="n"/>
      <c r="F90" s="328" t="n"/>
      <c r="G90" s="328" t="n"/>
      <c r="H90" s="328" t="n"/>
      <c r="I90" s="328" t="n"/>
      <c r="J90" s="328" t="n"/>
      <c r="K90" s="328" t="n"/>
      <c r="L90" s="328" t="n"/>
      <c r="M90" s="291" t="n"/>
    </row>
    <row r="91" ht="16.5" customHeight="1" s="180">
      <c r="A91" s="336" t="inlineStr">
        <is>
          <t>資産・負債情報</t>
        </is>
      </c>
      <c r="B91" s="336" t="inlineStr">
        <is>
          <t>今ある投資残高（NISA）</t>
        </is>
      </c>
      <c r="C91" s="345">
        <f>情報入力!C74</f>
        <v/>
      </c>
      <c r="D91" s="337" t="n"/>
      <c r="E91" s="328" t="n"/>
      <c r="F91" s="328" t="n"/>
      <c r="G91" s="328" t="n"/>
      <c r="H91" s="328" t="n"/>
      <c r="I91" s="328" t="n"/>
      <c r="J91" s="328" t="n"/>
      <c r="K91" s="328" t="n"/>
      <c r="L91" s="328" t="n"/>
      <c r="M91" s="291" t="n"/>
    </row>
    <row r="92" ht="16.5" customHeight="1" s="180">
      <c r="A92" s="336" t="inlineStr">
        <is>
          <t>資産・負債情報</t>
        </is>
      </c>
      <c r="B92" s="336" t="inlineStr">
        <is>
          <t>今ある投資残高（iDeCo）</t>
        </is>
      </c>
      <c r="C92" s="345">
        <f>情報入力!C75</f>
        <v/>
      </c>
      <c r="D92" s="337" t="n"/>
      <c r="E92" s="328" t="n"/>
      <c r="F92" s="328" t="n"/>
      <c r="G92" s="328" t="n"/>
      <c r="H92" s="328" t="n"/>
      <c r="I92" s="328" t="n"/>
      <c r="J92" s="328" t="n"/>
      <c r="K92" s="328" t="n"/>
      <c r="L92" s="328" t="n"/>
      <c r="M92" s="291" t="n"/>
    </row>
    <row r="93" ht="15" customHeight="1" s="180">
      <c r="A93" s="336" t="inlineStr">
        <is>
          <t>資産・負債情報</t>
        </is>
      </c>
      <c r="B93" s="336" t="inlineStr">
        <is>
          <t>今ある返戻金見込（学資保険など）</t>
        </is>
      </c>
      <c r="C93" s="345">
        <f>情報入力!C76</f>
        <v/>
      </c>
      <c r="D93" s="337" t="n"/>
      <c r="E93" s="328" t="n"/>
      <c r="F93" s="328" t="n"/>
      <c r="G93" s="328" t="n"/>
      <c r="H93" s="328" t="n"/>
      <c r="I93" s="328" t="n"/>
      <c r="J93" s="328" t="n"/>
      <c r="K93" s="328" t="n"/>
      <c r="L93" s="328" t="n"/>
      <c r="M93" s="291" t="n"/>
    </row>
    <row r="94" ht="15" customHeight="1" s="180">
      <c r="A94" s="336" t="inlineStr">
        <is>
          <t>資産・負債情報</t>
        </is>
      </c>
      <c r="B94" s="336" t="inlineStr">
        <is>
          <t>その他金融資産残高</t>
        </is>
      </c>
      <c r="C94" s="345" t="n">
        <v>0</v>
      </c>
      <c r="D94" s="337" t="n"/>
      <c r="E94" s="328" t="n"/>
      <c r="F94" s="328" t="n"/>
      <c r="G94" s="328" t="n"/>
      <c r="H94" s="328" t="n"/>
      <c r="I94" s="328" t="n"/>
      <c r="J94" s="328" t="n"/>
      <c r="K94" s="328" t="n"/>
      <c r="L94" s="328" t="n"/>
      <c r="M94" s="291" t="n"/>
    </row>
    <row r="95" ht="15" customHeight="1" s="180">
      <c r="A95" s="336" t="inlineStr">
        <is>
          <t>資産・負債情報</t>
        </is>
      </c>
      <c r="B95" s="336" t="inlineStr">
        <is>
          <t>住宅ローン残高（参考）</t>
        </is>
      </c>
      <c r="C95" s="345">
        <f>情報入力!C77</f>
        <v/>
      </c>
      <c r="D95" s="337" t="n"/>
      <c r="E95" s="328" t="n"/>
      <c r="F95" s="328" t="n"/>
      <c r="G95" s="328" t="n"/>
      <c r="H95" s="328" t="n"/>
      <c r="I95" s="328" t="n"/>
      <c r="J95" s="328" t="n"/>
      <c r="K95" s="328" t="n"/>
      <c r="L95" s="328" t="n"/>
      <c r="M95" s="291" t="n"/>
    </row>
    <row r="96" ht="15" customHeight="1" s="180">
      <c r="A96" s="336" t="inlineStr">
        <is>
          <t>資産・負債情報</t>
        </is>
      </c>
      <c r="B96" s="336" t="inlineStr">
        <is>
          <t>自動車ローン残高</t>
        </is>
      </c>
      <c r="C96" s="345" t="n">
        <v>0</v>
      </c>
      <c r="D96" s="337" t="n"/>
      <c r="E96" s="328" t="n"/>
      <c r="F96" s="328" t="n"/>
      <c r="G96" s="328" t="n"/>
      <c r="H96" s="328" t="n"/>
      <c r="I96" s="328" t="n"/>
      <c r="J96" s="328" t="n"/>
      <c r="K96" s="328" t="n"/>
      <c r="L96" s="328" t="n"/>
      <c r="M96" s="291" t="n"/>
    </row>
    <row r="97" ht="15" customHeight="1" s="180">
      <c r="A97" s="336" t="inlineStr">
        <is>
          <t>資産・負債情報</t>
        </is>
      </c>
      <c r="B97" s="336" t="inlineStr">
        <is>
          <t>その他借入残高</t>
        </is>
      </c>
      <c r="C97" s="345" t="n">
        <v>0</v>
      </c>
      <c r="D97" s="337" t="n"/>
      <c r="E97" s="328" t="n"/>
      <c r="F97" s="328" t="n"/>
      <c r="G97" s="328" t="n"/>
      <c r="H97" s="328" t="n"/>
      <c r="I97" s="328" t="n"/>
      <c r="J97" s="328" t="n"/>
      <c r="K97" s="328" t="n"/>
      <c r="L97" s="328" t="n"/>
      <c r="M97" s="291" t="n"/>
    </row>
    <row r="98" ht="15" customHeight="1" s="180">
      <c r="A98" s="291" t="n"/>
      <c r="B98" s="291" t="n"/>
      <c r="C98" s="327" t="n"/>
      <c r="D98" s="291" t="n"/>
      <c r="E98" s="291" t="n"/>
      <c r="F98" s="291" t="n"/>
      <c r="G98" s="291" t="n"/>
      <c r="H98" s="291" t="n"/>
      <c r="I98" s="291" t="n"/>
      <c r="J98" s="291" t="n"/>
      <c r="K98" s="291" t="n"/>
      <c r="L98" s="291" t="n"/>
      <c r="M98" s="291" t="n"/>
    </row>
    <row r="99" ht="19.5" customHeight="1" s="180">
      <c r="A99" s="336" t="inlineStr">
        <is>
          <t>資産形成情報</t>
        </is>
      </c>
      <c r="B99" s="291" t="n"/>
      <c r="C99" s="327" t="n"/>
      <c r="D99" s="291" t="n"/>
      <c r="E99" s="328" t="n"/>
      <c r="F99" s="328" t="n"/>
      <c r="G99" s="328" t="n"/>
      <c r="H99" s="328" t="n"/>
      <c r="I99" s="328" t="n"/>
      <c r="J99" s="328" t="n"/>
      <c r="K99" s="328" t="n"/>
      <c r="L99" s="328" t="n"/>
      <c r="M99" s="291" t="n"/>
    </row>
    <row r="100" ht="15" customHeight="1" s="180">
      <c r="A100" s="341" t="inlineStr">
        <is>
          <t>大項目</t>
        </is>
      </c>
      <c r="B100" s="341" t="inlineStr">
        <is>
          <t>項目名</t>
        </is>
      </c>
      <c r="C100" s="342" t="inlineStr">
        <is>
          <t>入力値</t>
        </is>
      </c>
      <c r="D100" s="341" t="inlineStr">
        <is>
          <t>補足</t>
        </is>
      </c>
      <c r="E100" s="291" t="n"/>
      <c r="F100" s="291" t="n"/>
      <c r="G100" s="291" t="n"/>
      <c r="H100" s="291" t="n"/>
      <c r="I100" s="291" t="n"/>
      <c r="J100" s="291" t="n"/>
      <c r="K100" s="291" t="n"/>
      <c r="L100" s="291" t="n"/>
      <c r="M100" s="291" t="n"/>
    </row>
    <row r="101" ht="16.5" customHeight="1" s="180">
      <c r="A101" s="336" t="inlineStr">
        <is>
          <t>資産形成情報</t>
        </is>
      </c>
      <c r="B101" s="336" t="inlineStr">
        <is>
          <t>毎月のNISA積立額</t>
        </is>
      </c>
      <c r="C101" s="345">
        <f>情報入力!C63</f>
        <v/>
      </c>
      <c r="D101" s="337" t="n"/>
      <c r="E101" s="328" t="n"/>
      <c r="F101" s="328" t="n"/>
      <c r="G101" s="328" t="n"/>
      <c r="H101" s="328" t="n"/>
      <c r="I101" s="328" t="n"/>
      <c r="J101" s="328" t="n"/>
      <c r="K101" s="328" t="n"/>
      <c r="L101" s="328" t="n"/>
      <c r="M101" s="291" t="n"/>
    </row>
    <row r="102" ht="16.5" customHeight="1" s="180">
      <c r="A102" s="336" t="n"/>
      <c r="B102" s="336" t="inlineStr">
        <is>
          <t>毎月のiDeCo積立額</t>
        </is>
      </c>
      <c r="C102" s="345">
        <f>情報入力!C64</f>
        <v/>
      </c>
      <c r="D102" s="337" t="n"/>
      <c r="E102" s="328" t="n"/>
      <c r="F102" s="328" t="n"/>
      <c r="G102" s="328" t="n"/>
      <c r="H102" s="328" t="n"/>
      <c r="I102" s="328" t="n"/>
      <c r="J102" s="328" t="n"/>
      <c r="K102" s="328" t="n"/>
      <c r="L102" s="328" t="n"/>
      <c r="M102" s="291" t="n"/>
    </row>
    <row r="103" ht="15" customHeight="1" s="180">
      <c r="A103" s="336" t="n"/>
      <c r="B103" s="336" t="inlineStr">
        <is>
          <t>毎月の特定口座積立額</t>
        </is>
      </c>
      <c r="C103" s="345">
        <f>情報入力!C65</f>
        <v/>
      </c>
      <c r="D103" s="337" t="n"/>
      <c r="E103" s="328" t="n"/>
      <c r="F103" s="328" t="n"/>
      <c r="G103" s="328" t="n"/>
      <c r="H103" s="328" t="n"/>
      <c r="I103" s="328" t="n"/>
      <c r="J103" s="328" t="n"/>
      <c r="K103" s="328" t="n"/>
      <c r="L103" s="328" t="n"/>
      <c r="M103" s="291" t="n"/>
    </row>
    <row r="104" ht="15" customHeight="1" s="180">
      <c r="A104" s="336" t="n"/>
      <c r="B104" s="336" t="inlineStr">
        <is>
          <t>毎月の変額保険・積立保険額</t>
        </is>
      </c>
      <c r="C104" s="345">
        <f>情報入力!C66</f>
        <v/>
      </c>
      <c r="D104" s="337" t="n"/>
      <c r="E104" s="328" t="n"/>
      <c r="F104" s="328" t="n"/>
      <c r="G104" s="328" t="n"/>
      <c r="H104" s="328" t="n"/>
      <c r="I104" s="328" t="n"/>
      <c r="J104" s="328" t="n"/>
      <c r="K104" s="328" t="n"/>
      <c r="L104" s="328" t="n"/>
      <c r="M104" s="291" t="n"/>
    </row>
    <row r="105" ht="15" customHeight="1" s="180">
      <c r="A105" s="336" t="n"/>
      <c r="B105" s="336" t="inlineStr">
        <is>
          <t>毎月のその他投資積立額</t>
        </is>
      </c>
      <c r="C105" s="345">
        <f>情報入力!C67</f>
        <v/>
      </c>
      <c r="D105" s="337" t="n"/>
      <c r="E105" s="328" t="n"/>
      <c r="F105" s="328" t="n"/>
      <c r="G105" s="328" t="n"/>
      <c r="H105" s="328" t="n"/>
      <c r="I105" s="328" t="n"/>
      <c r="J105" s="328" t="n"/>
      <c r="K105" s="328" t="n"/>
      <c r="L105" s="328" t="n"/>
      <c r="M105" s="291" t="n"/>
    </row>
    <row r="106" ht="15" customHeight="1" s="180">
      <c r="A106" s="291" t="n"/>
      <c r="B106" s="291" t="n"/>
      <c r="C106" s="327" t="n"/>
      <c r="D106" s="291" t="n"/>
      <c r="E106" s="291" t="n"/>
      <c r="F106" s="291" t="n"/>
      <c r="G106" s="291" t="n"/>
      <c r="H106" s="291" t="n"/>
      <c r="I106" s="291" t="n"/>
      <c r="J106" s="291" t="n"/>
      <c r="K106" s="291" t="n"/>
      <c r="L106" s="291" t="n"/>
      <c r="M106" s="291" t="n"/>
    </row>
    <row r="107" ht="19.5" customHeight="1" s="180">
      <c r="A107" s="336" t="inlineStr">
        <is>
          <t>老後・希望条件</t>
        </is>
      </c>
      <c r="B107" s="291" t="n"/>
      <c r="C107" s="327" t="n"/>
      <c r="D107" s="291" t="n"/>
      <c r="E107" s="328" t="n"/>
      <c r="F107" s="328" t="n"/>
      <c r="G107" s="328" t="n"/>
      <c r="H107" s="328" t="n"/>
      <c r="I107" s="328" t="n"/>
      <c r="J107" s="328" t="n"/>
      <c r="K107" s="328" t="n"/>
      <c r="L107" s="328" t="n"/>
      <c r="M107" s="291" t="n"/>
    </row>
    <row r="108" ht="15" customHeight="1" s="180">
      <c r="A108" s="341" t="inlineStr">
        <is>
          <t>大項目</t>
        </is>
      </c>
      <c r="B108" s="341" t="inlineStr">
        <is>
          <t>項目名</t>
        </is>
      </c>
      <c r="C108" s="342" t="inlineStr">
        <is>
          <t>入力値</t>
        </is>
      </c>
      <c r="D108" s="341" t="inlineStr">
        <is>
          <t>補足</t>
        </is>
      </c>
      <c r="E108" s="291" t="n"/>
      <c r="F108" s="291" t="n"/>
      <c r="G108" s="291" t="n"/>
      <c r="H108" s="291" t="n"/>
      <c r="I108" s="291" t="n"/>
      <c r="J108" s="291" t="n"/>
      <c r="K108" s="291" t="n"/>
      <c r="L108" s="291" t="n"/>
      <c r="M108" s="291" t="n"/>
    </row>
    <row r="109" ht="15" customHeight="1" s="180">
      <c r="A109" s="336" t="inlineStr">
        <is>
          <t>老後・希望条件</t>
        </is>
      </c>
      <c r="B109" s="336" t="inlineStr">
        <is>
          <t>ご主人様希望退職年齢</t>
        </is>
      </c>
      <c r="C109" s="329">
        <f>情報入力!C81</f>
        <v/>
      </c>
      <c r="D109" s="337" t="n"/>
      <c r="E109" s="328" t="n"/>
      <c r="F109" s="328" t="n"/>
      <c r="G109" s="328" t="n"/>
      <c r="H109" s="328" t="n"/>
      <c r="I109" s="328" t="n"/>
      <c r="J109" s="328" t="n"/>
      <c r="K109" s="328" t="n"/>
      <c r="L109" s="328" t="n"/>
      <c r="M109" s="291" t="n"/>
    </row>
    <row r="110" ht="15" customHeight="1" s="180">
      <c r="A110" s="336" t="n"/>
      <c r="B110" s="336" t="inlineStr">
        <is>
          <t>奥様希望退職年齢</t>
        </is>
      </c>
      <c r="C110" s="329">
        <f>情報入力!C82</f>
        <v/>
      </c>
      <c r="D110" s="337" t="n"/>
      <c r="E110" s="328" t="n"/>
      <c r="F110" s="328" t="n"/>
      <c r="G110" s="328" t="n"/>
      <c r="H110" s="328" t="n"/>
      <c r="I110" s="328" t="n"/>
      <c r="J110" s="328" t="n"/>
      <c r="K110" s="328" t="n"/>
      <c r="L110" s="328" t="n"/>
      <c r="M110" s="291" t="n"/>
    </row>
    <row r="111" ht="15" customHeight="1" s="180">
      <c r="A111" s="336" t="n"/>
      <c r="B111" s="336" t="inlineStr">
        <is>
          <t>老後生活開始年齢</t>
        </is>
      </c>
      <c r="C111" s="329">
        <f>情報入力!C83</f>
        <v/>
      </c>
      <c r="D111" s="337" t="n"/>
      <c r="E111" s="328" t="n"/>
      <c r="F111" s="328" t="n"/>
      <c r="G111" s="328" t="n"/>
      <c r="H111" s="328" t="n"/>
      <c r="I111" s="328" t="n"/>
      <c r="J111" s="328" t="n"/>
      <c r="K111" s="328" t="n"/>
      <c r="L111" s="328" t="n"/>
      <c r="M111" s="291" t="n"/>
    </row>
    <row r="112" ht="15" customHeight="1" s="180">
      <c r="A112" s="336" t="n"/>
      <c r="B112" s="336" t="inlineStr">
        <is>
          <t>老後希望生活費月額</t>
        </is>
      </c>
      <c r="C112" s="345">
        <f>情報入力!C84</f>
        <v/>
      </c>
      <c r="D112" s="337" t="n"/>
      <c r="E112" s="328" t="n"/>
      <c r="F112" s="328" t="n"/>
      <c r="G112" s="328" t="n"/>
      <c r="H112" s="328" t="n"/>
      <c r="I112" s="328" t="n"/>
      <c r="J112" s="328" t="n"/>
      <c r="K112" s="328" t="n"/>
      <c r="L112" s="328" t="n"/>
      <c r="M112" s="291" t="n"/>
    </row>
    <row r="113" ht="15" customHeight="1" s="180">
      <c r="A113" s="336" t="n"/>
      <c r="B113" s="336" t="inlineStr">
        <is>
          <t>老後最低生活費月額</t>
        </is>
      </c>
      <c r="C113" s="345">
        <f>情報入力!C85</f>
        <v/>
      </c>
      <c r="D113" s="337" t="n"/>
      <c r="E113" s="328" t="n"/>
      <c r="F113" s="328" t="n"/>
      <c r="G113" s="328" t="n"/>
      <c r="H113" s="328" t="n"/>
      <c r="I113" s="328" t="n"/>
      <c r="J113" s="328" t="n"/>
      <c r="K113" s="328" t="n"/>
      <c r="L113" s="328" t="n"/>
      <c r="M113" s="291" t="n"/>
    </row>
    <row r="114" ht="15" customHeight="1" s="180">
      <c r="A114" s="336" t="n"/>
      <c r="B114" s="336" t="inlineStr">
        <is>
          <t>ゆとり費希望有無</t>
        </is>
      </c>
      <c r="C114" s="329">
        <f>情報入力!C86</f>
        <v/>
      </c>
      <c r="D114" s="337" t="n"/>
      <c r="E114" s="328" t="n"/>
      <c r="F114" s="328" t="n"/>
      <c r="G114" s="328" t="n"/>
      <c r="H114" s="328" t="n"/>
      <c r="I114" s="328" t="n"/>
      <c r="J114" s="328" t="n"/>
      <c r="K114" s="328" t="n"/>
      <c r="L114" s="328" t="n"/>
      <c r="M114" s="291" t="n"/>
    </row>
    <row r="115" ht="15" customHeight="1" s="180">
      <c r="A115" s="336" t="n"/>
      <c r="B115" s="336" t="inlineStr">
        <is>
          <t>リフォーム予定有無</t>
        </is>
      </c>
      <c r="C115" s="329">
        <f>情報入力!C87</f>
        <v/>
      </c>
      <c r="D115" s="337" t="n"/>
      <c r="E115" s="328" t="n"/>
      <c r="F115" s="328" t="n"/>
      <c r="G115" s="328" t="n"/>
      <c r="H115" s="328" t="n"/>
      <c r="I115" s="328" t="n"/>
      <c r="J115" s="328" t="n"/>
      <c r="K115" s="328" t="n"/>
      <c r="L115" s="328" t="n"/>
      <c r="M115" s="291" t="n"/>
    </row>
    <row r="116" ht="15" customHeight="1" s="180">
      <c r="A116" s="336" t="n"/>
      <c r="B116" s="336" t="inlineStr">
        <is>
          <t>車買替予定有無</t>
        </is>
      </c>
      <c r="C116" s="329">
        <f>情報入力!C88</f>
        <v/>
      </c>
      <c r="D116" s="337" t="n"/>
      <c r="E116" s="328" t="n"/>
      <c r="F116" s="328" t="n"/>
      <c r="G116" s="328" t="n"/>
      <c r="H116" s="328" t="n"/>
      <c r="I116" s="328" t="n"/>
      <c r="J116" s="328" t="n"/>
      <c r="K116" s="328" t="n"/>
      <c r="L116" s="328" t="n"/>
      <c r="M116" s="291" t="n"/>
    </row>
    <row r="117" ht="15" customHeight="1" s="180">
      <c r="A117" s="336" t="n"/>
      <c r="B117" s="336" t="inlineStr">
        <is>
          <t>相続贈与見込有無</t>
        </is>
      </c>
      <c r="C117" s="329">
        <f>情報入力!C89</f>
        <v/>
      </c>
      <c r="D117" s="337" t="n"/>
      <c r="E117" s="328" t="n"/>
      <c r="F117" s="328" t="n"/>
      <c r="G117" s="328" t="n"/>
      <c r="H117" s="328" t="n"/>
      <c r="I117" s="328" t="n"/>
      <c r="J117" s="328" t="n"/>
      <c r="K117" s="328" t="n"/>
      <c r="L117" s="328" t="n"/>
      <c r="M117" s="291" t="n"/>
    </row>
  </sheetData>
  <mergeCells count="7">
    <mergeCell ref="A23:D23"/>
    <mergeCell ref="F23:K23"/>
    <mergeCell ref="A1:M1"/>
    <mergeCell ref="F3:M3"/>
    <mergeCell ref="A3:D3"/>
    <mergeCell ref="A15:D15"/>
    <mergeCell ref="A2:M2"/>
  </mergeCells>
  <dataValidations count="4">
    <dataValidation sqref="C13" showDropDown="0" showInputMessage="0" showErrorMessage="0" allowBlank="1" type="list" errorStyle="stop" operator="between">
      <formula1>"持ち家,賃貸,社宅"</formula1>
      <formula2>0</formula2>
    </dataValidation>
    <dataValidation sqref="C27:C28" showDropDown="0" showInputMessage="0" showErrorMessage="0" allowBlank="1" type="list" errorStyle="stop" operator="between">
      <formula1>"会社員,公務員,自営業,パート,専業主婦(夫),その他"</formula1>
      <formula2>0</formula2>
    </dataValidation>
    <dataValidation sqref="C31" showDropDown="0" showInputMessage="0" showErrorMessage="0" allowBlank="1" type="list" errorStyle="stop" operator="between">
      <formula1>"あり,なし"</formula1>
      <formula2>0</formula2>
    </dataValidation>
    <dataValidation sqref="C57" showDropDown="0" showInputMessage="0" showErrorMessage="0" allowBlank="1" type="list" errorStyle="stop" operator="between">
      <formula1>"あり,なし"</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CW45"/>
  <sheetViews>
    <sheetView showFormulas="0" showGridLines="1" showRowColHeaders="1" showZeros="1" rightToLeft="0" tabSelected="0" showOutlineSymbols="1" defaultGridColor="1" view="normal" topLeftCell="A1" colorId="64" zoomScale="90" zoomScaleNormal="9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customHeight="1" zeroHeight="0" outlineLevelRow="0"/>
  <cols>
    <col width="24" customWidth="1" style="179" min="1" max="1"/>
    <col width="11" customWidth="1" style="179" min="2" max="101"/>
  </cols>
  <sheetData>
    <row r="1" ht="21" customHeight="1" s="180">
      <c r="A1" s="213" t="inlineStr">
        <is>
          <t>CF表（年次CF / 左→右に年が進む）</t>
        </is>
      </c>
    </row>
    <row r="2" ht="15" customHeight="1" s="180">
      <c r="A2" s="214" t="inlineStr">
        <is>
          <t>試算終了年</t>
        </is>
      </c>
      <c r="B2" s="179">
        <f>MAX(IF(入力データ!$C$10&lt;&gt;"",YEAR(入力データ!$C$10)+100,0),IF(入力データ!$C$11&lt;&gt;"",YEAR(入力データ!$C$11)+100,0))</f>
        <v/>
      </c>
    </row>
    <row r="3" ht="15" customHeight="1" s="180">
      <c r="A3" s="215" t="inlineStr">
        <is>
          <t>年</t>
        </is>
      </c>
      <c r="B3" s="216">
        <f>IF(YEAR(入力データ!$C$5)&gt;$B$2,"",YEAR(入力データ!$C$5))</f>
        <v/>
      </c>
      <c r="C3" s="216">
        <f>IF(B3="","",IF(B3+1&gt;$B$2,"",B3+1))</f>
        <v/>
      </c>
      <c r="D3" s="216">
        <f>IF(C3="","",IF(C3+1&gt;$B$2,"",C3+1))</f>
        <v/>
      </c>
      <c r="E3" s="216">
        <f>IF(D3="","",IF(D3+1&gt;$B$2,"",D3+1))</f>
        <v/>
      </c>
      <c r="F3" s="216">
        <f>IF(E3="","",IF(E3+1&gt;$B$2,"",E3+1))</f>
        <v/>
      </c>
      <c r="G3" s="216">
        <f>IF(F3="","",IF(F3+1&gt;$B$2,"",F3+1))</f>
        <v/>
      </c>
      <c r="H3" s="216">
        <f>IF(G3="","",IF(G3+1&gt;$B$2,"",G3+1))</f>
        <v/>
      </c>
      <c r="I3" s="216">
        <f>IF(H3="","",IF(H3+1&gt;$B$2,"",H3+1))</f>
        <v/>
      </c>
      <c r="J3" s="216">
        <f>IF(I3="","",IF(I3+1&gt;$B$2,"",I3+1))</f>
        <v/>
      </c>
      <c r="K3" s="216">
        <f>IF(J3="","",IF(J3+1&gt;$B$2,"",J3+1))</f>
        <v/>
      </c>
      <c r="L3" s="216">
        <f>IF(K3="","",IF(K3+1&gt;$B$2,"",K3+1))</f>
        <v/>
      </c>
      <c r="M3" s="216">
        <f>IF(L3="","",IF(L3+1&gt;$B$2,"",L3+1))</f>
        <v/>
      </c>
      <c r="N3" s="216">
        <f>IF(M3="","",IF(M3+1&gt;$B$2,"",M3+1))</f>
        <v/>
      </c>
      <c r="O3" s="216">
        <f>IF(N3="","",IF(N3+1&gt;$B$2,"",N3+1))</f>
        <v/>
      </c>
      <c r="P3" s="216">
        <f>IF(O3="","",IF(O3+1&gt;$B$2,"",O3+1))</f>
        <v/>
      </c>
      <c r="Q3" s="216">
        <f>IF(P3="","",IF(P3+1&gt;$B$2,"",P3+1))</f>
        <v/>
      </c>
      <c r="R3" s="216">
        <f>IF(Q3="","",IF(Q3+1&gt;$B$2,"",Q3+1))</f>
        <v/>
      </c>
      <c r="S3" s="216">
        <f>IF(R3="","",IF(R3+1&gt;$B$2,"",R3+1))</f>
        <v/>
      </c>
      <c r="T3" s="216">
        <f>IF(S3="","",IF(S3+1&gt;$B$2,"",S3+1))</f>
        <v/>
      </c>
      <c r="U3" s="216">
        <f>IF(T3="","",IF(T3+1&gt;$B$2,"",T3+1))</f>
        <v/>
      </c>
      <c r="V3" s="216">
        <f>IF(U3="","",IF(U3+1&gt;$B$2,"",U3+1))</f>
        <v/>
      </c>
      <c r="W3" s="216">
        <f>IF(V3="","",IF(V3+1&gt;$B$2,"",V3+1))</f>
        <v/>
      </c>
      <c r="X3" s="216">
        <f>IF(W3="","",IF(W3+1&gt;$B$2,"",W3+1))</f>
        <v/>
      </c>
      <c r="Y3" s="216">
        <f>IF(X3="","",IF(X3+1&gt;$B$2,"",X3+1))</f>
        <v/>
      </c>
      <c r="Z3" s="216">
        <f>IF(Y3="","",IF(Y3+1&gt;$B$2,"",Y3+1))</f>
        <v/>
      </c>
      <c r="AA3" s="216">
        <f>IF(Z3="","",IF(Z3+1&gt;$B$2,"",Z3+1))</f>
        <v/>
      </c>
      <c r="AB3" s="216">
        <f>IF(AA3="","",IF(AA3+1&gt;$B$2,"",AA3+1))</f>
        <v/>
      </c>
      <c r="AC3" s="216">
        <f>IF(AB3="","",IF(AB3+1&gt;$B$2,"",AB3+1))</f>
        <v/>
      </c>
      <c r="AD3" s="216">
        <f>IF(AC3="","",IF(AC3+1&gt;$B$2,"",AC3+1))</f>
        <v/>
      </c>
      <c r="AE3" s="216">
        <f>IF(AD3="","",IF(AD3+1&gt;$B$2,"",AD3+1))</f>
        <v/>
      </c>
      <c r="AF3" s="216">
        <f>IF(AE3="","",IF(AE3+1&gt;$B$2,"",AE3+1))</f>
        <v/>
      </c>
      <c r="AG3" s="216">
        <f>IF(AF3="","",IF(AF3+1&gt;$B$2,"",AF3+1))</f>
        <v/>
      </c>
      <c r="AH3" s="216">
        <f>IF(AG3="","",IF(AG3+1&gt;$B$2,"",AG3+1))</f>
        <v/>
      </c>
      <c r="AI3" s="216">
        <f>IF(AH3="","",IF(AH3+1&gt;$B$2,"",AH3+1))</f>
        <v/>
      </c>
      <c r="AJ3" s="216">
        <f>IF(AI3="","",IF(AI3+1&gt;$B$2,"",AI3+1))</f>
        <v/>
      </c>
      <c r="AK3" s="216">
        <f>IF(AJ3="","",IF(AJ3+1&gt;$B$2,"",AJ3+1))</f>
        <v/>
      </c>
      <c r="AL3" s="216">
        <f>IF(AK3="","",IF(AK3+1&gt;$B$2,"",AK3+1))</f>
        <v/>
      </c>
      <c r="AM3" s="216">
        <f>IF(AL3="","",IF(AL3+1&gt;$B$2,"",AL3+1))</f>
        <v/>
      </c>
      <c r="AN3" s="216">
        <f>IF(AM3="","",IF(AM3+1&gt;$B$2,"",AM3+1))</f>
        <v/>
      </c>
      <c r="AO3" s="216">
        <f>IF(AN3="","",IF(AN3+1&gt;$B$2,"",AN3+1))</f>
        <v/>
      </c>
      <c r="AP3" s="216">
        <f>IF(AO3="","",IF(AO3+1&gt;$B$2,"",AO3+1))</f>
        <v/>
      </c>
      <c r="AQ3" s="216">
        <f>IF(AP3="","",IF(AP3+1&gt;$B$2,"",AP3+1))</f>
        <v/>
      </c>
      <c r="AR3" s="216">
        <f>IF(AQ3="","",IF(AQ3+1&gt;$B$2,"",AQ3+1))</f>
        <v/>
      </c>
      <c r="AS3" s="216">
        <f>IF(AR3="","",IF(AR3+1&gt;$B$2,"",AR3+1))</f>
        <v/>
      </c>
      <c r="AT3" s="216">
        <f>IF(AS3="","",IF(AS3+1&gt;$B$2,"",AS3+1))</f>
        <v/>
      </c>
      <c r="AU3" s="216">
        <f>IF(AT3="","",IF(AT3+1&gt;$B$2,"",AT3+1))</f>
        <v/>
      </c>
      <c r="AV3" s="216">
        <f>IF(AU3="","",IF(AU3+1&gt;$B$2,"",AU3+1))</f>
        <v/>
      </c>
      <c r="AW3" s="216">
        <f>IF(AV3="","",IF(AV3+1&gt;$B$2,"",AV3+1))</f>
        <v/>
      </c>
      <c r="AX3" s="216">
        <f>IF(AW3="","",IF(AW3+1&gt;$B$2,"",AW3+1))</f>
        <v/>
      </c>
      <c r="AY3" s="216">
        <f>IF(AX3="","",IF(AX3+1&gt;$B$2,"",AX3+1))</f>
        <v/>
      </c>
      <c r="AZ3" s="216">
        <f>IF(AY3="","",IF(AY3+1&gt;$B$2,"",AY3+1))</f>
        <v/>
      </c>
      <c r="BA3" s="216">
        <f>IF(AZ3="","",IF(AZ3+1&gt;$B$2,"",AZ3+1))</f>
        <v/>
      </c>
      <c r="BB3" s="216">
        <f>IF(BA3="","",IF(BA3+1&gt;$B$2,"",BA3+1))</f>
        <v/>
      </c>
      <c r="BC3" s="216">
        <f>IF(BB3="","",IF(BB3+1&gt;$B$2,"",BB3+1))</f>
        <v/>
      </c>
      <c r="BD3" s="216">
        <f>IF(BC3="","",IF(BC3+1&gt;$B$2,"",BC3+1))</f>
        <v/>
      </c>
      <c r="BE3" s="216">
        <f>IF(BD3="","",IF(BD3+1&gt;$B$2,"",BD3+1))</f>
        <v/>
      </c>
      <c r="BF3" s="216">
        <f>IF(BE3="","",IF(BE3+1&gt;$B$2,"",BE3+1))</f>
        <v/>
      </c>
      <c r="BG3" s="216">
        <f>IF(BF3="","",IF(BF3+1&gt;$B$2,"",BF3+1))</f>
        <v/>
      </c>
      <c r="BH3" s="216">
        <f>IF(BG3="","",IF(BG3+1&gt;$B$2,"",BG3+1))</f>
        <v/>
      </c>
      <c r="BI3" s="216">
        <f>IF(BH3="","",IF(BH3+1&gt;$B$2,"",BH3+1))</f>
        <v/>
      </c>
      <c r="BJ3" s="216">
        <f>IF(BI3="","",IF(BI3+1&gt;$B$2,"",BI3+1))</f>
        <v/>
      </c>
      <c r="BK3" s="216">
        <f>IF(BJ3="","",IF(BJ3+1&gt;$B$2,"",BJ3+1))</f>
        <v/>
      </c>
      <c r="BL3" s="216">
        <f>IF(BK3="","",IF(BK3+1&gt;$B$2,"",BK3+1))</f>
        <v/>
      </c>
      <c r="BM3" s="216">
        <f>IF(BL3="","",IF(BL3+1&gt;$B$2,"",BL3+1))</f>
        <v/>
      </c>
      <c r="BN3" s="216">
        <f>IF(BM3="","",IF(BM3+1&gt;$B$2,"",BM3+1))</f>
        <v/>
      </c>
      <c r="BO3" s="216">
        <f>IF(BN3="","",IF(BN3+1&gt;$B$2,"",BN3+1))</f>
        <v/>
      </c>
      <c r="BP3" s="216">
        <f>IF(BO3="","",IF(BO3+1&gt;$B$2,"",BO3+1))</f>
        <v/>
      </c>
      <c r="BQ3" s="216">
        <f>IF(BP3="","",IF(BP3+1&gt;$B$2,"",BP3+1))</f>
        <v/>
      </c>
      <c r="BR3" s="216">
        <f>IF(BQ3="","",IF(BQ3+1&gt;$B$2,"",BQ3+1))</f>
        <v/>
      </c>
      <c r="BS3" s="216">
        <f>IF(BR3="","",IF(BR3+1&gt;$B$2,"",BR3+1))</f>
        <v/>
      </c>
      <c r="BT3" s="216">
        <f>IF(BS3="","",IF(BS3+1&gt;$B$2,"",BS3+1))</f>
        <v/>
      </c>
      <c r="BU3" s="216">
        <f>IF(BT3="","",IF(BT3+1&gt;$B$2,"",BT3+1))</f>
        <v/>
      </c>
      <c r="BV3" s="216">
        <f>IF(BU3="","",IF(BU3+1&gt;$B$2,"",BU3+1))</f>
        <v/>
      </c>
      <c r="BW3" s="216">
        <f>IF(BV3="","",IF(BV3+1&gt;$B$2,"",BV3+1))</f>
        <v/>
      </c>
      <c r="BX3" s="216">
        <f>IF(BW3="","",IF(BW3+1&gt;$B$2,"",BW3+1))</f>
        <v/>
      </c>
      <c r="BY3" s="216">
        <f>IF(BX3="","",IF(BX3+1&gt;$B$2,"",BX3+1))</f>
        <v/>
      </c>
      <c r="BZ3" s="216">
        <f>IF(BY3="","",IF(BY3+1&gt;$B$2,"",BY3+1))</f>
        <v/>
      </c>
      <c r="CA3" s="216">
        <f>IF(BZ3="","",IF(BZ3+1&gt;$B$2,"",BZ3+1))</f>
        <v/>
      </c>
      <c r="CB3" s="216">
        <f>IF(CA3="","",IF(CA3+1&gt;$B$2,"",CA3+1))</f>
        <v/>
      </c>
      <c r="CC3" s="216">
        <f>IF(CB3="","",IF(CB3+1&gt;$B$2,"",CB3+1))</f>
        <v/>
      </c>
      <c r="CD3" s="216">
        <f>IF(CC3="","",IF(CC3+1&gt;$B$2,"",CC3+1))</f>
        <v/>
      </c>
      <c r="CE3" s="216">
        <f>IF(CD3="","",IF(CD3+1&gt;$B$2,"",CD3+1))</f>
        <v/>
      </c>
      <c r="CF3" s="216">
        <f>IF(CE3="","",IF(CE3+1&gt;$B$2,"",CE3+1))</f>
        <v/>
      </c>
      <c r="CG3" s="216">
        <f>IF(CF3="","",IF(CF3+1&gt;$B$2,"",CF3+1))</f>
        <v/>
      </c>
      <c r="CH3" s="216">
        <f>IF(CG3="","",IF(CG3+1&gt;$B$2,"",CG3+1))</f>
        <v/>
      </c>
      <c r="CI3" s="216">
        <f>IF(CH3="","",IF(CH3+1&gt;$B$2,"",CH3+1))</f>
        <v/>
      </c>
      <c r="CJ3" s="216">
        <f>IF(CI3="","",IF(CI3+1&gt;$B$2,"",CI3+1))</f>
        <v/>
      </c>
      <c r="CK3" s="216">
        <f>IF(CJ3="","",IF(CJ3+1&gt;$B$2,"",CJ3+1))</f>
        <v/>
      </c>
      <c r="CL3" s="216">
        <f>IF(CK3="","",IF(CK3+1&gt;$B$2,"",CK3+1))</f>
        <v/>
      </c>
      <c r="CM3" s="216">
        <f>IF(CL3="","",IF(CL3+1&gt;$B$2,"",CL3+1))</f>
        <v/>
      </c>
      <c r="CN3" s="216">
        <f>IF(CM3="","",IF(CM3+1&gt;$B$2,"",CM3+1))</f>
        <v/>
      </c>
      <c r="CO3" s="216">
        <f>IF(CN3="","",IF(CN3+1&gt;$B$2,"",CN3+1))</f>
        <v/>
      </c>
      <c r="CP3" s="216">
        <f>IF(CO3="","",IF(CO3+1&gt;$B$2,"",CO3+1))</f>
        <v/>
      </c>
      <c r="CQ3" s="216">
        <f>IF(CP3="","",IF(CP3+1&gt;$B$2,"",CP3+1))</f>
        <v/>
      </c>
      <c r="CR3" s="216">
        <f>IF(CQ3="","",IF(CQ3+1&gt;$B$2,"",CQ3+1))</f>
        <v/>
      </c>
      <c r="CS3" s="216">
        <f>IF(CR3="","",IF(CR3+1&gt;$B$2,"",CR3+1))</f>
        <v/>
      </c>
      <c r="CT3" s="216">
        <f>IF(CS3="","",IF(CS3+1&gt;$B$2,"",CS3+1))</f>
        <v/>
      </c>
      <c r="CU3" s="216">
        <f>IF(CT3="","",IF(CT3+1&gt;$B$2,"",CT3+1))</f>
        <v/>
      </c>
      <c r="CV3" s="216">
        <f>IF(CU3="","",IF(CU3+1&gt;$B$2,"",CU3+1))</f>
        <v/>
      </c>
      <c r="CW3" s="216">
        <f>IF(CV3="","",IF(CV3+1&gt;$B$2,"",CV3+1))</f>
        <v/>
      </c>
    </row>
    <row r="4" ht="15" customHeight="1" s="180">
      <c r="A4" s="217" t="inlineStr">
        <is>
          <t>ご主人様年齢</t>
        </is>
      </c>
      <c r="B4" s="218">
        <f>IF(B$3="","",IF(入力データ!$C$10="","",YEAR(DATE(B$3,12,31))-YEAR(入力データ!$C$10)-IF(DATE(B$3,12,31)&lt;DATE(B$3,MONTH(入力データ!$C$10),DAY(入力データ!$C$10)),1,0)))</f>
        <v/>
      </c>
      <c r="C4" s="218">
        <f>IF(C$3="","",IF(入力データ!$C$10="","",YEAR(DATE(C$3,12,31))-YEAR(入力データ!$C$10)-IF(DATE(C$3,12,31)&lt;DATE(C$3,MONTH(入力データ!$C$10),DAY(入力データ!$C$10)),1,0)))</f>
        <v/>
      </c>
      <c r="D4" s="218">
        <f>IF(D$3="","",IF(入力データ!$C$10="","",YEAR(DATE(D$3,12,31))-YEAR(入力データ!$C$10)-IF(DATE(D$3,12,31)&lt;DATE(D$3,MONTH(入力データ!$C$10),DAY(入力データ!$C$10)),1,0)))</f>
        <v/>
      </c>
      <c r="E4" s="218">
        <f>IF(E$3="","",IF(入力データ!$C$10="","",YEAR(DATE(E$3,12,31))-YEAR(入力データ!$C$10)-IF(DATE(E$3,12,31)&lt;DATE(E$3,MONTH(入力データ!$C$10),DAY(入力データ!$C$10)),1,0)))</f>
        <v/>
      </c>
      <c r="F4" s="218">
        <f>IF(F$3="","",IF(入力データ!$C$10="","",YEAR(DATE(F$3,12,31))-YEAR(入力データ!$C$10)-IF(DATE(F$3,12,31)&lt;DATE(F$3,MONTH(入力データ!$C$10),DAY(入力データ!$C$10)),1,0)))</f>
        <v/>
      </c>
      <c r="G4" s="218">
        <f>IF(G$3="","",IF(入力データ!$C$10="","",YEAR(DATE(G$3,12,31))-YEAR(入力データ!$C$10)-IF(DATE(G$3,12,31)&lt;DATE(G$3,MONTH(入力データ!$C$10),DAY(入力データ!$C$10)),1,0)))</f>
        <v/>
      </c>
      <c r="H4" s="218">
        <f>IF(H$3="","",IF(入力データ!$C$10="","",YEAR(DATE(H$3,12,31))-YEAR(入力データ!$C$10)-IF(DATE(H$3,12,31)&lt;DATE(H$3,MONTH(入力データ!$C$10),DAY(入力データ!$C$10)),1,0)))</f>
        <v/>
      </c>
      <c r="I4" s="218">
        <f>IF(I$3="","",IF(入力データ!$C$10="","",YEAR(DATE(I$3,12,31))-YEAR(入力データ!$C$10)-IF(DATE(I$3,12,31)&lt;DATE(I$3,MONTH(入力データ!$C$10),DAY(入力データ!$C$10)),1,0)))</f>
        <v/>
      </c>
      <c r="J4" s="218">
        <f>IF(J$3="","",IF(入力データ!$C$10="","",YEAR(DATE(J$3,12,31))-YEAR(入力データ!$C$10)-IF(DATE(J$3,12,31)&lt;DATE(J$3,MONTH(入力データ!$C$10),DAY(入力データ!$C$10)),1,0)))</f>
        <v/>
      </c>
      <c r="K4" s="218">
        <f>IF(K$3="","",IF(入力データ!$C$10="","",YEAR(DATE(K$3,12,31))-YEAR(入力データ!$C$10)-IF(DATE(K$3,12,31)&lt;DATE(K$3,MONTH(入力データ!$C$10),DAY(入力データ!$C$10)),1,0)))</f>
        <v/>
      </c>
      <c r="L4" s="218">
        <f>IF(L$3="","",IF(入力データ!$C$10="","",YEAR(DATE(L$3,12,31))-YEAR(入力データ!$C$10)-IF(DATE(L$3,12,31)&lt;DATE(L$3,MONTH(入力データ!$C$10),DAY(入力データ!$C$10)),1,0)))</f>
        <v/>
      </c>
      <c r="M4" s="218">
        <f>IF(M$3="","",IF(入力データ!$C$10="","",YEAR(DATE(M$3,12,31))-YEAR(入力データ!$C$10)-IF(DATE(M$3,12,31)&lt;DATE(M$3,MONTH(入力データ!$C$10),DAY(入力データ!$C$10)),1,0)))</f>
        <v/>
      </c>
      <c r="N4" s="218">
        <f>IF(N$3="","",IF(入力データ!$C$10="","",YEAR(DATE(N$3,12,31))-YEAR(入力データ!$C$10)-IF(DATE(N$3,12,31)&lt;DATE(N$3,MONTH(入力データ!$C$10),DAY(入力データ!$C$10)),1,0)))</f>
        <v/>
      </c>
      <c r="O4" s="218">
        <f>IF(O$3="","",IF(入力データ!$C$10="","",YEAR(DATE(O$3,12,31))-YEAR(入力データ!$C$10)-IF(DATE(O$3,12,31)&lt;DATE(O$3,MONTH(入力データ!$C$10),DAY(入力データ!$C$10)),1,0)))</f>
        <v/>
      </c>
      <c r="P4" s="218">
        <f>IF(P$3="","",IF(入力データ!$C$10="","",YEAR(DATE(P$3,12,31))-YEAR(入力データ!$C$10)-IF(DATE(P$3,12,31)&lt;DATE(P$3,MONTH(入力データ!$C$10),DAY(入力データ!$C$10)),1,0)))</f>
        <v/>
      </c>
      <c r="Q4" s="218">
        <f>IF(Q$3="","",IF(入力データ!$C$10="","",YEAR(DATE(Q$3,12,31))-YEAR(入力データ!$C$10)-IF(DATE(Q$3,12,31)&lt;DATE(Q$3,MONTH(入力データ!$C$10),DAY(入力データ!$C$10)),1,0)))</f>
        <v/>
      </c>
      <c r="R4" s="218">
        <f>IF(R$3="","",IF(入力データ!$C$10="","",YEAR(DATE(R$3,12,31))-YEAR(入力データ!$C$10)-IF(DATE(R$3,12,31)&lt;DATE(R$3,MONTH(入力データ!$C$10),DAY(入力データ!$C$10)),1,0)))</f>
        <v/>
      </c>
      <c r="S4" s="218">
        <f>IF(S$3="","",IF(入力データ!$C$10="","",YEAR(DATE(S$3,12,31))-YEAR(入力データ!$C$10)-IF(DATE(S$3,12,31)&lt;DATE(S$3,MONTH(入力データ!$C$10),DAY(入力データ!$C$10)),1,0)))</f>
        <v/>
      </c>
      <c r="T4" s="218">
        <f>IF(T$3="","",IF(入力データ!$C$10="","",YEAR(DATE(T$3,12,31))-YEAR(入力データ!$C$10)-IF(DATE(T$3,12,31)&lt;DATE(T$3,MONTH(入力データ!$C$10),DAY(入力データ!$C$10)),1,0)))</f>
        <v/>
      </c>
      <c r="U4" s="218">
        <f>IF(U$3="","",IF(入力データ!$C$10="","",YEAR(DATE(U$3,12,31))-YEAR(入力データ!$C$10)-IF(DATE(U$3,12,31)&lt;DATE(U$3,MONTH(入力データ!$C$10),DAY(入力データ!$C$10)),1,0)))</f>
        <v/>
      </c>
      <c r="V4" s="218">
        <f>IF(V$3="","",IF(入力データ!$C$10="","",YEAR(DATE(V$3,12,31))-YEAR(入力データ!$C$10)-IF(DATE(V$3,12,31)&lt;DATE(V$3,MONTH(入力データ!$C$10),DAY(入力データ!$C$10)),1,0)))</f>
        <v/>
      </c>
      <c r="W4" s="218">
        <f>IF(W$3="","",IF(入力データ!$C$10="","",YEAR(DATE(W$3,12,31))-YEAR(入力データ!$C$10)-IF(DATE(W$3,12,31)&lt;DATE(W$3,MONTH(入力データ!$C$10),DAY(入力データ!$C$10)),1,0)))</f>
        <v/>
      </c>
      <c r="X4" s="218">
        <f>IF(X$3="","",IF(入力データ!$C$10="","",YEAR(DATE(X$3,12,31))-YEAR(入力データ!$C$10)-IF(DATE(X$3,12,31)&lt;DATE(X$3,MONTH(入力データ!$C$10),DAY(入力データ!$C$10)),1,0)))</f>
        <v/>
      </c>
      <c r="Y4" s="218">
        <f>IF(Y$3="","",IF(入力データ!$C$10="","",YEAR(DATE(Y$3,12,31))-YEAR(入力データ!$C$10)-IF(DATE(Y$3,12,31)&lt;DATE(Y$3,MONTH(入力データ!$C$10),DAY(入力データ!$C$10)),1,0)))</f>
        <v/>
      </c>
      <c r="Z4" s="218">
        <f>IF(Z$3="","",IF(入力データ!$C$10="","",YEAR(DATE(Z$3,12,31))-YEAR(入力データ!$C$10)-IF(DATE(Z$3,12,31)&lt;DATE(Z$3,MONTH(入力データ!$C$10),DAY(入力データ!$C$10)),1,0)))</f>
        <v/>
      </c>
      <c r="AA4" s="218">
        <f>IF(AA$3="","",IF(入力データ!$C$10="","",YEAR(DATE(AA$3,12,31))-YEAR(入力データ!$C$10)-IF(DATE(AA$3,12,31)&lt;DATE(AA$3,MONTH(入力データ!$C$10),DAY(入力データ!$C$10)),1,0)))</f>
        <v/>
      </c>
      <c r="AB4" s="218">
        <f>IF(AB$3="","",IF(入力データ!$C$10="","",YEAR(DATE(AB$3,12,31))-YEAR(入力データ!$C$10)-IF(DATE(AB$3,12,31)&lt;DATE(AB$3,MONTH(入力データ!$C$10),DAY(入力データ!$C$10)),1,0)))</f>
        <v/>
      </c>
      <c r="AC4" s="218">
        <f>IF(AC$3="","",IF(入力データ!$C$10="","",YEAR(DATE(AC$3,12,31))-YEAR(入力データ!$C$10)-IF(DATE(AC$3,12,31)&lt;DATE(AC$3,MONTH(入力データ!$C$10),DAY(入力データ!$C$10)),1,0)))</f>
        <v/>
      </c>
      <c r="AD4" s="218">
        <f>IF(AD$3="","",IF(入力データ!$C$10="","",YEAR(DATE(AD$3,12,31))-YEAR(入力データ!$C$10)-IF(DATE(AD$3,12,31)&lt;DATE(AD$3,MONTH(入力データ!$C$10),DAY(入力データ!$C$10)),1,0)))</f>
        <v/>
      </c>
      <c r="AE4" s="218">
        <f>IF(AE$3="","",IF(入力データ!$C$10="","",YEAR(DATE(AE$3,12,31))-YEAR(入力データ!$C$10)-IF(DATE(AE$3,12,31)&lt;DATE(AE$3,MONTH(入力データ!$C$10),DAY(入力データ!$C$10)),1,0)))</f>
        <v/>
      </c>
      <c r="AF4" s="218">
        <f>IF(AF$3="","",IF(入力データ!$C$10="","",YEAR(DATE(AF$3,12,31))-YEAR(入力データ!$C$10)-IF(DATE(AF$3,12,31)&lt;DATE(AF$3,MONTH(入力データ!$C$10),DAY(入力データ!$C$10)),1,0)))</f>
        <v/>
      </c>
      <c r="AG4" s="218">
        <f>IF(AG$3="","",IF(入力データ!$C$10="","",YEAR(DATE(AG$3,12,31))-YEAR(入力データ!$C$10)-IF(DATE(AG$3,12,31)&lt;DATE(AG$3,MONTH(入力データ!$C$10),DAY(入力データ!$C$10)),1,0)))</f>
        <v/>
      </c>
      <c r="AH4" s="218">
        <f>IF(AH$3="","",IF(入力データ!$C$10="","",YEAR(DATE(AH$3,12,31))-YEAR(入力データ!$C$10)-IF(DATE(AH$3,12,31)&lt;DATE(AH$3,MONTH(入力データ!$C$10),DAY(入力データ!$C$10)),1,0)))</f>
        <v/>
      </c>
      <c r="AI4" s="218">
        <f>IF(AI$3="","",IF(入力データ!$C$10="","",YEAR(DATE(AI$3,12,31))-YEAR(入力データ!$C$10)-IF(DATE(AI$3,12,31)&lt;DATE(AI$3,MONTH(入力データ!$C$10),DAY(入力データ!$C$10)),1,0)))</f>
        <v/>
      </c>
      <c r="AJ4" s="218">
        <f>IF(AJ$3="","",IF(入力データ!$C$10="","",YEAR(DATE(AJ$3,12,31))-YEAR(入力データ!$C$10)-IF(DATE(AJ$3,12,31)&lt;DATE(AJ$3,MONTH(入力データ!$C$10),DAY(入力データ!$C$10)),1,0)))</f>
        <v/>
      </c>
      <c r="AK4" s="218">
        <f>IF(AK$3="","",IF(入力データ!$C$10="","",YEAR(DATE(AK$3,12,31))-YEAR(入力データ!$C$10)-IF(DATE(AK$3,12,31)&lt;DATE(AK$3,MONTH(入力データ!$C$10),DAY(入力データ!$C$10)),1,0)))</f>
        <v/>
      </c>
      <c r="AL4" s="218">
        <f>IF(AL$3="","",IF(入力データ!$C$10="","",YEAR(DATE(AL$3,12,31))-YEAR(入力データ!$C$10)-IF(DATE(AL$3,12,31)&lt;DATE(AL$3,MONTH(入力データ!$C$10),DAY(入力データ!$C$10)),1,0)))</f>
        <v/>
      </c>
      <c r="AM4" s="218">
        <f>IF(AM$3="","",IF(入力データ!$C$10="","",YEAR(DATE(AM$3,12,31))-YEAR(入力データ!$C$10)-IF(DATE(AM$3,12,31)&lt;DATE(AM$3,MONTH(入力データ!$C$10),DAY(入力データ!$C$10)),1,0)))</f>
        <v/>
      </c>
      <c r="AN4" s="218">
        <f>IF(AN$3="","",IF(入力データ!$C$10="","",YEAR(DATE(AN$3,12,31))-YEAR(入力データ!$C$10)-IF(DATE(AN$3,12,31)&lt;DATE(AN$3,MONTH(入力データ!$C$10),DAY(入力データ!$C$10)),1,0)))</f>
        <v/>
      </c>
      <c r="AO4" s="218">
        <f>IF(AO$3="","",IF(入力データ!$C$10="","",YEAR(DATE(AO$3,12,31))-YEAR(入力データ!$C$10)-IF(DATE(AO$3,12,31)&lt;DATE(AO$3,MONTH(入力データ!$C$10),DAY(入力データ!$C$10)),1,0)))</f>
        <v/>
      </c>
      <c r="AP4" s="218">
        <f>IF(AP$3="","",IF(入力データ!$C$10="","",YEAR(DATE(AP$3,12,31))-YEAR(入力データ!$C$10)-IF(DATE(AP$3,12,31)&lt;DATE(AP$3,MONTH(入力データ!$C$10),DAY(入力データ!$C$10)),1,0)))</f>
        <v/>
      </c>
      <c r="AQ4" s="218">
        <f>IF(AQ$3="","",IF(入力データ!$C$10="","",YEAR(DATE(AQ$3,12,31))-YEAR(入力データ!$C$10)-IF(DATE(AQ$3,12,31)&lt;DATE(AQ$3,MONTH(入力データ!$C$10),DAY(入力データ!$C$10)),1,0)))</f>
        <v/>
      </c>
      <c r="AR4" s="218">
        <f>IF(AR$3="","",IF(入力データ!$C$10="","",YEAR(DATE(AR$3,12,31))-YEAR(入力データ!$C$10)-IF(DATE(AR$3,12,31)&lt;DATE(AR$3,MONTH(入力データ!$C$10),DAY(入力データ!$C$10)),1,0)))</f>
        <v/>
      </c>
      <c r="AS4" s="218">
        <f>IF(AS$3="","",IF(入力データ!$C$10="","",YEAR(DATE(AS$3,12,31))-YEAR(入力データ!$C$10)-IF(DATE(AS$3,12,31)&lt;DATE(AS$3,MONTH(入力データ!$C$10),DAY(入力データ!$C$10)),1,0)))</f>
        <v/>
      </c>
      <c r="AT4" s="218">
        <f>IF(AT$3="","",IF(入力データ!$C$10="","",YEAR(DATE(AT$3,12,31))-YEAR(入力データ!$C$10)-IF(DATE(AT$3,12,31)&lt;DATE(AT$3,MONTH(入力データ!$C$10),DAY(入力データ!$C$10)),1,0)))</f>
        <v/>
      </c>
      <c r="AU4" s="218">
        <f>IF(AU$3="","",IF(入力データ!$C$10="","",YEAR(DATE(AU$3,12,31))-YEAR(入力データ!$C$10)-IF(DATE(AU$3,12,31)&lt;DATE(AU$3,MONTH(入力データ!$C$10),DAY(入力データ!$C$10)),1,0)))</f>
        <v/>
      </c>
      <c r="AV4" s="218">
        <f>IF(AV$3="","",IF(入力データ!$C$10="","",YEAR(DATE(AV$3,12,31))-YEAR(入力データ!$C$10)-IF(DATE(AV$3,12,31)&lt;DATE(AV$3,MONTH(入力データ!$C$10),DAY(入力データ!$C$10)),1,0)))</f>
        <v/>
      </c>
      <c r="AW4" s="218">
        <f>IF(AW$3="","",IF(入力データ!$C$10="","",YEAR(DATE(AW$3,12,31))-YEAR(入力データ!$C$10)-IF(DATE(AW$3,12,31)&lt;DATE(AW$3,MONTH(入力データ!$C$10),DAY(入力データ!$C$10)),1,0)))</f>
        <v/>
      </c>
      <c r="AX4" s="218">
        <f>IF(AX$3="","",IF(入力データ!$C$10="","",YEAR(DATE(AX$3,12,31))-YEAR(入力データ!$C$10)-IF(DATE(AX$3,12,31)&lt;DATE(AX$3,MONTH(入力データ!$C$10),DAY(入力データ!$C$10)),1,0)))</f>
        <v/>
      </c>
      <c r="AY4" s="218">
        <f>IF(AY$3="","",IF(入力データ!$C$10="","",YEAR(DATE(AY$3,12,31))-YEAR(入力データ!$C$10)-IF(DATE(AY$3,12,31)&lt;DATE(AY$3,MONTH(入力データ!$C$10),DAY(入力データ!$C$10)),1,0)))</f>
        <v/>
      </c>
      <c r="AZ4" s="218">
        <f>IF(AZ$3="","",IF(入力データ!$C$10="","",YEAR(DATE(AZ$3,12,31))-YEAR(入力データ!$C$10)-IF(DATE(AZ$3,12,31)&lt;DATE(AZ$3,MONTH(入力データ!$C$10),DAY(入力データ!$C$10)),1,0)))</f>
        <v/>
      </c>
      <c r="BA4" s="218">
        <f>IF(BA$3="","",IF(入力データ!$C$10="","",YEAR(DATE(BA$3,12,31))-YEAR(入力データ!$C$10)-IF(DATE(BA$3,12,31)&lt;DATE(BA$3,MONTH(入力データ!$C$10),DAY(入力データ!$C$10)),1,0)))</f>
        <v/>
      </c>
      <c r="BB4" s="218">
        <f>IF(BB$3="","",IF(入力データ!$C$10="","",YEAR(DATE(BB$3,12,31))-YEAR(入力データ!$C$10)-IF(DATE(BB$3,12,31)&lt;DATE(BB$3,MONTH(入力データ!$C$10),DAY(入力データ!$C$10)),1,0)))</f>
        <v/>
      </c>
      <c r="BC4" s="218">
        <f>IF(BC$3="","",IF(入力データ!$C$10="","",YEAR(DATE(BC$3,12,31))-YEAR(入力データ!$C$10)-IF(DATE(BC$3,12,31)&lt;DATE(BC$3,MONTH(入力データ!$C$10),DAY(入力データ!$C$10)),1,0)))</f>
        <v/>
      </c>
      <c r="BD4" s="218">
        <f>IF(BD$3="","",IF(入力データ!$C$10="","",YEAR(DATE(BD$3,12,31))-YEAR(入力データ!$C$10)-IF(DATE(BD$3,12,31)&lt;DATE(BD$3,MONTH(入力データ!$C$10),DAY(入力データ!$C$10)),1,0)))</f>
        <v/>
      </c>
      <c r="BE4" s="218">
        <f>IF(BE$3="","",IF(入力データ!$C$10="","",YEAR(DATE(BE$3,12,31))-YEAR(入力データ!$C$10)-IF(DATE(BE$3,12,31)&lt;DATE(BE$3,MONTH(入力データ!$C$10),DAY(入力データ!$C$10)),1,0)))</f>
        <v/>
      </c>
      <c r="BF4" s="218">
        <f>IF(BF$3="","",IF(入力データ!$C$10="","",YEAR(DATE(BF$3,12,31))-YEAR(入力データ!$C$10)-IF(DATE(BF$3,12,31)&lt;DATE(BF$3,MONTH(入力データ!$C$10),DAY(入力データ!$C$10)),1,0)))</f>
        <v/>
      </c>
      <c r="BG4" s="218">
        <f>IF(BG$3="","",IF(入力データ!$C$10="","",YEAR(DATE(BG$3,12,31))-YEAR(入力データ!$C$10)-IF(DATE(BG$3,12,31)&lt;DATE(BG$3,MONTH(入力データ!$C$10),DAY(入力データ!$C$10)),1,0)))</f>
        <v/>
      </c>
      <c r="BH4" s="218">
        <f>IF(BH$3="","",IF(入力データ!$C$10="","",YEAR(DATE(BH$3,12,31))-YEAR(入力データ!$C$10)-IF(DATE(BH$3,12,31)&lt;DATE(BH$3,MONTH(入力データ!$C$10),DAY(入力データ!$C$10)),1,0)))</f>
        <v/>
      </c>
      <c r="BI4" s="218">
        <f>IF(BI$3="","",IF(入力データ!$C$10="","",YEAR(DATE(BI$3,12,31))-YEAR(入力データ!$C$10)-IF(DATE(BI$3,12,31)&lt;DATE(BI$3,MONTH(入力データ!$C$10),DAY(入力データ!$C$10)),1,0)))</f>
        <v/>
      </c>
      <c r="BJ4" s="218">
        <f>IF(BJ$3="","",IF(入力データ!$C$10="","",YEAR(DATE(BJ$3,12,31))-YEAR(入力データ!$C$10)-IF(DATE(BJ$3,12,31)&lt;DATE(BJ$3,MONTH(入力データ!$C$10),DAY(入力データ!$C$10)),1,0)))</f>
        <v/>
      </c>
      <c r="BK4" s="218">
        <f>IF(BK$3="","",IF(入力データ!$C$10="","",YEAR(DATE(BK$3,12,31))-YEAR(入力データ!$C$10)-IF(DATE(BK$3,12,31)&lt;DATE(BK$3,MONTH(入力データ!$C$10),DAY(入力データ!$C$10)),1,0)))</f>
        <v/>
      </c>
      <c r="BL4" s="218">
        <f>IF(BL$3="","",IF(入力データ!$C$10="","",YEAR(DATE(BL$3,12,31))-YEAR(入力データ!$C$10)-IF(DATE(BL$3,12,31)&lt;DATE(BL$3,MONTH(入力データ!$C$10),DAY(入力データ!$C$10)),1,0)))</f>
        <v/>
      </c>
      <c r="BM4" s="218">
        <f>IF(BM$3="","",IF(入力データ!$C$10="","",YEAR(DATE(BM$3,12,31))-YEAR(入力データ!$C$10)-IF(DATE(BM$3,12,31)&lt;DATE(BM$3,MONTH(入力データ!$C$10),DAY(入力データ!$C$10)),1,0)))</f>
        <v/>
      </c>
      <c r="BN4" s="218">
        <f>IF(BN$3="","",IF(入力データ!$C$10="","",YEAR(DATE(BN$3,12,31))-YEAR(入力データ!$C$10)-IF(DATE(BN$3,12,31)&lt;DATE(BN$3,MONTH(入力データ!$C$10),DAY(入力データ!$C$10)),1,0)))</f>
        <v/>
      </c>
      <c r="BO4" s="218">
        <f>IF(BO$3="","",IF(入力データ!$C$10="","",YEAR(DATE(BO$3,12,31))-YEAR(入力データ!$C$10)-IF(DATE(BO$3,12,31)&lt;DATE(BO$3,MONTH(入力データ!$C$10),DAY(入力データ!$C$10)),1,0)))</f>
        <v/>
      </c>
      <c r="BP4" s="218">
        <f>IF(BP$3="","",IF(入力データ!$C$10="","",YEAR(DATE(BP$3,12,31))-YEAR(入力データ!$C$10)-IF(DATE(BP$3,12,31)&lt;DATE(BP$3,MONTH(入力データ!$C$10),DAY(入力データ!$C$10)),1,0)))</f>
        <v/>
      </c>
      <c r="BQ4" s="218">
        <f>IF(BQ$3="","",IF(入力データ!$C$10="","",YEAR(DATE(BQ$3,12,31))-YEAR(入力データ!$C$10)-IF(DATE(BQ$3,12,31)&lt;DATE(BQ$3,MONTH(入力データ!$C$10),DAY(入力データ!$C$10)),1,0)))</f>
        <v/>
      </c>
      <c r="BR4" s="218">
        <f>IF(BR$3="","",IF(入力データ!$C$10="","",YEAR(DATE(BR$3,12,31))-YEAR(入力データ!$C$10)-IF(DATE(BR$3,12,31)&lt;DATE(BR$3,MONTH(入力データ!$C$10),DAY(入力データ!$C$10)),1,0)))</f>
        <v/>
      </c>
      <c r="BS4" s="218">
        <f>IF(BS$3="","",IF(入力データ!$C$10="","",YEAR(DATE(BS$3,12,31))-YEAR(入力データ!$C$10)-IF(DATE(BS$3,12,31)&lt;DATE(BS$3,MONTH(入力データ!$C$10),DAY(入力データ!$C$10)),1,0)))</f>
        <v/>
      </c>
      <c r="BT4" s="218">
        <f>IF(BT$3="","",IF(入力データ!$C$10="","",YEAR(DATE(BT$3,12,31))-YEAR(入力データ!$C$10)-IF(DATE(BT$3,12,31)&lt;DATE(BT$3,MONTH(入力データ!$C$10),DAY(入力データ!$C$10)),1,0)))</f>
        <v/>
      </c>
      <c r="BU4" s="218">
        <f>IF(BU$3="","",IF(入力データ!$C$10="","",YEAR(DATE(BU$3,12,31))-YEAR(入力データ!$C$10)-IF(DATE(BU$3,12,31)&lt;DATE(BU$3,MONTH(入力データ!$C$10),DAY(入力データ!$C$10)),1,0)))</f>
        <v/>
      </c>
      <c r="BV4" s="218">
        <f>IF(BV$3="","",IF(入力データ!$C$10="","",YEAR(DATE(BV$3,12,31))-YEAR(入力データ!$C$10)-IF(DATE(BV$3,12,31)&lt;DATE(BV$3,MONTH(入力データ!$C$10),DAY(入力データ!$C$10)),1,0)))</f>
        <v/>
      </c>
      <c r="BW4" s="218">
        <f>IF(BW$3="","",IF(入力データ!$C$10="","",YEAR(DATE(BW$3,12,31))-YEAR(入力データ!$C$10)-IF(DATE(BW$3,12,31)&lt;DATE(BW$3,MONTH(入力データ!$C$10),DAY(入力データ!$C$10)),1,0)))</f>
        <v/>
      </c>
      <c r="BX4" s="218">
        <f>IF(BX$3="","",IF(入力データ!$C$10="","",YEAR(DATE(BX$3,12,31))-YEAR(入力データ!$C$10)-IF(DATE(BX$3,12,31)&lt;DATE(BX$3,MONTH(入力データ!$C$10),DAY(入力データ!$C$10)),1,0)))</f>
        <v/>
      </c>
      <c r="BY4" s="218">
        <f>IF(BY$3="","",IF(入力データ!$C$10="","",YEAR(DATE(BY$3,12,31))-YEAR(入力データ!$C$10)-IF(DATE(BY$3,12,31)&lt;DATE(BY$3,MONTH(入力データ!$C$10),DAY(入力データ!$C$10)),1,0)))</f>
        <v/>
      </c>
      <c r="BZ4" s="218">
        <f>IF(BZ$3="","",IF(入力データ!$C$10="","",YEAR(DATE(BZ$3,12,31))-YEAR(入力データ!$C$10)-IF(DATE(BZ$3,12,31)&lt;DATE(BZ$3,MONTH(入力データ!$C$10),DAY(入力データ!$C$10)),1,0)))</f>
        <v/>
      </c>
      <c r="CA4" s="218">
        <f>IF(CA$3="","",IF(入力データ!$C$10="","",YEAR(DATE(CA$3,12,31))-YEAR(入力データ!$C$10)-IF(DATE(CA$3,12,31)&lt;DATE(CA$3,MONTH(入力データ!$C$10),DAY(入力データ!$C$10)),1,0)))</f>
        <v/>
      </c>
      <c r="CB4" s="218">
        <f>IF(CB$3="","",IF(入力データ!$C$10="","",YEAR(DATE(CB$3,12,31))-YEAR(入力データ!$C$10)-IF(DATE(CB$3,12,31)&lt;DATE(CB$3,MONTH(入力データ!$C$10),DAY(入力データ!$C$10)),1,0)))</f>
        <v/>
      </c>
      <c r="CC4" s="218">
        <f>IF(CC$3="","",IF(入力データ!$C$10="","",YEAR(DATE(CC$3,12,31))-YEAR(入力データ!$C$10)-IF(DATE(CC$3,12,31)&lt;DATE(CC$3,MONTH(入力データ!$C$10),DAY(入力データ!$C$10)),1,0)))</f>
        <v/>
      </c>
      <c r="CD4" s="218">
        <f>IF(CD$3="","",IF(入力データ!$C$10="","",YEAR(DATE(CD$3,12,31))-YEAR(入力データ!$C$10)-IF(DATE(CD$3,12,31)&lt;DATE(CD$3,MONTH(入力データ!$C$10),DAY(入力データ!$C$10)),1,0)))</f>
        <v/>
      </c>
      <c r="CE4" s="218">
        <f>IF(CE$3="","",IF(入力データ!$C$10="","",YEAR(DATE(CE$3,12,31))-YEAR(入力データ!$C$10)-IF(DATE(CE$3,12,31)&lt;DATE(CE$3,MONTH(入力データ!$C$10),DAY(入力データ!$C$10)),1,0)))</f>
        <v/>
      </c>
      <c r="CF4" s="218">
        <f>IF(CF$3="","",IF(入力データ!$C$10="","",YEAR(DATE(CF$3,12,31))-YEAR(入力データ!$C$10)-IF(DATE(CF$3,12,31)&lt;DATE(CF$3,MONTH(入力データ!$C$10),DAY(入力データ!$C$10)),1,0)))</f>
        <v/>
      </c>
      <c r="CG4" s="218">
        <f>IF(CG$3="","",IF(入力データ!$C$10="","",YEAR(DATE(CG$3,12,31))-YEAR(入力データ!$C$10)-IF(DATE(CG$3,12,31)&lt;DATE(CG$3,MONTH(入力データ!$C$10),DAY(入力データ!$C$10)),1,0)))</f>
        <v/>
      </c>
      <c r="CH4" s="218">
        <f>IF(CH$3="","",IF(入力データ!$C$10="","",YEAR(DATE(CH$3,12,31))-YEAR(入力データ!$C$10)-IF(DATE(CH$3,12,31)&lt;DATE(CH$3,MONTH(入力データ!$C$10),DAY(入力データ!$C$10)),1,0)))</f>
        <v/>
      </c>
      <c r="CI4" s="218">
        <f>IF(CI$3="","",IF(入力データ!$C$10="","",YEAR(DATE(CI$3,12,31))-YEAR(入力データ!$C$10)-IF(DATE(CI$3,12,31)&lt;DATE(CI$3,MONTH(入力データ!$C$10),DAY(入力データ!$C$10)),1,0)))</f>
        <v/>
      </c>
      <c r="CJ4" s="218">
        <f>IF(CJ$3="","",IF(入力データ!$C$10="","",YEAR(DATE(CJ$3,12,31))-YEAR(入力データ!$C$10)-IF(DATE(CJ$3,12,31)&lt;DATE(CJ$3,MONTH(入力データ!$C$10),DAY(入力データ!$C$10)),1,0)))</f>
        <v/>
      </c>
      <c r="CK4" s="218">
        <f>IF(CK$3="","",IF(入力データ!$C$10="","",YEAR(DATE(CK$3,12,31))-YEAR(入力データ!$C$10)-IF(DATE(CK$3,12,31)&lt;DATE(CK$3,MONTH(入力データ!$C$10),DAY(入力データ!$C$10)),1,0)))</f>
        <v/>
      </c>
      <c r="CL4" s="218">
        <f>IF(CL$3="","",IF(入力データ!$C$10="","",YEAR(DATE(CL$3,12,31))-YEAR(入力データ!$C$10)-IF(DATE(CL$3,12,31)&lt;DATE(CL$3,MONTH(入力データ!$C$10),DAY(入力データ!$C$10)),1,0)))</f>
        <v/>
      </c>
      <c r="CM4" s="218">
        <f>IF(CM$3="","",IF(入力データ!$C$10="","",YEAR(DATE(CM$3,12,31))-YEAR(入力データ!$C$10)-IF(DATE(CM$3,12,31)&lt;DATE(CM$3,MONTH(入力データ!$C$10),DAY(入力データ!$C$10)),1,0)))</f>
        <v/>
      </c>
      <c r="CN4" s="218">
        <f>IF(CN$3="","",IF(入力データ!$C$10="","",YEAR(DATE(CN$3,12,31))-YEAR(入力データ!$C$10)-IF(DATE(CN$3,12,31)&lt;DATE(CN$3,MONTH(入力データ!$C$10),DAY(入力データ!$C$10)),1,0)))</f>
        <v/>
      </c>
      <c r="CO4" s="218">
        <f>IF(CO$3="","",IF(入力データ!$C$10="","",YEAR(DATE(CO$3,12,31))-YEAR(入力データ!$C$10)-IF(DATE(CO$3,12,31)&lt;DATE(CO$3,MONTH(入力データ!$C$10),DAY(入力データ!$C$10)),1,0)))</f>
        <v/>
      </c>
      <c r="CP4" s="218">
        <f>IF(CP$3="","",IF(入力データ!$C$10="","",YEAR(DATE(CP$3,12,31))-YEAR(入力データ!$C$10)-IF(DATE(CP$3,12,31)&lt;DATE(CP$3,MONTH(入力データ!$C$10),DAY(入力データ!$C$10)),1,0)))</f>
        <v/>
      </c>
      <c r="CQ4" s="218">
        <f>IF(CQ$3="","",IF(入力データ!$C$10="","",YEAR(DATE(CQ$3,12,31))-YEAR(入力データ!$C$10)-IF(DATE(CQ$3,12,31)&lt;DATE(CQ$3,MONTH(入力データ!$C$10),DAY(入力データ!$C$10)),1,0)))</f>
        <v/>
      </c>
      <c r="CR4" s="218">
        <f>IF(CR$3="","",IF(入力データ!$C$10="","",YEAR(DATE(CR$3,12,31))-YEAR(入力データ!$C$10)-IF(DATE(CR$3,12,31)&lt;DATE(CR$3,MONTH(入力データ!$C$10),DAY(入力データ!$C$10)),1,0)))</f>
        <v/>
      </c>
      <c r="CS4" s="218">
        <f>IF(CS$3="","",IF(入力データ!$C$10="","",YEAR(DATE(CS$3,12,31))-YEAR(入力データ!$C$10)-IF(DATE(CS$3,12,31)&lt;DATE(CS$3,MONTH(入力データ!$C$10),DAY(入力データ!$C$10)),1,0)))</f>
        <v/>
      </c>
      <c r="CT4" s="218">
        <f>IF(CT$3="","",IF(入力データ!$C$10="","",YEAR(DATE(CT$3,12,31))-YEAR(入力データ!$C$10)-IF(DATE(CT$3,12,31)&lt;DATE(CT$3,MONTH(入力データ!$C$10),DAY(入力データ!$C$10)),1,0)))</f>
        <v/>
      </c>
      <c r="CU4" s="218">
        <f>IF(CU$3="","",IF(入力データ!$C$10="","",YEAR(DATE(CU$3,12,31))-YEAR(入力データ!$C$10)-IF(DATE(CU$3,12,31)&lt;DATE(CU$3,MONTH(入力データ!$C$10),DAY(入力データ!$C$10)),1,0)))</f>
        <v/>
      </c>
      <c r="CV4" s="218">
        <f>IF(CV$3="","",IF(入力データ!$C$10="","",YEAR(DATE(CV$3,12,31))-YEAR(入力データ!$C$10)-IF(DATE(CV$3,12,31)&lt;DATE(CV$3,MONTH(入力データ!$C$10),DAY(入力データ!$C$10)),1,0)))</f>
        <v/>
      </c>
      <c r="CW4" s="218">
        <f>IF(CW$3="","",IF(入力データ!$C$10="","",YEAR(DATE(CW$3,12,31))-YEAR(入力データ!$C$10)-IF(DATE(CW$3,12,31)&lt;DATE(CW$3,MONTH(入力データ!$C$10),DAY(入力データ!$C$10)),1,0)))</f>
        <v/>
      </c>
    </row>
    <row r="5" ht="15" customHeight="1" s="180">
      <c r="A5" s="217" t="inlineStr">
        <is>
          <t>奥様年齢</t>
        </is>
      </c>
      <c r="B5" s="218">
        <f>IF(B$3="","",IF(入力データ!$C$11="","",YEAR(DATE(B$3,12,31))-YEAR(入力データ!$C$11)-IF(DATE(B$3,12,31)&lt;DATE(B$3,MONTH(入力データ!$C$11),DAY(入力データ!$C$11)),1,0)))</f>
        <v/>
      </c>
      <c r="C5" s="218">
        <f>IF(C$3="","",IF(入力データ!$C$11="","",YEAR(DATE(C$3,12,31))-YEAR(入力データ!$C$11)-IF(DATE(C$3,12,31)&lt;DATE(C$3,MONTH(入力データ!$C$11),DAY(入力データ!$C$11)),1,0)))</f>
        <v/>
      </c>
      <c r="D5" s="218">
        <f>IF(D$3="","",IF(入力データ!$C$11="","",YEAR(DATE(D$3,12,31))-YEAR(入力データ!$C$11)-IF(DATE(D$3,12,31)&lt;DATE(D$3,MONTH(入力データ!$C$11),DAY(入力データ!$C$11)),1,0)))</f>
        <v/>
      </c>
      <c r="E5" s="218">
        <f>IF(E$3="","",IF(入力データ!$C$11="","",YEAR(DATE(E$3,12,31))-YEAR(入力データ!$C$11)-IF(DATE(E$3,12,31)&lt;DATE(E$3,MONTH(入力データ!$C$11),DAY(入力データ!$C$11)),1,0)))</f>
        <v/>
      </c>
      <c r="F5" s="218">
        <f>IF(F$3="","",IF(入力データ!$C$11="","",YEAR(DATE(F$3,12,31))-YEAR(入力データ!$C$11)-IF(DATE(F$3,12,31)&lt;DATE(F$3,MONTH(入力データ!$C$11),DAY(入力データ!$C$11)),1,0)))</f>
        <v/>
      </c>
      <c r="G5" s="218">
        <f>IF(G$3="","",IF(入力データ!$C$11="","",YEAR(DATE(G$3,12,31))-YEAR(入力データ!$C$11)-IF(DATE(G$3,12,31)&lt;DATE(G$3,MONTH(入力データ!$C$11),DAY(入力データ!$C$11)),1,0)))</f>
        <v/>
      </c>
      <c r="H5" s="218">
        <f>IF(H$3="","",IF(入力データ!$C$11="","",YEAR(DATE(H$3,12,31))-YEAR(入力データ!$C$11)-IF(DATE(H$3,12,31)&lt;DATE(H$3,MONTH(入力データ!$C$11),DAY(入力データ!$C$11)),1,0)))</f>
        <v/>
      </c>
      <c r="I5" s="218">
        <f>IF(I$3="","",IF(入力データ!$C$11="","",YEAR(DATE(I$3,12,31))-YEAR(入力データ!$C$11)-IF(DATE(I$3,12,31)&lt;DATE(I$3,MONTH(入力データ!$C$11),DAY(入力データ!$C$11)),1,0)))</f>
        <v/>
      </c>
      <c r="J5" s="218">
        <f>IF(J$3="","",IF(入力データ!$C$11="","",YEAR(DATE(J$3,12,31))-YEAR(入力データ!$C$11)-IF(DATE(J$3,12,31)&lt;DATE(J$3,MONTH(入力データ!$C$11),DAY(入力データ!$C$11)),1,0)))</f>
        <v/>
      </c>
      <c r="K5" s="218">
        <f>IF(K$3="","",IF(入力データ!$C$11="","",YEAR(DATE(K$3,12,31))-YEAR(入力データ!$C$11)-IF(DATE(K$3,12,31)&lt;DATE(K$3,MONTH(入力データ!$C$11),DAY(入力データ!$C$11)),1,0)))</f>
        <v/>
      </c>
      <c r="L5" s="218">
        <f>IF(L$3="","",IF(入力データ!$C$11="","",YEAR(DATE(L$3,12,31))-YEAR(入力データ!$C$11)-IF(DATE(L$3,12,31)&lt;DATE(L$3,MONTH(入力データ!$C$11),DAY(入力データ!$C$11)),1,0)))</f>
        <v/>
      </c>
      <c r="M5" s="218">
        <f>IF(M$3="","",IF(入力データ!$C$11="","",YEAR(DATE(M$3,12,31))-YEAR(入力データ!$C$11)-IF(DATE(M$3,12,31)&lt;DATE(M$3,MONTH(入力データ!$C$11),DAY(入力データ!$C$11)),1,0)))</f>
        <v/>
      </c>
      <c r="N5" s="218">
        <f>IF(N$3="","",IF(入力データ!$C$11="","",YEAR(DATE(N$3,12,31))-YEAR(入力データ!$C$11)-IF(DATE(N$3,12,31)&lt;DATE(N$3,MONTH(入力データ!$C$11),DAY(入力データ!$C$11)),1,0)))</f>
        <v/>
      </c>
      <c r="O5" s="218">
        <f>IF(O$3="","",IF(入力データ!$C$11="","",YEAR(DATE(O$3,12,31))-YEAR(入力データ!$C$11)-IF(DATE(O$3,12,31)&lt;DATE(O$3,MONTH(入力データ!$C$11),DAY(入力データ!$C$11)),1,0)))</f>
        <v/>
      </c>
      <c r="P5" s="218">
        <f>IF(P$3="","",IF(入力データ!$C$11="","",YEAR(DATE(P$3,12,31))-YEAR(入力データ!$C$11)-IF(DATE(P$3,12,31)&lt;DATE(P$3,MONTH(入力データ!$C$11),DAY(入力データ!$C$11)),1,0)))</f>
        <v/>
      </c>
      <c r="Q5" s="218">
        <f>IF(Q$3="","",IF(入力データ!$C$11="","",YEAR(DATE(Q$3,12,31))-YEAR(入力データ!$C$11)-IF(DATE(Q$3,12,31)&lt;DATE(Q$3,MONTH(入力データ!$C$11),DAY(入力データ!$C$11)),1,0)))</f>
        <v/>
      </c>
      <c r="R5" s="218">
        <f>IF(R$3="","",IF(入力データ!$C$11="","",YEAR(DATE(R$3,12,31))-YEAR(入力データ!$C$11)-IF(DATE(R$3,12,31)&lt;DATE(R$3,MONTH(入力データ!$C$11),DAY(入力データ!$C$11)),1,0)))</f>
        <v/>
      </c>
      <c r="S5" s="218">
        <f>IF(S$3="","",IF(入力データ!$C$11="","",YEAR(DATE(S$3,12,31))-YEAR(入力データ!$C$11)-IF(DATE(S$3,12,31)&lt;DATE(S$3,MONTH(入力データ!$C$11),DAY(入力データ!$C$11)),1,0)))</f>
        <v/>
      </c>
      <c r="T5" s="218">
        <f>IF(T$3="","",IF(入力データ!$C$11="","",YEAR(DATE(T$3,12,31))-YEAR(入力データ!$C$11)-IF(DATE(T$3,12,31)&lt;DATE(T$3,MONTH(入力データ!$C$11),DAY(入力データ!$C$11)),1,0)))</f>
        <v/>
      </c>
      <c r="U5" s="218">
        <f>IF(U$3="","",IF(入力データ!$C$11="","",YEAR(DATE(U$3,12,31))-YEAR(入力データ!$C$11)-IF(DATE(U$3,12,31)&lt;DATE(U$3,MONTH(入力データ!$C$11),DAY(入力データ!$C$11)),1,0)))</f>
        <v/>
      </c>
      <c r="V5" s="218">
        <f>IF(V$3="","",IF(入力データ!$C$11="","",YEAR(DATE(V$3,12,31))-YEAR(入力データ!$C$11)-IF(DATE(V$3,12,31)&lt;DATE(V$3,MONTH(入力データ!$C$11),DAY(入力データ!$C$11)),1,0)))</f>
        <v/>
      </c>
      <c r="W5" s="218">
        <f>IF(W$3="","",IF(入力データ!$C$11="","",YEAR(DATE(W$3,12,31))-YEAR(入力データ!$C$11)-IF(DATE(W$3,12,31)&lt;DATE(W$3,MONTH(入力データ!$C$11),DAY(入力データ!$C$11)),1,0)))</f>
        <v/>
      </c>
      <c r="X5" s="218">
        <f>IF(X$3="","",IF(入力データ!$C$11="","",YEAR(DATE(X$3,12,31))-YEAR(入力データ!$C$11)-IF(DATE(X$3,12,31)&lt;DATE(X$3,MONTH(入力データ!$C$11),DAY(入力データ!$C$11)),1,0)))</f>
        <v/>
      </c>
      <c r="Y5" s="218">
        <f>IF(Y$3="","",IF(入力データ!$C$11="","",YEAR(DATE(Y$3,12,31))-YEAR(入力データ!$C$11)-IF(DATE(Y$3,12,31)&lt;DATE(Y$3,MONTH(入力データ!$C$11),DAY(入力データ!$C$11)),1,0)))</f>
        <v/>
      </c>
      <c r="Z5" s="218">
        <f>IF(Z$3="","",IF(入力データ!$C$11="","",YEAR(DATE(Z$3,12,31))-YEAR(入力データ!$C$11)-IF(DATE(Z$3,12,31)&lt;DATE(Z$3,MONTH(入力データ!$C$11),DAY(入力データ!$C$11)),1,0)))</f>
        <v/>
      </c>
      <c r="AA5" s="218">
        <f>IF(AA$3="","",IF(入力データ!$C$11="","",YEAR(DATE(AA$3,12,31))-YEAR(入力データ!$C$11)-IF(DATE(AA$3,12,31)&lt;DATE(AA$3,MONTH(入力データ!$C$11),DAY(入力データ!$C$11)),1,0)))</f>
        <v/>
      </c>
      <c r="AB5" s="218">
        <f>IF(AB$3="","",IF(入力データ!$C$11="","",YEAR(DATE(AB$3,12,31))-YEAR(入力データ!$C$11)-IF(DATE(AB$3,12,31)&lt;DATE(AB$3,MONTH(入力データ!$C$11),DAY(入力データ!$C$11)),1,0)))</f>
        <v/>
      </c>
      <c r="AC5" s="218">
        <f>IF(AC$3="","",IF(入力データ!$C$11="","",YEAR(DATE(AC$3,12,31))-YEAR(入力データ!$C$11)-IF(DATE(AC$3,12,31)&lt;DATE(AC$3,MONTH(入力データ!$C$11),DAY(入力データ!$C$11)),1,0)))</f>
        <v/>
      </c>
      <c r="AD5" s="218">
        <f>IF(AD$3="","",IF(入力データ!$C$11="","",YEAR(DATE(AD$3,12,31))-YEAR(入力データ!$C$11)-IF(DATE(AD$3,12,31)&lt;DATE(AD$3,MONTH(入力データ!$C$11),DAY(入力データ!$C$11)),1,0)))</f>
        <v/>
      </c>
      <c r="AE5" s="218">
        <f>IF(AE$3="","",IF(入力データ!$C$11="","",YEAR(DATE(AE$3,12,31))-YEAR(入力データ!$C$11)-IF(DATE(AE$3,12,31)&lt;DATE(AE$3,MONTH(入力データ!$C$11),DAY(入力データ!$C$11)),1,0)))</f>
        <v/>
      </c>
      <c r="AF5" s="218">
        <f>IF(AF$3="","",IF(入力データ!$C$11="","",YEAR(DATE(AF$3,12,31))-YEAR(入力データ!$C$11)-IF(DATE(AF$3,12,31)&lt;DATE(AF$3,MONTH(入力データ!$C$11),DAY(入力データ!$C$11)),1,0)))</f>
        <v/>
      </c>
      <c r="AG5" s="218">
        <f>IF(AG$3="","",IF(入力データ!$C$11="","",YEAR(DATE(AG$3,12,31))-YEAR(入力データ!$C$11)-IF(DATE(AG$3,12,31)&lt;DATE(AG$3,MONTH(入力データ!$C$11),DAY(入力データ!$C$11)),1,0)))</f>
        <v/>
      </c>
      <c r="AH5" s="218">
        <f>IF(AH$3="","",IF(入力データ!$C$11="","",YEAR(DATE(AH$3,12,31))-YEAR(入力データ!$C$11)-IF(DATE(AH$3,12,31)&lt;DATE(AH$3,MONTH(入力データ!$C$11),DAY(入力データ!$C$11)),1,0)))</f>
        <v/>
      </c>
      <c r="AI5" s="218">
        <f>IF(AI$3="","",IF(入力データ!$C$11="","",YEAR(DATE(AI$3,12,31))-YEAR(入力データ!$C$11)-IF(DATE(AI$3,12,31)&lt;DATE(AI$3,MONTH(入力データ!$C$11),DAY(入力データ!$C$11)),1,0)))</f>
        <v/>
      </c>
      <c r="AJ5" s="218">
        <f>IF(AJ$3="","",IF(入力データ!$C$11="","",YEAR(DATE(AJ$3,12,31))-YEAR(入力データ!$C$11)-IF(DATE(AJ$3,12,31)&lt;DATE(AJ$3,MONTH(入力データ!$C$11),DAY(入力データ!$C$11)),1,0)))</f>
        <v/>
      </c>
      <c r="AK5" s="218">
        <f>IF(AK$3="","",IF(入力データ!$C$11="","",YEAR(DATE(AK$3,12,31))-YEAR(入力データ!$C$11)-IF(DATE(AK$3,12,31)&lt;DATE(AK$3,MONTH(入力データ!$C$11),DAY(入力データ!$C$11)),1,0)))</f>
        <v/>
      </c>
      <c r="AL5" s="218">
        <f>IF(AL$3="","",IF(入力データ!$C$11="","",YEAR(DATE(AL$3,12,31))-YEAR(入力データ!$C$11)-IF(DATE(AL$3,12,31)&lt;DATE(AL$3,MONTH(入力データ!$C$11),DAY(入力データ!$C$11)),1,0)))</f>
        <v/>
      </c>
      <c r="AM5" s="218">
        <f>IF(AM$3="","",IF(入力データ!$C$11="","",YEAR(DATE(AM$3,12,31))-YEAR(入力データ!$C$11)-IF(DATE(AM$3,12,31)&lt;DATE(AM$3,MONTH(入力データ!$C$11),DAY(入力データ!$C$11)),1,0)))</f>
        <v/>
      </c>
      <c r="AN5" s="218">
        <f>IF(AN$3="","",IF(入力データ!$C$11="","",YEAR(DATE(AN$3,12,31))-YEAR(入力データ!$C$11)-IF(DATE(AN$3,12,31)&lt;DATE(AN$3,MONTH(入力データ!$C$11),DAY(入力データ!$C$11)),1,0)))</f>
        <v/>
      </c>
      <c r="AO5" s="218">
        <f>IF(AO$3="","",IF(入力データ!$C$11="","",YEAR(DATE(AO$3,12,31))-YEAR(入力データ!$C$11)-IF(DATE(AO$3,12,31)&lt;DATE(AO$3,MONTH(入力データ!$C$11),DAY(入力データ!$C$11)),1,0)))</f>
        <v/>
      </c>
      <c r="AP5" s="218">
        <f>IF(AP$3="","",IF(入力データ!$C$11="","",YEAR(DATE(AP$3,12,31))-YEAR(入力データ!$C$11)-IF(DATE(AP$3,12,31)&lt;DATE(AP$3,MONTH(入力データ!$C$11),DAY(入力データ!$C$11)),1,0)))</f>
        <v/>
      </c>
      <c r="AQ5" s="218">
        <f>IF(AQ$3="","",IF(入力データ!$C$11="","",YEAR(DATE(AQ$3,12,31))-YEAR(入力データ!$C$11)-IF(DATE(AQ$3,12,31)&lt;DATE(AQ$3,MONTH(入力データ!$C$11),DAY(入力データ!$C$11)),1,0)))</f>
        <v/>
      </c>
      <c r="AR5" s="218">
        <f>IF(AR$3="","",IF(入力データ!$C$11="","",YEAR(DATE(AR$3,12,31))-YEAR(入力データ!$C$11)-IF(DATE(AR$3,12,31)&lt;DATE(AR$3,MONTH(入力データ!$C$11),DAY(入力データ!$C$11)),1,0)))</f>
        <v/>
      </c>
      <c r="AS5" s="218">
        <f>IF(AS$3="","",IF(入力データ!$C$11="","",YEAR(DATE(AS$3,12,31))-YEAR(入力データ!$C$11)-IF(DATE(AS$3,12,31)&lt;DATE(AS$3,MONTH(入力データ!$C$11),DAY(入力データ!$C$11)),1,0)))</f>
        <v/>
      </c>
      <c r="AT5" s="218">
        <f>IF(AT$3="","",IF(入力データ!$C$11="","",YEAR(DATE(AT$3,12,31))-YEAR(入力データ!$C$11)-IF(DATE(AT$3,12,31)&lt;DATE(AT$3,MONTH(入力データ!$C$11),DAY(入力データ!$C$11)),1,0)))</f>
        <v/>
      </c>
      <c r="AU5" s="218">
        <f>IF(AU$3="","",IF(入力データ!$C$11="","",YEAR(DATE(AU$3,12,31))-YEAR(入力データ!$C$11)-IF(DATE(AU$3,12,31)&lt;DATE(AU$3,MONTH(入力データ!$C$11),DAY(入力データ!$C$11)),1,0)))</f>
        <v/>
      </c>
      <c r="AV5" s="218">
        <f>IF(AV$3="","",IF(入力データ!$C$11="","",YEAR(DATE(AV$3,12,31))-YEAR(入力データ!$C$11)-IF(DATE(AV$3,12,31)&lt;DATE(AV$3,MONTH(入力データ!$C$11),DAY(入力データ!$C$11)),1,0)))</f>
        <v/>
      </c>
      <c r="AW5" s="218">
        <f>IF(AW$3="","",IF(入力データ!$C$11="","",YEAR(DATE(AW$3,12,31))-YEAR(入力データ!$C$11)-IF(DATE(AW$3,12,31)&lt;DATE(AW$3,MONTH(入力データ!$C$11),DAY(入力データ!$C$11)),1,0)))</f>
        <v/>
      </c>
      <c r="AX5" s="218">
        <f>IF(AX$3="","",IF(入力データ!$C$11="","",YEAR(DATE(AX$3,12,31))-YEAR(入力データ!$C$11)-IF(DATE(AX$3,12,31)&lt;DATE(AX$3,MONTH(入力データ!$C$11),DAY(入力データ!$C$11)),1,0)))</f>
        <v/>
      </c>
      <c r="AY5" s="218">
        <f>IF(AY$3="","",IF(入力データ!$C$11="","",YEAR(DATE(AY$3,12,31))-YEAR(入力データ!$C$11)-IF(DATE(AY$3,12,31)&lt;DATE(AY$3,MONTH(入力データ!$C$11),DAY(入力データ!$C$11)),1,0)))</f>
        <v/>
      </c>
      <c r="AZ5" s="218">
        <f>IF(AZ$3="","",IF(入力データ!$C$11="","",YEAR(DATE(AZ$3,12,31))-YEAR(入力データ!$C$11)-IF(DATE(AZ$3,12,31)&lt;DATE(AZ$3,MONTH(入力データ!$C$11),DAY(入力データ!$C$11)),1,0)))</f>
        <v/>
      </c>
      <c r="BA5" s="218">
        <f>IF(BA$3="","",IF(入力データ!$C$11="","",YEAR(DATE(BA$3,12,31))-YEAR(入力データ!$C$11)-IF(DATE(BA$3,12,31)&lt;DATE(BA$3,MONTH(入力データ!$C$11),DAY(入力データ!$C$11)),1,0)))</f>
        <v/>
      </c>
      <c r="BB5" s="218">
        <f>IF(BB$3="","",IF(入力データ!$C$11="","",YEAR(DATE(BB$3,12,31))-YEAR(入力データ!$C$11)-IF(DATE(BB$3,12,31)&lt;DATE(BB$3,MONTH(入力データ!$C$11),DAY(入力データ!$C$11)),1,0)))</f>
        <v/>
      </c>
      <c r="BC5" s="218">
        <f>IF(BC$3="","",IF(入力データ!$C$11="","",YEAR(DATE(BC$3,12,31))-YEAR(入力データ!$C$11)-IF(DATE(BC$3,12,31)&lt;DATE(BC$3,MONTH(入力データ!$C$11),DAY(入力データ!$C$11)),1,0)))</f>
        <v/>
      </c>
      <c r="BD5" s="218">
        <f>IF(BD$3="","",IF(入力データ!$C$11="","",YEAR(DATE(BD$3,12,31))-YEAR(入力データ!$C$11)-IF(DATE(BD$3,12,31)&lt;DATE(BD$3,MONTH(入力データ!$C$11),DAY(入力データ!$C$11)),1,0)))</f>
        <v/>
      </c>
      <c r="BE5" s="218">
        <f>IF(BE$3="","",IF(入力データ!$C$11="","",YEAR(DATE(BE$3,12,31))-YEAR(入力データ!$C$11)-IF(DATE(BE$3,12,31)&lt;DATE(BE$3,MONTH(入力データ!$C$11),DAY(入力データ!$C$11)),1,0)))</f>
        <v/>
      </c>
      <c r="BF5" s="218">
        <f>IF(BF$3="","",IF(入力データ!$C$11="","",YEAR(DATE(BF$3,12,31))-YEAR(入力データ!$C$11)-IF(DATE(BF$3,12,31)&lt;DATE(BF$3,MONTH(入力データ!$C$11),DAY(入力データ!$C$11)),1,0)))</f>
        <v/>
      </c>
      <c r="BG5" s="218">
        <f>IF(BG$3="","",IF(入力データ!$C$11="","",YEAR(DATE(BG$3,12,31))-YEAR(入力データ!$C$11)-IF(DATE(BG$3,12,31)&lt;DATE(BG$3,MONTH(入力データ!$C$11),DAY(入力データ!$C$11)),1,0)))</f>
        <v/>
      </c>
      <c r="BH5" s="218">
        <f>IF(BH$3="","",IF(入力データ!$C$11="","",YEAR(DATE(BH$3,12,31))-YEAR(入力データ!$C$11)-IF(DATE(BH$3,12,31)&lt;DATE(BH$3,MONTH(入力データ!$C$11),DAY(入力データ!$C$11)),1,0)))</f>
        <v/>
      </c>
      <c r="BI5" s="218">
        <f>IF(BI$3="","",IF(入力データ!$C$11="","",YEAR(DATE(BI$3,12,31))-YEAR(入力データ!$C$11)-IF(DATE(BI$3,12,31)&lt;DATE(BI$3,MONTH(入力データ!$C$11),DAY(入力データ!$C$11)),1,0)))</f>
        <v/>
      </c>
      <c r="BJ5" s="218">
        <f>IF(BJ$3="","",IF(入力データ!$C$11="","",YEAR(DATE(BJ$3,12,31))-YEAR(入力データ!$C$11)-IF(DATE(BJ$3,12,31)&lt;DATE(BJ$3,MONTH(入力データ!$C$11),DAY(入力データ!$C$11)),1,0)))</f>
        <v/>
      </c>
      <c r="BK5" s="218">
        <f>IF(BK$3="","",IF(入力データ!$C$11="","",YEAR(DATE(BK$3,12,31))-YEAR(入力データ!$C$11)-IF(DATE(BK$3,12,31)&lt;DATE(BK$3,MONTH(入力データ!$C$11),DAY(入力データ!$C$11)),1,0)))</f>
        <v/>
      </c>
      <c r="BL5" s="218">
        <f>IF(BL$3="","",IF(入力データ!$C$11="","",YEAR(DATE(BL$3,12,31))-YEAR(入力データ!$C$11)-IF(DATE(BL$3,12,31)&lt;DATE(BL$3,MONTH(入力データ!$C$11),DAY(入力データ!$C$11)),1,0)))</f>
        <v/>
      </c>
      <c r="BM5" s="218">
        <f>IF(BM$3="","",IF(入力データ!$C$11="","",YEAR(DATE(BM$3,12,31))-YEAR(入力データ!$C$11)-IF(DATE(BM$3,12,31)&lt;DATE(BM$3,MONTH(入力データ!$C$11),DAY(入力データ!$C$11)),1,0)))</f>
        <v/>
      </c>
      <c r="BN5" s="218">
        <f>IF(BN$3="","",IF(入力データ!$C$11="","",YEAR(DATE(BN$3,12,31))-YEAR(入力データ!$C$11)-IF(DATE(BN$3,12,31)&lt;DATE(BN$3,MONTH(入力データ!$C$11),DAY(入力データ!$C$11)),1,0)))</f>
        <v/>
      </c>
      <c r="BO5" s="218">
        <f>IF(BO$3="","",IF(入力データ!$C$11="","",YEAR(DATE(BO$3,12,31))-YEAR(入力データ!$C$11)-IF(DATE(BO$3,12,31)&lt;DATE(BO$3,MONTH(入力データ!$C$11),DAY(入力データ!$C$11)),1,0)))</f>
        <v/>
      </c>
      <c r="BP5" s="218">
        <f>IF(BP$3="","",IF(入力データ!$C$11="","",YEAR(DATE(BP$3,12,31))-YEAR(入力データ!$C$11)-IF(DATE(BP$3,12,31)&lt;DATE(BP$3,MONTH(入力データ!$C$11),DAY(入力データ!$C$11)),1,0)))</f>
        <v/>
      </c>
      <c r="BQ5" s="218">
        <f>IF(BQ$3="","",IF(入力データ!$C$11="","",YEAR(DATE(BQ$3,12,31))-YEAR(入力データ!$C$11)-IF(DATE(BQ$3,12,31)&lt;DATE(BQ$3,MONTH(入力データ!$C$11),DAY(入力データ!$C$11)),1,0)))</f>
        <v/>
      </c>
      <c r="BR5" s="218">
        <f>IF(BR$3="","",IF(入力データ!$C$11="","",YEAR(DATE(BR$3,12,31))-YEAR(入力データ!$C$11)-IF(DATE(BR$3,12,31)&lt;DATE(BR$3,MONTH(入力データ!$C$11),DAY(入力データ!$C$11)),1,0)))</f>
        <v/>
      </c>
      <c r="BS5" s="218">
        <f>IF(BS$3="","",IF(入力データ!$C$11="","",YEAR(DATE(BS$3,12,31))-YEAR(入力データ!$C$11)-IF(DATE(BS$3,12,31)&lt;DATE(BS$3,MONTH(入力データ!$C$11),DAY(入力データ!$C$11)),1,0)))</f>
        <v/>
      </c>
      <c r="BT5" s="218">
        <f>IF(BT$3="","",IF(入力データ!$C$11="","",YEAR(DATE(BT$3,12,31))-YEAR(入力データ!$C$11)-IF(DATE(BT$3,12,31)&lt;DATE(BT$3,MONTH(入力データ!$C$11),DAY(入力データ!$C$11)),1,0)))</f>
        <v/>
      </c>
      <c r="BU5" s="218">
        <f>IF(BU$3="","",IF(入力データ!$C$11="","",YEAR(DATE(BU$3,12,31))-YEAR(入力データ!$C$11)-IF(DATE(BU$3,12,31)&lt;DATE(BU$3,MONTH(入力データ!$C$11),DAY(入力データ!$C$11)),1,0)))</f>
        <v/>
      </c>
      <c r="BV5" s="218">
        <f>IF(BV$3="","",IF(入力データ!$C$11="","",YEAR(DATE(BV$3,12,31))-YEAR(入力データ!$C$11)-IF(DATE(BV$3,12,31)&lt;DATE(BV$3,MONTH(入力データ!$C$11),DAY(入力データ!$C$11)),1,0)))</f>
        <v/>
      </c>
      <c r="BW5" s="218">
        <f>IF(BW$3="","",IF(入力データ!$C$11="","",YEAR(DATE(BW$3,12,31))-YEAR(入力データ!$C$11)-IF(DATE(BW$3,12,31)&lt;DATE(BW$3,MONTH(入力データ!$C$11),DAY(入力データ!$C$11)),1,0)))</f>
        <v/>
      </c>
      <c r="BX5" s="218">
        <f>IF(BX$3="","",IF(入力データ!$C$11="","",YEAR(DATE(BX$3,12,31))-YEAR(入力データ!$C$11)-IF(DATE(BX$3,12,31)&lt;DATE(BX$3,MONTH(入力データ!$C$11),DAY(入力データ!$C$11)),1,0)))</f>
        <v/>
      </c>
      <c r="BY5" s="218">
        <f>IF(BY$3="","",IF(入力データ!$C$11="","",YEAR(DATE(BY$3,12,31))-YEAR(入力データ!$C$11)-IF(DATE(BY$3,12,31)&lt;DATE(BY$3,MONTH(入力データ!$C$11),DAY(入力データ!$C$11)),1,0)))</f>
        <v/>
      </c>
      <c r="BZ5" s="218">
        <f>IF(BZ$3="","",IF(入力データ!$C$11="","",YEAR(DATE(BZ$3,12,31))-YEAR(入力データ!$C$11)-IF(DATE(BZ$3,12,31)&lt;DATE(BZ$3,MONTH(入力データ!$C$11),DAY(入力データ!$C$11)),1,0)))</f>
        <v/>
      </c>
      <c r="CA5" s="218">
        <f>IF(CA$3="","",IF(入力データ!$C$11="","",YEAR(DATE(CA$3,12,31))-YEAR(入力データ!$C$11)-IF(DATE(CA$3,12,31)&lt;DATE(CA$3,MONTH(入力データ!$C$11),DAY(入力データ!$C$11)),1,0)))</f>
        <v/>
      </c>
      <c r="CB5" s="218">
        <f>IF(CB$3="","",IF(入力データ!$C$11="","",YEAR(DATE(CB$3,12,31))-YEAR(入力データ!$C$11)-IF(DATE(CB$3,12,31)&lt;DATE(CB$3,MONTH(入力データ!$C$11),DAY(入力データ!$C$11)),1,0)))</f>
        <v/>
      </c>
      <c r="CC5" s="218">
        <f>IF(CC$3="","",IF(入力データ!$C$11="","",YEAR(DATE(CC$3,12,31))-YEAR(入力データ!$C$11)-IF(DATE(CC$3,12,31)&lt;DATE(CC$3,MONTH(入力データ!$C$11),DAY(入力データ!$C$11)),1,0)))</f>
        <v/>
      </c>
      <c r="CD5" s="218">
        <f>IF(CD$3="","",IF(入力データ!$C$11="","",YEAR(DATE(CD$3,12,31))-YEAR(入力データ!$C$11)-IF(DATE(CD$3,12,31)&lt;DATE(CD$3,MONTH(入力データ!$C$11),DAY(入力データ!$C$11)),1,0)))</f>
        <v/>
      </c>
      <c r="CE5" s="218">
        <f>IF(CE$3="","",IF(入力データ!$C$11="","",YEAR(DATE(CE$3,12,31))-YEAR(入力データ!$C$11)-IF(DATE(CE$3,12,31)&lt;DATE(CE$3,MONTH(入力データ!$C$11),DAY(入力データ!$C$11)),1,0)))</f>
        <v/>
      </c>
      <c r="CF5" s="218">
        <f>IF(CF$3="","",IF(入力データ!$C$11="","",YEAR(DATE(CF$3,12,31))-YEAR(入力データ!$C$11)-IF(DATE(CF$3,12,31)&lt;DATE(CF$3,MONTH(入力データ!$C$11),DAY(入力データ!$C$11)),1,0)))</f>
        <v/>
      </c>
      <c r="CG5" s="218">
        <f>IF(CG$3="","",IF(入力データ!$C$11="","",YEAR(DATE(CG$3,12,31))-YEAR(入力データ!$C$11)-IF(DATE(CG$3,12,31)&lt;DATE(CG$3,MONTH(入力データ!$C$11),DAY(入力データ!$C$11)),1,0)))</f>
        <v/>
      </c>
      <c r="CH5" s="218">
        <f>IF(CH$3="","",IF(入力データ!$C$11="","",YEAR(DATE(CH$3,12,31))-YEAR(入力データ!$C$11)-IF(DATE(CH$3,12,31)&lt;DATE(CH$3,MONTH(入力データ!$C$11),DAY(入力データ!$C$11)),1,0)))</f>
        <v/>
      </c>
      <c r="CI5" s="218">
        <f>IF(CI$3="","",IF(入力データ!$C$11="","",YEAR(DATE(CI$3,12,31))-YEAR(入力データ!$C$11)-IF(DATE(CI$3,12,31)&lt;DATE(CI$3,MONTH(入力データ!$C$11),DAY(入力データ!$C$11)),1,0)))</f>
        <v/>
      </c>
      <c r="CJ5" s="218">
        <f>IF(CJ$3="","",IF(入力データ!$C$11="","",YEAR(DATE(CJ$3,12,31))-YEAR(入力データ!$C$11)-IF(DATE(CJ$3,12,31)&lt;DATE(CJ$3,MONTH(入力データ!$C$11),DAY(入力データ!$C$11)),1,0)))</f>
        <v/>
      </c>
      <c r="CK5" s="218">
        <f>IF(CK$3="","",IF(入力データ!$C$11="","",YEAR(DATE(CK$3,12,31))-YEAR(入力データ!$C$11)-IF(DATE(CK$3,12,31)&lt;DATE(CK$3,MONTH(入力データ!$C$11),DAY(入力データ!$C$11)),1,0)))</f>
        <v/>
      </c>
      <c r="CL5" s="218">
        <f>IF(CL$3="","",IF(入力データ!$C$11="","",YEAR(DATE(CL$3,12,31))-YEAR(入力データ!$C$11)-IF(DATE(CL$3,12,31)&lt;DATE(CL$3,MONTH(入力データ!$C$11),DAY(入力データ!$C$11)),1,0)))</f>
        <v/>
      </c>
      <c r="CM5" s="218">
        <f>IF(CM$3="","",IF(入力データ!$C$11="","",YEAR(DATE(CM$3,12,31))-YEAR(入力データ!$C$11)-IF(DATE(CM$3,12,31)&lt;DATE(CM$3,MONTH(入力データ!$C$11),DAY(入力データ!$C$11)),1,0)))</f>
        <v/>
      </c>
      <c r="CN5" s="218">
        <f>IF(CN$3="","",IF(入力データ!$C$11="","",YEAR(DATE(CN$3,12,31))-YEAR(入力データ!$C$11)-IF(DATE(CN$3,12,31)&lt;DATE(CN$3,MONTH(入力データ!$C$11),DAY(入力データ!$C$11)),1,0)))</f>
        <v/>
      </c>
      <c r="CO5" s="218">
        <f>IF(CO$3="","",IF(入力データ!$C$11="","",YEAR(DATE(CO$3,12,31))-YEAR(入力データ!$C$11)-IF(DATE(CO$3,12,31)&lt;DATE(CO$3,MONTH(入力データ!$C$11),DAY(入力データ!$C$11)),1,0)))</f>
        <v/>
      </c>
      <c r="CP5" s="218">
        <f>IF(CP$3="","",IF(入力データ!$C$11="","",YEAR(DATE(CP$3,12,31))-YEAR(入力データ!$C$11)-IF(DATE(CP$3,12,31)&lt;DATE(CP$3,MONTH(入力データ!$C$11),DAY(入力データ!$C$11)),1,0)))</f>
        <v/>
      </c>
      <c r="CQ5" s="218">
        <f>IF(CQ$3="","",IF(入力データ!$C$11="","",YEAR(DATE(CQ$3,12,31))-YEAR(入力データ!$C$11)-IF(DATE(CQ$3,12,31)&lt;DATE(CQ$3,MONTH(入力データ!$C$11),DAY(入力データ!$C$11)),1,0)))</f>
        <v/>
      </c>
      <c r="CR5" s="218">
        <f>IF(CR$3="","",IF(入力データ!$C$11="","",YEAR(DATE(CR$3,12,31))-YEAR(入力データ!$C$11)-IF(DATE(CR$3,12,31)&lt;DATE(CR$3,MONTH(入力データ!$C$11),DAY(入力データ!$C$11)),1,0)))</f>
        <v/>
      </c>
      <c r="CS5" s="218">
        <f>IF(CS$3="","",IF(入力データ!$C$11="","",YEAR(DATE(CS$3,12,31))-YEAR(入力データ!$C$11)-IF(DATE(CS$3,12,31)&lt;DATE(CS$3,MONTH(入力データ!$C$11),DAY(入力データ!$C$11)),1,0)))</f>
        <v/>
      </c>
      <c r="CT5" s="218">
        <f>IF(CT$3="","",IF(入力データ!$C$11="","",YEAR(DATE(CT$3,12,31))-YEAR(入力データ!$C$11)-IF(DATE(CT$3,12,31)&lt;DATE(CT$3,MONTH(入力データ!$C$11),DAY(入力データ!$C$11)),1,0)))</f>
        <v/>
      </c>
      <c r="CU5" s="218">
        <f>IF(CU$3="","",IF(入力データ!$C$11="","",YEAR(DATE(CU$3,12,31))-YEAR(入力データ!$C$11)-IF(DATE(CU$3,12,31)&lt;DATE(CU$3,MONTH(入力データ!$C$11),DAY(入力データ!$C$11)),1,0)))</f>
        <v/>
      </c>
      <c r="CV5" s="218">
        <f>IF(CV$3="","",IF(入力データ!$C$11="","",YEAR(DATE(CV$3,12,31))-YEAR(入力データ!$C$11)-IF(DATE(CV$3,12,31)&lt;DATE(CV$3,MONTH(入力データ!$C$11),DAY(入力データ!$C$11)),1,0)))</f>
        <v/>
      </c>
      <c r="CW5" s="218">
        <f>IF(CW$3="","",IF(入力データ!$C$11="","",YEAR(DATE(CW$3,12,31))-YEAR(入力データ!$C$11)-IF(DATE(CW$3,12,31)&lt;DATE(CW$3,MONTH(入力データ!$C$11),DAY(入力データ!$C$11)),1,0)))</f>
        <v/>
      </c>
    </row>
    <row r="6" ht="16.5" customHeight="1" s="180">
      <c r="A6" s="217" t="inlineStr">
        <is>
          <t>子1年齢</t>
        </is>
      </c>
      <c r="B6" s="218">
        <f>IF(B$3="","",IF(入力データ!$C$19="","",YEAR(DATE(B$3,12,31))-YEAR(入力データ!$C$19)-IF(DATE(B$3,12,31)&lt;DATE(B$3,MONTH(入力データ!$C$19),DAY(入力データ!$C$19)),1,0)))</f>
        <v/>
      </c>
      <c r="C6" s="218">
        <f>IF(C$3="","",IF(入力データ!$C$19="","",YEAR(DATE(C$3,12,31))-YEAR(入力データ!$C$19)-IF(DATE(C$3,12,31)&lt;DATE(C$3,MONTH(入力データ!$C$19),DAY(入力データ!$C$19)),1,0)))</f>
        <v/>
      </c>
      <c r="D6" s="218">
        <f>IF(D$3="","",IF(入力データ!$C$19="","",YEAR(DATE(D$3,12,31))-YEAR(入力データ!$C$19)-IF(DATE(D$3,12,31)&lt;DATE(D$3,MONTH(入力データ!$C$19),DAY(入力データ!$C$19)),1,0)))</f>
        <v/>
      </c>
      <c r="E6" s="218">
        <f>IF(E$3="","",IF(入力データ!$C$19="","",YEAR(DATE(E$3,12,31))-YEAR(入力データ!$C$19)-IF(DATE(E$3,12,31)&lt;DATE(E$3,MONTH(入力データ!$C$19),DAY(入力データ!$C$19)),1,0)))</f>
        <v/>
      </c>
      <c r="F6" s="218">
        <f>IF(F$3="","",IF(入力データ!$C$19="","",YEAR(DATE(F$3,12,31))-YEAR(入力データ!$C$19)-IF(DATE(F$3,12,31)&lt;DATE(F$3,MONTH(入力データ!$C$19),DAY(入力データ!$C$19)),1,0)))</f>
        <v/>
      </c>
      <c r="G6" s="218">
        <f>IF(G$3="","",IF(入力データ!$C$19="","",YEAR(DATE(G$3,12,31))-YEAR(入力データ!$C$19)-IF(DATE(G$3,12,31)&lt;DATE(G$3,MONTH(入力データ!$C$19),DAY(入力データ!$C$19)),1,0)))</f>
        <v/>
      </c>
      <c r="H6" s="218">
        <f>IF(H$3="","",IF(入力データ!$C$19="","",YEAR(DATE(H$3,12,31))-YEAR(入力データ!$C$19)-IF(DATE(H$3,12,31)&lt;DATE(H$3,MONTH(入力データ!$C$19),DAY(入力データ!$C$19)),1,0)))</f>
        <v/>
      </c>
      <c r="I6" s="218">
        <f>IF(I$3="","",IF(入力データ!$C$19="","",YEAR(DATE(I$3,12,31))-YEAR(入力データ!$C$19)-IF(DATE(I$3,12,31)&lt;DATE(I$3,MONTH(入力データ!$C$19),DAY(入力データ!$C$19)),1,0)))</f>
        <v/>
      </c>
      <c r="J6" s="218">
        <f>IF(J$3="","",IF(入力データ!$C$19="","",YEAR(DATE(J$3,12,31))-YEAR(入力データ!$C$19)-IF(DATE(J$3,12,31)&lt;DATE(J$3,MONTH(入力データ!$C$19),DAY(入力データ!$C$19)),1,0)))</f>
        <v/>
      </c>
      <c r="K6" s="218">
        <f>IF(K$3="","",IF(入力データ!$C$19="","",YEAR(DATE(K$3,12,31))-YEAR(入力データ!$C$19)-IF(DATE(K$3,12,31)&lt;DATE(K$3,MONTH(入力データ!$C$19),DAY(入力データ!$C$19)),1,0)))</f>
        <v/>
      </c>
      <c r="L6" s="218">
        <f>IF(L$3="","",IF(入力データ!$C$19="","",YEAR(DATE(L$3,12,31))-YEAR(入力データ!$C$19)-IF(DATE(L$3,12,31)&lt;DATE(L$3,MONTH(入力データ!$C$19),DAY(入力データ!$C$19)),1,0)))</f>
        <v/>
      </c>
      <c r="M6" s="218">
        <f>IF(M$3="","",IF(入力データ!$C$19="","",YEAR(DATE(M$3,12,31))-YEAR(入力データ!$C$19)-IF(DATE(M$3,12,31)&lt;DATE(M$3,MONTH(入力データ!$C$19),DAY(入力データ!$C$19)),1,0)))</f>
        <v/>
      </c>
      <c r="N6" s="218">
        <f>IF(N$3="","",IF(入力データ!$C$19="","",YEAR(DATE(N$3,12,31))-YEAR(入力データ!$C$19)-IF(DATE(N$3,12,31)&lt;DATE(N$3,MONTH(入力データ!$C$19),DAY(入力データ!$C$19)),1,0)))</f>
        <v/>
      </c>
      <c r="O6" s="218">
        <f>IF(O$3="","",IF(入力データ!$C$19="","",YEAR(DATE(O$3,12,31))-YEAR(入力データ!$C$19)-IF(DATE(O$3,12,31)&lt;DATE(O$3,MONTH(入力データ!$C$19),DAY(入力データ!$C$19)),1,0)))</f>
        <v/>
      </c>
      <c r="P6" s="218">
        <f>IF(P$3="","",IF(入力データ!$C$19="","",YEAR(DATE(P$3,12,31))-YEAR(入力データ!$C$19)-IF(DATE(P$3,12,31)&lt;DATE(P$3,MONTH(入力データ!$C$19),DAY(入力データ!$C$19)),1,0)))</f>
        <v/>
      </c>
      <c r="Q6" s="218">
        <f>IF(Q$3="","",IF(入力データ!$C$19="","",YEAR(DATE(Q$3,12,31))-YEAR(入力データ!$C$19)-IF(DATE(Q$3,12,31)&lt;DATE(Q$3,MONTH(入力データ!$C$19),DAY(入力データ!$C$19)),1,0)))</f>
        <v/>
      </c>
      <c r="R6" s="218">
        <f>IF(R$3="","",IF(入力データ!$C$19="","",YEAR(DATE(R$3,12,31))-YEAR(入力データ!$C$19)-IF(DATE(R$3,12,31)&lt;DATE(R$3,MONTH(入力データ!$C$19),DAY(入力データ!$C$19)),1,0)))</f>
        <v/>
      </c>
      <c r="S6" s="218">
        <f>IF(S$3="","",IF(入力データ!$C$19="","",YEAR(DATE(S$3,12,31))-YEAR(入力データ!$C$19)-IF(DATE(S$3,12,31)&lt;DATE(S$3,MONTH(入力データ!$C$19),DAY(入力データ!$C$19)),1,0)))</f>
        <v/>
      </c>
      <c r="T6" s="218">
        <f>IF(T$3="","",IF(入力データ!$C$19="","",YEAR(DATE(T$3,12,31))-YEAR(入力データ!$C$19)-IF(DATE(T$3,12,31)&lt;DATE(T$3,MONTH(入力データ!$C$19),DAY(入力データ!$C$19)),1,0)))</f>
        <v/>
      </c>
      <c r="U6" s="218">
        <f>IF(U$3="","",IF(入力データ!$C$19="","",YEAR(DATE(U$3,12,31))-YEAR(入力データ!$C$19)-IF(DATE(U$3,12,31)&lt;DATE(U$3,MONTH(入力データ!$C$19),DAY(入力データ!$C$19)),1,0)))</f>
        <v/>
      </c>
      <c r="V6" s="218">
        <f>IF(V$3="","",IF(入力データ!$C$19="","",YEAR(DATE(V$3,12,31))-YEAR(入力データ!$C$19)-IF(DATE(V$3,12,31)&lt;DATE(V$3,MONTH(入力データ!$C$19),DAY(入力データ!$C$19)),1,0)))</f>
        <v/>
      </c>
      <c r="W6" s="218">
        <f>IF(W$3="","",IF(入力データ!$C$19="","",YEAR(DATE(W$3,12,31))-YEAR(入力データ!$C$19)-IF(DATE(W$3,12,31)&lt;DATE(W$3,MONTH(入力データ!$C$19),DAY(入力データ!$C$19)),1,0)))</f>
        <v/>
      </c>
      <c r="X6" s="218">
        <f>IF(X$3="","",IF(入力データ!$C$19="","",YEAR(DATE(X$3,12,31))-YEAR(入力データ!$C$19)-IF(DATE(X$3,12,31)&lt;DATE(X$3,MONTH(入力データ!$C$19),DAY(入力データ!$C$19)),1,0)))</f>
        <v/>
      </c>
      <c r="Y6" s="218">
        <f>IF(Y$3="","",IF(入力データ!$C$19="","",YEAR(DATE(Y$3,12,31))-YEAR(入力データ!$C$19)-IF(DATE(Y$3,12,31)&lt;DATE(Y$3,MONTH(入力データ!$C$19),DAY(入力データ!$C$19)),1,0)))</f>
        <v/>
      </c>
      <c r="Z6" s="218">
        <f>IF(Z$3="","",IF(入力データ!$C$19="","",YEAR(DATE(Z$3,12,31))-YEAR(入力データ!$C$19)-IF(DATE(Z$3,12,31)&lt;DATE(Z$3,MONTH(入力データ!$C$19),DAY(入力データ!$C$19)),1,0)))</f>
        <v/>
      </c>
      <c r="AA6" s="218">
        <f>IF(AA$3="","",IF(入力データ!$C$19="","",YEAR(DATE(AA$3,12,31))-YEAR(入力データ!$C$19)-IF(DATE(AA$3,12,31)&lt;DATE(AA$3,MONTH(入力データ!$C$19),DAY(入力データ!$C$19)),1,0)))</f>
        <v/>
      </c>
      <c r="AB6" s="218">
        <f>IF(AB$3="","",IF(入力データ!$C$19="","",YEAR(DATE(AB$3,12,31))-YEAR(入力データ!$C$19)-IF(DATE(AB$3,12,31)&lt;DATE(AB$3,MONTH(入力データ!$C$19),DAY(入力データ!$C$19)),1,0)))</f>
        <v/>
      </c>
      <c r="AC6" s="218">
        <f>IF(AC$3="","",IF(入力データ!$C$19="","",YEAR(DATE(AC$3,12,31))-YEAR(入力データ!$C$19)-IF(DATE(AC$3,12,31)&lt;DATE(AC$3,MONTH(入力データ!$C$19),DAY(入力データ!$C$19)),1,0)))</f>
        <v/>
      </c>
      <c r="AD6" s="218">
        <f>IF(AD$3="","",IF(入力データ!$C$19="","",YEAR(DATE(AD$3,12,31))-YEAR(入力データ!$C$19)-IF(DATE(AD$3,12,31)&lt;DATE(AD$3,MONTH(入力データ!$C$19),DAY(入力データ!$C$19)),1,0)))</f>
        <v/>
      </c>
      <c r="AE6" s="218">
        <f>IF(AE$3="","",IF(入力データ!$C$19="","",YEAR(DATE(AE$3,12,31))-YEAR(入力データ!$C$19)-IF(DATE(AE$3,12,31)&lt;DATE(AE$3,MONTH(入力データ!$C$19),DAY(入力データ!$C$19)),1,0)))</f>
        <v/>
      </c>
      <c r="AF6" s="218">
        <f>IF(AF$3="","",IF(入力データ!$C$19="","",YEAR(DATE(AF$3,12,31))-YEAR(入力データ!$C$19)-IF(DATE(AF$3,12,31)&lt;DATE(AF$3,MONTH(入力データ!$C$19),DAY(入力データ!$C$19)),1,0)))</f>
        <v/>
      </c>
      <c r="AG6" s="218">
        <f>IF(AG$3="","",IF(入力データ!$C$19="","",YEAR(DATE(AG$3,12,31))-YEAR(入力データ!$C$19)-IF(DATE(AG$3,12,31)&lt;DATE(AG$3,MONTH(入力データ!$C$19),DAY(入力データ!$C$19)),1,0)))</f>
        <v/>
      </c>
      <c r="AH6" s="218">
        <f>IF(AH$3="","",IF(入力データ!$C$19="","",YEAR(DATE(AH$3,12,31))-YEAR(入力データ!$C$19)-IF(DATE(AH$3,12,31)&lt;DATE(AH$3,MONTH(入力データ!$C$19),DAY(入力データ!$C$19)),1,0)))</f>
        <v/>
      </c>
      <c r="AI6" s="218">
        <f>IF(AI$3="","",IF(入力データ!$C$19="","",YEAR(DATE(AI$3,12,31))-YEAR(入力データ!$C$19)-IF(DATE(AI$3,12,31)&lt;DATE(AI$3,MONTH(入力データ!$C$19),DAY(入力データ!$C$19)),1,0)))</f>
        <v/>
      </c>
      <c r="AJ6" s="218">
        <f>IF(AJ$3="","",IF(入力データ!$C$19="","",YEAR(DATE(AJ$3,12,31))-YEAR(入力データ!$C$19)-IF(DATE(AJ$3,12,31)&lt;DATE(AJ$3,MONTH(入力データ!$C$19),DAY(入力データ!$C$19)),1,0)))</f>
        <v/>
      </c>
      <c r="AK6" s="218">
        <f>IF(AK$3="","",IF(入力データ!$C$19="","",YEAR(DATE(AK$3,12,31))-YEAR(入力データ!$C$19)-IF(DATE(AK$3,12,31)&lt;DATE(AK$3,MONTH(入力データ!$C$19),DAY(入力データ!$C$19)),1,0)))</f>
        <v/>
      </c>
      <c r="AL6" s="218">
        <f>IF(AL$3="","",IF(入力データ!$C$19="","",YEAR(DATE(AL$3,12,31))-YEAR(入力データ!$C$19)-IF(DATE(AL$3,12,31)&lt;DATE(AL$3,MONTH(入力データ!$C$19),DAY(入力データ!$C$19)),1,0)))</f>
        <v/>
      </c>
      <c r="AM6" s="218">
        <f>IF(AM$3="","",IF(入力データ!$C$19="","",YEAR(DATE(AM$3,12,31))-YEAR(入力データ!$C$19)-IF(DATE(AM$3,12,31)&lt;DATE(AM$3,MONTH(入力データ!$C$19),DAY(入力データ!$C$19)),1,0)))</f>
        <v/>
      </c>
      <c r="AN6" s="218">
        <f>IF(AN$3="","",IF(入力データ!$C$19="","",YEAR(DATE(AN$3,12,31))-YEAR(入力データ!$C$19)-IF(DATE(AN$3,12,31)&lt;DATE(AN$3,MONTH(入力データ!$C$19),DAY(入力データ!$C$19)),1,0)))</f>
        <v/>
      </c>
      <c r="AO6" s="218">
        <f>IF(AO$3="","",IF(入力データ!$C$19="","",YEAR(DATE(AO$3,12,31))-YEAR(入力データ!$C$19)-IF(DATE(AO$3,12,31)&lt;DATE(AO$3,MONTH(入力データ!$C$19),DAY(入力データ!$C$19)),1,0)))</f>
        <v/>
      </c>
      <c r="AP6" s="218">
        <f>IF(AP$3="","",IF(入力データ!$C$19="","",YEAR(DATE(AP$3,12,31))-YEAR(入力データ!$C$19)-IF(DATE(AP$3,12,31)&lt;DATE(AP$3,MONTH(入力データ!$C$19),DAY(入力データ!$C$19)),1,0)))</f>
        <v/>
      </c>
      <c r="AQ6" s="218">
        <f>IF(AQ$3="","",IF(入力データ!$C$19="","",YEAR(DATE(AQ$3,12,31))-YEAR(入力データ!$C$19)-IF(DATE(AQ$3,12,31)&lt;DATE(AQ$3,MONTH(入力データ!$C$19),DAY(入力データ!$C$19)),1,0)))</f>
        <v/>
      </c>
      <c r="AR6" s="218">
        <f>IF(AR$3="","",IF(入力データ!$C$19="","",YEAR(DATE(AR$3,12,31))-YEAR(入力データ!$C$19)-IF(DATE(AR$3,12,31)&lt;DATE(AR$3,MONTH(入力データ!$C$19),DAY(入力データ!$C$19)),1,0)))</f>
        <v/>
      </c>
      <c r="AS6" s="218">
        <f>IF(AS$3="","",IF(入力データ!$C$19="","",YEAR(DATE(AS$3,12,31))-YEAR(入力データ!$C$19)-IF(DATE(AS$3,12,31)&lt;DATE(AS$3,MONTH(入力データ!$C$19),DAY(入力データ!$C$19)),1,0)))</f>
        <v/>
      </c>
      <c r="AT6" s="218">
        <f>IF(AT$3="","",IF(入力データ!$C$19="","",YEAR(DATE(AT$3,12,31))-YEAR(入力データ!$C$19)-IF(DATE(AT$3,12,31)&lt;DATE(AT$3,MONTH(入力データ!$C$19),DAY(入力データ!$C$19)),1,0)))</f>
        <v/>
      </c>
      <c r="AU6" s="218">
        <f>IF(AU$3="","",IF(入力データ!$C$19="","",YEAR(DATE(AU$3,12,31))-YEAR(入力データ!$C$19)-IF(DATE(AU$3,12,31)&lt;DATE(AU$3,MONTH(入力データ!$C$19),DAY(入力データ!$C$19)),1,0)))</f>
        <v/>
      </c>
      <c r="AV6" s="218">
        <f>IF(AV$3="","",IF(入力データ!$C$19="","",YEAR(DATE(AV$3,12,31))-YEAR(入力データ!$C$19)-IF(DATE(AV$3,12,31)&lt;DATE(AV$3,MONTH(入力データ!$C$19),DAY(入力データ!$C$19)),1,0)))</f>
        <v/>
      </c>
      <c r="AW6" s="218">
        <f>IF(AW$3="","",IF(入力データ!$C$19="","",YEAR(DATE(AW$3,12,31))-YEAR(入力データ!$C$19)-IF(DATE(AW$3,12,31)&lt;DATE(AW$3,MONTH(入力データ!$C$19),DAY(入力データ!$C$19)),1,0)))</f>
        <v/>
      </c>
      <c r="AX6" s="218">
        <f>IF(AX$3="","",IF(入力データ!$C$19="","",YEAR(DATE(AX$3,12,31))-YEAR(入力データ!$C$19)-IF(DATE(AX$3,12,31)&lt;DATE(AX$3,MONTH(入力データ!$C$19),DAY(入力データ!$C$19)),1,0)))</f>
        <v/>
      </c>
      <c r="AY6" s="218">
        <f>IF(AY$3="","",IF(入力データ!$C$19="","",YEAR(DATE(AY$3,12,31))-YEAR(入力データ!$C$19)-IF(DATE(AY$3,12,31)&lt;DATE(AY$3,MONTH(入力データ!$C$19),DAY(入力データ!$C$19)),1,0)))</f>
        <v/>
      </c>
      <c r="AZ6" s="218">
        <f>IF(AZ$3="","",IF(入力データ!$C$19="","",YEAR(DATE(AZ$3,12,31))-YEAR(入力データ!$C$19)-IF(DATE(AZ$3,12,31)&lt;DATE(AZ$3,MONTH(入力データ!$C$19),DAY(入力データ!$C$19)),1,0)))</f>
        <v/>
      </c>
      <c r="BA6" s="218">
        <f>IF(BA$3="","",IF(入力データ!$C$19="","",YEAR(DATE(BA$3,12,31))-YEAR(入力データ!$C$19)-IF(DATE(BA$3,12,31)&lt;DATE(BA$3,MONTH(入力データ!$C$19),DAY(入力データ!$C$19)),1,0)))</f>
        <v/>
      </c>
      <c r="BB6" s="218">
        <f>IF(BB$3="","",IF(入力データ!$C$19="","",YEAR(DATE(BB$3,12,31))-YEAR(入力データ!$C$19)-IF(DATE(BB$3,12,31)&lt;DATE(BB$3,MONTH(入力データ!$C$19),DAY(入力データ!$C$19)),1,0)))</f>
        <v/>
      </c>
      <c r="BC6" s="218">
        <f>IF(BC$3="","",IF(入力データ!$C$19="","",YEAR(DATE(BC$3,12,31))-YEAR(入力データ!$C$19)-IF(DATE(BC$3,12,31)&lt;DATE(BC$3,MONTH(入力データ!$C$19),DAY(入力データ!$C$19)),1,0)))</f>
        <v/>
      </c>
      <c r="BD6" s="218">
        <f>IF(BD$3="","",IF(入力データ!$C$19="","",YEAR(DATE(BD$3,12,31))-YEAR(入力データ!$C$19)-IF(DATE(BD$3,12,31)&lt;DATE(BD$3,MONTH(入力データ!$C$19),DAY(入力データ!$C$19)),1,0)))</f>
        <v/>
      </c>
      <c r="BE6" s="218">
        <f>IF(BE$3="","",IF(入力データ!$C$19="","",YEAR(DATE(BE$3,12,31))-YEAR(入力データ!$C$19)-IF(DATE(BE$3,12,31)&lt;DATE(BE$3,MONTH(入力データ!$C$19),DAY(入力データ!$C$19)),1,0)))</f>
        <v/>
      </c>
      <c r="BF6" s="218">
        <f>IF(BF$3="","",IF(入力データ!$C$19="","",YEAR(DATE(BF$3,12,31))-YEAR(入力データ!$C$19)-IF(DATE(BF$3,12,31)&lt;DATE(BF$3,MONTH(入力データ!$C$19),DAY(入力データ!$C$19)),1,0)))</f>
        <v/>
      </c>
      <c r="BG6" s="218">
        <f>IF(BG$3="","",IF(入力データ!$C$19="","",YEAR(DATE(BG$3,12,31))-YEAR(入力データ!$C$19)-IF(DATE(BG$3,12,31)&lt;DATE(BG$3,MONTH(入力データ!$C$19),DAY(入力データ!$C$19)),1,0)))</f>
        <v/>
      </c>
      <c r="BH6" s="218">
        <f>IF(BH$3="","",IF(入力データ!$C$19="","",YEAR(DATE(BH$3,12,31))-YEAR(入力データ!$C$19)-IF(DATE(BH$3,12,31)&lt;DATE(BH$3,MONTH(入力データ!$C$19),DAY(入力データ!$C$19)),1,0)))</f>
        <v/>
      </c>
      <c r="BI6" s="218">
        <f>IF(BI$3="","",IF(入力データ!$C$19="","",YEAR(DATE(BI$3,12,31))-YEAR(入力データ!$C$19)-IF(DATE(BI$3,12,31)&lt;DATE(BI$3,MONTH(入力データ!$C$19),DAY(入力データ!$C$19)),1,0)))</f>
        <v/>
      </c>
      <c r="BJ6" s="218">
        <f>IF(BJ$3="","",IF(入力データ!$C$19="","",YEAR(DATE(BJ$3,12,31))-YEAR(入力データ!$C$19)-IF(DATE(BJ$3,12,31)&lt;DATE(BJ$3,MONTH(入力データ!$C$19),DAY(入力データ!$C$19)),1,0)))</f>
        <v/>
      </c>
      <c r="BK6" s="218">
        <f>IF(BK$3="","",IF(入力データ!$C$19="","",YEAR(DATE(BK$3,12,31))-YEAR(入力データ!$C$19)-IF(DATE(BK$3,12,31)&lt;DATE(BK$3,MONTH(入力データ!$C$19),DAY(入力データ!$C$19)),1,0)))</f>
        <v/>
      </c>
      <c r="BL6" s="218">
        <f>IF(BL$3="","",IF(入力データ!$C$19="","",YEAR(DATE(BL$3,12,31))-YEAR(入力データ!$C$19)-IF(DATE(BL$3,12,31)&lt;DATE(BL$3,MONTH(入力データ!$C$19),DAY(入力データ!$C$19)),1,0)))</f>
        <v/>
      </c>
      <c r="BM6" s="218">
        <f>IF(BM$3="","",IF(入力データ!$C$19="","",YEAR(DATE(BM$3,12,31))-YEAR(入力データ!$C$19)-IF(DATE(BM$3,12,31)&lt;DATE(BM$3,MONTH(入力データ!$C$19),DAY(入力データ!$C$19)),1,0)))</f>
        <v/>
      </c>
      <c r="BN6" s="218">
        <f>IF(BN$3="","",IF(入力データ!$C$19="","",YEAR(DATE(BN$3,12,31))-YEAR(入力データ!$C$19)-IF(DATE(BN$3,12,31)&lt;DATE(BN$3,MONTH(入力データ!$C$19),DAY(入力データ!$C$19)),1,0)))</f>
        <v/>
      </c>
      <c r="BO6" s="218">
        <f>IF(BO$3="","",IF(入力データ!$C$19="","",YEAR(DATE(BO$3,12,31))-YEAR(入力データ!$C$19)-IF(DATE(BO$3,12,31)&lt;DATE(BO$3,MONTH(入力データ!$C$19),DAY(入力データ!$C$19)),1,0)))</f>
        <v/>
      </c>
      <c r="BP6" s="218">
        <f>IF(BP$3="","",IF(入力データ!$C$19="","",YEAR(DATE(BP$3,12,31))-YEAR(入力データ!$C$19)-IF(DATE(BP$3,12,31)&lt;DATE(BP$3,MONTH(入力データ!$C$19),DAY(入力データ!$C$19)),1,0)))</f>
        <v/>
      </c>
      <c r="BQ6" s="218">
        <f>IF(BQ$3="","",IF(入力データ!$C$19="","",YEAR(DATE(BQ$3,12,31))-YEAR(入力データ!$C$19)-IF(DATE(BQ$3,12,31)&lt;DATE(BQ$3,MONTH(入力データ!$C$19),DAY(入力データ!$C$19)),1,0)))</f>
        <v/>
      </c>
      <c r="BR6" s="218">
        <f>IF(BR$3="","",IF(入力データ!$C$19="","",YEAR(DATE(BR$3,12,31))-YEAR(入力データ!$C$19)-IF(DATE(BR$3,12,31)&lt;DATE(BR$3,MONTH(入力データ!$C$19),DAY(入力データ!$C$19)),1,0)))</f>
        <v/>
      </c>
      <c r="BS6" s="218">
        <f>IF(BS$3="","",IF(入力データ!$C$19="","",YEAR(DATE(BS$3,12,31))-YEAR(入力データ!$C$19)-IF(DATE(BS$3,12,31)&lt;DATE(BS$3,MONTH(入力データ!$C$19),DAY(入力データ!$C$19)),1,0)))</f>
        <v/>
      </c>
      <c r="BT6" s="218">
        <f>IF(BT$3="","",IF(入力データ!$C$19="","",YEAR(DATE(BT$3,12,31))-YEAR(入力データ!$C$19)-IF(DATE(BT$3,12,31)&lt;DATE(BT$3,MONTH(入力データ!$C$19),DAY(入力データ!$C$19)),1,0)))</f>
        <v/>
      </c>
      <c r="BU6" s="218">
        <f>IF(BU$3="","",IF(入力データ!$C$19="","",YEAR(DATE(BU$3,12,31))-YEAR(入力データ!$C$19)-IF(DATE(BU$3,12,31)&lt;DATE(BU$3,MONTH(入力データ!$C$19),DAY(入力データ!$C$19)),1,0)))</f>
        <v/>
      </c>
      <c r="BV6" s="218">
        <f>IF(BV$3="","",IF(入力データ!$C$19="","",YEAR(DATE(BV$3,12,31))-YEAR(入力データ!$C$19)-IF(DATE(BV$3,12,31)&lt;DATE(BV$3,MONTH(入力データ!$C$19),DAY(入力データ!$C$19)),1,0)))</f>
        <v/>
      </c>
      <c r="BW6" s="218">
        <f>IF(BW$3="","",IF(入力データ!$C$19="","",YEAR(DATE(BW$3,12,31))-YEAR(入力データ!$C$19)-IF(DATE(BW$3,12,31)&lt;DATE(BW$3,MONTH(入力データ!$C$19),DAY(入力データ!$C$19)),1,0)))</f>
        <v/>
      </c>
      <c r="BX6" s="218">
        <f>IF(BX$3="","",IF(入力データ!$C$19="","",YEAR(DATE(BX$3,12,31))-YEAR(入力データ!$C$19)-IF(DATE(BX$3,12,31)&lt;DATE(BX$3,MONTH(入力データ!$C$19),DAY(入力データ!$C$19)),1,0)))</f>
        <v/>
      </c>
      <c r="BY6" s="218">
        <f>IF(BY$3="","",IF(入力データ!$C$19="","",YEAR(DATE(BY$3,12,31))-YEAR(入力データ!$C$19)-IF(DATE(BY$3,12,31)&lt;DATE(BY$3,MONTH(入力データ!$C$19),DAY(入力データ!$C$19)),1,0)))</f>
        <v/>
      </c>
      <c r="BZ6" s="218">
        <f>IF(BZ$3="","",IF(入力データ!$C$19="","",YEAR(DATE(BZ$3,12,31))-YEAR(入力データ!$C$19)-IF(DATE(BZ$3,12,31)&lt;DATE(BZ$3,MONTH(入力データ!$C$19),DAY(入力データ!$C$19)),1,0)))</f>
        <v/>
      </c>
      <c r="CA6" s="218">
        <f>IF(CA$3="","",IF(入力データ!$C$19="","",YEAR(DATE(CA$3,12,31))-YEAR(入力データ!$C$19)-IF(DATE(CA$3,12,31)&lt;DATE(CA$3,MONTH(入力データ!$C$19),DAY(入力データ!$C$19)),1,0)))</f>
        <v/>
      </c>
      <c r="CB6" s="218">
        <f>IF(CB$3="","",IF(入力データ!$C$19="","",YEAR(DATE(CB$3,12,31))-YEAR(入力データ!$C$19)-IF(DATE(CB$3,12,31)&lt;DATE(CB$3,MONTH(入力データ!$C$19),DAY(入力データ!$C$19)),1,0)))</f>
        <v/>
      </c>
      <c r="CC6" s="218">
        <f>IF(CC$3="","",IF(入力データ!$C$19="","",YEAR(DATE(CC$3,12,31))-YEAR(入力データ!$C$19)-IF(DATE(CC$3,12,31)&lt;DATE(CC$3,MONTH(入力データ!$C$19),DAY(入力データ!$C$19)),1,0)))</f>
        <v/>
      </c>
      <c r="CD6" s="218">
        <f>IF(CD$3="","",IF(入力データ!$C$19="","",YEAR(DATE(CD$3,12,31))-YEAR(入力データ!$C$19)-IF(DATE(CD$3,12,31)&lt;DATE(CD$3,MONTH(入力データ!$C$19),DAY(入力データ!$C$19)),1,0)))</f>
        <v/>
      </c>
      <c r="CE6" s="218">
        <f>IF(CE$3="","",IF(入力データ!$C$19="","",YEAR(DATE(CE$3,12,31))-YEAR(入力データ!$C$19)-IF(DATE(CE$3,12,31)&lt;DATE(CE$3,MONTH(入力データ!$C$19),DAY(入力データ!$C$19)),1,0)))</f>
        <v/>
      </c>
      <c r="CF6" s="218">
        <f>IF(CF$3="","",IF(入力データ!$C$19="","",YEAR(DATE(CF$3,12,31))-YEAR(入力データ!$C$19)-IF(DATE(CF$3,12,31)&lt;DATE(CF$3,MONTH(入力データ!$C$19),DAY(入力データ!$C$19)),1,0)))</f>
        <v/>
      </c>
      <c r="CG6" s="218">
        <f>IF(CG$3="","",IF(入力データ!$C$19="","",YEAR(DATE(CG$3,12,31))-YEAR(入力データ!$C$19)-IF(DATE(CG$3,12,31)&lt;DATE(CG$3,MONTH(入力データ!$C$19),DAY(入力データ!$C$19)),1,0)))</f>
        <v/>
      </c>
      <c r="CH6" s="218">
        <f>IF(CH$3="","",IF(入力データ!$C$19="","",YEAR(DATE(CH$3,12,31))-YEAR(入力データ!$C$19)-IF(DATE(CH$3,12,31)&lt;DATE(CH$3,MONTH(入力データ!$C$19),DAY(入力データ!$C$19)),1,0)))</f>
        <v/>
      </c>
      <c r="CI6" s="218">
        <f>IF(CI$3="","",IF(入力データ!$C$19="","",YEAR(DATE(CI$3,12,31))-YEAR(入力データ!$C$19)-IF(DATE(CI$3,12,31)&lt;DATE(CI$3,MONTH(入力データ!$C$19),DAY(入力データ!$C$19)),1,0)))</f>
        <v/>
      </c>
      <c r="CJ6" s="218">
        <f>IF(CJ$3="","",IF(入力データ!$C$19="","",YEAR(DATE(CJ$3,12,31))-YEAR(入力データ!$C$19)-IF(DATE(CJ$3,12,31)&lt;DATE(CJ$3,MONTH(入力データ!$C$19),DAY(入力データ!$C$19)),1,0)))</f>
        <v/>
      </c>
      <c r="CK6" s="218">
        <f>IF(CK$3="","",IF(入力データ!$C$19="","",YEAR(DATE(CK$3,12,31))-YEAR(入力データ!$C$19)-IF(DATE(CK$3,12,31)&lt;DATE(CK$3,MONTH(入力データ!$C$19),DAY(入力データ!$C$19)),1,0)))</f>
        <v/>
      </c>
      <c r="CL6" s="218">
        <f>IF(CL$3="","",IF(入力データ!$C$19="","",YEAR(DATE(CL$3,12,31))-YEAR(入力データ!$C$19)-IF(DATE(CL$3,12,31)&lt;DATE(CL$3,MONTH(入力データ!$C$19),DAY(入力データ!$C$19)),1,0)))</f>
        <v/>
      </c>
      <c r="CM6" s="218">
        <f>IF(CM$3="","",IF(入力データ!$C$19="","",YEAR(DATE(CM$3,12,31))-YEAR(入力データ!$C$19)-IF(DATE(CM$3,12,31)&lt;DATE(CM$3,MONTH(入力データ!$C$19),DAY(入力データ!$C$19)),1,0)))</f>
        <v/>
      </c>
      <c r="CN6" s="218">
        <f>IF(CN$3="","",IF(入力データ!$C$19="","",YEAR(DATE(CN$3,12,31))-YEAR(入力データ!$C$19)-IF(DATE(CN$3,12,31)&lt;DATE(CN$3,MONTH(入力データ!$C$19),DAY(入力データ!$C$19)),1,0)))</f>
        <v/>
      </c>
      <c r="CO6" s="218">
        <f>IF(CO$3="","",IF(入力データ!$C$19="","",YEAR(DATE(CO$3,12,31))-YEAR(入力データ!$C$19)-IF(DATE(CO$3,12,31)&lt;DATE(CO$3,MONTH(入力データ!$C$19),DAY(入力データ!$C$19)),1,0)))</f>
        <v/>
      </c>
      <c r="CP6" s="218">
        <f>IF(CP$3="","",IF(入力データ!$C$19="","",YEAR(DATE(CP$3,12,31))-YEAR(入力データ!$C$19)-IF(DATE(CP$3,12,31)&lt;DATE(CP$3,MONTH(入力データ!$C$19),DAY(入力データ!$C$19)),1,0)))</f>
        <v/>
      </c>
      <c r="CQ6" s="218">
        <f>IF(CQ$3="","",IF(入力データ!$C$19="","",YEAR(DATE(CQ$3,12,31))-YEAR(入力データ!$C$19)-IF(DATE(CQ$3,12,31)&lt;DATE(CQ$3,MONTH(入力データ!$C$19),DAY(入力データ!$C$19)),1,0)))</f>
        <v/>
      </c>
      <c r="CR6" s="218">
        <f>IF(CR$3="","",IF(入力データ!$C$19="","",YEAR(DATE(CR$3,12,31))-YEAR(入力データ!$C$19)-IF(DATE(CR$3,12,31)&lt;DATE(CR$3,MONTH(入力データ!$C$19),DAY(入力データ!$C$19)),1,0)))</f>
        <v/>
      </c>
      <c r="CS6" s="218">
        <f>IF(CS$3="","",IF(入力データ!$C$19="","",YEAR(DATE(CS$3,12,31))-YEAR(入力データ!$C$19)-IF(DATE(CS$3,12,31)&lt;DATE(CS$3,MONTH(入力データ!$C$19),DAY(入力データ!$C$19)),1,0)))</f>
        <v/>
      </c>
      <c r="CT6" s="218">
        <f>IF(CT$3="","",IF(入力データ!$C$19="","",YEAR(DATE(CT$3,12,31))-YEAR(入力データ!$C$19)-IF(DATE(CT$3,12,31)&lt;DATE(CT$3,MONTH(入力データ!$C$19),DAY(入力データ!$C$19)),1,0)))</f>
        <v/>
      </c>
      <c r="CU6" s="218">
        <f>IF(CU$3="","",IF(入力データ!$C$19="","",YEAR(DATE(CU$3,12,31))-YEAR(入力データ!$C$19)-IF(DATE(CU$3,12,31)&lt;DATE(CU$3,MONTH(入力データ!$C$19),DAY(入力データ!$C$19)),1,0)))</f>
        <v/>
      </c>
      <c r="CV6" s="218">
        <f>IF(CV$3="","",IF(入力データ!$C$19="","",YEAR(DATE(CV$3,12,31))-YEAR(入力データ!$C$19)-IF(DATE(CV$3,12,31)&lt;DATE(CV$3,MONTH(入力データ!$C$19),DAY(入力データ!$C$19)),1,0)))</f>
        <v/>
      </c>
      <c r="CW6" s="218">
        <f>IF(CW$3="","",IF(入力データ!$C$19="","",YEAR(DATE(CW$3,12,31))-YEAR(入力データ!$C$19)-IF(DATE(CW$3,12,31)&lt;DATE(CW$3,MONTH(入力データ!$C$19),DAY(入力データ!$C$19)),1,0)))</f>
        <v/>
      </c>
    </row>
    <row r="7" ht="16.5" customHeight="1" s="180">
      <c r="A7" s="217" t="inlineStr">
        <is>
          <t>子2年齢</t>
        </is>
      </c>
      <c r="B7" s="218">
        <f>IF(B$3="","",IF(入力データ!$C$21="","",YEAR(DATE(B$3,12,31))-YEAR(入力データ!$C$21)-IF(DATE(B$3,12,31)&lt;DATE(B$3,MONTH(入力データ!$C$21),DAY(入力データ!$C$21)),1,0)))</f>
        <v/>
      </c>
      <c r="C7" s="218">
        <f>IF(C$3="","",IF(入力データ!$C$21="","",YEAR(DATE(C$3,12,31))-YEAR(入力データ!$C$21)-IF(DATE(C$3,12,31)&lt;DATE(C$3,MONTH(入力データ!$C$21),DAY(入力データ!$C$21)),1,0)))</f>
        <v/>
      </c>
      <c r="D7" s="218">
        <f>IF(D$3="","",IF(入力データ!$C$21="","",YEAR(DATE(D$3,12,31))-YEAR(入力データ!$C$21)-IF(DATE(D$3,12,31)&lt;DATE(D$3,MONTH(入力データ!$C$21),DAY(入力データ!$C$21)),1,0)))</f>
        <v/>
      </c>
      <c r="E7" s="218">
        <f>IF(E$3="","",IF(入力データ!$C$21="","",YEAR(DATE(E$3,12,31))-YEAR(入力データ!$C$21)-IF(DATE(E$3,12,31)&lt;DATE(E$3,MONTH(入力データ!$C$21),DAY(入力データ!$C$21)),1,0)))</f>
        <v/>
      </c>
      <c r="F7" s="218">
        <f>IF(F$3="","",IF(入力データ!$C$21="","",YEAR(DATE(F$3,12,31))-YEAR(入力データ!$C$21)-IF(DATE(F$3,12,31)&lt;DATE(F$3,MONTH(入力データ!$C$21),DAY(入力データ!$C$21)),1,0)))</f>
        <v/>
      </c>
      <c r="G7" s="218">
        <f>IF(G$3="","",IF(入力データ!$C$21="","",YEAR(DATE(G$3,12,31))-YEAR(入力データ!$C$21)-IF(DATE(G$3,12,31)&lt;DATE(G$3,MONTH(入力データ!$C$21),DAY(入力データ!$C$21)),1,0)))</f>
        <v/>
      </c>
      <c r="H7" s="218">
        <f>IF(H$3="","",IF(入力データ!$C$21="","",YEAR(DATE(H$3,12,31))-YEAR(入力データ!$C$21)-IF(DATE(H$3,12,31)&lt;DATE(H$3,MONTH(入力データ!$C$21),DAY(入力データ!$C$21)),1,0)))</f>
        <v/>
      </c>
      <c r="I7" s="218">
        <f>IF(I$3="","",IF(入力データ!$C$21="","",YEAR(DATE(I$3,12,31))-YEAR(入力データ!$C$21)-IF(DATE(I$3,12,31)&lt;DATE(I$3,MONTH(入力データ!$C$21),DAY(入力データ!$C$21)),1,0)))</f>
        <v/>
      </c>
      <c r="J7" s="218">
        <f>IF(J$3="","",IF(入力データ!$C$21="","",YEAR(DATE(J$3,12,31))-YEAR(入力データ!$C$21)-IF(DATE(J$3,12,31)&lt;DATE(J$3,MONTH(入力データ!$C$21),DAY(入力データ!$C$21)),1,0)))</f>
        <v/>
      </c>
      <c r="K7" s="218">
        <f>IF(K$3="","",IF(入力データ!$C$21="","",YEAR(DATE(K$3,12,31))-YEAR(入力データ!$C$21)-IF(DATE(K$3,12,31)&lt;DATE(K$3,MONTH(入力データ!$C$21),DAY(入力データ!$C$21)),1,0)))</f>
        <v/>
      </c>
      <c r="L7" s="218">
        <f>IF(L$3="","",IF(入力データ!$C$21="","",YEAR(DATE(L$3,12,31))-YEAR(入力データ!$C$21)-IF(DATE(L$3,12,31)&lt;DATE(L$3,MONTH(入力データ!$C$21),DAY(入力データ!$C$21)),1,0)))</f>
        <v/>
      </c>
      <c r="M7" s="218">
        <f>IF(M$3="","",IF(入力データ!$C$21="","",YEAR(DATE(M$3,12,31))-YEAR(入力データ!$C$21)-IF(DATE(M$3,12,31)&lt;DATE(M$3,MONTH(入力データ!$C$21),DAY(入力データ!$C$21)),1,0)))</f>
        <v/>
      </c>
      <c r="N7" s="218">
        <f>IF(N$3="","",IF(入力データ!$C$21="","",YEAR(DATE(N$3,12,31))-YEAR(入力データ!$C$21)-IF(DATE(N$3,12,31)&lt;DATE(N$3,MONTH(入力データ!$C$21),DAY(入力データ!$C$21)),1,0)))</f>
        <v/>
      </c>
      <c r="O7" s="218">
        <f>IF(O$3="","",IF(入力データ!$C$21="","",YEAR(DATE(O$3,12,31))-YEAR(入力データ!$C$21)-IF(DATE(O$3,12,31)&lt;DATE(O$3,MONTH(入力データ!$C$21),DAY(入力データ!$C$21)),1,0)))</f>
        <v/>
      </c>
      <c r="P7" s="218">
        <f>IF(P$3="","",IF(入力データ!$C$21="","",YEAR(DATE(P$3,12,31))-YEAR(入力データ!$C$21)-IF(DATE(P$3,12,31)&lt;DATE(P$3,MONTH(入力データ!$C$21),DAY(入力データ!$C$21)),1,0)))</f>
        <v/>
      </c>
      <c r="Q7" s="218">
        <f>IF(Q$3="","",IF(入力データ!$C$21="","",YEAR(DATE(Q$3,12,31))-YEAR(入力データ!$C$21)-IF(DATE(Q$3,12,31)&lt;DATE(Q$3,MONTH(入力データ!$C$21),DAY(入力データ!$C$21)),1,0)))</f>
        <v/>
      </c>
      <c r="R7" s="218">
        <f>IF(R$3="","",IF(入力データ!$C$21="","",YEAR(DATE(R$3,12,31))-YEAR(入力データ!$C$21)-IF(DATE(R$3,12,31)&lt;DATE(R$3,MONTH(入力データ!$C$21),DAY(入力データ!$C$21)),1,0)))</f>
        <v/>
      </c>
      <c r="S7" s="218">
        <f>IF(S$3="","",IF(入力データ!$C$21="","",YEAR(DATE(S$3,12,31))-YEAR(入力データ!$C$21)-IF(DATE(S$3,12,31)&lt;DATE(S$3,MONTH(入力データ!$C$21),DAY(入力データ!$C$21)),1,0)))</f>
        <v/>
      </c>
      <c r="T7" s="218">
        <f>IF(T$3="","",IF(入力データ!$C$21="","",YEAR(DATE(T$3,12,31))-YEAR(入力データ!$C$21)-IF(DATE(T$3,12,31)&lt;DATE(T$3,MONTH(入力データ!$C$21),DAY(入力データ!$C$21)),1,0)))</f>
        <v/>
      </c>
      <c r="U7" s="218">
        <f>IF(U$3="","",IF(入力データ!$C$21="","",YEAR(DATE(U$3,12,31))-YEAR(入力データ!$C$21)-IF(DATE(U$3,12,31)&lt;DATE(U$3,MONTH(入力データ!$C$21),DAY(入力データ!$C$21)),1,0)))</f>
        <v/>
      </c>
      <c r="V7" s="218">
        <f>IF(V$3="","",IF(入力データ!$C$21="","",YEAR(DATE(V$3,12,31))-YEAR(入力データ!$C$21)-IF(DATE(V$3,12,31)&lt;DATE(V$3,MONTH(入力データ!$C$21),DAY(入力データ!$C$21)),1,0)))</f>
        <v/>
      </c>
      <c r="W7" s="218">
        <f>IF(W$3="","",IF(入力データ!$C$21="","",YEAR(DATE(W$3,12,31))-YEAR(入力データ!$C$21)-IF(DATE(W$3,12,31)&lt;DATE(W$3,MONTH(入力データ!$C$21),DAY(入力データ!$C$21)),1,0)))</f>
        <v/>
      </c>
      <c r="X7" s="218">
        <f>IF(X$3="","",IF(入力データ!$C$21="","",YEAR(DATE(X$3,12,31))-YEAR(入力データ!$C$21)-IF(DATE(X$3,12,31)&lt;DATE(X$3,MONTH(入力データ!$C$21),DAY(入力データ!$C$21)),1,0)))</f>
        <v/>
      </c>
      <c r="Y7" s="218">
        <f>IF(Y$3="","",IF(入力データ!$C$21="","",YEAR(DATE(Y$3,12,31))-YEAR(入力データ!$C$21)-IF(DATE(Y$3,12,31)&lt;DATE(Y$3,MONTH(入力データ!$C$21),DAY(入力データ!$C$21)),1,0)))</f>
        <v/>
      </c>
      <c r="Z7" s="218">
        <f>IF(Z$3="","",IF(入力データ!$C$21="","",YEAR(DATE(Z$3,12,31))-YEAR(入力データ!$C$21)-IF(DATE(Z$3,12,31)&lt;DATE(Z$3,MONTH(入力データ!$C$21),DAY(入力データ!$C$21)),1,0)))</f>
        <v/>
      </c>
      <c r="AA7" s="218">
        <f>IF(AA$3="","",IF(入力データ!$C$21="","",YEAR(DATE(AA$3,12,31))-YEAR(入力データ!$C$21)-IF(DATE(AA$3,12,31)&lt;DATE(AA$3,MONTH(入力データ!$C$21),DAY(入力データ!$C$21)),1,0)))</f>
        <v/>
      </c>
      <c r="AB7" s="218">
        <f>IF(AB$3="","",IF(入力データ!$C$21="","",YEAR(DATE(AB$3,12,31))-YEAR(入力データ!$C$21)-IF(DATE(AB$3,12,31)&lt;DATE(AB$3,MONTH(入力データ!$C$21),DAY(入力データ!$C$21)),1,0)))</f>
        <v/>
      </c>
      <c r="AC7" s="218">
        <f>IF(AC$3="","",IF(入力データ!$C$21="","",YEAR(DATE(AC$3,12,31))-YEAR(入力データ!$C$21)-IF(DATE(AC$3,12,31)&lt;DATE(AC$3,MONTH(入力データ!$C$21),DAY(入力データ!$C$21)),1,0)))</f>
        <v/>
      </c>
      <c r="AD7" s="218">
        <f>IF(AD$3="","",IF(入力データ!$C$21="","",YEAR(DATE(AD$3,12,31))-YEAR(入力データ!$C$21)-IF(DATE(AD$3,12,31)&lt;DATE(AD$3,MONTH(入力データ!$C$21),DAY(入力データ!$C$21)),1,0)))</f>
        <v/>
      </c>
      <c r="AE7" s="218">
        <f>IF(AE$3="","",IF(入力データ!$C$21="","",YEAR(DATE(AE$3,12,31))-YEAR(入力データ!$C$21)-IF(DATE(AE$3,12,31)&lt;DATE(AE$3,MONTH(入力データ!$C$21),DAY(入力データ!$C$21)),1,0)))</f>
        <v/>
      </c>
      <c r="AF7" s="218">
        <f>IF(AF$3="","",IF(入力データ!$C$21="","",YEAR(DATE(AF$3,12,31))-YEAR(入力データ!$C$21)-IF(DATE(AF$3,12,31)&lt;DATE(AF$3,MONTH(入力データ!$C$21),DAY(入力データ!$C$21)),1,0)))</f>
        <v/>
      </c>
      <c r="AG7" s="218">
        <f>IF(AG$3="","",IF(入力データ!$C$21="","",YEAR(DATE(AG$3,12,31))-YEAR(入力データ!$C$21)-IF(DATE(AG$3,12,31)&lt;DATE(AG$3,MONTH(入力データ!$C$21),DAY(入力データ!$C$21)),1,0)))</f>
        <v/>
      </c>
      <c r="AH7" s="218">
        <f>IF(AH$3="","",IF(入力データ!$C$21="","",YEAR(DATE(AH$3,12,31))-YEAR(入力データ!$C$21)-IF(DATE(AH$3,12,31)&lt;DATE(AH$3,MONTH(入力データ!$C$21),DAY(入力データ!$C$21)),1,0)))</f>
        <v/>
      </c>
      <c r="AI7" s="218">
        <f>IF(AI$3="","",IF(入力データ!$C$21="","",YEAR(DATE(AI$3,12,31))-YEAR(入力データ!$C$21)-IF(DATE(AI$3,12,31)&lt;DATE(AI$3,MONTH(入力データ!$C$21),DAY(入力データ!$C$21)),1,0)))</f>
        <v/>
      </c>
      <c r="AJ7" s="218">
        <f>IF(AJ$3="","",IF(入力データ!$C$21="","",YEAR(DATE(AJ$3,12,31))-YEAR(入力データ!$C$21)-IF(DATE(AJ$3,12,31)&lt;DATE(AJ$3,MONTH(入力データ!$C$21),DAY(入力データ!$C$21)),1,0)))</f>
        <v/>
      </c>
      <c r="AK7" s="218">
        <f>IF(AK$3="","",IF(入力データ!$C$21="","",YEAR(DATE(AK$3,12,31))-YEAR(入力データ!$C$21)-IF(DATE(AK$3,12,31)&lt;DATE(AK$3,MONTH(入力データ!$C$21),DAY(入力データ!$C$21)),1,0)))</f>
        <v/>
      </c>
      <c r="AL7" s="218">
        <f>IF(AL$3="","",IF(入力データ!$C$21="","",YEAR(DATE(AL$3,12,31))-YEAR(入力データ!$C$21)-IF(DATE(AL$3,12,31)&lt;DATE(AL$3,MONTH(入力データ!$C$21),DAY(入力データ!$C$21)),1,0)))</f>
        <v/>
      </c>
      <c r="AM7" s="218">
        <f>IF(AM$3="","",IF(入力データ!$C$21="","",YEAR(DATE(AM$3,12,31))-YEAR(入力データ!$C$21)-IF(DATE(AM$3,12,31)&lt;DATE(AM$3,MONTH(入力データ!$C$21),DAY(入力データ!$C$21)),1,0)))</f>
        <v/>
      </c>
      <c r="AN7" s="218">
        <f>IF(AN$3="","",IF(入力データ!$C$21="","",YEAR(DATE(AN$3,12,31))-YEAR(入力データ!$C$21)-IF(DATE(AN$3,12,31)&lt;DATE(AN$3,MONTH(入力データ!$C$21),DAY(入力データ!$C$21)),1,0)))</f>
        <v/>
      </c>
      <c r="AO7" s="218">
        <f>IF(AO$3="","",IF(入力データ!$C$21="","",YEAR(DATE(AO$3,12,31))-YEAR(入力データ!$C$21)-IF(DATE(AO$3,12,31)&lt;DATE(AO$3,MONTH(入力データ!$C$21),DAY(入力データ!$C$21)),1,0)))</f>
        <v/>
      </c>
      <c r="AP7" s="218">
        <f>IF(AP$3="","",IF(入力データ!$C$21="","",YEAR(DATE(AP$3,12,31))-YEAR(入力データ!$C$21)-IF(DATE(AP$3,12,31)&lt;DATE(AP$3,MONTH(入力データ!$C$21),DAY(入力データ!$C$21)),1,0)))</f>
        <v/>
      </c>
      <c r="AQ7" s="218">
        <f>IF(AQ$3="","",IF(入力データ!$C$21="","",YEAR(DATE(AQ$3,12,31))-YEAR(入力データ!$C$21)-IF(DATE(AQ$3,12,31)&lt;DATE(AQ$3,MONTH(入力データ!$C$21),DAY(入力データ!$C$21)),1,0)))</f>
        <v/>
      </c>
      <c r="AR7" s="218">
        <f>IF(AR$3="","",IF(入力データ!$C$21="","",YEAR(DATE(AR$3,12,31))-YEAR(入力データ!$C$21)-IF(DATE(AR$3,12,31)&lt;DATE(AR$3,MONTH(入力データ!$C$21),DAY(入力データ!$C$21)),1,0)))</f>
        <v/>
      </c>
      <c r="AS7" s="218">
        <f>IF(AS$3="","",IF(入力データ!$C$21="","",YEAR(DATE(AS$3,12,31))-YEAR(入力データ!$C$21)-IF(DATE(AS$3,12,31)&lt;DATE(AS$3,MONTH(入力データ!$C$21),DAY(入力データ!$C$21)),1,0)))</f>
        <v/>
      </c>
      <c r="AT7" s="218">
        <f>IF(AT$3="","",IF(入力データ!$C$21="","",YEAR(DATE(AT$3,12,31))-YEAR(入力データ!$C$21)-IF(DATE(AT$3,12,31)&lt;DATE(AT$3,MONTH(入力データ!$C$21),DAY(入力データ!$C$21)),1,0)))</f>
        <v/>
      </c>
      <c r="AU7" s="218">
        <f>IF(AU$3="","",IF(入力データ!$C$21="","",YEAR(DATE(AU$3,12,31))-YEAR(入力データ!$C$21)-IF(DATE(AU$3,12,31)&lt;DATE(AU$3,MONTH(入力データ!$C$21),DAY(入力データ!$C$21)),1,0)))</f>
        <v/>
      </c>
      <c r="AV7" s="218">
        <f>IF(AV$3="","",IF(入力データ!$C$21="","",YEAR(DATE(AV$3,12,31))-YEAR(入力データ!$C$21)-IF(DATE(AV$3,12,31)&lt;DATE(AV$3,MONTH(入力データ!$C$21),DAY(入力データ!$C$21)),1,0)))</f>
        <v/>
      </c>
      <c r="AW7" s="218">
        <f>IF(AW$3="","",IF(入力データ!$C$21="","",YEAR(DATE(AW$3,12,31))-YEAR(入力データ!$C$21)-IF(DATE(AW$3,12,31)&lt;DATE(AW$3,MONTH(入力データ!$C$21),DAY(入力データ!$C$21)),1,0)))</f>
        <v/>
      </c>
      <c r="AX7" s="218">
        <f>IF(AX$3="","",IF(入力データ!$C$21="","",YEAR(DATE(AX$3,12,31))-YEAR(入力データ!$C$21)-IF(DATE(AX$3,12,31)&lt;DATE(AX$3,MONTH(入力データ!$C$21),DAY(入力データ!$C$21)),1,0)))</f>
        <v/>
      </c>
      <c r="AY7" s="218">
        <f>IF(AY$3="","",IF(入力データ!$C$21="","",YEAR(DATE(AY$3,12,31))-YEAR(入力データ!$C$21)-IF(DATE(AY$3,12,31)&lt;DATE(AY$3,MONTH(入力データ!$C$21),DAY(入力データ!$C$21)),1,0)))</f>
        <v/>
      </c>
      <c r="AZ7" s="218">
        <f>IF(AZ$3="","",IF(入力データ!$C$21="","",YEAR(DATE(AZ$3,12,31))-YEAR(入力データ!$C$21)-IF(DATE(AZ$3,12,31)&lt;DATE(AZ$3,MONTH(入力データ!$C$21),DAY(入力データ!$C$21)),1,0)))</f>
        <v/>
      </c>
      <c r="BA7" s="218">
        <f>IF(BA$3="","",IF(入力データ!$C$21="","",YEAR(DATE(BA$3,12,31))-YEAR(入力データ!$C$21)-IF(DATE(BA$3,12,31)&lt;DATE(BA$3,MONTH(入力データ!$C$21),DAY(入力データ!$C$21)),1,0)))</f>
        <v/>
      </c>
      <c r="BB7" s="218">
        <f>IF(BB$3="","",IF(入力データ!$C$21="","",YEAR(DATE(BB$3,12,31))-YEAR(入力データ!$C$21)-IF(DATE(BB$3,12,31)&lt;DATE(BB$3,MONTH(入力データ!$C$21),DAY(入力データ!$C$21)),1,0)))</f>
        <v/>
      </c>
      <c r="BC7" s="218">
        <f>IF(BC$3="","",IF(入力データ!$C$21="","",YEAR(DATE(BC$3,12,31))-YEAR(入力データ!$C$21)-IF(DATE(BC$3,12,31)&lt;DATE(BC$3,MONTH(入力データ!$C$21),DAY(入力データ!$C$21)),1,0)))</f>
        <v/>
      </c>
      <c r="BD7" s="218">
        <f>IF(BD$3="","",IF(入力データ!$C$21="","",YEAR(DATE(BD$3,12,31))-YEAR(入力データ!$C$21)-IF(DATE(BD$3,12,31)&lt;DATE(BD$3,MONTH(入力データ!$C$21),DAY(入力データ!$C$21)),1,0)))</f>
        <v/>
      </c>
      <c r="BE7" s="218">
        <f>IF(BE$3="","",IF(入力データ!$C$21="","",YEAR(DATE(BE$3,12,31))-YEAR(入力データ!$C$21)-IF(DATE(BE$3,12,31)&lt;DATE(BE$3,MONTH(入力データ!$C$21),DAY(入力データ!$C$21)),1,0)))</f>
        <v/>
      </c>
      <c r="BF7" s="218">
        <f>IF(BF$3="","",IF(入力データ!$C$21="","",YEAR(DATE(BF$3,12,31))-YEAR(入力データ!$C$21)-IF(DATE(BF$3,12,31)&lt;DATE(BF$3,MONTH(入力データ!$C$21),DAY(入力データ!$C$21)),1,0)))</f>
        <v/>
      </c>
      <c r="BG7" s="218">
        <f>IF(BG$3="","",IF(入力データ!$C$21="","",YEAR(DATE(BG$3,12,31))-YEAR(入力データ!$C$21)-IF(DATE(BG$3,12,31)&lt;DATE(BG$3,MONTH(入力データ!$C$21),DAY(入力データ!$C$21)),1,0)))</f>
        <v/>
      </c>
      <c r="BH7" s="218">
        <f>IF(BH$3="","",IF(入力データ!$C$21="","",YEAR(DATE(BH$3,12,31))-YEAR(入力データ!$C$21)-IF(DATE(BH$3,12,31)&lt;DATE(BH$3,MONTH(入力データ!$C$21),DAY(入力データ!$C$21)),1,0)))</f>
        <v/>
      </c>
      <c r="BI7" s="218">
        <f>IF(BI$3="","",IF(入力データ!$C$21="","",YEAR(DATE(BI$3,12,31))-YEAR(入力データ!$C$21)-IF(DATE(BI$3,12,31)&lt;DATE(BI$3,MONTH(入力データ!$C$21),DAY(入力データ!$C$21)),1,0)))</f>
        <v/>
      </c>
      <c r="BJ7" s="218">
        <f>IF(BJ$3="","",IF(入力データ!$C$21="","",YEAR(DATE(BJ$3,12,31))-YEAR(入力データ!$C$21)-IF(DATE(BJ$3,12,31)&lt;DATE(BJ$3,MONTH(入力データ!$C$21),DAY(入力データ!$C$21)),1,0)))</f>
        <v/>
      </c>
      <c r="BK7" s="218">
        <f>IF(BK$3="","",IF(入力データ!$C$21="","",YEAR(DATE(BK$3,12,31))-YEAR(入力データ!$C$21)-IF(DATE(BK$3,12,31)&lt;DATE(BK$3,MONTH(入力データ!$C$21),DAY(入力データ!$C$21)),1,0)))</f>
        <v/>
      </c>
      <c r="BL7" s="218">
        <f>IF(BL$3="","",IF(入力データ!$C$21="","",YEAR(DATE(BL$3,12,31))-YEAR(入力データ!$C$21)-IF(DATE(BL$3,12,31)&lt;DATE(BL$3,MONTH(入力データ!$C$21),DAY(入力データ!$C$21)),1,0)))</f>
        <v/>
      </c>
      <c r="BM7" s="218">
        <f>IF(BM$3="","",IF(入力データ!$C$21="","",YEAR(DATE(BM$3,12,31))-YEAR(入力データ!$C$21)-IF(DATE(BM$3,12,31)&lt;DATE(BM$3,MONTH(入力データ!$C$21),DAY(入力データ!$C$21)),1,0)))</f>
        <v/>
      </c>
      <c r="BN7" s="218">
        <f>IF(BN$3="","",IF(入力データ!$C$21="","",YEAR(DATE(BN$3,12,31))-YEAR(入力データ!$C$21)-IF(DATE(BN$3,12,31)&lt;DATE(BN$3,MONTH(入力データ!$C$21),DAY(入力データ!$C$21)),1,0)))</f>
        <v/>
      </c>
      <c r="BO7" s="218">
        <f>IF(BO$3="","",IF(入力データ!$C$21="","",YEAR(DATE(BO$3,12,31))-YEAR(入力データ!$C$21)-IF(DATE(BO$3,12,31)&lt;DATE(BO$3,MONTH(入力データ!$C$21),DAY(入力データ!$C$21)),1,0)))</f>
        <v/>
      </c>
      <c r="BP7" s="218">
        <f>IF(BP$3="","",IF(入力データ!$C$21="","",YEAR(DATE(BP$3,12,31))-YEAR(入力データ!$C$21)-IF(DATE(BP$3,12,31)&lt;DATE(BP$3,MONTH(入力データ!$C$21),DAY(入力データ!$C$21)),1,0)))</f>
        <v/>
      </c>
      <c r="BQ7" s="218">
        <f>IF(BQ$3="","",IF(入力データ!$C$21="","",YEAR(DATE(BQ$3,12,31))-YEAR(入力データ!$C$21)-IF(DATE(BQ$3,12,31)&lt;DATE(BQ$3,MONTH(入力データ!$C$21),DAY(入力データ!$C$21)),1,0)))</f>
        <v/>
      </c>
      <c r="BR7" s="218">
        <f>IF(BR$3="","",IF(入力データ!$C$21="","",YEAR(DATE(BR$3,12,31))-YEAR(入力データ!$C$21)-IF(DATE(BR$3,12,31)&lt;DATE(BR$3,MONTH(入力データ!$C$21),DAY(入力データ!$C$21)),1,0)))</f>
        <v/>
      </c>
      <c r="BS7" s="218">
        <f>IF(BS$3="","",IF(入力データ!$C$21="","",YEAR(DATE(BS$3,12,31))-YEAR(入力データ!$C$21)-IF(DATE(BS$3,12,31)&lt;DATE(BS$3,MONTH(入力データ!$C$21),DAY(入力データ!$C$21)),1,0)))</f>
        <v/>
      </c>
      <c r="BT7" s="218">
        <f>IF(BT$3="","",IF(入力データ!$C$21="","",YEAR(DATE(BT$3,12,31))-YEAR(入力データ!$C$21)-IF(DATE(BT$3,12,31)&lt;DATE(BT$3,MONTH(入力データ!$C$21),DAY(入力データ!$C$21)),1,0)))</f>
        <v/>
      </c>
      <c r="BU7" s="218">
        <f>IF(BU$3="","",IF(入力データ!$C$21="","",YEAR(DATE(BU$3,12,31))-YEAR(入力データ!$C$21)-IF(DATE(BU$3,12,31)&lt;DATE(BU$3,MONTH(入力データ!$C$21),DAY(入力データ!$C$21)),1,0)))</f>
        <v/>
      </c>
      <c r="BV7" s="218">
        <f>IF(BV$3="","",IF(入力データ!$C$21="","",YEAR(DATE(BV$3,12,31))-YEAR(入力データ!$C$21)-IF(DATE(BV$3,12,31)&lt;DATE(BV$3,MONTH(入力データ!$C$21),DAY(入力データ!$C$21)),1,0)))</f>
        <v/>
      </c>
      <c r="BW7" s="218">
        <f>IF(BW$3="","",IF(入力データ!$C$21="","",YEAR(DATE(BW$3,12,31))-YEAR(入力データ!$C$21)-IF(DATE(BW$3,12,31)&lt;DATE(BW$3,MONTH(入力データ!$C$21),DAY(入力データ!$C$21)),1,0)))</f>
        <v/>
      </c>
      <c r="BX7" s="218">
        <f>IF(BX$3="","",IF(入力データ!$C$21="","",YEAR(DATE(BX$3,12,31))-YEAR(入力データ!$C$21)-IF(DATE(BX$3,12,31)&lt;DATE(BX$3,MONTH(入力データ!$C$21),DAY(入力データ!$C$21)),1,0)))</f>
        <v/>
      </c>
      <c r="BY7" s="218">
        <f>IF(BY$3="","",IF(入力データ!$C$21="","",YEAR(DATE(BY$3,12,31))-YEAR(入力データ!$C$21)-IF(DATE(BY$3,12,31)&lt;DATE(BY$3,MONTH(入力データ!$C$21),DAY(入力データ!$C$21)),1,0)))</f>
        <v/>
      </c>
      <c r="BZ7" s="218">
        <f>IF(BZ$3="","",IF(入力データ!$C$21="","",YEAR(DATE(BZ$3,12,31))-YEAR(入力データ!$C$21)-IF(DATE(BZ$3,12,31)&lt;DATE(BZ$3,MONTH(入力データ!$C$21),DAY(入力データ!$C$21)),1,0)))</f>
        <v/>
      </c>
      <c r="CA7" s="218">
        <f>IF(CA$3="","",IF(入力データ!$C$21="","",YEAR(DATE(CA$3,12,31))-YEAR(入力データ!$C$21)-IF(DATE(CA$3,12,31)&lt;DATE(CA$3,MONTH(入力データ!$C$21),DAY(入力データ!$C$21)),1,0)))</f>
        <v/>
      </c>
      <c r="CB7" s="218">
        <f>IF(CB$3="","",IF(入力データ!$C$21="","",YEAR(DATE(CB$3,12,31))-YEAR(入力データ!$C$21)-IF(DATE(CB$3,12,31)&lt;DATE(CB$3,MONTH(入力データ!$C$21),DAY(入力データ!$C$21)),1,0)))</f>
        <v/>
      </c>
      <c r="CC7" s="218">
        <f>IF(CC$3="","",IF(入力データ!$C$21="","",YEAR(DATE(CC$3,12,31))-YEAR(入力データ!$C$21)-IF(DATE(CC$3,12,31)&lt;DATE(CC$3,MONTH(入力データ!$C$21),DAY(入力データ!$C$21)),1,0)))</f>
        <v/>
      </c>
      <c r="CD7" s="218">
        <f>IF(CD$3="","",IF(入力データ!$C$21="","",YEAR(DATE(CD$3,12,31))-YEAR(入力データ!$C$21)-IF(DATE(CD$3,12,31)&lt;DATE(CD$3,MONTH(入力データ!$C$21),DAY(入力データ!$C$21)),1,0)))</f>
        <v/>
      </c>
      <c r="CE7" s="218">
        <f>IF(CE$3="","",IF(入力データ!$C$21="","",YEAR(DATE(CE$3,12,31))-YEAR(入力データ!$C$21)-IF(DATE(CE$3,12,31)&lt;DATE(CE$3,MONTH(入力データ!$C$21),DAY(入力データ!$C$21)),1,0)))</f>
        <v/>
      </c>
      <c r="CF7" s="218">
        <f>IF(CF$3="","",IF(入力データ!$C$21="","",YEAR(DATE(CF$3,12,31))-YEAR(入力データ!$C$21)-IF(DATE(CF$3,12,31)&lt;DATE(CF$3,MONTH(入力データ!$C$21),DAY(入力データ!$C$21)),1,0)))</f>
        <v/>
      </c>
      <c r="CG7" s="218">
        <f>IF(CG$3="","",IF(入力データ!$C$21="","",YEAR(DATE(CG$3,12,31))-YEAR(入力データ!$C$21)-IF(DATE(CG$3,12,31)&lt;DATE(CG$3,MONTH(入力データ!$C$21),DAY(入力データ!$C$21)),1,0)))</f>
        <v/>
      </c>
      <c r="CH7" s="218">
        <f>IF(CH$3="","",IF(入力データ!$C$21="","",YEAR(DATE(CH$3,12,31))-YEAR(入力データ!$C$21)-IF(DATE(CH$3,12,31)&lt;DATE(CH$3,MONTH(入力データ!$C$21),DAY(入力データ!$C$21)),1,0)))</f>
        <v/>
      </c>
      <c r="CI7" s="218">
        <f>IF(CI$3="","",IF(入力データ!$C$21="","",YEAR(DATE(CI$3,12,31))-YEAR(入力データ!$C$21)-IF(DATE(CI$3,12,31)&lt;DATE(CI$3,MONTH(入力データ!$C$21),DAY(入力データ!$C$21)),1,0)))</f>
        <v/>
      </c>
      <c r="CJ7" s="218">
        <f>IF(CJ$3="","",IF(入力データ!$C$21="","",YEAR(DATE(CJ$3,12,31))-YEAR(入力データ!$C$21)-IF(DATE(CJ$3,12,31)&lt;DATE(CJ$3,MONTH(入力データ!$C$21),DAY(入力データ!$C$21)),1,0)))</f>
        <v/>
      </c>
      <c r="CK7" s="218">
        <f>IF(CK$3="","",IF(入力データ!$C$21="","",YEAR(DATE(CK$3,12,31))-YEAR(入力データ!$C$21)-IF(DATE(CK$3,12,31)&lt;DATE(CK$3,MONTH(入力データ!$C$21),DAY(入力データ!$C$21)),1,0)))</f>
        <v/>
      </c>
      <c r="CL7" s="218">
        <f>IF(CL$3="","",IF(入力データ!$C$21="","",YEAR(DATE(CL$3,12,31))-YEAR(入力データ!$C$21)-IF(DATE(CL$3,12,31)&lt;DATE(CL$3,MONTH(入力データ!$C$21),DAY(入力データ!$C$21)),1,0)))</f>
        <v/>
      </c>
      <c r="CM7" s="218">
        <f>IF(CM$3="","",IF(入力データ!$C$21="","",YEAR(DATE(CM$3,12,31))-YEAR(入力データ!$C$21)-IF(DATE(CM$3,12,31)&lt;DATE(CM$3,MONTH(入力データ!$C$21),DAY(入力データ!$C$21)),1,0)))</f>
        <v/>
      </c>
      <c r="CN7" s="218">
        <f>IF(CN$3="","",IF(入力データ!$C$21="","",YEAR(DATE(CN$3,12,31))-YEAR(入力データ!$C$21)-IF(DATE(CN$3,12,31)&lt;DATE(CN$3,MONTH(入力データ!$C$21),DAY(入力データ!$C$21)),1,0)))</f>
        <v/>
      </c>
      <c r="CO7" s="218">
        <f>IF(CO$3="","",IF(入力データ!$C$21="","",YEAR(DATE(CO$3,12,31))-YEAR(入力データ!$C$21)-IF(DATE(CO$3,12,31)&lt;DATE(CO$3,MONTH(入力データ!$C$21),DAY(入力データ!$C$21)),1,0)))</f>
        <v/>
      </c>
      <c r="CP7" s="218">
        <f>IF(CP$3="","",IF(入力データ!$C$21="","",YEAR(DATE(CP$3,12,31))-YEAR(入力データ!$C$21)-IF(DATE(CP$3,12,31)&lt;DATE(CP$3,MONTH(入力データ!$C$21),DAY(入力データ!$C$21)),1,0)))</f>
        <v/>
      </c>
      <c r="CQ7" s="218">
        <f>IF(CQ$3="","",IF(入力データ!$C$21="","",YEAR(DATE(CQ$3,12,31))-YEAR(入力データ!$C$21)-IF(DATE(CQ$3,12,31)&lt;DATE(CQ$3,MONTH(入力データ!$C$21),DAY(入力データ!$C$21)),1,0)))</f>
        <v/>
      </c>
      <c r="CR7" s="218">
        <f>IF(CR$3="","",IF(入力データ!$C$21="","",YEAR(DATE(CR$3,12,31))-YEAR(入力データ!$C$21)-IF(DATE(CR$3,12,31)&lt;DATE(CR$3,MONTH(入力データ!$C$21),DAY(入力データ!$C$21)),1,0)))</f>
        <v/>
      </c>
      <c r="CS7" s="218">
        <f>IF(CS$3="","",IF(入力データ!$C$21="","",YEAR(DATE(CS$3,12,31))-YEAR(入力データ!$C$21)-IF(DATE(CS$3,12,31)&lt;DATE(CS$3,MONTH(入力データ!$C$21),DAY(入力データ!$C$21)),1,0)))</f>
        <v/>
      </c>
      <c r="CT7" s="218">
        <f>IF(CT$3="","",IF(入力データ!$C$21="","",YEAR(DATE(CT$3,12,31))-YEAR(入力データ!$C$21)-IF(DATE(CT$3,12,31)&lt;DATE(CT$3,MONTH(入力データ!$C$21),DAY(入力データ!$C$21)),1,0)))</f>
        <v/>
      </c>
      <c r="CU7" s="218">
        <f>IF(CU$3="","",IF(入力データ!$C$21="","",YEAR(DATE(CU$3,12,31))-YEAR(入力データ!$C$21)-IF(DATE(CU$3,12,31)&lt;DATE(CU$3,MONTH(入力データ!$C$21),DAY(入力データ!$C$21)),1,0)))</f>
        <v/>
      </c>
      <c r="CV7" s="218">
        <f>IF(CV$3="","",IF(入力データ!$C$21="","",YEAR(DATE(CV$3,12,31))-YEAR(入力データ!$C$21)-IF(DATE(CV$3,12,31)&lt;DATE(CV$3,MONTH(入力データ!$C$21),DAY(入力データ!$C$21)),1,0)))</f>
        <v/>
      </c>
      <c r="CW7" s="218">
        <f>IF(CW$3="","",IF(入力データ!$C$21="","",YEAR(DATE(CW$3,12,31))-YEAR(入力データ!$C$21)-IF(DATE(CW$3,12,31)&lt;DATE(CW$3,MONTH(入力データ!$C$21),DAY(入力データ!$C$21)),1,0)))</f>
        <v/>
      </c>
    </row>
    <row r="8" ht="16.5" customHeight="1" s="180">
      <c r="A8" s="217" t="inlineStr">
        <is>
          <t>子3年齢</t>
        </is>
      </c>
      <c r="B8" s="218">
        <f>IF(B$3="","",IF(情報入力!$C$23="","",YEAR(DATE(B$3,12,31))-YEAR(情報入力!$C$23)-IF(DATE(B$3,12,31)&lt;DATE(B$3,MONTH(情報入力!$C$23),DAY(情報入力!$C$23)),1,0)))</f>
        <v/>
      </c>
      <c r="C8" s="218">
        <f>IF(C$3="","",IF(情報入力!$C$23="","",YEAR(DATE(C$3,12,31))-YEAR(情報入力!$C$23)-IF(DATE(C$3,12,31)&lt;DATE(C$3,MONTH(情報入力!$C$23),DAY(情報入力!$C$23)),1,0)))</f>
        <v/>
      </c>
      <c r="D8" s="218">
        <f>IF(D$3="","",IF(情報入力!$C$23="","",YEAR(DATE(D$3,12,31))-YEAR(情報入力!$C$23)-IF(DATE(D$3,12,31)&lt;DATE(D$3,MONTH(情報入力!$C$23),DAY(情報入力!$C$23)),1,0)))</f>
        <v/>
      </c>
      <c r="E8" s="218">
        <f>IF(E$3="","",IF(情報入力!$C$23="","",YEAR(DATE(E$3,12,31))-YEAR(情報入力!$C$23)-IF(DATE(E$3,12,31)&lt;DATE(E$3,MONTH(情報入力!$C$23),DAY(情報入力!$C$23)),1,0)))</f>
        <v/>
      </c>
      <c r="F8" s="218">
        <f>IF(F$3="","",IF(情報入力!$C$23="","",YEAR(DATE(F$3,12,31))-YEAR(情報入力!$C$23)-IF(DATE(F$3,12,31)&lt;DATE(F$3,MONTH(情報入力!$C$23),DAY(情報入力!$C$23)),1,0)))</f>
        <v/>
      </c>
      <c r="G8" s="218">
        <f>IF(G$3="","",IF(情報入力!$C$23="","",YEAR(DATE(G$3,12,31))-YEAR(情報入力!$C$23)-IF(DATE(G$3,12,31)&lt;DATE(G$3,MONTH(情報入力!$C$23),DAY(情報入力!$C$23)),1,0)))</f>
        <v/>
      </c>
      <c r="H8" s="218">
        <f>IF(H$3="","",IF(情報入力!$C$23="","",YEAR(DATE(H$3,12,31))-YEAR(情報入力!$C$23)-IF(DATE(H$3,12,31)&lt;DATE(H$3,MONTH(情報入力!$C$23),DAY(情報入力!$C$23)),1,0)))</f>
        <v/>
      </c>
      <c r="I8" s="218">
        <f>IF(I$3="","",IF(情報入力!$C$23="","",YEAR(DATE(I$3,12,31))-YEAR(情報入力!$C$23)-IF(DATE(I$3,12,31)&lt;DATE(I$3,MONTH(情報入力!$C$23),DAY(情報入力!$C$23)),1,0)))</f>
        <v/>
      </c>
      <c r="J8" s="218">
        <f>IF(J$3="","",IF(情報入力!$C$23="","",YEAR(DATE(J$3,12,31))-YEAR(情報入力!$C$23)-IF(DATE(J$3,12,31)&lt;DATE(J$3,MONTH(情報入力!$C$23),DAY(情報入力!$C$23)),1,0)))</f>
        <v/>
      </c>
      <c r="K8" s="218">
        <f>IF(K$3="","",IF(情報入力!$C$23="","",YEAR(DATE(K$3,12,31))-YEAR(情報入力!$C$23)-IF(DATE(K$3,12,31)&lt;DATE(K$3,MONTH(情報入力!$C$23),DAY(情報入力!$C$23)),1,0)))</f>
        <v/>
      </c>
      <c r="L8" s="218">
        <f>IF(L$3="","",IF(情報入力!$C$23="","",YEAR(DATE(L$3,12,31))-YEAR(情報入力!$C$23)-IF(DATE(L$3,12,31)&lt;DATE(L$3,MONTH(情報入力!$C$23),DAY(情報入力!$C$23)),1,0)))</f>
        <v/>
      </c>
      <c r="M8" s="218">
        <f>IF(M$3="","",IF(情報入力!$C$23="","",YEAR(DATE(M$3,12,31))-YEAR(情報入力!$C$23)-IF(DATE(M$3,12,31)&lt;DATE(M$3,MONTH(情報入力!$C$23),DAY(情報入力!$C$23)),1,0)))</f>
        <v/>
      </c>
      <c r="N8" s="218">
        <f>IF(N$3="","",IF(情報入力!$C$23="","",YEAR(DATE(N$3,12,31))-YEAR(情報入力!$C$23)-IF(DATE(N$3,12,31)&lt;DATE(N$3,MONTH(情報入力!$C$23),DAY(情報入力!$C$23)),1,0)))</f>
        <v/>
      </c>
      <c r="O8" s="218">
        <f>IF(O$3="","",IF(情報入力!$C$23="","",YEAR(DATE(O$3,12,31))-YEAR(情報入力!$C$23)-IF(DATE(O$3,12,31)&lt;DATE(O$3,MONTH(情報入力!$C$23),DAY(情報入力!$C$23)),1,0)))</f>
        <v/>
      </c>
      <c r="P8" s="218">
        <f>IF(P$3="","",IF(情報入力!$C$23="","",YEAR(DATE(P$3,12,31))-YEAR(情報入力!$C$23)-IF(DATE(P$3,12,31)&lt;DATE(P$3,MONTH(情報入力!$C$23),DAY(情報入力!$C$23)),1,0)))</f>
        <v/>
      </c>
      <c r="Q8" s="218">
        <f>IF(Q$3="","",IF(情報入力!$C$23="","",YEAR(DATE(Q$3,12,31))-YEAR(情報入力!$C$23)-IF(DATE(Q$3,12,31)&lt;DATE(Q$3,MONTH(情報入力!$C$23),DAY(情報入力!$C$23)),1,0)))</f>
        <v/>
      </c>
      <c r="R8" s="218">
        <f>IF(R$3="","",IF(情報入力!$C$23="","",YEAR(DATE(R$3,12,31))-YEAR(情報入力!$C$23)-IF(DATE(R$3,12,31)&lt;DATE(R$3,MONTH(情報入力!$C$23),DAY(情報入力!$C$23)),1,0)))</f>
        <v/>
      </c>
      <c r="S8" s="218">
        <f>IF(S$3="","",IF(情報入力!$C$23="","",YEAR(DATE(S$3,12,31))-YEAR(情報入力!$C$23)-IF(DATE(S$3,12,31)&lt;DATE(S$3,MONTH(情報入力!$C$23),DAY(情報入力!$C$23)),1,0)))</f>
        <v/>
      </c>
      <c r="T8" s="218">
        <f>IF(T$3="","",IF(情報入力!$C$23="","",YEAR(DATE(T$3,12,31))-YEAR(情報入力!$C$23)-IF(DATE(T$3,12,31)&lt;DATE(T$3,MONTH(情報入力!$C$23),DAY(情報入力!$C$23)),1,0)))</f>
        <v/>
      </c>
      <c r="U8" s="218">
        <f>IF(U$3="","",IF(情報入力!$C$23="","",YEAR(DATE(U$3,12,31))-YEAR(情報入力!$C$23)-IF(DATE(U$3,12,31)&lt;DATE(U$3,MONTH(情報入力!$C$23),DAY(情報入力!$C$23)),1,0)))</f>
        <v/>
      </c>
      <c r="V8" s="218">
        <f>IF(V$3="","",IF(情報入力!$C$23="","",YEAR(DATE(V$3,12,31))-YEAR(情報入力!$C$23)-IF(DATE(V$3,12,31)&lt;DATE(V$3,MONTH(情報入力!$C$23),DAY(情報入力!$C$23)),1,0)))</f>
        <v/>
      </c>
      <c r="W8" s="218">
        <f>IF(W$3="","",IF(情報入力!$C$23="","",YEAR(DATE(W$3,12,31))-YEAR(情報入力!$C$23)-IF(DATE(W$3,12,31)&lt;DATE(W$3,MONTH(情報入力!$C$23),DAY(情報入力!$C$23)),1,0)))</f>
        <v/>
      </c>
      <c r="X8" s="218">
        <f>IF(X$3="","",IF(情報入力!$C$23="","",YEAR(DATE(X$3,12,31))-YEAR(情報入力!$C$23)-IF(DATE(X$3,12,31)&lt;DATE(X$3,MONTH(情報入力!$C$23),DAY(情報入力!$C$23)),1,0)))</f>
        <v/>
      </c>
      <c r="Y8" s="218">
        <f>IF(Y$3="","",IF(情報入力!$C$23="","",YEAR(DATE(Y$3,12,31))-YEAR(情報入力!$C$23)-IF(DATE(Y$3,12,31)&lt;DATE(Y$3,MONTH(情報入力!$C$23),DAY(情報入力!$C$23)),1,0)))</f>
        <v/>
      </c>
      <c r="Z8" s="218">
        <f>IF(Z$3="","",IF(情報入力!$C$23="","",YEAR(DATE(Z$3,12,31))-YEAR(情報入力!$C$23)-IF(DATE(Z$3,12,31)&lt;DATE(Z$3,MONTH(情報入力!$C$23),DAY(情報入力!$C$23)),1,0)))</f>
        <v/>
      </c>
      <c r="AA8" s="218">
        <f>IF(AA$3="","",IF(情報入力!$C$23="","",YEAR(DATE(AA$3,12,31))-YEAR(情報入力!$C$23)-IF(DATE(AA$3,12,31)&lt;DATE(AA$3,MONTH(情報入力!$C$23),DAY(情報入力!$C$23)),1,0)))</f>
        <v/>
      </c>
      <c r="AB8" s="218">
        <f>IF(AB$3="","",IF(情報入力!$C$23="","",YEAR(DATE(AB$3,12,31))-YEAR(情報入力!$C$23)-IF(DATE(AB$3,12,31)&lt;DATE(AB$3,MONTH(情報入力!$C$23),DAY(情報入力!$C$23)),1,0)))</f>
        <v/>
      </c>
      <c r="AC8" s="218">
        <f>IF(AC$3="","",IF(情報入力!$C$23="","",YEAR(DATE(AC$3,12,31))-YEAR(情報入力!$C$23)-IF(DATE(AC$3,12,31)&lt;DATE(AC$3,MONTH(情報入力!$C$23),DAY(情報入力!$C$23)),1,0)))</f>
        <v/>
      </c>
      <c r="AD8" s="218">
        <f>IF(AD$3="","",IF(情報入力!$C$23="","",YEAR(DATE(AD$3,12,31))-YEAR(情報入力!$C$23)-IF(DATE(AD$3,12,31)&lt;DATE(AD$3,MONTH(情報入力!$C$23),DAY(情報入力!$C$23)),1,0)))</f>
        <v/>
      </c>
      <c r="AE8" s="218">
        <f>IF(AE$3="","",IF(情報入力!$C$23="","",YEAR(DATE(AE$3,12,31))-YEAR(情報入力!$C$23)-IF(DATE(AE$3,12,31)&lt;DATE(AE$3,MONTH(情報入力!$C$23),DAY(情報入力!$C$23)),1,0)))</f>
        <v/>
      </c>
      <c r="AF8" s="218">
        <f>IF(AF$3="","",IF(情報入力!$C$23="","",YEAR(DATE(AF$3,12,31))-YEAR(情報入力!$C$23)-IF(DATE(AF$3,12,31)&lt;DATE(AF$3,MONTH(情報入力!$C$23),DAY(情報入力!$C$23)),1,0)))</f>
        <v/>
      </c>
      <c r="AG8" s="218">
        <f>IF(AG$3="","",IF(情報入力!$C$23="","",YEAR(DATE(AG$3,12,31))-YEAR(情報入力!$C$23)-IF(DATE(AG$3,12,31)&lt;DATE(AG$3,MONTH(情報入力!$C$23),DAY(情報入力!$C$23)),1,0)))</f>
        <v/>
      </c>
      <c r="AH8" s="218">
        <f>IF(AH$3="","",IF(情報入力!$C$23="","",YEAR(DATE(AH$3,12,31))-YEAR(情報入力!$C$23)-IF(DATE(AH$3,12,31)&lt;DATE(AH$3,MONTH(情報入力!$C$23),DAY(情報入力!$C$23)),1,0)))</f>
        <v/>
      </c>
      <c r="AI8" s="218">
        <f>IF(AI$3="","",IF(情報入力!$C$23="","",YEAR(DATE(AI$3,12,31))-YEAR(情報入力!$C$23)-IF(DATE(AI$3,12,31)&lt;DATE(AI$3,MONTH(情報入力!$C$23),DAY(情報入力!$C$23)),1,0)))</f>
        <v/>
      </c>
      <c r="AJ8" s="218">
        <f>IF(AJ$3="","",IF(情報入力!$C$23="","",YEAR(DATE(AJ$3,12,31))-YEAR(情報入力!$C$23)-IF(DATE(AJ$3,12,31)&lt;DATE(AJ$3,MONTH(情報入力!$C$23),DAY(情報入力!$C$23)),1,0)))</f>
        <v/>
      </c>
      <c r="AK8" s="218">
        <f>IF(AK$3="","",IF(情報入力!$C$23="","",YEAR(DATE(AK$3,12,31))-YEAR(情報入力!$C$23)-IF(DATE(AK$3,12,31)&lt;DATE(AK$3,MONTH(情報入力!$C$23),DAY(情報入力!$C$23)),1,0)))</f>
        <v/>
      </c>
      <c r="AL8" s="218">
        <f>IF(AL$3="","",IF(情報入力!$C$23="","",YEAR(DATE(AL$3,12,31))-YEAR(情報入力!$C$23)-IF(DATE(AL$3,12,31)&lt;DATE(AL$3,MONTH(情報入力!$C$23),DAY(情報入力!$C$23)),1,0)))</f>
        <v/>
      </c>
      <c r="AM8" s="218">
        <f>IF(AM$3="","",IF(情報入力!$C$23="","",YEAR(DATE(AM$3,12,31))-YEAR(情報入力!$C$23)-IF(DATE(AM$3,12,31)&lt;DATE(AM$3,MONTH(情報入力!$C$23),DAY(情報入力!$C$23)),1,0)))</f>
        <v/>
      </c>
      <c r="AN8" s="218">
        <f>IF(AN$3="","",IF(情報入力!$C$23="","",YEAR(DATE(AN$3,12,31))-YEAR(情報入力!$C$23)-IF(DATE(AN$3,12,31)&lt;DATE(AN$3,MONTH(情報入力!$C$23),DAY(情報入力!$C$23)),1,0)))</f>
        <v/>
      </c>
      <c r="AO8" s="218">
        <f>IF(AO$3="","",IF(情報入力!$C$23="","",YEAR(DATE(AO$3,12,31))-YEAR(情報入力!$C$23)-IF(DATE(AO$3,12,31)&lt;DATE(AO$3,MONTH(情報入力!$C$23),DAY(情報入力!$C$23)),1,0)))</f>
        <v/>
      </c>
      <c r="AP8" s="218">
        <f>IF(AP$3="","",IF(情報入力!$C$23="","",YEAR(DATE(AP$3,12,31))-YEAR(情報入力!$C$23)-IF(DATE(AP$3,12,31)&lt;DATE(AP$3,MONTH(情報入力!$C$23),DAY(情報入力!$C$23)),1,0)))</f>
        <v/>
      </c>
      <c r="AQ8" s="218">
        <f>IF(AQ$3="","",IF(情報入力!$C$23="","",YEAR(DATE(AQ$3,12,31))-YEAR(情報入力!$C$23)-IF(DATE(AQ$3,12,31)&lt;DATE(AQ$3,MONTH(情報入力!$C$23),DAY(情報入力!$C$23)),1,0)))</f>
        <v/>
      </c>
      <c r="AR8" s="218">
        <f>IF(AR$3="","",IF(情報入力!$C$23="","",YEAR(DATE(AR$3,12,31))-YEAR(情報入力!$C$23)-IF(DATE(AR$3,12,31)&lt;DATE(AR$3,MONTH(情報入力!$C$23),DAY(情報入力!$C$23)),1,0)))</f>
        <v/>
      </c>
      <c r="AS8" s="218">
        <f>IF(AS$3="","",IF(情報入力!$C$23="","",YEAR(DATE(AS$3,12,31))-YEAR(情報入力!$C$23)-IF(DATE(AS$3,12,31)&lt;DATE(AS$3,MONTH(情報入力!$C$23),DAY(情報入力!$C$23)),1,0)))</f>
        <v/>
      </c>
      <c r="AT8" s="218">
        <f>IF(AT$3="","",IF(情報入力!$C$23="","",YEAR(DATE(AT$3,12,31))-YEAR(情報入力!$C$23)-IF(DATE(AT$3,12,31)&lt;DATE(AT$3,MONTH(情報入力!$C$23),DAY(情報入力!$C$23)),1,0)))</f>
        <v/>
      </c>
      <c r="AU8" s="218">
        <f>IF(AU$3="","",IF(情報入力!$C$23="","",YEAR(DATE(AU$3,12,31))-YEAR(情報入力!$C$23)-IF(DATE(AU$3,12,31)&lt;DATE(AU$3,MONTH(情報入力!$C$23),DAY(情報入力!$C$23)),1,0)))</f>
        <v/>
      </c>
      <c r="AV8" s="218">
        <f>IF(AV$3="","",IF(情報入力!$C$23="","",YEAR(DATE(AV$3,12,31))-YEAR(情報入力!$C$23)-IF(DATE(AV$3,12,31)&lt;DATE(AV$3,MONTH(情報入力!$C$23),DAY(情報入力!$C$23)),1,0)))</f>
        <v/>
      </c>
      <c r="AW8" s="218">
        <f>IF(AW$3="","",IF(情報入力!$C$23="","",YEAR(DATE(AW$3,12,31))-YEAR(情報入力!$C$23)-IF(DATE(AW$3,12,31)&lt;DATE(AW$3,MONTH(情報入力!$C$23),DAY(情報入力!$C$23)),1,0)))</f>
        <v/>
      </c>
      <c r="AX8" s="218">
        <f>IF(AX$3="","",IF(情報入力!$C$23="","",YEAR(DATE(AX$3,12,31))-YEAR(情報入力!$C$23)-IF(DATE(AX$3,12,31)&lt;DATE(AX$3,MONTH(情報入力!$C$23),DAY(情報入力!$C$23)),1,0)))</f>
        <v/>
      </c>
      <c r="AY8" s="218">
        <f>IF(AY$3="","",IF(情報入力!$C$23="","",YEAR(DATE(AY$3,12,31))-YEAR(情報入力!$C$23)-IF(DATE(AY$3,12,31)&lt;DATE(AY$3,MONTH(情報入力!$C$23),DAY(情報入力!$C$23)),1,0)))</f>
        <v/>
      </c>
      <c r="AZ8" s="218">
        <f>IF(AZ$3="","",IF(情報入力!$C$23="","",YEAR(DATE(AZ$3,12,31))-YEAR(情報入力!$C$23)-IF(DATE(AZ$3,12,31)&lt;DATE(AZ$3,MONTH(情報入力!$C$23),DAY(情報入力!$C$23)),1,0)))</f>
        <v/>
      </c>
      <c r="BA8" s="218">
        <f>IF(BA$3="","",IF(情報入力!$C$23="","",YEAR(DATE(BA$3,12,31))-YEAR(情報入力!$C$23)-IF(DATE(BA$3,12,31)&lt;DATE(BA$3,MONTH(情報入力!$C$23),DAY(情報入力!$C$23)),1,0)))</f>
        <v/>
      </c>
      <c r="BB8" s="218">
        <f>IF(BB$3="","",IF(情報入力!$C$23="","",YEAR(DATE(BB$3,12,31))-YEAR(情報入力!$C$23)-IF(DATE(BB$3,12,31)&lt;DATE(BB$3,MONTH(情報入力!$C$23),DAY(情報入力!$C$23)),1,0)))</f>
        <v/>
      </c>
      <c r="BC8" s="218">
        <f>IF(BC$3="","",IF(情報入力!$C$23="","",YEAR(DATE(BC$3,12,31))-YEAR(情報入力!$C$23)-IF(DATE(BC$3,12,31)&lt;DATE(BC$3,MONTH(情報入力!$C$23),DAY(情報入力!$C$23)),1,0)))</f>
        <v/>
      </c>
      <c r="BD8" s="218">
        <f>IF(BD$3="","",IF(情報入力!$C$23="","",YEAR(DATE(BD$3,12,31))-YEAR(情報入力!$C$23)-IF(DATE(BD$3,12,31)&lt;DATE(BD$3,MONTH(情報入力!$C$23),DAY(情報入力!$C$23)),1,0)))</f>
        <v/>
      </c>
      <c r="BE8" s="218">
        <f>IF(BE$3="","",IF(情報入力!$C$23="","",YEAR(DATE(BE$3,12,31))-YEAR(情報入力!$C$23)-IF(DATE(BE$3,12,31)&lt;DATE(BE$3,MONTH(情報入力!$C$23),DAY(情報入力!$C$23)),1,0)))</f>
        <v/>
      </c>
      <c r="BF8" s="218">
        <f>IF(BF$3="","",IF(情報入力!$C$23="","",YEAR(DATE(BF$3,12,31))-YEAR(情報入力!$C$23)-IF(DATE(BF$3,12,31)&lt;DATE(BF$3,MONTH(情報入力!$C$23),DAY(情報入力!$C$23)),1,0)))</f>
        <v/>
      </c>
      <c r="BG8" s="218">
        <f>IF(BG$3="","",IF(情報入力!$C$23="","",YEAR(DATE(BG$3,12,31))-YEAR(情報入力!$C$23)-IF(DATE(BG$3,12,31)&lt;DATE(BG$3,MONTH(情報入力!$C$23),DAY(情報入力!$C$23)),1,0)))</f>
        <v/>
      </c>
      <c r="BH8" s="218">
        <f>IF(BH$3="","",IF(情報入力!$C$23="","",YEAR(DATE(BH$3,12,31))-YEAR(情報入力!$C$23)-IF(DATE(BH$3,12,31)&lt;DATE(BH$3,MONTH(情報入力!$C$23),DAY(情報入力!$C$23)),1,0)))</f>
        <v/>
      </c>
      <c r="BI8" s="218">
        <f>IF(BI$3="","",IF(情報入力!$C$23="","",YEAR(DATE(BI$3,12,31))-YEAR(情報入力!$C$23)-IF(DATE(BI$3,12,31)&lt;DATE(BI$3,MONTH(情報入力!$C$23),DAY(情報入力!$C$23)),1,0)))</f>
        <v/>
      </c>
      <c r="BJ8" s="218">
        <f>IF(BJ$3="","",IF(情報入力!$C$23="","",YEAR(DATE(BJ$3,12,31))-YEAR(情報入力!$C$23)-IF(DATE(BJ$3,12,31)&lt;DATE(BJ$3,MONTH(情報入力!$C$23),DAY(情報入力!$C$23)),1,0)))</f>
        <v/>
      </c>
      <c r="BK8" s="218">
        <f>IF(BK$3="","",IF(情報入力!$C$23="","",YEAR(DATE(BK$3,12,31))-YEAR(情報入力!$C$23)-IF(DATE(BK$3,12,31)&lt;DATE(BK$3,MONTH(情報入力!$C$23),DAY(情報入力!$C$23)),1,0)))</f>
        <v/>
      </c>
      <c r="BL8" s="218">
        <f>IF(BL$3="","",IF(情報入力!$C$23="","",YEAR(DATE(BL$3,12,31))-YEAR(情報入力!$C$23)-IF(DATE(BL$3,12,31)&lt;DATE(BL$3,MONTH(情報入力!$C$23),DAY(情報入力!$C$23)),1,0)))</f>
        <v/>
      </c>
      <c r="BM8" s="218">
        <f>IF(BM$3="","",IF(情報入力!$C$23="","",YEAR(DATE(BM$3,12,31))-YEAR(情報入力!$C$23)-IF(DATE(BM$3,12,31)&lt;DATE(BM$3,MONTH(情報入力!$C$23),DAY(情報入力!$C$23)),1,0)))</f>
        <v/>
      </c>
      <c r="BN8" s="218">
        <f>IF(BN$3="","",IF(情報入力!$C$23="","",YEAR(DATE(BN$3,12,31))-YEAR(情報入力!$C$23)-IF(DATE(BN$3,12,31)&lt;DATE(BN$3,MONTH(情報入力!$C$23),DAY(情報入力!$C$23)),1,0)))</f>
        <v/>
      </c>
      <c r="BO8" s="218">
        <f>IF(BO$3="","",IF(情報入力!$C$23="","",YEAR(DATE(BO$3,12,31))-YEAR(情報入力!$C$23)-IF(DATE(BO$3,12,31)&lt;DATE(BO$3,MONTH(情報入力!$C$23),DAY(情報入力!$C$23)),1,0)))</f>
        <v/>
      </c>
      <c r="BP8" s="218">
        <f>IF(BP$3="","",IF(情報入力!$C$23="","",YEAR(DATE(BP$3,12,31))-YEAR(情報入力!$C$23)-IF(DATE(BP$3,12,31)&lt;DATE(BP$3,MONTH(情報入力!$C$23),DAY(情報入力!$C$23)),1,0)))</f>
        <v/>
      </c>
      <c r="BQ8" s="218">
        <f>IF(BQ$3="","",IF(情報入力!$C$23="","",YEAR(DATE(BQ$3,12,31))-YEAR(情報入力!$C$23)-IF(DATE(BQ$3,12,31)&lt;DATE(BQ$3,MONTH(情報入力!$C$23),DAY(情報入力!$C$23)),1,0)))</f>
        <v/>
      </c>
      <c r="BR8" s="218">
        <f>IF(BR$3="","",IF(情報入力!$C$23="","",YEAR(DATE(BR$3,12,31))-YEAR(情報入力!$C$23)-IF(DATE(BR$3,12,31)&lt;DATE(BR$3,MONTH(情報入力!$C$23),DAY(情報入力!$C$23)),1,0)))</f>
        <v/>
      </c>
      <c r="BS8" s="218">
        <f>IF(BS$3="","",IF(情報入力!$C$23="","",YEAR(DATE(BS$3,12,31))-YEAR(情報入力!$C$23)-IF(DATE(BS$3,12,31)&lt;DATE(BS$3,MONTH(情報入力!$C$23),DAY(情報入力!$C$23)),1,0)))</f>
        <v/>
      </c>
      <c r="BT8" s="218">
        <f>IF(BT$3="","",IF(情報入力!$C$23="","",YEAR(DATE(BT$3,12,31))-YEAR(情報入力!$C$23)-IF(DATE(BT$3,12,31)&lt;DATE(BT$3,MONTH(情報入力!$C$23),DAY(情報入力!$C$23)),1,0)))</f>
        <v/>
      </c>
      <c r="BU8" s="218">
        <f>IF(BU$3="","",IF(情報入力!$C$23="","",YEAR(DATE(BU$3,12,31))-YEAR(情報入力!$C$23)-IF(DATE(BU$3,12,31)&lt;DATE(BU$3,MONTH(情報入力!$C$23),DAY(情報入力!$C$23)),1,0)))</f>
        <v/>
      </c>
      <c r="BV8" s="218">
        <f>IF(BV$3="","",IF(情報入力!$C$23="","",YEAR(DATE(BV$3,12,31))-YEAR(情報入力!$C$23)-IF(DATE(BV$3,12,31)&lt;DATE(BV$3,MONTH(情報入力!$C$23),DAY(情報入力!$C$23)),1,0)))</f>
        <v/>
      </c>
      <c r="BW8" s="218">
        <f>IF(BW$3="","",IF(情報入力!$C$23="","",YEAR(DATE(BW$3,12,31))-YEAR(情報入力!$C$23)-IF(DATE(BW$3,12,31)&lt;DATE(BW$3,MONTH(情報入力!$C$23),DAY(情報入力!$C$23)),1,0)))</f>
        <v/>
      </c>
      <c r="BX8" s="218">
        <f>IF(BX$3="","",IF(情報入力!$C$23="","",YEAR(DATE(BX$3,12,31))-YEAR(情報入力!$C$23)-IF(DATE(BX$3,12,31)&lt;DATE(BX$3,MONTH(情報入力!$C$23),DAY(情報入力!$C$23)),1,0)))</f>
        <v/>
      </c>
      <c r="BY8" s="218">
        <f>IF(BY$3="","",IF(情報入力!$C$23="","",YEAR(DATE(BY$3,12,31))-YEAR(情報入力!$C$23)-IF(DATE(BY$3,12,31)&lt;DATE(BY$3,MONTH(情報入力!$C$23),DAY(情報入力!$C$23)),1,0)))</f>
        <v/>
      </c>
      <c r="BZ8" s="218">
        <f>IF(BZ$3="","",IF(情報入力!$C$23="","",YEAR(DATE(BZ$3,12,31))-YEAR(情報入力!$C$23)-IF(DATE(BZ$3,12,31)&lt;DATE(BZ$3,MONTH(情報入力!$C$23),DAY(情報入力!$C$23)),1,0)))</f>
        <v/>
      </c>
      <c r="CA8" s="218">
        <f>IF(CA$3="","",IF(情報入力!$C$23="","",YEAR(DATE(CA$3,12,31))-YEAR(情報入力!$C$23)-IF(DATE(CA$3,12,31)&lt;DATE(CA$3,MONTH(情報入力!$C$23),DAY(情報入力!$C$23)),1,0)))</f>
        <v/>
      </c>
      <c r="CB8" s="218">
        <f>IF(CB$3="","",IF(情報入力!$C$23="","",YEAR(DATE(CB$3,12,31))-YEAR(情報入力!$C$23)-IF(DATE(CB$3,12,31)&lt;DATE(CB$3,MONTH(情報入力!$C$23),DAY(情報入力!$C$23)),1,0)))</f>
        <v/>
      </c>
      <c r="CC8" s="218">
        <f>IF(CC$3="","",IF(情報入力!$C$23="","",YEAR(DATE(CC$3,12,31))-YEAR(情報入力!$C$23)-IF(DATE(CC$3,12,31)&lt;DATE(CC$3,MONTH(情報入力!$C$23),DAY(情報入力!$C$23)),1,0)))</f>
        <v/>
      </c>
      <c r="CD8" s="218">
        <f>IF(CD$3="","",IF(情報入力!$C$23="","",YEAR(DATE(CD$3,12,31))-YEAR(情報入力!$C$23)-IF(DATE(CD$3,12,31)&lt;DATE(CD$3,MONTH(情報入力!$C$23),DAY(情報入力!$C$23)),1,0)))</f>
        <v/>
      </c>
      <c r="CE8" s="218">
        <f>IF(CE$3="","",IF(情報入力!$C$23="","",YEAR(DATE(CE$3,12,31))-YEAR(情報入力!$C$23)-IF(DATE(CE$3,12,31)&lt;DATE(CE$3,MONTH(情報入力!$C$23),DAY(情報入力!$C$23)),1,0)))</f>
        <v/>
      </c>
      <c r="CF8" s="218">
        <f>IF(CF$3="","",IF(情報入力!$C$23="","",YEAR(DATE(CF$3,12,31))-YEAR(情報入力!$C$23)-IF(DATE(CF$3,12,31)&lt;DATE(CF$3,MONTH(情報入力!$C$23),DAY(情報入力!$C$23)),1,0)))</f>
        <v/>
      </c>
      <c r="CG8" s="218">
        <f>IF(CG$3="","",IF(情報入力!$C$23="","",YEAR(DATE(CG$3,12,31))-YEAR(情報入力!$C$23)-IF(DATE(CG$3,12,31)&lt;DATE(CG$3,MONTH(情報入力!$C$23),DAY(情報入力!$C$23)),1,0)))</f>
        <v/>
      </c>
      <c r="CH8" s="218">
        <f>IF(CH$3="","",IF(情報入力!$C$23="","",YEAR(DATE(CH$3,12,31))-YEAR(情報入力!$C$23)-IF(DATE(CH$3,12,31)&lt;DATE(CH$3,MONTH(情報入力!$C$23),DAY(情報入力!$C$23)),1,0)))</f>
        <v/>
      </c>
      <c r="CI8" s="218">
        <f>IF(CI$3="","",IF(情報入力!$C$23="","",YEAR(DATE(CI$3,12,31))-YEAR(情報入力!$C$23)-IF(DATE(CI$3,12,31)&lt;DATE(CI$3,MONTH(情報入力!$C$23),DAY(情報入力!$C$23)),1,0)))</f>
        <v/>
      </c>
      <c r="CJ8" s="218">
        <f>IF(CJ$3="","",IF(情報入力!$C$23="","",YEAR(DATE(CJ$3,12,31))-YEAR(情報入力!$C$23)-IF(DATE(CJ$3,12,31)&lt;DATE(CJ$3,MONTH(情報入力!$C$23),DAY(情報入力!$C$23)),1,0)))</f>
        <v/>
      </c>
      <c r="CK8" s="218">
        <f>IF(CK$3="","",IF(情報入力!$C$23="","",YEAR(DATE(CK$3,12,31))-YEAR(情報入力!$C$23)-IF(DATE(CK$3,12,31)&lt;DATE(CK$3,MONTH(情報入力!$C$23),DAY(情報入力!$C$23)),1,0)))</f>
        <v/>
      </c>
      <c r="CL8" s="218">
        <f>IF(CL$3="","",IF(情報入力!$C$23="","",YEAR(DATE(CL$3,12,31))-YEAR(情報入力!$C$23)-IF(DATE(CL$3,12,31)&lt;DATE(CL$3,MONTH(情報入力!$C$23),DAY(情報入力!$C$23)),1,0)))</f>
        <v/>
      </c>
      <c r="CM8" s="218">
        <f>IF(CM$3="","",IF(情報入力!$C$23="","",YEAR(DATE(CM$3,12,31))-YEAR(情報入力!$C$23)-IF(DATE(CM$3,12,31)&lt;DATE(CM$3,MONTH(情報入力!$C$23),DAY(情報入力!$C$23)),1,0)))</f>
        <v/>
      </c>
      <c r="CN8" s="218">
        <f>IF(CN$3="","",IF(情報入力!$C$23="","",YEAR(DATE(CN$3,12,31))-YEAR(情報入力!$C$23)-IF(DATE(CN$3,12,31)&lt;DATE(CN$3,MONTH(情報入力!$C$23),DAY(情報入力!$C$23)),1,0)))</f>
        <v/>
      </c>
      <c r="CO8" s="218">
        <f>IF(CO$3="","",IF(情報入力!$C$23="","",YEAR(DATE(CO$3,12,31))-YEAR(情報入力!$C$23)-IF(DATE(CO$3,12,31)&lt;DATE(CO$3,MONTH(情報入力!$C$23),DAY(情報入力!$C$23)),1,0)))</f>
        <v/>
      </c>
      <c r="CP8" s="218">
        <f>IF(CP$3="","",IF(情報入力!$C$23="","",YEAR(DATE(CP$3,12,31))-YEAR(情報入力!$C$23)-IF(DATE(CP$3,12,31)&lt;DATE(CP$3,MONTH(情報入力!$C$23),DAY(情報入力!$C$23)),1,0)))</f>
        <v/>
      </c>
      <c r="CQ8" s="218">
        <f>IF(CQ$3="","",IF(情報入力!$C$23="","",YEAR(DATE(CQ$3,12,31))-YEAR(情報入力!$C$23)-IF(DATE(CQ$3,12,31)&lt;DATE(CQ$3,MONTH(情報入力!$C$23),DAY(情報入力!$C$23)),1,0)))</f>
        <v/>
      </c>
      <c r="CR8" s="218">
        <f>IF(CR$3="","",IF(情報入力!$C$23="","",YEAR(DATE(CR$3,12,31))-YEAR(情報入力!$C$23)-IF(DATE(CR$3,12,31)&lt;DATE(CR$3,MONTH(情報入力!$C$23),DAY(情報入力!$C$23)),1,0)))</f>
        <v/>
      </c>
      <c r="CS8" s="218">
        <f>IF(CS$3="","",IF(情報入力!$C$23="","",YEAR(DATE(CS$3,12,31))-YEAR(情報入力!$C$23)-IF(DATE(CS$3,12,31)&lt;DATE(CS$3,MONTH(情報入力!$C$23),DAY(情報入力!$C$23)),1,0)))</f>
        <v/>
      </c>
      <c r="CT8" s="218">
        <f>IF(CT$3="","",IF(情報入力!$C$23="","",YEAR(DATE(CT$3,12,31))-YEAR(情報入力!$C$23)-IF(DATE(CT$3,12,31)&lt;DATE(CT$3,MONTH(情報入力!$C$23),DAY(情報入力!$C$23)),1,0)))</f>
        <v/>
      </c>
      <c r="CU8" s="218">
        <f>IF(CU$3="","",IF(情報入力!$C$23="","",YEAR(DATE(CU$3,12,31))-YEAR(情報入力!$C$23)-IF(DATE(CU$3,12,31)&lt;DATE(CU$3,MONTH(情報入力!$C$23),DAY(情報入力!$C$23)),1,0)))</f>
        <v/>
      </c>
      <c r="CV8" s="218">
        <f>IF(CV$3="","",IF(情報入力!$C$23="","",YEAR(DATE(CV$3,12,31))-YEAR(情報入力!$C$23)-IF(DATE(CV$3,12,31)&lt;DATE(CV$3,MONTH(情報入力!$C$23),DAY(情報入力!$C$23)),1,0)))</f>
        <v/>
      </c>
      <c r="CW8" s="218">
        <f>IF(CW$3="","",IF(情報入力!$C$23="","",YEAR(DATE(CW$3,12,31))-YEAR(情報入力!$C$23)-IF(DATE(CW$3,12,31)&lt;DATE(CW$3,MONTH(情報入力!$C$23),DAY(情報入力!$C$23)),1,0)))</f>
        <v/>
      </c>
    </row>
    <row r="9" ht="15" customHeight="1" s="180">
      <c r="A9" s="205" t="inlineStr">
        <is>
          <t>家族年齢</t>
        </is>
      </c>
      <c r="B9" s="219" t="n"/>
      <c r="C9" s="219" t="n"/>
      <c r="D9" s="219" t="n"/>
      <c r="E9" s="219" t="n"/>
      <c r="F9" s="219" t="n"/>
      <c r="G9" s="219" t="n"/>
      <c r="H9" s="219" t="n"/>
      <c r="I9" s="219" t="n"/>
      <c r="J9" s="219" t="n"/>
      <c r="K9" s="219" t="n"/>
      <c r="L9" s="219" t="n"/>
      <c r="M9" s="219" t="n"/>
      <c r="N9" s="219" t="n"/>
      <c r="O9" s="219" t="n"/>
      <c r="P9" s="219" t="n"/>
      <c r="Q9" s="219" t="n"/>
      <c r="R9" s="219" t="n"/>
      <c r="S9" s="219" t="n"/>
      <c r="T9" s="219" t="n"/>
      <c r="U9" s="219" t="n"/>
      <c r="V9" s="219" t="n"/>
      <c r="W9" s="219" t="n"/>
      <c r="X9" s="219" t="n"/>
      <c r="Y9" s="219" t="n"/>
      <c r="Z9" s="219" t="n"/>
      <c r="AA9" s="219" t="n"/>
      <c r="AB9" s="219" t="n"/>
      <c r="AC9" s="219" t="n"/>
      <c r="AD9" s="219" t="n"/>
      <c r="AE9" s="219" t="n"/>
      <c r="AF9" s="219" t="n"/>
      <c r="AG9" s="219" t="n"/>
      <c r="AH9" s="219" t="n"/>
      <c r="AI9" s="219" t="n"/>
      <c r="AJ9" s="219" t="n"/>
      <c r="AK9" s="219" t="n"/>
      <c r="AL9" s="219" t="n"/>
      <c r="AM9" s="219" t="n"/>
      <c r="AN9" s="219" t="n"/>
      <c r="AO9" s="219" t="n"/>
      <c r="AP9" s="219" t="n"/>
      <c r="AQ9" s="219" t="n"/>
      <c r="AR9" s="219" t="n"/>
      <c r="AS9" s="219" t="n"/>
      <c r="AT9" s="219" t="n"/>
      <c r="AU9" s="219" t="n"/>
      <c r="AV9" s="219" t="n"/>
      <c r="AW9" s="219" t="n"/>
      <c r="AX9" s="219" t="n"/>
      <c r="AY9" s="219" t="n"/>
      <c r="AZ9" s="219" t="n"/>
      <c r="BA9" s="219" t="n"/>
      <c r="BB9" s="219" t="n"/>
      <c r="BC9" s="219" t="n"/>
      <c r="BD9" s="219" t="n"/>
      <c r="BE9" s="219" t="n"/>
      <c r="BF9" s="219" t="n"/>
      <c r="BG9" s="219" t="n"/>
      <c r="BH9" s="219" t="n"/>
      <c r="BI9" s="219" t="n"/>
      <c r="BJ9" s="219" t="n"/>
      <c r="BK9" s="219" t="n"/>
      <c r="BL9" s="219" t="n"/>
      <c r="BM9" s="219" t="n"/>
      <c r="BN9" s="219" t="n"/>
      <c r="BO9" s="219" t="n"/>
      <c r="BP9" s="219" t="n"/>
      <c r="BQ9" s="219" t="n"/>
      <c r="BR9" s="219" t="n"/>
      <c r="BS9" s="219" t="n"/>
      <c r="BT9" s="219" t="n"/>
      <c r="BU9" s="219" t="n"/>
      <c r="BV9" s="219" t="n"/>
      <c r="BW9" s="219" t="n"/>
      <c r="BX9" s="219" t="n"/>
      <c r="BY9" s="219" t="n"/>
      <c r="BZ9" s="219" t="n"/>
      <c r="CA9" s="219" t="n"/>
      <c r="CB9" s="219" t="n"/>
      <c r="CC9" s="219" t="n"/>
      <c r="CD9" s="219" t="n"/>
      <c r="CE9" s="219" t="n"/>
      <c r="CF9" s="219" t="n"/>
      <c r="CG9" s="219" t="n"/>
      <c r="CH9" s="219" t="n"/>
      <c r="CI9" s="219" t="n"/>
      <c r="CJ9" s="219" t="n"/>
      <c r="CK9" s="219" t="n"/>
      <c r="CL9" s="219" t="n"/>
      <c r="CM9" s="219" t="n"/>
      <c r="CN9" s="219" t="n"/>
      <c r="CO9" s="219" t="n"/>
      <c r="CP9" s="219" t="n"/>
      <c r="CQ9" s="219" t="n"/>
      <c r="CR9" s="219" t="n"/>
      <c r="CS9" s="219" t="n"/>
      <c r="CT9" s="219" t="n"/>
      <c r="CU9" s="219" t="n"/>
      <c r="CV9" s="219" t="n"/>
      <c r="CW9" s="219" t="n"/>
    </row>
    <row r="10" ht="15" customHeight="1" s="180">
      <c r="A10" s="220" t="inlineStr">
        <is>
          <t>ご主人様収入</t>
        </is>
      </c>
      <c r="B10" s="350">
        <f>IF(B$3="","",IF(B4&lt;入力データ!$C$109,((入力データ!$C$29*12)+IF(入力データ!$C$31="あり",入力データ!$C$32,0))*(1+前提条件!$C$5)^(B$3-$B$3),0))</f>
        <v/>
      </c>
      <c r="C10" s="350">
        <f>IF(C$3="","",IF(C4&lt;入力データ!$C$109,((入力データ!$C$29*12)+IF(入力データ!$C$31="あり",入力データ!$C$32,0))*(1+前提条件!$C$5)^(C$3-$B$3),0))</f>
        <v/>
      </c>
      <c r="D10" s="350">
        <f>IF(D$3="","",IF(D4&lt;入力データ!$C$109,((入力データ!$C$29*12)+IF(入力データ!$C$31="あり",入力データ!$C$32,0))*(1+前提条件!$C$5)^(D$3-$B$3),0))</f>
        <v/>
      </c>
      <c r="E10" s="350">
        <f>IF(E$3="","",IF(E4&lt;入力データ!$C$109,((入力データ!$C$29*12)+IF(入力データ!$C$31="あり",入力データ!$C$32,0))*(1+前提条件!$C$5)^(E$3-$B$3),0))</f>
        <v/>
      </c>
      <c r="F10" s="350">
        <f>IF(F$3="","",IF(F4&lt;入力データ!$C$109,((入力データ!$C$29*12)+IF(入力データ!$C$31="あり",入力データ!$C$32,0))*(1+前提条件!$C$5)^(F$3-$B$3),0))</f>
        <v/>
      </c>
      <c r="G10" s="350">
        <f>IF(G$3="","",IF(G4&lt;入力データ!$C$109,((入力データ!$C$29*12)+IF(入力データ!$C$31="あり",入力データ!$C$32,0))*(1+前提条件!$C$5)^(G$3-$B$3),0))</f>
        <v/>
      </c>
      <c r="H10" s="350">
        <f>IF(H$3="","",IF(H4&lt;入力データ!$C$109,((入力データ!$C$29*12)+IF(入力データ!$C$31="あり",入力データ!$C$32,0))*(1+前提条件!$C$5)^(H$3-$B$3),0))</f>
        <v/>
      </c>
      <c r="I10" s="350">
        <f>IF(I$3="","",IF(I4&lt;入力データ!$C$109,((入力データ!$C$29*12)+IF(入力データ!$C$31="あり",入力データ!$C$32,0))*(1+前提条件!$C$5)^(I$3-$B$3),0))</f>
        <v/>
      </c>
      <c r="J10" s="350">
        <f>IF(J$3="","",IF(J4&lt;入力データ!$C$109,((入力データ!$C$29*12)+IF(入力データ!$C$31="あり",入力データ!$C$32,0))*(1+前提条件!$C$5)^(J$3-$B$3),0))</f>
        <v/>
      </c>
      <c r="K10" s="350">
        <f>IF(K$3="","",IF(K4&lt;入力データ!$C$109,((入力データ!$C$29*12)+IF(入力データ!$C$31="あり",入力データ!$C$32,0))*(1+前提条件!$C$5)^(K$3-$B$3),0))</f>
        <v/>
      </c>
      <c r="L10" s="350">
        <f>IF(L$3="","",IF(L4&lt;入力データ!$C$109,((入力データ!$C$29*12)+IF(入力データ!$C$31="あり",入力データ!$C$32,0))*(1+前提条件!$C$5)^(L$3-$B$3),0))</f>
        <v/>
      </c>
      <c r="M10" s="350">
        <f>IF(M$3="","",IF(M4&lt;入力データ!$C$109,((入力データ!$C$29*12)+IF(入力データ!$C$31="あり",入力データ!$C$32,0))*(1+前提条件!$C$5)^(M$3-$B$3),0))</f>
        <v/>
      </c>
      <c r="N10" s="350">
        <f>IF(N$3="","",IF(N4&lt;入力データ!$C$109,((入力データ!$C$29*12)+IF(入力データ!$C$31="あり",入力データ!$C$32,0))*(1+前提条件!$C$5)^(N$3-$B$3),0))</f>
        <v/>
      </c>
      <c r="O10" s="350">
        <f>IF(O$3="","",IF(O4&lt;入力データ!$C$109,((入力データ!$C$29*12)+IF(入力データ!$C$31="あり",入力データ!$C$32,0))*(1+前提条件!$C$5)^(O$3-$B$3),0))</f>
        <v/>
      </c>
      <c r="P10" s="350">
        <f>IF(P$3="","",IF(P4&lt;入力データ!$C$109,((入力データ!$C$29*12)+IF(入力データ!$C$31="あり",入力データ!$C$32,0))*(1+前提条件!$C$5)^(P$3-$B$3),0))</f>
        <v/>
      </c>
      <c r="Q10" s="350">
        <f>IF(Q$3="","",IF(Q4&lt;入力データ!$C$109,((入力データ!$C$29*12)+IF(入力データ!$C$31="あり",入力データ!$C$32,0))*(1+前提条件!$C$5)^(Q$3-$B$3),0))</f>
        <v/>
      </c>
      <c r="R10" s="350">
        <f>IF(R$3="","",IF(R4&lt;入力データ!$C$109,((入力データ!$C$29*12)+IF(入力データ!$C$31="あり",入力データ!$C$32,0))*(1+前提条件!$C$5)^(R$3-$B$3),0))</f>
        <v/>
      </c>
      <c r="S10" s="350">
        <f>IF(S$3="","",IF(S4&lt;入力データ!$C$109,((入力データ!$C$29*12)+IF(入力データ!$C$31="あり",入力データ!$C$32,0))*(1+前提条件!$C$5)^(S$3-$B$3),0))</f>
        <v/>
      </c>
      <c r="T10" s="350">
        <f>IF(T$3="","",IF(T4&lt;入力データ!$C$109,((入力データ!$C$29*12)+IF(入力データ!$C$31="あり",入力データ!$C$32,0))*(1+前提条件!$C$5)^(T$3-$B$3),0))</f>
        <v/>
      </c>
      <c r="U10" s="350">
        <f>IF(U$3="","",IF(U4&lt;入力データ!$C$109,((入力データ!$C$29*12)+IF(入力データ!$C$31="あり",入力データ!$C$32,0))*(1+前提条件!$C$5)^(U$3-$B$3),0))</f>
        <v/>
      </c>
      <c r="V10" s="350">
        <f>IF(V$3="","",IF(V4&lt;入力データ!$C$109,((入力データ!$C$29*12)+IF(入力データ!$C$31="あり",入力データ!$C$32,0))*(1+前提条件!$C$5)^(V$3-$B$3),0))</f>
        <v/>
      </c>
      <c r="W10" s="350">
        <f>IF(W$3="","",IF(W4&lt;入力データ!$C$109,((入力データ!$C$29*12)+IF(入力データ!$C$31="あり",入力データ!$C$32,0))*(1+前提条件!$C$5)^(W$3-$B$3),0))</f>
        <v/>
      </c>
      <c r="X10" s="350">
        <f>IF(X$3="","",IF(X4&lt;入力データ!$C$109,((入力データ!$C$29*12)+IF(入力データ!$C$31="あり",入力データ!$C$32,0))*(1+前提条件!$C$5)^(X$3-$B$3),0))</f>
        <v/>
      </c>
      <c r="Y10" s="350">
        <f>IF(Y$3="","",IF(Y4&lt;入力データ!$C$109,((入力データ!$C$29*12)+IF(入力データ!$C$31="あり",入力データ!$C$32,0))*(1+前提条件!$C$5)^(Y$3-$B$3),0))</f>
        <v/>
      </c>
      <c r="Z10" s="350">
        <f>IF(Z$3="","",IF(Z4&lt;入力データ!$C$109,((入力データ!$C$29*12)+IF(入力データ!$C$31="あり",入力データ!$C$32,0))*(1+前提条件!$C$5)^(Z$3-$B$3),0))</f>
        <v/>
      </c>
      <c r="AA10" s="350">
        <f>IF(AA$3="","",IF(AA4&lt;入力データ!$C$109,((入力データ!$C$29*12)+IF(入力データ!$C$31="あり",入力データ!$C$32,0))*(1+前提条件!$C$5)^(AA$3-$B$3),0))</f>
        <v/>
      </c>
      <c r="AB10" s="350">
        <f>IF(AB$3="","",IF(AB4&lt;入力データ!$C$109,((入力データ!$C$29*12)+IF(入力データ!$C$31="あり",入力データ!$C$32,0))*(1+前提条件!$C$5)^(AB$3-$B$3),0))</f>
        <v/>
      </c>
      <c r="AC10" s="350">
        <f>IF(AC$3="","",IF(AC4&lt;入力データ!$C$109,((入力データ!$C$29*12)+IF(入力データ!$C$31="あり",入力データ!$C$32,0))*(1+前提条件!$C$5)^(AC$3-$B$3),0))</f>
        <v/>
      </c>
      <c r="AD10" s="350">
        <f>IF(AD$3="","",IF(AD4&lt;入力データ!$C$109,((入力データ!$C$29*12)+IF(入力データ!$C$31="あり",入力データ!$C$32,0))*(1+前提条件!$C$5)^(AD$3-$B$3),0))</f>
        <v/>
      </c>
      <c r="AE10" s="350">
        <f>IF(AE$3="","",IF(AE4&lt;入力データ!$C$109,((入力データ!$C$29*12)+IF(入力データ!$C$31="あり",入力データ!$C$32,0))*(1+前提条件!$C$5)^(AE$3-$B$3),0))</f>
        <v/>
      </c>
      <c r="AF10" s="350">
        <f>IF(AF$3="","",IF(AF4&lt;入力データ!$C$109,((入力データ!$C$29*12)+IF(入力データ!$C$31="あり",入力データ!$C$32,0))*(1+前提条件!$C$5)^(AF$3-$B$3),0))</f>
        <v/>
      </c>
      <c r="AG10" s="350">
        <f>IF(AG$3="","",IF(AG4&lt;入力データ!$C$109,((入力データ!$C$29*12)+IF(入力データ!$C$31="あり",入力データ!$C$32,0))*(1+前提条件!$C$5)^(AG$3-$B$3),0))</f>
        <v/>
      </c>
      <c r="AH10" s="350">
        <f>IF(AH$3="","",IF(AH4&lt;入力データ!$C$109,((入力データ!$C$29*12)+IF(入力データ!$C$31="あり",入力データ!$C$32,0))*(1+前提条件!$C$5)^(AH$3-$B$3),0))</f>
        <v/>
      </c>
      <c r="AI10" s="350">
        <f>IF(AI$3="","",IF(AI4&lt;入力データ!$C$109,((入力データ!$C$29*12)+IF(入力データ!$C$31="あり",入力データ!$C$32,0))*(1+前提条件!$C$5)^(AI$3-$B$3),0))</f>
        <v/>
      </c>
      <c r="AJ10" s="350">
        <f>IF(AJ$3="","",IF(AJ4&lt;入力データ!$C$109,((入力データ!$C$29*12)+IF(入力データ!$C$31="あり",入力データ!$C$32,0))*(1+前提条件!$C$5)^(AJ$3-$B$3),0))</f>
        <v/>
      </c>
      <c r="AK10" s="350">
        <f>IF(AK$3="","",IF(AK4&lt;入力データ!$C$109,((入力データ!$C$29*12)+IF(入力データ!$C$31="あり",入力データ!$C$32,0))*(1+前提条件!$C$5)^(AK$3-$B$3),0))</f>
        <v/>
      </c>
      <c r="AL10" s="350">
        <f>IF(AL$3="","",IF(AL4&lt;入力データ!$C$109,((入力データ!$C$29*12)+IF(入力データ!$C$31="あり",入力データ!$C$32,0))*(1+前提条件!$C$5)^(AL$3-$B$3),0))</f>
        <v/>
      </c>
      <c r="AM10" s="350">
        <f>IF(AM$3="","",IF(AM4&lt;入力データ!$C$109,((入力データ!$C$29*12)+IF(入力データ!$C$31="あり",入力データ!$C$32,0))*(1+前提条件!$C$5)^(AM$3-$B$3),0))</f>
        <v/>
      </c>
      <c r="AN10" s="350">
        <f>IF(AN$3="","",IF(AN4&lt;入力データ!$C$109,((入力データ!$C$29*12)+IF(入力データ!$C$31="あり",入力データ!$C$32,0))*(1+前提条件!$C$5)^(AN$3-$B$3),0))</f>
        <v/>
      </c>
      <c r="AO10" s="350">
        <f>IF(AO$3="","",IF(AO4&lt;入力データ!$C$109,((入力データ!$C$29*12)+IF(入力データ!$C$31="あり",入力データ!$C$32,0))*(1+前提条件!$C$5)^(AO$3-$B$3),0))</f>
        <v/>
      </c>
      <c r="AP10" s="350">
        <f>IF(AP$3="","",IF(AP4&lt;入力データ!$C$109,((入力データ!$C$29*12)+IF(入力データ!$C$31="あり",入力データ!$C$32,0))*(1+前提条件!$C$5)^(AP$3-$B$3),0))</f>
        <v/>
      </c>
      <c r="AQ10" s="350">
        <f>IF(AQ$3="","",IF(AQ4&lt;入力データ!$C$109,((入力データ!$C$29*12)+IF(入力データ!$C$31="あり",入力データ!$C$32,0))*(1+前提条件!$C$5)^(AQ$3-$B$3),0))</f>
        <v/>
      </c>
      <c r="AR10" s="350">
        <f>IF(AR$3="","",IF(AR4&lt;入力データ!$C$109,((入力データ!$C$29*12)+IF(入力データ!$C$31="あり",入力データ!$C$32,0))*(1+前提条件!$C$5)^(AR$3-$B$3),0))</f>
        <v/>
      </c>
      <c r="AS10" s="350">
        <f>IF(AS$3="","",IF(AS4&lt;入力データ!$C$109,((入力データ!$C$29*12)+IF(入力データ!$C$31="あり",入力データ!$C$32,0))*(1+前提条件!$C$5)^(AS$3-$B$3),0))</f>
        <v/>
      </c>
      <c r="AT10" s="350">
        <f>IF(AT$3="","",IF(AT4&lt;入力データ!$C$109,((入力データ!$C$29*12)+IF(入力データ!$C$31="あり",入力データ!$C$32,0))*(1+前提条件!$C$5)^(AT$3-$B$3),0))</f>
        <v/>
      </c>
      <c r="AU10" s="350">
        <f>IF(AU$3="","",IF(AU4&lt;入力データ!$C$109,((入力データ!$C$29*12)+IF(入力データ!$C$31="あり",入力データ!$C$32,0))*(1+前提条件!$C$5)^(AU$3-$B$3),0))</f>
        <v/>
      </c>
      <c r="AV10" s="350">
        <f>IF(AV$3="","",IF(AV4&lt;入力データ!$C$109,((入力データ!$C$29*12)+IF(入力データ!$C$31="あり",入力データ!$C$32,0))*(1+前提条件!$C$5)^(AV$3-$B$3),0))</f>
        <v/>
      </c>
      <c r="AW10" s="350">
        <f>IF(AW$3="","",IF(AW4&lt;入力データ!$C$109,((入力データ!$C$29*12)+IF(入力データ!$C$31="あり",入力データ!$C$32,0))*(1+前提条件!$C$5)^(AW$3-$B$3),0))</f>
        <v/>
      </c>
      <c r="AX10" s="350">
        <f>IF(AX$3="","",IF(AX4&lt;入力データ!$C$109,((入力データ!$C$29*12)+IF(入力データ!$C$31="あり",入力データ!$C$32,0))*(1+前提条件!$C$5)^(AX$3-$B$3),0))</f>
        <v/>
      </c>
      <c r="AY10" s="350">
        <f>IF(AY$3="","",IF(AY4&lt;入力データ!$C$109,((入力データ!$C$29*12)+IF(入力データ!$C$31="あり",入力データ!$C$32,0))*(1+前提条件!$C$5)^(AY$3-$B$3),0))</f>
        <v/>
      </c>
      <c r="AZ10" s="350">
        <f>IF(AZ$3="","",IF(AZ4&lt;入力データ!$C$109,((入力データ!$C$29*12)+IF(入力データ!$C$31="あり",入力データ!$C$32,0))*(1+前提条件!$C$5)^(AZ$3-$B$3),0))</f>
        <v/>
      </c>
      <c r="BA10" s="350">
        <f>IF(BA$3="","",IF(BA4&lt;入力データ!$C$109,((入力データ!$C$29*12)+IF(入力データ!$C$31="あり",入力データ!$C$32,0))*(1+前提条件!$C$5)^(BA$3-$B$3),0))</f>
        <v/>
      </c>
      <c r="BB10" s="350">
        <f>IF(BB$3="","",IF(BB4&lt;入力データ!$C$109,((入力データ!$C$29*12)+IF(入力データ!$C$31="あり",入力データ!$C$32,0))*(1+前提条件!$C$5)^(BB$3-$B$3),0))</f>
        <v/>
      </c>
      <c r="BC10" s="350">
        <f>IF(BC$3="","",IF(BC4&lt;入力データ!$C$109,((入力データ!$C$29*12)+IF(入力データ!$C$31="あり",入力データ!$C$32,0))*(1+前提条件!$C$5)^(BC$3-$B$3),0))</f>
        <v/>
      </c>
      <c r="BD10" s="350">
        <f>IF(BD$3="","",IF(BD4&lt;入力データ!$C$109,((入力データ!$C$29*12)+IF(入力データ!$C$31="あり",入力データ!$C$32,0))*(1+前提条件!$C$5)^(BD$3-$B$3),0))</f>
        <v/>
      </c>
      <c r="BE10" s="350">
        <f>IF(BE$3="","",IF(BE4&lt;入力データ!$C$109,((入力データ!$C$29*12)+IF(入力データ!$C$31="あり",入力データ!$C$32,0))*(1+前提条件!$C$5)^(BE$3-$B$3),0))</f>
        <v/>
      </c>
      <c r="BF10" s="350">
        <f>IF(BF$3="","",IF(BF4&lt;入力データ!$C$109,((入力データ!$C$29*12)+IF(入力データ!$C$31="あり",入力データ!$C$32,0))*(1+前提条件!$C$5)^(BF$3-$B$3),0))</f>
        <v/>
      </c>
      <c r="BG10" s="350">
        <f>IF(BG$3="","",IF(BG4&lt;入力データ!$C$109,((入力データ!$C$29*12)+IF(入力データ!$C$31="あり",入力データ!$C$32,0))*(1+前提条件!$C$5)^(BG$3-$B$3),0))</f>
        <v/>
      </c>
      <c r="BH10" s="350">
        <f>IF(BH$3="","",IF(BH4&lt;入力データ!$C$109,((入力データ!$C$29*12)+IF(入力データ!$C$31="あり",入力データ!$C$32,0))*(1+前提条件!$C$5)^(BH$3-$B$3),0))</f>
        <v/>
      </c>
      <c r="BI10" s="350">
        <f>IF(BI$3="","",IF(BI4&lt;入力データ!$C$109,((入力データ!$C$29*12)+IF(入力データ!$C$31="あり",入力データ!$C$32,0))*(1+前提条件!$C$5)^(BI$3-$B$3),0))</f>
        <v/>
      </c>
      <c r="BJ10" s="350">
        <f>IF(BJ$3="","",IF(BJ4&lt;入力データ!$C$109,((入力データ!$C$29*12)+IF(入力データ!$C$31="あり",入力データ!$C$32,0))*(1+前提条件!$C$5)^(BJ$3-$B$3),0))</f>
        <v/>
      </c>
      <c r="BK10" s="350">
        <f>IF(BK$3="","",IF(BK4&lt;入力データ!$C$109,((入力データ!$C$29*12)+IF(入力データ!$C$31="あり",入力データ!$C$32,0))*(1+前提条件!$C$5)^(BK$3-$B$3),0))</f>
        <v/>
      </c>
      <c r="BL10" s="350">
        <f>IF(BL$3="","",IF(BL4&lt;入力データ!$C$109,((入力データ!$C$29*12)+IF(入力データ!$C$31="あり",入力データ!$C$32,0))*(1+前提条件!$C$5)^(BL$3-$B$3),0))</f>
        <v/>
      </c>
      <c r="BM10" s="350">
        <f>IF(BM$3="","",IF(BM4&lt;入力データ!$C$109,((入力データ!$C$29*12)+IF(入力データ!$C$31="あり",入力データ!$C$32,0))*(1+前提条件!$C$5)^(BM$3-$B$3),0))</f>
        <v/>
      </c>
      <c r="BN10" s="350">
        <f>IF(BN$3="","",IF(BN4&lt;入力データ!$C$109,((入力データ!$C$29*12)+IF(入力データ!$C$31="あり",入力データ!$C$32,0))*(1+前提条件!$C$5)^(BN$3-$B$3),0))</f>
        <v/>
      </c>
      <c r="BO10" s="350">
        <f>IF(BO$3="","",IF(BO4&lt;入力データ!$C$109,((入力データ!$C$29*12)+IF(入力データ!$C$31="あり",入力データ!$C$32,0))*(1+前提条件!$C$5)^(BO$3-$B$3),0))</f>
        <v/>
      </c>
      <c r="BP10" s="350">
        <f>IF(BP$3="","",IF(BP4&lt;入力データ!$C$109,((入力データ!$C$29*12)+IF(入力データ!$C$31="あり",入力データ!$C$32,0))*(1+前提条件!$C$5)^(BP$3-$B$3),0))</f>
        <v/>
      </c>
      <c r="BQ10" s="350">
        <f>IF(BQ$3="","",IF(BQ4&lt;入力データ!$C$109,((入力データ!$C$29*12)+IF(入力データ!$C$31="あり",入力データ!$C$32,0))*(1+前提条件!$C$5)^(BQ$3-$B$3),0))</f>
        <v/>
      </c>
      <c r="BR10" s="350">
        <f>IF(BR$3="","",IF(BR4&lt;入力データ!$C$109,((入力データ!$C$29*12)+IF(入力データ!$C$31="あり",入力データ!$C$32,0))*(1+前提条件!$C$5)^(BR$3-$B$3),0))</f>
        <v/>
      </c>
      <c r="BS10" s="350">
        <f>IF(BS$3="","",IF(BS4&lt;入力データ!$C$109,((入力データ!$C$29*12)+IF(入力データ!$C$31="あり",入力データ!$C$32,0))*(1+前提条件!$C$5)^(BS$3-$B$3),0))</f>
        <v/>
      </c>
      <c r="BT10" s="350">
        <f>IF(BT$3="","",IF(BT4&lt;入力データ!$C$109,((入力データ!$C$29*12)+IF(入力データ!$C$31="あり",入力データ!$C$32,0))*(1+前提条件!$C$5)^(BT$3-$B$3),0))</f>
        <v/>
      </c>
      <c r="BU10" s="350">
        <f>IF(BU$3="","",IF(BU4&lt;入力データ!$C$109,((入力データ!$C$29*12)+IF(入力データ!$C$31="あり",入力データ!$C$32,0))*(1+前提条件!$C$5)^(BU$3-$B$3),0))</f>
        <v/>
      </c>
      <c r="BV10" s="350">
        <f>IF(BV$3="","",IF(BV4&lt;入力データ!$C$109,((入力データ!$C$29*12)+IF(入力データ!$C$31="あり",入力データ!$C$32,0))*(1+前提条件!$C$5)^(BV$3-$B$3),0))</f>
        <v/>
      </c>
      <c r="BW10" s="350">
        <f>IF(BW$3="","",IF(BW4&lt;入力データ!$C$109,((入力データ!$C$29*12)+IF(入力データ!$C$31="あり",入力データ!$C$32,0))*(1+前提条件!$C$5)^(BW$3-$B$3),0))</f>
        <v/>
      </c>
      <c r="BX10" s="350">
        <f>IF(BX$3="","",IF(BX4&lt;入力データ!$C$109,((入力データ!$C$29*12)+IF(入力データ!$C$31="あり",入力データ!$C$32,0))*(1+前提条件!$C$5)^(BX$3-$B$3),0))</f>
        <v/>
      </c>
      <c r="BY10" s="350">
        <f>IF(BY$3="","",IF(BY4&lt;入力データ!$C$109,((入力データ!$C$29*12)+IF(入力データ!$C$31="あり",入力データ!$C$32,0))*(1+前提条件!$C$5)^(BY$3-$B$3),0))</f>
        <v/>
      </c>
      <c r="BZ10" s="350">
        <f>IF(BZ$3="","",IF(BZ4&lt;入力データ!$C$109,((入力データ!$C$29*12)+IF(入力データ!$C$31="あり",入力データ!$C$32,0))*(1+前提条件!$C$5)^(BZ$3-$B$3),0))</f>
        <v/>
      </c>
      <c r="CA10" s="350">
        <f>IF(CA$3="","",IF(CA4&lt;入力データ!$C$109,((入力データ!$C$29*12)+IF(入力データ!$C$31="あり",入力データ!$C$32,0))*(1+前提条件!$C$5)^(CA$3-$B$3),0))</f>
        <v/>
      </c>
      <c r="CB10" s="350">
        <f>IF(CB$3="","",IF(CB4&lt;入力データ!$C$109,((入力データ!$C$29*12)+IF(入力データ!$C$31="あり",入力データ!$C$32,0))*(1+前提条件!$C$5)^(CB$3-$B$3),0))</f>
        <v/>
      </c>
      <c r="CC10" s="350">
        <f>IF(CC$3="","",IF(CC4&lt;入力データ!$C$109,((入力データ!$C$29*12)+IF(入力データ!$C$31="あり",入力データ!$C$32,0))*(1+前提条件!$C$5)^(CC$3-$B$3),0))</f>
        <v/>
      </c>
      <c r="CD10" s="350">
        <f>IF(CD$3="","",IF(CD4&lt;入力データ!$C$109,((入力データ!$C$29*12)+IF(入力データ!$C$31="あり",入力データ!$C$32,0))*(1+前提条件!$C$5)^(CD$3-$B$3),0))</f>
        <v/>
      </c>
      <c r="CE10" s="350">
        <f>IF(CE$3="","",IF(CE4&lt;入力データ!$C$109,((入力データ!$C$29*12)+IF(入力データ!$C$31="あり",入力データ!$C$32,0))*(1+前提条件!$C$5)^(CE$3-$B$3),0))</f>
        <v/>
      </c>
      <c r="CF10" s="350">
        <f>IF(CF$3="","",IF(CF4&lt;入力データ!$C$109,((入力データ!$C$29*12)+IF(入力データ!$C$31="あり",入力データ!$C$32,0))*(1+前提条件!$C$5)^(CF$3-$B$3),0))</f>
        <v/>
      </c>
      <c r="CG10" s="350">
        <f>IF(CG$3="","",IF(CG4&lt;入力データ!$C$109,((入力データ!$C$29*12)+IF(入力データ!$C$31="あり",入力データ!$C$32,0))*(1+前提条件!$C$5)^(CG$3-$B$3),0))</f>
        <v/>
      </c>
      <c r="CH10" s="350">
        <f>IF(CH$3="","",IF(CH4&lt;入力データ!$C$109,((入力データ!$C$29*12)+IF(入力データ!$C$31="あり",入力データ!$C$32,0))*(1+前提条件!$C$5)^(CH$3-$B$3),0))</f>
        <v/>
      </c>
      <c r="CI10" s="350">
        <f>IF(CI$3="","",IF(CI4&lt;入力データ!$C$109,((入力データ!$C$29*12)+IF(入力データ!$C$31="あり",入力データ!$C$32,0))*(1+前提条件!$C$5)^(CI$3-$B$3),0))</f>
        <v/>
      </c>
      <c r="CJ10" s="350">
        <f>IF(CJ$3="","",IF(CJ4&lt;入力データ!$C$109,((入力データ!$C$29*12)+IF(入力データ!$C$31="あり",入力データ!$C$32,0))*(1+前提条件!$C$5)^(CJ$3-$B$3),0))</f>
        <v/>
      </c>
      <c r="CK10" s="350">
        <f>IF(CK$3="","",IF(CK4&lt;入力データ!$C$109,((入力データ!$C$29*12)+IF(入力データ!$C$31="あり",入力データ!$C$32,0))*(1+前提条件!$C$5)^(CK$3-$B$3),0))</f>
        <v/>
      </c>
      <c r="CL10" s="350">
        <f>IF(CL$3="","",IF(CL4&lt;入力データ!$C$109,((入力データ!$C$29*12)+IF(入力データ!$C$31="あり",入力データ!$C$32,0))*(1+前提条件!$C$5)^(CL$3-$B$3),0))</f>
        <v/>
      </c>
      <c r="CM10" s="350">
        <f>IF(CM$3="","",IF(CM4&lt;入力データ!$C$109,((入力データ!$C$29*12)+IF(入力データ!$C$31="あり",入力データ!$C$32,0))*(1+前提条件!$C$5)^(CM$3-$B$3),0))</f>
        <v/>
      </c>
      <c r="CN10" s="350">
        <f>IF(CN$3="","",IF(CN4&lt;入力データ!$C$109,((入力データ!$C$29*12)+IF(入力データ!$C$31="あり",入力データ!$C$32,0))*(1+前提条件!$C$5)^(CN$3-$B$3),0))</f>
        <v/>
      </c>
      <c r="CO10" s="350">
        <f>IF(CO$3="","",IF(CO4&lt;入力データ!$C$109,((入力データ!$C$29*12)+IF(入力データ!$C$31="あり",入力データ!$C$32,0))*(1+前提条件!$C$5)^(CO$3-$B$3),0))</f>
        <v/>
      </c>
      <c r="CP10" s="350">
        <f>IF(CP$3="","",IF(CP4&lt;入力データ!$C$109,((入力データ!$C$29*12)+IF(入力データ!$C$31="あり",入力データ!$C$32,0))*(1+前提条件!$C$5)^(CP$3-$B$3),0))</f>
        <v/>
      </c>
      <c r="CQ10" s="350">
        <f>IF(CQ$3="","",IF(CQ4&lt;入力データ!$C$109,((入力データ!$C$29*12)+IF(入力データ!$C$31="あり",入力データ!$C$32,0))*(1+前提条件!$C$5)^(CQ$3-$B$3),0))</f>
        <v/>
      </c>
      <c r="CR10" s="350">
        <f>IF(CR$3="","",IF(CR4&lt;入力データ!$C$109,((入力データ!$C$29*12)+IF(入力データ!$C$31="あり",入力データ!$C$32,0))*(1+前提条件!$C$5)^(CR$3-$B$3),0))</f>
        <v/>
      </c>
      <c r="CS10" s="350">
        <f>IF(CS$3="","",IF(CS4&lt;入力データ!$C$109,((入力データ!$C$29*12)+IF(入力データ!$C$31="あり",入力データ!$C$32,0))*(1+前提条件!$C$5)^(CS$3-$B$3),0))</f>
        <v/>
      </c>
      <c r="CT10" s="350">
        <f>IF(CT$3="","",IF(CT4&lt;入力データ!$C$109,((入力データ!$C$29*12)+IF(入力データ!$C$31="あり",入力データ!$C$32,0))*(1+前提条件!$C$5)^(CT$3-$B$3),0))</f>
        <v/>
      </c>
      <c r="CU10" s="350">
        <f>IF(CU$3="","",IF(CU4&lt;入力データ!$C$109,((入力データ!$C$29*12)+IF(入力データ!$C$31="あり",入力データ!$C$32,0))*(1+前提条件!$C$5)^(CU$3-$B$3),0))</f>
        <v/>
      </c>
      <c r="CV10" s="350">
        <f>IF(CV$3="","",IF(CV4&lt;入力データ!$C$109,((入力データ!$C$29*12)+IF(入力データ!$C$31="あり",入力データ!$C$32,0))*(1+前提条件!$C$5)^(CV$3-$B$3),0))</f>
        <v/>
      </c>
      <c r="CW10" s="350">
        <f>IF(CW$3="","",IF(CW4&lt;入力データ!$C$109,((入力データ!$C$29*12)+IF(入力データ!$C$31="あり",入力データ!$C$32,0))*(1+前提条件!$C$5)^(CW$3-$B$3),0))</f>
        <v/>
      </c>
    </row>
    <row r="11" ht="15" customHeight="1" s="180">
      <c r="A11" s="220" t="inlineStr">
        <is>
          <t>奥様収入</t>
        </is>
      </c>
      <c r="B11" s="350">
        <f>IF(B$3="","",IF(B5&lt;入力データ!$C$110,((入力データ!$C$30*12)+IF(入力データ!$C$31="あり",入力データ!$C$33,0))*(1+前提条件!$C$6)^(B$3-$B$3),0))</f>
        <v/>
      </c>
      <c r="C11" s="350">
        <f>IF(C$3="","",IF(C5&lt;入力データ!$C$110,((入力データ!$C$30*12)+IF(入力データ!$C$31="あり",入力データ!$C$33,0))*(1+前提条件!$C$6)^(C$3-$B$3),0))</f>
        <v/>
      </c>
      <c r="D11" s="350">
        <f>IF(D$3="","",IF(D5&lt;入力データ!$C$110,((入力データ!$C$30*12)+IF(入力データ!$C$31="あり",入力データ!$C$33,0))*(1+前提条件!$C$6)^(D$3-$B$3),0))</f>
        <v/>
      </c>
      <c r="E11" s="350">
        <f>IF(E$3="","",IF(E5&lt;入力データ!$C$110,((入力データ!$C$30*12)+IF(入力データ!$C$31="あり",入力データ!$C$33,0))*(1+前提条件!$C$6)^(E$3-$B$3),0))</f>
        <v/>
      </c>
      <c r="F11" s="350">
        <f>IF(F$3="","",IF(F5&lt;入力データ!$C$110,((入力データ!$C$30*12)+IF(入力データ!$C$31="あり",入力データ!$C$33,0))*(1+前提条件!$C$6)^(F$3-$B$3),0))</f>
        <v/>
      </c>
      <c r="G11" s="350">
        <f>IF(G$3="","",IF(G5&lt;入力データ!$C$110,((入力データ!$C$30*12)+IF(入力データ!$C$31="あり",入力データ!$C$33,0))*(1+前提条件!$C$6)^(G$3-$B$3),0))</f>
        <v/>
      </c>
      <c r="H11" s="350">
        <f>IF(H$3="","",IF(H5&lt;入力データ!$C$110,((入力データ!$C$30*12)+IF(入力データ!$C$31="あり",入力データ!$C$33,0))*(1+前提条件!$C$6)^(H$3-$B$3),0))</f>
        <v/>
      </c>
      <c r="I11" s="350">
        <f>IF(I$3="","",IF(I5&lt;入力データ!$C$110,((入力データ!$C$30*12)+IF(入力データ!$C$31="あり",入力データ!$C$33,0))*(1+前提条件!$C$6)^(I$3-$B$3),0))</f>
        <v/>
      </c>
      <c r="J11" s="350">
        <f>IF(J$3="","",IF(J5&lt;入力データ!$C$110,((入力データ!$C$30*12)+IF(入力データ!$C$31="あり",入力データ!$C$33,0))*(1+前提条件!$C$6)^(J$3-$B$3),0))</f>
        <v/>
      </c>
      <c r="K11" s="350">
        <f>IF(K$3="","",IF(K5&lt;入力データ!$C$110,((入力データ!$C$30*12)+IF(入力データ!$C$31="あり",入力データ!$C$33,0))*(1+前提条件!$C$6)^(K$3-$B$3),0))</f>
        <v/>
      </c>
      <c r="L11" s="350">
        <f>IF(L$3="","",IF(L5&lt;入力データ!$C$110,((入力データ!$C$30*12)+IF(入力データ!$C$31="あり",入力データ!$C$33,0))*(1+前提条件!$C$6)^(L$3-$B$3),0))</f>
        <v/>
      </c>
      <c r="M11" s="350">
        <f>IF(M$3="","",IF(M5&lt;入力データ!$C$110,((入力データ!$C$30*12)+IF(入力データ!$C$31="あり",入力データ!$C$33,0))*(1+前提条件!$C$6)^(M$3-$B$3),0))</f>
        <v/>
      </c>
      <c r="N11" s="350">
        <f>IF(N$3="","",IF(N5&lt;入力データ!$C$110,((入力データ!$C$30*12)+IF(入力データ!$C$31="あり",入力データ!$C$33,0))*(1+前提条件!$C$6)^(N$3-$B$3),0))</f>
        <v/>
      </c>
      <c r="O11" s="350">
        <f>IF(O$3="","",IF(O5&lt;入力データ!$C$110,((入力データ!$C$30*12)+IF(入力データ!$C$31="あり",入力データ!$C$33,0))*(1+前提条件!$C$6)^(O$3-$B$3),0))</f>
        <v/>
      </c>
      <c r="P11" s="350">
        <f>IF(P$3="","",IF(P5&lt;入力データ!$C$110,((入力データ!$C$30*12)+IF(入力データ!$C$31="あり",入力データ!$C$33,0))*(1+前提条件!$C$6)^(P$3-$B$3),0))</f>
        <v/>
      </c>
      <c r="Q11" s="350">
        <f>IF(Q$3="","",IF(Q5&lt;入力データ!$C$110,((入力データ!$C$30*12)+IF(入力データ!$C$31="あり",入力データ!$C$33,0))*(1+前提条件!$C$6)^(Q$3-$B$3),0))</f>
        <v/>
      </c>
      <c r="R11" s="350">
        <f>IF(R$3="","",IF(R5&lt;入力データ!$C$110,((入力データ!$C$30*12)+IF(入力データ!$C$31="あり",入力データ!$C$33,0))*(1+前提条件!$C$6)^(R$3-$B$3),0))</f>
        <v/>
      </c>
      <c r="S11" s="350">
        <f>IF(S$3="","",IF(S5&lt;入力データ!$C$110,((入力データ!$C$30*12)+IF(入力データ!$C$31="あり",入力データ!$C$33,0))*(1+前提条件!$C$6)^(S$3-$B$3),0))</f>
        <v/>
      </c>
      <c r="T11" s="350">
        <f>IF(T$3="","",IF(T5&lt;入力データ!$C$110,((入力データ!$C$30*12)+IF(入力データ!$C$31="あり",入力データ!$C$33,0))*(1+前提条件!$C$6)^(T$3-$B$3),0))</f>
        <v/>
      </c>
      <c r="U11" s="350">
        <f>IF(U$3="","",IF(U5&lt;入力データ!$C$110,((入力データ!$C$30*12)+IF(入力データ!$C$31="あり",入力データ!$C$33,0))*(1+前提条件!$C$6)^(U$3-$B$3),0))</f>
        <v/>
      </c>
      <c r="V11" s="350">
        <f>IF(V$3="","",IF(V5&lt;入力データ!$C$110,((入力データ!$C$30*12)+IF(入力データ!$C$31="あり",入力データ!$C$33,0))*(1+前提条件!$C$6)^(V$3-$B$3),0))</f>
        <v/>
      </c>
      <c r="W11" s="350">
        <f>IF(W$3="","",IF(W5&lt;入力データ!$C$110,((入力データ!$C$30*12)+IF(入力データ!$C$31="あり",入力データ!$C$33,0))*(1+前提条件!$C$6)^(W$3-$B$3),0))</f>
        <v/>
      </c>
      <c r="X11" s="350">
        <f>IF(X$3="","",IF(X5&lt;入力データ!$C$110,((入力データ!$C$30*12)+IF(入力データ!$C$31="あり",入力データ!$C$33,0))*(1+前提条件!$C$6)^(X$3-$B$3),0))</f>
        <v/>
      </c>
      <c r="Y11" s="350">
        <f>IF(Y$3="","",IF(Y5&lt;入力データ!$C$110,((入力データ!$C$30*12)+IF(入力データ!$C$31="あり",入力データ!$C$33,0))*(1+前提条件!$C$6)^(Y$3-$B$3),0))</f>
        <v/>
      </c>
      <c r="Z11" s="350">
        <f>IF(Z$3="","",IF(Z5&lt;入力データ!$C$110,((入力データ!$C$30*12)+IF(入力データ!$C$31="あり",入力データ!$C$33,0))*(1+前提条件!$C$6)^(Z$3-$B$3),0))</f>
        <v/>
      </c>
      <c r="AA11" s="350">
        <f>IF(AA$3="","",IF(AA5&lt;入力データ!$C$110,((入力データ!$C$30*12)+IF(入力データ!$C$31="あり",入力データ!$C$33,0))*(1+前提条件!$C$6)^(AA$3-$B$3),0))</f>
        <v/>
      </c>
      <c r="AB11" s="350">
        <f>IF(AB$3="","",IF(AB5&lt;入力データ!$C$110,((入力データ!$C$30*12)+IF(入力データ!$C$31="あり",入力データ!$C$33,0))*(1+前提条件!$C$6)^(AB$3-$B$3),0))</f>
        <v/>
      </c>
      <c r="AC11" s="350">
        <f>IF(AC$3="","",IF(AC5&lt;入力データ!$C$110,((入力データ!$C$30*12)+IF(入力データ!$C$31="あり",入力データ!$C$33,0))*(1+前提条件!$C$6)^(AC$3-$B$3),0))</f>
        <v/>
      </c>
      <c r="AD11" s="350">
        <f>IF(AD$3="","",IF(AD5&lt;入力データ!$C$110,((入力データ!$C$30*12)+IF(入力データ!$C$31="あり",入力データ!$C$33,0))*(1+前提条件!$C$6)^(AD$3-$B$3),0))</f>
        <v/>
      </c>
      <c r="AE11" s="350">
        <f>IF(AE$3="","",IF(AE5&lt;入力データ!$C$110,((入力データ!$C$30*12)+IF(入力データ!$C$31="あり",入力データ!$C$33,0))*(1+前提条件!$C$6)^(AE$3-$B$3),0))</f>
        <v/>
      </c>
      <c r="AF11" s="350">
        <f>IF(AF$3="","",IF(AF5&lt;入力データ!$C$110,((入力データ!$C$30*12)+IF(入力データ!$C$31="あり",入力データ!$C$33,0))*(1+前提条件!$C$6)^(AF$3-$B$3),0))</f>
        <v/>
      </c>
      <c r="AG11" s="350">
        <f>IF(AG$3="","",IF(AG5&lt;入力データ!$C$110,((入力データ!$C$30*12)+IF(入力データ!$C$31="あり",入力データ!$C$33,0))*(1+前提条件!$C$6)^(AG$3-$B$3),0))</f>
        <v/>
      </c>
      <c r="AH11" s="350">
        <f>IF(AH$3="","",IF(AH5&lt;入力データ!$C$110,((入力データ!$C$30*12)+IF(入力データ!$C$31="あり",入力データ!$C$33,0))*(1+前提条件!$C$6)^(AH$3-$B$3),0))</f>
        <v/>
      </c>
      <c r="AI11" s="350">
        <f>IF(AI$3="","",IF(AI5&lt;入力データ!$C$110,((入力データ!$C$30*12)+IF(入力データ!$C$31="あり",入力データ!$C$33,0))*(1+前提条件!$C$6)^(AI$3-$B$3),0))</f>
        <v/>
      </c>
      <c r="AJ11" s="350">
        <f>IF(AJ$3="","",IF(AJ5&lt;入力データ!$C$110,((入力データ!$C$30*12)+IF(入力データ!$C$31="あり",入力データ!$C$33,0))*(1+前提条件!$C$6)^(AJ$3-$B$3),0))</f>
        <v/>
      </c>
      <c r="AK11" s="350">
        <f>IF(AK$3="","",IF(AK5&lt;入力データ!$C$110,((入力データ!$C$30*12)+IF(入力データ!$C$31="あり",入力データ!$C$33,0))*(1+前提条件!$C$6)^(AK$3-$B$3),0))</f>
        <v/>
      </c>
      <c r="AL11" s="350">
        <f>IF(AL$3="","",IF(AL5&lt;入力データ!$C$110,((入力データ!$C$30*12)+IF(入力データ!$C$31="あり",入力データ!$C$33,0))*(1+前提条件!$C$6)^(AL$3-$B$3),0))</f>
        <v/>
      </c>
      <c r="AM11" s="350">
        <f>IF(AM$3="","",IF(AM5&lt;入力データ!$C$110,((入力データ!$C$30*12)+IF(入力データ!$C$31="あり",入力データ!$C$33,0))*(1+前提条件!$C$6)^(AM$3-$B$3),0))</f>
        <v/>
      </c>
      <c r="AN11" s="350">
        <f>IF(AN$3="","",IF(AN5&lt;入力データ!$C$110,((入力データ!$C$30*12)+IF(入力データ!$C$31="あり",入力データ!$C$33,0))*(1+前提条件!$C$6)^(AN$3-$B$3),0))</f>
        <v/>
      </c>
      <c r="AO11" s="350">
        <f>IF(AO$3="","",IF(AO5&lt;入力データ!$C$110,((入力データ!$C$30*12)+IF(入力データ!$C$31="あり",入力データ!$C$33,0))*(1+前提条件!$C$6)^(AO$3-$B$3),0))</f>
        <v/>
      </c>
      <c r="AP11" s="350">
        <f>IF(AP$3="","",IF(AP5&lt;入力データ!$C$110,((入力データ!$C$30*12)+IF(入力データ!$C$31="あり",入力データ!$C$33,0))*(1+前提条件!$C$6)^(AP$3-$B$3),0))</f>
        <v/>
      </c>
      <c r="AQ11" s="350">
        <f>IF(AQ$3="","",IF(AQ5&lt;入力データ!$C$110,((入力データ!$C$30*12)+IF(入力データ!$C$31="あり",入力データ!$C$33,0))*(1+前提条件!$C$6)^(AQ$3-$B$3),0))</f>
        <v/>
      </c>
      <c r="AR11" s="350">
        <f>IF(AR$3="","",IF(AR5&lt;入力データ!$C$110,((入力データ!$C$30*12)+IF(入力データ!$C$31="あり",入力データ!$C$33,0))*(1+前提条件!$C$6)^(AR$3-$B$3),0))</f>
        <v/>
      </c>
      <c r="AS11" s="350">
        <f>IF(AS$3="","",IF(AS5&lt;入力データ!$C$110,((入力データ!$C$30*12)+IF(入力データ!$C$31="あり",入力データ!$C$33,0))*(1+前提条件!$C$6)^(AS$3-$B$3),0))</f>
        <v/>
      </c>
      <c r="AT11" s="350">
        <f>IF(AT$3="","",IF(AT5&lt;入力データ!$C$110,((入力データ!$C$30*12)+IF(入力データ!$C$31="あり",入力データ!$C$33,0))*(1+前提条件!$C$6)^(AT$3-$B$3),0))</f>
        <v/>
      </c>
      <c r="AU11" s="350">
        <f>IF(AU$3="","",IF(AU5&lt;入力データ!$C$110,((入力データ!$C$30*12)+IF(入力データ!$C$31="あり",入力データ!$C$33,0))*(1+前提条件!$C$6)^(AU$3-$B$3),0))</f>
        <v/>
      </c>
      <c r="AV11" s="350">
        <f>IF(AV$3="","",IF(AV5&lt;入力データ!$C$110,((入力データ!$C$30*12)+IF(入力データ!$C$31="あり",入力データ!$C$33,0))*(1+前提条件!$C$6)^(AV$3-$B$3),0))</f>
        <v/>
      </c>
      <c r="AW11" s="350">
        <f>IF(AW$3="","",IF(AW5&lt;入力データ!$C$110,((入力データ!$C$30*12)+IF(入力データ!$C$31="あり",入力データ!$C$33,0))*(1+前提条件!$C$6)^(AW$3-$B$3),0))</f>
        <v/>
      </c>
      <c r="AX11" s="350">
        <f>IF(AX$3="","",IF(AX5&lt;入力データ!$C$110,((入力データ!$C$30*12)+IF(入力データ!$C$31="あり",入力データ!$C$33,0))*(1+前提条件!$C$6)^(AX$3-$B$3),0))</f>
        <v/>
      </c>
      <c r="AY11" s="350">
        <f>IF(AY$3="","",IF(AY5&lt;入力データ!$C$110,((入力データ!$C$30*12)+IF(入力データ!$C$31="あり",入力データ!$C$33,0))*(1+前提条件!$C$6)^(AY$3-$B$3),0))</f>
        <v/>
      </c>
      <c r="AZ11" s="350">
        <f>IF(AZ$3="","",IF(AZ5&lt;入力データ!$C$110,((入力データ!$C$30*12)+IF(入力データ!$C$31="あり",入力データ!$C$33,0))*(1+前提条件!$C$6)^(AZ$3-$B$3),0))</f>
        <v/>
      </c>
      <c r="BA11" s="350">
        <f>IF(BA$3="","",IF(BA5&lt;入力データ!$C$110,((入力データ!$C$30*12)+IF(入力データ!$C$31="あり",入力データ!$C$33,0))*(1+前提条件!$C$6)^(BA$3-$B$3),0))</f>
        <v/>
      </c>
      <c r="BB11" s="350">
        <f>IF(BB$3="","",IF(BB5&lt;入力データ!$C$110,((入力データ!$C$30*12)+IF(入力データ!$C$31="あり",入力データ!$C$33,0))*(1+前提条件!$C$6)^(BB$3-$B$3),0))</f>
        <v/>
      </c>
      <c r="BC11" s="350">
        <f>IF(BC$3="","",IF(BC5&lt;入力データ!$C$110,((入力データ!$C$30*12)+IF(入力データ!$C$31="あり",入力データ!$C$33,0))*(1+前提条件!$C$6)^(BC$3-$B$3),0))</f>
        <v/>
      </c>
      <c r="BD11" s="350">
        <f>IF(BD$3="","",IF(BD5&lt;入力データ!$C$110,((入力データ!$C$30*12)+IF(入力データ!$C$31="あり",入力データ!$C$33,0))*(1+前提条件!$C$6)^(BD$3-$B$3),0))</f>
        <v/>
      </c>
      <c r="BE11" s="350">
        <f>IF(BE$3="","",IF(BE5&lt;入力データ!$C$110,((入力データ!$C$30*12)+IF(入力データ!$C$31="あり",入力データ!$C$33,0))*(1+前提条件!$C$6)^(BE$3-$B$3),0))</f>
        <v/>
      </c>
      <c r="BF11" s="350">
        <f>IF(BF$3="","",IF(BF5&lt;入力データ!$C$110,((入力データ!$C$30*12)+IF(入力データ!$C$31="あり",入力データ!$C$33,0))*(1+前提条件!$C$6)^(BF$3-$B$3),0))</f>
        <v/>
      </c>
      <c r="BG11" s="350">
        <f>IF(BG$3="","",IF(BG5&lt;入力データ!$C$110,((入力データ!$C$30*12)+IF(入力データ!$C$31="あり",入力データ!$C$33,0))*(1+前提条件!$C$6)^(BG$3-$B$3),0))</f>
        <v/>
      </c>
      <c r="BH11" s="350">
        <f>IF(BH$3="","",IF(BH5&lt;入力データ!$C$110,((入力データ!$C$30*12)+IF(入力データ!$C$31="あり",入力データ!$C$33,0))*(1+前提条件!$C$6)^(BH$3-$B$3),0))</f>
        <v/>
      </c>
      <c r="BI11" s="350">
        <f>IF(BI$3="","",IF(BI5&lt;入力データ!$C$110,((入力データ!$C$30*12)+IF(入力データ!$C$31="あり",入力データ!$C$33,0))*(1+前提条件!$C$6)^(BI$3-$B$3),0))</f>
        <v/>
      </c>
      <c r="BJ11" s="350">
        <f>IF(BJ$3="","",IF(BJ5&lt;入力データ!$C$110,((入力データ!$C$30*12)+IF(入力データ!$C$31="あり",入力データ!$C$33,0))*(1+前提条件!$C$6)^(BJ$3-$B$3),0))</f>
        <v/>
      </c>
      <c r="BK11" s="350">
        <f>IF(BK$3="","",IF(BK5&lt;入力データ!$C$110,((入力データ!$C$30*12)+IF(入力データ!$C$31="あり",入力データ!$C$33,0))*(1+前提条件!$C$6)^(BK$3-$B$3),0))</f>
        <v/>
      </c>
      <c r="BL11" s="350">
        <f>IF(BL$3="","",IF(BL5&lt;入力データ!$C$110,((入力データ!$C$30*12)+IF(入力データ!$C$31="あり",入力データ!$C$33,0))*(1+前提条件!$C$6)^(BL$3-$B$3),0))</f>
        <v/>
      </c>
      <c r="BM11" s="350">
        <f>IF(BM$3="","",IF(BM5&lt;入力データ!$C$110,((入力データ!$C$30*12)+IF(入力データ!$C$31="あり",入力データ!$C$33,0))*(1+前提条件!$C$6)^(BM$3-$B$3),0))</f>
        <v/>
      </c>
      <c r="BN11" s="350">
        <f>IF(BN$3="","",IF(BN5&lt;入力データ!$C$110,((入力データ!$C$30*12)+IF(入力データ!$C$31="あり",入力データ!$C$33,0))*(1+前提条件!$C$6)^(BN$3-$B$3),0))</f>
        <v/>
      </c>
      <c r="BO11" s="350">
        <f>IF(BO$3="","",IF(BO5&lt;入力データ!$C$110,((入力データ!$C$30*12)+IF(入力データ!$C$31="あり",入力データ!$C$33,0))*(1+前提条件!$C$6)^(BO$3-$B$3),0))</f>
        <v/>
      </c>
      <c r="BP11" s="350">
        <f>IF(BP$3="","",IF(BP5&lt;入力データ!$C$110,((入力データ!$C$30*12)+IF(入力データ!$C$31="あり",入力データ!$C$33,0))*(1+前提条件!$C$6)^(BP$3-$B$3),0))</f>
        <v/>
      </c>
      <c r="BQ11" s="350">
        <f>IF(BQ$3="","",IF(BQ5&lt;入力データ!$C$110,((入力データ!$C$30*12)+IF(入力データ!$C$31="あり",入力データ!$C$33,0))*(1+前提条件!$C$6)^(BQ$3-$B$3),0))</f>
        <v/>
      </c>
      <c r="BR11" s="350">
        <f>IF(BR$3="","",IF(BR5&lt;入力データ!$C$110,((入力データ!$C$30*12)+IF(入力データ!$C$31="あり",入力データ!$C$33,0))*(1+前提条件!$C$6)^(BR$3-$B$3),0))</f>
        <v/>
      </c>
      <c r="BS11" s="350">
        <f>IF(BS$3="","",IF(BS5&lt;入力データ!$C$110,((入力データ!$C$30*12)+IF(入力データ!$C$31="あり",入力データ!$C$33,0))*(1+前提条件!$C$6)^(BS$3-$B$3),0))</f>
        <v/>
      </c>
      <c r="BT11" s="350">
        <f>IF(BT$3="","",IF(BT5&lt;入力データ!$C$110,((入力データ!$C$30*12)+IF(入力データ!$C$31="あり",入力データ!$C$33,0))*(1+前提条件!$C$6)^(BT$3-$B$3),0))</f>
        <v/>
      </c>
      <c r="BU11" s="350">
        <f>IF(BU$3="","",IF(BU5&lt;入力データ!$C$110,((入力データ!$C$30*12)+IF(入力データ!$C$31="あり",入力データ!$C$33,0))*(1+前提条件!$C$6)^(BU$3-$B$3),0))</f>
        <v/>
      </c>
      <c r="BV11" s="350">
        <f>IF(BV$3="","",IF(BV5&lt;入力データ!$C$110,((入力データ!$C$30*12)+IF(入力データ!$C$31="あり",入力データ!$C$33,0))*(1+前提条件!$C$6)^(BV$3-$B$3),0))</f>
        <v/>
      </c>
      <c r="BW11" s="350">
        <f>IF(BW$3="","",IF(BW5&lt;入力データ!$C$110,((入力データ!$C$30*12)+IF(入力データ!$C$31="あり",入力データ!$C$33,0))*(1+前提条件!$C$6)^(BW$3-$B$3),0))</f>
        <v/>
      </c>
      <c r="BX11" s="350">
        <f>IF(BX$3="","",IF(BX5&lt;入力データ!$C$110,((入力データ!$C$30*12)+IF(入力データ!$C$31="あり",入力データ!$C$33,0))*(1+前提条件!$C$6)^(BX$3-$B$3),0))</f>
        <v/>
      </c>
      <c r="BY11" s="350">
        <f>IF(BY$3="","",IF(BY5&lt;入力データ!$C$110,((入力データ!$C$30*12)+IF(入力データ!$C$31="あり",入力データ!$C$33,0))*(1+前提条件!$C$6)^(BY$3-$B$3),0))</f>
        <v/>
      </c>
      <c r="BZ11" s="350">
        <f>IF(BZ$3="","",IF(BZ5&lt;入力データ!$C$110,((入力データ!$C$30*12)+IF(入力データ!$C$31="あり",入力データ!$C$33,0))*(1+前提条件!$C$6)^(BZ$3-$B$3),0))</f>
        <v/>
      </c>
      <c r="CA11" s="350">
        <f>IF(CA$3="","",IF(CA5&lt;入力データ!$C$110,((入力データ!$C$30*12)+IF(入力データ!$C$31="あり",入力データ!$C$33,0))*(1+前提条件!$C$6)^(CA$3-$B$3),0))</f>
        <v/>
      </c>
      <c r="CB11" s="350">
        <f>IF(CB$3="","",IF(CB5&lt;入力データ!$C$110,((入力データ!$C$30*12)+IF(入力データ!$C$31="あり",入力データ!$C$33,0))*(1+前提条件!$C$6)^(CB$3-$B$3),0))</f>
        <v/>
      </c>
      <c r="CC11" s="350">
        <f>IF(CC$3="","",IF(CC5&lt;入力データ!$C$110,((入力データ!$C$30*12)+IF(入力データ!$C$31="あり",入力データ!$C$33,0))*(1+前提条件!$C$6)^(CC$3-$B$3),0))</f>
        <v/>
      </c>
      <c r="CD11" s="350">
        <f>IF(CD$3="","",IF(CD5&lt;入力データ!$C$110,((入力データ!$C$30*12)+IF(入力データ!$C$31="あり",入力データ!$C$33,0))*(1+前提条件!$C$6)^(CD$3-$B$3),0))</f>
        <v/>
      </c>
      <c r="CE11" s="350">
        <f>IF(CE$3="","",IF(CE5&lt;入力データ!$C$110,((入力データ!$C$30*12)+IF(入力データ!$C$31="あり",入力データ!$C$33,0))*(1+前提条件!$C$6)^(CE$3-$B$3),0))</f>
        <v/>
      </c>
      <c r="CF11" s="350">
        <f>IF(CF$3="","",IF(CF5&lt;入力データ!$C$110,((入力データ!$C$30*12)+IF(入力データ!$C$31="あり",入力データ!$C$33,0))*(1+前提条件!$C$6)^(CF$3-$B$3),0))</f>
        <v/>
      </c>
      <c r="CG11" s="350">
        <f>IF(CG$3="","",IF(CG5&lt;入力データ!$C$110,((入力データ!$C$30*12)+IF(入力データ!$C$31="あり",入力データ!$C$33,0))*(1+前提条件!$C$6)^(CG$3-$B$3),0))</f>
        <v/>
      </c>
      <c r="CH11" s="350">
        <f>IF(CH$3="","",IF(CH5&lt;入力データ!$C$110,((入力データ!$C$30*12)+IF(入力データ!$C$31="あり",入力データ!$C$33,0))*(1+前提条件!$C$6)^(CH$3-$B$3),0))</f>
        <v/>
      </c>
      <c r="CI11" s="350">
        <f>IF(CI$3="","",IF(CI5&lt;入力データ!$C$110,((入力データ!$C$30*12)+IF(入力データ!$C$31="あり",入力データ!$C$33,0))*(1+前提条件!$C$6)^(CI$3-$B$3),0))</f>
        <v/>
      </c>
      <c r="CJ11" s="350">
        <f>IF(CJ$3="","",IF(CJ5&lt;入力データ!$C$110,((入力データ!$C$30*12)+IF(入力データ!$C$31="あり",入力データ!$C$33,0))*(1+前提条件!$C$6)^(CJ$3-$B$3),0))</f>
        <v/>
      </c>
      <c r="CK11" s="350">
        <f>IF(CK$3="","",IF(CK5&lt;入力データ!$C$110,((入力データ!$C$30*12)+IF(入力データ!$C$31="あり",入力データ!$C$33,0))*(1+前提条件!$C$6)^(CK$3-$B$3),0))</f>
        <v/>
      </c>
      <c r="CL11" s="350">
        <f>IF(CL$3="","",IF(CL5&lt;入力データ!$C$110,((入力データ!$C$30*12)+IF(入力データ!$C$31="あり",入力データ!$C$33,0))*(1+前提条件!$C$6)^(CL$3-$B$3),0))</f>
        <v/>
      </c>
      <c r="CM11" s="350">
        <f>IF(CM$3="","",IF(CM5&lt;入力データ!$C$110,((入力データ!$C$30*12)+IF(入力データ!$C$31="あり",入力データ!$C$33,0))*(1+前提条件!$C$6)^(CM$3-$B$3),0))</f>
        <v/>
      </c>
      <c r="CN11" s="350">
        <f>IF(CN$3="","",IF(CN5&lt;入力データ!$C$110,((入力データ!$C$30*12)+IF(入力データ!$C$31="あり",入力データ!$C$33,0))*(1+前提条件!$C$6)^(CN$3-$B$3),0))</f>
        <v/>
      </c>
      <c r="CO11" s="350">
        <f>IF(CO$3="","",IF(CO5&lt;入力データ!$C$110,((入力データ!$C$30*12)+IF(入力データ!$C$31="あり",入力データ!$C$33,0))*(1+前提条件!$C$6)^(CO$3-$B$3),0))</f>
        <v/>
      </c>
      <c r="CP11" s="350">
        <f>IF(CP$3="","",IF(CP5&lt;入力データ!$C$110,((入力データ!$C$30*12)+IF(入力データ!$C$31="あり",入力データ!$C$33,0))*(1+前提条件!$C$6)^(CP$3-$B$3),0))</f>
        <v/>
      </c>
      <c r="CQ11" s="350">
        <f>IF(CQ$3="","",IF(CQ5&lt;入力データ!$C$110,((入力データ!$C$30*12)+IF(入力データ!$C$31="あり",入力データ!$C$33,0))*(1+前提条件!$C$6)^(CQ$3-$B$3),0))</f>
        <v/>
      </c>
      <c r="CR11" s="350">
        <f>IF(CR$3="","",IF(CR5&lt;入力データ!$C$110,((入力データ!$C$30*12)+IF(入力データ!$C$31="あり",入力データ!$C$33,0))*(1+前提条件!$C$6)^(CR$3-$B$3),0))</f>
        <v/>
      </c>
      <c r="CS11" s="350">
        <f>IF(CS$3="","",IF(CS5&lt;入力データ!$C$110,((入力データ!$C$30*12)+IF(入力データ!$C$31="あり",入力データ!$C$33,0))*(1+前提条件!$C$6)^(CS$3-$B$3),0))</f>
        <v/>
      </c>
      <c r="CT11" s="350">
        <f>IF(CT$3="","",IF(CT5&lt;入力データ!$C$110,((入力データ!$C$30*12)+IF(入力データ!$C$31="あり",入力データ!$C$33,0))*(1+前提条件!$C$6)^(CT$3-$B$3),0))</f>
        <v/>
      </c>
      <c r="CU11" s="350">
        <f>IF(CU$3="","",IF(CU5&lt;入力データ!$C$110,((入力データ!$C$30*12)+IF(入力データ!$C$31="あり",入力データ!$C$33,0))*(1+前提条件!$C$6)^(CU$3-$B$3),0))</f>
        <v/>
      </c>
      <c r="CV11" s="350">
        <f>IF(CV$3="","",IF(CV5&lt;入力データ!$C$110,((入力データ!$C$30*12)+IF(入力データ!$C$31="あり",入力データ!$C$33,0))*(1+前提条件!$C$6)^(CV$3-$B$3),0))</f>
        <v/>
      </c>
      <c r="CW11" s="350">
        <f>IF(CW$3="","",IF(CW5&lt;入力データ!$C$110,((入力データ!$C$30*12)+IF(入力データ!$C$31="あり",入力データ!$C$33,0))*(1+前提条件!$C$6)^(CW$3-$B$3),0))</f>
        <v/>
      </c>
    </row>
    <row r="12" ht="15" customHeight="1" s="180">
      <c r="A12" s="220" t="inlineStr">
        <is>
          <t>児童手当</t>
        </is>
      </c>
      <c r="B12" s="350">
        <f>IF(B$3="","",IF(AND(B6&lt;&gt;"",B6&lt;=前提条件!$C$8),IF(1&gt;=3,30000,IF(B6&lt;3,15000,10000))*6,0)+IF(AND(B7&lt;&gt;"",B7&lt;=前提条件!$C$8),IF(2&gt;=3,30000,IF(B7&lt;3,15000,10000))*6,0)+IF(AND(B8&lt;&gt;"",B8&lt;=前提条件!$C$8),30000*6,0))</f>
        <v/>
      </c>
      <c r="C12" s="350">
        <f>IF(C$3="","",IF(AND(C6&lt;&gt;"",C6&lt;=前提条件!$C$8),IF(1&gt;=3,30000,IF(C6&lt;3,15000,10000))*6,0)+IF(AND(C7&lt;&gt;"",C7&lt;=前提条件!$C$8),IF(2&gt;=3,30000,IF(C7&lt;3,15000,10000))*6,0)+IF(AND(C8&lt;&gt;"",C8&lt;=前提条件!$C$8),30000*6,0))</f>
        <v/>
      </c>
      <c r="D12" s="350">
        <f>IF(D$3="","",IF(AND(D6&lt;&gt;"",D6&lt;=前提条件!$C$8),IF(1&gt;=3,30000,IF(D6&lt;3,15000,10000))*6,0)+IF(AND(D7&lt;&gt;"",D7&lt;=前提条件!$C$8),IF(2&gt;=3,30000,IF(D7&lt;3,15000,10000))*6,0)+IF(AND(D8&lt;&gt;"",D8&lt;=前提条件!$C$8),30000*6,0))</f>
        <v/>
      </c>
      <c r="E12" s="350">
        <f>IF(E$3="","",IF(AND(E6&lt;&gt;"",E6&lt;=前提条件!$C$8),IF(1&gt;=3,30000,IF(E6&lt;3,15000,10000))*6,0)+IF(AND(E7&lt;&gt;"",E7&lt;=前提条件!$C$8),IF(2&gt;=3,30000,IF(E7&lt;3,15000,10000))*6,0)+IF(AND(E8&lt;&gt;"",E8&lt;=前提条件!$C$8),30000*6,0))</f>
        <v/>
      </c>
      <c r="F12" s="350">
        <f>IF(F$3="","",IF(AND(F6&lt;&gt;"",F6&lt;=前提条件!$C$8),IF(1&gt;=3,30000,IF(F6&lt;3,15000,10000))*6,0)+IF(AND(F7&lt;&gt;"",F7&lt;=前提条件!$C$8),IF(2&gt;=3,30000,IF(F7&lt;3,15000,10000))*6,0)+IF(AND(F8&lt;&gt;"",F8&lt;=前提条件!$C$8),30000*6,0))</f>
        <v/>
      </c>
      <c r="G12" s="350">
        <f>IF(G$3="","",IF(AND(G6&lt;&gt;"",G6&lt;=前提条件!$C$8),IF(1&gt;=3,30000,IF(G6&lt;3,15000,10000))*6,0)+IF(AND(G7&lt;&gt;"",G7&lt;=前提条件!$C$8),IF(2&gt;=3,30000,IF(G7&lt;3,15000,10000))*6,0)+IF(AND(G8&lt;&gt;"",G8&lt;=前提条件!$C$8),30000*6,0))</f>
        <v/>
      </c>
      <c r="H12" s="350">
        <f>IF(H$3="","",IF(AND(H6&lt;&gt;"",H6&lt;=前提条件!$C$8),IF(1&gt;=3,30000,IF(H6&lt;3,15000,10000))*6,0)+IF(AND(H7&lt;&gt;"",H7&lt;=前提条件!$C$8),IF(2&gt;=3,30000,IF(H7&lt;3,15000,10000))*6,0)+IF(AND(H8&lt;&gt;"",H8&lt;=前提条件!$C$8),30000*6,0))</f>
        <v/>
      </c>
      <c r="I12" s="350">
        <f>IF(I$3="","",IF(AND(I6&lt;&gt;"",I6&lt;=前提条件!$C$8),IF(1&gt;=3,30000,IF(I6&lt;3,15000,10000))*6,0)+IF(AND(I7&lt;&gt;"",I7&lt;=前提条件!$C$8),IF(2&gt;=3,30000,IF(I7&lt;3,15000,10000))*6,0)+IF(AND(I8&lt;&gt;"",I8&lt;=前提条件!$C$8),30000*6,0))</f>
        <v/>
      </c>
      <c r="J12" s="350">
        <f>IF(J$3="","",IF(AND(J6&lt;&gt;"",J6&lt;=前提条件!$C$8),IF(1&gt;=3,30000,IF(J6&lt;3,15000,10000))*6,0)+IF(AND(J7&lt;&gt;"",J7&lt;=前提条件!$C$8),IF(2&gt;=3,30000,IF(J7&lt;3,15000,10000))*6,0)+IF(AND(J8&lt;&gt;"",J8&lt;=前提条件!$C$8),30000*6,0))</f>
        <v/>
      </c>
      <c r="K12" s="350">
        <f>IF(K$3="","",IF(AND(K6&lt;&gt;"",K6&lt;=前提条件!$C$8),IF(1&gt;=3,30000,IF(K6&lt;3,15000,10000))*6,0)+IF(AND(K7&lt;&gt;"",K7&lt;=前提条件!$C$8),IF(2&gt;=3,30000,IF(K7&lt;3,15000,10000))*6,0)+IF(AND(K8&lt;&gt;"",K8&lt;=前提条件!$C$8),30000*6,0))</f>
        <v/>
      </c>
      <c r="L12" s="350">
        <f>IF(L$3="","",IF(AND(L6&lt;&gt;"",L6&lt;=前提条件!$C$8),IF(1&gt;=3,30000,IF(L6&lt;3,15000,10000))*6,0)+IF(AND(L7&lt;&gt;"",L7&lt;=前提条件!$C$8),IF(2&gt;=3,30000,IF(L7&lt;3,15000,10000))*6,0)+IF(AND(L8&lt;&gt;"",L8&lt;=前提条件!$C$8),30000*6,0))</f>
        <v/>
      </c>
      <c r="M12" s="350">
        <f>IF(M$3="","",IF(AND(M6&lt;&gt;"",M6&lt;=前提条件!$C$8),IF(1&gt;=3,30000,IF(M6&lt;3,15000,10000))*6,0)+IF(AND(M7&lt;&gt;"",M7&lt;=前提条件!$C$8),IF(2&gt;=3,30000,IF(M7&lt;3,15000,10000))*6,0)+IF(AND(M8&lt;&gt;"",M8&lt;=前提条件!$C$8),30000*6,0))</f>
        <v/>
      </c>
      <c r="N12" s="350">
        <f>IF(N$3="","",IF(AND(N6&lt;&gt;"",N6&lt;=前提条件!$C$8),IF(1&gt;=3,30000,IF(N6&lt;3,15000,10000))*6,0)+IF(AND(N7&lt;&gt;"",N7&lt;=前提条件!$C$8),IF(2&gt;=3,30000,IF(N7&lt;3,15000,10000))*6,0)+IF(AND(N8&lt;&gt;"",N8&lt;=前提条件!$C$8),30000*6,0))</f>
        <v/>
      </c>
      <c r="O12" s="350">
        <f>IF(O$3="","",IF(AND(O6&lt;&gt;"",O6&lt;=前提条件!$C$8),IF(1&gt;=3,30000,IF(O6&lt;3,15000,10000))*6,0)+IF(AND(O7&lt;&gt;"",O7&lt;=前提条件!$C$8),IF(2&gt;=3,30000,IF(O7&lt;3,15000,10000))*6,0)+IF(AND(O8&lt;&gt;"",O8&lt;=前提条件!$C$8),30000*6,0))</f>
        <v/>
      </c>
      <c r="P12" s="350">
        <f>IF(P$3="","",IF(AND(P6&lt;&gt;"",P6&lt;=前提条件!$C$8),IF(1&gt;=3,30000,IF(P6&lt;3,15000,10000))*6,0)+IF(AND(P7&lt;&gt;"",P7&lt;=前提条件!$C$8),IF(2&gt;=3,30000,IF(P7&lt;3,15000,10000))*6,0)+IF(AND(P8&lt;&gt;"",P8&lt;=前提条件!$C$8),30000*6,0))</f>
        <v/>
      </c>
      <c r="Q12" s="350">
        <f>IF(Q$3="","",IF(AND(Q6&lt;&gt;"",Q6&lt;=前提条件!$C$8),IF(1&gt;=3,30000,IF(Q6&lt;3,15000,10000))*6,0)+IF(AND(Q7&lt;&gt;"",Q7&lt;=前提条件!$C$8),IF(2&gt;=3,30000,IF(Q7&lt;3,15000,10000))*6,0)+IF(AND(Q8&lt;&gt;"",Q8&lt;=前提条件!$C$8),30000*6,0))</f>
        <v/>
      </c>
      <c r="R12" s="350">
        <f>IF(R$3="","",IF(AND(R6&lt;&gt;"",R6&lt;=前提条件!$C$8),IF(1&gt;=3,30000,IF(R6&lt;3,15000,10000))*6,0)+IF(AND(R7&lt;&gt;"",R7&lt;=前提条件!$C$8),IF(2&gt;=3,30000,IF(R7&lt;3,15000,10000))*6,0)+IF(AND(R8&lt;&gt;"",R8&lt;=前提条件!$C$8),30000*6,0))</f>
        <v/>
      </c>
      <c r="S12" s="350">
        <f>IF(S$3="","",IF(AND(S6&lt;&gt;"",S6&lt;=前提条件!$C$8),IF(1&gt;=3,30000,IF(S6&lt;3,15000,10000))*6,0)+IF(AND(S7&lt;&gt;"",S7&lt;=前提条件!$C$8),IF(2&gt;=3,30000,IF(S7&lt;3,15000,10000))*6,0)+IF(AND(S8&lt;&gt;"",S8&lt;=前提条件!$C$8),30000*6,0))</f>
        <v/>
      </c>
      <c r="T12" s="350">
        <f>IF(T$3="","",IF(AND(T6&lt;&gt;"",T6&lt;=前提条件!$C$8),IF(1&gt;=3,30000,IF(T6&lt;3,15000,10000))*6,0)+IF(AND(T7&lt;&gt;"",T7&lt;=前提条件!$C$8),IF(2&gt;=3,30000,IF(T7&lt;3,15000,10000))*6,0)+IF(AND(T8&lt;&gt;"",T8&lt;=前提条件!$C$8),30000*6,0))</f>
        <v/>
      </c>
      <c r="U12" s="350">
        <f>IF(U$3="","",IF(AND(U6&lt;&gt;"",U6&lt;=前提条件!$C$8),IF(1&gt;=3,30000,IF(U6&lt;3,15000,10000))*6,0)+IF(AND(U7&lt;&gt;"",U7&lt;=前提条件!$C$8),IF(2&gt;=3,30000,IF(U7&lt;3,15000,10000))*6,0)+IF(AND(U8&lt;&gt;"",U8&lt;=前提条件!$C$8),30000*6,0))</f>
        <v/>
      </c>
      <c r="V12" s="350">
        <f>IF(V$3="","",IF(AND(V6&lt;&gt;"",V6&lt;=前提条件!$C$8),IF(1&gt;=3,30000,IF(V6&lt;3,15000,10000))*6,0)+IF(AND(V7&lt;&gt;"",V7&lt;=前提条件!$C$8),IF(2&gt;=3,30000,IF(V7&lt;3,15000,10000))*6,0)+IF(AND(V8&lt;&gt;"",V8&lt;=前提条件!$C$8),30000*6,0))</f>
        <v/>
      </c>
      <c r="W12" s="350">
        <f>IF(W$3="","",IF(AND(W6&lt;&gt;"",W6&lt;=前提条件!$C$8),IF(1&gt;=3,30000,IF(W6&lt;3,15000,10000))*6,0)+IF(AND(W7&lt;&gt;"",W7&lt;=前提条件!$C$8),IF(2&gt;=3,30000,IF(W7&lt;3,15000,10000))*6,0)+IF(AND(W8&lt;&gt;"",W8&lt;=前提条件!$C$8),30000*6,0))</f>
        <v/>
      </c>
      <c r="X12" s="350">
        <f>IF(X$3="","",IF(AND(X6&lt;&gt;"",X6&lt;=前提条件!$C$8),IF(1&gt;=3,30000,IF(X6&lt;3,15000,10000))*6,0)+IF(AND(X7&lt;&gt;"",X7&lt;=前提条件!$C$8),IF(2&gt;=3,30000,IF(X7&lt;3,15000,10000))*6,0)+IF(AND(X8&lt;&gt;"",X8&lt;=前提条件!$C$8),30000*6,0))</f>
        <v/>
      </c>
      <c r="Y12" s="350">
        <f>IF(Y$3="","",IF(AND(Y6&lt;&gt;"",Y6&lt;=前提条件!$C$8),IF(1&gt;=3,30000,IF(Y6&lt;3,15000,10000))*6,0)+IF(AND(Y7&lt;&gt;"",Y7&lt;=前提条件!$C$8),IF(2&gt;=3,30000,IF(Y7&lt;3,15000,10000))*6,0)+IF(AND(Y8&lt;&gt;"",Y8&lt;=前提条件!$C$8),30000*6,0))</f>
        <v/>
      </c>
      <c r="Z12" s="350">
        <f>IF(Z$3="","",IF(AND(Z6&lt;&gt;"",Z6&lt;=前提条件!$C$8),IF(1&gt;=3,30000,IF(Z6&lt;3,15000,10000))*6,0)+IF(AND(Z7&lt;&gt;"",Z7&lt;=前提条件!$C$8),IF(2&gt;=3,30000,IF(Z7&lt;3,15000,10000))*6,0)+IF(AND(Z8&lt;&gt;"",Z8&lt;=前提条件!$C$8),30000*6,0))</f>
        <v/>
      </c>
      <c r="AA12" s="350">
        <f>IF(AA$3="","",IF(AND(AA6&lt;&gt;"",AA6&lt;=前提条件!$C$8),IF(1&gt;=3,30000,IF(AA6&lt;3,15000,10000))*6,0)+IF(AND(AA7&lt;&gt;"",AA7&lt;=前提条件!$C$8),IF(2&gt;=3,30000,IF(AA7&lt;3,15000,10000))*6,0)+IF(AND(AA8&lt;&gt;"",AA8&lt;=前提条件!$C$8),30000*6,0))</f>
        <v/>
      </c>
      <c r="AB12" s="350">
        <f>IF(AB$3="","",IF(AND(AB6&lt;&gt;"",AB6&lt;=前提条件!$C$8),IF(1&gt;=3,30000,IF(AB6&lt;3,15000,10000))*6,0)+IF(AND(AB7&lt;&gt;"",AB7&lt;=前提条件!$C$8),IF(2&gt;=3,30000,IF(AB7&lt;3,15000,10000))*6,0)+IF(AND(AB8&lt;&gt;"",AB8&lt;=前提条件!$C$8),30000*6,0))</f>
        <v/>
      </c>
      <c r="AC12" s="350">
        <f>IF(AC$3="","",IF(AND(AC6&lt;&gt;"",AC6&lt;=前提条件!$C$8),IF(1&gt;=3,30000,IF(AC6&lt;3,15000,10000))*6,0)+IF(AND(AC7&lt;&gt;"",AC7&lt;=前提条件!$C$8),IF(2&gt;=3,30000,IF(AC7&lt;3,15000,10000))*6,0)+IF(AND(AC8&lt;&gt;"",AC8&lt;=前提条件!$C$8),30000*6,0))</f>
        <v/>
      </c>
      <c r="AD12" s="350">
        <f>IF(AD$3="","",IF(AND(AD6&lt;&gt;"",AD6&lt;=前提条件!$C$8),IF(1&gt;=3,30000,IF(AD6&lt;3,15000,10000))*6,0)+IF(AND(AD7&lt;&gt;"",AD7&lt;=前提条件!$C$8),IF(2&gt;=3,30000,IF(AD7&lt;3,15000,10000))*6,0)+IF(AND(AD8&lt;&gt;"",AD8&lt;=前提条件!$C$8),30000*6,0))</f>
        <v/>
      </c>
      <c r="AE12" s="350">
        <f>IF(AE$3="","",IF(AND(AE6&lt;&gt;"",AE6&lt;=前提条件!$C$8),IF(1&gt;=3,30000,IF(AE6&lt;3,15000,10000))*6,0)+IF(AND(AE7&lt;&gt;"",AE7&lt;=前提条件!$C$8),IF(2&gt;=3,30000,IF(AE7&lt;3,15000,10000))*6,0)+IF(AND(AE8&lt;&gt;"",AE8&lt;=前提条件!$C$8),30000*6,0))</f>
        <v/>
      </c>
      <c r="AF12" s="350">
        <f>IF(AF$3="","",IF(AND(AF6&lt;&gt;"",AF6&lt;=前提条件!$C$8),IF(1&gt;=3,30000,IF(AF6&lt;3,15000,10000))*6,0)+IF(AND(AF7&lt;&gt;"",AF7&lt;=前提条件!$C$8),IF(2&gt;=3,30000,IF(AF7&lt;3,15000,10000))*6,0)+IF(AND(AF8&lt;&gt;"",AF8&lt;=前提条件!$C$8),30000*6,0))</f>
        <v/>
      </c>
      <c r="AG12" s="350">
        <f>IF(AG$3="","",IF(AND(AG6&lt;&gt;"",AG6&lt;=前提条件!$C$8),IF(1&gt;=3,30000,IF(AG6&lt;3,15000,10000))*6,0)+IF(AND(AG7&lt;&gt;"",AG7&lt;=前提条件!$C$8),IF(2&gt;=3,30000,IF(AG7&lt;3,15000,10000))*6,0)+IF(AND(AG8&lt;&gt;"",AG8&lt;=前提条件!$C$8),30000*6,0))</f>
        <v/>
      </c>
      <c r="AH12" s="350">
        <f>IF(AH$3="","",IF(AND(AH6&lt;&gt;"",AH6&lt;=前提条件!$C$8),IF(1&gt;=3,30000,IF(AH6&lt;3,15000,10000))*6,0)+IF(AND(AH7&lt;&gt;"",AH7&lt;=前提条件!$C$8),IF(2&gt;=3,30000,IF(AH7&lt;3,15000,10000))*6,0)+IF(AND(AH8&lt;&gt;"",AH8&lt;=前提条件!$C$8),30000*6,0))</f>
        <v/>
      </c>
      <c r="AI12" s="350">
        <f>IF(AI$3="","",IF(AND(AI6&lt;&gt;"",AI6&lt;=前提条件!$C$8),IF(1&gt;=3,30000,IF(AI6&lt;3,15000,10000))*6,0)+IF(AND(AI7&lt;&gt;"",AI7&lt;=前提条件!$C$8),IF(2&gt;=3,30000,IF(AI7&lt;3,15000,10000))*6,0)+IF(AND(AI8&lt;&gt;"",AI8&lt;=前提条件!$C$8),30000*6,0))</f>
        <v/>
      </c>
      <c r="AJ12" s="350">
        <f>IF(AJ$3="","",IF(AND(AJ6&lt;&gt;"",AJ6&lt;=前提条件!$C$8),IF(1&gt;=3,30000,IF(AJ6&lt;3,15000,10000))*6,0)+IF(AND(AJ7&lt;&gt;"",AJ7&lt;=前提条件!$C$8),IF(2&gt;=3,30000,IF(AJ7&lt;3,15000,10000))*6,0)+IF(AND(AJ8&lt;&gt;"",AJ8&lt;=前提条件!$C$8),30000*6,0))</f>
        <v/>
      </c>
      <c r="AK12" s="350">
        <f>IF(AK$3="","",IF(AND(AK6&lt;&gt;"",AK6&lt;=前提条件!$C$8),IF(1&gt;=3,30000,IF(AK6&lt;3,15000,10000))*6,0)+IF(AND(AK7&lt;&gt;"",AK7&lt;=前提条件!$C$8),IF(2&gt;=3,30000,IF(AK7&lt;3,15000,10000))*6,0)+IF(AND(AK8&lt;&gt;"",AK8&lt;=前提条件!$C$8),30000*6,0))</f>
        <v/>
      </c>
      <c r="AL12" s="350">
        <f>IF(AL$3="","",IF(AND(AL6&lt;&gt;"",AL6&lt;=前提条件!$C$8),IF(1&gt;=3,30000,IF(AL6&lt;3,15000,10000))*6,0)+IF(AND(AL7&lt;&gt;"",AL7&lt;=前提条件!$C$8),IF(2&gt;=3,30000,IF(AL7&lt;3,15000,10000))*6,0)+IF(AND(AL8&lt;&gt;"",AL8&lt;=前提条件!$C$8),30000*6,0))</f>
        <v/>
      </c>
      <c r="AM12" s="350">
        <f>IF(AM$3="","",IF(AND(AM6&lt;&gt;"",AM6&lt;=前提条件!$C$8),IF(1&gt;=3,30000,IF(AM6&lt;3,15000,10000))*6,0)+IF(AND(AM7&lt;&gt;"",AM7&lt;=前提条件!$C$8),IF(2&gt;=3,30000,IF(AM7&lt;3,15000,10000))*6,0)+IF(AND(AM8&lt;&gt;"",AM8&lt;=前提条件!$C$8),30000*6,0))</f>
        <v/>
      </c>
      <c r="AN12" s="350">
        <f>IF(AN$3="","",IF(AND(AN6&lt;&gt;"",AN6&lt;=前提条件!$C$8),IF(1&gt;=3,30000,IF(AN6&lt;3,15000,10000))*6,0)+IF(AND(AN7&lt;&gt;"",AN7&lt;=前提条件!$C$8),IF(2&gt;=3,30000,IF(AN7&lt;3,15000,10000))*6,0)+IF(AND(AN8&lt;&gt;"",AN8&lt;=前提条件!$C$8),30000*6,0))</f>
        <v/>
      </c>
      <c r="AO12" s="350">
        <f>IF(AO$3="","",IF(AND(AO6&lt;&gt;"",AO6&lt;=前提条件!$C$8),IF(1&gt;=3,30000,IF(AO6&lt;3,15000,10000))*6,0)+IF(AND(AO7&lt;&gt;"",AO7&lt;=前提条件!$C$8),IF(2&gt;=3,30000,IF(AO7&lt;3,15000,10000))*6,0)+IF(AND(AO8&lt;&gt;"",AO8&lt;=前提条件!$C$8),30000*6,0))</f>
        <v/>
      </c>
      <c r="AP12" s="350">
        <f>IF(AP$3="","",IF(AND(AP6&lt;&gt;"",AP6&lt;=前提条件!$C$8),IF(1&gt;=3,30000,IF(AP6&lt;3,15000,10000))*6,0)+IF(AND(AP7&lt;&gt;"",AP7&lt;=前提条件!$C$8),IF(2&gt;=3,30000,IF(AP7&lt;3,15000,10000))*6,0)+IF(AND(AP8&lt;&gt;"",AP8&lt;=前提条件!$C$8),30000*6,0))</f>
        <v/>
      </c>
      <c r="AQ12" s="350">
        <f>IF(AQ$3="","",IF(AND(AQ6&lt;&gt;"",AQ6&lt;=前提条件!$C$8),IF(1&gt;=3,30000,IF(AQ6&lt;3,15000,10000))*6,0)+IF(AND(AQ7&lt;&gt;"",AQ7&lt;=前提条件!$C$8),IF(2&gt;=3,30000,IF(AQ7&lt;3,15000,10000))*6,0)+IF(AND(AQ8&lt;&gt;"",AQ8&lt;=前提条件!$C$8),30000*6,0))</f>
        <v/>
      </c>
      <c r="AR12" s="350">
        <f>IF(AR$3="","",IF(AND(AR6&lt;&gt;"",AR6&lt;=前提条件!$C$8),IF(1&gt;=3,30000,IF(AR6&lt;3,15000,10000))*6,0)+IF(AND(AR7&lt;&gt;"",AR7&lt;=前提条件!$C$8),IF(2&gt;=3,30000,IF(AR7&lt;3,15000,10000))*6,0)+IF(AND(AR8&lt;&gt;"",AR8&lt;=前提条件!$C$8),30000*6,0))</f>
        <v/>
      </c>
      <c r="AS12" s="350">
        <f>IF(AS$3="","",IF(AND(AS6&lt;&gt;"",AS6&lt;=前提条件!$C$8),IF(1&gt;=3,30000,IF(AS6&lt;3,15000,10000))*6,0)+IF(AND(AS7&lt;&gt;"",AS7&lt;=前提条件!$C$8),IF(2&gt;=3,30000,IF(AS7&lt;3,15000,10000))*6,0)+IF(AND(AS8&lt;&gt;"",AS8&lt;=前提条件!$C$8),30000*6,0))</f>
        <v/>
      </c>
      <c r="AT12" s="350">
        <f>IF(AT$3="","",IF(AND(AT6&lt;&gt;"",AT6&lt;=前提条件!$C$8),IF(1&gt;=3,30000,IF(AT6&lt;3,15000,10000))*6,0)+IF(AND(AT7&lt;&gt;"",AT7&lt;=前提条件!$C$8),IF(2&gt;=3,30000,IF(AT7&lt;3,15000,10000))*6,0)+IF(AND(AT8&lt;&gt;"",AT8&lt;=前提条件!$C$8),30000*6,0))</f>
        <v/>
      </c>
      <c r="AU12" s="350">
        <f>IF(AU$3="","",IF(AND(AU6&lt;&gt;"",AU6&lt;=前提条件!$C$8),IF(1&gt;=3,30000,IF(AU6&lt;3,15000,10000))*6,0)+IF(AND(AU7&lt;&gt;"",AU7&lt;=前提条件!$C$8),IF(2&gt;=3,30000,IF(AU7&lt;3,15000,10000))*6,0)+IF(AND(AU8&lt;&gt;"",AU8&lt;=前提条件!$C$8),30000*6,0))</f>
        <v/>
      </c>
      <c r="AV12" s="350">
        <f>IF(AV$3="","",IF(AND(AV6&lt;&gt;"",AV6&lt;=前提条件!$C$8),IF(1&gt;=3,30000,IF(AV6&lt;3,15000,10000))*6,0)+IF(AND(AV7&lt;&gt;"",AV7&lt;=前提条件!$C$8),IF(2&gt;=3,30000,IF(AV7&lt;3,15000,10000))*6,0)+IF(AND(AV8&lt;&gt;"",AV8&lt;=前提条件!$C$8),30000*6,0))</f>
        <v/>
      </c>
      <c r="AW12" s="350">
        <f>IF(AW$3="","",IF(AND(AW6&lt;&gt;"",AW6&lt;=前提条件!$C$8),IF(1&gt;=3,30000,IF(AW6&lt;3,15000,10000))*6,0)+IF(AND(AW7&lt;&gt;"",AW7&lt;=前提条件!$C$8),IF(2&gt;=3,30000,IF(AW7&lt;3,15000,10000))*6,0)+IF(AND(AW8&lt;&gt;"",AW8&lt;=前提条件!$C$8),30000*6,0))</f>
        <v/>
      </c>
      <c r="AX12" s="350">
        <f>IF(AX$3="","",IF(AND(AX6&lt;&gt;"",AX6&lt;=前提条件!$C$8),IF(1&gt;=3,30000,IF(AX6&lt;3,15000,10000))*6,0)+IF(AND(AX7&lt;&gt;"",AX7&lt;=前提条件!$C$8),IF(2&gt;=3,30000,IF(AX7&lt;3,15000,10000))*6,0)+IF(AND(AX8&lt;&gt;"",AX8&lt;=前提条件!$C$8),30000*6,0))</f>
        <v/>
      </c>
      <c r="AY12" s="350">
        <f>IF(AY$3="","",IF(AND(AY6&lt;&gt;"",AY6&lt;=前提条件!$C$8),IF(1&gt;=3,30000,IF(AY6&lt;3,15000,10000))*6,0)+IF(AND(AY7&lt;&gt;"",AY7&lt;=前提条件!$C$8),IF(2&gt;=3,30000,IF(AY7&lt;3,15000,10000))*6,0)+IF(AND(AY8&lt;&gt;"",AY8&lt;=前提条件!$C$8),30000*6,0))</f>
        <v/>
      </c>
      <c r="AZ12" s="350">
        <f>IF(AZ$3="","",IF(AND(AZ6&lt;&gt;"",AZ6&lt;=前提条件!$C$8),IF(1&gt;=3,30000,IF(AZ6&lt;3,15000,10000))*6,0)+IF(AND(AZ7&lt;&gt;"",AZ7&lt;=前提条件!$C$8),IF(2&gt;=3,30000,IF(AZ7&lt;3,15000,10000))*6,0)+IF(AND(AZ8&lt;&gt;"",AZ8&lt;=前提条件!$C$8),30000*6,0))</f>
        <v/>
      </c>
      <c r="BA12" s="350">
        <f>IF(BA$3="","",IF(AND(BA6&lt;&gt;"",BA6&lt;=前提条件!$C$8),IF(1&gt;=3,30000,IF(BA6&lt;3,15000,10000))*6,0)+IF(AND(BA7&lt;&gt;"",BA7&lt;=前提条件!$C$8),IF(2&gt;=3,30000,IF(BA7&lt;3,15000,10000))*6,0)+IF(AND(BA8&lt;&gt;"",BA8&lt;=前提条件!$C$8),30000*6,0))</f>
        <v/>
      </c>
      <c r="BB12" s="350">
        <f>IF(BB$3="","",IF(AND(BB6&lt;&gt;"",BB6&lt;=前提条件!$C$8),IF(1&gt;=3,30000,IF(BB6&lt;3,15000,10000))*6,0)+IF(AND(BB7&lt;&gt;"",BB7&lt;=前提条件!$C$8),IF(2&gt;=3,30000,IF(BB7&lt;3,15000,10000))*6,0)+IF(AND(BB8&lt;&gt;"",BB8&lt;=前提条件!$C$8),30000*6,0))</f>
        <v/>
      </c>
      <c r="BC12" s="350">
        <f>IF(BC$3="","",IF(AND(BC6&lt;&gt;"",BC6&lt;=前提条件!$C$8),IF(1&gt;=3,30000,IF(BC6&lt;3,15000,10000))*6,0)+IF(AND(BC7&lt;&gt;"",BC7&lt;=前提条件!$C$8),IF(2&gt;=3,30000,IF(BC7&lt;3,15000,10000))*6,0)+IF(AND(BC8&lt;&gt;"",BC8&lt;=前提条件!$C$8),30000*6,0))</f>
        <v/>
      </c>
      <c r="BD12" s="350">
        <f>IF(BD$3="","",IF(AND(BD6&lt;&gt;"",BD6&lt;=前提条件!$C$8),IF(1&gt;=3,30000,IF(BD6&lt;3,15000,10000))*6,0)+IF(AND(BD7&lt;&gt;"",BD7&lt;=前提条件!$C$8),IF(2&gt;=3,30000,IF(BD7&lt;3,15000,10000))*6,0)+IF(AND(BD8&lt;&gt;"",BD8&lt;=前提条件!$C$8),30000*6,0))</f>
        <v/>
      </c>
      <c r="BE12" s="350">
        <f>IF(BE$3="","",IF(AND(BE6&lt;&gt;"",BE6&lt;=前提条件!$C$8),IF(1&gt;=3,30000,IF(BE6&lt;3,15000,10000))*6,0)+IF(AND(BE7&lt;&gt;"",BE7&lt;=前提条件!$C$8),IF(2&gt;=3,30000,IF(BE7&lt;3,15000,10000))*6,0)+IF(AND(BE8&lt;&gt;"",BE8&lt;=前提条件!$C$8),30000*6,0))</f>
        <v/>
      </c>
      <c r="BF12" s="350">
        <f>IF(BF$3="","",IF(AND(BF6&lt;&gt;"",BF6&lt;=前提条件!$C$8),IF(1&gt;=3,30000,IF(BF6&lt;3,15000,10000))*6,0)+IF(AND(BF7&lt;&gt;"",BF7&lt;=前提条件!$C$8),IF(2&gt;=3,30000,IF(BF7&lt;3,15000,10000))*6,0)+IF(AND(BF8&lt;&gt;"",BF8&lt;=前提条件!$C$8),30000*6,0))</f>
        <v/>
      </c>
      <c r="BG12" s="350">
        <f>IF(BG$3="","",IF(AND(BG6&lt;&gt;"",BG6&lt;=前提条件!$C$8),IF(1&gt;=3,30000,IF(BG6&lt;3,15000,10000))*6,0)+IF(AND(BG7&lt;&gt;"",BG7&lt;=前提条件!$C$8),IF(2&gt;=3,30000,IF(BG7&lt;3,15000,10000))*6,0)+IF(AND(BG8&lt;&gt;"",BG8&lt;=前提条件!$C$8),30000*6,0))</f>
        <v/>
      </c>
      <c r="BH12" s="350">
        <f>IF(BH$3="","",IF(AND(BH6&lt;&gt;"",BH6&lt;=前提条件!$C$8),IF(1&gt;=3,30000,IF(BH6&lt;3,15000,10000))*6,0)+IF(AND(BH7&lt;&gt;"",BH7&lt;=前提条件!$C$8),IF(2&gt;=3,30000,IF(BH7&lt;3,15000,10000))*6,0)+IF(AND(BH8&lt;&gt;"",BH8&lt;=前提条件!$C$8),30000*6,0))</f>
        <v/>
      </c>
      <c r="BI12" s="350">
        <f>IF(BI$3="","",IF(AND(BI6&lt;&gt;"",BI6&lt;=前提条件!$C$8),IF(1&gt;=3,30000,IF(BI6&lt;3,15000,10000))*6,0)+IF(AND(BI7&lt;&gt;"",BI7&lt;=前提条件!$C$8),IF(2&gt;=3,30000,IF(BI7&lt;3,15000,10000))*6,0)+IF(AND(BI8&lt;&gt;"",BI8&lt;=前提条件!$C$8),30000*6,0))</f>
        <v/>
      </c>
      <c r="BJ12" s="350">
        <f>IF(BJ$3="","",IF(AND(BJ6&lt;&gt;"",BJ6&lt;=前提条件!$C$8),IF(1&gt;=3,30000,IF(BJ6&lt;3,15000,10000))*6,0)+IF(AND(BJ7&lt;&gt;"",BJ7&lt;=前提条件!$C$8),IF(2&gt;=3,30000,IF(BJ7&lt;3,15000,10000))*6,0)+IF(AND(BJ8&lt;&gt;"",BJ8&lt;=前提条件!$C$8),30000*6,0))</f>
        <v/>
      </c>
      <c r="BK12" s="350">
        <f>IF(BK$3="","",IF(AND(BK6&lt;&gt;"",BK6&lt;=前提条件!$C$8),IF(1&gt;=3,30000,IF(BK6&lt;3,15000,10000))*6,0)+IF(AND(BK7&lt;&gt;"",BK7&lt;=前提条件!$C$8),IF(2&gt;=3,30000,IF(BK7&lt;3,15000,10000))*6,0)+IF(AND(BK8&lt;&gt;"",BK8&lt;=前提条件!$C$8),30000*6,0))</f>
        <v/>
      </c>
      <c r="BL12" s="350">
        <f>IF(BL$3="","",IF(AND(BL6&lt;&gt;"",BL6&lt;=前提条件!$C$8),IF(1&gt;=3,30000,IF(BL6&lt;3,15000,10000))*6,0)+IF(AND(BL7&lt;&gt;"",BL7&lt;=前提条件!$C$8),IF(2&gt;=3,30000,IF(BL7&lt;3,15000,10000))*6,0)+IF(AND(BL8&lt;&gt;"",BL8&lt;=前提条件!$C$8),30000*6,0))</f>
        <v/>
      </c>
      <c r="BM12" s="350">
        <f>IF(BM$3="","",IF(AND(BM6&lt;&gt;"",BM6&lt;=前提条件!$C$8),IF(1&gt;=3,30000,IF(BM6&lt;3,15000,10000))*6,0)+IF(AND(BM7&lt;&gt;"",BM7&lt;=前提条件!$C$8),IF(2&gt;=3,30000,IF(BM7&lt;3,15000,10000))*6,0)+IF(AND(BM8&lt;&gt;"",BM8&lt;=前提条件!$C$8),30000*6,0))</f>
        <v/>
      </c>
      <c r="BN12" s="350">
        <f>IF(BN$3="","",IF(AND(BN6&lt;&gt;"",BN6&lt;=前提条件!$C$8),IF(1&gt;=3,30000,IF(BN6&lt;3,15000,10000))*6,0)+IF(AND(BN7&lt;&gt;"",BN7&lt;=前提条件!$C$8),IF(2&gt;=3,30000,IF(BN7&lt;3,15000,10000))*6,0)+IF(AND(BN8&lt;&gt;"",BN8&lt;=前提条件!$C$8),30000*6,0))</f>
        <v/>
      </c>
      <c r="BO12" s="350">
        <f>IF(BO$3="","",IF(AND(BO6&lt;&gt;"",BO6&lt;=前提条件!$C$8),IF(1&gt;=3,30000,IF(BO6&lt;3,15000,10000))*6,0)+IF(AND(BO7&lt;&gt;"",BO7&lt;=前提条件!$C$8),IF(2&gt;=3,30000,IF(BO7&lt;3,15000,10000))*6,0)+IF(AND(BO8&lt;&gt;"",BO8&lt;=前提条件!$C$8),30000*6,0))</f>
        <v/>
      </c>
      <c r="BP12" s="350">
        <f>IF(BP$3="","",IF(AND(BP6&lt;&gt;"",BP6&lt;=前提条件!$C$8),IF(1&gt;=3,30000,IF(BP6&lt;3,15000,10000))*6,0)+IF(AND(BP7&lt;&gt;"",BP7&lt;=前提条件!$C$8),IF(2&gt;=3,30000,IF(BP7&lt;3,15000,10000))*6,0)+IF(AND(BP8&lt;&gt;"",BP8&lt;=前提条件!$C$8),30000*6,0))</f>
        <v/>
      </c>
      <c r="BQ12" s="350">
        <f>IF(BQ$3="","",IF(AND(BQ6&lt;&gt;"",BQ6&lt;=前提条件!$C$8),IF(1&gt;=3,30000,IF(BQ6&lt;3,15000,10000))*6,0)+IF(AND(BQ7&lt;&gt;"",BQ7&lt;=前提条件!$C$8),IF(2&gt;=3,30000,IF(BQ7&lt;3,15000,10000))*6,0)+IF(AND(BQ8&lt;&gt;"",BQ8&lt;=前提条件!$C$8),30000*6,0))</f>
        <v/>
      </c>
      <c r="BR12" s="350">
        <f>IF(BR$3="","",IF(AND(BR6&lt;&gt;"",BR6&lt;=前提条件!$C$8),IF(1&gt;=3,30000,IF(BR6&lt;3,15000,10000))*6,0)+IF(AND(BR7&lt;&gt;"",BR7&lt;=前提条件!$C$8),IF(2&gt;=3,30000,IF(BR7&lt;3,15000,10000))*6,0)+IF(AND(BR8&lt;&gt;"",BR8&lt;=前提条件!$C$8),30000*6,0))</f>
        <v/>
      </c>
      <c r="BS12" s="350">
        <f>IF(BS$3="","",IF(AND(BS6&lt;&gt;"",BS6&lt;=前提条件!$C$8),IF(1&gt;=3,30000,IF(BS6&lt;3,15000,10000))*6,0)+IF(AND(BS7&lt;&gt;"",BS7&lt;=前提条件!$C$8),IF(2&gt;=3,30000,IF(BS7&lt;3,15000,10000))*6,0)+IF(AND(BS8&lt;&gt;"",BS8&lt;=前提条件!$C$8),30000*6,0))</f>
        <v/>
      </c>
      <c r="BT12" s="350">
        <f>IF(BT$3="","",IF(AND(BT6&lt;&gt;"",BT6&lt;=前提条件!$C$8),IF(1&gt;=3,30000,IF(BT6&lt;3,15000,10000))*6,0)+IF(AND(BT7&lt;&gt;"",BT7&lt;=前提条件!$C$8),IF(2&gt;=3,30000,IF(BT7&lt;3,15000,10000))*6,0)+IF(AND(BT8&lt;&gt;"",BT8&lt;=前提条件!$C$8),30000*6,0))</f>
        <v/>
      </c>
      <c r="BU12" s="350">
        <f>IF(BU$3="","",IF(AND(BU6&lt;&gt;"",BU6&lt;=前提条件!$C$8),IF(1&gt;=3,30000,IF(BU6&lt;3,15000,10000))*6,0)+IF(AND(BU7&lt;&gt;"",BU7&lt;=前提条件!$C$8),IF(2&gt;=3,30000,IF(BU7&lt;3,15000,10000))*6,0)+IF(AND(BU8&lt;&gt;"",BU8&lt;=前提条件!$C$8),30000*6,0))</f>
        <v/>
      </c>
      <c r="BV12" s="350">
        <f>IF(BV$3="","",IF(AND(BV6&lt;&gt;"",BV6&lt;=前提条件!$C$8),IF(1&gt;=3,30000,IF(BV6&lt;3,15000,10000))*6,0)+IF(AND(BV7&lt;&gt;"",BV7&lt;=前提条件!$C$8),IF(2&gt;=3,30000,IF(BV7&lt;3,15000,10000))*6,0)+IF(AND(BV8&lt;&gt;"",BV8&lt;=前提条件!$C$8),30000*6,0))</f>
        <v/>
      </c>
      <c r="BW12" s="350">
        <f>IF(BW$3="","",IF(AND(BW6&lt;&gt;"",BW6&lt;=前提条件!$C$8),IF(1&gt;=3,30000,IF(BW6&lt;3,15000,10000))*6,0)+IF(AND(BW7&lt;&gt;"",BW7&lt;=前提条件!$C$8),IF(2&gt;=3,30000,IF(BW7&lt;3,15000,10000))*6,0)+IF(AND(BW8&lt;&gt;"",BW8&lt;=前提条件!$C$8),30000*6,0))</f>
        <v/>
      </c>
      <c r="BX12" s="350">
        <f>IF(BX$3="","",IF(AND(BX6&lt;&gt;"",BX6&lt;=前提条件!$C$8),IF(1&gt;=3,30000,IF(BX6&lt;3,15000,10000))*6,0)+IF(AND(BX7&lt;&gt;"",BX7&lt;=前提条件!$C$8),IF(2&gt;=3,30000,IF(BX7&lt;3,15000,10000))*6,0)+IF(AND(BX8&lt;&gt;"",BX8&lt;=前提条件!$C$8),30000*6,0))</f>
        <v/>
      </c>
      <c r="BY12" s="350">
        <f>IF(BY$3="","",IF(AND(BY6&lt;&gt;"",BY6&lt;=前提条件!$C$8),IF(1&gt;=3,30000,IF(BY6&lt;3,15000,10000))*6,0)+IF(AND(BY7&lt;&gt;"",BY7&lt;=前提条件!$C$8),IF(2&gt;=3,30000,IF(BY7&lt;3,15000,10000))*6,0)+IF(AND(BY8&lt;&gt;"",BY8&lt;=前提条件!$C$8),30000*6,0))</f>
        <v/>
      </c>
      <c r="BZ12" s="350">
        <f>IF(BZ$3="","",IF(AND(BZ6&lt;&gt;"",BZ6&lt;=前提条件!$C$8),IF(1&gt;=3,30000,IF(BZ6&lt;3,15000,10000))*6,0)+IF(AND(BZ7&lt;&gt;"",BZ7&lt;=前提条件!$C$8),IF(2&gt;=3,30000,IF(BZ7&lt;3,15000,10000))*6,0)+IF(AND(BZ8&lt;&gt;"",BZ8&lt;=前提条件!$C$8),30000*6,0))</f>
        <v/>
      </c>
      <c r="CA12" s="350">
        <f>IF(CA$3="","",IF(AND(CA6&lt;&gt;"",CA6&lt;=前提条件!$C$8),IF(1&gt;=3,30000,IF(CA6&lt;3,15000,10000))*6,0)+IF(AND(CA7&lt;&gt;"",CA7&lt;=前提条件!$C$8),IF(2&gt;=3,30000,IF(CA7&lt;3,15000,10000))*6,0)+IF(AND(CA8&lt;&gt;"",CA8&lt;=前提条件!$C$8),30000*6,0))</f>
        <v/>
      </c>
      <c r="CB12" s="350">
        <f>IF(CB$3="","",IF(AND(CB6&lt;&gt;"",CB6&lt;=前提条件!$C$8),IF(1&gt;=3,30000,IF(CB6&lt;3,15000,10000))*6,0)+IF(AND(CB7&lt;&gt;"",CB7&lt;=前提条件!$C$8),IF(2&gt;=3,30000,IF(CB7&lt;3,15000,10000))*6,0)+IF(AND(CB8&lt;&gt;"",CB8&lt;=前提条件!$C$8),30000*6,0))</f>
        <v/>
      </c>
      <c r="CC12" s="350">
        <f>IF(CC$3="","",IF(AND(CC6&lt;&gt;"",CC6&lt;=前提条件!$C$8),IF(1&gt;=3,30000,IF(CC6&lt;3,15000,10000))*6,0)+IF(AND(CC7&lt;&gt;"",CC7&lt;=前提条件!$C$8),IF(2&gt;=3,30000,IF(CC7&lt;3,15000,10000))*6,0)+IF(AND(CC8&lt;&gt;"",CC8&lt;=前提条件!$C$8),30000*6,0))</f>
        <v/>
      </c>
      <c r="CD12" s="350">
        <f>IF(CD$3="","",IF(AND(CD6&lt;&gt;"",CD6&lt;=前提条件!$C$8),IF(1&gt;=3,30000,IF(CD6&lt;3,15000,10000))*6,0)+IF(AND(CD7&lt;&gt;"",CD7&lt;=前提条件!$C$8),IF(2&gt;=3,30000,IF(CD7&lt;3,15000,10000))*6,0)+IF(AND(CD8&lt;&gt;"",CD8&lt;=前提条件!$C$8),30000*6,0))</f>
        <v/>
      </c>
      <c r="CE12" s="350">
        <f>IF(CE$3="","",IF(AND(CE6&lt;&gt;"",CE6&lt;=前提条件!$C$8),IF(1&gt;=3,30000,IF(CE6&lt;3,15000,10000))*6,0)+IF(AND(CE7&lt;&gt;"",CE7&lt;=前提条件!$C$8),IF(2&gt;=3,30000,IF(CE7&lt;3,15000,10000))*6,0)+IF(AND(CE8&lt;&gt;"",CE8&lt;=前提条件!$C$8),30000*6,0))</f>
        <v/>
      </c>
      <c r="CF12" s="350">
        <f>IF(CF$3="","",IF(AND(CF6&lt;&gt;"",CF6&lt;=前提条件!$C$8),IF(1&gt;=3,30000,IF(CF6&lt;3,15000,10000))*6,0)+IF(AND(CF7&lt;&gt;"",CF7&lt;=前提条件!$C$8),IF(2&gt;=3,30000,IF(CF7&lt;3,15000,10000))*6,0)+IF(AND(CF8&lt;&gt;"",CF8&lt;=前提条件!$C$8),30000*6,0))</f>
        <v/>
      </c>
      <c r="CG12" s="350">
        <f>IF(CG$3="","",IF(AND(CG6&lt;&gt;"",CG6&lt;=前提条件!$C$8),IF(1&gt;=3,30000,IF(CG6&lt;3,15000,10000))*6,0)+IF(AND(CG7&lt;&gt;"",CG7&lt;=前提条件!$C$8),IF(2&gt;=3,30000,IF(CG7&lt;3,15000,10000))*6,0)+IF(AND(CG8&lt;&gt;"",CG8&lt;=前提条件!$C$8),30000*6,0))</f>
        <v/>
      </c>
      <c r="CH12" s="350">
        <f>IF(CH$3="","",IF(AND(CH6&lt;&gt;"",CH6&lt;=前提条件!$C$8),IF(1&gt;=3,30000,IF(CH6&lt;3,15000,10000))*6,0)+IF(AND(CH7&lt;&gt;"",CH7&lt;=前提条件!$C$8),IF(2&gt;=3,30000,IF(CH7&lt;3,15000,10000))*6,0)+IF(AND(CH8&lt;&gt;"",CH8&lt;=前提条件!$C$8),30000*6,0))</f>
        <v/>
      </c>
      <c r="CI12" s="350">
        <f>IF(CI$3="","",IF(AND(CI6&lt;&gt;"",CI6&lt;=前提条件!$C$8),IF(1&gt;=3,30000,IF(CI6&lt;3,15000,10000))*6,0)+IF(AND(CI7&lt;&gt;"",CI7&lt;=前提条件!$C$8),IF(2&gt;=3,30000,IF(CI7&lt;3,15000,10000))*6,0)+IF(AND(CI8&lt;&gt;"",CI8&lt;=前提条件!$C$8),30000*6,0))</f>
        <v/>
      </c>
      <c r="CJ12" s="350">
        <f>IF(CJ$3="","",IF(AND(CJ6&lt;&gt;"",CJ6&lt;=前提条件!$C$8),IF(1&gt;=3,30000,IF(CJ6&lt;3,15000,10000))*6,0)+IF(AND(CJ7&lt;&gt;"",CJ7&lt;=前提条件!$C$8),IF(2&gt;=3,30000,IF(CJ7&lt;3,15000,10000))*6,0)+IF(AND(CJ8&lt;&gt;"",CJ8&lt;=前提条件!$C$8),30000*6,0))</f>
        <v/>
      </c>
      <c r="CK12" s="350">
        <f>IF(CK$3="","",IF(AND(CK6&lt;&gt;"",CK6&lt;=前提条件!$C$8),IF(1&gt;=3,30000,IF(CK6&lt;3,15000,10000))*6,0)+IF(AND(CK7&lt;&gt;"",CK7&lt;=前提条件!$C$8),IF(2&gt;=3,30000,IF(CK7&lt;3,15000,10000))*6,0)+IF(AND(CK8&lt;&gt;"",CK8&lt;=前提条件!$C$8),30000*6,0))</f>
        <v/>
      </c>
      <c r="CL12" s="350">
        <f>IF(CL$3="","",IF(AND(CL6&lt;&gt;"",CL6&lt;=前提条件!$C$8),IF(1&gt;=3,30000,IF(CL6&lt;3,15000,10000))*6,0)+IF(AND(CL7&lt;&gt;"",CL7&lt;=前提条件!$C$8),IF(2&gt;=3,30000,IF(CL7&lt;3,15000,10000))*6,0)+IF(AND(CL8&lt;&gt;"",CL8&lt;=前提条件!$C$8),30000*6,0))</f>
        <v/>
      </c>
      <c r="CM12" s="350">
        <f>IF(CM$3="","",IF(AND(CM6&lt;&gt;"",CM6&lt;=前提条件!$C$8),IF(1&gt;=3,30000,IF(CM6&lt;3,15000,10000))*6,0)+IF(AND(CM7&lt;&gt;"",CM7&lt;=前提条件!$C$8),IF(2&gt;=3,30000,IF(CM7&lt;3,15000,10000))*6,0)+IF(AND(CM8&lt;&gt;"",CM8&lt;=前提条件!$C$8),30000*6,0))</f>
        <v/>
      </c>
      <c r="CN12" s="350">
        <f>IF(CN$3="","",IF(AND(CN6&lt;&gt;"",CN6&lt;=前提条件!$C$8),IF(1&gt;=3,30000,IF(CN6&lt;3,15000,10000))*6,0)+IF(AND(CN7&lt;&gt;"",CN7&lt;=前提条件!$C$8),IF(2&gt;=3,30000,IF(CN7&lt;3,15000,10000))*6,0)+IF(AND(CN8&lt;&gt;"",CN8&lt;=前提条件!$C$8),30000*6,0))</f>
        <v/>
      </c>
      <c r="CO12" s="350">
        <f>IF(CO$3="","",IF(AND(CO6&lt;&gt;"",CO6&lt;=前提条件!$C$8),IF(1&gt;=3,30000,IF(CO6&lt;3,15000,10000))*6,0)+IF(AND(CO7&lt;&gt;"",CO7&lt;=前提条件!$C$8),IF(2&gt;=3,30000,IF(CO7&lt;3,15000,10000))*6,0)+IF(AND(CO8&lt;&gt;"",CO8&lt;=前提条件!$C$8),30000*6,0))</f>
        <v/>
      </c>
      <c r="CP12" s="350">
        <f>IF(CP$3="","",IF(AND(CP6&lt;&gt;"",CP6&lt;=前提条件!$C$8),IF(1&gt;=3,30000,IF(CP6&lt;3,15000,10000))*6,0)+IF(AND(CP7&lt;&gt;"",CP7&lt;=前提条件!$C$8),IF(2&gt;=3,30000,IF(CP7&lt;3,15000,10000))*6,0)+IF(AND(CP8&lt;&gt;"",CP8&lt;=前提条件!$C$8),30000*6,0))</f>
        <v/>
      </c>
      <c r="CQ12" s="350">
        <f>IF(CQ$3="","",IF(AND(CQ6&lt;&gt;"",CQ6&lt;=前提条件!$C$8),IF(1&gt;=3,30000,IF(CQ6&lt;3,15000,10000))*6,0)+IF(AND(CQ7&lt;&gt;"",CQ7&lt;=前提条件!$C$8),IF(2&gt;=3,30000,IF(CQ7&lt;3,15000,10000))*6,0)+IF(AND(CQ8&lt;&gt;"",CQ8&lt;=前提条件!$C$8),30000*6,0))</f>
        <v/>
      </c>
      <c r="CR12" s="350">
        <f>IF(CR$3="","",IF(AND(CR6&lt;&gt;"",CR6&lt;=前提条件!$C$8),IF(1&gt;=3,30000,IF(CR6&lt;3,15000,10000))*6,0)+IF(AND(CR7&lt;&gt;"",CR7&lt;=前提条件!$C$8),IF(2&gt;=3,30000,IF(CR7&lt;3,15000,10000))*6,0)+IF(AND(CR8&lt;&gt;"",CR8&lt;=前提条件!$C$8),30000*6,0))</f>
        <v/>
      </c>
      <c r="CS12" s="350">
        <f>IF(CS$3="","",IF(AND(CS6&lt;&gt;"",CS6&lt;=前提条件!$C$8),IF(1&gt;=3,30000,IF(CS6&lt;3,15000,10000))*6,0)+IF(AND(CS7&lt;&gt;"",CS7&lt;=前提条件!$C$8),IF(2&gt;=3,30000,IF(CS7&lt;3,15000,10000))*6,0)+IF(AND(CS8&lt;&gt;"",CS8&lt;=前提条件!$C$8),30000*6,0))</f>
        <v/>
      </c>
      <c r="CT12" s="350">
        <f>IF(CT$3="","",IF(AND(CT6&lt;&gt;"",CT6&lt;=前提条件!$C$8),IF(1&gt;=3,30000,IF(CT6&lt;3,15000,10000))*6,0)+IF(AND(CT7&lt;&gt;"",CT7&lt;=前提条件!$C$8),IF(2&gt;=3,30000,IF(CT7&lt;3,15000,10000))*6,0)+IF(AND(CT8&lt;&gt;"",CT8&lt;=前提条件!$C$8),30000*6,0))</f>
        <v/>
      </c>
      <c r="CU12" s="350">
        <f>IF(CU$3="","",IF(AND(CU6&lt;&gt;"",CU6&lt;=前提条件!$C$8),IF(1&gt;=3,30000,IF(CU6&lt;3,15000,10000))*6,0)+IF(AND(CU7&lt;&gt;"",CU7&lt;=前提条件!$C$8),IF(2&gt;=3,30000,IF(CU7&lt;3,15000,10000))*6,0)+IF(AND(CU8&lt;&gt;"",CU8&lt;=前提条件!$C$8),30000*6,0))</f>
        <v/>
      </c>
      <c r="CV12" s="350">
        <f>IF(CV$3="","",IF(AND(CV6&lt;&gt;"",CV6&lt;=前提条件!$C$8),IF(1&gt;=3,30000,IF(CV6&lt;3,15000,10000))*6,0)+IF(AND(CV7&lt;&gt;"",CV7&lt;=前提条件!$C$8),IF(2&gt;=3,30000,IF(CV7&lt;3,15000,10000))*6,0)+IF(AND(CV8&lt;&gt;"",CV8&lt;=前提条件!$C$8),30000*6,0))</f>
        <v/>
      </c>
      <c r="CW12" s="350">
        <f>IF(CW$3="","",IF(AND(CW6&lt;&gt;"",CW6&lt;=前提条件!$C$8),入力データ!$C$34*6,0)+IF(AND(CW7&lt;&gt;"",CW7&lt;=前提条件!$C$8),入力データ!$C$34*6,0)+IF(AND(CW8&lt;&gt;"",CW8&lt;=前提条件!$C$8),入力データ!$C$34*6,0))</f>
        <v/>
      </c>
    </row>
    <row r="13" ht="15" customHeight="1" s="180">
      <c r="A13" s="220" t="inlineStr">
        <is>
          <t>その他収入</t>
        </is>
      </c>
      <c r="B13" s="350">
        <f>IF(B$3="","",入力データ!$C$35*12)</f>
        <v/>
      </c>
      <c r="C13" s="350">
        <f>IF(C$3="","",入力データ!$C$35*12)</f>
        <v/>
      </c>
      <c r="D13" s="350">
        <f>IF(D$3="","",入力データ!$C$35*12)</f>
        <v/>
      </c>
      <c r="E13" s="350">
        <f>IF(E$3="","",入力データ!$C$35*12)</f>
        <v/>
      </c>
      <c r="F13" s="350">
        <f>IF(F$3="","",入力データ!$C$35*12)</f>
        <v/>
      </c>
      <c r="G13" s="350">
        <f>IF(G$3="","",入力データ!$C$35*12)</f>
        <v/>
      </c>
      <c r="H13" s="350">
        <f>IF(H$3="","",入力データ!$C$35*12)</f>
        <v/>
      </c>
      <c r="I13" s="350">
        <f>IF(I$3="","",入力データ!$C$35*12)</f>
        <v/>
      </c>
      <c r="J13" s="350">
        <f>IF(J$3="","",入力データ!$C$35*12)</f>
        <v/>
      </c>
      <c r="K13" s="350">
        <f>IF(K$3="","",入力データ!$C$35*12)</f>
        <v/>
      </c>
      <c r="L13" s="350">
        <f>IF(L$3="","",入力データ!$C$35*12)</f>
        <v/>
      </c>
      <c r="M13" s="350">
        <f>IF(M$3="","",入力データ!$C$35*12)</f>
        <v/>
      </c>
      <c r="N13" s="350">
        <f>IF(N$3="","",入力データ!$C$35*12)</f>
        <v/>
      </c>
      <c r="O13" s="350">
        <f>IF(O$3="","",入力データ!$C$35*12)</f>
        <v/>
      </c>
      <c r="P13" s="350">
        <f>IF(P$3="","",入力データ!$C$35*12)</f>
        <v/>
      </c>
      <c r="Q13" s="350">
        <f>IF(Q$3="","",入力データ!$C$35*12)</f>
        <v/>
      </c>
      <c r="R13" s="350">
        <f>IF(R$3="","",入力データ!$C$35*12)</f>
        <v/>
      </c>
      <c r="S13" s="350">
        <f>IF(S$3="","",入力データ!$C$35*12)</f>
        <v/>
      </c>
      <c r="T13" s="350">
        <f>IF(T$3="","",入力データ!$C$35*12)</f>
        <v/>
      </c>
      <c r="U13" s="350">
        <f>IF(U$3="","",入力データ!$C$35*12)</f>
        <v/>
      </c>
      <c r="V13" s="350">
        <f>IF(V$3="","",入力データ!$C$35*12)</f>
        <v/>
      </c>
      <c r="W13" s="350">
        <f>IF(W$3="","",入力データ!$C$35*12)</f>
        <v/>
      </c>
      <c r="X13" s="350">
        <f>IF(X$3="","",入力データ!$C$35*12)</f>
        <v/>
      </c>
      <c r="Y13" s="350">
        <f>IF(Y$3="","",入力データ!$C$35*12)</f>
        <v/>
      </c>
      <c r="Z13" s="350">
        <f>IF(Z$3="","",入力データ!$C$35*12)</f>
        <v/>
      </c>
      <c r="AA13" s="350">
        <f>IF(AA$3="","",入力データ!$C$35*12)</f>
        <v/>
      </c>
      <c r="AB13" s="350">
        <f>IF(AB$3="","",入力データ!$C$35*12)</f>
        <v/>
      </c>
      <c r="AC13" s="350">
        <f>IF(AC$3="","",入力データ!$C$35*12)</f>
        <v/>
      </c>
      <c r="AD13" s="350">
        <f>IF(AD$3="","",入力データ!$C$35*12)</f>
        <v/>
      </c>
      <c r="AE13" s="350">
        <f>IF(AE$3="","",入力データ!$C$35*12)</f>
        <v/>
      </c>
      <c r="AF13" s="350">
        <f>IF(AF$3="","",入力データ!$C$35*12)</f>
        <v/>
      </c>
      <c r="AG13" s="350">
        <f>IF(AG$3="","",入力データ!$C$35*12)</f>
        <v/>
      </c>
      <c r="AH13" s="350">
        <f>IF(AH$3="","",入力データ!$C$35*12)</f>
        <v/>
      </c>
      <c r="AI13" s="350">
        <f>IF(AI$3="","",入力データ!$C$35*12)</f>
        <v/>
      </c>
      <c r="AJ13" s="350">
        <f>IF(AJ$3="","",入力データ!$C$35*12)</f>
        <v/>
      </c>
      <c r="AK13" s="350">
        <f>IF(AK$3="","",入力データ!$C$35*12)</f>
        <v/>
      </c>
      <c r="AL13" s="350">
        <f>IF(AL$3="","",入力データ!$C$35*12)</f>
        <v/>
      </c>
      <c r="AM13" s="350">
        <f>IF(AM$3="","",入力データ!$C$35*12)</f>
        <v/>
      </c>
      <c r="AN13" s="350">
        <f>IF(AN$3="","",入力データ!$C$35*12)</f>
        <v/>
      </c>
      <c r="AO13" s="350">
        <f>IF(AO$3="","",入力データ!$C$35*12)</f>
        <v/>
      </c>
      <c r="AP13" s="350">
        <f>IF(AP$3="","",入力データ!$C$35*12)</f>
        <v/>
      </c>
      <c r="AQ13" s="350">
        <f>IF(AQ$3="","",入力データ!$C$35*12)</f>
        <v/>
      </c>
      <c r="AR13" s="350">
        <f>IF(AR$3="","",入力データ!$C$35*12)</f>
        <v/>
      </c>
      <c r="AS13" s="350">
        <f>IF(AS$3="","",入力データ!$C$35*12)</f>
        <v/>
      </c>
      <c r="AT13" s="350">
        <f>IF(AT$3="","",入力データ!$C$35*12)</f>
        <v/>
      </c>
      <c r="AU13" s="350">
        <f>IF(AU$3="","",入力データ!$C$35*12)</f>
        <v/>
      </c>
      <c r="AV13" s="350">
        <f>IF(AV$3="","",入力データ!$C$35*12)</f>
        <v/>
      </c>
      <c r="AW13" s="350">
        <f>IF(AW$3="","",入力データ!$C$35*12)</f>
        <v/>
      </c>
      <c r="AX13" s="350">
        <f>IF(AX$3="","",入力データ!$C$35*12)</f>
        <v/>
      </c>
      <c r="AY13" s="350">
        <f>IF(AY$3="","",入力データ!$C$35*12)</f>
        <v/>
      </c>
      <c r="AZ13" s="350">
        <f>IF(AZ$3="","",入力データ!$C$35*12)</f>
        <v/>
      </c>
      <c r="BA13" s="350">
        <f>IF(BA$3="","",入力データ!$C$35*12)</f>
        <v/>
      </c>
      <c r="BB13" s="350">
        <f>IF(BB$3="","",入力データ!$C$35*12)</f>
        <v/>
      </c>
      <c r="BC13" s="350">
        <f>IF(BC$3="","",入力データ!$C$35*12)</f>
        <v/>
      </c>
      <c r="BD13" s="350">
        <f>IF(BD$3="","",入力データ!$C$35*12)</f>
        <v/>
      </c>
      <c r="BE13" s="350">
        <f>IF(BE$3="","",入力データ!$C$35*12)</f>
        <v/>
      </c>
      <c r="BF13" s="350">
        <f>IF(BF$3="","",入力データ!$C$35*12)</f>
        <v/>
      </c>
      <c r="BG13" s="350">
        <f>IF(BG$3="","",入力データ!$C$35*12)</f>
        <v/>
      </c>
      <c r="BH13" s="350">
        <f>IF(BH$3="","",入力データ!$C$35*12)</f>
        <v/>
      </c>
      <c r="BI13" s="350">
        <f>IF(BI$3="","",入力データ!$C$35*12)</f>
        <v/>
      </c>
      <c r="BJ13" s="350">
        <f>IF(BJ$3="","",入力データ!$C$35*12)</f>
        <v/>
      </c>
      <c r="BK13" s="350">
        <f>IF(BK$3="","",入力データ!$C$35*12)</f>
        <v/>
      </c>
      <c r="BL13" s="350">
        <f>IF(BL$3="","",入力データ!$C$35*12)</f>
        <v/>
      </c>
      <c r="BM13" s="350">
        <f>IF(BM$3="","",入力データ!$C$35*12)</f>
        <v/>
      </c>
      <c r="BN13" s="350">
        <f>IF(BN$3="","",入力データ!$C$35*12)</f>
        <v/>
      </c>
      <c r="BO13" s="350">
        <f>IF(BO$3="","",入力データ!$C$35*12)</f>
        <v/>
      </c>
      <c r="BP13" s="350">
        <f>IF(BP$3="","",入力データ!$C$35*12)</f>
        <v/>
      </c>
      <c r="BQ13" s="350">
        <f>IF(BQ$3="","",入力データ!$C$35*12)</f>
        <v/>
      </c>
      <c r="BR13" s="350">
        <f>IF(BR$3="","",入力データ!$C$35*12)</f>
        <v/>
      </c>
      <c r="BS13" s="350">
        <f>IF(BS$3="","",入力データ!$C$35*12)</f>
        <v/>
      </c>
      <c r="BT13" s="350">
        <f>IF(BT$3="","",入力データ!$C$35*12)</f>
        <v/>
      </c>
      <c r="BU13" s="350">
        <f>IF(BU$3="","",入力データ!$C$35*12)</f>
        <v/>
      </c>
      <c r="BV13" s="350">
        <f>IF(BV$3="","",入力データ!$C$35*12)</f>
        <v/>
      </c>
      <c r="BW13" s="350">
        <f>IF(BW$3="","",入力データ!$C$35*12)</f>
        <v/>
      </c>
      <c r="BX13" s="350">
        <f>IF(BX$3="","",入力データ!$C$35*12)</f>
        <v/>
      </c>
      <c r="BY13" s="350">
        <f>IF(BY$3="","",入力データ!$C$35*12)</f>
        <v/>
      </c>
      <c r="BZ13" s="350">
        <f>IF(BZ$3="","",入力データ!$C$35*12)</f>
        <v/>
      </c>
      <c r="CA13" s="350">
        <f>IF(CA$3="","",入力データ!$C$35*12)</f>
        <v/>
      </c>
      <c r="CB13" s="350">
        <f>IF(CB$3="","",入力データ!$C$35*12)</f>
        <v/>
      </c>
      <c r="CC13" s="350">
        <f>IF(CC$3="","",入力データ!$C$35*12)</f>
        <v/>
      </c>
      <c r="CD13" s="350">
        <f>IF(CD$3="","",入力データ!$C$35*12)</f>
        <v/>
      </c>
      <c r="CE13" s="350">
        <f>IF(CE$3="","",入力データ!$C$35*12)</f>
        <v/>
      </c>
      <c r="CF13" s="350">
        <f>IF(CF$3="","",入力データ!$C$35*12)</f>
        <v/>
      </c>
      <c r="CG13" s="350">
        <f>IF(CG$3="","",入力データ!$C$35*12)</f>
        <v/>
      </c>
      <c r="CH13" s="350">
        <f>IF(CH$3="","",入力データ!$C$35*12)</f>
        <v/>
      </c>
      <c r="CI13" s="350">
        <f>IF(CI$3="","",入力データ!$C$35*12)</f>
        <v/>
      </c>
      <c r="CJ13" s="350">
        <f>IF(CJ$3="","",入力データ!$C$35*12)</f>
        <v/>
      </c>
      <c r="CK13" s="350">
        <f>IF(CK$3="","",入力データ!$C$35*12)</f>
        <v/>
      </c>
      <c r="CL13" s="350">
        <f>IF(CL$3="","",入力データ!$C$35*12)</f>
        <v/>
      </c>
      <c r="CM13" s="350">
        <f>IF(CM$3="","",入力データ!$C$35*12)</f>
        <v/>
      </c>
      <c r="CN13" s="350">
        <f>IF(CN$3="","",入力データ!$C$35*12)</f>
        <v/>
      </c>
      <c r="CO13" s="350">
        <f>IF(CO$3="","",入力データ!$C$35*12)</f>
        <v/>
      </c>
      <c r="CP13" s="350">
        <f>IF(CP$3="","",入力データ!$C$35*12)</f>
        <v/>
      </c>
      <c r="CQ13" s="350">
        <f>IF(CQ$3="","",入力データ!$C$35*12)</f>
        <v/>
      </c>
      <c r="CR13" s="350">
        <f>IF(CR$3="","",入力データ!$C$35*12)</f>
        <v/>
      </c>
      <c r="CS13" s="350">
        <f>IF(CS$3="","",入力データ!$C$35*12)</f>
        <v/>
      </c>
      <c r="CT13" s="350">
        <f>IF(CT$3="","",入力データ!$C$35*12)</f>
        <v/>
      </c>
      <c r="CU13" s="350">
        <f>IF(CU$3="","",入力データ!$C$35*12)</f>
        <v/>
      </c>
      <c r="CV13" s="350">
        <f>IF(CV$3="","",入力データ!$C$35*12)</f>
        <v/>
      </c>
      <c r="CW13" s="350">
        <f>IF(CW$3="","",入力データ!$C$35*12)</f>
        <v/>
      </c>
    </row>
    <row r="14" ht="15" customHeight="1" s="180">
      <c r="A14" s="220" t="inlineStr">
        <is>
          <t>ご主人様退職金</t>
        </is>
      </c>
      <c r="B14" s="350">
        <f>IF(B$3="","",IF(B4=入力データ!$C$109,入力データ!$C$36,0))</f>
        <v/>
      </c>
      <c r="C14" s="350">
        <f>IF(C$3="","",IF(C4=入力データ!$C$109,入力データ!$C$36,0))</f>
        <v/>
      </c>
      <c r="D14" s="350">
        <f>IF(D$3="","",IF(D4=入力データ!$C$109,入力データ!$C$36,0))</f>
        <v/>
      </c>
      <c r="E14" s="350">
        <f>IF(E$3="","",IF(E4=入力データ!$C$109,入力データ!$C$36,0))</f>
        <v/>
      </c>
      <c r="F14" s="350">
        <f>IF(F$3="","",IF(F4=入力データ!$C$109,入力データ!$C$36,0))</f>
        <v/>
      </c>
      <c r="G14" s="350">
        <f>IF(G$3="","",IF(G4=入力データ!$C$109,入力データ!$C$36,0))</f>
        <v/>
      </c>
      <c r="H14" s="350">
        <f>IF(H$3="","",IF(H4=入力データ!$C$109,入力データ!$C$36,0))</f>
        <v/>
      </c>
      <c r="I14" s="350">
        <f>IF(I$3="","",IF(I4=入力データ!$C$109,入力データ!$C$36,0))</f>
        <v/>
      </c>
      <c r="J14" s="350">
        <f>IF(J$3="","",IF(J4=入力データ!$C$109,入力データ!$C$36,0))</f>
        <v/>
      </c>
      <c r="K14" s="350">
        <f>IF(K$3="","",IF(K4=入力データ!$C$109,入力データ!$C$36,0))</f>
        <v/>
      </c>
      <c r="L14" s="350">
        <f>IF(L$3="","",IF(L4=入力データ!$C$109,入力データ!$C$36,0))</f>
        <v/>
      </c>
      <c r="M14" s="350">
        <f>IF(M$3="","",IF(M4=入力データ!$C$109,入力データ!$C$36,0))</f>
        <v/>
      </c>
      <c r="N14" s="350">
        <f>IF(N$3="","",IF(N4=入力データ!$C$109,入力データ!$C$36,0))</f>
        <v/>
      </c>
      <c r="O14" s="350">
        <f>IF(O$3="","",IF(O4=入力データ!$C$109,入力データ!$C$36,0))</f>
        <v/>
      </c>
      <c r="P14" s="350">
        <f>IF(P$3="","",IF(P4=入力データ!$C$109,入力データ!$C$36,0))</f>
        <v/>
      </c>
      <c r="Q14" s="350">
        <f>IF(Q$3="","",IF(Q4=入力データ!$C$109,入力データ!$C$36,0))</f>
        <v/>
      </c>
      <c r="R14" s="350">
        <f>IF(R$3="","",IF(R4=入力データ!$C$109,入力データ!$C$36,0))</f>
        <v/>
      </c>
      <c r="S14" s="350">
        <f>IF(S$3="","",IF(S4=入力データ!$C$109,入力データ!$C$36,0))</f>
        <v/>
      </c>
      <c r="T14" s="350">
        <f>IF(T$3="","",IF(T4=入力データ!$C$109,入力データ!$C$36,0))</f>
        <v/>
      </c>
      <c r="U14" s="350">
        <f>IF(U$3="","",IF(U4=入力データ!$C$109,入力データ!$C$36,0))</f>
        <v/>
      </c>
      <c r="V14" s="350">
        <f>IF(V$3="","",IF(V4=入力データ!$C$109,入力データ!$C$36,0))</f>
        <v/>
      </c>
      <c r="W14" s="350">
        <f>IF(W$3="","",IF(W4=入力データ!$C$109,入力データ!$C$36,0))</f>
        <v/>
      </c>
      <c r="X14" s="350">
        <f>IF(X$3="","",IF(X4=入力データ!$C$109,入力データ!$C$36,0))</f>
        <v/>
      </c>
      <c r="Y14" s="350">
        <f>IF(Y$3="","",IF(Y4=入力データ!$C$109,入力データ!$C$36,0))</f>
        <v/>
      </c>
      <c r="Z14" s="350">
        <f>IF(Z$3="","",IF(Z4=入力データ!$C$109,入力データ!$C$36,0))</f>
        <v/>
      </c>
      <c r="AA14" s="350">
        <f>IF(AA$3="","",IF(AA4=入力データ!$C$109,入力データ!$C$36,0))</f>
        <v/>
      </c>
      <c r="AB14" s="350">
        <f>IF(AB$3="","",IF(AB4=入力データ!$C$109,入力データ!$C$36,0))</f>
        <v/>
      </c>
      <c r="AC14" s="350">
        <f>IF(AC$3="","",IF(AC4=入力データ!$C$109,入力データ!$C$36,0))</f>
        <v/>
      </c>
      <c r="AD14" s="350">
        <f>IF(AD$3="","",IF(AD4=入力データ!$C$109,入力データ!$C$36,0))</f>
        <v/>
      </c>
      <c r="AE14" s="350">
        <f>IF(AE$3="","",IF(AE4=入力データ!$C$109,入力データ!$C$36,0))</f>
        <v/>
      </c>
      <c r="AF14" s="350">
        <f>IF(AF$3="","",IF(AF4=入力データ!$C$109,入力データ!$C$36,0))</f>
        <v/>
      </c>
      <c r="AG14" s="350">
        <f>IF(AG$3="","",IF(AG4=入力データ!$C$109,入力データ!$C$36,0))</f>
        <v/>
      </c>
      <c r="AH14" s="350">
        <f>IF(AH$3="","",IF(AH4=入力データ!$C$109,入力データ!$C$36,0))</f>
        <v/>
      </c>
      <c r="AI14" s="350">
        <f>IF(AI$3="","",IF(AI4=入力データ!$C$109,入力データ!$C$36,0))</f>
        <v/>
      </c>
      <c r="AJ14" s="350">
        <f>IF(AJ$3="","",IF(AJ4=入力データ!$C$109,入力データ!$C$36,0))</f>
        <v/>
      </c>
      <c r="AK14" s="350">
        <f>IF(AK$3="","",IF(AK4=入力データ!$C$109,入力データ!$C$36,0))</f>
        <v/>
      </c>
      <c r="AL14" s="350">
        <f>IF(AL$3="","",IF(AL4=入力データ!$C$109,入力データ!$C$36,0))</f>
        <v/>
      </c>
      <c r="AM14" s="350">
        <f>IF(AM$3="","",IF(AM4=入力データ!$C$109,入力データ!$C$36,0))</f>
        <v/>
      </c>
      <c r="AN14" s="350">
        <f>IF(AN$3="","",IF(AN4=入力データ!$C$109,入力データ!$C$36,0))</f>
        <v/>
      </c>
      <c r="AO14" s="350">
        <f>IF(AO$3="","",IF(AO4=入力データ!$C$109,入力データ!$C$36,0))</f>
        <v/>
      </c>
      <c r="AP14" s="350">
        <f>IF(AP$3="","",IF(AP4=入力データ!$C$109,入力データ!$C$36,0))</f>
        <v/>
      </c>
      <c r="AQ14" s="350">
        <f>IF(AQ$3="","",IF(AQ4=入力データ!$C$109,入力データ!$C$36,0))</f>
        <v/>
      </c>
      <c r="AR14" s="350">
        <f>IF(AR$3="","",IF(AR4=入力データ!$C$109,入力データ!$C$36,0))</f>
        <v/>
      </c>
      <c r="AS14" s="350">
        <f>IF(AS$3="","",IF(AS4=入力データ!$C$109,入力データ!$C$36,0))</f>
        <v/>
      </c>
      <c r="AT14" s="350">
        <f>IF(AT$3="","",IF(AT4=入力データ!$C$109,入力データ!$C$36,0))</f>
        <v/>
      </c>
      <c r="AU14" s="350">
        <f>IF(AU$3="","",IF(AU4=入力データ!$C$109,入力データ!$C$36,0))</f>
        <v/>
      </c>
      <c r="AV14" s="350">
        <f>IF(AV$3="","",IF(AV4=入力データ!$C$109,入力データ!$C$36,0))</f>
        <v/>
      </c>
      <c r="AW14" s="350">
        <f>IF(AW$3="","",IF(AW4=入力データ!$C$109,入力データ!$C$36,0))</f>
        <v/>
      </c>
      <c r="AX14" s="350">
        <f>IF(AX$3="","",IF(AX4=入力データ!$C$109,入力データ!$C$36,0))</f>
        <v/>
      </c>
      <c r="AY14" s="350">
        <f>IF(AY$3="","",IF(AY4=入力データ!$C$109,入力データ!$C$36,0))</f>
        <v/>
      </c>
      <c r="AZ14" s="350">
        <f>IF(AZ$3="","",IF(AZ4=入力データ!$C$109,入力データ!$C$36,0))</f>
        <v/>
      </c>
      <c r="BA14" s="350">
        <f>IF(BA$3="","",IF(BA4=入力データ!$C$109,入力データ!$C$36,0))</f>
        <v/>
      </c>
      <c r="BB14" s="350">
        <f>IF(BB$3="","",IF(BB4=入力データ!$C$109,入力データ!$C$36,0))</f>
        <v/>
      </c>
      <c r="BC14" s="350">
        <f>IF(BC$3="","",IF(BC4=入力データ!$C$109,入力データ!$C$36,0))</f>
        <v/>
      </c>
      <c r="BD14" s="350">
        <f>IF(BD$3="","",IF(BD4=入力データ!$C$109,入力データ!$C$36,0))</f>
        <v/>
      </c>
      <c r="BE14" s="350">
        <f>IF(BE$3="","",IF(BE4=入力データ!$C$109,入力データ!$C$36,0))</f>
        <v/>
      </c>
      <c r="BF14" s="350">
        <f>IF(BF$3="","",IF(BF4=入力データ!$C$109,入力データ!$C$36,0))</f>
        <v/>
      </c>
      <c r="BG14" s="350">
        <f>IF(BG$3="","",IF(BG4=入力データ!$C$109,入力データ!$C$36,0))</f>
        <v/>
      </c>
      <c r="BH14" s="350">
        <f>IF(BH$3="","",IF(BH4=入力データ!$C$109,入力データ!$C$36,0))</f>
        <v/>
      </c>
      <c r="BI14" s="350">
        <f>IF(BI$3="","",IF(BI4=入力データ!$C$109,入力データ!$C$36,0))</f>
        <v/>
      </c>
      <c r="BJ14" s="350">
        <f>IF(BJ$3="","",IF(BJ4=入力データ!$C$109,入力データ!$C$36,0))</f>
        <v/>
      </c>
      <c r="BK14" s="350">
        <f>IF(BK$3="","",IF(BK4=入力データ!$C$109,入力データ!$C$36,0))</f>
        <v/>
      </c>
      <c r="BL14" s="350">
        <f>IF(BL$3="","",IF(BL4=入力データ!$C$109,入力データ!$C$36,0))</f>
        <v/>
      </c>
      <c r="BM14" s="350">
        <f>IF(BM$3="","",IF(BM4=入力データ!$C$109,入力データ!$C$36,0))</f>
        <v/>
      </c>
      <c r="BN14" s="350">
        <f>IF(BN$3="","",IF(BN4=入力データ!$C$109,入力データ!$C$36,0))</f>
        <v/>
      </c>
      <c r="BO14" s="350">
        <f>IF(BO$3="","",IF(BO4=入力データ!$C$109,入力データ!$C$36,0))</f>
        <v/>
      </c>
      <c r="BP14" s="350">
        <f>IF(BP$3="","",IF(BP4=入力データ!$C$109,入力データ!$C$36,0))</f>
        <v/>
      </c>
      <c r="BQ14" s="350">
        <f>IF(BQ$3="","",IF(BQ4=入力データ!$C$109,入力データ!$C$36,0))</f>
        <v/>
      </c>
      <c r="BR14" s="350">
        <f>IF(BR$3="","",IF(BR4=入力データ!$C$109,入力データ!$C$36,0))</f>
        <v/>
      </c>
      <c r="BS14" s="350">
        <f>IF(BS$3="","",IF(BS4=入力データ!$C$109,入力データ!$C$36,0))</f>
        <v/>
      </c>
      <c r="BT14" s="350">
        <f>IF(BT$3="","",IF(BT4=入力データ!$C$109,入力データ!$C$36,0))</f>
        <v/>
      </c>
      <c r="BU14" s="350">
        <f>IF(BU$3="","",IF(BU4=入力データ!$C$109,入力データ!$C$36,0))</f>
        <v/>
      </c>
      <c r="BV14" s="350">
        <f>IF(BV$3="","",IF(BV4=入力データ!$C$109,入力データ!$C$36,0))</f>
        <v/>
      </c>
      <c r="BW14" s="350">
        <f>IF(BW$3="","",IF(BW4=入力データ!$C$109,入力データ!$C$36,0))</f>
        <v/>
      </c>
      <c r="BX14" s="350">
        <f>IF(BX$3="","",IF(BX4=入力データ!$C$109,入力データ!$C$36,0))</f>
        <v/>
      </c>
      <c r="BY14" s="350">
        <f>IF(BY$3="","",IF(BY4=入力データ!$C$109,入力データ!$C$36,0))</f>
        <v/>
      </c>
      <c r="BZ14" s="350">
        <f>IF(BZ$3="","",IF(BZ4=入力データ!$C$109,入力データ!$C$36,0))</f>
        <v/>
      </c>
      <c r="CA14" s="350">
        <f>IF(CA$3="","",IF(CA4=入力データ!$C$109,入力データ!$C$36,0))</f>
        <v/>
      </c>
      <c r="CB14" s="350">
        <f>IF(CB$3="","",IF(CB4=入力データ!$C$109,入力データ!$C$36,0))</f>
        <v/>
      </c>
      <c r="CC14" s="350">
        <f>IF(CC$3="","",IF(CC4=入力データ!$C$109,入力データ!$C$36,0))</f>
        <v/>
      </c>
      <c r="CD14" s="350">
        <f>IF(CD$3="","",IF(CD4=入力データ!$C$109,入力データ!$C$36,0))</f>
        <v/>
      </c>
      <c r="CE14" s="350">
        <f>IF(CE$3="","",IF(CE4=入力データ!$C$109,入力データ!$C$36,0))</f>
        <v/>
      </c>
      <c r="CF14" s="350">
        <f>IF(CF$3="","",IF(CF4=入力データ!$C$109,入力データ!$C$36,0))</f>
        <v/>
      </c>
      <c r="CG14" s="350">
        <f>IF(CG$3="","",IF(CG4=入力データ!$C$109,入力データ!$C$36,0))</f>
        <v/>
      </c>
      <c r="CH14" s="350">
        <f>IF(CH$3="","",IF(CH4=入力データ!$C$109,入力データ!$C$36,0))</f>
        <v/>
      </c>
      <c r="CI14" s="350">
        <f>IF(CI$3="","",IF(CI4=入力データ!$C$109,入力データ!$C$36,0))</f>
        <v/>
      </c>
      <c r="CJ14" s="350">
        <f>IF(CJ$3="","",IF(CJ4=入力データ!$C$109,入力データ!$C$36,0))</f>
        <v/>
      </c>
      <c r="CK14" s="350">
        <f>IF(CK$3="","",IF(CK4=入力データ!$C$109,入力データ!$C$36,0))</f>
        <v/>
      </c>
      <c r="CL14" s="350">
        <f>IF(CL$3="","",IF(CL4=入力データ!$C$109,入力データ!$C$36,0))</f>
        <v/>
      </c>
      <c r="CM14" s="350">
        <f>IF(CM$3="","",IF(CM4=入力データ!$C$109,入力データ!$C$36,0))</f>
        <v/>
      </c>
      <c r="CN14" s="350">
        <f>IF(CN$3="","",IF(CN4=入力データ!$C$109,入力データ!$C$36,0))</f>
        <v/>
      </c>
      <c r="CO14" s="350">
        <f>IF(CO$3="","",IF(CO4=入力データ!$C$109,入力データ!$C$36,0))</f>
        <v/>
      </c>
      <c r="CP14" s="350">
        <f>IF(CP$3="","",IF(CP4=入力データ!$C$109,入力データ!$C$36,0))</f>
        <v/>
      </c>
      <c r="CQ14" s="350">
        <f>IF(CQ$3="","",IF(CQ4=入力データ!$C$109,入力データ!$C$36,0))</f>
        <v/>
      </c>
      <c r="CR14" s="350">
        <f>IF(CR$3="","",IF(CR4=入力データ!$C$109,入力データ!$C$36,0))</f>
        <v/>
      </c>
      <c r="CS14" s="350">
        <f>IF(CS$3="","",IF(CS4=入力データ!$C$109,入力データ!$C$36,0))</f>
        <v/>
      </c>
      <c r="CT14" s="350">
        <f>IF(CT$3="","",IF(CT4=入力データ!$C$109,入力データ!$C$36,0))</f>
        <v/>
      </c>
      <c r="CU14" s="350">
        <f>IF(CU$3="","",IF(CU4=入力データ!$C$109,入力データ!$C$36,0))</f>
        <v/>
      </c>
      <c r="CV14" s="350">
        <f>IF(CV$3="","",IF(CV4=入力データ!$C$109,入力データ!$C$36,0))</f>
        <v/>
      </c>
      <c r="CW14" s="350">
        <f>IF(CW$3="","",IF(CW4=入力データ!$C$109,入力データ!$C$36,0))</f>
        <v/>
      </c>
    </row>
    <row r="15" ht="15" customHeight="1" s="180">
      <c r="A15" s="220" t="inlineStr">
        <is>
          <t>奥様退職金</t>
        </is>
      </c>
      <c r="B15" s="350">
        <f>IF(B$3="","",IF(B5=入力データ!$C$110,入力データ!$C$37,0))</f>
        <v/>
      </c>
      <c r="C15" s="350">
        <f>IF(C$3="","",IF(C5=入力データ!$C$110,入力データ!$C$37,0))</f>
        <v/>
      </c>
      <c r="D15" s="350">
        <f>IF(D$3="","",IF(D5=入力データ!$C$110,入力データ!$C$37,0))</f>
        <v/>
      </c>
      <c r="E15" s="350">
        <f>IF(E$3="","",IF(E5=入力データ!$C$110,入力データ!$C$37,0))</f>
        <v/>
      </c>
      <c r="F15" s="350">
        <f>IF(F$3="","",IF(F5=入力データ!$C$110,入力データ!$C$37,0))</f>
        <v/>
      </c>
      <c r="G15" s="350">
        <f>IF(G$3="","",IF(G5=入力データ!$C$110,入力データ!$C$37,0))</f>
        <v/>
      </c>
      <c r="H15" s="350">
        <f>IF(H$3="","",IF(H5=入力データ!$C$110,入力データ!$C$37,0))</f>
        <v/>
      </c>
      <c r="I15" s="350">
        <f>IF(I$3="","",IF(I5=入力データ!$C$110,入力データ!$C$37,0))</f>
        <v/>
      </c>
      <c r="J15" s="350">
        <f>IF(J$3="","",IF(J5=入力データ!$C$110,入力データ!$C$37,0))</f>
        <v/>
      </c>
      <c r="K15" s="350">
        <f>IF(K$3="","",IF(K5=入力データ!$C$110,入力データ!$C$37,0))</f>
        <v/>
      </c>
      <c r="L15" s="350">
        <f>IF(L$3="","",IF(L5=入力データ!$C$110,入力データ!$C$37,0))</f>
        <v/>
      </c>
      <c r="M15" s="350">
        <f>IF(M$3="","",IF(M5=入力データ!$C$110,入力データ!$C$37,0))</f>
        <v/>
      </c>
      <c r="N15" s="350">
        <f>IF(N$3="","",IF(N5=入力データ!$C$110,入力データ!$C$37,0))</f>
        <v/>
      </c>
      <c r="O15" s="350">
        <f>IF(O$3="","",IF(O5=入力データ!$C$110,入力データ!$C$37,0))</f>
        <v/>
      </c>
      <c r="P15" s="350">
        <f>IF(P$3="","",IF(P5=入力データ!$C$110,入力データ!$C$37,0))</f>
        <v/>
      </c>
      <c r="Q15" s="350">
        <f>IF(Q$3="","",IF(Q5=入力データ!$C$110,入力データ!$C$37,0))</f>
        <v/>
      </c>
      <c r="R15" s="350">
        <f>IF(R$3="","",IF(R5=入力データ!$C$110,入力データ!$C$37,0))</f>
        <v/>
      </c>
      <c r="S15" s="350">
        <f>IF(S$3="","",IF(S5=入力データ!$C$110,入力データ!$C$37,0))</f>
        <v/>
      </c>
      <c r="T15" s="350">
        <f>IF(T$3="","",IF(T5=入力データ!$C$110,入力データ!$C$37,0))</f>
        <v/>
      </c>
      <c r="U15" s="350">
        <f>IF(U$3="","",IF(U5=入力データ!$C$110,入力データ!$C$37,0))</f>
        <v/>
      </c>
      <c r="V15" s="350">
        <f>IF(V$3="","",IF(V5=入力データ!$C$110,入力データ!$C$37,0))</f>
        <v/>
      </c>
      <c r="W15" s="350">
        <f>IF(W$3="","",IF(W5=入力データ!$C$110,入力データ!$C$37,0))</f>
        <v/>
      </c>
      <c r="X15" s="350">
        <f>IF(X$3="","",IF(X5=入力データ!$C$110,入力データ!$C$37,0))</f>
        <v/>
      </c>
      <c r="Y15" s="350">
        <f>IF(Y$3="","",IF(Y5=入力データ!$C$110,入力データ!$C$37,0))</f>
        <v/>
      </c>
      <c r="Z15" s="350">
        <f>IF(Z$3="","",IF(Z5=入力データ!$C$110,入力データ!$C$37,0))</f>
        <v/>
      </c>
      <c r="AA15" s="350">
        <f>IF(AA$3="","",IF(AA5=入力データ!$C$110,入力データ!$C$37,0))</f>
        <v/>
      </c>
      <c r="AB15" s="350">
        <f>IF(AB$3="","",IF(AB5=入力データ!$C$110,入力データ!$C$37,0))</f>
        <v/>
      </c>
      <c r="AC15" s="350">
        <f>IF(AC$3="","",IF(AC5=入力データ!$C$110,入力データ!$C$37,0))</f>
        <v/>
      </c>
      <c r="AD15" s="350">
        <f>IF(AD$3="","",IF(AD5=入力データ!$C$110,入力データ!$C$37,0))</f>
        <v/>
      </c>
      <c r="AE15" s="350">
        <f>IF(AE$3="","",IF(AE5=入力データ!$C$110,入力データ!$C$37,0))</f>
        <v/>
      </c>
      <c r="AF15" s="350">
        <f>IF(AF$3="","",IF(AF5=入力データ!$C$110,入力データ!$C$37,0))</f>
        <v/>
      </c>
      <c r="AG15" s="350">
        <f>IF(AG$3="","",IF(AG5=入力データ!$C$110,入力データ!$C$37,0))</f>
        <v/>
      </c>
      <c r="AH15" s="350">
        <f>IF(AH$3="","",IF(AH5=入力データ!$C$110,入力データ!$C$37,0))</f>
        <v/>
      </c>
      <c r="AI15" s="350">
        <f>IF(AI$3="","",IF(AI5=入力データ!$C$110,入力データ!$C$37,0))</f>
        <v/>
      </c>
      <c r="AJ15" s="350">
        <f>IF(AJ$3="","",IF(AJ5=入力データ!$C$110,入力データ!$C$37,0))</f>
        <v/>
      </c>
      <c r="AK15" s="350">
        <f>IF(AK$3="","",IF(AK5=入力データ!$C$110,入力データ!$C$37,0))</f>
        <v/>
      </c>
      <c r="AL15" s="350">
        <f>IF(AL$3="","",IF(AL5=入力データ!$C$110,入力データ!$C$37,0))</f>
        <v/>
      </c>
      <c r="AM15" s="350">
        <f>IF(AM$3="","",IF(AM5=入力データ!$C$110,入力データ!$C$37,0))</f>
        <v/>
      </c>
      <c r="AN15" s="350">
        <f>IF(AN$3="","",IF(AN5=入力データ!$C$110,入力データ!$C$37,0))</f>
        <v/>
      </c>
      <c r="AO15" s="350">
        <f>IF(AO$3="","",IF(AO5=入力データ!$C$110,入力データ!$C$37,0))</f>
        <v/>
      </c>
      <c r="AP15" s="350">
        <f>IF(AP$3="","",IF(AP5=入力データ!$C$110,入力データ!$C$37,0))</f>
        <v/>
      </c>
      <c r="AQ15" s="350">
        <f>IF(AQ$3="","",IF(AQ5=入力データ!$C$110,入力データ!$C$37,0))</f>
        <v/>
      </c>
      <c r="AR15" s="350">
        <f>IF(AR$3="","",IF(AR5=入力データ!$C$110,入力データ!$C$37,0))</f>
        <v/>
      </c>
      <c r="AS15" s="350">
        <f>IF(AS$3="","",IF(AS5=入力データ!$C$110,入力データ!$C$37,0))</f>
        <v/>
      </c>
      <c r="AT15" s="350">
        <f>IF(AT$3="","",IF(AT5=入力データ!$C$110,入力データ!$C$37,0))</f>
        <v/>
      </c>
      <c r="AU15" s="350">
        <f>IF(AU$3="","",IF(AU5=入力データ!$C$110,入力データ!$C$37,0))</f>
        <v/>
      </c>
      <c r="AV15" s="350">
        <f>IF(AV$3="","",IF(AV5=入力データ!$C$110,入力データ!$C$37,0))</f>
        <v/>
      </c>
      <c r="AW15" s="350">
        <f>IF(AW$3="","",IF(AW5=入力データ!$C$110,入力データ!$C$37,0))</f>
        <v/>
      </c>
      <c r="AX15" s="350">
        <f>IF(AX$3="","",IF(AX5=入力データ!$C$110,入力データ!$C$37,0))</f>
        <v/>
      </c>
      <c r="AY15" s="350">
        <f>IF(AY$3="","",IF(AY5=入力データ!$C$110,入力データ!$C$37,0))</f>
        <v/>
      </c>
      <c r="AZ15" s="350">
        <f>IF(AZ$3="","",IF(AZ5=入力データ!$C$110,入力データ!$C$37,0))</f>
        <v/>
      </c>
      <c r="BA15" s="350">
        <f>IF(BA$3="","",IF(BA5=入力データ!$C$110,入力データ!$C$37,0))</f>
        <v/>
      </c>
      <c r="BB15" s="350">
        <f>IF(BB$3="","",IF(BB5=入力データ!$C$110,入力データ!$C$37,0))</f>
        <v/>
      </c>
      <c r="BC15" s="350">
        <f>IF(BC$3="","",IF(BC5=入力データ!$C$110,入力データ!$C$37,0))</f>
        <v/>
      </c>
      <c r="BD15" s="350">
        <f>IF(BD$3="","",IF(BD5=入力データ!$C$110,入力データ!$C$37,0))</f>
        <v/>
      </c>
      <c r="BE15" s="350">
        <f>IF(BE$3="","",IF(BE5=入力データ!$C$110,入力データ!$C$37,0))</f>
        <v/>
      </c>
      <c r="BF15" s="350">
        <f>IF(BF$3="","",IF(BF5=入力データ!$C$110,入力データ!$C$37,0))</f>
        <v/>
      </c>
      <c r="BG15" s="350">
        <f>IF(BG$3="","",IF(BG5=入力データ!$C$110,入力データ!$C$37,0))</f>
        <v/>
      </c>
      <c r="BH15" s="350">
        <f>IF(BH$3="","",IF(BH5=入力データ!$C$110,入力データ!$C$37,0))</f>
        <v/>
      </c>
      <c r="BI15" s="350">
        <f>IF(BI$3="","",IF(BI5=入力データ!$C$110,入力データ!$C$37,0))</f>
        <v/>
      </c>
      <c r="BJ15" s="350">
        <f>IF(BJ$3="","",IF(BJ5=入力データ!$C$110,入力データ!$C$37,0))</f>
        <v/>
      </c>
      <c r="BK15" s="350">
        <f>IF(BK$3="","",IF(BK5=入力データ!$C$110,入力データ!$C$37,0))</f>
        <v/>
      </c>
      <c r="BL15" s="350">
        <f>IF(BL$3="","",IF(BL5=入力データ!$C$110,入力データ!$C$37,0))</f>
        <v/>
      </c>
      <c r="BM15" s="350">
        <f>IF(BM$3="","",IF(BM5=入力データ!$C$110,入力データ!$C$37,0))</f>
        <v/>
      </c>
      <c r="BN15" s="350">
        <f>IF(BN$3="","",IF(BN5=入力データ!$C$110,入力データ!$C$37,0))</f>
        <v/>
      </c>
      <c r="BO15" s="350">
        <f>IF(BO$3="","",IF(BO5=入力データ!$C$110,入力データ!$C$37,0))</f>
        <v/>
      </c>
      <c r="BP15" s="350">
        <f>IF(BP$3="","",IF(BP5=入力データ!$C$110,入力データ!$C$37,0))</f>
        <v/>
      </c>
      <c r="BQ15" s="350">
        <f>IF(BQ$3="","",IF(BQ5=入力データ!$C$110,入力データ!$C$37,0))</f>
        <v/>
      </c>
      <c r="BR15" s="350">
        <f>IF(BR$3="","",IF(BR5=入力データ!$C$110,入力データ!$C$37,0))</f>
        <v/>
      </c>
      <c r="BS15" s="350">
        <f>IF(BS$3="","",IF(BS5=入力データ!$C$110,入力データ!$C$37,0))</f>
        <v/>
      </c>
      <c r="BT15" s="350">
        <f>IF(BT$3="","",IF(BT5=入力データ!$C$110,入力データ!$C$37,0))</f>
        <v/>
      </c>
      <c r="BU15" s="350">
        <f>IF(BU$3="","",IF(BU5=入力データ!$C$110,入力データ!$C$37,0))</f>
        <v/>
      </c>
      <c r="BV15" s="350">
        <f>IF(BV$3="","",IF(BV5=入力データ!$C$110,入力データ!$C$37,0))</f>
        <v/>
      </c>
      <c r="BW15" s="350">
        <f>IF(BW$3="","",IF(BW5=入力データ!$C$110,入力データ!$C$37,0))</f>
        <v/>
      </c>
      <c r="BX15" s="350">
        <f>IF(BX$3="","",IF(BX5=入力データ!$C$110,入力データ!$C$37,0))</f>
        <v/>
      </c>
      <c r="BY15" s="350">
        <f>IF(BY$3="","",IF(BY5=入力データ!$C$110,入力データ!$C$37,0))</f>
        <v/>
      </c>
      <c r="BZ15" s="350">
        <f>IF(BZ$3="","",IF(BZ5=入力データ!$C$110,入力データ!$C$37,0))</f>
        <v/>
      </c>
      <c r="CA15" s="350">
        <f>IF(CA$3="","",IF(CA5=入力データ!$C$110,入力データ!$C$37,0))</f>
        <v/>
      </c>
      <c r="CB15" s="350">
        <f>IF(CB$3="","",IF(CB5=入力データ!$C$110,入力データ!$C$37,0))</f>
        <v/>
      </c>
      <c r="CC15" s="350">
        <f>IF(CC$3="","",IF(CC5=入力データ!$C$110,入力データ!$C$37,0))</f>
        <v/>
      </c>
      <c r="CD15" s="350">
        <f>IF(CD$3="","",IF(CD5=入力データ!$C$110,入力データ!$C$37,0))</f>
        <v/>
      </c>
      <c r="CE15" s="350">
        <f>IF(CE$3="","",IF(CE5=入力データ!$C$110,入力データ!$C$37,0))</f>
        <v/>
      </c>
      <c r="CF15" s="350">
        <f>IF(CF$3="","",IF(CF5=入力データ!$C$110,入力データ!$C$37,0))</f>
        <v/>
      </c>
      <c r="CG15" s="350">
        <f>IF(CG$3="","",IF(CG5=入力データ!$C$110,入力データ!$C$37,0))</f>
        <v/>
      </c>
      <c r="CH15" s="350">
        <f>IF(CH$3="","",IF(CH5=入力データ!$C$110,入力データ!$C$37,0))</f>
        <v/>
      </c>
      <c r="CI15" s="350">
        <f>IF(CI$3="","",IF(CI5=入力データ!$C$110,入力データ!$C$37,0))</f>
        <v/>
      </c>
      <c r="CJ15" s="350">
        <f>IF(CJ$3="","",IF(CJ5=入力データ!$C$110,入力データ!$C$37,0))</f>
        <v/>
      </c>
      <c r="CK15" s="350">
        <f>IF(CK$3="","",IF(CK5=入力データ!$C$110,入力データ!$C$37,0))</f>
        <v/>
      </c>
      <c r="CL15" s="350">
        <f>IF(CL$3="","",IF(CL5=入力データ!$C$110,入力データ!$C$37,0))</f>
        <v/>
      </c>
      <c r="CM15" s="350">
        <f>IF(CM$3="","",IF(CM5=入力データ!$C$110,入力データ!$C$37,0))</f>
        <v/>
      </c>
      <c r="CN15" s="350">
        <f>IF(CN$3="","",IF(CN5=入力データ!$C$110,入力データ!$C$37,0))</f>
        <v/>
      </c>
      <c r="CO15" s="350">
        <f>IF(CO$3="","",IF(CO5=入力データ!$C$110,入力データ!$C$37,0))</f>
        <v/>
      </c>
      <c r="CP15" s="350">
        <f>IF(CP$3="","",IF(CP5=入力データ!$C$110,入力データ!$C$37,0))</f>
        <v/>
      </c>
      <c r="CQ15" s="350">
        <f>IF(CQ$3="","",IF(CQ5=入力データ!$C$110,入力データ!$C$37,0))</f>
        <v/>
      </c>
      <c r="CR15" s="350">
        <f>IF(CR$3="","",IF(CR5=入力データ!$C$110,入力データ!$C$37,0))</f>
        <v/>
      </c>
      <c r="CS15" s="350">
        <f>IF(CS$3="","",IF(CS5=入力データ!$C$110,入力データ!$C$37,0))</f>
        <v/>
      </c>
      <c r="CT15" s="350">
        <f>IF(CT$3="","",IF(CT5=入力データ!$C$110,入力データ!$C$37,0))</f>
        <v/>
      </c>
      <c r="CU15" s="350">
        <f>IF(CU$3="","",IF(CU5=入力データ!$C$110,入力データ!$C$37,0))</f>
        <v/>
      </c>
      <c r="CV15" s="350">
        <f>IF(CV$3="","",IF(CV5=入力データ!$C$110,入力データ!$C$37,0))</f>
        <v/>
      </c>
      <c r="CW15" s="350">
        <f>IF(CW$3="","",IF(CW5=入力データ!$C$110,入力データ!$C$37,0))</f>
        <v/>
      </c>
    </row>
    <row r="16" ht="15" customHeight="1" s="180">
      <c r="A16" s="220" t="inlineStr">
        <is>
          <t>ご主人様年金収入</t>
        </is>
      </c>
      <c r="B16" s="350">
        <f>IF(B$3="","",IF(B4&gt;=前提条件!$C$37,前提条件!$C$39*12,0))</f>
        <v/>
      </c>
      <c r="C16" s="350">
        <f>IF(C$3="","",IF(C4&gt;=前提条件!$C$37,前提条件!$C$39*12,0))</f>
        <v/>
      </c>
      <c r="D16" s="350">
        <f>IF(D$3="","",IF(D4&gt;=前提条件!$C$37,前提条件!$C$39*12,0))</f>
        <v/>
      </c>
      <c r="E16" s="350">
        <f>IF(E$3="","",IF(E4&gt;=前提条件!$C$37,前提条件!$C$39*12,0))</f>
        <v/>
      </c>
      <c r="F16" s="350">
        <f>IF(F$3="","",IF(F4&gt;=前提条件!$C$37,前提条件!$C$39*12,0))</f>
        <v/>
      </c>
      <c r="G16" s="350">
        <f>IF(G$3="","",IF(G4&gt;=前提条件!$C$37,前提条件!$C$39*12,0))</f>
        <v/>
      </c>
      <c r="H16" s="350">
        <f>IF(H$3="","",IF(H4&gt;=前提条件!$C$37,前提条件!$C$39*12,0))</f>
        <v/>
      </c>
      <c r="I16" s="350">
        <f>IF(I$3="","",IF(I4&gt;=前提条件!$C$37,前提条件!$C$39*12,0))</f>
        <v/>
      </c>
      <c r="J16" s="350">
        <f>IF(J$3="","",IF(J4&gt;=前提条件!$C$37,前提条件!$C$39*12,0))</f>
        <v/>
      </c>
      <c r="K16" s="350">
        <f>IF(K$3="","",IF(K4&gt;=前提条件!$C$37,前提条件!$C$39*12,0))</f>
        <v/>
      </c>
      <c r="L16" s="350">
        <f>IF(L$3="","",IF(L4&gt;=前提条件!$C$37,前提条件!$C$39*12,0))</f>
        <v/>
      </c>
      <c r="M16" s="350">
        <f>IF(M$3="","",IF(M4&gt;=前提条件!$C$37,前提条件!$C$39*12,0))</f>
        <v/>
      </c>
      <c r="N16" s="350">
        <f>IF(N$3="","",IF(N4&gt;=前提条件!$C$37,前提条件!$C$39*12,0))</f>
        <v/>
      </c>
      <c r="O16" s="350">
        <f>IF(O$3="","",IF(O4&gt;=前提条件!$C$37,前提条件!$C$39*12,0))</f>
        <v/>
      </c>
      <c r="P16" s="350">
        <f>IF(P$3="","",IF(P4&gt;=前提条件!$C$37,前提条件!$C$39*12,0))</f>
        <v/>
      </c>
      <c r="Q16" s="350">
        <f>IF(Q$3="","",IF(Q4&gt;=前提条件!$C$37,前提条件!$C$39*12,0))</f>
        <v/>
      </c>
      <c r="R16" s="350">
        <f>IF(R$3="","",IF(R4&gt;=前提条件!$C$37,前提条件!$C$39*12,0))</f>
        <v/>
      </c>
      <c r="S16" s="350">
        <f>IF(S$3="","",IF(S4&gt;=前提条件!$C$37,前提条件!$C$39*12,0))</f>
        <v/>
      </c>
      <c r="T16" s="350">
        <f>IF(T$3="","",IF(T4&gt;=前提条件!$C$37,前提条件!$C$39*12,0))</f>
        <v/>
      </c>
      <c r="U16" s="350">
        <f>IF(U$3="","",IF(U4&gt;=前提条件!$C$37,前提条件!$C$39*12,0))</f>
        <v/>
      </c>
      <c r="V16" s="350">
        <f>IF(V$3="","",IF(V4&gt;=前提条件!$C$37,前提条件!$C$39*12,0))</f>
        <v/>
      </c>
      <c r="W16" s="350">
        <f>IF(W$3="","",IF(W4&gt;=前提条件!$C$37,前提条件!$C$39*12,0))</f>
        <v/>
      </c>
      <c r="X16" s="350">
        <f>IF(X$3="","",IF(X4&gt;=前提条件!$C$37,前提条件!$C$39*12,0))</f>
        <v/>
      </c>
      <c r="Y16" s="350">
        <f>IF(Y$3="","",IF(Y4&gt;=前提条件!$C$37,前提条件!$C$39*12,0))</f>
        <v/>
      </c>
      <c r="Z16" s="350">
        <f>IF(Z$3="","",IF(Z4&gt;=前提条件!$C$37,前提条件!$C$39*12,0))</f>
        <v/>
      </c>
      <c r="AA16" s="350">
        <f>IF(AA$3="","",IF(AA4&gt;=前提条件!$C$37,前提条件!$C$39*12,0))</f>
        <v/>
      </c>
      <c r="AB16" s="350">
        <f>IF(AB$3="","",IF(AB4&gt;=前提条件!$C$37,前提条件!$C$39*12,0))</f>
        <v/>
      </c>
      <c r="AC16" s="350">
        <f>IF(AC$3="","",IF(AC4&gt;=前提条件!$C$37,前提条件!$C$39*12,0))</f>
        <v/>
      </c>
      <c r="AD16" s="350">
        <f>IF(AD$3="","",IF(AD4&gt;=前提条件!$C$37,前提条件!$C$39*12,0))</f>
        <v/>
      </c>
      <c r="AE16" s="350">
        <f>IF(AE$3="","",IF(AE4&gt;=前提条件!$C$37,前提条件!$C$39*12,0))</f>
        <v/>
      </c>
      <c r="AF16" s="350">
        <f>IF(AF$3="","",IF(AF4&gt;=前提条件!$C$37,前提条件!$C$39*12,0))</f>
        <v/>
      </c>
      <c r="AG16" s="350">
        <f>IF(AG$3="","",IF(AG4&gt;=前提条件!$C$37,前提条件!$C$39*12,0))</f>
        <v/>
      </c>
      <c r="AH16" s="350">
        <f>IF(AH$3="","",IF(AH4&gt;=前提条件!$C$37,前提条件!$C$39*12,0))</f>
        <v/>
      </c>
      <c r="AI16" s="350">
        <f>IF(AI$3="","",IF(AI4&gt;=前提条件!$C$37,前提条件!$C$39*12,0))</f>
        <v/>
      </c>
      <c r="AJ16" s="350">
        <f>IF(AJ$3="","",IF(AJ4&gt;=前提条件!$C$37,前提条件!$C$39*12,0))</f>
        <v/>
      </c>
      <c r="AK16" s="350">
        <f>IF(AK$3="","",IF(AK4&gt;=前提条件!$C$37,前提条件!$C$39*12,0))</f>
        <v/>
      </c>
      <c r="AL16" s="350">
        <f>IF(AL$3="","",IF(AL4&gt;=前提条件!$C$37,前提条件!$C$39*12,0))</f>
        <v/>
      </c>
      <c r="AM16" s="350">
        <f>IF(AM$3="","",IF(AM4&gt;=前提条件!$C$37,前提条件!$C$39*12,0))</f>
        <v/>
      </c>
      <c r="AN16" s="350">
        <f>IF(AN$3="","",IF(AN4&gt;=前提条件!$C$37,前提条件!$C$39*12,0))</f>
        <v/>
      </c>
      <c r="AO16" s="350">
        <f>IF(AO$3="","",IF(AO4&gt;=前提条件!$C$37,前提条件!$C$39*12,0))</f>
        <v/>
      </c>
      <c r="AP16" s="350">
        <f>IF(AP$3="","",IF(AP4&gt;=前提条件!$C$37,前提条件!$C$39*12,0))</f>
        <v/>
      </c>
      <c r="AQ16" s="350">
        <f>IF(AQ$3="","",IF(AQ4&gt;=前提条件!$C$37,前提条件!$C$39*12,0))</f>
        <v/>
      </c>
      <c r="AR16" s="350">
        <f>IF(AR$3="","",IF(AR4&gt;=前提条件!$C$37,前提条件!$C$39*12,0))</f>
        <v/>
      </c>
      <c r="AS16" s="350">
        <f>IF(AS$3="","",IF(AS4&gt;=前提条件!$C$37,前提条件!$C$39*12,0))</f>
        <v/>
      </c>
      <c r="AT16" s="350">
        <f>IF(AT$3="","",IF(AT4&gt;=前提条件!$C$37,前提条件!$C$39*12,0))</f>
        <v/>
      </c>
      <c r="AU16" s="350">
        <f>IF(AU$3="","",IF(AU4&gt;=前提条件!$C$37,前提条件!$C$39*12,0))</f>
        <v/>
      </c>
      <c r="AV16" s="350">
        <f>IF(AV$3="","",IF(AV4&gt;=前提条件!$C$37,前提条件!$C$39*12,0))</f>
        <v/>
      </c>
      <c r="AW16" s="350">
        <f>IF(AW$3="","",IF(AW4&gt;=前提条件!$C$37,前提条件!$C$39*12,0))</f>
        <v/>
      </c>
      <c r="AX16" s="350">
        <f>IF(AX$3="","",IF(AX4&gt;=前提条件!$C$37,前提条件!$C$39*12,0))</f>
        <v/>
      </c>
      <c r="AY16" s="350">
        <f>IF(AY$3="","",IF(AY4&gt;=前提条件!$C$37,前提条件!$C$39*12,0))</f>
        <v/>
      </c>
      <c r="AZ16" s="350">
        <f>IF(AZ$3="","",IF(AZ4&gt;=前提条件!$C$37,前提条件!$C$39*12,0))</f>
        <v/>
      </c>
      <c r="BA16" s="350">
        <f>IF(BA$3="","",IF(BA4&gt;=前提条件!$C$37,前提条件!$C$39*12,0))</f>
        <v/>
      </c>
      <c r="BB16" s="350">
        <f>IF(BB$3="","",IF(BB4&gt;=前提条件!$C$37,前提条件!$C$39*12,0))</f>
        <v/>
      </c>
      <c r="BC16" s="350">
        <f>IF(BC$3="","",IF(BC4&gt;=前提条件!$C$37,前提条件!$C$39*12,0))</f>
        <v/>
      </c>
      <c r="BD16" s="350">
        <f>IF(BD$3="","",IF(BD4&gt;=前提条件!$C$37,前提条件!$C$39*12,0))</f>
        <v/>
      </c>
      <c r="BE16" s="350">
        <f>IF(BE$3="","",IF(BE4&gt;=前提条件!$C$37,前提条件!$C$39*12,0))</f>
        <v/>
      </c>
      <c r="BF16" s="350">
        <f>IF(BF$3="","",IF(BF4&gt;=前提条件!$C$37,前提条件!$C$39*12,0))</f>
        <v/>
      </c>
      <c r="BG16" s="350">
        <f>IF(BG$3="","",IF(BG4&gt;=前提条件!$C$37,前提条件!$C$39*12,0))</f>
        <v/>
      </c>
      <c r="BH16" s="350">
        <f>IF(BH$3="","",IF(BH4&gt;=前提条件!$C$37,前提条件!$C$39*12,0))</f>
        <v/>
      </c>
      <c r="BI16" s="350">
        <f>IF(BI$3="","",IF(BI4&gt;=前提条件!$C$37,前提条件!$C$39*12,0))</f>
        <v/>
      </c>
      <c r="BJ16" s="350">
        <f>IF(BJ$3="","",IF(BJ4&gt;=前提条件!$C$37,前提条件!$C$39*12,0))</f>
        <v/>
      </c>
      <c r="BK16" s="350">
        <f>IF(BK$3="","",IF(BK4&gt;=前提条件!$C$37,前提条件!$C$39*12,0))</f>
        <v/>
      </c>
      <c r="BL16" s="350">
        <f>IF(BL$3="","",IF(BL4&gt;=前提条件!$C$37,前提条件!$C$39*12,0))</f>
        <v/>
      </c>
      <c r="BM16" s="350">
        <f>IF(BM$3="","",IF(BM4&gt;=前提条件!$C$37,前提条件!$C$39*12,0))</f>
        <v/>
      </c>
      <c r="BN16" s="350">
        <f>IF(BN$3="","",IF(BN4&gt;=前提条件!$C$37,前提条件!$C$39*12,0))</f>
        <v/>
      </c>
      <c r="BO16" s="350">
        <f>IF(BO$3="","",IF(BO4&gt;=前提条件!$C$37,前提条件!$C$39*12,0))</f>
        <v/>
      </c>
      <c r="BP16" s="350">
        <f>IF(BP$3="","",IF(BP4&gt;=前提条件!$C$37,前提条件!$C$39*12,0))</f>
        <v/>
      </c>
      <c r="BQ16" s="350">
        <f>IF(BQ$3="","",IF(BQ4&gt;=前提条件!$C$37,前提条件!$C$39*12,0))</f>
        <v/>
      </c>
      <c r="BR16" s="350">
        <f>IF(BR$3="","",IF(BR4&gt;=前提条件!$C$37,前提条件!$C$39*12,0))</f>
        <v/>
      </c>
      <c r="BS16" s="350">
        <f>IF(BS$3="","",IF(BS4&gt;=前提条件!$C$37,前提条件!$C$39*12,0))</f>
        <v/>
      </c>
      <c r="BT16" s="350">
        <f>IF(BT$3="","",IF(BT4&gt;=前提条件!$C$37,前提条件!$C$39*12,0))</f>
        <v/>
      </c>
      <c r="BU16" s="350">
        <f>IF(BU$3="","",IF(BU4&gt;=前提条件!$C$37,前提条件!$C$39*12,0))</f>
        <v/>
      </c>
      <c r="BV16" s="350">
        <f>IF(BV$3="","",IF(BV4&gt;=前提条件!$C$37,前提条件!$C$39*12,0))</f>
        <v/>
      </c>
      <c r="BW16" s="350">
        <f>IF(BW$3="","",IF(BW4&gt;=前提条件!$C$37,前提条件!$C$39*12,0))</f>
        <v/>
      </c>
      <c r="BX16" s="350">
        <f>IF(BX$3="","",IF(BX4&gt;=前提条件!$C$37,前提条件!$C$39*12,0))</f>
        <v/>
      </c>
      <c r="BY16" s="350">
        <f>IF(BY$3="","",IF(BY4&gt;=前提条件!$C$37,前提条件!$C$39*12,0))</f>
        <v/>
      </c>
      <c r="BZ16" s="350">
        <f>IF(BZ$3="","",IF(BZ4&gt;=前提条件!$C$37,前提条件!$C$39*12,0))</f>
        <v/>
      </c>
      <c r="CA16" s="350">
        <f>IF(CA$3="","",IF(CA4&gt;=前提条件!$C$37,前提条件!$C$39*12,0))</f>
        <v/>
      </c>
      <c r="CB16" s="350">
        <f>IF(CB$3="","",IF(CB4&gt;=前提条件!$C$37,前提条件!$C$39*12,0))</f>
        <v/>
      </c>
      <c r="CC16" s="350">
        <f>IF(CC$3="","",IF(CC4&gt;=前提条件!$C$37,前提条件!$C$39*12,0))</f>
        <v/>
      </c>
      <c r="CD16" s="350">
        <f>IF(CD$3="","",IF(CD4&gt;=前提条件!$C$37,前提条件!$C$39*12,0))</f>
        <v/>
      </c>
      <c r="CE16" s="350">
        <f>IF(CE$3="","",IF(CE4&gt;=前提条件!$C$37,前提条件!$C$39*12,0))</f>
        <v/>
      </c>
      <c r="CF16" s="350">
        <f>IF(CF$3="","",IF(CF4&gt;=前提条件!$C$37,前提条件!$C$39*12,0))</f>
        <v/>
      </c>
      <c r="CG16" s="350">
        <f>IF(CG$3="","",IF(CG4&gt;=前提条件!$C$37,前提条件!$C$39*12,0))</f>
        <v/>
      </c>
      <c r="CH16" s="350">
        <f>IF(CH$3="","",IF(CH4&gt;=前提条件!$C$37,前提条件!$C$39*12,0))</f>
        <v/>
      </c>
      <c r="CI16" s="350">
        <f>IF(CI$3="","",IF(CI4&gt;=前提条件!$C$37,前提条件!$C$39*12,0))</f>
        <v/>
      </c>
      <c r="CJ16" s="350">
        <f>IF(CJ$3="","",IF(CJ4&gt;=前提条件!$C$37,前提条件!$C$39*12,0))</f>
        <v/>
      </c>
      <c r="CK16" s="350">
        <f>IF(CK$3="","",IF(CK4&gt;=前提条件!$C$37,前提条件!$C$39*12,0))</f>
        <v/>
      </c>
      <c r="CL16" s="350">
        <f>IF(CL$3="","",IF(CL4&gt;=前提条件!$C$37,前提条件!$C$39*12,0))</f>
        <v/>
      </c>
      <c r="CM16" s="350">
        <f>IF(CM$3="","",IF(CM4&gt;=前提条件!$C$37,前提条件!$C$39*12,0))</f>
        <v/>
      </c>
      <c r="CN16" s="350">
        <f>IF(CN$3="","",IF(CN4&gt;=前提条件!$C$37,前提条件!$C$39*12,0))</f>
        <v/>
      </c>
      <c r="CO16" s="350">
        <f>IF(CO$3="","",IF(CO4&gt;=前提条件!$C$37,前提条件!$C$39*12,0))</f>
        <v/>
      </c>
      <c r="CP16" s="350">
        <f>IF(CP$3="","",IF(CP4&gt;=前提条件!$C$37,前提条件!$C$39*12,0))</f>
        <v/>
      </c>
      <c r="CQ16" s="350">
        <f>IF(CQ$3="","",IF(CQ4&gt;=前提条件!$C$37,前提条件!$C$39*12,0))</f>
        <v/>
      </c>
      <c r="CR16" s="350">
        <f>IF(CR$3="","",IF(CR4&gt;=前提条件!$C$37,前提条件!$C$39*12,0))</f>
        <v/>
      </c>
      <c r="CS16" s="350">
        <f>IF(CS$3="","",IF(CS4&gt;=前提条件!$C$37,前提条件!$C$39*12,0))</f>
        <v/>
      </c>
      <c r="CT16" s="350">
        <f>IF(CT$3="","",IF(CT4&gt;=前提条件!$C$37,前提条件!$C$39*12,0))</f>
        <v/>
      </c>
      <c r="CU16" s="350">
        <f>IF(CU$3="","",IF(CU4&gt;=前提条件!$C$37,前提条件!$C$39*12,0))</f>
        <v/>
      </c>
      <c r="CV16" s="350">
        <f>IF(CV$3="","",IF(CV4&gt;=前提条件!$C$37,前提条件!$C$39*12,0))</f>
        <v/>
      </c>
      <c r="CW16" s="350">
        <f>IF(CW$3="","",IF(CW4&gt;=前提条件!$C$37,前提条件!$C$39*12,0))</f>
        <v/>
      </c>
    </row>
    <row r="17" ht="15" customHeight="1" s="180">
      <c r="A17" s="220" t="inlineStr">
        <is>
          <t>奥様年金収入</t>
        </is>
      </c>
      <c r="B17" s="350">
        <f>IF(B$3="","",IF(B5&gt;=前提条件!$C$38,前提条件!$C$40*12,0))</f>
        <v/>
      </c>
      <c r="C17" s="350">
        <f>IF(C$3="","",IF(C5&gt;=前提条件!$C$38,前提条件!$C$40*12,0))</f>
        <v/>
      </c>
      <c r="D17" s="350">
        <f>IF(D$3="","",IF(D5&gt;=前提条件!$C$38,前提条件!$C$40*12,0))</f>
        <v/>
      </c>
      <c r="E17" s="350">
        <f>IF(E$3="","",IF(E5&gt;=前提条件!$C$38,前提条件!$C$40*12,0))</f>
        <v/>
      </c>
      <c r="F17" s="350">
        <f>IF(F$3="","",IF(F5&gt;=前提条件!$C$38,前提条件!$C$40*12,0))</f>
        <v/>
      </c>
      <c r="G17" s="350">
        <f>IF(G$3="","",IF(G5&gt;=前提条件!$C$38,前提条件!$C$40*12,0))</f>
        <v/>
      </c>
      <c r="H17" s="350">
        <f>IF(H$3="","",IF(H5&gt;=前提条件!$C$38,前提条件!$C$40*12,0))</f>
        <v/>
      </c>
      <c r="I17" s="350">
        <f>IF(I$3="","",IF(I5&gt;=前提条件!$C$38,前提条件!$C$40*12,0))</f>
        <v/>
      </c>
      <c r="J17" s="350">
        <f>IF(J$3="","",IF(J5&gt;=前提条件!$C$38,前提条件!$C$40*12,0))</f>
        <v/>
      </c>
      <c r="K17" s="350">
        <f>IF(K$3="","",IF(K5&gt;=前提条件!$C$38,前提条件!$C$40*12,0))</f>
        <v/>
      </c>
      <c r="L17" s="350">
        <f>IF(L$3="","",IF(L5&gt;=前提条件!$C$38,前提条件!$C$40*12,0))</f>
        <v/>
      </c>
      <c r="M17" s="350">
        <f>IF(M$3="","",IF(M5&gt;=前提条件!$C$38,前提条件!$C$40*12,0))</f>
        <v/>
      </c>
      <c r="N17" s="350">
        <f>IF(N$3="","",IF(N5&gt;=前提条件!$C$38,前提条件!$C$40*12,0))</f>
        <v/>
      </c>
      <c r="O17" s="350">
        <f>IF(O$3="","",IF(O5&gt;=前提条件!$C$38,前提条件!$C$40*12,0))</f>
        <v/>
      </c>
      <c r="P17" s="350">
        <f>IF(P$3="","",IF(P5&gt;=前提条件!$C$38,前提条件!$C$40*12,0))</f>
        <v/>
      </c>
      <c r="Q17" s="350">
        <f>IF(Q$3="","",IF(Q5&gt;=前提条件!$C$38,前提条件!$C$40*12,0))</f>
        <v/>
      </c>
      <c r="R17" s="350">
        <f>IF(R$3="","",IF(R5&gt;=前提条件!$C$38,前提条件!$C$40*12,0))</f>
        <v/>
      </c>
      <c r="S17" s="350">
        <f>IF(S$3="","",IF(S5&gt;=前提条件!$C$38,前提条件!$C$40*12,0))</f>
        <v/>
      </c>
      <c r="T17" s="350">
        <f>IF(T$3="","",IF(T5&gt;=前提条件!$C$38,前提条件!$C$40*12,0))</f>
        <v/>
      </c>
      <c r="U17" s="350">
        <f>IF(U$3="","",IF(U5&gt;=前提条件!$C$38,前提条件!$C$40*12,0))</f>
        <v/>
      </c>
      <c r="V17" s="350">
        <f>IF(V$3="","",IF(V5&gt;=前提条件!$C$38,前提条件!$C$40*12,0))</f>
        <v/>
      </c>
      <c r="W17" s="350">
        <f>IF(W$3="","",IF(W5&gt;=前提条件!$C$38,前提条件!$C$40*12,0))</f>
        <v/>
      </c>
      <c r="X17" s="350">
        <f>IF(X$3="","",IF(X5&gt;=前提条件!$C$38,前提条件!$C$40*12,0))</f>
        <v/>
      </c>
      <c r="Y17" s="350">
        <f>IF(Y$3="","",IF(Y5&gt;=前提条件!$C$38,前提条件!$C$40*12,0))</f>
        <v/>
      </c>
      <c r="Z17" s="350">
        <f>IF(Z$3="","",IF(Z5&gt;=前提条件!$C$38,前提条件!$C$40*12,0))</f>
        <v/>
      </c>
      <c r="AA17" s="350">
        <f>IF(AA$3="","",IF(AA5&gt;=前提条件!$C$38,前提条件!$C$40*12,0))</f>
        <v/>
      </c>
      <c r="AB17" s="350">
        <f>IF(AB$3="","",IF(AB5&gt;=前提条件!$C$38,前提条件!$C$40*12,0))</f>
        <v/>
      </c>
      <c r="AC17" s="350">
        <f>IF(AC$3="","",IF(AC5&gt;=前提条件!$C$38,前提条件!$C$40*12,0))</f>
        <v/>
      </c>
      <c r="AD17" s="350">
        <f>IF(AD$3="","",IF(AD5&gt;=前提条件!$C$38,前提条件!$C$40*12,0))</f>
        <v/>
      </c>
      <c r="AE17" s="350">
        <f>IF(AE$3="","",IF(AE5&gt;=前提条件!$C$38,前提条件!$C$40*12,0))</f>
        <v/>
      </c>
      <c r="AF17" s="350">
        <f>IF(AF$3="","",IF(AF5&gt;=前提条件!$C$38,前提条件!$C$40*12,0))</f>
        <v/>
      </c>
      <c r="AG17" s="350">
        <f>IF(AG$3="","",IF(AG5&gt;=前提条件!$C$38,前提条件!$C$40*12,0))</f>
        <v/>
      </c>
      <c r="AH17" s="350">
        <f>IF(AH$3="","",IF(AH5&gt;=前提条件!$C$38,前提条件!$C$40*12,0))</f>
        <v/>
      </c>
      <c r="AI17" s="350">
        <f>IF(AI$3="","",IF(AI5&gt;=前提条件!$C$38,前提条件!$C$40*12,0))</f>
        <v/>
      </c>
      <c r="AJ17" s="350">
        <f>IF(AJ$3="","",IF(AJ5&gt;=前提条件!$C$38,前提条件!$C$40*12,0))</f>
        <v/>
      </c>
      <c r="AK17" s="350">
        <f>IF(AK$3="","",IF(AK5&gt;=前提条件!$C$38,前提条件!$C$40*12,0))</f>
        <v/>
      </c>
      <c r="AL17" s="350">
        <f>IF(AL$3="","",IF(AL5&gt;=前提条件!$C$38,前提条件!$C$40*12,0))</f>
        <v/>
      </c>
      <c r="AM17" s="350">
        <f>IF(AM$3="","",IF(AM5&gt;=前提条件!$C$38,前提条件!$C$40*12,0))</f>
        <v/>
      </c>
      <c r="AN17" s="350">
        <f>IF(AN$3="","",IF(AN5&gt;=前提条件!$C$38,前提条件!$C$40*12,0))</f>
        <v/>
      </c>
      <c r="AO17" s="350">
        <f>IF(AO$3="","",IF(AO5&gt;=前提条件!$C$38,前提条件!$C$40*12,0))</f>
        <v/>
      </c>
      <c r="AP17" s="350">
        <f>IF(AP$3="","",IF(AP5&gt;=前提条件!$C$38,前提条件!$C$40*12,0))</f>
        <v/>
      </c>
      <c r="AQ17" s="350">
        <f>IF(AQ$3="","",IF(AQ5&gt;=前提条件!$C$38,前提条件!$C$40*12,0))</f>
        <v/>
      </c>
      <c r="AR17" s="350">
        <f>IF(AR$3="","",IF(AR5&gt;=前提条件!$C$38,前提条件!$C$40*12,0))</f>
        <v/>
      </c>
      <c r="AS17" s="350">
        <f>IF(AS$3="","",IF(AS5&gt;=前提条件!$C$38,前提条件!$C$40*12,0))</f>
        <v/>
      </c>
      <c r="AT17" s="350">
        <f>IF(AT$3="","",IF(AT5&gt;=前提条件!$C$38,前提条件!$C$40*12,0))</f>
        <v/>
      </c>
      <c r="AU17" s="350">
        <f>IF(AU$3="","",IF(AU5&gt;=前提条件!$C$38,前提条件!$C$40*12,0))</f>
        <v/>
      </c>
      <c r="AV17" s="350">
        <f>IF(AV$3="","",IF(AV5&gt;=前提条件!$C$38,前提条件!$C$40*12,0))</f>
        <v/>
      </c>
      <c r="AW17" s="350">
        <f>IF(AW$3="","",IF(AW5&gt;=前提条件!$C$38,前提条件!$C$40*12,0))</f>
        <v/>
      </c>
      <c r="AX17" s="350">
        <f>IF(AX$3="","",IF(AX5&gt;=前提条件!$C$38,前提条件!$C$40*12,0))</f>
        <v/>
      </c>
      <c r="AY17" s="350">
        <f>IF(AY$3="","",IF(AY5&gt;=前提条件!$C$38,前提条件!$C$40*12,0))</f>
        <v/>
      </c>
      <c r="AZ17" s="350">
        <f>IF(AZ$3="","",IF(AZ5&gt;=前提条件!$C$38,前提条件!$C$40*12,0))</f>
        <v/>
      </c>
      <c r="BA17" s="350">
        <f>IF(BA$3="","",IF(BA5&gt;=前提条件!$C$38,前提条件!$C$40*12,0))</f>
        <v/>
      </c>
      <c r="BB17" s="350">
        <f>IF(BB$3="","",IF(BB5&gt;=前提条件!$C$38,前提条件!$C$40*12,0))</f>
        <v/>
      </c>
      <c r="BC17" s="350">
        <f>IF(BC$3="","",IF(BC5&gt;=前提条件!$C$38,前提条件!$C$40*12,0))</f>
        <v/>
      </c>
      <c r="BD17" s="350">
        <f>IF(BD$3="","",IF(BD5&gt;=前提条件!$C$38,前提条件!$C$40*12,0))</f>
        <v/>
      </c>
      <c r="BE17" s="350">
        <f>IF(BE$3="","",IF(BE5&gt;=前提条件!$C$38,前提条件!$C$40*12,0))</f>
        <v/>
      </c>
      <c r="BF17" s="350">
        <f>IF(BF$3="","",IF(BF5&gt;=前提条件!$C$38,前提条件!$C$40*12,0))</f>
        <v/>
      </c>
      <c r="BG17" s="350">
        <f>IF(BG$3="","",IF(BG5&gt;=前提条件!$C$38,前提条件!$C$40*12,0))</f>
        <v/>
      </c>
      <c r="BH17" s="350">
        <f>IF(BH$3="","",IF(BH5&gt;=前提条件!$C$38,前提条件!$C$40*12,0))</f>
        <v/>
      </c>
      <c r="BI17" s="350">
        <f>IF(BI$3="","",IF(BI5&gt;=前提条件!$C$38,前提条件!$C$40*12,0))</f>
        <v/>
      </c>
      <c r="BJ17" s="350">
        <f>IF(BJ$3="","",IF(BJ5&gt;=前提条件!$C$38,前提条件!$C$40*12,0))</f>
        <v/>
      </c>
      <c r="BK17" s="350">
        <f>IF(BK$3="","",IF(BK5&gt;=前提条件!$C$38,前提条件!$C$40*12,0))</f>
        <v/>
      </c>
      <c r="BL17" s="350">
        <f>IF(BL$3="","",IF(BL5&gt;=前提条件!$C$38,前提条件!$C$40*12,0))</f>
        <v/>
      </c>
      <c r="BM17" s="350">
        <f>IF(BM$3="","",IF(BM5&gt;=前提条件!$C$38,前提条件!$C$40*12,0))</f>
        <v/>
      </c>
      <c r="BN17" s="350">
        <f>IF(BN$3="","",IF(BN5&gt;=前提条件!$C$38,前提条件!$C$40*12,0))</f>
        <v/>
      </c>
      <c r="BO17" s="350">
        <f>IF(BO$3="","",IF(BO5&gt;=前提条件!$C$38,前提条件!$C$40*12,0))</f>
        <v/>
      </c>
      <c r="BP17" s="350">
        <f>IF(BP$3="","",IF(BP5&gt;=前提条件!$C$38,前提条件!$C$40*12,0))</f>
        <v/>
      </c>
      <c r="BQ17" s="350">
        <f>IF(BQ$3="","",IF(BQ5&gt;=前提条件!$C$38,前提条件!$C$40*12,0))</f>
        <v/>
      </c>
      <c r="BR17" s="350">
        <f>IF(BR$3="","",IF(BR5&gt;=前提条件!$C$38,前提条件!$C$40*12,0))</f>
        <v/>
      </c>
      <c r="BS17" s="350">
        <f>IF(BS$3="","",IF(BS5&gt;=前提条件!$C$38,前提条件!$C$40*12,0))</f>
        <v/>
      </c>
      <c r="BT17" s="350">
        <f>IF(BT$3="","",IF(BT5&gt;=前提条件!$C$38,前提条件!$C$40*12,0))</f>
        <v/>
      </c>
      <c r="BU17" s="350">
        <f>IF(BU$3="","",IF(BU5&gt;=前提条件!$C$38,前提条件!$C$40*12,0))</f>
        <v/>
      </c>
      <c r="BV17" s="350">
        <f>IF(BV$3="","",IF(BV5&gt;=前提条件!$C$38,前提条件!$C$40*12,0))</f>
        <v/>
      </c>
      <c r="BW17" s="350">
        <f>IF(BW$3="","",IF(BW5&gt;=前提条件!$C$38,前提条件!$C$40*12,0))</f>
        <v/>
      </c>
      <c r="BX17" s="350">
        <f>IF(BX$3="","",IF(BX5&gt;=前提条件!$C$38,前提条件!$C$40*12,0))</f>
        <v/>
      </c>
      <c r="BY17" s="350">
        <f>IF(BY$3="","",IF(BY5&gt;=前提条件!$C$38,前提条件!$C$40*12,0))</f>
        <v/>
      </c>
      <c r="BZ17" s="350">
        <f>IF(BZ$3="","",IF(BZ5&gt;=前提条件!$C$38,前提条件!$C$40*12,0))</f>
        <v/>
      </c>
      <c r="CA17" s="350">
        <f>IF(CA$3="","",IF(CA5&gt;=前提条件!$C$38,前提条件!$C$40*12,0))</f>
        <v/>
      </c>
      <c r="CB17" s="350">
        <f>IF(CB$3="","",IF(CB5&gt;=前提条件!$C$38,前提条件!$C$40*12,0))</f>
        <v/>
      </c>
      <c r="CC17" s="350">
        <f>IF(CC$3="","",IF(CC5&gt;=前提条件!$C$38,前提条件!$C$40*12,0))</f>
        <v/>
      </c>
      <c r="CD17" s="350">
        <f>IF(CD$3="","",IF(CD5&gt;=前提条件!$C$38,前提条件!$C$40*12,0))</f>
        <v/>
      </c>
      <c r="CE17" s="350">
        <f>IF(CE$3="","",IF(CE5&gt;=前提条件!$C$38,前提条件!$C$40*12,0))</f>
        <v/>
      </c>
      <c r="CF17" s="350">
        <f>IF(CF$3="","",IF(CF5&gt;=前提条件!$C$38,前提条件!$C$40*12,0))</f>
        <v/>
      </c>
      <c r="CG17" s="350">
        <f>IF(CG$3="","",IF(CG5&gt;=前提条件!$C$38,前提条件!$C$40*12,0))</f>
        <v/>
      </c>
      <c r="CH17" s="350">
        <f>IF(CH$3="","",IF(CH5&gt;=前提条件!$C$38,前提条件!$C$40*12,0))</f>
        <v/>
      </c>
      <c r="CI17" s="350">
        <f>IF(CI$3="","",IF(CI5&gt;=前提条件!$C$38,前提条件!$C$40*12,0))</f>
        <v/>
      </c>
      <c r="CJ17" s="350">
        <f>IF(CJ$3="","",IF(CJ5&gt;=前提条件!$C$38,前提条件!$C$40*12,0))</f>
        <v/>
      </c>
      <c r="CK17" s="350">
        <f>IF(CK$3="","",IF(CK5&gt;=前提条件!$C$38,前提条件!$C$40*12,0))</f>
        <v/>
      </c>
      <c r="CL17" s="350">
        <f>IF(CL$3="","",IF(CL5&gt;=前提条件!$C$38,前提条件!$C$40*12,0))</f>
        <v/>
      </c>
      <c r="CM17" s="350">
        <f>IF(CM$3="","",IF(CM5&gt;=前提条件!$C$38,前提条件!$C$40*12,0))</f>
        <v/>
      </c>
      <c r="CN17" s="350">
        <f>IF(CN$3="","",IF(CN5&gt;=前提条件!$C$38,前提条件!$C$40*12,0))</f>
        <v/>
      </c>
      <c r="CO17" s="350">
        <f>IF(CO$3="","",IF(CO5&gt;=前提条件!$C$38,前提条件!$C$40*12,0))</f>
        <v/>
      </c>
      <c r="CP17" s="350">
        <f>IF(CP$3="","",IF(CP5&gt;=前提条件!$C$38,前提条件!$C$40*12,0))</f>
        <v/>
      </c>
      <c r="CQ17" s="350">
        <f>IF(CQ$3="","",IF(CQ5&gt;=前提条件!$C$38,前提条件!$C$40*12,0))</f>
        <v/>
      </c>
      <c r="CR17" s="350">
        <f>IF(CR$3="","",IF(CR5&gt;=前提条件!$C$38,前提条件!$C$40*12,0))</f>
        <v/>
      </c>
      <c r="CS17" s="350">
        <f>IF(CS$3="","",IF(CS5&gt;=前提条件!$C$38,前提条件!$C$40*12,0))</f>
        <v/>
      </c>
      <c r="CT17" s="350">
        <f>IF(CT$3="","",IF(CT5&gt;=前提条件!$C$38,前提条件!$C$40*12,0))</f>
        <v/>
      </c>
      <c r="CU17" s="350">
        <f>IF(CU$3="","",IF(CU5&gt;=前提条件!$C$38,前提条件!$C$40*12,0))</f>
        <v/>
      </c>
      <c r="CV17" s="350">
        <f>IF(CV$3="","",IF(CV5&gt;=前提条件!$C$38,前提条件!$C$40*12,0))</f>
        <v/>
      </c>
      <c r="CW17" s="350">
        <f>IF(CW$3="","",IF(CW5&gt;=前提条件!$C$38,前提条件!$C$40*12,0))</f>
        <v/>
      </c>
    </row>
    <row r="18" ht="15" customHeight="1" s="180">
      <c r="A18" s="222" t="inlineStr">
        <is>
          <t>世帯収入合計</t>
        </is>
      </c>
      <c r="B18" s="351">
        <f>IF(B$3="","",SUM(B10:B17))</f>
        <v/>
      </c>
      <c r="C18" s="351">
        <f>IF(C$3="","",SUM(C10:C17))</f>
        <v/>
      </c>
      <c r="D18" s="351">
        <f>IF(D$3="","",SUM(D10:D17))</f>
        <v/>
      </c>
      <c r="E18" s="351">
        <f>IF(E$3="","",SUM(E10:E17))</f>
        <v/>
      </c>
      <c r="F18" s="351">
        <f>IF(F$3="","",SUM(F10:F17))</f>
        <v/>
      </c>
      <c r="G18" s="351">
        <f>IF(G$3="","",SUM(G10:G17))</f>
        <v/>
      </c>
      <c r="H18" s="351">
        <f>IF(H$3="","",SUM(H10:H17))</f>
        <v/>
      </c>
      <c r="I18" s="351">
        <f>IF(I$3="","",SUM(I10:I17))</f>
        <v/>
      </c>
      <c r="J18" s="351">
        <f>IF(J$3="","",SUM(J10:J17))</f>
        <v/>
      </c>
      <c r="K18" s="351">
        <f>IF(K$3="","",SUM(K10:K17))</f>
        <v/>
      </c>
      <c r="L18" s="351">
        <f>IF(L$3="","",SUM(L10:L17))</f>
        <v/>
      </c>
      <c r="M18" s="351">
        <f>IF(M$3="","",SUM(M10:M17))</f>
        <v/>
      </c>
      <c r="N18" s="351">
        <f>IF(N$3="","",SUM(N10:N17))</f>
        <v/>
      </c>
      <c r="O18" s="351">
        <f>IF(O$3="","",SUM(O10:O17))</f>
        <v/>
      </c>
      <c r="P18" s="351">
        <f>IF(P$3="","",SUM(P10:P17))</f>
        <v/>
      </c>
      <c r="Q18" s="351">
        <f>IF(Q$3="","",SUM(Q10:Q17))</f>
        <v/>
      </c>
      <c r="R18" s="351">
        <f>IF(R$3="","",SUM(R10:R17))</f>
        <v/>
      </c>
      <c r="S18" s="351">
        <f>IF(S$3="","",SUM(S10:S17))</f>
        <v/>
      </c>
      <c r="T18" s="351">
        <f>IF(T$3="","",SUM(T10:T17))</f>
        <v/>
      </c>
      <c r="U18" s="351">
        <f>IF(U$3="","",SUM(U10:U17))</f>
        <v/>
      </c>
      <c r="V18" s="351">
        <f>IF(V$3="","",SUM(V10:V17))</f>
        <v/>
      </c>
      <c r="W18" s="351">
        <f>IF(W$3="","",SUM(W10:W17))</f>
        <v/>
      </c>
      <c r="X18" s="351">
        <f>IF(X$3="","",SUM(X10:X17))</f>
        <v/>
      </c>
      <c r="Y18" s="351">
        <f>IF(Y$3="","",SUM(Y10:Y17))</f>
        <v/>
      </c>
      <c r="Z18" s="351">
        <f>IF(Z$3="","",SUM(Z10:Z17))</f>
        <v/>
      </c>
      <c r="AA18" s="351">
        <f>IF(AA$3="","",SUM(AA10:AA17))</f>
        <v/>
      </c>
      <c r="AB18" s="351">
        <f>IF(AB$3="","",SUM(AB10:AB17))</f>
        <v/>
      </c>
      <c r="AC18" s="351">
        <f>IF(AC$3="","",SUM(AC10:AC17))</f>
        <v/>
      </c>
      <c r="AD18" s="351">
        <f>IF(AD$3="","",SUM(AD10:AD17))</f>
        <v/>
      </c>
      <c r="AE18" s="351">
        <f>IF(AE$3="","",SUM(AE10:AE17))</f>
        <v/>
      </c>
      <c r="AF18" s="351">
        <f>IF(AF$3="","",SUM(AF10:AF17))</f>
        <v/>
      </c>
      <c r="AG18" s="351">
        <f>IF(AG$3="","",SUM(AG10:AG17))</f>
        <v/>
      </c>
      <c r="AH18" s="351">
        <f>IF(AH$3="","",SUM(AH10:AH17))</f>
        <v/>
      </c>
      <c r="AI18" s="351">
        <f>IF(AI$3="","",SUM(AI10:AI17))</f>
        <v/>
      </c>
      <c r="AJ18" s="351">
        <f>IF(AJ$3="","",SUM(AJ10:AJ17))</f>
        <v/>
      </c>
      <c r="AK18" s="351">
        <f>IF(AK$3="","",SUM(AK10:AK17))</f>
        <v/>
      </c>
      <c r="AL18" s="351">
        <f>IF(AL$3="","",SUM(AL10:AL17))</f>
        <v/>
      </c>
      <c r="AM18" s="351">
        <f>IF(AM$3="","",SUM(AM10:AM17))</f>
        <v/>
      </c>
      <c r="AN18" s="351">
        <f>IF(AN$3="","",SUM(AN10:AN17))</f>
        <v/>
      </c>
      <c r="AO18" s="351">
        <f>IF(AO$3="","",SUM(AO10:AO17))</f>
        <v/>
      </c>
      <c r="AP18" s="351">
        <f>IF(AP$3="","",SUM(AP10:AP17))</f>
        <v/>
      </c>
      <c r="AQ18" s="351">
        <f>IF(AQ$3="","",SUM(AQ10:AQ17))</f>
        <v/>
      </c>
      <c r="AR18" s="351">
        <f>IF(AR$3="","",SUM(AR10:AR17))</f>
        <v/>
      </c>
      <c r="AS18" s="351">
        <f>IF(AS$3="","",SUM(AS10:AS17))</f>
        <v/>
      </c>
      <c r="AT18" s="351">
        <f>IF(AT$3="","",SUM(AT10:AT17))</f>
        <v/>
      </c>
      <c r="AU18" s="351">
        <f>IF(AU$3="","",SUM(AU10:AU17))</f>
        <v/>
      </c>
      <c r="AV18" s="351">
        <f>IF(AV$3="","",SUM(AV10:AV17))</f>
        <v/>
      </c>
      <c r="AW18" s="351">
        <f>IF(AW$3="","",SUM(AW10:AW17))</f>
        <v/>
      </c>
      <c r="AX18" s="351">
        <f>IF(AX$3="","",SUM(AX10:AX17))</f>
        <v/>
      </c>
      <c r="AY18" s="351">
        <f>IF(AY$3="","",SUM(AY10:AY17))</f>
        <v/>
      </c>
      <c r="AZ18" s="351">
        <f>IF(AZ$3="","",SUM(AZ10:AZ17))</f>
        <v/>
      </c>
      <c r="BA18" s="351">
        <f>IF(BA$3="","",SUM(BA10:BA17))</f>
        <v/>
      </c>
      <c r="BB18" s="351">
        <f>IF(BB$3="","",SUM(BB10:BB17))</f>
        <v/>
      </c>
      <c r="BC18" s="351">
        <f>IF(BC$3="","",SUM(BC10:BC17))</f>
        <v/>
      </c>
      <c r="BD18" s="351">
        <f>IF(BD$3="","",SUM(BD10:BD17))</f>
        <v/>
      </c>
      <c r="BE18" s="351">
        <f>IF(BE$3="","",SUM(BE10:BE17))</f>
        <v/>
      </c>
      <c r="BF18" s="351">
        <f>IF(BF$3="","",SUM(BF10:BF17))</f>
        <v/>
      </c>
      <c r="BG18" s="351">
        <f>IF(BG$3="","",SUM(BG10:BG17))</f>
        <v/>
      </c>
      <c r="BH18" s="351">
        <f>IF(BH$3="","",SUM(BH10:BH17))</f>
        <v/>
      </c>
      <c r="BI18" s="351">
        <f>IF(BI$3="","",SUM(BI10:BI17))</f>
        <v/>
      </c>
      <c r="BJ18" s="351">
        <f>IF(BJ$3="","",SUM(BJ10:BJ17))</f>
        <v/>
      </c>
      <c r="BK18" s="351">
        <f>IF(BK$3="","",SUM(BK10:BK17))</f>
        <v/>
      </c>
      <c r="BL18" s="351">
        <f>IF(BL$3="","",SUM(BL10:BL17))</f>
        <v/>
      </c>
      <c r="BM18" s="351">
        <f>IF(BM$3="","",SUM(BM10:BM17))</f>
        <v/>
      </c>
      <c r="BN18" s="351">
        <f>IF(BN$3="","",SUM(BN10:BN17))</f>
        <v/>
      </c>
      <c r="BO18" s="351">
        <f>IF(BO$3="","",SUM(BO10:BO17))</f>
        <v/>
      </c>
      <c r="BP18" s="351">
        <f>IF(BP$3="","",SUM(BP10:BP17))</f>
        <v/>
      </c>
      <c r="BQ18" s="351">
        <f>IF(BQ$3="","",SUM(BQ10:BQ17))</f>
        <v/>
      </c>
      <c r="BR18" s="351">
        <f>IF(BR$3="","",SUM(BR10:BR17))</f>
        <v/>
      </c>
      <c r="BS18" s="351">
        <f>IF(BS$3="","",SUM(BS10:BS17))</f>
        <v/>
      </c>
      <c r="BT18" s="351">
        <f>IF(BT$3="","",SUM(BT10:BT17))</f>
        <v/>
      </c>
      <c r="BU18" s="351">
        <f>IF(BU$3="","",SUM(BU10:BU17))</f>
        <v/>
      </c>
      <c r="BV18" s="351">
        <f>IF(BV$3="","",SUM(BV10:BV17))</f>
        <v/>
      </c>
      <c r="BW18" s="351">
        <f>IF(BW$3="","",SUM(BW10:BW17))</f>
        <v/>
      </c>
      <c r="BX18" s="351">
        <f>IF(BX$3="","",SUM(BX10:BX17))</f>
        <v/>
      </c>
      <c r="BY18" s="351">
        <f>IF(BY$3="","",SUM(BY10:BY17))</f>
        <v/>
      </c>
      <c r="BZ18" s="351">
        <f>IF(BZ$3="","",SUM(BZ10:BZ17))</f>
        <v/>
      </c>
      <c r="CA18" s="351">
        <f>IF(CA$3="","",SUM(CA10:CA17))</f>
        <v/>
      </c>
      <c r="CB18" s="351">
        <f>IF(CB$3="","",SUM(CB10:CB17))</f>
        <v/>
      </c>
      <c r="CC18" s="351">
        <f>IF(CC$3="","",SUM(CC10:CC17))</f>
        <v/>
      </c>
      <c r="CD18" s="351">
        <f>IF(CD$3="","",SUM(CD10:CD17))</f>
        <v/>
      </c>
      <c r="CE18" s="351">
        <f>IF(CE$3="","",SUM(CE10:CE17))</f>
        <v/>
      </c>
      <c r="CF18" s="351">
        <f>IF(CF$3="","",SUM(CF10:CF17))</f>
        <v/>
      </c>
      <c r="CG18" s="351">
        <f>IF(CG$3="","",SUM(CG10:CG17))</f>
        <v/>
      </c>
      <c r="CH18" s="351">
        <f>IF(CH$3="","",SUM(CH10:CH17))</f>
        <v/>
      </c>
      <c r="CI18" s="351">
        <f>IF(CI$3="","",SUM(CI10:CI17))</f>
        <v/>
      </c>
      <c r="CJ18" s="351">
        <f>IF(CJ$3="","",SUM(CJ10:CJ17))</f>
        <v/>
      </c>
      <c r="CK18" s="351">
        <f>IF(CK$3="","",SUM(CK10:CK17))</f>
        <v/>
      </c>
      <c r="CL18" s="351">
        <f>IF(CL$3="","",SUM(CL10:CL17))</f>
        <v/>
      </c>
      <c r="CM18" s="351">
        <f>IF(CM$3="","",SUM(CM10:CM17))</f>
        <v/>
      </c>
      <c r="CN18" s="351">
        <f>IF(CN$3="","",SUM(CN10:CN17))</f>
        <v/>
      </c>
      <c r="CO18" s="351">
        <f>IF(CO$3="","",SUM(CO10:CO17))</f>
        <v/>
      </c>
      <c r="CP18" s="351">
        <f>IF(CP$3="","",SUM(CP10:CP17))</f>
        <v/>
      </c>
      <c r="CQ18" s="351">
        <f>IF(CQ$3="","",SUM(CQ10:CQ17))</f>
        <v/>
      </c>
      <c r="CR18" s="351">
        <f>IF(CR$3="","",SUM(CR10:CR17))</f>
        <v/>
      </c>
      <c r="CS18" s="351">
        <f>IF(CS$3="","",SUM(CS10:CS17))</f>
        <v/>
      </c>
      <c r="CT18" s="351">
        <f>IF(CT$3="","",SUM(CT10:CT17))</f>
        <v/>
      </c>
      <c r="CU18" s="351">
        <f>IF(CU$3="","",SUM(CU10:CU17))</f>
        <v/>
      </c>
      <c r="CV18" s="351">
        <f>IF(CV$3="","",SUM(CV10:CV17))</f>
        <v/>
      </c>
      <c r="CW18" s="351">
        <f>IF(CW$3="","",SUM(CW10:CW17))</f>
        <v/>
      </c>
    </row>
    <row r="19" ht="15" customHeight="1" s="180">
      <c r="A19" s="205" t="inlineStr">
        <is>
          <t>収入</t>
        </is>
      </c>
      <c r="B19" s="219" t="n"/>
      <c r="C19" s="219" t="n"/>
      <c r="D19" s="219" t="n"/>
      <c r="E19" s="219" t="n"/>
      <c r="F19" s="219" t="n"/>
      <c r="G19" s="219" t="n"/>
      <c r="H19" s="219" t="n"/>
      <c r="I19" s="219" t="n"/>
      <c r="J19" s="219" t="n"/>
      <c r="K19" s="219" t="n"/>
      <c r="L19" s="219" t="n"/>
      <c r="M19" s="219" t="n"/>
      <c r="N19" s="219" t="n"/>
      <c r="O19" s="219" t="n"/>
      <c r="P19" s="219" t="n"/>
      <c r="Q19" s="219" t="n"/>
      <c r="R19" s="219" t="n"/>
      <c r="S19" s="219" t="n"/>
      <c r="T19" s="219" t="n"/>
      <c r="U19" s="219" t="n"/>
      <c r="V19" s="219" t="n"/>
      <c r="W19" s="219" t="n"/>
      <c r="X19" s="219" t="n"/>
      <c r="Y19" s="219" t="n"/>
      <c r="Z19" s="219" t="n"/>
      <c r="AA19" s="219" t="n"/>
      <c r="AB19" s="219" t="n"/>
      <c r="AC19" s="219" t="n"/>
      <c r="AD19" s="219" t="n"/>
      <c r="AE19" s="219" t="n"/>
      <c r="AF19" s="219" t="n"/>
      <c r="AG19" s="219" t="n"/>
      <c r="AH19" s="219" t="n"/>
      <c r="AI19" s="219" t="n"/>
      <c r="AJ19" s="219" t="n"/>
      <c r="AK19" s="219" t="n"/>
      <c r="AL19" s="219" t="n"/>
      <c r="AM19" s="219" t="n"/>
      <c r="AN19" s="219" t="n"/>
      <c r="AO19" s="219" t="n"/>
      <c r="AP19" s="219" t="n"/>
      <c r="AQ19" s="219" t="n"/>
      <c r="AR19" s="219" t="n"/>
      <c r="AS19" s="219" t="n"/>
      <c r="AT19" s="219" t="n"/>
      <c r="AU19" s="219" t="n"/>
      <c r="AV19" s="219" t="n"/>
      <c r="AW19" s="219" t="n"/>
      <c r="AX19" s="219" t="n"/>
      <c r="AY19" s="219" t="n"/>
      <c r="AZ19" s="219" t="n"/>
      <c r="BA19" s="219" t="n"/>
      <c r="BB19" s="219" t="n"/>
      <c r="BC19" s="219" t="n"/>
      <c r="BD19" s="219" t="n"/>
      <c r="BE19" s="219" t="n"/>
      <c r="BF19" s="219" t="n"/>
      <c r="BG19" s="219" t="n"/>
      <c r="BH19" s="219" t="n"/>
      <c r="BI19" s="219" t="n"/>
      <c r="BJ19" s="219" t="n"/>
      <c r="BK19" s="219" t="n"/>
      <c r="BL19" s="219" t="n"/>
      <c r="BM19" s="219" t="n"/>
      <c r="BN19" s="219" t="n"/>
      <c r="BO19" s="219" t="n"/>
      <c r="BP19" s="219" t="n"/>
      <c r="BQ19" s="219" t="n"/>
      <c r="BR19" s="219" t="n"/>
      <c r="BS19" s="219" t="n"/>
      <c r="BT19" s="219" t="n"/>
      <c r="BU19" s="219" t="n"/>
      <c r="BV19" s="219" t="n"/>
      <c r="BW19" s="219" t="n"/>
      <c r="BX19" s="219" t="n"/>
      <c r="BY19" s="219" t="n"/>
      <c r="BZ19" s="219" t="n"/>
      <c r="CA19" s="219" t="n"/>
      <c r="CB19" s="219" t="n"/>
      <c r="CC19" s="219" t="n"/>
      <c r="CD19" s="219" t="n"/>
      <c r="CE19" s="219" t="n"/>
      <c r="CF19" s="219" t="n"/>
      <c r="CG19" s="219" t="n"/>
      <c r="CH19" s="219" t="n"/>
      <c r="CI19" s="219" t="n"/>
      <c r="CJ19" s="219" t="n"/>
      <c r="CK19" s="219" t="n"/>
      <c r="CL19" s="219" t="n"/>
      <c r="CM19" s="219" t="n"/>
      <c r="CN19" s="219" t="n"/>
      <c r="CO19" s="219" t="n"/>
      <c r="CP19" s="219" t="n"/>
      <c r="CQ19" s="219" t="n"/>
      <c r="CR19" s="219" t="n"/>
      <c r="CS19" s="219" t="n"/>
      <c r="CT19" s="219" t="n"/>
      <c r="CU19" s="219" t="n"/>
      <c r="CV19" s="219" t="n"/>
      <c r="CW19" s="219" t="n"/>
    </row>
    <row r="20" ht="15" customHeight="1" s="180">
      <c r="A20" s="224" t="inlineStr">
        <is>
          <t>基本生活費</t>
        </is>
      </c>
      <c r="B20" s="352">
        <f>IF(B$3="","",IF(MIN(B4,B5)&gt;=入力データ!$C$111,入力データ!$C$112*12*(1+前提条件!$C$14)^(B$3-$B$3),SUM(入力データ!$C$41:$C$52)*12*(1+前提条件!$C$12)^(B$3-$B$3)))</f>
        <v/>
      </c>
      <c r="C20" s="352">
        <f>IF(C$3="","",IF(MIN(C4,C5)&gt;=入力データ!$C$111,入力データ!$C$112*12*(1+前提条件!$C$14)^(C$3-$B$3),SUM(入力データ!$C$41:$C$52)*12*(1+前提条件!$C$12)^(C$3-$B$3)))</f>
        <v/>
      </c>
      <c r="D20" s="352">
        <f>IF(D$3="","",IF(MIN(D4,D5)&gt;=入力データ!$C$111,入力データ!$C$112*12*(1+前提条件!$C$14)^(D$3-$B$3),SUM(入力データ!$C$41:$C$52)*12*(1+前提条件!$C$12)^(D$3-$B$3)))</f>
        <v/>
      </c>
      <c r="E20" s="352">
        <f>IF(E$3="","",IF(MIN(E4,E5)&gt;=入力データ!$C$111,入力データ!$C$112*12*(1+前提条件!$C$14)^(E$3-$B$3),SUM(入力データ!$C$41:$C$52)*12*(1+前提条件!$C$12)^(E$3-$B$3)))</f>
        <v/>
      </c>
      <c r="F20" s="352">
        <f>IF(F$3="","",IF(MIN(F4,F5)&gt;=入力データ!$C$111,入力データ!$C$112*12*(1+前提条件!$C$14)^(F$3-$B$3),SUM(入力データ!$C$41:$C$52)*12*(1+前提条件!$C$12)^(F$3-$B$3)))</f>
        <v/>
      </c>
      <c r="G20" s="352">
        <f>IF(G$3="","",IF(MIN(G4,G5)&gt;=入力データ!$C$111,入力データ!$C$112*12*(1+前提条件!$C$14)^(G$3-$B$3),SUM(入力データ!$C$41:$C$52)*12*(1+前提条件!$C$12)^(G$3-$B$3)))</f>
        <v/>
      </c>
      <c r="H20" s="352">
        <f>IF(H$3="","",IF(MIN(H4,H5)&gt;=入力データ!$C$111,入力データ!$C$112*12*(1+前提条件!$C$14)^(H$3-$B$3),SUM(入力データ!$C$41:$C$52)*12*(1+前提条件!$C$12)^(H$3-$B$3)))</f>
        <v/>
      </c>
      <c r="I20" s="352">
        <f>IF(I$3="","",IF(MIN(I4,I5)&gt;=入力データ!$C$111,入力データ!$C$112*12*(1+前提条件!$C$14)^(I$3-$B$3),SUM(入力データ!$C$41:$C$52)*12*(1+前提条件!$C$12)^(I$3-$B$3)))</f>
        <v/>
      </c>
      <c r="J20" s="352">
        <f>IF(J$3="","",IF(MIN(J4,J5)&gt;=入力データ!$C$111,入力データ!$C$112*12*(1+前提条件!$C$14)^(J$3-$B$3),SUM(入力データ!$C$41:$C$52)*12*(1+前提条件!$C$12)^(J$3-$B$3)))</f>
        <v/>
      </c>
      <c r="K20" s="352">
        <f>IF(K$3="","",IF(MIN(K4,K5)&gt;=入力データ!$C$111,入力データ!$C$112*12*(1+前提条件!$C$14)^(K$3-$B$3),SUM(入力データ!$C$41:$C$52)*12*(1+前提条件!$C$12)^(K$3-$B$3)))</f>
        <v/>
      </c>
      <c r="L20" s="352">
        <f>IF(L$3="","",IF(MIN(L4,L5)&gt;=入力データ!$C$111,入力データ!$C$112*12*(1+前提条件!$C$14)^(L$3-$B$3),SUM(入力データ!$C$41:$C$52)*12*(1+前提条件!$C$12)^(L$3-$B$3)))</f>
        <v/>
      </c>
      <c r="M20" s="352">
        <f>IF(M$3="","",IF(MIN(M4,M5)&gt;=入力データ!$C$111,入力データ!$C$112*12*(1+前提条件!$C$14)^(M$3-$B$3),SUM(入力データ!$C$41:$C$52)*12*(1+前提条件!$C$12)^(M$3-$B$3)))</f>
        <v/>
      </c>
      <c r="N20" s="352">
        <f>IF(N$3="","",IF(MIN(N4,N5)&gt;=入力データ!$C$111,入力データ!$C$112*12*(1+前提条件!$C$14)^(N$3-$B$3),SUM(入力データ!$C$41:$C$52)*12*(1+前提条件!$C$12)^(N$3-$B$3)))</f>
        <v/>
      </c>
      <c r="O20" s="352">
        <f>IF(O$3="","",IF(MIN(O4,O5)&gt;=入力データ!$C$111,入力データ!$C$112*12*(1+前提条件!$C$14)^(O$3-$B$3),SUM(入力データ!$C$41:$C$52)*12*(1+前提条件!$C$12)^(O$3-$B$3)))</f>
        <v/>
      </c>
      <c r="P20" s="352">
        <f>IF(P$3="","",IF(MIN(P4,P5)&gt;=入力データ!$C$111,入力データ!$C$112*12*(1+前提条件!$C$14)^(P$3-$B$3),SUM(入力データ!$C$41:$C$52)*12*(1+前提条件!$C$12)^(P$3-$B$3)))</f>
        <v/>
      </c>
      <c r="Q20" s="352">
        <f>IF(Q$3="","",IF(MIN(Q4,Q5)&gt;=入力データ!$C$111,入力データ!$C$112*12*(1+前提条件!$C$14)^(Q$3-$B$3),SUM(入力データ!$C$41:$C$52)*12*(1+前提条件!$C$12)^(Q$3-$B$3)))</f>
        <v/>
      </c>
      <c r="R20" s="352">
        <f>IF(R$3="","",IF(MIN(R4,R5)&gt;=入力データ!$C$111,入力データ!$C$112*12*(1+前提条件!$C$14)^(R$3-$B$3),SUM(入力データ!$C$41:$C$52)*12*(1+前提条件!$C$12)^(R$3-$B$3)))</f>
        <v/>
      </c>
      <c r="S20" s="352">
        <f>IF(S$3="","",IF(MIN(S4,S5)&gt;=入力データ!$C$111,入力データ!$C$112*12*(1+前提条件!$C$14)^(S$3-$B$3),SUM(入力データ!$C$41:$C$52)*12*(1+前提条件!$C$12)^(S$3-$B$3)))</f>
        <v/>
      </c>
      <c r="T20" s="352">
        <f>IF(T$3="","",IF(MIN(T4,T5)&gt;=入力データ!$C$111,入力データ!$C$112*12*(1+前提条件!$C$14)^(T$3-$B$3),SUM(入力データ!$C$41:$C$52)*12*(1+前提条件!$C$12)^(T$3-$B$3)))</f>
        <v/>
      </c>
      <c r="U20" s="352">
        <f>IF(U$3="","",IF(MIN(U4,U5)&gt;=入力データ!$C$111,入力データ!$C$112*12*(1+前提条件!$C$14)^(U$3-$B$3),SUM(入力データ!$C$41:$C$52)*12*(1+前提条件!$C$12)^(U$3-$B$3)))</f>
        <v/>
      </c>
      <c r="V20" s="352">
        <f>IF(V$3="","",IF(MIN(V4,V5)&gt;=入力データ!$C$111,入力データ!$C$112*12*(1+前提条件!$C$14)^(V$3-$B$3),SUM(入力データ!$C$41:$C$52)*12*(1+前提条件!$C$12)^(V$3-$B$3)))</f>
        <v/>
      </c>
      <c r="W20" s="352">
        <f>IF(W$3="","",IF(MIN(W4,W5)&gt;=入力データ!$C$111,入力データ!$C$112*12*(1+前提条件!$C$14)^(W$3-$B$3),SUM(入力データ!$C$41:$C$52)*12*(1+前提条件!$C$12)^(W$3-$B$3)))</f>
        <v/>
      </c>
      <c r="X20" s="352">
        <f>IF(X$3="","",IF(MIN(X4,X5)&gt;=入力データ!$C$111,入力データ!$C$112*12*(1+前提条件!$C$14)^(X$3-$B$3),SUM(入力データ!$C$41:$C$52)*12*(1+前提条件!$C$12)^(X$3-$B$3)))</f>
        <v/>
      </c>
      <c r="Y20" s="352">
        <f>IF(Y$3="","",IF(MIN(Y4,Y5)&gt;=入力データ!$C$111,入力データ!$C$112*12*(1+前提条件!$C$14)^(Y$3-$B$3),SUM(入力データ!$C$41:$C$52)*12*(1+前提条件!$C$12)^(Y$3-$B$3)))</f>
        <v/>
      </c>
      <c r="Z20" s="352">
        <f>IF(Z$3="","",IF(MIN(Z4,Z5)&gt;=入力データ!$C$111,入力データ!$C$112*12*(1+前提条件!$C$14)^(Z$3-$B$3),SUM(入力データ!$C$41:$C$52)*12*(1+前提条件!$C$12)^(Z$3-$B$3)))</f>
        <v/>
      </c>
      <c r="AA20" s="352">
        <f>IF(AA$3="","",IF(MIN(AA4,AA5)&gt;=入力データ!$C$111,入力データ!$C$112*12*(1+前提条件!$C$14)^(AA$3-$B$3),SUM(入力データ!$C$41:$C$52)*12*(1+前提条件!$C$12)^(AA$3-$B$3)))</f>
        <v/>
      </c>
      <c r="AB20" s="352">
        <f>IF(AB$3="","",IF(MIN(AB4,AB5)&gt;=入力データ!$C$111,入力データ!$C$112*12*(1+前提条件!$C$14)^(AB$3-$B$3),SUM(入力データ!$C$41:$C$52)*12*(1+前提条件!$C$12)^(AB$3-$B$3)))</f>
        <v/>
      </c>
      <c r="AC20" s="352">
        <f>IF(AC$3="","",IF(MIN(AC4,AC5)&gt;=入力データ!$C$111,入力データ!$C$112*12*(1+前提条件!$C$14)^(AC$3-$B$3),SUM(入力データ!$C$41:$C$52)*12*(1+前提条件!$C$12)^(AC$3-$B$3)))</f>
        <v/>
      </c>
      <c r="AD20" s="352">
        <f>IF(AD$3="","",IF(MIN(AD4,AD5)&gt;=入力データ!$C$111,入力データ!$C$112*12*(1+前提条件!$C$14)^(AD$3-$B$3),SUM(入力データ!$C$41:$C$52)*12*(1+前提条件!$C$12)^(AD$3-$B$3)))</f>
        <v/>
      </c>
      <c r="AE20" s="352">
        <f>IF(AE$3="","",IF(MIN(AE4,AE5)&gt;=入力データ!$C$111,入力データ!$C$112*12*(1+前提条件!$C$14)^(AE$3-$B$3),SUM(入力データ!$C$41:$C$52)*12*(1+前提条件!$C$12)^(AE$3-$B$3)))</f>
        <v/>
      </c>
      <c r="AF20" s="352">
        <f>IF(AF$3="","",IF(MIN(AF4,AF5)&gt;=入力データ!$C$111,入力データ!$C$112*12*(1+前提条件!$C$14)^(AF$3-$B$3),SUM(入力データ!$C$41:$C$52)*12*(1+前提条件!$C$12)^(AF$3-$B$3)))</f>
        <v/>
      </c>
      <c r="AG20" s="352">
        <f>IF(AG$3="","",IF(MIN(AG4,AG5)&gt;=入力データ!$C$111,入力データ!$C$112*12*(1+前提条件!$C$14)^(AG$3-$B$3),SUM(入力データ!$C$41:$C$52)*12*(1+前提条件!$C$12)^(AG$3-$B$3)))</f>
        <v/>
      </c>
      <c r="AH20" s="352">
        <f>IF(AH$3="","",IF(MIN(AH4,AH5)&gt;=入力データ!$C$111,入力データ!$C$112*12*(1+前提条件!$C$14)^(AH$3-$B$3),SUM(入力データ!$C$41:$C$52)*12*(1+前提条件!$C$12)^(AH$3-$B$3)))</f>
        <v/>
      </c>
      <c r="AI20" s="352">
        <f>IF(AI$3="","",IF(MIN(AI4,AI5)&gt;=入力データ!$C$111,入力データ!$C$112*12*(1+前提条件!$C$14)^(AI$3-$B$3),SUM(入力データ!$C$41:$C$52)*12*(1+前提条件!$C$12)^(AI$3-$B$3)))</f>
        <v/>
      </c>
      <c r="AJ20" s="352">
        <f>IF(AJ$3="","",IF(MIN(AJ4,AJ5)&gt;=入力データ!$C$111,入力データ!$C$112*12*(1+前提条件!$C$14)^(AJ$3-$B$3),SUM(入力データ!$C$41:$C$52)*12*(1+前提条件!$C$12)^(AJ$3-$B$3)))</f>
        <v/>
      </c>
      <c r="AK20" s="352">
        <f>IF(AK$3="","",IF(MIN(AK4,AK5)&gt;=入力データ!$C$111,入力データ!$C$112*12*(1+前提条件!$C$14)^(AK$3-$B$3),SUM(入力データ!$C$41:$C$52)*12*(1+前提条件!$C$12)^(AK$3-$B$3)))</f>
        <v/>
      </c>
      <c r="AL20" s="352">
        <f>IF(AL$3="","",IF(MIN(AL4,AL5)&gt;=入力データ!$C$111,入力データ!$C$112*12*(1+前提条件!$C$14)^(AL$3-$B$3),SUM(入力データ!$C$41:$C$52)*12*(1+前提条件!$C$12)^(AL$3-$B$3)))</f>
        <v/>
      </c>
      <c r="AM20" s="352">
        <f>IF(AM$3="","",IF(MIN(AM4,AM5)&gt;=入力データ!$C$111,入力データ!$C$112*12*(1+前提条件!$C$14)^(AM$3-$B$3),SUM(入力データ!$C$41:$C$52)*12*(1+前提条件!$C$12)^(AM$3-$B$3)))</f>
        <v/>
      </c>
      <c r="AN20" s="352">
        <f>IF(AN$3="","",IF(MIN(AN4,AN5)&gt;=入力データ!$C$111,入力データ!$C$112*12*(1+前提条件!$C$14)^(AN$3-$B$3),SUM(入力データ!$C$41:$C$52)*12*(1+前提条件!$C$12)^(AN$3-$B$3)))</f>
        <v/>
      </c>
      <c r="AO20" s="352">
        <f>IF(AO$3="","",IF(MIN(AO4,AO5)&gt;=入力データ!$C$111,入力データ!$C$112*12*(1+前提条件!$C$14)^(AO$3-$B$3),SUM(入力データ!$C$41:$C$52)*12*(1+前提条件!$C$12)^(AO$3-$B$3)))</f>
        <v/>
      </c>
      <c r="AP20" s="352">
        <f>IF(AP$3="","",IF(MIN(AP4,AP5)&gt;=入力データ!$C$111,入力データ!$C$112*12*(1+前提条件!$C$14)^(AP$3-$B$3),SUM(入力データ!$C$41:$C$52)*12*(1+前提条件!$C$12)^(AP$3-$B$3)))</f>
        <v/>
      </c>
      <c r="AQ20" s="352">
        <f>IF(AQ$3="","",IF(MIN(AQ4,AQ5)&gt;=入力データ!$C$111,入力データ!$C$112*12*(1+前提条件!$C$14)^(AQ$3-$B$3),SUM(入力データ!$C$41:$C$52)*12*(1+前提条件!$C$12)^(AQ$3-$B$3)))</f>
        <v/>
      </c>
      <c r="AR20" s="352">
        <f>IF(AR$3="","",IF(MIN(AR4,AR5)&gt;=入力データ!$C$111,入力データ!$C$112*12*(1+前提条件!$C$14)^(AR$3-$B$3),SUM(入力データ!$C$41:$C$52)*12*(1+前提条件!$C$12)^(AR$3-$B$3)))</f>
        <v/>
      </c>
      <c r="AS20" s="352">
        <f>IF(AS$3="","",IF(MIN(AS4,AS5)&gt;=入力データ!$C$111,入力データ!$C$112*12*(1+前提条件!$C$14)^(AS$3-$B$3),SUM(入力データ!$C$41:$C$52)*12*(1+前提条件!$C$12)^(AS$3-$B$3)))</f>
        <v/>
      </c>
      <c r="AT20" s="352">
        <f>IF(AT$3="","",IF(MIN(AT4,AT5)&gt;=入力データ!$C$111,入力データ!$C$112*12*(1+前提条件!$C$14)^(AT$3-$B$3),SUM(入力データ!$C$41:$C$52)*12*(1+前提条件!$C$12)^(AT$3-$B$3)))</f>
        <v/>
      </c>
      <c r="AU20" s="352">
        <f>IF(AU$3="","",IF(MIN(AU4,AU5)&gt;=入力データ!$C$111,入力データ!$C$112*12*(1+前提条件!$C$14)^(AU$3-$B$3),SUM(入力データ!$C$41:$C$52)*12*(1+前提条件!$C$12)^(AU$3-$B$3)))</f>
        <v/>
      </c>
      <c r="AV20" s="352">
        <f>IF(AV$3="","",IF(MIN(AV4,AV5)&gt;=入力データ!$C$111,入力データ!$C$112*12*(1+前提条件!$C$14)^(AV$3-$B$3),SUM(入力データ!$C$41:$C$52)*12*(1+前提条件!$C$12)^(AV$3-$B$3)))</f>
        <v/>
      </c>
      <c r="AW20" s="352">
        <f>IF(AW$3="","",IF(MIN(AW4,AW5)&gt;=入力データ!$C$111,入力データ!$C$112*12*(1+前提条件!$C$14)^(AW$3-$B$3),SUM(入力データ!$C$41:$C$52)*12*(1+前提条件!$C$12)^(AW$3-$B$3)))</f>
        <v/>
      </c>
      <c r="AX20" s="352">
        <f>IF(AX$3="","",IF(MIN(AX4,AX5)&gt;=入力データ!$C$111,入力データ!$C$112*12*(1+前提条件!$C$14)^(AX$3-$B$3),SUM(入力データ!$C$41:$C$52)*12*(1+前提条件!$C$12)^(AX$3-$B$3)))</f>
        <v/>
      </c>
      <c r="AY20" s="352">
        <f>IF(AY$3="","",IF(MIN(AY4,AY5)&gt;=入力データ!$C$111,入力データ!$C$112*12*(1+前提条件!$C$14)^(AY$3-$B$3),SUM(入力データ!$C$41:$C$52)*12*(1+前提条件!$C$12)^(AY$3-$B$3)))</f>
        <v/>
      </c>
      <c r="AZ20" s="352">
        <f>IF(AZ$3="","",IF(MIN(AZ4,AZ5)&gt;=入力データ!$C$111,入力データ!$C$112*12*(1+前提条件!$C$14)^(AZ$3-$B$3),SUM(入力データ!$C$41:$C$52)*12*(1+前提条件!$C$12)^(AZ$3-$B$3)))</f>
        <v/>
      </c>
      <c r="BA20" s="352">
        <f>IF(BA$3="","",IF(MIN(BA4,BA5)&gt;=入力データ!$C$111,入力データ!$C$112*12*(1+前提条件!$C$14)^(BA$3-$B$3),SUM(入力データ!$C$41:$C$52)*12*(1+前提条件!$C$12)^(BA$3-$B$3)))</f>
        <v/>
      </c>
      <c r="BB20" s="352">
        <f>IF(BB$3="","",IF(MIN(BB4,BB5)&gt;=入力データ!$C$111,入力データ!$C$112*12*(1+前提条件!$C$14)^(BB$3-$B$3),SUM(入力データ!$C$41:$C$52)*12*(1+前提条件!$C$12)^(BB$3-$B$3)))</f>
        <v/>
      </c>
      <c r="BC20" s="352">
        <f>IF(BC$3="","",IF(MIN(BC4,BC5)&gt;=入力データ!$C$111,入力データ!$C$112*12*(1+前提条件!$C$14)^(BC$3-$B$3),SUM(入力データ!$C$41:$C$52)*12*(1+前提条件!$C$12)^(BC$3-$B$3)))</f>
        <v/>
      </c>
      <c r="BD20" s="352">
        <f>IF(BD$3="","",IF(MIN(BD4,BD5)&gt;=入力データ!$C$111,入力データ!$C$112*12*(1+前提条件!$C$14)^(BD$3-$B$3),SUM(入力データ!$C$41:$C$52)*12*(1+前提条件!$C$12)^(BD$3-$B$3)))</f>
        <v/>
      </c>
      <c r="BE20" s="352">
        <f>IF(BE$3="","",IF(MIN(BE4,BE5)&gt;=入力データ!$C$111,入力データ!$C$112*12*(1+前提条件!$C$14)^(BE$3-$B$3),SUM(入力データ!$C$41:$C$52)*12*(1+前提条件!$C$12)^(BE$3-$B$3)))</f>
        <v/>
      </c>
      <c r="BF20" s="352">
        <f>IF(BF$3="","",IF(MIN(BF4,BF5)&gt;=入力データ!$C$111,入力データ!$C$112*12*(1+前提条件!$C$14)^(BF$3-$B$3),SUM(入力データ!$C$41:$C$52)*12*(1+前提条件!$C$12)^(BF$3-$B$3)))</f>
        <v/>
      </c>
      <c r="BG20" s="352">
        <f>IF(BG$3="","",IF(MIN(BG4,BG5)&gt;=入力データ!$C$111,入力データ!$C$112*12*(1+前提条件!$C$14)^(BG$3-$B$3),SUM(入力データ!$C$41:$C$52)*12*(1+前提条件!$C$12)^(BG$3-$B$3)))</f>
        <v/>
      </c>
      <c r="BH20" s="352">
        <f>IF(BH$3="","",IF(MIN(BH4,BH5)&gt;=入力データ!$C$111,入力データ!$C$112*12*(1+前提条件!$C$14)^(BH$3-$B$3),SUM(入力データ!$C$41:$C$52)*12*(1+前提条件!$C$12)^(BH$3-$B$3)))</f>
        <v/>
      </c>
      <c r="BI20" s="352">
        <f>IF(BI$3="","",IF(MIN(BI4,BI5)&gt;=入力データ!$C$111,入力データ!$C$112*12*(1+前提条件!$C$14)^(BI$3-$B$3),SUM(入力データ!$C$41:$C$52)*12*(1+前提条件!$C$12)^(BI$3-$B$3)))</f>
        <v/>
      </c>
      <c r="BJ20" s="352">
        <f>IF(BJ$3="","",IF(MIN(BJ4,BJ5)&gt;=入力データ!$C$111,入力データ!$C$112*12*(1+前提条件!$C$14)^(BJ$3-$B$3),SUM(入力データ!$C$41:$C$52)*12*(1+前提条件!$C$12)^(BJ$3-$B$3)))</f>
        <v/>
      </c>
      <c r="BK20" s="352">
        <f>IF(BK$3="","",IF(MIN(BK4,BK5)&gt;=入力データ!$C$111,入力データ!$C$112*12*(1+前提条件!$C$14)^(BK$3-$B$3),SUM(入力データ!$C$41:$C$52)*12*(1+前提条件!$C$12)^(BK$3-$B$3)))</f>
        <v/>
      </c>
      <c r="BL20" s="352">
        <f>IF(BL$3="","",IF(MIN(BL4,BL5)&gt;=入力データ!$C$111,入力データ!$C$112*12*(1+前提条件!$C$14)^(BL$3-$B$3),SUM(入力データ!$C$41:$C$52)*12*(1+前提条件!$C$12)^(BL$3-$B$3)))</f>
        <v/>
      </c>
      <c r="BM20" s="352">
        <f>IF(BM$3="","",IF(MIN(BM4,BM5)&gt;=入力データ!$C$111,入力データ!$C$112*12*(1+前提条件!$C$14)^(BM$3-$B$3),SUM(入力データ!$C$41:$C$52)*12*(1+前提条件!$C$12)^(BM$3-$B$3)))</f>
        <v/>
      </c>
      <c r="BN20" s="352">
        <f>IF(BN$3="","",IF(MIN(BN4,BN5)&gt;=入力データ!$C$111,入力データ!$C$112*12*(1+前提条件!$C$14)^(BN$3-$B$3),SUM(入力データ!$C$41:$C$52)*12*(1+前提条件!$C$12)^(BN$3-$B$3)))</f>
        <v/>
      </c>
      <c r="BO20" s="352">
        <f>IF(BO$3="","",IF(MIN(BO4,BO5)&gt;=入力データ!$C$111,入力データ!$C$112*12*(1+前提条件!$C$14)^(BO$3-$B$3),SUM(入力データ!$C$41:$C$52)*12*(1+前提条件!$C$12)^(BO$3-$B$3)))</f>
        <v/>
      </c>
      <c r="BP20" s="352">
        <f>IF(BP$3="","",IF(MIN(BP4,BP5)&gt;=入力データ!$C$111,入力データ!$C$112*12*(1+前提条件!$C$14)^(BP$3-$B$3),SUM(入力データ!$C$41:$C$52)*12*(1+前提条件!$C$12)^(BP$3-$B$3)))</f>
        <v/>
      </c>
      <c r="BQ20" s="352">
        <f>IF(BQ$3="","",IF(MIN(BQ4,BQ5)&gt;=入力データ!$C$111,入力データ!$C$112*12*(1+前提条件!$C$14)^(BQ$3-$B$3),SUM(入力データ!$C$41:$C$52)*12*(1+前提条件!$C$12)^(BQ$3-$B$3)))</f>
        <v/>
      </c>
      <c r="BR20" s="352">
        <f>IF(BR$3="","",IF(MIN(BR4,BR5)&gt;=入力データ!$C$111,入力データ!$C$112*12*(1+前提条件!$C$14)^(BR$3-$B$3),SUM(入力データ!$C$41:$C$52)*12*(1+前提条件!$C$12)^(BR$3-$B$3)))</f>
        <v/>
      </c>
      <c r="BS20" s="352">
        <f>IF(BS$3="","",IF(MIN(BS4,BS5)&gt;=入力データ!$C$111,入力データ!$C$112*12*(1+前提条件!$C$14)^(BS$3-$B$3),SUM(入力データ!$C$41:$C$52)*12*(1+前提条件!$C$12)^(BS$3-$B$3)))</f>
        <v/>
      </c>
      <c r="BT20" s="352">
        <f>IF(BT$3="","",IF(MIN(BT4,BT5)&gt;=入力データ!$C$111,入力データ!$C$112*12*(1+前提条件!$C$14)^(BT$3-$B$3),SUM(入力データ!$C$41:$C$52)*12*(1+前提条件!$C$12)^(BT$3-$B$3)))</f>
        <v/>
      </c>
      <c r="BU20" s="352">
        <f>IF(BU$3="","",IF(MIN(BU4,BU5)&gt;=入力データ!$C$111,入力データ!$C$112*12*(1+前提条件!$C$14)^(BU$3-$B$3),SUM(入力データ!$C$41:$C$52)*12*(1+前提条件!$C$12)^(BU$3-$B$3)))</f>
        <v/>
      </c>
      <c r="BV20" s="352">
        <f>IF(BV$3="","",IF(MIN(BV4,BV5)&gt;=入力データ!$C$111,入力データ!$C$112*12*(1+前提条件!$C$14)^(BV$3-$B$3),SUM(入力データ!$C$41:$C$52)*12*(1+前提条件!$C$12)^(BV$3-$B$3)))</f>
        <v/>
      </c>
      <c r="BW20" s="352">
        <f>IF(BW$3="","",IF(MIN(BW4,BW5)&gt;=入力データ!$C$111,入力データ!$C$112*12*(1+前提条件!$C$14)^(BW$3-$B$3),SUM(入力データ!$C$41:$C$52)*12*(1+前提条件!$C$12)^(BW$3-$B$3)))</f>
        <v/>
      </c>
      <c r="BX20" s="352">
        <f>IF(BX$3="","",IF(MIN(BX4,BX5)&gt;=入力データ!$C$111,入力データ!$C$112*12*(1+前提条件!$C$14)^(BX$3-$B$3),SUM(入力データ!$C$41:$C$52)*12*(1+前提条件!$C$12)^(BX$3-$B$3)))</f>
        <v/>
      </c>
      <c r="BY20" s="352">
        <f>IF(BY$3="","",IF(MIN(BY4,BY5)&gt;=入力データ!$C$111,入力データ!$C$112*12*(1+前提条件!$C$14)^(BY$3-$B$3),SUM(入力データ!$C$41:$C$52)*12*(1+前提条件!$C$12)^(BY$3-$B$3)))</f>
        <v/>
      </c>
      <c r="BZ20" s="352">
        <f>IF(BZ$3="","",IF(MIN(BZ4,BZ5)&gt;=入力データ!$C$111,入力データ!$C$112*12*(1+前提条件!$C$14)^(BZ$3-$B$3),SUM(入力データ!$C$41:$C$52)*12*(1+前提条件!$C$12)^(BZ$3-$B$3)))</f>
        <v/>
      </c>
      <c r="CA20" s="352">
        <f>IF(CA$3="","",IF(MIN(CA4,CA5)&gt;=入力データ!$C$111,入力データ!$C$112*12*(1+前提条件!$C$14)^(CA$3-$B$3),SUM(入力データ!$C$41:$C$52)*12*(1+前提条件!$C$12)^(CA$3-$B$3)))</f>
        <v/>
      </c>
      <c r="CB20" s="352">
        <f>IF(CB$3="","",IF(MIN(CB4,CB5)&gt;=入力データ!$C$111,入力データ!$C$112*12*(1+前提条件!$C$14)^(CB$3-$B$3),SUM(入力データ!$C$41:$C$52)*12*(1+前提条件!$C$12)^(CB$3-$B$3)))</f>
        <v/>
      </c>
      <c r="CC20" s="352">
        <f>IF(CC$3="","",IF(MIN(CC4,CC5)&gt;=入力データ!$C$111,入力データ!$C$112*12*(1+前提条件!$C$14)^(CC$3-$B$3),SUM(入力データ!$C$41:$C$52)*12*(1+前提条件!$C$12)^(CC$3-$B$3)))</f>
        <v/>
      </c>
      <c r="CD20" s="352">
        <f>IF(CD$3="","",IF(MIN(CD4,CD5)&gt;=入力データ!$C$111,入力データ!$C$112*12*(1+前提条件!$C$14)^(CD$3-$B$3),SUM(入力データ!$C$41:$C$52)*12*(1+前提条件!$C$12)^(CD$3-$B$3)))</f>
        <v/>
      </c>
      <c r="CE20" s="352">
        <f>IF(CE$3="","",IF(MIN(CE4,CE5)&gt;=入力データ!$C$111,入力データ!$C$112*12*(1+前提条件!$C$14)^(CE$3-$B$3),SUM(入力データ!$C$41:$C$52)*12*(1+前提条件!$C$12)^(CE$3-$B$3)))</f>
        <v/>
      </c>
      <c r="CF20" s="352">
        <f>IF(CF$3="","",IF(MIN(CF4,CF5)&gt;=入力データ!$C$111,入力データ!$C$112*12*(1+前提条件!$C$14)^(CF$3-$B$3),SUM(入力データ!$C$41:$C$52)*12*(1+前提条件!$C$12)^(CF$3-$B$3)))</f>
        <v/>
      </c>
      <c r="CG20" s="352">
        <f>IF(CG$3="","",IF(MIN(CG4,CG5)&gt;=入力データ!$C$111,入力データ!$C$112*12*(1+前提条件!$C$14)^(CG$3-$B$3),SUM(入力データ!$C$41:$C$52)*12*(1+前提条件!$C$12)^(CG$3-$B$3)))</f>
        <v/>
      </c>
      <c r="CH20" s="352">
        <f>IF(CH$3="","",IF(MIN(CH4,CH5)&gt;=入力データ!$C$111,入力データ!$C$112*12*(1+前提条件!$C$14)^(CH$3-$B$3),SUM(入力データ!$C$41:$C$52)*12*(1+前提条件!$C$12)^(CH$3-$B$3)))</f>
        <v/>
      </c>
      <c r="CI20" s="352">
        <f>IF(CI$3="","",IF(MIN(CI4,CI5)&gt;=入力データ!$C$111,入力データ!$C$112*12*(1+前提条件!$C$14)^(CI$3-$B$3),SUM(入力データ!$C$41:$C$52)*12*(1+前提条件!$C$12)^(CI$3-$B$3)))</f>
        <v/>
      </c>
      <c r="CJ20" s="352">
        <f>IF(CJ$3="","",IF(MIN(CJ4,CJ5)&gt;=入力データ!$C$111,入力データ!$C$112*12*(1+前提条件!$C$14)^(CJ$3-$B$3),SUM(入力データ!$C$41:$C$52)*12*(1+前提条件!$C$12)^(CJ$3-$B$3)))</f>
        <v/>
      </c>
      <c r="CK20" s="352">
        <f>IF(CK$3="","",IF(MIN(CK4,CK5)&gt;=入力データ!$C$111,入力データ!$C$112*12*(1+前提条件!$C$14)^(CK$3-$B$3),SUM(入力データ!$C$41:$C$52)*12*(1+前提条件!$C$12)^(CK$3-$B$3)))</f>
        <v/>
      </c>
      <c r="CL20" s="352">
        <f>IF(CL$3="","",IF(MIN(CL4,CL5)&gt;=入力データ!$C$111,入力データ!$C$112*12*(1+前提条件!$C$14)^(CL$3-$B$3),SUM(入力データ!$C$41:$C$52)*12*(1+前提条件!$C$12)^(CL$3-$B$3)))</f>
        <v/>
      </c>
      <c r="CM20" s="352">
        <f>IF(CM$3="","",IF(MIN(CM4,CM5)&gt;=入力データ!$C$111,入力データ!$C$112*12*(1+前提条件!$C$14)^(CM$3-$B$3),SUM(入力データ!$C$41:$C$52)*12*(1+前提条件!$C$12)^(CM$3-$B$3)))</f>
        <v/>
      </c>
      <c r="CN20" s="352">
        <f>IF(CN$3="","",IF(MIN(CN4,CN5)&gt;=入力データ!$C$111,入力データ!$C$112*12*(1+前提条件!$C$14)^(CN$3-$B$3),SUM(入力データ!$C$41:$C$52)*12*(1+前提条件!$C$12)^(CN$3-$B$3)))</f>
        <v/>
      </c>
      <c r="CO20" s="352">
        <f>IF(CO$3="","",IF(MIN(CO4,CO5)&gt;=入力データ!$C$111,入力データ!$C$112*12*(1+前提条件!$C$14)^(CO$3-$B$3),SUM(入力データ!$C$41:$C$52)*12*(1+前提条件!$C$12)^(CO$3-$B$3)))</f>
        <v/>
      </c>
      <c r="CP20" s="352">
        <f>IF(CP$3="","",IF(MIN(CP4,CP5)&gt;=入力データ!$C$111,入力データ!$C$112*12*(1+前提条件!$C$14)^(CP$3-$B$3),SUM(入力データ!$C$41:$C$52)*12*(1+前提条件!$C$12)^(CP$3-$B$3)))</f>
        <v/>
      </c>
      <c r="CQ20" s="352">
        <f>IF(CQ$3="","",IF(MIN(CQ4,CQ5)&gt;=入力データ!$C$111,入力データ!$C$112*12*(1+前提条件!$C$14)^(CQ$3-$B$3),SUM(入力データ!$C$41:$C$52)*12*(1+前提条件!$C$12)^(CQ$3-$B$3)))</f>
        <v/>
      </c>
      <c r="CR20" s="352">
        <f>IF(CR$3="","",IF(MIN(CR4,CR5)&gt;=入力データ!$C$111,入力データ!$C$112*12*(1+前提条件!$C$14)^(CR$3-$B$3),SUM(入力データ!$C$41:$C$52)*12*(1+前提条件!$C$12)^(CR$3-$B$3)))</f>
        <v/>
      </c>
      <c r="CS20" s="352">
        <f>IF(CS$3="","",IF(MIN(CS4,CS5)&gt;=入力データ!$C$111,入力データ!$C$112*12*(1+前提条件!$C$14)^(CS$3-$B$3),SUM(入力データ!$C$41:$C$52)*12*(1+前提条件!$C$12)^(CS$3-$B$3)))</f>
        <v/>
      </c>
      <c r="CT20" s="352">
        <f>IF(CT$3="","",IF(MIN(CT4,CT5)&gt;=入力データ!$C$111,入力データ!$C$112*12*(1+前提条件!$C$14)^(CT$3-$B$3),SUM(入力データ!$C$41:$C$52)*12*(1+前提条件!$C$12)^(CT$3-$B$3)))</f>
        <v/>
      </c>
      <c r="CU20" s="352">
        <f>IF(CU$3="","",IF(MIN(CU4,CU5)&gt;=入力データ!$C$111,入力データ!$C$112*12*(1+前提条件!$C$14)^(CU$3-$B$3),SUM(入力データ!$C$41:$C$52)*12*(1+前提条件!$C$12)^(CU$3-$B$3)))</f>
        <v/>
      </c>
      <c r="CV20" s="352">
        <f>IF(CV$3="","",IF(MIN(CV4,CV5)&gt;=入力データ!$C$111,入力データ!$C$112*12*(1+前提条件!$C$14)^(CV$3-$B$3),SUM(入力データ!$C$41:$C$52)*12*(1+前提条件!$C$12)^(CV$3-$B$3)))</f>
        <v/>
      </c>
      <c r="CW20" s="352">
        <f>IF(CW$3="","",IF(MIN(CW4,CW5)&gt;=入力データ!$C$111,入力データ!$C$112*12*(1+前提条件!$C$14)^(CW$3-$B$3),SUM(入力データ!$C$41:$C$52)*12*(1+前提条件!$C$12)^(CW$3-$B$3)))</f>
        <v/>
      </c>
    </row>
    <row r="21" ht="15" customHeight="1" s="180">
      <c r="A21" s="224" t="inlineStr">
        <is>
          <t>住居費</t>
        </is>
      </c>
      <c r="B21" s="352">
        <f>IF(B$3="","",((IF(入力データ!$C$13="持ち家",IF(B4&lt;=前提条件!$C$44,入力データ!$C$53,0),入力データ!$C$53)+入力データ!$C$54+入力データ!$C$55+入力データ!$C$56)*12+IF(入力データ!$C$13="持ち家",入力データ!$C$83+前提条件!$C$47,入力データ!$C$84+前提条件!$C$48))*(1+前提条件!$C$15)^(B$3-$B$3))</f>
        <v/>
      </c>
      <c r="C21" s="352">
        <f>IF(C$3="","",((IF(入力データ!$C$13="持ち家",IF(C4&lt;=前提条件!$C$44,入力データ!$C$53,0),入力データ!$C$53)+入力データ!$C$54+入力データ!$C$55+入力データ!$C$56)*12+IF(入力データ!$C$13="持ち家",入力データ!$C$83+前提条件!$C$47,入力データ!$C$84+前提条件!$C$48))*(1+前提条件!$C$15)^(C$3-$B$3))</f>
        <v/>
      </c>
      <c r="D21" s="352">
        <f>IF(D$3="","",((IF(入力データ!$C$13="持ち家",IF(D4&lt;=前提条件!$C$44,入力データ!$C$53,0),入力データ!$C$53)+入力データ!$C$54+入力データ!$C$55+入力データ!$C$56)*12+IF(入力データ!$C$13="持ち家",入力データ!$C$83+前提条件!$C$47,入力データ!$C$84+前提条件!$C$48))*(1+前提条件!$C$15)^(D$3-$B$3))</f>
        <v/>
      </c>
      <c r="E21" s="352">
        <f>IF(E$3="","",((IF(入力データ!$C$13="持ち家",IF(E4&lt;=前提条件!$C$44,入力データ!$C$53,0),入力データ!$C$53)+入力データ!$C$54+入力データ!$C$55+入力データ!$C$56)*12+IF(入力データ!$C$13="持ち家",入力データ!$C$83+前提条件!$C$47,入力データ!$C$84+前提条件!$C$48))*(1+前提条件!$C$15)^(E$3-$B$3))</f>
        <v/>
      </c>
      <c r="F21" s="352">
        <f>IF(F$3="","",((IF(入力データ!$C$13="持ち家",IF(F4&lt;=前提条件!$C$44,入力データ!$C$53,0),入力データ!$C$53)+入力データ!$C$54+入力データ!$C$55+入力データ!$C$56)*12+IF(入力データ!$C$13="持ち家",入力データ!$C$83+前提条件!$C$47,入力データ!$C$84+前提条件!$C$48))*(1+前提条件!$C$15)^(F$3-$B$3))</f>
        <v/>
      </c>
      <c r="G21" s="352">
        <f>IF(G$3="","",((IF(入力データ!$C$13="持ち家",IF(G4&lt;=前提条件!$C$44,入力データ!$C$53,0),入力データ!$C$53)+入力データ!$C$54+入力データ!$C$55+入力データ!$C$56)*12+IF(入力データ!$C$13="持ち家",入力データ!$C$83+前提条件!$C$47,入力データ!$C$84+前提条件!$C$48))*(1+前提条件!$C$15)^(G$3-$B$3))</f>
        <v/>
      </c>
      <c r="H21" s="352">
        <f>IF(H$3="","",((IF(入力データ!$C$13="持ち家",IF(H4&lt;=前提条件!$C$44,入力データ!$C$53,0),入力データ!$C$53)+入力データ!$C$54+入力データ!$C$55+入力データ!$C$56)*12+IF(入力データ!$C$13="持ち家",入力データ!$C$83+前提条件!$C$47,入力データ!$C$84+前提条件!$C$48))*(1+前提条件!$C$15)^(H$3-$B$3))</f>
        <v/>
      </c>
      <c r="I21" s="352">
        <f>IF(I$3="","",((IF(入力データ!$C$13="持ち家",IF(I4&lt;=前提条件!$C$44,入力データ!$C$53,0),入力データ!$C$53)+入力データ!$C$54+入力データ!$C$55+入力データ!$C$56)*12+IF(入力データ!$C$13="持ち家",入力データ!$C$83+前提条件!$C$47,入力データ!$C$84+前提条件!$C$48))*(1+前提条件!$C$15)^(I$3-$B$3))</f>
        <v/>
      </c>
      <c r="J21" s="352">
        <f>IF(J$3="","",((IF(入力データ!$C$13="持ち家",IF(J4&lt;=前提条件!$C$44,入力データ!$C$53,0),入力データ!$C$53)+入力データ!$C$54+入力データ!$C$55+入力データ!$C$56)*12+IF(入力データ!$C$13="持ち家",入力データ!$C$83+前提条件!$C$47,入力データ!$C$84+前提条件!$C$48))*(1+前提条件!$C$15)^(J$3-$B$3))</f>
        <v/>
      </c>
      <c r="K21" s="352">
        <f>IF(K$3="","",((IF(入力データ!$C$13="持ち家",IF(K4&lt;=前提条件!$C$44,入力データ!$C$53,0),入力データ!$C$53)+入力データ!$C$54+入力データ!$C$55+入力データ!$C$56)*12+IF(入力データ!$C$13="持ち家",入力データ!$C$83+前提条件!$C$47,入力データ!$C$84+前提条件!$C$48))*(1+前提条件!$C$15)^(K$3-$B$3))</f>
        <v/>
      </c>
      <c r="L21" s="352">
        <f>IF(L$3="","",((IF(入力データ!$C$13="持ち家",IF(L4&lt;=前提条件!$C$44,入力データ!$C$53,0),入力データ!$C$53)+入力データ!$C$54+入力データ!$C$55+入力データ!$C$56)*12+IF(入力データ!$C$13="持ち家",入力データ!$C$83+前提条件!$C$47,入力データ!$C$84+前提条件!$C$48))*(1+前提条件!$C$15)^(L$3-$B$3))</f>
        <v/>
      </c>
      <c r="M21" s="352">
        <f>IF(M$3="","",((IF(入力データ!$C$13="持ち家",IF(M4&lt;=前提条件!$C$44,入力データ!$C$53,0),入力データ!$C$53)+入力データ!$C$54+入力データ!$C$55+入力データ!$C$56)*12+IF(入力データ!$C$13="持ち家",入力データ!$C$83+前提条件!$C$47,入力データ!$C$84+前提条件!$C$48))*(1+前提条件!$C$15)^(M$3-$B$3))</f>
        <v/>
      </c>
      <c r="N21" s="352">
        <f>IF(N$3="","",((IF(入力データ!$C$13="持ち家",IF(N4&lt;=前提条件!$C$44,入力データ!$C$53,0),入力データ!$C$53)+入力データ!$C$54+入力データ!$C$55+入力データ!$C$56)*12+IF(入力データ!$C$13="持ち家",入力データ!$C$83+前提条件!$C$47,入力データ!$C$84+前提条件!$C$48))*(1+前提条件!$C$15)^(N$3-$B$3))</f>
        <v/>
      </c>
      <c r="O21" s="352">
        <f>IF(O$3="","",((IF(入力データ!$C$13="持ち家",IF(O4&lt;=前提条件!$C$44,入力データ!$C$53,0),入力データ!$C$53)+入力データ!$C$54+入力データ!$C$55+入力データ!$C$56)*12+IF(入力データ!$C$13="持ち家",入力データ!$C$83+前提条件!$C$47,入力データ!$C$84+前提条件!$C$48))*(1+前提条件!$C$15)^(O$3-$B$3))</f>
        <v/>
      </c>
      <c r="P21" s="352">
        <f>IF(P$3="","",((IF(入力データ!$C$13="持ち家",IF(P4&lt;=前提条件!$C$44,入力データ!$C$53,0),入力データ!$C$53)+入力データ!$C$54+入力データ!$C$55+入力データ!$C$56)*12+IF(入力データ!$C$13="持ち家",入力データ!$C$83+前提条件!$C$47,入力データ!$C$84+前提条件!$C$48))*(1+前提条件!$C$15)^(P$3-$B$3))</f>
        <v/>
      </c>
      <c r="Q21" s="352">
        <f>IF(Q$3="","",((IF(入力データ!$C$13="持ち家",IF(Q4&lt;=前提条件!$C$44,入力データ!$C$53,0),入力データ!$C$53)+入力データ!$C$54+入力データ!$C$55+入力データ!$C$56)*12+IF(入力データ!$C$13="持ち家",入力データ!$C$83+前提条件!$C$47,入力データ!$C$84+前提条件!$C$48))*(1+前提条件!$C$15)^(Q$3-$B$3))</f>
        <v/>
      </c>
      <c r="R21" s="352">
        <f>IF(R$3="","",((IF(入力データ!$C$13="持ち家",IF(R4&lt;=前提条件!$C$44,入力データ!$C$53,0),入力データ!$C$53)+入力データ!$C$54+入力データ!$C$55+入力データ!$C$56)*12+IF(入力データ!$C$13="持ち家",入力データ!$C$83+前提条件!$C$47,入力データ!$C$84+前提条件!$C$48))*(1+前提条件!$C$15)^(R$3-$B$3))</f>
        <v/>
      </c>
      <c r="S21" s="352">
        <f>IF(S$3="","",((IF(入力データ!$C$13="持ち家",IF(S4&lt;=前提条件!$C$44,入力データ!$C$53,0),入力データ!$C$53)+入力データ!$C$54+入力データ!$C$55+入力データ!$C$56)*12+IF(入力データ!$C$13="持ち家",入力データ!$C$83+前提条件!$C$47,入力データ!$C$84+前提条件!$C$48))*(1+前提条件!$C$15)^(S$3-$B$3))</f>
        <v/>
      </c>
      <c r="T21" s="352">
        <f>IF(T$3="","",((IF(入力データ!$C$13="持ち家",IF(T4&lt;=前提条件!$C$44,入力データ!$C$53,0),入力データ!$C$53)+入力データ!$C$54+入力データ!$C$55+入力データ!$C$56)*12+IF(入力データ!$C$13="持ち家",入力データ!$C$83+前提条件!$C$47,入力データ!$C$84+前提条件!$C$48))*(1+前提条件!$C$15)^(T$3-$B$3))</f>
        <v/>
      </c>
      <c r="U21" s="352">
        <f>IF(U$3="","",((IF(入力データ!$C$13="持ち家",IF(U4&lt;=前提条件!$C$44,入力データ!$C$53,0),入力データ!$C$53)+入力データ!$C$54+入力データ!$C$55+入力データ!$C$56)*12+IF(入力データ!$C$13="持ち家",入力データ!$C$83+前提条件!$C$47,入力データ!$C$84+前提条件!$C$48))*(1+前提条件!$C$15)^(U$3-$B$3))</f>
        <v/>
      </c>
      <c r="V21" s="352">
        <f>IF(V$3="","",((IF(入力データ!$C$13="持ち家",IF(V4&lt;=前提条件!$C$44,入力データ!$C$53,0),入力データ!$C$53)+入力データ!$C$54+入力データ!$C$55+入力データ!$C$56)*12+IF(入力データ!$C$13="持ち家",入力データ!$C$83+前提条件!$C$47,入力データ!$C$84+前提条件!$C$48))*(1+前提条件!$C$15)^(V$3-$B$3))</f>
        <v/>
      </c>
      <c r="W21" s="352">
        <f>IF(W$3="","",((IF(入力データ!$C$13="持ち家",IF(W4&lt;=前提条件!$C$44,入力データ!$C$53,0),入力データ!$C$53)+入力データ!$C$54+入力データ!$C$55+入力データ!$C$56)*12+IF(入力データ!$C$13="持ち家",入力データ!$C$83+前提条件!$C$47,入力データ!$C$84+前提条件!$C$48))*(1+前提条件!$C$15)^(W$3-$B$3))</f>
        <v/>
      </c>
      <c r="X21" s="352">
        <f>IF(X$3="","",((IF(入力データ!$C$13="持ち家",IF(X4&lt;=前提条件!$C$44,入力データ!$C$53,0),入力データ!$C$53)+入力データ!$C$54+入力データ!$C$55+入力データ!$C$56)*12+IF(入力データ!$C$13="持ち家",入力データ!$C$83+前提条件!$C$47,入力データ!$C$84+前提条件!$C$48))*(1+前提条件!$C$15)^(X$3-$B$3))</f>
        <v/>
      </c>
      <c r="Y21" s="352">
        <f>IF(Y$3="","",((IF(入力データ!$C$13="持ち家",IF(Y4&lt;=前提条件!$C$44,入力データ!$C$53,0),入力データ!$C$53)+入力データ!$C$54+入力データ!$C$55+入力データ!$C$56)*12+IF(入力データ!$C$13="持ち家",入力データ!$C$83+前提条件!$C$47,入力データ!$C$84+前提条件!$C$48))*(1+前提条件!$C$15)^(Y$3-$B$3))</f>
        <v/>
      </c>
      <c r="Z21" s="352">
        <f>IF(Z$3="","",((IF(入力データ!$C$13="持ち家",IF(Z4&lt;=前提条件!$C$44,入力データ!$C$53,0),入力データ!$C$53)+入力データ!$C$54+入力データ!$C$55+入力データ!$C$56)*12+IF(入力データ!$C$13="持ち家",入力データ!$C$83+前提条件!$C$47,入力データ!$C$84+前提条件!$C$48))*(1+前提条件!$C$15)^(Z$3-$B$3))</f>
        <v/>
      </c>
      <c r="AA21" s="352">
        <f>IF(AA$3="","",((IF(入力データ!$C$13="持ち家",IF(AA4&lt;=前提条件!$C$44,入力データ!$C$53,0),入力データ!$C$53)+入力データ!$C$54+入力データ!$C$55+入力データ!$C$56)*12+IF(入力データ!$C$13="持ち家",入力データ!$C$83+前提条件!$C$47,入力データ!$C$84+前提条件!$C$48))*(1+前提条件!$C$15)^(AA$3-$B$3))</f>
        <v/>
      </c>
      <c r="AB21" s="352">
        <f>IF(AB$3="","",((IF(入力データ!$C$13="持ち家",IF(AB4&lt;=前提条件!$C$44,入力データ!$C$53,0),入力データ!$C$53)+入力データ!$C$54+入力データ!$C$55+入力データ!$C$56)*12+IF(入力データ!$C$13="持ち家",入力データ!$C$83+前提条件!$C$47,入力データ!$C$84+前提条件!$C$48))*(1+前提条件!$C$15)^(AB$3-$B$3))</f>
        <v/>
      </c>
      <c r="AC21" s="352">
        <f>IF(AC$3="","",((IF(入力データ!$C$13="持ち家",IF(AC4&lt;=前提条件!$C$44,入力データ!$C$53,0),入力データ!$C$53)+入力データ!$C$54+入力データ!$C$55+入力データ!$C$56)*12+IF(入力データ!$C$13="持ち家",入力データ!$C$83+前提条件!$C$47,入力データ!$C$84+前提条件!$C$48))*(1+前提条件!$C$15)^(AC$3-$B$3))</f>
        <v/>
      </c>
      <c r="AD21" s="352">
        <f>IF(AD$3="","",((IF(入力データ!$C$13="持ち家",IF(AD4&lt;=前提条件!$C$44,入力データ!$C$53,0),入力データ!$C$53)+入力データ!$C$54+入力データ!$C$55+入力データ!$C$56)*12+IF(入力データ!$C$13="持ち家",入力データ!$C$83+前提条件!$C$47,入力データ!$C$84+前提条件!$C$48))*(1+前提条件!$C$15)^(AD$3-$B$3))</f>
        <v/>
      </c>
      <c r="AE21" s="352">
        <f>IF(AE$3="","",((IF(入力データ!$C$13="持ち家",IF(AE4&lt;=前提条件!$C$44,入力データ!$C$53,0),入力データ!$C$53)+入力データ!$C$54+入力データ!$C$55+入力データ!$C$56)*12+IF(入力データ!$C$13="持ち家",入力データ!$C$83+前提条件!$C$47,入力データ!$C$84+前提条件!$C$48))*(1+前提条件!$C$15)^(AE$3-$B$3))</f>
        <v/>
      </c>
      <c r="AF21" s="352">
        <f>IF(AF$3="","",((IF(入力データ!$C$13="持ち家",IF(AF4&lt;=前提条件!$C$44,入力データ!$C$53,0),入力データ!$C$53)+入力データ!$C$54+入力データ!$C$55+入力データ!$C$56)*12+IF(入力データ!$C$13="持ち家",入力データ!$C$83+前提条件!$C$47,入力データ!$C$84+前提条件!$C$48))*(1+前提条件!$C$15)^(AF$3-$B$3))</f>
        <v/>
      </c>
      <c r="AG21" s="352">
        <f>IF(AG$3="","",((IF(入力データ!$C$13="持ち家",IF(AG4&lt;=前提条件!$C$44,入力データ!$C$53,0),入力データ!$C$53)+入力データ!$C$54+入力データ!$C$55+入力データ!$C$56)*12+IF(入力データ!$C$13="持ち家",入力データ!$C$83+前提条件!$C$47,入力データ!$C$84+前提条件!$C$48))*(1+前提条件!$C$15)^(AG$3-$B$3))</f>
        <v/>
      </c>
      <c r="AH21" s="352">
        <f>IF(AH$3="","",((IF(入力データ!$C$13="持ち家",IF(AH4&lt;=前提条件!$C$44,入力データ!$C$53,0),入力データ!$C$53)+入力データ!$C$54+入力データ!$C$55+入力データ!$C$56)*12+IF(入力データ!$C$13="持ち家",入力データ!$C$83+前提条件!$C$47,入力データ!$C$84+前提条件!$C$48))*(1+前提条件!$C$15)^(AH$3-$B$3))</f>
        <v/>
      </c>
      <c r="AI21" s="352">
        <f>IF(AI$3="","",((IF(入力データ!$C$13="持ち家",IF(AI4&lt;=前提条件!$C$44,入力データ!$C$53,0),入力データ!$C$53)+入力データ!$C$54+入力データ!$C$55+入力データ!$C$56)*12+IF(入力データ!$C$13="持ち家",入力データ!$C$83+前提条件!$C$47,入力データ!$C$84+前提条件!$C$48))*(1+前提条件!$C$15)^(AI$3-$B$3))</f>
        <v/>
      </c>
      <c r="AJ21" s="352">
        <f>IF(AJ$3="","",((IF(入力データ!$C$13="持ち家",IF(AJ4&lt;=前提条件!$C$44,入力データ!$C$53,0),入力データ!$C$53)+入力データ!$C$54+入力データ!$C$55+入力データ!$C$56)*12+IF(入力データ!$C$13="持ち家",入力データ!$C$83+前提条件!$C$47,入力データ!$C$84+前提条件!$C$48))*(1+前提条件!$C$15)^(AJ$3-$B$3))</f>
        <v/>
      </c>
      <c r="AK21" s="352">
        <f>IF(AK$3="","",((IF(入力データ!$C$13="持ち家",IF(AK4&lt;=前提条件!$C$44,入力データ!$C$53,0),入力データ!$C$53)+入力データ!$C$54+入力データ!$C$55+入力データ!$C$56)*12+IF(入力データ!$C$13="持ち家",入力データ!$C$83+前提条件!$C$47,入力データ!$C$84+前提条件!$C$48))*(1+前提条件!$C$15)^(AK$3-$B$3))</f>
        <v/>
      </c>
      <c r="AL21" s="352">
        <f>IF(AL$3="","",((IF(入力データ!$C$13="持ち家",IF(AL4&lt;=前提条件!$C$44,入力データ!$C$53,0),入力データ!$C$53)+入力データ!$C$54+入力データ!$C$55+入力データ!$C$56)*12+IF(入力データ!$C$13="持ち家",入力データ!$C$83+前提条件!$C$47,入力データ!$C$84+前提条件!$C$48))*(1+前提条件!$C$15)^(AL$3-$B$3))</f>
        <v/>
      </c>
      <c r="AM21" s="352">
        <f>IF(AM$3="","",((IF(入力データ!$C$13="持ち家",IF(AM4&lt;=前提条件!$C$44,入力データ!$C$53,0),入力データ!$C$53)+入力データ!$C$54+入力データ!$C$55+入力データ!$C$56)*12+IF(入力データ!$C$13="持ち家",入力データ!$C$83+前提条件!$C$47,入力データ!$C$84+前提条件!$C$48))*(1+前提条件!$C$15)^(AM$3-$B$3))</f>
        <v/>
      </c>
      <c r="AN21" s="352">
        <f>IF(AN$3="","",((IF(入力データ!$C$13="持ち家",IF(AN4&lt;=前提条件!$C$44,入力データ!$C$53,0),入力データ!$C$53)+入力データ!$C$54+入力データ!$C$55+入力データ!$C$56)*12+IF(入力データ!$C$13="持ち家",入力データ!$C$83+前提条件!$C$47,入力データ!$C$84+前提条件!$C$48))*(1+前提条件!$C$15)^(AN$3-$B$3))</f>
        <v/>
      </c>
      <c r="AO21" s="352">
        <f>IF(AO$3="","",((IF(入力データ!$C$13="持ち家",IF(AO4&lt;=前提条件!$C$44,入力データ!$C$53,0),入力データ!$C$53)+入力データ!$C$54+入力データ!$C$55+入力データ!$C$56)*12+IF(入力データ!$C$13="持ち家",入力データ!$C$83+前提条件!$C$47,入力データ!$C$84+前提条件!$C$48))*(1+前提条件!$C$15)^(AO$3-$B$3))</f>
        <v/>
      </c>
      <c r="AP21" s="352">
        <f>IF(AP$3="","",((IF(入力データ!$C$13="持ち家",IF(AP4&lt;=前提条件!$C$44,入力データ!$C$53,0),入力データ!$C$53)+入力データ!$C$54+入力データ!$C$55+入力データ!$C$56)*12+IF(入力データ!$C$13="持ち家",入力データ!$C$83+前提条件!$C$47,入力データ!$C$84+前提条件!$C$48))*(1+前提条件!$C$15)^(AP$3-$B$3))</f>
        <v/>
      </c>
      <c r="AQ21" s="352">
        <f>IF(AQ$3="","",((IF(入力データ!$C$13="持ち家",IF(AQ4&lt;=前提条件!$C$44,入力データ!$C$53,0),入力データ!$C$53)+入力データ!$C$54+入力データ!$C$55+入力データ!$C$56)*12+IF(入力データ!$C$13="持ち家",入力データ!$C$83+前提条件!$C$47,入力データ!$C$84+前提条件!$C$48))*(1+前提条件!$C$15)^(AQ$3-$B$3))</f>
        <v/>
      </c>
      <c r="AR21" s="352">
        <f>IF(AR$3="","",((IF(入力データ!$C$13="持ち家",IF(AR4&lt;=前提条件!$C$44,入力データ!$C$53,0),入力データ!$C$53)+入力データ!$C$54+入力データ!$C$55+入力データ!$C$56)*12+IF(入力データ!$C$13="持ち家",入力データ!$C$83+前提条件!$C$47,入力データ!$C$84+前提条件!$C$48))*(1+前提条件!$C$15)^(AR$3-$B$3))</f>
        <v/>
      </c>
      <c r="AS21" s="352">
        <f>IF(AS$3="","",((IF(入力データ!$C$13="持ち家",IF(AS4&lt;=前提条件!$C$44,入力データ!$C$53,0),入力データ!$C$53)+入力データ!$C$54+入力データ!$C$55+入力データ!$C$56)*12+IF(入力データ!$C$13="持ち家",入力データ!$C$83+前提条件!$C$47,入力データ!$C$84+前提条件!$C$48))*(1+前提条件!$C$15)^(AS$3-$B$3))</f>
        <v/>
      </c>
      <c r="AT21" s="352">
        <f>IF(AT$3="","",((IF(入力データ!$C$13="持ち家",IF(AT4&lt;=前提条件!$C$44,入力データ!$C$53,0),入力データ!$C$53)+入力データ!$C$54+入力データ!$C$55+入力データ!$C$56)*12+IF(入力データ!$C$13="持ち家",入力データ!$C$83+前提条件!$C$47,入力データ!$C$84+前提条件!$C$48))*(1+前提条件!$C$15)^(AT$3-$B$3))</f>
        <v/>
      </c>
      <c r="AU21" s="352">
        <f>IF(AU$3="","",((IF(入力データ!$C$13="持ち家",IF(AU4&lt;=前提条件!$C$44,入力データ!$C$53,0),入力データ!$C$53)+入力データ!$C$54+入力データ!$C$55+入力データ!$C$56)*12+IF(入力データ!$C$13="持ち家",入力データ!$C$83+前提条件!$C$47,入力データ!$C$84+前提条件!$C$48))*(1+前提条件!$C$15)^(AU$3-$B$3))</f>
        <v/>
      </c>
      <c r="AV21" s="352">
        <f>IF(AV$3="","",((IF(入力データ!$C$13="持ち家",IF(AV4&lt;=前提条件!$C$44,入力データ!$C$53,0),入力データ!$C$53)+入力データ!$C$54+入力データ!$C$55+入力データ!$C$56)*12+IF(入力データ!$C$13="持ち家",入力データ!$C$83+前提条件!$C$47,入力データ!$C$84+前提条件!$C$48))*(1+前提条件!$C$15)^(AV$3-$B$3))</f>
        <v/>
      </c>
      <c r="AW21" s="352">
        <f>IF(AW$3="","",((IF(入力データ!$C$13="持ち家",IF(AW4&lt;=前提条件!$C$44,入力データ!$C$53,0),入力データ!$C$53)+入力データ!$C$54+入力データ!$C$55+入力データ!$C$56)*12+IF(入力データ!$C$13="持ち家",入力データ!$C$83+前提条件!$C$47,入力データ!$C$84+前提条件!$C$48))*(1+前提条件!$C$15)^(AW$3-$B$3))</f>
        <v/>
      </c>
      <c r="AX21" s="352">
        <f>IF(AX$3="","",((IF(入力データ!$C$13="持ち家",IF(AX4&lt;=前提条件!$C$44,入力データ!$C$53,0),入力データ!$C$53)+入力データ!$C$54+入力データ!$C$55+入力データ!$C$56)*12+IF(入力データ!$C$13="持ち家",入力データ!$C$83+前提条件!$C$47,入力データ!$C$84+前提条件!$C$48))*(1+前提条件!$C$15)^(AX$3-$B$3))</f>
        <v/>
      </c>
      <c r="AY21" s="352">
        <f>IF(AY$3="","",((IF(入力データ!$C$13="持ち家",IF(AY4&lt;=前提条件!$C$44,入力データ!$C$53,0),入力データ!$C$53)+入力データ!$C$54+入力データ!$C$55+入力データ!$C$56)*12+IF(入力データ!$C$13="持ち家",入力データ!$C$83+前提条件!$C$47,入力データ!$C$84+前提条件!$C$48))*(1+前提条件!$C$15)^(AY$3-$B$3))</f>
        <v/>
      </c>
      <c r="AZ21" s="352">
        <f>IF(AZ$3="","",((IF(入力データ!$C$13="持ち家",IF(AZ4&lt;=前提条件!$C$44,入力データ!$C$53,0),入力データ!$C$53)+入力データ!$C$54+入力データ!$C$55+入力データ!$C$56)*12+IF(入力データ!$C$13="持ち家",入力データ!$C$83+前提条件!$C$47,入力データ!$C$84+前提条件!$C$48))*(1+前提条件!$C$15)^(AZ$3-$B$3))</f>
        <v/>
      </c>
      <c r="BA21" s="352">
        <f>IF(BA$3="","",((IF(入力データ!$C$13="持ち家",IF(BA4&lt;=前提条件!$C$44,入力データ!$C$53,0),入力データ!$C$53)+入力データ!$C$54+入力データ!$C$55+入力データ!$C$56)*12+IF(入力データ!$C$13="持ち家",入力データ!$C$83+前提条件!$C$47,入力データ!$C$84+前提条件!$C$48))*(1+前提条件!$C$15)^(BA$3-$B$3))</f>
        <v/>
      </c>
      <c r="BB21" s="352">
        <f>IF(BB$3="","",((IF(入力データ!$C$13="持ち家",IF(BB4&lt;=前提条件!$C$44,入力データ!$C$53,0),入力データ!$C$53)+入力データ!$C$54+入力データ!$C$55+入力データ!$C$56)*12+IF(入力データ!$C$13="持ち家",入力データ!$C$83+前提条件!$C$47,入力データ!$C$84+前提条件!$C$48))*(1+前提条件!$C$15)^(BB$3-$B$3))</f>
        <v/>
      </c>
      <c r="BC21" s="352">
        <f>IF(BC$3="","",((IF(入力データ!$C$13="持ち家",IF(BC4&lt;=前提条件!$C$44,入力データ!$C$53,0),入力データ!$C$53)+入力データ!$C$54+入力データ!$C$55+入力データ!$C$56)*12+IF(入力データ!$C$13="持ち家",入力データ!$C$83+前提条件!$C$47,入力データ!$C$84+前提条件!$C$48))*(1+前提条件!$C$15)^(BC$3-$B$3))</f>
        <v/>
      </c>
      <c r="BD21" s="352">
        <f>IF(BD$3="","",((IF(入力データ!$C$13="持ち家",IF(BD4&lt;=前提条件!$C$44,入力データ!$C$53,0),入力データ!$C$53)+入力データ!$C$54+入力データ!$C$55+入力データ!$C$56)*12+IF(入力データ!$C$13="持ち家",入力データ!$C$83+前提条件!$C$47,入力データ!$C$84+前提条件!$C$48))*(1+前提条件!$C$15)^(BD$3-$B$3))</f>
        <v/>
      </c>
      <c r="BE21" s="352">
        <f>IF(BE$3="","",((IF(入力データ!$C$13="持ち家",IF(BE4&lt;=前提条件!$C$44,入力データ!$C$53,0),入力データ!$C$53)+入力データ!$C$54+入力データ!$C$55+入力データ!$C$56)*12+IF(入力データ!$C$13="持ち家",入力データ!$C$83+前提条件!$C$47,入力データ!$C$84+前提条件!$C$48))*(1+前提条件!$C$15)^(BE$3-$B$3))</f>
        <v/>
      </c>
      <c r="BF21" s="352">
        <f>IF(BF$3="","",((IF(入力データ!$C$13="持ち家",IF(BF4&lt;=前提条件!$C$44,入力データ!$C$53,0),入力データ!$C$53)+入力データ!$C$54+入力データ!$C$55+入力データ!$C$56)*12+IF(入力データ!$C$13="持ち家",入力データ!$C$83+前提条件!$C$47,入力データ!$C$84+前提条件!$C$48))*(1+前提条件!$C$15)^(BF$3-$B$3))</f>
        <v/>
      </c>
      <c r="BG21" s="352">
        <f>IF(BG$3="","",((IF(入力データ!$C$13="持ち家",IF(BG4&lt;=前提条件!$C$44,入力データ!$C$53,0),入力データ!$C$53)+入力データ!$C$54+入力データ!$C$55+入力データ!$C$56)*12+IF(入力データ!$C$13="持ち家",入力データ!$C$83+前提条件!$C$47,入力データ!$C$84+前提条件!$C$48))*(1+前提条件!$C$15)^(BG$3-$B$3))</f>
        <v/>
      </c>
      <c r="BH21" s="352">
        <f>IF(BH$3="","",((IF(入力データ!$C$13="持ち家",IF(BH4&lt;=前提条件!$C$44,入力データ!$C$53,0),入力データ!$C$53)+入力データ!$C$54+入力データ!$C$55+入力データ!$C$56)*12+IF(入力データ!$C$13="持ち家",入力データ!$C$83+前提条件!$C$47,入力データ!$C$84+前提条件!$C$48))*(1+前提条件!$C$15)^(BH$3-$B$3))</f>
        <v/>
      </c>
      <c r="BI21" s="352">
        <f>IF(BI$3="","",((IF(入力データ!$C$13="持ち家",IF(BI4&lt;=前提条件!$C$44,入力データ!$C$53,0),入力データ!$C$53)+入力データ!$C$54+入力データ!$C$55+入力データ!$C$56)*12+IF(入力データ!$C$13="持ち家",入力データ!$C$83+前提条件!$C$47,入力データ!$C$84+前提条件!$C$48))*(1+前提条件!$C$15)^(BI$3-$B$3))</f>
        <v/>
      </c>
      <c r="BJ21" s="352">
        <f>IF(BJ$3="","",((IF(入力データ!$C$13="持ち家",IF(BJ4&lt;=前提条件!$C$44,入力データ!$C$53,0),入力データ!$C$53)+入力データ!$C$54+入力データ!$C$55+入力データ!$C$56)*12+IF(入力データ!$C$13="持ち家",入力データ!$C$83+前提条件!$C$47,入力データ!$C$84+前提条件!$C$48))*(1+前提条件!$C$15)^(BJ$3-$B$3))</f>
        <v/>
      </c>
      <c r="BK21" s="352">
        <f>IF(BK$3="","",((IF(入力データ!$C$13="持ち家",IF(BK4&lt;=前提条件!$C$44,入力データ!$C$53,0),入力データ!$C$53)+入力データ!$C$54+入力データ!$C$55+入力データ!$C$56)*12+IF(入力データ!$C$13="持ち家",入力データ!$C$83+前提条件!$C$47,入力データ!$C$84+前提条件!$C$48))*(1+前提条件!$C$15)^(BK$3-$B$3))</f>
        <v/>
      </c>
      <c r="BL21" s="352">
        <f>IF(BL$3="","",((IF(入力データ!$C$13="持ち家",IF(BL4&lt;=前提条件!$C$44,入力データ!$C$53,0),入力データ!$C$53)+入力データ!$C$54+入力データ!$C$55+入力データ!$C$56)*12+IF(入力データ!$C$13="持ち家",入力データ!$C$83+前提条件!$C$47,入力データ!$C$84+前提条件!$C$48))*(1+前提条件!$C$15)^(BL$3-$B$3))</f>
        <v/>
      </c>
      <c r="BM21" s="352">
        <f>IF(BM$3="","",((IF(入力データ!$C$13="持ち家",IF(BM4&lt;=前提条件!$C$44,入力データ!$C$53,0),入力データ!$C$53)+入力データ!$C$54+入力データ!$C$55+入力データ!$C$56)*12+IF(入力データ!$C$13="持ち家",入力データ!$C$83+前提条件!$C$47,入力データ!$C$84+前提条件!$C$48))*(1+前提条件!$C$15)^(BM$3-$B$3))</f>
        <v/>
      </c>
      <c r="BN21" s="352">
        <f>IF(BN$3="","",((IF(入力データ!$C$13="持ち家",IF(BN4&lt;=前提条件!$C$44,入力データ!$C$53,0),入力データ!$C$53)+入力データ!$C$54+入力データ!$C$55+入力データ!$C$56)*12+IF(入力データ!$C$13="持ち家",入力データ!$C$83+前提条件!$C$47,入力データ!$C$84+前提条件!$C$48))*(1+前提条件!$C$15)^(BN$3-$B$3))</f>
        <v/>
      </c>
      <c r="BO21" s="352">
        <f>IF(BO$3="","",((IF(入力データ!$C$13="持ち家",IF(BO4&lt;=前提条件!$C$44,入力データ!$C$53,0),入力データ!$C$53)+入力データ!$C$54+入力データ!$C$55+入力データ!$C$56)*12+IF(入力データ!$C$13="持ち家",入力データ!$C$83+前提条件!$C$47,入力データ!$C$84+前提条件!$C$48))*(1+前提条件!$C$15)^(BO$3-$B$3))</f>
        <v/>
      </c>
      <c r="BP21" s="352">
        <f>IF(BP$3="","",((IF(入力データ!$C$13="持ち家",IF(BP4&lt;=前提条件!$C$44,入力データ!$C$53,0),入力データ!$C$53)+入力データ!$C$54+入力データ!$C$55+入力データ!$C$56)*12+IF(入力データ!$C$13="持ち家",入力データ!$C$83+前提条件!$C$47,入力データ!$C$84+前提条件!$C$48))*(1+前提条件!$C$15)^(BP$3-$B$3))</f>
        <v/>
      </c>
      <c r="BQ21" s="352">
        <f>IF(BQ$3="","",((IF(入力データ!$C$13="持ち家",IF(BQ4&lt;=前提条件!$C$44,入力データ!$C$53,0),入力データ!$C$53)+入力データ!$C$54+入力データ!$C$55+入力データ!$C$56)*12+IF(入力データ!$C$13="持ち家",入力データ!$C$83+前提条件!$C$47,入力データ!$C$84+前提条件!$C$48))*(1+前提条件!$C$15)^(BQ$3-$B$3))</f>
        <v/>
      </c>
      <c r="BR21" s="352">
        <f>IF(BR$3="","",((IF(入力データ!$C$13="持ち家",IF(BR4&lt;=前提条件!$C$44,入力データ!$C$53,0),入力データ!$C$53)+入力データ!$C$54+入力データ!$C$55+入力データ!$C$56)*12+IF(入力データ!$C$13="持ち家",入力データ!$C$83+前提条件!$C$47,入力データ!$C$84+前提条件!$C$48))*(1+前提条件!$C$15)^(BR$3-$B$3))</f>
        <v/>
      </c>
      <c r="BS21" s="352">
        <f>IF(BS$3="","",((IF(入力データ!$C$13="持ち家",IF(BS4&lt;=前提条件!$C$44,入力データ!$C$53,0),入力データ!$C$53)+入力データ!$C$54+入力データ!$C$55+入力データ!$C$56)*12+IF(入力データ!$C$13="持ち家",入力データ!$C$83+前提条件!$C$47,入力データ!$C$84+前提条件!$C$48))*(1+前提条件!$C$15)^(BS$3-$B$3))</f>
        <v/>
      </c>
      <c r="BT21" s="352">
        <f>IF(BT$3="","",((IF(入力データ!$C$13="持ち家",IF(BT4&lt;=前提条件!$C$44,入力データ!$C$53,0),入力データ!$C$53)+入力データ!$C$54+入力データ!$C$55+入力データ!$C$56)*12+IF(入力データ!$C$13="持ち家",入力データ!$C$83+前提条件!$C$47,入力データ!$C$84+前提条件!$C$48))*(1+前提条件!$C$15)^(BT$3-$B$3))</f>
        <v/>
      </c>
      <c r="BU21" s="352">
        <f>IF(BU$3="","",((IF(入力データ!$C$13="持ち家",IF(BU4&lt;=前提条件!$C$44,入力データ!$C$53,0),入力データ!$C$53)+入力データ!$C$54+入力データ!$C$55+入力データ!$C$56)*12+IF(入力データ!$C$13="持ち家",入力データ!$C$83+前提条件!$C$47,入力データ!$C$84+前提条件!$C$48))*(1+前提条件!$C$15)^(BU$3-$B$3))</f>
        <v/>
      </c>
      <c r="BV21" s="352">
        <f>IF(BV$3="","",((IF(入力データ!$C$13="持ち家",IF(BV4&lt;=前提条件!$C$44,入力データ!$C$53,0),入力データ!$C$53)+入力データ!$C$54+入力データ!$C$55+入力データ!$C$56)*12+IF(入力データ!$C$13="持ち家",入力データ!$C$83+前提条件!$C$47,入力データ!$C$84+前提条件!$C$48))*(1+前提条件!$C$15)^(BV$3-$B$3))</f>
        <v/>
      </c>
      <c r="BW21" s="352">
        <f>IF(BW$3="","",((IF(入力データ!$C$13="持ち家",IF(BW4&lt;=前提条件!$C$44,入力データ!$C$53,0),入力データ!$C$53)+入力データ!$C$54+入力データ!$C$55+入力データ!$C$56)*12+IF(入力データ!$C$13="持ち家",入力データ!$C$83+前提条件!$C$47,入力データ!$C$84+前提条件!$C$48))*(1+前提条件!$C$15)^(BW$3-$B$3))</f>
        <v/>
      </c>
      <c r="BX21" s="352">
        <f>IF(BX$3="","",((IF(入力データ!$C$13="持ち家",IF(BX4&lt;=前提条件!$C$44,入力データ!$C$53,0),入力データ!$C$53)+入力データ!$C$54+入力データ!$C$55+入力データ!$C$56)*12+IF(入力データ!$C$13="持ち家",入力データ!$C$83+前提条件!$C$47,入力データ!$C$84+前提条件!$C$48))*(1+前提条件!$C$15)^(BX$3-$B$3))</f>
        <v/>
      </c>
      <c r="BY21" s="352">
        <f>IF(BY$3="","",((IF(入力データ!$C$13="持ち家",IF(BY4&lt;=前提条件!$C$44,入力データ!$C$53,0),入力データ!$C$53)+入力データ!$C$54+入力データ!$C$55+入力データ!$C$56)*12+IF(入力データ!$C$13="持ち家",入力データ!$C$83+前提条件!$C$47,入力データ!$C$84+前提条件!$C$48))*(1+前提条件!$C$15)^(BY$3-$B$3))</f>
        <v/>
      </c>
      <c r="BZ21" s="352">
        <f>IF(BZ$3="","",((IF(入力データ!$C$13="持ち家",IF(BZ4&lt;=前提条件!$C$44,入力データ!$C$53,0),入力データ!$C$53)+入力データ!$C$54+入力データ!$C$55+入力データ!$C$56)*12+IF(入力データ!$C$13="持ち家",入力データ!$C$83+前提条件!$C$47,入力データ!$C$84+前提条件!$C$48))*(1+前提条件!$C$15)^(BZ$3-$B$3))</f>
        <v/>
      </c>
      <c r="CA21" s="352">
        <f>IF(CA$3="","",((IF(入力データ!$C$13="持ち家",IF(CA4&lt;=前提条件!$C$44,入力データ!$C$53,0),入力データ!$C$53)+入力データ!$C$54+入力データ!$C$55+入力データ!$C$56)*12+IF(入力データ!$C$13="持ち家",入力データ!$C$83+前提条件!$C$47,入力データ!$C$84+前提条件!$C$48))*(1+前提条件!$C$15)^(CA$3-$B$3))</f>
        <v/>
      </c>
      <c r="CB21" s="352">
        <f>IF(CB$3="","",((IF(入力データ!$C$13="持ち家",IF(CB4&lt;=前提条件!$C$44,入力データ!$C$53,0),入力データ!$C$53)+入力データ!$C$54+入力データ!$C$55+入力データ!$C$56)*12+IF(入力データ!$C$13="持ち家",入力データ!$C$83+前提条件!$C$47,入力データ!$C$84+前提条件!$C$48))*(1+前提条件!$C$15)^(CB$3-$B$3))</f>
        <v/>
      </c>
      <c r="CC21" s="352">
        <f>IF(CC$3="","",((IF(入力データ!$C$13="持ち家",IF(CC4&lt;=前提条件!$C$44,入力データ!$C$53,0),入力データ!$C$53)+入力データ!$C$54+入力データ!$C$55+入力データ!$C$56)*12+IF(入力データ!$C$13="持ち家",入力データ!$C$83+前提条件!$C$47,入力データ!$C$84+前提条件!$C$48))*(1+前提条件!$C$15)^(CC$3-$B$3))</f>
        <v/>
      </c>
      <c r="CD21" s="352">
        <f>IF(CD$3="","",((IF(入力データ!$C$13="持ち家",IF(CD4&lt;=前提条件!$C$44,入力データ!$C$53,0),入力データ!$C$53)+入力データ!$C$54+入力データ!$C$55+入力データ!$C$56)*12+IF(入力データ!$C$13="持ち家",入力データ!$C$83+前提条件!$C$47,入力データ!$C$84+前提条件!$C$48))*(1+前提条件!$C$15)^(CD$3-$B$3))</f>
        <v/>
      </c>
      <c r="CE21" s="352">
        <f>IF(CE$3="","",((IF(入力データ!$C$13="持ち家",IF(CE4&lt;=前提条件!$C$44,入力データ!$C$53,0),入力データ!$C$53)+入力データ!$C$54+入力データ!$C$55+入力データ!$C$56)*12+IF(入力データ!$C$13="持ち家",入力データ!$C$83+前提条件!$C$47,入力データ!$C$84+前提条件!$C$48))*(1+前提条件!$C$15)^(CE$3-$B$3))</f>
        <v/>
      </c>
      <c r="CF21" s="352">
        <f>IF(CF$3="","",((IF(入力データ!$C$13="持ち家",IF(CF4&lt;=前提条件!$C$44,入力データ!$C$53,0),入力データ!$C$53)+入力データ!$C$54+入力データ!$C$55+入力データ!$C$56)*12+IF(入力データ!$C$13="持ち家",入力データ!$C$83+前提条件!$C$47,入力データ!$C$84+前提条件!$C$48))*(1+前提条件!$C$15)^(CF$3-$B$3))</f>
        <v/>
      </c>
      <c r="CG21" s="352">
        <f>IF(CG$3="","",((IF(入力データ!$C$13="持ち家",IF(CG4&lt;=前提条件!$C$44,入力データ!$C$53,0),入力データ!$C$53)+入力データ!$C$54+入力データ!$C$55+入力データ!$C$56)*12+IF(入力データ!$C$13="持ち家",入力データ!$C$83+前提条件!$C$47,入力データ!$C$84+前提条件!$C$48))*(1+前提条件!$C$15)^(CG$3-$B$3))</f>
        <v/>
      </c>
      <c r="CH21" s="352">
        <f>IF(CH$3="","",((IF(入力データ!$C$13="持ち家",IF(CH4&lt;=前提条件!$C$44,入力データ!$C$53,0),入力データ!$C$53)+入力データ!$C$54+入力データ!$C$55+入力データ!$C$56)*12+IF(入力データ!$C$13="持ち家",入力データ!$C$83+前提条件!$C$47,入力データ!$C$84+前提条件!$C$48))*(1+前提条件!$C$15)^(CH$3-$B$3))</f>
        <v/>
      </c>
      <c r="CI21" s="352">
        <f>IF(CI$3="","",((IF(入力データ!$C$13="持ち家",IF(CI4&lt;=前提条件!$C$44,入力データ!$C$53,0),入力データ!$C$53)+入力データ!$C$54+入力データ!$C$55+入力データ!$C$56)*12+IF(入力データ!$C$13="持ち家",入力データ!$C$83+前提条件!$C$47,入力データ!$C$84+前提条件!$C$48))*(1+前提条件!$C$15)^(CI$3-$B$3))</f>
        <v/>
      </c>
      <c r="CJ21" s="352">
        <f>IF(CJ$3="","",((IF(入力データ!$C$13="持ち家",IF(CJ4&lt;=前提条件!$C$44,入力データ!$C$53,0),入力データ!$C$53)+入力データ!$C$54+入力データ!$C$55+入力データ!$C$56)*12+IF(入力データ!$C$13="持ち家",入力データ!$C$83+前提条件!$C$47,入力データ!$C$84+前提条件!$C$48))*(1+前提条件!$C$15)^(CJ$3-$B$3))</f>
        <v/>
      </c>
      <c r="CK21" s="352">
        <f>IF(CK$3="","",((IF(入力データ!$C$13="持ち家",IF(CK4&lt;=前提条件!$C$44,入力データ!$C$53,0),入力データ!$C$53)+入力データ!$C$54+入力データ!$C$55+入力データ!$C$56)*12+IF(入力データ!$C$13="持ち家",入力データ!$C$83+前提条件!$C$47,入力データ!$C$84+前提条件!$C$48))*(1+前提条件!$C$15)^(CK$3-$B$3))</f>
        <v/>
      </c>
      <c r="CL21" s="352">
        <f>IF(CL$3="","",((IF(入力データ!$C$13="持ち家",IF(CL4&lt;=前提条件!$C$44,入力データ!$C$53,0),入力データ!$C$53)+入力データ!$C$54+入力データ!$C$55+入力データ!$C$56)*12+IF(入力データ!$C$13="持ち家",入力データ!$C$83+前提条件!$C$47,入力データ!$C$84+前提条件!$C$48))*(1+前提条件!$C$15)^(CL$3-$B$3))</f>
        <v/>
      </c>
      <c r="CM21" s="352">
        <f>IF(CM$3="","",((IF(入力データ!$C$13="持ち家",IF(CM4&lt;=前提条件!$C$44,入力データ!$C$53,0),入力データ!$C$53)+入力データ!$C$54+入力データ!$C$55+入力データ!$C$56)*12+IF(入力データ!$C$13="持ち家",入力データ!$C$83+前提条件!$C$47,入力データ!$C$84+前提条件!$C$48))*(1+前提条件!$C$15)^(CM$3-$B$3))</f>
        <v/>
      </c>
      <c r="CN21" s="352">
        <f>IF(CN$3="","",((IF(入力データ!$C$13="持ち家",IF(CN4&lt;=前提条件!$C$44,入力データ!$C$53,0),入力データ!$C$53)+入力データ!$C$54+入力データ!$C$55+入力データ!$C$56)*12+IF(入力データ!$C$13="持ち家",入力データ!$C$83+前提条件!$C$47,入力データ!$C$84+前提条件!$C$48))*(1+前提条件!$C$15)^(CN$3-$B$3))</f>
        <v/>
      </c>
      <c r="CO21" s="352">
        <f>IF(CO$3="","",((IF(入力データ!$C$13="持ち家",IF(CO4&lt;=前提条件!$C$44,入力データ!$C$53,0),入力データ!$C$53)+入力データ!$C$54+入力データ!$C$55+入力データ!$C$56)*12+IF(入力データ!$C$13="持ち家",入力データ!$C$83+前提条件!$C$47,入力データ!$C$84+前提条件!$C$48))*(1+前提条件!$C$15)^(CO$3-$B$3))</f>
        <v/>
      </c>
      <c r="CP21" s="352">
        <f>IF(CP$3="","",((IF(入力データ!$C$13="持ち家",IF(CP4&lt;=前提条件!$C$44,入力データ!$C$53,0),入力データ!$C$53)+入力データ!$C$54+入力データ!$C$55+入力データ!$C$56)*12+IF(入力データ!$C$13="持ち家",入力データ!$C$83+前提条件!$C$47,入力データ!$C$84+前提条件!$C$48))*(1+前提条件!$C$15)^(CP$3-$B$3))</f>
        <v/>
      </c>
      <c r="CQ21" s="352">
        <f>IF(CQ$3="","",((IF(入力データ!$C$13="持ち家",IF(CQ4&lt;=前提条件!$C$44,入力データ!$C$53,0),入力データ!$C$53)+入力データ!$C$54+入力データ!$C$55+入力データ!$C$56)*12+IF(入力データ!$C$13="持ち家",入力データ!$C$83+前提条件!$C$47,入力データ!$C$84+前提条件!$C$48))*(1+前提条件!$C$15)^(CQ$3-$B$3))</f>
        <v/>
      </c>
      <c r="CR21" s="352">
        <f>IF(CR$3="","",((IF(入力データ!$C$13="持ち家",IF(CR4&lt;=前提条件!$C$44,入力データ!$C$53,0),入力データ!$C$53)+入力データ!$C$54+入力データ!$C$55+入力データ!$C$56)*12+IF(入力データ!$C$13="持ち家",入力データ!$C$83+前提条件!$C$47,入力データ!$C$84+前提条件!$C$48))*(1+前提条件!$C$15)^(CR$3-$B$3))</f>
        <v/>
      </c>
      <c r="CS21" s="352">
        <f>IF(CS$3="","",((IF(入力データ!$C$13="持ち家",IF(CS4&lt;=前提条件!$C$44,入力データ!$C$53,0),入力データ!$C$53)+入力データ!$C$54+入力データ!$C$55+入力データ!$C$56)*12+IF(入力データ!$C$13="持ち家",入力データ!$C$83+前提条件!$C$47,入力データ!$C$84+前提条件!$C$48))*(1+前提条件!$C$15)^(CS$3-$B$3))</f>
        <v/>
      </c>
      <c r="CT21" s="352">
        <f>IF(CT$3="","",((IF(入力データ!$C$13="持ち家",IF(CT4&lt;=前提条件!$C$44,入力データ!$C$53,0),入力データ!$C$53)+入力データ!$C$54+入力データ!$C$55+入力データ!$C$56)*12+IF(入力データ!$C$13="持ち家",入力データ!$C$83+前提条件!$C$47,入力データ!$C$84+前提条件!$C$48))*(1+前提条件!$C$15)^(CT$3-$B$3))</f>
        <v/>
      </c>
      <c r="CU21" s="352">
        <f>IF(CU$3="","",((IF(入力データ!$C$13="持ち家",IF(CU4&lt;=前提条件!$C$44,入力データ!$C$53,0),入力データ!$C$53)+入力データ!$C$54+入力データ!$C$55+入力データ!$C$56)*12+IF(入力データ!$C$13="持ち家",入力データ!$C$83+前提条件!$C$47,入力データ!$C$84+前提条件!$C$48))*(1+前提条件!$C$15)^(CU$3-$B$3))</f>
        <v/>
      </c>
      <c r="CV21" s="352">
        <f>IF(CV$3="","",((IF(入力データ!$C$13="持ち家",IF(CV4&lt;=前提条件!$C$44,入力データ!$C$53,0),入力データ!$C$53)+入力データ!$C$54+入力データ!$C$55+入力データ!$C$56)*12+IF(入力データ!$C$13="持ち家",入力データ!$C$83+前提条件!$C$47,入力データ!$C$84+前提条件!$C$48))*(1+前提条件!$C$15)^(CV$3-$B$3))</f>
        <v/>
      </c>
      <c r="CW21" s="352">
        <f>IF(CW$3="","",((IF(入力データ!$C$13="持ち家",IF(CW4&lt;=前提条件!$C$44,入力データ!$C$53,0),入力データ!$C$53)+入力データ!$C$54+入力データ!$C$55+入力データ!$C$56)*12+IF(入力データ!$C$13="持ち家",入力データ!$C$83+前提条件!$C$47,入力データ!$C$84+前提条件!$C$48))*(1+前提条件!$C$15)^(CW$3-$B$3))</f>
        <v/>
      </c>
    </row>
    <row r="22" ht="15" customHeight="1" s="180">
      <c r="A22" s="224" t="inlineStr">
        <is>
          <t>終身系保険料</t>
        </is>
      </c>
      <c r="B22" s="352">
        <f>IF(B$3="","",SUMPRODUCT(--ISNUMBER(SEARCH("終身",入力データ!$F$5:$F$20)),--(IFERROR(YEAR(入力データ!$J$5:$J$20),0)&lt;=B$3),--(IFERROR(YEAR(入力データ!$K$5:$K$20),9999)&gt;=B$3),入力データ!$M$5:$M$20)*12)</f>
        <v/>
      </c>
      <c r="C22" s="352">
        <f>IF(C$3="","",SUMPRODUCT(--ISNUMBER(SEARCH("終身",入力データ!$F$5:$F$20)),--(IFERROR(YEAR(入力データ!$J$5:$J$20),0)&lt;=C$3),--(IFERROR(YEAR(入力データ!$K$5:$K$20),9999)&gt;=C$3),入力データ!$M$5:$M$20)*12)</f>
        <v/>
      </c>
      <c r="D22" s="352">
        <f>IF(D$3="","",SUMPRODUCT(--ISNUMBER(SEARCH("終身",入力データ!$F$5:$F$20)),--(IFERROR(YEAR(入力データ!$J$5:$J$20),0)&lt;=D$3),--(IFERROR(YEAR(入力データ!$K$5:$K$20),9999)&gt;=D$3),入力データ!$M$5:$M$20)*12)</f>
        <v/>
      </c>
      <c r="E22" s="352">
        <f>IF(E$3="","",SUMPRODUCT(--ISNUMBER(SEARCH("終身",入力データ!$F$5:$F$20)),--(IFERROR(YEAR(入力データ!$J$5:$J$20),0)&lt;=E$3),--(IFERROR(YEAR(入力データ!$K$5:$K$20),9999)&gt;=E$3),入力データ!$M$5:$M$20)*12)</f>
        <v/>
      </c>
      <c r="F22" s="352">
        <f>IF(F$3="","",SUMPRODUCT(--ISNUMBER(SEARCH("終身",入力データ!$F$5:$F$20)),--(IFERROR(YEAR(入力データ!$J$5:$J$20),0)&lt;=F$3),--(IFERROR(YEAR(入力データ!$K$5:$K$20),9999)&gt;=F$3),入力データ!$M$5:$M$20)*12)</f>
        <v/>
      </c>
      <c r="G22" s="352">
        <f>IF(G$3="","",SUMPRODUCT(--ISNUMBER(SEARCH("終身",入力データ!$F$5:$F$20)),--(IFERROR(YEAR(入力データ!$J$5:$J$20),0)&lt;=G$3),--(IFERROR(YEAR(入力データ!$K$5:$K$20),9999)&gt;=G$3),入力データ!$M$5:$M$20)*12)</f>
        <v/>
      </c>
      <c r="H22" s="352">
        <f>IF(H$3="","",SUMPRODUCT(--ISNUMBER(SEARCH("終身",入力データ!$F$5:$F$20)),--(IFERROR(YEAR(入力データ!$J$5:$J$20),0)&lt;=H$3),--(IFERROR(YEAR(入力データ!$K$5:$K$20),9999)&gt;=H$3),入力データ!$M$5:$M$20)*12)</f>
        <v/>
      </c>
      <c r="I22" s="352">
        <f>IF(I$3="","",SUMPRODUCT(--ISNUMBER(SEARCH("終身",入力データ!$F$5:$F$20)),--(IFERROR(YEAR(入力データ!$J$5:$J$20),0)&lt;=I$3),--(IFERROR(YEAR(入力データ!$K$5:$K$20),9999)&gt;=I$3),入力データ!$M$5:$M$20)*12)</f>
        <v/>
      </c>
      <c r="J22" s="352">
        <f>IF(J$3="","",SUMPRODUCT(--ISNUMBER(SEARCH("終身",入力データ!$F$5:$F$20)),--(IFERROR(YEAR(入力データ!$J$5:$J$20),0)&lt;=J$3),--(IFERROR(YEAR(入力データ!$K$5:$K$20),9999)&gt;=J$3),入力データ!$M$5:$M$20)*12)</f>
        <v/>
      </c>
      <c r="K22" s="352">
        <f>IF(K$3="","",SUMPRODUCT(--ISNUMBER(SEARCH("終身",入力データ!$F$5:$F$20)),--(IFERROR(YEAR(入力データ!$J$5:$J$20),0)&lt;=K$3),--(IFERROR(YEAR(入力データ!$K$5:$K$20),9999)&gt;=K$3),入力データ!$M$5:$M$20)*12)</f>
        <v/>
      </c>
      <c r="L22" s="352">
        <f>IF(L$3="","",SUMPRODUCT(--ISNUMBER(SEARCH("終身",入力データ!$F$5:$F$20)),--(IFERROR(YEAR(入力データ!$J$5:$J$20),0)&lt;=L$3),--(IFERROR(YEAR(入力データ!$K$5:$K$20),9999)&gt;=L$3),入力データ!$M$5:$M$20)*12)</f>
        <v/>
      </c>
      <c r="M22" s="352">
        <f>IF(M$3="","",SUMPRODUCT(--ISNUMBER(SEARCH("終身",入力データ!$F$5:$F$20)),--(IFERROR(YEAR(入力データ!$J$5:$J$20),0)&lt;=M$3),--(IFERROR(YEAR(入力データ!$K$5:$K$20),9999)&gt;=M$3),入力データ!$M$5:$M$20)*12)</f>
        <v/>
      </c>
      <c r="N22" s="352">
        <f>IF(N$3="","",SUMPRODUCT(--ISNUMBER(SEARCH("終身",入力データ!$F$5:$F$20)),--(IFERROR(YEAR(入力データ!$J$5:$J$20),0)&lt;=N$3),--(IFERROR(YEAR(入力データ!$K$5:$K$20),9999)&gt;=N$3),入力データ!$M$5:$M$20)*12)</f>
        <v/>
      </c>
      <c r="O22" s="352">
        <f>IF(O$3="","",SUMPRODUCT(--ISNUMBER(SEARCH("終身",入力データ!$F$5:$F$20)),--(IFERROR(YEAR(入力データ!$J$5:$J$20),0)&lt;=O$3),--(IFERROR(YEAR(入力データ!$K$5:$K$20),9999)&gt;=O$3),入力データ!$M$5:$M$20)*12)</f>
        <v/>
      </c>
      <c r="P22" s="352">
        <f>IF(P$3="","",SUMPRODUCT(--ISNUMBER(SEARCH("終身",入力データ!$F$5:$F$20)),--(IFERROR(YEAR(入力データ!$J$5:$J$20),0)&lt;=P$3),--(IFERROR(YEAR(入力データ!$K$5:$K$20),9999)&gt;=P$3),入力データ!$M$5:$M$20)*12)</f>
        <v/>
      </c>
      <c r="Q22" s="352">
        <f>IF(Q$3="","",SUMPRODUCT(--ISNUMBER(SEARCH("終身",入力データ!$F$5:$F$20)),--(IFERROR(YEAR(入力データ!$J$5:$J$20),0)&lt;=Q$3),--(IFERROR(YEAR(入力データ!$K$5:$K$20),9999)&gt;=Q$3),入力データ!$M$5:$M$20)*12)</f>
        <v/>
      </c>
      <c r="R22" s="352">
        <f>IF(R$3="","",SUMPRODUCT(--ISNUMBER(SEARCH("終身",入力データ!$F$5:$F$20)),--(IFERROR(YEAR(入力データ!$J$5:$J$20),0)&lt;=R$3),--(IFERROR(YEAR(入力データ!$K$5:$K$20),9999)&gt;=R$3),入力データ!$M$5:$M$20)*12)</f>
        <v/>
      </c>
      <c r="S22" s="352">
        <f>IF(S$3="","",SUMPRODUCT(--ISNUMBER(SEARCH("終身",入力データ!$F$5:$F$20)),--(IFERROR(YEAR(入力データ!$J$5:$J$20),0)&lt;=S$3),--(IFERROR(YEAR(入力データ!$K$5:$K$20),9999)&gt;=S$3),入力データ!$M$5:$M$20)*12)</f>
        <v/>
      </c>
      <c r="T22" s="352">
        <f>IF(T$3="","",SUMPRODUCT(--ISNUMBER(SEARCH("終身",入力データ!$F$5:$F$20)),--(IFERROR(YEAR(入力データ!$J$5:$J$20),0)&lt;=T$3),--(IFERROR(YEAR(入力データ!$K$5:$K$20),9999)&gt;=T$3),入力データ!$M$5:$M$20)*12)</f>
        <v/>
      </c>
      <c r="U22" s="352">
        <f>IF(U$3="","",SUMPRODUCT(--ISNUMBER(SEARCH("終身",入力データ!$F$5:$F$20)),--(IFERROR(YEAR(入力データ!$J$5:$J$20),0)&lt;=U$3),--(IFERROR(YEAR(入力データ!$K$5:$K$20),9999)&gt;=U$3),入力データ!$M$5:$M$20)*12)</f>
        <v/>
      </c>
      <c r="V22" s="352">
        <f>IF(V$3="","",SUMPRODUCT(--ISNUMBER(SEARCH("終身",入力データ!$F$5:$F$20)),--(IFERROR(YEAR(入力データ!$J$5:$J$20),0)&lt;=V$3),--(IFERROR(YEAR(入力データ!$K$5:$K$20),9999)&gt;=V$3),入力データ!$M$5:$M$20)*12)</f>
        <v/>
      </c>
      <c r="W22" s="352">
        <f>IF(W$3="","",SUMPRODUCT(--ISNUMBER(SEARCH("終身",入力データ!$F$5:$F$20)),--(IFERROR(YEAR(入力データ!$J$5:$J$20),0)&lt;=W$3),--(IFERROR(YEAR(入力データ!$K$5:$K$20),9999)&gt;=W$3),入力データ!$M$5:$M$20)*12)</f>
        <v/>
      </c>
      <c r="X22" s="352">
        <f>IF(X$3="","",SUMPRODUCT(--ISNUMBER(SEARCH("終身",入力データ!$F$5:$F$20)),--(IFERROR(YEAR(入力データ!$J$5:$J$20),0)&lt;=X$3),--(IFERROR(YEAR(入力データ!$K$5:$K$20),9999)&gt;=X$3),入力データ!$M$5:$M$20)*12)</f>
        <v/>
      </c>
      <c r="Y22" s="352">
        <f>IF(Y$3="","",SUMPRODUCT(--ISNUMBER(SEARCH("終身",入力データ!$F$5:$F$20)),--(IFERROR(YEAR(入力データ!$J$5:$J$20),0)&lt;=Y$3),--(IFERROR(YEAR(入力データ!$K$5:$K$20),9999)&gt;=Y$3),入力データ!$M$5:$M$20)*12)</f>
        <v/>
      </c>
      <c r="Z22" s="352">
        <f>IF(Z$3="","",SUMPRODUCT(--ISNUMBER(SEARCH("終身",入力データ!$F$5:$F$20)),--(IFERROR(YEAR(入力データ!$J$5:$J$20),0)&lt;=Z$3),--(IFERROR(YEAR(入力データ!$K$5:$K$20),9999)&gt;=Z$3),入力データ!$M$5:$M$20)*12)</f>
        <v/>
      </c>
      <c r="AA22" s="352">
        <f>IF(AA$3="","",SUMPRODUCT(--ISNUMBER(SEARCH("終身",入力データ!$F$5:$F$20)),--(IFERROR(YEAR(入力データ!$J$5:$J$20),0)&lt;=AA$3),--(IFERROR(YEAR(入力データ!$K$5:$K$20),9999)&gt;=AA$3),入力データ!$M$5:$M$20)*12)</f>
        <v/>
      </c>
      <c r="AB22" s="352">
        <f>IF(AB$3="","",SUMPRODUCT(--ISNUMBER(SEARCH("終身",入力データ!$F$5:$F$20)),--(IFERROR(YEAR(入力データ!$J$5:$J$20),0)&lt;=AB$3),--(IFERROR(YEAR(入力データ!$K$5:$K$20),9999)&gt;=AB$3),入力データ!$M$5:$M$20)*12)</f>
        <v/>
      </c>
      <c r="AC22" s="352">
        <f>IF(AC$3="","",SUMPRODUCT(--ISNUMBER(SEARCH("終身",入力データ!$F$5:$F$20)),--(IFERROR(YEAR(入力データ!$J$5:$J$20),0)&lt;=AC$3),--(IFERROR(YEAR(入力データ!$K$5:$K$20),9999)&gt;=AC$3),入力データ!$M$5:$M$20)*12)</f>
        <v/>
      </c>
      <c r="AD22" s="352">
        <f>IF(AD$3="","",SUMPRODUCT(--ISNUMBER(SEARCH("終身",入力データ!$F$5:$F$20)),--(IFERROR(YEAR(入力データ!$J$5:$J$20),0)&lt;=AD$3),--(IFERROR(YEAR(入力データ!$K$5:$K$20),9999)&gt;=AD$3),入力データ!$M$5:$M$20)*12)</f>
        <v/>
      </c>
      <c r="AE22" s="352">
        <f>IF(AE$3="","",SUMPRODUCT(--ISNUMBER(SEARCH("終身",入力データ!$F$5:$F$20)),--(IFERROR(YEAR(入力データ!$J$5:$J$20),0)&lt;=AE$3),--(IFERROR(YEAR(入力データ!$K$5:$K$20),9999)&gt;=AE$3),入力データ!$M$5:$M$20)*12)</f>
        <v/>
      </c>
      <c r="AF22" s="352">
        <f>IF(AF$3="","",SUMPRODUCT(--ISNUMBER(SEARCH("終身",入力データ!$F$5:$F$20)),--(IFERROR(YEAR(入力データ!$J$5:$J$20),0)&lt;=AF$3),--(IFERROR(YEAR(入力データ!$K$5:$K$20),9999)&gt;=AF$3),入力データ!$M$5:$M$20)*12)</f>
        <v/>
      </c>
      <c r="AG22" s="352">
        <f>IF(AG$3="","",SUMPRODUCT(--ISNUMBER(SEARCH("終身",入力データ!$F$5:$F$20)),--(IFERROR(YEAR(入力データ!$J$5:$J$20),0)&lt;=AG$3),--(IFERROR(YEAR(入力データ!$K$5:$K$20),9999)&gt;=AG$3),入力データ!$M$5:$M$20)*12)</f>
        <v/>
      </c>
      <c r="AH22" s="352">
        <f>IF(AH$3="","",SUMPRODUCT(--ISNUMBER(SEARCH("終身",入力データ!$F$5:$F$20)),--(IFERROR(YEAR(入力データ!$J$5:$J$20),0)&lt;=AH$3),--(IFERROR(YEAR(入力データ!$K$5:$K$20),9999)&gt;=AH$3),入力データ!$M$5:$M$20)*12)</f>
        <v/>
      </c>
      <c r="AI22" s="352">
        <f>IF(AI$3="","",SUMPRODUCT(--ISNUMBER(SEARCH("終身",入力データ!$F$5:$F$20)),--(IFERROR(YEAR(入力データ!$J$5:$J$20),0)&lt;=AI$3),--(IFERROR(YEAR(入力データ!$K$5:$K$20),9999)&gt;=AI$3),入力データ!$M$5:$M$20)*12)</f>
        <v/>
      </c>
      <c r="AJ22" s="352">
        <f>IF(AJ$3="","",SUMPRODUCT(--ISNUMBER(SEARCH("終身",入力データ!$F$5:$F$20)),--(IFERROR(YEAR(入力データ!$J$5:$J$20),0)&lt;=AJ$3),--(IFERROR(YEAR(入力データ!$K$5:$K$20),9999)&gt;=AJ$3),入力データ!$M$5:$M$20)*12)</f>
        <v/>
      </c>
      <c r="AK22" s="352">
        <f>IF(AK$3="","",SUMPRODUCT(--ISNUMBER(SEARCH("終身",入力データ!$F$5:$F$20)),--(IFERROR(YEAR(入力データ!$J$5:$J$20),0)&lt;=AK$3),--(IFERROR(YEAR(入力データ!$K$5:$K$20),9999)&gt;=AK$3),入力データ!$M$5:$M$20)*12)</f>
        <v/>
      </c>
      <c r="AL22" s="352">
        <f>IF(AL$3="","",SUMPRODUCT(--ISNUMBER(SEARCH("終身",入力データ!$F$5:$F$20)),--(IFERROR(YEAR(入力データ!$J$5:$J$20),0)&lt;=AL$3),--(IFERROR(YEAR(入力データ!$K$5:$K$20),9999)&gt;=AL$3),入力データ!$M$5:$M$20)*12)</f>
        <v/>
      </c>
      <c r="AM22" s="352">
        <f>IF(AM$3="","",SUMPRODUCT(--ISNUMBER(SEARCH("終身",入力データ!$F$5:$F$20)),--(IFERROR(YEAR(入力データ!$J$5:$J$20),0)&lt;=AM$3),--(IFERROR(YEAR(入力データ!$K$5:$K$20),9999)&gt;=AM$3),入力データ!$M$5:$M$20)*12)</f>
        <v/>
      </c>
      <c r="AN22" s="352">
        <f>IF(AN$3="","",SUMPRODUCT(--ISNUMBER(SEARCH("終身",入力データ!$F$5:$F$20)),--(IFERROR(YEAR(入力データ!$J$5:$J$20),0)&lt;=AN$3),--(IFERROR(YEAR(入力データ!$K$5:$K$20),9999)&gt;=AN$3),入力データ!$M$5:$M$20)*12)</f>
        <v/>
      </c>
      <c r="AO22" s="352">
        <f>IF(AO$3="","",SUMPRODUCT(--ISNUMBER(SEARCH("終身",入力データ!$F$5:$F$20)),--(IFERROR(YEAR(入力データ!$J$5:$J$20),0)&lt;=AO$3),--(IFERROR(YEAR(入力データ!$K$5:$K$20),9999)&gt;=AO$3),入力データ!$M$5:$M$20)*12)</f>
        <v/>
      </c>
      <c r="AP22" s="352">
        <f>IF(AP$3="","",SUMPRODUCT(--ISNUMBER(SEARCH("終身",入力データ!$F$5:$F$20)),--(IFERROR(YEAR(入力データ!$J$5:$J$20),0)&lt;=AP$3),--(IFERROR(YEAR(入力データ!$K$5:$K$20),9999)&gt;=AP$3),入力データ!$M$5:$M$20)*12)</f>
        <v/>
      </c>
      <c r="AQ22" s="352">
        <f>IF(AQ$3="","",SUMPRODUCT(--ISNUMBER(SEARCH("終身",入力データ!$F$5:$F$20)),--(IFERROR(YEAR(入力データ!$J$5:$J$20),0)&lt;=AQ$3),--(IFERROR(YEAR(入力データ!$K$5:$K$20),9999)&gt;=AQ$3),入力データ!$M$5:$M$20)*12)</f>
        <v/>
      </c>
      <c r="AR22" s="352">
        <f>IF(AR$3="","",SUMPRODUCT(--ISNUMBER(SEARCH("終身",入力データ!$F$5:$F$20)),--(IFERROR(YEAR(入力データ!$J$5:$J$20),0)&lt;=AR$3),--(IFERROR(YEAR(入力データ!$K$5:$K$20),9999)&gt;=AR$3),入力データ!$M$5:$M$20)*12)</f>
        <v/>
      </c>
      <c r="AS22" s="352">
        <f>IF(AS$3="","",SUMPRODUCT(--ISNUMBER(SEARCH("終身",入力データ!$F$5:$F$20)),--(IFERROR(YEAR(入力データ!$J$5:$J$20),0)&lt;=AS$3),--(IFERROR(YEAR(入力データ!$K$5:$K$20),9999)&gt;=AS$3),入力データ!$M$5:$M$20)*12)</f>
        <v/>
      </c>
      <c r="AT22" s="352">
        <f>IF(AT$3="","",SUMPRODUCT(--ISNUMBER(SEARCH("終身",入力データ!$F$5:$F$20)),--(IFERROR(YEAR(入力データ!$J$5:$J$20),0)&lt;=AT$3),--(IFERROR(YEAR(入力データ!$K$5:$K$20),9999)&gt;=AT$3),入力データ!$M$5:$M$20)*12)</f>
        <v/>
      </c>
      <c r="AU22" s="352">
        <f>IF(AU$3="","",SUMPRODUCT(--ISNUMBER(SEARCH("終身",入力データ!$F$5:$F$20)),--(IFERROR(YEAR(入力データ!$J$5:$J$20),0)&lt;=AU$3),--(IFERROR(YEAR(入力データ!$K$5:$K$20),9999)&gt;=AU$3),入力データ!$M$5:$M$20)*12)</f>
        <v/>
      </c>
      <c r="AV22" s="352">
        <f>IF(AV$3="","",SUMPRODUCT(--ISNUMBER(SEARCH("終身",入力データ!$F$5:$F$20)),--(IFERROR(YEAR(入力データ!$J$5:$J$20),0)&lt;=AV$3),--(IFERROR(YEAR(入力データ!$K$5:$K$20),9999)&gt;=AV$3),入力データ!$M$5:$M$20)*12)</f>
        <v/>
      </c>
      <c r="AW22" s="352">
        <f>IF(AW$3="","",SUMPRODUCT(--ISNUMBER(SEARCH("終身",入力データ!$F$5:$F$20)),--(IFERROR(YEAR(入力データ!$J$5:$J$20),0)&lt;=AW$3),--(IFERROR(YEAR(入力データ!$K$5:$K$20),9999)&gt;=AW$3),入力データ!$M$5:$M$20)*12)</f>
        <v/>
      </c>
      <c r="AX22" s="352">
        <f>IF(AX$3="","",SUMPRODUCT(--ISNUMBER(SEARCH("終身",入力データ!$F$5:$F$20)),--(IFERROR(YEAR(入力データ!$J$5:$J$20),0)&lt;=AX$3),--(IFERROR(YEAR(入力データ!$K$5:$K$20),9999)&gt;=AX$3),入力データ!$M$5:$M$20)*12)</f>
        <v/>
      </c>
      <c r="AY22" s="352">
        <f>IF(AY$3="","",SUMPRODUCT(--ISNUMBER(SEARCH("終身",入力データ!$F$5:$F$20)),--(IFERROR(YEAR(入力データ!$J$5:$J$20),0)&lt;=AY$3),--(IFERROR(YEAR(入力データ!$K$5:$K$20),9999)&gt;=AY$3),入力データ!$M$5:$M$20)*12)</f>
        <v/>
      </c>
      <c r="AZ22" s="352">
        <f>IF(AZ$3="","",SUMPRODUCT(--ISNUMBER(SEARCH("終身",入力データ!$F$5:$F$20)),--(IFERROR(YEAR(入力データ!$J$5:$J$20),0)&lt;=AZ$3),--(IFERROR(YEAR(入力データ!$K$5:$K$20),9999)&gt;=AZ$3),入力データ!$M$5:$M$20)*12)</f>
        <v/>
      </c>
      <c r="BA22" s="352">
        <f>IF(BA$3="","",SUMPRODUCT(--ISNUMBER(SEARCH("終身",入力データ!$F$5:$F$20)),--(IFERROR(YEAR(入力データ!$J$5:$J$20),0)&lt;=BA$3),--(IFERROR(YEAR(入力データ!$K$5:$K$20),9999)&gt;=BA$3),入力データ!$M$5:$M$20)*12)</f>
        <v/>
      </c>
      <c r="BB22" s="352">
        <f>IF(BB$3="","",SUMPRODUCT(--ISNUMBER(SEARCH("終身",入力データ!$F$5:$F$20)),--(IFERROR(YEAR(入力データ!$J$5:$J$20),0)&lt;=BB$3),--(IFERROR(YEAR(入力データ!$K$5:$K$20),9999)&gt;=BB$3),入力データ!$M$5:$M$20)*12)</f>
        <v/>
      </c>
      <c r="BC22" s="352">
        <f>IF(BC$3="","",SUMPRODUCT(--ISNUMBER(SEARCH("終身",入力データ!$F$5:$F$20)),--(IFERROR(YEAR(入力データ!$J$5:$J$20),0)&lt;=BC$3),--(IFERROR(YEAR(入力データ!$K$5:$K$20),9999)&gt;=BC$3),入力データ!$M$5:$M$20)*12)</f>
        <v/>
      </c>
      <c r="BD22" s="352">
        <f>IF(BD$3="","",SUMPRODUCT(--ISNUMBER(SEARCH("終身",入力データ!$F$5:$F$20)),--(IFERROR(YEAR(入力データ!$J$5:$J$20),0)&lt;=BD$3),--(IFERROR(YEAR(入力データ!$K$5:$K$20),9999)&gt;=BD$3),入力データ!$M$5:$M$20)*12)</f>
        <v/>
      </c>
      <c r="BE22" s="352">
        <f>IF(BE$3="","",SUMPRODUCT(--ISNUMBER(SEARCH("終身",入力データ!$F$5:$F$20)),--(IFERROR(YEAR(入力データ!$J$5:$J$20),0)&lt;=BE$3),--(IFERROR(YEAR(入力データ!$K$5:$K$20),9999)&gt;=BE$3),入力データ!$M$5:$M$20)*12)</f>
        <v/>
      </c>
      <c r="BF22" s="352">
        <f>IF(BF$3="","",SUMPRODUCT(--ISNUMBER(SEARCH("終身",入力データ!$F$5:$F$20)),--(IFERROR(YEAR(入力データ!$J$5:$J$20),0)&lt;=BF$3),--(IFERROR(YEAR(入力データ!$K$5:$K$20),9999)&gt;=BF$3),入力データ!$M$5:$M$20)*12)</f>
        <v/>
      </c>
      <c r="BG22" s="352">
        <f>IF(BG$3="","",SUMPRODUCT(--ISNUMBER(SEARCH("終身",入力データ!$F$5:$F$20)),--(IFERROR(YEAR(入力データ!$J$5:$J$20),0)&lt;=BG$3),--(IFERROR(YEAR(入力データ!$K$5:$K$20),9999)&gt;=BG$3),入力データ!$M$5:$M$20)*12)</f>
        <v/>
      </c>
      <c r="BH22" s="352">
        <f>IF(BH$3="","",SUMPRODUCT(--ISNUMBER(SEARCH("終身",入力データ!$F$5:$F$20)),--(IFERROR(YEAR(入力データ!$J$5:$J$20),0)&lt;=BH$3),--(IFERROR(YEAR(入力データ!$K$5:$K$20),9999)&gt;=BH$3),入力データ!$M$5:$M$20)*12)</f>
        <v/>
      </c>
      <c r="BI22" s="352">
        <f>IF(BI$3="","",SUMPRODUCT(--ISNUMBER(SEARCH("終身",入力データ!$F$5:$F$20)),--(IFERROR(YEAR(入力データ!$J$5:$J$20),0)&lt;=BI$3),--(IFERROR(YEAR(入力データ!$K$5:$K$20),9999)&gt;=BI$3),入力データ!$M$5:$M$20)*12)</f>
        <v/>
      </c>
      <c r="BJ22" s="352">
        <f>IF(BJ$3="","",SUMPRODUCT(--ISNUMBER(SEARCH("終身",入力データ!$F$5:$F$20)),--(IFERROR(YEAR(入力データ!$J$5:$J$20),0)&lt;=BJ$3),--(IFERROR(YEAR(入力データ!$K$5:$K$20),9999)&gt;=BJ$3),入力データ!$M$5:$M$20)*12)</f>
        <v/>
      </c>
      <c r="BK22" s="352">
        <f>IF(BK$3="","",SUMPRODUCT(--ISNUMBER(SEARCH("終身",入力データ!$F$5:$F$20)),--(IFERROR(YEAR(入力データ!$J$5:$J$20),0)&lt;=BK$3),--(IFERROR(YEAR(入力データ!$K$5:$K$20),9999)&gt;=BK$3),入力データ!$M$5:$M$20)*12)</f>
        <v/>
      </c>
      <c r="BL22" s="352">
        <f>IF(BL$3="","",SUMPRODUCT(--ISNUMBER(SEARCH("終身",入力データ!$F$5:$F$20)),--(IFERROR(YEAR(入力データ!$J$5:$J$20),0)&lt;=BL$3),--(IFERROR(YEAR(入力データ!$K$5:$K$20),9999)&gt;=BL$3),入力データ!$M$5:$M$20)*12)</f>
        <v/>
      </c>
      <c r="BM22" s="352">
        <f>IF(BM$3="","",SUMPRODUCT(--ISNUMBER(SEARCH("終身",入力データ!$F$5:$F$20)),--(IFERROR(YEAR(入力データ!$J$5:$J$20),0)&lt;=BM$3),--(IFERROR(YEAR(入力データ!$K$5:$K$20),9999)&gt;=BM$3),入力データ!$M$5:$M$20)*12)</f>
        <v/>
      </c>
      <c r="BN22" s="352">
        <f>IF(BN$3="","",SUMPRODUCT(--ISNUMBER(SEARCH("終身",入力データ!$F$5:$F$20)),--(IFERROR(YEAR(入力データ!$J$5:$J$20),0)&lt;=BN$3),--(IFERROR(YEAR(入力データ!$K$5:$K$20),9999)&gt;=BN$3),入力データ!$M$5:$M$20)*12)</f>
        <v/>
      </c>
      <c r="BO22" s="352">
        <f>IF(BO$3="","",SUMPRODUCT(--ISNUMBER(SEARCH("終身",入力データ!$F$5:$F$20)),--(IFERROR(YEAR(入力データ!$J$5:$J$20),0)&lt;=BO$3),--(IFERROR(YEAR(入力データ!$K$5:$K$20),9999)&gt;=BO$3),入力データ!$M$5:$M$20)*12)</f>
        <v/>
      </c>
      <c r="BP22" s="352">
        <f>IF(BP$3="","",SUMPRODUCT(--ISNUMBER(SEARCH("終身",入力データ!$F$5:$F$20)),--(IFERROR(YEAR(入力データ!$J$5:$J$20),0)&lt;=BP$3),--(IFERROR(YEAR(入力データ!$K$5:$K$20),9999)&gt;=BP$3),入力データ!$M$5:$M$20)*12)</f>
        <v/>
      </c>
      <c r="BQ22" s="352">
        <f>IF(BQ$3="","",SUMPRODUCT(--ISNUMBER(SEARCH("終身",入力データ!$F$5:$F$20)),--(IFERROR(YEAR(入力データ!$J$5:$J$20),0)&lt;=BQ$3),--(IFERROR(YEAR(入力データ!$K$5:$K$20),9999)&gt;=BQ$3),入力データ!$M$5:$M$20)*12)</f>
        <v/>
      </c>
      <c r="BR22" s="352">
        <f>IF(BR$3="","",SUMPRODUCT(--ISNUMBER(SEARCH("終身",入力データ!$F$5:$F$20)),--(IFERROR(YEAR(入力データ!$J$5:$J$20),0)&lt;=BR$3),--(IFERROR(YEAR(入力データ!$K$5:$K$20),9999)&gt;=BR$3),入力データ!$M$5:$M$20)*12)</f>
        <v/>
      </c>
      <c r="BS22" s="352">
        <f>IF(BS$3="","",SUMPRODUCT(--ISNUMBER(SEARCH("終身",入力データ!$F$5:$F$20)),--(IFERROR(YEAR(入力データ!$J$5:$J$20),0)&lt;=BS$3),--(IFERROR(YEAR(入力データ!$K$5:$K$20),9999)&gt;=BS$3),入力データ!$M$5:$M$20)*12)</f>
        <v/>
      </c>
      <c r="BT22" s="352">
        <f>IF(BT$3="","",SUMPRODUCT(--ISNUMBER(SEARCH("終身",入力データ!$F$5:$F$20)),--(IFERROR(YEAR(入力データ!$J$5:$J$20),0)&lt;=BT$3),--(IFERROR(YEAR(入力データ!$K$5:$K$20),9999)&gt;=BT$3),入力データ!$M$5:$M$20)*12)</f>
        <v/>
      </c>
      <c r="BU22" s="352">
        <f>IF(BU$3="","",SUMPRODUCT(--ISNUMBER(SEARCH("終身",入力データ!$F$5:$F$20)),--(IFERROR(YEAR(入力データ!$J$5:$J$20),0)&lt;=BU$3),--(IFERROR(YEAR(入力データ!$K$5:$K$20),9999)&gt;=BU$3),入力データ!$M$5:$M$20)*12)</f>
        <v/>
      </c>
      <c r="BV22" s="352">
        <f>IF(BV$3="","",SUMPRODUCT(--ISNUMBER(SEARCH("終身",入力データ!$F$5:$F$20)),--(IFERROR(YEAR(入力データ!$J$5:$J$20),0)&lt;=BV$3),--(IFERROR(YEAR(入力データ!$K$5:$K$20),9999)&gt;=BV$3),入力データ!$M$5:$M$20)*12)</f>
        <v/>
      </c>
      <c r="BW22" s="352">
        <f>IF(BW$3="","",SUMPRODUCT(--ISNUMBER(SEARCH("終身",入力データ!$F$5:$F$20)),--(IFERROR(YEAR(入力データ!$J$5:$J$20),0)&lt;=BW$3),--(IFERROR(YEAR(入力データ!$K$5:$K$20),9999)&gt;=BW$3),入力データ!$M$5:$M$20)*12)</f>
        <v/>
      </c>
      <c r="BX22" s="352">
        <f>IF(BX$3="","",SUMPRODUCT(--ISNUMBER(SEARCH("終身",入力データ!$F$5:$F$20)),--(IFERROR(YEAR(入力データ!$J$5:$J$20),0)&lt;=BX$3),--(IFERROR(YEAR(入力データ!$K$5:$K$20),9999)&gt;=BX$3),入力データ!$M$5:$M$20)*12)</f>
        <v/>
      </c>
      <c r="BY22" s="352">
        <f>IF(BY$3="","",SUMPRODUCT(--ISNUMBER(SEARCH("終身",入力データ!$F$5:$F$20)),--(IFERROR(YEAR(入力データ!$J$5:$J$20),0)&lt;=BY$3),--(IFERROR(YEAR(入力データ!$K$5:$K$20),9999)&gt;=BY$3),入力データ!$M$5:$M$20)*12)</f>
        <v/>
      </c>
      <c r="BZ22" s="352">
        <f>IF(BZ$3="","",SUMPRODUCT(--ISNUMBER(SEARCH("終身",入力データ!$F$5:$F$20)),--(IFERROR(YEAR(入力データ!$J$5:$J$20),0)&lt;=BZ$3),--(IFERROR(YEAR(入力データ!$K$5:$K$20),9999)&gt;=BZ$3),入力データ!$M$5:$M$20)*12)</f>
        <v/>
      </c>
      <c r="CA22" s="352">
        <f>IF(CA$3="","",SUMPRODUCT(--ISNUMBER(SEARCH("終身",入力データ!$F$5:$F$20)),--(IFERROR(YEAR(入力データ!$J$5:$J$20),0)&lt;=CA$3),--(IFERROR(YEAR(入力データ!$K$5:$K$20),9999)&gt;=CA$3),入力データ!$M$5:$M$20)*12)</f>
        <v/>
      </c>
      <c r="CB22" s="352">
        <f>IF(CB$3="","",SUMPRODUCT(--ISNUMBER(SEARCH("終身",入力データ!$F$5:$F$20)),--(IFERROR(YEAR(入力データ!$J$5:$J$20),0)&lt;=CB$3),--(IFERROR(YEAR(入力データ!$K$5:$K$20),9999)&gt;=CB$3),入力データ!$M$5:$M$20)*12)</f>
        <v/>
      </c>
      <c r="CC22" s="352">
        <f>IF(CC$3="","",SUMPRODUCT(--ISNUMBER(SEARCH("終身",入力データ!$F$5:$F$20)),--(IFERROR(YEAR(入力データ!$J$5:$J$20),0)&lt;=CC$3),--(IFERROR(YEAR(入力データ!$K$5:$K$20),9999)&gt;=CC$3),入力データ!$M$5:$M$20)*12)</f>
        <v/>
      </c>
      <c r="CD22" s="352">
        <f>IF(CD$3="","",SUMPRODUCT(--ISNUMBER(SEARCH("終身",入力データ!$F$5:$F$20)),--(IFERROR(YEAR(入力データ!$J$5:$J$20),0)&lt;=CD$3),--(IFERROR(YEAR(入力データ!$K$5:$K$20),9999)&gt;=CD$3),入力データ!$M$5:$M$20)*12)</f>
        <v/>
      </c>
      <c r="CE22" s="352">
        <f>IF(CE$3="","",SUMPRODUCT(--ISNUMBER(SEARCH("終身",入力データ!$F$5:$F$20)),--(IFERROR(YEAR(入力データ!$J$5:$J$20),0)&lt;=CE$3),--(IFERROR(YEAR(入力データ!$K$5:$K$20),9999)&gt;=CE$3),入力データ!$M$5:$M$20)*12)</f>
        <v/>
      </c>
      <c r="CF22" s="352">
        <f>IF(CF$3="","",SUMPRODUCT(--ISNUMBER(SEARCH("終身",入力データ!$F$5:$F$20)),--(IFERROR(YEAR(入力データ!$J$5:$J$20),0)&lt;=CF$3),--(IFERROR(YEAR(入力データ!$K$5:$K$20),9999)&gt;=CF$3),入力データ!$M$5:$M$20)*12)</f>
        <v/>
      </c>
      <c r="CG22" s="352">
        <f>IF(CG$3="","",SUMPRODUCT(--ISNUMBER(SEARCH("終身",入力データ!$F$5:$F$20)),--(IFERROR(YEAR(入力データ!$J$5:$J$20),0)&lt;=CG$3),--(IFERROR(YEAR(入力データ!$K$5:$K$20),9999)&gt;=CG$3),入力データ!$M$5:$M$20)*12)</f>
        <v/>
      </c>
      <c r="CH22" s="352">
        <f>IF(CH$3="","",SUMPRODUCT(--ISNUMBER(SEARCH("終身",入力データ!$F$5:$F$20)),--(IFERROR(YEAR(入力データ!$J$5:$J$20),0)&lt;=CH$3),--(IFERROR(YEAR(入力データ!$K$5:$K$20),9999)&gt;=CH$3),入力データ!$M$5:$M$20)*12)</f>
        <v/>
      </c>
      <c r="CI22" s="352">
        <f>IF(CI$3="","",SUMPRODUCT(--ISNUMBER(SEARCH("終身",入力データ!$F$5:$F$20)),--(IFERROR(YEAR(入力データ!$J$5:$J$20),0)&lt;=CI$3),--(IFERROR(YEAR(入力データ!$K$5:$K$20),9999)&gt;=CI$3),入力データ!$M$5:$M$20)*12)</f>
        <v/>
      </c>
      <c r="CJ22" s="352">
        <f>IF(CJ$3="","",SUMPRODUCT(--ISNUMBER(SEARCH("終身",入力データ!$F$5:$F$20)),--(IFERROR(YEAR(入力データ!$J$5:$J$20),0)&lt;=CJ$3),--(IFERROR(YEAR(入力データ!$K$5:$K$20),9999)&gt;=CJ$3),入力データ!$M$5:$M$20)*12)</f>
        <v/>
      </c>
      <c r="CK22" s="352">
        <f>IF(CK$3="","",SUMPRODUCT(--ISNUMBER(SEARCH("終身",入力データ!$F$5:$F$20)),--(IFERROR(YEAR(入力データ!$J$5:$J$20),0)&lt;=CK$3),--(IFERROR(YEAR(入力データ!$K$5:$K$20),9999)&gt;=CK$3),入力データ!$M$5:$M$20)*12)</f>
        <v/>
      </c>
      <c r="CL22" s="352">
        <f>IF(CL$3="","",SUMPRODUCT(--ISNUMBER(SEARCH("終身",入力データ!$F$5:$F$20)),--(IFERROR(YEAR(入力データ!$J$5:$J$20),0)&lt;=CL$3),--(IFERROR(YEAR(入力データ!$K$5:$K$20),9999)&gt;=CL$3),入力データ!$M$5:$M$20)*12)</f>
        <v/>
      </c>
      <c r="CM22" s="352">
        <f>IF(CM$3="","",SUMPRODUCT(--ISNUMBER(SEARCH("終身",入力データ!$F$5:$F$20)),--(IFERROR(YEAR(入力データ!$J$5:$J$20),0)&lt;=CM$3),--(IFERROR(YEAR(入力データ!$K$5:$K$20),9999)&gt;=CM$3),入力データ!$M$5:$M$20)*12)</f>
        <v/>
      </c>
      <c r="CN22" s="352">
        <f>IF(CN$3="","",SUMPRODUCT(--ISNUMBER(SEARCH("終身",入力データ!$F$5:$F$20)),--(IFERROR(YEAR(入力データ!$J$5:$J$20),0)&lt;=CN$3),--(IFERROR(YEAR(入力データ!$K$5:$K$20),9999)&gt;=CN$3),入力データ!$M$5:$M$20)*12)</f>
        <v/>
      </c>
      <c r="CO22" s="352">
        <f>IF(CO$3="","",SUMPRODUCT(--ISNUMBER(SEARCH("終身",入力データ!$F$5:$F$20)),--(IFERROR(YEAR(入力データ!$J$5:$J$20),0)&lt;=CO$3),--(IFERROR(YEAR(入力データ!$K$5:$K$20),9999)&gt;=CO$3),入力データ!$M$5:$M$20)*12)</f>
        <v/>
      </c>
      <c r="CP22" s="352">
        <f>IF(CP$3="","",SUMPRODUCT(--ISNUMBER(SEARCH("終身",入力データ!$F$5:$F$20)),--(IFERROR(YEAR(入力データ!$J$5:$J$20),0)&lt;=CP$3),--(IFERROR(YEAR(入力データ!$K$5:$K$20),9999)&gt;=CP$3),入力データ!$M$5:$M$20)*12)</f>
        <v/>
      </c>
      <c r="CQ22" s="352">
        <f>IF(CQ$3="","",SUMPRODUCT(--ISNUMBER(SEARCH("終身",入力データ!$F$5:$F$20)),--(IFERROR(YEAR(入力データ!$J$5:$J$20),0)&lt;=CQ$3),--(IFERROR(YEAR(入力データ!$K$5:$K$20),9999)&gt;=CQ$3),入力データ!$M$5:$M$20)*12)</f>
        <v/>
      </c>
      <c r="CR22" s="352">
        <f>IF(CR$3="","",SUMPRODUCT(--ISNUMBER(SEARCH("終身",入力データ!$F$5:$F$20)),--(IFERROR(YEAR(入力データ!$J$5:$J$20),0)&lt;=CR$3),--(IFERROR(YEAR(入力データ!$K$5:$K$20),9999)&gt;=CR$3),入力データ!$M$5:$M$20)*12)</f>
        <v/>
      </c>
      <c r="CS22" s="352">
        <f>IF(CS$3="","",SUMPRODUCT(--ISNUMBER(SEARCH("終身",入力データ!$F$5:$F$20)),--(IFERROR(YEAR(入力データ!$J$5:$J$20),0)&lt;=CS$3),--(IFERROR(YEAR(入力データ!$K$5:$K$20),9999)&gt;=CS$3),入力データ!$M$5:$M$20)*12)</f>
        <v/>
      </c>
      <c r="CT22" s="352">
        <f>IF(CT$3="","",SUMPRODUCT(--ISNUMBER(SEARCH("終身",入力データ!$F$5:$F$20)),--(IFERROR(YEAR(入力データ!$J$5:$J$20),0)&lt;=CT$3),--(IFERROR(YEAR(入力データ!$K$5:$K$20),9999)&gt;=CT$3),入力データ!$M$5:$M$20)*12)</f>
        <v/>
      </c>
      <c r="CU22" s="352">
        <f>IF(CU$3="","",SUMPRODUCT(--ISNUMBER(SEARCH("終身",入力データ!$F$5:$F$20)),--(IFERROR(YEAR(入力データ!$J$5:$J$20),0)&lt;=CU$3),--(IFERROR(YEAR(入力データ!$K$5:$K$20),9999)&gt;=CU$3),入力データ!$M$5:$M$20)*12)</f>
        <v/>
      </c>
      <c r="CV22" s="352">
        <f>IF(CV$3="","",SUMPRODUCT(--ISNUMBER(SEARCH("終身",入力データ!$F$5:$F$20)),--(IFERROR(YEAR(入力データ!$J$5:$J$20),0)&lt;=CV$3),--(IFERROR(YEAR(入力データ!$K$5:$K$20),9999)&gt;=CV$3),入力データ!$M$5:$M$20)*12)</f>
        <v/>
      </c>
      <c r="CW22" s="352">
        <f>IF(CW$3="","",SUMPRODUCT(--ISNUMBER(SEARCH("終身",入力データ!$F$5:$F$20)),--(IFERROR(YEAR(入力データ!$J$5:$J$20),0)&lt;=CW$3),--(IFERROR(YEAR(入力データ!$K$5:$K$20),9999)&gt;=CW$3),入力データ!$M$5:$M$20)*12)</f>
        <v/>
      </c>
    </row>
    <row r="23" ht="15" customHeight="1" s="180">
      <c r="A23" s="224" t="inlineStr">
        <is>
          <t>定期系保険料</t>
        </is>
      </c>
      <c r="B23" s="352">
        <f>IF(B$3="","",SUMPRODUCT(--ISERROR(SEARCH("終身",入力データ!$F$5:$F$20)),--(IFERROR(YEAR(入力データ!$J$5:$J$20),0)&lt;=B$3),--(IFERROR(YEAR(入力データ!$K$5:$K$20),9999)&gt;=B$3),入力データ!$M$5:$M$20)*12)</f>
        <v/>
      </c>
      <c r="C23" s="352">
        <f>IF(C$3="","",SUMPRODUCT(--ISERROR(SEARCH("終身",入力データ!$F$5:$F$20)),--(IFERROR(YEAR(入力データ!$J$5:$J$20),0)&lt;=C$3),--(IFERROR(YEAR(入力データ!$K$5:$K$20),9999)&gt;=C$3),入力データ!$M$5:$M$20)*12)</f>
        <v/>
      </c>
      <c r="D23" s="352">
        <f>IF(D$3="","",SUMPRODUCT(--ISERROR(SEARCH("終身",入力データ!$F$5:$F$20)),--(IFERROR(YEAR(入力データ!$J$5:$J$20),0)&lt;=D$3),--(IFERROR(YEAR(入力データ!$K$5:$K$20),9999)&gt;=D$3),入力データ!$M$5:$M$20)*12)</f>
        <v/>
      </c>
      <c r="E23" s="352">
        <f>IF(E$3="","",SUMPRODUCT(--ISERROR(SEARCH("終身",入力データ!$F$5:$F$20)),--(IFERROR(YEAR(入力データ!$J$5:$J$20),0)&lt;=E$3),--(IFERROR(YEAR(入力データ!$K$5:$K$20),9999)&gt;=E$3),入力データ!$M$5:$M$20)*12)</f>
        <v/>
      </c>
      <c r="F23" s="352">
        <f>IF(F$3="","",SUMPRODUCT(--ISERROR(SEARCH("終身",入力データ!$F$5:$F$20)),--(IFERROR(YEAR(入力データ!$J$5:$J$20),0)&lt;=F$3),--(IFERROR(YEAR(入力データ!$K$5:$K$20),9999)&gt;=F$3),入力データ!$M$5:$M$20)*12)</f>
        <v/>
      </c>
      <c r="G23" s="352">
        <f>IF(G$3="","",SUMPRODUCT(--ISERROR(SEARCH("終身",入力データ!$F$5:$F$20)),--(IFERROR(YEAR(入力データ!$J$5:$J$20),0)&lt;=G$3),--(IFERROR(YEAR(入力データ!$K$5:$K$20),9999)&gt;=G$3),入力データ!$M$5:$M$20)*12)</f>
        <v/>
      </c>
      <c r="H23" s="352">
        <f>IF(H$3="","",SUMPRODUCT(--ISERROR(SEARCH("終身",入力データ!$F$5:$F$20)),--(IFERROR(YEAR(入力データ!$J$5:$J$20),0)&lt;=H$3),--(IFERROR(YEAR(入力データ!$K$5:$K$20),9999)&gt;=H$3),入力データ!$M$5:$M$20)*12)</f>
        <v/>
      </c>
      <c r="I23" s="352">
        <f>IF(I$3="","",SUMPRODUCT(--ISERROR(SEARCH("終身",入力データ!$F$5:$F$20)),--(IFERROR(YEAR(入力データ!$J$5:$J$20),0)&lt;=I$3),--(IFERROR(YEAR(入力データ!$K$5:$K$20),9999)&gt;=I$3),入力データ!$M$5:$M$20)*12)</f>
        <v/>
      </c>
      <c r="J23" s="352">
        <f>IF(J$3="","",SUMPRODUCT(--ISERROR(SEARCH("終身",入力データ!$F$5:$F$20)),--(IFERROR(YEAR(入力データ!$J$5:$J$20),0)&lt;=J$3),--(IFERROR(YEAR(入力データ!$K$5:$K$20),9999)&gt;=J$3),入力データ!$M$5:$M$20)*12)</f>
        <v/>
      </c>
      <c r="K23" s="352">
        <f>IF(K$3="","",SUMPRODUCT(--ISERROR(SEARCH("終身",入力データ!$F$5:$F$20)),--(IFERROR(YEAR(入力データ!$J$5:$J$20),0)&lt;=K$3),--(IFERROR(YEAR(入力データ!$K$5:$K$20),9999)&gt;=K$3),入力データ!$M$5:$M$20)*12)</f>
        <v/>
      </c>
      <c r="L23" s="352">
        <f>IF(L$3="","",SUMPRODUCT(--ISERROR(SEARCH("終身",入力データ!$F$5:$F$20)),--(IFERROR(YEAR(入力データ!$J$5:$J$20),0)&lt;=L$3),--(IFERROR(YEAR(入力データ!$K$5:$K$20),9999)&gt;=L$3),入力データ!$M$5:$M$20)*12)</f>
        <v/>
      </c>
      <c r="M23" s="352">
        <f>IF(M$3="","",SUMPRODUCT(--ISERROR(SEARCH("終身",入力データ!$F$5:$F$20)),--(IFERROR(YEAR(入力データ!$J$5:$J$20),0)&lt;=M$3),--(IFERROR(YEAR(入力データ!$K$5:$K$20),9999)&gt;=M$3),入力データ!$M$5:$M$20)*12)</f>
        <v/>
      </c>
      <c r="N23" s="352">
        <f>IF(N$3="","",SUMPRODUCT(--ISERROR(SEARCH("終身",入力データ!$F$5:$F$20)),--(IFERROR(YEAR(入力データ!$J$5:$J$20),0)&lt;=N$3),--(IFERROR(YEAR(入力データ!$K$5:$K$20),9999)&gt;=N$3),入力データ!$M$5:$M$20)*12)</f>
        <v/>
      </c>
      <c r="O23" s="352">
        <f>IF(O$3="","",SUMPRODUCT(--ISERROR(SEARCH("終身",入力データ!$F$5:$F$20)),--(IFERROR(YEAR(入力データ!$J$5:$J$20),0)&lt;=O$3),--(IFERROR(YEAR(入力データ!$K$5:$K$20),9999)&gt;=O$3),入力データ!$M$5:$M$20)*12)</f>
        <v/>
      </c>
      <c r="P23" s="352">
        <f>IF(P$3="","",SUMPRODUCT(--ISERROR(SEARCH("終身",入力データ!$F$5:$F$20)),--(IFERROR(YEAR(入力データ!$J$5:$J$20),0)&lt;=P$3),--(IFERROR(YEAR(入力データ!$K$5:$K$20),9999)&gt;=P$3),入力データ!$M$5:$M$20)*12)</f>
        <v/>
      </c>
      <c r="Q23" s="352">
        <f>IF(Q$3="","",SUMPRODUCT(--ISERROR(SEARCH("終身",入力データ!$F$5:$F$20)),--(IFERROR(YEAR(入力データ!$J$5:$J$20),0)&lt;=Q$3),--(IFERROR(YEAR(入力データ!$K$5:$K$20),9999)&gt;=Q$3),入力データ!$M$5:$M$20)*12)</f>
        <v/>
      </c>
      <c r="R23" s="352">
        <f>IF(R$3="","",SUMPRODUCT(--ISERROR(SEARCH("終身",入力データ!$F$5:$F$20)),--(IFERROR(YEAR(入力データ!$J$5:$J$20),0)&lt;=R$3),--(IFERROR(YEAR(入力データ!$K$5:$K$20),9999)&gt;=R$3),入力データ!$M$5:$M$20)*12)</f>
        <v/>
      </c>
      <c r="S23" s="352">
        <f>IF(S$3="","",SUMPRODUCT(--ISERROR(SEARCH("終身",入力データ!$F$5:$F$20)),--(IFERROR(YEAR(入力データ!$J$5:$J$20),0)&lt;=S$3),--(IFERROR(YEAR(入力データ!$K$5:$K$20),9999)&gt;=S$3),入力データ!$M$5:$M$20)*12)</f>
        <v/>
      </c>
      <c r="T23" s="352">
        <f>IF(T$3="","",SUMPRODUCT(--ISERROR(SEARCH("終身",入力データ!$F$5:$F$20)),--(IFERROR(YEAR(入力データ!$J$5:$J$20),0)&lt;=T$3),--(IFERROR(YEAR(入力データ!$K$5:$K$20),9999)&gt;=T$3),入力データ!$M$5:$M$20)*12)</f>
        <v/>
      </c>
      <c r="U23" s="352">
        <f>IF(U$3="","",SUMPRODUCT(--ISERROR(SEARCH("終身",入力データ!$F$5:$F$20)),--(IFERROR(YEAR(入力データ!$J$5:$J$20),0)&lt;=U$3),--(IFERROR(YEAR(入力データ!$K$5:$K$20),9999)&gt;=U$3),入力データ!$M$5:$M$20)*12)</f>
        <v/>
      </c>
      <c r="V23" s="352">
        <f>IF(V$3="","",SUMPRODUCT(--ISERROR(SEARCH("終身",入力データ!$F$5:$F$20)),--(IFERROR(YEAR(入力データ!$J$5:$J$20),0)&lt;=V$3),--(IFERROR(YEAR(入力データ!$K$5:$K$20),9999)&gt;=V$3),入力データ!$M$5:$M$20)*12)</f>
        <v/>
      </c>
      <c r="W23" s="352">
        <f>IF(W$3="","",SUMPRODUCT(--ISERROR(SEARCH("終身",入力データ!$F$5:$F$20)),--(IFERROR(YEAR(入力データ!$J$5:$J$20),0)&lt;=W$3),--(IFERROR(YEAR(入力データ!$K$5:$K$20),9999)&gt;=W$3),入力データ!$M$5:$M$20)*12)</f>
        <v/>
      </c>
      <c r="X23" s="352">
        <f>IF(X$3="","",SUMPRODUCT(--ISERROR(SEARCH("終身",入力データ!$F$5:$F$20)),--(IFERROR(YEAR(入力データ!$J$5:$J$20),0)&lt;=X$3),--(IFERROR(YEAR(入力データ!$K$5:$K$20),9999)&gt;=X$3),入力データ!$M$5:$M$20)*12)</f>
        <v/>
      </c>
      <c r="Y23" s="352">
        <f>IF(Y$3="","",SUMPRODUCT(--ISERROR(SEARCH("終身",入力データ!$F$5:$F$20)),--(IFERROR(YEAR(入力データ!$J$5:$J$20),0)&lt;=Y$3),--(IFERROR(YEAR(入力データ!$K$5:$K$20),9999)&gt;=Y$3),入力データ!$M$5:$M$20)*12)</f>
        <v/>
      </c>
      <c r="Z23" s="352">
        <f>IF(Z$3="","",SUMPRODUCT(--ISERROR(SEARCH("終身",入力データ!$F$5:$F$20)),--(IFERROR(YEAR(入力データ!$J$5:$J$20),0)&lt;=Z$3),--(IFERROR(YEAR(入力データ!$K$5:$K$20),9999)&gt;=Z$3),入力データ!$M$5:$M$20)*12)</f>
        <v/>
      </c>
      <c r="AA23" s="352">
        <f>IF(AA$3="","",SUMPRODUCT(--ISERROR(SEARCH("終身",入力データ!$F$5:$F$20)),--(IFERROR(YEAR(入力データ!$J$5:$J$20),0)&lt;=AA$3),--(IFERROR(YEAR(入力データ!$K$5:$K$20),9999)&gt;=AA$3),入力データ!$M$5:$M$20)*12)</f>
        <v/>
      </c>
      <c r="AB23" s="352">
        <f>IF(AB$3="","",SUMPRODUCT(--ISERROR(SEARCH("終身",入力データ!$F$5:$F$20)),--(IFERROR(YEAR(入力データ!$J$5:$J$20),0)&lt;=AB$3),--(IFERROR(YEAR(入力データ!$K$5:$K$20),9999)&gt;=AB$3),入力データ!$M$5:$M$20)*12)</f>
        <v/>
      </c>
      <c r="AC23" s="352">
        <f>IF(AC$3="","",SUMPRODUCT(--ISERROR(SEARCH("終身",入力データ!$F$5:$F$20)),--(IFERROR(YEAR(入力データ!$J$5:$J$20),0)&lt;=AC$3),--(IFERROR(YEAR(入力データ!$K$5:$K$20),9999)&gt;=AC$3),入力データ!$M$5:$M$20)*12)</f>
        <v/>
      </c>
      <c r="AD23" s="352">
        <f>IF(AD$3="","",SUMPRODUCT(--ISERROR(SEARCH("終身",入力データ!$F$5:$F$20)),--(IFERROR(YEAR(入力データ!$J$5:$J$20),0)&lt;=AD$3),--(IFERROR(YEAR(入力データ!$K$5:$K$20),9999)&gt;=AD$3),入力データ!$M$5:$M$20)*12)</f>
        <v/>
      </c>
      <c r="AE23" s="352">
        <f>IF(AE$3="","",SUMPRODUCT(--ISERROR(SEARCH("終身",入力データ!$F$5:$F$20)),--(IFERROR(YEAR(入力データ!$J$5:$J$20),0)&lt;=AE$3),--(IFERROR(YEAR(入力データ!$K$5:$K$20),9999)&gt;=AE$3),入力データ!$M$5:$M$20)*12)</f>
        <v/>
      </c>
      <c r="AF23" s="352">
        <f>IF(AF$3="","",SUMPRODUCT(--ISERROR(SEARCH("終身",入力データ!$F$5:$F$20)),--(IFERROR(YEAR(入力データ!$J$5:$J$20),0)&lt;=AF$3),--(IFERROR(YEAR(入力データ!$K$5:$K$20),9999)&gt;=AF$3),入力データ!$M$5:$M$20)*12)</f>
        <v/>
      </c>
      <c r="AG23" s="352">
        <f>IF(AG$3="","",SUMPRODUCT(--ISERROR(SEARCH("終身",入力データ!$F$5:$F$20)),--(IFERROR(YEAR(入力データ!$J$5:$J$20),0)&lt;=AG$3),--(IFERROR(YEAR(入力データ!$K$5:$K$20),9999)&gt;=AG$3),入力データ!$M$5:$M$20)*12)</f>
        <v/>
      </c>
      <c r="AH23" s="352">
        <f>IF(AH$3="","",SUMPRODUCT(--ISERROR(SEARCH("終身",入力データ!$F$5:$F$20)),--(IFERROR(YEAR(入力データ!$J$5:$J$20),0)&lt;=AH$3),--(IFERROR(YEAR(入力データ!$K$5:$K$20),9999)&gt;=AH$3),入力データ!$M$5:$M$20)*12)</f>
        <v/>
      </c>
      <c r="AI23" s="352">
        <f>IF(AI$3="","",SUMPRODUCT(--ISERROR(SEARCH("終身",入力データ!$F$5:$F$20)),--(IFERROR(YEAR(入力データ!$J$5:$J$20),0)&lt;=AI$3),--(IFERROR(YEAR(入力データ!$K$5:$K$20),9999)&gt;=AI$3),入力データ!$M$5:$M$20)*12)</f>
        <v/>
      </c>
      <c r="AJ23" s="352">
        <f>IF(AJ$3="","",SUMPRODUCT(--ISERROR(SEARCH("終身",入力データ!$F$5:$F$20)),--(IFERROR(YEAR(入力データ!$J$5:$J$20),0)&lt;=AJ$3),--(IFERROR(YEAR(入力データ!$K$5:$K$20),9999)&gt;=AJ$3),入力データ!$M$5:$M$20)*12)</f>
        <v/>
      </c>
      <c r="AK23" s="352">
        <f>IF(AK$3="","",SUMPRODUCT(--ISERROR(SEARCH("終身",入力データ!$F$5:$F$20)),--(IFERROR(YEAR(入力データ!$J$5:$J$20),0)&lt;=AK$3),--(IFERROR(YEAR(入力データ!$K$5:$K$20),9999)&gt;=AK$3),入力データ!$M$5:$M$20)*12)</f>
        <v/>
      </c>
      <c r="AL23" s="352">
        <f>IF(AL$3="","",SUMPRODUCT(--ISERROR(SEARCH("終身",入力データ!$F$5:$F$20)),--(IFERROR(YEAR(入力データ!$J$5:$J$20),0)&lt;=AL$3),--(IFERROR(YEAR(入力データ!$K$5:$K$20),9999)&gt;=AL$3),入力データ!$M$5:$M$20)*12)</f>
        <v/>
      </c>
      <c r="AM23" s="352">
        <f>IF(AM$3="","",SUMPRODUCT(--ISERROR(SEARCH("終身",入力データ!$F$5:$F$20)),--(IFERROR(YEAR(入力データ!$J$5:$J$20),0)&lt;=AM$3),--(IFERROR(YEAR(入力データ!$K$5:$K$20),9999)&gt;=AM$3),入力データ!$M$5:$M$20)*12)</f>
        <v/>
      </c>
      <c r="AN23" s="352">
        <f>IF(AN$3="","",SUMPRODUCT(--ISERROR(SEARCH("終身",入力データ!$F$5:$F$20)),--(IFERROR(YEAR(入力データ!$J$5:$J$20),0)&lt;=AN$3),--(IFERROR(YEAR(入力データ!$K$5:$K$20),9999)&gt;=AN$3),入力データ!$M$5:$M$20)*12)</f>
        <v/>
      </c>
      <c r="AO23" s="352">
        <f>IF(AO$3="","",SUMPRODUCT(--ISERROR(SEARCH("終身",入力データ!$F$5:$F$20)),--(IFERROR(YEAR(入力データ!$J$5:$J$20),0)&lt;=AO$3),--(IFERROR(YEAR(入力データ!$K$5:$K$20),9999)&gt;=AO$3),入力データ!$M$5:$M$20)*12)</f>
        <v/>
      </c>
      <c r="AP23" s="352">
        <f>IF(AP$3="","",SUMPRODUCT(--ISERROR(SEARCH("終身",入力データ!$F$5:$F$20)),--(IFERROR(YEAR(入力データ!$J$5:$J$20),0)&lt;=AP$3),--(IFERROR(YEAR(入力データ!$K$5:$K$20),9999)&gt;=AP$3),入力データ!$M$5:$M$20)*12)</f>
        <v/>
      </c>
      <c r="AQ23" s="352">
        <f>IF(AQ$3="","",SUMPRODUCT(--ISERROR(SEARCH("終身",入力データ!$F$5:$F$20)),--(IFERROR(YEAR(入力データ!$J$5:$J$20),0)&lt;=AQ$3),--(IFERROR(YEAR(入力データ!$K$5:$K$20),9999)&gt;=AQ$3),入力データ!$M$5:$M$20)*12)</f>
        <v/>
      </c>
      <c r="AR23" s="352">
        <f>IF(AR$3="","",SUMPRODUCT(--ISERROR(SEARCH("終身",入力データ!$F$5:$F$20)),--(IFERROR(YEAR(入力データ!$J$5:$J$20),0)&lt;=AR$3),--(IFERROR(YEAR(入力データ!$K$5:$K$20),9999)&gt;=AR$3),入力データ!$M$5:$M$20)*12)</f>
        <v/>
      </c>
      <c r="AS23" s="352">
        <f>IF(AS$3="","",SUMPRODUCT(--ISERROR(SEARCH("終身",入力データ!$F$5:$F$20)),--(IFERROR(YEAR(入力データ!$J$5:$J$20),0)&lt;=AS$3),--(IFERROR(YEAR(入力データ!$K$5:$K$20),9999)&gt;=AS$3),入力データ!$M$5:$M$20)*12)</f>
        <v/>
      </c>
      <c r="AT23" s="352">
        <f>IF(AT$3="","",SUMPRODUCT(--ISERROR(SEARCH("終身",入力データ!$F$5:$F$20)),--(IFERROR(YEAR(入力データ!$J$5:$J$20),0)&lt;=AT$3),--(IFERROR(YEAR(入力データ!$K$5:$K$20),9999)&gt;=AT$3),入力データ!$M$5:$M$20)*12)</f>
        <v/>
      </c>
      <c r="AU23" s="352">
        <f>IF(AU$3="","",SUMPRODUCT(--ISERROR(SEARCH("終身",入力データ!$F$5:$F$20)),--(IFERROR(YEAR(入力データ!$J$5:$J$20),0)&lt;=AU$3),--(IFERROR(YEAR(入力データ!$K$5:$K$20),9999)&gt;=AU$3),入力データ!$M$5:$M$20)*12)</f>
        <v/>
      </c>
      <c r="AV23" s="352">
        <f>IF(AV$3="","",SUMPRODUCT(--ISERROR(SEARCH("終身",入力データ!$F$5:$F$20)),--(IFERROR(YEAR(入力データ!$J$5:$J$20),0)&lt;=AV$3),--(IFERROR(YEAR(入力データ!$K$5:$K$20),9999)&gt;=AV$3),入力データ!$M$5:$M$20)*12)</f>
        <v/>
      </c>
      <c r="AW23" s="352">
        <f>IF(AW$3="","",SUMPRODUCT(--ISERROR(SEARCH("終身",入力データ!$F$5:$F$20)),--(IFERROR(YEAR(入力データ!$J$5:$J$20),0)&lt;=AW$3),--(IFERROR(YEAR(入力データ!$K$5:$K$20),9999)&gt;=AW$3),入力データ!$M$5:$M$20)*12)</f>
        <v/>
      </c>
      <c r="AX23" s="352">
        <f>IF(AX$3="","",SUMPRODUCT(--ISERROR(SEARCH("終身",入力データ!$F$5:$F$20)),--(IFERROR(YEAR(入力データ!$J$5:$J$20),0)&lt;=AX$3),--(IFERROR(YEAR(入力データ!$K$5:$K$20),9999)&gt;=AX$3),入力データ!$M$5:$M$20)*12)</f>
        <v/>
      </c>
      <c r="AY23" s="352">
        <f>IF(AY$3="","",SUMPRODUCT(--ISERROR(SEARCH("終身",入力データ!$F$5:$F$20)),--(IFERROR(YEAR(入力データ!$J$5:$J$20),0)&lt;=AY$3),--(IFERROR(YEAR(入力データ!$K$5:$K$20),9999)&gt;=AY$3),入力データ!$M$5:$M$20)*12)</f>
        <v/>
      </c>
      <c r="AZ23" s="352">
        <f>IF(AZ$3="","",SUMPRODUCT(--ISERROR(SEARCH("終身",入力データ!$F$5:$F$20)),--(IFERROR(YEAR(入力データ!$J$5:$J$20),0)&lt;=AZ$3),--(IFERROR(YEAR(入力データ!$K$5:$K$20),9999)&gt;=AZ$3),入力データ!$M$5:$M$20)*12)</f>
        <v/>
      </c>
      <c r="BA23" s="352">
        <f>IF(BA$3="","",SUMPRODUCT(--ISERROR(SEARCH("終身",入力データ!$F$5:$F$20)),--(IFERROR(YEAR(入力データ!$J$5:$J$20),0)&lt;=BA$3),--(IFERROR(YEAR(入力データ!$K$5:$K$20),9999)&gt;=BA$3),入力データ!$M$5:$M$20)*12)</f>
        <v/>
      </c>
      <c r="BB23" s="352">
        <f>IF(BB$3="","",SUMPRODUCT(--ISERROR(SEARCH("終身",入力データ!$F$5:$F$20)),--(IFERROR(YEAR(入力データ!$J$5:$J$20),0)&lt;=BB$3),--(IFERROR(YEAR(入力データ!$K$5:$K$20),9999)&gt;=BB$3),入力データ!$M$5:$M$20)*12)</f>
        <v/>
      </c>
      <c r="BC23" s="352">
        <f>IF(BC$3="","",SUMPRODUCT(--ISERROR(SEARCH("終身",入力データ!$F$5:$F$20)),--(IFERROR(YEAR(入力データ!$J$5:$J$20),0)&lt;=BC$3),--(IFERROR(YEAR(入力データ!$K$5:$K$20),9999)&gt;=BC$3),入力データ!$M$5:$M$20)*12)</f>
        <v/>
      </c>
      <c r="BD23" s="352">
        <f>IF(BD$3="","",SUMPRODUCT(--ISERROR(SEARCH("終身",入力データ!$F$5:$F$20)),--(IFERROR(YEAR(入力データ!$J$5:$J$20),0)&lt;=BD$3),--(IFERROR(YEAR(入力データ!$K$5:$K$20),9999)&gt;=BD$3),入力データ!$M$5:$M$20)*12)</f>
        <v/>
      </c>
      <c r="BE23" s="352">
        <f>IF(BE$3="","",SUMPRODUCT(--ISERROR(SEARCH("終身",入力データ!$F$5:$F$20)),--(IFERROR(YEAR(入力データ!$J$5:$J$20),0)&lt;=BE$3),--(IFERROR(YEAR(入力データ!$K$5:$K$20),9999)&gt;=BE$3),入力データ!$M$5:$M$20)*12)</f>
        <v/>
      </c>
      <c r="BF23" s="352">
        <f>IF(BF$3="","",SUMPRODUCT(--ISERROR(SEARCH("終身",入力データ!$F$5:$F$20)),--(IFERROR(YEAR(入力データ!$J$5:$J$20),0)&lt;=BF$3),--(IFERROR(YEAR(入力データ!$K$5:$K$20),9999)&gt;=BF$3),入力データ!$M$5:$M$20)*12)</f>
        <v/>
      </c>
      <c r="BG23" s="352">
        <f>IF(BG$3="","",SUMPRODUCT(--ISERROR(SEARCH("終身",入力データ!$F$5:$F$20)),--(IFERROR(YEAR(入力データ!$J$5:$J$20),0)&lt;=BG$3),--(IFERROR(YEAR(入力データ!$K$5:$K$20),9999)&gt;=BG$3),入力データ!$M$5:$M$20)*12)</f>
        <v/>
      </c>
      <c r="BH23" s="352">
        <f>IF(BH$3="","",SUMPRODUCT(--ISERROR(SEARCH("終身",入力データ!$F$5:$F$20)),--(IFERROR(YEAR(入力データ!$J$5:$J$20),0)&lt;=BH$3),--(IFERROR(YEAR(入力データ!$K$5:$K$20),9999)&gt;=BH$3),入力データ!$M$5:$M$20)*12)</f>
        <v/>
      </c>
      <c r="BI23" s="352">
        <f>IF(BI$3="","",SUMPRODUCT(--ISERROR(SEARCH("終身",入力データ!$F$5:$F$20)),--(IFERROR(YEAR(入力データ!$J$5:$J$20),0)&lt;=BI$3),--(IFERROR(YEAR(入力データ!$K$5:$K$20),9999)&gt;=BI$3),入力データ!$M$5:$M$20)*12)</f>
        <v/>
      </c>
      <c r="BJ23" s="352">
        <f>IF(BJ$3="","",SUMPRODUCT(--ISERROR(SEARCH("終身",入力データ!$F$5:$F$20)),--(IFERROR(YEAR(入力データ!$J$5:$J$20),0)&lt;=BJ$3),--(IFERROR(YEAR(入力データ!$K$5:$K$20),9999)&gt;=BJ$3),入力データ!$M$5:$M$20)*12)</f>
        <v/>
      </c>
      <c r="BK23" s="352">
        <f>IF(BK$3="","",SUMPRODUCT(--ISERROR(SEARCH("終身",入力データ!$F$5:$F$20)),--(IFERROR(YEAR(入力データ!$J$5:$J$20),0)&lt;=BK$3),--(IFERROR(YEAR(入力データ!$K$5:$K$20),9999)&gt;=BK$3),入力データ!$M$5:$M$20)*12)</f>
        <v/>
      </c>
      <c r="BL23" s="352">
        <f>IF(BL$3="","",SUMPRODUCT(--ISERROR(SEARCH("終身",入力データ!$F$5:$F$20)),--(IFERROR(YEAR(入力データ!$J$5:$J$20),0)&lt;=BL$3),--(IFERROR(YEAR(入力データ!$K$5:$K$20),9999)&gt;=BL$3),入力データ!$M$5:$M$20)*12)</f>
        <v/>
      </c>
      <c r="BM23" s="352">
        <f>IF(BM$3="","",SUMPRODUCT(--ISERROR(SEARCH("終身",入力データ!$F$5:$F$20)),--(IFERROR(YEAR(入力データ!$J$5:$J$20),0)&lt;=BM$3),--(IFERROR(YEAR(入力データ!$K$5:$K$20),9999)&gt;=BM$3),入力データ!$M$5:$M$20)*12)</f>
        <v/>
      </c>
      <c r="BN23" s="352">
        <f>IF(BN$3="","",SUMPRODUCT(--ISERROR(SEARCH("終身",入力データ!$F$5:$F$20)),--(IFERROR(YEAR(入力データ!$J$5:$J$20),0)&lt;=BN$3),--(IFERROR(YEAR(入力データ!$K$5:$K$20),9999)&gt;=BN$3),入力データ!$M$5:$M$20)*12)</f>
        <v/>
      </c>
      <c r="BO23" s="352">
        <f>IF(BO$3="","",SUMPRODUCT(--ISERROR(SEARCH("終身",入力データ!$F$5:$F$20)),--(IFERROR(YEAR(入力データ!$J$5:$J$20),0)&lt;=BO$3),--(IFERROR(YEAR(入力データ!$K$5:$K$20),9999)&gt;=BO$3),入力データ!$M$5:$M$20)*12)</f>
        <v/>
      </c>
      <c r="BP23" s="352">
        <f>IF(BP$3="","",SUMPRODUCT(--ISERROR(SEARCH("終身",入力データ!$F$5:$F$20)),--(IFERROR(YEAR(入力データ!$J$5:$J$20),0)&lt;=BP$3),--(IFERROR(YEAR(入力データ!$K$5:$K$20),9999)&gt;=BP$3),入力データ!$M$5:$M$20)*12)</f>
        <v/>
      </c>
      <c r="BQ23" s="352">
        <f>IF(BQ$3="","",SUMPRODUCT(--ISERROR(SEARCH("終身",入力データ!$F$5:$F$20)),--(IFERROR(YEAR(入力データ!$J$5:$J$20),0)&lt;=BQ$3),--(IFERROR(YEAR(入力データ!$K$5:$K$20),9999)&gt;=BQ$3),入力データ!$M$5:$M$20)*12)</f>
        <v/>
      </c>
      <c r="BR23" s="352">
        <f>IF(BR$3="","",SUMPRODUCT(--ISERROR(SEARCH("終身",入力データ!$F$5:$F$20)),--(IFERROR(YEAR(入力データ!$J$5:$J$20),0)&lt;=BR$3),--(IFERROR(YEAR(入力データ!$K$5:$K$20),9999)&gt;=BR$3),入力データ!$M$5:$M$20)*12)</f>
        <v/>
      </c>
      <c r="BS23" s="352">
        <f>IF(BS$3="","",SUMPRODUCT(--ISERROR(SEARCH("終身",入力データ!$F$5:$F$20)),--(IFERROR(YEAR(入力データ!$J$5:$J$20),0)&lt;=BS$3),--(IFERROR(YEAR(入力データ!$K$5:$K$20),9999)&gt;=BS$3),入力データ!$M$5:$M$20)*12)</f>
        <v/>
      </c>
      <c r="BT23" s="352">
        <f>IF(BT$3="","",SUMPRODUCT(--ISERROR(SEARCH("終身",入力データ!$F$5:$F$20)),--(IFERROR(YEAR(入力データ!$J$5:$J$20),0)&lt;=BT$3),--(IFERROR(YEAR(入力データ!$K$5:$K$20),9999)&gt;=BT$3),入力データ!$M$5:$M$20)*12)</f>
        <v/>
      </c>
      <c r="BU23" s="352">
        <f>IF(BU$3="","",SUMPRODUCT(--ISERROR(SEARCH("終身",入力データ!$F$5:$F$20)),--(IFERROR(YEAR(入力データ!$J$5:$J$20),0)&lt;=BU$3),--(IFERROR(YEAR(入力データ!$K$5:$K$20),9999)&gt;=BU$3),入力データ!$M$5:$M$20)*12)</f>
        <v/>
      </c>
      <c r="BV23" s="352">
        <f>IF(BV$3="","",SUMPRODUCT(--ISERROR(SEARCH("終身",入力データ!$F$5:$F$20)),--(IFERROR(YEAR(入力データ!$J$5:$J$20),0)&lt;=BV$3),--(IFERROR(YEAR(入力データ!$K$5:$K$20),9999)&gt;=BV$3),入力データ!$M$5:$M$20)*12)</f>
        <v/>
      </c>
      <c r="BW23" s="352">
        <f>IF(BW$3="","",SUMPRODUCT(--ISERROR(SEARCH("終身",入力データ!$F$5:$F$20)),--(IFERROR(YEAR(入力データ!$J$5:$J$20),0)&lt;=BW$3),--(IFERROR(YEAR(入力データ!$K$5:$K$20),9999)&gt;=BW$3),入力データ!$M$5:$M$20)*12)</f>
        <v/>
      </c>
      <c r="BX23" s="352">
        <f>IF(BX$3="","",SUMPRODUCT(--ISERROR(SEARCH("終身",入力データ!$F$5:$F$20)),--(IFERROR(YEAR(入力データ!$J$5:$J$20),0)&lt;=BX$3),--(IFERROR(YEAR(入力データ!$K$5:$K$20),9999)&gt;=BX$3),入力データ!$M$5:$M$20)*12)</f>
        <v/>
      </c>
      <c r="BY23" s="352">
        <f>IF(BY$3="","",SUMPRODUCT(--ISERROR(SEARCH("終身",入力データ!$F$5:$F$20)),--(IFERROR(YEAR(入力データ!$J$5:$J$20),0)&lt;=BY$3),--(IFERROR(YEAR(入力データ!$K$5:$K$20),9999)&gt;=BY$3),入力データ!$M$5:$M$20)*12)</f>
        <v/>
      </c>
      <c r="BZ23" s="352">
        <f>IF(BZ$3="","",SUMPRODUCT(--ISERROR(SEARCH("終身",入力データ!$F$5:$F$20)),--(IFERROR(YEAR(入力データ!$J$5:$J$20),0)&lt;=BZ$3),--(IFERROR(YEAR(入力データ!$K$5:$K$20),9999)&gt;=BZ$3),入力データ!$M$5:$M$20)*12)</f>
        <v/>
      </c>
      <c r="CA23" s="352">
        <f>IF(CA$3="","",SUMPRODUCT(--ISERROR(SEARCH("終身",入力データ!$F$5:$F$20)),--(IFERROR(YEAR(入力データ!$J$5:$J$20),0)&lt;=CA$3),--(IFERROR(YEAR(入力データ!$K$5:$K$20),9999)&gt;=CA$3),入力データ!$M$5:$M$20)*12)</f>
        <v/>
      </c>
      <c r="CB23" s="352">
        <f>IF(CB$3="","",SUMPRODUCT(--ISERROR(SEARCH("終身",入力データ!$F$5:$F$20)),--(IFERROR(YEAR(入力データ!$J$5:$J$20),0)&lt;=CB$3),--(IFERROR(YEAR(入力データ!$K$5:$K$20),9999)&gt;=CB$3),入力データ!$M$5:$M$20)*12)</f>
        <v/>
      </c>
      <c r="CC23" s="352">
        <f>IF(CC$3="","",SUMPRODUCT(--ISERROR(SEARCH("終身",入力データ!$F$5:$F$20)),--(IFERROR(YEAR(入力データ!$J$5:$J$20),0)&lt;=CC$3),--(IFERROR(YEAR(入力データ!$K$5:$K$20),9999)&gt;=CC$3),入力データ!$M$5:$M$20)*12)</f>
        <v/>
      </c>
      <c r="CD23" s="352">
        <f>IF(CD$3="","",SUMPRODUCT(--ISERROR(SEARCH("終身",入力データ!$F$5:$F$20)),--(IFERROR(YEAR(入力データ!$J$5:$J$20),0)&lt;=CD$3),--(IFERROR(YEAR(入力データ!$K$5:$K$20),9999)&gt;=CD$3),入力データ!$M$5:$M$20)*12)</f>
        <v/>
      </c>
      <c r="CE23" s="352">
        <f>IF(CE$3="","",SUMPRODUCT(--ISERROR(SEARCH("終身",入力データ!$F$5:$F$20)),--(IFERROR(YEAR(入力データ!$J$5:$J$20),0)&lt;=CE$3),--(IFERROR(YEAR(入力データ!$K$5:$K$20),9999)&gt;=CE$3),入力データ!$M$5:$M$20)*12)</f>
        <v/>
      </c>
      <c r="CF23" s="352">
        <f>IF(CF$3="","",SUMPRODUCT(--ISERROR(SEARCH("終身",入力データ!$F$5:$F$20)),--(IFERROR(YEAR(入力データ!$J$5:$J$20),0)&lt;=CF$3),--(IFERROR(YEAR(入力データ!$K$5:$K$20),9999)&gt;=CF$3),入力データ!$M$5:$M$20)*12)</f>
        <v/>
      </c>
      <c r="CG23" s="352">
        <f>IF(CG$3="","",SUMPRODUCT(--ISERROR(SEARCH("終身",入力データ!$F$5:$F$20)),--(IFERROR(YEAR(入力データ!$J$5:$J$20),0)&lt;=CG$3),--(IFERROR(YEAR(入力データ!$K$5:$K$20),9999)&gt;=CG$3),入力データ!$M$5:$M$20)*12)</f>
        <v/>
      </c>
      <c r="CH23" s="352">
        <f>IF(CH$3="","",SUMPRODUCT(--ISERROR(SEARCH("終身",入力データ!$F$5:$F$20)),--(IFERROR(YEAR(入力データ!$J$5:$J$20),0)&lt;=CH$3),--(IFERROR(YEAR(入力データ!$K$5:$K$20),9999)&gt;=CH$3),入力データ!$M$5:$M$20)*12)</f>
        <v/>
      </c>
      <c r="CI23" s="352">
        <f>IF(CI$3="","",SUMPRODUCT(--ISERROR(SEARCH("終身",入力データ!$F$5:$F$20)),--(IFERROR(YEAR(入力データ!$J$5:$J$20),0)&lt;=CI$3),--(IFERROR(YEAR(入力データ!$K$5:$K$20),9999)&gt;=CI$3),入力データ!$M$5:$M$20)*12)</f>
        <v/>
      </c>
      <c r="CJ23" s="352">
        <f>IF(CJ$3="","",SUMPRODUCT(--ISERROR(SEARCH("終身",入力データ!$F$5:$F$20)),--(IFERROR(YEAR(入力データ!$J$5:$J$20),0)&lt;=CJ$3),--(IFERROR(YEAR(入力データ!$K$5:$K$20),9999)&gt;=CJ$3),入力データ!$M$5:$M$20)*12)</f>
        <v/>
      </c>
      <c r="CK23" s="352">
        <f>IF(CK$3="","",SUMPRODUCT(--ISERROR(SEARCH("終身",入力データ!$F$5:$F$20)),--(IFERROR(YEAR(入力データ!$J$5:$J$20),0)&lt;=CK$3),--(IFERROR(YEAR(入力データ!$K$5:$K$20),9999)&gt;=CK$3),入力データ!$M$5:$M$20)*12)</f>
        <v/>
      </c>
      <c r="CL23" s="352">
        <f>IF(CL$3="","",SUMPRODUCT(--ISERROR(SEARCH("終身",入力データ!$F$5:$F$20)),--(IFERROR(YEAR(入力データ!$J$5:$J$20),0)&lt;=CL$3),--(IFERROR(YEAR(入力データ!$K$5:$K$20),9999)&gt;=CL$3),入力データ!$M$5:$M$20)*12)</f>
        <v/>
      </c>
      <c r="CM23" s="352">
        <f>IF(CM$3="","",SUMPRODUCT(--ISERROR(SEARCH("終身",入力データ!$F$5:$F$20)),--(IFERROR(YEAR(入力データ!$J$5:$J$20),0)&lt;=CM$3),--(IFERROR(YEAR(入力データ!$K$5:$K$20),9999)&gt;=CM$3),入力データ!$M$5:$M$20)*12)</f>
        <v/>
      </c>
      <c r="CN23" s="352">
        <f>IF(CN$3="","",SUMPRODUCT(--ISERROR(SEARCH("終身",入力データ!$F$5:$F$20)),--(IFERROR(YEAR(入力データ!$J$5:$J$20),0)&lt;=CN$3),--(IFERROR(YEAR(入力データ!$K$5:$K$20),9999)&gt;=CN$3),入力データ!$M$5:$M$20)*12)</f>
        <v/>
      </c>
      <c r="CO23" s="352">
        <f>IF(CO$3="","",SUMPRODUCT(--ISERROR(SEARCH("終身",入力データ!$F$5:$F$20)),--(IFERROR(YEAR(入力データ!$J$5:$J$20),0)&lt;=CO$3),--(IFERROR(YEAR(入力データ!$K$5:$K$20),9999)&gt;=CO$3),入力データ!$M$5:$M$20)*12)</f>
        <v/>
      </c>
      <c r="CP23" s="352">
        <f>IF(CP$3="","",SUMPRODUCT(--ISERROR(SEARCH("終身",入力データ!$F$5:$F$20)),--(IFERROR(YEAR(入力データ!$J$5:$J$20),0)&lt;=CP$3),--(IFERROR(YEAR(入力データ!$K$5:$K$20),9999)&gt;=CP$3),入力データ!$M$5:$M$20)*12)</f>
        <v/>
      </c>
      <c r="CQ23" s="352">
        <f>IF(CQ$3="","",SUMPRODUCT(--ISERROR(SEARCH("終身",入力データ!$F$5:$F$20)),--(IFERROR(YEAR(入力データ!$J$5:$J$20),0)&lt;=CQ$3),--(IFERROR(YEAR(入力データ!$K$5:$K$20),9999)&gt;=CQ$3),入力データ!$M$5:$M$20)*12)</f>
        <v/>
      </c>
      <c r="CR23" s="352">
        <f>IF(CR$3="","",SUMPRODUCT(--ISERROR(SEARCH("終身",入力データ!$F$5:$F$20)),--(IFERROR(YEAR(入力データ!$J$5:$J$20),0)&lt;=CR$3),--(IFERROR(YEAR(入力データ!$K$5:$K$20),9999)&gt;=CR$3),入力データ!$M$5:$M$20)*12)</f>
        <v/>
      </c>
      <c r="CS23" s="352">
        <f>IF(CS$3="","",SUMPRODUCT(--ISERROR(SEARCH("終身",入力データ!$F$5:$F$20)),--(IFERROR(YEAR(入力データ!$J$5:$J$20),0)&lt;=CS$3),--(IFERROR(YEAR(入力データ!$K$5:$K$20),9999)&gt;=CS$3),入力データ!$M$5:$M$20)*12)</f>
        <v/>
      </c>
      <c r="CT23" s="352">
        <f>IF(CT$3="","",SUMPRODUCT(--ISERROR(SEARCH("終身",入力データ!$F$5:$F$20)),--(IFERROR(YEAR(入力データ!$J$5:$J$20),0)&lt;=CT$3),--(IFERROR(YEAR(入力データ!$K$5:$K$20),9999)&gt;=CT$3),入力データ!$M$5:$M$20)*12)</f>
        <v/>
      </c>
      <c r="CU23" s="352">
        <f>IF(CU$3="","",SUMPRODUCT(--ISERROR(SEARCH("終身",入力データ!$F$5:$F$20)),--(IFERROR(YEAR(入力データ!$J$5:$J$20),0)&lt;=CU$3),--(IFERROR(YEAR(入力データ!$K$5:$K$20),9999)&gt;=CU$3),入力データ!$M$5:$M$20)*12)</f>
        <v/>
      </c>
      <c r="CV23" s="352">
        <f>IF(CV$3="","",SUMPRODUCT(--ISERROR(SEARCH("終身",入力データ!$F$5:$F$20)),--(IFERROR(YEAR(入力データ!$J$5:$J$20),0)&lt;=CV$3),--(IFERROR(YEAR(入力データ!$K$5:$K$20),9999)&gt;=CV$3),入力データ!$M$5:$M$20)*12)</f>
        <v/>
      </c>
      <c r="CW23" s="352">
        <f>IF(CW$3="","",SUMPRODUCT(--ISERROR(SEARCH("終身",入力データ!$F$5:$F$20)),--(IFERROR(YEAR(入力データ!$J$5:$J$20),0)&lt;=CW$3),--(IFERROR(YEAR(入力データ!$K$5:$K$20),9999)&gt;=CW$3),入力データ!$M$5:$M$20)*12)</f>
        <v/>
      </c>
    </row>
    <row r="24" ht="15" customHeight="1" s="180">
      <c r="A24" s="224" t="inlineStr">
        <is>
          <t>教育費</t>
        </is>
      </c>
      <c r="B24" s="352">
        <f>IF(B$3="","",IF(入力データ!$C$17&lt;=0,0,IF(B$3="","",((SUM(入力データ!$C$58:$C$61)*12)+IF(B6="",0,IF(B6&lt;=5,IF(入力データ!$G$25="私立",前提条件!$C$22,前提条件!$C$21),IF(B6&lt;=11,IF(入力データ!$H$25="私立",前提条件!$C$24,前提条件!$C$23),IF(B6&lt;=14,IF(入力データ!$I$25="私立",前提条件!$C$26,前提条件!$C$25),IF(B6&lt;=17,IF(入力データ!$J$25="私立",前提条件!$C$28,前提条件!$C$27),IF(B6&lt;=21,IF(入力データ!$K$25="国公立",前提条件!$C$29,IF(入力データ!$K$25="私立理系",前提条件!$C$31,前提条件!$C$30))+IF(入力データ!$L$25="下宿",前提条件!$C$32,0)+IF(B6=18,前提条件!$C$33,0),0))))))+IF(B7="",0,IF(B7&lt;=5,IF(入力データ!$G$26="私立",前提条件!$C$22,前提条件!$C$21),IF(B7&lt;=11,IF(入力データ!$H$26="私立",前提条件!$C$24,前提条件!$C$23),IF(B7&lt;=14,IF(入力データ!$I$26="私立",前提条件!$C$26,前提条件!$C$25),IF(B7&lt;=17,IF(入力データ!$J$26="私立",前提条件!$C$28,前提条件!$C$27),IF(B7&lt;=21,IF(入力データ!$K$26="国公立",前提条件!$C$29,IF(入力データ!$K$26="私立理系",前提条件!$C$31,前提条件!$C$30))+IF(入力データ!$L$26="下宿",前提条件!$C$32,0)+IF(B7=18,前提条件!$C$33,0),0))))))+IF(B8="",0,IF(B8&lt;=5,IF(入力データ!$G$27="私立",前提条件!$C$22,前提条件!$C$21),IF(B8&lt;=11,IF(入力データ!$H$27="私立",前提条件!$C$24,前提条件!$C$23),IF(B8&lt;=14,IF(入力データ!$I$27="私立",前提条件!$C$26,前提条件!$C$25),IF(B8&lt;=17,IF(入力データ!$J$27="私立",前提条件!$C$28,前提条件!$C$27),IF(B8&lt;=21,IF(入力データ!$K$27="国公立",前提条件!$C$29,IF(入力データ!$K$27="私立理系",前提条件!$C$31,前提条件!$C$30))+IF(入力データ!$L$27="下宿",前提条件!$C$32,0)+IF(B8=18,前提条件!$C$33,0),0)))))))*(1+前提条件!$C$13)^(B$3-$B$3))))</f>
        <v/>
      </c>
      <c r="C24" s="352">
        <f>IF(C$3="","",IF(入力データ!$C$17&lt;=0,0,IF(C$3="","",((SUM(入力データ!$C$58:$C$61)*12)+IF(C6="",0,IF(C6&lt;=5,IF(入力データ!$G$25="私立",前提条件!$C$22,前提条件!$C$21),IF(C6&lt;=11,IF(入力データ!$H$25="私立",前提条件!$C$24,前提条件!$C$23),IF(C6&lt;=14,IF(入力データ!$I$25="私立",前提条件!$C$26,前提条件!$C$25),IF(C6&lt;=17,IF(入力データ!$J$25="私立",前提条件!$C$28,前提条件!$C$27),IF(C6&lt;=21,IF(入力データ!$K$25="国公立",前提条件!$C$29,IF(入力データ!$K$25="私立理系",前提条件!$C$31,前提条件!$C$30))+IF(入力データ!$L$25="下宿",前提条件!$C$32,0)+IF(C6=18,前提条件!$C$33,0),0))))))+IF(C7="",0,IF(C7&lt;=5,IF(入力データ!$G$26="私立",前提条件!$C$22,前提条件!$C$21),IF(C7&lt;=11,IF(入力データ!$H$26="私立",前提条件!$C$24,前提条件!$C$23),IF(C7&lt;=14,IF(入力データ!$I$26="私立",前提条件!$C$26,前提条件!$C$25),IF(C7&lt;=17,IF(入力データ!$J$26="私立",前提条件!$C$28,前提条件!$C$27),IF(C7&lt;=21,IF(入力データ!$K$26="国公立",前提条件!$C$29,IF(入力データ!$K$26="私立理系",前提条件!$C$31,前提条件!$C$30))+IF(入力データ!$L$26="下宿",前提条件!$C$32,0)+IF(C7=18,前提条件!$C$33,0),0))))))+IF(C8="",0,IF(C8&lt;=5,IF(入力データ!$G$27="私立",前提条件!$C$22,前提条件!$C$21),IF(C8&lt;=11,IF(入力データ!$H$27="私立",前提条件!$C$24,前提条件!$C$23),IF(C8&lt;=14,IF(入力データ!$I$27="私立",前提条件!$C$26,前提条件!$C$25),IF(C8&lt;=17,IF(入力データ!$J$27="私立",前提条件!$C$28,前提条件!$C$27),IF(C8&lt;=21,IF(入力データ!$K$27="国公立",前提条件!$C$29,IF(入力データ!$K$27="私立理系",前提条件!$C$31,前提条件!$C$30))+IF(入力データ!$L$27="下宿",前提条件!$C$32,0)+IF(C8=18,前提条件!$C$33,0),0)))))))*(1+前提条件!$C$13)^(C$3-$B$3))))</f>
        <v/>
      </c>
      <c r="D24" s="352">
        <f>IF(D$3="","",IF(入力データ!$C$17&lt;=0,0,IF(D$3="","",((SUM(入力データ!$C$58:$C$61)*12)+IF(D6="",0,IF(D6&lt;=5,IF(入力データ!$G$25="私立",前提条件!$C$22,前提条件!$C$21),IF(D6&lt;=11,IF(入力データ!$H$25="私立",前提条件!$C$24,前提条件!$C$23),IF(D6&lt;=14,IF(入力データ!$I$25="私立",前提条件!$C$26,前提条件!$C$25),IF(D6&lt;=17,IF(入力データ!$J$25="私立",前提条件!$C$28,前提条件!$C$27),IF(D6&lt;=21,IF(入力データ!$K$25="国公立",前提条件!$C$29,IF(入力データ!$K$25="私立理系",前提条件!$C$31,前提条件!$C$30))+IF(入力データ!$L$25="下宿",前提条件!$C$32,0)+IF(D6=18,前提条件!$C$33,0),0))))))+IF(D7="",0,IF(D7&lt;=5,IF(入力データ!$G$26="私立",前提条件!$C$22,前提条件!$C$21),IF(D7&lt;=11,IF(入力データ!$H$26="私立",前提条件!$C$24,前提条件!$C$23),IF(D7&lt;=14,IF(入力データ!$I$26="私立",前提条件!$C$26,前提条件!$C$25),IF(D7&lt;=17,IF(入力データ!$J$26="私立",前提条件!$C$28,前提条件!$C$27),IF(D7&lt;=21,IF(入力データ!$K$26="国公立",前提条件!$C$29,IF(入力データ!$K$26="私立理系",前提条件!$C$31,前提条件!$C$30))+IF(入力データ!$L$26="下宿",前提条件!$C$32,0)+IF(D7=18,前提条件!$C$33,0),0))))))+IF(D8="",0,IF(D8&lt;=5,IF(入力データ!$G$27="私立",前提条件!$C$22,前提条件!$C$21),IF(D8&lt;=11,IF(入力データ!$H$27="私立",前提条件!$C$24,前提条件!$C$23),IF(D8&lt;=14,IF(入力データ!$I$27="私立",前提条件!$C$26,前提条件!$C$25),IF(D8&lt;=17,IF(入力データ!$J$27="私立",前提条件!$C$28,前提条件!$C$27),IF(D8&lt;=21,IF(入力データ!$K$27="国公立",前提条件!$C$29,IF(入力データ!$K$27="私立理系",前提条件!$C$31,前提条件!$C$30))+IF(入力データ!$L$27="下宿",前提条件!$C$32,0)+IF(D8=18,前提条件!$C$33,0),0)))))))*(1+前提条件!$C$13)^(D$3-$B$3))))</f>
        <v/>
      </c>
      <c r="E24" s="352">
        <f>IF(E$3="","",IF(入力データ!$C$17&lt;=0,0,IF(E$3="","",((SUM(入力データ!$C$58:$C$61)*12)+IF(E6="",0,IF(E6&lt;=5,IF(入力データ!$G$25="私立",前提条件!$C$22,前提条件!$C$21),IF(E6&lt;=11,IF(入力データ!$H$25="私立",前提条件!$C$24,前提条件!$C$23),IF(E6&lt;=14,IF(入力データ!$I$25="私立",前提条件!$C$26,前提条件!$C$25),IF(E6&lt;=17,IF(入力データ!$J$25="私立",前提条件!$C$28,前提条件!$C$27),IF(E6&lt;=21,IF(入力データ!$K$25="国公立",前提条件!$C$29,IF(入力データ!$K$25="私立理系",前提条件!$C$31,前提条件!$C$30))+IF(入力データ!$L$25="下宿",前提条件!$C$32,0)+IF(E6=18,前提条件!$C$33,0),0))))))+IF(E7="",0,IF(E7&lt;=5,IF(入力データ!$G$26="私立",前提条件!$C$22,前提条件!$C$21),IF(E7&lt;=11,IF(入力データ!$H$26="私立",前提条件!$C$24,前提条件!$C$23),IF(E7&lt;=14,IF(入力データ!$I$26="私立",前提条件!$C$26,前提条件!$C$25),IF(E7&lt;=17,IF(入力データ!$J$26="私立",前提条件!$C$28,前提条件!$C$27),IF(E7&lt;=21,IF(入力データ!$K$26="国公立",前提条件!$C$29,IF(入力データ!$K$26="私立理系",前提条件!$C$31,前提条件!$C$30))+IF(入力データ!$L$26="下宿",前提条件!$C$32,0)+IF(E7=18,前提条件!$C$33,0),0))))))+IF(E8="",0,IF(E8&lt;=5,IF(入力データ!$G$27="私立",前提条件!$C$22,前提条件!$C$21),IF(E8&lt;=11,IF(入力データ!$H$27="私立",前提条件!$C$24,前提条件!$C$23),IF(E8&lt;=14,IF(入力データ!$I$27="私立",前提条件!$C$26,前提条件!$C$25),IF(E8&lt;=17,IF(入力データ!$J$27="私立",前提条件!$C$28,前提条件!$C$27),IF(E8&lt;=21,IF(入力データ!$K$27="国公立",前提条件!$C$29,IF(入力データ!$K$27="私立理系",前提条件!$C$31,前提条件!$C$30))+IF(入力データ!$L$27="下宿",前提条件!$C$32,0)+IF(E8=18,前提条件!$C$33,0),0)))))))*(1+前提条件!$C$13)^(E$3-$B$3))))</f>
        <v/>
      </c>
      <c r="F24" s="352">
        <f>IF(F$3="","",IF(入力データ!$C$17&lt;=0,0,IF(F$3="","",((SUM(入力データ!$C$58:$C$61)*12)+IF(F6="",0,IF(F6&lt;=5,IF(入力データ!$G$25="私立",前提条件!$C$22,前提条件!$C$21),IF(F6&lt;=11,IF(入力データ!$H$25="私立",前提条件!$C$24,前提条件!$C$23),IF(F6&lt;=14,IF(入力データ!$I$25="私立",前提条件!$C$26,前提条件!$C$25),IF(F6&lt;=17,IF(入力データ!$J$25="私立",前提条件!$C$28,前提条件!$C$27),IF(F6&lt;=21,IF(入力データ!$K$25="国公立",前提条件!$C$29,IF(入力データ!$K$25="私立理系",前提条件!$C$31,前提条件!$C$30))+IF(入力データ!$L$25="下宿",前提条件!$C$32,0)+IF(F6=18,前提条件!$C$33,0),0))))))+IF(F7="",0,IF(F7&lt;=5,IF(入力データ!$G$26="私立",前提条件!$C$22,前提条件!$C$21),IF(F7&lt;=11,IF(入力データ!$H$26="私立",前提条件!$C$24,前提条件!$C$23),IF(F7&lt;=14,IF(入力データ!$I$26="私立",前提条件!$C$26,前提条件!$C$25),IF(F7&lt;=17,IF(入力データ!$J$26="私立",前提条件!$C$28,前提条件!$C$27),IF(F7&lt;=21,IF(入力データ!$K$26="国公立",前提条件!$C$29,IF(入力データ!$K$26="私立理系",前提条件!$C$31,前提条件!$C$30))+IF(入力データ!$L$26="下宿",前提条件!$C$32,0)+IF(F7=18,前提条件!$C$33,0),0))))))+IF(F8="",0,IF(F8&lt;=5,IF(入力データ!$G$27="私立",前提条件!$C$22,前提条件!$C$21),IF(F8&lt;=11,IF(入力データ!$H$27="私立",前提条件!$C$24,前提条件!$C$23),IF(F8&lt;=14,IF(入力データ!$I$27="私立",前提条件!$C$26,前提条件!$C$25),IF(F8&lt;=17,IF(入力データ!$J$27="私立",前提条件!$C$28,前提条件!$C$27),IF(F8&lt;=21,IF(入力データ!$K$27="国公立",前提条件!$C$29,IF(入力データ!$K$27="私立理系",前提条件!$C$31,前提条件!$C$30))+IF(入力データ!$L$27="下宿",前提条件!$C$32,0)+IF(F8=18,前提条件!$C$33,0),0)))))))*(1+前提条件!$C$13)^(F$3-$B$3))))</f>
        <v/>
      </c>
      <c r="G24" s="352">
        <f>IF(G$3="","",IF(入力データ!$C$17&lt;=0,0,IF(G$3="","",((SUM(入力データ!$C$58:$C$61)*12)+IF(G6="",0,IF(G6&lt;=5,IF(入力データ!$G$25="私立",前提条件!$C$22,前提条件!$C$21),IF(G6&lt;=11,IF(入力データ!$H$25="私立",前提条件!$C$24,前提条件!$C$23),IF(G6&lt;=14,IF(入力データ!$I$25="私立",前提条件!$C$26,前提条件!$C$25),IF(G6&lt;=17,IF(入力データ!$J$25="私立",前提条件!$C$28,前提条件!$C$27),IF(G6&lt;=21,IF(入力データ!$K$25="国公立",前提条件!$C$29,IF(入力データ!$K$25="私立理系",前提条件!$C$31,前提条件!$C$30))+IF(入力データ!$L$25="下宿",前提条件!$C$32,0)+IF(G6=18,前提条件!$C$33,0),0))))))+IF(G7="",0,IF(G7&lt;=5,IF(入力データ!$G$26="私立",前提条件!$C$22,前提条件!$C$21),IF(G7&lt;=11,IF(入力データ!$H$26="私立",前提条件!$C$24,前提条件!$C$23),IF(G7&lt;=14,IF(入力データ!$I$26="私立",前提条件!$C$26,前提条件!$C$25),IF(G7&lt;=17,IF(入力データ!$J$26="私立",前提条件!$C$28,前提条件!$C$27),IF(G7&lt;=21,IF(入力データ!$K$26="国公立",前提条件!$C$29,IF(入力データ!$K$26="私立理系",前提条件!$C$31,前提条件!$C$30))+IF(入力データ!$L$26="下宿",前提条件!$C$32,0)+IF(G7=18,前提条件!$C$33,0),0))))))+IF(G8="",0,IF(G8&lt;=5,IF(入力データ!$G$27="私立",前提条件!$C$22,前提条件!$C$21),IF(G8&lt;=11,IF(入力データ!$H$27="私立",前提条件!$C$24,前提条件!$C$23),IF(G8&lt;=14,IF(入力データ!$I$27="私立",前提条件!$C$26,前提条件!$C$25),IF(G8&lt;=17,IF(入力データ!$J$27="私立",前提条件!$C$28,前提条件!$C$27),IF(G8&lt;=21,IF(入力データ!$K$27="国公立",前提条件!$C$29,IF(入力データ!$K$27="私立理系",前提条件!$C$31,前提条件!$C$30))+IF(入力データ!$L$27="下宿",前提条件!$C$32,0)+IF(G8=18,前提条件!$C$33,0),0)))))))*(1+前提条件!$C$13)^(G$3-$B$3))))</f>
        <v/>
      </c>
      <c r="H24" s="352">
        <f>IF(H$3="","",IF(入力データ!$C$17&lt;=0,0,IF(H$3="","",((SUM(入力データ!$C$58:$C$61)*12)+IF(H6="",0,IF(H6&lt;=5,IF(入力データ!$G$25="私立",前提条件!$C$22,前提条件!$C$21),IF(H6&lt;=11,IF(入力データ!$H$25="私立",前提条件!$C$24,前提条件!$C$23),IF(H6&lt;=14,IF(入力データ!$I$25="私立",前提条件!$C$26,前提条件!$C$25),IF(H6&lt;=17,IF(入力データ!$J$25="私立",前提条件!$C$28,前提条件!$C$27),IF(H6&lt;=21,IF(入力データ!$K$25="国公立",前提条件!$C$29,IF(入力データ!$K$25="私立理系",前提条件!$C$31,前提条件!$C$30))+IF(入力データ!$L$25="下宿",前提条件!$C$32,0)+IF(H6=18,前提条件!$C$33,0),0))))))+IF(H7="",0,IF(H7&lt;=5,IF(入力データ!$G$26="私立",前提条件!$C$22,前提条件!$C$21),IF(H7&lt;=11,IF(入力データ!$H$26="私立",前提条件!$C$24,前提条件!$C$23),IF(H7&lt;=14,IF(入力データ!$I$26="私立",前提条件!$C$26,前提条件!$C$25),IF(H7&lt;=17,IF(入力データ!$J$26="私立",前提条件!$C$28,前提条件!$C$27),IF(H7&lt;=21,IF(入力データ!$K$26="国公立",前提条件!$C$29,IF(入力データ!$K$26="私立理系",前提条件!$C$31,前提条件!$C$30))+IF(入力データ!$L$26="下宿",前提条件!$C$32,0)+IF(H7=18,前提条件!$C$33,0),0))))))+IF(H8="",0,IF(H8&lt;=5,IF(入力データ!$G$27="私立",前提条件!$C$22,前提条件!$C$21),IF(H8&lt;=11,IF(入力データ!$H$27="私立",前提条件!$C$24,前提条件!$C$23),IF(H8&lt;=14,IF(入力データ!$I$27="私立",前提条件!$C$26,前提条件!$C$25),IF(H8&lt;=17,IF(入力データ!$J$27="私立",前提条件!$C$28,前提条件!$C$27),IF(H8&lt;=21,IF(入力データ!$K$27="国公立",前提条件!$C$29,IF(入力データ!$K$27="私立理系",前提条件!$C$31,前提条件!$C$30))+IF(入力データ!$L$27="下宿",前提条件!$C$32,0)+IF(H8=18,前提条件!$C$33,0),0)))))))*(1+前提条件!$C$13)^(H$3-$B$3))))</f>
        <v/>
      </c>
      <c r="I24" s="352">
        <f>IF(I$3="","",IF(入力データ!$C$17&lt;=0,0,IF(I$3="","",((SUM(入力データ!$C$58:$C$61)*12)+IF(I6="",0,IF(I6&lt;=5,IF(入力データ!$G$25="私立",前提条件!$C$22,前提条件!$C$21),IF(I6&lt;=11,IF(入力データ!$H$25="私立",前提条件!$C$24,前提条件!$C$23),IF(I6&lt;=14,IF(入力データ!$I$25="私立",前提条件!$C$26,前提条件!$C$25),IF(I6&lt;=17,IF(入力データ!$J$25="私立",前提条件!$C$28,前提条件!$C$27),IF(I6&lt;=21,IF(入力データ!$K$25="国公立",前提条件!$C$29,IF(入力データ!$K$25="私立理系",前提条件!$C$31,前提条件!$C$30))+IF(入力データ!$L$25="下宿",前提条件!$C$32,0)+IF(I6=18,前提条件!$C$33,0),0))))))+IF(I7="",0,IF(I7&lt;=5,IF(入力データ!$G$26="私立",前提条件!$C$22,前提条件!$C$21),IF(I7&lt;=11,IF(入力データ!$H$26="私立",前提条件!$C$24,前提条件!$C$23),IF(I7&lt;=14,IF(入力データ!$I$26="私立",前提条件!$C$26,前提条件!$C$25),IF(I7&lt;=17,IF(入力データ!$J$26="私立",前提条件!$C$28,前提条件!$C$27),IF(I7&lt;=21,IF(入力データ!$K$26="国公立",前提条件!$C$29,IF(入力データ!$K$26="私立理系",前提条件!$C$31,前提条件!$C$30))+IF(入力データ!$L$26="下宿",前提条件!$C$32,0)+IF(I7=18,前提条件!$C$33,0),0))))))+IF(I8="",0,IF(I8&lt;=5,IF(入力データ!$G$27="私立",前提条件!$C$22,前提条件!$C$21),IF(I8&lt;=11,IF(入力データ!$H$27="私立",前提条件!$C$24,前提条件!$C$23),IF(I8&lt;=14,IF(入力データ!$I$27="私立",前提条件!$C$26,前提条件!$C$25),IF(I8&lt;=17,IF(入力データ!$J$27="私立",前提条件!$C$28,前提条件!$C$27),IF(I8&lt;=21,IF(入力データ!$K$27="国公立",前提条件!$C$29,IF(入力データ!$K$27="私立理系",前提条件!$C$31,前提条件!$C$30))+IF(入力データ!$L$27="下宿",前提条件!$C$32,0)+IF(I8=18,前提条件!$C$33,0),0)))))))*(1+前提条件!$C$13)^(I$3-$B$3))))</f>
        <v/>
      </c>
      <c r="J24" s="352">
        <f>IF(J$3="","",IF(入力データ!$C$17&lt;=0,0,IF(J$3="","",((SUM(入力データ!$C$58:$C$61)*12)+IF(J6="",0,IF(J6&lt;=5,IF(入力データ!$G$25="私立",前提条件!$C$22,前提条件!$C$21),IF(J6&lt;=11,IF(入力データ!$H$25="私立",前提条件!$C$24,前提条件!$C$23),IF(J6&lt;=14,IF(入力データ!$I$25="私立",前提条件!$C$26,前提条件!$C$25),IF(J6&lt;=17,IF(入力データ!$J$25="私立",前提条件!$C$28,前提条件!$C$27),IF(J6&lt;=21,IF(入力データ!$K$25="国公立",前提条件!$C$29,IF(入力データ!$K$25="私立理系",前提条件!$C$31,前提条件!$C$30))+IF(入力データ!$L$25="下宿",前提条件!$C$32,0)+IF(J6=18,前提条件!$C$33,0),0))))))+IF(J7="",0,IF(J7&lt;=5,IF(入力データ!$G$26="私立",前提条件!$C$22,前提条件!$C$21),IF(J7&lt;=11,IF(入力データ!$H$26="私立",前提条件!$C$24,前提条件!$C$23),IF(J7&lt;=14,IF(入力データ!$I$26="私立",前提条件!$C$26,前提条件!$C$25),IF(J7&lt;=17,IF(入力データ!$J$26="私立",前提条件!$C$28,前提条件!$C$27),IF(J7&lt;=21,IF(入力データ!$K$26="国公立",前提条件!$C$29,IF(入力データ!$K$26="私立理系",前提条件!$C$31,前提条件!$C$30))+IF(入力データ!$L$26="下宿",前提条件!$C$32,0)+IF(J7=18,前提条件!$C$33,0),0))))))+IF(J8="",0,IF(J8&lt;=5,IF(入力データ!$G$27="私立",前提条件!$C$22,前提条件!$C$21),IF(J8&lt;=11,IF(入力データ!$H$27="私立",前提条件!$C$24,前提条件!$C$23),IF(J8&lt;=14,IF(入力データ!$I$27="私立",前提条件!$C$26,前提条件!$C$25),IF(J8&lt;=17,IF(入力データ!$J$27="私立",前提条件!$C$28,前提条件!$C$27),IF(J8&lt;=21,IF(入力データ!$K$27="国公立",前提条件!$C$29,IF(入力データ!$K$27="私立理系",前提条件!$C$31,前提条件!$C$30))+IF(入力データ!$L$27="下宿",前提条件!$C$32,0)+IF(J8=18,前提条件!$C$33,0),0)))))))*(1+前提条件!$C$13)^(J$3-$B$3))))</f>
        <v/>
      </c>
      <c r="K24" s="352">
        <f>IF(K$3="","",IF(入力データ!$C$17&lt;=0,0,IF(K$3="","",((SUM(入力データ!$C$58:$C$61)*12)+IF(K6="",0,IF(K6&lt;=5,IF(入力データ!$G$25="私立",前提条件!$C$22,前提条件!$C$21),IF(K6&lt;=11,IF(入力データ!$H$25="私立",前提条件!$C$24,前提条件!$C$23),IF(K6&lt;=14,IF(入力データ!$I$25="私立",前提条件!$C$26,前提条件!$C$25),IF(K6&lt;=17,IF(入力データ!$J$25="私立",前提条件!$C$28,前提条件!$C$27),IF(K6&lt;=21,IF(入力データ!$K$25="国公立",前提条件!$C$29,IF(入力データ!$K$25="私立理系",前提条件!$C$31,前提条件!$C$30))+IF(入力データ!$L$25="下宿",前提条件!$C$32,0)+IF(K6=18,前提条件!$C$33,0),0))))))+IF(K7="",0,IF(K7&lt;=5,IF(入力データ!$G$26="私立",前提条件!$C$22,前提条件!$C$21),IF(K7&lt;=11,IF(入力データ!$H$26="私立",前提条件!$C$24,前提条件!$C$23),IF(K7&lt;=14,IF(入力データ!$I$26="私立",前提条件!$C$26,前提条件!$C$25),IF(K7&lt;=17,IF(入力データ!$J$26="私立",前提条件!$C$28,前提条件!$C$27),IF(K7&lt;=21,IF(入力データ!$K$26="国公立",前提条件!$C$29,IF(入力データ!$K$26="私立理系",前提条件!$C$31,前提条件!$C$30))+IF(入力データ!$L$26="下宿",前提条件!$C$32,0)+IF(K7=18,前提条件!$C$33,0),0))))))+IF(K8="",0,IF(K8&lt;=5,IF(入力データ!$G$27="私立",前提条件!$C$22,前提条件!$C$21),IF(K8&lt;=11,IF(入力データ!$H$27="私立",前提条件!$C$24,前提条件!$C$23),IF(K8&lt;=14,IF(入力データ!$I$27="私立",前提条件!$C$26,前提条件!$C$25),IF(K8&lt;=17,IF(入力データ!$J$27="私立",前提条件!$C$28,前提条件!$C$27),IF(K8&lt;=21,IF(入力データ!$K$27="国公立",前提条件!$C$29,IF(入力データ!$K$27="私立理系",前提条件!$C$31,前提条件!$C$30))+IF(入力データ!$L$27="下宿",前提条件!$C$32,0)+IF(K8=18,前提条件!$C$33,0),0)))))))*(1+前提条件!$C$13)^(K$3-$B$3))))</f>
        <v/>
      </c>
      <c r="L24" s="352">
        <f>IF(L$3="","",IF(入力データ!$C$17&lt;=0,0,IF(L$3="","",((SUM(入力データ!$C$58:$C$61)*12)+IF(L6="",0,IF(L6&lt;=5,IF(入力データ!$G$25="私立",前提条件!$C$22,前提条件!$C$21),IF(L6&lt;=11,IF(入力データ!$H$25="私立",前提条件!$C$24,前提条件!$C$23),IF(L6&lt;=14,IF(入力データ!$I$25="私立",前提条件!$C$26,前提条件!$C$25),IF(L6&lt;=17,IF(入力データ!$J$25="私立",前提条件!$C$28,前提条件!$C$27),IF(L6&lt;=21,IF(入力データ!$K$25="国公立",前提条件!$C$29,IF(入力データ!$K$25="私立理系",前提条件!$C$31,前提条件!$C$30))+IF(入力データ!$L$25="下宿",前提条件!$C$32,0)+IF(L6=18,前提条件!$C$33,0),0))))))+IF(L7="",0,IF(L7&lt;=5,IF(入力データ!$G$26="私立",前提条件!$C$22,前提条件!$C$21),IF(L7&lt;=11,IF(入力データ!$H$26="私立",前提条件!$C$24,前提条件!$C$23),IF(L7&lt;=14,IF(入力データ!$I$26="私立",前提条件!$C$26,前提条件!$C$25),IF(L7&lt;=17,IF(入力データ!$J$26="私立",前提条件!$C$28,前提条件!$C$27),IF(L7&lt;=21,IF(入力データ!$K$26="国公立",前提条件!$C$29,IF(入力データ!$K$26="私立理系",前提条件!$C$31,前提条件!$C$30))+IF(入力データ!$L$26="下宿",前提条件!$C$32,0)+IF(L7=18,前提条件!$C$33,0),0))))))+IF(L8="",0,IF(L8&lt;=5,IF(入力データ!$G$27="私立",前提条件!$C$22,前提条件!$C$21),IF(L8&lt;=11,IF(入力データ!$H$27="私立",前提条件!$C$24,前提条件!$C$23),IF(L8&lt;=14,IF(入力データ!$I$27="私立",前提条件!$C$26,前提条件!$C$25),IF(L8&lt;=17,IF(入力データ!$J$27="私立",前提条件!$C$28,前提条件!$C$27),IF(L8&lt;=21,IF(入力データ!$K$27="国公立",前提条件!$C$29,IF(入力データ!$K$27="私立理系",前提条件!$C$31,前提条件!$C$30))+IF(入力データ!$L$27="下宿",前提条件!$C$32,0)+IF(L8=18,前提条件!$C$33,0),0)))))))*(1+前提条件!$C$13)^(L$3-$B$3))))</f>
        <v/>
      </c>
      <c r="M24" s="352">
        <f>IF(M$3="","",IF(入力データ!$C$17&lt;=0,0,IF(M$3="","",((SUM(入力データ!$C$58:$C$61)*12)+IF(M6="",0,IF(M6&lt;=5,IF(入力データ!$G$25="私立",前提条件!$C$22,前提条件!$C$21),IF(M6&lt;=11,IF(入力データ!$H$25="私立",前提条件!$C$24,前提条件!$C$23),IF(M6&lt;=14,IF(入力データ!$I$25="私立",前提条件!$C$26,前提条件!$C$25),IF(M6&lt;=17,IF(入力データ!$J$25="私立",前提条件!$C$28,前提条件!$C$27),IF(M6&lt;=21,IF(入力データ!$K$25="国公立",前提条件!$C$29,IF(入力データ!$K$25="私立理系",前提条件!$C$31,前提条件!$C$30))+IF(入力データ!$L$25="下宿",前提条件!$C$32,0)+IF(M6=18,前提条件!$C$33,0),0))))))+IF(M7="",0,IF(M7&lt;=5,IF(入力データ!$G$26="私立",前提条件!$C$22,前提条件!$C$21),IF(M7&lt;=11,IF(入力データ!$H$26="私立",前提条件!$C$24,前提条件!$C$23),IF(M7&lt;=14,IF(入力データ!$I$26="私立",前提条件!$C$26,前提条件!$C$25),IF(M7&lt;=17,IF(入力データ!$J$26="私立",前提条件!$C$28,前提条件!$C$27),IF(M7&lt;=21,IF(入力データ!$K$26="国公立",前提条件!$C$29,IF(入力データ!$K$26="私立理系",前提条件!$C$31,前提条件!$C$30))+IF(入力データ!$L$26="下宿",前提条件!$C$32,0)+IF(M7=18,前提条件!$C$33,0),0))))))+IF(M8="",0,IF(M8&lt;=5,IF(入力データ!$G$27="私立",前提条件!$C$22,前提条件!$C$21),IF(M8&lt;=11,IF(入力データ!$H$27="私立",前提条件!$C$24,前提条件!$C$23),IF(M8&lt;=14,IF(入力データ!$I$27="私立",前提条件!$C$26,前提条件!$C$25),IF(M8&lt;=17,IF(入力データ!$J$27="私立",前提条件!$C$28,前提条件!$C$27),IF(M8&lt;=21,IF(入力データ!$K$27="国公立",前提条件!$C$29,IF(入力データ!$K$27="私立理系",前提条件!$C$31,前提条件!$C$30))+IF(入力データ!$L$27="下宿",前提条件!$C$32,0)+IF(M8=18,前提条件!$C$33,0),0)))))))*(1+前提条件!$C$13)^(M$3-$B$3))))</f>
        <v/>
      </c>
      <c r="N24" s="352">
        <f>IF(N$3="","",IF(入力データ!$C$17&lt;=0,0,IF(N$3="","",((SUM(入力データ!$C$58:$C$61)*12)+IF(N6="",0,IF(N6&lt;=5,IF(入力データ!$G$25="私立",前提条件!$C$22,前提条件!$C$21),IF(N6&lt;=11,IF(入力データ!$H$25="私立",前提条件!$C$24,前提条件!$C$23),IF(N6&lt;=14,IF(入力データ!$I$25="私立",前提条件!$C$26,前提条件!$C$25),IF(N6&lt;=17,IF(入力データ!$J$25="私立",前提条件!$C$28,前提条件!$C$27),IF(N6&lt;=21,IF(入力データ!$K$25="国公立",前提条件!$C$29,IF(入力データ!$K$25="私立理系",前提条件!$C$31,前提条件!$C$30))+IF(入力データ!$L$25="下宿",前提条件!$C$32,0)+IF(N6=18,前提条件!$C$33,0),0))))))+IF(N7="",0,IF(N7&lt;=5,IF(入力データ!$G$26="私立",前提条件!$C$22,前提条件!$C$21),IF(N7&lt;=11,IF(入力データ!$H$26="私立",前提条件!$C$24,前提条件!$C$23),IF(N7&lt;=14,IF(入力データ!$I$26="私立",前提条件!$C$26,前提条件!$C$25),IF(N7&lt;=17,IF(入力データ!$J$26="私立",前提条件!$C$28,前提条件!$C$27),IF(N7&lt;=21,IF(入力データ!$K$26="国公立",前提条件!$C$29,IF(入力データ!$K$26="私立理系",前提条件!$C$31,前提条件!$C$30))+IF(入力データ!$L$26="下宿",前提条件!$C$32,0)+IF(N7=18,前提条件!$C$33,0),0))))))+IF(N8="",0,IF(N8&lt;=5,IF(入力データ!$G$27="私立",前提条件!$C$22,前提条件!$C$21),IF(N8&lt;=11,IF(入力データ!$H$27="私立",前提条件!$C$24,前提条件!$C$23),IF(N8&lt;=14,IF(入力データ!$I$27="私立",前提条件!$C$26,前提条件!$C$25),IF(N8&lt;=17,IF(入力データ!$J$27="私立",前提条件!$C$28,前提条件!$C$27),IF(N8&lt;=21,IF(入力データ!$K$27="国公立",前提条件!$C$29,IF(入力データ!$K$27="私立理系",前提条件!$C$31,前提条件!$C$30))+IF(入力データ!$L$27="下宿",前提条件!$C$32,0)+IF(N8=18,前提条件!$C$33,0),0)))))))*(1+前提条件!$C$13)^(N$3-$B$3))))</f>
        <v/>
      </c>
      <c r="O24" s="352">
        <f>IF(O$3="","",IF(入力データ!$C$17&lt;=0,0,IF(O$3="","",((SUM(入力データ!$C$58:$C$61)*12)+IF(O6="",0,IF(O6&lt;=5,IF(入力データ!$G$25="私立",前提条件!$C$22,前提条件!$C$21),IF(O6&lt;=11,IF(入力データ!$H$25="私立",前提条件!$C$24,前提条件!$C$23),IF(O6&lt;=14,IF(入力データ!$I$25="私立",前提条件!$C$26,前提条件!$C$25),IF(O6&lt;=17,IF(入力データ!$J$25="私立",前提条件!$C$28,前提条件!$C$27),IF(O6&lt;=21,IF(入力データ!$K$25="国公立",前提条件!$C$29,IF(入力データ!$K$25="私立理系",前提条件!$C$31,前提条件!$C$30))+IF(入力データ!$L$25="下宿",前提条件!$C$32,0)+IF(O6=18,前提条件!$C$33,0),0))))))+IF(O7="",0,IF(O7&lt;=5,IF(入力データ!$G$26="私立",前提条件!$C$22,前提条件!$C$21),IF(O7&lt;=11,IF(入力データ!$H$26="私立",前提条件!$C$24,前提条件!$C$23),IF(O7&lt;=14,IF(入力データ!$I$26="私立",前提条件!$C$26,前提条件!$C$25),IF(O7&lt;=17,IF(入力データ!$J$26="私立",前提条件!$C$28,前提条件!$C$27),IF(O7&lt;=21,IF(入力データ!$K$26="国公立",前提条件!$C$29,IF(入力データ!$K$26="私立理系",前提条件!$C$31,前提条件!$C$30))+IF(入力データ!$L$26="下宿",前提条件!$C$32,0)+IF(O7=18,前提条件!$C$33,0),0))))))+IF(O8="",0,IF(O8&lt;=5,IF(入力データ!$G$27="私立",前提条件!$C$22,前提条件!$C$21),IF(O8&lt;=11,IF(入力データ!$H$27="私立",前提条件!$C$24,前提条件!$C$23),IF(O8&lt;=14,IF(入力データ!$I$27="私立",前提条件!$C$26,前提条件!$C$25),IF(O8&lt;=17,IF(入力データ!$J$27="私立",前提条件!$C$28,前提条件!$C$27),IF(O8&lt;=21,IF(入力データ!$K$27="国公立",前提条件!$C$29,IF(入力データ!$K$27="私立理系",前提条件!$C$31,前提条件!$C$30))+IF(入力データ!$L$27="下宿",前提条件!$C$32,0)+IF(O8=18,前提条件!$C$33,0),0)))))))*(1+前提条件!$C$13)^(O$3-$B$3))))</f>
        <v/>
      </c>
      <c r="P24" s="352">
        <f>IF(P$3="","",IF(入力データ!$C$17&lt;=0,0,IF(P$3="","",((SUM(入力データ!$C$58:$C$61)*12)+IF(P6="",0,IF(P6&lt;=5,IF(入力データ!$G$25="私立",前提条件!$C$22,前提条件!$C$21),IF(P6&lt;=11,IF(入力データ!$H$25="私立",前提条件!$C$24,前提条件!$C$23),IF(P6&lt;=14,IF(入力データ!$I$25="私立",前提条件!$C$26,前提条件!$C$25),IF(P6&lt;=17,IF(入力データ!$J$25="私立",前提条件!$C$28,前提条件!$C$27),IF(P6&lt;=21,IF(入力データ!$K$25="国公立",前提条件!$C$29,IF(入力データ!$K$25="私立理系",前提条件!$C$31,前提条件!$C$30))+IF(入力データ!$L$25="下宿",前提条件!$C$32,0)+IF(P6=18,前提条件!$C$33,0),0))))))+IF(P7="",0,IF(P7&lt;=5,IF(入力データ!$G$26="私立",前提条件!$C$22,前提条件!$C$21),IF(P7&lt;=11,IF(入力データ!$H$26="私立",前提条件!$C$24,前提条件!$C$23),IF(P7&lt;=14,IF(入力データ!$I$26="私立",前提条件!$C$26,前提条件!$C$25),IF(P7&lt;=17,IF(入力データ!$J$26="私立",前提条件!$C$28,前提条件!$C$27),IF(P7&lt;=21,IF(入力データ!$K$26="国公立",前提条件!$C$29,IF(入力データ!$K$26="私立理系",前提条件!$C$31,前提条件!$C$30))+IF(入力データ!$L$26="下宿",前提条件!$C$32,0)+IF(P7=18,前提条件!$C$33,0),0))))))+IF(P8="",0,IF(P8&lt;=5,IF(入力データ!$G$27="私立",前提条件!$C$22,前提条件!$C$21),IF(P8&lt;=11,IF(入力データ!$H$27="私立",前提条件!$C$24,前提条件!$C$23),IF(P8&lt;=14,IF(入力データ!$I$27="私立",前提条件!$C$26,前提条件!$C$25),IF(P8&lt;=17,IF(入力データ!$J$27="私立",前提条件!$C$28,前提条件!$C$27),IF(P8&lt;=21,IF(入力データ!$K$27="国公立",前提条件!$C$29,IF(入力データ!$K$27="私立理系",前提条件!$C$31,前提条件!$C$30))+IF(入力データ!$L$27="下宿",前提条件!$C$32,0)+IF(P8=18,前提条件!$C$33,0),0)))))))*(1+前提条件!$C$13)^(P$3-$B$3))))</f>
        <v/>
      </c>
      <c r="Q24" s="352">
        <f>IF(Q$3="","",IF(入力データ!$C$17&lt;=0,0,IF(Q$3="","",((SUM(入力データ!$C$58:$C$61)*12)+IF(Q6="",0,IF(Q6&lt;=5,IF(入力データ!$G$25="私立",前提条件!$C$22,前提条件!$C$21),IF(Q6&lt;=11,IF(入力データ!$H$25="私立",前提条件!$C$24,前提条件!$C$23),IF(Q6&lt;=14,IF(入力データ!$I$25="私立",前提条件!$C$26,前提条件!$C$25),IF(Q6&lt;=17,IF(入力データ!$J$25="私立",前提条件!$C$28,前提条件!$C$27),IF(Q6&lt;=21,IF(入力データ!$K$25="国公立",前提条件!$C$29,IF(入力データ!$K$25="私立理系",前提条件!$C$31,前提条件!$C$30))+IF(入力データ!$L$25="下宿",前提条件!$C$32,0)+IF(Q6=18,前提条件!$C$33,0),0))))))+IF(Q7="",0,IF(Q7&lt;=5,IF(入力データ!$G$26="私立",前提条件!$C$22,前提条件!$C$21),IF(Q7&lt;=11,IF(入力データ!$H$26="私立",前提条件!$C$24,前提条件!$C$23),IF(Q7&lt;=14,IF(入力データ!$I$26="私立",前提条件!$C$26,前提条件!$C$25),IF(Q7&lt;=17,IF(入力データ!$J$26="私立",前提条件!$C$28,前提条件!$C$27),IF(Q7&lt;=21,IF(入力データ!$K$26="国公立",前提条件!$C$29,IF(入力データ!$K$26="私立理系",前提条件!$C$31,前提条件!$C$30))+IF(入力データ!$L$26="下宿",前提条件!$C$32,0)+IF(Q7=18,前提条件!$C$33,0),0))))))+IF(Q8="",0,IF(Q8&lt;=5,IF(入力データ!$G$27="私立",前提条件!$C$22,前提条件!$C$21),IF(Q8&lt;=11,IF(入力データ!$H$27="私立",前提条件!$C$24,前提条件!$C$23),IF(Q8&lt;=14,IF(入力データ!$I$27="私立",前提条件!$C$26,前提条件!$C$25),IF(Q8&lt;=17,IF(入力データ!$J$27="私立",前提条件!$C$28,前提条件!$C$27),IF(Q8&lt;=21,IF(入力データ!$K$27="国公立",前提条件!$C$29,IF(入力データ!$K$27="私立理系",前提条件!$C$31,前提条件!$C$30))+IF(入力データ!$L$27="下宿",前提条件!$C$32,0)+IF(Q8=18,前提条件!$C$33,0),0)))))))*(1+前提条件!$C$13)^(Q$3-$B$3))))</f>
        <v/>
      </c>
      <c r="R24" s="352">
        <f>IF(R$3="","",IF(入力データ!$C$17&lt;=0,0,IF(R$3="","",((SUM(入力データ!$C$58:$C$61)*12)+IF(R6="",0,IF(R6&lt;=5,IF(入力データ!$G$25="私立",前提条件!$C$22,前提条件!$C$21),IF(R6&lt;=11,IF(入力データ!$H$25="私立",前提条件!$C$24,前提条件!$C$23),IF(R6&lt;=14,IF(入力データ!$I$25="私立",前提条件!$C$26,前提条件!$C$25),IF(R6&lt;=17,IF(入力データ!$J$25="私立",前提条件!$C$28,前提条件!$C$27),IF(R6&lt;=21,IF(入力データ!$K$25="国公立",前提条件!$C$29,IF(入力データ!$K$25="私立理系",前提条件!$C$31,前提条件!$C$30))+IF(入力データ!$L$25="下宿",前提条件!$C$32,0)+IF(R6=18,前提条件!$C$33,0),0))))))+IF(R7="",0,IF(R7&lt;=5,IF(入力データ!$G$26="私立",前提条件!$C$22,前提条件!$C$21),IF(R7&lt;=11,IF(入力データ!$H$26="私立",前提条件!$C$24,前提条件!$C$23),IF(R7&lt;=14,IF(入力データ!$I$26="私立",前提条件!$C$26,前提条件!$C$25),IF(R7&lt;=17,IF(入力データ!$J$26="私立",前提条件!$C$28,前提条件!$C$27),IF(R7&lt;=21,IF(入力データ!$K$26="国公立",前提条件!$C$29,IF(入力データ!$K$26="私立理系",前提条件!$C$31,前提条件!$C$30))+IF(入力データ!$L$26="下宿",前提条件!$C$32,0)+IF(R7=18,前提条件!$C$33,0),0))))))+IF(R8="",0,IF(R8&lt;=5,IF(入力データ!$G$27="私立",前提条件!$C$22,前提条件!$C$21),IF(R8&lt;=11,IF(入力データ!$H$27="私立",前提条件!$C$24,前提条件!$C$23),IF(R8&lt;=14,IF(入力データ!$I$27="私立",前提条件!$C$26,前提条件!$C$25),IF(R8&lt;=17,IF(入力データ!$J$27="私立",前提条件!$C$28,前提条件!$C$27),IF(R8&lt;=21,IF(入力データ!$K$27="国公立",前提条件!$C$29,IF(入力データ!$K$27="私立理系",前提条件!$C$31,前提条件!$C$30))+IF(入力データ!$L$27="下宿",前提条件!$C$32,0)+IF(R8=18,前提条件!$C$33,0),0)))))))*(1+前提条件!$C$13)^(R$3-$B$3))))</f>
        <v/>
      </c>
      <c r="S24" s="352">
        <f>IF(S$3="","",IF(入力データ!$C$17&lt;=0,0,IF(S$3="","",((SUM(入力データ!$C$58:$C$61)*12)+IF(S6="",0,IF(S6&lt;=5,IF(入力データ!$G$25="私立",前提条件!$C$22,前提条件!$C$21),IF(S6&lt;=11,IF(入力データ!$H$25="私立",前提条件!$C$24,前提条件!$C$23),IF(S6&lt;=14,IF(入力データ!$I$25="私立",前提条件!$C$26,前提条件!$C$25),IF(S6&lt;=17,IF(入力データ!$J$25="私立",前提条件!$C$28,前提条件!$C$27),IF(S6&lt;=21,IF(入力データ!$K$25="国公立",前提条件!$C$29,IF(入力データ!$K$25="私立理系",前提条件!$C$31,前提条件!$C$30))+IF(入力データ!$L$25="下宿",前提条件!$C$32,0)+IF(S6=18,前提条件!$C$33,0),0))))))+IF(S7="",0,IF(S7&lt;=5,IF(入力データ!$G$26="私立",前提条件!$C$22,前提条件!$C$21),IF(S7&lt;=11,IF(入力データ!$H$26="私立",前提条件!$C$24,前提条件!$C$23),IF(S7&lt;=14,IF(入力データ!$I$26="私立",前提条件!$C$26,前提条件!$C$25),IF(S7&lt;=17,IF(入力データ!$J$26="私立",前提条件!$C$28,前提条件!$C$27),IF(S7&lt;=21,IF(入力データ!$K$26="国公立",前提条件!$C$29,IF(入力データ!$K$26="私立理系",前提条件!$C$31,前提条件!$C$30))+IF(入力データ!$L$26="下宿",前提条件!$C$32,0)+IF(S7=18,前提条件!$C$33,0),0))))))+IF(S8="",0,IF(S8&lt;=5,IF(入力データ!$G$27="私立",前提条件!$C$22,前提条件!$C$21),IF(S8&lt;=11,IF(入力データ!$H$27="私立",前提条件!$C$24,前提条件!$C$23),IF(S8&lt;=14,IF(入力データ!$I$27="私立",前提条件!$C$26,前提条件!$C$25),IF(S8&lt;=17,IF(入力データ!$J$27="私立",前提条件!$C$28,前提条件!$C$27),IF(S8&lt;=21,IF(入力データ!$K$27="国公立",前提条件!$C$29,IF(入力データ!$K$27="私立理系",前提条件!$C$31,前提条件!$C$30))+IF(入力データ!$L$27="下宿",前提条件!$C$32,0)+IF(S8=18,前提条件!$C$33,0),0)))))))*(1+前提条件!$C$13)^(S$3-$B$3))))</f>
        <v/>
      </c>
      <c r="T24" s="352">
        <f>IF(T$3="","",IF(入力データ!$C$17&lt;=0,0,IF(T$3="","",((SUM(入力データ!$C$58:$C$61)*12)+IF(T6="",0,IF(T6&lt;=5,IF(入力データ!$G$25="私立",前提条件!$C$22,前提条件!$C$21),IF(T6&lt;=11,IF(入力データ!$H$25="私立",前提条件!$C$24,前提条件!$C$23),IF(T6&lt;=14,IF(入力データ!$I$25="私立",前提条件!$C$26,前提条件!$C$25),IF(T6&lt;=17,IF(入力データ!$J$25="私立",前提条件!$C$28,前提条件!$C$27),IF(T6&lt;=21,IF(入力データ!$K$25="国公立",前提条件!$C$29,IF(入力データ!$K$25="私立理系",前提条件!$C$31,前提条件!$C$30))+IF(入力データ!$L$25="下宿",前提条件!$C$32,0)+IF(T6=18,前提条件!$C$33,0),0))))))+IF(T7="",0,IF(T7&lt;=5,IF(入力データ!$G$26="私立",前提条件!$C$22,前提条件!$C$21),IF(T7&lt;=11,IF(入力データ!$H$26="私立",前提条件!$C$24,前提条件!$C$23),IF(T7&lt;=14,IF(入力データ!$I$26="私立",前提条件!$C$26,前提条件!$C$25),IF(T7&lt;=17,IF(入力データ!$J$26="私立",前提条件!$C$28,前提条件!$C$27),IF(T7&lt;=21,IF(入力データ!$K$26="国公立",前提条件!$C$29,IF(入力データ!$K$26="私立理系",前提条件!$C$31,前提条件!$C$30))+IF(入力データ!$L$26="下宿",前提条件!$C$32,0)+IF(T7=18,前提条件!$C$33,0),0))))))+IF(T8="",0,IF(T8&lt;=5,IF(入力データ!$G$27="私立",前提条件!$C$22,前提条件!$C$21),IF(T8&lt;=11,IF(入力データ!$H$27="私立",前提条件!$C$24,前提条件!$C$23),IF(T8&lt;=14,IF(入力データ!$I$27="私立",前提条件!$C$26,前提条件!$C$25),IF(T8&lt;=17,IF(入力データ!$J$27="私立",前提条件!$C$28,前提条件!$C$27),IF(T8&lt;=21,IF(入力データ!$K$27="国公立",前提条件!$C$29,IF(入力データ!$K$27="私立理系",前提条件!$C$31,前提条件!$C$30))+IF(入力データ!$L$27="下宿",前提条件!$C$32,0)+IF(T8=18,前提条件!$C$33,0),0)))))))*(1+前提条件!$C$13)^(T$3-$B$3))))</f>
        <v/>
      </c>
      <c r="U24" s="352">
        <f>IF(U$3="","",IF(入力データ!$C$17&lt;=0,0,IF(U$3="","",((SUM(入力データ!$C$58:$C$61)*12)+IF(U6="",0,IF(U6&lt;=5,IF(入力データ!$G$25="私立",前提条件!$C$22,前提条件!$C$21),IF(U6&lt;=11,IF(入力データ!$H$25="私立",前提条件!$C$24,前提条件!$C$23),IF(U6&lt;=14,IF(入力データ!$I$25="私立",前提条件!$C$26,前提条件!$C$25),IF(U6&lt;=17,IF(入力データ!$J$25="私立",前提条件!$C$28,前提条件!$C$27),IF(U6&lt;=21,IF(入力データ!$K$25="国公立",前提条件!$C$29,IF(入力データ!$K$25="私立理系",前提条件!$C$31,前提条件!$C$30))+IF(入力データ!$L$25="下宿",前提条件!$C$32,0)+IF(U6=18,前提条件!$C$33,0),0))))))+IF(U7="",0,IF(U7&lt;=5,IF(入力データ!$G$26="私立",前提条件!$C$22,前提条件!$C$21),IF(U7&lt;=11,IF(入力データ!$H$26="私立",前提条件!$C$24,前提条件!$C$23),IF(U7&lt;=14,IF(入力データ!$I$26="私立",前提条件!$C$26,前提条件!$C$25),IF(U7&lt;=17,IF(入力データ!$J$26="私立",前提条件!$C$28,前提条件!$C$27),IF(U7&lt;=21,IF(入力データ!$K$26="国公立",前提条件!$C$29,IF(入力データ!$K$26="私立理系",前提条件!$C$31,前提条件!$C$30))+IF(入力データ!$L$26="下宿",前提条件!$C$32,0)+IF(U7=18,前提条件!$C$33,0),0))))))+IF(U8="",0,IF(U8&lt;=5,IF(入力データ!$G$27="私立",前提条件!$C$22,前提条件!$C$21),IF(U8&lt;=11,IF(入力データ!$H$27="私立",前提条件!$C$24,前提条件!$C$23),IF(U8&lt;=14,IF(入力データ!$I$27="私立",前提条件!$C$26,前提条件!$C$25),IF(U8&lt;=17,IF(入力データ!$J$27="私立",前提条件!$C$28,前提条件!$C$27),IF(U8&lt;=21,IF(入力データ!$K$27="国公立",前提条件!$C$29,IF(入力データ!$K$27="私立理系",前提条件!$C$31,前提条件!$C$30))+IF(入力データ!$L$27="下宿",前提条件!$C$32,0)+IF(U8=18,前提条件!$C$33,0),0)))))))*(1+前提条件!$C$13)^(U$3-$B$3))))</f>
        <v/>
      </c>
      <c r="V24" s="352">
        <f>IF(V$3="","",IF(入力データ!$C$17&lt;=0,0,IF(V$3="","",((SUM(入力データ!$C$58:$C$61)*12)+IF(V6="",0,IF(V6&lt;=5,IF(入力データ!$G$25="私立",前提条件!$C$22,前提条件!$C$21),IF(V6&lt;=11,IF(入力データ!$H$25="私立",前提条件!$C$24,前提条件!$C$23),IF(V6&lt;=14,IF(入力データ!$I$25="私立",前提条件!$C$26,前提条件!$C$25),IF(V6&lt;=17,IF(入力データ!$J$25="私立",前提条件!$C$28,前提条件!$C$27),IF(V6&lt;=21,IF(入力データ!$K$25="国公立",前提条件!$C$29,IF(入力データ!$K$25="私立理系",前提条件!$C$31,前提条件!$C$30))+IF(入力データ!$L$25="下宿",前提条件!$C$32,0)+IF(V6=18,前提条件!$C$33,0),0))))))+IF(V7="",0,IF(V7&lt;=5,IF(入力データ!$G$26="私立",前提条件!$C$22,前提条件!$C$21),IF(V7&lt;=11,IF(入力データ!$H$26="私立",前提条件!$C$24,前提条件!$C$23),IF(V7&lt;=14,IF(入力データ!$I$26="私立",前提条件!$C$26,前提条件!$C$25),IF(V7&lt;=17,IF(入力データ!$J$26="私立",前提条件!$C$28,前提条件!$C$27),IF(V7&lt;=21,IF(入力データ!$K$26="国公立",前提条件!$C$29,IF(入力データ!$K$26="私立理系",前提条件!$C$31,前提条件!$C$30))+IF(入力データ!$L$26="下宿",前提条件!$C$32,0)+IF(V7=18,前提条件!$C$33,0),0))))))+IF(V8="",0,IF(V8&lt;=5,IF(入力データ!$G$27="私立",前提条件!$C$22,前提条件!$C$21),IF(V8&lt;=11,IF(入力データ!$H$27="私立",前提条件!$C$24,前提条件!$C$23),IF(V8&lt;=14,IF(入力データ!$I$27="私立",前提条件!$C$26,前提条件!$C$25),IF(V8&lt;=17,IF(入力データ!$J$27="私立",前提条件!$C$28,前提条件!$C$27),IF(V8&lt;=21,IF(入力データ!$K$27="国公立",前提条件!$C$29,IF(入力データ!$K$27="私立理系",前提条件!$C$31,前提条件!$C$30))+IF(入力データ!$L$27="下宿",前提条件!$C$32,0)+IF(V8=18,前提条件!$C$33,0),0)))))))*(1+前提条件!$C$13)^(V$3-$B$3))))</f>
        <v/>
      </c>
      <c r="W24" s="352">
        <f>IF(W$3="","",IF(入力データ!$C$17&lt;=0,0,IF(W$3="","",((SUM(入力データ!$C$58:$C$61)*12)+IF(W6="",0,IF(W6&lt;=5,IF(入力データ!$G$25="私立",前提条件!$C$22,前提条件!$C$21),IF(W6&lt;=11,IF(入力データ!$H$25="私立",前提条件!$C$24,前提条件!$C$23),IF(W6&lt;=14,IF(入力データ!$I$25="私立",前提条件!$C$26,前提条件!$C$25),IF(W6&lt;=17,IF(入力データ!$J$25="私立",前提条件!$C$28,前提条件!$C$27),IF(W6&lt;=21,IF(入力データ!$K$25="国公立",前提条件!$C$29,IF(入力データ!$K$25="私立理系",前提条件!$C$31,前提条件!$C$30))+IF(入力データ!$L$25="下宿",前提条件!$C$32,0)+IF(W6=18,前提条件!$C$33,0),0))))))+IF(W7="",0,IF(W7&lt;=5,IF(入力データ!$G$26="私立",前提条件!$C$22,前提条件!$C$21),IF(W7&lt;=11,IF(入力データ!$H$26="私立",前提条件!$C$24,前提条件!$C$23),IF(W7&lt;=14,IF(入力データ!$I$26="私立",前提条件!$C$26,前提条件!$C$25),IF(W7&lt;=17,IF(入力データ!$J$26="私立",前提条件!$C$28,前提条件!$C$27),IF(W7&lt;=21,IF(入力データ!$K$26="国公立",前提条件!$C$29,IF(入力データ!$K$26="私立理系",前提条件!$C$31,前提条件!$C$30))+IF(入力データ!$L$26="下宿",前提条件!$C$32,0)+IF(W7=18,前提条件!$C$33,0),0))))))+IF(W8="",0,IF(W8&lt;=5,IF(入力データ!$G$27="私立",前提条件!$C$22,前提条件!$C$21),IF(W8&lt;=11,IF(入力データ!$H$27="私立",前提条件!$C$24,前提条件!$C$23),IF(W8&lt;=14,IF(入力データ!$I$27="私立",前提条件!$C$26,前提条件!$C$25),IF(W8&lt;=17,IF(入力データ!$J$27="私立",前提条件!$C$28,前提条件!$C$27),IF(W8&lt;=21,IF(入力データ!$K$27="国公立",前提条件!$C$29,IF(入力データ!$K$27="私立理系",前提条件!$C$31,前提条件!$C$30))+IF(入力データ!$L$27="下宿",前提条件!$C$32,0)+IF(W8=18,前提条件!$C$33,0),0)))))))*(1+前提条件!$C$13)^(W$3-$B$3))))</f>
        <v/>
      </c>
      <c r="X24" s="352">
        <f>IF(X$3="","",IF(入力データ!$C$17&lt;=0,0,IF(X$3="","",((SUM(入力データ!$C$58:$C$61)*12)+IF(X6="",0,IF(X6&lt;=5,IF(入力データ!$G$25="私立",前提条件!$C$22,前提条件!$C$21),IF(X6&lt;=11,IF(入力データ!$H$25="私立",前提条件!$C$24,前提条件!$C$23),IF(X6&lt;=14,IF(入力データ!$I$25="私立",前提条件!$C$26,前提条件!$C$25),IF(X6&lt;=17,IF(入力データ!$J$25="私立",前提条件!$C$28,前提条件!$C$27),IF(X6&lt;=21,IF(入力データ!$K$25="国公立",前提条件!$C$29,IF(入力データ!$K$25="私立理系",前提条件!$C$31,前提条件!$C$30))+IF(入力データ!$L$25="下宿",前提条件!$C$32,0)+IF(X6=18,前提条件!$C$33,0),0))))))+IF(X7="",0,IF(X7&lt;=5,IF(入力データ!$G$26="私立",前提条件!$C$22,前提条件!$C$21),IF(X7&lt;=11,IF(入力データ!$H$26="私立",前提条件!$C$24,前提条件!$C$23),IF(X7&lt;=14,IF(入力データ!$I$26="私立",前提条件!$C$26,前提条件!$C$25),IF(X7&lt;=17,IF(入力データ!$J$26="私立",前提条件!$C$28,前提条件!$C$27),IF(X7&lt;=21,IF(入力データ!$K$26="国公立",前提条件!$C$29,IF(入力データ!$K$26="私立理系",前提条件!$C$31,前提条件!$C$30))+IF(入力データ!$L$26="下宿",前提条件!$C$32,0)+IF(X7=18,前提条件!$C$33,0),0))))))+IF(X8="",0,IF(X8&lt;=5,IF(入力データ!$G$27="私立",前提条件!$C$22,前提条件!$C$21),IF(X8&lt;=11,IF(入力データ!$H$27="私立",前提条件!$C$24,前提条件!$C$23),IF(X8&lt;=14,IF(入力データ!$I$27="私立",前提条件!$C$26,前提条件!$C$25),IF(X8&lt;=17,IF(入力データ!$J$27="私立",前提条件!$C$28,前提条件!$C$27),IF(X8&lt;=21,IF(入力データ!$K$27="国公立",前提条件!$C$29,IF(入力データ!$K$27="私立理系",前提条件!$C$31,前提条件!$C$30))+IF(入力データ!$L$27="下宿",前提条件!$C$32,0)+IF(X8=18,前提条件!$C$33,0),0)))))))*(1+前提条件!$C$13)^(X$3-$B$3))))</f>
        <v/>
      </c>
      <c r="Y24" s="352">
        <f>IF(Y$3="","",IF(入力データ!$C$17&lt;=0,0,IF(Y$3="","",((SUM(入力データ!$C$58:$C$61)*12)+IF(Y6="",0,IF(Y6&lt;=5,IF(入力データ!$G$25="私立",前提条件!$C$22,前提条件!$C$21),IF(Y6&lt;=11,IF(入力データ!$H$25="私立",前提条件!$C$24,前提条件!$C$23),IF(Y6&lt;=14,IF(入力データ!$I$25="私立",前提条件!$C$26,前提条件!$C$25),IF(Y6&lt;=17,IF(入力データ!$J$25="私立",前提条件!$C$28,前提条件!$C$27),IF(Y6&lt;=21,IF(入力データ!$K$25="国公立",前提条件!$C$29,IF(入力データ!$K$25="私立理系",前提条件!$C$31,前提条件!$C$30))+IF(入力データ!$L$25="下宿",前提条件!$C$32,0)+IF(Y6=18,前提条件!$C$33,0),0))))))+IF(Y7="",0,IF(Y7&lt;=5,IF(入力データ!$G$26="私立",前提条件!$C$22,前提条件!$C$21),IF(Y7&lt;=11,IF(入力データ!$H$26="私立",前提条件!$C$24,前提条件!$C$23),IF(Y7&lt;=14,IF(入力データ!$I$26="私立",前提条件!$C$26,前提条件!$C$25),IF(Y7&lt;=17,IF(入力データ!$J$26="私立",前提条件!$C$28,前提条件!$C$27),IF(Y7&lt;=21,IF(入力データ!$K$26="国公立",前提条件!$C$29,IF(入力データ!$K$26="私立理系",前提条件!$C$31,前提条件!$C$30))+IF(入力データ!$L$26="下宿",前提条件!$C$32,0)+IF(Y7=18,前提条件!$C$33,0),0))))))+IF(Y8="",0,IF(Y8&lt;=5,IF(入力データ!$G$27="私立",前提条件!$C$22,前提条件!$C$21),IF(Y8&lt;=11,IF(入力データ!$H$27="私立",前提条件!$C$24,前提条件!$C$23),IF(Y8&lt;=14,IF(入力データ!$I$27="私立",前提条件!$C$26,前提条件!$C$25),IF(Y8&lt;=17,IF(入力データ!$J$27="私立",前提条件!$C$28,前提条件!$C$27),IF(Y8&lt;=21,IF(入力データ!$K$27="国公立",前提条件!$C$29,IF(入力データ!$K$27="私立理系",前提条件!$C$31,前提条件!$C$30))+IF(入力データ!$L$27="下宿",前提条件!$C$32,0)+IF(Y8=18,前提条件!$C$33,0),0)))))))*(1+前提条件!$C$13)^(Y$3-$B$3))))</f>
        <v/>
      </c>
      <c r="Z24" s="352">
        <f>IF(Z$3="","",IF(入力データ!$C$17&lt;=0,0,IF(Z$3="","",((SUM(入力データ!$C$58:$C$61)*12)+IF(Z6="",0,IF(Z6&lt;=5,IF(入力データ!$G$25="私立",前提条件!$C$22,前提条件!$C$21),IF(Z6&lt;=11,IF(入力データ!$H$25="私立",前提条件!$C$24,前提条件!$C$23),IF(Z6&lt;=14,IF(入力データ!$I$25="私立",前提条件!$C$26,前提条件!$C$25),IF(Z6&lt;=17,IF(入力データ!$J$25="私立",前提条件!$C$28,前提条件!$C$27),IF(Z6&lt;=21,IF(入力データ!$K$25="国公立",前提条件!$C$29,IF(入力データ!$K$25="私立理系",前提条件!$C$31,前提条件!$C$30))+IF(入力データ!$L$25="下宿",前提条件!$C$32,0)+IF(Z6=18,前提条件!$C$33,0),0))))))+IF(Z7="",0,IF(Z7&lt;=5,IF(入力データ!$G$26="私立",前提条件!$C$22,前提条件!$C$21),IF(Z7&lt;=11,IF(入力データ!$H$26="私立",前提条件!$C$24,前提条件!$C$23),IF(Z7&lt;=14,IF(入力データ!$I$26="私立",前提条件!$C$26,前提条件!$C$25),IF(Z7&lt;=17,IF(入力データ!$J$26="私立",前提条件!$C$28,前提条件!$C$27),IF(Z7&lt;=21,IF(入力データ!$K$26="国公立",前提条件!$C$29,IF(入力データ!$K$26="私立理系",前提条件!$C$31,前提条件!$C$30))+IF(入力データ!$L$26="下宿",前提条件!$C$32,0)+IF(Z7=18,前提条件!$C$33,0),0))))))+IF(Z8="",0,IF(Z8&lt;=5,IF(入力データ!$G$27="私立",前提条件!$C$22,前提条件!$C$21),IF(Z8&lt;=11,IF(入力データ!$H$27="私立",前提条件!$C$24,前提条件!$C$23),IF(Z8&lt;=14,IF(入力データ!$I$27="私立",前提条件!$C$26,前提条件!$C$25),IF(Z8&lt;=17,IF(入力データ!$J$27="私立",前提条件!$C$28,前提条件!$C$27),IF(Z8&lt;=21,IF(入力データ!$K$27="国公立",前提条件!$C$29,IF(入力データ!$K$27="私立理系",前提条件!$C$31,前提条件!$C$30))+IF(入力データ!$L$27="下宿",前提条件!$C$32,0)+IF(Z8=18,前提条件!$C$33,0),0)))))))*(1+前提条件!$C$13)^(Z$3-$B$3))))</f>
        <v/>
      </c>
      <c r="AA24" s="352">
        <f>IF(AA$3="","",IF(入力データ!$C$17&lt;=0,0,IF(AA$3="","",((SUM(入力データ!$C$58:$C$61)*12)+IF(AA6="",0,IF(AA6&lt;=5,IF(入力データ!$G$25="私立",前提条件!$C$22,前提条件!$C$21),IF(AA6&lt;=11,IF(入力データ!$H$25="私立",前提条件!$C$24,前提条件!$C$23),IF(AA6&lt;=14,IF(入力データ!$I$25="私立",前提条件!$C$26,前提条件!$C$25),IF(AA6&lt;=17,IF(入力データ!$J$25="私立",前提条件!$C$28,前提条件!$C$27),IF(AA6&lt;=21,IF(入力データ!$K$25="国公立",前提条件!$C$29,IF(入力データ!$K$25="私立理系",前提条件!$C$31,前提条件!$C$30))+IF(入力データ!$L$25="下宿",前提条件!$C$32,0)+IF(AA6=18,前提条件!$C$33,0),0))))))+IF(AA7="",0,IF(AA7&lt;=5,IF(入力データ!$G$26="私立",前提条件!$C$22,前提条件!$C$21),IF(AA7&lt;=11,IF(入力データ!$H$26="私立",前提条件!$C$24,前提条件!$C$23),IF(AA7&lt;=14,IF(入力データ!$I$26="私立",前提条件!$C$26,前提条件!$C$25),IF(AA7&lt;=17,IF(入力データ!$J$26="私立",前提条件!$C$28,前提条件!$C$27),IF(AA7&lt;=21,IF(入力データ!$K$26="国公立",前提条件!$C$29,IF(入力データ!$K$26="私立理系",前提条件!$C$31,前提条件!$C$30))+IF(入力データ!$L$26="下宿",前提条件!$C$32,0)+IF(AA7=18,前提条件!$C$33,0),0))))))+IF(AA8="",0,IF(AA8&lt;=5,IF(入力データ!$G$27="私立",前提条件!$C$22,前提条件!$C$21),IF(AA8&lt;=11,IF(入力データ!$H$27="私立",前提条件!$C$24,前提条件!$C$23),IF(AA8&lt;=14,IF(入力データ!$I$27="私立",前提条件!$C$26,前提条件!$C$25),IF(AA8&lt;=17,IF(入力データ!$J$27="私立",前提条件!$C$28,前提条件!$C$27),IF(AA8&lt;=21,IF(入力データ!$K$27="国公立",前提条件!$C$29,IF(入力データ!$K$27="私立理系",前提条件!$C$31,前提条件!$C$30))+IF(入力データ!$L$27="下宿",前提条件!$C$32,0)+IF(AA8=18,前提条件!$C$33,0),0)))))))*(1+前提条件!$C$13)^(AA$3-$B$3))))</f>
        <v/>
      </c>
      <c r="AB24" s="352">
        <f>IF(AB$3="","",IF(入力データ!$C$17&lt;=0,0,IF(AB$3="","",((SUM(入力データ!$C$58:$C$61)*12)+IF(AB6="",0,IF(AB6&lt;=5,IF(入力データ!$G$25="私立",前提条件!$C$22,前提条件!$C$21),IF(AB6&lt;=11,IF(入力データ!$H$25="私立",前提条件!$C$24,前提条件!$C$23),IF(AB6&lt;=14,IF(入力データ!$I$25="私立",前提条件!$C$26,前提条件!$C$25),IF(AB6&lt;=17,IF(入力データ!$J$25="私立",前提条件!$C$28,前提条件!$C$27),IF(AB6&lt;=21,IF(入力データ!$K$25="国公立",前提条件!$C$29,IF(入力データ!$K$25="私立理系",前提条件!$C$31,前提条件!$C$30))+IF(入力データ!$L$25="下宿",前提条件!$C$32,0)+IF(AB6=18,前提条件!$C$33,0),0))))))+IF(AB7="",0,IF(AB7&lt;=5,IF(入力データ!$G$26="私立",前提条件!$C$22,前提条件!$C$21),IF(AB7&lt;=11,IF(入力データ!$H$26="私立",前提条件!$C$24,前提条件!$C$23),IF(AB7&lt;=14,IF(入力データ!$I$26="私立",前提条件!$C$26,前提条件!$C$25),IF(AB7&lt;=17,IF(入力データ!$J$26="私立",前提条件!$C$28,前提条件!$C$27),IF(AB7&lt;=21,IF(入力データ!$K$26="国公立",前提条件!$C$29,IF(入力データ!$K$26="私立理系",前提条件!$C$31,前提条件!$C$30))+IF(入力データ!$L$26="下宿",前提条件!$C$32,0)+IF(AB7=18,前提条件!$C$33,0),0))))))+IF(AB8="",0,IF(AB8&lt;=5,IF(入力データ!$G$27="私立",前提条件!$C$22,前提条件!$C$21),IF(AB8&lt;=11,IF(入力データ!$H$27="私立",前提条件!$C$24,前提条件!$C$23),IF(AB8&lt;=14,IF(入力データ!$I$27="私立",前提条件!$C$26,前提条件!$C$25),IF(AB8&lt;=17,IF(入力データ!$J$27="私立",前提条件!$C$28,前提条件!$C$27),IF(AB8&lt;=21,IF(入力データ!$K$27="国公立",前提条件!$C$29,IF(入力データ!$K$27="私立理系",前提条件!$C$31,前提条件!$C$30))+IF(入力データ!$L$27="下宿",前提条件!$C$32,0)+IF(AB8=18,前提条件!$C$33,0),0)))))))*(1+前提条件!$C$13)^(AB$3-$B$3))))</f>
        <v/>
      </c>
      <c r="AC24" s="352">
        <f>IF(AC$3="","",IF(入力データ!$C$17&lt;=0,0,IF(AC$3="","",((SUM(入力データ!$C$58:$C$61)*12)+IF(AC6="",0,IF(AC6&lt;=5,IF(入力データ!$G$25="私立",前提条件!$C$22,前提条件!$C$21),IF(AC6&lt;=11,IF(入力データ!$H$25="私立",前提条件!$C$24,前提条件!$C$23),IF(AC6&lt;=14,IF(入力データ!$I$25="私立",前提条件!$C$26,前提条件!$C$25),IF(AC6&lt;=17,IF(入力データ!$J$25="私立",前提条件!$C$28,前提条件!$C$27),IF(AC6&lt;=21,IF(入力データ!$K$25="国公立",前提条件!$C$29,IF(入力データ!$K$25="私立理系",前提条件!$C$31,前提条件!$C$30))+IF(入力データ!$L$25="下宿",前提条件!$C$32,0)+IF(AC6=18,前提条件!$C$33,0),0))))))+IF(AC7="",0,IF(AC7&lt;=5,IF(入力データ!$G$26="私立",前提条件!$C$22,前提条件!$C$21),IF(AC7&lt;=11,IF(入力データ!$H$26="私立",前提条件!$C$24,前提条件!$C$23),IF(AC7&lt;=14,IF(入力データ!$I$26="私立",前提条件!$C$26,前提条件!$C$25),IF(AC7&lt;=17,IF(入力データ!$J$26="私立",前提条件!$C$28,前提条件!$C$27),IF(AC7&lt;=21,IF(入力データ!$K$26="国公立",前提条件!$C$29,IF(入力データ!$K$26="私立理系",前提条件!$C$31,前提条件!$C$30))+IF(入力データ!$L$26="下宿",前提条件!$C$32,0)+IF(AC7=18,前提条件!$C$33,0),0))))))+IF(AC8="",0,IF(AC8&lt;=5,IF(入力データ!$G$27="私立",前提条件!$C$22,前提条件!$C$21),IF(AC8&lt;=11,IF(入力データ!$H$27="私立",前提条件!$C$24,前提条件!$C$23),IF(AC8&lt;=14,IF(入力データ!$I$27="私立",前提条件!$C$26,前提条件!$C$25),IF(AC8&lt;=17,IF(入力データ!$J$27="私立",前提条件!$C$28,前提条件!$C$27),IF(AC8&lt;=21,IF(入力データ!$K$27="国公立",前提条件!$C$29,IF(入力データ!$K$27="私立理系",前提条件!$C$31,前提条件!$C$30))+IF(入力データ!$L$27="下宿",前提条件!$C$32,0)+IF(AC8=18,前提条件!$C$33,0),0)))))))*(1+前提条件!$C$13)^(AC$3-$B$3))))</f>
        <v/>
      </c>
      <c r="AD24" s="352">
        <f>IF(AD$3="","",IF(入力データ!$C$17&lt;=0,0,IF(AD$3="","",((SUM(入力データ!$C$58:$C$61)*12)+IF(AD6="",0,IF(AD6&lt;=5,IF(入力データ!$G$25="私立",前提条件!$C$22,前提条件!$C$21),IF(AD6&lt;=11,IF(入力データ!$H$25="私立",前提条件!$C$24,前提条件!$C$23),IF(AD6&lt;=14,IF(入力データ!$I$25="私立",前提条件!$C$26,前提条件!$C$25),IF(AD6&lt;=17,IF(入力データ!$J$25="私立",前提条件!$C$28,前提条件!$C$27),IF(AD6&lt;=21,IF(入力データ!$K$25="国公立",前提条件!$C$29,IF(入力データ!$K$25="私立理系",前提条件!$C$31,前提条件!$C$30))+IF(入力データ!$L$25="下宿",前提条件!$C$32,0)+IF(AD6=18,前提条件!$C$33,0),0))))))+IF(AD7="",0,IF(AD7&lt;=5,IF(入力データ!$G$26="私立",前提条件!$C$22,前提条件!$C$21),IF(AD7&lt;=11,IF(入力データ!$H$26="私立",前提条件!$C$24,前提条件!$C$23),IF(AD7&lt;=14,IF(入力データ!$I$26="私立",前提条件!$C$26,前提条件!$C$25),IF(AD7&lt;=17,IF(入力データ!$J$26="私立",前提条件!$C$28,前提条件!$C$27),IF(AD7&lt;=21,IF(入力データ!$K$26="国公立",前提条件!$C$29,IF(入力データ!$K$26="私立理系",前提条件!$C$31,前提条件!$C$30))+IF(入力データ!$L$26="下宿",前提条件!$C$32,0)+IF(AD7=18,前提条件!$C$33,0),0))))))+IF(AD8="",0,IF(AD8&lt;=5,IF(入力データ!$G$27="私立",前提条件!$C$22,前提条件!$C$21),IF(AD8&lt;=11,IF(入力データ!$H$27="私立",前提条件!$C$24,前提条件!$C$23),IF(AD8&lt;=14,IF(入力データ!$I$27="私立",前提条件!$C$26,前提条件!$C$25),IF(AD8&lt;=17,IF(入力データ!$J$27="私立",前提条件!$C$28,前提条件!$C$27),IF(AD8&lt;=21,IF(入力データ!$K$27="国公立",前提条件!$C$29,IF(入力データ!$K$27="私立理系",前提条件!$C$31,前提条件!$C$30))+IF(入力データ!$L$27="下宿",前提条件!$C$32,0)+IF(AD8=18,前提条件!$C$33,0),0)))))))*(1+前提条件!$C$13)^(AD$3-$B$3))))</f>
        <v/>
      </c>
      <c r="AE24" s="352">
        <f>IF(AE$3="","",IF(入力データ!$C$17&lt;=0,0,IF(AE$3="","",((SUM(入力データ!$C$58:$C$61)*12)+IF(AE6="",0,IF(AE6&lt;=5,IF(入力データ!$G$25="私立",前提条件!$C$22,前提条件!$C$21),IF(AE6&lt;=11,IF(入力データ!$H$25="私立",前提条件!$C$24,前提条件!$C$23),IF(AE6&lt;=14,IF(入力データ!$I$25="私立",前提条件!$C$26,前提条件!$C$25),IF(AE6&lt;=17,IF(入力データ!$J$25="私立",前提条件!$C$28,前提条件!$C$27),IF(AE6&lt;=21,IF(入力データ!$K$25="国公立",前提条件!$C$29,IF(入力データ!$K$25="私立理系",前提条件!$C$31,前提条件!$C$30))+IF(入力データ!$L$25="下宿",前提条件!$C$32,0)+IF(AE6=18,前提条件!$C$33,0),0))))))+IF(AE7="",0,IF(AE7&lt;=5,IF(入力データ!$G$26="私立",前提条件!$C$22,前提条件!$C$21),IF(AE7&lt;=11,IF(入力データ!$H$26="私立",前提条件!$C$24,前提条件!$C$23),IF(AE7&lt;=14,IF(入力データ!$I$26="私立",前提条件!$C$26,前提条件!$C$25),IF(AE7&lt;=17,IF(入力データ!$J$26="私立",前提条件!$C$28,前提条件!$C$27),IF(AE7&lt;=21,IF(入力データ!$K$26="国公立",前提条件!$C$29,IF(入力データ!$K$26="私立理系",前提条件!$C$31,前提条件!$C$30))+IF(入力データ!$L$26="下宿",前提条件!$C$32,0)+IF(AE7=18,前提条件!$C$33,0),0))))))+IF(AE8="",0,IF(AE8&lt;=5,IF(入力データ!$G$27="私立",前提条件!$C$22,前提条件!$C$21),IF(AE8&lt;=11,IF(入力データ!$H$27="私立",前提条件!$C$24,前提条件!$C$23),IF(AE8&lt;=14,IF(入力データ!$I$27="私立",前提条件!$C$26,前提条件!$C$25),IF(AE8&lt;=17,IF(入力データ!$J$27="私立",前提条件!$C$28,前提条件!$C$27),IF(AE8&lt;=21,IF(入力データ!$K$27="国公立",前提条件!$C$29,IF(入力データ!$K$27="私立理系",前提条件!$C$31,前提条件!$C$30))+IF(入力データ!$L$27="下宿",前提条件!$C$32,0)+IF(AE8=18,前提条件!$C$33,0),0)))))))*(1+前提条件!$C$13)^(AE$3-$B$3))))</f>
        <v/>
      </c>
      <c r="AF24" s="352">
        <f>IF(AF$3="","",IF(入力データ!$C$17&lt;=0,0,IF(AF$3="","",((SUM(入力データ!$C$58:$C$61)*12)+IF(AF6="",0,IF(AF6&lt;=5,IF(入力データ!$G$25="私立",前提条件!$C$22,前提条件!$C$21),IF(AF6&lt;=11,IF(入力データ!$H$25="私立",前提条件!$C$24,前提条件!$C$23),IF(AF6&lt;=14,IF(入力データ!$I$25="私立",前提条件!$C$26,前提条件!$C$25),IF(AF6&lt;=17,IF(入力データ!$J$25="私立",前提条件!$C$28,前提条件!$C$27),IF(AF6&lt;=21,IF(入力データ!$K$25="国公立",前提条件!$C$29,IF(入力データ!$K$25="私立理系",前提条件!$C$31,前提条件!$C$30))+IF(入力データ!$L$25="下宿",前提条件!$C$32,0)+IF(AF6=18,前提条件!$C$33,0),0))))))+IF(AF7="",0,IF(AF7&lt;=5,IF(入力データ!$G$26="私立",前提条件!$C$22,前提条件!$C$21),IF(AF7&lt;=11,IF(入力データ!$H$26="私立",前提条件!$C$24,前提条件!$C$23),IF(AF7&lt;=14,IF(入力データ!$I$26="私立",前提条件!$C$26,前提条件!$C$25),IF(AF7&lt;=17,IF(入力データ!$J$26="私立",前提条件!$C$28,前提条件!$C$27),IF(AF7&lt;=21,IF(入力データ!$K$26="国公立",前提条件!$C$29,IF(入力データ!$K$26="私立理系",前提条件!$C$31,前提条件!$C$30))+IF(入力データ!$L$26="下宿",前提条件!$C$32,0)+IF(AF7=18,前提条件!$C$33,0),0))))))+IF(AF8="",0,IF(AF8&lt;=5,IF(入力データ!$G$27="私立",前提条件!$C$22,前提条件!$C$21),IF(AF8&lt;=11,IF(入力データ!$H$27="私立",前提条件!$C$24,前提条件!$C$23),IF(AF8&lt;=14,IF(入力データ!$I$27="私立",前提条件!$C$26,前提条件!$C$25),IF(AF8&lt;=17,IF(入力データ!$J$27="私立",前提条件!$C$28,前提条件!$C$27),IF(AF8&lt;=21,IF(入力データ!$K$27="国公立",前提条件!$C$29,IF(入力データ!$K$27="私立理系",前提条件!$C$31,前提条件!$C$30))+IF(入力データ!$L$27="下宿",前提条件!$C$32,0)+IF(AF8=18,前提条件!$C$33,0),0)))))))*(1+前提条件!$C$13)^(AF$3-$B$3))))</f>
        <v/>
      </c>
      <c r="AG24" s="352">
        <f>IF(AG$3="","",IF(入力データ!$C$17&lt;=0,0,IF(AG$3="","",((SUM(入力データ!$C$58:$C$61)*12)+IF(AG6="",0,IF(AG6&lt;=5,IF(入力データ!$G$25="私立",前提条件!$C$22,前提条件!$C$21),IF(AG6&lt;=11,IF(入力データ!$H$25="私立",前提条件!$C$24,前提条件!$C$23),IF(AG6&lt;=14,IF(入力データ!$I$25="私立",前提条件!$C$26,前提条件!$C$25),IF(AG6&lt;=17,IF(入力データ!$J$25="私立",前提条件!$C$28,前提条件!$C$27),IF(AG6&lt;=21,IF(入力データ!$K$25="国公立",前提条件!$C$29,IF(入力データ!$K$25="私立理系",前提条件!$C$31,前提条件!$C$30))+IF(入力データ!$L$25="下宿",前提条件!$C$32,0)+IF(AG6=18,前提条件!$C$33,0),0))))))+IF(AG7="",0,IF(AG7&lt;=5,IF(入力データ!$G$26="私立",前提条件!$C$22,前提条件!$C$21),IF(AG7&lt;=11,IF(入力データ!$H$26="私立",前提条件!$C$24,前提条件!$C$23),IF(AG7&lt;=14,IF(入力データ!$I$26="私立",前提条件!$C$26,前提条件!$C$25),IF(AG7&lt;=17,IF(入力データ!$J$26="私立",前提条件!$C$28,前提条件!$C$27),IF(AG7&lt;=21,IF(入力データ!$K$26="国公立",前提条件!$C$29,IF(入力データ!$K$26="私立理系",前提条件!$C$31,前提条件!$C$30))+IF(入力データ!$L$26="下宿",前提条件!$C$32,0)+IF(AG7=18,前提条件!$C$33,0),0))))))+IF(AG8="",0,IF(AG8&lt;=5,IF(入力データ!$G$27="私立",前提条件!$C$22,前提条件!$C$21),IF(AG8&lt;=11,IF(入力データ!$H$27="私立",前提条件!$C$24,前提条件!$C$23),IF(AG8&lt;=14,IF(入力データ!$I$27="私立",前提条件!$C$26,前提条件!$C$25),IF(AG8&lt;=17,IF(入力データ!$J$27="私立",前提条件!$C$28,前提条件!$C$27),IF(AG8&lt;=21,IF(入力データ!$K$27="国公立",前提条件!$C$29,IF(入力データ!$K$27="私立理系",前提条件!$C$31,前提条件!$C$30))+IF(入力データ!$L$27="下宿",前提条件!$C$32,0)+IF(AG8=18,前提条件!$C$33,0),0)))))))*(1+前提条件!$C$13)^(AG$3-$B$3))))</f>
        <v/>
      </c>
      <c r="AH24" s="352">
        <f>IF(AH$3="","",IF(入力データ!$C$17&lt;=0,0,IF(AH$3="","",((SUM(入力データ!$C$58:$C$61)*12)+IF(AH6="",0,IF(AH6&lt;=5,IF(入力データ!$G$25="私立",前提条件!$C$22,前提条件!$C$21),IF(AH6&lt;=11,IF(入力データ!$H$25="私立",前提条件!$C$24,前提条件!$C$23),IF(AH6&lt;=14,IF(入力データ!$I$25="私立",前提条件!$C$26,前提条件!$C$25),IF(AH6&lt;=17,IF(入力データ!$J$25="私立",前提条件!$C$28,前提条件!$C$27),IF(AH6&lt;=21,IF(入力データ!$K$25="国公立",前提条件!$C$29,IF(入力データ!$K$25="私立理系",前提条件!$C$31,前提条件!$C$30))+IF(入力データ!$L$25="下宿",前提条件!$C$32,0)+IF(AH6=18,前提条件!$C$33,0),0))))))+IF(AH7="",0,IF(AH7&lt;=5,IF(入力データ!$G$26="私立",前提条件!$C$22,前提条件!$C$21),IF(AH7&lt;=11,IF(入力データ!$H$26="私立",前提条件!$C$24,前提条件!$C$23),IF(AH7&lt;=14,IF(入力データ!$I$26="私立",前提条件!$C$26,前提条件!$C$25),IF(AH7&lt;=17,IF(入力データ!$J$26="私立",前提条件!$C$28,前提条件!$C$27),IF(AH7&lt;=21,IF(入力データ!$K$26="国公立",前提条件!$C$29,IF(入力データ!$K$26="私立理系",前提条件!$C$31,前提条件!$C$30))+IF(入力データ!$L$26="下宿",前提条件!$C$32,0)+IF(AH7=18,前提条件!$C$33,0),0))))))+IF(AH8="",0,IF(AH8&lt;=5,IF(入力データ!$G$27="私立",前提条件!$C$22,前提条件!$C$21),IF(AH8&lt;=11,IF(入力データ!$H$27="私立",前提条件!$C$24,前提条件!$C$23),IF(AH8&lt;=14,IF(入力データ!$I$27="私立",前提条件!$C$26,前提条件!$C$25),IF(AH8&lt;=17,IF(入力データ!$J$27="私立",前提条件!$C$28,前提条件!$C$27),IF(AH8&lt;=21,IF(入力データ!$K$27="国公立",前提条件!$C$29,IF(入力データ!$K$27="私立理系",前提条件!$C$31,前提条件!$C$30))+IF(入力データ!$L$27="下宿",前提条件!$C$32,0)+IF(AH8=18,前提条件!$C$33,0),0)))))))*(1+前提条件!$C$13)^(AH$3-$B$3))))</f>
        <v/>
      </c>
      <c r="AI24" s="352">
        <f>IF(AI$3="","",IF(入力データ!$C$17&lt;=0,0,IF(AI$3="","",((SUM(入力データ!$C$58:$C$61)*12)+IF(AI6="",0,IF(AI6&lt;=5,IF(入力データ!$G$25="私立",前提条件!$C$22,前提条件!$C$21),IF(AI6&lt;=11,IF(入力データ!$H$25="私立",前提条件!$C$24,前提条件!$C$23),IF(AI6&lt;=14,IF(入力データ!$I$25="私立",前提条件!$C$26,前提条件!$C$25),IF(AI6&lt;=17,IF(入力データ!$J$25="私立",前提条件!$C$28,前提条件!$C$27),IF(AI6&lt;=21,IF(入力データ!$K$25="国公立",前提条件!$C$29,IF(入力データ!$K$25="私立理系",前提条件!$C$31,前提条件!$C$30))+IF(入力データ!$L$25="下宿",前提条件!$C$32,0)+IF(AI6=18,前提条件!$C$33,0),0))))))+IF(AI7="",0,IF(AI7&lt;=5,IF(入力データ!$G$26="私立",前提条件!$C$22,前提条件!$C$21),IF(AI7&lt;=11,IF(入力データ!$H$26="私立",前提条件!$C$24,前提条件!$C$23),IF(AI7&lt;=14,IF(入力データ!$I$26="私立",前提条件!$C$26,前提条件!$C$25),IF(AI7&lt;=17,IF(入力データ!$J$26="私立",前提条件!$C$28,前提条件!$C$27),IF(AI7&lt;=21,IF(入力データ!$K$26="国公立",前提条件!$C$29,IF(入力データ!$K$26="私立理系",前提条件!$C$31,前提条件!$C$30))+IF(入力データ!$L$26="下宿",前提条件!$C$32,0)+IF(AI7=18,前提条件!$C$33,0),0))))))+IF(AI8="",0,IF(AI8&lt;=5,IF(入力データ!$G$27="私立",前提条件!$C$22,前提条件!$C$21),IF(AI8&lt;=11,IF(入力データ!$H$27="私立",前提条件!$C$24,前提条件!$C$23),IF(AI8&lt;=14,IF(入力データ!$I$27="私立",前提条件!$C$26,前提条件!$C$25),IF(AI8&lt;=17,IF(入力データ!$J$27="私立",前提条件!$C$28,前提条件!$C$27),IF(AI8&lt;=21,IF(入力データ!$K$27="国公立",前提条件!$C$29,IF(入力データ!$K$27="私立理系",前提条件!$C$31,前提条件!$C$30))+IF(入力データ!$L$27="下宿",前提条件!$C$32,0)+IF(AI8=18,前提条件!$C$33,0),0)))))))*(1+前提条件!$C$13)^(AI$3-$B$3))))</f>
        <v/>
      </c>
      <c r="AJ24" s="352">
        <f>IF(AJ$3="","",IF(入力データ!$C$17&lt;=0,0,IF(AJ$3="","",((SUM(入力データ!$C$58:$C$61)*12)+IF(AJ6="",0,IF(AJ6&lt;=5,IF(入力データ!$G$25="私立",前提条件!$C$22,前提条件!$C$21),IF(AJ6&lt;=11,IF(入力データ!$H$25="私立",前提条件!$C$24,前提条件!$C$23),IF(AJ6&lt;=14,IF(入力データ!$I$25="私立",前提条件!$C$26,前提条件!$C$25),IF(AJ6&lt;=17,IF(入力データ!$J$25="私立",前提条件!$C$28,前提条件!$C$27),IF(AJ6&lt;=21,IF(入力データ!$K$25="国公立",前提条件!$C$29,IF(入力データ!$K$25="私立理系",前提条件!$C$31,前提条件!$C$30))+IF(入力データ!$L$25="下宿",前提条件!$C$32,0)+IF(AJ6=18,前提条件!$C$33,0),0))))))+IF(AJ7="",0,IF(AJ7&lt;=5,IF(入力データ!$G$26="私立",前提条件!$C$22,前提条件!$C$21),IF(AJ7&lt;=11,IF(入力データ!$H$26="私立",前提条件!$C$24,前提条件!$C$23),IF(AJ7&lt;=14,IF(入力データ!$I$26="私立",前提条件!$C$26,前提条件!$C$25),IF(AJ7&lt;=17,IF(入力データ!$J$26="私立",前提条件!$C$28,前提条件!$C$27),IF(AJ7&lt;=21,IF(入力データ!$K$26="国公立",前提条件!$C$29,IF(入力データ!$K$26="私立理系",前提条件!$C$31,前提条件!$C$30))+IF(入力データ!$L$26="下宿",前提条件!$C$32,0)+IF(AJ7=18,前提条件!$C$33,0),0))))))+IF(AJ8="",0,IF(AJ8&lt;=5,IF(入力データ!$G$27="私立",前提条件!$C$22,前提条件!$C$21),IF(AJ8&lt;=11,IF(入力データ!$H$27="私立",前提条件!$C$24,前提条件!$C$23),IF(AJ8&lt;=14,IF(入力データ!$I$27="私立",前提条件!$C$26,前提条件!$C$25),IF(AJ8&lt;=17,IF(入力データ!$J$27="私立",前提条件!$C$28,前提条件!$C$27),IF(AJ8&lt;=21,IF(入力データ!$K$27="国公立",前提条件!$C$29,IF(入力データ!$K$27="私立理系",前提条件!$C$31,前提条件!$C$30))+IF(入力データ!$L$27="下宿",前提条件!$C$32,0)+IF(AJ8=18,前提条件!$C$33,0),0)))))))*(1+前提条件!$C$13)^(AJ$3-$B$3))))</f>
        <v/>
      </c>
      <c r="AK24" s="352">
        <f>IF(AK$3="","",IF(入力データ!$C$17&lt;=0,0,IF(AK$3="","",((SUM(入力データ!$C$58:$C$61)*12)+IF(AK6="",0,IF(AK6&lt;=5,IF(入力データ!$G$25="私立",前提条件!$C$22,前提条件!$C$21),IF(AK6&lt;=11,IF(入力データ!$H$25="私立",前提条件!$C$24,前提条件!$C$23),IF(AK6&lt;=14,IF(入力データ!$I$25="私立",前提条件!$C$26,前提条件!$C$25),IF(AK6&lt;=17,IF(入力データ!$J$25="私立",前提条件!$C$28,前提条件!$C$27),IF(AK6&lt;=21,IF(入力データ!$K$25="国公立",前提条件!$C$29,IF(入力データ!$K$25="私立理系",前提条件!$C$31,前提条件!$C$30))+IF(入力データ!$L$25="下宿",前提条件!$C$32,0)+IF(AK6=18,前提条件!$C$33,0),0))))))+IF(AK7="",0,IF(AK7&lt;=5,IF(入力データ!$G$26="私立",前提条件!$C$22,前提条件!$C$21),IF(AK7&lt;=11,IF(入力データ!$H$26="私立",前提条件!$C$24,前提条件!$C$23),IF(AK7&lt;=14,IF(入力データ!$I$26="私立",前提条件!$C$26,前提条件!$C$25),IF(AK7&lt;=17,IF(入力データ!$J$26="私立",前提条件!$C$28,前提条件!$C$27),IF(AK7&lt;=21,IF(入力データ!$K$26="国公立",前提条件!$C$29,IF(入力データ!$K$26="私立理系",前提条件!$C$31,前提条件!$C$30))+IF(入力データ!$L$26="下宿",前提条件!$C$32,0)+IF(AK7=18,前提条件!$C$33,0),0))))))+IF(AK8="",0,IF(AK8&lt;=5,IF(入力データ!$G$27="私立",前提条件!$C$22,前提条件!$C$21),IF(AK8&lt;=11,IF(入力データ!$H$27="私立",前提条件!$C$24,前提条件!$C$23),IF(AK8&lt;=14,IF(入力データ!$I$27="私立",前提条件!$C$26,前提条件!$C$25),IF(AK8&lt;=17,IF(入力データ!$J$27="私立",前提条件!$C$28,前提条件!$C$27),IF(AK8&lt;=21,IF(入力データ!$K$27="国公立",前提条件!$C$29,IF(入力データ!$K$27="私立理系",前提条件!$C$31,前提条件!$C$30))+IF(入力データ!$L$27="下宿",前提条件!$C$32,0)+IF(AK8=18,前提条件!$C$33,0),0)))))))*(1+前提条件!$C$13)^(AK$3-$B$3))))</f>
        <v/>
      </c>
      <c r="AL24" s="352">
        <f>IF(AL$3="","",IF(入力データ!$C$17&lt;=0,0,IF(AL$3="","",((SUM(入力データ!$C$58:$C$61)*12)+IF(AL6="",0,IF(AL6&lt;=5,IF(入力データ!$G$25="私立",前提条件!$C$22,前提条件!$C$21),IF(AL6&lt;=11,IF(入力データ!$H$25="私立",前提条件!$C$24,前提条件!$C$23),IF(AL6&lt;=14,IF(入力データ!$I$25="私立",前提条件!$C$26,前提条件!$C$25),IF(AL6&lt;=17,IF(入力データ!$J$25="私立",前提条件!$C$28,前提条件!$C$27),IF(AL6&lt;=21,IF(入力データ!$K$25="国公立",前提条件!$C$29,IF(入力データ!$K$25="私立理系",前提条件!$C$31,前提条件!$C$30))+IF(入力データ!$L$25="下宿",前提条件!$C$32,0)+IF(AL6=18,前提条件!$C$33,0),0))))))+IF(AL7="",0,IF(AL7&lt;=5,IF(入力データ!$G$26="私立",前提条件!$C$22,前提条件!$C$21),IF(AL7&lt;=11,IF(入力データ!$H$26="私立",前提条件!$C$24,前提条件!$C$23),IF(AL7&lt;=14,IF(入力データ!$I$26="私立",前提条件!$C$26,前提条件!$C$25),IF(AL7&lt;=17,IF(入力データ!$J$26="私立",前提条件!$C$28,前提条件!$C$27),IF(AL7&lt;=21,IF(入力データ!$K$26="国公立",前提条件!$C$29,IF(入力データ!$K$26="私立理系",前提条件!$C$31,前提条件!$C$30))+IF(入力データ!$L$26="下宿",前提条件!$C$32,0)+IF(AL7=18,前提条件!$C$33,0),0))))))+IF(AL8="",0,IF(AL8&lt;=5,IF(入力データ!$G$27="私立",前提条件!$C$22,前提条件!$C$21),IF(AL8&lt;=11,IF(入力データ!$H$27="私立",前提条件!$C$24,前提条件!$C$23),IF(AL8&lt;=14,IF(入力データ!$I$27="私立",前提条件!$C$26,前提条件!$C$25),IF(AL8&lt;=17,IF(入力データ!$J$27="私立",前提条件!$C$28,前提条件!$C$27),IF(AL8&lt;=21,IF(入力データ!$K$27="国公立",前提条件!$C$29,IF(入力データ!$K$27="私立理系",前提条件!$C$31,前提条件!$C$30))+IF(入力データ!$L$27="下宿",前提条件!$C$32,0)+IF(AL8=18,前提条件!$C$33,0),0)))))))*(1+前提条件!$C$13)^(AL$3-$B$3))))</f>
        <v/>
      </c>
      <c r="AM24" s="352">
        <f>IF(AM$3="","",IF(入力データ!$C$17&lt;=0,0,IF(AM$3="","",((SUM(入力データ!$C$58:$C$61)*12)+IF(AM6="",0,IF(AM6&lt;=5,IF(入力データ!$G$25="私立",前提条件!$C$22,前提条件!$C$21),IF(AM6&lt;=11,IF(入力データ!$H$25="私立",前提条件!$C$24,前提条件!$C$23),IF(AM6&lt;=14,IF(入力データ!$I$25="私立",前提条件!$C$26,前提条件!$C$25),IF(AM6&lt;=17,IF(入力データ!$J$25="私立",前提条件!$C$28,前提条件!$C$27),IF(AM6&lt;=21,IF(入力データ!$K$25="国公立",前提条件!$C$29,IF(入力データ!$K$25="私立理系",前提条件!$C$31,前提条件!$C$30))+IF(入力データ!$L$25="下宿",前提条件!$C$32,0)+IF(AM6=18,前提条件!$C$33,0),0))))))+IF(AM7="",0,IF(AM7&lt;=5,IF(入力データ!$G$26="私立",前提条件!$C$22,前提条件!$C$21),IF(AM7&lt;=11,IF(入力データ!$H$26="私立",前提条件!$C$24,前提条件!$C$23),IF(AM7&lt;=14,IF(入力データ!$I$26="私立",前提条件!$C$26,前提条件!$C$25),IF(AM7&lt;=17,IF(入力データ!$J$26="私立",前提条件!$C$28,前提条件!$C$27),IF(AM7&lt;=21,IF(入力データ!$K$26="国公立",前提条件!$C$29,IF(入力データ!$K$26="私立理系",前提条件!$C$31,前提条件!$C$30))+IF(入力データ!$L$26="下宿",前提条件!$C$32,0)+IF(AM7=18,前提条件!$C$33,0),0))))))+IF(AM8="",0,IF(AM8&lt;=5,IF(入力データ!$G$27="私立",前提条件!$C$22,前提条件!$C$21),IF(AM8&lt;=11,IF(入力データ!$H$27="私立",前提条件!$C$24,前提条件!$C$23),IF(AM8&lt;=14,IF(入力データ!$I$27="私立",前提条件!$C$26,前提条件!$C$25),IF(AM8&lt;=17,IF(入力データ!$J$27="私立",前提条件!$C$28,前提条件!$C$27),IF(AM8&lt;=21,IF(入力データ!$K$27="国公立",前提条件!$C$29,IF(入力データ!$K$27="私立理系",前提条件!$C$31,前提条件!$C$30))+IF(入力データ!$L$27="下宿",前提条件!$C$32,0)+IF(AM8=18,前提条件!$C$33,0),0)))))))*(1+前提条件!$C$13)^(AM$3-$B$3))))</f>
        <v/>
      </c>
      <c r="AN24" s="352">
        <f>IF(AN$3="","",IF(入力データ!$C$17&lt;=0,0,IF(AN$3="","",((SUM(入力データ!$C$58:$C$61)*12)+IF(AN6="",0,IF(AN6&lt;=5,IF(入力データ!$G$25="私立",前提条件!$C$22,前提条件!$C$21),IF(AN6&lt;=11,IF(入力データ!$H$25="私立",前提条件!$C$24,前提条件!$C$23),IF(AN6&lt;=14,IF(入力データ!$I$25="私立",前提条件!$C$26,前提条件!$C$25),IF(AN6&lt;=17,IF(入力データ!$J$25="私立",前提条件!$C$28,前提条件!$C$27),IF(AN6&lt;=21,IF(入力データ!$K$25="国公立",前提条件!$C$29,IF(入力データ!$K$25="私立理系",前提条件!$C$31,前提条件!$C$30))+IF(入力データ!$L$25="下宿",前提条件!$C$32,0)+IF(AN6=18,前提条件!$C$33,0),0))))))+IF(AN7="",0,IF(AN7&lt;=5,IF(入力データ!$G$26="私立",前提条件!$C$22,前提条件!$C$21),IF(AN7&lt;=11,IF(入力データ!$H$26="私立",前提条件!$C$24,前提条件!$C$23),IF(AN7&lt;=14,IF(入力データ!$I$26="私立",前提条件!$C$26,前提条件!$C$25),IF(AN7&lt;=17,IF(入力データ!$J$26="私立",前提条件!$C$28,前提条件!$C$27),IF(AN7&lt;=21,IF(入力データ!$K$26="国公立",前提条件!$C$29,IF(入力データ!$K$26="私立理系",前提条件!$C$31,前提条件!$C$30))+IF(入力データ!$L$26="下宿",前提条件!$C$32,0)+IF(AN7=18,前提条件!$C$33,0),0))))))+IF(AN8="",0,IF(AN8&lt;=5,IF(入力データ!$G$27="私立",前提条件!$C$22,前提条件!$C$21),IF(AN8&lt;=11,IF(入力データ!$H$27="私立",前提条件!$C$24,前提条件!$C$23),IF(AN8&lt;=14,IF(入力データ!$I$27="私立",前提条件!$C$26,前提条件!$C$25),IF(AN8&lt;=17,IF(入力データ!$J$27="私立",前提条件!$C$28,前提条件!$C$27),IF(AN8&lt;=21,IF(入力データ!$K$27="国公立",前提条件!$C$29,IF(入力データ!$K$27="私立理系",前提条件!$C$31,前提条件!$C$30))+IF(入力データ!$L$27="下宿",前提条件!$C$32,0)+IF(AN8=18,前提条件!$C$33,0),0)))))))*(1+前提条件!$C$13)^(AN$3-$B$3))))</f>
        <v/>
      </c>
      <c r="AO24" s="352">
        <f>IF(AO$3="","",IF(入力データ!$C$17&lt;=0,0,IF(AO$3="","",((SUM(入力データ!$C$58:$C$61)*12)+IF(AO6="",0,IF(AO6&lt;=5,IF(入力データ!$G$25="私立",前提条件!$C$22,前提条件!$C$21),IF(AO6&lt;=11,IF(入力データ!$H$25="私立",前提条件!$C$24,前提条件!$C$23),IF(AO6&lt;=14,IF(入力データ!$I$25="私立",前提条件!$C$26,前提条件!$C$25),IF(AO6&lt;=17,IF(入力データ!$J$25="私立",前提条件!$C$28,前提条件!$C$27),IF(AO6&lt;=21,IF(入力データ!$K$25="国公立",前提条件!$C$29,IF(入力データ!$K$25="私立理系",前提条件!$C$31,前提条件!$C$30))+IF(入力データ!$L$25="下宿",前提条件!$C$32,0)+IF(AO6=18,前提条件!$C$33,0),0))))))+IF(AO7="",0,IF(AO7&lt;=5,IF(入力データ!$G$26="私立",前提条件!$C$22,前提条件!$C$21),IF(AO7&lt;=11,IF(入力データ!$H$26="私立",前提条件!$C$24,前提条件!$C$23),IF(AO7&lt;=14,IF(入力データ!$I$26="私立",前提条件!$C$26,前提条件!$C$25),IF(AO7&lt;=17,IF(入力データ!$J$26="私立",前提条件!$C$28,前提条件!$C$27),IF(AO7&lt;=21,IF(入力データ!$K$26="国公立",前提条件!$C$29,IF(入力データ!$K$26="私立理系",前提条件!$C$31,前提条件!$C$30))+IF(入力データ!$L$26="下宿",前提条件!$C$32,0)+IF(AO7=18,前提条件!$C$33,0),0))))))+IF(AO8="",0,IF(AO8&lt;=5,IF(入力データ!$G$27="私立",前提条件!$C$22,前提条件!$C$21),IF(AO8&lt;=11,IF(入力データ!$H$27="私立",前提条件!$C$24,前提条件!$C$23),IF(AO8&lt;=14,IF(入力データ!$I$27="私立",前提条件!$C$26,前提条件!$C$25),IF(AO8&lt;=17,IF(入力データ!$J$27="私立",前提条件!$C$28,前提条件!$C$27),IF(AO8&lt;=21,IF(入力データ!$K$27="国公立",前提条件!$C$29,IF(入力データ!$K$27="私立理系",前提条件!$C$31,前提条件!$C$30))+IF(入力データ!$L$27="下宿",前提条件!$C$32,0)+IF(AO8=18,前提条件!$C$33,0),0)))))))*(1+前提条件!$C$13)^(AO$3-$B$3))))</f>
        <v/>
      </c>
      <c r="AP24" s="352">
        <f>IF(AP$3="","",IF(入力データ!$C$17&lt;=0,0,IF(AP$3="","",((SUM(入力データ!$C$58:$C$61)*12)+IF(AP6="",0,IF(AP6&lt;=5,IF(入力データ!$G$25="私立",前提条件!$C$22,前提条件!$C$21),IF(AP6&lt;=11,IF(入力データ!$H$25="私立",前提条件!$C$24,前提条件!$C$23),IF(AP6&lt;=14,IF(入力データ!$I$25="私立",前提条件!$C$26,前提条件!$C$25),IF(AP6&lt;=17,IF(入力データ!$J$25="私立",前提条件!$C$28,前提条件!$C$27),IF(AP6&lt;=21,IF(入力データ!$K$25="国公立",前提条件!$C$29,IF(入力データ!$K$25="私立理系",前提条件!$C$31,前提条件!$C$30))+IF(入力データ!$L$25="下宿",前提条件!$C$32,0)+IF(AP6=18,前提条件!$C$33,0),0))))))+IF(AP7="",0,IF(AP7&lt;=5,IF(入力データ!$G$26="私立",前提条件!$C$22,前提条件!$C$21),IF(AP7&lt;=11,IF(入力データ!$H$26="私立",前提条件!$C$24,前提条件!$C$23),IF(AP7&lt;=14,IF(入力データ!$I$26="私立",前提条件!$C$26,前提条件!$C$25),IF(AP7&lt;=17,IF(入力データ!$J$26="私立",前提条件!$C$28,前提条件!$C$27),IF(AP7&lt;=21,IF(入力データ!$K$26="国公立",前提条件!$C$29,IF(入力データ!$K$26="私立理系",前提条件!$C$31,前提条件!$C$30))+IF(入力データ!$L$26="下宿",前提条件!$C$32,0)+IF(AP7=18,前提条件!$C$33,0),0))))))+IF(AP8="",0,IF(AP8&lt;=5,IF(入力データ!$G$27="私立",前提条件!$C$22,前提条件!$C$21),IF(AP8&lt;=11,IF(入力データ!$H$27="私立",前提条件!$C$24,前提条件!$C$23),IF(AP8&lt;=14,IF(入力データ!$I$27="私立",前提条件!$C$26,前提条件!$C$25),IF(AP8&lt;=17,IF(入力データ!$J$27="私立",前提条件!$C$28,前提条件!$C$27),IF(AP8&lt;=21,IF(入力データ!$K$27="国公立",前提条件!$C$29,IF(入力データ!$K$27="私立理系",前提条件!$C$31,前提条件!$C$30))+IF(入力データ!$L$27="下宿",前提条件!$C$32,0)+IF(AP8=18,前提条件!$C$33,0),0)))))))*(1+前提条件!$C$13)^(AP$3-$B$3))))</f>
        <v/>
      </c>
      <c r="AQ24" s="352">
        <f>IF(AQ$3="","",IF(入力データ!$C$17&lt;=0,0,IF(AQ$3="","",((SUM(入力データ!$C$58:$C$61)*12)+IF(AQ6="",0,IF(AQ6&lt;=5,IF(入力データ!$G$25="私立",前提条件!$C$22,前提条件!$C$21),IF(AQ6&lt;=11,IF(入力データ!$H$25="私立",前提条件!$C$24,前提条件!$C$23),IF(AQ6&lt;=14,IF(入力データ!$I$25="私立",前提条件!$C$26,前提条件!$C$25),IF(AQ6&lt;=17,IF(入力データ!$J$25="私立",前提条件!$C$28,前提条件!$C$27),IF(AQ6&lt;=21,IF(入力データ!$K$25="国公立",前提条件!$C$29,IF(入力データ!$K$25="私立理系",前提条件!$C$31,前提条件!$C$30))+IF(入力データ!$L$25="下宿",前提条件!$C$32,0)+IF(AQ6=18,前提条件!$C$33,0),0))))))+IF(AQ7="",0,IF(AQ7&lt;=5,IF(入力データ!$G$26="私立",前提条件!$C$22,前提条件!$C$21),IF(AQ7&lt;=11,IF(入力データ!$H$26="私立",前提条件!$C$24,前提条件!$C$23),IF(AQ7&lt;=14,IF(入力データ!$I$26="私立",前提条件!$C$26,前提条件!$C$25),IF(AQ7&lt;=17,IF(入力データ!$J$26="私立",前提条件!$C$28,前提条件!$C$27),IF(AQ7&lt;=21,IF(入力データ!$K$26="国公立",前提条件!$C$29,IF(入力データ!$K$26="私立理系",前提条件!$C$31,前提条件!$C$30))+IF(入力データ!$L$26="下宿",前提条件!$C$32,0)+IF(AQ7=18,前提条件!$C$33,0),0))))))+IF(AQ8="",0,IF(AQ8&lt;=5,IF(入力データ!$G$27="私立",前提条件!$C$22,前提条件!$C$21),IF(AQ8&lt;=11,IF(入力データ!$H$27="私立",前提条件!$C$24,前提条件!$C$23),IF(AQ8&lt;=14,IF(入力データ!$I$27="私立",前提条件!$C$26,前提条件!$C$25),IF(AQ8&lt;=17,IF(入力データ!$J$27="私立",前提条件!$C$28,前提条件!$C$27),IF(AQ8&lt;=21,IF(入力データ!$K$27="国公立",前提条件!$C$29,IF(入力データ!$K$27="私立理系",前提条件!$C$31,前提条件!$C$30))+IF(入力データ!$L$27="下宿",前提条件!$C$32,0)+IF(AQ8=18,前提条件!$C$33,0),0)))))))*(1+前提条件!$C$13)^(AQ$3-$B$3))))</f>
        <v/>
      </c>
      <c r="AR24" s="352">
        <f>IF(AR$3="","",IF(入力データ!$C$17&lt;=0,0,IF(AR$3="","",((SUM(入力データ!$C$58:$C$61)*12)+IF(AR6="",0,IF(AR6&lt;=5,IF(入力データ!$G$25="私立",前提条件!$C$22,前提条件!$C$21),IF(AR6&lt;=11,IF(入力データ!$H$25="私立",前提条件!$C$24,前提条件!$C$23),IF(AR6&lt;=14,IF(入力データ!$I$25="私立",前提条件!$C$26,前提条件!$C$25),IF(AR6&lt;=17,IF(入力データ!$J$25="私立",前提条件!$C$28,前提条件!$C$27),IF(AR6&lt;=21,IF(入力データ!$K$25="国公立",前提条件!$C$29,IF(入力データ!$K$25="私立理系",前提条件!$C$31,前提条件!$C$30))+IF(入力データ!$L$25="下宿",前提条件!$C$32,0)+IF(AR6=18,前提条件!$C$33,0),0))))))+IF(AR7="",0,IF(AR7&lt;=5,IF(入力データ!$G$26="私立",前提条件!$C$22,前提条件!$C$21),IF(AR7&lt;=11,IF(入力データ!$H$26="私立",前提条件!$C$24,前提条件!$C$23),IF(AR7&lt;=14,IF(入力データ!$I$26="私立",前提条件!$C$26,前提条件!$C$25),IF(AR7&lt;=17,IF(入力データ!$J$26="私立",前提条件!$C$28,前提条件!$C$27),IF(AR7&lt;=21,IF(入力データ!$K$26="国公立",前提条件!$C$29,IF(入力データ!$K$26="私立理系",前提条件!$C$31,前提条件!$C$30))+IF(入力データ!$L$26="下宿",前提条件!$C$32,0)+IF(AR7=18,前提条件!$C$33,0),0))))))+IF(AR8="",0,IF(AR8&lt;=5,IF(入力データ!$G$27="私立",前提条件!$C$22,前提条件!$C$21),IF(AR8&lt;=11,IF(入力データ!$H$27="私立",前提条件!$C$24,前提条件!$C$23),IF(AR8&lt;=14,IF(入力データ!$I$27="私立",前提条件!$C$26,前提条件!$C$25),IF(AR8&lt;=17,IF(入力データ!$J$27="私立",前提条件!$C$28,前提条件!$C$27),IF(AR8&lt;=21,IF(入力データ!$K$27="国公立",前提条件!$C$29,IF(入力データ!$K$27="私立理系",前提条件!$C$31,前提条件!$C$30))+IF(入力データ!$L$27="下宿",前提条件!$C$32,0)+IF(AR8=18,前提条件!$C$33,0),0)))))))*(1+前提条件!$C$13)^(AR$3-$B$3))))</f>
        <v/>
      </c>
      <c r="AS24" s="352">
        <f>IF(AS$3="","",IF(入力データ!$C$17&lt;=0,0,IF(AS$3="","",((SUM(入力データ!$C$58:$C$61)*12)+IF(AS6="",0,IF(AS6&lt;=5,IF(入力データ!$G$25="私立",前提条件!$C$22,前提条件!$C$21),IF(AS6&lt;=11,IF(入力データ!$H$25="私立",前提条件!$C$24,前提条件!$C$23),IF(AS6&lt;=14,IF(入力データ!$I$25="私立",前提条件!$C$26,前提条件!$C$25),IF(AS6&lt;=17,IF(入力データ!$J$25="私立",前提条件!$C$28,前提条件!$C$27),IF(AS6&lt;=21,IF(入力データ!$K$25="国公立",前提条件!$C$29,IF(入力データ!$K$25="私立理系",前提条件!$C$31,前提条件!$C$30))+IF(入力データ!$L$25="下宿",前提条件!$C$32,0)+IF(AS6=18,前提条件!$C$33,0),0))))))+IF(AS7="",0,IF(AS7&lt;=5,IF(入力データ!$G$26="私立",前提条件!$C$22,前提条件!$C$21),IF(AS7&lt;=11,IF(入力データ!$H$26="私立",前提条件!$C$24,前提条件!$C$23),IF(AS7&lt;=14,IF(入力データ!$I$26="私立",前提条件!$C$26,前提条件!$C$25),IF(AS7&lt;=17,IF(入力データ!$J$26="私立",前提条件!$C$28,前提条件!$C$27),IF(AS7&lt;=21,IF(入力データ!$K$26="国公立",前提条件!$C$29,IF(入力データ!$K$26="私立理系",前提条件!$C$31,前提条件!$C$30))+IF(入力データ!$L$26="下宿",前提条件!$C$32,0)+IF(AS7=18,前提条件!$C$33,0),0))))))+IF(AS8="",0,IF(AS8&lt;=5,IF(入力データ!$G$27="私立",前提条件!$C$22,前提条件!$C$21),IF(AS8&lt;=11,IF(入力データ!$H$27="私立",前提条件!$C$24,前提条件!$C$23),IF(AS8&lt;=14,IF(入力データ!$I$27="私立",前提条件!$C$26,前提条件!$C$25),IF(AS8&lt;=17,IF(入力データ!$J$27="私立",前提条件!$C$28,前提条件!$C$27),IF(AS8&lt;=21,IF(入力データ!$K$27="国公立",前提条件!$C$29,IF(入力データ!$K$27="私立理系",前提条件!$C$31,前提条件!$C$30))+IF(入力データ!$L$27="下宿",前提条件!$C$32,0)+IF(AS8=18,前提条件!$C$33,0),0)))))))*(1+前提条件!$C$13)^(AS$3-$B$3))))</f>
        <v/>
      </c>
      <c r="AT24" s="352">
        <f>IF(AT$3="","",IF(入力データ!$C$17&lt;=0,0,IF(AT$3="","",((SUM(入力データ!$C$58:$C$61)*12)+IF(AT6="",0,IF(AT6&lt;=5,IF(入力データ!$G$25="私立",前提条件!$C$22,前提条件!$C$21),IF(AT6&lt;=11,IF(入力データ!$H$25="私立",前提条件!$C$24,前提条件!$C$23),IF(AT6&lt;=14,IF(入力データ!$I$25="私立",前提条件!$C$26,前提条件!$C$25),IF(AT6&lt;=17,IF(入力データ!$J$25="私立",前提条件!$C$28,前提条件!$C$27),IF(AT6&lt;=21,IF(入力データ!$K$25="国公立",前提条件!$C$29,IF(入力データ!$K$25="私立理系",前提条件!$C$31,前提条件!$C$30))+IF(入力データ!$L$25="下宿",前提条件!$C$32,0)+IF(AT6=18,前提条件!$C$33,0),0))))))+IF(AT7="",0,IF(AT7&lt;=5,IF(入力データ!$G$26="私立",前提条件!$C$22,前提条件!$C$21),IF(AT7&lt;=11,IF(入力データ!$H$26="私立",前提条件!$C$24,前提条件!$C$23),IF(AT7&lt;=14,IF(入力データ!$I$26="私立",前提条件!$C$26,前提条件!$C$25),IF(AT7&lt;=17,IF(入力データ!$J$26="私立",前提条件!$C$28,前提条件!$C$27),IF(AT7&lt;=21,IF(入力データ!$K$26="国公立",前提条件!$C$29,IF(入力データ!$K$26="私立理系",前提条件!$C$31,前提条件!$C$30))+IF(入力データ!$L$26="下宿",前提条件!$C$32,0)+IF(AT7=18,前提条件!$C$33,0),0))))))+IF(AT8="",0,IF(AT8&lt;=5,IF(入力データ!$G$27="私立",前提条件!$C$22,前提条件!$C$21),IF(AT8&lt;=11,IF(入力データ!$H$27="私立",前提条件!$C$24,前提条件!$C$23),IF(AT8&lt;=14,IF(入力データ!$I$27="私立",前提条件!$C$26,前提条件!$C$25),IF(AT8&lt;=17,IF(入力データ!$J$27="私立",前提条件!$C$28,前提条件!$C$27),IF(AT8&lt;=21,IF(入力データ!$K$27="国公立",前提条件!$C$29,IF(入力データ!$K$27="私立理系",前提条件!$C$31,前提条件!$C$30))+IF(入力データ!$L$27="下宿",前提条件!$C$32,0)+IF(AT8=18,前提条件!$C$33,0),0)))))))*(1+前提条件!$C$13)^(AT$3-$B$3))))</f>
        <v/>
      </c>
      <c r="AU24" s="352">
        <f>IF(AU$3="","",IF(入力データ!$C$17&lt;=0,0,IF(AU$3="","",((SUM(入力データ!$C$58:$C$61)*12)+IF(AU6="",0,IF(AU6&lt;=5,IF(入力データ!$G$25="私立",前提条件!$C$22,前提条件!$C$21),IF(AU6&lt;=11,IF(入力データ!$H$25="私立",前提条件!$C$24,前提条件!$C$23),IF(AU6&lt;=14,IF(入力データ!$I$25="私立",前提条件!$C$26,前提条件!$C$25),IF(AU6&lt;=17,IF(入力データ!$J$25="私立",前提条件!$C$28,前提条件!$C$27),IF(AU6&lt;=21,IF(入力データ!$K$25="国公立",前提条件!$C$29,IF(入力データ!$K$25="私立理系",前提条件!$C$31,前提条件!$C$30))+IF(入力データ!$L$25="下宿",前提条件!$C$32,0)+IF(AU6=18,前提条件!$C$33,0),0))))))+IF(AU7="",0,IF(AU7&lt;=5,IF(入力データ!$G$26="私立",前提条件!$C$22,前提条件!$C$21),IF(AU7&lt;=11,IF(入力データ!$H$26="私立",前提条件!$C$24,前提条件!$C$23),IF(AU7&lt;=14,IF(入力データ!$I$26="私立",前提条件!$C$26,前提条件!$C$25),IF(AU7&lt;=17,IF(入力データ!$J$26="私立",前提条件!$C$28,前提条件!$C$27),IF(AU7&lt;=21,IF(入力データ!$K$26="国公立",前提条件!$C$29,IF(入力データ!$K$26="私立理系",前提条件!$C$31,前提条件!$C$30))+IF(入力データ!$L$26="下宿",前提条件!$C$32,0)+IF(AU7=18,前提条件!$C$33,0),0))))))+IF(AU8="",0,IF(AU8&lt;=5,IF(入力データ!$G$27="私立",前提条件!$C$22,前提条件!$C$21),IF(AU8&lt;=11,IF(入力データ!$H$27="私立",前提条件!$C$24,前提条件!$C$23),IF(AU8&lt;=14,IF(入力データ!$I$27="私立",前提条件!$C$26,前提条件!$C$25),IF(AU8&lt;=17,IF(入力データ!$J$27="私立",前提条件!$C$28,前提条件!$C$27),IF(AU8&lt;=21,IF(入力データ!$K$27="国公立",前提条件!$C$29,IF(入力データ!$K$27="私立理系",前提条件!$C$31,前提条件!$C$30))+IF(入力データ!$L$27="下宿",前提条件!$C$32,0)+IF(AU8=18,前提条件!$C$33,0),0)))))))*(1+前提条件!$C$13)^(AU$3-$B$3))))</f>
        <v/>
      </c>
      <c r="AV24" s="352">
        <f>IF(AV$3="","",IF(入力データ!$C$17&lt;=0,0,IF(AV$3="","",((SUM(入力データ!$C$58:$C$61)*12)+IF(AV6="",0,IF(AV6&lt;=5,IF(入力データ!$G$25="私立",前提条件!$C$22,前提条件!$C$21),IF(AV6&lt;=11,IF(入力データ!$H$25="私立",前提条件!$C$24,前提条件!$C$23),IF(AV6&lt;=14,IF(入力データ!$I$25="私立",前提条件!$C$26,前提条件!$C$25),IF(AV6&lt;=17,IF(入力データ!$J$25="私立",前提条件!$C$28,前提条件!$C$27),IF(AV6&lt;=21,IF(入力データ!$K$25="国公立",前提条件!$C$29,IF(入力データ!$K$25="私立理系",前提条件!$C$31,前提条件!$C$30))+IF(入力データ!$L$25="下宿",前提条件!$C$32,0)+IF(AV6=18,前提条件!$C$33,0),0))))))+IF(AV7="",0,IF(AV7&lt;=5,IF(入力データ!$G$26="私立",前提条件!$C$22,前提条件!$C$21),IF(AV7&lt;=11,IF(入力データ!$H$26="私立",前提条件!$C$24,前提条件!$C$23),IF(AV7&lt;=14,IF(入力データ!$I$26="私立",前提条件!$C$26,前提条件!$C$25),IF(AV7&lt;=17,IF(入力データ!$J$26="私立",前提条件!$C$28,前提条件!$C$27),IF(AV7&lt;=21,IF(入力データ!$K$26="国公立",前提条件!$C$29,IF(入力データ!$K$26="私立理系",前提条件!$C$31,前提条件!$C$30))+IF(入力データ!$L$26="下宿",前提条件!$C$32,0)+IF(AV7=18,前提条件!$C$33,0),0))))))+IF(AV8="",0,IF(AV8&lt;=5,IF(入力データ!$G$27="私立",前提条件!$C$22,前提条件!$C$21),IF(AV8&lt;=11,IF(入力データ!$H$27="私立",前提条件!$C$24,前提条件!$C$23),IF(AV8&lt;=14,IF(入力データ!$I$27="私立",前提条件!$C$26,前提条件!$C$25),IF(AV8&lt;=17,IF(入力データ!$J$27="私立",前提条件!$C$28,前提条件!$C$27),IF(AV8&lt;=21,IF(入力データ!$K$27="国公立",前提条件!$C$29,IF(入力データ!$K$27="私立理系",前提条件!$C$31,前提条件!$C$30))+IF(入力データ!$L$27="下宿",前提条件!$C$32,0)+IF(AV8=18,前提条件!$C$33,0),0)))))))*(1+前提条件!$C$13)^(AV$3-$B$3))))</f>
        <v/>
      </c>
      <c r="AW24" s="352">
        <f>IF(AW$3="","",IF(入力データ!$C$17&lt;=0,0,IF(AW$3="","",((SUM(入力データ!$C$58:$C$61)*12)+IF(AW6="",0,IF(AW6&lt;=5,IF(入力データ!$G$25="私立",前提条件!$C$22,前提条件!$C$21),IF(AW6&lt;=11,IF(入力データ!$H$25="私立",前提条件!$C$24,前提条件!$C$23),IF(AW6&lt;=14,IF(入力データ!$I$25="私立",前提条件!$C$26,前提条件!$C$25),IF(AW6&lt;=17,IF(入力データ!$J$25="私立",前提条件!$C$28,前提条件!$C$27),IF(AW6&lt;=21,IF(入力データ!$K$25="国公立",前提条件!$C$29,IF(入力データ!$K$25="私立理系",前提条件!$C$31,前提条件!$C$30))+IF(入力データ!$L$25="下宿",前提条件!$C$32,0)+IF(AW6=18,前提条件!$C$33,0),0))))))+IF(AW7="",0,IF(AW7&lt;=5,IF(入力データ!$G$26="私立",前提条件!$C$22,前提条件!$C$21),IF(AW7&lt;=11,IF(入力データ!$H$26="私立",前提条件!$C$24,前提条件!$C$23),IF(AW7&lt;=14,IF(入力データ!$I$26="私立",前提条件!$C$26,前提条件!$C$25),IF(AW7&lt;=17,IF(入力データ!$J$26="私立",前提条件!$C$28,前提条件!$C$27),IF(AW7&lt;=21,IF(入力データ!$K$26="国公立",前提条件!$C$29,IF(入力データ!$K$26="私立理系",前提条件!$C$31,前提条件!$C$30))+IF(入力データ!$L$26="下宿",前提条件!$C$32,0)+IF(AW7=18,前提条件!$C$33,0),0))))))+IF(AW8="",0,IF(AW8&lt;=5,IF(入力データ!$G$27="私立",前提条件!$C$22,前提条件!$C$21),IF(AW8&lt;=11,IF(入力データ!$H$27="私立",前提条件!$C$24,前提条件!$C$23),IF(AW8&lt;=14,IF(入力データ!$I$27="私立",前提条件!$C$26,前提条件!$C$25),IF(AW8&lt;=17,IF(入力データ!$J$27="私立",前提条件!$C$28,前提条件!$C$27),IF(AW8&lt;=21,IF(入力データ!$K$27="国公立",前提条件!$C$29,IF(入力データ!$K$27="私立理系",前提条件!$C$31,前提条件!$C$30))+IF(入力データ!$L$27="下宿",前提条件!$C$32,0)+IF(AW8=18,前提条件!$C$33,0),0)))))))*(1+前提条件!$C$13)^(AW$3-$B$3))))</f>
        <v/>
      </c>
      <c r="AX24" s="352">
        <f>IF(AX$3="","",IF(入力データ!$C$17&lt;=0,0,IF(AX$3="","",((SUM(入力データ!$C$58:$C$61)*12)+IF(AX6="",0,IF(AX6&lt;=5,IF(入力データ!$G$25="私立",前提条件!$C$22,前提条件!$C$21),IF(AX6&lt;=11,IF(入力データ!$H$25="私立",前提条件!$C$24,前提条件!$C$23),IF(AX6&lt;=14,IF(入力データ!$I$25="私立",前提条件!$C$26,前提条件!$C$25),IF(AX6&lt;=17,IF(入力データ!$J$25="私立",前提条件!$C$28,前提条件!$C$27),IF(AX6&lt;=21,IF(入力データ!$K$25="国公立",前提条件!$C$29,IF(入力データ!$K$25="私立理系",前提条件!$C$31,前提条件!$C$30))+IF(入力データ!$L$25="下宿",前提条件!$C$32,0)+IF(AX6=18,前提条件!$C$33,0),0))))))+IF(AX7="",0,IF(AX7&lt;=5,IF(入力データ!$G$26="私立",前提条件!$C$22,前提条件!$C$21),IF(AX7&lt;=11,IF(入力データ!$H$26="私立",前提条件!$C$24,前提条件!$C$23),IF(AX7&lt;=14,IF(入力データ!$I$26="私立",前提条件!$C$26,前提条件!$C$25),IF(AX7&lt;=17,IF(入力データ!$J$26="私立",前提条件!$C$28,前提条件!$C$27),IF(AX7&lt;=21,IF(入力データ!$K$26="国公立",前提条件!$C$29,IF(入力データ!$K$26="私立理系",前提条件!$C$31,前提条件!$C$30))+IF(入力データ!$L$26="下宿",前提条件!$C$32,0)+IF(AX7=18,前提条件!$C$33,0),0))))))+IF(AX8="",0,IF(AX8&lt;=5,IF(入力データ!$G$27="私立",前提条件!$C$22,前提条件!$C$21),IF(AX8&lt;=11,IF(入力データ!$H$27="私立",前提条件!$C$24,前提条件!$C$23),IF(AX8&lt;=14,IF(入力データ!$I$27="私立",前提条件!$C$26,前提条件!$C$25),IF(AX8&lt;=17,IF(入力データ!$J$27="私立",前提条件!$C$28,前提条件!$C$27),IF(AX8&lt;=21,IF(入力データ!$K$27="国公立",前提条件!$C$29,IF(入力データ!$K$27="私立理系",前提条件!$C$31,前提条件!$C$30))+IF(入力データ!$L$27="下宿",前提条件!$C$32,0)+IF(AX8=18,前提条件!$C$33,0),0)))))))*(1+前提条件!$C$13)^(AX$3-$B$3))))</f>
        <v/>
      </c>
      <c r="AY24" s="352">
        <f>IF(AY$3="","",IF(入力データ!$C$17&lt;=0,0,IF(AY$3="","",((SUM(入力データ!$C$58:$C$61)*12)+IF(AY6="",0,IF(AY6&lt;=5,IF(入力データ!$G$25="私立",前提条件!$C$22,前提条件!$C$21),IF(AY6&lt;=11,IF(入力データ!$H$25="私立",前提条件!$C$24,前提条件!$C$23),IF(AY6&lt;=14,IF(入力データ!$I$25="私立",前提条件!$C$26,前提条件!$C$25),IF(AY6&lt;=17,IF(入力データ!$J$25="私立",前提条件!$C$28,前提条件!$C$27),IF(AY6&lt;=21,IF(入力データ!$K$25="国公立",前提条件!$C$29,IF(入力データ!$K$25="私立理系",前提条件!$C$31,前提条件!$C$30))+IF(入力データ!$L$25="下宿",前提条件!$C$32,0)+IF(AY6=18,前提条件!$C$33,0),0))))))+IF(AY7="",0,IF(AY7&lt;=5,IF(入力データ!$G$26="私立",前提条件!$C$22,前提条件!$C$21),IF(AY7&lt;=11,IF(入力データ!$H$26="私立",前提条件!$C$24,前提条件!$C$23),IF(AY7&lt;=14,IF(入力データ!$I$26="私立",前提条件!$C$26,前提条件!$C$25),IF(AY7&lt;=17,IF(入力データ!$J$26="私立",前提条件!$C$28,前提条件!$C$27),IF(AY7&lt;=21,IF(入力データ!$K$26="国公立",前提条件!$C$29,IF(入力データ!$K$26="私立理系",前提条件!$C$31,前提条件!$C$30))+IF(入力データ!$L$26="下宿",前提条件!$C$32,0)+IF(AY7=18,前提条件!$C$33,0),0))))))+IF(AY8="",0,IF(AY8&lt;=5,IF(入力データ!$G$27="私立",前提条件!$C$22,前提条件!$C$21),IF(AY8&lt;=11,IF(入力データ!$H$27="私立",前提条件!$C$24,前提条件!$C$23),IF(AY8&lt;=14,IF(入力データ!$I$27="私立",前提条件!$C$26,前提条件!$C$25),IF(AY8&lt;=17,IF(入力データ!$J$27="私立",前提条件!$C$28,前提条件!$C$27),IF(AY8&lt;=21,IF(入力データ!$K$27="国公立",前提条件!$C$29,IF(入力データ!$K$27="私立理系",前提条件!$C$31,前提条件!$C$30))+IF(入力データ!$L$27="下宿",前提条件!$C$32,0)+IF(AY8=18,前提条件!$C$33,0),0)))))))*(1+前提条件!$C$13)^(AY$3-$B$3))))</f>
        <v/>
      </c>
      <c r="AZ24" s="352">
        <f>IF(AZ$3="","",IF(入力データ!$C$17&lt;=0,0,IF(AZ$3="","",((SUM(入力データ!$C$58:$C$61)*12)+IF(AZ6="",0,IF(AZ6&lt;=5,IF(入力データ!$G$25="私立",前提条件!$C$22,前提条件!$C$21),IF(AZ6&lt;=11,IF(入力データ!$H$25="私立",前提条件!$C$24,前提条件!$C$23),IF(AZ6&lt;=14,IF(入力データ!$I$25="私立",前提条件!$C$26,前提条件!$C$25),IF(AZ6&lt;=17,IF(入力データ!$J$25="私立",前提条件!$C$28,前提条件!$C$27),IF(AZ6&lt;=21,IF(入力データ!$K$25="国公立",前提条件!$C$29,IF(入力データ!$K$25="私立理系",前提条件!$C$31,前提条件!$C$30))+IF(入力データ!$L$25="下宿",前提条件!$C$32,0)+IF(AZ6=18,前提条件!$C$33,0),0))))))+IF(AZ7="",0,IF(AZ7&lt;=5,IF(入力データ!$G$26="私立",前提条件!$C$22,前提条件!$C$21),IF(AZ7&lt;=11,IF(入力データ!$H$26="私立",前提条件!$C$24,前提条件!$C$23),IF(AZ7&lt;=14,IF(入力データ!$I$26="私立",前提条件!$C$26,前提条件!$C$25),IF(AZ7&lt;=17,IF(入力データ!$J$26="私立",前提条件!$C$28,前提条件!$C$27),IF(AZ7&lt;=21,IF(入力データ!$K$26="国公立",前提条件!$C$29,IF(入力データ!$K$26="私立理系",前提条件!$C$31,前提条件!$C$30))+IF(入力データ!$L$26="下宿",前提条件!$C$32,0)+IF(AZ7=18,前提条件!$C$33,0),0))))))+IF(AZ8="",0,IF(AZ8&lt;=5,IF(入力データ!$G$27="私立",前提条件!$C$22,前提条件!$C$21),IF(AZ8&lt;=11,IF(入力データ!$H$27="私立",前提条件!$C$24,前提条件!$C$23),IF(AZ8&lt;=14,IF(入力データ!$I$27="私立",前提条件!$C$26,前提条件!$C$25),IF(AZ8&lt;=17,IF(入力データ!$J$27="私立",前提条件!$C$28,前提条件!$C$27),IF(AZ8&lt;=21,IF(入力データ!$K$27="国公立",前提条件!$C$29,IF(入力データ!$K$27="私立理系",前提条件!$C$31,前提条件!$C$30))+IF(入力データ!$L$27="下宿",前提条件!$C$32,0)+IF(AZ8=18,前提条件!$C$33,0),0)))))))*(1+前提条件!$C$13)^(AZ$3-$B$3))))</f>
        <v/>
      </c>
      <c r="BA24" s="352">
        <f>IF(BA$3="","",IF(入力データ!$C$17&lt;=0,0,IF(BA$3="","",((SUM(入力データ!$C$58:$C$61)*12)+IF(BA6="",0,IF(BA6&lt;=5,IF(入力データ!$G$25="私立",前提条件!$C$22,前提条件!$C$21),IF(BA6&lt;=11,IF(入力データ!$H$25="私立",前提条件!$C$24,前提条件!$C$23),IF(BA6&lt;=14,IF(入力データ!$I$25="私立",前提条件!$C$26,前提条件!$C$25),IF(BA6&lt;=17,IF(入力データ!$J$25="私立",前提条件!$C$28,前提条件!$C$27),IF(BA6&lt;=21,IF(入力データ!$K$25="国公立",前提条件!$C$29,IF(入力データ!$K$25="私立理系",前提条件!$C$31,前提条件!$C$30))+IF(入力データ!$L$25="下宿",前提条件!$C$32,0)+IF(BA6=18,前提条件!$C$33,0),0))))))+IF(BA7="",0,IF(BA7&lt;=5,IF(入力データ!$G$26="私立",前提条件!$C$22,前提条件!$C$21),IF(BA7&lt;=11,IF(入力データ!$H$26="私立",前提条件!$C$24,前提条件!$C$23),IF(BA7&lt;=14,IF(入力データ!$I$26="私立",前提条件!$C$26,前提条件!$C$25),IF(BA7&lt;=17,IF(入力データ!$J$26="私立",前提条件!$C$28,前提条件!$C$27),IF(BA7&lt;=21,IF(入力データ!$K$26="国公立",前提条件!$C$29,IF(入力データ!$K$26="私立理系",前提条件!$C$31,前提条件!$C$30))+IF(入力データ!$L$26="下宿",前提条件!$C$32,0)+IF(BA7=18,前提条件!$C$33,0),0))))))+IF(BA8="",0,IF(BA8&lt;=5,IF(入力データ!$G$27="私立",前提条件!$C$22,前提条件!$C$21),IF(BA8&lt;=11,IF(入力データ!$H$27="私立",前提条件!$C$24,前提条件!$C$23),IF(BA8&lt;=14,IF(入力データ!$I$27="私立",前提条件!$C$26,前提条件!$C$25),IF(BA8&lt;=17,IF(入力データ!$J$27="私立",前提条件!$C$28,前提条件!$C$27),IF(BA8&lt;=21,IF(入力データ!$K$27="国公立",前提条件!$C$29,IF(入力データ!$K$27="私立理系",前提条件!$C$31,前提条件!$C$30))+IF(入力データ!$L$27="下宿",前提条件!$C$32,0)+IF(BA8=18,前提条件!$C$33,0),0)))))))*(1+前提条件!$C$13)^(BA$3-$B$3))))</f>
        <v/>
      </c>
      <c r="BB24" s="352">
        <f>IF(BB$3="","",IF(入力データ!$C$17&lt;=0,0,IF(BB$3="","",((SUM(入力データ!$C$58:$C$61)*12)+IF(BB6="",0,IF(BB6&lt;=5,IF(入力データ!$G$25="私立",前提条件!$C$22,前提条件!$C$21),IF(BB6&lt;=11,IF(入力データ!$H$25="私立",前提条件!$C$24,前提条件!$C$23),IF(BB6&lt;=14,IF(入力データ!$I$25="私立",前提条件!$C$26,前提条件!$C$25),IF(BB6&lt;=17,IF(入力データ!$J$25="私立",前提条件!$C$28,前提条件!$C$27),IF(BB6&lt;=21,IF(入力データ!$K$25="国公立",前提条件!$C$29,IF(入力データ!$K$25="私立理系",前提条件!$C$31,前提条件!$C$30))+IF(入力データ!$L$25="下宿",前提条件!$C$32,0)+IF(BB6=18,前提条件!$C$33,0),0))))))+IF(BB7="",0,IF(BB7&lt;=5,IF(入力データ!$G$26="私立",前提条件!$C$22,前提条件!$C$21),IF(BB7&lt;=11,IF(入力データ!$H$26="私立",前提条件!$C$24,前提条件!$C$23),IF(BB7&lt;=14,IF(入力データ!$I$26="私立",前提条件!$C$26,前提条件!$C$25),IF(BB7&lt;=17,IF(入力データ!$J$26="私立",前提条件!$C$28,前提条件!$C$27),IF(BB7&lt;=21,IF(入力データ!$K$26="国公立",前提条件!$C$29,IF(入力データ!$K$26="私立理系",前提条件!$C$31,前提条件!$C$30))+IF(入力データ!$L$26="下宿",前提条件!$C$32,0)+IF(BB7=18,前提条件!$C$33,0),0))))))+IF(BB8="",0,IF(BB8&lt;=5,IF(入力データ!$G$27="私立",前提条件!$C$22,前提条件!$C$21),IF(BB8&lt;=11,IF(入力データ!$H$27="私立",前提条件!$C$24,前提条件!$C$23),IF(BB8&lt;=14,IF(入力データ!$I$27="私立",前提条件!$C$26,前提条件!$C$25),IF(BB8&lt;=17,IF(入力データ!$J$27="私立",前提条件!$C$28,前提条件!$C$27),IF(BB8&lt;=21,IF(入力データ!$K$27="国公立",前提条件!$C$29,IF(入力データ!$K$27="私立理系",前提条件!$C$31,前提条件!$C$30))+IF(入力データ!$L$27="下宿",前提条件!$C$32,0)+IF(BB8=18,前提条件!$C$33,0),0)))))))*(1+前提条件!$C$13)^(BB$3-$B$3))))</f>
        <v/>
      </c>
      <c r="BC24" s="352">
        <f>IF(BC$3="","",IF(入力データ!$C$17&lt;=0,0,IF(BC$3="","",((SUM(入力データ!$C$58:$C$61)*12)+IF(BC6="",0,IF(BC6&lt;=5,IF(入力データ!$G$25="私立",前提条件!$C$22,前提条件!$C$21),IF(BC6&lt;=11,IF(入力データ!$H$25="私立",前提条件!$C$24,前提条件!$C$23),IF(BC6&lt;=14,IF(入力データ!$I$25="私立",前提条件!$C$26,前提条件!$C$25),IF(BC6&lt;=17,IF(入力データ!$J$25="私立",前提条件!$C$28,前提条件!$C$27),IF(BC6&lt;=21,IF(入力データ!$K$25="国公立",前提条件!$C$29,IF(入力データ!$K$25="私立理系",前提条件!$C$31,前提条件!$C$30))+IF(入力データ!$L$25="下宿",前提条件!$C$32,0)+IF(BC6=18,前提条件!$C$33,0),0))))))+IF(BC7="",0,IF(BC7&lt;=5,IF(入力データ!$G$26="私立",前提条件!$C$22,前提条件!$C$21),IF(BC7&lt;=11,IF(入力データ!$H$26="私立",前提条件!$C$24,前提条件!$C$23),IF(BC7&lt;=14,IF(入力データ!$I$26="私立",前提条件!$C$26,前提条件!$C$25),IF(BC7&lt;=17,IF(入力データ!$J$26="私立",前提条件!$C$28,前提条件!$C$27),IF(BC7&lt;=21,IF(入力データ!$K$26="国公立",前提条件!$C$29,IF(入力データ!$K$26="私立理系",前提条件!$C$31,前提条件!$C$30))+IF(入力データ!$L$26="下宿",前提条件!$C$32,0)+IF(BC7=18,前提条件!$C$33,0),0))))))+IF(BC8="",0,IF(BC8&lt;=5,IF(入力データ!$G$27="私立",前提条件!$C$22,前提条件!$C$21),IF(BC8&lt;=11,IF(入力データ!$H$27="私立",前提条件!$C$24,前提条件!$C$23),IF(BC8&lt;=14,IF(入力データ!$I$27="私立",前提条件!$C$26,前提条件!$C$25),IF(BC8&lt;=17,IF(入力データ!$J$27="私立",前提条件!$C$28,前提条件!$C$27),IF(BC8&lt;=21,IF(入力データ!$K$27="国公立",前提条件!$C$29,IF(入力データ!$K$27="私立理系",前提条件!$C$31,前提条件!$C$30))+IF(入力データ!$L$27="下宿",前提条件!$C$32,0)+IF(BC8=18,前提条件!$C$33,0),0)))))))*(1+前提条件!$C$13)^(BC$3-$B$3))))</f>
        <v/>
      </c>
      <c r="BD24" s="352">
        <f>IF(BD$3="","",IF(入力データ!$C$17&lt;=0,0,IF(BD$3="","",((SUM(入力データ!$C$58:$C$61)*12)+IF(BD6="",0,IF(BD6&lt;=5,IF(入力データ!$G$25="私立",前提条件!$C$22,前提条件!$C$21),IF(BD6&lt;=11,IF(入力データ!$H$25="私立",前提条件!$C$24,前提条件!$C$23),IF(BD6&lt;=14,IF(入力データ!$I$25="私立",前提条件!$C$26,前提条件!$C$25),IF(BD6&lt;=17,IF(入力データ!$J$25="私立",前提条件!$C$28,前提条件!$C$27),IF(BD6&lt;=21,IF(入力データ!$K$25="国公立",前提条件!$C$29,IF(入力データ!$K$25="私立理系",前提条件!$C$31,前提条件!$C$30))+IF(入力データ!$L$25="下宿",前提条件!$C$32,0)+IF(BD6=18,前提条件!$C$33,0),0))))))+IF(BD7="",0,IF(BD7&lt;=5,IF(入力データ!$G$26="私立",前提条件!$C$22,前提条件!$C$21),IF(BD7&lt;=11,IF(入力データ!$H$26="私立",前提条件!$C$24,前提条件!$C$23),IF(BD7&lt;=14,IF(入力データ!$I$26="私立",前提条件!$C$26,前提条件!$C$25),IF(BD7&lt;=17,IF(入力データ!$J$26="私立",前提条件!$C$28,前提条件!$C$27),IF(BD7&lt;=21,IF(入力データ!$K$26="国公立",前提条件!$C$29,IF(入力データ!$K$26="私立理系",前提条件!$C$31,前提条件!$C$30))+IF(入力データ!$L$26="下宿",前提条件!$C$32,0)+IF(BD7=18,前提条件!$C$33,0),0))))))+IF(BD8="",0,IF(BD8&lt;=5,IF(入力データ!$G$27="私立",前提条件!$C$22,前提条件!$C$21),IF(BD8&lt;=11,IF(入力データ!$H$27="私立",前提条件!$C$24,前提条件!$C$23),IF(BD8&lt;=14,IF(入力データ!$I$27="私立",前提条件!$C$26,前提条件!$C$25),IF(BD8&lt;=17,IF(入力データ!$J$27="私立",前提条件!$C$28,前提条件!$C$27),IF(BD8&lt;=21,IF(入力データ!$K$27="国公立",前提条件!$C$29,IF(入力データ!$K$27="私立理系",前提条件!$C$31,前提条件!$C$30))+IF(入力データ!$L$27="下宿",前提条件!$C$32,0)+IF(BD8=18,前提条件!$C$33,0),0)))))))*(1+前提条件!$C$13)^(BD$3-$B$3))))</f>
        <v/>
      </c>
      <c r="BE24" s="352">
        <f>IF(BE$3="","",IF(入力データ!$C$17&lt;=0,0,IF(BE$3="","",((SUM(入力データ!$C$58:$C$61)*12)+IF(BE6="",0,IF(BE6&lt;=5,IF(入力データ!$G$25="私立",前提条件!$C$22,前提条件!$C$21),IF(BE6&lt;=11,IF(入力データ!$H$25="私立",前提条件!$C$24,前提条件!$C$23),IF(BE6&lt;=14,IF(入力データ!$I$25="私立",前提条件!$C$26,前提条件!$C$25),IF(BE6&lt;=17,IF(入力データ!$J$25="私立",前提条件!$C$28,前提条件!$C$27),IF(BE6&lt;=21,IF(入力データ!$K$25="国公立",前提条件!$C$29,IF(入力データ!$K$25="私立理系",前提条件!$C$31,前提条件!$C$30))+IF(入力データ!$L$25="下宿",前提条件!$C$32,0)+IF(BE6=18,前提条件!$C$33,0),0))))))+IF(BE7="",0,IF(BE7&lt;=5,IF(入力データ!$G$26="私立",前提条件!$C$22,前提条件!$C$21),IF(BE7&lt;=11,IF(入力データ!$H$26="私立",前提条件!$C$24,前提条件!$C$23),IF(BE7&lt;=14,IF(入力データ!$I$26="私立",前提条件!$C$26,前提条件!$C$25),IF(BE7&lt;=17,IF(入力データ!$J$26="私立",前提条件!$C$28,前提条件!$C$27),IF(BE7&lt;=21,IF(入力データ!$K$26="国公立",前提条件!$C$29,IF(入力データ!$K$26="私立理系",前提条件!$C$31,前提条件!$C$30))+IF(入力データ!$L$26="下宿",前提条件!$C$32,0)+IF(BE7=18,前提条件!$C$33,0),0))))))+IF(BE8="",0,IF(BE8&lt;=5,IF(入力データ!$G$27="私立",前提条件!$C$22,前提条件!$C$21),IF(BE8&lt;=11,IF(入力データ!$H$27="私立",前提条件!$C$24,前提条件!$C$23),IF(BE8&lt;=14,IF(入力データ!$I$27="私立",前提条件!$C$26,前提条件!$C$25),IF(BE8&lt;=17,IF(入力データ!$J$27="私立",前提条件!$C$28,前提条件!$C$27),IF(BE8&lt;=21,IF(入力データ!$K$27="国公立",前提条件!$C$29,IF(入力データ!$K$27="私立理系",前提条件!$C$31,前提条件!$C$30))+IF(入力データ!$L$27="下宿",前提条件!$C$32,0)+IF(BE8=18,前提条件!$C$33,0),0)))))))*(1+前提条件!$C$13)^(BE$3-$B$3))))</f>
        <v/>
      </c>
      <c r="BF24" s="352">
        <f>IF(BF$3="","",IF(入力データ!$C$17&lt;=0,0,IF(BF$3="","",((SUM(入力データ!$C$58:$C$61)*12)+IF(BF6="",0,IF(BF6&lt;=5,IF(入力データ!$G$25="私立",前提条件!$C$22,前提条件!$C$21),IF(BF6&lt;=11,IF(入力データ!$H$25="私立",前提条件!$C$24,前提条件!$C$23),IF(BF6&lt;=14,IF(入力データ!$I$25="私立",前提条件!$C$26,前提条件!$C$25),IF(BF6&lt;=17,IF(入力データ!$J$25="私立",前提条件!$C$28,前提条件!$C$27),IF(BF6&lt;=21,IF(入力データ!$K$25="国公立",前提条件!$C$29,IF(入力データ!$K$25="私立理系",前提条件!$C$31,前提条件!$C$30))+IF(入力データ!$L$25="下宿",前提条件!$C$32,0)+IF(BF6=18,前提条件!$C$33,0),0))))))+IF(BF7="",0,IF(BF7&lt;=5,IF(入力データ!$G$26="私立",前提条件!$C$22,前提条件!$C$21),IF(BF7&lt;=11,IF(入力データ!$H$26="私立",前提条件!$C$24,前提条件!$C$23),IF(BF7&lt;=14,IF(入力データ!$I$26="私立",前提条件!$C$26,前提条件!$C$25),IF(BF7&lt;=17,IF(入力データ!$J$26="私立",前提条件!$C$28,前提条件!$C$27),IF(BF7&lt;=21,IF(入力データ!$K$26="国公立",前提条件!$C$29,IF(入力データ!$K$26="私立理系",前提条件!$C$31,前提条件!$C$30))+IF(入力データ!$L$26="下宿",前提条件!$C$32,0)+IF(BF7=18,前提条件!$C$33,0),0))))))+IF(BF8="",0,IF(BF8&lt;=5,IF(入力データ!$G$27="私立",前提条件!$C$22,前提条件!$C$21),IF(BF8&lt;=11,IF(入力データ!$H$27="私立",前提条件!$C$24,前提条件!$C$23),IF(BF8&lt;=14,IF(入力データ!$I$27="私立",前提条件!$C$26,前提条件!$C$25),IF(BF8&lt;=17,IF(入力データ!$J$27="私立",前提条件!$C$28,前提条件!$C$27),IF(BF8&lt;=21,IF(入力データ!$K$27="国公立",前提条件!$C$29,IF(入力データ!$K$27="私立理系",前提条件!$C$31,前提条件!$C$30))+IF(入力データ!$L$27="下宿",前提条件!$C$32,0)+IF(BF8=18,前提条件!$C$33,0),0)))))))*(1+前提条件!$C$13)^(BF$3-$B$3))))</f>
        <v/>
      </c>
      <c r="BG24" s="352">
        <f>IF(BG$3="","",IF(入力データ!$C$17&lt;=0,0,IF(BG$3="","",((SUM(入力データ!$C$58:$C$61)*12)+IF(BG6="",0,IF(BG6&lt;=5,IF(入力データ!$G$25="私立",前提条件!$C$22,前提条件!$C$21),IF(BG6&lt;=11,IF(入力データ!$H$25="私立",前提条件!$C$24,前提条件!$C$23),IF(BG6&lt;=14,IF(入力データ!$I$25="私立",前提条件!$C$26,前提条件!$C$25),IF(BG6&lt;=17,IF(入力データ!$J$25="私立",前提条件!$C$28,前提条件!$C$27),IF(BG6&lt;=21,IF(入力データ!$K$25="国公立",前提条件!$C$29,IF(入力データ!$K$25="私立理系",前提条件!$C$31,前提条件!$C$30))+IF(入力データ!$L$25="下宿",前提条件!$C$32,0)+IF(BG6=18,前提条件!$C$33,0),0))))))+IF(BG7="",0,IF(BG7&lt;=5,IF(入力データ!$G$26="私立",前提条件!$C$22,前提条件!$C$21),IF(BG7&lt;=11,IF(入力データ!$H$26="私立",前提条件!$C$24,前提条件!$C$23),IF(BG7&lt;=14,IF(入力データ!$I$26="私立",前提条件!$C$26,前提条件!$C$25),IF(BG7&lt;=17,IF(入力データ!$J$26="私立",前提条件!$C$28,前提条件!$C$27),IF(BG7&lt;=21,IF(入力データ!$K$26="国公立",前提条件!$C$29,IF(入力データ!$K$26="私立理系",前提条件!$C$31,前提条件!$C$30))+IF(入力データ!$L$26="下宿",前提条件!$C$32,0)+IF(BG7=18,前提条件!$C$33,0),0))))))+IF(BG8="",0,IF(BG8&lt;=5,IF(入力データ!$G$27="私立",前提条件!$C$22,前提条件!$C$21),IF(BG8&lt;=11,IF(入力データ!$H$27="私立",前提条件!$C$24,前提条件!$C$23),IF(BG8&lt;=14,IF(入力データ!$I$27="私立",前提条件!$C$26,前提条件!$C$25),IF(BG8&lt;=17,IF(入力データ!$J$27="私立",前提条件!$C$28,前提条件!$C$27),IF(BG8&lt;=21,IF(入力データ!$K$27="国公立",前提条件!$C$29,IF(入力データ!$K$27="私立理系",前提条件!$C$31,前提条件!$C$30))+IF(入力データ!$L$27="下宿",前提条件!$C$32,0)+IF(BG8=18,前提条件!$C$33,0),0)))))))*(1+前提条件!$C$13)^(BG$3-$B$3))))</f>
        <v/>
      </c>
      <c r="BH24" s="352">
        <f>IF(BH$3="","",IF(入力データ!$C$17&lt;=0,0,IF(BH$3="","",((SUM(入力データ!$C$58:$C$61)*12)+IF(BH6="",0,IF(BH6&lt;=5,IF(入力データ!$G$25="私立",前提条件!$C$22,前提条件!$C$21),IF(BH6&lt;=11,IF(入力データ!$H$25="私立",前提条件!$C$24,前提条件!$C$23),IF(BH6&lt;=14,IF(入力データ!$I$25="私立",前提条件!$C$26,前提条件!$C$25),IF(BH6&lt;=17,IF(入力データ!$J$25="私立",前提条件!$C$28,前提条件!$C$27),IF(BH6&lt;=21,IF(入力データ!$K$25="国公立",前提条件!$C$29,IF(入力データ!$K$25="私立理系",前提条件!$C$31,前提条件!$C$30))+IF(入力データ!$L$25="下宿",前提条件!$C$32,0)+IF(BH6=18,前提条件!$C$33,0),0))))))+IF(BH7="",0,IF(BH7&lt;=5,IF(入力データ!$G$26="私立",前提条件!$C$22,前提条件!$C$21),IF(BH7&lt;=11,IF(入力データ!$H$26="私立",前提条件!$C$24,前提条件!$C$23),IF(BH7&lt;=14,IF(入力データ!$I$26="私立",前提条件!$C$26,前提条件!$C$25),IF(BH7&lt;=17,IF(入力データ!$J$26="私立",前提条件!$C$28,前提条件!$C$27),IF(BH7&lt;=21,IF(入力データ!$K$26="国公立",前提条件!$C$29,IF(入力データ!$K$26="私立理系",前提条件!$C$31,前提条件!$C$30))+IF(入力データ!$L$26="下宿",前提条件!$C$32,0)+IF(BH7=18,前提条件!$C$33,0),0))))))+IF(BH8="",0,IF(BH8&lt;=5,IF(入力データ!$G$27="私立",前提条件!$C$22,前提条件!$C$21),IF(BH8&lt;=11,IF(入力データ!$H$27="私立",前提条件!$C$24,前提条件!$C$23),IF(BH8&lt;=14,IF(入力データ!$I$27="私立",前提条件!$C$26,前提条件!$C$25),IF(BH8&lt;=17,IF(入力データ!$J$27="私立",前提条件!$C$28,前提条件!$C$27),IF(BH8&lt;=21,IF(入力データ!$K$27="国公立",前提条件!$C$29,IF(入力データ!$K$27="私立理系",前提条件!$C$31,前提条件!$C$30))+IF(入力データ!$L$27="下宿",前提条件!$C$32,0)+IF(BH8=18,前提条件!$C$33,0),0)))))))*(1+前提条件!$C$13)^(BH$3-$B$3))))</f>
        <v/>
      </c>
      <c r="BI24" s="352">
        <f>IF(BI$3="","",IF(入力データ!$C$17&lt;=0,0,IF(BI$3="","",((SUM(入力データ!$C$58:$C$61)*12)+IF(BI6="",0,IF(BI6&lt;=5,IF(入力データ!$G$25="私立",前提条件!$C$22,前提条件!$C$21),IF(BI6&lt;=11,IF(入力データ!$H$25="私立",前提条件!$C$24,前提条件!$C$23),IF(BI6&lt;=14,IF(入力データ!$I$25="私立",前提条件!$C$26,前提条件!$C$25),IF(BI6&lt;=17,IF(入力データ!$J$25="私立",前提条件!$C$28,前提条件!$C$27),IF(BI6&lt;=21,IF(入力データ!$K$25="国公立",前提条件!$C$29,IF(入力データ!$K$25="私立理系",前提条件!$C$31,前提条件!$C$30))+IF(入力データ!$L$25="下宿",前提条件!$C$32,0)+IF(BI6=18,前提条件!$C$33,0),0))))))+IF(BI7="",0,IF(BI7&lt;=5,IF(入力データ!$G$26="私立",前提条件!$C$22,前提条件!$C$21),IF(BI7&lt;=11,IF(入力データ!$H$26="私立",前提条件!$C$24,前提条件!$C$23),IF(BI7&lt;=14,IF(入力データ!$I$26="私立",前提条件!$C$26,前提条件!$C$25),IF(BI7&lt;=17,IF(入力データ!$J$26="私立",前提条件!$C$28,前提条件!$C$27),IF(BI7&lt;=21,IF(入力データ!$K$26="国公立",前提条件!$C$29,IF(入力データ!$K$26="私立理系",前提条件!$C$31,前提条件!$C$30))+IF(入力データ!$L$26="下宿",前提条件!$C$32,0)+IF(BI7=18,前提条件!$C$33,0),0))))))+IF(BI8="",0,IF(BI8&lt;=5,IF(入力データ!$G$27="私立",前提条件!$C$22,前提条件!$C$21),IF(BI8&lt;=11,IF(入力データ!$H$27="私立",前提条件!$C$24,前提条件!$C$23),IF(BI8&lt;=14,IF(入力データ!$I$27="私立",前提条件!$C$26,前提条件!$C$25),IF(BI8&lt;=17,IF(入力データ!$J$27="私立",前提条件!$C$28,前提条件!$C$27),IF(BI8&lt;=21,IF(入力データ!$K$27="国公立",前提条件!$C$29,IF(入力データ!$K$27="私立理系",前提条件!$C$31,前提条件!$C$30))+IF(入力データ!$L$27="下宿",前提条件!$C$32,0)+IF(BI8=18,前提条件!$C$33,0),0)))))))*(1+前提条件!$C$13)^(BI$3-$B$3))))</f>
        <v/>
      </c>
      <c r="BJ24" s="352">
        <f>IF(BJ$3="","",IF(入力データ!$C$17&lt;=0,0,IF(BJ$3="","",((SUM(入力データ!$C$58:$C$61)*12)+IF(BJ6="",0,IF(BJ6&lt;=5,IF(入力データ!$G$25="私立",前提条件!$C$22,前提条件!$C$21),IF(BJ6&lt;=11,IF(入力データ!$H$25="私立",前提条件!$C$24,前提条件!$C$23),IF(BJ6&lt;=14,IF(入力データ!$I$25="私立",前提条件!$C$26,前提条件!$C$25),IF(BJ6&lt;=17,IF(入力データ!$J$25="私立",前提条件!$C$28,前提条件!$C$27),IF(BJ6&lt;=21,IF(入力データ!$K$25="国公立",前提条件!$C$29,IF(入力データ!$K$25="私立理系",前提条件!$C$31,前提条件!$C$30))+IF(入力データ!$L$25="下宿",前提条件!$C$32,0)+IF(BJ6=18,前提条件!$C$33,0),0))))))+IF(BJ7="",0,IF(BJ7&lt;=5,IF(入力データ!$G$26="私立",前提条件!$C$22,前提条件!$C$21),IF(BJ7&lt;=11,IF(入力データ!$H$26="私立",前提条件!$C$24,前提条件!$C$23),IF(BJ7&lt;=14,IF(入力データ!$I$26="私立",前提条件!$C$26,前提条件!$C$25),IF(BJ7&lt;=17,IF(入力データ!$J$26="私立",前提条件!$C$28,前提条件!$C$27),IF(BJ7&lt;=21,IF(入力データ!$K$26="国公立",前提条件!$C$29,IF(入力データ!$K$26="私立理系",前提条件!$C$31,前提条件!$C$30))+IF(入力データ!$L$26="下宿",前提条件!$C$32,0)+IF(BJ7=18,前提条件!$C$33,0),0))))))+IF(BJ8="",0,IF(BJ8&lt;=5,IF(入力データ!$G$27="私立",前提条件!$C$22,前提条件!$C$21),IF(BJ8&lt;=11,IF(入力データ!$H$27="私立",前提条件!$C$24,前提条件!$C$23),IF(BJ8&lt;=14,IF(入力データ!$I$27="私立",前提条件!$C$26,前提条件!$C$25),IF(BJ8&lt;=17,IF(入力データ!$J$27="私立",前提条件!$C$28,前提条件!$C$27),IF(BJ8&lt;=21,IF(入力データ!$K$27="国公立",前提条件!$C$29,IF(入力データ!$K$27="私立理系",前提条件!$C$31,前提条件!$C$30))+IF(入力データ!$L$27="下宿",前提条件!$C$32,0)+IF(BJ8=18,前提条件!$C$33,0),0)))))))*(1+前提条件!$C$13)^(BJ$3-$B$3))))</f>
        <v/>
      </c>
      <c r="BK24" s="352">
        <f>IF(BK$3="","",IF(入力データ!$C$17&lt;=0,0,IF(BK$3="","",((SUM(入力データ!$C$58:$C$61)*12)+IF(BK6="",0,IF(BK6&lt;=5,IF(入力データ!$G$25="私立",前提条件!$C$22,前提条件!$C$21),IF(BK6&lt;=11,IF(入力データ!$H$25="私立",前提条件!$C$24,前提条件!$C$23),IF(BK6&lt;=14,IF(入力データ!$I$25="私立",前提条件!$C$26,前提条件!$C$25),IF(BK6&lt;=17,IF(入力データ!$J$25="私立",前提条件!$C$28,前提条件!$C$27),IF(BK6&lt;=21,IF(入力データ!$K$25="国公立",前提条件!$C$29,IF(入力データ!$K$25="私立理系",前提条件!$C$31,前提条件!$C$30))+IF(入力データ!$L$25="下宿",前提条件!$C$32,0)+IF(BK6=18,前提条件!$C$33,0),0))))))+IF(BK7="",0,IF(BK7&lt;=5,IF(入力データ!$G$26="私立",前提条件!$C$22,前提条件!$C$21),IF(BK7&lt;=11,IF(入力データ!$H$26="私立",前提条件!$C$24,前提条件!$C$23),IF(BK7&lt;=14,IF(入力データ!$I$26="私立",前提条件!$C$26,前提条件!$C$25),IF(BK7&lt;=17,IF(入力データ!$J$26="私立",前提条件!$C$28,前提条件!$C$27),IF(BK7&lt;=21,IF(入力データ!$K$26="国公立",前提条件!$C$29,IF(入力データ!$K$26="私立理系",前提条件!$C$31,前提条件!$C$30))+IF(入力データ!$L$26="下宿",前提条件!$C$32,0)+IF(BK7=18,前提条件!$C$33,0),0))))))+IF(BK8="",0,IF(BK8&lt;=5,IF(入力データ!$G$27="私立",前提条件!$C$22,前提条件!$C$21),IF(BK8&lt;=11,IF(入力データ!$H$27="私立",前提条件!$C$24,前提条件!$C$23),IF(BK8&lt;=14,IF(入力データ!$I$27="私立",前提条件!$C$26,前提条件!$C$25),IF(BK8&lt;=17,IF(入力データ!$J$27="私立",前提条件!$C$28,前提条件!$C$27),IF(BK8&lt;=21,IF(入力データ!$K$27="国公立",前提条件!$C$29,IF(入力データ!$K$27="私立理系",前提条件!$C$31,前提条件!$C$30))+IF(入力データ!$L$27="下宿",前提条件!$C$32,0)+IF(BK8=18,前提条件!$C$33,0),0)))))))*(1+前提条件!$C$13)^(BK$3-$B$3))))</f>
        <v/>
      </c>
      <c r="BL24" s="352">
        <f>IF(BL$3="","",IF(入力データ!$C$17&lt;=0,0,IF(BL$3="","",((SUM(入力データ!$C$58:$C$61)*12)+IF(BL6="",0,IF(BL6&lt;=5,IF(入力データ!$G$25="私立",前提条件!$C$22,前提条件!$C$21),IF(BL6&lt;=11,IF(入力データ!$H$25="私立",前提条件!$C$24,前提条件!$C$23),IF(BL6&lt;=14,IF(入力データ!$I$25="私立",前提条件!$C$26,前提条件!$C$25),IF(BL6&lt;=17,IF(入力データ!$J$25="私立",前提条件!$C$28,前提条件!$C$27),IF(BL6&lt;=21,IF(入力データ!$K$25="国公立",前提条件!$C$29,IF(入力データ!$K$25="私立理系",前提条件!$C$31,前提条件!$C$30))+IF(入力データ!$L$25="下宿",前提条件!$C$32,0)+IF(BL6=18,前提条件!$C$33,0),0))))))+IF(BL7="",0,IF(BL7&lt;=5,IF(入力データ!$G$26="私立",前提条件!$C$22,前提条件!$C$21),IF(BL7&lt;=11,IF(入力データ!$H$26="私立",前提条件!$C$24,前提条件!$C$23),IF(BL7&lt;=14,IF(入力データ!$I$26="私立",前提条件!$C$26,前提条件!$C$25),IF(BL7&lt;=17,IF(入力データ!$J$26="私立",前提条件!$C$28,前提条件!$C$27),IF(BL7&lt;=21,IF(入力データ!$K$26="国公立",前提条件!$C$29,IF(入力データ!$K$26="私立理系",前提条件!$C$31,前提条件!$C$30))+IF(入力データ!$L$26="下宿",前提条件!$C$32,0)+IF(BL7=18,前提条件!$C$33,0),0))))))+IF(BL8="",0,IF(BL8&lt;=5,IF(入力データ!$G$27="私立",前提条件!$C$22,前提条件!$C$21),IF(BL8&lt;=11,IF(入力データ!$H$27="私立",前提条件!$C$24,前提条件!$C$23),IF(BL8&lt;=14,IF(入力データ!$I$27="私立",前提条件!$C$26,前提条件!$C$25),IF(BL8&lt;=17,IF(入力データ!$J$27="私立",前提条件!$C$28,前提条件!$C$27),IF(BL8&lt;=21,IF(入力データ!$K$27="国公立",前提条件!$C$29,IF(入力データ!$K$27="私立理系",前提条件!$C$31,前提条件!$C$30))+IF(入力データ!$L$27="下宿",前提条件!$C$32,0)+IF(BL8=18,前提条件!$C$33,0),0)))))))*(1+前提条件!$C$13)^(BL$3-$B$3))))</f>
        <v/>
      </c>
      <c r="BM24" s="352">
        <f>IF(BM$3="","",IF(入力データ!$C$17&lt;=0,0,IF(BM$3="","",((SUM(入力データ!$C$58:$C$61)*12)+IF(BM6="",0,IF(BM6&lt;=5,IF(入力データ!$G$25="私立",前提条件!$C$22,前提条件!$C$21),IF(BM6&lt;=11,IF(入力データ!$H$25="私立",前提条件!$C$24,前提条件!$C$23),IF(BM6&lt;=14,IF(入力データ!$I$25="私立",前提条件!$C$26,前提条件!$C$25),IF(BM6&lt;=17,IF(入力データ!$J$25="私立",前提条件!$C$28,前提条件!$C$27),IF(BM6&lt;=21,IF(入力データ!$K$25="国公立",前提条件!$C$29,IF(入力データ!$K$25="私立理系",前提条件!$C$31,前提条件!$C$30))+IF(入力データ!$L$25="下宿",前提条件!$C$32,0)+IF(BM6=18,前提条件!$C$33,0),0))))))+IF(BM7="",0,IF(BM7&lt;=5,IF(入力データ!$G$26="私立",前提条件!$C$22,前提条件!$C$21),IF(BM7&lt;=11,IF(入力データ!$H$26="私立",前提条件!$C$24,前提条件!$C$23),IF(BM7&lt;=14,IF(入力データ!$I$26="私立",前提条件!$C$26,前提条件!$C$25),IF(BM7&lt;=17,IF(入力データ!$J$26="私立",前提条件!$C$28,前提条件!$C$27),IF(BM7&lt;=21,IF(入力データ!$K$26="国公立",前提条件!$C$29,IF(入力データ!$K$26="私立理系",前提条件!$C$31,前提条件!$C$30))+IF(入力データ!$L$26="下宿",前提条件!$C$32,0)+IF(BM7=18,前提条件!$C$33,0),0))))))+IF(BM8="",0,IF(BM8&lt;=5,IF(入力データ!$G$27="私立",前提条件!$C$22,前提条件!$C$21),IF(BM8&lt;=11,IF(入力データ!$H$27="私立",前提条件!$C$24,前提条件!$C$23),IF(BM8&lt;=14,IF(入力データ!$I$27="私立",前提条件!$C$26,前提条件!$C$25),IF(BM8&lt;=17,IF(入力データ!$J$27="私立",前提条件!$C$28,前提条件!$C$27),IF(BM8&lt;=21,IF(入力データ!$K$27="国公立",前提条件!$C$29,IF(入力データ!$K$27="私立理系",前提条件!$C$31,前提条件!$C$30))+IF(入力データ!$L$27="下宿",前提条件!$C$32,0)+IF(BM8=18,前提条件!$C$33,0),0)))))))*(1+前提条件!$C$13)^(BM$3-$B$3))))</f>
        <v/>
      </c>
      <c r="BN24" s="352">
        <f>IF(BN$3="","",IF(入力データ!$C$17&lt;=0,0,IF(BN$3="","",((SUM(入力データ!$C$58:$C$61)*12)+IF(BN6="",0,IF(BN6&lt;=5,IF(入力データ!$G$25="私立",前提条件!$C$22,前提条件!$C$21),IF(BN6&lt;=11,IF(入力データ!$H$25="私立",前提条件!$C$24,前提条件!$C$23),IF(BN6&lt;=14,IF(入力データ!$I$25="私立",前提条件!$C$26,前提条件!$C$25),IF(BN6&lt;=17,IF(入力データ!$J$25="私立",前提条件!$C$28,前提条件!$C$27),IF(BN6&lt;=21,IF(入力データ!$K$25="国公立",前提条件!$C$29,IF(入力データ!$K$25="私立理系",前提条件!$C$31,前提条件!$C$30))+IF(入力データ!$L$25="下宿",前提条件!$C$32,0)+IF(BN6=18,前提条件!$C$33,0),0))))))+IF(BN7="",0,IF(BN7&lt;=5,IF(入力データ!$G$26="私立",前提条件!$C$22,前提条件!$C$21),IF(BN7&lt;=11,IF(入力データ!$H$26="私立",前提条件!$C$24,前提条件!$C$23),IF(BN7&lt;=14,IF(入力データ!$I$26="私立",前提条件!$C$26,前提条件!$C$25),IF(BN7&lt;=17,IF(入力データ!$J$26="私立",前提条件!$C$28,前提条件!$C$27),IF(BN7&lt;=21,IF(入力データ!$K$26="国公立",前提条件!$C$29,IF(入力データ!$K$26="私立理系",前提条件!$C$31,前提条件!$C$30))+IF(入力データ!$L$26="下宿",前提条件!$C$32,0)+IF(BN7=18,前提条件!$C$33,0),0))))))+IF(BN8="",0,IF(BN8&lt;=5,IF(入力データ!$G$27="私立",前提条件!$C$22,前提条件!$C$21),IF(BN8&lt;=11,IF(入力データ!$H$27="私立",前提条件!$C$24,前提条件!$C$23),IF(BN8&lt;=14,IF(入力データ!$I$27="私立",前提条件!$C$26,前提条件!$C$25),IF(BN8&lt;=17,IF(入力データ!$J$27="私立",前提条件!$C$28,前提条件!$C$27),IF(BN8&lt;=21,IF(入力データ!$K$27="国公立",前提条件!$C$29,IF(入力データ!$K$27="私立理系",前提条件!$C$31,前提条件!$C$30))+IF(入力データ!$L$27="下宿",前提条件!$C$32,0)+IF(BN8=18,前提条件!$C$33,0),0)))))))*(1+前提条件!$C$13)^(BN$3-$B$3))))</f>
        <v/>
      </c>
      <c r="BO24" s="352">
        <f>IF(BO$3="","",IF(入力データ!$C$17&lt;=0,0,IF(BO$3="","",((SUM(入力データ!$C$58:$C$61)*12)+IF(BO6="",0,IF(BO6&lt;=5,IF(入力データ!$G$25="私立",前提条件!$C$22,前提条件!$C$21),IF(BO6&lt;=11,IF(入力データ!$H$25="私立",前提条件!$C$24,前提条件!$C$23),IF(BO6&lt;=14,IF(入力データ!$I$25="私立",前提条件!$C$26,前提条件!$C$25),IF(BO6&lt;=17,IF(入力データ!$J$25="私立",前提条件!$C$28,前提条件!$C$27),IF(BO6&lt;=21,IF(入力データ!$K$25="国公立",前提条件!$C$29,IF(入力データ!$K$25="私立理系",前提条件!$C$31,前提条件!$C$30))+IF(入力データ!$L$25="下宿",前提条件!$C$32,0)+IF(BO6=18,前提条件!$C$33,0),0))))))+IF(BO7="",0,IF(BO7&lt;=5,IF(入力データ!$G$26="私立",前提条件!$C$22,前提条件!$C$21),IF(BO7&lt;=11,IF(入力データ!$H$26="私立",前提条件!$C$24,前提条件!$C$23),IF(BO7&lt;=14,IF(入力データ!$I$26="私立",前提条件!$C$26,前提条件!$C$25),IF(BO7&lt;=17,IF(入力データ!$J$26="私立",前提条件!$C$28,前提条件!$C$27),IF(BO7&lt;=21,IF(入力データ!$K$26="国公立",前提条件!$C$29,IF(入力データ!$K$26="私立理系",前提条件!$C$31,前提条件!$C$30))+IF(入力データ!$L$26="下宿",前提条件!$C$32,0)+IF(BO7=18,前提条件!$C$33,0),0))))))+IF(BO8="",0,IF(BO8&lt;=5,IF(入力データ!$G$27="私立",前提条件!$C$22,前提条件!$C$21),IF(BO8&lt;=11,IF(入力データ!$H$27="私立",前提条件!$C$24,前提条件!$C$23),IF(BO8&lt;=14,IF(入力データ!$I$27="私立",前提条件!$C$26,前提条件!$C$25),IF(BO8&lt;=17,IF(入力データ!$J$27="私立",前提条件!$C$28,前提条件!$C$27),IF(BO8&lt;=21,IF(入力データ!$K$27="国公立",前提条件!$C$29,IF(入力データ!$K$27="私立理系",前提条件!$C$31,前提条件!$C$30))+IF(入力データ!$L$27="下宿",前提条件!$C$32,0)+IF(BO8=18,前提条件!$C$33,0),0)))))))*(1+前提条件!$C$13)^(BO$3-$B$3))))</f>
        <v/>
      </c>
      <c r="BP24" s="352">
        <f>IF(BP$3="","",IF(入力データ!$C$17&lt;=0,0,IF(BP$3="","",((SUM(入力データ!$C$58:$C$61)*12)+IF(BP6="",0,IF(BP6&lt;=5,IF(入力データ!$G$25="私立",前提条件!$C$22,前提条件!$C$21),IF(BP6&lt;=11,IF(入力データ!$H$25="私立",前提条件!$C$24,前提条件!$C$23),IF(BP6&lt;=14,IF(入力データ!$I$25="私立",前提条件!$C$26,前提条件!$C$25),IF(BP6&lt;=17,IF(入力データ!$J$25="私立",前提条件!$C$28,前提条件!$C$27),IF(BP6&lt;=21,IF(入力データ!$K$25="国公立",前提条件!$C$29,IF(入力データ!$K$25="私立理系",前提条件!$C$31,前提条件!$C$30))+IF(入力データ!$L$25="下宿",前提条件!$C$32,0)+IF(BP6=18,前提条件!$C$33,0),0))))))+IF(BP7="",0,IF(BP7&lt;=5,IF(入力データ!$G$26="私立",前提条件!$C$22,前提条件!$C$21),IF(BP7&lt;=11,IF(入力データ!$H$26="私立",前提条件!$C$24,前提条件!$C$23),IF(BP7&lt;=14,IF(入力データ!$I$26="私立",前提条件!$C$26,前提条件!$C$25),IF(BP7&lt;=17,IF(入力データ!$J$26="私立",前提条件!$C$28,前提条件!$C$27),IF(BP7&lt;=21,IF(入力データ!$K$26="国公立",前提条件!$C$29,IF(入力データ!$K$26="私立理系",前提条件!$C$31,前提条件!$C$30))+IF(入力データ!$L$26="下宿",前提条件!$C$32,0)+IF(BP7=18,前提条件!$C$33,0),0))))))+IF(BP8="",0,IF(BP8&lt;=5,IF(入力データ!$G$27="私立",前提条件!$C$22,前提条件!$C$21),IF(BP8&lt;=11,IF(入力データ!$H$27="私立",前提条件!$C$24,前提条件!$C$23),IF(BP8&lt;=14,IF(入力データ!$I$27="私立",前提条件!$C$26,前提条件!$C$25),IF(BP8&lt;=17,IF(入力データ!$J$27="私立",前提条件!$C$28,前提条件!$C$27),IF(BP8&lt;=21,IF(入力データ!$K$27="国公立",前提条件!$C$29,IF(入力データ!$K$27="私立理系",前提条件!$C$31,前提条件!$C$30))+IF(入力データ!$L$27="下宿",前提条件!$C$32,0)+IF(BP8=18,前提条件!$C$33,0),0)))))))*(1+前提条件!$C$13)^(BP$3-$B$3))))</f>
        <v/>
      </c>
      <c r="BQ24" s="352">
        <f>IF(BQ$3="","",IF(入力データ!$C$17&lt;=0,0,IF(BQ$3="","",((SUM(入力データ!$C$58:$C$61)*12)+IF(BQ6="",0,IF(BQ6&lt;=5,IF(入力データ!$G$25="私立",前提条件!$C$22,前提条件!$C$21),IF(BQ6&lt;=11,IF(入力データ!$H$25="私立",前提条件!$C$24,前提条件!$C$23),IF(BQ6&lt;=14,IF(入力データ!$I$25="私立",前提条件!$C$26,前提条件!$C$25),IF(BQ6&lt;=17,IF(入力データ!$J$25="私立",前提条件!$C$28,前提条件!$C$27),IF(BQ6&lt;=21,IF(入力データ!$K$25="国公立",前提条件!$C$29,IF(入力データ!$K$25="私立理系",前提条件!$C$31,前提条件!$C$30))+IF(入力データ!$L$25="下宿",前提条件!$C$32,0)+IF(BQ6=18,前提条件!$C$33,0),0))))))+IF(BQ7="",0,IF(BQ7&lt;=5,IF(入力データ!$G$26="私立",前提条件!$C$22,前提条件!$C$21),IF(BQ7&lt;=11,IF(入力データ!$H$26="私立",前提条件!$C$24,前提条件!$C$23),IF(BQ7&lt;=14,IF(入力データ!$I$26="私立",前提条件!$C$26,前提条件!$C$25),IF(BQ7&lt;=17,IF(入力データ!$J$26="私立",前提条件!$C$28,前提条件!$C$27),IF(BQ7&lt;=21,IF(入力データ!$K$26="国公立",前提条件!$C$29,IF(入力データ!$K$26="私立理系",前提条件!$C$31,前提条件!$C$30))+IF(入力データ!$L$26="下宿",前提条件!$C$32,0)+IF(BQ7=18,前提条件!$C$33,0),0))))))+IF(BQ8="",0,IF(BQ8&lt;=5,IF(入力データ!$G$27="私立",前提条件!$C$22,前提条件!$C$21),IF(BQ8&lt;=11,IF(入力データ!$H$27="私立",前提条件!$C$24,前提条件!$C$23),IF(BQ8&lt;=14,IF(入力データ!$I$27="私立",前提条件!$C$26,前提条件!$C$25),IF(BQ8&lt;=17,IF(入力データ!$J$27="私立",前提条件!$C$28,前提条件!$C$27),IF(BQ8&lt;=21,IF(入力データ!$K$27="国公立",前提条件!$C$29,IF(入力データ!$K$27="私立理系",前提条件!$C$31,前提条件!$C$30))+IF(入力データ!$L$27="下宿",前提条件!$C$32,0)+IF(BQ8=18,前提条件!$C$33,0),0)))))))*(1+前提条件!$C$13)^(BQ$3-$B$3))))</f>
        <v/>
      </c>
      <c r="BR24" s="352">
        <f>IF(BR$3="","",IF(入力データ!$C$17&lt;=0,0,IF(BR$3="","",((SUM(入力データ!$C$58:$C$61)*12)+IF(BR6="",0,IF(BR6&lt;=5,IF(入力データ!$G$25="私立",前提条件!$C$22,前提条件!$C$21),IF(BR6&lt;=11,IF(入力データ!$H$25="私立",前提条件!$C$24,前提条件!$C$23),IF(BR6&lt;=14,IF(入力データ!$I$25="私立",前提条件!$C$26,前提条件!$C$25),IF(BR6&lt;=17,IF(入力データ!$J$25="私立",前提条件!$C$28,前提条件!$C$27),IF(BR6&lt;=21,IF(入力データ!$K$25="国公立",前提条件!$C$29,IF(入力データ!$K$25="私立理系",前提条件!$C$31,前提条件!$C$30))+IF(入力データ!$L$25="下宿",前提条件!$C$32,0)+IF(BR6=18,前提条件!$C$33,0),0))))))+IF(BR7="",0,IF(BR7&lt;=5,IF(入力データ!$G$26="私立",前提条件!$C$22,前提条件!$C$21),IF(BR7&lt;=11,IF(入力データ!$H$26="私立",前提条件!$C$24,前提条件!$C$23),IF(BR7&lt;=14,IF(入力データ!$I$26="私立",前提条件!$C$26,前提条件!$C$25),IF(BR7&lt;=17,IF(入力データ!$J$26="私立",前提条件!$C$28,前提条件!$C$27),IF(BR7&lt;=21,IF(入力データ!$K$26="国公立",前提条件!$C$29,IF(入力データ!$K$26="私立理系",前提条件!$C$31,前提条件!$C$30))+IF(入力データ!$L$26="下宿",前提条件!$C$32,0)+IF(BR7=18,前提条件!$C$33,0),0))))))+IF(BR8="",0,IF(BR8&lt;=5,IF(入力データ!$G$27="私立",前提条件!$C$22,前提条件!$C$21),IF(BR8&lt;=11,IF(入力データ!$H$27="私立",前提条件!$C$24,前提条件!$C$23),IF(BR8&lt;=14,IF(入力データ!$I$27="私立",前提条件!$C$26,前提条件!$C$25),IF(BR8&lt;=17,IF(入力データ!$J$27="私立",前提条件!$C$28,前提条件!$C$27),IF(BR8&lt;=21,IF(入力データ!$K$27="国公立",前提条件!$C$29,IF(入力データ!$K$27="私立理系",前提条件!$C$31,前提条件!$C$30))+IF(入力データ!$L$27="下宿",前提条件!$C$32,0)+IF(BR8=18,前提条件!$C$33,0),0)))))))*(1+前提条件!$C$13)^(BR$3-$B$3))))</f>
        <v/>
      </c>
      <c r="BS24" s="352">
        <f>IF(BS$3="","",IF(入力データ!$C$17&lt;=0,0,IF(BS$3="","",((SUM(入力データ!$C$58:$C$61)*12)+IF(BS6="",0,IF(BS6&lt;=5,IF(入力データ!$G$25="私立",前提条件!$C$22,前提条件!$C$21),IF(BS6&lt;=11,IF(入力データ!$H$25="私立",前提条件!$C$24,前提条件!$C$23),IF(BS6&lt;=14,IF(入力データ!$I$25="私立",前提条件!$C$26,前提条件!$C$25),IF(BS6&lt;=17,IF(入力データ!$J$25="私立",前提条件!$C$28,前提条件!$C$27),IF(BS6&lt;=21,IF(入力データ!$K$25="国公立",前提条件!$C$29,IF(入力データ!$K$25="私立理系",前提条件!$C$31,前提条件!$C$30))+IF(入力データ!$L$25="下宿",前提条件!$C$32,0)+IF(BS6=18,前提条件!$C$33,0),0))))))+IF(BS7="",0,IF(BS7&lt;=5,IF(入力データ!$G$26="私立",前提条件!$C$22,前提条件!$C$21),IF(BS7&lt;=11,IF(入力データ!$H$26="私立",前提条件!$C$24,前提条件!$C$23),IF(BS7&lt;=14,IF(入力データ!$I$26="私立",前提条件!$C$26,前提条件!$C$25),IF(BS7&lt;=17,IF(入力データ!$J$26="私立",前提条件!$C$28,前提条件!$C$27),IF(BS7&lt;=21,IF(入力データ!$K$26="国公立",前提条件!$C$29,IF(入力データ!$K$26="私立理系",前提条件!$C$31,前提条件!$C$30))+IF(入力データ!$L$26="下宿",前提条件!$C$32,0)+IF(BS7=18,前提条件!$C$33,0),0))))))+IF(BS8="",0,IF(BS8&lt;=5,IF(入力データ!$G$27="私立",前提条件!$C$22,前提条件!$C$21),IF(BS8&lt;=11,IF(入力データ!$H$27="私立",前提条件!$C$24,前提条件!$C$23),IF(BS8&lt;=14,IF(入力データ!$I$27="私立",前提条件!$C$26,前提条件!$C$25),IF(BS8&lt;=17,IF(入力データ!$J$27="私立",前提条件!$C$28,前提条件!$C$27),IF(BS8&lt;=21,IF(入力データ!$K$27="国公立",前提条件!$C$29,IF(入力データ!$K$27="私立理系",前提条件!$C$31,前提条件!$C$30))+IF(入力データ!$L$27="下宿",前提条件!$C$32,0)+IF(BS8=18,前提条件!$C$33,0),0)))))))*(1+前提条件!$C$13)^(BS$3-$B$3))))</f>
        <v/>
      </c>
      <c r="BT24" s="352">
        <f>IF(BT$3="","",IF(入力データ!$C$17&lt;=0,0,IF(BT$3="","",((SUM(入力データ!$C$58:$C$61)*12)+IF(BT6="",0,IF(BT6&lt;=5,IF(入力データ!$G$25="私立",前提条件!$C$22,前提条件!$C$21),IF(BT6&lt;=11,IF(入力データ!$H$25="私立",前提条件!$C$24,前提条件!$C$23),IF(BT6&lt;=14,IF(入力データ!$I$25="私立",前提条件!$C$26,前提条件!$C$25),IF(BT6&lt;=17,IF(入力データ!$J$25="私立",前提条件!$C$28,前提条件!$C$27),IF(BT6&lt;=21,IF(入力データ!$K$25="国公立",前提条件!$C$29,IF(入力データ!$K$25="私立理系",前提条件!$C$31,前提条件!$C$30))+IF(入力データ!$L$25="下宿",前提条件!$C$32,0)+IF(BT6=18,前提条件!$C$33,0),0))))))+IF(BT7="",0,IF(BT7&lt;=5,IF(入力データ!$G$26="私立",前提条件!$C$22,前提条件!$C$21),IF(BT7&lt;=11,IF(入力データ!$H$26="私立",前提条件!$C$24,前提条件!$C$23),IF(BT7&lt;=14,IF(入力データ!$I$26="私立",前提条件!$C$26,前提条件!$C$25),IF(BT7&lt;=17,IF(入力データ!$J$26="私立",前提条件!$C$28,前提条件!$C$27),IF(BT7&lt;=21,IF(入力データ!$K$26="国公立",前提条件!$C$29,IF(入力データ!$K$26="私立理系",前提条件!$C$31,前提条件!$C$30))+IF(入力データ!$L$26="下宿",前提条件!$C$32,0)+IF(BT7=18,前提条件!$C$33,0),0))))))+IF(BT8="",0,IF(BT8&lt;=5,IF(入力データ!$G$27="私立",前提条件!$C$22,前提条件!$C$21),IF(BT8&lt;=11,IF(入力データ!$H$27="私立",前提条件!$C$24,前提条件!$C$23),IF(BT8&lt;=14,IF(入力データ!$I$27="私立",前提条件!$C$26,前提条件!$C$25),IF(BT8&lt;=17,IF(入力データ!$J$27="私立",前提条件!$C$28,前提条件!$C$27),IF(BT8&lt;=21,IF(入力データ!$K$27="国公立",前提条件!$C$29,IF(入力データ!$K$27="私立理系",前提条件!$C$31,前提条件!$C$30))+IF(入力データ!$L$27="下宿",前提条件!$C$32,0)+IF(BT8=18,前提条件!$C$33,0),0)))))))*(1+前提条件!$C$13)^(BT$3-$B$3))))</f>
        <v/>
      </c>
      <c r="BU24" s="352">
        <f>IF(BU$3="","",IF(入力データ!$C$17&lt;=0,0,IF(BU$3="","",((SUM(入力データ!$C$58:$C$61)*12)+IF(BU6="",0,IF(BU6&lt;=5,IF(入力データ!$G$25="私立",前提条件!$C$22,前提条件!$C$21),IF(BU6&lt;=11,IF(入力データ!$H$25="私立",前提条件!$C$24,前提条件!$C$23),IF(BU6&lt;=14,IF(入力データ!$I$25="私立",前提条件!$C$26,前提条件!$C$25),IF(BU6&lt;=17,IF(入力データ!$J$25="私立",前提条件!$C$28,前提条件!$C$27),IF(BU6&lt;=21,IF(入力データ!$K$25="国公立",前提条件!$C$29,IF(入力データ!$K$25="私立理系",前提条件!$C$31,前提条件!$C$30))+IF(入力データ!$L$25="下宿",前提条件!$C$32,0)+IF(BU6=18,前提条件!$C$33,0),0))))))+IF(BU7="",0,IF(BU7&lt;=5,IF(入力データ!$G$26="私立",前提条件!$C$22,前提条件!$C$21),IF(BU7&lt;=11,IF(入力データ!$H$26="私立",前提条件!$C$24,前提条件!$C$23),IF(BU7&lt;=14,IF(入力データ!$I$26="私立",前提条件!$C$26,前提条件!$C$25),IF(BU7&lt;=17,IF(入力データ!$J$26="私立",前提条件!$C$28,前提条件!$C$27),IF(BU7&lt;=21,IF(入力データ!$K$26="国公立",前提条件!$C$29,IF(入力データ!$K$26="私立理系",前提条件!$C$31,前提条件!$C$30))+IF(入力データ!$L$26="下宿",前提条件!$C$32,0)+IF(BU7=18,前提条件!$C$33,0),0))))))+IF(BU8="",0,IF(BU8&lt;=5,IF(入力データ!$G$27="私立",前提条件!$C$22,前提条件!$C$21),IF(BU8&lt;=11,IF(入力データ!$H$27="私立",前提条件!$C$24,前提条件!$C$23),IF(BU8&lt;=14,IF(入力データ!$I$27="私立",前提条件!$C$26,前提条件!$C$25),IF(BU8&lt;=17,IF(入力データ!$J$27="私立",前提条件!$C$28,前提条件!$C$27),IF(BU8&lt;=21,IF(入力データ!$K$27="国公立",前提条件!$C$29,IF(入力データ!$K$27="私立理系",前提条件!$C$31,前提条件!$C$30))+IF(入力データ!$L$27="下宿",前提条件!$C$32,0)+IF(BU8=18,前提条件!$C$33,0),0)))))))*(1+前提条件!$C$13)^(BU$3-$B$3))))</f>
        <v/>
      </c>
      <c r="BV24" s="352">
        <f>IF(BV$3="","",IF(入力データ!$C$17&lt;=0,0,IF(BV$3="","",((SUM(入力データ!$C$58:$C$61)*12)+IF(BV6="",0,IF(BV6&lt;=5,IF(入力データ!$G$25="私立",前提条件!$C$22,前提条件!$C$21),IF(BV6&lt;=11,IF(入力データ!$H$25="私立",前提条件!$C$24,前提条件!$C$23),IF(BV6&lt;=14,IF(入力データ!$I$25="私立",前提条件!$C$26,前提条件!$C$25),IF(BV6&lt;=17,IF(入力データ!$J$25="私立",前提条件!$C$28,前提条件!$C$27),IF(BV6&lt;=21,IF(入力データ!$K$25="国公立",前提条件!$C$29,IF(入力データ!$K$25="私立理系",前提条件!$C$31,前提条件!$C$30))+IF(入力データ!$L$25="下宿",前提条件!$C$32,0)+IF(BV6=18,前提条件!$C$33,0),0))))))+IF(BV7="",0,IF(BV7&lt;=5,IF(入力データ!$G$26="私立",前提条件!$C$22,前提条件!$C$21),IF(BV7&lt;=11,IF(入力データ!$H$26="私立",前提条件!$C$24,前提条件!$C$23),IF(BV7&lt;=14,IF(入力データ!$I$26="私立",前提条件!$C$26,前提条件!$C$25),IF(BV7&lt;=17,IF(入力データ!$J$26="私立",前提条件!$C$28,前提条件!$C$27),IF(BV7&lt;=21,IF(入力データ!$K$26="国公立",前提条件!$C$29,IF(入力データ!$K$26="私立理系",前提条件!$C$31,前提条件!$C$30))+IF(入力データ!$L$26="下宿",前提条件!$C$32,0)+IF(BV7=18,前提条件!$C$33,0),0))))))+IF(BV8="",0,IF(BV8&lt;=5,IF(入力データ!$G$27="私立",前提条件!$C$22,前提条件!$C$21),IF(BV8&lt;=11,IF(入力データ!$H$27="私立",前提条件!$C$24,前提条件!$C$23),IF(BV8&lt;=14,IF(入力データ!$I$27="私立",前提条件!$C$26,前提条件!$C$25),IF(BV8&lt;=17,IF(入力データ!$J$27="私立",前提条件!$C$28,前提条件!$C$27),IF(BV8&lt;=21,IF(入力データ!$K$27="国公立",前提条件!$C$29,IF(入力データ!$K$27="私立理系",前提条件!$C$31,前提条件!$C$30))+IF(入力データ!$L$27="下宿",前提条件!$C$32,0)+IF(BV8=18,前提条件!$C$33,0),0)))))))*(1+前提条件!$C$13)^(BV$3-$B$3))))</f>
        <v/>
      </c>
      <c r="BW24" s="352">
        <f>IF(BW$3="","",IF(入力データ!$C$17&lt;=0,0,IF(BW$3="","",((SUM(入力データ!$C$58:$C$61)*12)+IF(BW6="",0,IF(BW6&lt;=5,IF(入力データ!$G$25="私立",前提条件!$C$22,前提条件!$C$21),IF(BW6&lt;=11,IF(入力データ!$H$25="私立",前提条件!$C$24,前提条件!$C$23),IF(BW6&lt;=14,IF(入力データ!$I$25="私立",前提条件!$C$26,前提条件!$C$25),IF(BW6&lt;=17,IF(入力データ!$J$25="私立",前提条件!$C$28,前提条件!$C$27),IF(BW6&lt;=21,IF(入力データ!$K$25="国公立",前提条件!$C$29,IF(入力データ!$K$25="私立理系",前提条件!$C$31,前提条件!$C$30))+IF(入力データ!$L$25="下宿",前提条件!$C$32,0)+IF(BW6=18,前提条件!$C$33,0),0))))))+IF(BW7="",0,IF(BW7&lt;=5,IF(入力データ!$G$26="私立",前提条件!$C$22,前提条件!$C$21),IF(BW7&lt;=11,IF(入力データ!$H$26="私立",前提条件!$C$24,前提条件!$C$23),IF(BW7&lt;=14,IF(入力データ!$I$26="私立",前提条件!$C$26,前提条件!$C$25),IF(BW7&lt;=17,IF(入力データ!$J$26="私立",前提条件!$C$28,前提条件!$C$27),IF(BW7&lt;=21,IF(入力データ!$K$26="国公立",前提条件!$C$29,IF(入力データ!$K$26="私立理系",前提条件!$C$31,前提条件!$C$30))+IF(入力データ!$L$26="下宿",前提条件!$C$32,0)+IF(BW7=18,前提条件!$C$33,0),0))))))+IF(BW8="",0,IF(BW8&lt;=5,IF(入力データ!$G$27="私立",前提条件!$C$22,前提条件!$C$21),IF(BW8&lt;=11,IF(入力データ!$H$27="私立",前提条件!$C$24,前提条件!$C$23),IF(BW8&lt;=14,IF(入力データ!$I$27="私立",前提条件!$C$26,前提条件!$C$25),IF(BW8&lt;=17,IF(入力データ!$J$27="私立",前提条件!$C$28,前提条件!$C$27),IF(BW8&lt;=21,IF(入力データ!$K$27="国公立",前提条件!$C$29,IF(入力データ!$K$27="私立理系",前提条件!$C$31,前提条件!$C$30))+IF(入力データ!$L$27="下宿",前提条件!$C$32,0)+IF(BW8=18,前提条件!$C$33,0),0)))))))*(1+前提条件!$C$13)^(BW$3-$B$3))))</f>
        <v/>
      </c>
      <c r="BX24" s="352">
        <f>IF(BX$3="","",IF(入力データ!$C$17&lt;=0,0,IF(BX$3="","",((SUM(入力データ!$C$58:$C$61)*12)+IF(BX6="",0,IF(BX6&lt;=5,IF(入力データ!$G$25="私立",前提条件!$C$22,前提条件!$C$21),IF(BX6&lt;=11,IF(入力データ!$H$25="私立",前提条件!$C$24,前提条件!$C$23),IF(BX6&lt;=14,IF(入力データ!$I$25="私立",前提条件!$C$26,前提条件!$C$25),IF(BX6&lt;=17,IF(入力データ!$J$25="私立",前提条件!$C$28,前提条件!$C$27),IF(BX6&lt;=21,IF(入力データ!$K$25="国公立",前提条件!$C$29,IF(入力データ!$K$25="私立理系",前提条件!$C$31,前提条件!$C$30))+IF(入力データ!$L$25="下宿",前提条件!$C$32,0)+IF(BX6=18,前提条件!$C$33,0),0))))))+IF(BX7="",0,IF(BX7&lt;=5,IF(入力データ!$G$26="私立",前提条件!$C$22,前提条件!$C$21),IF(BX7&lt;=11,IF(入力データ!$H$26="私立",前提条件!$C$24,前提条件!$C$23),IF(BX7&lt;=14,IF(入力データ!$I$26="私立",前提条件!$C$26,前提条件!$C$25),IF(BX7&lt;=17,IF(入力データ!$J$26="私立",前提条件!$C$28,前提条件!$C$27),IF(BX7&lt;=21,IF(入力データ!$K$26="国公立",前提条件!$C$29,IF(入力データ!$K$26="私立理系",前提条件!$C$31,前提条件!$C$30))+IF(入力データ!$L$26="下宿",前提条件!$C$32,0)+IF(BX7=18,前提条件!$C$33,0),0))))))+IF(BX8="",0,IF(BX8&lt;=5,IF(入力データ!$G$27="私立",前提条件!$C$22,前提条件!$C$21),IF(BX8&lt;=11,IF(入力データ!$H$27="私立",前提条件!$C$24,前提条件!$C$23),IF(BX8&lt;=14,IF(入力データ!$I$27="私立",前提条件!$C$26,前提条件!$C$25),IF(BX8&lt;=17,IF(入力データ!$J$27="私立",前提条件!$C$28,前提条件!$C$27),IF(BX8&lt;=21,IF(入力データ!$K$27="国公立",前提条件!$C$29,IF(入力データ!$K$27="私立理系",前提条件!$C$31,前提条件!$C$30))+IF(入力データ!$L$27="下宿",前提条件!$C$32,0)+IF(BX8=18,前提条件!$C$33,0),0)))))))*(1+前提条件!$C$13)^(BX$3-$B$3))))</f>
        <v/>
      </c>
      <c r="BY24" s="352">
        <f>IF(BY$3="","",IF(入力データ!$C$17&lt;=0,0,IF(BY$3="","",((SUM(入力データ!$C$58:$C$61)*12)+IF(BY6="",0,IF(BY6&lt;=5,IF(入力データ!$G$25="私立",前提条件!$C$22,前提条件!$C$21),IF(BY6&lt;=11,IF(入力データ!$H$25="私立",前提条件!$C$24,前提条件!$C$23),IF(BY6&lt;=14,IF(入力データ!$I$25="私立",前提条件!$C$26,前提条件!$C$25),IF(BY6&lt;=17,IF(入力データ!$J$25="私立",前提条件!$C$28,前提条件!$C$27),IF(BY6&lt;=21,IF(入力データ!$K$25="国公立",前提条件!$C$29,IF(入力データ!$K$25="私立理系",前提条件!$C$31,前提条件!$C$30))+IF(入力データ!$L$25="下宿",前提条件!$C$32,0)+IF(BY6=18,前提条件!$C$33,0),0))))))+IF(BY7="",0,IF(BY7&lt;=5,IF(入力データ!$G$26="私立",前提条件!$C$22,前提条件!$C$21),IF(BY7&lt;=11,IF(入力データ!$H$26="私立",前提条件!$C$24,前提条件!$C$23),IF(BY7&lt;=14,IF(入力データ!$I$26="私立",前提条件!$C$26,前提条件!$C$25),IF(BY7&lt;=17,IF(入力データ!$J$26="私立",前提条件!$C$28,前提条件!$C$27),IF(BY7&lt;=21,IF(入力データ!$K$26="国公立",前提条件!$C$29,IF(入力データ!$K$26="私立理系",前提条件!$C$31,前提条件!$C$30))+IF(入力データ!$L$26="下宿",前提条件!$C$32,0)+IF(BY7=18,前提条件!$C$33,0),0))))))+IF(BY8="",0,IF(BY8&lt;=5,IF(入力データ!$G$27="私立",前提条件!$C$22,前提条件!$C$21),IF(BY8&lt;=11,IF(入力データ!$H$27="私立",前提条件!$C$24,前提条件!$C$23),IF(BY8&lt;=14,IF(入力データ!$I$27="私立",前提条件!$C$26,前提条件!$C$25),IF(BY8&lt;=17,IF(入力データ!$J$27="私立",前提条件!$C$28,前提条件!$C$27),IF(BY8&lt;=21,IF(入力データ!$K$27="国公立",前提条件!$C$29,IF(入力データ!$K$27="私立理系",前提条件!$C$31,前提条件!$C$30))+IF(入力データ!$L$27="下宿",前提条件!$C$32,0)+IF(BY8=18,前提条件!$C$33,0),0)))))))*(1+前提条件!$C$13)^(BY$3-$B$3))))</f>
        <v/>
      </c>
      <c r="BZ24" s="352">
        <f>IF(BZ$3="","",IF(入力データ!$C$17&lt;=0,0,IF(BZ$3="","",((SUM(入力データ!$C$58:$C$61)*12)+IF(BZ6="",0,IF(BZ6&lt;=5,IF(入力データ!$G$25="私立",前提条件!$C$22,前提条件!$C$21),IF(BZ6&lt;=11,IF(入力データ!$H$25="私立",前提条件!$C$24,前提条件!$C$23),IF(BZ6&lt;=14,IF(入力データ!$I$25="私立",前提条件!$C$26,前提条件!$C$25),IF(BZ6&lt;=17,IF(入力データ!$J$25="私立",前提条件!$C$28,前提条件!$C$27),IF(BZ6&lt;=21,IF(入力データ!$K$25="国公立",前提条件!$C$29,IF(入力データ!$K$25="私立理系",前提条件!$C$31,前提条件!$C$30))+IF(入力データ!$L$25="下宿",前提条件!$C$32,0)+IF(BZ6=18,前提条件!$C$33,0),0))))))+IF(BZ7="",0,IF(BZ7&lt;=5,IF(入力データ!$G$26="私立",前提条件!$C$22,前提条件!$C$21),IF(BZ7&lt;=11,IF(入力データ!$H$26="私立",前提条件!$C$24,前提条件!$C$23),IF(BZ7&lt;=14,IF(入力データ!$I$26="私立",前提条件!$C$26,前提条件!$C$25),IF(BZ7&lt;=17,IF(入力データ!$J$26="私立",前提条件!$C$28,前提条件!$C$27),IF(BZ7&lt;=21,IF(入力データ!$K$26="国公立",前提条件!$C$29,IF(入力データ!$K$26="私立理系",前提条件!$C$31,前提条件!$C$30))+IF(入力データ!$L$26="下宿",前提条件!$C$32,0)+IF(BZ7=18,前提条件!$C$33,0),0))))))+IF(BZ8="",0,IF(BZ8&lt;=5,IF(入力データ!$G$27="私立",前提条件!$C$22,前提条件!$C$21),IF(BZ8&lt;=11,IF(入力データ!$H$27="私立",前提条件!$C$24,前提条件!$C$23),IF(BZ8&lt;=14,IF(入力データ!$I$27="私立",前提条件!$C$26,前提条件!$C$25),IF(BZ8&lt;=17,IF(入力データ!$J$27="私立",前提条件!$C$28,前提条件!$C$27),IF(BZ8&lt;=21,IF(入力データ!$K$27="国公立",前提条件!$C$29,IF(入力データ!$K$27="私立理系",前提条件!$C$31,前提条件!$C$30))+IF(入力データ!$L$27="下宿",前提条件!$C$32,0)+IF(BZ8=18,前提条件!$C$33,0),0)))))))*(1+前提条件!$C$13)^(BZ$3-$B$3))))</f>
        <v/>
      </c>
      <c r="CA24" s="352">
        <f>IF(CA$3="","",IF(入力データ!$C$17&lt;=0,0,IF(CA$3="","",((SUM(入力データ!$C$58:$C$61)*12)+IF(CA6="",0,IF(CA6&lt;=5,IF(入力データ!$G$25="私立",前提条件!$C$22,前提条件!$C$21),IF(CA6&lt;=11,IF(入力データ!$H$25="私立",前提条件!$C$24,前提条件!$C$23),IF(CA6&lt;=14,IF(入力データ!$I$25="私立",前提条件!$C$26,前提条件!$C$25),IF(CA6&lt;=17,IF(入力データ!$J$25="私立",前提条件!$C$28,前提条件!$C$27),IF(CA6&lt;=21,IF(入力データ!$K$25="国公立",前提条件!$C$29,IF(入力データ!$K$25="私立理系",前提条件!$C$31,前提条件!$C$30))+IF(入力データ!$L$25="下宿",前提条件!$C$32,0)+IF(CA6=18,前提条件!$C$33,0),0))))))+IF(CA7="",0,IF(CA7&lt;=5,IF(入力データ!$G$26="私立",前提条件!$C$22,前提条件!$C$21),IF(CA7&lt;=11,IF(入力データ!$H$26="私立",前提条件!$C$24,前提条件!$C$23),IF(CA7&lt;=14,IF(入力データ!$I$26="私立",前提条件!$C$26,前提条件!$C$25),IF(CA7&lt;=17,IF(入力データ!$J$26="私立",前提条件!$C$28,前提条件!$C$27),IF(CA7&lt;=21,IF(入力データ!$K$26="国公立",前提条件!$C$29,IF(入力データ!$K$26="私立理系",前提条件!$C$31,前提条件!$C$30))+IF(入力データ!$L$26="下宿",前提条件!$C$32,0)+IF(CA7=18,前提条件!$C$33,0),0))))))+IF(CA8="",0,IF(CA8&lt;=5,IF(入力データ!$G$27="私立",前提条件!$C$22,前提条件!$C$21),IF(CA8&lt;=11,IF(入力データ!$H$27="私立",前提条件!$C$24,前提条件!$C$23),IF(CA8&lt;=14,IF(入力データ!$I$27="私立",前提条件!$C$26,前提条件!$C$25),IF(CA8&lt;=17,IF(入力データ!$J$27="私立",前提条件!$C$28,前提条件!$C$27),IF(CA8&lt;=21,IF(入力データ!$K$27="国公立",前提条件!$C$29,IF(入力データ!$K$27="私立理系",前提条件!$C$31,前提条件!$C$30))+IF(入力データ!$L$27="下宿",前提条件!$C$32,0)+IF(CA8=18,前提条件!$C$33,0),0)))))))*(1+前提条件!$C$13)^(CA$3-$B$3))))</f>
        <v/>
      </c>
      <c r="CB24" s="352">
        <f>IF(CB$3="","",IF(入力データ!$C$17&lt;=0,0,IF(CB$3="","",((SUM(入力データ!$C$58:$C$61)*12)+IF(CB6="",0,IF(CB6&lt;=5,IF(入力データ!$G$25="私立",前提条件!$C$22,前提条件!$C$21),IF(CB6&lt;=11,IF(入力データ!$H$25="私立",前提条件!$C$24,前提条件!$C$23),IF(CB6&lt;=14,IF(入力データ!$I$25="私立",前提条件!$C$26,前提条件!$C$25),IF(CB6&lt;=17,IF(入力データ!$J$25="私立",前提条件!$C$28,前提条件!$C$27),IF(CB6&lt;=21,IF(入力データ!$K$25="国公立",前提条件!$C$29,IF(入力データ!$K$25="私立理系",前提条件!$C$31,前提条件!$C$30))+IF(入力データ!$L$25="下宿",前提条件!$C$32,0)+IF(CB6=18,前提条件!$C$33,0),0))))))+IF(CB7="",0,IF(CB7&lt;=5,IF(入力データ!$G$26="私立",前提条件!$C$22,前提条件!$C$21),IF(CB7&lt;=11,IF(入力データ!$H$26="私立",前提条件!$C$24,前提条件!$C$23),IF(CB7&lt;=14,IF(入力データ!$I$26="私立",前提条件!$C$26,前提条件!$C$25),IF(CB7&lt;=17,IF(入力データ!$J$26="私立",前提条件!$C$28,前提条件!$C$27),IF(CB7&lt;=21,IF(入力データ!$K$26="国公立",前提条件!$C$29,IF(入力データ!$K$26="私立理系",前提条件!$C$31,前提条件!$C$30))+IF(入力データ!$L$26="下宿",前提条件!$C$32,0)+IF(CB7=18,前提条件!$C$33,0),0))))))+IF(CB8="",0,IF(CB8&lt;=5,IF(入力データ!$G$27="私立",前提条件!$C$22,前提条件!$C$21),IF(CB8&lt;=11,IF(入力データ!$H$27="私立",前提条件!$C$24,前提条件!$C$23),IF(CB8&lt;=14,IF(入力データ!$I$27="私立",前提条件!$C$26,前提条件!$C$25),IF(CB8&lt;=17,IF(入力データ!$J$27="私立",前提条件!$C$28,前提条件!$C$27),IF(CB8&lt;=21,IF(入力データ!$K$27="国公立",前提条件!$C$29,IF(入力データ!$K$27="私立理系",前提条件!$C$31,前提条件!$C$30))+IF(入力データ!$L$27="下宿",前提条件!$C$32,0)+IF(CB8=18,前提条件!$C$33,0),0)))))))*(1+前提条件!$C$13)^(CB$3-$B$3))))</f>
        <v/>
      </c>
      <c r="CC24" s="352">
        <f>IF(CC$3="","",IF(入力データ!$C$17&lt;=0,0,IF(CC$3="","",((SUM(入力データ!$C$58:$C$61)*12)+IF(CC6="",0,IF(CC6&lt;=5,IF(入力データ!$G$25="私立",前提条件!$C$22,前提条件!$C$21),IF(CC6&lt;=11,IF(入力データ!$H$25="私立",前提条件!$C$24,前提条件!$C$23),IF(CC6&lt;=14,IF(入力データ!$I$25="私立",前提条件!$C$26,前提条件!$C$25),IF(CC6&lt;=17,IF(入力データ!$J$25="私立",前提条件!$C$28,前提条件!$C$27),IF(CC6&lt;=21,IF(入力データ!$K$25="国公立",前提条件!$C$29,IF(入力データ!$K$25="私立理系",前提条件!$C$31,前提条件!$C$30))+IF(入力データ!$L$25="下宿",前提条件!$C$32,0)+IF(CC6=18,前提条件!$C$33,0),0))))))+IF(CC7="",0,IF(CC7&lt;=5,IF(入力データ!$G$26="私立",前提条件!$C$22,前提条件!$C$21),IF(CC7&lt;=11,IF(入力データ!$H$26="私立",前提条件!$C$24,前提条件!$C$23),IF(CC7&lt;=14,IF(入力データ!$I$26="私立",前提条件!$C$26,前提条件!$C$25),IF(CC7&lt;=17,IF(入力データ!$J$26="私立",前提条件!$C$28,前提条件!$C$27),IF(CC7&lt;=21,IF(入力データ!$K$26="国公立",前提条件!$C$29,IF(入力データ!$K$26="私立理系",前提条件!$C$31,前提条件!$C$30))+IF(入力データ!$L$26="下宿",前提条件!$C$32,0)+IF(CC7=18,前提条件!$C$33,0),0))))))+IF(CC8="",0,IF(CC8&lt;=5,IF(入力データ!$G$27="私立",前提条件!$C$22,前提条件!$C$21),IF(CC8&lt;=11,IF(入力データ!$H$27="私立",前提条件!$C$24,前提条件!$C$23),IF(CC8&lt;=14,IF(入力データ!$I$27="私立",前提条件!$C$26,前提条件!$C$25),IF(CC8&lt;=17,IF(入力データ!$J$27="私立",前提条件!$C$28,前提条件!$C$27),IF(CC8&lt;=21,IF(入力データ!$K$27="国公立",前提条件!$C$29,IF(入力データ!$K$27="私立理系",前提条件!$C$31,前提条件!$C$30))+IF(入力データ!$L$27="下宿",前提条件!$C$32,0)+IF(CC8=18,前提条件!$C$33,0),0)))))))*(1+前提条件!$C$13)^(CC$3-$B$3))))</f>
        <v/>
      </c>
      <c r="CD24" s="352">
        <f>IF(CD$3="","",IF(入力データ!$C$17&lt;=0,0,IF(CD$3="","",((SUM(入力データ!$C$58:$C$61)*12)+IF(CD6="",0,IF(CD6&lt;=5,IF(入力データ!$G$25="私立",前提条件!$C$22,前提条件!$C$21),IF(CD6&lt;=11,IF(入力データ!$H$25="私立",前提条件!$C$24,前提条件!$C$23),IF(CD6&lt;=14,IF(入力データ!$I$25="私立",前提条件!$C$26,前提条件!$C$25),IF(CD6&lt;=17,IF(入力データ!$J$25="私立",前提条件!$C$28,前提条件!$C$27),IF(CD6&lt;=21,IF(入力データ!$K$25="国公立",前提条件!$C$29,IF(入力データ!$K$25="私立理系",前提条件!$C$31,前提条件!$C$30))+IF(入力データ!$L$25="下宿",前提条件!$C$32,0)+IF(CD6=18,前提条件!$C$33,0),0))))))+IF(CD7="",0,IF(CD7&lt;=5,IF(入力データ!$G$26="私立",前提条件!$C$22,前提条件!$C$21),IF(CD7&lt;=11,IF(入力データ!$H$26="私立",前提条件!$C$24,前提条件!$C$23),IF(CD7&lt;=14,IF(入力データ!$I$26="私立",前提条件!$C$26,前提条件!$C$25),IF(CD7&lt;=17,IF(入力データ!$J$26="私立",前提条件!$C$28,前提条件!$C$27),IF(CD7&lt;=21,IF(入力データ!$K$26="国公立",前提条件!$C$29,IF(入力データ!$K$26="私立理系",前提条件!$C$31,前提条件!$C$30))+IF(入力データ!$L$26="下宿",前提条件!$C$32,0)+IF(CD7=18,前提条件!$C$33,0),0))))))+IF(CD8="",0,IF(CD8&lt;=5,IF(入力データ!$G$27="私立",前提条件!$C$22,前提条件!$C$21),IF(CD8&lt;=11,IF(入力データ!$H$27="私立",前提条件!$C$24,前提条件!$C$23),IF(CD8&lt;=14,IF(入力データ!$I$27="私立",前提条件!$C$26,前提条件!$C$25),IF(CD8&lt;=17,IF(入力データ!$J$27="私立",前提条件!$C$28,前提条件!$C$27),IF(CD8&lt;=21,IF(入力データ!$K$27="国公立",前提条件!$C$29,IF(入力データ!$K$27="私立理系",前提条件!$C$31,前提条件!$C$30))+IF(入力データ!$L$27="下宿",前提条件!$C$32,0)+IF(CD8=18,前提条件!$C$33,0),0)))))))*(1+前提条件!$C$13)^(CD$3-$B$3))))</f>
        <v/>
      </c>
      <c r="CE24" s="352">
        <f>IF(CE$3="","",IF(入力データ!$C$17&lt;=0,0,IF(CE$3="","",((SUM(入力データ!$C$58:$C$61)*12)+IF(CE6="",0,IF(CE6&lt;=5,IF(入力データ!$G$25="私立",前提条件!$C$22,前提条件!$C$21),IF(CE6&lt;=11,IF(入力データ!$H$25="私立",前提条件!$C$24,前提条件!$C$23),IF(CE6&lt;=14,IF(入力データ!$I$25="私立",前提条件!$C$26,前提条件!$C$25),IF(CE6&lt;=17,IF(入力データ!$J$25="私立",前提条件!$C$28,前提条件!$C$27),IF(CE6&lt;=21,IF(入力データ!$K$25="国公立",前提条件!$C$29,IF(入力データ!$K$25="私立理系",前提条件!$C$31,前提条件!$C$30))+IF(入力データ!$L$25="下宿",前提条件!$C$32,0)+IF(CE6=18,前提条件!$C$33,0),0))))))+IF(CE7="",0,IF(CE7&lt;=5,IF(入力データ!$G$26="私立",前提条件!$C$22,前提条件!$C$21),IF(CE7&lt;=11,IF(入力データ!$H$26="私立",前提条件!$C$24,前提条件!$C$23),IF(CE7&lt;=14,IF(入力データ!$I$26="私立",前提条件!$C$26,前提条件!$C$25),IF(CE7&lt;=17,IF(入力データ!$J$26="私立",前提条件!$C$28,前提条件!$C$27),IF(CE7&lt;=21,IF(入力データ!$K$26="国公立",前提条件!$C$29,IF(入力データ!$K$26="私立理系",前提条件!$C$31,前提条件!$C$30))+IF(入力データ!$L$26="下宿",前提条件!$C$32,0)+IF(CE7=18,前提条件!$C$33,0),0))))))+IF(CE8="",0,IF(CE8&lt;=5,IF(入力データ!$G$27="私立",前提条件!$C$22,前提条件!$C$21),IF(CE8&lt;=11,IF(入力データ!$H$27="私立",前提条件!$C$24,前提条件!$C$23),IF(CE8&lt;=14,IF(入力データ!$I$27="私立",前提条件!$C$26,前提条件!$C$25),IF(CE8&lt;=17,IF(入力データ!$J$27="私立",前提条件!$C$28,前提条件!$C$27),IF(CE8&lt;=21,IF(入力データ!$K$27="国公立",前提条件!$C$29,IF(入力データ!$K$27="私立理系",前提条件!$C$31,前提条件!$C$30))+IF(入力データ!$L$27="下宿",前提条件!$C$32,0)+IF(CE8=18,前提条件!$C$33,0),0)))))))*(1+前提条件!$C$13)^(CE$3-$B$3))))</f>
        <v/>
      </c>
      <c r="CF24" s="352">
        <f>IF(CF$3="","",IF(入力データ!$C$17&lt;=0,0,IF(CF$3="","",((SUM(入力データ!$C$58:$C$61)*12)+IF(CF6="",0,IF(CF6&lt;=5,IF(入力データ!$G$25="私立",前提条件!$C$22,前提条件!$C$21),IF(CF6&lt;=11,IF(入力データ!$H$25="私立",前提条件!$C$24,前提条件!$C$23),IF(CF6&lt;=14,IF(入力データ!$I$25="私立",前提条件!$C$26,前提条件!$C$25),IF(CF6&lt;=17,IF(入力データ!$J$25="私立",前提条件!$C$28,前提条件!$C$27),IF(CF6&lt;=21,IF(入力データ!$K$25="国公立",前提条件!$C$29,IF(入力データ!$K$25="私立理系",前提条件!$C$31,前提条件!$C$30))+IF(入力データ!$L$25="下宿",前提条件!$C$32,0)+IF(CF6=18,前提条件!$C$33,0),0))))))+IF(CF7="",0,IF(CF7&lt;=5,IF(入力データ!$G$26="私立",前提条件!$C$22,前提条件!$C$21),IF(CF7&lt;=11,IF(入力データ!$H$26="私立",前提条件!$C$24,前提条件!$C$23),IF(CF7&lt;=14,IF(入力データ!$I$26="私立",前提条件!$C$26,前提条件!$C$25),IF(CF7&lt;=17,IF(入力データ!$J$26="私立",前提条件!$C$28,前提条件!$C$27),IF(CF7&lt;=21,IF(入力データ!$K$26="国公立",前提条件!$C$29,IF(入力データ!$K$26="私立理系",前提条件!$C$31,前提条件!$C$30))+IF(入力データ!$L$26="下宿",前提条件!$C$32,0)+IF(CF7=18,前提条件!$C$33,0),0))))))+IF(CF8="",0,IF(CF8&lt;=5,IF(入力データ!$G$27="私立",前提条件!$C$22,前提条件!$C$21),IF(CF8&lt;=11,IF(入力データ!$H$27="私立",前提条件!$C$24,前提条件!$C$23),IF(CF8&lt;=14,IF(入力データ!$I$27="私立",前提条件!$C$26,前提条件!$C$25),IF(CF8&lt;=17,IF(入力データ!$J$27="私立",前提条件!$C$28,前提条件!$C$27),IF(CF8&lt;=21,IF(入力データ!$K$27="国公立",前提条件!$C$29,IF(入力データ!$K$27="私立理系",前提条件!$C$31,前提条件!$C$30))+IF(入力データ!$L$27="下宿",前提条件!$C$32,0)+IF(CF8=18,前提条件!$C$33,0),0)))))))*(1+前提条件!$C$13)^(CF$3-$B$3))))</f>
        <v/>
      </c>
      <c r="CG24" s="352">
        <f>IF(CG$3="","",IF(入力データ!$C$17&lt;=0,0,IF(CG$3="","",((SUM(入力データ!$C$58:$C$61)*12)+IF(CG6="",0,IF(CG6&lt;=5,IF(入力データ!$G$25="私立",前提条件!$C$22,前提条件!$C$21),IF(CG6&lt;=11,IF(入力データ!$H$25="私立",前提条件!$C$24,前提条件!$C$23),IF(CG6&lt;=14,IF(入力データ!$I$25="私立",前提条件!$C$26,前提条件!$C$25),IF(CG6&lt;=17,IF(入力データ!$J$25="私立",前提条件!$C$28,前提条件!$C$27),IF(CG6&lt;=21,IF(入力データ!$K$25="国公立",前提条件!$C$29,IF(入力データ!$K$25="私立理系",前提条件!$C$31,前提条件!$C$30))+IF(入力データ!$L$25="下宿",前提条件!$C$32,0)+IF(CG6=18,前提条件!$C$33,0),0))))))+IF(CG7="",0,IF(CG7&lt;=5,IF(入力データ!$G$26="私立",前提条件!$C$22,前提条件!$C$21),IF(CG7&lt;=11,IF(入力データ!$H$26="私立",前提条件!$C$24,前提条件!$C$23),IF(CG7&lt;=14,IF(入力データ!$I$26="私立",前提条件!$C$26,前提条件!$C$25),IF(CG7&lt;=17,IF(入力データ!$J$26="私立",前提条件!$C$28,前提条件!$C$27),IF(CG7&lt;=21,IF(入力データ!$K$26="国公立",前提条件!$C$29,IF(入力データ!$K$26="私立理系",前提条件!$C$31,前提条件!$C$30))+IF(入力データ!$L$26="下宿",前提条件!$C$32,0)+IF(CG7=18,前提条件!$C$33,0),0))))))+IF(CG8="",0,IF(CG8&lt;=5,IF(入力データ!$G$27="私立",前提条件!$C$22,前提条件!$C$21),IF(CG8&lt;=11,IF(入力データ!$H$27="私立",前提条件!$C$24,前提条件!$C$23),IF(CG8&lt;=14,IF(入力データ!$I$27="私立",前提条件!$C$26,前提条件!$C$25),IF(CG8&lt;=17,IF(入力データ!$J$27="私立",前提条件!$C$28,前提条件!$C$27),IF(CG8&lt;=21,IF(入力データ!$K$27="国公立",前提条件!$C$29,IF(入力データ!$K$27="私立理系",前提条件!$C$31,前提条件!$C$30))+IF(入力データ!$L$27="下宿",前提条件!$C$32,0)+IF(CG8=18,前提条件!$C$33,0),0)))))))*(1+前提条件!$C$13)^(CG$3-$B$3))))</f>
        <v/>
      </c>
      <c r="CH24" s="352">
        <f>IF(CH$3="","",IF(入力データ!$C$17&lt;=0,0,IF(CH$3="","",((SUM(入力データ!$C$58:$C$61)*12)+IF(CH6="",0,IF(CH6&lt;=5,IF(入力データ!$G$25="私立",前提条件!$C$22,前提条件!$C$21),IF(CH6&lt;=11,IF(入力データ!$H$25="私立",前提条件!$C$24,前提条件!$C$23),IF(CH6&lt;=14,IF(入力データ!$I$25="私立",前提条件!$C$26,前提条件!$C$25),IF(CH6&lt;=17,IF(入力データ!$J$25="私立",前提条件!$C$28,前提条件!$C$27),IF(CH6&lt;=21,IF(入力データ!$K$25="国公立",前提条件!$C$29,IF(入力データ!$K$25="私立理系",前提条件!$C$31,前提条件!$C$30))+IF(入力データ!$L$25="下宿",前提条件!$C$32,0)+IF(CH6=18,前提条件!$C$33,0),0))))))+IF(CH7="",0,IF(CH7&lt;=5,IF(入力データ!$G$26="私立",前提条件!$C$22,前提条件!$C$21),IF(CH7&lt;=11,IF(入力データ!$H$26="私立",前提条件!$C$24,前提条件!$C$23),IF(CH7&lt;=14,IF(入力データ!$I$26="私立",前提条件!$C$26,前提条件!$C$25),IF(CH7&lt;=17,IF(入力データ!$J$26="私立",前提条件!$C$28,前提条件!$C$27),IF(CH7&lt;=21,IF(入力データ!$K$26="国公立",前提条件!$C$29,IF(入力データ!$K$26="私立理系",前提条件!$C$31,前提条件!$C$30))+IF(入力データ!$L$26="下宿",前提条件!$C$32,0)+IF(CH7=18,前提条件!$C$33,0),0))))))+IF(CH8="",0,IF(CH8&lt;=5,IF(入力データ!$G$27="私立",前提条件!$C$22,前提条件!$C$21),IF(CH8&lt;=11,IF(入力データ!$H$27="私立",前提条件!$C$24,前提条件!$C$23),IF(CH8&lt;=14,IF(入力データ!$I$27="私立",前提条件!$C$26,前提条件!$C$25),IF(CH8&lt;=17,IF(入力データ!$J$27="私立",前提条件!$C$28,前提条件!$C$27),IF(CH8&lt;=21,IF(入力データ!$K$27="国公立",前提条件!$C$29,IF(入力データ!$K$27="私立理系",前提条件!$C$31,前提条件!$C$30))+IF(入力データ!$L$27="下宿",前提条件!$C$32,0)+IF(CH8=18,前提条件!$C$33,0),0)))))))*(1+前提条件!$C$13)^(CH$3-$B$3))))</f>
        <v/>
      </c>
      <c r="CI24" s="352">
        <f>IF(CI$3="","",IF(入力データ!$C$17&lt;=0,0,IF(CI$3="","",((SUM(入力データ!$C$58:$C$61)*12)+IF(CI6="",0,IF(CI6&lt;=5,IF(入力データ!$G$25="私立",前提条件!$C$22,前提条件!$C$21),IF(CI6&lt;=11,IF(入力データ!$H$25="私立",前提条件!$C$24,前提条件!$C$23),IF(CI6&lt;=14,IF(入力データ!$I$25="私立",前提条件!$C$26,前提条件!$C$25),IF(CI6&lt;=17,IF(入力データ!$J$25="私立",前提条件!$C$28,前提条件!$C$27),IF(CI6&lt;=21,IF(入力データ!$K$25="国公立",前提条件!$C$29,IF(入力データ!$K$25="私立理系",前提条件!$C$31,前提条件!$C$30))+IF(入力データ!$L$25="下宿",前提条件!$C$32,0)+IF(CI6=18,前提条件!$C$33,0),0))))))+IF(CI7="",0,IF(CI7&lt;=5,IF(入力データ!$G$26="私立",前提条件!$C$22,前提条件!$C$21),IF(CI7&lt;=11,IF(入力データ!$H$26="私立",前提条件!$C$24,前提条件!$C$23),IF(CI7&lt;=14,IF(入力データ!$I$26="私立",前提条件!$C$26,前提条件!$C$25),IF(CI7&lt;=17,IF(入力データ!$J$26="私立",前提条件!$C$28,前提条件!$C$27),IF(CI7&lt;=21,IF(入力データ!$K$26="国公立",前提条件!$C$29,IF(入力データ!$K$26="私立理系",前提条件!$C$31,前提条件!$C$30))+IF(入力データ!$L$26="下宿",前提条件!$C$32,0)+IF(CI7=18,前提条件!$C$33,0),0))))))+IF(CI8="",0,IF(CI8&lt;=5,IF(入力データ!$G$27="私立",前提条件!$C$22,前提条件!$C$21),IF(CI8&lt;=11,IF(入力データ!$H$27="私立",前提条件!$C$24,前提条件!$C$23),IF(CI8&lt;=14,IF(入力データ!$I$27="私立",前提条件!$C$26,前提条件!$C$25),IF(CI8&lt;=17,IF(入力データ!$J$27="私立",前提条件!$C$28,前提条件!$C$27),IF(CI8&lt;=21,IF(入力データ!$K$27="国公立",前提条件!$C$29,IF(入力データ!$K$27="私立理系",前提条件!$C$31,前提条件!$C$30))+IF(入力データ!$L$27="下宿",前提条件!$C$32,0)+IF(CI8=18,前提条件!$C$33,0),0)))))))*(1+前提条件!$C$13)^(CI$3-$B$3))))</f>
        <v/>
      </c>
      <c r="CJ24" s="352">
        <f>IF(CJ$3="","",IF(入力データ!$C$17&lt;=0,0,IF(CJ$3="","",((SUM(入力データ!$C$58:$C$61)*12)+IF(CJ6="",0,IF(CJ6&lt;=5,IF(入力データ!$G$25="私立",前提条件!$C$22,前提条件!$C$21),IF(CJ6&lt;=11,IF(入力データ!$H$25="私立",前提条件!$C$24,前提条件!$C$23),IF(CJ6&lt;=14,IF(入力データ!$I$25="私立",前提条件!$C$26,前提条件!$C$25),IF(CJ6&lt;=17,IF(入力データ!$J$25="私立",前提条件!$C$28,前提条件!$C$27),IF(CJ6&lt;=21,IF(入力データ!$K$25="国公立",前提条件!$C$29,IF(入力データ!$K$25="私立理系",前提条件!$C$31,前提条件!$C$30))+IF(入力データ!$L$25="下宿",前提条件!$C$32,0)+IF(CJ6=18,前提条件!$C$33,0),0))))))+IF(CJ7="",0,IF(CJ7&lt;=5,IF(入力データ!$G$26="私立",前提条件!$C$22,前提条件!$C$21),IF(CJ7&lt;=11,IF(入力データ!$H$26="私立",前提条件!$C$24,前提条件!$C$23),IF(CJ7&lt;=14,IF(入力データ!$I$26="私立",前提条件!$C$26,前提条件!$C$25),IF(CJ7&lt;=17,IF(入力データ!$J$26="私立",前提条件!$C$28,前提条件!$C$27),IF(CJ7&lt;=21,IF(入力データ!$K$26="国公立",前提条件!$C$29,IF(入力データ!$K$26="私立理系",前提条件!$C$31,前提条件!$C$30))+IF(入力データ!$L$26="下宿",前提条件!$C$32,0)+IF(CJ7=18,前提条件!$C$33,0),0))))))+IF(CJ8="",0,IF(CJ8&lt;=5,IF(入力データ!$G$27="私立",前提条件!$C$22,前提条件!$C$21),IF(CJ8&lt;=11,IF(入力データ!$H$27="私立",前提条件!$C$24,前提条件!$C$23),IF(CJ8&lt;=14,IF(入力データ!$I$27="私立",前提条件!$C$26,前提条件!$C$25),IF(CJ8&lt;=17,IF(入力データ!$J$27="私立",前提条件!$C$28,前提条件!$C$27),IF(CJ8&lt;=21,IF(入力データ!$K$27="国公立",前提条件!$C$29,IF(入力データ!$K$27="私立理系",前提条件!$C$31,前提条件!$C$30))+IF(入力データ!$L$27="下宿",前提条件!$C$32,0)+IF(CJ8=18,前提条件!$C$33,0),0)))))))*(1+前提条件!$C$13)^(CJ$3-$B$3))))</f>
        <v/>
      </c>
      <c r="CK24" s="352">
        <f>IF(CK$3="","",IF(入力データ!$C$17&lt;=0,0,IF(CK$3="","",((SUM(入力データ!$C$58:$C$61)*12)+IF(CK6="",0,IF(CK6&lt;=5,IF(入力データ!$G$25="私立",前提条件!$C$22,前提条件!$C$21),IF(CK6&lt;=11,IF(入力データ!$H$25="私立",前提条件!$C$24,前提条件!$C$23),IF(CK6&lt;=14,IF(入力データ!$I$25="私立",前提条件!$C$26,前提条件!$C$25),IF(CK6&lt;=17,IF(入力データ!$J$25="私立",前提条件!$C$28,前提条件!$C$27),IF(CK6&lt;=21,IF(入力データ!$K$25="国公立",前提条件!$C$29,IF(入力データ!$K$25="私立理系",前提条件!$C$31,前提条件!$C$30))+IF(入力データ!$L$25="下宿",前提条件!$C$32,0)+IF(CK6=18,前提条件!$C$33,0),0))))))+IF(CK7="",0,IF(CK7&lt;=5,IF(入力データ!$G$26="私立",前提条件!$C$22,前提条件!$C$21),IF(CK7&lt;=11,IF(入力データ!$H$26="私立",前提条件!$C$24,前提条件!$C$23),IF(CK7&lt;=14,IF(入力データ!$I$26="私立",前提条件!$C$26,前提条件!$C$25),IF(CK7&lt;=17,IF(入力データ!$J$26="私立",前提条件!$C$28,前提条件!$C$27),IF(CK7&lt;=21,IF(入力データ!$K$26="国公立",前提条件!$C$29,IF(入力データ!$K$26="私立理系",前提条件!$C$31,前提条件!$C$30))+IF(入力データ!$L$26="下宿",前提条件!$C$32,0)+IF(CK7=18,前提条件!$C$33,0),0))))))+IF(CK8="",0,IF(CK8&lt;=5,IF(入力データ!$G$27="私立",前提条件!$C$22,前提条件!$C$21),IF(CK8&lt;=11,IF(入力データ!$H$27="私立",前提条件!$C$24,前提条件!$C$23),IF(CK8&lt;=14,IF(入力データ!$I$27="私立",前提条件!$C$26,前提条件!$C$25),IF(CK8&lt;=17,IF(入力データ!$J$27="私立",前提条件!$C$28,前提条件!$C$27),IF(CK8&lt;=21,IF(入力データ!$K$27="国公立",前提条件!$C$29,IF(入力データ!$K$27="私立理系",前提条件!$C$31,前提条件!$C$30))+IF(入力データ!$L$27="下宿",前提条件!$C$32,0)+IF(CK8=18,前提条件!$C$33,0),0)))))))*(1+前提条件!$C$13)^(CK$3-$B$3))))</f>
        <v/>
      </c>
      <c r="CL24" s="352">
        <f>IF(CL$3="","",IF(入力データ!$C$17&lt;=0,0,IF(CL$3="","",((SUM(入力データ!$C$58:$C$61)*12)+IF(CL6="",0,IF(CL6&lt;=5,IF(入力データ!$G$25="私立",前提条件!$C$22,前提条件!$C$21),IF(CL6&lt;=11,IF(入力データ!$H$25="私立",前提条件!$C$24,前提条件!$C$23),IF(CL6&lt;=14,IF(入力データ!$I$25="私立",前提条件!$C$26,前提条件!$C$25),IF(CL6&lt;=17,IF(入力データ!$J$25="私立",前提条件!$C$28,前提条件!$C$27),IF(CL6&lt;=21,IF(入力データ!$K$25="国公立",前提条件!$C$29,IF(入力データ!$K$25="私立理系",前提条件!$C$31,前提条件!$C$30))+IF(入力データ!$L$25="下宿",前提条件!$C$32,0)+IF(CL6=18,前提条件!$C$33,0),0))))))+IF(CL7="",0,IF(CL7&lt;=5,IF(入力データ!$G$26="私立",前提条件!$C$22,前提条件!$C$21),IF(CL7&lt;=11,IF(入力データ!$H$26="私立",前提条件!$C$24,前提条件!$C$23),IF(CL7&lt;=14,IF(入力データ!$I$26="私立",前提条件!$C$26,前提条件!$C$25),IF(CL7&lt;=17,IF(入力データ!$J$26="私立",前提条件!$C$28,前提条件!$C$27),IF(CL7&lt;=21,IF(入力データ!$K$26="国公立",前提条件!$C$29,IF(入力データ!$K$26="私立理系",前提条件!$C$31,前提条件!$C$30))+IF(入力データ!$L$26="下宿",前提条件!$C$32,0)+IF(CL7=18,前提条件!$C$33,0),0))))))+IF(CL8="",0,IF(CL8&lt;=5,IF(入力データ!$G$27="私立",前提条件!$C$22,前提条件!$C$21),IF(CL8&lt;=11,IF(入力データ!$H$27="私立",前提条件!$C$24,前提条件!$C$23),IF(CL8&lt;=14,IF(入力データ!$I$27="私立",前提条件!$C$26,前提条件!$C$25),IF(CL8&lt;=17,IF(入力データ!$J$27="私立",前提条件!$C$28,前提条件!$C$27),IF(CL8&lt;=21,IF(入力データ!$K$27="国公立",前提条件!$C$29,IF(入力データ!$K$27="私立理系",前提条件!$C$31,前提条件!$C$30))+IF(入力データ!$L$27="下宿",前提条件!$C$32,0)+IF(CL8=18,前提条件!$C$33,0),0)))))))*(1+前提条件!$C$13)^(CL$3-$B$3))))</f>
        <v/>
      </c>
      <c r="CM24" s="352">
        <f>IF(CM$3="","",IF(入力データ!$C$17&lt;=0,0,IF(CM$3="","",((SUM(入力データ!$C$58:$C$61)*12)+IF(CM6="",0,IF(CM6&lt;=5,IF(入力データ!$G$25="私立",前提条件!$C$22,前提条件!$C$21),IF(CM6&lt;=11,IF(入力データ!$H$25="私立",前提条件!$C$24,前提条件!$C$23),IF(CM6&lt;=14,IF(入力データ!$I$25="私立",前提条件!$C$26,前提条件!$C$25),IF(CM6&lt;=17,IF(入力データ!$J$25="私立",前提条件!$C$28,前提条件!$C$27),IF(CM6&lt;=21,IF(入力データ!$K$25="国公立",前提条件!$C$29,IF(入力データ!$K$25="私立理系",前提条件!$C$31,前提条件!$C$30))+IF(入力データ!$L$25="下宿",前提条件!$C$32,0)+IF(CM6=18,前提条件!$C$33,0),0))))))+IF(CM7="",0,IF(CM7&lt;=5,IF(入力データ!$G$26="私立",前提条件!$C$22,前提条件!$C$21),IF(CM7&lt;=11,IF(入力データ!$H$26="私立",前提条件!$C$24,前提条件!$C$23),IF(CM7&lt;=14,IF(入力データ!$I$26="私立",前提条件!$C$26,前提条件!$C$25),IF(CM7&lt;=17,IF(入力データ!$J$26="私立",前提条件!$C$28,前提条件!$C$27),IF(CM7&lt;=21,IF(入力データ!$K$26="国公立",前提条件!$C$29,IF(入力データ!$K$26="私立理系",前提条件!$C$31,前提条件!$C$30))+IF(入力データ!$L$26="下宿",前提条件!$C$32,0)+IF(CM7=18,前提条件!$C$33,0),0))))))+IF(CM8="",0,IF(CM8&lt;=5,IF(入力データ!$G$27="私立",前提条件!$C$22,前提条件!$C$21),IF(CM8&lt;=11,IF(入力データ!$H$27="私立",前提条件!$C$24,前提条件!$C$23),IF(CM8&lt;=14,IF(入力データ!$I$27="私立",前提条件!$C$26,前提条件!$C$25),IF(CM8&lt;=17,IF(入力データ!$J$27="私立",前提条件!$C$28,前提条件!$C$27),IF(CM8&lt;=21,IF(入力データ!$K$27="国公立",前提条件!$C$29,IF(入力データ!$K$27="私立理系",前提条件!$C$31,前提条件!$C$30))+IF(入力データ!$L$27="下宿",前提条件!$C$32,0)+IF(CM8=18,前提条件!$C$33,0),0)))))))*(1+前提条件!$C$13)^(CM$3-$B$3))))</f>
        <v/>
      </c>
      <c r="CN24" s="352">
        <f>IF(CN$3="","",IF(入力データ!$C$17&lt;=0,0,IF(CN$3="","",((SUM(入力データ!$C$58:$C$61)*12)+IF(CN6="",0,IF(CN6&lt;=5,IF(入力データ!$G$25="私立",前提条件!$C$22,前提条件!$C$21),IF(CN6&lt;=11,IF(入力データ!$H$25="私立",前提条件!$C$24,前提条件!$C$23),IF(CN6&lt;=14,IF(入力データ!$I$25="私立",前提条件!$C$26,前提条件!$C$25),IF(CN6&lt;=17,IF(入力データ!$J$25="私立",前提条件!$C$28,前提条件!$C$27),IF(CN6&lt;=21,IF(入力データ!$K$25="国公立",前提条件!$C$29,IF(入力データ!$K$25="私立理系",前提条件!$C$31,前提条件!$C$30))+IF(入力データ!$L$25="下宿",前提条件!$C$32,0)+IF(CN6=18,前提条件!$C$33,0),0))))))+IF(CN7="",0,IF(CN7&lt;=5,IF(入力データ!$G$26="私立",前提条件!$C$22,前提条件!$C$21),IF(CN7&lt;=11,IF(入力データ!$H$26="私立",前提条件!$C$24,前提条件!$C$23),IF(CN7&lt;=14,IF(入力データ!$I$26="私立",前提条件!$C$26,前提条件!$C$25),IF(CN7&lt;=17,IF(入力データ!$J$26="私立",前提条件!$C$28,前提条件!$C$27),IF(CN7&lt;=21,IF(入力データ!$K$26="国公立",前提条件!$C$29,IF(入力データ!$K$26="私立理系",前提条件!$C$31,前提条件!$C$30))+IF(入力データ!$L$26="下宿",前提条件!$C$32,0)+IF(CN7=18,前提条件!$C$33,0),0))))))+IF(CN8="",0,IF(CN8&lt;=5,IF(入力データ!$G$27="私立",前提条件!$C$22,前提条件!$C$21),IF(CN8&lt;=11,IF(入力データ!$H$27="私立",前提条件!$C$24,前提条件!$C$23),IF(CN8&lt;=14,IF(入力データ!$I$27="私立",前提条件!$C$26,前提条件!$C$25),IF(CN8&lt;=17,IF(入力データ!$J$27="私立",前提条件!$C$28,前提条件!$C$27),IF(CN8&lt;=21,IF(入力データ!$K$27="国公立",前提条件!$C$29,IF(入力データ!$K$27="私立理系",前提条件!$C$31,前提条件!$C$30))+IF(入力データ!$L$27="下宿",前提条件!$C$32,0)+IF(CN8=18,前提条件!$C$33,0),0)))))))*(1+前提条件!$C$13)^(CN$3-$B$3))))</f>
        <v/>
      </c>
      <c r="CO24" s="352">
        <f>IF(CO$3="","",IF(入力データ!$C$17&lt;=0,0,IF(CO$3="","",((SUM(入力データ!$C$58:$C$61)*12)+IF(CO6="",0,IF(CO6&lt;=5,IF(入力データ!$G$25="私立",前提条件!$C$22,前提条件!$C$21),IF(CO6&lt;=11,IF(入力データ!$H$25="私立",前提条件!$C$24,前提条件!$C$23),IF(CO6&lt;=14,IF(入力データ!$I$25="私立",前提条件!$C$26,前提条件!$C$25),IF(CO6&lt;=17,IF(入力データ!$J$25="私立",前提条件!$C$28,前提条件!$C$27),IF(CO6&lt;=21,IF(入力データ!$K$25="国公立",前提条件!$C$29,IF(入力データ!$K$25="私立理系",前提条件!$C$31,前提条件!$C$30))+IF(入力データ!$L$25="下宿",前提条件!$C$32,0)+IF(CO6=18,前提条件!$C$33,0),0))))))+IF(CO7="",0,IF(CO7&lt;=5,IF(入力データ!$G$26="私立",前提条件!$C$22,前提条件!$C$21),IF(CO7&lt;=11,IF(入力データ!$H$26="私立",前提条件!$C$24,前提条件!$C$23),IF(CO7&lt;=14,IF(入力データ!$I$26="私立",前提条件!$C$26,前提条件!$C$25),IF(CO7&lt;=17,IF(入力データ!$J$26="私立",前提条件!$C$28,前提条件!$C$27),IF(CO7&lt;=21,IF(入力データ!$K$26="国公立",前提条件!$C$29,IF(入力データ!$K$26="私立理系",前提条件!$C$31,前提条件!$C$30))+IF(入力データ!$L$26="下宿",前提条件!$C$32,0)+IF(CO7=18,前提条件!$C$33,0),0))))))+IF(CO8="",0,IF(CO8&lt;=5,IF(入力データ!$G$27="私立",前提条件!$C$22,前提条件!$C$21),IF(CO8&lt;=11,IF(入力データ!$H$27="私立",前提条件!$C$24,前提条件!$C$23),IF(CO8&lt;=14,IF(入力データ!$I$27="私立",前提条件!$C$26,前提条件!$C$25),IF(CO8&lt;=17,IF(入力データ!$J$27="私立",前提条件!$C$28,前提条件!$C$27),IF(CO8&lt;=21,IF(入力データ!$K$27="国公立",前提条件!$C$29,IF(入力データ!$K$27="私立理系",前提条件!$C$31,前提条件!$C$30))+IF(入力データ!$L$27="下宿",前提条件!$C$32,0)+IF(CO8=18,前提条件!$C$33,0),0)))))))*(1+前提条件!$C$13)^(CO$3-$B$3))))</f>
        <v/>
      </c>
      <c r="CP24" s="352">
        <f>IF(CP$3="","",IF(入力データ!$C$17&lt;=0,0,IF(CP$3="","",((SUM(入力データ!$C$58:$C$61)*12)+IF(CP6="",0,IF(CP6&lt;=5,IF(入力データ!$G$25="私立",前提条件!$C$22,前提条件!$C$21),IF(CP6&lt;=11,IF(入力データ!$H$25="私立",前提条件!$C$24,前提条件!$C$23),IF(CP6&lt;=14,IF(入力データ!$I$25="私立",前提条件!$C$26,前提条件!$C$25),IF(CP6&lt;=17,IF(入力データ!$J$25="私立",前提条件!$C$28,前提条件!$C$27),IF(CP6&lt;=21,IF(入力データ!$K$25="国公立",前提条件!$C$29,IF(入力データ!$K$25="私立理系",前提条件!$C$31,前提条件!$C$30))+IF(入力データ!$L$25="下宿",前提条件!$C$32,0)+IF(CP6=18,前提条件!$C$33,0),0))))))+IF(CP7="",0,IF(CP7&lt;=5,IF(入力データ!$G$26="私立",前提条件!$C$22,前提条件!$C$21),IF(CP7&lt;=11,IF(入力データ!$H$26="私立",前提条件!$C$24,前提条件!$C$23),IF(CP7&lt;=14,IF(入力データ!$I$26="私立",前提条件!$C$26,前提条件!$C$25),IF(CP7&lt;=17,IF(入力データ!$J$26="私立",前提条件!$C$28,前提条件!$C$27),IF(CP7&lt;=21,IF(入力データ!$K$26="国公立",前提条件!$C$29,IF(入力データ!$K$26="私立理系",前提条件!$C$31,前提条件!$C$30))+IF(入力データ!$L$26="下宿",前提条件!$C$32,0)+IF(CP7=18,前提条件!$C$33,0),0))))))+IF(CP8="",0,IF(CP8&lt;=5,IF(入力データ!$G$27="私立",前提条件!$C$22,前提条件!$C$21),IF(CP8&lt;=11,IF(入力データ!$H$27="私立",前提条件!$C$24,前提条件!$C$23),IF(CP8&lt;=14,IF(入力データ!$I$27="私立",前提条件!$C$26,前提条件!$C$25),IF(CP8&lt;=17,IF(入力データ!$J$27="私立",前提条件!$C$28,前提条件!$C$27),IF(CP8&lt;=21,IF(入力データ!$K$27="国公立",前提条件!$C$29,IF(入力データ!$K$27="私立理系",前提条件!$C$31,前提条件!$C$30))+IF(入力データ!$L$27="下宿",前提条件!$C$32,0)+IF(CP8=18,前提条件!$C$33,0),0)))))))*(1+前提条件!$C$13)^(CP$3-$B$3))))</f>
        <v/>
      </c>
      <c r="CQ24" s="352">
        <f>IF(CQ$3="","",IF(入力データ!$C$17&lt;=0,0,IF(CQ$3="","",((SUM(入力データ!$C$58:$C$61)*12)+IF(CQ6="",0,IF(CQ6&lt;=5,IF(入力データ!$G$25="私立",前提条件!$C$22,前提条件!$C$21),IF(CQ6&lt;=11,IF(入力データ!$H$25="私立",前提条件!$C$24,前提条件!$C$23),IF(CQ6&lt;=14,IF(入力データ!$I$25="私立",前提条件!$C$26,前提条件!$C$25),IF(CQ6&lt;=17,IF(入力データ!$J$25="私立",前提条件!$C$28,前提条件!$C$27),IF(CQ6&lt;=21,IF(入力データ!$K$25="国公立",前提条件!$C$29,IF(入力データ!$K$25="私立理系",前提条件!$C$31,前提条件!$C$30))+IF(入力データ!$L$25="下宿",前提条件!$C$32,0)+IF(CQ6=18,前提条件!$C$33,0),0))))))+IF(CQ7="",0,IF(CQ7&lt;=5,IF(入力データ!$G$26="私立",前提条件!$C$22,前提条件!$C$21),IF(CQ7&lt;=11,IF(入力データ!$H$26="私立",前提条件!$C$24,前提条件!$C$23),IF(CQ7&lt;=14,IF(入力データ!$I$26="私立",前提条件!$C$26,前提条件!$C$25),IF(CQ7&lt;=17,IF(入力データ!$J$26="私立",前提条件!$C$28,前提条件!$C$27),IF(CQ7&lt;=21,IF(入力データ!$K$26="国公立",前提条件!$C$29,IF(入力データ!$K$26="私立理系",前提条件!$C$31,前提条件!$C$30))+IF(入力データ!$L$26="下宿",前提条件!$C$32,0)+IF(CQ7=18,前提条件!$C$33,0),0))))))+IF(CQ8="",0,IF(CQ8&lt;=5,IF(入力データ!$G$27="私立",前提条件!$C$22,前提条件!$C$21),IF(CQ8&lt;=11,IF(入力データ!$H$27="私立",前提条件!$C$24,前提条件!$C$23),IF(CQ8&lt;=14,IF(入力データ!$I$27="私立",前提条件!$C$26,前提条件!$C$25),IF(CQ8&lt;=17,IF(入力データ!$J$27="私立",前提条件!$C$28,前提条件!$C$27),IF(CQ8&lt;=21,IF(入力データ!$K$27="国公立",前提条件!$C$29,IF(入力データ!$K$27="私立理系",前提条件!$C$31,前提条件!$C$30))+IF(入力データ!$L$27="下宿",前提条件!$C$32,0)+IF(CQ8=18,前提条件!$C$33,0),0)))))))*(1+前提条件!$C$13)^(CQ$3-$B$3))))</f>
        <v/>
      </c>
      <c r="CR24" s="352">
        <f>IF(CR$3="","",IF(入力データ!$C$17&lt;=0,0,IF(CR$3="","",((SUM(入力データ!$C$58:$C$61)*12)+IF(CR6="",0,IF(CR6&lt;=5,IF(入力データ!$G$25="私立",前提条件!$C$22,前提条件!$C$21),IF(CR6&lt;=11,IF(入力データ!$H$25="私立",前提条件!$C$24,前提条件!$C$23),IF(CR6&lt;=14,IF(入力データ!$I$25="私立",前提条件!$C$26,前提条件!$C$25),IF(CR6&lt;=17,IF(入力データ!$J$25="私立",前提条件!$C$28,前提条件!$C$27),IF(CR6&lt;=21,IF(入力データ!$K$25="国公立",前提条件!$C$29,IF(入力データ!$K$25="私立理系",前提条件!$C$31,前提条件!$C$30))+IF(入力データ!$L$25="下宿",前提条件!$C$32,0)+IF(CR6=18,前提条件!$C$33,0),0))))))+IF(CR7="",0,IF(CR7&lt;=5,IF(入力データ!$G$26="私立",前提条件!$C$22,前提条件!$C$21),IF(CR7&lt;=11,IF(入力データ!$H$26="私立",前提条件!$C$24,前提条件!$C$23),IF(CR7&lt;=14,IF(入力データ!$I$26="私立",前提条件!$C$26,前提条件!$C$25),IF(CR7&lt;=17,IF(入力データ!$J$26="私立",前提条件!$C$28,前提条件!$C$27),IF(CR7&lt;=21,IF(入力データ!$K$26="国公立",前提条件!$C$29,IF(入力データ!$K$26="私立理系",前提条件!$C$31,前提条件!$C$30))+IF(入力データ!$L$26="下宿",前提条件!$C$32,0)+IF(CR7=18,前提条件!$C$33,0),0))))))+IF(CR8="",0,IF(CR8&lt;=5,IF(入力データ!$G$27="私立",前提条件!$C$22,前提条件!$C$21),IF(CR8&lt;=11,IF(入力データ!$H$27="私立",前提条件!$C$24,前提条件!$C$23),IF(CR8&lt;=14,IF(入力データ!$I$27="私立",前提条件!$C$26,前提条件!$C$25),IF(CR8&lt;=17,IF(入力データ!$J$27="私立",前提条件!$C$28,前提条件!$C$27),IF(CR8&lt;=21,IF(入力データ!$K$27="国公立",前提条件!$C$29,IF(入力データ!$K$27="私立理系",前提条件!$C$31,前提条件!$C$30))+IF(入力データ!$L$27="下宿",前提条件!$C$32,0)+IF(CR8=18,前提条件!$C$33,0),0)))))))*(1+前提条件!$C$13)^(CR$3-$B$3))))</f>
        <v/>
      </c>
      <c r="CS24" s="352">
        <f>IF(CS$3="","",IF(入力データ!$C$17&lt;=0,0,IF(CS$3="","",((SUM(入力データ!$C$58:$C$61)*12)+IF(CS6="",0,IF(CS6&lt;=5,IF(入力データ!$G$25="私立",前提条件!$C$22,前提条件!$C$21),IF(CS6&lt;=11,IF(入力データ!$H$25="私立",前提条件!$C$24,前提条件!$C$23),IF(CS6&lt;=14,IF(入力データ!$I$25="私立",前提条件!$C$26,前提条件!$C$25),IF(CS6&lt;=17,IF(入力データ!$J$25="私立",前提条件!$C$28,前提条件!$C$27),IF(CS6&lt;=21,IF(入力データ!$K$25="国公立",前提条件!$C$29,IF(入力データ!$K$25="私立理系",前提条件!$C$31,前提条件!$C$30))+IF(入力データ!$L$25="下宿",前提条件!$C$32,0)+IF(CS6=18,前提条件!$C$33,0),0))))))+IF(CS7="",0,IF(CS7&lt;=5,IF(入力データ!$G$26="私立",前提条件!$C$22,前提条件!$C$21),IF(CS7&lt;=11,IF(入力データ!$H$26="私立",前提条件!$C$24,前提条件!$C$23),IF(CS7&lt;=14,IF(入力データ!$I$26="私立",前提条件!$C$26,前提条件!$C$25),IF(CS7&lt;=17,IF(入力データ!$J$26="私立",前提条件!$C$28,前提条件!$C$27),IF(CS7&lt;=21,IF(入力データ!$K$26="国公立",前提条件!$C$29,IF(入力データ!$K$26="私立理系",前提条件!$C$31,前提条件!$C$30))+IF(入力データ!$L$26="下宿",前提条件!$C$32,0)+IF(CS7=18,前提条件!$C$33,0),0))))))+IF(CS8="",0,IF(CS8&lt;=5,IF(入力データ!$G$27="私立",前提条件!$C$22,前提条件!$C$21),IF(CS8&lt;=11,IF(入力データ!$H$27="私立",前提条件!$C$24,前提条件!$C$23),IF(CS8&lt;=14,IF(入力データ!$I$27="私立",前提条件!$C$26,前提条件!$C$25),IF(CS8&lt;=17,IF(入力データ!$J$27="私立",前提条件!$C$28,前提条件!$C$27),IF(CS8&lt;=21,IF(入力データ!$K$27="国公立",前提条件!$C$29,IF(入力データ!$K$27="私立理系",前提条件!$C$31,前提条件!$C$30))+IF(入力データ!$L$27="下宿",前提条件!$C$32,0)+IF(CS8=18,前提条件!$C$33,0),0)))))))*(1+前提条件!$C$13)^(CS$3-$B$3))))</f>
        <v/>
      </c>
      <c r="CT24" s="352">
        <f>IF(CT$3="","",IF(入力データ!$C$17&lt;=0,0,IF(CT$3="","",((SUM(入力データ!$C$58:$C$61)*12)+IF(CT6="",0,IF(CT6&lt;=5,IF(入力データ!$G$25="私立",前提条件!$C$22,前提条件!$C$21),IF(CT6&lt;=11,IF(入力データ!$H$25="私立",前提条件!$C$24,前提条件!$C$23),IF(CT6&lt;=14,IF(入力データ!$I$25="私立",前提条件!$C$26,前提条件!$C$25),IF(CT6&lt;=17,IF(入力データ!$J$25="私立",前提条件!$C$28,前提条件!$C$27),IF(CT6&lt;=21,IF(入力データ!$K$25="国公立",前提条件!$C$29,IF(入力データ!$K$25="私立理系",前提条件!$C$31,前提条件!$C$30))+IF(入力データ!$L$25="下宿",前提条件!$C$32,0)+IF(CT6=18,前提条件!$C$33,0),0))))))+IF(CT7="",0,IF(CT7&lt;=5,IF(入力データ!$G$26="私立",前提条件!$C$22,前提条件!$C$21),IF(CT7&lt;=11,IF(入力データ!$H$26="私立",前提条件!$C$24,前提条件!$C$23),IF(CT7&lt;=14,IF(入力データ!$I$26="私立",前提条件!$C$26,前提条件!$C$25),IF(CT7&lt;=17,IF(入力データ!$J$26="私立",前提条件!$C$28,前提条件!$C$27),IF(CT7&lt;=21,IF(入力データ!$K$26="国公立",前提条件!$C$29,IF(入力データ!$K$26="私立理系",前提条件!$C$31,前提条件!$C$30))+IF(入力データ!$L$26="下宿",前提条件!$C$32,0)+IF(CT7=18,前提条件!$C$33,0),0))))))+IF(CT8="",0,IF(CT8&lt;=5,IF(入力データ!$G$27="私立",前提条件!$C$22,前提条件!$C$21),IF(CT8&lt;=11,IF(入力データ!$H$27="私立",前提条件!$C$24,前提条件!$C$23),IF(CT8&lt;=14,IF(入力データ!$I$27="私立",前提条件!$C$26,前提条件!$C$25),IF(CT8&lt;=17,IF(入力データ!$J$27="私立",前提条件!$C$28,前提条件!$C$27),IF(CT8&lt;=21,IF(入力データ!$K$27="国公立",前提条件!$C$29,IF(入力データ!$K$27="私立理系",前提条件!$C$31,前提条件!$C$30))+IF(入力データ!$L$27="下宿",前提条件!$C$32,0)+IF(CT8=18,前提条件!$C$33,0),0)))))))*(1+前提条件!$C$13)^(CT$3-$B$3))))</f>
        <v/>
      </c>
      <c r="CU24" s="352">
        <f>IF(CU$3="","",IF(入力データ!$C$17&lt;=0,0,IF(CU$3="","",((SUM(入力データ!$C$58:$C$61)*12)+IF(CU6="",0,IF(CU6&lt;=5,IF(入力データ!$G$25="私立",前提条件!$C$22,前提条件!$C$21),IF(CU6&lt;=11,IF(入力データ!$H$25="私立",前提条件!$C$24,前提条件!$C$23),IF(CU6&lt;=14,IF(入力データ!$I$25="私立",前提条件!$C$26,前提条件!$C$25),IF(CU6&lt;=17,IF(入力データ!$J$25="私立",前提条件!$C$28,前提条件!$C$27),IF(CU6&lt;=21,IF(入力データ!$K$25="国公立",前提条件!$C$29,IF(入力データ!$K$25="私立理系",前提条件!$C$31,前提条件!$C$30))+IF(入力データ!$L$25="下宿",前提条件!$C$32,0)+IF(CU6=18,前提条件!$C$33,0),0))))))+IF(CU7="",0,IF(CU7&lt;=5,IF(入力データ!$G$26="私立",前提条件!$C$22,前提条件!$C$21),IF(CU7&lt;=11,IF(入力データ!$H$26="私立",前提条件!$C$24,前提条件!$C$23),IF(CU7&lt;=14,IF(入力データ!$I$26="私立",前提条件!$C$26,前提条件!$C$25),IF(CU7&lt;=17,IF(入力データ!$J$26="私立",前提条件!$C$28,前提条件!$C$27),IF(CU7&lt;=21,IF(入力データ!$K$26="国公立",前提条件!$C$29,IF(入力データ!$K$26="私立理系",前提条件!$C$31,前提条件!$C$30))+IF(入力データ!$L$26="下宿",前提条件!$C$32,0)+IF(CU7=18,前提条件!$C$33,0),0))))))+IF(CU8="",0,IF(CU8&lt;=5,IF(入力データ!$G$27="私立",前提条件!$C$22,前提条件!$C$21),IF(CU8&lt;=11,IF(入力データ!$H$27="私立",前提条件!$C$24,前提条件!$C$23),IF(CU8&lt;=14,IF(入力データ!$I$27="私立",前提条件!$C$26,前提条件!$C$25),IF(CU8&lt;=17,IF(入力データ!$J$27="私立",前提条件!$C$28,前提条件!$C$27),IF(CU8&lt;=21,IF(入力データ!$K$27="国公立",前提条件!$C$29,IF(入力データ!$K$27="私立理系",前提条件!$C$31,前提条件!$C$30))+IF(入力データ!$L$27="下宿",前提条件!$C$32,0)+IF(CU8=18,前提条件!$C$33,0),0)))))))*(1+前提条件!$C$13)^(CU$3-$B$3))))</f>
        <v/>
      </c>
      <c r="CV24" s="352">
        <f>IF(CV$3="","",IF(入力データ!$C$17&lt;=0,0,IF(CV$3="","",((SUM(入力データ!$C$58:$C$61)*12)+IF(CV6="",0,IF(CV6&lt;=5,IF(入力データ!$G$25="私立",前提条件!$C$22,前提条件!$C$21),IF(CV6&lt;=11,IF(入力データ!$H$25="私立",前提条件!$C$24,前提条件!$C$23),IF(CV6&lt;=14,IF(入力データ!$I$25="私立",前提条件!$C$26,前提条件!$C$25),IF(CV6&lt;=17,IF(入力データ!$J$25="私立",前提条件!$C$28,前提条件!$C$27),IF(CV6&lt;=21,IF(入力データ!$K$25="国公立",前提条件!$C$29,IF(入力データ!$K$25="私立理系",前提条件!$C$31,前提条件!$C$30))+IF(入力データ!$L$25="下宿",前提条件!$C$32,0)+IF(CV6=18,前提条件!$C$33,0),0))))))+IF(CV7="",0,IF(CV7&lt;=5,IF(入力データ!$G$26="私立",前提条件!$C$22,前提条件!$C$21),IF(CV7&lt;=11,IF(入力データ!$H$26="私立",前提条件!$C$24,前提条件!$C$23),IF(CV7&lt;=14,IF(入力データ!$I$26="私立",前提条件!$C$26,前提条件!$C$25),IF(CV7&lt;=17,IF(入力データ!$J$26="私立",前提条件!$C$28,前提条件!$C$27),IF(CV7&lt;=21,IF(入力データ!$K$26="国公立",前提条件!$C$29,IF(入力データ!$K$26="私立理系",前提条件!$C$31,前提条件!$C$30))+IF(入力データ!$L$26="下宿",前提条件!$C$32,0)+IF(CV7=18,前提条件!$C$33,0),0))))))+IF(CV8="",0,IF(CV8&lt;=5,IF(入力データ!$G$27="私立",前提条件!$C$22,前提条件!$C$21),IF(CV8&lt;=11,IF(入力データ!$H$27="私立",前提条件!$C$24,前提条件!$C$23),IF(CV8&lt;=14,IF(入力データ!$I$27="私立",前提条件!$C$26,前提条件!$C$25),IF(CV8&lt;=17,IF(入力データ!$J$27="私立",前提条件!$C$28,前提条件!$C$27),IF(CV8&lt;=21,IF(入力データ!$K$27="国公立",前提条件!$C$29,IF(入力データ!$K$27="私立理系",前提条件!$C$31,前提条件!$C$30))+IF(入力データ!$L$27="下宿",前提条件!$C$32,0)+IF(CV8=18,前提条件!$C$33,0),0)))))))*(1+前提条件!$C$13)^(CV$3-$B$3))))</f>
        <v/>
      </c>
      <c r="CW24" s="352">
        <f>IF(CW$3="","",IF(入力データ!$C$17&lt;=0,0,IF(CW$3="","",((SUM(入力データ!$C$58:$C$61)*12)+IF(CW6="",0,IF(CW6&lt;=5,IF(入力データ!$G$25="私立",前提条件!$C$22,前提条件!$C$21),IF(CW6&lt;=11,IF(入力データ!$H$25="私立",前提条件!$C$24,前提条件!$C$23),IF(CW6&lt;=14,IF(入力データ!$I$25="私立",前提条件!$C$26,前提条件!$C$25),IF(CW6&lt;=17,IF(入力データ!$J$25="私立",前提条件!$C$28,前提条件!$C$27),IF(CW6&lt;=21,IF(入力データ!$K$25="国公立",前提条件!$C$29,IF(入力データ!$K$25="私立理系",前提条件!$C$31,前提条件!$C$30))+IF(入力データ!$L$25="下宿",前提条件!$C$32,0)+IF(CW6=18,前提条件!$C$33,0),0))))))+IF(CW7="",0,IF(CW7&lt;=5,IF(入力データ!$G$26="私立",前提条件!$C$22,前提条件!$C$21),IF(CW7&lt;=11,IF(入力データ!$H$26="私立",前提条件!$C$24,前提条件!$C$23),IF(CW7&lt;=14,IF(入力データ!$I$26="私立",前提条件!$C$26,前提条件!$C$25),IF(CW7&lt;=17,IF(入力データ!$J$26="私立",前提条件!$C$28,前提条件!$C$27),IF(CW7&lt;=21,IF(入力データ!$K$26="国公立",前提条件!$C$29,IF(入力データ!$K$26="私立理系",前提条件!$C$31,前提条件!$C$30))+IF(入力データ!$L$26="下宿",前提条件!$C$32,0)+IF(CW7=18,前提条件!$C$33,0),0))))))+IF(CW8="",0,IF(CW8&lt;=5,IF(入力データ!$G$27="私立",前提条件!$C$22,前提条件!$C$21),IF(CW8&lt;=11,IF(入力データ!$H$27="私立",前提条件!$C$24,前提条件!$C$23),IF(CW8&lt;=14,IF(入力データ!$I$27="私立",前提条件!$C$26,前提条件!$C$25),IF(CW8&lt;=17,IF(入力データ!$J$27="私立",前提条件!$C$28,前提条件!$C$27),IF(CW8&lt;=21,IF(入力データ!$K$27="国公立",前提条件!$C$29,IF(入力データ!$K$27="私立理系",前提条件!$C$31,前提条件!$C$30))+IF(入力データ!$L$27="下宿",前提条件!$C$32,0)+IF(CW8=18,前提条件!$C$33,0),0)))))))*(1+前提条件!$C$13)^(CW$3-$B$3))))</f>
        <v/>
      </c>
    </row>
    <row r="25" ht="15" customHeight="1" s="180">
      <c r="A25" s="224" t="inlineStr">
        <is>
          <t>車関連費</t>
        </is>
      </c>
      <c r="B25" s="352">
        <f>IF(B$3="","",N(入力データ!$C$69)*12*(1+前提条件!$C$12)^(B$3-$B$3))</f>
        <v/>
      </c>
      <c r="C25" s="352">
        <f>IF(C$3="","",N(入力データ!$C$69)*12*(1+前提条件!$C$12)^(C$3-$B$3))</f>
        <v/>
      </c>
      <c r="D25" s="352">
        <f>IF(D$3="","",N(入力データ!$C$69)*12*(1+前提条件!$C$12)^(D$3-$B$3))</f>
        <v/>
      </c>
      <c r="E25" s="352">
        <f>IF(E$3="","",N(入力データ!$C$69)*12*(1+前提条件!$C$12)^(E$3-$B$3))</f>
        <v/>
      </c>
      <c r="F25" s="352">
        <f>IF(F$3="","",N(入力データ!$C$69)*12*(1+前提条件!$C$12)^(F$3-$B$3))</f>
        <v/>
      </c>
      <c r="G25" s="352">
        <f>IF(G$3="","",N(入力データ!$C$69)*12*(1+前提条件!$C$12)^(G$3-$B$3))</f>
        <v/>
      </c>
      <c r="H25" s="352">
        <f>IF(H$3="","",N(入力データ!$C$69)*12*(1+前提条件!$C$12)^(H$3-$B$3))</f>
        <v/>
      </c>
      <c r="I25" s="352">
        <f>IF(I$3="","",N(入力データ!$C$69)*12*(1+前提条件!$C$12)^(I$3-$B$3))</f>
        <v/>
      </c>
      <c r="J25" s="352">
        <f>IF(J$3="","",N(入力データ!$C$69)*12*(1+前提条件!$C$12)^(J$3-$B$3))</f>
        <v/>
      </c>
      <c r="K25" s="352">
        <f>IF(K$3="","",N(入力データ!$C$69)*12*(1+前提条件!$C$12)^(K$3-$B$3))</f>
        <v/>
      </c>
      <c r="L25" s="352">
        <f>IF(L$3="","",N(入力データ!$C$69)*12*(1+前提条件!$C$12)^(L$3-$B$3))</f>
        <v/>
      </c>
      <c r="M25" s="352">
        <f>IF(M$3="","",N(入力データ!$C$69)*12*(1+前提条件!$C$12)^(M$3-$B$3))</f>
        <v/>
      </c>
      <c r="N25" s="352">
        <f>IF(N$3="","",N(入力データ!$C$69)*12*(1+前提条件!$C$12)^(N$3-$B$3))</f>
        <v/>
      </c>
      <c r="O25" s="352">
        <f>IF(O$3="","",N(入力データ!$C$69)*12*(1+前提条件!$C$12)^(O$3-$B$3))</f>
        <v/>
      </c>
      <c r="P25" s="352">
        <f>IF(P$3="","",N(入力データ!$C$69)*12*(1+前提条件!$C$12)^(P$3-$B$3))</f>
        <v/>
      </c>
      <c r="Q25" s="352">
        <f>IF(Q$3="","",N(入力データ!$C$69)*12*(1+前提条件!$C$12)^(Q$3-$B$3))</f>
        <v/>
      </c>
      <c r="R25" s="352">
        <f>IF(R$3="","",N(入力データ!$C$69)*12*(1+前提条件!$C$12)^(R$3-$B$3))</f>
        <v/>
      </c>
      <c r="S25" s="352">
        <f>IF(S$3="","",N(入力データ!$C$69)*12*(1+前提条件!$C$12)^(S$3-$B$3))</f>
        <v/>
      </c>
      <c r="T25" s="352">
        <f>IF(T$3="","",N(入力データ!$C$69)*12*(1+前提条件!$C$12)^(T$3-$B$3))</f>
        <v/>
      </c>
      <c r="U25" s="352">
        <f>IF(U$3="","",N(入力データ!$C$69)*12*(1+前提条件!$C$12)^(U$3-$B$3))</f>
        <v/>
      </c>
      <c r="V25" s="352">
        <f>IF(V$3="","",N(入力データ!$C$69)*12*(1+前提条件!$C$12)^(V$3-$B$3))</f>
        <v/>
      </c>
      <c r="W25" s="352">
        <f>IF(W$3="","",N(入力データ!$C$69)*12*(1+前提条件!$C$12)^(W$3-$B$3))</f>
        <v/>
      </c>
      <c r="X25" s="352">
        <f>IF(X$3="","",N(入力データ!$C$69)*12*(1+前提条件!$C$12)^(X$3-$B$3))</f>
        <v/>
      </c>
      <c r="Y25" s="352">
        <f>IF(Y$3="","",N(入力データ!$C$69)*12*(1+前提条件!$C$12)^(Y$3-$B$3))</f>
        <v/>
      </c>
      <c r="Z25" s="352">
        <f>IF(Z$3="","",N(入力データ!$C$69)*12*(1+前提条件!$C$12)^(Z$3-$B$3))</f>
        <v/>
      </c>
      <c r="AA25" s="352">
        <f>IF(AA$3="","",N(入力データ!$C$69)*12*(1+前提条件!$C$12)^(AA$3-$B$3))</f>
        <v/>
      </c>
      <c r="AB25" s="352">
        <f>IF(AB$3="","",N(入力データ!$C$69)*12*(1+前提条件!$C$12)^(AB$3-$B$3))</f>
        <v/>
      </c>
      <c r="AC25" s="352">
        <f>IF(AC$3="","",N(入力データ!$C$69)*12*(1+前提条件!$C$12)^(AC$3-$B$3))</f>
        <v/>
      </c>
      <c r="AD25" s="352">
        <f>IF(AD$3="","",N(入力データ!$C$69)*12*(1+前提条件!$C$12)^(AD$3-$B$3))</f>
        <v/>
      </c>
      <c r="AE25" s="352">
        <f>IF(AE$3="","",N(入力データ!$C$69)*12*(1+前提条件!$C$12)^(AE$3-$B$3))</f>
        <v/>
      </c>
      <c r="AF25" s="352">
        <f>IF(AF$3="","",N(入力データ!$C$69)*12*(1+前提条件!$C$12)^(AF$3-$B$3))</f>
        <v/>
      </c>
      <c r="AG25" s="352">
        <f>IF(AG$3="","",N(入力データ!$C$69)*12*(1+前提条件!$C$12)^(AG$3-$B$3))</f>
        <v/>
      </c>
      <c r="AH25" s="352">
        <f>IF(AH$3="","",N(入力データ!$C$69)*12*(1+前提条件!$C$12)^(AH$3-$B$3))</f>
        <v/>
      </c>
      <c r="AI25" s="352">
        <f>IF(AI$3="","",N(入力データ!$C$69)*12*(1+前提条件!$C$12)^(AI$3-$B$3))</f>
        <v/>
      </c>
      <c r="AJ25" s="352">
        <f>IF(AJ$3="","",N(入力データ!$C$69)*12*(1+前提条件!$C$12)^(AJ$3-$B$3))</f>
        <v/>
      </c>
      <c r="AK25" s="352">
        <f>IF(AK$3="","",N(入力データ!$C$69)*12*(1+前提条件!$C$12)^(AK$3-$B$3))</f>
        <v/>
      </c>
      <c r="AL25" s="352">
        <f>IF(AL$3="","",N(入力データ!$C$69)*12*(1+前提条件!$C$12)^(AL$3-$B$3))</f>
        <v/>
      </c>
      <c r="AM25" s="352">
        <f>IF(AM$3="","",N(入力データ!$C$69)*12*(1+前提条件!$C$12)^(AM$3-$B$3))</f>
        <v/>
      </c>
      <c r="AN25" s="352">
        <f>IF(AN$3="","",N(入力データ!$C$69)*12*(1+前提条件!$C$12)^(AN$3-$B$3))</f>
        <v/>
      </c>
      <c r="AO25" s="352">
        <f>IF(AO$3="","",N(入力データ!$C$69)*12*(1+前提条件!$C$12)^(AO$3-$B$3))</f>
        <v/>
      </c>
      <c r="AP25" s="352">
        <f>IF(AP$3="","",N(入力データ!$C$69)*12*(1+前提条件!$C$12)^(AP$3-$B$3))</f>
        <v/>
      </c>
      <c r="AQ25" s="352">
        <f>IF(AQ$3="","",N(入力データ!$C$69)*12*(1+前提条件!$C$12)^(AQ$3-$B$3))</f>
        <v/>
      </c>
      <c r="AR25" s="352">
        <f>IF(AR$3="","",N(入力データ!$C$69)*12*(1+前提条件!$C$12)^(AR$3-$B$3))</f>
        <v/>
      </c>
      <c r="AS25" s="352">
        <f>IF(AS$3="","",N(入力データ!$C$69)*12*(1+前提条件!$C$12)^(AS$3-$B$3))</f>
        <v/>
      </c>
      <c r="AT25" s="352">
        <f>IF(AT$3="","",N(入力データ!$C$69)*12*(1+前提条件!$C$12)^(AT$3-$B$3))</f>
        <v/>
      </c>
      <c r="AU25" s="352">
        <f>IF(AU$3="","",N(入力データ!$C$69)*12*(1+前提条件!$C$12)^(AU$3-$B$3))</f>
        <v/>
      </c>
      <c r="AV25" s="352">
        <f>IF(AV$3="","",N(入力データ!$C$69)*12*(1+前提条件!$C$12)^(AV$3-$B$3))</f>
        <v/>
      </c>
      <c r="AW25" s="352">
        <f>IF(AW$3="","",N(入力データ!$C$69)*12*(1+前提条件!$C$12)^(AW$3-$B$3))</f>
        <v/>
      </c>
      <c r="AX25" s="352">
        <f>IF(AX$3="","",N(入力データ!$C$69)*12*(1+前提条件!$C$12)^(AX$3-$B$3))</f>
        <v/>
      </c>
      <c r="AY25" s="352">
        <f>IF(AY$3="","",N(入力データ!$C$69)*12*(1+前提条件!$C$12)^(AY$3-$B$3))</f>
        <v/>
      </c>
      <c r="AZ25" s="352">
        <f>IF(AZ$3="","",N(入力データ!$C$69)*12*(1+前提条件!$C$12)^(AZ$3-$B$3))</f>
        <v/>
      </c>
      <c r="BA25" s="352">
        <f>IF(BA$3="","",N(入力データ!$C$69)*12*(1+前提条件!$C$12)^(BA$3-$B$3))</f>
        <v/>
      </c>
      <c r="BB25" s="352">
        <f>IF(BB$3="","",N(入力データ!$C$69)*12*(1+前提条件!$C$12)^(BB$3-$B$3))</f>
        <v/>
      </c>
      <c r="BC25" s="352">
        <f>IF(BC$3="","",N(入力データ!$C$69)*12*(1+前提条件!$C$12)^(BC$3-$B$3))</f>
        <v/>
      </c>
      <c r="BD25" s="352">
        <f>IF(BD$3="","",N(入力データ!$C$69)*12*(1+前提条件!$C$12)^(BD$3-$B$3))</f>
        <v/>
      </c>
      <c r="BE25" s="352">
        <f>IF(BE$3="","",N(入力データ!$C$69)*12*(1+前提条件!$C$12)^(BE$3-$B$3))</f>
        <v/>
      </c>
      <c r="BF25" s="352">
        <f>IF(BF$3="","",N(入力データ!$C$69)*12*(1+前提条件!$C$12)^(BF$3-$B$3))</f>
        <v/>
      </c>
      <c r="BG25" s="352">
        <f>IF(BG$3="","",N(入力データ!$C$69)*12*(1+前提条件!$C$12)^(BG$3-$B$3))</f>
        <v/>
      </c>
      <c r="BH25" s="352">
        <f>IF(BH$3="","",N(入力データ!$C$69)*12*(1+前提条件!$C$12)^(BH$3-$B$3))</f>
        <v/>
      </c>
      <c r="BI25" s="352">
        <f>IF(BI$3="","",N(入力データ!$C$69)*12*(1+前提条件!$C$12)^(BI$3-$B$3))</f>
        <v/>
      </c>
      <c r="BJ25" s="352">
        <f>IF(BJ$3="","",N(入力データ!$C$69)*12*(1+前提条件!$C$12)^(BJ$3-$B$3))</f>
        <v/>
      </c>
      <c r="BK25" s="352">
        <f>IF(BK$3="","",N(入力データ!$C$69)*12*(1+前提条件!$C$12)^(BK$3-$B$3))</f>
        <v/>
      </c>
      <c r="BL25" s="352">
        <f>IF(BL$3="","",N(入力データ!$C$69)*12*(1+前提条件!$C$12)^(BL$3-$B$3))</f>
        <v/>
      </c>
      <c r="BM25" s="352">
        <f>IF(BM$3="","",N(入力データ!$C$69)*12*(1+前提条件!$C$12)^(BM$3-$B$3))</f>
        <v/>
      </c>
      <c r="BN25" s="352">
        <f>IF(BN$3="","",N(入力データ!$C$69)*12*(1+前提条件!$C$12)^(BN$3-$B$3))</f>
        <v/>
      </c>
      <c r="BO25" s="352">
        <f>IF(BO$3="","",N(入力データ!$C$69)*12*(1+前提条件!$C$12)^(BO$3-$B$3))</f>
        <v/>
      </c>
      <c r="BP25" s="352">
        <f>IF(BP$3="","",N(入力データ!$C$69)*12*(1+前提条件!$C$12)^(BP$3-$B$3))</f>
        <v/>
      </c>
      <c r="BQ25" s="352">
        <f>IF(BQ$3="","",N(入力データ!$C$69)*12*(1+前提条件!$C$12)^(BQ$3-$B$3))</f>
        <v/>
      </c>
      <c r="BR25" s="352">
        <f>IF(BR$3="","",N(入力データ!$C$69)*12*(1+前提条件!$C$12)^(BR$3-$B$3))</f>
        <v/>
      </c>
      <c r="BS25" s="352">
        <f>IF(BS$3="","",N(入力データ!$C$69)*12*(1+前提条件!$C$12)^(BS$3-$B$3))</f>
        <v/>
      </c>
      <c r="BT25" s="352">
        <f>IF(BT$3="","",N(入力データ!$C$69)*12*(1+前提条件!$C$12)^(BT$3-$B$3))</f>
        <v/>
      </c>
      <c r="BU25" s="352">
        <f>IF(BU$3="","",N(入力データ!$C$69)*12*(1+前提条件!$C$12)^(BU$3-$B$3))</f>
        <v/>
      </c>
      <c r="BV25" s="352">
        <f>IF(BV$3="","",N(入力データ!$C$69)*12*(1+前提条件!$C$12)^(BV$3-$B$3))</f>
        <v/>
      </c>
      <c r="BW25" s="352">
        <f>IF(BW$3="","",N(入力データ!$C$69)*12*(1+前提条件!$C$12)^(BW$3-$B$3))</f>
        <v/>
      </c>
      <c r="BX25" s="352">
        <f>IF(BX$3="","",N(入力データ!$C$69)*12*(1+前提条件!$C$12)^(BX$3-$B$3))</f>
        <v/>
      </c>
      <c r="BY25" s="352">
        <f>IF(BY$3="","",N(入力データ!$C$69)*12*(1+前提条件!$C$12)^(BY$3-$B$3))</f>
        <v/>
      </c>
      <c r="BZ25" s="352">
        <f>IF(BZ$3="","",N(入力データ!$C$69)*12*(1+前提条件!$C$12)^(BZ$3-$B$3))</f>
        <v/>
      </c>
      <c r="CA25" s="352">
        <f>IF(CA$3="","",N(入力データ!$C$69)*12*(1+前提条件!$C$12)^(CA$3-$B$3))</f>
        <v/>
      </c>
      <c r="CB25" s="352">
        <f>IF(CB$3="","",N(入力データ!$C$69)*12*(1+前提条件!$C$12)^(CB$3-$B$3))</f>
        <v/>
      </c>
      <c r="CC25" s="352">
        <f>IF(CC$3="","",N(入力データ!$C$69)*12*(1+前提条件!$C$12)^(CC$3-$B$3))</f>
        <v/>
      </c>
      <c r="CD25" s="352">
        <f>IF(CD$3="","",N(入力データ!$C$69)*12*(1+前提条件!$C$12)^(CD$3-$B$3))</f>
        <v/>
      </c>
      <c r="CE25" s="352">
        <f>IF(CE$3="","",N(入力データ!$C$69)*12*(1+前提条件!$C$12)^(CE$3-$B$3))</f>
        <v/>
      </c>
      <c r="CF25" s="352">
        <f>IF(CF$3="","",N(入力データ!$C$69)*12*(1+前提条件!$C$12)^(CF$3-$B$3))</f>
        <v/>
      </c>
      <c r="CG25" s="352">
        <f>IF(CG$3="","",N(入力データ!$C$69)*12*(1+前提条件!$C$12)^(CG$3-$B$3))</f>
        <v/>
      </c>
      <c r="CH25" s="352">
        <f>IF(CH$3="","",N(入力データ!$C$69)*12*(1+前提条件!$C$12)^(CH$3-$B$3))</f>
        <v/>
      </c>
      <c r="CI25" s="352">
        <f>IF(CI$3="","",N(入力データ!$C$69)*12*(1+前提条件!$C$12)^(CI$3-$B$3))</f>
        <v/>
      </c>
      <c r="CJ25" s="352">
        <f>IF(CJ$3="","",N(入力データ!$C$69)*12*(1+前提条件!$C$12)^(CJ$3-$B$3))</f>
        <v/>
      </c>
      <c r="CK25" s="352">
        <f>IF(CK$3="","",N(入力データ!$C$69)*12*(1+前提条件!$C$12)^(CK$3-$B$3))</f>
        <v/>
      </c>
      <c r="CL25" s="352">
        <f>IF(CL$3="","",N(入力データ!$C$69)*12*(1+前提条件!$C$12)^(CL$3-$B$3))</f>
        <v/>
      </c>
      <c r="CM25" s="352">
        <f>IF(CM$3="","",N(入力データ!$C$69)*12*(1+前提条件!$C$12)^(CM$3-$B$3))</f>
        <v/>
      </c>
      <c r="CN25" s="352">
        <f>IF(CN$3="","",N(入力データ!$C$69)*12*(1+前提条件!$C$12)^(CN$3-$B$3))</f>
        <v/>
      </c>
      <c r="CO25" s="352">
        <f>IF(CO$3="","",N(入力データ!$C$69)*12*(1+前提条件!$C$12)^(CO$3-$B$3))</f>
        <v/>
      </c>
      <c r="CP25" s="352">
        <f>IF(CP$3="","",N(入力データ!$C$69)*12*(1+前提条件!$C$12)^(CP$3-$B$3))</f>
        <v/>
      </c>
      <c r="CQ25" s="352">
        <f>IF(CQ$3="","",N(入力データ!$C$69)*12*(1+前提条件!$C$12)^(CQ$3-$B$3))</f>
        <v/>
      </c>
      <c r="CR25" s="352">
        <f>IF(CR$3="","",N(入力データ!$C$69)*12*(1+前提条件!$C$12)^(CR$3-$B$3))</f>
        <v/>
      </c>
      <c r="CS25" s="352">
        <f>IF(CS$3="","",N(入力データ!$C$69)*12*(1+前提条件!$C$12)^(CS$3-$B$3))</f>
        <v/>
      </c>
      <c r="CT25" s="352">
        <f>IF(CT$3="","",N(入力データ!$C$69)*12*(1+前提条件!$C$12)^(CT$3-$B$3))</f>
        <v/>
      </c>
      <c r="CU25" s="352">
        <f>IF(CU$3="","",N(入力データ!$C$69)*12*(1+前提条件!$C$12)^(CU$3-$B$3))</f>
        <v/>
      </c>
      <c r="CV25" s="352">
        <f>IF(CV$3="","",N(入力データ!$C$69)*12*(1+前提条件!$C$12)^(CV$3-$B$3))</f>
        <v/>
      </c>
      <c r="CW25" s="352">
        <f>IF(CW$3="","",N(入力データ!$C$69)*12*(1+前提条件!$C$12)^(CW$3-$B$3))</f>
        <v/>
      </c>
    </row>
    <row r="26" ht="15" customHeight="1" s="180">
      <c r="A26" s="224" t="inlineStr">
        <is>
          <t>その他支出</t>
        </is>
      </c>
      <c r="B26" s="352">
        <f>IF(B$3="","",SUM(入力データ!$C$71:$C$74)*12*(1+前提条件!$C$12)^(B$3-$B$3))</f>
        <v/>
      </c>
      <c r="C26" s="352">
        <f>IF(C$3="","",SUM(入力データ!$C$71:$C$74)*12*(1+前提条件!$C$12)^(C$3-$B$3))</f>
        <v/>
      </c>
      <c r="D26" s="352">
        <f>IF(D$3="","",SUM(入力データ!$C$71:$C$74)*12*(1+前提条件!$C$12)^(D$3-$B$3))</f>
        <v/>
      </c>
      <c r="E26" s="352">
        <f>IF(E$3="","",SUM(入力データ!$C$71:$C$74)*12*(1+前提条件!$C$12)^(E$3-$B$3))</f>
        <v/>
      </c>
      <c r="F26" s="352">
        <f>IF(F$3="","",SUM(入力データ!$C$71:$C$74)*12*(1+前提条件!$C$12)^(F$3-$B$3))</f>
        <v/>
      </c>
      <c r="G26" s="352">
        <f>IF(G$3="","",SUM(入力データ!$C$71:$C$74)*12*(1+前提条件!$C$12)^(G$3-$B$3))</f>
        <v/>
      </c>
      <c r="H26" s="352">
        <f>IF(H$3="","",SUM(入力データ!$C$71:$C$74)*12*(1+前提条件!$C$12)^(H$3-$B$3))</f>
        <v/>
      </c>
      <c r="I26" s="352">
        <f>IF(I$3="","",SUM(入力データ!$C$71:$C$74)*12*(1+前提条件!$C$12)^(I$3-$B$3))</f>
        <v/>
      </c>
      <c r="J26" s="352">
        <f>IF(J$3="","",SUM(入力データ!$C$71:$C$74)*12*(1+前提条件!$C$12)^(J$3-$B$3))</f>
        <v/>
      </c>
      <c r="K26" s="352">
        <f>IF(K$3="","",SUM(入力データ!$C$71:$C$74)*12*(1+前提条件!$C$12)^(K$3-$B$3))</f>
        <v/>
      </c>
      <c r="L26" s="352">
        <f>IF(L$3="","",SUM(入力データ!$C$71:$C$74)*12*(1+前提条件!$C$12)^(L$3-$B$3))</f>
        <v/>
      </c>
      <c r="M26" s="352">
        <f>IF(M$3="","",SUM(入力データ!$C$71:$C$74)*12*(1+前提条件!$C$12)^(M$3-$B$3))</f>
        <v/>
      </c>
      <c r="N26" s="352">
        <f>IF(N$3="","",SUM(入力データ!$C$71:$C$74)*12*(1+前提条件!$C$12)^(N$3-$B$3))</f>
        <v/>
      </c>
      <c r="O26" s="352">
        <f>IF(O$3="","",SUM(入力データ!$C$71:$C$74)*12*(1+前提条件!$C$12)^(O$3-$B$3))</f>
        <v/>
      </c>
      <c r="P26" s="352">
        <f>IF(P$3="","",SUM(入力データ!$C$71:$C$74)*12*(1+前提条件!$C$12)^(P$3-$B$3))</f>
        <v/>
      </c>
      <c r="Q26" s="352">
        <f>IF(Q$3="","",SUM(入力データ!$C$71:$C$74)*12*(1+前提条件!$C$12)^(Q$3-$B$3))</f>
        <v/>
      </c>
      <c r="R26" s="352">
        <f>IF(R$3="","",SUM(入力データ!$C$71:$C$74)*12*(1+前提条件!$C$12)^(R$3-$B$3))</f>
        <v/>
      </c>
      <c r="S26" s="352">
        <f>IF(S$3="","",SUM(入力データ!$C$71:$C$74)*12*(1+前提条件!$C$12)^(S$3-$B$3))</f>
        <v/>
      </c>
      <c r="T26" s="352">
        <f>IF(T$3="","",SUM(入力データ!$C$71:$C$74)*12*(1+前提条件!$C$12)^(T$3-$B$3))</f>
        <v/>
      </c>
      <c r="U26" s="352">
        <f>IF(U$3="","",SUM(入力データ!$C$71:$C$74)*12*(1+前提条件!$C$12)^(U$3-$B$3))</f>
        <v/>
      </c>
      <c r="V26" s="352">
        <f>IF(V$3="","",SUM(入力データ!$C$71:$C$74)*12*(1+前提条件!$C$12)^(V$3-$B$3))</f>
        <v/>
      </c>
      <c r="W26" s="352">
        <f>IF(W$3="","",SUM(入力データ!$C$71:$C$74)*12*(1+前提条件!$C$12)^(W$3-$B$3))</f>
        <v/>
      </c>
      <c r="X26" s="352">
        <f>IF(X$3="","",SUM(入力データ!$C$71:$C$74)*12*(1+前提条件!$C$12)^(X$3-$B$3))</f>
        <v/>
      </c>
      <c r="Y26" s="352">
        <f>IF(Y$3="","",SUM(入力データ!$C$71:$C$74)*12*(1+前提条件!$C$12)^(Y$3-$B$3))</f>
        <v/>
      </c>
      <c r="Z26" s="352">
        <f>IF(Z$3="","",SUM(入力データ!$C$71:$C$74)*12*(1+前提条件!$C$12)^(Z$3-$B$3))</f>
        <v/>
      </c>
      <c r="AA26" s="352">
        <f>IF(AA$3="","",SUM(入力データ!$C$71:$C$74)*12*(1+前提条件!$C$12)^(AA$3-$B$3))</f>
        <v/>
      </c>
      <c r="AB26" s="352">
        <f>IF(AB$3="","",SUM(入力データ!$C$71:$C$74)*12*(1+前提条件!$C$12)^(AB$3-$B$3))</f>
        <v/>
      </c>
      <c r="AC26" s="352">
        <f>IF(AC$3="","",SUM(入力データ!$C$71:$C$74)*12*(1+前提条件!$C$12)^(AC$3-$B$3))</f>
        <v/>
      </c>
      <c r="AD26" s="352">
        <f>IF(AD$3="","",SUM(入力データ!$C$71:$C$74)*12*(1+前提条件!$C$12)^(AD$3-$B$3))</f>
        <v/>
      </c>
      <c r="AE26" s="352">
        <f>IF(AE$3="","",SUM(入力データ!$C$71:$C$74)*12*(1+前提条件!$C$12)^(AE$3-$B$3))</f>
        <v/>
      </c>
      <c r="AF26" s="352">
        <f>IF(AF$3="","",SUM(入力データ!$C$71:$C$74)*12*(1+前提条件!$C$12)^(AF$3-$B$3))</f>
        <v/>
      </c>
      <c r="AG26" s="352">
        <f>IF(AG$3="","",SUM(入力データ!$C$71:$C$74)*12*(1+前提条件!$C$12)^(AG$3-$B$3))</f>
        <v/>
      </c>
      <c r="AH26" s="352">
        <f>IF(AH$3="","",SUM(入力データ!$C$71:$C$74)*12*(1+前提条件!$C$12)^(AH$3-$B$3))</f>
        <v/>
      </c>
      <c r="AI26" s="352">
        <f>IF(AI$3="","",SUM(入力データ!$C$71:$C$74)*12*(1+前提条件!$C$12)^(AI$3-$B$3))</f>
        <v/>
      </c>
      <c r="AJ26" s="352">
        <f>IF(AJ$3="","",SUM(入力データ!$C$71:$C$74)*12*(1+前提条件!$C$12)^(AJ$3-$B$3))</f>
        <v/>
      </c>
      <c r="AK26" s="352">
        <f>IF(AK$3="","",SUM(入力データ!$C$71:$C$74)*12*(1+前提条件!$C$12)^(AK$3-$B$3))</f>
        <v/>
      </c>
      <c r="AL26" s="352">
        <f>IF(AL$3="","",SUM(入力データ!$C$71:$C$74)*12*(1+前提条件!$C$12)^(AL$3-$B$3))</f>
        <v/>
      </c>
      <c r="AM26" s="352">
        <f>IF(AM$3="","",SUM(入力データ!$C$71:$C$74)*12*(1+前提条件!$C$12)^(AM$3-$B$3))</f>
        <v/>
      </c>
      <c r="AN26" s="352">
        <f>IF(AN$3="","",SUM(入力データ!$C$71:$C$74)*12*(1+前提条件!$C$12)^(AN$3-$B$3))</f>
        <v/>
      </c>
      <c r="AO26" s="352">
        <f>IF(AO$3="","",SUM(入力データ!$C$71:$C$74)*12*(1+前提条件!$C$12)^(AO$3-$B$3))</f>
        <v/>
      </c>
      <c r="AP26" s="352">
        <f>IF(AP$3="","",SUM(入力データ!$C$71:$C$74)*12*(1+前提条件!$C$12)^(AP$3-$B$3))</f>
        <v/>
      </c>
      <c r="AQ26" s="352">
        <f>IF(AQ$3="","",SUM(入力データ!$C$71:$C$74)*12*(1+前提条件!$C$12)^(AQ$3-$B$3))</f>
        <v/>
      </c>
      <c r="AR26" s="352">
        <f>IF(AR$3="","",SUM(入力データ!$C$71:$C$74)*12*(1+前提条件!$C$12)^(AR$3-$B$3))</f>
        <v/>
      </c>
      <c r="AS26" s="352">
        <f>IF(AS$3="","",SUM(入力データ!$C$71:$C$74)*12*(1+前提条件!$C$12)^(AS$3-$B$3))</f>
        <v/>
      </c>
      <c r="AT26" s="352">
        <f>IF(AT$3="","",SUM(入力データ!$C$71:$C$74)*12*(1+前提条件!$C$12)^(AT$3-$B$3))</f>
        <v/>
      </c>
      <c r="AU26" s="352">
        <f>IF(AU$3="","",SUM(入力データ!$C$71:$C$74)*12*(1+前提条件!$C$12)^(AU$3-$B$3))</f>
        <v/>
      </c>
      <c r="AV26" s="352">
        <f>IF(AV$3="","",SUM(入力データ!$C$71:$C$74)*12*(1+前提条件!$C$12)^(AV$3-$B$3))</f>
        <v/>
      </c>
      <c r="AW26" s="352">
        <f>IF(AW$3="","",SUM(入力データ!$C$71:$C$74)*12*(1+前提条件!$C$12)^(AW$3-$B$3))</f>
        <v/>
      </c>
      <c r="AX26" s="352">
        <f>IF(AX$3="","",SUM(入力データ!$C$71:$C$74)*12*(1+前提条件!$C$12)^(AX$3-$B$3))</f>
        <v/>
      </c>
      <c r="AY26" s="352">
        <f>IF(AY$3="","",SUM(入力データ!$C$71:$C$74)*12*(1+前提条件!$C$12)^(AY$3-$B$3))</f>
        <v/>
      </c>
      <c r="AZ26" s="352">
        <f>IF(AZ$3="","",SUM(入力データ!$C$71:$C$74)*12*(1+前提条件!$C$12)^(AZ$3-$B$3))</f>
        <v/>
      </c>
      <c r="BA26" s="352">
        <f>IF(BA$3="","",SUM(入力データ!$C$71:$C$74)*12*(1+前提条件!$C$12)^(BA$3-$B$3))</f>
        <v/>
      </c>
      <c r="BB26" s="352">
        <f>IF(BB$3="","",SUM(入力データ!$C$71:$C$74)*12*(1+前提条件!$C$12)^(BB$3-$B$3))</f>
        <v/>
      </c>
      <c r="BC26" s="352">
        <f>IF(BC$3="","",SUM(入力データ!$C$71:$C$74)*12*(1+前提条件!$C$12)^(BC$3-$B$3))</f>
        <v/>
      </c>
      <c r="BD26" s="352">
        <f>IF(BD$3="","",SUM(入力データ!$C$71:$C$74)*12*(1+前提条件!$C$12)^(BD$3-$B$3))</f>
        <v/>
      </c>
      <c r="BE26" s="352">
        <f>IF(BE$3="","",SUM(入力データ!$C$71:$C$74)*12*(1+前提条件!$C$12)^(BE$3-$B$3))</f>
        <v/>
      </c>
      <c r="BF26" s="352">
        <f>IF(BF$3="","",SUM(入力データ!$C$71:$C$74)*12*(1+前提条件!$C$12)^(BF$3-$B$3))</f>
        <v/>
      </c>
      <c r="BG26" s="352">
        <f>IF(BG$3="","",SUM(入力データ!$C$71:$C$74)*12*(1+前提条件!$C$12)^(BG$3-$B$3))</f>
        <v/>
      </c>
      <c r="BH26" s="352">
        <f>IF(BH$3="","",SUM(入力データ!$C$71:$C$74)*12*(1+前提条件!$C$12)^(BH$3-$B$3))</f>
        <v/>
      </c>
      <c r="BI26" s="352">
        <f>IF(BI$3="","",SUM(入力データ!$C$71:$C$74)*12*(1+前提条件!$C$12)^(BI$3-$B$3))</f>
        <v/>
      </c>
      <c r="BJ26" s="352">
        <f>IF(BJ$3="","",SUM(入力データ!$C$71:$C$74)*12*(1+前提条件!$C$12)^(BJ$3-$B$3))</f>
        <v/>
      </c>
      <c r="BK26" s="352">
        <f>IF(BK$3="","",SUM(入力データ!$C$71:$C$74)*12*(1+前提条件!$C$12)^(BK$3-$B$3))</f>
        <v/>
      </c>
      <c r="BL26" s="352">
        <f>IF(BL$3="","",SUM(入力データ!$C$71:$C$74)*12*(1+前提条件!$C$12)^(BL$3-$B$3))</f>
        <v/>
      </c>
      <c r="BM26" s="352">
        <f>IF(BM$3="","",SUM(入力データ!$C$71:$C$74)*12*(1+前提条件!$C$12)^(BM$3-$B$3))</f>
        <v/>
      </c>
      <c r="BN26" s="352">
        <f>IF(BN$3="","",SUM(入力データ!$C$71:$C$74)*12*(1+前提条件!$C$12)^(BN$3-$B$3))</f>
        <v/>
      </c>
      <c r="BO26" s="352">
        <f>IF(BO$3="","",SUM(入力データ!$C$71:$C$74)*12*(1+前提条件!$C$12)^(BO$3-$B$3))</f>
        <v/>
      </c>
      <c r="BP26" s="352">
        <f>IF(BP$3="","",SUM(入力データ!$C$71:$C$74)*12*(1+前提条件!$C$12)^(BP$3-$B$3))</f>
        <v/>
      </c>
      <c r="BQ26" s="352">
        <f>IF(BQ$3="","",SUM(入力データ!$C$71:$C$74)*12*(1+前提条件!$C$12)^(BQ$3-$B$3))</f>
        <v/>
      </c>
      <c r="BR26" s="352">
        <f>IF(BR$3="","",SUM(入力データ!$C$71:$C$74)*12*(1+前提条件!$C$12)^(BR$3-$B$3))</f>
        <v/>
      </c>
      <c r="BS26" s="352">
        <f>IF(BS$3="","",SUM(入力データ!$C$71:$C$74)*12*(1+前提条件!$C$12)^(BS$3-$B$3))</f>
        <v/>
      </c>
      <c r="BT26" s="352">
        <f>IF(BT$3="","",SUM(入力データ!$C$71:$C$74)*12*(1+前提条件!$C$12)^(BT$3-$B$3))</f>
        <v/>
      </c>
      <c r="BU26" s="352">
        <f>IF(BU$3="","",SUM(入力データ!$C$71:$C$74)*12*(1+前提条件!$C$12)^(BU$3-$B$3))</f>
        <v/>
      </c>
      <c r="BV26" s="352">
        <f>IF(BV$3="","",SUM(入力データ!$C$71:$C$74)*12*(1+前提条件!$C$12)^(BV$3-$B$3))</f>
        <v/>
      </c>
      <c r="BW26" s="352">
        <f>IF(BW$3="","",SUM(入力データ!$C$71:$C$74)*12*(1+前提条件!$C$12)^(BW$3-$B$3))</f>
        <v/>
      </c>
      <c r="BX26" s="352">
        <f>IF(BX$3="","",SUM(入力データ!$C$71:$C$74)*12*(1+前提条件!$C$12)^(BX$3-$B$3))</f>
        <v/>
      </c>
      <c r="BY26" s="352">
        <f>IF(BY$3="","",SUM(入力データ!$C$71:$C$74)*12*(1+前提条件!$C$12)^(BY$3-$B$3))</f>
        <v/>
      </c>
      <c r="BZ26" s="352">
        <f>IF(BZ$3="","",SUM(入力データ!$C$71:$C$74)*12*(1+前提条件!$C$12)^(BZ$3-$B$3))</f>
        <v/>
      </c>
      <c r="CA26" s="352">
        <f>IF(CA$3="","",SUM(入力データ!$C$71:$C$74)*12*(1+前提条件!$C$12)^(CA$3-$B$3))</f>
        <v/>
      </c>
      <c r="CB26" s="352">
        <f>IF(CB$3="","",SUM(入力データ!$C$71:$C$74)*12*(1+前提条件!$C$12)^(CB$3-$B$3))</f>
        <v/>
      </c>
      <c r="CC26" s="352">
        <f>IF(CC$3="","",SUM(入力データ!$C$71:$C$74)*12*(1+前提条件!$C$12)^(CC$3-$B$3))</f>
        <v/>
      </c>
      <c r="CD26" s="352">
        <f>IF(CD$3="","",SUM(入力データ!$C$71:$C$74)*12*(1+前提条件!$C$12)^(CD$3-$B$3))</f>
        <v/>
      </c>
      <c r="CE26" s="352">
        <f>IF(CE$3="","",SUM(入力データ!$C$71:$C$74)*12*(1+前提条件!$C$12)^(CE$3-$B$3))</f>
        <v/>
      </c>
      <c r="CF26" s="352">
        <f>IF(CF$3="","",SUM(入力データ!$C$71:$C$74)*12*(1+前提条件!$C$12)^(CF$3-$B$3))</f>
        <v/>
      </c>
      <c r="CG26" s="352">
        <f>IF(CG$3="","",SUM(入力データ!$C$71:$C$74)*12*(1+前提条件!$C$12)^(CG$3-$B$3))</f>
        <v/>
      </c>
      <c r="CH26" s="352">
        <f>IF(CH$3="","",SUM(入力データ!$C$71:$C$74)*12*(1+前提条件!$C$12)^(CH$3-$B$3))</f>
        <v/>
      </c>
      <c r="CI26" s="352">
        <f>IF(CI$3="","",SUM(入力データ!$C$71:$C$74)*12*(1+前提条件!$C$12)^(CI$3-$B$3))</f>
        <v/>
      </c>
      <c r="CJ26" s="352">
        <f>IF(CJ$3="","",SUM(入力データ!$C$71:$C$74)*12*(1+前提条件!$C$12)^(CJ$3-$B$3))</f>
        <v/>
      </c>
      <c r="CK26" s="352">
        <f>IF(CK$3="","",SUM(入力データ!$C$71:$C$74)*12*(1+前提条件!$C$12)^(CK$3-$B$3))</f>
        <v/>
      </c>
      <c r="CL26" s="352">
        <f>IF(CL$3="","",SUM(入力データ!$C$71:$C$74)*12*(1+前提条件!$C$12)^(CL$3-$B$3))</f>
        <v/>
      </c>
      <c r="CM26" s="352">
        <f>IF(CM$3="","",SUM(入力データ!$C$71:$C$74)*12*(1+前提条件!$C$12)^(CM$3-$B$3))</f>
        <v/>
      </c>
      <c r="CN26" s="352">
        <f>IF(CN$3="","",SUM(入力データ!$C$71:$C$74)*12*(1+前提条件!$C$12)^(CN$3-$B$3))</f>
        <v/>
      </c>
      <c r="CO26" s="352">
        <f>IF(CO$3="","",SUM(入力データ!$C$71:$C$74)*12*(1+前提条件!$C$12)^(CO$3-$B$3))</f>
        <v/>
      </c>
      <c r="CP26" s="352">
        <f>IF(CP$3="","",SUM(入力データ!$C$71:$C$74)*12*(1+前提条件!$C$12)^(CP$3-$B$3))</f>
        <v/>
      </c>
      <c r="CQ26" s="352">
        <f>IF(CQ$3="","",SUM(入力データ!$C$71:$C$74)*12*(1+前提条件!$C$12)^(CQ$3-$B$3))</f>
        <v/>
      </c>
      <c r="CR26" s="352">
        <f>IF(CR$3="","",SUM(入力データ!$C$71:$C$74)*12*(1+前提条件!$C$12)^(CR$3-$B$3))</f>
        <v/>
      </c>
      <c r="CS26" s="352">
        <f>IF(CS$3="","",SUM(入力データ!$C$71:$C$74)*12*(1+前提条件!$C$12)^(CS$3-$B$3))</f>
        <v/>
      </c>
      <c r="CT26" s="352">
        <f>IF(CT$3="","",SUM(入力データ!$C$71:$C$74)*12*(1+前提条件!$C$12)^(CT$3-$B$3))</f>
        <v/>
      </c>
      <c r="CU26" s="352">
        <f>IF(CU$3="","",SUM(入力データ!$C$71:$C$74)*12*(1+前提条件!$C$12)^(CU$3-$B$3))</f>
        <v/>
      </c>
      <c r="CV26" s="352">
        <f>IF(CV$3="","",SUM(入力データ!$C$71:$C$74)*12*(1+前提条件!$C$12)^(CV$3-$B$3))</f>
        <v/>
      </c>
      <c r="CW26" s="352">
        <f>IF(CW$3="","",SUM(入力データ!$C$71:$C$74)*12*(1+前提条件!$C$12)^(CW$3-$B$3))</f>
        <v/>
      </c>
    </row>
    <row r="27" ht="15" customHeight="1" s="180">
      <c r="A27" s="224" t="inlineStr">
        <is>
          <t>一時支出</t>
        </is>
      </c>
      <c r="B27" s="352">
        <f>IF(B$3="","",SUM(入力データ!$C$78:$C$82))</f>
        <v/>
      </c>
      <c r="C27" s="352">
        <f>IF(C$3="","",SUM(入力データ!$C$78:$C$82))</f>
        <v/>
      </c>
      <c r="D27" s="352">
        <f>IF(D$3="","",SUM(入力データ!$C$78:$C$82))</f>
        <v/>
      </c>
      <c r="E27" s="352">
        <f>IF(E$3="","",SUM(入力データ!$C$78:$C$82))</f>
        <v/>
      </c>
      <c r="F27" s="352">
        <f>IF(F$3="","",SUM(入力データ!$C$78:$C$82))</f>
        <v/>
      </c>
      <c r="G27" s="352">
        <f>IF(G$3="","",SUM(入力データ!$C$78:$C$82))</f>
        <v/>
      </c>
      <c r="H27" s="352">
        <f>IF(H$3="","",SUM(入力データ!$C$78:$C$82))</f>
        <v/>
      </c>
      <c r="I27" s="352">
        <f>IF(I$3="","",SUM(入力データ!$C$78:$C$82))</f>
        <v/>
      </c>
      <c r="J27" s="352">
        <f>IF(J$3="","",SUM(入力データ!$C$78:$C$82))</f>
        <v/>
      </c>
      <c r="K27" s="352">
        <f>IF(K$3="","",SUM(入力データ!$C$78:$C$82))</f>
        <v/>
      </c>
      <c r="L27" s="352">
        <f>IF(L$3="","",SUM(入力データ!$C$78:$C$82))</f>
        <v/>
      </c>
      <c r="M27" s="352">
        <f>IF(M$3="","",SUM(入力データ!$C$78:$C$82))</f>
        <v/>
      </c>
      <c r="N27" s="352">
        <f>IF(N$3="","",SUM(入力データ!$C$78:$C$82))</f>
        <v/>
      </c>
      <c r="O27" s="352">
        <f>IF(O$3="","",SUM(入力データ!$C$78:$C$82))</f>
        <v/>
      </c>
      <c r="P27" s="352">
        <f>IF(P$3="","",SUM(入力データ!$C$78:$C$82))</f>
        <v/>
      </c>
      <c r="Q27" s="352">
        <f>IF(Q$3="","",SUM(入力データ!$C$78:$C$82))</f>
        <v/>
      </c>
      <c r="R27" s="352">
        <f>IF(R$3="","",SUM(入力データ!$C$78:$C$82))</f>
        <v/>
      </c>
      <c r="S27" s="352">
        <f>IF(S$3="","",SUM(入力データ!$C$78:$C$82))</f>
        <v/>
      </c>
      <c r="T27" s="352">
        <f>IF(T$3="","",SUM(入力データ!$C$78:$C$82))</f>
        <v/>
      </c>
      <c r="U27" s="352">
        <f>IF(U$3="","",SUM(入力データ!$C$78:$C$82))</f>
        <v/>
      </c>
      <c r="V27" s="352">
        <f>IF(V$3="","",SUM(入力データ!$C$78:$C$82))</f>
        <v/>
      </c>
      <c r="W27" s="352">
        <f>IF(W$3="","",SUM(入力データ!$C$78:$C$82))</f>
        <v/>
      </c>
      <c r="X27" s="352">
        <f>IF(X$3="","",SUM(入力データ!$C$78:$C$82))</f>
        <v/>
      </c>
      <c r="Y27" s="352">
        <f>IF(Y$3="","",SUM(入力データ!$C$78:$C$82))</f>
        <v/>
      </c>
      <c r="Z27" s="352">
        <f>IF(Z$3="","",SUM(入力データ!$C$78:$C$82))</f>
        <v/>
      </c>
      <c r="AA27" s="352">
        <f>IF(AA$3="","",SUM(入力データ!$C$78:$C$82))</f>
        <v/>
      </c>
      <c r="AB27" s="352">
        <f>IF(AB$3="","",SUM(入力データ!$C$78:$C$82))</f>
        <v/>
      </c>
      <c r="AC27" s="352">
        <f>IF(AC$3="","",SUM(入力データ!$C$78:$C$82))</f>
        <v/>
      </c>
      <c r="AD27" s="352">
        <f>IF(AD$3="","",SUM(入力データ!$C$78:$C$82))</f>
        <v/>
      </c>
      <c r="AE27" s="352">
        <f>IF(AE$3="","",SUM(入力データ!$C$78:$C$82))</f>
        <v/>
      </c>
      <c r="AF27" s="352">
        <f>IF(AF$3="","",SUM(入力データ!$C$78:$C$82))</f>
        <v/>
      </c>
      <c r="AG27" s="352">
        <f>IF(AG$3="","",SUM(入力データ!$C$78:$C$82))</f>
        <v/>
      </c>
      <c r="AH27" s="352">
        <f>IF(AH$3="","",SUM(入力データ!$C$78:$C$82))</f>
        <v/>
      </c>
      <c r="AI27" s="352">
        <f>IF(AI$3="","",SUM(入力データ!$C$78:$C$82))</f>
        <v/>
      </c>
      <c r="AJ27" s="352">
        <f>IF(AJ$3="","",SUM(入力データ!$C$78:$C$82))</f>
        <v/>
      </c>
      <c r="AK27" s="352">
        <f>IF(AK$3="","",SUM(入力データ!$C$78:$C$82))</f>
        <v/>
      </c>
      <c r="AL27" s="352">
        <f>IF(AL$3="","",SUM(入力データ!$C$78:$C$82))</f>
        <v/>
      </c>
      <c r="AM27" s="352">
        <f>IF(AM$3="","",SUM(入力データ!$C$78:$C$82))</f>
        <v/>
      </c>
      <c r="AN27" s="352">
        <f>IF(AN$3="","",SUM(入力データ!$C$78:$C$82))</f>
        <v/>
      </c>
      <c r="AO27" s="352">
        <f>IF(AO$3="","",SUM(入力データ!$C$78:$C$82))</f>
        <v/>
      </c>
      <c r="AP27" s="352">
        <f>IF(AP$3="","",SUM(入力データ!$C$78:$C$82))</f>
        <v/>
      </c>
      <c r="AQ27" s="352">
        <f>IF(AQ$3="","",SUM(入力データ!$C$78:$C$82))</f>
        <v/>
      </c>
      <c r="AR27" s="352">
        <f>IF(AR$3="","",SUM(入力データ!$C$78:$C$82))</f>
        <v/>
      </c>
      <c r="AS27" s="352">
        <f>IF(AS$3="","",SUM(入力データ!$C$78:$C$82))</f>
        <v/>
      </c>
      <c r="AT27" s="352">
        <f>IF(AT$3="","",SUM(入力データ!$C$78:$C$82))</f>
        <v/>
      </c>
      <c r="AU27" s="352">
        <f>IF(AU$3="","",SUM(入力データ!$C$78:$C$82))</f>
        <v/>
      </c>
      <c r="AV27" s="352">
        <f>IF(AV$3="","",SUM(入力データ!$C$78:$C$82))</f>
        <v/>
      </c>
      <c r="AW27" s="352">
        <f>IF(AW$3="","",SUM(入力データ!$C$78:$C$82))</f>
        <v/>
      </c>
      <c r="AX27" s="352">
        <f>IF(AX$3="","",SUM(入力データ!$C$78:$C$82))</f>
        <v/>
      </c>
      <c r="AY27" s="352">
        <f>IF(AY$3="","",SUM(入力データ!$C$78:$C$82))</f>
        <v/>
      </c>
      <c r="AZ27" s="352">
        <f>IF(AZ$3="","",SUM(入力データ!$C$78:$C$82))</f>
        <v/>
      </c>
      <c r="BA27" s="352">
        <f>IF(BA$3="","",SUM(入力データ!$C$78:$C$82))</f>
        <v/>
      </c>
      <c r="BB27" s="352">
        <f>IF(BB$3="","",SUM(入力データ!$C$78:$C$82))</f>
        <v/>
      </c>
      <c r="BC27" s="352">
        <f>IF(BC$3="","",SUM(入力データ!$C$78:$C$82))</f>
        <v/>
      </c>
      <c r="BD27" s="352">
        <f>IF(BD$3="","",SUM(入力データ!$C$78:$C$82))</f>
        <v/>
      </c>
      <c r="BE27" s="352">
        <f>IF(BE$3="","",SUM(入力データ!$C$78:$C$82))</f>
        <v/>
      </c>
      <c r="BF27" s="352">
        <f>IF(BF$3="","",SUM(入力データ!$C$78:$C$82))</f>
        <v/>
      </c>
      <c r="BG27" s="352">
        <f>IF(BG$3="","",SUM(入力データ!$C$78:$C$82))</f>
        <v/>
      </c>
      <c r="BH27" s="352">
        <f>IF(BH$3="","",SUM(入力データ!$C$78:$C$82))</f>
        <v/>
      </c>
      <c r="BI27" s="352">
        <f>IF(BI$3="","",SUM(入力データ!$C$78:$C$82))</f>
        <v/>
      </c>
      <c r="BJ27" s="352">
        <f>IF(BJ$3="","",SUM(入力データ!$C$78:$C$82))</f>
        <v/>
      </c>
      <c r="BK27" s="352">
        <f>IF(BK$3="","",SUM(入力データ!$C$78:$C$82))</f>
        <v/>
      </c>
      <c r="BL27" s="352">
        <f>IF(BL$3="","",SUM(入力データ!$C$78:$C$82))</f>
        <v/>
      </c>
      <c r="BM27" s="352">
        <f>IF(BM$3="","",SUM(入力データ!$C$78:$C$82))</f>
        <v/>
      </c>
      <c r="BN27" s="352">
        <f>IF(BN$3="","",SUM(入力データ!$C$78:$C$82))</f>
        <v/>
      </c>
      <c r="BO27" s="352">
        <f>IF(BO$3="","",SUM(入力データ!$C$78:$C$82))</f>
        <v/>
      </c>
      <c r="BP27" s="352">
        <f>IF(BP$3="","",SUM(入力データ!$C$78:$C$82))</f>
        <v/>
      </c>
      <c r="BQ27" s="352">
        <f>IF(BQ$3="","",SUM(入力データ!$C$78:$C$82))</f>
        <v/>
      </c>
      <c r="BR27" s="352">
        <f>IF(BR$3="","",SUM(入力データ!$C$78:$C$82))</f>
        <v/>
      </c>
      <c r="BS27" s="352">
        <f>IF(BS$3="","",SUM(入力データ!$C$78:$C$82))</f>
        <v/>
      </c>
      <c r="BT27" s="352">
        <f>IF(BT$3="","",SUM(入力データ!$C$78:$C$82))</f>
        <v/>
      </c>
      <c r="BU27" s="352">
        <f>IF(BU$3="","",SUM(入力データ!$C$78:$C$82))</f>
        <v/>
      </c>
      <c r="BV27" s="352">
        <f>IF(BV$3="","",SUM(入力データ!$C$78:$C$82))</f>
        <v/>
      </c>
      <c r="BW27" s="352">
        <f>IF(BW$3="","",SUM(入力データ!$C$78:$C$82))</f>
        <v/>
      </c>
      <c r="BX27" s="352">
        <f>IF(BX$3="","",SUM(入力データ!$C$78:$C$82))</f>
        <v/>
      </c>
      <c r="BY27" s="352">
        <f>IF(BY$3="","",SUM(入力データ!$C$78:$C$82))</f>
        <v/>
      </c>
      <c r="BZ27" s="352">
        <f>IF(BZ$3="","",SUM(入力データ!$C$78:$C$82))</f>
        <v/>
      </c>
      <c r="CA27" s="352">
        <f>IF(CA$3="","",SUM(入力データ!$C$78:$C$82))</f>
        <v/>
      </c>
      <c r="CB27" s="352">
        <f>IF(CB$3="","",SUM(入力データ!$C$78:$C$82))</f>
        <v/>
      </c>
      <c r="CC27" s="352">
        <f>IF(CC$3="","",SUM(入力データ!$C$78:$C$82))</f>
        <v/>
      </c>
      <c r="CD27" s="352">
        <f>IF(CD$3="","",SUM(入力データ!$C$78:$C$82))</f>
        <v/>
      </c>
      <c r="CE27" s="352">
        <f>IF(CE$3="","",SUM(入力データ!$C$78:$C$82))</f>
        <v/>
      </c>
      <c r="CF27" s="352">
        <f>IF(CF$3="","",SUM(入力データ!$C$78:$C$82))</f>
        <v/>
      </c>
      <c r="CG27" s="352">
        <f>IF(CG$3="","",SUM(入力データ!$C$78:$C$82))</f>
        <v/>
      </c>
      <c r="CH27" s="352">
        <f>IF(CH$3="","",SUM(入力データ!$C$78:$C$82))</f>
        <v/>
      </c>
      <c r="CI27" s="352">
        <f>IF(CI$3="","",SUM(入力データ!$C$78:$C$82))</f>
        <v/>
      </c>
      <c r="CJ27" s="352">
        <f>IF(CJ$3="","",SUM(入力データ!$C$78:$C$82))</f>
        <v/>
      </c>
      <c r="CK27" s="352">
        <f>IF(CK$3="","",SUM(入力データ!$C$78:$C$82))</f>
        <v/>
      </c>
      <c r="CL27" s="352">
        <f>IF(CL$3="","",SUM(入力データ!$C$78:$C$82))</f>
        <v/>
      </c>
      <c r="CM27" s="352">
        <f>IF(CM$3="","",SUM(入力データ!$C$78:$C$82))</f>
        <v/>
      </c>
      <c r="CN27" s="352">
        <f>IF(CN$3="","",SUM(入力データ!$C$78:$C$82))</f>
        <v/>
      </c>
      <c r="CO27" s="352">
        <f>IF(CO$3="","",SUM(入力データ!$C$78:$C$82))</f>
        <v/>
      </c>
      <c r="CP27" s="352">
        <f>IF(CP$3="","",SUM(入力データ!$C$78:$C$82))</f>
        <v/>
      </c>
      <c r="CQ27" s="352">
        <f>IF(CQ$3="","",SUM(入力データ!$C$78:$C$82))</f>
        <v/>
      </c>
      <c r="CR27" s="352">
        <f>IF(CR$3="","",SUM(入力データ!$C$78:$C$82))</f>
        <v/>
      </c>
      <c r="CS27" s="352">
        <f>IF(CS$3="","",SUM(入力データ!$C$78:$C$82))</f>
        <v/>
      </c>
      <c r="CT27" s="352">
        <f>IF(CT$3="","",SUM(入力データ!$C$78:$C$82))</f>
        <v/>
      </c>
      <c r="CU27" s="352">
        <f>IF(CU$3="","",SUM(入力データ!$C$78:$C$82))</f>
        <v/>
      </c>
      <c r="CV27" s="352">
        <f>IF(CV$3="","",SUM(入力データ!$C$78:$C$82))</f>
        <v/>
      </c>
      <c r="CW27" s="352">
        <f>IF(CW$3="","",SUM(入力データ!$C$78:$C$82))</f>
        <v/>
      </c>
    </row>
    <row r="28" ht="15" customHeight="1" s="180">
      <c r="A28" s="226" t="inlineStr">
        <is>
          <t>支出合計</t>
        </is>
      </c>
      <c r="B28" s="353">
        <f>IF(B$3="","",SUM(B20:B27))</f>
        <v/>
      </c>
      <c r="C28" s="353">
        <f>IF(C$3="","",SUM(C20:C27))</f>
        <v/>
      </c>
      <c r="D28" s="353">
        <f>IF(D$3="","",SUM(D20:D27))</f>
        <v/>
      </c>
      <c r="E28" s="353">
        <f>IF(E$3="","",SUM(E20:E27))</f>
        <v/>
      </c>
      <c r="F28" s="353">
        <f>IF(F$3="","",SUM(F20:F27))</f>
        <v/>
      </c>
      <c r="G28" s="353">
        <f>IF(G$3="","",SUM(G20:G27))</f>
        <v/>
      </c>
      <c r="H28" s="353">
        <f>IF(H$3="","",SUM(H20:H27))</f>
        <v/>
      </c>
      <c r="I28" s="353">
        <f>IF(I$3="","",SUM(I20:I27))</f>
        <v/>
      </c>
      <c r="J28" s="353">
        <f>IF(J$3="","",SUM(J20:J27))</f>
        <v/>
      </c>
      <c r="K28" s="353">
        <f>IF(K$3="","",SUM(K20:K27))</f>
        <v/>
      </c>
      <c r="L28" s="353">
        <f>IF(L$3="","",SUM(L20:L27))</f>
        <v/>
      </c>
      <c r="M28" s="353">
        <f>IF(M$3="","",SUM(M20:M27))</f>
        <v/>
      </c>
      <c r="N28" s="353">
        <f>IF(N$3="","",SUM(N20:N27))</f>
        <v/>
      </c>
      <c r="O28" s="353">
        <f>IF(O$3="","",SUM(O20:O27))</f>
        <v/>
      </c>
      <c r="P28" s="353">
        <f>IF(P$3="","",SUM(P20:P27))</f>
        <v/>
      </c>
      <c r="Q28" s="353">
        <f>IF(Q$3="","",SUM(Q20:Q27))</f>
        <v/>
      </c>
      <c r="R28" s="353">
        <f>IF(R$3="","",SUM(R20:R27))</f>
        <v/>
      </c>
      <c r="S28" s="353">
        <f>IF(S$3="","",SUM(S20:S27))</f>
        <v/>
      </c>
      <c r="T28" s="353">
        <f>IF(T$3="","",SUM(T20:T27))</f>
        <v/>
      </c>
      <c r="U28" s="353">
        <f>IF(U$3="","",SUM(U20:U27))</f>
        <v/>
      </c>
      <c r="V28" s="353">
        <f>IF(V$3="","",SUM(V20:V27))</f>
        <v/>
      </c>
      <c r="W28" s="353">
        <f>IF(W$3="","",SUM(W20:W27))</f>
        <v/>
      </c>
      <c r="X28" s="353">
        <f>IF(X$3="","",SUM(X20:X27))</f>
        <v/>
      </c>
      <c r="Y28" s="353">
        <f>IF(Y$3="","",SUM(Y20:Y27))</f>
        <v/>
      </c>
      <c r="Z28" s="353">
        <f>IF(Z$3="","",SUM(Z20:Z27))</f>
        <v/>
      </c>
      <c r="AA28" s="353">
        <f>IF(AA$3="","",SUM(AA20:AA27))</f>
        <v/>
      </c>
      <c r="AB28" s="353">
        <f>IF(AB$3="","",SUM(AB20:AB27))</f>
        <v/>
      </c>
      <c r="AC28" s="353">
        <f>IF(AC$3="","",SUM(AC20:AC27))</f>
        <v/>
      </c>
      <c r="AD28" s="353">
        <f>IF(AD$3="","",SUM(AD20:AD27))</f>
        <v/>
      </c>
      <c r="AE28" s="353">
        <f>IF(AE$3="","",SUM(AE20:AE27))</f>
        <v/>
      </c>
      <c r="AF28" s="353">
        <f>IF(AF$3="","",SUM(AF20:AF27))</f>
        <v/>
      </c>
      <c r="AG28" s="353">
        <f>IF(AG$3="","",SUM(AG20:AG27))</f>
        <v/>
      </c>
      <c r="AH28" s="353">
        <f>IF(AH$3="","",SUM(AH20:AH27))</f>
        <v/>
      </c>
      <c r="AI28" s="353">
        <f>IF(AI$3="","",SUM(AI20:AI27))</f>
        <v/>
      </c>
      <c r="AJ28" s="353">
        <f>IF(AJ$3="","",SUM(AJ20:AJ27))</f>
        <v/>
      </c>
      <c r="AK28" s="353">
        <f>IF(AK$3="","",SUM(AK20:AK27))</f>
        <v/>
      </c>
      <c r="AL28" s="353">
        <f>IF(AL$3="","",SUM(AL20:AL27))</f>
        <v/>
      </c>
      <c r="AM28" s="353">
        <f>IF(AM$3="","",SUM(AM20:AM27))</f>
        <v/>
      </c>
      <c r="AN28" s="353">
        <f>IF(AN$3="","",SUM(AN20:AN27))</f>
        <v/>
      </c>
      <c r="AO28" s="353">
        <f>IF(AO$3="","",SUM(AO20:AO27))</f>
        <v/>
      </c>
      <c r="AP28" s="353">
        <f>IF(AP$3="","",SUM(AP20:AP27))</f>
        <v/>
      </c>
      <c r="AQ28" s="353">
        <f>IF(AQ$3="","",SUM(AQ20:AQ27))</f>
        <v/>
      </c>
      <c r="AR28" s="353">
        <f>IF(AR$3="","",SUM(AR20:AR27))</f>
        <v/>
      </c>
      <c r="AS28" s="353">
        <f>IF(AS$3="","",SUM(AS20:AS27))</f>
        <v/>
      </c>
      <c r="AT28" s="353">
        <f>IF(AT$3="","",SUM(AT20:AT27))</f>
        <v/>
      </c>
      <c r="AU28" s="353">
        <f>IF(AU$3="","",SUM(AU20:AU27))</f>
        <v/>
      </c>
      <c r="AV28" s="353">
        <f>IF(AV$3="","",SUM(AV20:AV27))</f>
        <v/>
      </c>
      <c r="AW28" s="353">
        <f>IF(AW$3="","",SUM(AW20:AW27))</f>
        <v/>
      </c>
      <c r="AX28" s="353">
        <f>IF(AX$3="","",SUM(AX20:AX27))</f>
        <v/>
      </c>
      <c r="AY28" s="353">
        <f>IF(AY$3="","",SUM(AY20:AY27))</f>
        <v/>
      </c>
      <c r="AZ28" s="353">
        <f>IF(AZ$3="","",SUM(AZ20:AZ27))</f>
        <v/>
      </c>
      <c r="BA28" s="353">
        <f>IF(BA$3="","",SUM(BA20:BA27))</f>
        <v/>
      </c>
      <c r="BB28" s="353">
        <f>IF(BB$3="","",SUM(BB20:BB27))</f>
        <v/>
      </c>
      <c r="BC28" s="353">
        <f>IF(BC$3="","",SUM(BC20:BC27))</f>
        <v/>
      </c>
      <c r="BD28" s="353">
        <f>IF(BD$3="","",SUM(BD20:BD27))</f>
        <v/>
      </c>
      <c r="BE28" s="353">
        <f>IF(BE$3="","",SUM(BE20:BE27))</f>
        <v/>
      </c>
      <c r="BF28" s="353">
        <f>IF(BF$3="","",SUM(BF20:BF27))</f>
        <v/>
      </c>
      <c r="BG28" s="353">
        <f>IF(BG$3="","",SUM(BG20:BG27))</f>
        <v/>
      </c>
      <c r="BH28" s="353">
        <f>IF(BH$3="","",SUM(BH20:BH27))</f>
        <v/>
      </c>
      <c r="BI28" s="353">
        <f>IF(BI$3="","",SUM(BI20:BI27))</f>
        <v/>
      </c>
      <c r="BJ28" s="353">
        <f>IF(BJ$3="","",SUM(BJ20:BJ27))</f>
        <v/>
      </c>
      <c r="BK28" s="353">
        <f>IF(BK$3="","",SUM(BK20:BK27))</f>
        <v/>
      </c>
      <c r="BL28" s="353">
        <f>IF(BL$3="","",SUM(BL20:BL27))</f>
        <v/>
      </c>
      <c r="BM28" s="353">
        <f>IF(BM$3="","",SUM(BM20:BM27))</f>
        <v/>
      </c>
      <c r="BN28" s="353">
        <f>IF(BN$3="","",SUM(BN20:BN27))</f>
        <v/>
      </c>
      <c r="BO28" s="353">
        <f>IF(BO$3="","",SUM(BO20:BO27))</f>
        <v/>
      </c>
      <c r="BP28" s="353">
        <f>IF(BP$3="","",SUM(BP20:BP27))</f>
        <v/>
      </c>
      <c r="BQ28" s="353">
        <f>IF(BQ$3="","",SUM(BQ20:BQ27))</f>
        <v/>
      </c>
      <c r="BR28" s="353">
        <f>IF(BR$3="","",SUM(BR20:BR27))</f>
        <v/>
      </c>
      <c r="BS28" s="353">
        <f>IF(BS$3="","",SUM(BS20:BS27))</f>
        <v/>
      </c>
      <c r="BT28" s="353">
        <f>IF(BT$3="","",SUM(BT20:BT27))</f>
        <v/>
      </c>
      <c r="BU28" s="353">
        <f>IF(BU$3="","",SUM(BU20:BU27))</f>
        <v/>
      </c>
      <c r="BV28" s="353">
        <f>IF(BV$3="","",SUM(BV20:BV27))</f>
        <v/>
      </c>
      <c r="BW28" s="353">
        <f>IF(BW$3="","",SUM(BW20:BW27))</f>
        <v/>
      </c>
      <c r="BX28" s="353">
        <f>IF(BX$3="","",SUM(BX20:BX27))</f>
        <v/>
      </c>
      <c r="BY28" s="353">
        <f>IF(BY$3="","",SUM(BY20:BY27))</f>
        <v/>
      </c>
      <c r="BZ28" s="353">
        <f>IF(BZ$3="","",SUM(BZ20:BZ27))</f>
        <v/>
      </c>
      <c r="CA28" s="353">
        <f>IF(CA$3="","",SUM(CA20:CA27))</f>
        <v/>
      </c>
      <c r="CB28" s="353">
        <f>IF(CB$3="","",SUM(CB20:CB27))</f>
        <v/>
      </c>
      <c r="CC28" s="353">
        <f>IF(CC$3="","",SUM(CC20:CC27))</f>
        <v/>
      </c>
      <c r="CD28" s="353">
        <f>IF(CD$3="","",SUM(CD20:CD27))</f>
        <v/>
      </c>
      <c r="CE28" s="353">
        <f>IF(CE$3="","",SUM(CE20:CE27))</f>
        <v/>
      </c>
      <c r="CF28" s="353">
        <f>IF(CF$3="","",SUM(CF20:CF27))</f>
        <v/>
      </c>
      <c r="CG28" s="353">
        <f>IF(CG$3="","",SUM(CG20:CG27))</f>
        <v/>
      </c>
      <c r="CH28" s="353">
        <f>IF(CH$3="","",SUM(CH20:CH27))</f>
        <v/>
      </c>
      <c r="CI28" s="353">
        <f>IF(CI$3="","",SUM(CI20:CI27))</f>
        <v/>
      </c>
      <c r="CJ28" s="353">
        <f>IF(CJ$3="","",SUM(CJ20:CJ27))</f>
        <v/>
      </c>
      <c r="CK28" s="353">
        <f>IF(CK$3="","",SUM(CK20:CK27))</f>
        <v/>
      </c>
      <c r="CL28" s="353">
        <f>IF(CL$3="","",SUM(CL20:CL27))</f>
        <v/>
      </c>
      <c r="CM28" s="353">
        <f>IF(CM$3="","",SUM(CM20:CM27))</f>
        <v/>
      </c>
      <c r="CN28" s="353">
        <f>IF(CN$3="","",SUM(CN20:CN27))</f>
        <v/>
      </c>
      <c r="CO28" s="353">
        <f>IF(CO$3="","",SUM(CO20:CO27))</f>
        <v/>
      </c>
      <c r="CP28" s="353">
        <f>IF(CP$3="","",SUM(CP20:CP27))</f>
        <v/>
      </c>
      <c r="CQ28" s="353">
        <f>IF(CQ$3="","",SUM(CQ20:CQ27))</f>
        <v/>
      </c>
      <c r="CR28" s="353">
        <f>IF(CR$3="","",SUM(CR20:CR27))</f>
        <v/>
      </c>
      <c r="CS28" s="353">
        <f>IF(CS$3="","",SUM(CS20:CS27))</f>
        <v/>
      </c>
      <c r="CT28" s="353">
        <f>IF(CT$3="","",SUM(CT20:CT27))</f>
        <v/>
      </c>
      <c r="CU28" s="353">
        <f>IF(CU$3="","",SUM(CU20:CU27))</f>
        <v/>
      </c>
      <c r="CV28" s="353">
        <f>IF(CV$3="","",SUM(CV20:CV27))</f>
        <v/>
      </c>
      <c r="CW28" s="353">
        <f>IF(CW$3="","",SUM(CW20:CW27))</f>
        <v/>
      </c>
    </row>
    <row r="29" ht="15" customHeight="1" s="180">
      <c r="A29" s="205" t="inlineStr">
        <is>
          <t>収支・資産</t>
        </is>
      </c>
      <c r="B29" s="219" t="n"/>
      <c r="C29" s="219" t="n"/>
      <c r="D29" s="219" t="n"/>
      <c r="E29" s="219" t="n"/>
      <c r="F29" s="219" t="n"/>
      <c r="G29" s="219" t="n"/>
      <c r="H29" s="219" t="n"/>
      <c r="I29" s="219" t="n"/>
      <c r="J29" s="219" t="n"/>
      <c r="K29" s="219" t="n"/>
      <c r="L29" s="219" t="n"/>
      <c r="M29" s="219" t="n"/>
      <c r="N29" s="219" t="n"/>
      <c r="O29" s="219" t="n"/>
      <c r="P29" s="219" t="n"/>
      <c r="Q29" s="219" t="n"/>
      <c r="R29" s="219" t="n"/>
      <c r="S29" s="219" t="n"/>
      <c r="T29" s="219" t="n"/>
      <c r="U29" s="219" t="n"/>
      <c r="V29" s="219" t="n"/>
      <c r="W29" s="219" t="n"/>
      <c r="X29" s="219" t="n"/>
      <c r="Y29" s="219" t="n"/>
      <c r="Z29" s="219" t="n"/>
      <c r="AA29" s="219" t="n"/>
      <c r="AB29" s="219" t="n"/>
      <c r="AC29" s="219" t="n"/>
      <c r="AD29" s="219" t="n"/>
      <c r="AE29" s="219" t="n"/>
      <c r="AF29" s="219" t="n"/>
      <c r="AG29" s="219" t="n"/>
      <c r="AH29" s="219" t="n"/>
      <c r="AI29" s="219" t="n"/>
      <c r="AJ29" s="219" t="n"/>
      <c r="AK29" s="219" t="n"/>
      <c r="AL29" s="219" t="n"/>
      <c r="AM29" s="219" t="n"/>
      <c r="AN29" s="219" t="n"/>
      <c r="AO29" s="219" t="n"/>
      <c r="AP29" s="219" t="n"/>
      <c r="AQ29" s="219" t="n"/>
      <c r="AR29" s="219" t="n"/>
      <c r="AS29" s="219" t="n"/>
      <c r="AT29" s="219" t="n"/>
      <c r="AU29" s="219" t="n"/>
      <c r="AV29" s="219" t="n"/>
      <c r="AW29" s="219" t="n"/>
      <c r="AX29" s="219" t="n"/>
      <c r="AY29" s="219" t="n"/>
      <c r="AZ29" s="219" t="n"/>
      <c r="BA29" s="219" t="n"/>
      <c r="BB29" s="219" t="n"/>
      <c r="BC29" s="219" t="n"/>
      <c r="BD29" s="219" t="n"/>
      <c r="BE29" s="219" t="n"/>
      <c r="BF29" s="219" t="n"/>
      <c r="BG29" s="219" t="n"/>
      <c r="BH29" s="219" t="n"/>
      <c r="BI29" s="219" t="n"/>
      <c r="BJ29" s="219" t="n"/>
      <c r="BK29" s="219" t="n"/>
      <c r="BL29" s="219" t="n"/>
      <c r="BM29" s="219" t="n"/>
      <c r="BN29" s="219" t="n"/>
      <c r="BO29" s="219" t="n"/>
      <c r="BP29" s="219" t="n"/>
      <c r="BQ29" s="219" t="n"/>
      <c r="BR29" s="219" t="n"/>
      <c r="BS29" s="219" t="n"/>
      <c r="BT29" s="219" t="n"/>
      <c r="BU29" s="219" t="n"/>
      <c r="BV29" s="219" t="n"/>
      <c r="BW29" s="219" t="n"/>
      <c r="BX29" s="219" t="n"/>
      <c r="BY29" s="219" t="n"/>
      <c r="BZ29" s="219" t="n"/>
      <c r="CA29" s="219" t="n"/>
      <c r="CB29" s="219" t="n"/>
      <c r="CC29" s="219" t="n"/>
      <c r="CD29" s="219" t="n"/>
      <c r="CE29" s="219" t="n"/>
      <c r="CF29" s="219" t="n"/>
      <c r="CG29" s="219" t="n"/>
      <c r="CH29" s="219" t="n"/>
      <c r="CI29" s="219" t="n"/>
      <c r="CJ29" s="219" t="n"/>
      <c r="CK29" s="219" t="n"/>
      <c r="CL29" s="219" t="n"/>
      <c r="CM29" s="219" t="n"/>
      <c r="CN29" s="219" t="n"/>
      <c r="CO29" s="219" t="n"/>
      <c r="CP29" s="219" t="n"/>
      <c r="CQ29" s="219" t="n"/>
      <c r="CR29" s="219" t="n"/>
      <c r="CS29" s="219" t="n"/>
      <c r="CT29" s="219" t="n"/>
      <c r="CU29" s="219" t="n"/>
      <c r="CV29" s="219" t="n"/>
      <c r="CW29" s="219" t="n"/>
    </row>
    <row r="30" ht="21.75" customHeight="1" s="180">
      <c r="A30" s="229" t="inlineStr">
        <is>
          <t>年間収支</t>
        </is>
      </c>
      <c r="B30" s="354">
        <f>IF(B$3="","",B18-B28)</f>
        <v/>
      </c>
      <c r="C30" s="354">
        <f>IF(C$3="","",C18-C28)</f>
        <v/>
      </c>
      <c r="D30" s="354">
        <f>IF(D$3="","",D18-D28)</f>
        <v/>
      </c>
      <c r="E30" s="354">
        <f>IF(E$3="","",E18-E28)</f>
        <v/>
      </c>
      <c r="F30" s="354">
        <f>IF(F$3="","",F18-F28)</f>
        <v/>
      </c>
      <c r="G30" s="354">
        <f>IF(G$3="","",G18-G28)</f>
        <v/>
      </c>
      <c r="H30" s="354">
        <f>IF(H$3="","",H18-H28)</f>
        <v/>
      </c>
      <c r="I30" s="354">
        <f>IF(I$3="","",I18-I28)</f>
        <v/>
      </c>
      <c r="J30" s="354">
        <f>IF(J$3="","",J18-J28)</f>
        <v/>
      </c>
      <c r="K30" s="354">
        <f>IF(K$3="","",K18-K28)</f>
        <v/>
      </c>
      <c r="L30" s="354">
        <f>IF(L$3="","",L18-L28)</f>
        <v/>
      </c>
      <c r="M30" s="354">
        <f>IF(M$3="","",M18-M28)</f>
        <v/>
      </c>
      <c r="N30" s="354">
        <f>IF(N$3="","",N18-N28)</f>
        <v/>
      </c>
      <c r="O30" s="354">
        <f>IF(O$3="","",O18-O28)</f>
        <v/>
      </c>
      <c r="P30" s="354">
        <f>IF(P$3="","",P18-P28)</f>
        <v/>
      </c>
      <c r="Q30" s="354">
        <f>IF(Q$3="","",Q18-Q28)</f>
        <v/>
      </c>
      <c r="R30" s="354">
        <f>IF(R$3="","",R18-R28)</f>
        <v/>
      </c>
      <c r="S30" s="354">
        <f>IF(S$3="","",S18-S28)</f>
        <v/>
      </c>
      <c r="T30" s="354">
        <f>IF(T$3="","",T18-T28)</f>
        <v/>
      </c>
      <c r="U30" s="354">
        <f>IF(U$3="","",U18-U28)</f>
        <v/>
      </c>
      <c r="V30" s="354">
        <f>IF(V$3="","",V18-V28)</f>
        <v/>
      </c>
      <c r="W30" s="354">
        <f>IF(W$3="","",W18-W28)</f>
        <v/>
      </c>
      <c r="X30" s="354">
        <f>IF(X$3="","",X18-X28)</f>
        <v/>
      </c>
      <c r="Y30" s="354">
        <f>IF(Y$3="","",Y18-Y28)</f>
        <v/>
      </c>
      <c r="Z30" s="354">
        <f>IF(Z$3="","",Z18-Z28)</f>
        <v/>
      </c>
      <c r="AA30" s="354">
        <f>IF(AA$3="","",AA18-AA28)</f>
        <v/>
      </c>
      <c r="AB30" s="354">
        <f>IF(AB$3="","",AB18-AB28)</f>
        <v/>
      </c>
      <c r="AC30" s="354">
        <f>IF(AC$3="","",AC18-AC28)</f>
        <v/>
      </c>
      <c r="AD30" s="354">
        <f>IF(AD$3="","",AD18-AD28)</f>
        <v/>
      </c>
      <c r="AE30" s="354">
        <f>IF(AE$3="","",AE18-AE28)</f>
        <v/>
      </c>
      <c r="AF30" s="354">
        <f>IF(AF$3="","",AF18-AF28)</f>
        <v/>
      </c>
      <c r="AG30" s="354">
        <f>IF(AG$3="","",AG18-AG28)</f>
        <v/>
      </c>
      <c r="AH30" s="354">
        <f>IF(AH$3="","",AH18-AH28)</f>
        <v/>
      </c>
      <c r="AI30" s="354">
        <f>IF(AI$3="","",AI18-AI28)</f>
        <v/>
      </c>
      <c r="AJ30" s="354">
        <f>IF(AJ$3="","",AJ18-AJ28)</f>
        <v/>
      </c>
      <c r="AK30" s="354">
        <f>IF(AK$3="","",AK18-AK28)</f>
        <v/>
      </c>
      <c r="AL30" s="354">
        <f>IF(AL$3="","",AL18-AL28)</f>
        <v/>
      </c>
      <c r="AM30" s="354">
        <f>IF(AM$3="","",AM18-AM28)</f>
        <v/>
      </c>
      <c r="AN30" s="354">
        <f>IF(AN$3="","",AN18-AN28)</f>
        <v/>
      </c>
      <c r="AO30" s="354">
        <f>IF(AO$3="","",AO18-AO28)</f>
        <v/>
      </c>
      <c r="AP30" s="354">
        <f>IF(AP$3="","",AP18-AP28)</f>
        <v/>
      </c>
      <c r="AQ30" s="354">
        <f>IF(AQ$3="","",AQ18-AQ28)</f>
        <v/>
      </c>
      <c r="AR30" s="354">
        <f>IF(AR$3="","",AR18-AR28)</f>
        <v/>
      </c>
      <c r="AS30" s="354">
        <f>IF(AS$3="","",AS18-AS28)</f>
        <v/>
      </c>
      <c r="AT30" s="354">
        <f>IF(AT$3="","",AT18-AT28)</f>
        <v/>
      </c>
      <c r="AU30" s="354">
        <f>IF(AU$3="","",AU18-AU28)</f>
        <v/>
      </c>
      <c r="AV30" s="354">
        <f>IF(AV$3="","",AV18-AV28)</f>
        <v/>
      </c>
      <c r="AW30" s="354">
        <f>IF(AW$3="","",AW18-AW28)</f>
        <v/>
      </c>
      <c r="AX30" s="354">
        <f>IF(AX$3="","",AX18-AX28)</f>
        <v/>
      </c>
      <c r="AY30" s="354">
        <f>IF(AY$3="","",AY18-AY28)</f>
        <v/>
      </c>
      <c r="AZ30" s="354">
        <f>IF(AZ$3="","",AZ18-AZ28)</f>
        <v/>
      </c>
      <c r="BA30" s="354">
        <f>IF(BA$3="","",BA18-BA28)</f>
        <v/>
      </c>
      <c r="BB30" s="354">
        <f>IF(BB$3="","",BB18-BB28)</f>
        <v/>
      </c>
      <c r="BC30" s="354">
        <f>IF(BC$3="","",BC18-BC28)</f>
        <v/>
      </c>
      <c r="BD30" s="354">
        <f>IF(BD$3="","",BD18-BD28)</f>
        <v/>
      </c>
      <c r="BE30" s="354">
        <f>IF(BE$3="","",BE18-BE28)</f>
        <v/>
      </c>
      <c r="BF30" s="354">
        <f>IF(BF$3="","",BF18-BF28)</f>
        <v/>
      </c>
      <c r="BG30" s="354">
        <f>IF(BG$3="","",BG18-BG28)</f>
        <v/>
      </c>
      <c r="BH30" s="354">
        <f>IF(BH$3="","",BH18-BH28)</f>
        <v/>
      </c>
      <c r="BI30" s="354">
        <f>IF(BI$3="","",BI18-BI28)</f>
        <v/>
      </c>
      <c r="BJ30" s="354">
        <f>IF(BJ$3="","",BJ18-BJ28)</f>
        <v/>
      </c>
      <c r="BK30" s="354">
        <f>IF(BK$3="","",BK18-BK28)</f>
        <v/>
      </c>
      <c r="BL30" s="354">
        <f>IF(BL$3="","",BL18-BL28)</f>
        <v/>
      </c>
      <c r="BM30" s="354">
        <f>IF(BM$3="","",BM18-BM28)</f>
        <v/>
      </c>
      <c r="BN30" s="354">
        <f>IF(BN$3="","",BN18-BN28)</f>
        <v/>
      </c>
      <c r="BO30" s="354">
        <f>IF(BO$3="","",BO18-BO28)</f>
        <v/>
      </c>
      <c r="BP30" s="354">
        <f>IF(BP$3="","",BP18-BP28)</f>
        <v/>
      </c>
      <c r="BQ30" s="354">
        <f>IF(BQ$3="","",BQ18-BQ28)</f>
        <v/>
      </c>
      <c r="BR30" s="354">
        <f>IF(BR$3="","",BR18-BR28)</f>
        <v/>
      </c>
      <c r="BS30" s="354">
        <f>IF(BS$3="","",BS18-BS28)</f>
        <v/>
      </c>
      <c r="BT30" s="354">
        <f>IF(BT$3="","",BT18-BT28)</f>
        <v/>
      </c>
      <c r="BU30" s="354">
        <f>IF(BU$3="","",BU18-BU28)</f>
        <v/>
      </c>
      <c r="BV30" s="354">
        <f>IF(BV$3="","",BV18-BV28)</f>
        <v/>
      </c>
      <c r="BW30" s="354">
        <f>IF(BW$3="","",BW18-BW28)</f>
        <v/>
      </c>
      <c r="BX30" s="354">
        <f>IF(BX$3="","",BX18-BX28)</f>
        <v/>
      </c>
      <c r="BY30" s="354">
        <f>IF(BY$3="","",BY18-BY28)</f>
        <v/>
      </c>
      <c r="BZ30" s="354">
        <f>IF(BZ$3="","",BZ18-BZ28)</f>
        <v/>
      </c>
      <c r="CA30" s="354">
        <f>IF(CA$3="","",CA18-CA28)</f>
        <v/>
      </c>
      <c r="CB30" s="354">
        <f>IF(CB$3="","",CB18-CB28)</f>
        <v/>
      </c>
      <c r="CC30" s="354">
        <f>IF(CC$3="","",CC18-CC28)</f>
        <v/>
      </c>
      <c r="CD30" s="354">
        <f>IF(CD$3="","",CD18-CD28)</f>
        <v/>
      </c>
      <c r="CE30" s="354">
        <f>IF(CE$3="","",CE18-CE28)</f>
        <v/>
      </c>
      <c r="CF30" s="354">
        <f>IF(CF$3="","",CF18-CF28)</f>
        <v/>
      </c>
      <c r="CG30" s="354">
        <f>IF(CG$3="","",CG18-CG28)</f>
        <v/>
      </c>
      <c r="CH30" s="354">
        <f>IF(CH$3="","",CH18-CH28)</f>
        <v/>
      </c>
      <c r="CI30" s="354">
        <f>IF(CI$3="","",CI18-CI28)</f>
        <v/>
      </c>
      <c r="CJ30" s="354">
        <f>IF(CJ$3="","",CJ18-CJ28)</f>
        <v/>
      </c>
      <c r="CK30" s="354">
        <f>IF(CK$3="","",CK18-CK28)</f>
        <v/>
      </c>
      <c r="CL30" s="354">
        <f>IF(CL$3="","",CL18-CL28)</f>
        <v/>
      </c>
      <c r="CM30" s="354">
        <f>IF(CM$3="","",CM18-CM28)</f>
        <v/>
      </c>
      <c r="CN30" s="354">
        <f>IF(CN$3="","",CN18-CN28)</f>
        <v/>
      </c>
      <c r="CO30" s="354">
        <f>IF(CO$3="","",CO18-CO28)</f>
        <v/>
      </c>
      <c r="CP30" s="354">
        <f>IF(CP$3="","",CP18-CP28)</f>
        <v/>
      </c>
      <c r="CQ30" s="354">
        <f>IF(CQ$3="","",CQ18-CQ28)</f>
        <v/>
      </c>
      <c r="CR30" s="354">
        <f>IF(CR$3="","",CR18-CR28)</f>
        <v/>
      </c>
      <c r="CS30" s="354">
        <f>IF(CS$3="","",CS18-CS28)</f>
        <v/>
      </c>
      <c r="CT30" s="354">
        <f>IF(CT$3="","",CT18-CT28)</f>
        <v/>
      </c>
      <c r="CU30" s="354">
        <f>IF(CU$3="","",CU18-CU28)</f>
        <v/>
      </c>
      <c r="CV30" s="354">
        <f>IF(CV$3="","",CV18-CV28)</f>
        <v/>
      </c>
      <c r="CW30" s="354">
        <f>IF(CW$3="","",CW18-CW28)</f>
        <v/>
      </c>
    </row>
    <row r="31" ht="15" customHeight="1" s="180">
      <c r="A31" s="231" t="inlineStr">
        <is>
          <t>預貯金残高</t>
        </is>
      </c>
      <c r="B31" s="355">
        <f>IF(B$3="","",MAX(0,B38))</f>
        <v/>
      </c>
      <c r="C31" s="355">
        <f>IF(C$3="","",MAX(0,C38))</f>
        <v/>
      </c>
      <c r="D31" s="355">
        <f>IF(D$3="","",MAX(0,D38))</f>
        <v/>
      </c>
      <c r="E31" s="355">
        <f>IF(E$3="","",MAX(0,E38))</f>
        <v/>
      </c>
      <c r="F31" s="355">
        <f>IF(F$3="","",MAX(0,F38))</f>
        <v/>
      </c>
      <c r="G31" s="355">
        <f>IF(G$3="","",MAX(0,G38))</f>
        <v/>
      </c>
      <c r="H31" s="355">
        <f>IF(H$3="","",MAX(0,H38))</f>
        <v/>
      </c>
      <c r="I31" s="355">
        <f>IF(I$3="","",MAX(0,I38))</f>
        <v/>
      </c>
      <c r="J31" s="355">
        <f>IF(J$3="","",MAX(0,J38))</f>
        <v/>
      </c>
      <c r="K31" s="355">
        <f>IF(K$3="","",MAX(0,K38))</f>
        <v/>
      </c>
      <c r="L31" s="355">
        <f>IF(L$3="","",MAX(0,L38))</f>
        <v/>
      </c>
      <c r="M31" s="355">
        <f>IF(M$3="","",MAX(0,M38))</f>
        <v/>
      </c>
      <c r="N31" s="355">
        <f>IF(N$3="","",MAX(0,N38))</f>
        <v/>
      </c>
      <c r="O31" s="355">
        <f>IF(O$3="","",MAX(0,O38))</f>
        <v/>
      </c>
      <c r="P31" s="355">
        <f>IF(P$3="","",MAX(0,P38))</f>
        <v/>
      </c>
      <c r="Q31" s="355">
        <f>IF(Q$3="","",MAX(0,Q38))</f>
        <v/>
      </c>
      <c r="R31" s="355">
        <f>IF(R$3="","",MAX(0,R38))</f>
        <v/>
      </c>
      <c r="S31" s="355">
        <f>IF(S$3="","",MAX(0,S38))</f>
        <v/>
      </c>
      <c r="T31" s="355">
        <f>IF(T$3="","",MAX(0,T38))</f>
        <v/>
      </c>
      <c r="U31" s="355">
        <f>IF(U$3="","",MAX(0,U38))</f>
        <v/>
      </c>
      <c r="V31" s="355">
        <f>IF(V$3="","",MAX(0,V38))</f>
        <v/>
      </c>
      <c r="W31" s="355">
        <f>IF(W$3="","",MAX(0,W38))</f>
        <v/>
      </c>
      <c r="X31" s="355">
        <f>IF(X$3="","",MAX(0,X38))</f>
        <v/>
      </c>
      <c r="Y31" s="355">
        <f>IF(Y$3="","",MAX(0,Y38))</f>
        <v/>
      </c>
      <c r="Z31" s="355">
        <f>IF(Z$3="","",MAX(0,Z38))</f>
        <v/>
      </c>
      <c r="AA31" s="355">
        <f>IF(AA$3="","",MAX(0,AA38))</f>
        <v/>
      </c>
      <c r="AB31" s="355">
        <f>IF(AB$3="","",MAX(0,AB38))</f>
        <v/>
      </c>
      <c r="AC31" s="355">
        <f>IF(AC$3="","",MAX(0,AC38))</f>
        <v/>
      </c>
      <c r="AD31" s="355">
        <f>IF(AD$3="","",MAX(0,AD38))</f>
        <v/>
      </c>
      <c r="AE31" s="355">
        <f>IF(AE$3="","",MAX(0,AE38))</f>
        <v/>
      </c>
      <c r="AF31" s="355">
        <f>IF(AF$3="","",MAX(0,AF38))</f>
        <v/>
      </c>
      <c r="AG31" s="355">
        <f>IF(AG$3="","",MAX(0,AG38))</f>
        <v/>
      </c>
      <c r="AH31" s="355">
        <f>IF(AH$3="","",MAX(0,AH38))</f>
        <v/>
      </c>
      <c r="AI31" s="355">
        <f>IF(AI$3="","",MAX(0,AI38))</f>
        <v/>
      </c>
      <c r="AJ31" s="355">
        <f>IF(AJ$3="","",MAX(0,AJ38))</f>
        <v/>
      </c>
      <c r="AK31" s="355">
        <f>IF(AK$3="","",MAX(0,AK38))</f>
        <v/>
      </c>
      <c r="AL31" s="355">
        <f>IF(AL$3="","",MAX(0,AL38))</f>
        <v/>
      </c>
      <c r="AM31" s="355">
        <f>IF(AM$3="","",MAX(0,AM38))</f>
        <v/>
      </c>
      <c r="AN31" s="355">
        <f>IF(AN$3="","",MAX(0,AN38))</f>
        <v/>
      </c>
      <c r="AO31" s="355">
        <f>IF(AO$3="","",MAX(0,AO38))</f>
        <v/>
      </c>
      <c r="AP31" s="355">
        <f>IF(AP$3="","",MAX(0,AP38))</f>
        <v/>
      </c>
      <c r="AQ31" s="355">
        <f>IF(AQ$3="","",MAX(0,AQ38))</f>
        <v/>
      </c>
      <c r="AR31" s="355">
        <f>IF(AR$3="","",MAX(0,AR38))</f>
        <v/>
      </c>
      <c r="AS31" s="355">
        <f>IF(AS$3="","",MAX(0,AS38))</f>
        <v/>
      </c>
      <c r="AT31" s="355">
        <f>IF(AT$3="","",MAX(0,AT38))</f>
        <v/>
      </c>
      <c r="AU31" s="355">
        <f>IF(AU$3="","",MAX(0,AU38))</f>
        <v/>
      </c>
      <c r="AV31" s="355">
        <f>IF(AV$3="","",MAX(0,AV38))</f>
        <v/>
      </c>
      <c r="AW31" s="355">
        <f>IF(AW$3="","",MAX(0,AW38))</f>
        <v/>
      </c>
      <c r="AX31" s="355">
        <f>IF(AX$3="","",MAX(0,AX38))</f>
        <v/>
      </c>
      <c r="AY31" s="355">
        <f>IF(AY$3="","",MAX(0,AY38))</f>
        <v/>
      </c>
      <c r="AZ31" s="355">
        <f>IF(AZ$3="","",MAX(0,AZ38))</f>
        <v/>
      </c>
      <c r="BA31" s="355">
        <f>IF(BA$3="","",MAX(0,BA38))</f>
        <v/>
      </c>
      <c r="BB31" s="355">
        <f>IF(BB$3="","",MAX(0,BB38))</f>
        <v/>
      </c>
      <c r="BC31" s="355">
        <f>IF(BC$3="","",MAX(0,BC38))</f>
        <v/>
      </c>
      <c r="BD31" s="355">
        <f>IF(BD$3="","",MAX(0,BD38))</f>
        <v/>
      </c>
      <c r="BE31" s="355">
        <f>IF(BE$3="","",MAX(0,BE38))</f>
        <v/>
      </c>
      <c r="BF31" s="355">
        <f>IF(BF$3="","",MAX(0,BF38))</f>
        <v/>
      </c>
      <c r="BG31" s="355">
        <f>IF(BG$3="","",MAX(0,BG38))</f>
        <v/>
      </c>
      <c r="BH31" s="355">
        <f>IF(BH$3="","",MAX(0,BH38))</f>
        <v/>
      </c>
      <c r="BI31" s="355">
        <f>IF(BI$3="","",MAX(0,BI38))</f>
        <v/>
      </c>
      <c r="BJ31" s="355">
        <f>IF(BJ$3="","",MAX(0,BJ38))</f>
        <v/>
      </c>
      <c r="BK31" s="355">
        <f>IF(BK$3="","",MAX(0,BK38))</f>
        <v/>
      </c>
      <c r="BL31" s="355">
        <f>IF(BL$3="","",MAX(0,BL38))</f>
        <v/>
      </c>
      <c r="BM31" s="355">
        <f>IF(BM$3="","",MAX(0,BM38))</f>
        <v/>
      </c>
      <c r="BN31" s="355">
        <f>IF(BN$3="","",MAX(0,BN38))</f>
        <v/>
      </c>
      <c r="BO31" s="355">
        <f>IF(BO$3="","",MAX(0,BO38))</f>
        <v/>
      </c>
      <c r="BP31" s="355">
        <f>IF(BP$3="","",MAX(0,BP38))</f>
        <v/>
      </c>
      <c r="BQ31" s="355">
        <f>IF(BQ$3="","",MAX(0,BQ38))</f>
        <v/>
      </c>
      <c r="BR31" s="355">
        <f>IF(BR$3="","",MAX(0,BR38))</f>
        <v/>
      </c>
      <c r="BS31" s="355">
        <f>IF(BS$3="","",MAX(0,BS38))</f>
        <v/>
      </c>
      <c r="BT31" s="355">
        <f>IF(BT$3="","",MAX(0,BT38))</f>
        <v/>
      </c>
      <c r="BU31" s="355">
        <f>IF(BU$3="","",MAX(0,BU38))</f>
        <v/>
      </c>
      <c r="BV31" s="355">
        <f>IF(BV$3="","",MAX(0,BV38))</f>
        <v/>
      </c>
      <c r="BW31" s="355">
        <f>IF(BW$3="","",MAX(0,BW38))</f>
        <v/>
      </c>
      <c r="BX31" s="355">
        <f>IF(BX$3="","",MAX(0,BX38))</f>
        <v/>
      </c>
      <c r="BY31" s="355">
        <f>IF(BY$3="","",MAX(0,BY38))</f>
        <v/>
      </c>
      <c r="BZ31" s="355">
        <f>IF(BZ$3="","",MAX(0,BZ38))</f>
        <v/>
      </c>
      <c r="CA31" s="355">
        <f>IF(CA$3="","",MAX(0,CA38))</f>
        <v/>
      </c>
      <c r="CB31" s="355">
        <f>IF(CB$3="","",MAX(0,CB38))</f>
        <v/>
      </c>
      <c r="CC31" s="355">
        <f>IF(CC$3="","",MAX(0,CC38))</f>
        <v/>
      </c>
      <c r="CD31" s="355">
        <f>IF(CD$3="","",MAX(0,CD38))</f>
        <v/>
      </c>
      <c r="CE31" s="355">
        <f>IF(CE$3="","",MAX(0,CE38))</f>
        <v/>
      </c>
      <c r="CF31" s="355">
        <f>IF(CF$3="","",MAX(0,CF38))</f>
        <v/>
      </c>
      <c r="CG31" s="355">
        <f>IF(CG$3="","",MAX(0,CG38))</f>
        <v/>
      </c>
      <c r="CH31" s="355">
        <f>IF(CH$3="","",MAX(0,CH38))</f>
        <v/>
      </c>
      <c r="CI31" s="355">
        <f>IF(CI$3="","",MAX(0,CI38))</f>
        <v/>
      </c>
      <c r="CJ31" s="355">
        <f>IF(CJ$3="","",MAX(0,CJ38))</f>
        <v/>
      </c>
      <c r="CK31" s="355">
        <f>IF(CK$3="","",MAX(0,CK38))</f>
        <v/>
      </c>
      <c r="CL31" s="355">
        <f>IF(CL$3="","",MAX(0,CL38))</f>
        <v/>
      </c>
      <c r="CM31" s="355">
        <f>IF(CM$3="","",MAX(0,CM38))</f>
        <v/>
      </c>
      <c r="CN31" s="355">
        <f>IF(CN$3="","",MAX(0,CN38))</f>
        <v/>
      </c>
      <c r="CO31" s="355">
        <f>IF(CO$3="","",MAX(0,CO38))</f>
        <v/>
      </c>
      <c r="CP31" s="355">
        <f>IF(CP$3="","",MAX(0,CP38))</f>
        <v/>
      </c>
      <c r="CQ31" s="355">
        <f>IF(CQ$3="","",MAX(0,CQ38))</f>
        <v/>
      </c>
      <c r="CR31" s="355">
        <f>IF(CR$3="","",MAX(0,CR38))</f>
        <v/>
      </c>
      <c r="CS31" s="355">
        <f>IF(CS$3="","",MAX(0,CS38))</f>
        <v/>
      </c>
      <c r="CT31" s="355">
        <f>IF(CT$3="","",MAX(0,CT38))</f>
        <v/>
      </c>
      <c r="CU31" s="355">
        <f>IF(CU$3="","",MAX(0,CU38))</f>
        <v/>
      </c>
      <c r="CV31" s="355">
        <f>IF(CV$3="","",MAX(0,CV38))</f>
        <v/>
      </c>
      <c r="CW31" s="355">
        <f>IF(CW$3="","",MAX(0,CW38))</f>
        <v/>
      </c>
    </row>
    <row r="32" ht="15" customHeight="1" s="180">
      <c r="A32" s="233" t="inlineStr">
        <is>
          <t>投資資産残高</t>
        </is>
      </c>
      <c r="B32" s="356">
        <f>IF(B$3="","",MAX(0,(SUM(入力データ!$C$90:$C$92,入力データ!$C$94)*(1+前提条件!$C$60))+B36-B39))</f>
        <v/>
      </c>
      <c r="C32" s="356">
        <f>IF(C$3="","",MAX(0,(B32*(1+前提条件!$C$60))+C36-C39))</f>
        <v/>
      </c>
      <c r="D32" s="356">
        <f>IF(D$3="","",MAX(0,(C32*(1+前提条件!$C$60))+D36-D39))</f>
        <v/>
      </c>
      <c r="E32" s="356">
        <f>IF(E$3="","",MAX(0,(D32*(1+前提条件!$C$60))+E36-E39))</f>
        <v/>
      </c>
      <c r="F32" s="356">
        <f>IF(F$3="","",MAX(0,(E32*(1+前提条件!$C$60))+F36-F39))</f>
        <v/>
      </c>
      <c r="G32" s="356">
        <f>IF(G$3="","",MAX(0,(F32*(1+前提条件!$C$60))+G36-G39))</f>
        <v/>
      </c>
      <c r="H32" s="356">
        <f>IF(H$3="","",MAX(0,(G32*(1+前提条件!$C$60))+H36-H39))</f>
        <v/>
      </c>
      <c r="I32" s="356">
        <f>IF(I$3="","",MAX(0,(H32*(1+前提条件!$C$60))+I36-I39))</f>
        <v/>
      </c>
      <c r="J32" s="356">
        <f>IF(J$3="","",MAX(0,(I32*(1+前提条件!$C$60))+J36-J39))</f>
        <v/>
      </c>
      <c r="K32" s="356">
        <f>IF(K$3="","",MAX(0,(J32*(1+前提条件!$C$60))+K36-K39))</f>
        <v/>
      </c>
      <c r="L32" s="356">
        <f>IF(L$3="","",MAX(0,(K32*(1+前提条件!$C$60))+L36-L39))</f>
        <v/>
      </c>
      <c r="M32" s="356">
        <f>IF(M$3="","",MAX(0,(L32*(1+前提条件!$C$60))+M36-M39))</f>
        <v/>
      </c>
      <c r="N32" s="356">
        <f>IF(N$3="","",MAX(0,(M32*(1+前提条件!$C$60))+N36-N39))</f>
        <v/>
      </c>
      <c r="O32" s="356">
        <f>IF(O$3="","",MAX(0,(N32*(1+前提条件!$C$60))+O36-O39))</f>
        <v/>
      </c>
      <c r="P32" s="356">
        <f>IF(P$3="","",MAX(0,(O32*(1+前提条件!$C$60))+P36-P39))</f>
        <v/>
      </c>
      <c r="Q32" s="356">
        <f>IF(Q$3="","",MAX(0,(P32*(1+前提条件!$C$60))+Q36-Q39))</f>
        <v/>
      </c>
      <c r="R32" s="356">
        <f>IF(R$3="","",MAX(0,(Q32*(1+前提条件!$C$60))+R36-R39))</f>
        <v/>
      </c>
      <c r="S32" s="356">
        <f>IF(S$3="","",MAX(0,(R32*(1+前提条件!$C$60))+S36-S39))</f>
        <v/>
      </c>
      <c r="T32" s="356">
        <f>IF(T$3="","",MAX(0,(S32*(1+前提条件!$C$60))+T36-T39))</f>
        <v/>
      </c>
      <c r="U32" s="356">
        <f>IF(U$3="","",MAX(0,(T32*(1+前提条件!$C$60))+U36-U39))</f>
        <v/>
      </c>
      <c r="V32" s="356">
        <f>IF(V$3="","",MAX(0,(U32*(1+前提条件!$C$60))+V36-V39))</f>
        <v/>
      </c>
      <c r="W32" s="356">
        <f>IF(W$3="","",MAX(0,(V32*(1+前提条件!$C$60))+W36-W39))</f>
        <v/>
      </c>
      <c r="X32" s="356">
        <f>IF(X$3="","",MAX(0,(W32*(1+前提条件!$C$60))+X36-X39))</f>
        <v/>
      </c>
      <c r="Y32" s="356">
        <f>IF(Y$3="","",MAX(0,(X32*(1+前提条件!$C$60))+Y36-Y39))</f>
        <v/>
      </c>
      <c r="Z32" s="356">
        <f>IF(Z$3="","",MAX(0,(Y32*(1+前提条件!$C$60))+Z36-Z39))</f>
        <v/>
      </c>
      <c r="AA32" s="356">
        <f>IF(AA$3="","",MAX(0,(Z32*(1+前提条件!$C$60))+AA36-AA39))</f>
        <v/>
      </c>
      <c r="AB32" s="356">
        <f>IF(AB$3="","",MAX(0,(AA32*(1+前提条件!$C$60))+AB36-AB39))</f>
        <v/>
      </c>
      <c r="AC32" s="356">
        <f>IF(AC$3="","",MAX(0,(AB32*(1+前提条件!$C$60))+AC36-AC39))</f>
        <v/>
      </c>
      <c r="AD32" s="356">
        <f>IF(AD$3="","",MAX(0,(AC32*(1+前提条件!$C$60))+AD36-AD39))</f>
        <v/>
      </c>
      <c r="AE32" s="356">
        <f>IF(AE$3="","",MAX(0,(AD32*(1+前提条件!$C$60))+AE36-AE39))</f>
        <v/>
      </c>
      <c r="AF32" s="356">
        <f>IF(AF$3="","",MAX(0,(AE32*(1+前提条件!$C$60))+AF36-AF39))</f>
        <v/>
      </c>
      <c r="AG32" s="356">
        <f>IF(AG$3="","",MAX(0,(AF32*(1+前提条件!$C$60))+AG36-AG39))</f>
        <v/>
      </c>
      <c r="AH32" s="356">
        <f>IF(AH$3="","",MAX(0,(AG32*(1+前提条件!$C$60))+AH36-AH39))</f>
        <v/>
      </c>
      <c r="AI32" s="356">
        <f>IF(AI$3="","",MAX(0,(AH32*(1+前提条件!$C$60))+AI36-AI39))</f>
        <v/>
      </c>
      <c r="AJ32" s="356">
        <f>IF(AJ$3="","",MAX(0,(AI32*(1+前提条件!$C$60))+AJ36-AJ39))</f>
        <v/>
      </c>
      <c r="AK32" s="356">
        <f>IF(AK$3="","",MAX(0,(AJ32*(1+前提条件!$C$60))+AK36-AK39))</f>
        <v/>
      </c>
      <c r="AL32" s="356">
        <f>IF(AL$3="","",MAX(0,(AK32*(1+前提条件!$C$60))+AL36-AL39))</f>
        <v/>
      </c>
      <c r="AM32" s="356">
        <f>IF(AM$3="","",MAX(0,(AL32*(1+前提条件!$C$60))+AM36-AM39))</f>
        <v/>
      </c>
      <c r="AN32" s="356">
        <f>IF(AN$3="","",MAX(0,(AM32*(1+前提条件!$C$60))+AN36-AN39))</f>
        <v/>
      </c>
      <c r="AO32" s="356">
        <f>IF(AO$3="","",MAX(0,(AN32*(1+前提条件!$C$60))+AO36-AO39))</f>
        <v/>
      </c>
      <c r="AP32" s="356">
        <f>IF(AP$3="","",MAX(0,(AO32*(1+前提条件!$C$60))+AP36-AP39))</f>
        <v/>
      </c>
      <c r="AQ32" s="356">
        <f>IF(AQ$3="","",MAX(0,(AP32*(1+前提条件!$C$60))+AQ36-AQ39))</f>
        <v/>
      </c>
      <c r="AR32" s="356">
        <f>IF(AR$3="","",MAX(0,(AQ32*(1+前提条件!$C$60))+AR36-AR39))</f>
        <v/>
      </c>
      <c r="AS32" s="356">
        <f>IF(AS$3="","",MAX(0,(AR32*(1+前提条件!$C$60))+AS36-AS39))</f>
        <v/>
      </c>
      <c r="AT32" s="356">
        <f>IF(AT$3="","",MAX(0,(AS32*(1+前提条件!$C$60))+AT36-AT39))</f>
        <v/>
      </c>
      <c r="AU32" s="356">
        <f>IF(AU$3="","",MAX(0,(AT32*(1+前提条件!$C$60))+AU36-AU39))</f>
        <v/>
      </c>
      <c r="AV32" s="356">
        <f>IF(AV$3="","",MAX(0,(AU32*(1+前提条件!$C$60))+AV36-AV39))</f>
        <v/>
      </c>
      <c r="AW32" s="356">
        <f>IF(AW$3="","",MAX(0,(AV32*(1+前提条件!$C$60))+AW36-AW39))</f>
        <v/>
      </c>
      <c r="AX32" s="356">
        <f>IF(AX$3="","",MAX(0,(AW32*(1+前提条件!$C$60))+AX36-AX39))</f>
        <v/>
      </c>
      <c r="AY32" s="356">
        <f>IF(AY$3="","",MAX(0,(AX32*(1+前提条件!$C$60))+AY36-AY39))</f>
        <v/>
      </c>
      <c r="AZ32" s="356">
        <f>IF(AZ$3="","",MAX(0,(AY32*(1+前提条件!$C$60))+AZ36-AZ39))</f>
        <v/>
      </c>
      <c r="BA32" s="356">
        <f>IF(BA$3="","",MAX(0,(AZ32*(1+前提条件!$C$60))+BA36-BA39))</f>
        <v/>
      </c>
      <c r="BB32" s="356">
        <f>IF(BB$3="","",MAX(0,(BA32*(1+前提条件!$C$60))+BB36-BB39))</f>
        <v/>
      </c>
      <c r="BC32" s="356">
        <f>IF(BC$3="","",MAX(0,(BB32*(1+前提条件!$C$60))+BC36-BC39))</f>
        <v/>
      </c>
      <c r="BD32" s="356">
        <f>IF(BD$3="","",MAX(0,(BC32*(1+前提条件!$C$60))+BD36-BD39))</f>
        <v/>
      </c>
      <c r="BE32" s="356">
        <f>IF(BE$3="","",MAX(0,(BD32*(1+前提条件!$C$60))+BE36-BE39))</f>
        <v/>
      </c>
      <c r="BF32" s="356">
        <f>IF(BF$3="","",MAX(0,(BE32*(1+前提条件!$C$60))+BF36-BF39))</f>
        <v/>
      </c>
      <c r="BG32" s="356">
        <f>IF(BG$3="","",MAX(0,(BF32*(1+前提条件!$C$60))+BG36-BG39))</f>
        <v/>
      </c>
      <c r="BH32" s="356">
        <f>IF(BH$3="","",MAX(0,(BG32*(1+前提条件!$C$60))+BH36-BH39))</f>
        <v/>
      </c>
      <c r="BI32" s="356">
        <f>IF(BI$3="","",MAX(0,(BH32*(1+前提条件!$C$60))+BI36-BI39))</f>
        <v/>
      </c>
      <c r="BJ32" s="356">
        <f>IF(BJ$3="","",MAX(0,(BI32*(1+前提条件!$C$60))+BJ36-BJ39))</f>
        <v/>
      </c>
      <c r="BK32" s="356">
        <f>IF(BK$3="","",MAX(0,(BJ32*(1+前提条件!$C$60))+BK36-BK39))</f>
        <v/>
      </c>
      <c r="BL32" s="356">
        <f>IF(BL$3="","",MAX(0,(BK32*(1+前提条件!$C$60))+BL36-BL39))</f>
        <v/>
      </c>
      <c r="BM32" s="356">
        <f>IF(BM$3="","",MAX(0,(BL32*(1+前提条件!$C$60))+BM36-BM39))</f>
        <v/>
      </c>
      <c r="BN32" s="356">
        <f>IF(BN$3="","",MAX(0,(BM32*(1+前提条件!$C$60))+BN36-BN39))</f>
        <v/>
      </c>
      <c r="BO32" s="356">
        <f>IF(BO$3="","",MAX(0,(BN32*(1+前提条件!$C$60))+BO36-BO39))</f>
        <v/>
      </c>
      <c r="BP32" s="356">
        <f>IF(BP$3="","",MAX(0,(BO32*(1+前提条件!$C$60))+BP36-BP39))</f>
        <v/>
      </c>
      <c r="BQ32" s="356">
        <f>IF(BQ$3="","",MAX(0,(BP32*(1+前提条件!$C$60))+BQ36-BQ39))</f>
        <v/>
      </c>
      <c r="BR32" s="356">
        <f>IF(BR$3="","",MAX(0,(BQ32*(1+前提条件!$C$60))+BR36-BR39))</f>
        <v/>
      </c>
      <c r="BS32" s="356">
        <f>IF(BS$3="","",MAX(0,(BR32*(1+前提条件!$C$60))+BS36-BS39))</f>
        <v/>
      </c>
      <c r="BT32" s="356">
        <f>IF(BT$3="","",MAX(0,(BS32*(1+前提条件!$C$60))+BT36-BT39))</f>
        <v/>
      </c>
      <c r="BU32" s="356">
        <f>IF(BU$3="","",MAX(0,(BT32*(1+前提条件!$C$60))+BU36-BU39))</f>
        <v/>
      </c>
      <c r="BV32" s="356">
        <f>IF(BV$3="","",MAX(0,(BU32*(1+前提条件!$C$60))+BV36-BV39))</f>
        <v/>
      </c>
      <c r="BW32" s="356">
        <f>IF(BW$3="","",MAX(0,(BV32*(1+前提条件!$C$60))+BW36-BW39))</f>
        <v/>
      </c>
      <c r="BX32" s="356">
        <f>IF(BX$3="","",MAX(0,(BW32*(1+前提条件!$C$60))+BX36-BX39))</f>
        <v/>
      </c>
      <c r="BY32" s="356">
        <f>IF(BY$3="","",MAX(0,(BX32*(1+前提条件!$C$60))+BY36-BY39))</f>
        <v/>
      </c>
      <c r="BZ32" s="356">
        <f>IF(BZ$3="","",MAX(0,(BY32*(1+前提条件!$C$60))+BZ36-BZ39))</f>
        <v/>
      </c>
      <c r="CA32" s="356">
        <f>IF(CA$3="","",MAX(0,(BZ32*(1+前提条件!$C$60))+CA36-CA39))</f>
        <v/>
      </c>
      <c r="CB32" s="356">
        <f>IF(CB$3="","",MAX(0,(CA32*(1+前提条件!$C$60))+CB36-CB39))</f>
        <v/>
      </c>
      <c r="CC32" s="356">
        <f>IF(CC$3="","",MAX(0,(CB32*(1+前提条件!$C$60))+CC36-CC39))</f>
        <v/>
      </c>
      <c r="CD32" s="356">
        <f>IF(CD$3="","",MAX(0,(CC32*(1+前提条件!$C$60))+CD36-CD39))</f>
        <v/>
      </c>
      <c r="CE32" s="356">
        <f>IF(CE$3="","",MAX(0,(CD32*(1+前提条件!$C$60))+CE36-CE39))</f>
        <v/>
      </c>
      <c r="CF32" s="356">
        <f>IF(CF$3="","",MAX(0,(CE32*(1+前提条件!$C$60))+CF36-CF39))</f>
        <v/>
      </c>
      <c r="CG32" s="356">
        <f>IF(CG$3="","",MAX(0,(CF32*(1+前提条件!$C$60))+CG36-CG39))</f>
        <v/>
      </c>
      <c r="CH32" s="356">
        <f>IF(CH$3="","",MAX(0,(CG32*(1+前提条件!$C$60))+CH36-CH39))</f>
        <v/>
      </c>
      <c r="CI32" s="356">
        <f>IF(CI$3="","",MAX(0,(CH32*(1+前提条件!$C$60))+CI36-CI39))</f>
        <v/>
      </c>
      <c r="CJ32" s="356">
        <f>IF(CJ$3="","",MAX(0,(CI32*(1+前提条件!$C$60))+CJ36-CJ39))</f>
        <v/>
      </c>
      <c r="CK32" s="356">
        <f>IF(CK$3="","",MAX(0,(CJ32*(1+前提条件!$C$60))+CK36-CK39))</f>
        <v/>
      </c>
      <c r="CL32" s="356">
        <f>IF(CL$3="","",MAX(0,(CK32*(1+前提条件!$C$60))+CL36-CL39))</f>
        <v/>
      </c>
      <c r="CM32" s="356">
        <f>IF(CM$3="","",MAX(0,(CL32*(1+前提条件!$C$60))+CM36-CM39))</f>
        <v/>
      </c>
      <c r="CN32" s="356">
        <f>IF(CN$3="","",MAX(0,(CM32*(1+前提条件!$C$60))+CN36-CN39))</f>
        <v/>
      </c>
      <c r="CO32" s="356">
        <f>IF(CO$3="","",MAX(0,(CN32*(1+前提条件!$C$60))+CO36-CO39))</f>
        <v/>
      </c>
      <c r="CP32" s="356">
        <f>IF(CP$3="","",MAX(0,(CO32*(1+前提条件!$C$60))+CP36-CP39))</f>
        <v/>
      </c>
      <c r="CQ32" s="356">
        <f>IF(CQ$3="","",MAX(0,(CP32*(1+前提条件!$C$60))+CQ36-CQ39))</f>
        <v/>
      </c>
      <c r="CR32" s="356">
        <f>IF(CR$3="","",MAX(0,(CQ32*(1+前提条件!$C$60))+CR36-CR39))</f>
        <v/>
      </c>
      <c r="CS32" s="356">
        <f>IF(CS$3="","",MAX(0,(CR32*(1+前提条件!$C$60))+CS36-CS39))</f>
        <v/>
      </c>
      <c r="CT32" s="356">
        <f>IF(CT$3="","",MAX(0,(CS32*(1+前提条件!$C$60))+CT36-CT39))</f>
        <v/>
      </c>
      <c r="CU32" s="356">
        <f>IF(CU$3="","",MAX(0,(CT32*(1+前提条件!$C$60))+CU36-CU39))</f>
        <v/>
      </c>
      <c r="CV32" s="356">
        <f>IF(CV$3="","",MAX(0,(CU32*(1+前提条件!$C$60))+CV36-CV39))</f>
        <v/>
      </c>
      <c r="CW32" s="356">
        <f>IF(CW$3="","",MAX(0,(CV32*(1+前提条件!$C$60))+CW36-CW39))</f>
        <v/>
      </c>
    </row>
    <row r="33" ht="15" customHeight="1" s="180">
      <c r="A33" s="233" t="inlineStr">
        <is>
          <t>解約返戻金残高</t>
        </is>
      </c>
      <c r="B33" s="356">
        <f>IF(B$3="","",MAX(0,(入力データ!$C$93*(1+前提条件!$C$61))+B37-B40))</f>
        <v/>
      </c>
      <c r="C33" s="356">
        <f>IF(C$3="","",MAX(0,(B33*(1+前提条件!$C$61))+C37-C40))</f>
        <v/>
      </c>
      <c r="D33" s="356">
        <f>IF(D$3="","",MAX(0,(C33*(1+前提条件!$C$61))+D37-D40))</f>
        <v/>
      </c>
      <c r="E33" s="356">
        <f>IF(E$3="","",MAX(0,(D33*(1+前提条件!$C$61))+E37-E40))</f>
        <v/>
      </c>
      <c r="F33" s="356">
        <f>IF(F$3="","",MAX(0,(E33*(1+前提条件!$C$61))+F37-F40))</f>
        <v/>
      </c>
      <c r="G33" s="356">
        <f>IF(G$3="","",MAX(0,(F33*(1+前提条件!$C$61))+G37-G40))</f>
        <v/>
      </c>
      <c r="H33" s="356">
        <f>IF(H$3="","",MAX(0,(G33*(1+前提条件!$C$61))+H37-H40))</f>
        <v/>
      </c>
      <c r="I33" s="356">
        <f>IF(I$3="","",MAX(0,(H33*(1+前提条件!$C$61))+I37-I40))</f>
        <v/>
      </c>
      <c r="J33" s="356">
        <f>IF(J$3="","",MAX(0,(I33*(1+前提条件!$C$61))+J37-J40))</f>
        <v/>
      </c>
      <c r="K33" s="356">
        <f>IF(K$3="","",MAX(0,(J33*(1+前提条件!$C$61))+K37-K40))</f>
        <v/>
      </c>
      <c r="L33" s="356">
        <f>IF(L$3="","",MAX(0,(K33*(1+前提条件!$C$61))+L37-L40))</f>
        <v/>
      </c>
      <c r="M33" s="356">
        <f>IF(M$3="","",MAX(0,(L33*(1+前提条件!$C$61))+M37-M40))</f>
        <v/>
      </c>
      <c r="N33" s="356">
        <f>IF(N$3="","",MAX(0,(M33*(1+前提条件!$C$61))+N37-N40))</f>
        <v/>
      </c>
      <c r="O33" s="356">
        <f>IF(O$3="","",MAX(0,(N33*(1+前提条件!$C$61))+O37-O40))</f>
        <v/>
      </c>
      <c r="P33" s="356">
        <f>IF(P$3="","",MAX(0,(O33*(1+前提条件!$C$61))+P37-P40))</f>
        <v/>
      </c>
      <c r="Q33" s="356">
        <f>IF(Q$3="","",MAX(0,(P33*(1+前提条件!$C$61))+Q37-Q40))</f>
        <v/>
      </c>
      <c r="R33" s="356">
        <f>IF(R$3="","",MAX(0,(Q33*(1+前提条件!$C$61))+R37-R40))</f>
        <v/>
      </c>
      <c r="S33" s="356">
        <f>IF(S$3="","",MAX(0,(R33*(1+前提条件!$C$61))+S37-S40))</f>
        <v/>
      </c>
      <c r="T33" s="356">
        <f>IF(T$3="","",MAX(0,(S33*(1+前提条件!$C$61))+T37-T40))</f>
        <v/>
      </c>
      <c r="U33" s="356">
        <f>IF(U$3="","",MAX(0,(T33*(1+前提条件!$C$61))+U37-U40))</f>
        <v/>
      </c>
      <c r="V33" s="356">
        <f>IF(V$3="","",MAX(0,(U33*(1+前提条件!$C$61))+V37-V40))</f>
        <v/>
      </c>
      <c r="W33" s="356">
        <f>IF(W$3="","",MAX(0,(V33*(1+前提条件!$C$61))+W37-W40))</f>
        <v/>
      </c>
      <c r="X33" s="356">
        <f>IF(X$3="","",MAX(0,(W33*(1+前提条件!$C$61))+X37-X40))</f>
        <v/>
      </c>
      <c r="Y33" s="356">
        <f>IF(Y$3="","",MAX(0,(X33*(1+前提条件!$C$61))+Y37-Y40))</f>
        <v/>
      </c>
      <c r="Z33" s="356">
        <f>IF(Z$3="","",MAX(0,(Y33*(1+前提条件!$C$61))+Z37-Z40))</f>
        <v/>
      </c>
      <c r="AA33" s="356">
        <f>IF(AA$3="","",MAX(0,(Z33*(1+前提条件!$C$61))+AA37-AA40))</f>
        <v/>
      </c>
      <c r="AB33" s="356">
        <f>IF(AB$3="","",MAX(0,(AA33*(1+前提条件!$C$61))+AB37-AB40))</f>
        <v/>
      </c>
      <c r="AC33" s="356">
        <f>IF(AC$3="","",MAX(0,(AB33*(1+前提条件!$C$61))+AC37-AC40))</f>
        <v/>
      </c>
      <c r="AD33" s="356">
        <f>IF(AD$3="","",MAX(0,(AC33*(1+前提条件!$C$61))+AD37-AD40))</f>
        <v/>
      </c>
      <c r="AE33" s="356">
        <f>IF(AE$3="","",MAX(0,(AD33*(1+前提条件!$C$61))+AE37-AE40))</f>
        <v/>
      </c>
      <c r="AF33" s="356">
        <f>IF(AF$3="","",MAX(0,(AE33*(1+前提条件!$C$61))+AF37-AF40))</f>
        <v/>
      </c>
      <c r="AG33" s="356">
        <f>IF(AG$3="","",MAX(0,(AF33*(1+前提条件!$C$61))+AG37-AG40))</f>
        <v/>
      </c>
      <c r="AH33" s="356">
        <f>IF(AH$3="","",MAX(0,(AG33*(1+前提条件!$C$61))+AH37-AH40))</f>
        <v/>
      </c>
      <c r="AI33" s="356">
        <f>IF(AI$3="","",MAX(0,(AH33*(1+前提条件!$C$61))+AI37-AI40))</f>
        <v/>
      </c>
      <c r="AJ33" s="356">
        <f>IF(AJ$3="","",MAX(0,(AI33*(1+前提条件!$C$61))+AJ37-AJ40))</f>
        <v/>
      </c>
      <c r="AK33" s="356">
        <f>IF(AK$3="","",MAX(0,(AJ33*(1+前提条件!$C$61))+AK37-AK40))</f>
        <v/>
      </c>
      <c r="AL33" s="356">
        <f>IF(AL$3="","",MAX(0,(AK33*(1+前提条件!$C$61))+AL37-AL40))</f>
        <v/>
      </c>
      <c r="AM33" s="356">
        <f>IF(AM$3="","",MAX(0,(AL33*(1+前提条件!$C$61))+AM37-AM40))</f>
        <v/>
      </c>
      <c r="AN33" s="356">
        <f>IF(AN$3="","",MAX(0,(AM33*(1+前提条件!$C$61))+AN37-AN40))</f>
        <v/>
      </c>
      <c r="AO33" s="356">
        <f>IF(AO$3="","",MAX(0,(AN33*(1+前提条件!$C$61))+AO37-AO40))</f>
        <v/>
      </c>
      <c r="AP33" s="356">
        <f>IF(AP$3="","",MAX(0,(AO33*(1+前提条件!$C$61))+AP37-AP40))</f>
        <v/>
      </c>
      <c r="AQ33" s="356">
        <f>IF(AQ$3="","",MAX(0,(AP33*(1+前提条件!$C$61))+AQ37-AQ40))</f>
        <v/>
      </c>
      <c r="AR33" s="356">
        <f>IF(AR$3="","",MAX(0,(AQ33*(1+前提条件!$C$61))+AR37-AR40))</f>
        <v/>
      </c>
      <c r="AS33" s="356">
        <f>IF(AS$3="","",MAX(0,(AR33*(1+前提条件!$C$61))+AS37-AS40))</f>
        <v/>
      </c>
      <c r="AT33" s="356">
        <f>IF(AT$3="","",MAX(0,(AS33*(1+前提条件!$C$61))+AT37-AT40))</f>
        <v/>
      </c>
      <c r="AU33" s="356">
        <f>IF(AU$3="","",MAX(0,(AT33*(1+前提条件!$C$61))+AU37-AU40))</f>
        <v/>
      </c>
      <c r="AV33" s="356">
        <f>IF(AV$3="","",MAX(0,(AU33*(1+前提条件!$C$61))+AV37-AV40))</f>
        <v/>
      </c>
      <c r="AW33" s="356">
        <f>IF(AW$3="","",MAX(0,(AV33*(1+前提条件!$C$61))+AW37-AW40))</f>
        <v/>
      </c>
      <c r="AX33" s="356">
        <f>IF(AX$3="","",MAX(0,(AW33*(1+前提条件!$C$61))+AX37-AX40))</f>
        <v/>
      </c>
      <c r="AY33" s="356">
        <f>IF(AY$3="","",MAX(0,(AX33*(1+前提条件!$C$61))+AY37-AY40))</f>
        <v/>
      </c>
      <c r="AZ33" s="356">
        <f>IF(AZ$3="","",MAX(0,(AY33*(1+前提条件!$C$61))+AZ37-AZ40))</f>
        <v/>
      </c>
      <c r="BA33" s="356">
        <f>IF(BA$3="","",MAX(0,(AZ33*(1+前提条件!$C$61))+BA37-BA40))</f>
        <v/>
      </c>
      <c r="BB33" s="356">
        <f>IF(BB$3="","",MAX(0,(BA33*(1+前提条件!$C$61))+BB37-BB40))</f>
        <v/>
      </c>
      <c r="BC33" s="356">
        <f>IF(BC$3="","",MAX(0,(BB33*(1+前提条件!$C$61))+BC37-BC40))</f>
        <v/>
      </c>
      <c r="BD33" s="356">
        <f>IF(BD$3="","",MAX(0,(BC33*(1+前提条件!$C$61))+BD37-BD40))</f>
        <v/>
      </c>
      <c r="BE33" s="356">
        <f>IF(BE$3="","",MAX(0,(BD33*(1+前提条件!$C$61))+BE37-BE40))</f>
        <v/>
      </c>
      <c r="BF33" s="356">
        <f>IF(BF$3="","",MAX(0,(BE33*(1+前提条件!$C$61))+BF37-BF40))</f>
        <v/>
      </c>
      <c r="BG33" s="356">
        <f>IF(BG$3="","",MAX(0,(BF33*(1+前提条件!$C$61))+BG37-BG40))</f>
        <v/>
      </c>
      <c r="BH33" s="356">
        <f>IF(BH$3="","",MAX(0,(BG33*(1+前提条件!$C$61))+BH37-BH40))</f>
        <v/>
      </c>
      <c r="BI33" s="356">
        <f>IF(BI$3="","",MAX(0,(BH33*(1+前提条件!$C$61))+BI37-BI40))</f>
        <v/>
      </c>
      <c r="BJ33" s="356">
        <f>IF(BJ$3="","",MAX(0,(BI33*(1+前提条件!$C$61))+BJ37-BJ40))</f>
        <v/>
      </c>
      <c r="BK33" s="356">
        <f>IF(BK$3="","",MAX(0,(BJ33*(1+前提条件!$C$61))+BK37-BK40))</f>
        <v/>
      </c>
      <c r="BL33" s="356">
        <f>IF(BL$3="","",MAX(0,(BK33*(1+前提条件!$C$61))+BL37-BL40))</f>
        <v/>
      </c>
      <c r="BM33" s="356">
        <f>IF(BM$3="","",MAX(0,(BL33*(1+前提条件!$C$61))+BM37-BM40))</f>
        <v/>
      </c>
      <c r="BN33" s="356">
        <f>IF(BN$3="","",MAX(0,(BM33*(1+前提条件!$C$61))+BN37-BN40))</f>
        <v/>
      </c>
      <c r="BO33" s="356">
        <f>IF(BO$3="","",MAX(0,(BN33*(1+前提条件!$C$61))+BO37-BO40))</f>
        <v/>
      </c>
      <c r="BP33" s="356">
        <f>IF(BP$3="","",MAX(0,(BO33*(1+前提条件!$C$61))+BP37-BP40))</f>
        <v/>
      </c>
      <c r="BQ33" s="356">
        <f>IF(BQ$3="","",MAX(0,(BP33*(1+前提条件!$C$61))+BQ37-BQ40))</f>
        <v/>
      </c>
      <c r="BR33" s="356">
        <f>IF(BR$3="","",MAX(0,(BQ33*(1+前提条件!$C$61))+BR37-BR40))</f>
        <v/>
      </c>
      <c r="BS33" s="356">
        <f>IF(BS$3="","",MAX(0,(BR33*(1+前提条件!$C$61))+BS37-BS40))</f>
        <v/>
      </c>
      <c r="BT33" s="356">
        <f>IF(BT$3="","",MAX(0,(BS33*(1+前提条件!$C$61))+BT37-BT40))</f>
        <v/>
      </c>
      <c r="BU33" s="356">
        <f>IF(BU$3="","",MAX(0,(BT33*(1+前提条件!$C$61))+BU37-BU40))</f>
        <v/>
      </c>
      <c r="BV33" s="356">
        <f>IF(BV$3="","",MAX(0,(BU33*(1+前提条件!$C$61))+BV37-BV40))</f>
        <v/>
      </c>
      <c r="BW33" s="356">
        <f>IF(BW$3="","",MAX(0,(BV33*(1+前提条件!$C$61))+BW37-BW40))</f>
        <v/>
      </c>
      <c r="BX33" s="356">
        <f>IF(BX$3="","",MAX(0,(BW33*(1+前提条件!$C$61))+BX37-BX40))</f>
        <v/>
      </c>
      <c r="BY33" s="356">
        <f>IF(BY$3="","",MAX(0,(BX33*(1+前提条件!$C$61))+BY37-BY40))</f>
        <v/>
      </c>
      <c r="BZ33" s="356">
        <f>IF(BZ$3="","",MAX(0,(BY33*(1+前提条件!$C$61))+BZ37-BZ40))</f>
        <v/>
      </c>
      <c r="CA33" s="356">
        <f>IF(CA$3="","",MAX(0,(BZ33*(1+前提条件!$C$61))+CA37-CA40))</f>
        <v/>
      </c>
      <c r="CB33" s="356">
        <f>IF(CB$3="","",MAX(0,(CA33*(1+前提条件!$C$61))+CB37-CB40))</f>
        <v/>
      </c>
      <c r="CC33" s="356">
        <f>IF(CC$3="","",MAX(0,(CB33*(1+前提条件!$C$61))+CC37-CC40))</f>
        <v/>
      </c>
      <c r="CD33" s="356">
        <f>IF(CD$3="","",MAX(0,(CC33*(1+前提条件!$C$61))+CD37-CD40))</f>
        <v/>
      </c>
      <c r="CE33" s="356">
        <f>IF(CE$3="","",MAX(0,(CD33*(1+前提条件!$C$61))+CE37-CE40))</f>
        <v/>
      </c>
      <c r="CF33" s="356">
        <f>IF(CF$3="","",MAX(0,(CE33*(1+前提条件!$C$61))+CF37-CF40))</f>
        <v/>
      </c>
      <c r="CG33" s="356">
        <f>IF(CG$3="","",MAX(0,(CF33*(1+前提条件!$C$61))+CG37-CG40))</f>
        <v/>
      </c>
      <c r="CH33" s="356">
        <f>IF(CH$3="","",MAX(0,(CG33*(1+前提条件!$C$61))+CH37-CH40))</f>
        <v/>
      </c>
      <c r="CI33" s="356">
        <f>IF(CI$3="","",MAX(0,(CH33*(1+前提条件!$C$61))+CI37-CI40))</f>
        <v/>
      </c>
      <c r="CJ33" s="356">
        <f>IF(CJ$3="","",MAX(0,(CI33*(1+前提条件!$C$61))+CJ37-CJ40))</f>
        <v/>
      </c>
      <c r="CK33" s="356">
        <f>IF(CK$3="","",MAX(0,(CJ33*(1+前提条件!$C$61))+CK37-CK40))</f>
        <v/>
      </c>
      <c r="CL33" s="356">
        <f>IF(CL$3="","",MAX(0,(CK33*(1+前提条件!$C$61))+CL37-CL40))</f>
        <v/>
      </c>
      <c r="CM33" s="356">
        <f>IF(CM$3="","",MAX(0,(CL33*(1+前提条件!$C$61))+CM37-CM40))</f>
        <v/>
      </c>
      <c r="CN33" s="356">
        <f>IF(CN$3="","",MAX(0,(CM33*(1+前提条件!$C$61))+CN37-CN40))</f>
        <v/>
      </c>
      <c r="CO33" s="356">
        <f>IF(CO$3="","",MAX(0,(CN33*(1+前提条件!$C$61))+CO37-CO40))</f>
        <v/>
      </c>
      <c r="CP33" s="356">
        <f>IF(CP$3="","",MAX(0,(CO33*(1+前提条件!$C$61))+CP37-CP40))</f>
        <v/>
      </c>
      <c r="CQ33" s="356">
        <f>IF(CQ$3="","",MAX(0,(CP33*(1+前提条件!$C$61))+CQ37-CQ40))</f>
        <v/>
      </c>
      <c r="CR33" s="356">
        <f>IF(CR$3="","",MAX(0,(CQ33*(1+前提条件!$C$61))+CR37-CR40))</f>
        <v/>
      </c>
      <c r="CS33" s="356">
        <f>IF(CS$3="","",MAX(0,(CR33*(1+前提条件!$C$61))+CS37-CS40))</f>
        <v/>
      </c>
      <c r="CT33" s="356">
        <f>IF(CT$3="","",MAX(0,(CS33*(1+前提条件!$C$61))+CT37-CT40))</f>
        <v/>
      </c>
      <c r="CU33" s="356">
        <f>IF(CU$3="","",MAX(0,(CT33*(1+前提条件!$C$61))+CU37-CU40))</f>
        <v/>
      </c>
      <c r="CV33" s="356">
        <f>IF(CV$3="","",MAX(0,(CU33*(1+前提条件!$C$61))+CV37-CV40))</f>
        <v/>
      </c>
      <c r="CW33" s="356">
        <f>IF(CW$3="","",MAX(0,(CV33*(1+前提条件!$C$61))+CW37-CW40))</f>
        <v/>
      </c>
    </row>
    <row r="34" ht="15" customHeight="1" s="180">
      <c r="A34" s="235" t="inlineStr">
        <is>
          <t>住宅ローン残高</t>
        </is>
      </c>
      <c r="B34" s="357">
        <f>IF(B$3="","",MAX(入力データ!$C$95-B41,0))</f>
        <v/>
      </c>
      <c r="C34" s="357">
        <f>IF(C$3="","",MAX(B34-C41,0))</f>
        <v/>
      </c>
      <c r="D34" s="357">
        <f>IF(D$3="","",MAX(C34-D41,0))</f>
        <v/>
      </c>
      <c r="E34" s="357">
        <f>IF(E$3="","",MAX(D34-E41,0))</f>
        <v/>
      </c>
      <c r="F34" s="357">
        <f>IF(F$3="","",MAX(E34-F41,0))</f>
        <v/>
      </c>
      <c r="G34" s="357">
        <f>IF(G$3="","",MAX(F34-G41,0))</f>
        <v/>
      </c>
      <c r="H34" s="357">
        <f>IF(H$3="","",MAX(G34-H41,0))</f>
        <v/>
      </c>
      <c r="I34" s="357">
        <f>IF(I$3="","",MAX(H34-I41,0))</f>
        <v/>
      </c>
      <c r="J34" s="357">
        <f>IF(J$3="","",MAX(I34-J41,0))</f>
        <v/>
      </c>
      <c r="K34" s="357">
        <f>IF(K$3="","",MAX(J34-K41,0))</f>
        <v/>
      </c>
      <c r="L34" s="357">
        <f>IF(L$3="","",MAX(K34-L41,0))</f>
        <v/>
      </c>
      <c r="M34" s="357">
        <f>IF(M$3="","",MAX(L34-M41,0))</f>
        <v/>
      </c>
      <c r="N34" s="357">
        <f>IF(N$3="","",MAX(M34-N41,0))</f>
        <v/>
      </c>
      <c r="O34" s="357">
        <f>IF(O$3="","",MAX(N34-O41,0))</f>
        <v/>
      </c>
      <c r="P34" s="357">
        <f>IF(P$3="","",MAX(O34-P41,0))</f>
        <v/>
      </c>
      <c r="Q34" s="357">
        <f>IF(Q$3="","",MAX(P34-Q41,0))</f>
        <v/>
      </c>
      <c r="R34" s="357">
        <f>IF(R$3="","",MAX(Q34-R41,0))</f>
        <v/>
      </c>
      <c r="S34" s="357">
        <f>IF(S$3="","",MAX(R34-S41,0))</f>
        <v/>
      </c>
      <c r="T34" s="357">
        <f>IF(T$3="","",MAX(S34-T41,0))</f>
        <v/>
      </c>
      <c r="U34" s="357">
        <f>IF(U$3="","",MAX(T34-U41,0))</f>
        <v/>
      </c>
      <c r="V34" s="357">
        <f>IF(V$3="","",MAX(U34-V41,0))</f>
        <v/>
      </c>
      <c r="W34" s="357">
        <f>IF(W$3="","",MAX(V34-W41,0))</f>
        <v/>
      </c>
      <c r="X34" s="357">
        <f>IF(X$3="","",MAX(W34-X41,0))</f>
        <v/>
      </c>
      <c r="Y34" s="357">
        <f>IF(Y$3="","",MAX(X34-Y41,0))</f>
        <v/>
      </c>
      <c r="Z34" s="357">
        <f>IF(Z$3="","",MAX(Y34-Z41,0))</f>
        <v/>
      </c>
      <c r="AA34" s="357">
        <f>IF(AA$3="","",MAX(Z34-AA41,0))</f>
        <v/>
      </c>
      <c r="AB34" s="357">
        <f>IF(AB$3="","",MAX(AA34-AB41,0))</f>
        <v/>
      </c>
      <c r="AC34" s="357">
        <f>IF(AC$3="","",MAX(AB34-AC41,0))</f>
        <v/>
      </c>
      <c r="AD34" s="357">
        <f>IF(AD$3="","",MAX(AC34-AD41,0))</f>
        <v/>
      </c>
      <c r="AE34" s="357">
        <f>IF(AE$3="","",MAX(AD34-AE41,0))</f>
        <v/>
      </c>
      <c r="AF34" s="357">
        <f>IF(AF$3="","",MAX(AE34-AF41,0))</f>
        <v/>
      </c>
      <c r="AG34" s="357">
        <f>IF(AG$3="","",MAX(AF34-AG41,0))</f>
        <v/>
      </c>
      <c r="AH34" s="357">
        <f>IF(AH$3="","",MAX(AG34-AH41,0))</f>
        <v/>
      </c>
      <c r="AI34" s="357">
        <f>IF(AI$3="","",MAX(AH34-AI41,0))</f>
        <v/>
      </c>
      <c r="AJ34" s="357">
        <f>IF(AJ$3="","",MAX(AI34-AJ41,0))</f>
        <v/>
      </c>
      <c r="AK34" s="357">
        <f>IF(AK$3="","",MAX(AJ34-AK41,0))</f>
        <v/>
      </c>
      <c r="AL34" s="357">
        <f>IF(AL$3="","",MAX(AK34-AL41,0))</f>
        <v/>
      </c>
      <c r="AM34" s="357">
        <f>IF(AM$3="","",MAX(AL34-AM41,0))</f>
        <v/>
      </c>
      <c r="AN34" s="357">
        <f>IF(AN$3="","",MAX(AM34-AN41,0))</f>
        <v/>
      </c>
      <c r="AO34" s="357">
        <f>IF(AO$3="","",MAX(AN34-AO41,0))</f>
        <v/>
      </c>
      <c r="AP34" s="357">
        <f>IF(AP$3="","",MAX(AO34-AP41,0))</f>
        <v/>
      </c>
      <c r="AQ34" s="357">
        <f>IF(AQ$3="","",MAX(AP34-AQ41,0))</f>
        <v/>
      </c>
      <c r="AR34" s="357">
        <f>IF(AR$3="","",MAX(AQ34-AR41,0))</f>
        <v/>
      </c>
      <c r="AS34" s="357">
        <f>IF(AS$3="","",MAX(AR34-AS41,0))</f>
        <v/>
      </c>
      <c r="AT34" s="357">
        <f>IF(AT$3="","",MAX(AS34-AT41,0))</f>
        <v/>
      </c>
      <c r="AU34" s="357">
        <f>IF(AU$3="","",MAX(AT34-AU41,0))</f>
        <v/>
      </c>
      <c r="AV34" s="357">
        <f>IF(AV$3="","",MAX(AU34-AV41,0))</f>
        <v/>
      </c>
      <c r="AW34" s="357">
        <f>IF(AW$3="","",MAX(AV34-AW41,0))</f>
        <v/>
      </c>
      <c r="AX34" s="357">
        <f>IF(AX$3="","",MAX(AW34-AX41,0))</f>
        <v/>
      </c>
      <c r="AY34" s="357">
        <f>IF(AY$3="","",MAX(AX34-AY41,0))</f>
        <v/>
      </c>
      <c r="AZ34" s="357">
        <f>IF(AZ$3="","",MAX(AY34-AZ41,0))</f>
        <v/>
      </c>
      <c r="BA34" s="357">
        <f>IF(BA$3="","",MAX(AZ34-BA41,0))</f>
        <v/>
      </c>
      <c r="BB34" s="357">
        <f>IF(BB$3="","",MAX(BA34-BB41,0))</f>
        <v/>
      </c>
      <c r="BC34" s="357">
        <f>IF(BC$3="","",MAX(BB34-BC41,0))</f>
        <v/>
      </c>
      <c r="BD34" s="357">
        <f>IF(BD$3="","",MAX(BC34-BD41,0))</f>
        <v/>
      </c>
      <c r="BE34" s="357">
        <f>IF(BE$3="","",MAX(BD34-BE41,0))</f>
        <v/>
      </c>
      <c r="BF34" s="357">
        <f>IF(BF$3="","",MAX(BE34-BF41,0))</f>
        <v/>
      </c>
      <c r="BG34" s="357">
        <f>IF(BG$3="","",MAX(BF34-BG41,0))</f>
        <v/>
      </c>
      <c r="BH34" s="357">
        <f>IF(BH$3="","",MAX(BG34-BH41,0))</f>
        <v/>
      </c>
      <c r="BI34" s="357">
        <f>IF(BI$3="","",MAX(BH34-BI41,0))</f>
        <v/>
      </c>
      <c r="BJ34" s="357">
        <f>IF(BJ$3="","",MAX(BI34-BJ41,0))</f>
        <v/>
      </c>
      <c r="BK34" s="357">
        <f>IF(BK$3="","",MAX(BJ34-BK41,0))</f>
        <v/>
      </c>
      <c r="BL34" s="357">
        <f>IF(BL$3="","",MAX(BK34-BL41,0))</f>
        <v/>
      </c>
      <c r="BM34" s="357">
        <f>IF(BM$3="","",MAX(BL34-BM41,0))</f>
        <v/>
      </c>
      <c r="BN34" s="357">
        <f>IF(BN$3="","",MAX(BM34-BN41,0))</f>
        <v/>
      </c>
      <c r="BO34" s="357">
        <f>IF(BO$3="","",MAX(BN34-BO41,0))</f>
        <v/>
      </c>
      <c r="BP34" s="357">
        <f>IF(BP$3="","",MAX(BO34-BP41,0))</f>
        <v/>
      </c>
      <c r="BQ34" s="357">
        <f>IF(BQ$3="","",MAX(BP34-BQ41,0))</f>
        <v/>
      </c>
      <c r="BR34" s="357">
        <f>IF(BR$3="","",MAX(BQ34-BR41,0))</f>
        <v/>
      </c>
      <c r="BS34" s="357">
        <f>IF(BS$3="","",MAX(BR34-BS41,0))</f>
        <v/>
      </c>
      <c r="BT34" s="357">
        <f>IF(BT$3="","",MAX(BS34-BT41,0))</f>
        <v/>
      </c>
      <c r="BU34" s="357">
        <f>IF(BU$3="","",MAX(BT34-BU41,0))</f>
        <v/>
      </c>
      <c r="BV34" s="357">
        <f>IF(BV$3="","",MAX(BU34-BV41,0))</f>
        <v/>
      </c>
      <c r="BW34" s="357">
        <f>IF(BW$3="","",MAX(BV34-BW41,0))</f>
        <v/>
      </c>
      <c r="BX34" s="357">
        <f>IF(BX$3="","",MAX(BW34-BX41,0))</f>
        <v/>
      </c>
      <c r="BY34" s="357">
        <f>IF(BY$3="","",MAX(BX34-BY41,0))</f>
        <v/>
      </c>
      <c r="BZ34" s="357">
        <f>IF(BZ$3="","",MAX(BY34-BZ41,0))</f>
        <v/>
      </c>
      <c r="CA34" s="357">
        <f>IF(CA$3="","",MAX(BZ34-CA41,0))</f>
        <v/>
      </c>
      <c r="CB34" s="357">
        <f>IF(CB$3="","",MAX(CA34-CB41,0))</f>
        <v/>
      </c>
      <c r="CC34" s="357">
        <f>IF(CC$3="","",MAX(CB34-CC41,0))</f>
        <v/>
      </c>
      <c r="CD34" s="357">
        <f>IF(CD$3="","",MAX(CC34-CD41,0))</f>
        <v/>
      </c>
      <c r="CE34" s="357">
        <f>IF(CE$3="","",MAX(CD34-CE41,0))</f>
        <v/>
      </c>
      <c r="CF34" s="357">
        <f>IF(CF$3="","",MAX(CE34-CF41,0))</f>
        <v/>
      </c>
      <c r="CG34" s="357">
        <f>IF(CG$3="","",MAX(CF34-CG41,0))</f>
        <v/>
      </c>
      <c r="CH34" s="357">
        <f>IF(CH$3="","",MAX(CG34-CH41,0))</f>
        <v/>
      </c>
      <c r="CI34" s="357">
        <f>IF(CI$3="","",MAX(CH34-CI41,0))</f>
        <v/>
      </c>
      <c r="CJ34" s="357">
        <f>IF(CJ$3="","",MAX(CI34-CJ41,0))</f>
        <v/>
      </c>
      <c r="CK34" s="357">
        <f>IF(CK$3="","",MAX(CJ34-CK41,0))</f>
        <v/>
      </c>
      <c r="CL34" s="357">
        <f>IF(CL$3="","",MAX(CK34-CL41,0))</f>
        <v/>
      </c>
      <c r="CM34" s="357">
        <f>IF(CM$3="","",MAX(CL34-CM41,0))</f>
        <v/>
      </c>
      <c r="CN34" s="357">
        <f>IF(CN$3="","",MAX(CM34-CN41,0))</f>
        <v/>
      </c>
      <c r="CO34" s="357">
        <f>IF(CO$3="","",MAX(CN34-CO41,0))</f>
        <v/>
      </c>
      <c r="CP34" s="357">
        <f>IF(CP$3="","",MAX(CO34-CP41,0))</f>
        <v/>
      </c>
      <c r="CQ34" s="357">
        <f>IF(CQ$3="","",MAX(CP34-CQ41,0))</f>
        <v/>
      </c>
      <c r="CR34" s="357">
        <f>IF(CR$3="","",MAX(CQ34-CR41,0))</f>
        <v/>
      </c>
      <c r="CS34" s="357">
        <f>IF(CS$3="","",MAX(CR34-CS41,0))</f>
        <v/>
      </c>
      <c r="CT34" s="357">
        <f>IF(CT$3="","",MAX(CS34-CT41,0))</f>
        <v/>
      </c>
      <c r="CU34" s="357">
        <f>IF(CU$3="","",MAX(CT34-CU41,0))</f>
        <v/>
      </c>
      <c r="CV34" s="357">
        <f>IF(CV$3="","",MAX(CU34-CV41,0))</f>
        <v/>
      </c>
      <c r="CW34" s="357">
        <f>IF(CW$3="","",MAX(CV34-CW41,0))</f>
        <v/>
      </c>
    </row>
    <row r="35" ht="21.75" customHeight="1" s="180">
      <c r="A35" s="237" t="inlineStr">
        <is>
          <t>保有資産合計（ローン除く）</t>
        </is>
      </c>
      <c r="B35" s="358">
        <f>IF(B$3="","",B31+B32+B33)</f>
        <v/>
      </c>
      <c r="C35" s="358">
        <f>IF(C$3="","",C31+C32+C33)</f>
        <v/>
      </c>
      <c r="D35" s="358">
        <f>IF(D$3="","",D31+D32+D33)</f>
        <v/>
      </c>
      <c r="E35" s="358">
        <f>IF(E$3="","",E31+E32+E33)</f>
        <v/>
      </c>
      <c r="F35" s="358">
        <f>IF(F$3="","",F31+F32+F33)</f>
        <v/>
      </c>
      <c r="G35" s="358">
        <f>IF(G$3="","",G31+G32+G33)</f>
        <v/>
      </c>
      <c r="H35" s="358">
        <f>IF(H$3="","",H31+H32+H33)</f>
        <v/>
      </c>
      <c r="I35" s="358">
        <f>IF(I$3="","",I31+I32+I33)</f>
        <v/>
      </c>
      <c r="J35" s="358">
        <f>IF(J$3="","",J31+J32+J33)</f>
        <v/>
      </c>
      <c r="K35" s="358">
        <f>IF(K$3="","",K31+K32+K33)</f>
        <v/>
      </c>
      <c r="L35" s="358">
        <f>IF(L$3="","",L31+L32+L33)</f>
        <v/>
      </c>
      <c r="M35" s="358">
        <f>IF(M$3="","",M31+M32+M33)</f>
        <v/>
      </c>
      <c r="N35" s="358">
        <f>IF(N$3="","",N31+N32+N33)</f>
        <v/>
      </c>
      <c r="O35" s="358">
        <f>IF(O$3="","",O31+O32+O33)</f>
        <v/>
      </c>
      <c r="P35" s="358">
        <f>IF(P$3="","",P31+P32+P33)</f>
        <v/>
      </c>
      <c r="Q35" s="358">
        <f>IF(Q$3="","",Q31+Q32+Q33)</f>
        <v/>
      </c>
      <c r="R35" s="358">
        <f>IF(R$3="","",R31+R32+R33)</f>
        <v/>
      </c>
      <c r="S35" s="358">
        <f>IF(S$3="","",S31+S32+S33)</f>
        <v/>
      </c>
      <c r="T35" s="358">
        <f>IF(T$3="","",T31+T32+T33)</f>
        <v/>
      </c>
      <c r="U35" s="358">
        <f>IF(U$3="","",U31+U32+U33)</f>
        <v/>
      </c>
      <c r="V35" s="358">
        <f>IF(V$3="","",V31+V32+V33)</f>
        <v/>
      </c>
      <c r="W35" s="358">
        <f>IF(W$3="","",W31+W32+W33)</f>
        <v/>
      </c>
      <c r="X35" s="358">
        <f>IF(X$3="","",X31+X32+X33)</f>
        <v/>
      </c>
      <c r="Y35" s="358">
        <f>IF(Y$3="","",Y31+Y32+Y33)</f>
        <v/>
      </c>
      <c r="Z35" s="358">
        <f>IF(Z$3="","",Z31+Z32+Z33)</f>
        <v/>
      </c>
      <c r="AA35" s="358">
        <f>IF(AA$3="","",AA31+AA32+AA33)</f>
        <v/>
      </c>
      <c r="AB35" s="358">
        <f>IF(AB$3="","",AB31+AB32+AB33)</f>
        <v/>
      </c>
      <c r="AC35" s="358">
        <f>IF(AC$3="","",AC31+AC32+AC33)</f>
        <v/>
      </c>
      <c r="AD35" s="358">
        <f>IF(AD$3="","",AD31+AD32+AD33)</f>
        <v/>
      </c>
      <c r="AE35" s="358">
        <f>IF(AE$3="","",AE31+AE32+AE33)</f>
        <v/>
      </c>
      <c r="AF35" s="358">
        <f>IF(AF$3="","",AF31+AF32+AF33)</f>
        <v/>
      </c>
      <c r="AG35" s="358">
        <f>IF(AG$3="","",AG31+AG32+AG33)</f>
        <v/>
      </c>
      <c r="AH35" s="358">
        <f>IF(AH$3="","",AH31+AH32+AH33)</f>
        <v/>
      </c>
      <c r="AI35" s="358">
        <f>IF(AI$3="","",AI31+AI32+AI33)</f>
        <v/>
      </c>
      <c r="AJ35" s="358">
        <f>IF(AJ$3="","",AJ31+AJ32+AJ33)</f>
        <v/>
      </c>
      <c r="AK35" s="358">
        <f>IF(AK$3="","",AK31+AK32+AK33)</f>
        <v/>
      </c>
      <c r="AL35" s="358">
        <f>IF(AL$3="","",AL31+AL32+AL33)</f>
        <v/>
      </c>
      <c r="AM35" s="358">
        <f>IF(AM$3="","",AM31+AM32+AM33)</f>
        <v/>
      </c>
      <c r="AN35" s="358">
        <f>IF(AN$3="","",AN31+AN32+AN33)</f>
        <v/>
      </c>
      <c r="AO35" s="358">
        <f>IF(AO$3="","",AO31+AO32+AO33)</f>
        <v/>
      </c>
      <c r="AP35" s="358">
        <f>IF(AP$3="","",AP31+AP32+AP33)</f>
        <v/>
      </c>
      <c r="AQ35" s="358">
        <f>IF(AQ$3="","",AQ31+AQ32+AQ33)</f>
        <v/>
      </c>
      <c r="AR35" s="358">
        <f>IF(AR$3="","",AR31+AR32+AR33)</f>
        <v/>
      </c>
      <c r="AS35" s="358">
        <f>IF(AS$3="","",AS31+AS32+AS33)</f>
        <v/>
      </c>
      <c r="AT35" s="358">
        <f>IF(AT$3="","",AT31+AT32+AT33)</f>
        <v/>
      </c>
      <c r="AU35" s="358">
        <f>IF(AU$3="","",AU31+AU32+AU33)</f>
        <v/>
      </c>
      <c r="AV35" s="358">
        <f>IF(AV$3="","",AV31+AV32+AV33)</f>
        <v/>
      </c>
      <c r="AW35" s="358">
        <f>IF(AW$3="","",AW31+AW32+AW33)</f>
        <v/>
      </c>
      <c r="AX35" s="358">
        <f>IF(AX$3="","",AX31+AX32+AX33)</f>
        <v/>
      </c>
      <c r="AY35" s="358">
        <f>IF(AY$3="","",AY31+AY32+AY33)</f>
        <v/>
      </c>
      <c r="AZ35" s="358">
        <f>IF(AZ$3="","",AZ31+AZ32+AZ33)</f>
        <v/>
      </c>
      <c r="BA35" s="358">
        <f>IF(BA$3="","",BA31+BA32+BA33)</f>
        <v/>
      </c>
      <c r="BB35" s="358">
        <f>IF(BB$3="","",BB31+BB32+BB33)</f>
        <v/>
      </c>
      <c r="BC35" s="358">
        <f>IF(BC$3="","",BC31+BC32+BC33)</f>
        <v/>
      </c>
      <c r="BD35" s="358">
        <f>IF(BD$3="","",BD31+BD32+BD33)</f>
        <v/>
      </c>
      <c r="BE35" s="358">
        <f>IF(BE$3="","",BE31+BE32+BE33)</f>
        <v/>
      </c>
      <c r="BF35" s="358">
        <f>IF(BF$3="","",BF31+BF32+BF33)</f>
        <v/>
      </c>
      <c r="BG35" s="358">
        <f>IF(BG$3="","",BG31+BG32+BG33)</f>
        <v/>
      </c>
      <c r="BH35" s="358">
        <f>IF(BH$3="","",BH31+BH32+BH33)</f>
        <v/>
      </c>
      <c r="BI35" s="358">
        <f>IF(BI$3="","",BI31+BI32+BI33)</f>
        <v/>
      </c>
      <c r="BJ35" s="358">
        <f>IF(BJ$3="","",BJ31+BJ32+BJ33)</f>
        <v/>
      </c>
      <c r="BK35" s="358">
        <f>IF(BK$3="","",BK31+BK32+BK33)</f>
        <v/>
      </c>
      <c r="BL35" s="358">
        <f>IF(BL$3="","",BL31+BL32+BL33)</f>
        <v/>
      </c>
      <c r="BM35" s="358">
        <f>IF(BM$3="","",BM31+BM32+BM33)</f>
        <v/>
      </c>
      <c r="BN35" s="358">
        <f>IF(BN$3="","",BN31+BN32+BN33)</f>
        <v/>
      </c>
      <c r="BO35" s="358">
        <f>IF(BO$3="","",BO31+BO32+BO33)</f>
        <v/>
      </c>
      <c r="BP35" s="358">
        <f>IF(BP$3="","",BP31+BP32+BP33)</f>
        <v/>
      </c>
      <c r="BQ35" s="358">
        <f>IF(BQ$3="","",BQ31+BQ32+BQ33)</f>
        <v/>
      </c>
      <c r="BR35" s="358">
        <f>IF(BR$3="","",BR31+BR32+BR33)</f>
        <v/>
      </c>
      <c r="BS35" s="358">
        <f>IF(BS$3="","",BS31+BS32+BS33)</f>
        <v/>
      </c>
      <c r="BT35" s="358">
        <f>IF(BT$3="","",BT31+BT32+BT33)</f>
        <v/>
      </c>
      <c r="BU35" s="358">
        <f>IF(BU$3="","",BU31+BU32+BU33)</f>
        <v/>
      </c>
      <c r="BV35" s="358">
        <f>IF(BV$3="","",BV31+BV32+BV33)</f>
        <v/>
      </c>
      <c r="BW35" s="358">
        <f>IF(BW$3="","",BW31+BW32+BW33)</f>
        <v/>
      </c>
      <c r="BX35" s="358">
        <f>IF(BX$3="","",BX31+BX32+BX33)</f>
        <v/>
      </c>
      <c r="BY35" s="358">
        <f>IF(BY$3="","",BY31+BY32+BY33)</f>
        <v/>
      </c>
      <c r="BZ35" s="358">
        <f>IF(BZ$3="","",BZ31+BZ32+BZ33)</f>
        <v/>
      </c>
      <c r="CA35" s="358">
        <f>IF(CA$3="","",CA31+CA32+CA33)</f>
        <v/>
      </c>
      <c r="CB35" s="358">
        <f>IF(CB$3="","",CB31+CB32+CB33)</f>
        <v/>
      </c>
      <c r="CC35" s="358">
        <f>IF(CC$3="","",CC31+CC32+CC33)</f>
        <v/>
      </c>
      <c r="CD35" s="358">
        <f>IF(CD$3="","",CD31+CD32+CD33)</f>
        <v/>
      </c>
      <c r="CE35" s="358">
        <f>IF(CE$3="","",CE31+CE32+CE33)</f>
        <v/>
      </c>
      <c r="CF35" s="358">
        <f>IF(CF$3="","",CF31+CF32+CF33)</f>
        <v/>
      </c>
      <c r="CG35" s="358">
        <f>IF(CG$3="","",CG31+CG32+CG33)</f>
        <v/>
      </c>
      <c r="CH35" s="358">
        <f>IF(CH$3="","",CH31+CH32+CH33)</f>
        <v/>
      </c>
      <c r="CI35" s="358">
        <f>IF(CI$3="","",CI31+CI32+CI33)</f>
        <v/>
      </c>
      <c r="CJ35" s="358">
        <f>IF(CJ$3="","",CJ31+CJ32+CJ33)</f>
        <v/>
      </c>
      <c r="CK35" s="358">
        <f>IF(CK$3="","",CK31+CK32+CK33)</f>
        <v/>
      </c>
      <c r="CL35" s="358">
        <f>IF(CL$3="","",CL31+CL32+CL33)</f>
        <v/>
      </c>
      <c r="CM35" s="358">
        <f>IF(CM$3="","",CM31+CM32+CM33)</f>
        <v/>
      </c>
      <c r="CN35" s="358">
        <f>IF(CN$3="","",CN31+CN32+CN33)</f>
        <v/>
      </c>
      <c r="CO35" s="358">
        <f>IF(CO$3="","",CO31+CO32+CO33)</f>
        <v/>
      </c>
      <c r="CP35" s="358">
        <f>IF(CP$3="","",CP31+CP32+CP33)</f>
        <v/>
      </c>
      <c r="CQ35" s="358">
        <f>IF(CQ$3="","",CQ31+CQ32+CQ33)</f>
        <v/>
      </c>
      <c r="CR35" s="358">
        <f>IF(CR$3="","",CR31+CR32+CR33)</f>
        <v/>
      </c>
      <c r="CS35" s="358">
        <f>IF(CS$3="","",CS31+CS32+CS33)</f>
        <v/>
      </c>
      <c r="CT35" s="358">
        <f>IF(CT$3="","",CT31+CT32+CT33)</f>
        <v/>
      </c>
      <c r="CU35" s="358">
        <f>IF(CU$3="","",CU31+CU32+CU33)</f>
        <v/>
      </c>
      <c r="CV35" s="358">
        <f>IF(CV$3="","",CV31+CV32+CV33)</f>
        <v/>
      </c>
      <c r="CW35" s="358">
        <f>IF(CW$3="","",CW31+CW32+CW33)</f>
        <v/>
      </c>
    </row>
    <row r="36" hidden="1" ht="16.5" customHeight="1" s="180">
      <c r="A36" s="239" t="inlineStr">
        <is>
          <t>投資積立年額(補助)</t>
        </is>
      </c>
      <c r="B36" s="359">
        <f>IF(B$3="","",SUM(入力データ!$C$101:$C$103,入力データ!$C$105)*12)</f>
        <v/>
      </c>
      <c r="C36" s="359">
        <f>IF(C$3="","",SUM(入力データ!$C$101:$C$103,入力データ!$C$105)*12)</f>
        <v/>
      </c>
      <c r="D36" s="359">
        <f>IF(D$3="","",SUM(入力データ!$C$101:$C$103,入力データ!$C$105)*12)</f>
        <v/>
      </c>
      <c r="E36" s="359">
        <f>IF(E$3="","",SUM(入力データ!$C$101:$C$103,入力データ!$C$105)*12)</f>
        <v/>
      </c>
      <c r="F36" s="359">
        <f>IF(F$3="","",SUM(入力データ!$C$101:$C$103,入力データ!$C$105)*12)</f>
        <v/>
      </c>
      <c r="G36" s="359">
        <f>IF(G$3="","",SUM(入力データ!$C$101:$C$103,入力データ!$C$105)*12)</f>
        <v/>
      </c>
      <c r="H36" s="359">
        <f>IF(H$3="","",SUM(入力データ!$C$101:$C$103,入力データ!$C$105)*12)</f>
        <v/>
      </c>
      <c r="I36" s="359">
        <f>IF(I$3="","",SUM(入力データ!$C$101:$C$103,入力データ!$C$105)*12)</f>
        <v/>
      </c>
      <c r="J36" s="359">
        <f>IF(J$3="","",SUM(入力データ!$C$101:$C$103,入力データ!$C$105)*12)</f>
        <v/>
      </c>
      <c r="K36" s="359">
        <f>IF(K$3="","",SUM(入力データ!$C$101:$C$103,入力データ!$C$105)*12)</f>
        <v/>
      </c>
      <c r="L36" s="359">
        <f>IF(L$3="","",SUM(入力データ!$C$101:$C$103,入力データ!$C$105)*12)</f>
        <v/>
      </c>
      <c r="M36" s="359">
        <f>IF(M$3="","",SUM(入力データ!$C$101:$C$103,入力データ!$C$105)*12)</f>
        <v/>
      </c>
      <c r="N36" s="359">
        <f>IF(N$3="","",SUM(入力データ!$C$101:$C$103,入力データ!$C$105)*12)</f>
        <v/>
      </c>
      <c r="O36" s="359">
        <f>IF(O$3="","",SUM(入力データ!$C$101:$C$103,入力データ!$C$105)*12)</f>
        <v/>
      </c>
      <c r="P36" s="359">
        <f>IF(P$3="","",SUM(入力データ!$C$101:$C$103,入力データ!$C$105)*12)</f>
        <v/>
      </c>
      <c r="Q36" s="359">
        <f>IF(Q$3="","",SUM(入力データ!$C$101:$C$103,入力データ!$C$105)*12)</f>
        <v/>
      </c>
      <c r="R36" s="359">
        <f>IF(R$3="","",SUM(入力データ!$C$101:$C$103,入力データ!$C$105)*12)</f>
        <v/>
      </c>
      <c r="S36" s="359">
        <f>IF(S$3="","",SUM(入力データ!$C$101:$C$103,入力データ!$C$105)*12)</f>
        <v/>
      </c>
      <c r="T36" s="359">
        <f>IF(T$3="","",SUM(入力データ!$C$101:$C$103,入力データ!$C$105)*12)</f>
        <v/>
      </c>
      <c r="U36" s="359">
        <f>IF(U$3="","",SUM(入力データ!$C$101:$C$103,入力データ!$C$105)*12)</f>
        <v/>
      </c>
      <c r="V36" s="359">
        <f>IF(V$3="","",SUM(入力データ!$C$101:$C$103,入力データ!$C$105)*12)</f>
        <v/>
      </c>
      <c r="W36" s="359">
        <f>IF(W$3="","",SUM(入力データ!$C$101:$C$103,入力データ!$C$105)*12)</f>
        <v/>
      </c>
      <c r="X36" s="359">
        <f>IF(X$3="","",SUM(入力データ!$C$101:$C$103,入力データ!$C$105)*12)</f>
        <v/>
      </c>
      <c r="Y36" s="359">
        <f>IF(Y$3="","",SUM(入力データ!$C$101:$C$103,入力データ!$C$105)*12)</f>
        <v/>
      </c>
      <c r="Z36" s="359">
        <f>IF(Z$3="","",SUM(入力データ!$C$101:$C$103,入力データ!$C$105)*12)</f>
        <v/>
      </c>
      <c r="AA36" s="359">
        <f>IF(AA$3="","",SUM(入力データ!$C$101:$C$103,入力データ!$C$105)*12)</f>
        <v/>
      </c>
      <c r="AB36" s="359">
        <f>IF(AB$3="","",SUM(入力データ!$C$101:$C$103,入力データ!$C$105)*12)</f>
        <v/>
      </c>
      <c r="AC36" s="359">
        <f>IF(AC$3="","",SUM(入力データ!$C$101:$C$103,入力データ!$C$105)*12)</f>
        <v/>
      </c>
      <c r="AD36" s="359">
        <f>IF(AD$3="","",SUM(入力データ!$C$101:$C$103,入力データ!$C$105)*12)</f>
        <v/>
      </c>
      <c r="AE36" s="359">
        <f>IF(AE$3="","",SUM(入力データ!$C$101:$C$103,入力データ!$C$105)*12)</f>
        <v/>
      </c>
      <c r="AF36" s="359">
        <f>IF(AF$3="","",SUM(入力データ!$C$101:$C$103,入力データ!$C$105)*12)</f>
        <v/>
      </c>
      <c r="AG36" s="359">
        <f>IF(AG$3="","",SUM(入力データ!$C$101:$C$103,入力データ!$C$105)*12)</f>
        <v/>
      </c>
      <c r="AH36" s="359">
        <f>IF(AH$3="","",SUM(入力データ!$C$101:$C$103,入力データ!$C$105)*12)</f>
        <v/>
      </c>
      <c r="AI36" s="359">
        <f>IF(AI$3="","",SUM(入力データ!$C$101:$C$103,入力データ!$C$105)*12)</f>
        <v/>
      </c>
      <c r="AJ36" s="359">
        <f>IF(AJ$3="","",SUM(入力データ!$C$101:$C$103,入力データ!$C$105)*12)</f>
        <v/>
      </c>
      <c r="AK36" s="359">
        <f>IF(AK$3="","",SUM(入力データ!$C$101:$C$103,入力データ!$C$105)*12)</f>
        <v/>
      </c>
      <c r="AL36" s="359">
        <f>IF(AL$3="","",SUM(入力データ!$C$101:$C$103,入力データ!$C$105)*12)</f>
        <v/>
      </c>
      <c r="AM36" s="359">
        <f>IF(AM$3="","",SUM(入力データ!$C$101:$C$103,入力データ!$C$105)*12)</f>
        <v/>
      </c>
      <c r="AN36" s="359">
        <f>IF(AN$3="","",SUM(入力データ!$C$101:$C$103,入力データ!$C$105)*12)</f>
        <v/>
      </c>
      <c r="AO36" s="359">
        <f>IF(AO$3="","",SUM(入力データ!$C$101:$C$103,入力データ!$C$105)*12)</f>
        <v/>
      </c>
      <c r="AP36" s="359">
        <f>IF(AP$3="","",SUM(入力データ!$C$101:$C$103,入力データ!$C$105)*12)</f>
        <v/>
      </c>
      <c r="AQ36" s="359">
        <f>IF(AQ$3="","",SUM(入力データ!$C$101:$C$103,入力データ!$C$105)*12)</f>
        <v/>
      </c>
      <c r="AR36" s="359">
        <f>IF(AR$3="","",SUM(入力データ!$C$101:$C$103,入力データ!$C$105)*12)</f>
        <v/>
      </c>
      <c r="AS36" s="359">
        <f>IF(AS$3="","",SUM(入力データ!$C$101:$C$103,入力データ!$C$105)*12)</f>
        <v/>
      </c>
      <c r="AT36" s="359">
        <f>IF(AT$3="","",SUM(入力データ!$C$101:$C$103,入力データ!$C$105)*12)</f>
        <v/>
      </c>
      <c r="AU36" s="359">
        <f>IF(AU$3="","",SUM(入力データ!$C$101:$C$103,入力データ!$C$105)*12)</f>
        <v/>
      </c>
      <c r="AV36" s="359">
        <f>IF(AV$3="","",SUM(入力データ!$C$101:$C$103,入力データ!$C$105)*12)</f>
        <v/>
      </c>
      <c r="AW36" s="359">
        <f>IF(AW$3="","",SUM(入力データ!$C$101:$C$103,入力データ!$C$105)*12)</f>
        <v/>
      </c>
      <c r="AX36" s="359">
        <f>IF(AX$3="","",SUM(入力データ!$C$101:$C$103,入力データ!$C$105)*12)</f>
        <v/>
      </c>
      <c r="AY36" s="359">
        <f>IF(AY$3="","",SUM(入力データ!$C$101:$C$103,入力データ!$C$105)*12)</f>
        <v/>
      </c>
      <c r="AZ36" s="359">
        <f>IF(AZ$3="","",SUM(入力データ!$C$101:$C$103,入力データ!$C$105)*12)</f>
        <v/>
      </c>
      <c r="BA36" s="359">
        <f>IF(BA$3="","",SUM(入力データ!$C$101:$C$103,入力データ!$C$105)*12)</f>
        <v/>
      </c>
      <c r="BB36" s="359">
        <f>IF(BB$3="","",SUM(入力データ!$C$101:$C$103,入力データ!$C$105)*12)</f>
        <v/>
      </c>
      <c r="BC36" s="359">
        <f>IF(BC$3="","",SUM(入力データ!$C$101:$C$103,入力データ!$C$105)*12)</f>
        <v/>
      </c>
      <c r="BD36" s="359">
        <f>IF(BD$3="","",SUM(入力データ!$C$101:$C$103,入力データ!$C$105)*12)</f>
        <v/>
      </c>
      <c r="BE36" s="359">
        <f>IF(BE$3="","",SUM(入力データ!$C$101:$C$103,入力データ!$C$105)*12)</f>
        <v/>
      </c>
      <c r="BF36" s="359">
        <f>IF(BF$3="","",SUM(入力データ!$C$101:$C$103,入力データ!$C$105)*12)</f>
        <v/>
      </c>
      <c r="BG36" s="359">
        <f>IF(BG$3="","",SUM(入力データ!$C$101:$C$103,入力データ!$C$105)*12)</f>
        <v/>
      </c>
      <c r="BH36" s="359">
        <f>IF(BH$3="","",SUM(入力データ!$C$101:$C$103,入力データ!$C$105)*12)</f>
        <v/>
      </c>
      <c r="BI36" s="359">
        <f>IF(BI$3="","",SUM(入力データ!$C$101:$C$103,入力データ!$C$105)*12)</f>
        <v/>
      </c>
      <c r="BJ36" s="359">
        <f>IF(BJ$3="","",SUM(入力データ!$C$101:$C$103,入力データ!$C$105)*12)</f>
        <v/>
      </c>
      <c r="BK36" s="359">
        <f>IF(BK$3="","",SUM(入力データ!$C$101:$C$103,入力データ!$C$105)*12)</f>
        <v/>
      </c>
      <c r="BL36" s="359">
        <f>IF(BL$3="","",SUM(入力データ!$C$101:$C$103,入力データ!$C$105)*12)</f>
        <v/>
      </c>
      <c r="BM36" s="359">
        <f>IF(BM$3="","",SUM(入力データ!$C$101:$C$103,入力データ!$C$105)*12)</f>
        <v/>
      </c>
      <c r="BN36" s="359">
        <f>IF(BN$3="","",SUM(入力データ!$C$101:$C$103,入力データ!$C$105)*12)</f>
        <v/>
      </c>
      <c r="BO36" s="359">
        <f>IF(BO$3="","",SUM(入力データ!$C$101:$C$103,入力データ!$C$105)*12)</f>
        <v/>
      </c>
      <c r="BP36" s="359">
        <f>IF(BP$3="","",SUM(入力データ!$C$101:$C$103,入力データ!$C$105)*12)</f>
        <v/>
      </c>
      <c r="BQ36" s="359">
        <f>IF(BQ$3="","",SUM(入力データ!$C$101:$C$103,入力データ!$C$105)*12)</f>
        <v/>
      </c>
      <c r="BR36" s="359">
        <f>IF(BR$3="","",SUM(入力データ!$C$101:$C$103,入力データ!$C$105)*12)</f>
        <v/>
      </c>
      <c r="BS36" s="359">
        <f>IF(BS$3="","",SUM(入力データ!$C$101:$C$103,入力データ!$C$105)*12)</f>
        <v/>
      </c>
      <c r="BT36" s="359">
        <f>IF(BT$3="","",SUM(入力データ!$C$101:$C$103,入力データ!$C$105)*12)</f>
        <v/>
      </c>
      <c r="BU36" s="359">
        <f>IF(BU$3="","",SUM(入力データ!$C$101:$C$103,入力データ!$C$105)*12)</f>
        <v/>
      </c>
      <c r="BV36" s="359">
        <f>IF(BV$3="","",SUM(入力データ!$C$101:$C$103,入力データ!$C$105)*12)</f>
        <v/>
      </c>
      <c r="BW36" s="359">
        <f>IF(BW$3="","",SUM(入力データ!$C$101:$C$103,入力データ!$C$105)*12)</f>
        <v/>
      </c>
      <c r="BX36" s="359">
        <f>IF(BX$3="","",SUM(入力データ!$C$101:$C$103,入力データ!$C$105)*12)</f>
        <v/>
      </c>
      <c r="BY36" s="359">
        <f>IF(BY$3="","",SUM(入力データ!$C$101:$C$103,入力データ!$C$105)*12)</f>
        <v/>
      </c>
      <c r="BZ36" s="359">
        <f>IF(BZ$3="","",SUM(入力データ!$C$101:$C$103,入力データ!$C$105)*12)</f>
        <v/>
      </c>
      <c r="CA36" s="359">
        <f>IF(CA$3="","",SUM(入力データ!$C$101:$C$103,入力データ!$C$105)*12)</f>
        <v/>
      </c>
      <c r="CB36" s="359">
        <f>IF(CB$3="","",SUM(入力データ!$C$101:$C$103,入力データ!$C$105)*12)</f>
        <v/>
      </c>
      <c r="CC36" s="359">
        <f>IF(CC$3="","",SUM(入力データ!$C$101:$C$103,入力データ!$C$105)*12)</f>
        <v/>
      </c>
      <c r="CD36" s="359">
        <f>IF(CD$3="","",SUM(入力データ!$C$101:$C$103,入力データ!$C$105)*12)</f>
        <v/>
      </c>
      <c r="CE36" s="359">
        <f>IF(CE$3="","",SUM(入力データ!$C$101:$C$103,入力データ!$C$105)*12)</f>
        <v/>
      </c>
      <c r="CF36" s="359">
        <f>IF(CF$3="","",SUM(入力データ!$C$101:$C$103,入力データ!$C$105)*12)</f>
        <v/>
      </c>
      <c r="CG36" s="359">
        <f>IF(CG$3="","",SUM(入力データ!$C$101:$C$103,入力データ!$C$105)*12)</f>
        <v/>
      </c>
      <c r="CH36" s="359">
        <f>IF(CH$3="","",SUM(入力データ!$C$101:$C$103,入力データ!$C$105)*12)</f>
        <v/>
      </c>
      <c r="CI36" s="359">
        <f>IF(CI$3="","",SUM(入力データ!$C$101:$C$103,入力データ!$C$105)*12)</f>
        <v/>
      </c>
      <c r="CJ36" s="359">
        <f>IF(CJ$3="","",SUM(入力データ!$C$101:$C$103,入力データ!$C$105)*12)</f>
        <v/>
      </c>
      <c r="CK36" s="359">
        <f>IF(CK$3="","",SUM(入力データ!$C$101:$C$103,入力データ!$C$105)*12)</f>
        <v/>
      </c>
      <c r="CL36" s="359">
        <f>IF(CL$3="","",SUM(入力データ!$C$101:$C$103,入力データ!$C$105)*12)</f>
        <v/>
      </c>
      <c r="CM36" s="359">
        <f>IF(CM$3="","",SUM(入力データ!$C$101:$C$103,入力データ!$C$105)*12)</f>
        <v/>
      </c>
      <c r="CN36" s="359">
        <f>IF(CN$3="","",SUM(入力データ!$C$101:$C$103,入力データ!$C$105)*12)</f>
        <v/>
      </c>
      <c r="CO36" s="359">
        <f>IF(CO$3="","",SUM(入力データ!$C$101:$C$103,入力データ!$C$105)*12)</f>
        <v/>
      </c>
      <c r="CP36" s="359">
        <f>IF(CP$3="","",SUM(入力データ!$C$101:$C$103,入力データ!$C$105)*12)</f>
        <v/>
      </c>
      <c r="CQ36" s="359">
        <f>IF(CQ$3="","",SUM(入力データ!$C$101:$C$103,入力データ!$C$105)*12)</f>
        <v/>
      </c>
      <c r="CR36" s="359">
        <f>IF(CR$3="","",SUM(入力データ!$C$101:$C$103,入力データ!$C$105)*12)</f>
        <v/>
      </c>
      <c r="CS36" s="359">
        <f>IF(CS$3="","",SUM(入力データ!$C$101:$C$103,入力データ!$C$105)*12)</f>
        <v/>
      </c>
      <c r="CT36" s="359">
        <f>IF(CT$3="","",SUM(入力データ!$C$101:$C$103,入力データ!$C$105)*12)</f>
        <v/>
      </c>
      <c r="CU36" s="359">
        <f>IF(CU$3="","",SUM(入力データ!$C$101:$C$103,入力データ!$C$105)*12)</f>
        <v/>
      </c>
      <c r="CV36" s="359">
        <f>IF(CV$3="","",SUM(入力データ!$C$101:$C$103,入力データ!$C$105)*12)</f>
        <v/>
      </c>
      <c r="CW36" s="359">
        <f>IF(CW$3="","",SUM(入力データ!$C$101:$C$103,入力データ!$C$105)*12)</f>
        <v/>
      </c>
    </row>
    <row r="37" hidden="1" ht="16.5" customHeight="1" s="180">
      <c r="A37" s="239" t="inlineStr">
        <is>
          <t>返戻金積立年額(補助)</t>
        </is>
      </c>
      <c r="B37" s="359">
        <f>IF(B$3="","",入力データ!$C$104*12)</f>
        <v/>
      </c>
      <c r="C37" s="359">
        <f>IF(C$3="","",入力データ!$C$104*12)</f>
        <v/>
      </c>
      <c r="D37" s="359">
        <f>IF(D$3="","",入力データ!$C$104*12)</f>
        <v/>
      </c>
      <c r="E37" s="359">
        <f>IF(E$3="","",入力データ!$C$104*12)</f>
        <v/>
      </c>
      <c r="F37" s="359">
        <f>IF(F$3="","",入力データ!$C$104*12)</f>
        <v/>
      </c>
      <c r="G37" s="359">
        <f>IF(G$3="","",入力データ!$C$104*12)</f>
        <v/>
      </c>
      <c r="H37" s="359">
        <f>IF(H$3="","",入力データ!$C$104*12)</f>
        <v/>
      </c>
      <c r="I37" s="359">
        <f>IF(I$3="","",入力データ!$C$104*12)</f>
        <v/>
      </c>
      <c r="J37" s="359">
        <f>IF(J$3="","",入力データ!$C$104*12)</f>
        <v/>
      </c>
      <c r="K37" s="359">
        <f>IF(K$3="","",入力データ!$C$104*12)</f>
        <v/>
      </c>
      <c r="L37" s="359">
        <f>IF(L$3="","",入力データ!$C$104*12)</f>
        <v/>
      </c>
      <c r="M37" s="359">
        <f>IF(M$3="","",入力データ!$C$104*12)</f>
        <v/>
      </c>
      <c r="N37" s="359">
        <f>IF(N$3="","",入力データ!$C$104*12)</f>
        <v/>
      </c>
      <c r="O37" s="359">
        <f>IF(O$3="","",入力データ!$C$104*12)</f>
        <v/>
      </c>
      <c r="P37" s="359">
        <f>IF(P$3="","",入力データ!$C$104*12)</f>
        <v/>
      </c>
      <c r="Q37" s="359">
        <f>IF(Q$3="","",入力データ!$C$104*12)</f>
        <v/>
      </c>
      <c r="R37" s="359">
        <f>IF(R$3="","",入力データ!$C$104*12)</f>
        <v/>
      </c>
      <c r="S37" s="359">
        <f>IF(S$3="","",入力データ!$C$104*12)</f>
        <v/>
      </c>
      <c r="T37" s="359">
        <f>IF(T$3="","",入力データ!$C$104*12)</f>
        <v/>
      </c>
      <c r="U37" s="359">
        <f>IF(U$3="","",入力データ!$C$104*12)</f>
        <v/>
      </c>
      <c r="V37" s="359">
        <f>IF(V$3="","",入力データ!$C$104*12)</f>
        <v/>
      </c>
      <c r="W37" s="359">
        <f>IF(W$3="","",入力データ!$C$104*12)</f>
        <v/>
      </c>
      <c r="X37" s="359">
        <f>IF(X$3="","",入力データ!$C$104*12)</f>
        <v/>
      </c>
      <c r="Y37" s="359">
        <f>IF(Y$3="","",入力データ!$C$104*12)</f>
        <v/>
      </c>
      <c r="Z37" s="359">
        <f>IF(Z$3="","",入力データ!$C$104*12)</f>
        <v/>
      </c>
      <c r="AA37" s="359">
        <f>IF(AA$3="","",入力データ!$C$104*12)</f>
        <v/>
      </c>
      <c r="AB37" s="359">
        <f>IF(AB$3="","",入力データ!$C$104*12)</f>
        <v/>
      </c>
      <c r="AC37" s="359">
        <f>IF(AC$3="","",入力データ!$C$104*12)</f>
        <v/>
      </c>
      <c r="AD37" s="359">
        <f>IF(AD$3="","",入力データ!$C$104*12)</f>
        <v/>
      </c>
      <c r="AE37" s="359">
        <f>IF(AE$3="","",入力データ!$C$104*12)</f>
        <v/>
      </c>
      <c r="AF37" s="359">
        <f>IF(AF$3="","",入力データ!$C$104*12)</f>
        <v/>
      </c>
      <c r="AG37" s="359">
        <f>IF(AG$3="","",入力データ!$C$104*12)</f>
        <v/>
      </c>
      <c r="AH37" s="359">
        <f>IF(AH$3="","",入力データ!$C$104*12)</f>
        <v/>
      </c>
      <c r="AI37" s="359">
        <f>IF(AI$3="","",入力データ!$C$104*12)</f>
        <v/>
      </c>
      <c r="AJ37" s="359">
        <f>IF(AJ$3="","",入力データ!$C$104*12)</f>
        <v/>
      </c>
      <c r="AK37" s="359">
        <f>IF(AK$3="","",入力データ!$C$104*12)</f>
        <v/>
      </c>
      <c r="AL37" s="359">
        <f>IF(AL$3="","",入力データ!$C$104*12)</f>
        <v/>
      </c>
      <c r="AM37" s="359">
        <f>IF(AM$3="","",入力データ!$C$104*12)</f>
        <v/>
      </c>
      <c r="AN37" s="359">
        <f>IF(AN$3="","",入力データ!$C$104*12)</f>
        <v/>
      </c>
      <c r="AO37" s="359">
        <f>IF(AO$3="","",入力データ!$C$104*12)</f>
        <v/>
      </c>
      <c r="AP37" s="359">
        <f>IF(AP$3="","",入力データ!$C$104*12)</f>
        <v/>
      </c>
      <c r="AQ37" s="359">
        <f>IF(AQ$3="","",入力データ!$C$104*12)</f>
        <v/>
      </c>
      <c r="AR37" s="359">
        <f>IF(AR$3="","",入力データ!$C$104*12)</f>
        <v/>
      </c>
      <c r="AS37" s="359">
        <f>IF(AS$3="","",入力データ!$C$104*12)</f>
        <v/>
      </c>
      <c r="AT37" s="359">
        <f>IF(AT$3="","",入力データ!$C$104*12)</f>
        <v/>
      </c>
      <c r="AU37" s="359">
        <f>IF(AU$3="","",入力データ!$C$104*12)</f>
        <v/>
      </c>
      <c r="AV37" s="359">
        <f>IF(AV$3="","",入力データ!$C$104*12)</f>
        <v/>
      </c>
      <c r="AW37" s="359">
        <f>IF(AW$3="","",入力データ!$C$104*12)</f>
        <v/>
      </c>
      <c r="AX37" s="359">
        <f>IF(AX$3="","",入力データ!$C$104*12)</f>
        <v/>
      </c>
      <c r="AY37" s="359">
        <f>IF(AY$3="","",入力データ!$C$104*12)</f>
        <v/>
      </c>
      <c r="AZ37" s="359">
        <f>IF(AZ$3="","",入力データ!$C$104*12)</f>
        <v/>
      </c>
      <c r="BA37" s="359">
        <f>IF(BA$3="","",入力データ!$C$104*12)</f>
        <v/>
      </c>
      <c r="BB37" s="359">
        <f>IF(BB$3="","",入力データ!$C$104*12)</f>
        <v/>
      </c>
      <c r="BC37" s="359">
        <f>IF(BC$3="","",入力データ!$C$104*12)</f>
        <v/>
      </c>
      <c r="BD37" s="359">
        <f>IF(BD$3="","",入力データ!$C$104*12)</f>
        <v/>
      </c>
      <c r="BE37" s="359">
        <f>IF(BE$3="","",入力データ!$C$104*12)</f>
        <v/>
      </c>
      <c r="BF37" s="359">
        <f>IF(BF$3="","",入力データ!$C$104*12)</f>
        <v/>
      </c>
      <c r="BG37" s="359">
        <f>IF(BG$3="","",入力データ!$C$104*12)</f>
        <v/>
      </c>
      <c r="BH37" s="359">
        <f>IF(BH$3="","",入力データ!$C$104*12)</f>
        <v/>
      </c>
      <c r="BI37" s="359">
        <f>IF(BI$3="","",入力データ!$C$104*12)</f>
        <v/>
      </c>
      <c r="BJ37" s="359">
        <f>IF(BJ$3="","",入力データ!$C$104*12)</f>
        <v/>
      </c>
      <c r="BK37" s="359">
        <f>IF(BK$3="","",入力データ!$C$104*12)</f>
        <v/>
      </c>
      <c r="BL37" s="359">
        <f>IF(BL$3="","",入力データ!$C$104*12)</f>
        <v/>
      </c>
      <c r="BM37" s="359">
        <f>IF(BM$3="","",入力データ!$C$104*12)</f>
        <v/>
      </c>
      <c r="BN37" s="359">
        <f>IF(BN$3="","",入力データ!$C$104*12)</f>
        <v/>
      </c>
      <c r="BO37" s="359">
        <f>IF(BO$3="","",入力データ!$C$104*12)</f>
        <v/>
      </c>
      <c r="BP37" s="359">
        <f>IF(BP$3="","",入力データ!$C$104*12)</f>
        <v/>
      </c>
      <c r="BQ37" s="359">
        <f>IF(BQ$3="","",入力データ!$C$104*12)</f>
        <v/>
      </c>
      <c r="BR37" s="359">
        <f>IF(BR$3="","",入力データ!$C$104*12)</f>
        <v/>
      </c>
      <c r="BS37" s="359">
        <f>IF(BS$3="","",入力データ!$C$104*12)</f>
        <v/>
      </c>
      <c r="BT37" s="359">
        <f>IF(BT$3="","",入力データ!$C$104*12)</f>
        <v/>
      </c>
      <c r="BU37" s="359">
        <f>IF(BU$3="","",入力データ!$C$104*12)</f>
        <v/>
      </c>
      <c r="BV37" s="359">
        <f>IF(BV$3="","",入力データ!$C$104*12)</f>
        <v/>
      </c>
      <c r="BW37" s="359">
        <f>IF(BW$3="","",入力データ!$C$104*12)</f>
        <v/>
      </c>
      <c r="BX37" s="359">
        <f>IF(BX$3="","",入力データ!$C$104*12)</f>
        <v/>
      </c>
      <c r="BY37" s="359">
        <f>IF(BY$3="","",入力データ!$C$104*12)</f>
        <v/>
      </c>
      <c r="BZ37" s="359">
        <f>IF(BZ$3="","",入力データ!$C$104*12)</f>
        <v/>
      </c>
      <c r="CA37" s="359">
        <f>IF(CA$3="","",入力データ!$C$104*12)</f>
        <v/>
      </c>
      <c r="CB37" s="359">
        <f>IF(CB$3="","",入力データ!$C$104*12)</f>
        <v/>
      </c>
      <c r="CC37" s="359">
        <f>IF(CC$3="","",入力データ!$C$104*12)</f>
        <v/>
      </c>
      <c r="CD37" s="359">
        <f>IF(CD$3="","",入力データ!$C$104*12)</f>
        <v/>
      </c>
      <c r="CE37" s="359">
        <f>IF(CE$3="","",入力データ!$C$104*12)</f>
        <v/>
      </c>
      <c r="CF37" s="359">
        <f>IF(CF$3="","",入力データ!$C$104*12)</f>
        <v/>
      </c>
      <c r="CG37" s="359">
        <f>IF(CG$3="","",入力データ!$C$104*12)</f>
        <v/>
      </c>
      <c r="CH37" s="359">
        <f>IF(CH$3="","",入力データ!$C$104*12)</f>
        <v/>
      </c>
      <c r="CI37" s="359">
        <f>IF(CI$3="","",入力データ!$C$104*12)</f>
        <v/>
      </c>
      <c r="CJ37" s="359">
        <f>IF(CJ$3="","",入力データ!$C$104*12)</f>
        <v/>
      </c>
      <c r="CK37" s="359">
        <f>IF(CK$3="","",入力データ!$C$104*12)</f>
        <v/>
      </c>
      <c r="CL37" s="359">
        <f>IF(CL$3="","",入力データ!$C$104*12)</f>
        <v/>
      </c>
      <c r="CM37" s="359">
        <f>IF(CM$3="","",入力データ!$C$104*12)</f>
        <v/>
      </c>
      <c r="CN37" s="359">
        <f>IF(CN$3="","",入力データ!$C$104*12)</f>
        <v/>
      </c>
      <c r="CO37" s="359">
        <f>IF(CO$3="","",入力データ!$C$104*12)</f>
        <v/>
      </c>
      <c r="CP37" s="359">
        <f>IF(CP$3="","",入力データ!$C$104*12)</f>
        <v/>
      </c>
      <c r="CQ37" s="359">
        <f>IF(CQ$3="","",入力データ!$C$104*12)</f>
        <v/>
      </c>
      <c r="CR37" s="359">
        <f>IF(CR$3="","",入力データ!$C$104*12)</f>
        <v/>
      </c>
      <c r="CS37" s="359">
        <f>IF(CS$3="","",入力データ!$C$104*12)</f>
        <v/>
      </c>
      <c r="CT37" s="359">
        <f>IF(CT$3="","",入力データ!$C$104*12)</f>
        <v/>
      </c>
      <c r="CU37" s="359">
        <f>IF(CU$3="","",入力データ!$C$104*12)</f>
        <v/>
      </c>
      <c r="CV37" s="359">
        <f>IF(CV$3="","",入力データ!$C$104*12)</f>
        <v/>
      </c>
      <c r="CW37" s="359">
        <f>IF(CW$3="","",入力データ!$C$104*12)</f>
        <v/>
      </c>
    </row>
    <row r="38" hidden="1" ht="16.5" customHeight="1" s="180">
      <c r="A38" s="239" t="inlineStr">
        <is>
          <t>預貯金前年差引前(補助)</t>
        </is>
      </c>
      <c r="B38" s="359">
        <f>IF(B$3="","",SUM(入力データ!$C$88:$C$89)+B30-B36-B37)</f>
        <v/>
      </c>
      <c r="C38" s="359">
        <f>IF(C$3="","",B31+C30-C36-C37)</f>
        <v/>
      </c>
      <c r="D38" s="359">
        <f>IF(D$3="","",C31+D30-D36-D37)</f>
        <v/>
      </c>
      <c r="E38" s="359">
        <f>IF(E$3="","",D31+E30-E36-E37)</f>
        <v/>
      </c>
      <c r="F38" s="359">
        <f>IF(F$3="","",E31+F30-F36-F37)</f>
        <v/>
      </c>
      <c r="G38" s="359">
        <f>IF(G$3="","",F31+G30-G36-G37)</f>
        <v/>
      </c>
      <c r="H38" s="359">
        <f>IF(H$3="","",G31+H30-H36-H37)</f>
        <v/>
      </c>
      <c r="I38" s="359">
        <f>IF(I$3="","",H31+I30-I36-I37)</f>
        <v/>
      </c>
      <c r="J38" s="359">
        <f>IF(J$3="","",I31+J30-J36-J37)</f>
        <v/>
      </c>
      <c r="K38" s="359">
        <f>IF(K$3="","",J31+K30-K36-K37)</f>
        <v/>
      </c>
      <c r="L38" s="359">
        <f>IF(L$3="","",K31+L30-L36-L37)</f>
        <v/>
      </c>
      <c r="M38" s="359">
        <f>IF(M$3="","",L31+M30-M36-M37)</f>
        <v/>
      </c>
      <c r="N38" s="359">
        <f>IF(N$3="","",M31+N30-N36-N37)</f>
        <v/>
      </c>
      <c r="O38" s="359">
        <f>IF(O$3="","",N31+O30-O36-O37)</f>
        <v/>
      </c>
      <c r="P38" s="359">
        <f>IF(P$3="","",O31+P30-P36-P37)</f>
        <v/>
      </c>
      <c r="Q38" s="359">
        <f>IF(Q$3="","",P31+Q30-Q36-Q37)</f>
        <v/>
      </c>
      <c r="R38" s="359">
        <f>IF(R$3="","",Q31+R30-R36-R37)</f>
        <v/>
      </c>
      <c r="S38" s="359">
        <f>IF(S$3="","",R31+S30-S36-S37)</f>
        <v/>
      </c>
      <c r="T38" s="359">
        <f>IF(T$3="","",S31+T30-T36-T37)</f>
        <v/>
      </c>
      <c r="U38" s="359">
        <f>IF(U$3="","",T31+U30-U36-U37)</f>
        <v/>
      </c>
      <c r="V38" s="359">
        <f>IF(V$3="","",U31+V30-V36-V37)</f>
        <v/>
      </c>
      <c r="W38" s="359">
        <f>IF(W$3="","",V31+W30-W36-W37)</f>
        <v/>
      </c>
      <c r="X38" s="359">
        <f>IF(X$3="","",W31+X30-X36-X37)</f>
        <v/>
      </c>
      <c r="Y38" s="359">
        <f>IF(Y$3="","",X31+Y30-Y36-Y37)</f>
        <v/>
      </c>
      <c r="Z38" s="359">
        <f>IF(Z$3="","",Y31+Z30-Z36-Z37)</f>
        <v/>
      </c>
      <c r="AA38" s="359">
        <f>IF(AA$3="","",Z31+AA30-AA36-AA37)</f>
        <v/>
      </c>
      <c r="AB38" s="359">
        <f>IF(AB$3="","",AA31+AB30-AB36-AB37)</f>
        <v/>
      </c>
      <c r="AC38" s="359">
        <f>IF(AC$3="","",AB31+AC30-AC36-AC37)</f>
        <v/>
      </c>
      <c r="AD38" s="359">
        <f>IF(AD$3="","",AC31+AD30-AD36-AD37)</f>
        <v/>
      </c>
      <c r="AE38" s="359">
        <f>IF(AE$3="","",AD31+AE30-AE36-AE37)</f>
        <v/>
      </c>
      <c r="AF38" s="359">
        <f>IF(AF$3="","",AE31+AF30-AF36-AF37)</f>
        <v/>
      </c>
      <c r="AG38" s="359">
        <f>IF(AG$3="","",AF31+AG30-AG36-AG37)</f>
        <v/>
      </c>
      <c r="AH38" s="359">
        <f>IF(AH$3="","",AG31+AH30-AH36-AH37)</f>
        <v/>
      </c>
      <c r="AI38" s="359">
        <f>IF(AI$3="","",AH31+AI30-AI36-AI37)</f>
        <v/>
      </c>
      <c r="AJ38" s="359">
        <f>IF(AJ$3="","",AI31+AJ30-AJ36-AJ37)</f>
        <v/>
      </c>
      <c r="AK38" s="359">
        <f>IF(AK$3="","",AJ31+AK30-AK36-AK37)</f>
        <v/>
      </c>
      <c r="AL38" s="359">
        <f>IF(AL$3="","",AK31+AL30-AL36-AL37)</f>
        <v/>
      </c>
      <c r="AM38" s="359">
        <f>IF(AM$3="","",AL31+AM30-AM36-AM37)</f>
        <v/>
      </c>
      <c r="AN38" s="359">
        <f>IF(AN$3="","",AM31+AN30-AN36-AN37)</f>
        <v/>
      </c>
      <c r="AO38" s="359">
        <f>IF(AO$3="","",AN31+AO30-AO36-AO37)</f>
        <v/>
      </c>
      <c r="AP38" s="359">
        <f>IF(AP$3="","",AO31+AP30-AP36-AP37)</f>
        <v/>
      </c>
      <c r="AQ38" s="359">
        <f>IF(AQ$3="","",AP31+AQ30-AQ36-AQ37)</f>
        <v/>
      </c>
      <c r="AR38" s="359">
        <f>IF(AR$3="","",AQ31+AR30-AR36-AR37)</f>
        <v/>
      </c>
      <c r="AS38" s="359">
        <f>IF(AS$3="","",AR31+AS30-AS36-AS37)</f>
        <v/>
      </c>
      <c r="AT38" s="359">
        <f>IF(AT$3="","",AS31+AT30-AT36-AT37)</f>
        <v/>
      </c>
      <c r="AU38" s="359">
        <f>IF(AU$3="","",AT31+AU30-AU36-AU37)</f>
        <v/>
      </c>
      <c r="AV38" s="359">
        <f>IF(AV$3="","",AU31+AV30-AV36-AV37)</f>
        <v/>
      </c>
      <c r="AW38" s="359">
        <f>IF(AW$3="","",AV31+AW30-AW36-AW37)</f>
        <v/>
      </c>
      <c r="AX38" s="359">
        <f>IF(AX$3="","",AW31+AX30-AX36-AX37)</f>
        <v/>
      </c>
      <c r="AY38" s="359">
        <f>IF(AY$3="","",AX31+AY30-AY36-AY37)</f>
        <v/>
      </c>
      <c r="AZ38" s="359">
        <f>IF(AZ$3="","",AY31+AZ30-AZ36-AZ37)</f>
        <v/>
      </c>
      <c r="BA38" s="359">
        <f>IF(BA$3="","",AZ31+BA30-BA36-BA37)</f>
        <v/>
      </c>
      <c r="BB38" s="359">
        <f>IF(BB$3="","",BA31+BB30-BB36-BB37)</f>
        <v/>
      </c>
      <c r="BC38" s="359">
        <f>IF(BC$3="","",BB31+BC30-BC36-BC37)</f>
        <v/>
      </c>
      <c r="BD38" s="359">
        <f>IF(BD$3="","",BC31+BD30-BD36-BD37)</f>
        <v/>
      </c>
      <c r="BE38" s="359">
        <f>IF(BE$3="","",BD31+BE30-BE36-BE37)</f>
        <v/>
      </c>
      <c r="BF38" s="359">
        <f>IF(BF$3="","",BE31+BF30-BF36-BF37)</f>
        <v/>
      </c>
      <c r="BG38" s="359">
        <f>IF(BG$3="","",BF31+BG30-BG36-BG37)</f>
        <v/>
      </c>
      <c r="BH38" s="359">
        <f>IF(BH$3="","",BG31+BH30-BH36-BH37)</f>
        <v/>
      </c>
      <c r="BI38" s="359">
        <f>IF(BI$3="","",BH31+BI30-BI36-BI37)</f>
        <v/>
      </c>
      <c r="BJ38" s="359">
        <f>IF(BJ$3="","",BI31+BJ30-BJ36-BJ37)</f>
        <v/>
      </c>
      <c r="BK38" s="359">
        <f>IF(BK$3="","",BJ31+BK30-BK36-BK37)</f>
        <v/>
      </c>
      <c r="BL38" s="359">
        <f>IF(BL$3="","",BK31+BL30-BL36-BL37)</f>
        <v/>
      </c>
      <c r="BM38" s="359">
        <f>IF(BM$3="","",BL31+BM30-BM36-BM37)</f>
        <v/>
      </c>
      <c r="BN38" s="359">
        <f>IF(BN$3="","",BM31+BN30-BN36-BN37)</f>
        <v/>
      </c>
      <c r="BO38" s="359">
        <f>IF(BO$3="","",BN31+BO30-BO36-BO37)</f>
        <v/>
      </c>
      <c r="BP38" s="359">
        <f>IF(BP$3="","",BO31+BP30-BP36-BP37)</f>
        <v/>
      </c>
      <c r="BQ38" s="359">
        <f>IF(BQ$3="","",BP31+BQ30-BQ36-BQ37)</f>
        <v/>
      </c>
      <c r="BR38" s="359">
        <f>IF(BR$3="","",BQ31+BR30-BR36-BR37)</f>
        <v/>
      </c>
      <c r="BS38" s="359">
        <f>IF(BS$3="","",BR31+BS30-BS36-BS37)</f>
        <v/>
      </c>
      <c r="BT38" s="359">
        <f>IF(BT$3="","",BS31+BT30-BT36-BT37)</f>
        <v/>
      </c>
      <c r="BU38" s="359">
        <f>IF(BU$3="","",BT31+BU30-BU36-BU37)</f>
        <v/>
      </c>
      <c r="BV38" s="359">
        <f>IF(BV$3="","",BU31+BV30-BV36-BV37)</f>
        <v/>
      </c>
      <c r="BW38" s="359">
        <f>IF(BW$3="","",BV31+BW30-BW36-BW37)</f>
        <v/>
      </c>
      <c r="BX38" s="359">
        <f>IF(BX$3="","",BW31+BX30-BX36-BX37)</f>
        <v/>
      </c>
      <c r="BY38" s="359">
        <f>IF(BY$3="","",BX31+BY30-BY36-BY37)</f>
        <v/>
      </c>
      <c r="BZ38" s="359">
        <f>IF(BZ$3="","",BY31+BZ30-BZ36-BZ37)</f>
        <v/>
      </c>
      <c r="CA38" s="359">
        <f>IF(CA$3="","",BZ31+CA30-CA36-CA37)</f>
        <v/>
      </c>
      <c r="CB38" s="359">
        <f>IF(CB$3="","",CA31+CB30-CB36-CB37)</f>
        <v/>
      </c>
      <c r="CC38" s="359">
        <f>IF(CC$3="","",CB31+CC30-CC36-CC37)</f>
        <v/>
      </c>
      <c r="CD38" s="359">
        <f>IF(CD$3="","",CC31+CD30-CD36-CD37)</f>
        <v/>
      </c>
      <c r="CE38" s="359">
        <f>IF(CE$3="","",CD31+CE30-CE36-CE37)</f>
        <v/>
      </c>
      <c r="CF38" s="359">
        <f>IF(CF$3="","",CE31+CF30-CF36-CF37)</f>
        <v/>
      </c>
      <c r="CG38" s="359">
        <f>IF(CG$3="","",CF31+CG30-CG36-CG37)</f>
        <v/>
      </c>
      <c r="CH38" s="359">
        <f>IF(CH$3="","",CG31+CH30-CH36-CH37)</f>
        <v/>
      </c>
      <c r="CI38" s="359">
        <f>IF(CI$3="","",CH31+CI30-CI36-CI37)</f>
        <v/>
      </c>
      <c r="CJ38" s="359">
        <f>IF(CJ$3="","",CI31+CJ30-CJ36-CJ37)</f>
        <v/>
      </c>
      <c r="CK38" s="359">
        <f>IF(CK$3="","",CJ31+CK30-CK36-CK37)</f>
        <v/>
      </c>
      <c r="CL38" s="359">
        <f>IF(CL$3="","",CK31+CL30-CL36-CL37)</f>
        <v/>
      </c>
      <c r="CM38" s="359">
        <f>IF(CM$3="","",CL31+CM30-CM36-CM37)</f>
        <v/>
      </c>
      <c r="CN38" s="359">
        <f>IF(CN$3="","",CM31+CN30-CN36-CN37)</f>
        <v/>
      </c>
      <c r="CO38" s="359">
        <f>IF(CO$3="","",CN31+CO30-CO36-CO37)</f>
        <v/>
      </c>
      <c r="CP38" s="359">
        <f>IF(CP$3="","",CO31+CP30-CP36-CP37)</f>
        <v/>
      </c>
      <c r="CQ38" s="359">
        <f>IF(CQ$3="","",CP31+CQ30-CQ36-CQ37)</f>
        <v/>
      </c>
      <c r="CR38" s="359">
        <f>IF(CR$3="","",CQ31+CR30-CR36-CR37)</f>
        <v/>
      </c>
      <c r="CS38" s="359">
        <f>IF(CS$3="","",CR31+CS30-CS36-CS37)</f>
        <v/>
      </c>
      <c r="CT38" s="359">
        <f>IF(CT$3="","",CS31+CT30-CT36-CT37)</f>
        <v/>
      </c>
      <c r="CU38" s="359">
        <f>IF(CU$3="","",CT31+CU30-CU36-CU37)</f>
        <v/>
      </c>
      <c r="CV38" s="359">
        <f>IF(CV$3="","",CU31+CV30-CV36-CV37)</f>
        <v/>
      </c>
      <c r="CW38" s="359">
        <f>IF(CW$3="","",CV31+CW30-CW36-CW37)</f>
        <v/>
      </c>
    </row>
    <row r="39" hidden="1" ht="16.5" customHeight="1" s="180">
      <c r="A39" s="239" t="inlineStr">
        <is>
          <t>投資取り崩し額(補助)</t>
        </is>
      </c>
      <c r="B39" s="359">
        <f>IF(B$3="","",MAX(0,-B38))</f>
        <v/>
      </c>
      <c r="C39" s="359">
        <f>IF(C$3="","",MAX(0,-C38))</f>
        <v/>
      </c>
      <c r="D39" s="359">
        <f>IF(D$3="","",MAX(0,-D38))</f>
        <v/>
      </c>
      <c r="E39" s="359">
        <f>IF(E$3="","",MAX(0,-E38))</f>
        <v/>
      </c>
      <c r="F39" s="359">
        <f>IF(F$3="","",MAX(0,-F38))</f>
        <v/>
      </c>
      <c r="G39" s="359">
        <f>IF(G$3="","",MAX(0,-G38))</f>
        <v/>
      </c>
      <c r="H39" s="359">
        <f>IF(H$3="","",MAX(0,-H38))</f>
        <v/>
      </c>
      <c r="I39" s="359">
        <f>IF(I$3="","",MAX(0,-I38))</f>
        <v/>
      </c>
      <c r="J39" s="359">
        <f>IF(J$3="","",MAX(0,-J38))</f>
        <v/>
      </c>
      <c r="K39" s="359">
        <f>IF(K$3="","",MAX(0,-K38))</f>
        <v/>
      </c>
      <c r="L39" s="359">
        <f>IF(L$3="","",MAX(0,-L38))</f>
        <v/>
      </c>
      <c r="M39" s="359">
        <f>IF(M$3="","",MAX(0,-M38))</f>
        <v/>
      </c>
      <c r="N39" s="359">
        <f>IF(N$3="","",MAX(0,-N38))</f>
        <v/>
      </c>
      <c r="O39" s="359">
        <f>IF(O$3="","",MAX(0,-O38))</f>
        <v/>
      </c>
      <c r="P39" s="359">
        <f>IF(P$3="","",MAX(0,-P38))</f>
        <v/>
      </c>
      <c r="Q39" s="359">
        <f>IF(Q$3="","",MAX(0,-Q38))</f>
        <v/>
      </c>
      <c r="R39" s="359">
        <f>IF(R$3="","",MAX(0,-R38))</f>
        <v/>
      </c>
      <c r="S39" s="359">
        <f>IF(S$3="","",MAX(0,-S38))</f>
        <v/>
      </c>
      <c r="T39" s="359">
        <f>IF(T$3="","",MAX(0,-T38))</f>
        <v/>
      </c>
      <c r="U39" s="359">
        <f>IF(U$3="","",MAX(0,-U38))</f>
        <v/>
      </c>
      <c r="V39" s="359">
        <f>IF(V$3="","",MAX(0,-V38))</f>
        <v/>
      </c>
      <c r="W39" s="359">
        <f>IF(W$3="","",MAX(0,-W38))</f>
        <v/>
      </c>
      <c r="X39" s="359">
        <f>IF(X$3="","",MAX(0,-X38))</f>
        <v/>
      </c>
      <c r="Y39" s="359">
        <f>IF(Y$3="","",MAX(0,-Y38))</f>
        <v/>
      </c>
      <c r="Z39" s="359">
        <f>IF(Z$3="","",MAX(0,-Z38))</f>
        <v/>
      </c>
      <c r="AA39" s="359">
        <f>IF(AA$3="","",MAX(0,-AA38))</f>
        <v/>
      </c>
      <c r="AB39" s="359">
        <f>IF(AB$3="","",MAX(0,-AB38))</f>
        <v/>
      </c>
      <c r="AC39" s="359">
        <f>IF(AC$3="","",MAX(0,-AC38))</f>
        <v/>
      </c>
      <c r="AD39" s="359">
        <f>IF(AD$3="","",MAX(0,-AD38))</f>
        <v/>
      </c>
      <c r="AE39" s="359">
        <f>IF(AE$3="","",MAX(0,-AE38))</f>
        <v/>
      </c>
      <c r="AF39" s="359">
        <f>IF(AF$3="","",MAX(0,-AF38))</f>
        <v/>
      </c>
      <c r="AG39" s="359">
        <f>IF(AG$3="","",MAX(0,-AG38))</f>
        <v/>
      </c>
      <c r="AH39" s="359">
        <f>IF(AH$3="","",MAX(0,-AH38))</f>
        <v/>
      </c>
      <c r="AI39" s="359">
        <f>IF(AI$3="","",MAX(0,-AI38))</f>
        <v/>
      </c>
      <c r="AJ39" s="359">
        <f>IF(AJ$3="","",MAX(0,-AJ38))</f>
        <v/>
      </c>
      <c r="AK39" s="359">
        <f>IF(AK$3="","",MAX(0,-AK38))</f>
        <v/>
      </c>
      <c r="AL39" s="359">
        <f>IF(AL$3="","",MAX(0,-AL38))</f>
        <v/>
      </c>
      <c r="AM39" s="359">
        <f>IF(AM$3="","",MAX(0,-AM38))</f>
        <v/>
      </c>
      <c r="AN39" s="359">
        <f>IF(AN$3="","",MAX(0,-AN38))</f>
        <v/>
      </c>
      <c r="AO39" s="359">
        <f>IF(AO$3="","",MAX(0,-AO38))</f>
        <v/>
      </c>
      <c r="AP39" s="359">
        <f>IF(AP$3="","",MAX(0,-AP38))</f>
        <v/>
      </c>
      <c r="AQ39" s="359">
        <f>IF(AQ$3="","",MAX(0,-AQ38))</f>
        <v/>
      </c>
      <c r="AR39" s="359">
        <f>IF(AR$3="","",MAX(0,-AR38))</f>
        <v/>
      </c>
      <c r="AS39" s="359">
        <f>IF(AS$3="","",MAX(0,-AS38))</f>
        <v/>
      </c>
      <c r="AT39" s="359">
        <f>IF(AT$3="","",MAX(0,-AT38))</f>
        <v/>
      </c>
      <c r="AU39" s="359">
        <f>IF(AU$3="","",MAX(0,-AU38))</f>
        <v/>
      </c>
      <c r="AV39" s="359">
        <f>IF(AV$3="","",MAX(0,-AV38))</f>
        <v/>
      </c>
      <c r="AW39" s="359">
        <f>IF(AW$3="","",MAX(0,-AW38))</f>
        <v/>
      </c>
      <c r="AX39" s="359">
        <f>IF(AX$3="","",MAX(0,-AX38))</f>
        <v/>
      </c>
      <c r="AY39" s="359">
        <f>IF(AY$3="","",MAX(0,-AY38))</f>
        <v/>
      </c>
      <c r="AZ39" s="359">
        <f>IF(AZ$3="","",MAX(0,-AZ38))</f>
        <v/>
      </c>
      <c r="BA39" s="359">
        <f>IF(BA$3="","",MAX(0,-BA38))</f>
        <v/>
      </c>
      <c r="BB39" s="359">
        <f>IF(BB$3="","",MAX(0,-BB38))</f>
        <v/>
      </c>
      <c r="BC39" s="359">
        <f>IF(BC$3="","",MAX(0,-BC38))</f>
        <v/>
      </c>
      <c r="BD39" s="359">
        <f>IF(BD$3="","",MAX(0,-BD38))</f>
        <v/>
      </c>
      <c r="BE39" s="359">
        <f>IF(BE$3="","",MAX(0,-BE38))</f>
        <v/>
      </c>
      <c r="BF39" s="359">
        <f>IF(BF$3="","",MAX(0,-BF38))</f>
        <v/>
      </c>
      <c r="BG39" s="359">
        <f>IF(BG$3="","",MAX(0,-BG38))</f>
        <v/>
      </c>
      <c r="BH39" s="359">
        <f>IF(BH$3="","",MAX(0,-BH38))</f>
        <v/>
      </c>
      <c r="BI39" s="359">
        <f>IF(BI$3="","",MAX(0,-BI38))</f>
        <v/>
      </c>
      <c r="BJ39" s="359">
        <f>IF(BJ$3="","",MAX(0,-BJ38))</f>
        <v/>
      </c>
      <c r="BK39" s="359">
        <f>IF(BK$3="","",MAX(0,-BK38))</f>
        <v/>
      </c>
      <c r="BL39" s="359">
        <f>IF(BL$3="","",MAX(0,-BL38))</f>
        <v/>
      </c>
      <c r="BM39" s="359">
        <f>IF(BM$3="","",MAX(0,-BM38))</f>
        <v/>
      </c>
      <c r="BN39" s="359">
        <f>IF(BN$3="","",MAX(0,-BN38))</f>
        <v/>
      </c>
      <c r="BO39" s="359">
        <f>IF(BO$3="","",MAX(0,-BO38))</f>
        <v/>
      </c>
      <c r="BP39" s="359">
        <f>IF(BP$3="","",MAX(0,-BP38))</f>
        <v/>
      </c>
      <c r="BQ39" s="359">
        <f>IF(BQ$3="","",MAX(0,-BQ38))</f>
        <v/>
      </c>
      <c r="BR39" s="359">
        <f>IF(BR$3="","",MAX(0,-BR38))</f>
        <v/>
      </c>
      <c r="BS39" s="359">
        <f>IF(BS$3="","",MAX(0,-BS38))</f>
        <v/>
      </c>
      <c r="BT39" s="359">
        <f>IF(BT$3="","",MAX(0,-BT38))</f>
        <v/>
      </c>
      <c r="BU39" s="359">
        <f>IF(BU$3="","",MAX(0,-BU38))</f>
        <v/>
      </c>
      <c r="BV39" s="359">
        <f>IF(BV$3="","",MAX(0,-BV38))</f>
        <v/>
      </c>
      <c r="BW39" s="359">
        <f>IF(BW$3="","",MAX(0,-BW38))</f>
        <v/>
      </c>
      <c r="BX39" s="359">
        <f>IF(BX$3="","",MAX(0,-BX38))</f>
        <v/>
      </c>
      <c r="BY39" s="359">
        <f>IF(BY$3="","",MAX(0,-BY38))</f>
        <v/>
      </c>
      <c r="BZ39" s="359">
        <f>IF(BZ$3="","",MAX(0,-BZ38))</f>
        <v/>
      </c>
      <c r="CA39" s="359">
        <f>IF(CA$3="","",MAX(0,-CA38))</f>
        <v/>
      </c>
      <c r="CB39" s="359">
        <f>IF(CB$3="","",MAX(0,-CB38))</f>
        <v/>
      </c>
      <c r="CC39" s="359">
        <f>IF(CC$3="","",MAX(0,-CC38))</f>
        <v/>
      </c>
      <c r="CD39" s="359">
        <f>IF(CD$3="","",MAX(0,-CD38))</f>
        <v/>
      </c>
      <c r="CE39" s="359">
        <f>IF(CE$3="","",MAX(0,-CE38))</f>
        <v/>
      </c>
      <c r="CF39" s="359">
        <f>IF(CF$3="","",MAX(0,-CF38))</f>
        <v/>
      </c>
      <c r="CG39" s="359">
        <f>IF(CG$3="","",MAX(0,-CG38))</f>
        <v/>
      </c>
      <c r="CH39" s="359">
        <f>IF(CH$3="","",MAX(0,-CH38))</f>
        <v/>
      </c>
      <c r="CI39" s="359">
        <f>IF(CI$3="","",MAX(0,-CI38))</f>
        <v/>
      </c>
      <c r="CJ39" s="359">
        <f>IF(CJ$3="","",MAX(0,-CJ38))</f>
        <v/>
      </c>
      <c r="CK39" s="359">
        <f>IF(CK$3="","",MAX(0,-CK38))</f>
        <v/>
      </c>
      <c r="CL39" s="359">
        <f>IF(CL$3="","",MAX(0,-CL38))</f>
        <v/>
      </c>
      <c r="CM39" s="359">
        <f>IF(CM$3="","",MAX(0,-CM38))</f>
        <v/>
      </c>
      <c r="CN39" s="359">
        <f>IF(CN$3="","",MAX(0,-CN38))</f>
        <v/>
      </c>
      <c r="CO39" s="359">
        <f>IF(CO$3="","",MAX(0,-CO38))</f>
        <v/>
      </c>
      <c r="CP39" s="359">
        <f>IF(CP$3="","",MAX(0,-CP38))</f>
        <v/>
      </c>
      <c r="CQ39" s="359">
        <f>IF(CQ$3="","",MAX(0,-CQ38))</f>
        <v/>
      </c>
      <c r="CR39" s="359">
        <f>IF(CR$3="","",MAX(0,-CR38))</f>
        <v/>
      </c>
      <c r="CS39" s="359">
        <f>IF(CS$3="","",MAX(0,-CS38))</f>
        <v/>
      </c>
      <c r="CT39" s="359">
        <f>IF(CT$3="","",MAX(0,-CT38))</f>
        <v/>
      </c>
      <c r="CU39" s="359">
        <f>IF(CU$3="","",MAX(0,-CU38))</f>
        <v/>
      </c>
      <c r="CV39" s="359">
        <f>IF(CV$3="","",MAX(0,-CV38))</f>
        <v/>
      </c>
      <c r="CW39" s="359">
        <f>IF(CW$3="","",MAX(0,-CW38))</f>
        <v/>
      </c>
    </row>
    <row r="40" hidden="1" ht="16.5" customHeight="1" s="180">
      <c r="A40" s="239" t="inlineStr">
        <is>
          <t>返戻金取り崩し額(補助)</t>
        </is>
      </c>
      <c r="B40" s="359">
        <f>IF(B$3="","",MAX(0,B39-((SUM(入力データ!$C$90:$C$92,入力データ!$C$94)*(1+前提条件!$C$60))+B36)))</f>
        <v/>
      </c>
      <c r="C40" s="359">
        <f>IF(C$3="","",MAX(0,C39-((B32*(1+前提条件!$C$60))+C36)))</f>
        <v/>
      </c>
      <c r="D40" s="359">
        <f>IF(D$3="","",MAX(0,D39-((C32*(1+前提条件!$C$60))+D36)))</f>
        <v/>
      </c>
      <c r="E40" s="359">
        <f>IF(E$3="","",MAX(0,E39-((D32*(1+前提条件!$C$60))+E36)))</f>
        <v/>
      </c>
      <c r="F40" s="359">
        <f>IF(F$3="","",MAX(0,F39-((E32*(1+前提条件!$C$60))+F36)))</f>
        <v/>
      </c>
      <c r="G40" s="359">
        <f>IF(G$3="","",MAX(0,G39-((F32*(1+前提条件!$C$60))+G36)))</f>
        <v/>
      </c>
      <c r="H40" s="359">
        <f>IF(H$3="","",MAX(0,H39-((G32*(1+前提条件!$C$60))+H36)))</f>
        <v/>
      </c>
      <c r="I40" s="359">
        <f>IF(I$3="","",MAX(0,I39-((H32*(1+前提条件!$C$60))+I36)))</f>
        <v/>
      </c>
      <c r="J40" s="359">
        <f>IF(J$3="","",MAX(0,J39-((I32*(1+前提条件!$C$60))+J36)))</f>
        <v/>
      </c>
      <c r="K40" s="359">
        <f>IF(K$3="","",MAX(0,K39-((J32*(1+前提条件!$C$60))+K36)))</f>
        <v/>
      </c>
      <c r="L40" s="359">
        <f>IF(L$3="","",MAX(0,L39-((K32*(1+前提条件!$C$60))+L36)))</f>
        <v/>
      </c>
      <c r="M40" s="359">
        <f>IF(M$3="","",MAX(0,M39-((L32*(1+前提条件!$C$60))+M36)))</f>
        <v/>
      </c>
      <c r="N40" s="359">
        <f>IF(N$3="","",MAX(0,N39-((M32*(1+前提条件!$C$60))+N36)))</f>
        <v/>
      </c>
      <c r="O40" s="359">
        <f>IF(O$3="","",MAX(0,O39-((N32*(1+前提条件!$C$60))+O36)))</f>
        <v/>
      </c>
      <c r="P40" s="359">
        <f>IF(P$3="","",MAX(0,P39-((O32*(1+前提条件!$C$60))+P36)))</f>
        <v/>
      </c>
      <c r="Q40" s="359">
        <f>IF(Q$3="","",MAX(0,Q39-((P32*(1+前提条件!$C$60))+Q36)))</f>
        <v/>
      </c>
      <c r="R40" s="359">
        <f>IF(R$3="","",MAX(0,R39-((Q32*(1+前提条件!$C$60))+R36)))</f>
        <v/>
      </c>
      <c r="S40" s="359">
        <f>IF(S$3="","",MAX(0,S39-((R32*(1+前提条件!$C$60))+S36)))</f>
        <v/>
      </c>
      <c r="T40" s="359">
        <f>IF(T$3="","",MAX(0,T39-((S32*(1+前提条件!$C$60))+T36)))</f>
        <v/>
      </c>
      <c r="U40" s="359">
        <f>IF(U$3="","",MAX(0,U39-((T32*(1+前提条件!$C$60))+U36)))</f>
        <v/>
      </c>
      <c r="V40" s="359">
        <f>IF(V$3="","",MAX(0,V39-((U32*(1+前提条件!$C$60))+V36)))</f>
        <v/>
      </c>
      <c r="W40" s="359">
        <f>IF(W$3="","",MAX(0,W39-((V32*(1+前提条件!$C$60))+W36)))</f>
        <v/>
      </c>
      <c r="X40" s="359">
        <f>IF(X$3="","",MAX(0,X39-((W32*(1+前提条件!$C$60))+X36)))</f>
        <v/>
      </c>
      <c r="Y40" s="359">
        <f>IF(Y$3="","",MAX(0,Y39-((X32*(1+前提条件!$C$60))+Y36)))</f>
        <v/>
      </c>
      <c r="Z40" s="359">
        <f>IF(Z$3="","",MAX(0,Z39-((Y32*(1+前提条件!$C$60))+Z36)))</f>
        <v/>
      </c>
      <c r="AA40" s="359">
        <f>IF(AA$3="","",MAX(0,AA39-((Z32*(1+前提条件!$C$60))+AA36)))</f>
        <v/>
      </c>
      <c r="AB40" s="359">
        <f>IF(AB$3="","",MAX(0,AB39-((AA32*(1+前提条件!$C$60))+AB36)))</f>
        <v/>
      </c>
      <c r="AC40" s="359">
        <f>IF(AC$3="","",MAX(0,AC39-((AB32*(1+前提条件!$C$60))+AC36)))</f>
        <v/>
      </c>
      <c r="AD40" s="359">
        <f>IF(AD$3="","",MAX(0,AD39-((AC32*(1+前提条件!$C$60))+AD36)))</f>
        <v/>
      </c>
      <c r="AE40" s="359">
        <f>IF(AE$3="","",MAX(0,AE39-((AD32*(1+前提条件!$C$60))+AE36)))</f>
        <v/>
      </c>
      <c r="AF40" s="359">
        <f>IF(AF$3="","",MAX(0,AF39-((AE32*(1+前提条件!$C$60))+AF36)))</f>
        <v/>
      </c>
      <c r="AG40" s="359">
        <f>IF(AG$3="","",MAX(0,AG39-((AF32*(1+前提条件!$C$60))+AG36)))</f>
        <v/>
      </c>
      <c r="AH40" s="359">
        <f>IF(AH$3="","",MAX(0,AH39-((AG32*(1+前提条件!$C$60))+AH36)))</f>
        <v/>
      </c>
      <c r="AI40" s="359">
        <f>IF(AI$3="","",MAX(0,AI39-((AH32*(1+前提条件!$C$60))+AI36)))</f>
        <v/>
      </c>
      <c r="AJ40" s="359">
        <f>IF(AJ$3="","",MAX(0,AJ39-((AI32*(1+前提条件!$C$60))+AJ36)))</f>
        <v/>
      </c>
      <c r="AK40" s="359">
        <f>IF(AK$3="","",MAX(0,AK39-((AJ32*(1+前提条件!$C$60))+AK36)))</f>
        <v/>
      </c>
      <c r="AL40" s="359">
        <f>IF(AL$3="","",MAX(0,AL39-((AK32*(1+前提条件!$C$60))+AL36)))</f>
        <v/>
      </c>
      <c r="AM40" s="359">
        <f>IF(AM$3="","",MAX(0,AM39-((AL32*(1+前提条件!$C$60))+AM36)))</f>
        <v/>
      </c>
      <c r="AN40" s="359">
        <f>IF(AN$3="","",MAX(0,AN39-((AM32*(1+前提条件!$C$60))+AN36)))</f>
        <v/>
      </c>
      <c r="AO40" s="359">
        <f>IF(AO$3="","",MAX(0,AO39-((AN32*(1+前提条件!$C$60))+AO36)))</f>
        <v/>
      </c>
      <c r="AP40" s="359">
        <f>IF(AP$3="","",MAX(0,AP39-((AO32*(1+前提条件!$C$60))+AP36)))</f>
        <v/>
      </c>
      <c r="AQ40" s="359">
        <f>IF(AQ$3="","",MAX(0,AQ39-((AP32*(1+前提条件!$C$60))+AQ36)))</f>
        <v/>
      </c>
      <c r="AR40" s="359">
        <f>IF(AR$3="","",MAX(0,AR39-((AQ32*(1+前提条件!$C$60))+AR36)))</f>
        <v/>
      </c>
      <c r="AS40" s="359">
        <f>IF(AS$3="","",MAX(0,AS39-((AR32*(1+前提条件!$C$60))+AS36)))</f>
        <v/>
      </c>
      <c r="AT40" s="359">
        <f>IF(AT$3="","",MAX(0,AT39-((AS32*(1+前提条件!$C$60))+AT36)))</f>
        <v/>
      </c>
      <c r="AU40" s="359">
        <f>IF(AU$3="","",MAX(0,AU39-((AT32*(1+前提条件!$C$60))+AU36)))</f>
        <v/>
      </c>
      <c r="AV40" s="359">
        <f>IF(AV$3="","",MAX(0,AV39-((AU32*(1+前提条件!$C$60))+AV36)))</f>
        <v/>
      </c>
      <c r="AW40" s="359">
        <f>IF(AW$3="","",MAX(0,AW39-((AV32*(1+前提条件!$C$60))+AW36)))</f>
        <v/>
      </c>
      <c r="AX40" s="359">
        <f>IF(AX$3="","",MAX(0,AX39-((AW32*(1+前提条件!$C$60))+AX36)))</f>
        <v/>
      </c>
      <c r="AY40" s="359">
        <f>IF(AY$3="","",MAX(0,AY39-((AX32*(1+前提条件!$C$60))+AY36)))</f>
        <v/>
      </c>
      <c r="AZ40" s="359">
        <f>IF(AZ$3="","",MAX(0,AZ39-((AY32*(1+前提条件!$C$60))+AZ36)))</f>
        <v/>
      </c>
      <c r="BA40" s="359">
        <f>IF(BA$3="","",MAX(0,BA39-((AZ32*(1+前提条件!$C$60))+BA36)))</f>
        <v/>
      </c>
      <c r="BB40" s="359">
        <f>IF(BB$3="","",MAX(0,BB39-((BA32*(1+前提条件!$C$60))+BB36)))</f>
        <v/>
      </c>
      <c r="BC40" s="359">
        <f>IF(BC$3="","",MAX(0,BC39-((BB32*(1+前提条件!$C$60))+BC36)))</f>
        <v/>
      </c>
      <c r="BD40" s="359">
        <f>IF(BD$3="","",MAX(0,BD39-((BC32*(1+前提条件!$C$60))+BD36)))</f>
        <v/>
      </c>
      <c r="BE40" s="359">
        <f>IF(BE$3="","",MAX(0,BE39-((BD32*(1+前提条件!$C$60))+BE36)))</f>
        <v/>
      </c>
      <c r="BF40" s="359">
        <f>IF(BF$3="","",MAX(0,BF39-((BE32*(1+前提条件!$C$60))+BF36)))</f>
        <v/>
      </c>
      <c r="BG40" s="359">
        <f>IF(BG$3="","",MAX(0,BG39-((BF32*(1+前提条件!$C$60))+BG36)))</f>
        <v/>
      </c>
      <c r="BH40" s="359">
        <f>IF(BH$3="","",MAX(0,BH39-((BG32*(1+前提条件!$C$60))+BH36)))</f>
        <v/>
      </c>
      <c r="BI40" s="359">
        <f>IF(BI$3="","",MAX(0,BI39-((BH32*(1+前提条件!$C$60))+BI36)))</f>
        <v/>
      </c>
      <c r="BJ40" s="359">
        <f>IF(BJ$3="","",MAX(0,BJ39-((BI32*(1+前提条件!$C$60))+BJ36)))</f>
        <v/>
      </c>
      <c r="BK40" s="359">
        <f>IF(BK$3="","",MAX(0,BK39-((BJ32*(1+前提条件!$C$60))+BK36)))</f>
        <v/>
      </c>
      <c r="BL40" s="359">
        <f>IF(BL$3="","",MAX(0,BL39-((BK32*(1+前提条件!$C$60))+BL36)))</f>
        <v/>
      </c>
      <c r="BM40" s="359">
        <f>IF(BM$3="","",MAX(0,BM39-((BL32*(1+前提条件!$C$60))+BM36)))</f>
        <v/>
      </c>
      <c r="BN40" s="359">
        <f>IF(BN$3="","",MAX(0,BN39-((BM32*(1+前提条件!$C$60))+BN36)))</f>
        <v/>
      </c>
      <c r="BO40" s="359">
        <f>IF(BO$3="","",MAX(0,BO39-((BN32*(1+前提条件!$C$60))+BO36)))</f>
        <v/>
      </c>
      <c r="BP40" s="359">
        <f>IF(BP$3="","",MAX(0,BP39-((BO32*(1+前提条件!$C$60))+BP36)))</f>
        <v/>
      </c>
      <c r="BQ40" s="359">
        <f>IF(BQ$3="","",MAX(0,BQ39-((BP32*(1+前提条件!$C$60))+BQ36)))</f>
        <v/>
      </c>
      <c r="BR40" s="359">
        <f>IF(BR$3="","",MAX(0,BR39-((BQ32*(1+前提条件!$C$60))+BR36)))</f>
        <v/>
      </c>
      <c r="BS40" s="359">
        <f>IF(BS$3="","",MAX(0,BS39-((BR32*(1+前提条件!$C$60))+BS36)))</f>
        <v/>
      </c>
      <c r="BT40" s="359">
        <f>IF(BT$3="","",MAX(0,BT39-((BS32*(1+前提条件!$C$60))+BT36)))</f>
        <v/>
      </c>
      <c r="BU40" s="359">
        <f>IF(BU$3="","",MAX(0,BU39-((BT32*(1+前提条件!$C$60))+BU36)))</f>
        <v/>
      </c>
      <c r="BV40" s="359">
        <f>IF(BV$3="","",MAX(0,BV39-((BU32*(1+前提条件!$C$60))+BV36)))</f>
        <v/>
      </c>
      <c r="BW40" s="359">
        <f>IF(BW$3="","",MAX(0,BW39-((BV32*(1+前提条件!$C$60))+BW36)))</f>
        <v/>
      </c>
      <c r="BX40" s="359">
        <f>IF(BX$3="","",MAX(0,BX39-((BW32*(1+前提条件!$C$60))+BX36)))</f>
        <v/>
      </c>
      <c r="BY40" s="359">
        <f>IF(BY$3="","",MAX(0,BY39-((BX32*(1+前提条件!$C$60))+BY36)))</f>
        <v/>
      </c>
      <c r="BZ40" s="359">
        <f>IF(BZ$3="","",MAX(0,BZ39-((BY32*(1+前提条件!$C$60))+BZ36)))</f>
        <v/>
      </c>
      <c r="CA40" s="359">
        <f>IF(CA$3="","",MAX(0,CA39-((BZ32*(1+前提条件!$C$60))+CA36)))</f>
        <v/>
      </c>
      <c r="CB40" s="359">
        <f>IF(CB$3="","",MAX(0,CB39-((CA32*(1+前提条件!$C$60))+CB36)))</f>
        <v/>
      </c>
      <c r="CC40" s="359">
        <f>IF(CC$3="","",MAX(0,CC39-((CB32*(1+前提条件!$C$60))+CC36)))</f>
        <v/>
      </c>
      <c r="CD40" s="359">
        <f>IF(CD$3="","",MAX(0,CD39-((CC32*(1+前提条件!$C$60))+CD36)))</f>
        <v/>
      </c>
      <c r="CE40" s="359">
        <f>IF(CE$3="","",MAX(0,CE39-((CD32*(1+前提条件!$C$60))+CE36)))</f>
        <v/>
      </c>
      <c r="CF40" s="359">
        <f>IF(CF$3="","",MAX(0,CF39-((CE32*(1+前提条件!$C$60))+CF36)))</f>
        <v/>
      </c>
      <c r="CG40" s="359">
        <f>IF(CG$3="","",MAX(0,CG39-((CF32*(1+前提条件!$C$60))+CG36)))</f>
        <v/>
      </c>
      <c r="CH40" s="359">
        <f>IF(CH$3="","",MAX(0,CH39-((CG32*(1+前提条件!$C$60))+CH36)))</f>
        <v/>
      </c>
      <c r="CI40" s="359">
        <f>IF(CI$3="","",MAX(0,CI39-((CH32*(1+前提条件!$C$60))+CI36)))</f>
        <v/>
      </c>
      <c r="CJ40" s="359">
        <f>IF(CJ$3="","",MAX(0,CJ39-((CI32*(1+前提条件!$C$60))+CJ36)))</f>
        <v/>
      </c>
      <c r="CK40" s="359">
        <f>IF(CK$3="","",MAX(0,CK39-((CJ32*(1+前提条件!$C$60))+CK36)))</f>
        <v/>
      </c>
      <c r="CL40" s="359">
        <f>IF(CL$3="","",MAX(0,CL39-((CK32*(1+前提条件!$C$60))+CL36)))</f>
        <v/>
      </c>
      <c r="CM40" s="359">
        <f>IF(CM$3="","",MAX(0,CM39-((CL32*(1+前提条件!$C$60))+CM36)))</f>
        <v/>
      </c>
      <c r="CN40" s="359">
        <f>IF(CN$3="","",MAX(0,CN39-((CM32*(1+前提条件!$C$60))+CN36)))</f>
        <v/>
      </c>
      <c r="CO40" s="359">
        <f>IF(CO$3="","",MAX(0,CO39-((CN32*(1+前提条件!$C$60))+CO36)))</f>
        <v/>
      </c>
      <c r="CP40" s="359">
        <f>IF(CP$3="","",MAX(0,CP39-((CO32*(1+前提条件!$C$60))+CP36)))</f>
        <v/>
      </c>
      <c r="CQ40" s="359">
        <f>IF(CQ$3="","",MAX(0,CQ39-((CP32*(1+前提条件!$C$60))+CQ36)))</f>
        <v/>
      </c>
      <c r="CR40" s="359">
        <f>IF(CR$3="","",MAX(0,CR39-((CQ32*(1+前提条件!$C$60))+CR36)))</f>
        <v/>
      </c>
      <c r="CS40" s="359">
        <f>IF(CS$3="","",MAX(0,CS39-((CR32*(1+前提条件!$C$60))+CS36)))</f>
        <v/>
      </c>
      <c r="CT40" s="359">
        <f>IF(CT$3="","",MAX(0,CT39-((CS32*(1+前提条件!$C$60))+CT36)))</f>
        <v/>
      </c>
      <c r="CU40" s="359">
        <f>IF(CU$3="","",MAX(0,CU39-((CT32*(1+前提条件!$C$60))+CU36)))</f>
        <v/>
      </c>
      <c r="CV40" s="359">
        <f>IF(CV$3="","",MAX(0,CV39-((CU32*(1+前提条件!$C$60))+CV36)))</f>
        <v/>
      </c>
      <c r="CW40" s="359">
        <f>IF(CW$3="","",MAX(0,CW39-((CV32*(1+前提条件!$C$60))+CW36)))</f>
        <v/>
      </c>
    </row>
    <row r="41" hidden="1" ht="16.5" customHeight="1" s="180">
      <c r="A41" s="239" t="inlineStr">
        <is>
          <t>年間住宅ローン元本返済(補助)</t>
        </is>
      </c>
      <c r="B41" s="359">
        <f>IF(B$3="","",IF(AND(B4&lt;&gt;"",B4&lt;=前提条件!$C$44,入力データ!$C$95&gt;0),入力データ!$C$95/MAX(1,前提条件!$C$44-B4+1),0))</f>
        <v/>
      </c>
      <c r="C41" s="359">
        <f>IF(C$3="","",IF(C4&lt;=前提条件!$C$44,$B$41,0))</f>
        <v/>
      </c>
      <c r="D41" s="359">
        <f>IF(D$3="","",IF(D4&lt;=前提条件!$C$44,$B$41,0))</f>
        <v/>
      </c>
      <c r="E41" s="359">
        <f>IF(E$3="","",IF(E4&lt;=前提条件!$C$44,$B$41,0))</f>
        <v/>
      </c>
      <c r="F41" s="359">
        <f>IF(F$3="","",IF(F4&lt;=前提条件!$C$44,$B$41,0))</f>
        <v/>
      </c>
      <c r="G41" s="359">
        <f>IF(G$3="","",IF(G4&lt;=前提条件!$C$44,$B$41,0))</f>
        <v/>
      </c>
      <c r="H41" s="359">
        <f>IF(H$3="","",IF(H4&lt;=前提条件!$C$44,$B$41,0))</f>
        <v/>
      </c>
      <c r="I41" s="359">
        <f>IF(I$3="","",IF(I4&lt;=前提条件!$C$44,$B$41,0))</f>
        <v/>
      </c>
      <c r="J41" s="359">
        <f>IF(J$3="","",IF(J4&lt;=前提条件!$C$44,$B$41,0))</f>
        <v/>
      </c>
      <c r="K41" s="359">
        <f>IF(K$3="","",IF(K4&lt;=前提条件!$C$44,$B$41,0))</f>
        <v/>
      </c>
      <c r="L41" s="359">
        <f>IF(L$3="","",IF(L4&lt;=前提条件!$C$44,$B$41,0))</f>
        <v/>
      </c>
      <c r="M41" s="359">
        <f>IF(M$3="","",IF(M4&lt;=前提条件!$C$44,$B$41,0))</f>
        <v/>
      </c>
      <c r="N41" s="359">
        <f>IF(N$3="","",IF(N4&lt;=前提条件!$C$44,$B$41,0))</f>
        <v/>
      </c>
      <c r="O41" s="359">
        <f>IF(O$3="","",IF(O4&lt;=前提条件!$C$44,$B$41,0))</f>
        <v/>
      </c>
      <c r="P41" s="359">
        <f>IF(P$3="","",IF(P4&lt;=前提条件!$C$44,$B$41,0))</f>
        <v/>
      </c>
      <c r="Q41" s="359">
        <f>IF(Q$3="","",IF(Q4&lt;=前提条件!$C$44,$B$41,0))</f>
        <v/>
      </c>
      <c r="R41" s="359">
        <f>IF(R$3="","",IF(R4&lt;=前提条件!$C$44,$B$41,0))</f>
        <v/>
      </c>
      <c r="S41" s="359">
        <f>IF(S$3="","",IF(S4&lt;=前提条件!$C$44,$B$41,0))</f>
        <v/>
      </c>
      <c r="T41" s="359">
        <f>IF(T$3="","",IF(T4&lt;=前提条件!$C$44,$B$41,0))</f>
        <v/>
      </c>
      <c r="U41" s="359">
        <f>IF(U$3="","",IF(U4&lt;=前提条件!$C$44,$B$41,0))</f>
        <v/>
      </c>
      <c r="V41" s="359">
        <f>IF(V$3="","",IF(V4&lt;=前提条件!$C$44,$B$41,0))</f>
        <v/>
      </c>
      <c r="W41" s="359">
        <f>IF(W$3="","",IF(W4&lt;=前提条件!$C$44,$B$41,0))</f>
        <v/>
      </c>
      <c r="X41" s="359">
        <f>IF(X$3="","",IF(X4&lt;=前提条件!$C$44,$B$41,0))</f>
        <v/>
      </c>
      <c r="Y41" s="359">
        <f>IF(Y$3="","",IF(Y4&lt;=前提条件!$C$44,$B$41,0))</f>
        <v/>
      </c>
      <c r="Z41" s="359">
        <f>IF(Z$3="","",IF(Z4&lt;=前提条件!$C$44,$B$41,0))</f>
        <v/>
      </c>
      <c r="AA41" s="359">
        <f>IF(AA$3="","",IF(AA4&lt;=前提条件!$C$44,$B$41,0))</f>
        <v/>
      </c>
      <c r="AB41" s="359">
        <f>IF(AB$3="","",IF(AB4&lt;=前提条件!$C$44,$B$41,0))</f>
        <v/>
      </c>
      <c r="AC41" s="359">
        <f>IF(AC$3="","",IF(AC4&lt;=前提条件!$C$44,$B$41,0))</f>
        <v/>
      </c>
      <c r="AD41" s="359">
        <f>IF(AD$3="","",IF(AD4&lt;=前提条件!$C$44,$B$41,0))</f>
        <v/>
      </c>
      <c r="AE41" s="359">
        <f>IF(AE$3="","",IF(AE4&lt;=前提条件!$C$44,$B$41,0))</f>
        <v/>
      </c>
      <c r="AF41" s="359">
        <f>IF(AF$3="","",IF(AF4&lt;=前提条件!$C$44,$B$41,0))</f>
        <v/>
      </c>
      <c r="AG41" s="359">
        <f>IF(AG$3="","",IF(AG4&lt;=前提条件!$C$44,$B$41,0))</f>
        <v/>
      </c>
      <c r="AH41" s="359">
        <f>IF(AH$3="","",IF(AH4&lt;=前提条件!$C$44,$B$41,0))</f>
        <v/>
      </c>
      <c r="AI41" s="359">
        <f>IF(AI$3="","",IF(AI4&lt;=前提条件!$C$44,$B$41,0))</f>
        <v/>
      </c>
      <c r="AJ41" s="359">
        <f>IF(AJ$3="","",IF(AJ4&lt;=前提条件!$C$44,$B$41,0))</f>
        <v/>
      </c>
      <c r="AK41" s="359">
        <f>IF(AK$3="","",IF(AK4&lt;=前提条件!$C$44,$B$41,0))</f>
        <v/>
      </c>
      <c r="AL41" s="359">
        <f>IF(AL$3="","",IF(AL4&lt;=前提条件!$C$44,$B$41,0))</f>
        <v/>
      </c>
      <c r="AM41" s="359">
        <f>IF(AM$3="","",IF(AM4&lt;=前提条件!$C$44,$B$41,0))</f>
        <v/>
      </c>
      <c r="AN41" s="359">
        <f>IF(AN$3="","",IF(AN4&lt;=前提条件!$C$44,$B$41,0))</f>
        <v/>
      </c>
      <c r="AO41" s="359">
        <f>IF(AO$3="","",IF(AO4&lt;=前提条件!$C$44,$B$41,0))</f>
        <v/>
      </c>
      <c r="AP41" s="359">
        <f>IF(AP$3="","",IF(AP4&lt;=前提条件!$C$44,$B$41,0))</f>
        <v/>
      </c>
      <c r="AQ41" s="359">
        <f>IF(AQ$3="","",IF(AQ4&lt;=前提条件!$C$44,$B$41,0))</f>
        <v/>
      </c>
      <c r="AR41" s="359">
        <f>IF(AR$3="","",IF(AR4&lt;=前提条件!$C$44,$B$41,0))</f>
        <v/>
      </c>
      <c r="AS41" s="359">
        <f>IF(AS$3="","",IF(AS4&lt;=前提条件!$C$44,$B$41,0))</f>
        <v/>
      </c>
      <c r="AT41" s="359">
        <f>IF(AT$3="","",IF(AT4&lt;=前提条件!$C$44,$B$41,0))</f>
        <v/>
      </c>
      <c r="AU41" s="359">
        <f>IF(AU$3="","",IF(AU4&lt;=前提条件!$C$44,$B$41,0))</f>
        <v/>
      </c>
      <c r="AV41" s="359">
        <f>IF(AV$3="","",IF(AV4&lt;=前提条件!$C$44,$B$41,0))</f>
        <v/>
      </c>
      <c r="AW41" s="359">
        <f>IF(AW$3="","",IF(AW4&lt;=前提条件!$C$44,$B$41,0))</f>
        <v/>
      </c>
      <c r="AX41" s="359">
        <f>IF(AX$3="","",IF(AX4&lt;=前提条件!$C$44,$B$41,0))</f>
        <v/>
      </c>
      <c r="AY41" s="359">
        <f>IF(AY$3="","",IF(AY4&lt;=前提条件!$C$44,$B$41,0))</f>
        <v/>
      </c>
      <c r="AZ41" s="359">
        <f>IF(AZ$3="","",IF(AZ4&lt;=前提条件!$C$44,$B$41,0))</f>
        <v/>
      </c>
      <c r="BA41" s="359">
        <f>IF(BA$3="","",IF(BA4&lt;=前提条件!$C$44,$B$41,0))</f>
        <v/>
      </c>
      <c r="BB41" s="359">
        <f>IF(BB$3="","",IF(BB4&lt;=前提条件!$C$44,$B$41,0))</f>
        <v/>
      </c>
      <c r="BC41" s="359">
        <f>IF(BC$3="","",IF(BC4&lt;=前提条件!$C$44,$B$41,0))</f>
        <v/>
      </c>
      <c r="BD41" s="359">
        <f>IF(BD$3="","",IF(BD4&lt;=前提条件!$C$44,$B$41,0))</f>
        <v/>
      </c>
      <c r="BE41" s="359">
        <f>IF(BE$3="","",IF(BE4&lt;=前提条件!$C$44,$B$41,0))</f>
        <v/>
      </c>
      <c r="BF41" s="359">
        <f>IF(BF$3="","",IF(BF4&lt;=前提条件!$C$44,$B$41,0))</f>
        <v/>
      </c>
      <c r="BG41" s="359">
        <f>IF(BG$3="","",IF(BG4&lt;=前提条件!$C$44,$B$41,0))</f>
        <v/>
      </c>
      <c r="BH41" s="359">
        <f>IF(BH$3="","",IF(BH4&lt;=前提条件!$C$44,$B$41,0))</f>
        <v/>
      </c>
      <c r="BI41" s="359">
        <f>IF(BI$3="","",IF(BI4&lt;=前提条件!$C$44,$B$41,0))</f>
        <v/>
      </c>
      <c r="BJ41" s="359">
        <f>IF(BJ$3="","",IF(BJ4&lt;=前提条件!$C$44,$B$41,0))</f>
        <v/>
      </c>
      <c r="BK41" s="359">
        <f>IF(BK$3="","",IF(BK4&lt;=前提条件!$C$44,$B$41,0))</f>
        <v/>
      </c>
      <c r="BL41" s="359">
        <f>IF(BL$3="","",IF(BL4&lt;=前提条件!$C$44,$B$41,0))</f>
        <v/>
      </c>
      <c r="BM41" s="359">
        <f>IF(BM$3="","",IF(BM4&lt;=前提条件!$C$44,$B$41,0))</f>
        <v/>
      </c>
      <c r="BN41" s="359">
        <f>IF(BN$3="","",IF(BN4&lt;=前提条件!$C$44,$B$41,0))</f>
        <v/>
      </c>
      <c r="BO41" s="359">
        <f>IF(BO$3="","",IF(BO4&lt;=前提条件!$C$44,$B$41,0))</f>
        <v/>
      </c>
      <c r="BP41" s="359">
        <f>IF(BP$3="","",IF(BP4&lt;=前提条件!$C$44,$B$41,0))</f>
        <v/>
      </c>
      <c r="BQ41" s="359">
        <f>IF(BQ$3="","",IF(BQ4&lt;=前提条件!$C$44,$B$41,0))</f>
        <v/>
      </c>
      <c r="BR41" s="359">
        <f>IF(BR$3="","",IF(BR4&lt;=前提条件!$C$44,$B$41,0))</f>
        <v/>
      </c>
      <c r="BS41" s="359">
        <f>IF(BS$3="","",IF(BS4&lt;=前提条件!$C$44,$B$41,0))</f>
        <v/>
      </c>
      <c r="BT41" s="359">
        <f>IF(BT$3="","",IF(BT4&lt;=前提条件!$C$44,$B$41,0))</f>
        <v/>
      </c>
      <c r="BU41" s="359">
        <f>IF(BU$3="","",IF(BU4&lt;=前提条件!$C$44,$B$41,0))</f>
        <v/>
      </c>
      <c r="BV41" s="359">
        <f>IF(BV$3="","",IF(BV4&lt;=前提条件!$C$44,$B$41,0))</f>
        <v/>
      </c>
      <c r="BW41" s="359">
        <f>IF(BW$3="","",IF(BW4&lt;=前提条件!$C$44,$B$41,0))</f>
        <v/>
      </c>
      <c r="BX41" s="359">
        <f>IF(BX$3="","",IF(BX4&lt;=前提条件!$C$44,$B$41,0))</f>
        <v/>
      </c>
      <c r="BY41" s="359">
        <f>IF(BY$3="","",IF(BY4&lt;=前提条件!$C$44,$B$41,0))</f>
        <v/>
      </c>
      <c r="BZ41" s="359">
        <f>IF(BZ$3="","",IF(BZ4&lt;=前提条件!$C$44,$B$41,0))</f>
        <v/>
      </c>
      <c r="CA41" s="359">
        <f>IF(CA$3="","",IF(CA4&lt;=前提条件!$C$44,$B$41,0))</f>
        <v/>
      </c>
      <c r="CB41" s="359">
        <f>IF(CB$3="","",IF(CB4&lt;=前提条件!$C$44,$B$41,0))</f>
        <v/>
      </c>
      <c r="CC41" s="359">
        <f>IF(CC$3="","",IF(CC4&lt;=前提条件!$C$44,$B$41,0))</f>
        <v/>
      </c>
      <c r="CD41" s="359">
        <f>IF(CD$3="","",IF(CD4&lt;=前提条件!$C$44,$B$41,0))</f>
        <v/>
      </c>
      <c r="CE41" s="359">
        <f>IF(CE$3="","",IF(CE4&lt;=前提条件!$C$44,$B$41,0))</f>
        <v/>
      </c>
      <c r="CF41" s="359">
        <f>IF(CF$3="","",IF(CF4&lt;=前提条件!$C$44,$B$41,0))</f>
        <v/>
      </c>
      <c r="CG41" s="359">
        <f>IF(CG$3="","",IF(CG4&lt;=前提条件!$C$44,$B$41,0))</f>
        <v/>
      </c>
      <c r="CH41" s="359">
        <f>IF(CH$3="","",IF(CH4&lt;=前提条件!$C$44,$B$41,0))</f>
        <v/>
      </c>
      <c r="CI41" s="359">
        <f>IF(CI$3="","",IF(CI4&lt;=前提条件!$C$44,$B$41,0))</f>
        <v/>
      </c>
      <c r="CJ41" s="359">
        <f>IF(CJ$3="","",IF(CJ4&lt;=前提条件!$C$44,$B$41,0))</f>
        <v/>
      </c>
      <c r="CK41" s="359">
        <f>IF(CK$3="","",IF(CK4&lt;=前提条件!$C$44,$B$41,0))</f>
        <v/>
      </c>
      <c r="CL41" s="359">
        <f>IF(CL$3="","",IF(CL4&lt;=前提条件!$C$44,$B$41,0))</f>
        <v/>
      </c>
      <c r="CM41" s="359">
        <f>IF(CM$3="","",IF(CM4&lt;=前提条件!$C$44,$B$41,0))</f>
        <v/>
      </c>
      <c r="CN41" s="359">
        <f>IF(CN$3="","",IF(CN4&lt;=前提条件!$C$44,$B$41,0))</f>
        <v/>
      </c>
      <c r="CO41" s="359">
        <f>IF(CO$3="","",IF(CO4&lt;=前提条件!$C$44,$B$41,0))</f>
        <v/>
      </c>
      <c r="CP41" s="359">
        <f>IF(CP$3="","",IF(CP4&lt;=前提条件!$C$44,$B$41,0))</f>
        <v/>
      </c>
      <c r="CQ41" s="359">
        <f>IF(CQ$3="","",IF(CQ4&lt;=前提条件!$C$44,$B$41,0))</f>
        <v/>
      </c>
      <c r="CR41" s="359">
        <f>IF(CR$3="","",IF(CR4&lt;=前提条件!$C$44,$B$41,0))</f>
        <v/>
      </c>
      <c r="CS41" s="359">
        <f>IF(CS$3="","",IF(CS4&lt;=前提条件!$C$44,$B$41,0))</f>
        <v/>
      </c>
      <c r="CT41" s="359">
        <f>IF(CT$3="","",IF(CT4&lt;=前提条件!$C$44,$B$41,0))</f>
        <v/>
      </c>
      <c r="CU41" s="359">
        <f>IF(CU$3="","",IF(CU4&lt;=前提条件!$C$44,$B$41,0))</f>
        <v/>
      </c>
      <c r="CV41" s="359">
        <f>IF(CV$3="","",IF(CV4&lt;=前提条件!$C$44,$B$41,0))</f>
        <v/>
      </c>
      <c r="CW41" s="359">
        <f>IF(CW$3="","",IF(CW4&lt;=前提条件!$C$44,$B$41,0))</f>
        <v/>
      </c>
    </row>
    <row r="42" hidden="1" ht="16.5" customHeight="1" s="180">
      <c r="A42" s="239" t="inlineStr">
        <is>
          <t>老後期フラグ(補助)</t>
        </is>
      </c>
      <c r="B42" s="360">
        <f>IF(B$3="","",IF(AND(B4&gt;=入力データ!$C$111,B5&gt;=入力データ!$C$111),1,0))</f>
        <v/>
      </c>
      <c r="C42" s="360">
        <f>IF(C$3="","",IF(AND(C4&gt;=入力データ!$C$111,C5&gt;=入力データ!$C$111),1,0))</f>
        <v/>
      </c>
      <c r="D42" s="360">
        <f>IF(D$3="","",IF(AND(D4&gt;=入力データ!$C$111,D5&gt;=入力データ!$C$111),1,0))</f>
        <v/>
      </c>
      <c r="E42" s="360">
        <f>IF(E$3="","",IF(AND(E4&gt;=入力データ!$C$111,E5&gt;=入力データ!$C$111),1,0))</f>
        <v/>
      </c>
      <c r="F42" s="360">
        <f>IF(F$3="","",IF(AND(F4&gt;=入力データ!$C$111,F5&gt;=入力データ!$C$111),1,0))</f>
        <v/>
      </c>
      <c r="G42" s="360">
        <f>IF(G$3="","",IF(AND(G4&gt;=入力データ!$C$111,G5&gt;=入力データ!$C$111),1,0))</f>
        <v/>
      </c>
      <c r="H42" s="360">
        <f>IF(H$3="","",IF(AND(H4&gt;=入力データ!$C$111,H5&gt;=入力データ!$C$111),1,0))</f>
        <v/>
      </c>
      <c r="I42" s="360">
        <f>IF(I$3="","",IF(AND(I4&gt;=入力データ!$C$111,I5&gt;=入力データ!$C$111),1,0))</f>
        <v/>
      </c>
      <c r="J42" s="360">
        <f>IF(J$3="","",IF(AND(J4&gt;=入力データ!$C$111,J5&gt;=入力データ!$C$111),1,0))</f>
        <v/>
      </c>
      <c r="K42" s="360">
        <f>IF(K$3="","",IF(AND(K4&gt;=入力データ!$C$111,K5&gt;=入力データ!$C$111),1,0))</f>
        <v/>
      </c>
      <c r="L42" s="360">
        <f>IF(L$3="","",IF(AND(L4&gt;=入力データ!$C$111,L5&gt;=入力データ!$C$111),1,0))</f>
        <v/>
      </c>
      <c r="M42" s="360">
        <f>IF(M$3="","",IF(AND(M4&gt;=入力データ!$C$111,M5&gt;=入力データ!$C$111),1,0))</f>
        <v/>
      </c>
      <c r="N42" s="360">
        <f>IF(N$3="","",IF(AND(N4&gt;=入力データ!$C$111,N5&gt;=入力データ!$C$111),1,0))</f>
        <v/>
      </c>
      <c r="O42" s="360">
        <f>IF(O$3="","",IF(AND(O4&gt;=入力データ!$C$111,O5&gt;=入力データ!$C$111),1,0))</f>
        <v/>
      </c>
      <c r="P42" s="360">
        <f>IF(P$3="","",IF(AND(P4&gt;=入力データ!$C$111,P5&gt;=入力データ!$C$111),1,0))</f>
        <v/>
      </c>
      <c r="Q42" s="360">
        <f>IF(Q$3="","",IF(AND(Q4&gt;=入力データ!$C$111,Q5&gt;=入力データ!$C$111),1,0))</f>
        <v/>
      </c>
      <c r="R42" s="360">
        <f>IF(R$3="","",IF(AND(R4&gt;=入力データ!$C$111,R5&gt;=入力データ!$C$111),1,0))</f>
        <v/>
      </c>
      <c r="S42" s="360">
        <f>IF(S$3="","",IF(AND(S4&gt;=入力データ!$C$111,S5&gt;=入力データ!$C$111),1,0))</f>
        <v/>
      </c>
      <c r="T42" s="360">
        <f>IF(T$3="","",IF(AND(T4&gt;=入力データ!$C$111,T5&gt;=入力データ!$C$111),1,0))</f>
        <v/>
      </c>
      <c r="U42" s="360">
        <f>IF(U$3="","",IF(AND(U4&gt;=入力データ!$C$111,U5&gt;=入力データ!$C$111),1,0))</f>
        <v/>
      </c>
      <c r="V42" s="360">
        <f>IF(V$3="","",IF(AND(V4&gt;=入力データ!$C$111,V5&gt;=入力データ!$C$111),1,0))</f>
        <v/>
      </c>
      <c r="W42" s="360">
        <f>IF(W$3="","",IF(AND(W4&gt;=入力データ!$C$111,W5&gt;=入力データ!$C$111),1,0))</f>
        <v/>
      </c>
      <c r="X42" s="360">
        <f>IF(X$3="","",IF(AND(X4&gt;=入力データ!$C$111,X5&gt;=入力データ!$C$111),1,0))</f>
        <v/>
      </c>
      <c r="Y42" s="360">
        <f>IF(Y$3="","",IF(AND(Y4&gt;=入力データ!$C$111,Y5&gt;=入力データ!$C$111),1,0))</f>
        <v/>
      </c>
      <c r="Z42" s="360">
        <f>IF(Z$3="","",IF(AND(Z4&gt;=入力データ!$C$111,Z5&gt;=入力データ!$C$111),1,0))</f>
        <v/>
      </c>
      <c r="AA42" s="360">
        <f>IF(AA$3="","",IF(AND(AA4&gt;=入力データ!$C$111,AA5&gt;=入力データ!$C$111),1,0))</f>
        <v/>
      </c>
      <c r="AB42" s="360">
        <f>IF(AB$3="","",IF(AND(AB4&gt;=入力データ!$C$111,AB5&gt;=入力データ!$C$111),1,0))</f>
        <v/>
      </c>
      <c r="AC42" s="360">
        <f>IF(AC$3="","",IF(AND(AC4&gt;=入力データ!$C$111,AC5&gt;=入力データ!$C$111),1,0))</f>
        <v/>
      </c>
      <c r="AD42" s="360">
        <f>IF(AD$3="","",IF(AND(AD4&gt;=入力データ!$C$111,AD5&gt;=入力データ!$C$111),1,0))</f>
        <v/>
      </c>
      <c r="AE42" s="360">
        <f>IF(AE$3="","",IF(AND(AE4&gt;=入力データ!$C$111,AE5&gt;=入力データ!$C$111),1,0))</f>
        <v/>
      </c>
      <c r="AF42" s="360">
        <f>IF(AF$3="","",IF(AND(AF4&gt;=入力データ!$C$111,AF5&gt;=入力データ!$C$111),1,0))</f>
        <v/>
      </c>
      <c r="AG42" s="360">
        <f>IF(AG$3="","",IF(AND(AG4&gt;=入力データ!$C$111,AG5&gt;=入力データ!$C$111),1,0))</f>
        <v/>
      </c>
      <c r="AH42" s="360">
        <f>IF(AH$3="","",IF(AND(AH4&gt;=入力データ!$C$111,AH5&gt;=入力データ!$C$111),1,0))</f>
        <v/>
      </c>
      <c r="AI42" s="360">
        <f>IF(AI$3="","",IF(AND(AI4&gt;=入力データ!$C$111,AI5&gt;=入力データ!$C$111),1,0))</f>
        <v/>
      </c>
      <c r="AJ42" s="360">
        <f>IF(AJ$3="","",IF(AND(AJ4&gt;=入力データ!$C$111,AJ5&gt;=入力データ!$C$111),1,0))</f>
        <v/>
      </c>
      <c r="AK42" s="360">
        <f>IF(AK$3="","",IF(AND(AK4&gt;=入力データ!$C$111,AK5&gt;=入力データ!$C$111),1,0))</f>
        <v/>
      </c>
      <c r="AL42" s="360">
        <f>IF(AL$3="","",IF(AND(AL4&gt;=入力データ!$C$111,AL5&gt;=入力データ!$C$111),1,0))</f>
        <v/>
      </c>
      <c r="AM42" s="360">
        <f>IF(AM$3="","",IF(AND(AM4&gt;=入力データ!$C$111,AM5&gt;=入力データ!$C$111),1,0))</f>
        <v/>
      </c>
      <c r="AN42" s="360">
        <f>IF(AN$3="","",IF(AND(AN4&gt;=入力データ!$C$111,AN5&gt;=入力データ!$C$111),1,0))</f>
        <v/>
      </c>
      <c r="AO42" s="360">
        <f>IF(AO$3="","",IF(AND(AO4&gt;=入力データ!$C$111,AO5&gt;=入力データ!$C$111),1,0))</f>
        <v/>
      </c>
      <c r="AP42" s="360">
        <f>IF(AP$3="","",IF(AND(AP4&gt;=入力データ!$C$111,AP5&gt;=入力データ!$C$111),1,0))</f>
        <v/>
      </c>
      <c r="AQ42" s="360">
        <f>IF(AQ$3="","",IF(AND(AQ4&gt;=入力データ!$C$111,AQ5&gt;=入力データ!$C$111),1,0))</f>
        <v/>
      </c>
      <c r="AR42" s="360">
        <f>IF(AR$3="","",IF(AND(AR4&gt;=入力データ!$C$111,AR5&gt;=入力データ!$C$111),1,0))</f>
        <v/>
      </c>
      <c r="AS42" s="360">
        <f>IF(AS$3="","",IF(AND(AS4&gt;=入力データ!$C$111,AS5&gt;=入力データ!$C$111),1,0))</f>
        <v/>
      </c>
      <c r="AT42" s="360">
        <f>IF(AT$3="","",IF(AND(AT4&gt;=入力データ!$C$111,AT5&gt;=入力データ!$C$111),1,0))</f>
        <v/>
      </c>
      <c r="AU42" s="360">
        <f>IF(AU$3="","",IF(AND(AU4&gt;=入力データ!$C$111,AU5&gt;=入力データ!$C$111),1,0))</f>
        <v/>
      </c>
      <c r="AV42" s="360">
        <f>IF(AV$3="","",IF(AND(AV4&gt;=入力データ!$C$111,AV5&gt;=入力データ!$C$111),1,0))</f>
        <v/>
      </c>
      <c r="AW42" s="360">
        <f>IF(AW$3="","",IF(AND(AW4&gt;=入力データ!$C$111,AW5&gt;=入力データ!$C$111),1,0))</f>
        <v/>
      </c>
      <c r="AX42" s="360">
        <f>IF(AX$3="","",IF(AND(AX4&gt;=入力データ!$C$111,AX5&gt;=入力データ!$C$111),1,0))</f>
        <v/>
      </c>
      <c r="AY42" s="360">
        <f>IF(AY$3="","",IF(AND(AY4&gt;=入力データ!$C$111,AY5&gt;=入力データ!$C$111),1,0))</f>
        <v/>
      </c>
      <c r="AZ42" s="360">
        <f>IF(AZ$3="","",IF(AND(AZ4&gt;=入力データ!$C$111,AZ5&gt;=入力データ!$C$111),1,0))</f>
        <v/>
      </c>
      <c r="BA42" s="360">
        <f>IF(BA$3="","",IF(AND(BA4&gt;=入力データ!$C$111,BA5&gt;=入力データ!$C$111),1,0))</f>
        <v/>
      </c>
      <c r="BB42" s="360">
        <f>IF(BB$3="","",IF(AND(BB4&gt;=入力データ!$C$111,BB5&gt;=入力データ!$C$111),1,0))</f>
        <v/>
      </c>
      <c r="BC42" s="360">
        <f>IF(BC$3="","",IF(AND(BC4&gt;=入力データ!$C$111,BC5&gt;=入力データ!$C$111),1,0))</f>
        <v/>
      </c>
      <c r="BD42" s="360">
        <f>IF(BD$3="","",IF(AND(BD4&gt;=入力データ!$C$111,BD5&gt;=入力データ!$C$111),1,0))</f>
        <v/>
      </c>
      <c r="BE42" s="360">
        <f>IF(BE$3="","",IF(AND(BE4&gt;=入力データ!$C$111,BE5&gt;=入力データ!$C$111),1,0))</f>
        <v/>
      </c>
      <c r="BF42" s="360">
        <f>IF(BF$3="","",IF(AND(BF4&gt;=入力データ!$C$111,BF5&gt;=入力データ!$C$111),1,0))</f>
        <v/>
      </c>
      <c r="BG42" s="360">
        <f>IF(BG$3="","",IF(AND(BG4&gt;=入力データ!$C$111,BG5&gt;=入力データ!$C$111),1,0))</f>
        <v/>
      </c>
      <c r="BH42" s="360">
        <f>IF(BH$3="","",IF(AND(BH4&gt;=入力データ!$C$111,BH5&gt;=入力データ!$C$111),1,0))</f>
        <v/>
      </c>
      <c r="BI42" s="360">
        <f>IF(BI$3="","",IF(AND(BI4&gt;=入力データ!$C$111,BI5&gt;=入力データ!$C$111),1,0))</f>
        <v/>
      </c>
      <c r="BJ42" s="360">
        <f>IF(BJ$3="","",IF(AND(BJ4&gt;=入力データ!$C$111,BJ5&gt;=入力データ!$C$111),1,0))</f>
        <v/>
      </c>
      <c r="BK42" s="360">
        <f>IF(BK$3="","",IF(AND(BK4&gt;=入力データ!$C$111,BK5&gt;=入力データ!$C$111),1,0))</f>
        <v/>
      </c>
      <c r="BL42" s="360">
        <f>IF(BL$3="","",IF(AND(BL4&gt;=入力データ!$C$111,BL5&gt;=入力データ!$C$111),1,0))</f>
        <v/>
      </c>
      <c r="BM42" s="360">
        <f>IF(BM$3="","",IF(AND(BM4&gt;=入力データ!$C$111,BM5&gt;=入力データ!$C$111),1,0))</f>
        <v/>
      </c>
      <c r="BN42" s="360">
        <f>IF(BN$3="","",IF(AND(BN4&gt;=入力データ!$C$111,BN5&gt;=入力データ!$C$111),1,0))</f>
        <v/>
      </c>
      <c r="BO42" s="360">
        <f>IF(BO$3="","",IF(AND(BO4&gt;=入力データ!$C$111,BO5&gt;=入力データ!$C$111),1,0))</f>
        <v/>
      </c>
      <c r="BP42" s="360">
        <f>IF(BP$3="","",IF(AND(BP4&gt;=入力データ!$C$111,BP5&gt;=入力データ!$C$111),1,0))</f>
        <v/>
      </c>
      <c r="BQ42" s="360">
        <f>IF(BQ$3="","",IF(AND(BQ4&gt;=入力データ!$C$111,BQ5&gt;=入力データ!$C$111),1,0))</f>
        <v/>
      </c>
      <c r="BR42" s="360">
        <f>IF(BR$3="","",IF(AND(BR4&gt;=入力データ!$C$111,BR5&gt;=入力データ!$C$111),1,0))</f>
        <v/>
      </c>
      <c r="BS42" s="360">
        <f>IF(BS$3="","",IF(AND(BS4&gt;=入力データ!$C$111,BS5&gt;=入力データ!$C$111),1,0))</f>
        <v/>
      </c>
      <c r="BT42" s="360">
        <f>IF(BT$3="","",IF(AND(BT4&gt;=入力データ!$C$111,BT5&gt;=入力データ!$C$111),1,0))</f>
        <v/>
      </c>
      <c r="BU42" s="360">
        <f>IF(BU$3="","",IF(AND(BU4&gt;=入力データ!$C$111,BU5&gt;=入力データ!$C$111),1,0))</f>
        <v/>
      </c>
      <c r="BV42" s="360">
        <f>IF(BV$3="","",IF(AND(BV4&gt;=入力データ!$C$111,BV5&gt;=入力データ!$C$111),1,0))</f>
        <v/>
      </c>
      <c r="BW42" s="360">
        <f>IF(BW$3="","",IF(AND(BW4&gt;=入力データ!$C$111,BW5&gt;=入力データ!$C$111),1,0))</f>
        <v/>
      </c>
      <c r="BX42" s="360">
        <f>IF(BX$3="","",IF(AND(BX4&gt;=入力データ!$C$111,BX5&gt;=入力データ!$C$111),1,0))</f>
        <v/>
      </c>
      <c r="BY42" s="360">
        <f>IF(BY$3="","",IF(AND(BY4&gt;=入力データ!$C$111,BY5&gt;=入力データ!$C$111),1,0))</f>
        <v/>
      </c>
      <c r="BZ42" s="360">
        <f>IF(BZ$3="","",IF(AND(BZ4&gt;=入力データ!$C$111,BZ5&gt;=入力データ!$C$111),1,0))</f>
        <v/>
      </c>
      <c r="CA42" s="360">
        <f>IF(CA$3="","",IF(AND(CA4&gt;=入力データ!$C$111,CA5&gt;=入力データ!$C$111),1,0))</f>
        <v/>
      </c>
      <c r="CB42" s="360">
        <f>IF(CB$3="","",IF(AND(CB4&gt;=入力データ!$C$111,CB5&gt;=入力データ!$C$111),1,0))</f>
        <v/>
      </c>
      <c r="CC42" s="360">
        <f>IF(CC$3="","",IF(AND(CC4&gt;=入力データ!$C$111,CC5&gt;=入力データ!$C$111),1,0))</f>
        <v/>
      </c>
      <c r="CD42" s="360">
        <f>IF(CD$3="","",IF(AND(CD4&gt;=入力データ!$C$111,CD5&gt;=入力データ!$C$111),1,0))</f>
        <v/>
      </c>
      <c r="CE42" s="360">
        <f>IF(CE$3="","",IF(AND(CE4&gt;=入力データ!$C$111,CE5&gt;=入力データ!$C$111),1,0))</f>
        <v/>
      </c>
      <c r="CF42" s="360">
        <f>IF(CF$3="","",IF(AND(CF4&gt;=入力データ!$C$111,CF5&gt;=入力データ!$C$111),1,0))</f>
        <v/>
      </c>
      <c r="CG42" s="360">
        <f>IF(CG$3="","",IF(AND(CG4&gt;=入力データ!$C$111,CG5&gt;=入力データ!$C$111),1,0))</f>
        <v/>
      </c>
      <c r="CH42" s="360">
        <f>IF(CH$3="","",IF(AND(CH4&gt;=入力データ!$C$111,CH5&gt;=入力データ!$C$111),1,0))</f>
        <v/>
      </c>
      <c r="CI42" s="360">
        <f>IF(CI$3="","",IF(AND(CI4&gt;=入力データ!$C$111,CI5&gt;=入力データ!$C$111),1,0))</f>
        <v/>
      </c>
      <c r="CJ42" s="360">
        <f>IF(CJ$3="","",IF(AND(CJ4&gt;=入力データ!$C$111,CJ5&gt;=入力データ!$C$111),1,0))</f>
        <v/>
      </c>
      <c r="CK42" s="360">
        <f>IF(CK$3="","",IF(AND(CK4&gt;=入力データ!$C$111,CK5&gt;=入力データ!$C$111),1,0))</f>
        <v/>
      </c>
      <c r="CL42" s="360">
        <f>IF(CL$3="","",IF(AND(CL4&gt;=入力データ!$C$111,CL5&gt;=入力データ!$C$111),1,0))</f>
        <v/>
      </c>
      <c r="CM42" s="360">
        <f>IF(CM$3="","",IF(AND(CM4&gt;=入力データ!$C$111,CM5&gt;=入力データ!$C$111),1,0))</f>
        <v/>
      </c>
      <c r="CN42" s="360">
        <f>IF(CN$3="","",IF(AND(CN4&gt;=入力データ!$C$111,CN5&gt;=入力データ!$C$111),1,0))</f>
        <v/>
      </c>
      <c r="CO42" s="360">
        <f>IF(CO$3="","",IF(AND(CO4&gt;=入力データ!$C$111,CO5&gt;=入力データ!$C$111),1,0))</f>
        <v/>
      </c>
      <c r="CP42" s="360">
        <f>IF(CP$3="","",IF(AND(CP4&gt;=入力データ!$C$111,CP5&gt;=入力データ!$C$111),1,0))</f>
        <v/>
      </c>
      <c r="CQ42" s="360">
        <f>IF(CQ$3="","",IF(AND(CQ4&gt;=入力データ!$C$111,CQ5&gt;=入力データ!$C$111),1,0))</f>
        <v/>
      </c>
      <c r="CR42" s="360">
        <f>IF(CR$3="","",IF(AND(CR4&gt;=入力データ!$C$111,CR5&gt;=入力データ!$C$111),1,0))</f>
        <v/>
      </c>
      <c r="CS42" s="360">
        <f>IF(CS$3="","",IF(AND(CS4&gt;=入力データ!$C$111,CS5&gt;=入力データ!$C$111),1,0))</f>
        <v/>
      </c>
      <c r="CT42" s="360">
        <f>IF(CT$3="","",IF(AND(CT4&gt;=入力データ!$C$111,CT5&gt;=入力データ!$C$111),1,0))</f>
        <v/>
      </c>
      <c r="CU42" s="360">
        <f>IF(CU$3="","",IF(AND(CU4&gt;=入力データ!$C$111,CU5&gt;=入力データ!$C$111),1,0))</f>
        <v/>
      </c>
      <c r="CV42" s="360">
        <f>IF(CV$3="","",IF(AND(CV4&gt;=入力データ!$C$111,CV5&gt;=入力データ!$C$111),1,0))</f>
        <v/>
      </c>
      <c r="CW42" s="360">
        <f>IF(CW$3="","",IF(AND(CW4&gt;=入力データ!$C$111,CW5&gt;=入力データ!$C$111),1,0))</f>
        <v/>
      </c>
    </row>
    <row r="43" hidden="1" ht="16.5" customHeight="1" s="180">
      <c r="A43" s="239" t="inlineStr">
        <is>
          <t>老後不足額(補助)</t>
        </is>
      </c>
      <c r="B43" s="359">
        <f>IF(B$3="","",IF(B42=1,MAX(0,-B30),0))</f>
        <v/>
      </c>
      <c r="C43" s="359">
        <f>IF(C$3="","",IF(C42=1,MAX(0,-C30),0))</f>
        <v/>
      </c>
      <c r="D43" s="359">
        <f>IF(D$3="","",IF(D42=1,MAX(0,-D30),0))</f>
        <v/>
      </c>
      <c r="E43" s="359">
        <f>IF(E$3="","",IF(E42=1,MAX(0,-E30),0))</f>
        <v/>
      </c>
      <c r="F43" s="359">
        <f>IF(F$3="","",IF(F42=1,MAX(0,-F30),0))</f>
        <v/>
      </c>
      <c r="G43" s="359">
        <f>IF(G$3="","",IF(G42=1,MAX(0,-G30),0))</f>
        <v/>
      </c>
      <c r="H43" s="359">
        <f>IF(H$3="","",IF(H42=1,MAX(0,-H30),0))</f>
        <v/>
      </c>
      <c r="I43" s="359">
        <f>IF(I$3="","",IF(I42=1,MAX(0,-I30),0))</f>
        <v/>
      </c>
      <c r="J43" s="359">
        <f>IF(J$3="","",IF(J42=1,MAX(0,-J30),0))</f>
        <v/>
      </c>
      <c r="K43" s="359">
        <f>IF(K$3="","",IF(K42=1,MAX(0,-K30),0))</f>
        <v/>
      </c>
      <c r="L43" s="359">
        <f>IF(L$3="","",IF(L42=1,MAX(0,-L30),0))</f>
        <v/>
      </c>
      <c r="M43" s="359">
        <f>IF(M$3="","",IF(M42=1,MAX(0,-M30),0))</f>
        <v/>
      </c>
      <c r="N43" s="359">
        <f>IF(N$3="","",IF(N42=1,MAX(0,-N30),0))</f>
        <v/>
      </c>
      <c r="O43" s="359">
        <f>IF(O$3="","",IF(O42=1,MAX(0,-O30),0))</f>
        <v/>
      </c>
      <c r="P43" s="359">
        <f>IF(P$3="","",IF(P42=1,MAX(0,-P30),0))</f>
        <v/>
      </c>
      <c r="Q43" s="359">
        <f>IF(Q$3="","",IF(Q42=1,MAX(0,-Q30),0))</f>
        <v/>
      </c>
      <c r="R43" s="359">
        <f>IF(R$3="","",IF(R42=1,MAX(0,-R30),0))</f>
        <v/>
      </c>
      <c r="S43" s="359">
        <f>IF(S$3="","",IF(S42=1,MAX(0,-S30),0))</f>
        <v/>
      </c>
      <c r="T43" s="359">
        <f>IF(T$3="","",IF(T42=1,MAX(0,-T30),0))</f>
        <v/>
      </c>
      <c r="U43" s="359">
        <f>IF(U$3="","",IF(U42=1,MAX(0,-U30),0))</f>
        <v/>
      </c>
      <c r="V43" s="359">
        <f>IF(V$3="","",IF(V42=1,MAX(0,-V30),0))</f>
        <v/>
      </c>
      <c r="W43" s="359">
        <f>IF(W$3="","",IF(W42=1,MAX(0,-W30),0))</f>
        <v/>
      </c>
      <c r="X43" s="359">
        <f>IF(X$3="","",IF(X42=1,MAX(0,-X30),0))</f>
        <v/>
      </c>
      <c r="Y43" s="359">
        <f>IF(Y$3="","",IF(Y42=1,MAX(0,-Y30),0))</f>
        <v/>
      </c>
      <c r="Z43" s="359">
        <f>IF(Z$3="","",IF(Z42=1,MAX(0,-Z30),0))</f>
        <v/>
      </c>
      <c r="AA43" s="359">
        <f>IF(AA$3="","",IF(AA42=1,MAX(0,-AA30),0))</f>
        <v/>
      </c>
      <c r="AB43" s="359">
        <f>IF(AB$3="","",IF(AB42=1,MAX(0,-AB30),0))</f>
        <v/>
      </c>
      <c r="AC43" s="359">
        <f>IF(AC$3="","",IF(AC42=1,MAX(0,-AC30),0))</f>
        <v/>
      </c>
      <c r="AD43" s="359">
        <f>IF(AD$3="","",IF(AD42=1,MAX(0,-AD30),0))</f>
        <v/>
      </c>
      <c r="AE43" s="359">
        <f>IF(AE$3="","",IF(AE42=1,MAX(0,-AE30),0))</f>
        <v/>
      </c>
      <c r="AF43" s="359">
        <f>IF(AF$3="","",IF(AF42=1,MAX(0,-AF30),0))</f>
        <v/>
      </c>
      <c r="AG43" s="359">
        <f>IF(AG$3="","",IF(AG42=1,MAX(0,-AG30),0))</f>
        <v/>
      </c>
      <c r="AH43" s="359">
        <f>IF(AH$3="","",IF(AH42=1,MAX(0,-AH30),0))</f>
        <v/>
      </c>
      <c r="AI43" s="359">
        <f>IF(AI$3="","",IF(AI42=1,MAX(0,-AI30),0))</f>
        <v/>
      </c>
      <c r="AJ43" s="359">
        <f>IF(AJ$3="","",IF(AJ42=1,MAX(0,-AJ30),0))</f>
        <v/>
      </c>
      <c r="AK43" s="359">
        <f>IF(AK$3="","",IF(AK42=1,MAX(0,-AK30),0))</f>
        <v/>
      </c>
      <c r="AL43" s="359">
        <f>IF(AL$3="","",IF(AL42=1,MAX(0,-AL30),0))</f>
        <v/>
      </c>
      <c r="AM43" s="359">
        <f>IF(AM$3="","",IF(AM42=1,MAX(0,-AM30),0))</f>
        <v/>
      </c>
      <c r="AN43" s="359">
        <f>IF(AN$3="","",IF(AN42=1,MAX(0,-AN30),0))</f>
        <v/>
      </c>
      <c r="AO43" s="359">
        <f>IF(AO$3="","",IF(AO42=1,MAX(0,-AO30),0))</f>
        <v/>
      </c>
      <c r="AP43" s="359">
        <f>IF(AP$3="","",IF(AP42=1,MAX(0,-AP30),0))</f>
        <v/>
      </c>
      <c r="AQ43" s="359">
        <f>IF(AQ$3="","",IF(AQ42=1,MAX(0,-AQ30),0))</f>
        <v/>
      </c>
      <c r="AR43" s="359">
        <f>IF(AR$3="","",IF(AR42=1,MAX(0,-AR30),0))</f>
        <v/>
      </c>
      <c r="AS43" s="359">
        <f>IF(AS$3="","",IF(AS42=1,MAX(0,-AS30),0))</f>
        <v/>
      </c>
      <c r="AT43" s="359">
        <f>IF(AT$3="","",IF(AT42=1,MAX(0,-AT30),0))</f>
        <v/>
      </c>
      <c r="AU43" s="359">
        <f>IF(AU$3="","",IF(AU42=1,MAX(0,-AU30),0))</f>
        <v/>
      </c>
      <c r="AV43" s="359">
        <f>IF(AV$3="","",IF(AV42=1,MAX(0,-AV30),0))</f>
        <v/>
      </c>
      <c r="AW43" s="359">
        <f>IF(AW$3="","",IF(AW42=1,MAX(0,-AW30),0))</f>
        <v/>
      </c>
      <c r="AX43" s="359">
        <f>IF(AX$3="","",IF(AX42=1,MAX(0,-AX30),0))</f>
        <v/>
      </c>
      <c r="AY43" s="359">
        <f>IF(AY$3="","",IF(AY42=1,MAX(0,-AY30),0))</f>
        <v/>
      </c>
      <c r="AZ43" s="359">
        <f>IF(AZ$3="","",IF(AZ42=1,MAX(0,-AZ30),0))</f>
        <v/>
      </c>
      <c r="BA43" s="359">
        <f>IF(BA$3="","",IF(BA42=1,MAX(0,-BA30),0))</f>
        <v/>
      </c>
      <c r="BB43" s="359">
        <f>IF(BB$3="","",IF(BB42=1,MAX(0,-BB30),0))</f>
        <v/>
      </c>
      <c r="BC43" s="359">
        <f>IF(BC$3="","",IF(BC42=1,MAX(0,-BC30),0))</f>
        <v/>
      </c>
      <c r="BD43" s="359">
        <f>IF(BD$3="","",IF(BD42=1,MAX(0,-BD30),0))</f>
        <v/>
      </c>
      <c r="BE43" s="359">
        <f>IF(BE$3="","",IF(BE42=1,MAX(0,-BE30),0))</f>
        <v/>
      </c>
      <c r="BF43" s="359">
        <f>IF(BF$3="","",IF(BF42=1,MAX(0,-BF30),0))</f>
        <v/>
      </c>
      <c r="BG43" s="359">
        <f>IF(BG$3="","",IF(BG42=1,MAX(0,-BG30),0))</f>
        <v/>
      </c>
      <c r="BH43" s="359">
        <f>IF(BH$3="","",IF(BH42=1,MAX(0,-BH30),0))</f>
        <v/>
      </c>
      <c r="BI43" s="359">
        <f>IF(BI$3="","",IF(BI42=1,MAX(0,-BI30),0))</f>
        <v/>
      </c>
      <c r="BJ43" s="359">
        <f>IF(BJ$3="","",IF(BJ42=1,MAX(0,-BJ30),0))</f>
        <v/>
      </c>
      <c r="BK43" s="359">
        <f>IF(BK$3="","",IF(BK42=1,MAX(0,-BK30),0))</f>
        <v/>
      </c>
      <c r="BL43" s="359">
        <f>IF(BL$3="","",IF(BL42=1,MAX(0,-BL30),0))</f>
        <v/>
      </c>
      <c r="BM43" s="359">
        <f>IF(BM$3="","",IF(BM42=1,MAX(0,-BM30),0))</f>
        <v/>
      </c>
      <c r="BN43" s="359">
        <f>IF(BN$3="","",IF(BN42=1,MAX(0,-BN30),0))</f>
        <v/>
      </c>
      <c r="BO43" s="359">
        <f>IF(BO$3="","",IF(BO42=1,MAX(0,-BO30),0))</f>
        <v/>
      </c>
      <c r="BP43" s="359">
        <f>IF(BP$3="","",IF(BP42=1,MAX(0,-BP30),0))</f>
        <v/>
      </c>
      <c r="BQ43" s="359">
        <f>IF(BQ$3="","",IF(BQ42=1,MAX(0,-BQ30),0))</f>
        <v/>
      </c>
      <c r="BR43" s="359">
        <f>IF(BR$3="","",IF(BR42=1,MAX(0,-BR30),0))</f>
        <v/>
      </c>
      <c r="BS43" s="359">
        <f>IF(BS$3="","",IF(BS42=1,MAX(0,-BS30),0))</f>
        <v/>
      </c>
      <c r="BT43" s="359">
        <f>IF(BT$3="","",IF(BT42=1,MAX(0,-BT30),0))</f>
        <v/>
      </c>
      <c r="BU43" s="359">
        <f>IF(BU$3="","",IF(BU42=1,MAX(0,-BU30),0))</f>
        <v/>
      </c>
      <c r="BV43" s="359">
        <f>IF(BV$3="","",IF(BV42=1,MAX(0,-BV30),0))</f>
        <v/>
      </c>
      <c r="BW43" s="359">
        <f>IF(BW$3="","",IF(BW42=1,MAX(0,-BW30),0))</f>
        <v/>
      </c>
      <c r="BX43" s="359">
        <f>IF(BX$3="","",IF(BX42=1,MAX(0,-BX30),0))</f>
        <v/>
      </c>
      <c r="BY43" s="359">
        <f>IF(BY$3="","",IF(BY42=1,MAX(0,-BY30),0))</f>
        <v/>
      </c>
      <c r="BZ43" s="359">
        <f>IF(BZ$3="","",IF(BZ42=1,MAX(0,-BZ30),0))</f>
        <v/>
      </c>
      <c r="CA43" s="359">
        <f>IF(CA$3="","",IF(CA42=1,MAX(0,-CA30),0))</f>
        <v/>
      </c>
      <c r="CB43" s="359">
        <f>IF(CB$3="","",IF(CB42=1,MAX(0,-CB30),0))</f>
        <v/>
      </c>
      <c r="CC43" s="359">
        <f>IF(CC$3="","",IF(CC42=1,MAX(0,-CC30),0))</f>
        <v/>
      </c>
      <c r="CD43" s="359">
        <f>IF(CD$3="","",IF(CD42=1,MAX(0,-CD30),0))</f>
        <v/>
      </c>
      <c r="CE43" s="359">
        <f>IF(CE$3="","",IF(CE42=1,MAX(0,-CE30),0))</f>
        <v/>
      </c>
      <c r="CF43" s="359">
        <f>IF(CF$3="","",IF(CF42=1,MAX(0,-CF30),0))</f>
        <v/>
      </c>
      <c r="CG43" s="359">
        <f>IF(CG$3="","",IF(CG42=1,MAX(0,-CG30),0))</f>
        <v/>
      </c>
      <c r="CH43" s="359">
        <f>IF(CH$3="","",IF(CH42=1,MAX(0,-CH30),0))</f>
        <v/>
      </c>
      <c r="CI43" s="359">
        <f>IF(CI$3="","",IF(CI42=1,MAX(0,-CI30),0))</f>
        <v/>
      </c>
      <c r="CJ43" s="359">
        <f>IF(CJ$3="","",IF(CJ42=1,MAX(0,-CJ30),0))</f>
        <v/>
      </c>
      <c r="CK43" s="359">
        <f>IF(CK$3="","",IF(CK42=1,MAX(0,-CK30),0))</f>
        <v/>
      </c>
      <c r="CL43" s="359">
        <f>IF(CL$3="","",IF(CL42=1,MAX(0,-CL30),0))</f>
        <v/>
      </c>
      <c r="CM43" s="359">
        <f>IF(CM$3="","",IF(CM42=1,MAX(0,-CM30),0))</f>
        <v/>
      </c>
      <c r="CN43" s="359">
        <f>IF(CN$3="","",IF(CN42=1,MAX(0,-CN30),0))</f>
        <v/>
      </c>
      <c r="CO43" s="359">
        <f>IF(CO$3="","",IF(CO42=1,MAX(0,-CO30),0))</f>
        <v/>
      </c>
      <c r="CP43" s="359">
        <f>IF(CP$3="","",IF(CP42=1,MAX(0,-CP30),0))</f>
        <v/>
      </c>
      <c r="CQ43" s="359">
        <f>IF(CQ$3="","",IF(CQ42=1,MAX(0,-CQ30),0))</f>
        <v/>
      </c>
      <c r="CR43" s="359">
        <f>IF(CR$3="","",IF(CR42=1,MAX(0,-CR30),0))</f>
        <v/>
      </c>
      <c r="CS43" s="359">
        <f>IF(CS$3="","",IF(CS42=1,MAX(0,-CS30),0))</f>
        <v/>
      </c>
      <c r="CT43" s="359">
        <f>IF(CT$3="","",IF(CT42=1,MAX(0,-CT30),0))</f>
        <v/>
      </c>
      <c r="CU43" s="359">
        <f>IF(CU$3="","",IF(CU42=1,MAX(0,-CU30),0))</f>
        <v/>
      </c>
      <c r="CV43" s="359">
        <f>IF(CV$3="","",IF(CV42=1,MAX(0,-CV30),0))</f>
        <v/>
      </c>
      <c r="CW43" s="359">
        <f>IF(CW$3="","",IF(CW42=1,MAX(0,-CW30),0))</f>
        <v/>
      </c>
    </row>
    <row r="44" ht="15" customHeight="1" s="180">
      <c r="A44" s="241" t="inlineStr">
        <is>
          <t>保有資産合計（参考）</t>
        </is>
      </c>
      <c r="B44" s="361">
        <f>IF(B$3="","",B31+B32+B33)</f>
        <v/>
      </c>
      <c r="C44" s="361">
        <f>IF(C$3="","",C31+C32+C33)</f>
        <v/>
      </c>
      <c r="D44" s="361">
        <f>IF(D$3="","",D31+D32+D33)</f>
        <v/>
      </c>
      <c r="E44" s="361">
        <f>IF(E$3="","",E31+E32+E33)</f>
        <v/>
      </c>
      <c r="F44" s="361">
        <f>IF(F$3="","",F31+F32+F33)</f>
        <v/>
      </c>
      <c r="G44" s="361">
        <f>IF(G$3="","",G31+G32+G33)</f>
        <v/>
      </c>
      <c r="H44" s="361">
        <f>IF(H$3="","",H31+H32+H33)</f>
        <v/>
      </c>
      <c r="I44" s="361">
        <f>IF(I$3="","",I31+I32+I33)</f>
        <v/>
      </c>
      <c r="J44" s="361">
        <f>IF(J$3="","",J31+J32+J33)</f>
        <v/>
      </c>
      <c r="K44" s="361">
        <f>IF(K$3="","",K31+K32+K33)</f>
        <v/>
      </c>
      <c r="L44" s="361">
        <f>IF(L$3="","",L31+L32+L33)</f>
        <v/>
      </c>
      <c r="M44" s="361">
        <f>IF(M$3="","",M31+M32+M33)</f>
        <v/>
      </c>
      <c r="N44" s="361">
        <f>IF(N$3="","",N31+N32+N33)</f>
        <v/>
      </c>
      <c r="O44" s="361">
        <f>IF(O$3="","",O31+O32+O33)</f>
        <v/>
      </c>
      <c r="P44" s="361">
        <f>IF(P$3="","",P31+P32+P33)</f>
        <v/>
      </c>
      <c r="Q44" s="361">
        <f>IF(Q$3="","",Q31+Q32+Q33)</f>
        <v/>
      </c>
      <c r="R44" s="361">
        <f>IF(R$3="","",R31+R32+R33)</f>
        <v/>
      </c>
      <c r="S44" s="361">
        <f>IF(S$3="","",S31+S32+S33)</f>
        <v/>
      </c>
      <c r="T44" s="361">
        <f>IF(T$3="","",T31+T32+T33)</f>
        <v/>
      </c>
      <c r="U44" s="361">
        <f>IF(U$3="","",U31+U32+U33)</f>
        <v/>
      </c>
      <c r="V44" s="361">
        <f>IF(V$3="","",V31+V32+V33)</f>
        <v/>
      </c>
      <c r="W44" s="361">
        <f>IF(W$3="","",W31+W32+W33)</f>
        <v/>
      </c>
      <c r="X44" s="361">
        <f>IF(X$3="","",X31+X32+X33)</f>
        <v/>
      </c>
      <c r="Y44" s="361">
        <f>IF(Y$3="","",Y31+Y32+Y33)</f>
        <v/>
      </c>
      <c r="Z44" s="361">
        <f>IF(Z$3="","",Z31+Z32+Z33)</f>
        <v/>
      </c>
      <c r="AA44" s="361">
        <f>IF(AA$3="","",AA31+AA32+AA33)</f>
        <v/>
      </c>
      <c r="AB44" s="361">
        <f>IF(AB$3="","",AB31+AB32+AB33)</f>
        <v/>
      </c>
      <c r="AC44" s="361">
        <f>IF(AC$3="","",AC31+AC32+AC33)</f>
        <v/>
      </c>
      <c r="AD44" s="361">
        <f>IF(AD$3="","",AD31+AD32+AD33)</f>
        <v/>
      </c>
      <c r="AE44" s="361">
        <f>IF(AE$3="","",AE31+AE32+AE33)</f>
        <v/>
      </c>
      <c r="AF44" s="361">
        <f>IF(AF$3="","",AF31+AF32+AF33)</f>
        <v/>
      </c>
      <c r="AG44" s="361">
        <f>IF(AG$3="","",AG31+AG32+AG33)</f>
        <v/>
      </c>
      <c r="AH44" s="361">
        <f>IF(AH$3="","",AH31+AH32+AH33)</f>
        <v/>
      </c>
      <c r="AI44" s="361">
        <f>IF(AI$3="","",AI31+AI32+AI33)</f>
        <v/>
      </c>
      <c r="AJ44" s="361">
        <f>IF(AJ$3="","",AJ31+AJ32+AJ33)</f>
        <v/>
      </c>
      <c r="AK44" s="361">
        <f>IF(AK$3="","",AK31+AK32+AK33)</f>
        <v/>
      </c>
      <c r="AL44" s="361">
        <f>IF(AL$3="","",AL31+AL32+AL33)</f>
        <v/>
      </c>
      <c r="AM44" s="361">
        <f>IF(AM$3="","",AM31+AM32+AM33)</f>
        <v/>
      </c>
      <c r="AN44" s="361">
        <f>IF(AN$3="","",AN31+AN32+AN33)</f>
        <v/>
      </c>
      <c r="AO44" s="361">
        <f>IF(AO$3="","",AO31+AO32+AO33)</f>
        <v/>
      </c>
      <c r="AP44" s="361">
        <f>IF(AP$3="","",AP31+AP32+AP33)</f>
        <v/>
      </c>
      <c r="AQ44" s="361">
        <f>IF(AQ$3="","",AQ31+AQ32+AQ33)</f>
        <v/>
      </c>
      <c r="AR44" s="361">
        <f>IF(AR$3="","",AR31+AR32+AR33)</f>
        <v/>
      </c>
      <c r="AS44" s="361">
        <f>IF(AS$3="","",AS31+AS32+AS33)</f>
        <v/>
      </c>
      <c r="AT44" s="361">
        <f>IF(AT$3="","",AT31+AT32+AT33)</f>
        <v/>
      </c>
      <c r="AU44" s="361">
        <f>IF(AU$3="","",AU31+AU32+AU33)</f>
        <v/>
      </c>
      <c r="AV44" s="361">
        <f>IF(AV$3="","",AV31+AV32+AV33)</f>
        <v/>
      </c>
      <c r="AW44" s="361">
        <f>IF(AW$3="","",AW31+AW32+AW33)</f>
        <v/>
      </c>
      <c r="AX44" s="361">
        <f>IF(AX$3="","",AX31+AX32+AX33)</f>
        <v/>
      </c>
      <c r="AY44" s="361">
        <f>IF(AY$3="","",AY31+AY32+AY33)</f>
        <v/>
      </c>
      <c r="AZ44" s="361">
        <f>IF(AZ$3="","",AZ31+AZ32+AZ33)</f>
        <v/>
      </c>
      <c r="BA44" s="361">
        <f>IF(BA$3="","",BA31+BA32+BA33)</f>
        <v/>
      </c>
      <c r="BB44" s="361">
        <f>IF(BB$3="","",BB31+BB32+BB33)</f>
        <v/>
      </c>
      <c r="BC44" s="361">
        <f>IF(BC$3="","",BC31+BC32+BC33)</f>
        <v/>
      </c>
      <c r="BD44" s="361">
        <f>IF(BD$3="","",BD31+BD32+BD33)</f>
        <v/>
      </c>
      <c r="BE44" s="361">
        <f>IF(BE$3="","",BE31+BE32+BE33)</f>
        <v/>
      </c>
      <c r="BF44" s="361">
        <f>IF(BF$3="","",BF31+BF32+BF33)</f>
        <v/>
      </c>
      <c r="BG44" s="361">
        <f>IF(BG$3="","",BG31+BG32+BG33)</f>
        <v/>
      </c>
      <c r="BH44" s="361">
        <f>IF(BH$3="","",BH31+BH32+BH33)</f>
        <v/>
      </c>
      <c r="BI44" s="361">
        <f>IF(BI$3="","",BI31+BI32+BI33)</f>
        <v/>
      </c>
      <c r="BJ44" s="361">
        <f>IF(BJ$3="","",BJ31+BJ32+BJ33)</f>
        <v/>
      </c>
      <c r="BK44" s="361">
        <f>IF(BK$3="","",BK31+BK32+BK33)</f>
        <v/>
      </c>
      <c r="BL44" s="361">
        <f>IF(BL$3="","",BL31+BL32+BL33)</f>
        <v/>
      </c>
      <c r="BM44" s="361">
        <f>IF(BM$3="","",BM31+BM32+BM33)</f>
        <v/>
      </c>
      <c r="BN44" s="361">
        <f>IF(BN$3="","",BN31+BN32+BN33)</f>
        <v/>
      </c>
      <c r="BO44" s="361">
        <f>IF(BO$3="","",BO31+BO32+BO33)</f>
        <v/>
      </c>
      <c r="BP44" s="361">
        <f>IF(BP$3="","",BP31+BP32+BP33)</f>
        <v/>
      </c>
      <c r="BQ44" s="361">
        <f>IF(BQ$3="","",BQ31+BQ32+BQ33)</f>
        <v/>
      </c>
      <c r="BR44" s="361">
        <f>IF(BR$3="","",BR31+BR32+BR33)</f>
        <v/>
      </c>
      <c r="BS44" s="361">
        <f>IF(BS$3="","",BS31+BS32+BS33)</f>
        <v/>
      </c>
      <c r="BT44" s="361">
        <f>IF(BT$3="","",BT31+BT32+BT33)</f>
        <v/>
      </c>
      <c r="BU44" s="361">
        <f>IF(BU$3="","",BU31+BU32+BU33)</f>
        <v/>
      </c>
      <c r="BV44" s="361">
        <f>IF(BV$3="","",BV31+BV32+BV33)</f>
        <v/>
      </c>
      <c r="BW44" s="361">
        <f>IF(BW$3="","",BW31+BW32+BW33)</f>
        <v/>
      </c>
      <c r="BX44" s="361">
        <f>IF(BX$3="","",BX31+BX32+BX33)</f>
        <v/>
      </c>
      <c r="BY44" s="361">
        <f>IF(BY$3="","",BY31+BY32+BY33)</f>
        <v/>
      </c>
      <c r="BZ44" s="361">
        <f>IF(BZ$3="","",BZ31+BZ32+BZ33)</f>
        <v/>
      </c>
      <c r="CA44" s="361">
        <f>IF(CA$3="","",CA31+CA32+CA33)</f>
        <v/>
      </c>
      <c r="CB44" s="361">
        <f>IF(CB$3="","",CB31+CB32+CB33)</f>
        <v/>
      </c>
      <c r="CC44" s="361">
        <f>IF(CC$3="","",CC31+CC32+CC33)</f>
        <v/>
      </c>
      <c r="CD44" s="361">
        <f>IF(CD$3="","",CD31+CD32+CD33)</f>
        <v/>
      </c>
      <c r="CE44" s="361">
        <f>IF(CE$3="","",CE31+CE32+CE33)</f>
        <v/>
      </c>
      <c r="CF44" s="361">
        <f>IF(CF$3="","",CF31+CF32+CF33)</f>
        <v/>
      </c>
      <c r="CG44" s="361">
        <f>IF(CG$3="","",CG31+CG32+CG33)</f>
        <v/>
      </c>
      <c r="CH44" s="361">
        <f>IF(CH$3="","",CH31+CH32+CH33)</f>
        <v/>
      </c>
      <c r="CI44" s="361">
        <f>IF(CI$3="","",CI31+CI32+CI33)</f>
        <v/>
      </c>
      <c r="CJ44" s="361">
        <f>IF(CJ$3="","",CJ31+CJ32+CJ33)</f>
        <v/>
      </c>
      <c r="CK44" s="361">
        <f>IF(CK$3="","",CK31+CK32+CK33)</f>
        <v/>
      </c>
      <c r="CL44" s="361">
        <f>IF(CL$3="","",CL31+CL32+CL33)</f>
        <v/>
      </c>
      <c r="CM44" s="361">
        <f>IF(CM$3="","",CM31+CM32+CM33)</f>
        <v/>
      </c>
      <c r="CN44" s="361">
        <f>IF(CN$3="","",CN31+CN32+CN33)</f>
        <v/>
      </c>
      <c r="CO44" s="361">
        <f>IF(CO$3="","",CO31+CO32+CO33)</f>
        <v/>
      </c>
      <c r="CP44" s="361">
        <f>IF(CP$3="","",CP31+CP32+CP33)</f>
        <v/>
      </c>
      <c r="CQ44" s="361">
        <f>IF(CQ$3="","",CQ31+CQ32+CQ33)</f>
        <v/>
      </c>
      <c r="CR44" s="361">
        <f>IF(CR$3="","",CR31+CR32+CR33)</f>
        <v/>
      </c>
      <c r="CS44" s="361">
        <f>IF(CS$3="","",CS31+CS32+CS33)</f>
        <v/>
      </c>
      <c r="CT44" s="361">
        <f>IF(CT$3="","",CT31+CT32+CT33)</f>
        <v/>
      </c>
      <c r="CU44" s="361">
        <f>IF(CU$3="","",CU31+CU32+CU33)</f>
        <v/>
      </c>
      <c r="CV44" s="361">
        <f>IF(CV$3="","",CV31+CV32+CV33)</f>
        <v/>
      </c>
      <c r="CW44" s="361">
        <f>IF(CW$3="","",CW31+CW32+CW33)</f>
        <v/>
      </c>
    </row>
    <row r="45" ht="15" customHeight="1" s="180">
      <c r="A45" s="241" t="inlineStr">
        <is>
          <t>負債合計（参考）</t>
        </is>
      </c>
      <c r="B45" s="362">
        <f>IF(B$3="","",B34)</f>
        <v/>
      </c>
      <c r="C45" s="362">
        <f>IF(C$3="","",C34)</f>
        <v/>
      </c>
      <c r="D45" s="362">
        <f>IF(D$3="","",D34)</f>
        <v/>
      </c>
      <c r="E45" s="362">
        <f>IF(E$3="","",E34)</f>
        <v/>
      </c>
      <c r="F45" s="362">
        <f>IF(F$3="","",F34)</f>
        <v/>
      </c>
      <c r="G45" s="362">
        <f>IF(G$3="","",G34)</f>
        <v/>
      </c>
      <c r="H45" s="362">
        <f>IF(H$3="","",H34)</f>
        <v/>
      </c>
      <c r="I45" s="362">
        <f>IF(I$3="","",I34)</f>
        <v/>
      </c>
      <c r="J45" s="362">
        <f>IF(J$3="","",J34)</f>
        <v/>
      </c>
      <c r="K45" s="362">
        <f>IF(K$3="","",K34)</f>
        <v/>
      </c>
      <c r="L45" s="362">
        <f>IF(L$3="","",L34)</f>
        <v/>
      </c>
      <c r="M45" s="362">
        <f>IF(M$3="","",M34)</f>
        <v/>
      </c>
      <c r="N45" s="362">
        <f>IF(N$3="","",N34)</f>
        <v/>
      </c>
      <c r="O45" s="362">
        <f>IF(O$3="","",O34)</f>
        <v/>
      </c>
      <c r="P45" s="362">
        <f>IF(P$3="","",P34)</f>
        <v/>
      </c>
      <c r="Q45" s="362">
        <f>IF(Q$3="","",Q34)</f>
        <v/>
      </c>
      <c r="R45" s="362">
        <f>IF(R$3="","",R34)</f>
        <v/>
      </c>
      <c r="S45" s="362">
        <f>IF(S$3="","",S34)</f>
        <v/>
      </c>
      <c r="T45" s="362">
        <f>IF(T$3="","",T34)</f>
        <v/>
      </c>
      <c r="U45" s="362">
        <f>IF(U$3="","",U34)</f>
        <v/>
      </c>
      <c r="V45" s="362">
        <f>IF(V$3="","",V34)</f>
        <v/>
      </c>
      <c r="W45" s="362">
        <f>IF(W$3="","",W34)</f>
        <v/>
      </c>
      <c r="X45" s="362">
        <f>IF(X$3="","",X34)</f>
        <v/>
      </c>
      <c r="Y45" s="362">
        <f>IF(Y$3="","",Y34)</f>
        <v/>
      </c>
      <c r="Z45" s="362">
        <f>IF(Z$3="","",Z34)</f>
        <v/>
      </c>
      <c r="AA45" s="362">
        <f>IF(AA$3="","",AA34)</f>
        <v/>
      </c>
      <c r="AB45" s="362">
        <f>IF(AB$3="","",AB34)</f>
        <v/>
      </c>
      <c r="AC45" s="362">
        <f>IF(AC$3="","",AC34)</f>
        <v/>
      </c>
      <c r="AD45" s="362">
        <f>IF(AD$3="","",AD34)</f>
        <v/>
      </c>
      <c r="AE45" s="362">
        <f>IF(AE$3="","",AE34)</f>
        <v/>
      </c>
      <c r="AF45" s="362">
        <f>IF(AF$3="","",AF34)</f>
        <v/>
      </c>
      <c r="AG45" s="362">
        <f>IF(AG$3="","",AG34)</f>
        <v/>
      </c>
      <c r="AH45" s="362">
        <f>IF(AH$3="","",AH34)</f>
        <v/>
      </c>
      <c r="AI45" s="362">
        <f>IF(AI$3="","",AI34)</f>
        <v/>
      </c>
      <c r="AJ45" s="362">
        <f>IF(AJ$3="","",AJ34)</f>
        <v/>
      </c>
      <c r="AK45" s="362">
        <f>IF(AK$3="","",AK34)</f>
        <v/>
      </c>
      <c r="AL45" s="362">
        <f>IF(AL$3="","",AL34)</f>
        <v/>
      </c>
      <c r="AM45" s="362">
        <f>IF(AM$3="","",AM34)</f>
        <v/>
      </c>
      <c r="AN45" s="362">
        <f>IF(AN$3="","",AN34)</f>
        <v/>
      </c>
      <c r="AO45" s="362">
        <f>IF(AO$3="","",AO34)</f>
        <v/>
      </c>
      <c r="AP45" s="362">
        <f>IF(AP$3="","",AP34)</f>
        <v/>
      </c>
      <c r="AQ45" s="362">
        <f>IF(AQ$3="","",AQ34)</f>
        <v/>
      </c>
      <c r="AR45" s="362">
        <f>IF(AR$3="","",AR34)</f>
        <v/>
      </c>
      <c r="AS45" s="362">
        <f>IF(AS$3="","",AS34)</f>
        <v/>
      </c>
      <c r="AT45" s="362">
        <f>IF(AT$3="","",AT34)</f>
        <v/>
      </c>
      <c r="AU45" s="362">
        <f>IF(AU$3="","",AU34)</f>
        <v/>
      </c>
      <c r="AV45" s="362">
        <f>IF(AV$3="","",AV34)</f>
        <v/>
      </c>
      <c r="AW45" s="362">
        <f>IF(AW$3="","",AW34)</f>
        <v/>
      </c>
      <c r="AX45" s="362">
        <f>IF(AX$3="","",AX34)</f>
        <v/>
      </c>
      <c r="AY45" s="362">
        <f>IF(AY$3="","",AY34)</f>
        <v/>
      </c>
      <c r="AZ45" s="362">
        <f>IF(AZ$3="","",AZ34)</f>
        <v/>
      </c>
      <c r="BA45" s="362">
        <f>IF(BA$3="","",BA34)</f>
        <v/>
      </c>
      <c r="BB45" s="362">
        <f>IF(BB$3="","",BB34)</f>
        <v/>
      </c>
      <c r="BC45" s="362">
        <f>IF(BC$3="","",BC34)</f>
        <v/>
      </c>
      <c r="BD45" s="362">
        <f>IF(BD$3="","",BD34)</f>
        <v/>
      </c>
      <c r="BE45" s="362">
        <f>IF(BE$3="","",BE34)</f>
        <v/>
      </c>
      <c r="BF45" s="362">
        <f>IF(BF$3="","",BF34)</f>
        <v/>
      </c>
      <c r="BG45" s="362">
        <f>IF(BG$3="","",BG34)</f>
        <v/>
      </c>
      <c r="BH45" s="362">
        <f>IF(BH$3="","",BH34)</f>
        <v/>
      </c>
      <c r="BI45" s="362">
        <f>IF(BI$3="","",BI34)</f>
        <v/>
      </c>
      <c r="BJ45" s="362">
        <f>IF(BJ$3="","",BJ34)</f>
        <v/>
      </c>
      <c r="BK45" s="362">
        <f>IF(BK$3="","",BK34)</f>
        <v/>
      </c>
      <c r="BL45" s="362">
        <f>IF(BL$3="","",BL34)</f>
        <v/>
      </c>
      <c r="BM45" s="362">
        <f>IF(BM$3="","",BM34)</f>
        <v/>
      </c>
      <c r="BN45" s="362">
        <f>IF(BN$3="","",BN34)</f>
        <v/>
      </c>
      <c r="BO45" s="362">
        <f>IF(BO$3="","",BO34)</f>
        <v/>
      </c>
      <c r="BP45" s="362">
        <f>IF(BP$3="","",BP34)</f>
        <v/>
      </c>
      <c r="BQ45" s="361">
        <f>IF(BQ$3="","",BQ34)</f>
        <v/>
      </c>
      <c r="BR45" s="361">
        <f>IF(BR$3="","",BR34)</f>
        <v/>
      </c>
      <c r="BS45" s="361">
        <f>IF(BS$3="","",BS34)</f>
        <v/>
      </c>
      <c r="BT45" s="361">
        <f>IF(BT$3="","",BT34)</f>
        <v/>
      </c>
      <c r="BU45" s="361">
        <f>IF(BU$3="","",BU34)</f>
        <v/>
      </c>
      <c r="BV45" s="361">
        <f>IF(BV$3="","",BV34)</f>
        <v/>
      </c>
      <c r="BW45" s="361">
        <f>IF(BW$3="","",BW34)</f>
        <v/>
      </c>
      <c r="BX45" s="361">
        <f>IF(BX$3="","",BX34)</f>
        <v/>
      </c>
      <c r="BY45" s="361">
        <f>IF(BY$3="","",BY34)</f>
        <v/>
      </c>
      <c r="BZ45" s="361">
        <f>IF(BZ$3="","",BZ34)</f>
        <v/>
      </c>
      <c r="CA45" s="361">
        <f>IF(CA$3="","",CA34)</f>
        <v/>
      </c>
      <c r="CB45" s="361">
        <f>IF(CB$3="","",CB34)</f>
        <v/>
      </c>
      <c r="CC45" s="361">
        <f>IF(CC$3="","",CC34)</f>
        <v/>
      </c>
      <c r="CD45" s="361">
        <f>IF(CD$3="","",CD34)</f>
        <v/>
      </c>
      <c r="CE45" s="361">
        <f>IF(CE$3="","",CE34)</f>
        <v/>
      </c>
      <c r="CF45" s="361">
        <f>IF(CF$3="","",CF34)</f>
        <v/>
      </c>
      <c r="CG45" s="361">
        <f>IF(CG$3="","",CG34)</f>
        <v/>
      </c>
      <c r="CH45" s="361">
        <f>IF(CH$3="","",CH34)</f>
        <v/>
      </c>
      <c r="CI45" s="361">
        <f>IF(CI$3="","",CI34)</f>
        <v/>
      </c>
      <c r="CJ45" s="361">
        <f>IF(CJ$3="","",CJ34)</f>
        <v/>
      </c>
      <c r="CK45" s="361">
        <f>IF(CK$3="","",CK34)</f>
        <v/>
      </c>
      <c r="CL45" s="361">
        <f>IF(CL$3="","",CL34)</f>
        <v/>
      </c>
      <c r="CM45" s="361">
        <f>IF(CM$3="","",CM34)</f>
        <v/>
      </c>
      <c r="CN45" s="361">
        <f>IF(CN$3="","",CN34)</f>
        <v/>
      </c>
      <c r="CO45" s="361">
        <f>IF(CO$3="","",CO34)</f>
        <v/>
      </c>
      <c r="CP45" s="361">
        <f>IF(CP$3="","",CP34)</f>
        <v/>
      </c>
      <c r="CQ45" s="361">
        <f>IF(CQ$3="","",CQ34)</f>
        <v/>
      </c>
      <c r="CR45" s="361">
        <f>IF(CR$3="","",CR34)</f>
        <v/>
      </c>
      <c r="CS45" s="361">
        <f>IF(CS$3="","",CS34)</f>
        <v/>
      </c>
      <c r="CT45" s="361">
        <f>IF(CT$3="","",CT34)</f>
        <v/>
      </c>
      <c r="CU45" s="361">
        <f>IF(CU$3="","",CU34)</f>
        <v/>
      </c>
      <c r="CV45" s="361">
        <f>IF(CV$3="","",CV34)</f>
        <v/>
      </c>
      <c r="CW45" s="361">
        <f>IF(CW$3="","",CW34)</f>
        <v/>
      </c>
    </row>
  </sheetData>
  <mergeCells count="1">
    <mergeCell ref="A1:CW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CW4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4" customWidth="1" style="179" min="1" max="1"/>
    <col width="11" customWidth="1" style="179" min="2" max="101"/>
  </cols>
  <sheetData>
    <row r="1" ht="21" customHeight="1" s="180">
      <c r="A1" s="213" t="inlineStr">
        <is>
          <t>CF表（ご主人様死亡時 / 年次CF / 左→右に年が進む）</t>
        </is>
      </c>
    </row>
    <row r="2" ht="15" customHeight="1" s="180">
      <c r="A2" s="214" t="inlineStr">
        <is>
          <t>試算終了年</t>
        </is>
      </c>
      <c r="B2" s="179">
        <f>MAX(IF(入力データ!$C$10&lt;&gt;"",YEAR(入力データ!$C$10)+100,0),IF(入力データ!$C$11&lt;&gt;"",YEAR(入力データ!$C$11)+100,0))</f>
        <v/>
      </c>
    </row>
    <row r="3" ht="15" customHeight="1" s="180">
      <c r="A3" s="215" t="inlineStr">
        <is>
          <t>年</t>
        </is>
      </c>
      <c r="B3" s="216">
        <f>IF(YEAR(入力データ!$C$5)&gt;$B$2,"",YEAR(入力データ!$C$5))</f>
        <v/>
      </c>
      <c r="C3" s="216">
        <f>IF(B3="","",IF(B3+1&gt;$B$2,"",B3+1))</f>
        <v/>
      </c>
      <c r="D3" s="216">
        <f>IF(C3="","",IF(C3+1&gt;$B$2,"",C3+1))</f>
        <v/>
      </c>
      <c r="E3" s="216">
        <f>IF(D3="","",IF(D3+1&gt;$B$2,"",D3+1))</f>
        <v/>
      </c>
      <c r="F3" s="216">
        <f>IF(E3="","",IF(E3+1&gt;$B$2,"",E3+1))</f>
        <v/>
      </c>
      <c r="G3" s="216">
        <f>IF(F3="","",IF(F3+1&gt;$B$2,"",F3+1))</f>
        <v/>
      </c>
      <c r="H3" s="216">
        <f>IF(G3="","",IF(G3+1&gt;$B$2,"",G3+1))</f>
        <v/>
      </c>
      <c r="I3" s="216">
        <f>IF(H3="","",IF(H3+1&gt;$B$2,"",H3+1))</f>
        <v/>
      </c>
      <c r="J3" s="216">
        <f>IF(I3="","",IF(I3+1&gt;$B$2,"",I3+1))</f>
        <v/>
      </c>
      <c r="K3" s="216">
        <f>IF(J3="","",IF(J3+1&gt;$B$2,"",J3+1))</f>
        <v/>
      </c>
      <c r="L3" s="216">
        <f>IF(K3="","",IF(K3+1&gt;$B$2,"",K3+1))</f>
        <v/>
      </c>
      <c r="M3" s="216">
        <f>IF(L3="","",IF(L3+1&gt;$B$2,"",L3+1))</f>
        <v/>
      </c>
      <c r="N3" s="216">
        <f>IF(M3="","",IF(M3+1&gt;$B$2,"",M3+1))</f>
        <v/>
      </c>
      <c r="O3" s="216">
        <f>IF(N3="","",IF(N3+1&gt;$B$2,"",N3+1))</f>
        <v/>
      </c>
      <c r="P3" s="216">
        <f>IF(O3="","",IF(O3+1&gt;$B$2,"",O3+1))</f>
        <v/>
      </c>
      <c r="Q3" s="216">
        <f>IF(P3="","",IF(P3+1&gt;$B$2,"",P3+1))</f>
        <v/>
      </c>
      <c r="R3" s="216">
        <f>IF(Q3="","",IF(Q3+1&gt;$B$2,"",Q3+1))</f>
        <v/>
      </c>
      <c r="S3" s="216">
        <f>IF(R3="","",IF(R3+1&gt;$B$2,"",R3+1))</f>
        <v/>
      </c>
      <c r="T3" s="216">
        <f>IF(S3="","",IF(S3+1&gt;$B$2,"",S3+1))</f>
        <v/>
      </c>
      <c r="U3" s="216">
        <f>IF(T3="","",IF(T3+1&gt;$B$2,"",T3+1))</f>
        <v/>
      </c>
      <c r="V3" s="216">
        <f>IF(U3="","",IF(U3+1&gt;$B$2,"",U3+1))</f>
        <v/>
      </c>
      <c r="W3" s="216">
        <f>IF(V3="","",IF(V3+1&gt;$B$2,"",V3+1))</f>
        <v/>
      </c>
      <c r="X3" s="216">
        <f>IF(W3="","",IF(W3+1&gt;$B$2,"",W3+1))</f>
        <v/>
      </c>
      <c r="Y3" s="216">
        <f>IF(X3="","",IF(X3+1&gt;$B$2,"",X3+1))</f>
        <v/>
      </c>
      <c r="Z3" s="216">
        <f>IF(Y3="","",IF(Y3+1&gt;$B$2,"",Y3+1))</f>
        <v/>
      </c>
      <c r="AA3" s="216">
        <f>IF(Z3="","",IF(Z3+1&gt;$B$2,"",Z3+1))</f>
        <v/>
      </c>
      <c r="AB3" s="216">
        <f>IF(AA3="","",IF(AA3+1&gt;$B$2,"",AA3+1))</f>
        <v/>
      </c>
      <c r="AC3" s="216">
        <f>IF(AB3="","",IF(AB3+1&gt;$B$2,"",AB3+1))</f>
        <v/>
      </c>
      <c r="AD3" s="216">
        <f>IF(AC3="","",IF(AC3+1&gt;$B$2,"",AC3+1))</f>
        <v/>
      </c>
      <c r="AE3" s="216">
        <f>IF(AD3="","",IF(AD3+1&gt;$B$2,"",AD3+1))</f>
        <v/>
      </c>
      <c r="AF3" s="216">
        <f>IF(AE3="","",IF(AE3+1&gt;$B$2,"",AE3+1))</f>
        <v/>
      </c>
      <c r="AG3" s="216">
        <f>IF(AF3="","",IF(AF3+1&gt;$B$2,"",AF3+1))</f>
        <v/>
      </c>
      <c r="AH3" s="216">
        <f>IF(AG3="","",IF(AG3+1&gt;$B$2,"",AG3+1))</f>
        <v/>
      </c>
      <c r="AI3" s="216">
        <f>IF(AH3="","",IF(AH3+1&gt;$B$2,"",AH3+1))</f>
        <v/>
      </c>
      <c r="AJ3" s="216">
        <f>IF(AI3="","",IF(AI3+1&gt;$B$2,"",AI3+1))</f>
        <v/>
      </c>
      <c r="AK3" s="216">
        <f>IF(AJ3="","",IF(AJ3+1&gt;$B$2,"",AJ3+1))</f>
        <v/>
      </c>
      <c r="AL3" s="216">
        <f>IF(AK3="","",IF(AK3+1&gt;$B$2,"",AK3+1))</f>
        <v/>
      </c>
      <c r="AM3" s="216">
        <f>IF(AL3="","",IF(AL3+1&gt;$B$2,"",AL3+1))</f>
        <v/>
      </c>
      <c r="AN3" s="216">
        <f>IF(AM3="","",IF(AM3+1&gt;$B$2,"",AM3+1))</f>
        <v/>
      </c>
      <c r="AO3" s="216">
        <f>IF(AN3="","",IF(AN3+1&gt;$B$2,"",AN3+1))</f>
        <v/>
      </c>
      <c r="AP3" s="216">
        <f>IF(AO3="","",IF(AO3+1&gt;$B$2,"",AO3+1))</f>
        <v/>
      </c>
      <c r="AQ3" s="216">
        <f>IF(AP3="","",IF(AP3+1&gt;$B$2,"",AP3+1))</f>
        <v/>
      </c>
      <c r="AR3" s="216">
        <f>IF(AQ3="","",IF(AQ3+1&gt;$B$2,"",AQ3+1))</f>
        <v/>
      </c>
      <c r="AS3" s="216">
        <f>IF(AR3="","",IF(AR3+1&gt;$B$2,"",AR3+1))</f>
        <v/>
      </c>
      <c r="AT3" s="216">
        <f>IF(AS3="","",IF(AS3+1&gt;$B$2,"",AS3+1))</f>
        <v/>
      </c>
      <c r="AU3" s="216">
        <f>IF(AT3="","",IF(AT3+1&gt;$B$2,"",AT3+1))</f>
        <v/>
      </c>
      <c r="AV3" s="216">
        <f>IF(AU3="","",IF(AU3+1&gt;$B$2,"",AU3+1))</f>
        <v/>
      </c>
      <c r="AW3" s="216">
        <f>IF(AV3="","",IF(AV3+1&gt;$B$2,"",AV3+1))</f>
        <v/>
      </c>
      <c r="AX3" s="216">
        <f>IF(AW3="","",IF(AW3+1&gt;$B$2,"",AW3+1))</f>
        <v/>
      </c>
      <c r="AY3" s="216">
        <f>IF(AX3="","",IF(AX3+1&gt;$B$2,"",AX3+1))</f>
        <v/>
      </c>
      <c r="AZ3" s="216">
        <f>IF(AY3="","",IF(AY3+1&gt;$B$2,"",AY3+1))</f>
        <v/>
      </c>
      <c r="BA3" s="216">
        <f>IF(AZ3="","",IF(AZ3+1&gt;$B$2,"",AZ3+1))</f>
        <v/>
      </c>
      <c r="BB3" s="216">
        <f>IF(BA3="","",IF(BA3+1&gt;$B$2,"",BA3+1))</f>
        <v/>
      </c>
      <c r="BC3" s="216">
        <f>IF(BB3="","",IF(BB3+1&gt;$B$2,"",BB3+1))</f>
        <v/>
      </c>
      <c r="BD3" s="216">
        <f>IF(BC3="","",IF(BC3+1&gt;$B$2,"",BC3+1))</f>
        <v/>
      </c>
      <c r="BE3" s="216">
        <f>IF(BD3="","",IF(BD3+1&gt;$B$2,"",BD3+1))</f>
        <v/>
      </c>
      <c r="BF3" s="216">
        <f>IF(BE3="","",IF(BE3+1&gt;$B$2,"",BE3+1))</f>
        <v/>
      </c>
      <c r="BG3" s="216">
        <f>IF(BF3="","",IF(BF3+1&gt;$B$2,"",BF3+1))</f>
        <v/>
      </c>
      <c r="BH3" s="216">
        <f>IF(BG3="","",IF(BG3+1&gt;$B$2,"",BG3+1))</f>
        <v/>
      </c>
      <c r="BI3" s="216">
        <f>IF(BH3="","",IF(BH3+1&gt;$B$2,"",BH3+1))</f>
        <v/>
      </c>
      <c r="BJ3" s="216">
        <f>IF(BI3="","",IF(BI3+1&gt;$B$2,"",BI3+1))</f>
        <v/>
      </c>
      <c r="BK3" s="216">
        <f>IF(BJ3="","",IF(BJ3+1&gt;$B$2,"",BJ3+1))</f>
        <v/>
      </c>
      <c r="BL3" s="216">
        <f>IF(BK3="","",IF(BK3+1&gt;$B$2,"",BK3+1))</f>
        <v/>
      </c>
      <c r="BM3" s="216">
        <f>IF(BL3="","",IF(BL3+1&gt;$B$2,"",BL3+1))</f>
        <v/>
      </c>
      <c r="BN3" s="216">
        <f>IF(BM3="","",IF(BM3+1&gt;$B$2,"",BM3+1))</f>
        <v/>
      </c>
      <c r="BO3" s="216">
        <f>IF(BN3="","",IF(BN3+1&gt;$B$2,"",BN3+1))</f>
        <v/>
      </c>
      <c r="BP3" s="216">
        <f>IF(BO3="","",IF(BO3+1&gt;$B$2,"",BO3+1))</f>
        <v/>
      </c>
      <c r="BQ3" s="216">
        <f>IF(BP3="","",IF(BP3+1&gt;$B$2,"",BP3+1))</f>
        <v/>
      </c>
      <c r="BR3" s="216">
        <f>IF(BQ3="","",IF(BQ3+1&gt;$B$2,"",BQ3+1))</f>
        <v/>
      </c>
      <c r="BS3" s="216">
        <f>IF(BR3="","",IF(BR3+1&gt;$B$2,"",BR3+1))</f>
        <v/>
      </c>
      <c r="BT3" s="216">
        <f>IF(BS3="","",IF(BS3+1&gt;$B$2,"",BS3+1))</f>
        <v/>
      </c>
      <c r="BU3" s="216">
        <f>IF(BT3="","",IF(BT3+1&gt;$B$2,"",BT3+1))</f>
        <v/>
      </c>
      <c r="BV3" s="216">
        <f>IF(BU3="","",IF(BU3+1&gt;$B$2,"",BU3+1))</f>
        <v/>
      </c>
      <c r="BW3" s="216">
        <f>IF(BV3="","",IF(BV3+1&gt;$B$2,"",BV3+1))</f>
        <v/>
      </c>
      <c r="BX3" s="216">
        <f>IF(BW3="","",IF(BW3+1&gt;$B$2,"",BW3+1))</f>
        <v/>
      </c>
      <c r="BY3" s="216">
        <f>IF(BX3="","",IF(BX3+1&gt;$B$2,"",BX3+1))</f>
        <v/>
      </c>
      <c r="BZ3" s="216">
        <f>IF(BY3="","",IF(BY3+1&gt;$B$2,"",BY3+1))</f>
        <v/>
      </c>
      <c r="CA3" s="216">
        <f>IF(BZ3="","",IF(BZ3+1&gt;$B$2,"",BZ3+1))</f>
        <v/>
      </c>
      <c r="CB3" s="216">
        <f>IF(CA3="","",IF(CA3+1&gt;$B$2,"",CA3+1))</f>
        <v/>
      </c>
      <c r="CC3" s="216">
        <f>IF(CB3="","",IF(CB3+1&gt;$B$2,"",CB3+1))</f>
        <v/>
      </c>
      <c r="CD3" s="216">
        <f>IF(CC3="","",IF(CC3+1&gt;$B$2,"",CC3+1))</f>
        <v/>
      </c>
      <c r="CE3" s="216">
        <f>IF(CD3="","",IF(CD3+1&gt;$B$2,"",CD3+1))</f>
        <v/>
      </c>
      <c r="CF3" s="216">
        <f>IF(CE3="","",IF(CE3+1&gt;$B$2,"",CE3+1))</f>
        <v/>
      </c>
      <c r="CG3" s="216">
        <f>IF(CF3="","",IF(CF3+1&gt;$B$2,"",CF3+1))</f>
        <v/>
      </c>
      <c r="CH3" s="216">
        <f>IF(CG3="","",IF(CG3+1&gt;$B$2,"",CG3+1))</f>
        <v/>
      </c>
      <c r="CI3" s="216">
        <f>IF(CH3="","",IF(CH3+1&gt;$B$2,"",CH3+1))</f>
        <v/>
      </c>
      <c r="CJ3" s="216">
        <f>IF(CI3="","",IF(CI3+1&gt;$B$2,"",CI3+1))</f>
        <v/>
      </c>
      <c r="CK3" s="216">
        <f>IF(CJ3="","",IF(CJ3+1&gt;$B$2,"",CJ3+1))</f>
        <v/>
      </c>
      <c r="CL3" s="216">
        <f>IF(CK3="","",IF(CK3+1&gt;$B$2,"",CK3+1))</f>
        <v/>
      </c>
      <c r="CM3" s="216">
        <f>IF(CL3="","",IF(CL3+1&gt;$B$2,"",CL3+1))</f>
        <v/>
      </c>
      <c r="CN3" s="216">
        <f>IF(CM3="","",IF(CM3+1&gt;$B$2,"",CM3+1))</f>
        <v/>
      </c>
      <c r="CO3" s="216">
        <f>IF(CN3="","",IF(CN3+1&gt;$B$2,"",CN3+1))</f>
        <v/>
      </c>
      <c r="CP3" s="216">
        <f>IF(CO3="","",IF(CO3+1&gt;$B$2,"",CO3+1))</f>
        <v/>
      </c>
      <c r="CQ3" s="216">
        <f>IF(CP3="","",IF(CP3+1&gt;$B$2,"",CP3+1))</f>
        <v/>
      </c>
      <c r="CR3" s="216">
        <f>IF(CQ3="","",IF(CQ3+1&gt;$B$2,"",CQ3+1))</f>
        <v/>
      </c>
      <c r="CS3" s="216">
        <f>IF(CR3="","",IF(CR3+1&gt;$B$2,"",CR3+1))</f>
        <v/>
      </c>
      <c r="CT3" s="216">
        <f>IF(CS3="","",IF(CS3+1&gt;$B$2,"",CS3+1))</f>
        <v/>
      </c>
      <c r="CU3" s="216">
        <f>IF(CT3="","",IF(CT3+1&gt;$B$2,"",CT3+1))</f>
        <v/>
      </c>
      <c r="CV3" s="216">
        <f>IF(CU3="","",IF(CU3+1&gt;$B$2,"",CU3+1))</f>
        <v/>
      </c>
      <c r="CW3" s="216">
        <f>IF(CV3="","",IF(CV3+1&gt;$B$2,"",CV3+1))</f>
        <v/>
      </c>
    </row>
    <row r="4" ht="15" customHeight="1" s="180">
      <c r="A4" s="217" t="inlineStr">
        <is>
          <t>ご主人様年齢</t>
        </is>
      </c>
      <c r="B4" s="218">
        <f>IF(B$3="","",IF(入力データ!$C$10="","",YEAR(DATE(B$3,12,31))-YEAR(入力データ!$C$10)-IF(DATE(B$3,12,31)&lt;DATE(B$3,MONTH(入力データ!$C$10),DAY(入力データ!$C$10)),1,0)))</f>
        <v/>
      </c>
      <c r="C4" s="218">
        <f>IF(C$3="","",IF(入力データ!$C$10="","",YEAR(DATE(C$3,12,31))-YEAR(入力データ!$C$10)-IF(DATE(C$3,12,31)&lt;DATE(C$3,MONTH(入力データ!$C$10),DAY(入力データ!$C$10)),1,0)))</f>
        <v/>
      </c>
      <c r="D4" s="218">
        <f>IF(D$3="","",IF(入力データ!$C$10="","",YEAR(DATE(D$3,12,31))-YEAR(入力データ!$C$10)-IF(DATE(D$3,12,31)&lt;DATE(D$3,MONTH(入力データ!$C$10),DAY(入力データ!$C$10)),1,0)))</f>
        <v/>
      </c>
      <c r="E4" s="218">
        <f>IF(E$3="","",IF(入力データ!$C$10="","",YEAR(DATE(E$3,12,31))-YEAR(入力データ!$C$10)-IF(DATE(E$3,12,31)&lt;DATE(E$3,MONTH(入力データ!$C$10),DAY(入力データ!$C$10)),1,0)))</f>
        <v/>
      </c>
      <c r="F4" s="218">
        <f>IF(F$3="","",IF(入力データ!$C$10="","",YEAR(DATE(F$3,12,31))-YEAR(入力データ!$C$10)-IF(DATE(F$3,12,31)&lt;DATE(F$3,MONTH(入力データ!$C$10),DAY(入力データ!$C$10)),1,0)))</f>
        <v/>
      </c>
      <c r="G4" s="218">
        <f>IF(G$3="","",IF(入力データ!$C$10="","",YEAR(DATE(G$3,12,31))-YEAR(入力データ!$C$10)-IF(DATE(G$3,12,31)&lt;DATE(G$3,MONTH(入力データ!$C$10),DAY(入力データ!$C$10)),1,0)))</f>
        <v/>
      </c>
      <c r="H4" s="218">
        <f>IF(H$3="","",IF(入力データ!$C$10="","",YEAR(DATE(H$3,12,31))-YEAR(入力データ!$C$10)-IF(DATE(H$3,12,31)&lt;DATE(H$3,MONTH(入力データ!$C$10),DAY(入力データ!$C$10)),1,0)))</f>
        <v/>
      </c>
      <c r="I4" s="218">
        <f>IF(I$3="","",IF(入力データ!$C$10="","",YEAR(DATE(I$3,12,31))-YEAR(入力データ!$C$10)-IF(DATE(I$3,12,31)&lt;DATE(I$3,MONTH(入力データ!$C$10),DAY(入力データ!$C$10)),1,0)))</f>
        <v/>
      </c>
      <c r="J4" s="218">
        <f>IF(J$3="","",IF(入力データ!$C$10="","",YEAR(DATE(J$3,12,31))-YEAR(入力データ!$C$10)-IF(DATE(J$3,12,31)&lt;DATE(J$3,MONTH(入力データ!$C$10),DAY(入力データ!$C$10)),1,0)))</f>
        <v/>
      </c>
      <c r="K4" s="218">
        <f>IF(K$3="","",IF(入力データ!$C$10="","",YEAR(DATE(K$3,12,31))-YEAR(入力データ!$C$10)-IF(DATE(K$3,12,31)&lt;DATE(K$3,MONTH(入力データ!$C$10),DAY(入力データ!$C$10)),1,0)))</f>
        <v/>
      </c>
      <c r="L4" s="218">
        <f>IF(L$3="","",IF(入力データ!$C$10="","",YEAR(DATE(L$3,12,31))-YEAR(入力データ!$C$10)-IF(DATE(L$3,12,31)&lt;DATE(L$3,MONTH(入力データ!$C$10),DAY(入力データ!$C$10)),1,0)))</f>
        <v/>
      </c>
      <c r="M4" s="218">
        <f>IF(M$3="","",IF(入力データ!$C$10="","",YEAR(DATE(M$3,12,31))-YEAR(入力データ!$C$10)-IF(DATE(M$3,12,31)&lt;DATE(M$3,MONTH(入力データ!$C$10),DAY(入力データ!$C$10)),1,0)))</f>
        <v/>
      </c>
      <c r="N4" s="218">
        <f>IF(N$3="","",IF(入力データ!$C$10="","",YEAR(DATE(N$3,12,31))-YEAR(入力データ!$C$10)-IF(DATE(N$3,12,31)&lt;DATE(N$3,MONTH(入力データ!$C$10),DAY(入力データ!$C$10)),1,0)))</f>
        <v/>
      </c>
      <c r="O4" s="218">
        <f>IF(O$3="","",IF(入力データ!$C$10="","",YEAR(DATE(O$3,12,31))-YEAR(入力データ!$C$10)-IF(DATE(O$3,12,31)&lt;DATE(O$3,MONTH(入力データ!$C$10),DAY(入力データ!$C$10)),1,0)))</f>
        <v/>
      </c>
      <c r="P4" s="218">
        <f>IF(P$3="","",IF(入力データ!$C$10="","",YEAR(DATE(P$3,12,31))-YEAR(入力データ!$C$10)-IF(DATE(P$3,12,31)&lt;DATE(P$3,MONTH(入力データ!$C$10),DAY(入力データ!$C$10)),1,0)))</f>
        <v/>
      </c>
      <c r="Q4" s="218">
        <f>IF(Q$3="","",IF(入力データ!$C$10="","",YEAR(DATE(Q$3,12,31))-YEAR(入力データ!$C$10)-IF(DATE(Q$3,12,31)&lt;DATE(Q$3,MONTH(入力データ!$C$10),DAY(入力データ!$C$10)),1,0)))</f>
        <v/>
      </c>
      <c r="R4" s="218">
        <f>IF(R$3="","",IF(入力データ!$C$10="","",YEAR(DATE(R$3,12,31))-YEAR(入力データ!$C$10)-IF(DATE(R$3,12,31)&lt;DATE(R$3,MONTH(入力データ!$C$10),DAY(入力データ!$C$10)),1,0)))</f>
        <v/>
      </c>
      <c r="S4" s="218">
        <f>IF(S$3="","",IF(入力データ!$C$10="","",YEAR(DATE(S$3,12,31))-YEAR(入力データ!$C$10)-IF(DATE(S$3,12,31)&lt;DATE(S$3,MONTH(入力データ!$C$10),DAY(入力データ!$C$10)),1,0)))</f>
        <v/>
      </c>
      <c r="T4" s="218">
        <f>IF(T$3="","",IF(入力データ!$C$10="","",YEAR(DATE(T$3,12,31))-YEAR(入力データ!$C$10)-IF(DATE(T$3,12,31)&lt;DATE(T$3,MONTH(入力データ!$C$10),DAY(入力データ!$C$10)),1,0)))</f>
        <v/>
      </c>
      <c r="U4" s="218">
        <f>IF(U$3="","",IF(入力データ!$C$10="","",YEAR(DATE(U$3,12,31))-YEAR(入力データ!$C$10)-IF(DATE(U$3,12,31)&lt;DATE(U$3,MONTH(入力データ!$C$10),DAY(入力データ!$C$10)),1,0)))</f>
        <v/>
      </c>
      <c r="V4" s="218">
        <f>IF(V$3="","",IF(入力データ!$C$10="","",YEAR(DATE(V$3,12,31))-YEAR(入力データ!$C$10)-IF(DATE(V$3,12,31)&lt;DATE(V$3,MONTH(入力データ!$C$10),DAY(入力データ!$C$10)),1,0)))</f>
        <v/>
      </c>
      <c r="W4" s="218">
        <f>IF(W$3="","",IF(入力データ!$C$10="","",YEAR(DATE(W$3,12,31))-YEAR(入力データ!$C$10)-IF(DATE(W$3,12,31)&lt;DATE(W$3,MONTH(入力データ!$C$10),DAY(入力データ!$C$10)),1,0)))</f>
        <v/>
      </c>
      <c r="X4" s="218">
        <f>IF(X$3="","",IF(入力データ!$C$10="","",YEAR(DATE(X$3,12,31))-YEAR(入力データ!$C$10)-IF(DATE(X$3,12,31)&lt;DATE(X$3,MONTH(入力データ!$C$10),DAY(入力データ!$C$10)),1,0)))</f>
        <v/>
      </c>
      <c r="Y4" s="218">
        <f>IF(Y$3="","",IF(入力データ!$C$10="","",YEAR(DATE(Y$3,12,31))-YEAR(入力データ!$C$10)-IF(DATE(Y$3,12,31)&lt;DATE(Y$3,MONTH(入力データ!$C$10),DAY(入力データ!$C$10)),1,0)))</f>
        <v/>
      </c>
      <c r="Z4" s="218">
        <f>IF(Z$3="","",IF(入力データ!$C$10="","",YEAR(DATE(Z$3,12,31))-YEAR(入力データ!$C$10)-IF(DATE(Z$3,12,31)&lt;DATE(Z$3,MONTH(入力データ!$C$10),DAY(入力データ!$C$10)),1,0)))</f>
        <v/>
      </c>
      <c r="AA4" s="218">
        <f>IF(AA$3="","",IF(入力データ!$C$10="","",YEAR(DATE(AA$3,12,31))-YEAR(入力データ!$C$10)-IF(DATE(AA$3,12,31)&lt;DATE(AA$3,MONTH(入力データ!$C$10),DAY(入力データ!$C$10)),1,0)))</f>
        <v/>
      </c>
      <c r="AB4" s="218">
        <f>IF(AB$3="","",IF(入力データ!$C$10="","",YEAR(DATE(AB$3,12,31))-YEAR(入力データ!$C$10)-IF(DATE(AB$3,12,31)&lt;DATE(AB$3,MONTH(入力データ!$C$10),DAY(入力データ!$C$10)),1,0)))</f>
        <v/>
      </c>
      <c r="AC4" s="218">
        <f>IF(AC$3="","",IF(入力データ!$C$10="","",YEAR(DATE(AC$3,12,31))-YEAR(入力データ!$C$10)-IF(DATE(AC$3,12,31)&lt;DATE(AC$3,MONTH(入力データ!$C$10),DAY(入力データ!$C$10)),1,0)))</f>
        <v/>
      </c>
      <c r="AD4" s="218">
        <f>IF(AD$3="","",IF(入力データ!$C$10="","",YEAR(DATE(AD$3,12,31))-YEAR(入力データ!$C$10)-IF(DATE(AD$3,12,31)&lt;DATE(AD$3,MONTH(入力データ!$C$10),DAY(入力データ!$C$10)),1,0)))</f>
        <v/>
      </c>
      <c r="AE4" s="218">
        <f>IF(AE$3="","",IF(入力データ!$C$10="","",YEAR(DATE(AE$3,12,31))-YEAR(入力データ!$C$10)-IF(DATE(AE$3,12,31)&lt;DATE(AE$3,MONTH(入力データ!$C$10),DAY(入力データ!$C$10)),1,0)))</f>
        <v/>
      </c>
      <c r="AF4" s="218">
        <f>IF(AF$3="","",IF(入力データ!$C$10="","",YEAR(DATE(AF$3,12,31))-YEAR(入力データ!$C$10)-IF(DATE(AF$3,12,31)&lt;DATE(AF$3,MONTH(入力データ!$C$10),DAY(入力データ!$C$10)),1,0)))</f>
        <v/>
      </c>
      <c r="AG4" s="218">
        <f>IF(AG$3="","",IF(入力データ!$C$10="","",YEAR(DATE(AG$3,12,31))-YEAR(入力データ!$C$10)-IF(DATE(AG$3,12,31)&lt;DATE(AG$3,MONTH(入力データ!$C$10),DAY(入力データ!$C$10)),1,0)))</f>
        <v/>
      </c>
      <c r="AH4" s="218">
        <f>IF(AH$3="","",IF(入力データ!$C$10="","",YEAR(DATE(AH$3,12,31))-YEAR(入力データ!$C$10)-IF(DATE(AH$3,12,31)&lt;DATE(AH$3,MONTH(入力データ!$C$10),DAY(入力データ!$C$10)),1,0)))</f>
        <v/>
      </c>
      <c r="AI4" s="218">
        <f>IF(AI$3="","",IF(入力データ!$C$10="","",YEAR(DATE(AI$3,12,31))-YEAR(入力データ!$C$10)-IF(DATE(AI$3,12,31)&lt;DATE(AI$3,MONTH(入力データ!$C$10),DAY(入力データ!$C$10)),1,0)))</f>
        <v/>
      </c>
      <c r="AJ4" s="218">
        <f>IF(AJ$3="","",IF(入力データ!$C$10="","",YEAR(DATE(AJ$3,12,31))-YEAR(入力データ!$C$10)-IF(DATE(AJ$3,12,31)&lt;DATE(AJ$3,MONTH(入力データ!$C$10),DAY(入力データ!$C$10)),1,0)))</f>
        <v/>
      </c>
      <c r="AK4" s="218">
        <f>IF(AK$3="","",IF(入力データ!$C$10="","",YEAR(DATE(AK$3,12,31))-YEAR(入力データ!$C$10)-IF(DATE(AK$3,12,31)&lt;DATE(AK$3,MONTH(入力データ!$C$10),DAY(入力データ!$C$10)),1,0)))</f>
        <v/>
      </c>
      <c r="AL4" s="218">
        <f>IF(AL$3="","",IF(入力データ!$C$10="","",YEAR(DATE(AL$3,12,31))-YEAR(入力データ!$C$10)-IF(DATE(AL$3,12,31)&lt;DATE(AL$3,MONTH(入力データ!$C$10),DAY(入力データ!$C$10)),1,0)))</f>
        <v/>
      </c>
      <c r="AM4" s="218">
        <f>IF(AM$3="","",IF(入力データ!$C$10="","",YEAR(DATE(AM$3,12,31))-YEAR(入力データ!$C$10)-IF(DATE(AM$3,12,31)&lt;DATE(AM$3,MONTH(入力データ!$C$10),DAY(入力データ!$C$10)),1,0)))</f>
        <v/>
      </c>
      <c r="AN4" s="218">
        <f>IF(AN$3="","",IF(入力データ!$C$10="","",YEAR(DATE(AN$3,12,31))-YEAR(入力データ!$C$10)-IF(DATE(AN$3,12,31)&lt;DATE(AN$3,MONTH(入力データ!$C$10),DAY(入力データ!$C$10)),1,0)))</f>
        <v/>
      </c>
      <c r="AO4" s="218">
        <f>IF(AO$3="","",IF(入力データ!$C$10="","",YEAR(DATE(AO$3,12,31))-YEAR(入力データ!$C$10)-IF(DATE(AO$3,12,31)&lt;DATE(AO$3,MONTH(入力データ!$C$10),DAY(入力データ!$C$10)),1,0)))</f>
        <v/>
      </c>
      <c r="AP4" s="218">
        <f>IF(AP$3="","",IF(入力データ!$C$10="","",YEAR(DATE(AP$3,12,31))-YEAR(入力データ!$C$10)-IF(DATE(AP$3,12,31)&lt;DATE(AP$3,MONTH(入力データ!$C$10),DAY(入力データ!$C$10)),1,0)))</f>
        <v/>
      </c>
      <c r="AQ4" s="218">
        <f>IF(AQ$3="","",IF(入力データ!$C$10="","",YEAR(DATE(AQ$3,12,31))-YEAR(入力データ!$C$10)-IF(DATE(AQ$3,12,31)&lt;DATE(AQ$3,MONTH(入力データ!$C$10),DAY(入力データ!$C$10)),1,0)))</f>
        <v/>
      </c>
      <c r="AR4" s="218">
        <f>IF(AR$3="","",IF(入力データ!$C$10="","",YEAR(DATE(AR$3,12,31))-YEAR(入力データ!$C$10)-IF(DATE(AR$3,12,31)&lt;DATE(AR$3,MONTH(入力データ!$C$10),DAY(入力データ!$C$10)),1,0)))</f>
        <v/>
      </c>
      <c r="AS4" s="218">
        <f>IF(AS$3="","",IF(入力データ!$C$10="","",YEAR(DATE(AS$3,12,31))-YEAR(入力データ!$C$10)-IF(DATE(AS$3,12,31)&lt;DATE(AS$3,MONTH(入力データ!$C$10),DAY(入力データ!$C$10)),1,0)))</f>
        <v/>
      </c>
      <c r="AT4" s="218">
        <f>IF(AT$3="","",IF(入力データ!$C$10="","",YEAR(DATE(AT$3,12,31))-YEAR(入力データ!$C$10)-IF(DATE(AT$3,12,31)&lt;DATE(AT$3,MONTH(入力データ!$C$10),DAY(入力データ!$C$10)),1,0)))</f>
        <v/>
      </c>
      <c r="AU4" s="218">
        <f>IF(AU$3="","",IF(入力データ!$C$10="","",YEAR(DATE(AU$3,12,31))-YEAR(入力データ!$C$10)-IF(DATE(AU$3,12,31)&lt;DATE(AU$3,MONTH(入力データ!$C$10),DAY(入力データ!$C$10)),1,0)))</f>
        <v/>
      </c>
      <c r="AV4" s="218">
        <f>IF(AV$3="","",IF(入力データ!$C$10="","",YEAR(DATE(AV$3,12,31))-YEAR(入力データ!$C$10)-IF(DATE(AV$3,12,31)&lt;DATE(AV$3,MONTH(入力データ!$C$10),DAY(入力データ!$C$10)),1,0)))</f>
        <v/>
      </c>
      <c r="AW4" s="218">
        <f>IF(AW$3="","",IF(入力データ!$C$10="","",YEAR(DATE(AW$3,12,31))-YEAR(入力データ!$C$10)-IF(DATE(AW$3,12,31)&lt;DATE(AW$3,MONTH(入力データ!$C$10),DAY(入力データ!$C$10)),1,0)))</f>
        <v/>
      </c>
      <c r="AX4" s="218">
        <f>IF(AX$3="","",IF(入力データ!$C$10="","",YEAR(DATE(AX$3,12,31))-YEAR(入力データ!$C$10)-IF(DATE(AX$3,12,31)&lt;DATE(AX$3,MONTH(入力データ!$C$10),DAY(入力データ!$C$10)),1,0)))</f>
        <v/>
      </c>
      <c r="AY4" s="218">
        <f>IF(AY$3="","",IF(入力データ!$C$10="","",YEAR(DATE(AY$3,12,31))-YEAR(入力データ!$C$10)-IF(DATE(AY$3,12,31)&lt;DATE(AY$3,MONTH(入力データ!$C$10),DAY(入力データ!$C$10)),1,0)))</f>
        <v/>
      </c>
      <c r="AZ4" s="218">
        <f>IF(AZ$3="","",IF(入力データ!$C$10="","",YEAR(DATE(AZ$3,12,31))-YEAR(入力データ!$C$10)-IF(DATE(AZ$3,12,31)&lt;DATE(AZ$3,MONTH(入力データ!$C$10),DAY(入力データ!$C$10)),1,0)))</f>
        <v/>
      </c>
      <c r="BA4" s="218">
        <f>IF(BA$3="","",IF(入力データ!$C$10="","",YEAR(DATE(BA$3,12,31))-YEAR(入力データ!$C$10)-IF(DATE(BA$3,12,31)&lt;DATE(BA$3,MONTH(入力データ!$C$10),DAY(入力データ!$C$10)),1,0)))</f>
        <v/>
      </c>
      <c r="BB4" s="218">
        <f>IF(BB$3="","",IF(入力データ!$C$10="","",YEAR(DATE(BB$3,12,31))-YEAR(入力データ!$C$10)-IF(DATE(BB$3,12,31)&lt;DATE(BB$3,MONTH(入力データ!$C$10),DAY(入力データ!$C$10)),1,0)))</f>
        <v/>
      </c>
      <c r="BC4" s="218">
        <f>IF(BC$3="","",IF(入力データ!$C$10="","",YEAR(DATE(BC$3,12,31))-YEAR(入力データ!$C$10)-IF(DATE(BC$3,12,31)&lt;DATE(BC$3,MONTH(入力データ!$C$10),DAY(入力データ!$C$10)),1,0)))</f>
        <v/>
      </c>
      <c r="BD4" s="218">
        <f>IF(BD$3="","",IF(入力データ!$C$10="","",YEAR(DATE(BD$3,12,31))-YEAR(入力データ!$C$10)-IF(DATE(BD$3,12,31)&lt;DATE(BD$3,MONTH(入力データ!$C$10),DAY(入力データ!$C$10)),1,0)))</f>
        <v/>
      </c>
      <c r="BE4" s="218">
        <f>IF(BE$3="","",IF(入力データ!$C$10="","",YEAR(DATE(BE$3,12,31))-YEAR(入力データ!$C$10)-IF(DATE(BE$3,12,31)&lt;DATE(BE$3,MONTH(入力データ!$C$10),DAY(入力データ!$C$10)),1,0)))</f>
        <v/>
      </c>
      <c r="BF4" s="218">
        <f>IF(BF$3="","",IF(入力データ!$C$10="","",YEAR(DATE(BF$3,12,31))-YEAR(入力データ!$C$10)-IF(DATE(BF$3,12,31)&lt;DATE(BF$3,MONTH(入力データ!$C$10),DAY(入力データ!$C$10)),1,0)))</f>
        <v/>
      </c>
      <c r="BG4" s="218">
        <f>IF(BG$3="","",IF(入力データ!$C$10="","",YEAR(DATE(BG$3,12,31))-YEAR(入力データ!$C$10)-IF(DATE(BG$3,12,31)&lt;DATE(BG$3,MONTH(入力データ!$C$10),DAY(入力データ!$C$10)),1,0)))</f>
        <v/>
      </c>
      <c r="BH4" s="218">
        <f>IF(BH$3="","",IF(入力データ!$C$10="","",YEAR(DATE(BH$3,12,31))-YEAR(入力データ!$C$10)-IF(DATE(BH$3,12,31)&lt;DATE(BH$3,MONTH(入力データ!$C$10),DAY(入力データ!$C$10)),1,0)))</f>
        <v/>
      </c>
      <c r="BI4" s="218">
        <f>IF(BI$3="","",IF(入力データ!$C$10="","",YEAR(DATE(BI$3,12,31))-YEAR(入力データ!$C$10)-IF(DATE(BI$3,12,31)&lt;DATE(BI$3,MONTH(入力データ!$C$10),DAY(入力データ!$C$10)),1,0)))</f>
        <v/>
      </c>
      <c r="BJ4" s="218">
        <f>IF(BJ$3="","",IF(入力データ!$C$10="","",YEAR(DATE(BJ$3,12,31))-YEAR(入力データ!$C$10)-IF(DATE(BJ$3,12,31)&lt;DATE(BJ$3,MONTH(入力データ!$C$10),DAY(入力データ!$C$10)),1,0)))</f>
        <v/>
      </c>
      <c r="BK4" s="218">
        <f>IF(BK$3="","",IF(入力データ!$C$10="","",YEAR(DATE(BK$3,12,31))-YEAR(入力データ!$C$10)-IF(DATE(BK$3,12,31)&lt;DATE(BK$3,MONTH(入力データ!$C$10),DAY(入力データ!$C$10)),1,0)))</f>
        <v/>
      </c>
      <c r="BL4" s="218">
        <f>IF(BL$3="","",IF(入力データ!$C$10="","",YEAR(DATE(BL$3,12,31))-YEAR(入力データ!$C$10)-IF(DATE(BL$3,12,31)&lt;DATE(BL$3,MONTH(入力データ!$C$10),DAY(入力データ!$C$10)),1,0)))</f>
        <v/>
      </c>
      <c r="BM4" s="218">
        <f>IF(BM$3="","",IF(入力データ!$C$10="","",YEAR(DATE(BM$3,12,31))-YEAR(入力データ!$C$10)-IF(DATE(BM$3,12,31)&lt;DATE(BM$3,MONTH(入力データ!$C$10),DAY(入力データ!$C$10)),1,0)))</f>
        <v/>
      </c>
      <c r="BN4" s="218">
        <f>IF(BN$3="","",IF(入力データ!$C$10="","",YEAR(DATE(BN$3,12,31))-YEAR(入力データ!$C$10)-IF(DATE(BN$3,12,31)&lt;DATE(BN$3,MONTH(入力データ!$C$10),DAY(入力データ!$C$10)),1,0)))</f>
        <v/>
      </c>
      <c r="BO4" s="218">
        <f>IF(BO$3="","",IF(入力データ!$C$10="","",YEAR(DATE(BO$3,12,31))-YEAR(入力データ!$C$10)-IF(DATE(BO$3,12,31)&lt;DATE(BO$3,MONTH(入力データ!$C$10),DAY(入力データ!$C$10)),1,0)))</f>
        <v/>
      </c>
      <c r="BP4" s="218">
        <f>IF(BP$3="","",IF(入力データ!$C$10="","",YEAR(DATE(BP$3,12,31))-YEAR(入力データ!$C$10)-IF(DATE(BP$3,12,31)&lt;DATE(BP$3,MONTH(入力データ!$C$10),DAY(入力データ!$C$10)),1,0)))</f>
        <v/>
      </c>
      <c r="BQ4" s="218">
        <f>IF(BQ$3="","",IF(入力データ!$C$10="","",YEAR(DATE(BQ$3,12,31))-YEAR(入力データ!$C$10)-IF(DATE(BQ$3,12,31)&lt;DATE(BQ$3,MONTH(入力データ!$C$10),DAY(入力データ!$C$10)),1,0)))</f>
        <v/>
      </c>
      <c r="BR4" s="218">
        <f>IF(BR$3="","",IF(入力データ!$C$10="","",YEAR(DATE(BR$3,12,31))-YEAR(入力データ!$C$10)-IF(DATE(BR$3,12,31)&lt;DATE(BR$3,MONTH(入力データ!$C$10),DAY(入力データ!$C$10)),1,0)))</f>
        <v/>
      </c>
      <c r="BS4" s="218">
        <f>IF(BS$3="","",IF(入力データ!$C$10="","",YEAR(DATE(BS$3,12,31))-YEAR(入力データ!$C$10)-IF(DATE(BS$3,12,31)&lt;DATE(BS$3,MONTH(入力データ!$C$10),DAY(入力データ!$C$10)),1,0)))</f>
        <v/>
      </c>
      <c r="BT4" s="218">
        <f>IF(BT$3="","",IF(入力データ!$C$10="","",YEAR(DATE(BT$3,12,31))-YEAR(入力データ!$C$10)-IF(DATE(BT$3,12,31)&lt;DATE(BT$3,MONTH(入力データ!$C$10),DAY(入力データ!$C$10)),1,0)))</f>
        <v/>
      </c>
      <c r="BU4" s="218">
        <f>IF(BU$3="","",IF(入力データ!$C$10="","",YEAR(DATE(BU$3,12,31))-YEAR(入力データ!$C$10)-IF(DATE(BU$3,12,31)&lt;DATE(BU$3,MONTH(入力データ!$C$10),DAY(入力データ!$C$10)),1,0)))</f>
        <v/>
      </c>
      <c r="BV4" s="218">
        <f>IF(BV$3="","",IF(入力データ!$C$10="","",YEAR(DATE(BV$3,12,31))-YEAR(入力データ!$C$10)-IF(DATE(BV$3,12,31)&lt;DATE(BV$3,MONTH(入力データ!$C$10),DAY(入力データ!$C$10)),1,0)))</f>
        <v/>
      </c>
      <c r="BW4" s="218">
        <f>IF(BW$3="","",IF(入力データ!$C$10="","",YEAR(DATE(BW$3,12,31))-YEAR(入力データ!$C$10)-IF(DATE(BW$3,12,31)&lt;DATE(BW$3,MONTH(入力データ!$C$10),DAY(入力データ!$C$10)),1,0)))</f>
        <v/>
      </c>
      <c r="BX4" s="218">
        <f>IF(BX$3="","",IF(入力データ!$C$10="","",YEAR(DATE(BX$3,12,31))-YEAR(入力データ!$C$10)-IF(DATE(BX$3,12,31)&lt;DATE(BX$3,MONTH(入力データ!$C$10),DAY(入力データ!$C$10)),1,0)))</f>
        <v/>
      </c>
      <c r="BY4" s="218">
        <f>IF(BY$3="","",IF(入力データ!$C$10="","",YEAR(DATE(BY$3,12,31))-YEAR(入力データ!$C$10)-IF(DATE(BY$3,12,31)&lt;DATE(BY$3,MONTH(入力データ!$C$10),DAY(入力データ!$C$10)),1,0)))</f>
        <v/>
      </c>
      <c r="BZ4" s="218">
        <f>IF(BZ$3="","",IF(入力データ!$C$10="","",YEAR(DATE(BZ$3,12,31))-YEAR(入力データ!$C$10)-IF(DATE(BZ$3,12,31)&lt;DATE(BZ$3,MONTH(入力データ!$C$10),DAY(入力データ!$C$10)),1,0)))</f>
        <v/>
      </c>
      <c r="CA4" s="218">
        <f>IF(CA$3="","",IF(入力データ!$C$10="","",YEAR(DATE(CA$3,12,31))-YEAR(入力データ!$C$10)-IF(DATE(CA$3,12,31)&lt;DATE(CA$3,MONTH(入力データ!$C$10),DAY(入力データ!$C$10)),1,0)))</f>
        <v/>
      </c>
      <c r="CB4" s="218">
        <f>IF(CB$3="","",IF(入力データ!$C$10="","",YEAR(DATE(CB$3,12,31))-YEAR(入力データ!$C$10)-IF(DATE(CB$3,12,31)&lt;DATE(CB$3,MONTH(入力データ!$C$10),DAY(入力データ!$C$10)),1,0)))</f>
        <v/>
      </c>
      <c r="CC4" s="218">
        <f>IF(CC$3="","",IF(入力データ!$C$10="","",YEAR(DATE(CC$3,12,31))-YEAR(入力データ!$C$10)-IF(DATE(CC$3,12,31)&lt;DATE(CC$3,MONTH(入力データ!$C$10),DAY(入力データ!$C$10)),1,0)))</f>
        <v/>
      </c>
      <c r="CD4" s="218">
        <f>IF(CD$3="","",IF(入力データ!$C$10="","",YEAR(DATE(CD$3,12,31))-YEAR(入力データ!$C$10)-IF(DATE(CD$3,12,31)&lt;DATE(CD$3,MONTH(入力データ!$C$10),DAY(入力データ!$C$10)),1,0)))</f>
        <v/>
      </c>
      <c r="CE4" s="218">
        <f>IF(CE$3="","",IF(入力データ!$C$10="","",YEAR(DATE(CE$3,12,31))-YEAR(入力データ!$C$10)-IF(DATE(CE$3,12,31)&lt;DATE(CE$3,MONTH(入力データ!$C$10),DAY(入力データ!$C$10)),1,0)))</f>
        <v/>
      </c>
      <c r="CF4" s="218">
        <f>IF(CF$3="","",IF(入力データ!$C$10="","",YEAR(DATE(CF$3,12,31))-YEAR(入力データ!$C$10)-IF(DATE(CF$3,12,31)&lt;DATE(CF$3,MONTH(入力データ!$C$10),DAY(入力データ!$C$10)),1,0)))</f>
        <v/>
      </c>
      <c r="CG4" s="218">
        <f>IF(CG$3="","",IF(入力データ!$C$10="","",YEAR(DATE(CG$3,12,31))-YEAR(入力データ!$C$10)-IF(DATE(CG$3,12,31)&lt;DATE(CG$3,MONTH(入力データ!$C$10),DAY(入力データ!$C$10)),1,0)))</f>
        <v/>
      </c>
      <c r="CH4" s="218">
        <f>IF(CH$3="","",IF(入力データ!$C$10="","",YEAR(DATE(CH$3,12,31))-YEAR(入力データ!$C$10)-IF(DATE(CH$3,12,31)&lt;DATE(CH$3,MONTH(入力データ!$C$10),DAY(入力データ!$C$10)),1,0)))</f>
        <v/>
      </c>
      <c r="CI4" s="218">
        <f>IF(CI$3="","",IF(入力データ!$C$10="","",YEAR(DATE(CI$3,12,31))-YEAR(入力データ!$C$10)-IF(DATE(CI$3,12,31)&lt;DATE(CI$3,MONTH(入力データ!$C$10),DAY(入力データ!$C$10)),1,0)))</f>
        <v/>
      </c>
      <c r="CJ4" s="218">
        <f>IF(CJ$3="","",IF(入力データ!$C$10="","",YEAR(DATE(CJ$3,12,31))-YEAR(入力データ!$C$10)-IF(DATE(CJ$3,12,31)&lt;DATE(CJ$3,MONTH(入力データ!$C$10),DAY(入力データ!$C$10)),1,0)))</f>
        <v/>
      </c>
      <c r="CK4" s="218">
        <f>IF(CK$3="","",IF(入力データ!$C$10="","",YEAR(DATE(CK$3,12,31))-YEAR(入力データ!$C$10)-IF(DATE(CK$3,12,31)&lt;DATE(CK$3,MONTH(入力データ!$C$10),DAY(入力データ!$C$10)),1,0)))</f>
        <v/>
      </c>
      <c r="CL4" s="218">
        <f>IF(CL$3="","",IF(入力データ!$C$10="","",YEAR(DATE(CL$3,12,31))-YEAR(入力データ!$C$10)-IF(DATE(CL$3,12,31)&lt;DATE(CL$3,MONTH(入力データ!$C$10),DAY(入力データ!$C$10)),1,0)))</f>
        <v/>
      </c>
      <c r="CM4" s="218">
        <f>IF(CM$3="","",IF(入力データ!$C$10="","",YEAR(DATE(CM$3,12,31))-YEAR(入力データ!$C$10)-IF(DATE(CM$3,12,31)&lt;DATE(CM$3,MONTH(入力データ!$C$10),DAY(入力データ!$C$10)),1,0)))</f>
        <v/>
      </c>
      <c r="CN4" s="218">
        <f>IF(CN$3="","",IF(入力データ!$C$10="","",YEAR(DATE(CN$3,12,31))-YEAR(入力データ!$C$10)-IF(DATE(CN$3,12,31)&lt;DATE(CN$3,MONTH(入力データ!$C$10),DAY(入力データ!$C$10)),1,0)))</f>
        <v/>
      </c>
      <c r="CO4" s="218">
        <f>IF(CO$3="","",IF(入力データ!$C$10="","",YEAR(DATE(CO$3,12,31))-YEAR(入力データ!$C$10)-IF(DATE(CO$3,12,31)&lt;DATE(CO$3,MONTH(入力データ!$C$10),DAY(入力データ!$C$10)),1,0)))</f>
        <v/>
      </c>
      <c r="CP4" s="218">
        <f>IF(CP$3="","",IF(入力データ!$C$10="","",YEAR(DATE(CP$3,12,31))-YEAR(入力データ!$C$10)-IF(DATE(CP$3,12,31)&lt;DATE(CP$3,MONTH(入力データ!$C$10),DAY(入力データ!$C$10)),1,0)))</f>
        <v/>
      </c>
      <c r="CQ4" s="218">
        <f>IF(CQ$3="","",IF(入力データ!$C$10="","",YEAR(DATE(CQ$3,12,31))-YEAR(入力データ!$C$10)-IF(DATE(CQ$3,12,31)&lt;DATE(CQ$3,MONTH(入力データ!$C$10),DAY(入力データ!$C$10)),1,0)))</f>
        <v/>
      </c>
      <c r="CR4" s="218">
        <f>IF(CR$3="","",IF(入力データ!$C$10="","",YEAR(DATE(CR$3,12,31))-YEAR(入力データ!$C$10)-IF(DATE(CR$3,12,31)&lt;DATE(CR$3,MONTH(入力データ!$C$10),DAY(入力データ!$C$10)),1,0)))</f>
        <v/>
      </c>
      <c r="CS4" s="218">
        <f>IF(CS$3="","",IF(入力データ!$C$10="","",YEAR(DATE(CS$3,12,31))-YEAR(入力データ!$C$10)-IF(DATE(CS$3,12,31)&lt;DATE(CS$3,MONTH(入力データ!$C$10),DAY(入力データ!$C$10)),1,0)))</f>
        <v/>
      </c>
      <c r="CT4" s="218">
        <f>IF(CT$3="","",IF(入力データ!$C$10="","",YEAR(DATE(CT$3,12,31))-YEAR(入力データ!$C$10)-IF(DATE(CT$3,12,31)&lt;DATE(CT$3,MONTH(入力データ!$C$10),DAY(入力データ!$C$10)),1,0)))</f>
        <v/>
      </c>
      <c r="CU4" s="218">
        <f>IF(CU$3="","",IF(入力データ!$C$10="","",YEAR(DATE(CU$3,12,31))-YEAR(入力データ!$C$10)-IF(DATE(CU$3,12,31)&lt;DATE(CU$3,MONTH(入力データ!$C$10),DAY(入力データ!$C$10)),1,0)))</f>
        <v/>
      </c>
      <c r="CV4" s="218">
        <f>IF(CV$3="","",IF(入力データ!$C$10="","",YEAR(DATE(CV$3,12,31))-YEAR(入力データ!$C$10)-IF(DATE(CV$3,12,31)&lt;DATE(CV$3,MONTH(入力データ!$C$10),DAY(入力データ!$C$10)),1,0)))</f>
        <v/>
      </c>
      <c r="CW4" s="218">
        <f>IF(CW$3="","",IF(入力データ!$C$10="","",YEAR(DATE(CW$3,12,31))-YEAR(入力データ!$C$10)-IF(DATE(CW$3,12,31)&lt;DATE(CW$3,MONTH(入力データ!$C$10),DAY(入力データ!$C$10)),1,0)))</f>
        <v/>
      </c>
    </row>
    <row r="5" ht="15" customHeight="1" s="180">
      <c r="A5" s="217" t="inlineStr">
        <is>
          <t>奥様年齢</t>
        </is>
      </c>
      <c r="B5" s="218">
        <f>IF(B$3="","",IF(入力データ!$C$11="","",YEAR(DATE(B$3,12,31))-YEAR(入力データ!$C$11)-IF(DATE(B$3,12,31)&lt;DATE(B$3,MONTH(入力データ!$C$11),DAY(入力データ!$C$11)),1,0)))</f>
        <v/>
      </c>
      <c r="C5" s="218">
        <f>IF(C$3="","",IF(入力データ!$C$11="","",YEAR(DATE(C$3,12,31))-YEAR(入力データ!$C$11)-IF(DATE(C$3,12,31)&lt;DATE(C$3,MONTH(入力データ!$C$11),DAY(入力データ!$C$11)),1,0)))</f>
        <v/>
      </c>
      <c r="D5" s="218">
        <f>IF(D$3="","",IF(入力データ!$C$11="","",YEAR(DATE(D$3,12,31))-YEAR(入力データ!$C$11)-IF(DATE(D$3,12,31)&lt;DATE(D$3,MONTH(入力データ!$C$11),DAY(入力データ!$C$11)),1,0)))</f>
        <v/>
      </c>
      <c r="E5" s="218">
        <f>IF(E$3="","",IF(入力データ!$C$11="","",YEAR(DATE(E$3,12,31))-YEAR(入力データ!$C$11)-IF(DATE(E$3,12,31)&lt;DATE(E$3,MONTH(入力データ!$C$11),DAY(入力データ!$C$11)),1,0)))</f>
        <v/>
      </c>
      <c r="F5" s="218">
        <f>IF(F$3="","",IF(入力データ!$C$11="","",YEAR(DATE(F$3,12,31))-YEAR(入力データ!$C$11)-IF(DATE(F$3,12,31)&lt;DATE(F$3,MONTH(入力データ!$C$11),DAY(入力データ!$C$11)),1,0)))</f>
        <v/>
      </c>
      <c r="G5" s="218">
        <f>IF(G$3="","",IF(入力データ!$C$11="","",YEAR(DATE(G$3,12,31))-YEAR(入力データ!$C$11)-IF(DATE(G$3,12,31)&lt;DATE(G$3,MONTH(入力データ!$C$11),DAY(入力データ!$C$11)),1,0)))</f>
        <v/>
      </c>
      <c r="H5" s="218">
        <f>IF(H$3="","",IF(入力データ!$C$11="","",YEAR(DATE(H$3,12,31))-YEAR(入力データ!$C$11)-IF(DATE(H$3,12,31)&lt;DATE(H$3,MONTH(入力データ!$C$11),DAY(入力データ!$C$11)),1,0)))</f>
        <v/>
      </c>
      <c r="I5" s="218">
        <f>IF(I$3="","",IF(入力データ!$C$11="","",YEAR(DATE(I$3,12,31))-YEAR(入力データ!$C$11)-IF(DATE(I$3,12,31)&lt;DATE(I$3,MONTH(入力データ!$C$11),DAY(入力データ!$C$11)),1,0)))</f>
        <v/>
      </c>
      <c r="J5" s="218">
        <f>IF(J$3="","",IF(入力データ!$C$11="","",YEAR(DATE(J$3,12,31))-YEAR(入力データ!$C$11)-IF(DATE(J$3,12,31)&lt;DATE(J$3,MONTH(入力データ!$C$11),DAY(入力データ!$C$11)),1,0)))</f>
        <v/>
      </c>
      <c r="K5" s="218">
        <f>IF(K$3="","",IF(入力データ!$C$11="","",YEAR(DATE(K$3,12,31))-YEAR(入力データ!$C$11)-IF(DATE(K$3,12,31)&lt;DATE(K$3,MONTH(入力データ!$C$11),DAY(入力データ!$C$11)),1,0)))</f>
        <v/>
      </c>
      <c r="L5" s="218">
        <f>IF(L$3="","",IF(入力データ!$C$11="","",YEAR(DATE(L$3,12,31))-YEAR(入力データ!$C$11)-IF(DATE(L$3,12,31)&lt;DATE(L$3,MONTH(入力データ!$C$11),DAY(入力データ!$C$11)),1,0)))</f>
        <v/>
      </c>
      <c r="M5" s="218">
        <f>IF(M$3="","",IF(入力データ!$C$11="","",YEAR(DATE(M$3,12,31))-YEAR(入力データ!$C$11)-IF(DATE(M$3,12,31)&lt;DATE(M$3,MONTH(入力データ!$C$11),DAY(入力データ!$C$11)),1,0)))</f>
        <v/>
      </c>
      <c r="N5" s="218">
        <f>IF(N$3="","",IF(入力データ!$C$11="","",YEAR(DATE(N$3,12,31))-YEAR(入力データ!$C$11)-IF(DATE(N$3,12,31)&lt;DATE(N$3,MONTH(入力データ!$C$11),DAY(入力データ!$C$11)),1,0)))</f>
        <v/>
      </c>
      <c r="O5" s="218">
        <f>IF(O$3="","",IF(入力データ!$C$11="","",YEAR(DATE(O$3,12,31))-YEAR(入力データ!$C$11)-IF(DATE(O$3,12,31)&lt;DATE(O$3,MONTH(入力データ!$C$11),DAY(入力データ!$C$11)),1,0)))</f>
        <v/>
      </c>
      <c r="P5" s="218">
        <f>IF(P$3="","",IF(入力データ!$C$11="","",YEAR(DATE(P$3,12,31))-YEAR(入力データ!$C$11)-IF(DATE(P$3,12,31)&lt;DATE(P$3,MONTH(入力データ!$C$11),DAY(入力データ!$C$11)),1,0)))</f>
        <v/>
      </c>
      <c r="Q5" s="218">
        <f>IF(Q$3="","",IF(入力データ!$C$11="","",YEAR(DATE(Q$3,12,31))-YEAR(入力データ!$C$11)-IF(DATE(Q$3,12,31)&lt;DATE(Q$3,MONTH(入力データ!$C$11),DAY(入力データ!$C$11)),1,0)))</f>
        <v/>
      </c>
      <c r="R5" s="218">
        <f>IF(R$3="","",IF(入力データ!$C$11="","",YEAR(DATE(R$3,12,31))-YEAR(入力データ!$C$11)-IF(DATE(R$3,12,31)&lt;DATE(R$3,MONTH(入力データ!$C$11),DAY(入力データ!$C$11)),1,0)))</f>
        <v/>
      </c>
      <c r="S5" s="218">
        <f>IF(S$3="","",IF(入力データ!$C$11="","",YEAR(DATE(S$3,12,31))-YEAR(入力データ!$C$11)-IF(DATE(S$3,12,31)&lt;DATE(S$3,MONTH(入力データ!$C$11),DAY(入力データ!$C$11)),1,0)))</f>
        <v/>
      </c>
      <c r="T5" s="218">
        <f>IF(T$3="","",IF(入力データ!$C$11="","",YEAR(DATE(T$3,12,31))-YEAR(入力データ!$C$11)-IF(DATE(T$3,12,31)&lt;DATE(T$3,MONTH(入力データ!$C$11),DAY(入力データ!$C$11)),1,0)))</f>
        <v/>
      </c>
      <c r="U5" s="218">
        <f>IF(U$3="","",IF(入力データ!$C$11="","",YEAR(DATE(U$3,12,31))-YEAR(入力データ!$C$11)-IF(DATE(U$3,12,31)&lt;DATE(U$3,MONTH(入力データ!$C$11),DAY(入力データ!$C$11)),1,0)))</f>
        <v/>
      </c>
      <c r="V5" s="218">
        <f>IF(V$3="","",IF(入力データ!$C$11="","",YEAR(DATE(V$3,12,31))-YEAR(入力データ!$C$11)-IF(DATE(V$3,12,31)&lt;DATE(V$3,MONTH(入力データ!$C$11),DAY(入力データ!$C$11)),1,0)))</f>
        <v/>
      </c>
      <c r="W5" s="218">
        <f>IF(W$3="","",IF(入力データ!$C$11="","",YEAR(DATE(W$3,12,31))-YEAR(入力データ!$C$11)-IF(DATE(W$3,12,31)&lt;DATE(W$3,MONTH(入力データ!$C$11),DAY(入力データ!$C$11)),1,0)))</f>
        <v/>
      </c>
      <c r="X5" s="218">
        <f>IF(X$3="","",IF(入力データ!$C$11="","",YEAR(DATE(X$3,12,31))-YEAR(入力データ!$C$11)-IF(DATE(X$3,12,31)&lt;DATE(X$3,MONTH(入力データ!$C$11),DAY(入力データ!$C$11)),1,0)))</f>
        <v/>
      </c>
      <c r="Y5" s="218">
        <f>IF(Y$3="","",IF(入力データ!$C$11="","",YEAR(DATE(Y$3,12,31))-YEAR(入力データ!$C$11)-IF(DATE(Y$3,12,31)&lt;DATE(Y$3,MONTH(入力データ!$C$11),DAY(入力データ!$C$11)),1,0)))</f>
        <v/>
      </c>
      <c r="Z5" s="218">
        <f>IF(Z$3="","",IF(入力データ!$C$11="","",YEAR(DATE(Z$3,12,31))-YEAR(入力データ!$C$11)-IF(DATE(Z$3,12,31)&lt;DATE(Z$3,MONTH(入力データ!$C$11),DAY(入力データ!$C$11)),1,0)))</f>
        <v/>
      </c>
      <c r="AA5" s="218">
        <f>IF(AA$3="","",IF(入力データ!$C$11="","",YEAR(DATE(AA$3,12,31))-YEAR(入力データ!$C$11)-IF(DATE(AA$3,12,31)&lt;DATE(AA$3,MONTH(入力データ!$C$11),DAY(入力データ!$C$11)),1,0)))</f>
        <v/>
      </c>
      <c r="AB5" s="218">
        <f>IF(AB$3="","",IF(入力データ!$C$11="","",YEAR(DATE(AB$3,12,31))-YEAR(入力データ!$C$11)-IF(DATE(AB$3,12,31)&lt;DATE(AB$3,MONTH(入力データ!$C$11),DAY(入力データ!$C$11)),1,0)))</f>
        <v/>
      </c>
      <c r="AC5" s="218">
        <f>IF(AC$3="","",IF(入力データ!$C$11="","",YEAR(DATE(AC$3,12,31))-YEAR(入力データ!$C$11)-IF(DATE(AC$3,12,31)&lt;DATE(AC$3,MONTH(入力データ!$C$11),DAY(入力データ!$C$11)),1,0)))</f>
        <v/>
      </c>
      <c r="AD5" s="218">
        <f>IF(AD$3="","",IF(入力データ!$C$11="","",YEAR(DATE(AD$3,12,31))-YEAR(入力データ!$C$11)-IF(DATE(AD$3,12,31)&lt;DATE(AD$3,MONTH(入力データ!$C$11),DAY(入力データ!$C$11)),1,0)))</f>
        <v/>
      </c>
      <c r="AE5" s="218">
        <f>IF(AE$3="","",IF(入力データ!$C$11="","",YEAR(DATE(AE$3,12,31))-YEAR(入力データ!$C$11)-IF(DATE(AE$3,12,31)&lt;DATE(AE$3,MONTH(入力データ!$C$11),DAY(入力データ!$C$11)),1,0)))</f>
        <v/>
      </c>
      <c r="AF5" s="218">
        <f>IF(AF$3="","",IF(入力データ!$C$11="","",YEAR(DATE(AF$3,12,31))-YEAR(入力データ!$C$11)-IF(DATE(AF$3,12,31)&lt;DATE(AF$3,MONTH(入力データ!$C$11),DAY(入力データ!$C$11)),1,0)))</f>
        <v/>
      </c>
      <c r="AG5" s="218">
        <f>IF(AG$3="","",IF(入力データ!$C$11="","",YEAR(DATE(AG$3,12,31))-YEAR(入力データ!$C$11)-IF(DATE(AG$3,12,31)&lt;DATE(AG$3,MONTH(入力データ!$C$11),DAY(入力データ!$C$11)),1,0)))</f>
        <v/>
      </c>
      <c r="AH5" s="218">
        <f>IF(AH$3="","",IF(入力データ!$C$11="","",YEAR(DATE(AH$3,12,31))-YEAR(入力データ!$C$11)-IF(DATE(AH$3,12,31)&lt;DATE(AH$3,MONTH(入力データ!$C$11),DAY(入力データ!$C$11)),1,0)))</f>
        <v/>
      </c>
      <c r="AI5" s="218">
        <f>IF(AI$3="","",IF(入力データ!$C$11="","",YEAR(DATE(AI$3,12,31))-YEAR(入力データ!$C$11)-IF(DATE(AI$3,12,31)&lt;DATE(AI$3,MONTH(入力データ!$C$11),DAY(入力データ!$C$11)),1,0)))</f>
        <v/>
      </c>
      <c r="AJ5" s="218">
        <f>IF(AJ$3="","",IF(入力データ!$C$11="","",YEAR(DATE(AJ$3,12,31))-YEAR(入力データ!$C$11)-IF(DATE(AJ$3,12,31)&lt;DATE(AJ$3,MONTH(入力データ!$C$11),DAY(入力データ!$C$11)),1,0)))</f>
        <v/>
      </c>
      <c r="AK5" s="218">
        <f>IF(AK$3="","",IF(入力データ!$C$11="","",YEAR(DATE(AK$3,12,31))-YEAR(入力データ!$C$11)-IF(DATE(AK$3,12,31)&lt;DATE(AK$3,MONTH(入力データ!$C$11),DAY(入力データ!$C$11)),1,0)))</f>
        <v/>
      </c>
      <c r="AL5" s="218">
        <f>IF(AL$3="","",IF(入力データ!$C$11="","",YEAR(DATE(AL$3,12,31))-YEAR(入力データ!$C$11)-IF(DATE(AL$3,12,31)&lt;DATE(AL$3,MONTH(入力データ!$C$11),DAY(入力データ!$C$11)),1,0)))</f>
        <v/>
      </c>
      <c r="AM5" s="218">
        <f>IF(AM$3="","",IF(入力データ!$C$11="","",YEAR(DATE(AM$3,12,31))-YEAR(入力データ!$C$11)-IF(DATE(AM$3,12,31)&lt;DATE(AM$3,MONTH(入力データ!$C$11),DAY(入力データ!$C$11)),1,0)))</f>
        <v/>
      </c>
      <c r="AN5" s="218">
        <f>IF(AN$3="","",IF(入力データ!$C$11="","",YEAR(DATE(AN$3,12,31))-YEAR(入力データ!$C$11)-IF(DATE(AN$3,12,31)&lt;DATE(AN$3,MONTH(入力データ!$C$11),DAY(入力データ!$C$11)),1,0)))</f>
        <v/>
      </c>
      <c r="AO5" s="218">
        <f>IF(AO$3="","",IF(入力データ!$C$11="","",YEAR(DATE(AO$3,12,31))-YEAR(入力データ!$C$11)-IF(DATE(AO$3,12,31)&lt;DATE(AO$3,MONTH(入力データ!$C$11),DAY(入力データ!$C$11)),1,0)))</f>
        <v/>
      </c>
      <c r="AP5" s="218">
        <f>IF(AP$3="","",IF(入力データ!$C$11="","",YEAR(DATE(AP$3,12,31))-YEAR(入力データ!$C$11)-IF(DATE(AP$3,12,31)&lt;DATE(AP$3,MONTH(入力データ!$C$11),DAY(入力データ!$C$11)),1,0)))</f>
        <v/>
      </c>
      <c r="AQ5" s="218">
        <f>IF(AQ$3="","",IF(入力データ!$C$11="","",YEAR(DATE(AQ$3,12,31))-YEAR(入力データ!$C$11)-IF(DATE(AQ$3,12,31)&lt;DATE(AQ$3,MONTH(入力データ!$C$11),DAY(入力データ!$C$11)),1,0)))</f>
        <v/>
      </c>
      <c r="AR5" s="218">
        <f>IF(AR$3="","",IF(入力データ!$C$11="","",YEAR(DATE(AR$3,12,31))-YEAR(入力データ!$C$11)-IF(DATE(AR$3,12,31)&lt;DATE(AR$3,MONTH(入力データ!$C$11),DAY(入力データ!$C$11)),1,0)))</f>
        <v/>
      </c>
      <c r="AS5" s="218">
        <f>IF(AS$3="","",IF(入力データ!$C$11="","",YEAR(DATE(AS$3,12,31))-YEAR(入力データ!$C$11)-IF(DATE(AS$3,12,31)&lt;DATE(AS$3,MONTH(入力データ!$C$11),DAY(入力データ!$C$11)),1,0)))</f>
        <v/>
      </c>
      <c r="AT5" s="218">
        <f>IF(AT$3="","",IF(入力データ!$C$11="","",YEAR(DATE(AT$3,12,31))-YEAR(入力データ!$C$11)-IF(DATE(AT$3,12,31)&lt;DATE(AT$3,MONTH(入力データ!$C$11),DAY(入力データ!$C$11)),1,0)))</f>
        <v/>
      </c>
      <c r="AU5" s="218">
        <f>IF(AU$3="","",IF(入力データ!$C$11="","",YEAR(DATE(AU$3,12,31))-YEAR(入力データ!$C$11)-IF(DATE(AU$3,12,31)&lt;DATE(AU$3,MONTH(入力データ!$C$11),DAY(入力データ!$C$11)),1,0)))</f>
        <v/>
      </c>
      <c r="AV5" s="218">
        <f>IF(AV$3="","",IF(入力データ!$C$11="","",YEAR(DATE(AV$3,12,31))-YEAR(入力データ!$C$11)-IF(DATE(AV$3,12,31)&lt;DATE(AV$3,MONTH(入力データ!$C$11),DAY(入力データ!$C$11)),1,0)))</f>
        <v/>
      </c>
      <c r="AW5" s="218">
        <f>IF(AW$3="","",IF(入力データ!$C$11="","",YEAR(DATE(AW$3,12,31))-YEAR(入力データ!$C$11)-IF(DATE(AW$3,12,31)&lt;DATE(AW$3,MONTH(入力データ!$C$11),DAY(入力データ!$C$11)),1,0)))</f>
        <v/>
      </c>
      <c r="AX5" s="218">
        <f>IF(AX$3="","",IF(入力データ!$C$11="","",YEAR(DATE(AX$3,12,31))-YEAR(入力データ!$C$11)-IF(DATE(AX$3,12,31)&lt;DATE(AX$3,MONTH(入力データ!$C$11),DAY(入力データ!$C$11)),1,0)))</f>
        <v/>
      </c>
      <c r="AY5" s="218">
        <f>IF(AY$3="","",IF(入力データ!$C$11="","",YEAR(DATE(AY$3,12,31))-YEAR(入力データ!$C$11)-IF(DATE(AY$3,12,31)&lt;DATE(AY$3,MONTH(入力データ!$C$11),DAY(入力データ!$C$11)),1,0)))</f>
        <v/>
      </c>
      <c r="AZ5" s="218">
        <f>IF(AZ$3="","",IF(入力データ!$C$11="","",YEAR(DATE(AZ$3,12,31))-YEAR(入力データ!$C$11)-IF(DATE(AZ$3,12,31)&lt;DATE(AZ$3,MONTH(入力データ!$C$11),DAY(入力データ!$C$11)),1,0)))</f>
        <v/>
      </c>
      <c r="BA5" s="218">
        <f>IF(BA$3="","",IF(入力データ!$C$11="","",YEAR(DATE(BA$3,12,31))-YEAR(入力データ!$C$11)-IF(DATE(BA$3,12,31)&lt;DATE(BA$3,MONTH(入力データ!$C$11),DAY(入力データ!$C$11)),1,0)))</f>
        <v/>
      </c>
      <c r="BB5" s="218">
        <f>IF(BB$3="","",IF(入力データ!$C$11="","",YEAR(DATE(BB$3,12,31))-YEAR(入力データ!$C$11)-IF(DATE(BB$3,12,31)&lt;DATE(BB$3,MONTH(入力データ!$C$11),DAY(入力データ!$C$11)),1,0)))</f>
        <v/>
      </c>
      <c r="BC5" s="218">
        <f>IF(BC$3="","",IF(入力データ!$C$11="","",YEAR(DATE(BC$3,12,31))-YEAR(入力データ!$C$11)-IF(DATE(BC$3,12,31)&lt;DATE(BC$3,MONTH(入力データ!$C$11),DAY(入力データ!$C$11)),1,0)))</f>
        <v/>
      </c>
      <c r="BD5" s="218">
        <f>IF(BD$3="","",IF(入力データ!$C$11="","",YEAR(DATE(BD$3,12,31))-YEAR(入力データ!$C$11)-IF(DATE(BD$3,12,31)&lt;DATE(BD$3,MONTH(入力データ!$C$11),DAY(入力データ!$C$11)),1,0)))</f>
        <v/>
      </c>
      <c r="BE5" s="218">
        <f>IF(BE$3="","",IF(入力データ!$C$11="","",YEAR(DATE(BE$3,12,31))-YEAR(入力データ!$C$11)-IF(DATE(BE$3,12,31)&lt;DATE(BE$3,MONTH(入力データ!$C$11),DAY(入力データ!$C$11)),1,0)))</f>
        <v/>
      </c>
      <c r="BF5" s="218">
        <f>IF(BF$3="","",IF(入力データ!$C$11="","",YEAR(DATE(BF$3,12,31))-YEAR(入力データ!$C$11)-IF(DATE(BF$3,12,31)&lt;DATE(BF$3,MONTH(入力データ!$C$11),DAY(入力データ!$C$11)),1,0)))</f>
        <v/>
      </c>
      <c r="BG5" s="218">
        <f>IF(BG$3="","",IF(入力データ!$C$11="","",YEAR(DATE(BG$3,12,31))-YEAR(入力データ!$C$11)-IF(DATE(BG$3,12,31)&lt;DATE(BG$3,MONTH(入力データ!$C$11),DAY(入力データ!$C$11)),1,0)))</f>
        <v/>
      </c>
      <c r="BH5" s="218">
        <f>IF(BH$3="","",IF(入力データ!$C$11="","",YEAR(DATE(BH$3,12,31))-YEAR(入力データ!$C$11)-IF(DATE(BH$3,12,31)&lt;DATE(BH$3,MONTH(入力データ!$C$11),DAY(入力データ!$C$11)),1,0)))</f>
        <v/>
      </c>
      <c r="BI5" s="218">
        <f>IF(BI$3="","",IF(入力データ!$C$11="","",YEAR(DATE(BI$3,12,31))-YEAR(入力データ!$C$11)-IF(DATE(BI$3,12,31)&lt;DATE(BI$3,MONTH(入力データ!$C$11),DAY(入力データ!$C$11)),1,0)))</f>
        <v/>
      </c>
      <c r="BJ5" s="218">
        <f>IF(BJ$3="","",IF(入力データ!$C$11="","",YEAR(DATE(BJ$3,12,31))-YEAR(入力データ!$C$11)-IF(DATE(BJ$3,12,31)&lt;DATE(BJ$3,MONTH(入力データ!$C$11),DAY(入力データ!$C$11)),1,0)))</f>
        <v/>
      </c>
      <c r="BK5" s="218">
        <f>IF(BK$3="","",IF(入力データ!$C$11="","",YEAR(DATE(BK$3,12,31))-YEAR(入力データ!$C$11)-IF(DATE(BK$3,12,31)&lt;DATE(BK$3,MONTH(入力データ!$C$11),DAY(入力データ!$C$11)),1,0)))</f>
        <v/>
      </c>
      <c r="BL5" s="218">
        <f>IF(BL$3="","",IF(入力データ!$C$11="","",YEAR(DATE(BL$3,12,31))-YEAR(入力データ!$C$11)-IF(DATE(BL$3,12,31)&lt;DATE(BL$3,MONTH(入力データ!$C$11),DAY(入力データ!$C$11)),1,0)))</f>
        <v/>
      </c>
      <c r="BM5" s="218">
        <f>IF(BM$3="","",IF(入力データ!$C$11="","",YEAR(DATE(BM$3,12,31))-YEAR(入力データ!$C$11)-IF(DATE(BM$3,12,31)&lt;DATE(BM$3,MONTH(入力データ!$C$11),DAY(入力データ!$C$11)),1,0)))</f>
        <v/>
      </c>
      <c r="BN5" s="218">
        <f>IF(BN$3="","",IF(入力データ!$C$11="","",YEAR(DATE(BN$3,12,31))-YEAR(入力データ!$C$11)-IF(DATE(BN$3,12,31)&lt;DATE(BN$3,MONTH(入力データ!$C$11),DAY(入力データ!$C$11)),1,0)))</f>
        <v/>
      </c>
      <c r="BO5" s="218">
        <f>IF(BO$3="","",IF(入力データ!$C$11="","",YEAR(DATE(BO$3,12,31))-YEAR(入力データ!$C$11)-IF(DATE(BO$3,12,31)&lt;DATE(BO$3,MONTH(入力データ!$C$11),DAY(入力データ!$C$11)),1,0)))</f>
        <v/>
      </c>
      <c r="BP5" s="218">
        <f>IF(BP$3="","",IF(入力データ!$C$11="","",YEAR(DATE(BP$3,12,31))-YEAR(入力データ!$C$11)-IF(DATE(BP$3,12,31)&lt;DATE(BP$3,MONTH(入力データ!$C$11),DAY(入力データ!$C$11)),1,0)))</f>
        <v/>
      </c>
      <c r="BQ5" s="218">
        <f>IF(BQ$3="","",IF(入力データ!$C$11="","",YEAR(DATE(BQ$3,12,31))-YEAR(入力データ!$C$11)-IF(DATE(BQ$3,12,31)&lt;DATE(BQ$3,MONTH(入力データ!$C$11),DAY(入力データ!$C$11)),1,0)))</f>
        <v/>
      </c>
      <c r="BR5" s="218">
        <f>IF(BR$3="","",IF(入力データ!$C$11="","",YEAR(DATE(BR$3,12,31))-YEAR(入力データ!$C$11)-IF(DATE(BR$3,12,31)&lt;DATE(BR$3,MONTH(入力データ!$C$11),DAY(入力データ!$C$11)),1,0)))</f>
        <v/>
      </c>
      <c r="BS5" s="218">
        <f>IF(BS$3="","",IF(入力データ!$C$11="","",YEAR(DATE(BS$3,12,31))-YEAR(入力データ!$C$11)-IF(DATE(BS$3,12,31)&lt;DATE(BS$3,MONTH(入力データ!$C$11),DAY(入力データ!$C$11)),1,0)))</f>
        <v/>
      </c>
      <c r="BT5" s="218">
        <f>IF(BT$3="","",IF(入力データ!$C$11="","",YEAR(DATE(BT$3,12,31))-YEAR(入力データ!$C$11)-IF(DATE(BT$3,12,31)&lt;DATE(BT$3,MONTH(入力データ!$C$11),DAY(入力データ!$C$11)),1,0)))</f>
        <v/>
      </c>
      <c r="BU5" s="218">
        <f>IF(BU$3="","",IF(入力データ!$C$11="","",YEAR(DATE(BU$3,12,31))-YEAR(入力データ!$C$11)-IF(DATE(BU$3,12,31)&lt;DATE(BU$3,MONTH(入力データ!$C$11),DAY(入力データ!$C$11)),1,0)))</f>
        <v/>
      </c>
      <c r="BV5" s="218">
        <f>IF(BV$3="","",IF(入力データ!$C$11="","",YEAR(DATE(BV$3,12,31))-YEAR(入力データ!$C$11)-IF(DATE(BV$3,12,31)&lt;DATE(BV$3,MONTH(入力データ!$C$11),DAY(入力データ!$C$11)),1,0)))</f>
        <v/>
      </c>
      <c r="BW5" s="218">
        <f>IF(BW$3="","",IF(入力データ!$C$11="","",YEAR(DATE(BW$3,12,31))-YEAR(入力データ!$C$11)-IF(DATE(BW$3,12,31)&lt;DATE(BW$3,MONTH(入力データ!$C$11),DAY(入力データ!$C$11)),1,0)))</f>
        <v/>
      </c>
      <c r="BX5" s="218">
        <f>IF(BX$3="","",IF(入力データ!$C$11="","",YEAR(DATE(BX$3,12,31))-YEAR(入力データ!$C$11)-IF(DATE(BX$3,12,31)&lt;DATE(BX$3,MONTH(入力データ!$C$11),DAY(入力データ!$C$11)),1,0)))</f>
        <v/>
      </c>
      <c r="BY5" s="218">
        <f>IF(BY$3="","",IF(入力データ!$C$11="","",YEAR(DATE(BY$3,12,31))-YEAR(入力データ!$C$11)-IF(DATE(BY$3,12,31)&lt;DATE(BY$3,MONTH(入力データ!$C$11),DAY(入力データ!$C$11)),1,0)))</f>
        <v/>
      </c>
      <c r="BZ5" s="218">
        <f>IF(BZ$3="","",IF(入力データ!$C$11="","",YEAR(DATE(BZ$3,12,31))-YEAR(入力データ!$C$11)-IF(DATE(BZ$3,12,31)&lt;DATE(BZ$3,MONTH(入力データ!$C$11),DAY(入力データ!$C$11)),1,0)))</f>
        <v/>
      </c>
      <c r="CA5" s="218">
        <f>IF(CA$3="","",IF(入力データ!$C$11="","",YEAR(DATE(CA$3,12,31))-YEAR(入力データ!$C$11)-IF(DATE(CA$3,12,31)&lt;DATE(CA$3,MONTH(入力データ!$C$11),DAY(入力データ!$C$11)),1,0)))</f>
        <v/>
      </c>
      <c r="CB5" s="218">
        <f>IF(CB$3="","",IF(入力データ!$C$11="","",YEAR(DATE(CB$3,12,31))-YEAR(入力データ!$C$11)-IF(DATE(CB$3,12,31)&lt;DATE(CB$3,MONTH(入力データ!$C$11),DAY(入力データ!$C$11)),1,0)))</f>
        <v/>
      </c>
      <c r="CC5" s="218">
        <f>IF(CC$3="","",IF(入力データ!$C$11="","",YEAR(DATE(CC$3,12,31))-YEAR(入力データ!$C$11)-IF(DATE(CC$3,12,31)&lt;DATE(CC$3,MONTH(入力データ!$C$11),DAY(入力データ!$C$11)),1,0)))</f>
        <v/>
      </c>
      <c r="CD5" s="218">
        <f>IF(CD$3="","",IF(入力データ!$C$11="","",YEAR(DATE(CD$3,12,31))-YEAR(入力データ!$C$11)-IF(DATE(CD$3,12,31)&lt;DATE(CD$3,MONTH(入力データ!$C$11),DAY(入力データ!$C$11)),1,0)))</f>
        <v/>
      </c>
      <c r="CE5" s="218">
        <f>IF(CE$3="","",IF(入力データ!$C$11="","",YEAR(DATE(CE$3,12,31))-YEAR(入力データ!$C$11)-IF(DATE(CE$3,12,31)&lt;DATE(CE$3,MONTH(入力データ!$C$11),DAY(入力データ!$C$11)),1,0)))</f>
        <v/>
      </c>
      <c r="CF5" s="218">
        <f>IF(CF$3="","",IF(入力データ!$C$11="","",YEAR(DATE(CF$3,12,31))-YEAR(入力データ!$C$11)-IF(DATE(CF$3,12,31)&lt;DATE(CF$3,MONTH(入力データ!$C$11),DAY(入力データ!$C$11)),1,0)))</f>
        <v/>
      </c>
      <c r="CG5" s="218">
        <f>IF(CG$3="","",IF(入力データ!$C$11="","",YEAR(DATE(CG$3,12,31))-YEAR(入力データ!$C$11)-IF(DATE(CG$3,12,31)&lt;DATE(CG$3,MONTH(入力データ!$C$11),DAY(入力データ!$C$11)),1,0)))</f>
        <v/>
      </c>
      <c r="CH5" s="218">
        <f>IF(CH$3="","",IF(入力データ!$C$11="","",YEAR(DATE(CH$3,12,31))-YEAR(入力データ!$C$11)-IF(DATE(CH$3,12,31)&lt;DATE(CH$3,MONTH(入力データ!$C$11),DAY(入力データ!$C$11)),1,0)))</f>
        <v/>
      </c>
      <c r="CI5" s="218">
        <f>IF(CI$3="","",IF(入力データ!$C$11="","",YEAR(DATE(CI$3,12,31))-YEAR(入力データ!$C$11)-IF(DATE(CI$3,12,31)&lt;DATE(CI$3,MONTH(入力データ!$C$11),DAY(入力データ!$C$11)),1,0)))</f>
        <v/>
      </c>
      <c r="CJ5" s="218">
        <f>IF(CJ$3="","",IF(入力データ!$C$11="","",YEAR(DATE(CJ$3,12,31))-YEAR(入力データ!$C$11)-IF(DATE(CJ$3,12,31)&lt;DATE(CJ$3,MONTH(入力データ!$C$11),DAY(入力データ!$C$11)),1,0)))</f>
        <v/>
      </c>
      <c r="CK5" s="218">
        <f>IF(CK$3="","",IF(入力データ!$C$11="","",YEAR(DATE(CK$3,12,31))-YEAR(入力データ!$C$11)-IF(DATE(CK$3,12,31)&lt;DATE(CK$3,MONTH(入力データ!$C$11),DAY(入力データ!$C$11)),1,0)))</f>
        <v/>
      </c>
      <c r="CL5" s="218">
        <f>IF(CL$3="","",IF(入力データ!$C$11="","",YEAR(DATE(CL$3,12,31))-YEAR(入力データ!$C$11)-IF(DATE(CL$3,12,31)&lt;DATE(CL$3,MONTH(入力データ!$C$11),DAY(入力データ!$C$11)),1,0)))</f>
        <v/>
      </c>
      <c r="CM5" s="218">
        <f>IF(CM$3="","",IF(入力データ!$C$11="","",YEAR(DATE(CM$3,12,31))-YEAR(入力データ!$C$11)-IF(DATE(CM$3,12,31)&lt;DATE(CM$3,MONTH(入力データ!$C$11),DAY(入力データ!$C$11)),1,0)))</f>
        <v/>
      </c>
      <c r="CN5" s="218">
        <f>IF(CN$3="","",IF(入力データ!$C$11="","",YEAR(DATE(CN$3,12,31))-YEAR(入力データ!$C$11)-IF(DATE(CN$3,12,31)&lt;DATE(CN$3,MONTH(入力データ!$C$11),DAY(入力データ!$C$11)),1,0)))</f>
        <v/>
      </c>
      <c r="CO5" s="218">
        <f>IF(CO$3="","",IF(入力データ!$C$11="","",YEAR(DATE(CO$3,12,31))-YEAR(入力データ!$C$11)-IF(DATE(CO$3,12,31)&lt;DATE(CO$3,MONTH(入力データ!$C$11),DAY(入力データ!$C$11)),1,0)))</f>
        <v/>
      </c>
      <c r="CP5" s="218">
        <f>IF(CP$3="","",IF(入力データ!$C$11="","",YEAR(DATE(CP$3,12,31))-YEAR(入力データ!$C$11)-IF(DATE(CP$3,12,31)&lt;DATE(CP$3,MONTH(入力データ!$C$11),DAY(入力データ!$C$11)),1,0)))</f>
        <v/>
      </c>
      <c r="CQ5" s="218">
        <f>IF(CQ$3="","",IF(入力データ!$C$11="","",YEAR(DATE(CQ$3,12,31))-YEAR(入力データ!$C$11)-IF(DATE(CQ$3,12,31)&lt;DATE(CQ$3,MONTH(入力データ!$C$11),DAY(入力データ!$C$11)),1,0)))</f>
        <v/>
      </c>
      <c r="CR5" s="218">
        <f>IF(CR$3="","",IF(入力データ!$C$11="","",YEAR(DATE(CR$3,12,31))-YEAR(入力データ!$C$11)-IF(DATE(CR$3,12,31)&lt;DATE(CR$3,MONTH(入力データ!$C$11),DAY(入力データ!$C$11)),1,0)))</f>
        <v/>
      </c>
      <c r="CS5" s="218">
        <f>IF(CS$3="","",IF(入力データ!$C$11="","",YEAR(DATE(CS$3,12,31))-YEAR(入力データ!$C$11)-IF(DATE(CS$3,12,31)&lt;DATE(CS$3,MONTH(入力データ!$C$11),DAY(入力データ!$C$11)),1,0)))</f>
        <v/>
      </c>
      <c r="CT5" s="218">
        <f>IF(CT$3="","",IF(入力データ!$C$11="","",YEAR(DATE(CT$3,12,31))-YEAR(入力データ!$C$11)-IF(DATE(CT$3,12,31)&lt;DATE(CT$3,MONTH(入力データ!$C$11),DAY(入力データ!$C$11)),1,0)))</f>
        <v/>
      </c>
      <c r="CU5" s="218">
        <f>IF(CU$3="","",IF(入力データ!$C$11="","",YEAR(DATE(CU$3,12,31))-YEAR(入力データ!$C$11)-IF(DATE(CU$3,12,31)&lt;DATE(CU$3,MONTH(入力データ!$C$11),DAY(入力データ!$C$11)),1,0)))</f>
        <v/>
      </c>
      <c r="CV5" s="218">
        <f>IF(CV$3="","",IF(入力データ!$C$11="","",YEAR(DATE(CV$3,12,31))-YEAR(入力データ!$C$11)-IF(DATE(CV$3,12,31)&lt;DATE(CV$3,MONTH(入力データ!$C$11),DAY(入力データ!$C$11)),1,0)))</f>
        <v/>
      </c>
      <c r="CW5" s="218">
        <f>IF(CW$3="","",IF(入力データ!$C$11="","",YEAR(DATE(CW$3,12,31))-YEAR(入力データ!$C$11)-IF(DATE(CW$3,12,31)&lt;DATE(CW$3,MONTH(入力データ!$C$11),DAY(入力データ!$C$11)),1,0)))</f>
        <v/>
      </c>
    </row>
    <row r="6" ht="16.5" customHeight="1" s="180">
      <c r="A6" s="217" t="inlineStr">
        <is>
          <t>子1年齢</t>
        </is>
      </c>
      <c r="B6" s="218">
        <f>IF(B$3="","",IF(入力データ!$C$19="","",YEAR(DATE(B$3,12,31))-YEAR(入力データ!$C$19)-IF(DATE(B$3,12,31)&lt;DATE(B$3,MONTH(入力データ!$C$19),DAY(入力データ!$C$19)),1,0)))</f>
        <v/>
      </c>
      <c r="C6" s="218">
        <f>IF(C$3="","",IF(入力データ!$C$19="","",YEAR(DATE(C$3,12,31))-YEAR(入力データ!$C$19)-IF(DATE(C$3,12,31)&lt;DATE(C$3,MONTH(入力データ!$C$19),DAY(入力データ!$C$19)),1,0)))</f>
        <v/>
      </c>
      <c r="D6" s="218">
        <f>IF(D$3="","",IF(入力データ!$C$19="","",YEAR(DATE(D$3,12,31))-YEAR(入力データ!$C$19)-IF(DATE(D$3,12,31)&lt;DATE(D$3,MONTH(入力データ!$C$19),DAY(入力データ!$C$19)),1,0)))</f>
        <v/>
      </c>
      <c r="E6" s="218">
        <f>IF(E$3="","",IF(入力データ!$C$19="","",YEAR(DATE(E$3,12,31))-YEAR(入力データ!$C$19)-IF(DATE(E$3,12,31)&lt;DATE(E$3,MONTH(入力データ!$C$19),DAY(入力データ!$C$19)),1,0)))</f>
        <v/>
      </c>
      <c r="F6" s="218">
        <f>IF(F$3="","",IF(入力データ!$C$19="","",YEAR(DATE(F$3,12,31))-YEAR(入力データ!$C$19)-IF(DATE(F$3,12,31)&lt;DATE(F$3,MONTH(入力データ!$C$19),DAY(入力データ!$C$19)),1,0)))</f>
        <v/>
      </c>
      <c r="G6" s="218">
        <f>IF(G$3="","",IF(入力データ!$C$19="","",YEAR(DATE(G$3,12,31))-YEAR(入力データ!$C$19)-IF(DATE(G$3,12,31)&lt;DATE(G$3,MONTH(入力データ!$C$19),DAY(入力データ!$C$19)),1,0)))</f>
        <v/>
      </c>
      <c r="H6" s="218">
        <f>IF(H$3="","",IF(入力データ!$C$19="","",YEAR(DATE(H$3,12,31))-YEAR(入力データ!$C$19)-IF(DATE(H$3,12,31)&lt;DATE(H$3,MONTH(入力データ!$C$19),DAY(入力データ!$C$19)),1,0)))</f>
        <v/>
      </c>
      <c r="I6" s="218">
        <f>IF(I$3="","",IF(入力データ!$C$19="","",YEAR(DATE(I$3,12,31))-YEAR(入力データ!$C$19)-IF(DATE(I$3,12,31)&lt;DATE(I$3,MONTH(入力データ!$C$19),DAY(入力データ!$C$19)),1,0)))</f>
        <v/>
      </c>
      <c r="J6" s="218">
        <f>IF(J$3="","",IF(入力データ!$C$19="","",YEAR(DATE(J$3,12,31))-YEAR(入力データ!$C$19)-IF(DATE(J$3,12,31)&lt;DATE(J$3,MONTH(入力データ!$C$19),DAY(入力データ!$C$19)),1,0)))</f>
        <v/>
      </c>
      <c r="K6" s="218">
        <f>IF(K$3="","",IF(入力データ!$C$19="","",YEAR(DATE(K$3,12,31))-YEAR(入力データ!$C$19)-IF(DATE(K$3,12,31)&lt;DATE(K$3,MONTH(入力データ!$C$19),DAY(入力データ!$C$19)),1,0)))</f>
        <v/>
      </c>
      <c r="L6" s="218">
        <f>IF(L$3="","",IF(入力データ!$C$19="","",YEAR(DATE(L$3,12,31))-YEAR(入力データ!$C$19)-IF(DATE(L$3,12,31)&lt;DATE(L$3,MONTH(入力データ!$C$19),DAY(入力データ!$C$19)),1,0)))</f>
        <v/>
      </c>
      <c r="M6" s="218">
        <f>IF(M$3="","",IF(入力データ!$C$19="","",YEAR(DATE(M$3,12,31))-YEAR(入力データ!$C$19)-IF(DATE(M$3,12,31)&lt;DATE(M$3,MONTH(入力データ!$C$19),DAY(入力データ!$C$19)),1,0)))</f>
        <v/>
      </c>
      <c r="N6" s="218">
        <f>IF(N$3="","",IF(入力データ!$C$19="","",YEAR(DATE(N$3,12,31))-YEAR(入力データ!$C$19)-IF(DATE(N$3,12,31)&lt;DATE(N$3,MONTH(入力データ!$C$19),DAY(入力データ!$C$19)),1,0)))</f>
        <v/>
      </c>
      <c r="O6" s="218">
        <f>IF(O$3="","",IF(入力データ!$C$19="","",YEAR(DATE(O$3,12,31))-YEAR(入力データ!$C$19)-IF(DATE(O$3,12,31)&lt;DATE(O$3,MONTH(入力データ!$C$19),DAY(入力データ!$C$19)),1,0)))</f>
        <v/>
      </c>
      <c r="P6" s="218">
        <f>IF(P$3="","",IF(入力データ!$C$19="","",YEAR(DATE(P$3,12,31))-YEAR(入力データ!$C$19)-IF(DATE(P$3,12,31)&lt;DATE(P$3,MONTH(入力データ!$C$19),DAY(入力データ!$C$19)),1,0)))</f>
        <v/>
      </c>
      <c r="Q6" s="218">
        <f>IF(Q$3="","",IF(入力データ!$C$19="","",YEAR(DATE(Q$3,12,31))-YEAR(入力データ!$C$19)-IF(DATE(Q$3,12,31)&lt;DATE(Q$3,MONTH(入力データ!$C$19),DAY(入力データ!$C$19)),1,0)))</f>
        <v/>
      </c>
      <c r="R6" s="218">
        <f>IF(R$3="","",IF(入力データ!$C$19="","",YEAR(DATE(R$3,12,31))-YEAR(入力データ!$C$19)-IF(DATE(R$3,12,31)&lt;DATE(R$3,MONTH(入力データ!$C$19),DAY(入力データ!$C$19)),1,0)))</f>
        <v/>
      </c>
      <c r="S6" s="218">
        <f>IF(S$3="","",IF(入力データ!$C$19="","",YEAR(DATE(S$3,12,31))-YEAR(入力データ!$C$19)-IF(DATE(S$3,12,31)&lt;DATE(S$3,MONTH(入力データ!$C$19),DAY(入力データ!$C$19)),1,0)))</f>
        <v/>
      </c>
      <c r="T6" s="218">
        <f>IF(T$3="","",IF(入力データ!$C$19="","",YEAR(DATE(T$3,12,31))-YEAR(入力データ!$C$19)-IF(DATE(T$3,12,31)&lt;DATE(T$3,MONTH(入力データ!$C$19),DAY(入力データ!$C$19)),1,0)))</f>
        <v/>
      </c>
      <c r="U6" s="218">
        <f>IF(U$3="","",IF(入力データ!$C$19="","",YEAR(DATE(U$3,12,31))-YEAR(入力データ!$C$19)-IF(DATE(U$3,12,31)&lt;DATE(U$3,MONTH(入力データ!$C$19),DAY(入力データ!$C$19)),1,0)))</f>
        <v/>
      </c>
      <c r="V6" s="218">
        <f>IF(V$3="","",IF(入力データ!$C$19="","",YEAR(DATE(V$3,12,31))-YEAR(入力データ!$C$19)-IF(DATE(V$3,12,31)&lt;DATE(V$3,MONTH(入力データ!$C$19),DAY(入力データ!$C$19)),1,0)))</f>
        <v/>
      </c>
      <c r="W6" s="218">
        <f>IF(W$3="","",IF(入力データ!$C$19="","",YEAR(DATE(W$3,12,31))-YEAR(入力データ!$C$19)-IF(DATE(W$3,12,31)&lt;DATE(W$3,MONTH(入力データ!$C$19),DAY(入力データ!$C$19)),1,0)))</f>
        <v/>
      </c>
      <c r="X6" s="218">
        <f>IF(X$3="","",IF(入力データ!$C$19="","",YEAR(DATE(X$3,12,31))-YEAR(入力データ!$C$19)-IF(DATE(X$3,12,31)&lt;DATE(X$3,MONTH(入力データ!$C$19),DAY(入力データ!$C$19)),1,0)))</f>
        <v/>
      </c>
      <c r="Y6" s="218">
        <f>IF(Y$3="","",IF(入力データ!$C$19="","",YEAR(DATE(Y$3,12,31))-YEAR(入力データ!$C$19)-IF(DATE(Y$3,12,31)&lt;DATE(Y$3,MONTH(入力データ!$C$19),DAY(入力データ!$C$19)),1,0)))</f>
        <v/>
      </c>
      <c r="Z6" s="218">
        <f>IF(Z$3="","",IF(入力データ!$C$19="","",YEAR(DATE(Z$3,12,31))-YEAR(入力データ!$C$19)-IF(DATE(Z$3,12,31)&lt;DATE(Z$3,MONTH(入力データ!$C$19),DAY(入力データ!$C$19)),1,0)))</f>
        <v/>
      </c>
      <c r="AA6" s="218">
        <f>IF(AA$3="","",IF(入力データ!$C$19="","",YEAR(DATE(AA$3,12,31))-YEAR(入力データ!$C$19)-IF(DATE(AA$3,12,31)&lt;DATE(AA$3,MONTH(入力データ!$C$19),DAY(入力データ!$C$19)),1,0)))</f>
        <v/>
      </c>
      <c r="AB6" s="218">
        <f>IF(AB$3="","",IF(入力データ!$C$19="","",YEAR(DATE(AB$3,12,31))-YEAR(入力データ!$C$19)-IF(DATE(AB$3,12,31)&lt;DATE(AB$3,MONTH(入力データ!$C$19),DAY(入力データ!$C$19)),1,0)))</f>
        <v/>
      </c>
      <c r="AC6" s="218">
        <f>IF(AC$3="","",IF(入力データ!$C$19="","",YEAR(DATE(AC$3,12,31))-YEAR(入力データ!$C$19)-IF(DATE(AC$3,12,31)&lt;DATE(AC$3,MONTH(入力データ!$C$19),DAY(入力データ!$C$19)),1,0)))</f>
        <v/>
      </c>
      <c r="AD6" s="218">
        <f>IF(AD$3="","",IF(入力データ!$C$19="","",YEAR(DATE(AD$3,12,31))-YEAR(入力データ!$C$19)-IF(DATE(AD$3,12,31)&lt;DATE(AD$3,MONTH(入力データ!$C$19),DAY(入力データ!$C$19)),1,0)))</f>
        <v/>
      </c>
      <c r="AE6" s="218">
        <f>IF(AE$3="","",IF(入力データ!$C$19="","",YEAR(DATE(AE$3,12,31))-YEAR(入力データ!$C$19)-IF(DATE(AE$3,12,31)&lt;DATE(AE$3,MONTH(入力データ!$C$19),DAY(入力データ!$C$19)),1,0)))</f>
        <v/>
      </c>
      <c r="AF6" s="218">
        <f>IF(AF$3="","",IF(入力データ!$C$19="","",YEAR(DATE(AF$3,12,31))-YEAR(入力データ!$C$19)-IF(DATE(AF$3,12,31)&lt;DATE(AF$3,MONTH(入力データ!$C$19),DAY(入力データ!$C$19)),1,0)))</f>
        <v/>
      </c>
      <c r="AG6" s="218">
        <f>IF(AG$3="","",IF(入力データ!$C$19="","",YEAR(DATE(AG$3,12,31))-YEAR(入力データ!$C$19)-IF(DATE(AG$3,12,31)&lt;DATE(AG$3,MONTH(入力データ!$C$19),DAY(入力データ!$C$19)),1,0)))</f>
        <v/>
      </c>
      <c r="AH6" s="218">
        <f>IF(AH$3="","",IF(入力データ!$C$19="","",YEAR(DATE(AH$3,12,31))-YEAR(入力データ!$C$19)-IF(DATE(AH$3,12,31)&lt;DATE(AH$3,MONTH(入力データ!$C$19),DAY(入力データ!$C$19)),1,0)))</f>
        <v/>
      </c>
      <c r="AI6" s="218">
        <f>IF(AI$3="","",IF(入力データ!$C$19="","",YEAR(DATE(AI$3,12,31))-YEAR(入力データ!$C$19)-IF(DATE(AI$3,12,31)&lt;DATE(AI$3,MONTH(入力データ!$C$19),DAY(入力データ!$C$19)),1,0)))</f>
        <v/>
      </c>
      <c r="AJ6" s="218">
        <f>IF(AJ$3="","",IF(入力データ!$C$19="","",YEAR(DATE(AJ$3,12,31))-YEAR(入力データ!$C$19)-IF(DATE(AJ$3,12,31)&lt;DATE(AJ$3,MONTH(入力データ!$C$19),DAY(入力データ!$C$19)),1,0)))</f>
        <v/>
      </c>
      <c r="AK6" s="218">
        <f>IF(AK$3="","",IF(入力データ!$C$19="","",YEAR(DATE(AK$3,12,31))-YEAR(入力データ!$C$19)-IF(DATE(AK$3,12,31)&lt;DATE(AK$3,MONTH(入力データ!$C$19),DAY(入力データ!$C$19)),1,0)))</f>
        <v/>
      </c>
      <c r="AL6" s="218">
        <f>IF(AL$3="","",IF(入力データ!$C$19="","",YEAR(DATE(AL$3,12,31))-YEAR(入力データ!$C$19)-IF(DATE(AL$3,12,31)&lt;DATE(AL$3,MONTH(入力データ!$C$19),DAY(入力データ!$C$19)),1,0)))</f>
        <v/>
      </c>
      <c r="AM6" s="218">
        <f>IF(AM$3="","",IF(入力データ!$C$19="","",YEAR(DATE(AM$3,12,31))-YEAR(入力データ!$C$19)-IF(DATE(AM$3,12,31)&lt;DATE(AM$3,MONTH(入力データ!$C$19),DAY(入力データ!$C$19)),1,0)))</f>
        <v/>
      </c>
      <c r="AN6" s="218">
        <f>IF(AN$3="","",IF(入力データ!$C$19="","",YEAR(DATE(AN$3,12,31))-YEAR(入力データ!$C$19)-IF(DATE(AN$3,12,31)&lt;DATE(AN$3,MONTH(入力データ!$C$19),DAY(入力データ!$C$19)),1,0)))</f>
        <v/>
      </c>
      <c r="AO6" s="218">
        <f>IF(AO$3="","",IF(入力データ!$C$19="","",YEAR(DATE(AO$3,12,31))-YEAR(入力データ!$C$19)-IF(DATE(AO$3,12,31)&lt;DATE(AO$3,MONTH(入力データ!$C$19),DAY(入力データ!$C$19)),1,0)))</f>
        <v/>
      </c>
      <c r="AP6" s="218">
        <f>IF(AP$3="","",IF(入力データ!$C$19="","",YEAR(DATE(AP$3,12,31))-YEAR(入力データ!$C$19)-IF(DATE(AP$3,12,31)&lt;DATE(AP$3,MONTH(入力データ!$C$19),DAY(入力データ!$C$19)),1,0)))</f>
        <v/>
      </c>
      <c r="AQ6" s="218">
        <f>IF(AQ$3="","",IF(入力データ!$C$19="","",YEAR(DATE(AQ$3,12,31))-YEAR(入力データ!$C$19)-IF(DATE(AQ$3,12,31)&lt;DATE(AQ$3,MONTH(入力データ!$C$19),DAY(入力データ!$C$19)),1,0)))</f>
        <v/>
      </c>
      <c r="AR6" s="218">
        <f>IF(AR$3="","",IF(入力データ!$C$19="","",YEAR(DATE(AR$3,12,31))-YEAR(入力データ!$C$19)-IF(DATE(AR$3,12,31)&lt;DATE(AR$3,MONTH(入力データ!$C$19),DAY(入力データ!$C$19)),1,0)))</f>
        <v/>
      </c>
      <c r="AS6" s="218">
        <f>IF(AS$3="","",IF(入力データ!$C$19="","",YEAR(DATE(AS$3,12,31))-YEAR(入力データ!$C$19)-IF(DATE(AS$3,12,31)&lt;DATE(AS$3,MONTH(入力データ!$C$19),DAY(入力データ!$C$19)),1,0)))</f>
        <v/>
      </c>
      <c r="AT6" s="218">
        <f>IF(AT$3="","",IF(入力データ!$C$19="","",YEAR(DATE(AT$3,12,31))-YEAR(入力データ!$C$19)-IF(DATE(AT$3,12,31)&lt;DATE(AT$3,MONTH(入力データ!$C$19),DAY(入力データ!$C$19)),1,0)))</f>
        <v/>
      </c>
      <c r="AU6" s="218">
        <f>IF(AU$3="","",IF(入力データ!$C$19="","",YEAR(DATE(AU$3,12,31))-YEAR(入力データ!$C$19)-IF(DATE(AU$3,12,31)&lt;DATE(AU$3,MONTH(入力データ!$C$19),DAY(入力データ!$C$19)),1,0)))</f>
        <v/>
      </c>
      <c r="AV6" s="218">
        <f>IF(AV$3="","",IF(入力データ!$C$19="","",YEAR(DATE(AV$3,12,31))-YEAR(入力データ!$C$19)-IF(DATE(AV$3,12,31)&lt;DATE(AV$3,MONTH(入力データ!$C$19),DAY(入力データ!$C$19)),1,0)))</f>
        <v/>
      </c>
      <c r="AW6" s="218">
        <f>IF(AW$3="","",IF(入力データ!$C$19="","",YEAR(DATE(AW$3,12,31))-YEAR(入力データ!$C$19)-IF(DATE(AW$3,12,31)&lt;DATE(AW$3,MONTH(入力データ!$C$19),DAY(入力データ!$C$19)),1,0)))</f>
        <v/>
      </c>
      <c r="AX6" s="218">
        <f>IF(AX$3="","",IF(入力データ!$C$19="","",YEAR(DATE(AX$3,12,31))-YEAR(入力データ!$C$19)-IF(DATE(AX$3,12,31)&lt;DATE(AX$3,MONTH(入力データ!$C$19),DAY(入力データ!$C$19)),1,0)))</f>
        <v/>
      </c>
      <c r="AY6" s="218">
        <f>IF(AY$3="","",IF(入力データ!$C$19="","",YEAR(DATE(AY$3,12,31))-YEAR(入力データ!$C$19)-IF(DATE(AY$3,12,31)&lt;DATE(AY$3,MONTH(入力データ!$C$19),DAY(入力データ!$C$19)),1,0)))</f>
        <v/>
      </c>
      <c r="AZ6" s="218">
        <f>IF(AZ$3="","",IF(入力データ!$C$19="","",YEAR(DATE(AZ$3,12,31))-YEAR(入力データ!$C$19)-IF(DATE(AZ$3,12,31)&lt;DATE(AZ$3,MONTH(入力データ!$C$19),DAY(入力データ!$C$19)),1,0)))</f>
        <v/>
      </c>
      <c r="BA6" s="218">
        <f>IF(BA$3="","",IF(入力データ!$C$19="","",YEAR(DATE(BA$3,12,31))-YEAR(入力データ!$C$19)-IF(DATE(BA$3,12,31)&lt;DATE(BA$3,MONTH(入力データ!$C$19),DAY(入力データ!$C$19)),1,0)))</f>
        <v/>
      </c>
      <c r="BB6" s="218">
        <f>IF(BB$3="","",IF(入力データ!$C$19="","",YEAR(DATE(BB$3,12,31))-YEAR(入力データ!$C$19)-IF(DATE(BB$3,12,31)&lt;DATE(BB$3,MONTH(入力データ!$C$19),DAY(入力データ!$C$19)),1,0)))</f>
        <v/>
      </c>
      <c r="BC6" s="218">
        <f>IF(BC$3="","",IF(入力データ!$C$19="","",YEAR(DATE(BC$3,12,31))-YEAR(入力データ!$C$19)-IF(DATE(BC$3,12,31)&lt;DATE(BC$3,MONTH(入力データ!$C$19),DAY(入力データ!$C$19)),1,0)))</f>
        <v/>
      </c>
      <c r="BD6" s="218">
        <f>IF(BD$3="","",IF(入力データ!$C$19="","",YEAR(DATE(BD$3,12,31))-YEAR(入力データ!$C$19)-IF(DATE(BD$3,12,31)&lt;DATE(BD$3,MONTH(入力データ!$C$19),DAY(入力データ!$C$19)),1,0)))</f>
        <v/>
      </c>
      <c r="BE6" s="218">
        <f>IF(BE$3="","",IF(入力データ!$C$19="","",YEAR(DATE(BE$3,12,31))-YEAR(入力データ!$C$19)-IF(DATE(BE$3,12,31)&lt;DATE(BE$3,MONTH(入力データ!$C$19),DAY(入力データ!$C$19)),1,0)))</f>
        <v/>
      </c>
      <c r="BF6" s="218">
        <f>IF(BF$3="","",IF(入力データ!$C$19="","",YEAR(DATE(BF$3,12,31))-YEAR(入力データ!$C$19)-IF(DATE(BF$3,12,31)&lt;DATE(BF$3,MONTH(入力データ!$C$19),DAY(入力データ!$C$19)),1,0)))</f>
        <v/>
      </c>
      <c r="BG6" s="218">
        <f>IF(BG$3="","",IF(入力データ!$C$19="","",YEAR(DATE(BG$3,12,31))-YEAR(入力データ!$C$19)-IF(DATE(BG$3,12,31)&lt;DATE(BG$3,MONTH(入力データ!$C$19),DAY(入力データ!$C$19)),1,0)))</f>
        <v/>
      </c>
      <c r="BH6" s="218">
        <f>IF(BH$3="","",IF(入力データ!$C$19="","",YEAR(DATE(BH$3,12,31))-YEAR(入力データ!$C$19)-IF(DATE(BH$3,12,31)&lt;DATE(BH$3,MONTH(入力データ!$C$19),DAY(入力データ!$C$19)),1,0)))</f>
        <v/>
      </c>
      <c r="BI6" s="218">
        <f>IF(BI$3="","",IF(入力データ!$C$19="","",YEAR(DATE(BI$3,12,31))-YEAR(入力データ!$C$19)-IF(DATE(BI$3,12,31)&lt;DATE(BI$3,MONTH(入力データ!$C$19),DAY(入力データ!$C$19)),1,0)))</f>
        <v/>
      </c>
      <c r="BJ6" s="218">
        <f>IF(BJ$3="","",IF(入力データ!$C$19="","",YEAR(DATE(BJ$3,12,31))-YEAR(入力データ!$C$19)-IF(DATE(BJ$3,12,31)&lt;DATE(BJ$3,MONTH(入力データ!$C$19),DAY(入力データ!$C$19)),1,0)))</f>
        <v/>
      </c>
      <c r="BK6" s="218">
        <f>IF(BK$3="","",IF(入力データ!$C$19="","",YEAR(DATE(BK$3,12,31))-YEAR(入力データ!$C$19)-IF(DATE(BK$3,12,31)&lt;DATE(BK$3,MONTH(入力データ!$C$19),DAY(入力データ!$C$19)),1,0)))</f>
        <v/>
      </c>
      <c r="BL6" s="218">
        <f>IF(BL$3="","",IF(入力データ!$C$19="","",YEAR(DATE(BL$3,12,31))-YEAR(入力データ!$C$19)-IF(DATE(BL$3,12,31)&lt;DATE(BL$3,MONTH(入力データ!$C$19),DAY(入力データ!$C$19)),1,0)))</f>
        <v/>
      </c>
      <c r="BM6" s="218">
        <f>IF(BM$3="","",IF(入力データ!$C$19="","",YEAR(DATE(BM$3,12,31))-YEAR(入力データ!$C$19)-IF(DATE(BM$3,12,31)&lt;DATE(BM$3,MONTH(入力データ!$C$19),DAY(入力データ!$C$19)),1,0)))</f>
        <v/>
      </c>
      <c r="BN6" s="218">
        <f>IF(BN$3="","",IF(入力データ!$C$19="","",YEAR(DATE(BN$3,12,31))-YEAR(入力データ!$C$19)-IF(DATE(BN$3,12,31)&lt;DATE(BN$3,MONTH(入力データ!$C$19),DAY(入力データ!$C$19)),1,0)))</f>
        <v/>
      </c>
      <c r="BO6" s="218">
        <f>IF(BO$3="","",IF(入力データ!$C$19="","",YEAR(DATE(BO$3,12,31))-YEAR(入力データ!$C$19)-IF(DATE(BO$3,12,31)&lt;DATE(BO$3,MONTH(入力データ!$C$19),DAY(入力データ!$C$19)),1,0)))</f>
        <v/>
      </c>
      <c r="BP6" s="218">
        <f>IF(BP$3="","",IF(入力データ!$C$19="","",YEAR(DATE(BP$3,12,31))-YEAR(入力データ!$C$19)-IF(DATE(BP$3,12,31)&lt;DATE(BP$3,MONTH(入力データ!$C$19),DAY(入力データ!$C$19)),1,0)))</f>
        <v/>
      </c>
      <c r="BQ6" s="218">
        <f>IF(BQ$3="","",IF(入力データ!$C$19="","",YEAR(DATE(BQ$3,12,31))-YEAR(入力データ!$C$19)-IF(DATE(BQ$3,12,31)&lt;DATE(BQ$3,MONTH(入力データ!$C$19),DAY(入力データ!$C$19)),1,0)))</f>
        <v/>
      </c>
      <c r="BR6" s="218">
        <f>IF(BR$3="","",IF(入力データ!$C$19="","",YEAR(DATE(BR$3,12,31))-YEAR(入力データ!$C$19)-IF(DATE(BR$3,12,31)&lt;DATE(BR$3,MONTH(入力データ!$C$19),DAY(入力データ!$C$19)),1,0)))</f>
        <v/>
      </c>
      <c r="BS6" s="218">
        <f>IF(BS$3="","",IF(入力データ!$C$19="","",YEAR(DATE(BS$3,12,31))-YEAR(入力データ!$C$19)-IF(DATE(BS$3,12,31)&lt;DATE(BS$3,MONTH(入力データ!$C$19),DAY(入力データ!$C$19)),1,0)))</f>
        <v/>
      </c>
      <c r="BT6" s="218">
        <f>IF(BT$3="","",IF(入力データ!$C$19="","",YEAR(DATE(BT$3,12,31))-YEAR(入力データ!$C$19)-IF(DATE(BT$3,12,31)&lt;DATE(BT$3,MONTH(入力データ!$C$19),DAY(入力データ!$C$19)),1,0)))</f>
        <v/>
      </c>
      <c r="BU6" s="218">
        <f>IF(BU$3="","",IF(入力データ!$C$19="","",YEAR(DATE(BU$3,12,31))-YEAR(入力データ!$C$19)-IF(DATE(BU$3,12,31)&lt;DATE(BU$3,MONTH(入力データ!$C$19),DAY(入力データ!$C$19)),1,0)))</f>
        <v/>
      </c>
      <c r="BV6" s="218">
        <f>IF(BV$3="","",IF(入力データ!$C$19="","",YEAR(DATE(BV$3,12,31))-YEAR(入力データ!$C$19)-IF(DATE(BV$3,12,31)&lt;DATE(BV$3,MONTH(入力データ!$C$19),DAY(入力データ!$C$19)),1,0)))</f>
        <v/>
      </c>
      <c r="BW6" s="218">
        <f>IF(BW$3="","",IF(入力データ!$C$19="","",YEAR(DATE(BW$3,12,31))-YEAR(入力データ!$C$19)-IF(DATE(BW$3,12,31)&lt;DATE(BW$3,MONTH(入力データ!$C$19),DAY(入力データ!$C$19)),1,0)))</f>
        <v/>
      </c>
      <c r="BX6" s="218">
        <f>IF(BX$3="","",IF(入力データ!$C$19="","",YEAR(DATE(BX$3,12,31))-YEAR(入力データ!$C$19)-IF(DATE(BX$3,12,31)&lt;DATE(BX$3,MONTH(入力データ!$C$19),DAY(入力データ!$C$19)),1,0)))</f>
        <v/>
      </c>
      <c r="BY6" s="218">
        <f>IF(BY$3="","",IF(入力データ!$C$19="","",YEAR(DATE(BY$3,12,31))-YEAR(入力データ!$C$19)-IF(DATE(BY$3,12,31)&lt;DATE(BY$3,MONTH(入力データ!$C$19),DAY(入力データ!$C$19)),1,0)))</f>
        <v/>
      </c>
      <c r="BZ6" s="218">
        <f>IF(BZ$3="","",IF(入力データ!$C$19="","",YEAR(DATE(BZ$3,12,31))-YEAR(入力データ!$C$19)-IF(DATE(BZ$3,12,31)&lt;DATE(BZ$3,MONTH(入力データ!$C$19),DAY(入力データ!$C$19)),1,0)))</f>
        <v/>
      </c>
      <c r="CA6" s="218">
        <f>IF(CA$3="","",IF(入力データ!$C$19="","",YEAR(DATE(CA$3,12,31))-YEAR(入力データ!$C$19)-IF(DATE(CA$3,12,31)&lt;DATE(CA$3,MONTH(入力データ!$C$19),DAY(入力データ!$C$19)),1,0)))</f>
        <v/>
      </c>
      <c r="CB6" s="218">
        <f>IF(CB$3="","",IF(入力データ!$C$19="","",YEAR(DATE(CB$3,12,31))-YEAR(入力データ!$C$19)-IF(DATE(CB$3,12,31)&lt;DATE(CB$3,MONTH(入力データ!$C$19),DAY(入力データ!$C$19)),1,0)))</f>
        <v/>
      </c>
      <c r="CC6" s="218">
        <f>IF(CC$3="","",IF(入力データ!$C$19="","",YEAR(DATE(CC$3,12,31))-YEAR(入力データ!$C$19)-IF(DATE(CC$3,12,31)&lt;DATE(CC$3,MONTH(入力データ!$C$19),DAY(入力データ!$C$19)),1,0)))</f>
        <v/>
      </c>
      <c r="CD6" s="218">
        <f>IF(CD$3="","",IF(入力データ!$C$19="","",YEAR(DATE(CD$3,12,31))-YEAR(入力データ!$C$19)-IF(DATE(CD$3,12,31)&lt;DATE(CD$3,MONTH(入力データ!$C$19),DAY(入力データ!$C$19)),1,0)))</f>
        <v/>
      </c>
      <c r="CE6" s="218">
        <f>IF(CE$3="","",IF(入力データ!$C$19="","",YEAR(DATE(CE$3,12,31))-YEAR(入力データ!$C$19)-IF(DATE(CE$3,12,31)&lt;DATE(CE$3,MONTH(入力データ!$C$19),DAY(入力データ!$C$19)),1,0)))</f>
        <v/>
      </c>
      <c r="CF6" s="218">
        <f>IF(CF$3="","",IF(入力データ!$C$19="","",YEAR(DATE(CF$3,12,31))-YEAR(入力データ!$C$19)-IF(DATE(CF$3,12,31)&lt;DATE(CF$3,MONTH(入力データ!$C$19),DAY(入力データ!$C$19)),1,0)))</f>
        <v/>
      </c>
      <c r="CG6" s="218">
        <f>IF(CG$3="","",IF(入力データ!$C$19="","",YEAR(DATE(CG$3,12,31))-YEAR(入力データ!$C$19)-IF(DATE(CG$3,12,31)&lt;DATE(CG$3,MONTH(入力データ!$C$19),DAY(入力データ!$C$19)),1,0)))</f>
        <v/>
      </c>
      <c r="CH6" s="218">
        <f>IF(CH$3="","",IF(入力データ!$C$19="","",YEAR(DATE(CH$3,12,31))-YEAR(入力データ!$C$19)-IF(DATE(CH$3,12,31)&lt;DATE(CH$3,MONTH(入力データ!$C$19),DAY(入力データ!$C$19)),1,0)))</f>
        <v/>
      </c>
      <c r="CI6" s="218">
        <f>IF(CI$3="","",IF(入力データ!$C$19="","",YEAR(DATE(CI$3,12,31))-YEAR(入力データ!$C$19)-IF(DATE(CI$3,12,31)&lt;DATE(CI$3,MONTH(入力データ!$C$19),DAY(入力データ!$C$19)),1,0)))</f>
        <v/>
      </c>
      <c r="CJ6" s="218">
        <f>IF(CJ$3="","",IF(入力データ!$C$19="","",YEAR(DATE(CJ$3,12,31))-YEAR(入力データ!$C$19)-IF(DATE(CJ$3,12,31)&lt;DATE(CJ$3,MONTH(入力データ!$C$19),DAY(入力データ!$C$19)),1,0)))</f>
        <v/>
      </c>
      <c r="CK6" s="218">
        <f>IF(CK$3="","",IF(入力データ!$C$19="","",YEAR(DATE(CK$3,12,31))-YEAR(入力データ!$C$19)-IF(DATE(CK$3,12,31)&lt;DATE(CK$3,MONTH(入力データ!$C$19),DAY(入力データ!$C$19)),1,0)))</f>
        <v/>
      </c>
      <c r="CL6" s="218">
        <f>IF(CL$3="","",IF(入力データ!$C$19="","",YEAR(DATE(CL$3,12,31))-YEAR(入力データ!$C$19)-IF(DATE(CL$3,12,31)&lt;DATE(CL$3,MONTH(入力データ!$C$19),DAY(入力データ!$C$19)),1,0)))</f>
        <v/>
      </c>
      <c r="CM6" s="218">
        <f>IF(CM$3="","",IF(入力データ!$C$19="","",YEAR(DATE(CM$3,12,31))-YEAR(入力データ!$C$19)-IF(DATE(CM$3,12,31)&lt;DATE(CM$3,MONTH(入力データ!$C$19),DAY(入力データ!$C$19)),1,0)))</f>
        <v/>
      </c>
      <c r="CN6" s="218">
        <f>IF(CN$3="","",IF(入力データ!$C$19="","",YEAR(DATE(CN$3,12,31))-YEAR(入力データ!$C$19)-IF(DATE(CN$3,12,31)&lt;DATE(CN$3,MONTH(入力データ!$C$19),DAY(入力データ!$C$19)),1,0)))</f>
        <v/>
      </c>
      <c r="CO6" s="218">
        <f>IF(CO$3="","",IF(入力データ!$C$19="","",YEAR(DATE(CO$3,12,31))-YEAR(入力データ!$C$19)-IF(DATE(CO$3,12,31)&lt;DATE(CO$3,MONTH(入力データ!$C$19),DAY(入力データ!$C$19)),1,0)))</f>
        <v/>
      </c>
      <c r="CP6" s="218">
        <f>IF(CP$3="","",IF(入力データ!$C$19="","",YEAR(DATE(CP$3,12,31))-YEAR(入力データ!$C$19)-IF(DATE(CP$3,12,31)&lt;DATE(CP$3,MONTH(入力データ!$C$19),DAY(入力データ!$C$19)),1,0)))</f>
        <v/>
      </c>
      <c r="CQ6" s="218">
        <f>IF(CQ$3="","",IF(入力データ!$C$19="","",YEAR(DATE(CQ$3,12,31))-YEAR(入力データ!$C$19)-IF(DATE(CQ$3,12,31)&lt;DATE(CQ$3,MONTH(入力データ!$C$19),DAY(入力データ!$C$19)),1,0)))</f>
        <v/>
      </c>
      <c r="CR6" s="218">
        <f>IF(CR$3="","",IF(入力データ!$C$19="","",YEAR(DATE(CR$3,12,31))-YEAR(入力データ!$C$19)-IF(DATE(CR$3,12,31)&lt;DATE(CR$3,MONTH(入力データ!$C$19),DAY(入力データ!$C$19)),1,0)))</f>
        <v/>
      </c>
      <c r="CS6" s="218">
        <f>IF(CS$3="","",IF(入力データ!$C$19="","",YEAR(DATE(CS$3,12,31))-YEAR(入力データ!$C$19)-IF(DATE(CS$3,12,31)&lt;DATE(CS$3,MONTH(入力データ!$C$19),DAY(入力データ!$C$19)),1,0)))</f>
        <v/>
      </c>
      <c r="CT6" s="218">
        <f>IF(CT$3="","",IF(入力データ!$C$19="","",YEAR(DATE(CT$3,12,31))-YEAR(入力データ!$C$19)-IF(DATE(CT$3,12,31)&lt;DATE(CT$3,MONTH(入力データ!$C$19),DAY(入力データ!$C$19)),1,0)))</f>
        <v/>
      </c>
      <c r="CU6" s="218">
        <f>IF(CU$3="","",IF(入力データ!$C$19="","",YEAR(DATE(CU$3,12,31))-YEAR(入力データ!$C$19)-IF(DATE(CU$3,12,31)&lt;DATE(CU$3,MONTH(入力データ!$C$19),DAY(入力データ!$C$19)),1,0)))</f>
        <v/>
      </c>
      <c r="CV6" s="218">
        <f>IF(CV$3="","",IF(入力データ!$C$19="","",YEAR(DATE(CV$3,12,31))-YEAR(入力データ!$C$19)-IF(DATE(CV$3,12,31)&lt;DATE(CV$3,MONTH(入力データ!$C$19),DAY(入力データ!$C$19)),1,0)))</f>
        <v/>
      </c>
      <c r="CW6" s="218">
        <f>IF(CW$3="","",IF(入力データ!$C$19="","",YEAR(DATE(CW$3,12,31))-YEAR(入力データ!$C$19)-IF(DATE(CW$3,12,31)&lt;DATE(CW$3,MONTH(入力データ!$C$19),DAY(入力データ!$C$19)),1,0)))</f>
        <v/>
      </c>
    </row>
    <row r="7" ht="16.5" customHeight="1" s="180">
      <c r="A7" s="217" t="inlineStr">
        <is>
          <t>子2年齢</t>
        </is>
      </c>
      <c r="B7" s="218">
        <f>IF(B$3="","",IF(入力データ!$C$21="","",YEAR(DATE(B$3,12,31))-YEAR(入力データ!$C$21)-IF(DATE(B$3,12,31)&lt;DATE(B$3,MONTH(入力データ!$C$21),DAY(入力データ!$C$21)),1,0)))</f>
        <v/>
      </c>
      <c r="C7" s="218">
        <f>IF(C$3="","",IF(入力データ!$C$21="","",YEAR(DATE(C$3,12,31))-YEAR(入力データ!$C$21)-IF(DATE(C$3,12,31)&lt;DATE(C$3,MONTH(入力データ!$C$21),DAY(入力データ!$C$21)),1,0)))</f>
        <v/>
      </c>
      <c r="D7" s="218">
        <f>IF(D$3="","",IF(入力データ!$C$21="","",YEAR(DATE(D$3,12,31))-YEAR(入力データ!$C$21)-IF(DATE(D$3,12,31)&lt;DATE(D$3,MONTH(入力データ!$C$21),DAY(入力データ!$C$21)),1,0)))</f>
        <v/>
      </c>
      <c r="E7" s="218">
        <f>IF(E$3="","",IF(入力データ!$C$21="","",YEAR(DATE(E$3,12,31))-YEAR(入力データ!$C$21)-IF(DATE(E$3,12,31)&lt;DATE(E$3,MONTH(入力データ!$C$21),DAY(入力データ!$C$21)),1,0)))</f>
        <v/>
      </c>
      <c r="F7" s="218">
        <f>IF(F$3="","",IF(入力データ!$C$21="","",YEAR(DATE(F$3,12,31))-YEAR(入力データ!$C$21)-IF(DATE(F$3,12,31)&lt;DATE(F$3,MONTH(入力データ!$C$21),DAY(入力データ!$C$21)),1,0)))</f>
        <v/>
      </c>
      <c r="G7" s="218">
        <f>IF(G$3="","",IF(入力データ!$C$21="","",YEAR(DATE(G$3,12,31))-YEAR(入力データ!$C$21)-IF(DATE(G$3,12,31)&lt;DATE(G$3,MONTH(入力データ!$C$21),DAY(入力データ!$C$21)),1,0)))</f>
        <v/>
      </c>
      <c r="H7" s="218">
        <f>IF(H$3="","",IF(入力データ!$C$21="","",YEAR(DATE(H$3,12,31))-YEAR(入力データ!$C$21)-IF(DATE(H$3,12,31)&lt;DATE(H$3,MONTH(入力データ!$C$21),DAY(入力データ!$C$21)),1,0)))</f>
        <v/>
      </c>
      <c r="I7" s="218">
        <f>IF(I$3="","",IF(入力データ!$C$21="","",YEAR(DATE(I$3,12,31))-YEAR(入力データ!$C$21)-IF(DATE(I$3,12,31)&lt;DATE(I$3,MONTH(入力データ!$C$21),DAY(入力データ!$C$21)),1,0)))</f>
        <v/>
      </c>
      <c r="J7" s="218">
        <f>IF(J$3="","",IF(入力データ!$C$21="","",YEAR(DATE(J$3,12,31))-YEAR(入力データ!$C$21)-IF(DATE(J$3,12,31)&lt;DATE(J$3,MONTH(入力データ!$C$21),DAY(入力データ!$C$21)),1,0)))</f>
        <v/>
      </c>
      <c r="K7" s="218">
        <f>IF(K$3="","",IF(入力データ!$C$21="","",YEAR(DATE(K$3,12,31))-YEAR(入力データ!$C$21)-IF(DATE(K$3,12,31)&lt;DATE(K$3,MONTH(入力データ!$C$21),DAY(入力データ!$C$21)),1,0)))</f>
        <v/>
      </c>
      <c r="L7" s="218">
        <f>IF(L$3="","",IF(入力データ!$C$21="","",YEAR(DATE(L$3,12,31))-YEAR(入力データ!$C$21)-IF(DATE(L$3,12,31)&lt;DATE(L$3,MONTH(入力データ!$C$21),DAY(入力データ!$C$21)),1,0)))</f>
        <v/>
      </c>
      <c r="M7" s="218">
        <f>IF(M$3="","",IF(入力データ!$C$21="","",YEAR(DATE(M$3,12,31))-YEAR(入力データ!$C$21)-IF(DATE(M$3,12,31)&lt;DATE(M$3,MONTH(入力データ!$C$21),DAY(入力データ!$C$21)),1,0)))</f>
        <v/>
      </c>
      <c r="N7" s="218">
        <f>IF(N$3="","",IF(入力データ!$C$21="","",YEAR(DATE(N$3,12,31))-YEAR(入力データ!$C$21)-IF(DATE(N$3,12,31)&lt;DATE(N$3,MONTH(入力データ!$C$21),DAY(入力データ!$C$21)),1,0)))</f>
        <v/>
      </c>
      <c r="O7" s="218">
        <f>IF(O$3="","",IF(入力データ!$C$21="","",YEAR(DATE(O$3,12,31))-YEAR(入力データ!$C$21)-IF(DATE(O$3,12,31)&lt;DATE(O$3,MONTH(入力データ!$C$21),DAY(入力データ!$C$21)),1,0)))</f>
        <v/>
      </c>
      <c r="P7" s="218">
        <f>IF(P$3="","",IF(入力データ!$C$21="","",YEAR(DATE(P$3,12,31))-YEAR(入力データ!$C$21)-IF(DATE(P$3,12,31)&lt;DATE(P$3,MONTH(入力データ!$C$21),DAY(入力データ!$C$21)),1,0)))</f>
        <v/>
      </c>
      <c r="Q7" s="218">
        <f>IF(Q$3="","",IF(入力データ!$C$21="","",YEAR(DATE(Q$3,12,31))-YEAR(入力データ!$C$21)-IF(DATE(Q$3,12,31)&lt;DATE(Q$3,MONTH(入力データ!$C$21),DAY(入力データ!$C$21)),1,0)))</f>
        <v/>
      </c>
      <c r="R7" s="218">
        <f>IF(R$3="","",IF(入力データ!$C$21="","",YEAR(DATE(R$3,12,31))-YEAR(入力データ!$C$21)-IF(DATE(R$3,12,31)&lt;DATE(R$3,MONTH(入力データ!$C$21),DAY(入力データ!$C$21)),1,0)))</f>
        <v/>
      </c>
      <c r="S7" s="218">
        <f>IF(S$3="","",IF(入力データ!$C$21="","",YEAR(DATE(S$3,12,31))-YEAR(入力データ!$C$21)-IF(DATE(S$3,12,31)&lt;DATE(S$3,MONTH(入力データ!$C$21),DAY(入力データ!$C$21)),1,0)))</f>
        <v/>
      </c>
      <c r="T7" s="218">
        <f>IF(T$3="","",IF(入力データ!$C$21="","",YEAR(DATE(T$3,12,31))-YEAR(入力データ!$C$21)-IF(DATE(T$3,12,31)&lt;DATE(T$3,MONTH(入力データ!$C$21),DAY(入力データ!$C$21)),1,0)))</f>
        <v/>
      </c>
      <c r="U7" s="218">
        <f>IF(U$3="","",IF(入力データ!$C$21="","",YEAR(DATE(U$3,12,31))-YEAR(入力データ!$C$21)-IF(DATE(U$3,12,31)&lt;DATE(U$3,MONTH(入力データ!$C$21),DAY(入力データ!$C$21)),1,0)))</f>
        <v/>
      </c>
      <c r="V7" s="218">
        <f>IF(V$3="","",IF(入力データ!$C$21="","",YEAR(DATE(V$3,12,31))-YEAR(入力データ!$C$21)-IF(DATE(V$3,12,31)&lt;DATE(V$3,MONTH(入力データ!$C$21),DAY(入力データ!$C$21)),1,0)))</f>
        <v/>
      </c>
      <c r="W7" s="218">
        <f>IF(W$3="","",IF(入力データ!$C$21="","",YEAR(DATE(W$3,12,31))-YEAR(入力データ!$C$21)-IF(DATE(W$3,12,31)&lt;DATE(W$3,MONTH(入力データ!$C$21),DAY(入力データ!$C$21)),1,0)))</f>
        <v/>
      </c>
      <c r="X7" s="218">
        <f>IF(X$3="","",IF(入力データ!$C$21="","",YEAR(DATE(X$3,12,31))-YEAR(入力データ!$C$21)-IF(DATE(X$3,12,31)&lt;DATE(X$3,MONTH(入力データ!$C$21),DAY(入力データ!$C$21)),1,0)))</f>
        <v/>
      </c>
      <c r="Y7" s="218">
        <f>IF(Y$3="","",IF(入力データ!$C$21="","",YEAR(DATE(Y$3,12,31))-YEAR(入力データ!$C$21)-IF(DATE(Y$3,12,31)&lt;DATE(Y$3,MONTH(入力データ!$C$21),DAY(入力データ!$C$21)),1,0)))</f>
        <v/>
      </c>
      <c r="Z7" s="218">
        <f>IF(Z$3="","",IF(入力データ!$C$21="","",YEAR(DATE(Z$3,12,31))-YEAR(入力データ!$C$21)-IF(DATE(Z$3,12,31)&lt;DATE(Z$3,MONTH(入力データ!$C$21),DAY(入力データ!$C$21)),1,0)))</f>
        <v/>
      </c>
      <c r="AA7" s="218">
        <f>IF(AA$3="","",IF(入力データ!$C$21="","",YEAR(DATE(AA$3,12,31))-YEAR(入力データ!$C$21)-IF(DATE(AA$3,12,31)&lt;DATE(AA$3,MONTH(入力データ!$C$21),DAY(入力データ!$C$21)),1,0)))</f>
        <v/>
      </c>
      <c r="AB7" s="218">
        <f>IF(AB$3="","",IF(入力データ!$C$21="","",YEAR(DATE(AB$3,12,31))-YEAR(入力データ!$C$21)-IF(DATE(AB$3,12,31)&lt;DATE(AB$3,MONTH(入力データ!$C$21),DAY(入力データ!$C$21)),1,0)))</f>
        <v/>
      </c>
      <c r="AC7" s="218">
        <f>IF(AC$3="","",IF(入力データ!$C$21="","",YEAR(DATE(AC$3,12,31))-YEAR(入力データ!$C$21)-IF(DATE(AC$3,12,31)&lt;DATE(AC$3,MONTH(入力データ!$C$21),DAY(入力データ!$C$21)),1,0)))</f>
        <v/>
      </c>
      <c r="AD7" s="218">
        <f>IF(AD$3="","",IF(入力データ!$C$21="","",YEAR(DATE(AD$3,12,31))-YEAR(入力データ!$C$21)-IF(DATE(AD$3,12,31)&lt;DATE(AD$3,MONTH(入力データ!$C$21),DAY(入力データ!$C$21)),1,0)))</f>
        <v/>
      </c>
      <c r="AE7" s="218">
        <f>IF(AE$3="","",IF(入力データ!$C$21="","",YEAR(DATE(AE$3,12,31))-YEAR(入力データ!$C$21)-IF(DATE(AE$3,12,31)&lt;DATE(AE$3,MONTH(入力データ!$C$21),DAY(入力データ!$C$21)),1,0)))</f>
        <v/>
      </c>
      <c r="AF7" s="218">
        <f>IF(AF$3="","",IF(入力データ!$C$21="","",YEAR(DATE(AF$3,12,31))-YEAR(入力データ!$C$21)-IF(DATE(AF$3,12,31)&lt;DATE(AF$3,MONTH(入力データ!$C$21),DAY(入力データ!$C$21)),1,0)))</f>
        <v/>
      </c>
      <c r="AG7" s="218">
        <f>IF(AG$3="","",IF(入力データ!$C$21="","",YEAR(DATE(AG$3,12,31))-YEAR(入力データ!$C$21)-IF(DATE(AG$3,12,31)&lt;DATE(AG$3,MONTH(入力データ!$C$21),DAY(入力データ!$C$21)),1,0)))</f>
        <v/>
      </c>
      <c r="AH7" s="218">
        <f>IF(AH$3="","",IF(入力データ!$C$21="","",YEAR(DATE(AH$3,12,31))-YEAR(入力データ!$C$21)-IF(DATE(AH$3,12,31)&lt;DATE(AH$3,MONTH(入力データ!$C$21),DAY(入力データ!$C$21)),1,0)))</f>
        <v/>
      </c>
      <c r="AI7" s="218">
        <f>IF(AI$3="","",IF(入力データ!$C$21="","",YEAR(DATE(AI$3,12,31))-YEAR(入力データ!$C$21)-IF(DATE(AI$3,12,31)&lt;DATE(AI$3,MONTH(入力データ!$C$21),DAY(入力データ!$C$21)),1,0)))</f>
        <v/>
      </c>
      <c r="AJ7" s="218">
        <f>IF(AJ$3="","",IF(入力データ!$C$21="","",YEAR(DATE(AJ$3,12,31))-YEAR(入力データ!$C$21)-IF(DATE(AJ$3,12,31)&lt;DATE(AJ$3,MONTH(入力データ!$C$21),DAY(入力データ!$C$21)),1,0)))</f>
        <v/>
      </c>
      <c r="AK7" s="218">
        <f>IF(AK$3="","",IF(入力データ!$C$21="","",YEAR(DATE(AK$3,12,31))-YEAR(入力データ!$C$21)-IF(DATE(AK$3,12,31)&lt;DATE(AK$3,MONTH(入力データ!$C$21),DAY(入力データ!$C$21)),1,0)))</f>
        <v/>
      </c>
      <c r="AL7" s="218">
        <f>IF(AL$3="","",IF(入力データ!$C$21="","",YEAR(DATE(AL$3,12,31))-YEAR(入力データ!$C$21)-IF(DATE(AL$3,12,31)&lt;DATE(AL$3,MONTH(入力データ!$C$21),DAY(入力データ!$C$21)),1,0)))</f>
        <v/>
      </c>
      <c r="AM7" s="218">
        <f>IF(AM$3="","",IF(入力データ!$C$21="","",YEAR(DATE(AM$3,12,31))-YEAR(入力データ!$C$21)-IF(DATE(AM$3,12,31)&lt;DATE(AM$3,MONTH(入力データ!$C$21),DAY(入力データ!$C$21)),1,0)))</f>
        <v/>
      </c>
      <c r="AN7" s="218">
        <f>IF(AN$3="","",IF(入力データ!$C$21="","",YEAR(DATE(AN$3,12,31))-YEAR(入力データ!$C$21)-IF(DATE(AN$3,12,31)&lt;DATE(AN$3,MONTH(入力データ!$C$21),DAY(入力データ!$C$21)),1,0)))</f>
        <v/>
      </c>
      <c r="AO7" s="218">
        <f>IF(AO$3="","",IF(入力データ!$C$21="","",YEAR(DATE(AO$3,12,31))-YEAR(入力データ!$C$21)-IF(DATE(AO$3,12,31)&lt;DATE(AO$3,MONTH(入力データ!$C$21),DAY(入力データ!$C$21)),1,0)))</f>
        <v/>
      </c>
      <c r="AP7" s="218">
        <f>IF(AP$3="","",IF(入力データ!$C$21="","",YEAR(DATE(AP$3,12,31))-YEAR(入力データ!$C$21)-IF(DATE(AP$3,12,31)&lt;DATE(AP$3,MONTH(入力データ!$C$21),DAY(入力データ!$C$21)),1,0)))</f>
        <v/>
      </c>
      <c r="AQ7" s="218">
        <f>IF(AQ$3="","",IF(入力データ!$C$21="","",YEAR(DATE(AQ$3,12,31))-YEAR(入力データ!$C$21)-IF(DATE(AQ$3,12,31)&lt;DATE(AQ$3,MONTH(入力データ!$C$21),DAY(入力データ!$C$21)),1,0)))</f>
        <v/>
      </c>
      <c r="AR7" s="218">
        <f>IF(AR$3="","",IF(入力データ!$C$21="","",YEAR(DATE(AR$3,12,31))-YEAR(入力データ!$C$21)-IF(DATE(AR$3,12,31)&lt;DATE(AR$3,MONTH(入力データ!$C$21),DAY(入力データ!$C$21)),1,0)))</f>
        <v/>
      </c>
      <c r="AS7" s="218">
        <f>IF(AS$3="","",IF(入力データ!$C$21="","",YEAR(DATE(AS$3,12,31))-YEAR(入力データ!$C$21)-IF(DATE(AS$3,12,31)&lt;DATE(AS$3,MONTH(入力データ!$C$21),DAY(入力データ!$C$21)),1,0)))</f>
        <v/>
      </c>
      <c r="AT7" s="218">
        <f>IF(AT$3="","",IF(入力データ!$C$21="","",YEAR(DATE(AT$3,12,31))-YEAR(入力データ!$C$21)-IF(DATE(AT$3,12,31)&lt;DATE(AT$3,MONTH(入力データ!$C$21),DAY(入力データ!$C$21)),1,0)))</f>
        <v/>
      </c>
      <c r="AU7" s="218">
        <f>IF(AU$3="","",IF(入力データ!$C$21="","",YEAR(DATE(AU$3,12,31))-YEAR(入力データ!$C$21)-IF(DATE(AU$3,12,31)&lt;DATE(AU$3,MONTH(入力データ!$C$21),DAY(入力データ!$C$21)),1,0)))</f>
        <v/>
      </c>
      <c r="AV7" s="218">
        <f>IF(AV$3="","",IF(入力データ!$C$21="","",YEAR(DATE(AV$3,12,31))-YEAR(入力データ!$C$21)-IF(DATE(AV$3,12,31)&lt;DATE(AV$3,MONTH(入力データ!$C$21),DAY(入力データ!$C$21)),1,0)))</f>
        <v/>
      </c>
      <c r="AW7" s="218">
        <f>IF(AW$3="","",IF(入力データ!$C$21="","",YEAR(DATE(AW$3,12,31))-YEAR(入力データ!$C$21)-IF(DATE(AW$3,12,31)&lt;DATE(AW$3,MONTH(入力データ!$C$21),DAY(入力データ!$C$21)),1,0)))</f>
        <v/>
      </c>
      <c r="AX7" s="218">
        <f>IF(AX$3="","",IF(入力データ!$C$21="","",YEAR(DATE(AX$3,12,31))-YEAR(入力データ!$C$21)-IF(DATE(AX$3,12,31)&lt;DATE(AX$3,MONTH(入力データ!$C$21),DAY(入力データ!$C$21)),1,0)))</f>
        <v/>
      </c>
      <c r="AY7" s="218">
        <f>IF(AY$3="","",IF(入力データ!$C$21="","",YEAR(DATE(AY$3,12,31))-YEAR(入力データ!$C$21)-IF(DATE(AY$3,12,31)&lt;DATE(AY$3,MONTH(入力データ!$C$21),DAY(入力データ!$C$21)),1,0)))</f>
        <v/>
      </c>
      <c r="AZ7" s="218">
        <f>IF(AZ$3="","",IF(入力データ!$C$21="","",YEAR(DATE(AZ$3,12,31))-YEAR(入力データ!$C$21)-IF(DATE(AZ$3,12,31)&lt;DATE(AZ$3,MONTH(入力データ!$C$21),DAY(入力データ!$C$21)),1,0)))</f>
        <v/>
      </c>
      <c r="BA7" s="218">
        <f>IF(BA$3="","",IF(入力データ!$C$21="","",YEAR(DATE(BA$3,12,31))-YEAR(入力データ!$C$21)-IF(DATE(BA$3,12,31)&lt;DATE(BA$3,MONTH(入力データ!$C$21),DAY(入力データ!$C$21)),1,0)))</f>
        <v/>
      </c>
      <c r="BB7" s="218">
        <f>IF(BB$3="","",IF(入力データ!$C$21="","",YEAR(DATE(BB$3,12,31))-YEAR(入力データ!$C$21)-IF(DATE(BB$3,12,31)&lt;DATE(BB$3,MONTH(入力データ!$C$21),DAY(入力データ!$C$21)),1,0)))</f>
        <v/>
      </c>
      <c r="BC7" s="218">
        <f>IF(BC$3="","",IF(入力データ!$C$21="","",YEAR(DATE(BC$3,12,31))-YEAR(入力データ!$C$21)-IF(DATE(BC$3,12,31)&lt;DATE(BC$3,MONTH(入力データ!$C$21),DAY(入力データ!$C$21)),1,0)))</f>
        <v/>
      </c>
      <c r="BD7" s="218">
        <f>IF(BD$3="","",IF(入力データ!$C$21="","",YEAR(DATE(BD$3,12,31))-YEAR(入力データ!$C$21)-IF(DATE(BD$3,12,31)&lt;DATE(BD$3,MONTH(入力データ!$C$21),DAY(入力データ!$C$21)),1,0)))</f>
        <v/>
      </c>
      <c r="BE7" s="218">
        <f>IF(BE$3="","",IF(入力データ!$C$21="","",YEAR(DATE(BE$3,12,31))-YEAR(入力データ!$C$21)-IF(DATE(BE$3,12,31)&lt;DATE(BE$3,MONTH(入力データ!$C$21),DAY(入力データ!$C$21)),1,0)))</f>
        <v/>
      </c>
      <c r="BF7" s="218">
        <f>IF(BF$3="","",IF(入力データ!$C$21="","",YEAR(DATE(BF$3,12,31))-YEAR(入力データ!$C$21)-IF(DATE(BF$3,12,31)&lt;DATE(BF$3,MONTH(入力データ!$C$21),DAY(入力データ!$C$21)),1,0)))</f>
        <v/>
      </c>
      <c r="BG7" s="218">
        <f>IF(BG$3="","",IF(入力データ!$C$21="","",YEAR(DATE(BG$3,12,31))-YEAR(入力データ!$C$21)-IF(DATE(BG$3,12,31)&lt;DATE(BG$3,MONTH(入力データ!$C$21),DAY(入力データ!$C$21)),1,0)))</f>
        <v/>
      </c>
      <c r="BH7" s="218">
        <f>IF(BH$3="","",IF(入力データ!$C$21="","",YEAR(DATE(BH$3,12,31))-YEAR(入力データ!$C$21)-IF(DATE(BH$3,12,31)&lt;DATE(BH$3,MONTH(入力データ!$C$21),DAY(入力データ!$C$21)),1,0)))</f>
        <v/>
      </c>
      <c r="BI7" s="218">
        <f>IF(BI$3="","",IF(入力データ!$C$21="","",YEAR(DATE(BI$3,12,31))-YEAR(入力データ!$C$21)-IF(DATE(BI$3,12,31)&lt;DATE(BI$3,MONTH(入力データ!$C$21),DAY(入力データ!$C$21)),1,0)))</f>
        <v/>
      </c>
      <c r="BJ7" s="218">
        <f>IF(BJ$3="","",IF(入力データ!$C$21="","",YEAR(DATE(BJ$3,12,31))-YEAR(入力データ!$C$21)-IF(DATE(BJ$3,12,31)&lt;DATE(BJ$3,MONTH(入力データ!$C$21),DAY(入力データ!$C$21)),1,0)))</f>
        <v/>
      </c>
      <c r="BK7" s="218">
        <f>IF(BK$3="","",IF(入力データ!$C$21="","",YEAR(DATE(BK$3,12,31))-YEAR(入力データ!$C$21)-IF(DATE(BK$3,12,31)&lt;DATE(BK$3,MONTH(入力データ!$C$21),DAY(入力データ!$C$21)),1,0)))</f>
        <v/>
      </c>
      <c r="BL7" s="218">
        <f>IF(BL$3="","",IF(入力データ!$C$21="","",YEAR(DATE(BL$3,12,31))-YEAR(入力データ!$C$21)-IF(DATE(BL$3,12,31)&lt;DATE(BL$3,MONTH(入力データ!$C$21),DAY(入力データ!$C$21)),1,0)))</f>
        <v/>
      </c>
      <c r="BM7" s="218">
        <f>IF(BM$3="","",IF(入力データ!$C$21="","",YEAR(DATE(BM$3,12,31))-YEAR(入力データ!$C$21)-IF(DATE(BM$3,12,31)&lt;DATE(BM$3,MONTH(入力データ!$C$21),DAY(入力データ!$C$21)),1,0)))</f>
        <v/>
      </c>
      <c r="BN7" s="218">
        <f>IF(BN$3="","",IF(入力データ!$C$21="","",YEAR(DATE(BN$3,12,31))-YEAR(入力データ!$C$21)-IF(DATE(BN$3,12,31)&lt;DATE(BN$3,MONTH(入力データ!$C$21),DAY(入力データ!$C$21)),1,0)))</f>
        <v/>
      </c>
      <c r="BO7" s="218">
        <f>IF(BO$3="","",IF(入力データ!$C$21="","",YEAR(DATE(BO$3,12,31))-YEAR(入力データ!$C$21)-IF(DATE(BO$3,12,31)&lt;DATE(BO$3,MONTH(入力データ!$C$21),DAY(入力データ!$C$21)),1,0)))</f>
        <v/>
      </c>
      <c r="BP7" s="218">
        <f>IF(BP$3="","",IF(入力データ!$C$21="","",YEAR(DATE(BP$3,12,31))-YEAR(入力データ!$C$21)-IF(DATE(BP$3,12,31)&lt;DATE(BP$3,MONTH(入力データ!$C$21),DAY(入力データ!$C$21)),1,0)))</f>
        <v/>
      </c>
      <c r="BQ7" s="218">
        <f>IF(BQ$3="","",IF(入力データ!$C$21="","",YEAR(DATE(BQ$3,12,31))-YEAR(入力データ!$C$21)-IF(DATE(BQ$3,12,31)&lt;DATE(BQ$3,MONTH(入力データ!$C$21),DAY(入力データ!$C$21)),1,0)))</f>
        <v/>
      </c>
      <c r="BR7" s="218">
        <f>IF(BR$3="","",IF(入力データ!$C$21="","",YEAR(DATE(BR$3,12,31))-YEAR(入力データ!$C$21)-IF(DATE(BR$3,12,31)&lt;DATE(BR$3,MONTH(入力データ!$C$21),DAY(入力データ!$C$21)),1,0)))</f>
        <v/>
      </c>
      <c r="BS7" s="218">
        <f>IF(BS$3="","",IF(入力データ!$C$21="","",YEAR(DATE(BS$3,12,31))-YEAR(入力データ!$C$21)-IF(DATE(BS$3,12,31)&lt;DATE(BS$3,MONTH(入力データ!$C$21),DAY(入力データ!$C$21)),1,0)))</f>
        <v/>
      </c>
      <c r="BT7" s="218">
        <f>IF(BT$3="","",IF(入力データ!$C$21="","",YEAR(DATE(BT$3,12,31))-YEAR(入力データ!$C$21)-IF(DATE(BT$3,12,31)&lt;DATE(BT$3,MONTH(入力データ!$C$21),DAY(入力データ!$C$21)),1,0)))</f>
        <v/>
      </c>
      <c r="BU7" s="218">
        <f>IF(BU$3="","",IF(入力データ!$C$21="","",YEAR(DATE(BU$3,12,31))-YEAR(入力データ!$C$21)-IF(DATE(BU$3,12,31)&lt;DATE(BU$3,MONTH(入力データ!$C$21),DAY(入力データ!$C$21)),1,0)))</f>
        <v/>
      </c>
      <c r="BV7" s="218">
        <f>IF(BV$3="","",IF(入力データ!$C$21="","",YEAR(DATE(BV$3,12,31))-YEAR(入力データ!$C$21)-IF(DATE(BV$3,12,31)&lt;DATE(BV$3,MONTH(入力データ!$C$21),DAY(入力データ!$C$21)),1,0)))</f>
        <v/>
      </c>
      <c r="BW7" s="218">
        <f>IF(BW$3="","",IF(入力データ!$C$21="","",YEAR(DATE(BW$3,12,31))-YEAR(入力データ!$C$21)-IF(DATE(BW$3,12,31)&lt;DATE(BW$3,MONTH(入力データ!$C$21),DAY(入力データ!$C$21)),1,0)))</f>
        <v/>
      </c>
      <c r="BX7" s="218">
        <f>IF(BX$3="","",IF(入力データ!$C$21="","",YEAR(DATE(BX$3,12,31))-YEAR(入力データ!$C$21)-IF(DATE(BX$3,12,31)&lt;DATE(BX$3,MONTH(入力データ!$C$21),DAY(入力データ!$C$21)),1,0)))</f>
        <v/>
      </c>
      <c r="BY7" s="218">
        <f>IF(BY$3="","",IF(入力データ!$C$21="","",YEAR(DATE(BY$3,12,31))-YEAR(入力データ!$C$21)-IF(DATE(BY$3,12,31)&lt;DATE(BY$3,MONTH(入力データ!$C$21),DAY(入力データ!$C$21)),1,0)))</f>
        <v/>
      </c>
      <c r="BZ7" s="218">
        <f>IF(BZ$3="","",IF(入力データ!$C$21="","",YEAR(DATE(BZ$3,12,31))-YEAR(入力データ!$C$21)-IF(DATE(BZ$3,12,31)&lt;DATE(BZ$3,MONTH(入力データ!$C$21),DAY(入力データ!$C$21)),1,0)))</f>
        <v/>
      </c>
      <c r="CA7" s="218">
        <f>IF(CA$3="","",IF(入力データ!$C$21="","",YEAR(DATE(CA$3,12,31))-YEAR(入力データ!$C$21)-IF(DATE(CA$3,12,31)&lt;DATE(CA$3,MONTH(入力データ!$C$21),DAY(入力データ!$C$21)),1,0)))</f>
        <v/>
      </c>
      <c r="CB7" s="218">
        <f>IF(CB$3="","",IF(入力データ!$C$21="","",YEAR(DATE(CB$3,12,31))-YEAR(入力データ!$C$21)-IF(DATE(CB$3,12,31)&lt;DATE(CB$3,MONTH(入力データ!$C$21),DAY(入力データ!$C$21)),1,0)))</f>
        <v/>
      </c>
      <c r="CC7" s="218">
        <f>IF(CC$3="","",IF(入力データ!$C$21="","",YEAR(DATE(CC$3,12,31))-YEAR(入力データ!$C$21)-IF(DATE(CC$3,12,31)&lt;DATE(CC$3,MONTH(入力データ!$C$21),DAY(入力データ!$C$21)),1,0)))</f>
        <v/>
      </c>
      <c r="CD7" s="218">
        <f>IF(CD$3="","",IF(入力データ!$C$21="","",YEAR(DATE(CD$3,12,31))-YEAR(入力データ!$C$21)-IF(DATE(CD$3,12,31)&lt;DATE(CD$3,MONTH(入力データ!$C$21),DAY(入力データ!$C$21)),1,0)))</f>
        <v/>
      </c>
      <c r="CE7" s="218">
        <f>IF(CE$3="","",IF(入力データ!$C$21="","",YEAR(DATE(CE$3,12,31))-YEAR(入力データ!$C$21)-IF(DATE(CE$3,12,31)&lt;DATE(CE$3,MONTH(入力データ!$C$21),DAY(入力データ!$C$21)),1,0)))</f>
        <v/>
      </c>
      <c r="CF7" s="218">
        <f>IF(CF$3="","",IF(入力データ!$C$21="","",YEAR(DATE(CF$3,12,31))-YEAR(入力データ!$C$21)-IF(DATE(CF$3,12,31)&lt;DATE(CF$3,MONTH(入力データ!$C$21),DAY(入力データ!$C$21)),1,0)))</f>
        <v/>
      </c>
      <c r="CG7" s="218">
        <f>IF(CG$3="","",IF(入力データ!$C$21="","",YEAR(DATE(CG$3,12,31))-YEAR(入力データ!$C$21)-IF(DATE(CG$3,12,31)&lt;DATE(CG$3,MONTH(入力データ!$C$21),DAY(入力データ!$C$21)),1,0)))</f>
        <v/>
      </c>
      <c r="CH7" s="218">
        <f>IF(CH$3="","",IF(入力データ!$C$21="","",YEAR(DATE(CH$3,12,31))-YEAR(入力データ!$C$21)-IF(DATE(CH$3,12,31)&lt;DATE(CH$3,MONTH(入力データ!$C$21),DAY(入力データ!$C$21)),1,0)))</f>
        <v/>
      </c>
      <c r="CI7" s="218">
        <f>IF(CI$3="","",IF(入力データ!$C$21="","",YEAR(DATE(CI$3,12,31))-YEAR(入力データ!$C$21)-IF(DATE(CI$3,12,31)&lt;DATE(CI$3,MONTH(入力データ!$C$21),DAY(入力データ!$C$21)),1,0)))</f>
        <v/>
      </c>
      <c r="CJ7" s="218">
        <f>IF(CJ$3="","",IF(入力データ!$C$21="","",YEAR(DATE(CJ$3,12,31))-YEAR(入力データ!$C$21)-IF(DATE(CJ$3,12,31)&lt;DATE(CJ$3,MONTH(入力データ!$C$21),DAY(入力データ!$C$21)),1,0)))</f>
        <v/>
      </c>
      <c r="CK7" s="218">
        <f>IF(CK$3="","",IF(入力データ!$C$21="","",YEAR(DATE(CK$3,12,31))-YEAR(入力データ!$C$21)-IF(DATE(CK$3,12,31)&lt;DATE(CK$3,MONTH(入力データ!$C$21),DAY(入力データ!$C$21)),1,0)))</f>
        <v/>
      </c>
      <c r="CL7" s="218">
        <f>IF(CL$3="","",IF(入力データ!$C$21="","",YEAR(DATE(CL$3,12,31))-YEAR(入力データ!$C$21)-IF(DATE(CL$3,12,31)&lt;DATE(CL$3,MONTH(入力データ!$C$21),DAY(入力データ!$C$21)),1,0)))</f>
        <v/>
      </c>
      <c r="CM7" s="218">
        <f>IF(CM$3="","",IF(入力データ!$C$21="","",YEAR(DATE(CM$3,12,31))-YEAR(入力データ!$C$21)-IF(DATE(CM$3,12,31)&lt;DATE(CM$3,MONTH(入力データ!$C$21),DAY(入力データ!$C$21)),1,0)))</f>
        <v/>
      </c>
      <c r="CN7" s="218">
        <f>IF(CN$3="","",IF(入力データ!$C$21="","",YEAR(DATE(CN$3,12,31))-YEAR(入力データ!$C$21)-IF(DATE(CN$3,12,31)&lt;DATE(CN$3,MONTH(入力データ!$C$21),DAY(入力データ!$C$21)),1,0)))</f>
        <v/>
      </c>
      <c r="CO7" s="218">
        <f>IF(CO$3="","",IF(入力データ!$C$21="","",YEAR(DATE(CO$3,12,31))-YEAR(入力データ!$C$21)-IF(DATE(CO$3,12,31)&lt;DATE(CO$3,MONTH(入力データ!$C$21),DAY(入力データ!$C$21)),1,0)))</f>
        <v/>
      </c>
      <c r="CP7" s="218">
        <f>IF(CP$3="","",IF(入力データ!$C$21="","",YEAR(DATE(CP$3,12,31))-YEAR(入力データ!$C$21)-IF(DATE(CP$3,12,31)&lt;DATE(CP$3,MONTH(入力データ!$C$21),DAY(入力データ!$C$21)),1,0)))</f>
        <v/>
      </c>
      <c r="CQ7" s="218">
        <f>IF(CQ$3="","",IF(入力データ!$C$21="","",YEAR(DATE(CQ$3,12,31))-YEAR(入力データ!$C$21)-IF(DATE(CQ$3,12,31)&lt;DATE(CQ$3,MONTH(入力データ!$C$21),DAY(入力データ!$C$21)),1,0)))</f>
        <v/>
      </c>
      <c r="CR7" s="218">
        <f>IF(CR$3="","",IF(入力データ!$C$21="","",YEAR(DATE(CR$3,12,31))-YEAR(入力データ!$C$21)-IF(DATE(CR$3,12,31)&lt;DATE(CR$3,MONTH(入力データ!$C$21),DAY(入力データ!$C$21)),1,0)))</f>
        <v/>
      </c>
      <c r="CS7" s="218">
        <f>IF(CS$3="","",IF(入力データ!$C$21="","",YEAR(DATE(CS$3,12,31))-YEAR(入力データ!$C$21)-IF(DATE(CS$3,12,31)&lt;DATE(CS$3,MONTH(入力データ!$C$21),DAY(入力データ!$C$21)),1,0)))</f>
        <v/>
      </c>
      <c r="CT7" s="218">
        <f>IF(CT$3="","",IF(入力データ!$C$21="","",YEAR(DATE(CT$3,12,31))-YEAR(入力データ!$C$21)-IF(DATE(CT$3,12,31)&lt;DATE(CT$3,MONTH(入力データ!$C$21),DAY(入力データ!$C$21)),1,0)))</f>
        <v/>
      </c>
      <c r="CU7" s="218">
        <f>IF(CU$3="","",IF(入力データ!$C$21="","",YEAR(DATE(CU$3,12,31))-YEAR(入力データ!$C$21)-IF(DATE(CU$3,12,31)&lt;DATE(CU$3,MONTH(入力データ!$C$21),DAY(入力データ!$C$21)),1,0)))</f>
        <v/>
      </c>
      <c r="CV7" s="218">
        <f>IF(CV$3="","",IF(入力データ!$C$21="","",YEAR(DATE(CV$3,12,31))-YEAR(入力データ!$C$21)-IF(DATE(CV$3,12,31)&lt;DATE(CV$3,MONTH(入力データ!$C$21),DAY(入力データ!$C$21)),1,0)))</f>
        <v/>
      </c>
      <c r="CW7" s="218">
        <f>IF(CW$3="","",IF(入力データ!$C$21="","",YEAR(DATE(CW$3,12,31))-YEAR(入力データ!$C$21)-IF(DATE(CW$3,12,31)&lt;DATE(CW$3,MONTH(入力データ!$C$21),DAY(入力データ!$C$21)),1,0)))</f>
        <v/>
      </c>
    </row>
    <row r="8" ht="16.5" customHeight="1" s="180">
      <c r="A8" s="217" t="inlineStr">
        <is>
          <t>子3年齢</t>
        </is>
      </c>
      <c r="B8" s="218">
        <f>IF(B$3="","",IF(情報入力!$C$23="","",YEAR(DATE(B$3,12,31))-YEAR(情報入力!$C$23)-IF(DATE(B$3,12,31)&lt;DATE(B$3,MONTH(情報入力!$C$23),DAY(情報入力!$C$23)),1,0)))</f>
        <v/>
      </c>
      <c r="C8" s="218">
        <f>IF(C$3="","",IF(情報入力!$C$23="","",YEAR(DATE(C$3,12,31))-YEAR(情報入力!$C$23)-IF(DATE(C$3,12,31)&lt;DATE(C$3,MONTH(情報入力!$C$23),DAY(情報入力!$C$23)),1,0)))</f>
        <v/>
      </c>
      <c r="D8" s="218">
        <f>IF(D$3="","",IF(情報入力!$C$23="","",YEAR(DATE(D$3,12,31))-YEAR(情報入力!$C$23)-IF(DATE(D$3,12,31)&lt;DATE(D$3,MONTH(情報入力!$C$23),DAY(情報入力!$C$23)),1,0)))</f>
        <v/>
      </c>
      <c r="E8" s="218">
        <f>IF(E$3="","",IF(情報入力!$C$23="","",YEAR(DATE(E$3,12,31))-YEAR(情報入力!$C$23)-IF(DATE(E$3,12,31)&lt;DATE(E$3,MONTH(情報入力!$C$23),DAY(情報入力!$C$23)),1,0)))</f>
        <v/>
      </c>
      <c r="F8" s="218">
        <f>IF(F$3="","",IF(情報入力!$C$23="","",YEAR(DATE(F$3,12,31))-YEAR(情報入力!$C$23)-IF(DATE(F$3,12,31)&lt;DATE(F$3,MONTH(情報入力!$C$23),DAY(情報入力!$C$23)),1,0)))</f>
        <v/>
      </c>
      <c r="G8" s="218">
        <f>IF(G$3="","",IF(情報入力!$C$23="","",YEAR(DATE(G$3,12,31))-YEAR(情報入力!$C$23)-IF(DATE(G$3,12,31)&lt;DATE(G$3,MONTH(情報入力!$C$23),DAY(情報入力!$C$23)),1,0)))</f>
        <v/>
      </c>
      <c r="H8" s="218">
        <f>IF(H$3="","",IF(情報入力!$C$23="","",YEAR(DATE(H$3,12,31))-YEAR(情報入力!$C$23)-IF(DATE(H$3,12,31)&lt;DATE(H$3,MONTH(情報入力!$C$23),DAY(情報入力!$C$23)),1,0)))</f>
        <v/>
      </c>
      <c r="I8" s="218">
        <f>IF(I$3="","",IF(情報入力!$C$23="","",YEAR(DATE(I$3,12,31))-YEAR(情報入力!$C$23)-IF(DATE(I$3,12,31)&lt;DATE(I$3,MONTH(情報入力!$C$23),DAY(情報入力!$C$23)),1,0)))</f>
        <v/>
      </c>
      <c r="J8" s="218">
        <f>IF(J$3="","",IF(情報入力!$C$23="","",YEAR(DATE(J$3,12,31))-YEAR(情報入力!$C$23)-IF(DATE(J$3,12,31)&lt;DATE(J$3,MONTH(情報入力!$C$23),DAY(情報入力!$C$23)),1,0)))</f>
        <v/>
      </c>
      <c r="K8" s="218">
        <f>IF(K$3="","",IF(情報入力!$C$23="","",YEAR(DATE(K$3,12,31))-YEAR(情報入力!$C$23)-IF(DATE(K$3,12,31)&lt;DATE(K$3,MONTH(情報入力!$C$23),DAY(情報入力!$C$23)),1,0)))</f>
        <v/>
      </c>
      <c r="L8" s="218">
        <f>IF(L$3="","",IF(情報入力!$C$23="","",YEAR(DATE(L$3,12,31))-YEAR(情報入力!$C$23)-IF(DATE(L$3,12,31)&lt;DATE(L$3,MONTH(情報入力!$C$23),DAY(情報入力!$C$23)),1,0)))</f>
        <v/>
      </c>
      <c r="M8" s="218">
        <f>IF(M$3="","",IF(情報入力!$C$23="","",YEAR(DATE(M$3,12,31))-YEAR(情報入力!$C$23)-IF(DATE(M$3,12,31)&lt;DATE(M$3,MONTH(情報入力!$C$23),DAY(情報入力!$C$23)),1,0)))</f>
        <v/>
      </c>
      <c r="N8" s="218">
        <f>IF(N$3="","",IF(情報入力!$C$23="","",YEAR(DATE(N$3,12,31))-YEAR(情報入力!$C$23)-IF(DATE(N$3,12,31)&lt;DATE(N$3,MONTH(情報入力!$C$23),DAY(情報入力!$C$23)),1,0)))</f>
        <v/>
      </c>
      <c r="O8" s="218">
        <f>IF(O$3="","",IF(情報入力!$C$23="","",YEAR(DATE(O$3,12,31))-YEAR(情報入力!$C$23)-IF(DATE(O$3,12,31)&lt;DATE(O$3,MONTH(情報入力!$C$23),DAY(情報入力!$C$23)),1,0)))</f>
        <v/>
      </c>
      <c r="P8" s="218">
        <f>IF(P$3="","",IF(情報入力!$C$23="","",YEAR(DATE(P$3,12,31))-YEAR(情報入力!$C$23)-IF(DATE(P$3,12,31)&lt;DATE(P$3,MONTH(情報入力!$C$23),DAY(情報入力!$C$23)),1,0)))</f>
        <v/>
      </c>
      <c r="Q8" s="218">
        <f>IF(Q$3="","",IF(情報入力!$C$23="","",YEAR(DATE(Q$3,12,31))-YEAR(情報入力!$C$23)-IF(DATE(Q$3,12,31)&lt;DATE(Q$3,MONTH(情報入力!$C$23),DAY(情報入力!$C$23)),1,0)))</f>
        <v/>
      </c>
      <c r="R8" s="218">
        <f>IF(R$3="","",IF(情報入力!$C$23="","",YEAR(DATE(R$3,12,31))-YEAR(情報入力!$C$23)-IF(DATE(R$3,12,31)&lt;DATE(R$3,MONTH(情報入力!$C$23),DAY(情報入力!$C$23)),1,0)))</f>
        <v/>
      </c>
      <c r="S8" s="218">
        <f>IF(S$3="","",IF(情報入力!$C$23="","",YEAR(DATE(S$3,12,31))-YEAR(情報入力!$C$23)-IF(DATE(S$3,12,31)&lt;DATE(S$3,MONTH(情報入力!$C$23),DAY(情報入力!$C$23)),1,0)))</f>
        <v/>
      </c>
      <c r="T8" s="218">
        <f>IF(T$3="","",IF(情報入力!$C$23="","",YEAR(DATE(T$3,12,31))-YEAR(情報入力!$C$23)-IF(DATE(T$3,12,31)&lt;DATE(T$3,MONTH(情報入力!$C$23),DAY(情報入力!$C$23)),1,0)))</f>
        <v/>
      </c>
      <c r="U8" s="218">
        <f>IF(U$3="","",IF(情報入力!$C$23="","",YEAR(DATE(U$3,12,31))-YEAR(情報入力!$C$23)-IF(DATE(U$3,12,31)&lt;DATE(U$3,MONTH(情報入力!$C$23),DAY(情報入力!$C$23)),1,0)))</f>
        <v/>
      </c>
      <c r="V8" s="218">
        <f>IF(V$3="","",IF(情報入力!$C$23="","",YEAR(DATE(V$3,12,31))-YEAR(情報入力!$C$23)-IF(DATE(V$3,12,31)&lt;DATE(V$3,MONTH(情報入力!$C$23),DAY(情報入力!$C$23)),1,0)))</f>
        <v/>
      </c>
      <c r="W8" s="218">
        <f>IF(W$3="","",IF(情報入力!$C$23="","",YEAR(DATE(W$3,12,31))-YEAR(情報入力!$C$23)-IF(DATE(W$3,12,31)&lt;DATE(W$3,MONTH(情報入力!$C$23),DAY(情報入力!$C$23)),1,0)))</f>
        <v/>
      </c>
      <c r="X8" s="218">
        <f>IF(X$3="","",IF(情報入力!$C$23="","",YEAR(DATE(X$3,12,31))-YEAR(情報入力!$C$23)-IF(DATE(X$3,12,31)&lt;DATE(X$3,MONTH(情報入力!$C$23),DAY(情報入力!$C$23)),1,0)))</f>
        <v/>
      </c>
      <c r="Y8" s="218">
        <f>IF(Y$3="","",IF(情報入力!$C$23="","",YEAR(DATE(Y$3,12,31))-YEAR(情報入力!$C$23)-IF(DATE(Y$3,12,31)&lt;DATE(Y$3,MONTH(情報入力!$C$23),DAY(情報入力!$C$23)),1,0)))</f>
        <v/>
      </c>
      <c r="Z8" s="218">
        <f>IF(Z$3="","",IF(情報入力!$C$23="","",YEAR(DATE(Z$3,12,31))-YEAR(情報入力!$C$23)-IF(DATE(Z$3,12,31)&lt;DATE(Z$3,MONTH(情報入力!$C$23),DAY(情報入力!$C$23)),1,0)))</f>
        <v/>
      </c>
      <c r="AA8" s="218">
        <f>IF(AA$3="","",IF(情報入力!$C$23="","",YEAR(DATE(AA$3,12,31))-YEAR(情報入力!$C$23)-IF(DATE(AA$3,12,31)&lt;DATE(AA$3,MONTH(情報入力!$C$23),DAY(情報入力!$C$23)),1,0)))</f>
        <v/>
      </c>
      <c r="AB8" s="218">
        <f>IF(AB$3="","",IF(情報入力!$C$23="","",YEAR(DATE(AB$3,12,31))-YEAR(情報入力!$C$23)-IF(DATE(AB$3,12,31)&lt;DATE(AB$3,MONTH(情報入力!$C$23),DAY(情報入力!$C$23)),1,0)))</f>
        <v/>
      </c>
      <c r="AC8" s="218">
        <f>IF(AC$3="","",IF(情報入力!$C$23="","",YEAR(DATE(AC$3,12,31))-YEAR(情報入力!$C$23)-IF(DATE(AC$3,12,31)&lt;DATE(AC$3,MONTH(情報入力!$C$23),DAY(情報入力!$C$23)),1,0)))</f>
        <v/>
      </c>
      <c r="AD8" s="218">
        <f>IF(AD$3="","",IF(情報入力!$C$23="","",YEAR(DATE(AD$3,12,31))-YEAR(情報入力!$C$23)-IF(DATE(AD$3,12,31)&lt;DATE(AD$3,MONTH(情報入力!$C$23),DAY(情報入力!$C$23)),1,0)))</f>
        <v/>
      </c>
      <c r="AE8" s="218">
        <f>IF(AE$3="","",IF(情報入力!$C$23="","",YEAR(DATE(AE$3,12,31))-YEAR(情報入力!$C$23)-IF(DATE(AE$3,12,31)&lt;DATE(AE$3,MONTH(情報入力!$C$23),DAY(情報入力!$C$23)),1,0)))</f>
        <v/>
      </c>
      <c r="AF8" s="218">
        <f>IF(AF$3="","",IF(情報入力!$C$23="","",YEAR(DATE(AF$3,12,31))-YEAR(情報入力!$C$23)-IF(DATE(AF$3,12,31)&lt;DATE(AF$3,MONTH(情報入力!$C$23),DAY(情報入力!$C$23)),1,0)))</f>
        <v/>
      </c>
      <c r="AG8" s="218">
        <f>IF(AG$3="","",IF(情報入力!$C$23="","",YEAR(DATE(AG$3,12,31))-YEAR(情報入力!$C$23)-IF(DATE(AG$3,12,31)&lt;DATE(AG$3,MONTH(情報入力!$C$23),DAY(情報入力!$C$23)),1,0)))</f>
        <v/>
      </c>
      <c r="AH8" s="218">
        <f>IF(AH$3="","",IF(情報入力!$C$23="","",YEAR(DATE(AH$3,12,31))-YEAR(情報入力!$C$23)-IF(DATE(AH$3,12,31)&lt;DATE(AH$3,MONTH(情報入力!$C$23),DAY(情報入力!$C$23)),1,0)))</f>
        <v/>
      </c>
      <c r="AI8" s="218">
        <f>IF(AI$3="","",IF(情報入力!$C$23="","",YEAR(DATE(AI$3,12,31))-YEAR(情報入力!$C$23)-IF(DATE(AI$3,12,31)&lt;DATE(AI$3,MONTH(情報入力!$C$23),DAY(情報入力!$C$23)),1,0)))</f>
        <v/>
      </c>
      <c r="AJ8" s="218">
        <f>IF(AJ$3="","",IF(情報入力!$C$23="","",YEAR(DATE(AJ$3,12,31))-YEAR(情報入力!$C$23)-IF(DATE(AJ$3,12,31)&lt;DATE(AJ$3,MONTH(情報入力!$C$23),DAY(情報入力!$C$23)),1,0)))</f>
        <v/>
      </c>
      <c r="AK8" s="218">
        <f>IF(AK$3="","",IF(情報入力!$C$23="","",YEAR(DATE(AK$3,12,31))-YEAR(情報入力!$C$23)-IF(DATE(AK$3,12,31)&lt;DATE(AK$3,MONTH(情報入力!$C$23),DAY(情報入力!$C$23)),1,0)))</f>
        <v/>
      </c>
      <c r="AL8" s="218">
        <f>IF(AL$3="","",IF(情報入力!$C$23="","",YEAR(DATE(AL$3,12,31))-YEAR(情報入力!$C$23)-IF(DATE(AL$3,12,31)&lt;DATE(AL$3,MONTH(情報入力!$C$23),DAY(情報入力!$C$23)),1,0)))</f>
        <v/>
      </c>
      <c r="AM8" s="218">
        <f>IF(AM$3="","",IF(情報入力!$C$23="","",YEAR(DATE(AM$3,12,31))-YEAR(情報入力!$C$23)-IF(DATE(AM$3,12,31)&lt;DATE(AM$3,MONTH(情報入力!$C$23),DAY(情報入力!$C$23)),1,0)))</f>
        <v/>
      </c>
      <c r="AN8" s="218">
        <f>IF(AN$3="","",IF(情報入力!$C$23="","",YEAR(DATE(AN$3,12,31))-YEAR(情報入力!$C$23)-IF(DATE(AN$3,12,31)&lt;DATE(AN$3,MONTH(情報入力!$C$23),DAY(情報入力!$C$23)),1,0)))</f>
        <v/>
      </c>
      <c r="AO8" s="218">
        <f>IF(AO$3="","",IF(情報入力!$C$23="","",YEAR(DATE(AO$3,12,31))-YEAR(情報入力!$C$23)-IF(DATE(AO$3,12,31)&lt;DATE(AO$3,MONTH(情報入力!$C$23),DAY(情報入力!$C$23)),1,0)))</f>
        <v/>
      </c>
      <c r="AP8" s="218">
        <f>IF(AP$3="","",IF(情報入力!$C$23="","",YEAR(DATE(AP$3,12,31))-YEAR(情報入力!$C$23)-IF(DATE(AP$3,12,31)&lt;DATE(AP$3,MONTH(情報入力!$C$23),DAY(情報入力!$C$23)),1,0)))</f>
        <v/>
      </c>
      <c r="AQ8" s="218">
        <f>IF(AQ$3="","",IF(情報入力!$C$23="","",YEAR(DATE(AQ$3,12,31))-YEAR(情報入力!$C$23)-IF(DATE(AQ$3,12,31)&lt;DATE(AQ$3,MONTH(情報入力!$C$23),DAY(情報入力!$C$23)),1,0)))</f>
        <v/>
      </c>
      <c r="AR8" s="218">
        <f>IF(AR$3="","",IF(情報入力!$C$23="","",YEAR(DATE(AR$3,12,31))-YEAR(情報入力!$C$23)-IF(DATE(AR$3,12,31)&lt;DATE(AR$3,MONTH(情報入力!$C$23),DAY(情報入力!$C$23)),1,0)))</f>
        <v/>
      </c>
      <c r="AS8" s="218">
        <f>IF(AS$3="","",IF(情報入力!$C$23="","",YEAR(DATE(AS$3,12,31))-YEAR(情報入力!$C$23)-IF(DATE(AS$3,12,31)&lt;DATE(AS$3,MONTH(情報入力!$C$23),DAY(情報入力!$C$23)),1,0)))</f>
        <v/>
      </c>
      <c r="AT8" s="218">
        <f>IF(AT$3="","",IF(情報入力!$C$23="","",YEAR(DATE(AT$3,12,31))-YEAR(情報入力!$C$23)-IF(DATE(AT$3,12,31)&lt;DATE(AT$3,MONTH(情報入力!$C$23),DAY(情報入力!$C$23)),1,0)))</f>
        <v/>
      </c>
      <c r="AU8" s="218">
        <f>IF(AU$3="","",IF(情報入力!$C$23="","",YEAR(DATE(AU$3,12,31))-YEAR(情報入力!$C$23)-IF(DATE(AU$3,12,31)&lt;DATE(AU$3,MONTH(情報入力!$C$23),DAY(情報入力!$C$23)),1,0)))</f>
        <v/>
      </c>
      <c r="AV8" s="218">
        <f>IF(AV$3="","",IF(情報入力!$C$23="","",YEAR(DATE(AV$3,12,31))-YEAR(情報入力!$C$23)-IF(DATE(AV$3,12,31)&lt;DATE(AV$3,MONTH(情報入力!$C$23),DAY(情報入力!$C$23)),1,0)))</f>
        <v/>
      </c>
      <c r="AW8" s="218">
        <f>IF(AW$3="","",IF(情報入力!$C$23="","",YEAR(DATE(AW$3,12,31))-YEAR(情報入力!$C$23)-IF(DATE(AW$3,12,31)&lt;DATE(AW$3,MONTH(情報入力!$C$23),DAY(情報入力!$C$23)),1,0)))</f>
        <v/>
      </c>
      <c r="AX8" s="218">
        <f>IF(AX$3="","",IF(情報入力!$C$23="","",YEAR(DATE(AX$3,12,31))-YEAR(情報入力!$C$23)-IF(DATE(AX$3,12,31)&lt;DATE(AX$3,MONTH(情報入力!$C$23),DAY(情報入力!$C$23)),1,0)))</f>
        <v/>
      </c>
      <c r="AY8" s="218">
        <f>IF(AY$3="","",IF(情報入力!$C$23="","",YEAR(DATE(AY$3,12,31))-YEAR(情報入力!$C$23)-IF(DATE(AY$3,12,31)&lt;DATE(AY$3,MONTH(情報入力!$C$23),DAY(情報入力!$C$23)),1,0)))</f>
        <v/>
      </c>
      <c r="AZ8" s="218">
        <f>IF(AZ$3="","",IF(情報入力!$C$23="","",YEAR(DATE(AZ$3,12,31))-YEAR(情報入力!$C$23)-IF(DATE(AZ$3,12,31)&lt;DATE(AZ$3,MONTH(情報入力!$C$23),DAY(情報入力!$C$23)),1,0)))</f>
        <v/>
      </c>
      <c r="BA8" s="218">
        <f>IF(BA$3="","",IF(情報入力!$C$23="","",YEAR(DATE(BA$3,12,31))-YEAR(情報入力!$C$23)-IF(DATE(BA$3,12,31)&lt;DATE(BA$3,MONTH(情報入力!$C$23),DAY(情報入力!$C$23)),1,0)))</f>
        <v/>
      </c>
      <c r="BB8" s="218">
        <f>IF(BB$3="","",IF(情報入力!$C$23="","",YEAR(DATE(BB$3,12,31))-YEAR(情報入力!$C$23)-IF(DATE(BB$3,12,31)&lt;DATE(BB$3,MONTH(情報入力!$C$23),DAY(情報入力!$C$23)),1,0)))</f>
        <v/>
      </c>
      <c r="BC8" s="218">
        <f>IF(BC$3="","",IF(情報入力!$C$23="","",YEAR(DATE(BC$3,12,31))-YEAR(情報入力!$C$23)-IF(DATE(BC$3,12,31)&lt;DATE(BC$3,MONTH(情報入力!$C$23),DAY(情報入力!$C$23)),1,0)))</f>
        <v/>
      </c>
      <c r="BD8" s="218">
        <f>IF(BD$3="","",IF(情報入力!$C$23="","",YEAR(DATE(BD$3,12,31))-YEAR(情報入力!$C$23)-IF(DATE(BD$3,12,31)&lt;DATE(BD$3,MONTH(情報入力!$C$23),DAY(情報入力!$C$23)),1,0)))</f>
        <v/>
      </c>
      <c r="BE8" s="218">
        <f>IF(BE$3="","",IF(情報入力!$C$23="","",YEAR(DATE(BE$3,12,31))-YEAR(情報入力!$C$23)-IF(DATE(BE$3,12,31)&lt;DATE(BE$3,MONTH(情報入力!$C$23),DAY(情報入力!$C$23)),1,0)))</f>
        <v/>
      </c>
      <c r="BF8" s="218">
        <f>IF(BF$3="","",IF(情報入力!$C$23="","",YEAR(DATE(BF$3,12,31))-YEAR(情報入力!$C$23)-IF(DATE(BF$3,12,31)&lt;DATE(BF$3,MONTH(情報入力!$C$23),DAY(情報入力!$C$23)),1,0)))</f>
        <v/>
      </c>
      <c r="BG8" s="218">
        <f>IF(BG$3="","",IF(情報入力!$C$23="","",YEAR(DATE(BG$3,12,31))-YEAR(情報入力!$C$23)-IF(DATE(BG$3,12,31)&lt;DATE(BG$3,MONTH(情報入力!$C$23),DAY(情報入力!$C$23)),1,0)))</f>
        <v/>
      </c>
      <c r="BH8" s="218">
        <f>IF(BH$3="","",IF(情報入力!$C$23="","",YEAR(DATE(BH$3,12,31))-YEAR(情報入力!$C$23)-IF(DATE(BH$3,12,31)&lt;DATE(BH$3,MONTH(情報入力!$C$23),DAY(情報入力!$C$23)),1,0)))</f>
        <v/>
      </c>
      <c r="BI8" s="218">
        <f>IF(BI$3="","",IF(情報入力!$C$23="","",YEAR(DATE(BI$3,12,31))-YEAR(情報入力!$C$23)-IF(DATE(BI$3,12,31)&lt;DATE(BI$3,MONTH(情報入力!$C$23),DAY(情報入力!$C$23)),1,0)))</f>
        <v/>
      </c>
      <c r="BJ8" s="218">
        <f>IF(BJ$3="","",IF(情報入力!$C$23="","",YEAR(DATE(BJ$3,12,31))-YEAR(情報入力!$C$23)-IF(DATE(BJ$3,12,31)&lt;DATE(BJ$3,MONTH(情報入力!$C$23),DAY(情報入力!$C$23)),1,0)))</f>
        <v/>
      </c>
      <c r="BK8" s="218">
        <f>IF(BK$3="","",IF(情報入力!$C$23="","",YEAR(DATE(BK$3,12,31))-YEAR(情報入力!$C$23)-IF(DATE(BK$3,12,31)&lt;DATE(BK$3,MONTH(情報入力!$C$23),DAY(情報入力!$C$23)),1,0)))</f>
        <v/>
      </c>
      <c r="BL8" s="218">
        <f>IF(BL$3="","",IF(情報入力!$C$23="","",YEAR(DATE(BL$3,12,31))-YEAR(情報入力!$C$23)-IF(DATE(BL$3,12,31)&lt;DATE(BL$3,MONTH(情報入力!$C$23),DAY(情報入力!$C$23)),1,0)))</f>
        <v/>
      </c>
      <c r="BM8" s="218">
        <f>IF(BM$3="","",IF(情報入力!$C$23="","",YEAR(DATE(BM$3,12,31))-YEAR(情報入力!$C$23)-IF(DATE(BM$3,12,31)&lt;DATE(BM$3,MONTH(情報入力!$C$23),DAY(情報入力!$C$23)),1,0)))</f>
        <v/>
      </c>
      <c r="BN8" s="218">
        <f>IF(BN$3="","",IF(情報入力!$C$23="","",YEAR(DATE(BN$3,12,31))-YEAR(情報入力!$C$23)-IF(DATE(BN$3,12,31)&lt;DATE(BN$3,MONTH(情報入力!$C$23),DAY(情報入力!$C$23)),1,0)))</f>
        <v/>
      </c>
      <c r="BO8" s="218">
        <f>IF(BO$3="","",IF(情報入力!$C$23="","",YEAR(DATE(BO$3,12,31))-YEAR(情報入力!$C$23)-IF(DATE(BO$3,12,31)&lt;DATE(BO$3,MONTH(情報入力!$C$23),DAY(情報入力!$C$23)),1,0)))</f>
        <v/>
      </c>
      <c r="BP8" s="218">
        <f>IF(BP$3="","",IF(情報入力!$C$23="","",YEAR(DATE(BP$3,12,31))-YEAR(情報入力!$C$23)-IF(DATE(BP$3,12,31)&lt;DATE(BP$3,MONTH(情報入力!$C$23),DAY(情報入力!$C$23)),1,0)))</f>
        <v/>
      </c>
      <c r="BQ8" s="218">
        <f>IF(BQ$3="","",IF(情報入力!$C$23="","",YEAR(DATE(BQ$3,12,31))-YEAR(情報入力!$C$23)-IF(DATE(BQ$3,12,31)&lt;DATE(BQ$3,MONTH(情報入力!$C$23),DAY(情報入力!$C$23)),1,0)))</f>
        <v/>
      </c>
      <c r="BR8" s="218">
        <f>IF(BR$3="","",IF(情報入力!$C$23="","",YEAR(DATE(BR$3,12,31))-YEAR(情報入力!$C$23)-IF(DATE(BR$3,12,31)&lt;DATE(BR$3,MONTH(情報入力!$C$23),DAY(情報入力!$C$23)),1,0)))</f>
        <v/>
      </c>
      <c r="BS8" s="218">
        <f>IF(BS$3="","",IF(情報入力!$C$23="","",YEAR(DATE(BS$3,12,31))-YEAR(情報入力!$C$23)-IF(DATE(BS$3,12,31)&lt;DATE(BS$3,MONTH(情報入力!$C$23),DAY(情報入力!$C$23)),1,0)))</f>
        <v/>
      </c>
      <c r="BT8" s="218">
        <f>IF(BT$3="","",IF(情報入力!$C$23="","",YEAR(DATE(BT$3,12,31))-YEAR(情報入力!$C$23)-IF(DATE(BT$3,12,31)&lt;DATE(BT$3,MONTH(情報入力!$C$23),DAY(情報入力!$C$23)),1,0)))</f>
        <v/>
      </c>
      <c r="BU8" s="218">
        <f>IF(BU$3="","",IF(情報入力!$C$23="","",YEAR(DATE(BU$3,12,31))-YEAR(情報入力!$C$23)-IF(DATE(BU$3,12,31)&lt;DATE(BU$3,MONTH(情報入力!$C$23),DAY(情報入力!$C$23)),1,0)))</f>
        <v/>
      </c>
      <c r="BV8" s="218">
        <f>IF(BV$3="","",IF(情報入力!$C$23="","",YEAR(DATE(BV$3,12,31))-YEAR(情報入力!$C$23)-IF(DATE(BV$3,12,31)&lt;DATE(BV$3,MONTH(情報入力!$C$23),DAY(情報入力!$C$23)),1,0)))</f>
        <v/>
      </c>
      <c r="BW8" s="218">
        <f>IF(BW$3="","",IF(情報入力!$C$23="","",YEAR(DATE(BW$3,12,31))-YEAR(情報入力!$C$23)-IF(DATE(BW$3,12,31)&lt;DATE(BW$3,MONTH(情報入力!$C$23),DAY(情報入力!$C$23)),1,0)))</f>
        <v/>
      </c>
      <c r="BX8" s="218">
        <f>IF(BX$3="","",IF(情報入力!$C$23="","",YEAR(DATE(BX$3,12,31))-YEAR(情報入力!$C$23)-IF(DATE(BX$3,12,31)&lt;DATE(BX$3,MONTH(情報入力!$C$23),DAY(情報入力!$C$23)),1,0)))</f>
        <v/>
      </c>
      <c r="BY8" s="218">
        <f>IF(BY$3="","",IF(情報入力!$C$23="","",YEAR(DATE(BY$3,12,31))-YEAR(情報入力!$C$23)-IF(DATE(BY$3,12,31)&lt;DATE(BY$3,MONTH(情報入力!$C$23),DAY(情報入力!$C$23)),1,0)))</f>
        <v/>
      </c>
      <c r="BZ8" s="218">
        <f>IF(BZ$3="","",IF(情報入力!$C$23="","",YEAR(DATE(BZ$3,12,31))-YEAR(情報入力!$C$23)-IF(DATE(BZ$3,12,31)&lt;DATE(BZ$3,MONTH(情報入力!$C$23),DAY(情報入力!$C$23)),1,0)))</f>
        <v/>
      </c>
      <c r="CA8" s="218">
        <f>IF(CA$3="","",IF(情報入力!$C$23="","",YEAR(DATE(CA$3,12,31))-YEAR(情報入力!$C$23)-IF(DATE(CA$3,12,31)&lt;DATE(CA$3,MONTH(情報入力!$C$23),DAY(情報入力!$C$23)),1,0)))</f>
        <v/>
      </c>
      <c r="CB8" s="218">
        <f>IF(CB$3="","",IF(情報入力!$C$23="","",YEAR(DATE(CB$3,12,31))-YEAR(情報入力!$C$23)-IF(DATE(CB$3,12,31)&lt;DATE(CB$3,MONTH(情報入力!$C$23),DAY(情報入力!$C$23)),1,0)))</f>
        <v/>
      </c>
      <c r="CC8" s="218">
        <f>IF(CC$3="","",IF(情報入力!$C$23="","",YEAR(DATE(CC$3,12,31))-YEAR(情報入力!$C$23)-IF(DATE(CC$3,12,31)&lt;DATE(CC$3,MONTH(情報入力!$C$23),DAY(情報入力!$C$23)),1,0)))</f>
        <v/>
      </c>
      <c r="CD8" s="218">
        <f>IF(CD$3="","",IF(情報入力!$C$23="","",YEAR(DATE(CD$3,12,31))-YEAR(情報入力!$C$23)-IF(DATE(CD$3,12,31)&lt;DATE(CD$3,MONTH(情報入力!$C$23),DAY(情報入力!$C$23)),1,0)))</f>
        <v/>
      </c>
      <c r="CE8" s="218">
        <f>IF(CE$3="","",IF(情報入力!$C$23="","",YEAR(DATE(CE$3,12,31))-YEAR(情報入力!$C$23)-IF(DATE(CE$3,12,31)&lt;DATE(CE$3,MONTH(情報入力!$C$23),DAY(情報入力!$C$23)),1,0)))</f>
        <v/>
      </c>
      <c r="CF8" s="218">
        <f>IF(CF$3="","",IF(情報入力!$C$23="","",YEAR(DATE(CF$3,12,31))-YEAR(情報入力!$C$23)-IF(DATE(CF$3,12,31)&lt;DATE(CF$3,MONTH(情報入力!$C$23),DAY(情報入力!$C$23)),1,0)))</f>
        <v/>
      </c>
      <c r="CG8" s="218">
        <f>IF(CG$3="","",IF(情報入力!$C$23="","",YEAR(DATE(CG$3,12,31))-YEAR(情報入力!$C$23)-IF(DATE(CG$3,12,31)&lt;DATE(CG$3,MONTH(情報入力!$C$23),DAY(情報入力!$C$23)),1,0)))</f>
        <v/>
      </c>
      <c r="CH8" s="218">
        <f>IF(CH$3="","",IF(情報入力!$C$23="","",YEAR(DATE(CH$3,12,31))-YEAR(情報入力!$C$23)-IF(DATE(CH$3,12,31)&lt;DATE(CH$3,MONTH(情報入力!$C$23),DAY(情報入力!$C$23)),1,0)))</f>
        <v/>
      </c>
      <c r="CI8" s="218">
        <f>IF(CI$3="","",IF(情報入力!$C$23="","",YEAR(DATE(CI$3,12,31))-YEAR(情報入力!$C$23)-IF(DATE(CI$3,12,31)&lt;DATE(CI$3,MONTH(情報入力!$C$23),DAY(情報入力!$C$23)),1,0)))</f>
        <v/>
      </c>
      <c r="CJ8" s="218">
        <f>IF(CJ$3="","",IF(情報入力!$C$23="","",YEAR(DATE(CJ$3,12,31))-YEAR(情報入力!$C$23)-IF(DATE(CJ$3,12,31)&lt;DATE(CJ$3,MONTH(情報入力!$C$23),DAY(情報入力!$C$23)),1,0)))</f>
        <v/>
      </c>
      <c r="CK8" s="218">
        <f>IF(CK$3="","",IF(情報入力!$C$23="","",YEAR(DATE(CK$3,12,31))-YEAR(情報入力!$C$23)-IF(DATE(CK$3,12,31)&lt;DATE(CK$3,MONTH(情報入力!$C$23),DAY(情報入力!$C$23)),1,0)))</f>
        <v/>
      </c>
      <c r="CL8" s="218">
        <f>IF(CL$3="","",IF(情報入力!$C$23="","",YEAR(DATE(CL$3,12,31))-YEAR(情報入力!$C$23)-IF(DATE(CL$3,12,31)&lt;DATE(CL$3,MONTH(情報入力!$C$23),DAY(情報入力!$C$23)),1,0)))</f>
        <v/>
      </c>
      <c r="CM8" s="218">
        <f>IF(CM$3="","",IF(情報入力!$C$23="","",YEAR(DATE(CM$3,12,31))-YEAR(情報入力!$C$23)-IF(DATE(CM$3,12,31)&lt;DATE(CM$3,MONTH(情報入力!$C$23),DAY(情報入力!$C$23)),1,0)))</f>
        <v/>
      </c>
      <c r="CN8" s="218">
        <f>IF(CN$3="","",IF(情報入力!$C$23="","",YEAR(DATE(CN$3,12,31))-YEAR(情報入力!$C$23)-IF(DATE(CN$3,12,31)&lt;DATE(CN$3,MONTH(情報入力!$C$23),DAY(情報入力!$C$23)),1,0)))</f>
        <v/>
      </c>
      <c r="CO8" s="218">
        <f>IF(CO$3="","",IF(情報入力!$C$23="","",YEAR(DATE(CO$3,12,31))-YEAR(情報入力!$C$23)-IF(DATE(CO$3,12,31)&lt;DATE(CO$3,MONTH(情報入力!$C$23),DAY(情報入力!$C$23)),1,0)))</f>
        <v/>
      </c>
      <c r="CP8" s="218">
        <f>IF(CP$3="","",IF(情報入力!$C$23="","",YEAR(DATE(CP$3,12,31))-YEAR(情報入力!$C$23)-IF(DATE(CP$3,12,31)&lt;DATE(CP$3,MONTH(情報入力!$C$23),DAY(情報入力!$C$23)),1,0)))</f>
        <v/>
      </c>
      <c r="CQ8" s="218">
        <f>IF(CQ$3="","",IF(情報入力!$C$23="","",YEAR(DATE(CQ$3,12,31))-YEAR(情報入力!$C$23)-IF(DATE(CQ$3,12,31)&lt;DATE(CQ$3,MONTH(情報入力!$C$23),DAY(情報入力!$C$23)),1,0)))</f>
        <v/>
      </c>
      <c r="CR8" s="218">
        <f>IF(CR$3="","",IF(情報入力!$C$23="","",YEAR(DATE(CR$3,12,31))-YEAR(情報入力!$C$23)-IF(DATE(CR$3,12,31)&lt;DATE(CR$3,MONTH(情報入力!$C$23),DAY(情報入力!$C$23)),1,0)))</f>
        <v/>
      </c>
      <c r="CS8" s="218">
        <f>IF(CS$3="","",IF(情報入力!$C$23="","",YEAR(DATE(CS$3,12,31))-YEAR(情報入力!$C$23)-IF(DATE(CS$3,12,31)&lt;DATE(CS$3,MONTH(情報入力!$C$23),DAY(情報入力!$C$23)),1,0)))</f>
        <v/>
      </c>
      <c r="CT8" s="218">
        <f>IF(CT$3="","",IF(情報入力!$C$23="","",YEAR(DATE(CT$3,12,31))-YEAR(情報入力!$C$23)-IF(DATE(CT$3,12,31)&lt;DATE(CT$3,MONTH(情報入力!$C$23),DAY(情報入力!$C$23)),1,0)))</f>
        <v/>
      </c>
      <c r="CU8" s="218">
        <f>IF(CU$3="","",IF(情報入力!$C$23="","",YEAR(DATE(CU$3,12,31))-YEAR(情報入力!$C$23)-IF(DATE(CU$3,12,31)&lt;DATE(CU$3,MONTH(情報入力!$C$23),DAY(情報入力!$C$23)),1,0)))</f>
        <v/>
      </c>
      <c r="CV8" s="218">
        <f>IF(CV$3="","",IF(情報入力!$C$23="","",YEAR(DATE(CV$3,12,31))-YEAR(情報入力!$C$23)-IF(DATE(CV$3,12,31)&lt;DATE(CV$3,MONTH(情報入力!$C$23),DAY(情報入力!$C$23)),1,0)))</f>
        <v/>
      </c>
      <c r="CW8" s="218">
        <f>IF(CW$3="","",IF(情報入力!$C$23="","",YEAR(DATE(CW$3,12,31))-YEAR(情報入力!$C$23)-IF(DATE(CW$3,12,31)&lt;DATE(CW$3,MONTH(情報入力!$C$23),DAY(情報入力!$C$23)),1,0)))</f>
        <v/>
      </c>
    </row>
    <row r="9" ht="15" customHeight="1" s="180">
      <c r="A9" s="205" t="inlineStr">
        <is>
          <t>家族年齢</t>
        </is>
      </c>
      <c r="B9" s="219" t="n"/>
      <c r="C9" s="219" t="n"/>
      <c r="D9" s="219" t="n"/>
      <c r="E9" s="219" t="n"/>
      <c r="F9" s="219" t="n"/>
      <c r="G9" s="219" t="n"/>
      <c r="H9" s="219" t="n"/>
      <c r="I9" s="219" t="n"/>
      <c r="J9" s="219" t="n"/>
      <c r="K9" s="219" t="n"/>
      <c r="L9" s="219" t="n"/>
      <c r="M9" s="219" t="n"/>
      <c r="N9" s="219" t="n"/>
      <c r="O9" s="219" t="n"/>
      <c r="P9" s="219" t="n"/>
      <c r="Q9" s="219" t="n"/>
      <c r="R9" s="219" t="n"/>
      <c r="S9" s="219" t="n"/>
      <c r="T9" s="219" t="n"/>
      <c r="U9" s="219" t="n"/>
      <c r="V9" s="219" t="n"/>
      <c r="W9" s="219" t="n"/>
      <c r="X9" s="219" t="n"/>
      <c r="Y9" s="219" t="n"/>
      <c r="Z9" s="219" t="n"/>
      <c r="AA9" s="219" t="n"/>
      <c r="AB9" s="219" t="n"/>
      <c r="AC9" s="219" t="n"/>
      <c r="AD9" s="219" t="n"/>
      <c r="AE9" s="219" t="n"/>
      <c r="AF9" s="219" t="n"/>
      <c r="AG9" s="219" t="n"/>
      <c r="AH9" s="219" t="n"/>
      <c r="AI9" s="219" t="n"/>
      <c r="AJ9" s="219" t="n"/>
      <c r="AK9" s="219" t="n"/>
      <c r="AL9" s="219" t="n"/>
      <c r="AM9" s="219" t="n"/>
      <c r="AN9" s="219" t="n"/>
      <c r="AO9" s="219" t="n"/>
      <c r="AP9" s="219" t="n"/>
      <c r="AQ9" s="219" t="n"/>
      <c r="AR9" s="219" t="n"/>
      <c r="AS9" s="219" t="n"/>
      <c r="AT9" s="219" t="n"/>
      <c r="AU9" s="219" t="n"/>
      <c r="AV9" s="219" t="n"/>
      <c r="AW9" s="219" t="n"/>
      <c r="AX9" s="219" t="n"/>
      <c r="AY9" s="219" t="n"/>
      <c r="AZ9" s="219" t="n"/>
      <c r="BA9" s="219" t="n"/>
      <c r="BB9" s="219" t="n"/>
      <c r="BC9" s="219" t="n"/>
      <c r="BD9" s="219" t="n"/>
      <c r="BE9" s="219" t="n"/>
      <c r="BF9" s="219" t="n"/>
      <c r="BG9" s="219" t="n"/>
      <c r="BH9" s="219" t="n"/>
      <c r="BI9" s="219" t="n"/>
      <c r="BJ9" s="219" t="n"/>
      <c r="BK9" s="219" t="n"/>
      <c r="BL9" s="219" t="n"/>
      <c r="BM9" s="219" t="n"/>
      <c r="BN9" s="219" t="n"/>
      <c r="BO9" s="219" t="n"/>
      <c r="BP9" s="219" t="n"/>
      <c r="BQ9" s="219" t="n"/>
      <c r="BR9" s="219" t="n"/>
      <c r="BS9" s="219" t="n"/>
      <c r="BT9" s="219" t="n"/>
      <c r="BU9" s="219" t="n"/>
      <c r="BV9" s="219" t="n"/>
      <c r="BW9" s="219" t="n"/>
      <c r="BX9" s="219" t="n"/>
      <c r="BY9" s="219" t="n"/>
      <c r="BZ9" s="219" t="n"/>
      <c r="CA9" s="219" t="n"/>
      <c r="CB9" s="219" t="n"/>
      <c r="CC9" s="219" t="n"/>
      <c r="CD9" s="219" t="n"/>
      <c r="CE9" s="219" t="n"/>
      <c r="CF9" s="219" t="n"/>
      <c r="CG9" s="219" t="n"/>
      <c r="CH9" s="219" t="n"/>
      <c r="CI9" s="219" t="n"/>
      <c r="CJ9" s="219" t="n"/>
      <c r="CK9" s="219" t="n"/>
      <c r="CL9" s="219" t="n"/>
      <c r="CM9" s="219" t="n"/>
      <c r="CN9" s="219" t="n"/>
      <c r="CO9" s="219" t="n"/>
      <c r="CP9" s="219" t="n"/>
      <c r="CQ9" s="219" t="n"/>
      <c r="CR9" s="219" t="n"/>
      <c r="CS9" s="219" t="n"/>
      <c r="CT9" s="219" t="n"/>
      <c r="CU9" s="219" t="n"/>
      <c r="CV9" s="219" t="n"/>
      <c r="CW9" s="219" t="n"/>
    </row>
    <row r="10" ht="15" customHeight="1" s="180">
      <c r="A10" s="220" t="inlineStr">
        <is>
          <t>ご主人様収入</t>
        </is>
      </c>
      <c r="B10" s="350">
        <f>IF(B$3="","",0)</f>
        <v/>
      </c>
      <c r="C10" s="350">
        <f>IF(C$3="","",0)</f>
        <v/>
      </c>
      <c r="D10" s="350">
        <f>IF(D$3="","",0)</f>
        <v/>
      </c>
      <c r="E10" s="350">
        <f>IF(E$3="","",0)</f>
        <v/>
      </c>
      <c r="F10" s="350">
        <f>IF(F$3="","",0)</f>
        <v/>
      </c>
      <c r="G10" s="350">
        <f>IF(G$3="","",0)</f>
        <v/>
      </c>
      <c r="H10" s="350">
        <f>IF(H$3="","",0)</f>
        <v/>
      </c>
      <c r="I10" s="350">
        <f>IF(I$3="","",0)</f>
        <v/>
      </c>
      <c r="J10" s="350">
        <f>IF(J$3="","",0)</f>
        <v/>
      </c>
      <c r="K10" s="350">
        <f>IF(K$3="","",0)</f>
        <v/>
      </c>
      <c r="L10" s="350">
        <f>IF(L$3="","",0)</f>
        <v/>
      </c>
      <c r="M10" s="350">
        <f>IF(M$3="","",0)</f>
        <v/>
      </c>
      <c r="N10" s="350">
        <f>IF(N$3="","",0)</f>
        <v/>
      </c>
      <c r="O10" s="350">
        <f>IF(O$3="","",0)</f>
        <v/>
      </c>
      <c r="P10" s="350">
        <f>IF(P$3="","",0)</f>
        <v/>
      </c>
      <c r="Q10" s="350">
        <f>IF(Q$3="","",0)</f>
        <v/>
      </c>
      <c r="R10" s="350">
        <f>IF(R$3="","",0)</f>
        <v/>
      </c>
      <c r="S10" s="350">
        <f>IF(S$3="","",0)</f>
        <v/>
      </c>
      <c r="T10" s="350">
        <f>IF(T$3="","",0)</f>
        <v/>
      </c>
      <c r="U10" s="350">
        <f>IF(U$3="","",0)</f>
        <v/>
      </c>
      <c r="V10" s="350">
        <f>IF(V$3="","",0)</f>
        <v/>
      </c>
      <c r="W10" s="350">
        <f>IF(W$3="","",0)</f>
        <v/>
      </c>
      <c r="X10" s="350">
        <f>IF(X$3="","",0)</f>
        <v/>
      </c>
      <c r="Y10" s="350">
        <f>IF(Y$3="","",0)</f>
        <v/>
      </c>
      <c r="Z10" s="350">
        <f>IF(Z$3="","",0)</f>
        <v/>
      </c>
      <c r="AA10" s="350">
        <f>IF(AA$3="","",0)</f>
        <v/>
      </c>
      <c r="AB10" s="350">
        <f>IF(AB$3="","",0)</f>
        <v/>
      </c>
      <c r="AC10" s="350">
        <f>IF(AC$3="","",0)</f>
        <v/>
      </c>
      <c r="AD10" s="350">
        <f>IF(AD$3="","",0)</f>
        <v/>
      </c>
      <c r="AE10" s="350">
        <f>IF(AE$3="","",0)</f>
        <v/>
      </c>
      <c r="AF10" s="350">
        <f>IF(AF$3="","",0)</f>
        <v/>
      </c>
      <c r="AG10" s="350">
        <f>IF(AG$3="","",0)</f>
        <v/>
      </c>
      <c r="AH10" s="350">
        <f>IF(AH$3="","",0)</f>
        <v/>
      </c>
      <c r="AI10" s="350">
        <f>IF(AI$3="","",0)</f>
        <v/>
      </c>
      <c r="AJ10" s="350">
        <f>IF(AJ$3="","",0)</f>
        <v/>
      </c>
      <c r="AK10" s="350">
        <f>IF(AK$3="","",0)</f>
        <v/>
      </c>
      <c r="AL10" s="350">
        <f>IF(AL$3="","",0)</f>
        <v/>
      </c>
      <c r="AM10" s="350">
        <f>IF(AM$3="","",0)</f>
        <v/>
      </c>
      <c r="AN10" s="350">
        <f>IF(AN$3="","",0)</f>
        <v/>
      </c>
      <c r="AO10" s="350">
        <f>IF(AO$3="","",0)</f>
        <v/>
      </c>
      <c r="AP10" s="350">
        <f>IF(AP$3="","",0)</f>
        <v/>
      </c>
      <c r="AQ10" s="350">
        <f>IF(AQ$3="","",0)</f>
        <v/>
      </c>
      <c r="AR10" s="350">
        <f>IF(AR$3="","",0)</f>
        <v/>
      </c>
      <c r="AS10" s="350">
        <f>IF(AS$3="","",0)</f>
        <v/>
      </c>
      <c r="AT10" s="350">
        <f>IF(AT$3="","",0)</f>
        <v/>
      </c>
      <c r="AU10" s="350">
        <f>IF(AU$3="","",0)</f>
        <v/>
      </c>
      <c r="AV10" s="350">
        <f>IF(AV$3="","",0)</f>
        <v/>
      </c>
      <c r="AW10" s="350">
        <f>IF(AW$3="","",0)</f>
        <v/>
      </c>
      <c r="AX10" s="350">
        <f>IF(AX$3="","",0)</f>
        <v/>
      </c>
      <c r="AY10" s="350">
        <f>IF(AY$3="","",0)</f>
        <v/>
      </c>
      <c r="AZ10" s="350">
        <f>IF(AZ$3="","",0)</f>
        <v/>
      </c>
      <c r="BA10" s="350">
        <f>IF(BA$3="","",0)</f>
        <v/>
      </c>
      <c r="BB10" s="350">
        <f>IF(BB$3="","",0)</f>
        <v/>
      </c>
      <c r="BC10" s="350">
        <f>IF(BC$3="","",0)</f>
        <v/>
      </c>
      <c r="BD10" s="350">
        <f>IF(BD$3="","",0)</f>
        <v/>
      </c>
      <c r="BE10" s="350">
        <f>IF(BE$3="","",0)</f>
        <v/>
      </c>
      <c r="BF10" s="350">
        <f>IF(BF$3="","",0)</f>
        <v/>
      </c>
      <c r="BG10" s="350">
        <f>IF(BG$3="","",0)</f>
        <v/>
      </c>
      <c r="BH10" s="350">
        <f>IF(BH$3="","",0)</f>
        <v/>
      </c>
      <c r="BI10" s="350">
        <f>IF(BI$3="","",0)</f>
        <v/>
      </c>
      <c r="BJ10" s="350">
        <f>IF(BJ$3="","",0)</f>
        <v/>
      </c>
      <c r="BK10" s="350">
        <f>IF(BK$3="","",0)</f>
        <v/>
      </c>
      <c r="BL10" s="350">
        <f>IF(BL$3="","",0)</f>
        <v/>
      </c>
      <c r="BM10" s="350">
        <f>IF(BM$3="","",0)</f>
        <v/>
      </c>
      <c r="BN10" s="350">
        <f>IF(BN$3="","",0)</f>
        <v/>
      </c>
      <c r="BO10" s="350">
        <f>IF(BO$3="","",0)</f>
        <v/>
      </c>
      <c r="BP10" s="350">
        <f>IF(BP$3="","",0)</f>
        <v/>
      </c>
      <c r="BQ10" s="350">
        <f>IF(BQ$3="","",0)</f>
        <v/>
      </c>
      <c r="BR10" s="350">
        <f>IF(BR$3="","",0)</f>
        <v/>
      </c>
      <c r="BS10" s="350">
        <f>IF(BS$3="","",0)</f>
        <v/>
      </c>
      <c r="BT10" s="350">
        <f>IF(BT$3="","",0)</f>
        <v/>
      </c>
      <c r="BU10" s="350">
        <f>IF(BU$3="","",0)</f>
        <v/>
      </c>
      <c r="BV10" s="350">
        <f>IF(BV$3="","",0)</f>
        <v/>
      </c>
      <c r="BW10" s="350">
        <f>IF(BW$3="","",0)</f>
        <v/>
      </c>
      <c r="BX10" s="350">
        <f>IF(BX$3="","",0)</f>
        <v/>
      </c>
      <c r="BY10" s="350">
        <f>IF(BY$3="","",0)</f>
        <v/>
      </c>
      <c r="BZ10" s="350">
        <f>IF(BZ$3="","",0)</f>
        <v/>
      </c>
      <c r="CA10" s="350">
        <f>IF(CA$3="","",0)</f>
        <v/>
      </c>
      <c r="CB10" s="350">
        <f>IF(CB$3="","",0)</f>
        <v/>
      </c>
      <c r="CC10" s="350">
        <f>IF(CC$3="","",0)</f>
        <v/>
      </c>
      <c r="CD10" s="350">
        <f>IF(CD$3="","",0)</f>
        <v/>
      </c>
      <c r="CE10" s="350">
        <f>IF(CE$3="","",0)</f>
        <v/>
      </c>
      <c r="CF10" s="350">
        <f>IF(CF$3="","",0)</f>
        <v/>
      </c>
      <c r="CG10" s="350">
        <f>IF(CG$3="","",0)</f>
        <v/>
      </c>
      <c r="CH10" s="350">
        <f>IF(CH$3="","",0)</f>
        <v/>
      </c>
      <c r="CI10" s="350">
        <f>IF(CI$3="","",0)</f>
        <v/>
      </c>
      <c r="CJ10" s="350">
        <f>IF(CJ$3="","",0)</f>
        <v/>
      </c>
      <c r="CK10" s="350">
        <f>IF(CK$3="","",0)</f>
        <v/>
      </c>
      <c r="CL10" s="350">
        <f>IF(CL$3="","",0)</f>
        <v/>
      </c>
      <c r="CM10" s="350">
        <f>IF(CM$3="","",0)</f>
        <v/>
      </c>
      <c r="CN10" s="350">
        <f>IF(CN$3="","",0)</f>
        <v/>
      </c>
      <c r="CO10" s="350">
        <f>IF(CO$3="","",0)</f>
        <v/>
      </c>
      <c r="CP10" s="350">
        <f>IF(CP$3="","",0)</f>
        <v/>
      </c>
      <c r="CQ10" s="350">
        <f>IF(CQ$3="","",0)</f>
        <v/>
      </c>
      <c r="CR10" s="350">
        <f>IF(CR$3="","",0)</f>
        <v/>
      </c>
      <c r="CS10" s="350">
        <f>IF(CS$3="","",0)</f>
        <v/>
      </c>
      <c r="CT10" s="350">
        <f>IF(CT$3="","",0)</f>
        <v/>
      </c>
      <c r="CU10" s="350">
        <f>IF(CU$3="","",0)</f>
        <v/>
      </c>
      <c r="CV10" s="350">
        <f>IF(CV$3="","",0)</f>
        <v/>
      </c>
      <c r="CW10" s="350">
        <f>IF(CW$3="","",0)</f>
        <v/>
      </c>
    </row>
    <row r="11" ht="15" customHeight="1" s="180">
      <c r="A11" s="220" t="inlineStr">
        <is>
          <t>奥様収入</t>
        </is>
      </c>
      <c r="B11" s="350">
        <f>IF(B$3="","",IF(B5&lt;入力データ!$C$110,((入力データ!$C$30*12)+IF(入力データ!$C$31="あり",入力データ!$C$33,0))*(1+前提条件!$C$6)^(B$3-$B$3),0))</f>
        <v/>
      </c>
      <c r="C11" s="350">
        <f>IF(C$3="","",IF(C5&lt;入力データ!$C$110,((入力データ!$C$30*12)+IF(入力データ!$C$31="あり",入力データ!$C$33,0))*(1+前提条件!$C$6)^(C$3-$B$3),0))</f>
        <v/>
      </c>
      <c r="D11" s="350">
        <f>IF(D$3="","",IF(D5&lt;入力データ!$C$110,((入力データ!$C$30*12)+IF(入力データ!$C$31="あり",入力データ!$C$33,0))*(1+前提条件!$C$6)^(D$3-$B$3),0))</f>
        <v/>
      </c>
      <c r="E11" s="350">
        <f>IF(E$3="","",IF(E5&lt;入力データ!$C$110,((入力データ!$C$30*12)+IF(入力データ!$C$31="あり",入力データ!$C$33,0))*(1+前提条件!$C$6)^(E$3-$B$3),0))</f>
        <v/>
      </c>
      <c r="F11" s="350">
        <f>IF(F$3="","",IF(F5&lt;入力データ!$C$110,((入力データ!$C$30*12)+IF(入力データ!$C$31="あり",入力データ!$C$33,0))*(1+前提条件!$C$6)^(F$3-$B$3),0))</f>
        <v/>
      </c>
      <c r="G11" s="350">
        <f>IF(G$3="","",IF(G5&lt;入力データ!$C$110,((入力データ!$C$30*12)+IF(入力データ!$C$31="あり",入力データ!$C$33,0))*(1+前提条件!$C$6)^(G$3-$B$3),0))</f>
        <v/>
      </c>
      <c r="H11" s="350">
        <f>IF(H$3="","",IF(H5&lt;入力データ!$C$110,((入力データ!$C$30*12)+IF(入力データ!$C$31="あり",入力データ!$C$33,0))*(1+前提条件!$C$6)^(H$3-$B$3),0))</f>
        <v/>
      </c>
      <c r="I11" s="350">
        <f>IF(I$3="","",IF(I5&lt;入力データ!$C$110,((入力データ!$C$30*12)+IF(入力データ!$C$31="あり",入力データ!$C$33,0))*(1+前提条件!$C$6)^(I$3-$B$3),0))</f>
        <v/>
      </c>
      <c r="J11" s="350">
        <f>IF(J$3="","",IF(J5&lt;入力データ!$C$110,((入力データ!$C$30*12)+IF(入力データ!$C$31="あり",入力データ!$C$33,0))*(1+前提条件!$C$6)^(J$3-$B$3),0))</f>
        <v/>
      </c>
      <c r="K11" s="350">
        <f>IF(K$3="","",IF(K5&lt;入力データ!$C$110,((入力データ!$C$30*12)+IF(入力データ!$C$31="あり",入力データ!$C$33,0))*(1+前提条件!$C$6)^(K$3-$B$3),0))</f>
        <v/>
      </c>
      <c r="L11" s="350">
        <f>IF(L$3="","",IF(L5&lt;入力データ!$C$110,((入力データ!$C$30*12)+IF(入力データ!$C$31="あり",入力データ!$C$33,0))*(1+前提条件!$C$6)^(L$3-$B$3),0))</f>
        <v/>
      </c>
      <c r="M11" s="350">
        <f>IF(M$3="","",IF(M5&lt;入力データ!$C$110,((入力データ!$C$30*12)+IF(入力データ!$C$31="あり",入力データ!$C$33,0))*(1+前提条件!$C$6)^(M$3-$B$3),0))</f>
        <v/>
      </c>
      <c r="N11" s="350">
        <f>IF(N$3="","",IF(N5&lt;入力データ!$C$110,((入力データ!$C$30*12)+IF(入力データ!$C$31="あり",入力データ!$C$33,0))*(1+前提条件!$C$6)^(N$3-$B$3),0))</f>
        <v/>
      </c>
      <c r="O11" s="350">
        <f>IF(O$3="","",IF(O5&lt;入力データ!$C$110,((入力データ!$C$30*12)+IF(入力データ!$C$31="あり",入力データ!$C$33,0))*(1+前提条件!$C$6)^(O$3-$B$3),0))</f>
        <v/>
      </c>
      <c r="P11" s="350">
        <f>IF(P$3="","",IF(P5&lt;入力データ!$C$110,((入力データ!$C$30*12)+IF(入力データ!$C$31="あり",入力データ!$C$33,0))*(1+前提条件!$C$6)^(P$3-$B$3),0))</f>
        <v/>
      </c>
      <c r="Q11" s="350">
        <f>IF(Q$3="","",IF(Q5&lt;入力データ!$C$110,((入力データ!$C$30*12)+IF(入力データ!$C$31="あり",入力データ!$C$33,0))*(1+前提条件!$C$6)^(Q$3-$B$3),0))</f>
        <v/>
      </c>
      <c r="R11" s="350">
        <f>IF(R$3="","",IF(R5&lt;入力データ!$C$110,((入力データ!$C$30*12)+IF(入力データ!$C$31="あり",入力データ!$C$33,0))*(1+前提条件!$C$6)^(R$3-$B$3),0))</f>
        <v/>
      </c>
      <c r="S11" s="350">
        <f>IF(S$3="","",IF(S5&lt;入力データ!$C$110,((入力データ!$C$30*12)+IF(入力データ!$C$31="あり",入力データ!$C$33,0))*(1+前提条件!$C$6)^(S$3-$B$3),0))</f>
        <v/>
      </c>
      <c r="T11" s="350">
        <f>IF(T$3="","",IF(T5&lt;入力データ!$C$110,((入力データ!$C$30*12)+IF(入力データ!$C$31="あり",入力データ!$C$33,0))*(1+前提条件!$C$6)^(T$3-$B$3),0))</f>
        <v/>
      </c>
      <c r="U11" s="350">
        <f>IF(U$3="","",IF(U5&lt;入力データ!$C$110,((入力データ!$C$30*12)+IF(入力データ!$C$31="あり",入力データ!$C$33,0))*(1+前提条件!$C$6)^(U$3-$B$3),0))</f>
        <v/>
      </c>
      <c r="V11" s="350">
        <f>IF(V$3="","",IF(V5&lt;入力データ!$C$110,((入力データ!$C$30*12)+IF(入力データ!$C$31="あり",入力データ!$C$33,0))*(1+前提条件!$C$6)^(V$3-$B$3),0))</f>
        <v/>
      </c>
      <c r="W11" s="350">
        <f>IF(W$3="","",IF(W5&lt;入力データ!$C$110,((入力データ!$C$30*12)+IF(入力データ!$C$31="あり",入力データ!$C$33,0))*(1+前提条件!$C$6)^(W$3-$B$3),0))</f>
        <v/>
      </c>
      <c r="X11" s="350">
        <f>IF(X$3="","",IF(X5&lt;入力データ!$C$110,((入力データ!$C$30*12)+IF(入力データ!$C$31="あり",入力データ!$C$33,0))*(1+前提条件!$C$6)^(X$3-$B$3),0))</f>
        <v/>
      </c>
      <c r="Y11" s="350">
        <f>IF(Y$3="","",IF(Y5&lt;入力データ!$C$110,((入力データ!$C$30*12)+IF(入力データ!$C$31="あり",入力データ!$C$33,0))*(1+前提条件!$C$6)^(Y$3-$B$3),0))</f>
        <v/>
      </c>
      <c r="Z11" s="350">
        <f>IF(Z$3="","",IF(Z5&lt;入力データ!$C$110,((入力データ!$C$30*12)+IF(入力データ!$C$31="あり",入力データ!$C$33,0))*(1+前提条件!$C$6)^(Z$3-$B$3),0))</f>
        <v/>
      </c>
      <c r="AA11" s="350">
        <f>IF(AA$3="","",IF(AA5&lt;入力データ!$C$110,((入力データ!$C$30*12)+IF(入力データ!$C$31="あり",入力データ!$C$33,0))*(1+前提条件!$C$6)^(AA$3-$B$3),0))</f>
        <v/>
      </c>
      <c r="AB11" s="350">
        <f>IF(AB$3="","",IF(AB5&lt;入力データ!$C$110,((入力データ!$C$30*12)+IF(入力データ!$C$31="あり",入力データ!$C$33,0))*(1+前提条件!$C$6)^(AB$3-$B$3),0))</f>
        <v/>
      </c>
      <c r="AC11" s="350">
        <f>IF(AC$3="","",IF(AC5&lt;入力データ!$C$110,((入力データ!$C$30*12)+IF(入力データ!$C$31="あり",入力データ!$C$33,0))*(1+前提条件!$C$6)^(AC$3-$B$3),0))</f>
        <v/>
      </c>
      <c r="AD11" s="350">
        <f>IF(AD$3="","",IF(AD5&lt;入力データ!$C$110,((入力データ!$C$30*12)+IF(入力データ!$C$31="あり",入力データ!$C$33,0))*(1+前提条件!$C$6)^(AD$3-$B$3),0))</f>
        <v/>
      </c>
      <c r="AE11" s="350">
        <f>IF(AE$3="","",IF(AE5&lt;入力データ!$C$110,((入力データ!$C$30*12)+IF(入力データ!$C$31="あり",入力データ!$C$33,0))*(1+前提条件!$C$6)^(AE$3-$B$3),0))</f>
        <v/>
      </c>
      <c r="AF11" s="350">
        <f>IF(AF$3="","",IF(AF5&lt;入力データ!$C$110,((入力データ!$C$30*12)+IF(入力データ!$C$31="あり",入力データ!$C$33,0))*(1+前提条件!$C$6)^(AF$3-$B$3),0))</f>
        <v/>
      </c>
      <c r="AG11" s="350">
        <f>IF(AG$3="","",IF(AG5&lt;入力データ!$C$110,((入力データ!$C$30*12)+IF(入力データ!$C$31="あり",入力データ!$C$33,0))*(1+前提条件!$C$6)^(AG$3-$B$3),0))</f>
        <v/>
      </c>
      <c r="AH11" s="350">
        <f>IF(AH$3="","",IF(AH5&lt;入力データ!$C$110,((入力データ!$C$30*12)+IF(入力データ!$C$31="あり",入力データ!$C$33,0))*(1+前提条件!$C$6)^(AH$3-$B$3),0))</f>
        <v/>
      </c>
      <c r="AI11" s="350">
        <f>IF(AI$3="","",IF(AI5&lt;入力データ!$C$110,((入力データ!$C$30*12)+IF(入力データ!$C$31="あり",入力データ!$C$33,0))*(1+前提条件!$C$6)^(AI$3-$B$3),0))</f>
        <v/>
      </c>
      <c r="AJ11" s="350">
        <f>IF(AJ$3="","",IF(AJ5&lt;入力データ!$C$110,((入力データ!$C$30*12)+IF(入力データ!$C$31="あり",入力データ!$C$33,0))*(1+前提条件!$C$6)^(AJ$3-$B$3),0))</f>
        <v/>
      </c>
      <c r="AK11" s="350">
        <f>IF(AK$3="","",IF(AK5&lt;入力データ!$C$110,((入力データ!$C$30*12)+IF(入力データ!$C$31="あり",入力データ!$C$33,0))*(1+前提条件!$C$6)^(AK$3-$B$3),0))</f>
        <v/>
      </c>
      <c r="AL11" s="350">
        <f>IF(AL$3="","",IF(AL5&lt;入力データ!$C$110,((入力データ!$C$30*12)+IF(入力データ!$C$31="あり",入力データ!$C$33,0))*(1+前提条件!$C$6)^(AL$3-$B$3),0))</f>
        <v/>
      </c>
      <c r="AM11" s="350">
        <f>IF(AM$3="","",IF(AM5&lt;入力データ!$C$110,((入力データ!$C$30*12)+IF(入力データ!$C$31="あり",入力データ!$C$33,0))*(1+前提条件!$C$6)^(AM$3-$B$3),0))</f>
        <v/>
      </c>
      <c r="AN11" s="350">
        <f>IF(AN$3="","",IF(AN5&lt;入力データ!$C$110,((入力データ!$C$30*12)+IF(入力データ!$C$31="あり",入力データ!$C$33,0))*(1+前提条件!$C$6)^(AN$3-$B$3),0))</f>
        <v/>
      </c>
      <c r="AO11" s="350">
        <f>IF(AO$3="","",IF(AO5&lt;入力データ!$C$110,((入力データ!$C$30*12)+IF(入力データ!$C$31="あり",入力データ!$C$33,0))*(1+前提条件!$C$6)^(AO$3-$B$3),0))</f>
        <v/>
      </c>
      <c r="AP11" s="350">
        <f>IF(AP$3="","",IF(AP5&lt;入力データ!$C$110,((入力データ!$C$30*12)+IF(入力データ!$C$31="あり",入力データ!$C$33,0))*(1+前提条件!$C$6)^(AP$3-$B$3),0))</f>
        <v/>
      </c>
      <c r="AQ11" s="350">
        <f>IF(AQ$3="","",IF(AQ5&lt;入力データ!$C$110,((入力データ!$C$30*12)+IF(入力データ!$C$31="あり",入力データ!$C$33,0))*(1+前提条件!$C$6)^(AQ$3-$B$3),0))</f>
        <v/>
      </c>
      <c r="AR11" s="350">
        <f>IF(AR$3="","",IF(AR5&lt;入力データ!$C$110,((入力データ!$C$30*12)+IF(入力データ!$C$31="あり",入力データ!$C$33,0))*(1+前提条件!$C$6)^(AR$3-$B$3),0))</f>
        <v/>
      </c>
      <c r="AS11" s="350">
        <f>IF(AS$3="","",IF(AS5&lt;入力データ!$C$110,((入力データ!$C$30*12)+IF(入力データ!$C$31="あり",入力データ!$C$33,0))*(1+前提条件!$C$6)^(AS$3-$B$3),0))</f>
        <v/>
      </c>
      <c r="AT11" s="350">
        <f>IF(AT$3="","",IF(AT5&lt;入力データ!$C$110,((入力データ!$C$30*12)+IF(入力データ!$C$31="あり",入力データ!$C$33,0))*(1+前提条件!$C$6)^(AT$3-$B$3),0))</f>
        <v/>
      </c>
      <c r="AU11" s="350">
        <f>IF(AU$3="","",IF(AU5&lt;入力データ!$C$110,((入力データ!$C$30*12)+IF(入力データ!$C$31="あり",入力データ!$C$33,0))*(1+前提条件!$C$6)^(AU$3-$B$3),0))</f>
        <v/>
      </c>
      <c r="AV11" s="350">
        <f>IF(AV$3="","",IF(AV5&lt;入力データ!$C$110,((入力データ!$C$30*12)+IF(入力データ!$C$31="あり",入力データ!$C$33,0))*(1+前提条件!$C$6)^(AV$3-$B$3),0))</f>
        <v/>
      </c>
      <c r="AW11" s="350">
        <f>IF(AW$3="","",IF(AW5&lt;入力データ!$C$110,((入力データ!$C$30*12)+IF(入力データ!$C$31="あり",入力データ!$C$33,0))*(1+前提条件!$C$6)^(AW$3-$B$3),0))</f>
        <v/>
      </c>
      <c r="AX11" s="350">
        <f>IF(AX$3="","",IF(AX5&lt;入力データ!$C$110,((入力データ!$C$30*12)+IF(入力データ!$C$31="あり",入力データ!$C$33,0))*(1+前提条件!$C$6)^(AX$3-$B$3),0))</f>
        <v/>
      </c>
      <c r="AY11" s="350">
        <f>IF(AY$3="","",IF(AY5&lt;入力データ!$C$110,((入力データ!$C$30*12)+IF(入力データ!$C$31="あり",入力データ!$C$33,0))*(1+前提条件!$C$6)^(AY$3-$B$3),0))</f>
        <v/>
      </c>
      <c r="AZ11" s="350">
        <f>IF(AZ$3="","",IF(AZ5&lt;入力データ!$C$110,((入力データ!$C$30*12)+IF(入力データ!$C$31="あり",入力データ!$C$33,0))*(1+前提条件!$C$6)^(AZ$3-$B$3),0))</f>
        <v/>
      </c>
      <c r="BA11" s="350">
        <f>IF(BA$3="","",IF(BA5&lt;入力データ!$C$110,((入力データ!$C$30*12)+IF(入力データ!$C$31="あり",入力データ!$C$33,0))*(1+前提条件!$C$6)^(BA$3-$B$3),0))</f>
        <v/>
      </c>
      <c r="BB11" s="350">
        <f>IF(BB$3="","",IF(BB5&lt;入力データ!$C$110,((入力データ!$C$30*12)+IF(入力データ!$C$31="あり",入力データ!$C$33,0))*(1+前提条件!$C$6)^(BB$3-$B$3),0))</f>
        <v/>
      </c>
      <c r="BC11" s="350">
        <f>IF(BC$3="","",IF(BC5&lt;入力データ!$C$110,((入力データ!$C$30*12)+IF(入力データ!$C$31="あり",入力データ!$C$33,0))*(1+前提条件!$C$6)^(BC$3-$B$3),0))</f>
        <v/>
      </c>
      <c r="BD11" s="350">
        <f>IF(BD$3="","",IF(BD5&lt;入力データ!$C$110,((入力データ!$C$30*12)+IF(入力データ!$C$31="あり",入力データ!$C$33,0))*(1+前提条件!$C$6)^(BD$3-$B$3),0))</f>
        <v/>
      </c>
      <c r="BE11" s="350">
        <f>IF(BE$3="","",IF(BE5&lt;入力データ!$C$110,((入力データ!$C$30*12)+IF(入力データ!$C$31="あり",入力データ!$C$33,0))*(1+前提条件!$C$6)^(BE$3-$B$3),0))</f>
        <v/>
      </c>
      <c r="BF11" s="350">
        <f>IF(BF$3="","",IF(BF5&lt;入力データ!$C$110,((入力データ!$C$30*12)+IF(入力データ!$C$31="あり",入力データ!$C$33,0))*(1+前提条件!$C$6)^(BF$3-$B$3),0))</f>
        <v/>
      </c>
      <c r="BG11" s="350">
        <f>IF(BG$3="","",IF(BG5&lt;入力データ!$C$110,((入力データ!$C$30*12)+IF(入力データ!$C$31="あり",入力データ!$C$33,0))*(1+前提条件!$C$6)^(BG$3-$B$3),0))</f>
        <v/>
      </c>
      <c r="BH11" s="350">
        <f>IF(BH$3="","",IF(BH5&lt;入力データ!$C$110,((入力データ!$C$30*12)+IF(入力データ!$C$31="あり",入力データ!$C$33,0))*(1+前提条件!$C$6)^(BH$3-$B$3),0))</f>
        <v/>
      </c>
      <c r="BI11" s="350">
        <f>IF(BI$3="","",IF(BI5&lt;入力データ!$C$110,((入力データ!$C$30*12)+IF(入力データ!$C$31="あり",入力データ!$C$33,0))*(1+前提条件!$C$6)^(BI$3-$B$3),0))</f>
        <v/>
      </c>
      <c r="BJ11" s="350">
        <f>IF(BJ$3="","",IF(BJ5&lt;入力データ!$C$110,((入力データ!$C$30*12)+IF(入力データ!$C$31="あり",入力データ!$C$33,0))*(1+前提条件!$C$6)^(BJ$3-$B$3),0))</f>
        <v/>
      </c>
      <c r="BK11" s="350">
        <f>IF(BK$3="","",IF(BK5&lt;入力データ!$C$110,((入力データ!$C$30*12)+IF(入力データ!$C$31="あり",入力データ!$C$33,0))*(1+前提条件!$C$6)^(BK$3-$B$3),0))</f>
        <v/>
      </c>
      <c r="BL11" s="350">
        <f>IF(BL$3="","",IF(BL5&lt;入力データ!$C$110,((入力データ!$C$30*12)+IF(入力データ!$C$31="あり",入力データ!$C$33,0))*(1+前提条件!$C$6)^(BL$3-$B$3),0))</f>
        <v/>
      </c>
      <c r="BM11" s="350">
        <f>IF(BM$3="","",IF(BM5&lt;入力データ!$C$110,((入力データ!$C$30*12)+IF(入力データ!$C$31="あり",入力データ!$C$33,0))*(1+前提条件!$C$6)^(BM$3-$B$3),0))</f>
        <v/>
      </c>
      <c r="BN11" s="350">
        <f>IF(BN$3="","",IF(BN5&lt;入力データ!$C$110,((入力データ!$C$30*12)+IF(入力データ!$C$31="あり",入力データ!$C$33,0))*(1+前提条件!$C$6)^(BN$3-$B$3),0))</f>
        <v/>
      </c>
      <c r="BO11" s="350">
        <f>IF(BO$3="","",IF(BO5&lt;入力データ!$C$110,((入力データ!$C$30*12)+IF(入力データ!$C$31="あり",入力データ!$C$33,0))*(1+前提条件!$C$6)^(BO$3-$B$3),0))</f>
        <v/>
      </c>
      <c r="BP11" s="350">
        <f>IF(BP$3="","",IF(BP5&lt;入力データ!$C$110,((入力データ!$C$30*12)+IF(入力データ!$C$31="あり",入力データ!$C$33,0))*(1+前提条件!$C$6)^(BP$3-$B$3),0))</f>
        <v/>
      </c>
      <c r="BQ11" s="350">
        <f>IF(BQ$3="","",IF(BQ5&lt;入力データ!$C$110,((入力データ!$C$30*12)+IF(入力データ!$C$31="あり",入力データ!$C$33,0))*(1+前提条件!$C$6)^(BQ$3-$B$3),0))</f>
        <v/>
      </c>
      <c r="BR11" s="350">
        <f>IF(BR$3="","",IF(BR5&lt;入力データ!$C$110,((入力データ!$C$30*12)+IF(入力データ!$C$31="あり",入力データ!$C$33,0))*(1+前提条件!$C$6)^(BR$3-$B$3),0))</f>
        <v/>
      </c>
      <c r="BS11" s="350">
        <f>IF(BS$3="","",IF(BS5&lt;入力データ!$C$110,((入力データ!$C$30*12)+IF(入力データ!$C$31="あり",入力データ!$C$33,0))*(1+前提条件!$C$6)^(BS$3-$B$3),0))</f>
        <v/>
      </c>
      <c r="BT11" s="350">
        <f>IF(BT$3="","",IF(BT5&lt;入力データ!$C$110,((入力データ!$C$30*12)+IF(入力データ!$C$31="あり",入力データ!$C$33,0))*(1+前提条件!$C$6)^(BT$3-$B$3),0))</f>
        <v/>
      </c>
      <c r="BU11" s="350">
        <f>IF(BU$3="","",IF(BU5&lt;入力データ!$C$110,((入力データ!$C$30*12)+IF(入力データ!$C$31="あり",入力データ!$C$33,0))*(1+前提条件!$C$6)^(BU$3-$B$3),0))</f>
        <v/>
      </c>
      <c r="BV11" s="350">
        <f>IF(BV$3="","",IF(BV5&lt;入力データ!$C$110,((入力データ!$C$30*12)+IF(入力データ!$C$31="あり",入力データ!$C$33,0))*(1+前提条件!$C$6)^(BV$3-$B$3),0))</f>
        <v/>
      </c>
      <c r="BW11" s="350">
        <f>IF(BW$3="","",IF(BW5&lt;入力データ!$C$110,((入力データ!$C$30*12)+IF(入力データ!$C$31="あり",入力データ!$C$33,0))*(1+前提条件!$C$6)^(BW$3-$B$3),0))</f>
        <v/>
      </c>
      <c r="BX11" s="350">
        <f>IF(BX$3="","",IF(BX5&lt;入力データ!$C$110,((入力データ!$C$30*12)+IF(入力データ!$C$31="あり",入力データ!$C$33,0))*(1+前提条件!$C$6)^(BX$3-$B$3),0))</f>
        <v/>
      </c>
      <c r="BY11" s="350">
        <f>IF(BY$3="","",IF(BY5&lt;入力データ!$C$110,((入力データ!$C$30*12)+IF(入力データ!$C$31="あり",入力データ!$C$33,0))*(1+前提条件!$C$6)^(BY$3-$B$3),0))</f>
        <v/>
      </c>
      <c r="BZ11" s="350">
        <f>IF(BZ$3="","",IF(BZ5&lt;入力データ!$C$110,((入力データ!$C$30*12)+IF(入力データ!$C$31="あり",入力データ!$C$33,0))*(1+前提条件!$C$6)^(BZ$3-$B$3),0))</f>
        <v/>
      </c>
      <c r="CA11" s="350">
        <f>IF(CA$3="","",IF(CA5&lt;入力データ!$C$110,((入力データ!$C$30*12)+IF(入力データ!$C$31="あり",入力データ!$C$33,0))*(1+前提条件!$C$6)^(CA$3-$B$3),0))</f>
        <v/>
      </c>
      <c r="CB11" s="350">
        <f>IF(CB$3="","",IF(CB5&lt;入力データ!$C$110,((入力データ!$C$30*12)+IF(入力データ!$C$31="あり",入力データ!$C$33,0))*(1+前提条件!$C$6)^(CB$3-$B$3),0))</f>
        <v/>
      </c>
      <c r="CC11" s="350">
        <f>IF(CC$3="","",IF(CC5&lt;入力データ!$C$110,((入力データ!$C$30*12)+IF(入力データ!$C$31="あり",入力データ!$C$33,0))*(1+前提条件!$C$6)^(CC$3-$B$3),0))</f>
        <v/>
      </c>
      <c r="CD11" s="350">
        <f>IF(CD$3="","",IF(CD5&lt;入力データ!$C$110,((入力データ!$C$30*12)+IF(入力データ!$C$31="あり",入力データ!$C$33,0))*(1+前提条件!$C$6)^(CD$3-$B$3),0))</f>
        <v/>
      </c>
      <c r="CE11" s="350">
        <f>IF(CE$3="","",IF(CE5&lt;入力データ!$C$110,((入力データ!$C$30*12)+IF(入力データ!$C$31="あり",入力データ!$C$33,0))*(1+前提条件!$C$6)^(CE$3-$B$3),0))</f>
        <v/>
      </c>
      <c r="CF11" s="350">
        <f>IF(CF$3="","",IF(CF5&lt;入力データ!$C$110,((入力データ!$C$30*12)+IF(入力データ!$C$31="あり",入力データ!$C$33,0))*(1+前提条件!$C$6)^(CF$3-$B$3),0))</f>
        <v/>
      </c>
      <c r="CG11" s="350">
        <f>IF(CG$3="","",IF(CG5&lt;入力データ!$C$110,((入力データ!$C$30*12)+IF(入力データ!$C$31="あり",入力データ!$C$33,0))*(1+前提条件!$C$6)^(CG$3-$B$3),0))</f>
        <v/>
      </c>
      <c r="CH11" s="350">
        <f>IF(CH$3="","",IF(CH5&lt;入力データ!$C$110,((入力データ!$C$30*12)+IF(入力データ!$C$31="あり",入力データ!$C$33,0))*(1+前提条件!$C$6)^(CH$3-$B$3),0))</f>
        <v/>
      </c>
      <c r="CI11" s="350">
        <f>IF(CI$3="","",IF(CI5&lt;入力データ!$C$110,((入力データ!$C$30*12)+IF(入力データ!$C$31="あり",入力データ!$C$33,0))*(1+前提条件!$C$6)^(CI$3-$B$3),0))</f>
        <v/>
      </c>
      <c r="CJ11" s="350">
        <f>IF(CJ$3="","",IF(CJ5&lt;入力データ!$C$110,((入力データ!$C$30*12)+IF(入力データ!$C$31="あり",入力データ!$C$33,0))*(1+前提条件!$C$6)^(CJ$3-$B$3),0))</f>
        <v/>
      </c>
      <c r="CK11" s="350">
        <f>IF(CK$3="","",IF(CK5&lt;入力データ!$C$110,((入力データ!$C$30*12)+IF(入力データ!$C$31="あり",入力データ!$C$33,0))*(1+前提条件!$C$6)^(CK$3-$B$3),0))</f>
        <v/>
      </c>
      <c r="CL11" s="350">
        <f>IF(CL$3="","",IF(CL5&lt;入力データ!$C$110,((入力データ!$C$30*12)+IF(入力データ!$C$31="あり",入力データ!$C$33,0))*(1+前提条件!$C$6)^(CL$3-$B$3),0))</f>
        <v/>
      </c>
      <c r="CM11" s="350">
        <f>IF(CM$3="","",IF(CM5&lt;入力データ!$C$110,((入力データ!$C$30*12)+IF(入力データ!$C$31="あり",入力データ!$C$33,0))*(1+前提条件!$C$6)^(CM$3-$B$3),0))</f>
        <v/>
      </c>
      <c r="CN11" s="350">
        <f>IF(CN$3="","",IF(CN5&lt;入力データ!$C$110,((入力データ!$C$30*12)+IF(入力データ!$C$31="あり",入力データ!$C$33,0))*(1+前提条件!$C$6)^(CN$3-$B$3),0))</f>
        <v/>
      </c>
      <c r="CO11" s="350">
        <f>IF(CO$3="","",IF(CO5&lt;入力データ!$C$110,((入力データ!$C$30*12)+IF(入力データ!$C$31="あり",入力データ!$C$33,0))*(1+前提条件!$C$6)^(CO$3-$B$3),0))</f>
        <v/>
      </c>
      <c r="CP11" s="350">
        <f>IF(CP$3="","",IF(CP5&lt;入力データ!$C$110,((入力データ!$C$30*12)+IF(入力データ!$C$31="あり",入力データ!$C$33,0))*(1+前提条件!$C$6)^(CP$3-$B$3),0))</f>
        <v/>
      </c>
      <c r="CQ11" s="350">
        <f>IF(CQ$3="","",IF(CQ5&lt;入力データ!$C$110,((入力データ!$C$30*12)+IF(入力データ!$C$31="あり",入力データ!$C$33,0))*(1+前提条件!$C$6)^(CQ$3-$B$3),0))</f>
        <v/>
      </c>
      <c r="CR11" s="350">
        <f>IF(CR$3="","",IF(CR5&lt;入力データ!$C$110,((入力データ!$C$30*12)+IF(入力データ!$C$31="あり",入力データ!$C$33,0))*(1+前提条件!$C$6)^(CR$3-$B$3),0))</f>
        <v/>
      </c>
      <c r="CS11" s="350">
        <f>IF(CS$3="","",IF(CS5&lt;入力データ!$C$110,((入力データ!$C$30*12)+IF(入力データ!$C$31="あり",入力データ!$C$33,0))*(1+前提条件!$C$6)^(CS$3-$B$3),0))</f>
        <v/>
      </c>
      <c r="CT11" s="350">
        <f>IF(CT$3="","",IF(CT5&lt;入力データ!$C$110,((入力データ!$C$30*12)+IF(入力データ!$C$31="あり",入力データ!$C$33,0))*(1+前提条件!$C$6)^(CT$3-$B$3),0))</f>
        <v/>
      </c>
      <c r="CU11" s="350">
        <f>IF(CU$3="","",IF(CU5&lt;入力データ!$C$110,((入力データ!$C$30*12)+IF(入力データ!$C$31="あり",入力データ!$C$33,0))*(1+前提条件!$C$6)^(CU$3-$B$3),0))</f>
        <v/>
      </c>
      <c r="CV11" s="350">
        <f>IF(CV$3="","",IF(CV5&lt;入力データ!$C$110,((入力データ!$C$30*12)+IF(入力データ!$C$31="あり",入力データ!$C$33,0))*(1+前提条件!$C$6)^(CV$3-$B$3),0))</f>
        <v/>
      </c>
      <c r="CW11" s="350">
        <f>IF(CW$3="","",IF(CW5&lt;入力データ!$C$110,((入力データ!$C$30*12)+IF(入力データ!$C$31="あり",入力データ!$C$33,0))*(1+前提条件!$C$6)^(CW$3-$B$3),0))</f>
        <v/>
      </c>
    </row>
    <row r="12" ht="15" customHeight="1" s="180">
      <c r="A12" s="220" t="inlineStr">
        <is>
          <t>児童手当</t>
        </is>
      </c>
      <c r="B12" s="350">
        <f>IF(B$3="","",IF(AND(B6&lt;&gt;"",B6&lt;=前提条件!$C$8),IF(1&gt;=3,30000,IF(B6&lt;3,15000,10000))*6,0)+IF(AND(B7&lt;&gt;"",B7&lt;=前提条件!$C$8),IF(2&gt;=3,30000,IF(B7&lt;3,15000,10000))*6,0)+IF(AND(B8&lt;&gt;"",B8&lt;=前提条件!$C$8),30000*6,0))</f>
        <v/>
      </c>
      <c r="C12" s="350">
        <f>IF(C$3="","",IF(AND(C6&lt;&gt;"",C6&lt;=前提条件!$C$8),IF(1&gt;=3,30000,IF(C6&lt;3,15000,10000))*6,0)+IF(AND(C7&lt;&gt;"",C7&lt;=前提条件!$C$8),IF(2&gt;=3,30000,IF(C7&lt;3,15000,10000))*6,0)+IF(AND(C8&lt;&gt;"",C8&lt;=前提条件!$C$8),30000*6,0))</f>
        <v/>
      </c>
      <c r="D12" s="350">
        <f>IF(D$3="","",IF(AND(D6&lt;&gt;"",D6&lt;=前提条件!$C$8),IF(1&gt;=3,30000,IF(D6&lt;3,15000,10000))*6,0)+IF(AND(D7&lt;&gt;"",D7&lt;=前提条件!$C$8),IF(2&gt;=3,30000,IF(D7&lt;3,15000,10000))*6,0)+IF(AND(D8&lt;&gt;"",D8&lt;=前提条件!$C$8),30000*6,0))</f>
        <v/>
      </c>
      <c r="E12" s="350">
        <f>IF(E$3="","",IF(AND(E6&lt;&gt;"",E6&lt;=前提条件!$C$8),IF(1&gt;=3,30000,IF(E6&lt;3,15000,10000))*6,0)+IF(AND(E7&lt;&gt;"",E7&lt;=前提条件!$C$8),IF(2&gt;=3,30000,IF(E7&lt;3,15000,10000))*6,0)+IF(AND(E8&lt;&gt;"",E8&lt;=前提条件!$C$8),30000*6,0))</f>
        <v/>
      </c>
      <c r="F12" s="350">
        <f>IF(F$3="","",IF(AND(F6&lt;&gt;"",F6&lt;=前提条件!$C$8),IF(1&gt;=3,30000,IF(F6&lt;3,15000,10000))*6,0)+IF(AND(F7&lt;&gt;"",F7&lt;=前提条件!$C$8),IF(2&gt;=3,30000,IF(F7&lt;3,15000,10000))*6,0)+IF(AND(F8&lt;&gt;"",F8&lt;=前提条件!$C$8),30000*6,0))</f>
        <v/>
      </c>
      <c r="G12" s="350">
        <f>IF(G$3="","",IF(AND(G6&lt;&gt;"",G6&lt;=前提条件!$C$8),IF(1&gt;=3,30000,IF(G6&lt;3,15000,10000))*6,0)+IF(AND(G7&lt;&gt;"",G7&lt;=前提条件!$C$8),IF(2&gt;=3,30000,IF(G7&lt;3,15000,10000))*6,0)+IF(AND(G8&lt;&gt;"",G8&lt;=前提条件!$C$8),30000*6,0))</f>
        <v/>
      </c>
      <c r="H12" s="350">
        <f>IF(H$3="","",IF(AND(H6&lt;&gt;"",H6&lt;=前提条件!$C$8),IF(1&gt;=3,30000,IF(H6&lt;3,15000,10000))*6,0)+IF(AND(H7&lt;&gt;"",H7&lt;=前提条件!$C$8),IF(2&gt;=3,30000,IF(H7&lt;3,15000,10000))*6,0)+IF(AND(H8&lt;&gt;"",H8&lt;=前提条件!$C$8),30000*6,0))</f>
        <v/>
      </c>
      <c r="I12" s="350">
        <f>IF(I$3="","",IF(AND(I6&lt;&gt;"",I6&lt;=前提条件!$C$8),IF(1&gt;=3,30000,IF(I6&lt;3,15000,10000))*6,0)+IF(AND(I7&lt;&gt;"",I7&lt;=前提条件!$C$8),IF(2&gt;=3,30000,IF(I7&lt;3,15000,10000))*6,0)+IF(AND(I8&lt;&gt;"",I8&lt;=前提条件!$C$8),30000*6,0))</f>
        <v/>
      </c>
      <c r="J12" s="350">
        <f>IF(J$3="","",IF(AND(J6&lt;&gt;"",J6&lt;=前提条件!$C$8),IF(1&gt;=3,30000,IF(J6&lt;3,15000,10000))*6,0)+IF(AND(J7&lt;&gt;"",J7&lt;=前提条件!$C$8),IF(2&gt;=3,30000,IF(J7&lt;3,15000,10000))*6,0)+IF(AND(J8&lt;&gt;"",J8&lt;=前提条件!$C$8),30000*6,0))</f>
        <v/>
      </c>
      <c r="K12" s="350">
        <f>IF(K$3="","",IF(AND(K6&lt;&gt;"",K6&lt;=前提条件!$C$8),IF(1&gt;=3,30000,IF(K6&lt;3,15000,10000))*6,0)+IF(AND(K7&lt;&gt;"",K7&lt;=前提条件!$C$8),IF(2&gt;=3,30000,IF(K7&lt;3,15000,10000))*6,0)+IF(AND(K8&lt;&gt;"",K8&lt;=前提条件!$C$8),30000*6,0))</f>
        <v/>
      </c>
      <c r="L12" s="350">
        <f>IF(L$3="","",IF(AND(L6&lt;&gt;"",L6&lt;=前提条件!$C$8),IF(1&gt;=3,30000,IF(L6&lt;3,15000,10000))*6,0)+IF(AND(L7&lt;&gt;"",L7&lt;=前提条件!$C$8),IF(2&gt;=3,30000,IF(L7&lt;3,15000,10000))*6,0)+IF(AND(L8&lt;&gt;"",L8&lt;=前提条件!$C$8),30000*6,0))</f>
        <v/>
      </c>
      <c r="M12" s="350">
        <f>IF(M$3="","",IF(AND(M6&lt;&gt;"",M6&lt;=前提条件!$C$8),IF(1&gt;=3,30000,IF(M6&lt;3,15000,10000))*6,0)+IF(AND(M7&lt;&gt;"",M7&lt;=前提条件!$C$8),IF(2&gt;=3,30000,IF(M7&lt;3,15000,10000))*6,0)+IF(AND(M8&lt;&gt;"",M8&lt;=前提条件!$C$8),30000*6,0))</f>
        <v/>
      </c>
      <c r="N12" s="350">
        <f>IF(N$3="","",IF(AND(N6&lt;&gt;"",N6&lt;=前提条件!$C$8),IF(1&gt;=3,30000,IF(N6&lt;3,15000,10000))*6,0)+IF(AND(N7&lt;&gt;"",N7&lt;=前提条件!$C$8),IF(2&gt;=3,30000,IF(N7&lt;3,15000,10000))*6,0)+IF(AND(N8&lt;&gt;"",N8&lt;=前提条件!$C$8),30000*6,0))</f>
        <v/>
      </c>
      <c r="O12" s="350">
        <f>IF(O$3="","",IF(AND(O6&lt;&gt;"",O6&lt;=前提条件!$C$8),IF(1&gt;=3,30000,IF(O6&lt;3,15000,10000))*6,0)+IF(AND(O7&lt;&gt;"",O7&lt;=前提条件!$C$8),IF(2&gt;=3,30000,IF(O7&lt;3,15000,10000))*6,0)+IF(AND(O8&lt;&gt;"",O8&lt;=前提条件!$C$8),30000*6,0))</f>
        <v/>
      </c>
      <c r="P12" s="350">
        <f>IF(P$3="","",IF(AND(P6&lt;&gt;"",P6&lt;=前提条件!$C$8),IF(1&gt;=3,30000,IF(P6&lt;3,15000,10000))*6,0)+IF(AND(P7&lt;&gt;"",P7&lt;=前提条件!$C$8),IF(2&gt;=3,30000,IF(P7&lt;3,15000,10000))*6,0)+IF(AND(P8&lt;&gt;"",P8&lt;=前提条件!$C$8),30000*6,0))</f>
        <v/>
      </c>
      <c r="Q12" s="350">
        <f>IF(Q$3="","",IF(AND(Q6&lt;&gt;"",Q6&lt;=前提条件!$C$8),IF(1&gt;=3,30000,IF(Q6&lt;3,15000,10000))*6,0)+IF(AND(Q7&lt;&gt;"",Q7&lt;=前提条件!$C$8),IF(2&gt;=3,30000,IF(Q7&lt;3,15000,10000))*6,0)+IF(AND(Q8&lt;&gt;"",Q8&lt;=前提条件!$C$8),30000*6,0))</f>
        <v/>
      </c>
      <c r="R12" s="350">
        <f>IF(R$3="","",IF(AND(R6&lt;&gt;"",R6&lt;=前提条件!$C$8),IF(1&gt;=3,30000,IF(R6&lt;3,15000,10000))*6,0)+IF(AND(R7&lt;&gt;"",R7&lt;=前提条件!$C$8),IF(2&gt;=3,30000,IF(R7&lt;3,15000,10000))*6,0)+IF(AND(R8&lt;&gt;"",R8&lt;=前提条件!$C$8),30000*6,0))</f>
        <v/>
      </c>
      <c r="S12" s="350">
        <f>IF(S$3="","",IF(AND(S6&lt;&gt;"",S6&lt;=前提条件!$C$8),IF(1&gt;=3,30000,IF(S6&lt;3,15000,10000))*6,0)+IF(AND(S7&lt;&gt;"",S7&lt;=前提条件!$C$8),IF(2&gt;=3,30000,IF(S7&lt;3,15000,10000))*6,0)+IF(AND(S8&lt;&gt;"",S8&lt;=前提条件!$C$8),30000*6,0))</f>
        <v/>
      </c>
      <c r="T12" s="350">
        <f>IF(T$3="","",IF(AND(T6&lt;&gt;"",T6&lt;=前提条件!$C$8),IF(1&gt;=3,30000,IF(T6&lt;3,15000,10000))*6,0)+IF(AND(T7&lt;&gt;"",T7&lt;=前提条件!$C$8),IF(2&gt;=3,30000,IF(T7&lt;3,15000,10000))*6,0)+IF(AND(T8&lt;&gt;"",T8&lt;=前提条件!$C$8),30000*6,0))</f>
        <v/>
      </c>
      <c r="U12" s="350">
        <f>IF(U$3="","",IF(AND(U6&lt;&gt;"",U6&lt;=前提条件!$C$8),IF(1&gt;=3,30000,IF(U6&lt;3,15000,10000))*6,0)+IF(AND(U7&lt;&gt;"",U7&lt;=前提条件!$C$8),IF(2&gt;=3,30000,IF(U7&lt;3,15000,10000))*6,0)+IF(AND(U8&lt;&gt;"",U8&lt;=前提条件!$C$8),30000*6,0))</f>
        <v/>
      </c>
      <c r="V12" s="350">
        <f>IF(V$3="","",IF(AND(V6&lt;&gt;"",V6&lt;=前提条件!$C$8),IF(1&gt;=3,30000,IF(V6&lt;3,15000,10000))*6,0)+IF(AND(V7&lt;&gt;"",V7&lt;=前提条件!$C$8),IF(2&gt;=3,30000,IF(V7&lt;3,15000,10000))*6,0)+IF(AND(V8&lt;&gt;"",V8&lt;=前提条件!$C$8),30000*6,0))</f>
        <v/>
      </c>
      <c r="W12" s="350">
        <f>IF(W$3="","",IF(AND(W6&lt;&gt;"",W6&lt;=前提条件!$C$8),IF(1&gt;=3,30000,IF(W6&lt;3,15000,10000))*6,0)+IF(AND(W7&lt;&gt;"",W7&lt;=前提条件!$C$8),IF(2&gt;=3,30000,IF(W7&lt;3,15000,10000))*6,0)+IF(AND(W8&lt;&gt;"",W8&lt;=前提条件!$C$8),30000*6,0))</f>
        <v/>
      </c>
      <c r="X12" s="350">
        <f>IF(X$3="","",IF(AND(X6&lt;&gt;"",X6&lt;=前提条件!$C$8),IF(1&gt;=3,30000,IF(X6&lt;3,15000,10000))*6,0)+IF(AND(X7&lt;&gt;"",X7&lt;=前提条件!$C$8),IF(2&gt;=3,30000,IF(X7&lt;3,15000,10000))*6,0)+IF(AND(X8&lt;&gt;"",X8&lt;=前提条件!$C$8),30000*6,0))</f>
        <v/>
      </c>
      <c r="Y12" s="350">
        <f>IF(Y$3="","",IF(AND(Y6&lt;&gt;"",Y6&lt;=前提条件!$C$8),IF(1&gt;=3,30000,IF(Y6&lt;3,15000,10000))*6,0)+IF(AND(Y7&lt;&gt;"",Y7&lt;=前提条件!$C$8),IF(2&gt;=3,30000,IF(Y7&lt;3,15000,10000))*6,0)+IF(AND(Y8&lt;&gt;"",Y8&lt;=前提条件!$C$8),30000*6,0))</f>
        <v/>
      </c>
      <c r="Z12" s="350">
        <f>IF(Z$3="","",IF(AND(Z6&lt;&gt;"",Z6&lt;=前提条件!$C$8),IF(1&gt;=3,30000,IF(Z6&lt;3,15000,10000))*6,0)+IF(AND(Z7&lt;&gt;"",Z7&lt;=前提条件!$C$8),IF(2&gt;=3,30000,IF(Z7&lt;3,15000,10000))*6,0)+IF(AND(Z8&lt;&gt;"",Z8&lt;=前提条件!$C$8),30000*6,0))</f>
        <v/>
      </c>
      <c r="AA12" s="350">
        <f>IF(AA$3="","",IF(AND(AA6&lt;&gt;"",AA6&lt;=前提条件!$C$8),IF(1&gt;=3,30000,IF(AA6&lt;3,15000,10000))*6,0)+IF(AND(AA7&lt;&gt;"",AA7&lt;=前提条件!$C$8),IF(2&gt;=3,30000,IF(AA7&lt;3,15000,10000))*6,0)+IF(AND(AA8&lt;&gt;"",AA8&lt;=前提条件!$C$8),30000*6,0))</f>
        <v/>
      </c>
      <c r="AB12" s="350">
        <f>IF(AB$3="","",IF(AND(AB6&lt;&gt;"",AB6&lt;=前提条件!$C$8),IF(1&gt;=3,30000,IF(AB6&lt;3,15000,10000))*6,0)+IF(AND(AB7&lt;&gt;"",AB7&lt;=前提条件!$C$8),IF(2&gt;=3,30000,IF(AB7&lt;3,15000,10000))*6,0)+IF(AND(AB8&lt;&gt;"",AB8&lt;=前提条件!$C$8),30000*6,0))</f>
        <v/>
      </c>
      <c r="AC12" s="350">
        <f>IF(AC$3="","",IF(AND(AC6&lt;&gt;"",AC6&lt;=前提条件!$C$8),IF(1&gt;=3,30000,IF(AC6&lt;3,15000,10000))*6,0)+IF(AND(AC7&lt;&gt;"",AC7&lt;=前提条件!$C$8),IF(2&gt;=3,30000,IF(AC7&lt;3,15000,10000))*6,0)+IF(AND(AC8&lt;&gt;"",AC8&lt;=前提条件!$C$8),30000*6,0))</f>
        <v/>
      </c>
      <c r="AD12" s="350">
        <f>IF(AD$3="","",IF(AND(AD6&lt;&gt;"",AD6&lt;=前提条件!$C$8),IF(1&gt;=3,30000,IF(AD6&lt;3,15000,10000))*6,0)+IF(AND(AD7&lt;&gt;"",AD7&lt;=前提条件!$C$8),IF(2&gt;=3,30000,IF(AD7&lt;3,15000,10000))*6,0)+IF(AND(AD8&lt;&gt;"",AD8&lt;=前提条件!$C$8),30000*6,0))</f>
        <v/>
      </c>
      <c r="AE12" s="350">
        <f>IF(AE$3="","",IF(AND(AE6&lt;&gt;"",AE6&lt;=前提条件!$C$8),IF(1&gt;=3,30000,IF(AE6&lt;3,15000,10000))*6,0)+IF(AND(AE7&lt;&gt;"",AE7&lt;=前提条件!$C$8),IF(2&gt;=3,30000,IF(AE7&lt;3,15000,10000))*6,0)+IF(AND(AE8&lt;&gt;"",AE8&lt;=前提条件!$C$8),30000*6,0))</f>
        <v/>
      </c>
      <c r="AF12" s="350">
        <f>IF(AF$3="","",IF(AND(AF6&lt;&gt;"",AF6&lt;=前提条件!$C$8),IF(1&gt;=3,30000,IF(AF6&lt;3,15000,10000))*6,0)+IF(AND(AF7&lt;&gt;"",AF7&lt;=前提条件!$C$8),IF(2&gt;=3,30000,IF(AF7&lt;3,15000,10000))*6,0)+IF(AND(AF8&lt;&gt;"",AF8&lt;=前提条件!$C$8),30000*6,0))</f>
        <v/>
      </c>
      <c r="AG12" s="350">
        <f>IF(AG$3="","",IF(AND(AG6&lt;&gt;"",AG6&lt;=前提条件!$C$8),IF(1&gt;=3,30000,IF(AG6&lt;3,15000,10000))*6,0)+IF(AND(AG7&lt;&gt;"",AG7&lt;=前提条件!$C$8),IF(2&gt;=3,30000,IF(AG7&lt;3,15000,10000))*6,0)+IF(AND(AG8&lt;&gt;"",AG8&lt;=前提条件!$C$8),30000*6,0))</f>
        <v/>
      </c>
      <c r="AH12" s="350">
        <f>IF(AH$3="","",IF(AND(AH6&lt;&gt;"",AH6&lt;=前提条件!$C$8),IF(1&gt;=3,30000,IF(AH6&lt;3,15000,10000))*6,0)+IF(AND(AH7&lt;&gt;"",AH7&lt;=前提条件!$C$8),IF(2&gt;=3,30000,IF(AH7&lt;3,15000,10000))*6,0)+IF(AND(AH8&lt;&gt;"",AH8&lt;=前提条件!$C$8),30000*6,0))</f>
        <v/>
      </c>
      <c r="AI12" s="350">
        <f>IF(AI$3="","",IF(AND(AI6&lt;&gt;"",AI6&lt;=前提条件!$C$8),IF(1&gt;=3,30000,IF(AI6&lt;3,15000,10000))*6,0)+IF(AND(AI7&lt;&gt;"",AI7&lt;=前提条件!$C$8),IF(2&gt;=3,30000,IF(AI7&lt;3,15000,10000))*6,0)+IF(AND(AI8&lt;&gt;"",AI8&lt;=前提条件!$C$8),30000*6,0))</f>
        <v/>
      </c>
      <c r="AJ12" s="350">
        <f>IF(AJ$3="","",IF(AND(AJ6&lt;&gt;"",AJ6&lt;=前提条件!$C$8),IF(1&gt;=3,30000,IF(AJ6&lt;3,15000,10000))*6,0)+IF(AND(AJ7&lt;&gt;"",AJ7&lt;=前提条件!$C$8),IF(2&gt;=3,30000,IF(AJ7&lt;3,15000,10000))*6,0)+IF(AND(AJ8&lt;&gt;"",AJ8&lt;=前提条件!$C$8),30000*6,0))</f>
        <v/>
      </c>
      <c r="AK12" s="350">
        <f>IF(AK$3="","",IF(AND(AK6&lt;&gt;"",AK6&lt;=前提条件!$C$8),IF(1&gt;=3,30000,IF(AK6&lt;3,15000,10000))*6,0)+IF(AND(AK7&lt;&gt;"",AK7&lt;=前提条件!$C$8),IF(2&gt;=3,30000,IF(AK7&lt;3,15000,10000))*6,0)+IF(AND(AK8&lt;&gt;"",AK8&lt;=前提条件!$C$8),30000*6,0))</f>
        <v/>
      </c>
      <c r="AL12" s="350">
        <f>IF(AL$3="","",IF(AND(AL6&lt;&gt;"",AL6&lt;=前提条件!$C$8),IF(1&gt;=3,30000,IF(AL6&lt;3,15000,10000))*6,0)+IF(AND(AL7&lt;&gt;"",AL7&lt;=前提条件!$C$8),IF(2&gt;=3,30000,IF(AL7&lt;3,15000,10000))*6,0)+IF(AND(AL8&lt;&gt;"",AL8&lt;=前提条件!$C$8),30000*6,0))</f>
        <v/>
      </c>
      <c r="AM12" s="350">
        <f>IF(AM$3="","",IF(AND(AM6&lt;&gt;"",AM6&lt;=前提条件!$C$8),IF(1&gt;=3,30000,IF(AM6&lt;3,15000,10000))*6,0)+IF(AND(AM7&lt;&gt;"",AM7&lt;=前提条件!$C$8),IF(2&gt;=3,30000,IF(AM7&lt;3,15000,10000))*6,0)+IF(AND(AM8&lt;&gt;"",AM8&lt;=前提条件!$C$8),30000*6,0))</f>
        <v/>
      </c>
      <c r="AN12" s="350">
        <f>IF(AN$3="","",IF(AND(AN6&lt;&gt;"",AN6&lt;=前提条件!$C$8),IF(1&gt;=3,30000,IF(AN6&lt;3,15000,10000))*6,0)+IF(AND(AN7&lt;&gt;"",AN7&lt;=前提条件!$C$8),IF(2&gt;=3,30000,IF(AN7&lt;3,15000,10000))*6,0)+IF(AND(AN8&lt;&gt;"",AN8&lt;=前提条件!$C$8),30000*6,0))</f>
        <v/>
      </c>
      <c r="AO12" s="350">
        <f>IF(AO$3="","",IF(AND(AO6&lt;&gt;"",AO6&lt;=前提条件!$C$8),IF(1&gt;=3,30000,IF(AO6&lt;3,15000,10000))*6,0)+IF(AND(AO7&lt;&gt;"",AO7&lt;=前提条件!$C$8),IF(2&gt;=3,30000,IF(AO7&lt;3,15000,10000))*6,0)+IF(AND(AO8&lt;&gt;"",AO8&lt;=前提条件!$C$8),30000*6,0))</f>
        <v/>
      </c>
      <c r="AP12" s="350">
        <f>IF(AP$3="","",IF(AND(AP6&lt;&gt;"",AP6&lt;=前提条件!$C$8),IF(1&gt;=3,30000,IF(AP6&lt;3,15000,10000))*6,0)+IF(AND(AP7&lt;&gt;"",AP7&lt;=前提条件!$C$8),IF(2&gt;=3,30000,IF(AP7&lt;3,15000,10000))*6,0)+IF(AND(AP8&lt;&gt;"",AP8&lt;=前提条件!$C$8),30000*6,0))</f>
        <v/>
      </c>
      <c r="AQ12" s="350">
        <f>IF(AQ$3="","",IF(AND(AQ6&lt;&gt;"",AQ6&lt;=前提条件!$C$8),IF(1&gt;=3,30000,IF(AQ6&lt;3,15000,10000))*6,0)+IF(AND(AQ7&lt;&gt;"",AQ7&lt;=前提条件!$C$8),IF(2&gt;=3,30000,IF(AQ7&lt;3,15000,10000))*6,0)+IF(AND(AQ8&lt;&gt;"",AQ8&lt;=前提条件!$C$8),30000*6,0))</f>
        <v/>
      </c>
      <c r="AR12" s="350">
        <f>IF(AR$3="","",IF(AND(AR6&lt;&gt;"",AR6&lt;=前提条件!$C$8),IF(1&gt;=3,30000,IF(AR6&lt;3,15000,10000))*6,0)+IF(AND(AR7&lt;&gt;"",AR7&lt;=前提条件!$C$8),IF(2&gt;=3,30000,IF(AR7&lt;3,15000,10000))*6,0)+IF(AND(AR8&lt;&gt;"",AR8&lt;=前提条件!$C$8),30000*6,0))</f>
        <v/>
      </c>
      <c r="AS12" s="350">
        <f>IF(AS$3="","",IF(AND(AS6&lt;&gt;"",AS6&lt;=前提条件!$C$8),IF(1&gt;=3,30000,IF(AS6&lt;3,15000,10000))*6,0)+IF(AND(AS7&lt;&gt;"",AS7&lt;=前提条件!$C$8),IF(2&gt;=3,30000,IF(AS7&lt;3,15000,10000))*6,0)+IF(AND(AS8&lt;&gt;"",AS8&lt;=前提条件!$C$8),30000*6,0))</f>
        <v/>
      </c>
      <c r="AT12" s="350">
        <f>IF(AT$3="","",IF(AND(AT6&lt;&gt;"",AT6&lt;=前提条件!$C$8),IF(1&gt;=3,30000,IF(AT6&lt;3,15000,10000))*6,0)+IF(AND(AT7&lt;&gt;"",AT7&lt;=前提条件!$C$8),IF(2&gt;=3,30000,IF(AT7&lt;3,15000,10000))*6,0)+IF(AND(AT8&lt;&gt;"",AT8&lt;=前提条件!$C$8),30000*6,0))</f>
        <v/>
      </c>
      <c r="AU12" s="350">
        <f>IF(AU$3="","",IF(AND(AU6&lt;&gt;"",AU6&lt;=前提条件!$C$8),IF(1&gt;=3,30000,IF(AU6&lt;3,15000,10000))*6,0)+IF(AND(AU7&lt;&gt;"",AU7&lt;=前提条件!$C$8),IF(2&gt;=3,30000,IF(AU7&lt;3,15000,10000))*6,0)+IF(AND(AU8&lt;&gt;"",AU8&lt;=前提条件!$C$8),30000*6,0))</f>
        <v/>
      </c>
      <c r="AV12" s="350">
        <f>IF(AV$3="","",IF(AND(AV6&lt;&gt;"",AV6&lt;=前提条件!$C$8),IF(1&gt;=3,30000,IF(AV6&lt;3,15000,10000))*6,0)+IF(AND(AV7&lt;&gt;"",AV7&lt;=前提条件!$C$8),IF(2&gt;=3,30000,IF(AV7&lt;3,15000,10000))*6,0)+IF(AND(AV8&lt;&gt;"",AV8&lt;=前提条件!$C$8),30000*6,0))</f>
        <v/>
      </c>
      <c r="AW12" s="350">
        <f>IF(AW$3="","",IF(AND(AW6&lt;&gt;"",AW6&lt;=前提条件!$C$8),IF(1&gt;=3,30000,IF(AW6&lt;3,15000,10000))*6,0)+IF(AND(AW7&lt;&gt;"",AW7&lt;=前提条件!$C$8),IF(2&gt;=3,30000,IF(AW7&lt;3,15000,10000))*6,0)+IF(AND(AW8&lt;&gt;"",AW8&lt;=前提条件!$C$8),30000*6,0))</f>
        <v/>
      </c>
      <c r="AX12" s="350">
        <f>IF(AX$3="","",IF(AND(AX6&lt;&gt;"",AX6&lt;=前提条件!$C$8),IF(1&gt;=3,30000,IF(AX6&lt;3,15000,10000))*6,0)+IF(AND(AX7&lt;&gt;"",AX7&lt;=前提条件!$C$8),IF(2&gt;=3,30000,IF(AX7&lt;3,15000,10000))*6,0)+IF(AND(AX8&lt;&gt;"",AX8&lt;=前提条件!$C$8),30000*6,0))</f>
        <v/>
      </c>
      <c r="AY12" s="350">
        <f>IF(AY$3="","",IF(AND(AY6&lt;&gt;"",AY6&lt;=前提条件!$C$8),IF(1&gt;=3,30000,IF(AY6&lt;3,15000,10000))*6,0)+IF(AND(AY7&lt;&gt;"",AY7&lt;=前提条件!$C$8),IF(2&gt;=3,30000,IF(AY7&lt;3,15000,10000))*6,0)+IF(AND(AY8&lt;&gt;"",AY8&lt;=前提条件!$C$8),30000*6,0))</f>
        <v/>
      </c>
      <c r="AZ12" s="350">
        <f>IF(AZ$3="","",IF(AND(AZ6&lt;&gt;"",AZ6&lt;=前提条件!$C$8),IF(1&gt;=3,30000,IF(AZ6&lt;3,15000,10000))*6,0)+IF(AND(AZ7&lt;&gt;"",AZ7&lt;=前提条件!$C$8),IF(2&gt;=3,30000,IF(AZ7&lt;3,15000,10000))*6,0)+IF(AND(AZ8&lt;&gt;"",AZ8&lt;=前提条件!$C$8),30000*6,0))</f>
        <v/>
      </c>
      <c r="BA12" s="350">
        <f>IF(BA$3="","",IF(AND(BA6&lt;&gt;"",BA6&lt;=前提条件!$C$8),IF(1&gt;=3,30000,IF(BA6&lt;3,15000,10000))*6,0)+IF(AND(BA7&lt;&gt;"",BA7&lt;=前提条件!$C$8),IF(2&gt;=3,30000,IF(BA7&lt;3,15000,10000))*6,0)+IF(AND(BA8&lt;&gt;"",BA8&lt;=前提条件!$C$8),30000*6,0))</f>
        <v/>
      </c>
      <c r="BB12" s="350">
        <f>IF(BB$3="","",IF(AND(BB6&lt;&gt;"",BB6&lt;=前提条件!$C$8),IF(1&gt;=3,30000,IF(BB6&lt;3,15000,10000))*6,0)+IF(AND(BB7&lt;&gt;"",BB7&lt;=前提条件!$C$8),IF(2&gt;=3,30000,IF(BB7&lt;3,15000,10000))*6,0)+IF(AND(BB8&lt;&gt;"",BB8&lt;=前提条件!$C$8),30000*6,0))</f>
        <v/>
      </c>
      <c r="BC12" s="350">
        <f>IF(BC$3="","",IF(AND(BC6&lt;&gt;"",BC6&lt;=前提条件!$C$8),IF(1&gt;=3,30000,IF(BC6&lt;3,15000,10000))*6,0)+IF(AND(BC7&lt;&gt;"",BC7&lt;=前提条件!$C$8),IF(2&gt;=3,30000,IF(BC7&lt;3,15000,10000))*6,0)+IF(AND(BC8&lt;&gt;"",BC8&lt;=前提条件!$C$8),30000*6,0))</f>
        <v/>
      </c>
      <c r="BD12" s="350">
        <f>IF(BD$3="","",IF(AND(BD6&lt;&gt;"",BD6&lt;=前提条件!$C$8),IF(1&gt;=3,30000,IF(BD6&lt;3,15000,10000))*6,0)+IF(AND(BD7&lt;&gt;"",BD7&lt;=前提条件!$C$8),IF(2&gt;=3,30000,IF(BD7&lt;3,15000,10000))*6,0)+IF(AND(BD8&lt;&gt;"",BD8&lt;=前提条件!$C$8),30000*6,0))</f>
        <v/>
      </c>
      <c r="BE12" s="350">
        <f>IF(BE$3="","",IF(AND(BE6&lt;&gt;"",BE6&lt;=前提条件!$C$8),IF(1&gt;=3,30000,IF(BE6&lt;3,15000,10000))*6,0)+IF(AND(BE7&lt;&gt;"",BE7&lt;=前提条件!$C$8),IF(2&gt;=3,30000,IF(BE7&lt;3,15000,10000))*6,0)+IF(AND(BE8&lt;&gt;"",BE8&lt;=前提条件!$C$8),30000*6,0))</f>
        <v/>
      </c>
      <c r="BF12" s="350">
        <f>IF(BF$3="","",IF(AND(BF6&lt;&gt;"",BF6&lt;=前提条件!$C$8),IF(1&gt;=3,30000,IF(BF6&lt;3,15000,10000))*6,0)+IF(AND(BF7&lt;&gt;"",BF7&lt;=前提条件!$C$8),IF(2&gt;=3,30000,IF(BF7&lt;3,15000,10000))*6,0)+IF(AND(BF8&lt;&gt;"",BF8&lt;=前提条件!$C$8),30000*6,0))</f>
        <v/>
      </c>
      <c r="BG12" s="350">
        <f>IF(BG$3="","",IF(AND(BG6&lt;&gt;"",BG6&lt;=前提条件!$C$8),IF(1&gt;=3,30000,IF(BG6&lt;3,15000,10000))*6,0)+IF(AND(BG7&lt;&gt;"",BG7&lt;=前提条件!$C$8),IF(2&gt;=3,30000,IF(BG7&lt;3,15000,10000))*6,0)+IF(AND(BG8&lt;&gt;"",BG8&lt;=前提条件!$C$8),30000*6,0))</f>
        <v/>
      </c>
      <c r="BH12" s="350">
        <f>IF(BH$3="","",IF(AND(BH6&lt;&gt;"",BH6&lt;=前提条件!$C$8),IF(1&gt;=3,30000,IF(BH6&lt;3,15000,10000))*6,0)+IF(AND(BH7&lt;&gt;"",BH7&lt;=前提条件!$C$8),IF(2&gt;=3,30000,IF(BH7&lt;3,15000,10000))*6,0)+IF(AND(BH8&lt;&gt;"",BH8&lt;=前提条件!$C$8),30000*6,0))</f>
        <v/>
      </c>
      <c r="BI12" s="350">
        <f>IF(BI$3="","",IF(AND(BI6&lt;&gt;"",BI6&lt;=前提条件!$C$8),IF(1&gt;=3,30000,IF(BI6&lt;3,15000,10000))*6,0)+IF(AND(BI7&lt;&gt;"",BI7&lt;=前提条件!$C$8),IF(2&gt;=3,30000,IF(BI7&lt;3,15000,10000))*6,0)+IF(AND(BI8&lt;&gt;"",BI8&lt;=前提条件!$C$8),30000*6,0))</f>
        <v/>
      </c>
      <c r="BJ12" s="350">
        <f>IF(BJ$3="","",IF(AND(BJ6&lt;&gt;"",BJ6&lt;=前提条件!$C$8),IF(1&gt;=3,30000,IF(BJ6&lt;3,15000,10000))*6,0)+IF(AND(BJ7&lt;&gt;"",BJ7&lt;=前提条件!$C$8),IF(2&gt;=3,30000,IF(BJ7&lt;3,15000,10000))*6,0)+IF(AND(BJ8&lt;&gt;"",BJ8&lt;=前提条件!$C$8),30000*6,0))</f>
        <v/>
      </c>
      <c r="BK12" s="350">
        <f>IF(BK$3="","",IF(AND(BK6&lt;&gt;"",BK6&lt;=前提条件!$C$8),IF(1&gt;=3,30000,IF(BK6&lt;3,15000,10000))*6,0)+IF(AND(BK7&lt;&gt;"",BK7&lt;=前提条件!$C$8),IF(2&gt;=3,30000,IF(BK7&lt;3,15000,10000))*6,0)+IF(AND(BK8&lt;&gt;"",BK8&lt;=前提条件!$C$8),30000*6,0))</f>
        <v/>
      </c>
      <c r="BL12" s="350">
        <f>IF(BL$3="","",IF(AND(BL6&lt;&gt;"",BL6&lt;=前提条件!$C$8),IF(1&gt;=3,30000,IF(BL6&lt;3,15000,10000))*6,0)+IF(AND(BL7&lt;&gt;"",BL7&lt;=前提条件!$C$8),IF(2&gt;=3,30000,IF(BL7&lt;3,15000,10000))*6,0)+IF(AND(BL8&lt;&gt;"",BL8&lt;=前提条件!$C$8),30000*6,0))</f>
        <v/>
      </c>
      <c r="BM12" s="350">
        <f>IF(BM$3="","",IF(AND(BM6&lt;&gt;"",BM6&lt;=前提条件!$C$8),IF(1&gt;=3,30000,IF(BM6&lt;3,15000,10000))*6,0)+IF(AND(BM7&lt;&gt;"",BM7&lt;=前提条件!$C$8),IF(2&gt;=3,30000,IF(BM7&lt;3,15000,10000))*6,0)+IF(AND(BM8&lt;&gt;"",BM8&lt;=前提条件!$C$8),30000*6,0))</f>
        <v/>
      </c>
      <c r="BN12" s="350">
        <f>IF(BN$3="","",IF(AND(BN6&lt;&gt;"",BN6&lt;=前提条件!$C$8),IF(1&gt;=3,30000,IF(BN6&lt;3,15000,10000))*6,0)+IF(AND(BN7&lt;&gt;"",BN7&lt;=前提条件!$C$8),IF(2&gt;=3,30000,IF(BN7&lt;3,15000,10000))*6,0)+IF(AND(BN8&lt;&gt;"",BN8&lt;=前提条件!$C$8),30000*6,0))</f>
        <v/>
      </c>
      <c r="BO12" s="350">
        <f>IF(BO$3="","",IF(AND(BO6&lt;&gt;"",BO6&lt;=前提条件!$C$8),IF(1&gt;=3,30000,IF(BO6&lt;3,15000,10000))*6,0)+IF(AND(BO7&lt;&gt;"",BO7&lt;=前提条件!$C$8),IF(2&gt;=3,30000,IF(BO7&lt;3,15000,10000))*6,0)+IF(AND(BO8&lt;&gt;"",BO8&lt;=前提条件!$C$8),30000*6,0))</f>
        <v/>
      </c>
      <c r="BP12" s="350">
        <f>IF(BP$3="","",IF(AND(BP6&lt;&gt;"",BP6&lt;=前提条件!$C$8),IF(1&gt;=3,30000,IF(BP6&lt;3,15000,10000))*6,0)+IF(AND(BP7&lt;&gt;"",BP7&lt;=前提条件!$C$8),IF(2&gt;=3,30000,IF(BP7&lt;3,15000,10000))*6,0)+IF(AND(BP8&lt;&gt;"",BP8&lt;=前提条件!$C$8),30000*6,0))</f>
        <v/>
      </c>
      <c r="BQ12" s="350">
        <f>IF(BQ$3="","",IF(AND(BQ6&lt;&gt;"",BQ6&lt;=前提条件!$C$8),IF(1&gt;=3,30000,IF(BQ6&lt;3,15000,10000))*6,0)+IF(AND(BQ7&lt;&gt;"",BQ7&lt;=前提条件!$C$8),IF(2&gt;=3,30000,IF(BQ7&lt;3,15000,10000))*6,0)+IF(AND(BQ8&lt;&gt;"",BQ8&lt;=前提条件!$C$8),30000*6,0))</f>
        <v/>
      </c>
      <c r="BR12" s="350">
        <f>IF(BR$3="","",IF(AND(BR6&lt;&gt;"",BR6&lt;=前提条件!$C$8),IF(1&gt;=3,30000,IF(BR6&lt;3,15000,10000))*6,0)+IF(AND(BR7&lt;&gt;"",BR7&lt;=前提条件!$C$8),IF(2&gt;=3,30000,IF(BR7&lt;3,15000,10000))*6,0)+IF(AND(BR8&lt;&gt;"",BR8&lt;=前提条件!$C$8),30000*6,0))</f>
        <v/>
      </c>
      <c r="BS12" s="350">
        <f>IF(BS$3="","",IF(AND(BS6&lt;&gt;"",BS6&lt;=前提条件!$C$8),IF(1&gt;=3,30000,IF(BS6&lt;3,15000,10000))*6,0)+IF(AND(BS7&lt;&gt;"",BS7&lt;=前提条件!$C$8),IF(2&gt;=3,30000,IF(BS7&lt;3,15000,10000))*6,0)+IF(AND(BS8&lt;&gt;"",BS8&lt;=前提条件!$C$8),30000*6,0))</f>
        <v/>
      </c>
      <c r="BT12" s="350">
        <f>IF(BT$3="","",IF(AND(BT6&lt;&gt;"",BT6&lt;=前提条件!$C$8),IF(1&gt;=3,30000,IF(BT6&lt;3,15000,10000))*6,0)+IF(AND(BT7&lt;&gt;"",BT7&lt;=前提条件!$C$8),IF(2&gt;=3,30000,IF(BT7&lt;3,15000,10000))*6,0)+IF(AND(BT8&lt;&gt;"",BT8&lt;=前提条件!$C$8),30000*6,0))</f>
        <v/>
      </c>
      <c r="BU12" s="350">
        <f>IF(BU$3="","",IF(AND(BU6&lt;&gt;"",BU6&lt;=前提条件!$C$8),IF(1&gt;=3,30000,IF(BU6&lt;3,15000,10000))*6,0)+IF(AND(BU7&lt;&gt;"",BU7&lt;=前提条件!$C$8),IF(2&gt;=3,30000,IF(BU7&lt;3,15000,10000))*6,0)+IF(AND(BU8&lt;&gt;"",BU8&lt;=前提条件!$C$8),30000*6,0))</f>
        <v/>
      </c>
      <c r="BV12" s="350">
        <f>IF(BV$3="","",IF(AND(BV6&lt;&gt;"",BV6&lt;=前提条件!$C$8),IF(1&gt;=3,30000,IF(BV6&lt;3,15000,10000))*6,0)+IF(AND(BV7&lt;&gt;"",BV7&lt;=前提条件!$C$8),IF(2&gt;=3,30000,IF(BV7&lt;3,15000,10000))*6,0)+IF(AND(BV8&lt;&gt;"",BV8&lt;=前提条件!$C$8),30000*6,0))</f>
        <v/>
      </c>
      <c r="BW12" s="350">
        <f>IF(BW$3="","",IF(AND(BW6&lt;&gt;"",BW6&lt;=前提条件!$C$8),IF(1&gt;=3,30000,IF(BW6&lt;3,15000,10000))*6,0)+IF(AND(BW7&lt;&gt;"",BW7&lt;=前提条件!$C$8),IF(2&gt;=3,30000,IF(BW7&lt;3,15000,10000))*6,0)+IF(AND(BW8&lt;&gt;"",BW8&lt;=前提条件!$C$8),30000*6,0))</f>
        <v/>
      </c>
      <c r="BX12" s="350">
        <f>IF(BX$3="","",IF(AND(BX6&lt;&gt;"",BX6&lt;=前提条件!$C$8),IF(1&gt;=3,30000,IF(BX6&lt;3,15000,10000))*6,0)+IF(AND(BX7&lt;&gt;"",BX7&lt;=前提条件!$C$8),IF(2&gt;=3,30000,IF(BX7&lt;3,15000,10000))*6,0)+IF(AND(BX8&lt;&gt;"",BX8&lt;=前提条件!$C$8),30000*6,0))</f>
        <v/>
      </c>
      <c r="BY12" s="350">
        <f>IF(BY$3="","",IF(AND(BY6&lt;&gt;"",BY6&lt;=前提条件!$C$8),IF(1&gt;=3,30000,IF(BY6&lt;3,15000,10000))*6,0)+IF(AND(BY7&lt;&gt;"",BY7&lt;=前提条件!$C$8),IF(2&gt;=3,30000,IF(BY7&lt;3,15000,10000))*6,0)+IF(AND(BY8&lt;&gt;"",BY8&lt;=前提条件!$C$8),30000*6,0))</f>
        <v/>
      </c>
      <c r="BZ12" s="350">
        <f>IF(BZ$3="","",IF(AND(BZ6&lt;&gt;"",BZ6&lt;=前提条件!$C$8),IF(1&gt;=3,30000,IF(BZ6&lt;3,15000,10000))*6,0)+IF(AND(BZ7&lt;&gt;"",BZ7&lt;=前提条件!$C$8),IF(2&gt;=3,30000,IF(BZ7&lt;3,15000,10000))*6,0)+IF(AND(BZ8&lt;&gt;"",BZ8&lt;=前提条件!$C$8),30000*6,0))</f>
        <v/>
      </c>
      <c r="CA12" s="350">
        <f>IF(CA$3="","",IF(AND(CA6&lt;&gt;"",CA6&lt;=前提条件!$C$8),IF(1&gt;=3,30000,IF(CA6&lt;3,15000,10000))*6,0)+IF(AND(CA7&lt;&gt;"",CA7&lt;=前提条件!$C$8),IF(2&gt;=3,30000,IF(CA7&lt;3,15000,10000))*6,0)+IF(AND(CA8&lt;&gt;"",CA8&lt;=前提条件!$C$8),30000*6,0))</f>
        <v/>
      </c>
      <c r="CB12" s="350">
        <f>IF(CB$3="","",IF(AND(CB6&lt;&gt;"",CB6&lt;=前提条件!$C$8),IF(1&gt;=3,30000,IF(CB6&lt;3,15000,10000))*6,0)+IF(AND(CB7&lt;&gt;"",CB7&lt;=前提条件!$C$8),IF(2&gt;=3,30000,IF(CB7&lt;3,15000,10000))*6,0)+IF(AND(CB8&lt;&gt;"",CB8&lt;=前提条件!$C$8),30000*6,0))</f>
        <v/>
      </c>
      <c r="CC12" s="350">
        <f>IF(CC$3="","",IF(AND(CC6&lt;&gt;"",CC6&lt;=前提条件!$C$8),IF(1&gt;=3,30000,IF(CC6&lt;3,15000,10000))*6,0)+IF(AND(CC7&lt;&gt;"",CC7&lt;=前提条件!$C$8),IF(2&gt;=3,30000,IF(CC7&lt;3,15000,10000))*6,0)+IF(AND(CC8&lt;&gt;"",CC8&lt;=前提条件!$C$8),30000*6,0))</f>
        <v/>
      </c>
      <c r="CD12" s="350">
        <f>IF(CD$3="","",IF(AND(CD6&lt;&gt;"",CD6&lt;=前提条件!$C$8),IF(1&gt;=3,30000,IF(CD6&lt;3,15000,10000))*6,0)+IF(AND(CD7&lt;&gt;"",CD7&lt;=前提条件!$C$8),IF(2&gt;=3,30000,IF(CD7&lt;3,15000,10000))*6,0)+IF(AND(CD8&lt;&gt;"",CD8&lt;=前提条件!$C$8),30000*6,0))</f>
        <v/>
      </c>
      <c r="CE12" s="350">
        <f>IF(CE$3="","",IF(AND(CE6&lt;&gt;"",CE6&lt;=前提条件!$C$8),IF(1&gt;=3,30000,IF(CE6&lt;3,15000,10000))*6,0)+IF(AND(CE7&lt;&gt;"",CE7&lt;=前提条件!$C$8),IF(2&gt;=3,30000,IF(CE7&lt;3,15000,10000))*6,0)+IF(AND(CE8&lt;&gt;"",CE8&lt;=前提条件!$C$8),30000*6,0))</f>
        <v/>
      </c>
      <c r="CF12" s="350">
        <f>IF(CF$3="","",IF(AND(CF6&lt;&gt;"",CF6&lt;=前提条件!$C$8),IF(1&gt;=3,30000,IF(CF6&lt;3,15000,10000))*6,0)+IF(AND(CF7&lt;&gt;"",CF7&lt;=前提条件!$C$8),IF(2&gt;=3,30000,IF(CF7&lt;3,15000,10000))*6,0)+IF(AND(CF8&lt;&gt;"",CF8&lt;=前提条件!$C$8),30000*6,0))</f>
        <v/>
      </c>
      <c r="CG12" s="350">
        <f>IF(CG$3="","",IF(AND(CG6&lt;&gt;"",CG6&lt;=前提条件!$C$8),IF(1&gt;=3,30000,IF(CG6&lt;3,15000,10000))*6,0)+IF(AND(CG7&lt;&gt;"",CG7&lt;=前提条件!$C$8),IF(2&gt;=3,30000,IF(CG7&lt;3,15000,10000))*6,0)+IF(AND(CG8&lt;&gt;"",CG8&lt;=前提条件!$C$8),30000*6,0))</f>
        <v/>
      </c>
      <c r="CH12" s="350">
        <f>IF(CH$3="","",IF(AND(CH6&lt;&gt;"",CH6&lt;=前提条件!$C$8),IF(1&gt;=3,30000,IF(CH6&lt;3,15000,10000))*6,0)+IF(AND(CH7&lt;&gt;"",CH7&lt;=前提条件!$C$8),IF(2&gt;=3,30000,IF(CH7&lt;3,15000,10000))*6,0)+IF(AND(CH8&lt;&gt;"",CH8&lt;=前提条件!$C$8),30000*6,0))</f>
        <v/>
      </c>
      <c r="CI12" s="350">
        <f>IF(CI$3="","",IF(AND(CI6&lt;&gt;"",CI6&lt;=前提条件!$C$8),IF(1&gt;=3,30000,IF(CI6&lt;3,15000,10000))*6,0)+IF(AND(CI7&lt;&gt;"",CI7&lt;=前提条件!$C$8),IF(2&gt;=3,30000,IF(CI7&lt;3,15000,10000))*6,0)+IF(AND(CI8&lt;&gt;"",CI8&lt;=前提条件!$C$8),30000*6,0))</f>
        <v/>
      </c>
      <c r="CJ12" s="350">
        <f>IF(CJ$3="","",IF(AND(CJ6&lt;&gt;"",CJ6&lt;=前提条件!$C$8),IF(1&gt;=3,30000,IF(CJ6&lt;3,15000,10000))*6,0)+IF(AND(CJ7&lt;&gt;"",CJ7&lt;=前提条件!$C$8),IF(2&gt;=3,30000,IF(CJ7&lt;3,15000,10000))*6,0)+IF(AND(CJ8&lt;&gt;"",CJ8&lt;=前提条件!$C$8),30000*6,0))</f>
        <v/>
      </c>
      <c r="CK12" s="350">
        <f>IF(CK$3="","",IF(AND(CK6&lt;&gt;"",CK6&lt;=前提条件!$C$8),IF(1&gt;=3,30000,IF(CK6&lt;3,15000,10000))*6,0)+IF(AND(CK7&lt;&gt;"",CK7&lt;=前提条件!$C$8),IF(2&gt;=3,30000,IF(CK7&lt;3,15000,10000))*6,0)+IF(AND(CK8&lt;&gt;"",CK8&lt;=前提条件!$C$8),30000*6,0))</f>
        <v/>
      </c>
      <c r="CL12" s="350">
        <f>IF(CL$3="","",IF(AND(CL6&lt;&gt;"",CL6&lt;=前提条件!$C$8),IF(1&gt;=3,30000,IF(CL6&lt;3,15000,10000))*6,0)+IF(AND(CL7&lt;&gt;"",CL7&lt;=前提条件!$C$8),IF(2&gt;=3,30000,IF(CL7&lt;3,15000,10000))*6,0)+IF(AND(CL8&lt;&gt;"",CL8&lt;=前提条件!$C$8),30000*6,0))</f>
        <v/>
      </c>
      <c r="CM12" s="350">
        <f>IF(CM$3="","",IF(AND(CM6&lt;&gt;"",CM6&lt;=前提条件!$C$8),IF(1&gt;=3,30000,IF(CM6&lt;3,15000,10000))*6,0)+IF(AND(CM7&lt;&gt;"",CM7&lt;=前提条件!$C$8),IF(2&gt;=3,30000,IF(CM7&lt;3,15000,10000))*6,0)+IF(AND(CM8&lt;&gt;"",CM8&lt;=前提条件!$C$8),30000*6,0))</f>
        <v/>
      </c>
      <c r="CN12" s="350">
        <f>IF(CN$3="","",IF(AND(CN6&lt;&gt;"",CN6&lt;=前提条件!$C$8),IF(1&gt;=3,30000,IF(CN6&lt;3,15000,10000))*6,0)+IF(AND(CN7&lt;&gt;"",CN7&lt;=前提条件!$C$8),IF(2&gt;=3,30000,IF(CN7&lt;3,15000,10000))*6,0)+IF(AND(CN8&lt;&gt;"",CN8&lt;=前提条件!$C$8),30000*6,0))</f>
        <v/>
      </c>
      <c r="CO12" s="350">
        <f>IF(CO$3="","",IF(AND(CO6&lt;&gt;"",CO6&lt;=前提条件!$C$8),IF(1&gt;=3,30000,IF(CO6&lt;3,15000,10000))*6,0)+IF(AND(CO7&lt;&gt;"",CO7&lt;=前提条件!$C$8),IF(2&gt;=3,30000,IF(CO7&lt;3,15000,10000))*6,0)+IF(AND(CO8&lt;&gt;"",CO8&lt;=前提条件!$C$8),30000*6,0))</f>
        <v/>
      </c>
      <c r="CP12" s="350">
        <f>IF(CP$3="","",IF(AND(CP6&lt;&gt;"",CP6&lt;=前提条件!$C$8),IF(1&gt;=3,30000,IF(CP6&lt;3,15000,10000))*6,0)+IF(AND(CP7&lt;&gt;"",CP7&lt;=前提条件!$C$8),IF(2&gt;=3,30000,IF(CP7&lt;3,15000,10000))*6,0)+IF(AND(CP8&lt;&gt;"",CP8&lt;=前提条件!$C$8),30000*6,0))</f>
        <v/>
      </c>
      <c r="CQ12" s="350">
        <f>IF(CQ$3="","",IF(AND(CQ6&lt;&gt;"",CQ6&lt;=前提条件!$C$8),IF(1&gt;=3,30000,IF(CQ6&lt;3,15000,10000))*6,0)+IF(AND(CQ7&lt;&gt;"",CQ7&lt;=前提条件!$C$8),IF(2&gt;=3,30000,IF(CQ7&lt;3,15000,10000))*6,0)+IF(AND(CQ8&lt;&gt;"",CQ8&lt;=前提条件!$C$8),30000*6,0))</f>
        <v/>
      </c>
      <c r="CR12" s="350">
        <f>IF(CR$3="","",IF(AND(CR6&lt;&gt;"",CR6&lt;=前提条件!$C$8),IF(1&gt;=3,30000,IF(CR6&lt;3,15000,10000))*6,0)+IF(AND(CR7&lt;&gt;"",CR7&lt;=前提条件!$C$8),IF(2&gt;=3,30000,IF(CR7&lt;3,15000,10000))*6,0)+IF(AND(CR8&lt;&gt;"",CR8&lt;=前提条件!$C$8),30000*6,0))</f>
        <v/>
      </c>
      <c r="CS12" s="350">
        <f>IF(CS$3="","",IF(AND(CS6&lt;&gt;"",CS6&lt;=前提条件!$C$8),IF(1&gt;=3,30000,IF(CS6&lt;3,15000,10000))*6,0)+IF(AND(CS7&lt;&gt;"",CS7&lt;=前提条件!$C$8),IF(2&gt;=3,30000,IF(CS7&lt;3,15000,10000))*6,0)+IF(AND(CS8&lt;&gt;"",CS8&lt;=前提条件!$C$8),30000*6,0))</f>
        <v/>
      </c>
      <c r="CT12" s="350">
        <f>IF(CT$3="","",IF(AND(CT6&lt;&gt;"",CT6&lt;=前提条件!$C$8),IF(1&gt;=3,30000,IF(CT6&lt;3,15000,10000))*6,0)+IF(AND(CT7&lt;&gt;"",CT7&lt;=前提条件!$C$8),IF(2&gt;=3,30000,IF(CT7&lt;3,15000,10000))*6,0)+IF(AND(CT8&lt;&gt;"",CT8&lt;=前提条件!$C$8),30000*6,0))</f>
        <v/>
      </c>
      <c r="CU12" s="350">
        <f>IF(CU$3="","",IF(AND(CU6&lt;&gt;"",CU6&lt;=前提条件!$C$8),IF(1&gt;=3,30000,IF(CU6&lt;3,15000,10000))*6,0)+IF(AND(CU7&lt;&gt;"",CU7&lt;=前提条件!$C$8),IF(2&gt;=3,30000,IF(CU7&lt;3,15000,10000))*6,0)+IF(AND(CU8&lt;&gt;"",CU8&lt;=前提条件!$C$8),30000*6,0))</f>
        <v/>
      </c>
      <c r="CV12" s="350">
        <f>IF(CV$3="","",IF(AND(CV6&lt;&gt;"",CV6&lt;=前提条件!$C$8),IF(1&gt;=3,30000,IF(CV6&lt;3,15000,10000))*6,0)+IF(AND(CV7&lt;&gt;"",CV7&lt;=前提条件!$C$8),IF(2&gt;=3,30000,IF(CV7&lt;3,15000,10000))*6,0)+IF(AND(CV8&lt;&gt;"",CV8&lt;=前提条件!$C$8),30000*6,0))</f>
        <v/>
      </c>
      <c r="CW12" s="350">
        <f>IF(CW$3="","",IF(AND(CW6&lt;&gt;"",CW6&lt;=前提条件!$C$8),入力データ!$C$34*6,0)+IF(AND(CW7&lt;&gt;"",CW7&lt;=前提条件!$C$8),入力データ!$C$34*6,0)+IF(AND(CW8&lt;&gt;"",CW8&lt;=前提条件!$C$8),入力データ!$C$34*6,0))</f>
        <v/>
      </c>
    </row>
    <row r="13" ht="15" customHeight="1" s="180">
      <c r="A13" s="220" t="inlineStr">
        <is>
          <t>その他収入</t>
        </is>
      </c>
      <c r="B13" s="350">
        <f>IF(B$3="","",入力データ!$C$35*12+IF(AND(B5&lt;&gt;"",B5&lt;前提条件!$C$38),前提条件!$C$57*12,0))</f>
        <v/>
      </c>
      <c r="C13" s="350">
        <f>IF(C$3="","",入力データ!$C$35*12+IF(AND(C5&lt;&gt;"",C5&lt;前提条件!$C$38),前提条件!$C$57*12,0))</f>
        <v/>
      </c>
      <c r="D13" s="350">
        <f>IF(D$3="","",入力データ!$C$35*12+IF(AND(D5&lt;&gt;"",D5&lt;前提条件!$C$38),前提条件!$C$57*12,0))</f>
        <v/>
      </c>
      <c r="E13" s="350">
        <f>IF(E$3="","",入力データ!$C$35*12+IF(AND(E5&lt;&gt;"",E5&lt;前提条件!$C$38),前提条件!$C$57*12,0))</f>
        <v/>
      </c>
      <c r="F13" s="350">
        <f>IF(F$3="","",入力データ!$C$35*12+IF(AND(F5&lt;&gt;"",F5&lt;前提条件!$C$38),前提条件!$C$57*12,0))</f>
        <v/>
      </c>
      <c r="G13" s="350">
        <f>IF(G$3="","",入力データ!$C$35*12+IF(AND(G5&lt;&gt;"",G5&lt;前提条件!$C$38),前提条件!$C$57*12,0))</f>
        <v/>
      </c>
      <c r="H13" s="350">
        <f>IF(H$3="","",入力データ!$C$35*12+IF(AND(H5&lt;&gt;"",H5&lt;前提条件!$C$38),前提条件!$C$57*12,0))</f>
        <v/>
      </c>
      <c r="I13" s="350">
        <f>IF(I$3="","",入力データ!$C$35*12+IF(AND(I5&lt;&gt;"",I5&lt;前提条件!$C$38),前提条件!$C$57*12,0))</f>
        <v/>
      </c>
      <c r="J13" s="350">
        <f>IF(J$3="","",入力データ!$C$35*12+IF(AND(J5&lt;&gt;"",J5&lt;前提条件!$C$38),前提条件!$C$57*12,0))</f>
        <v/>
      </c>
      <c r="K13" s="350">
        <f>IF(K$3="","",入力データ!$C$35*12+IF(AND(K5&lt;&gt;"",K5&lt;前提条件!$C$38),前提条件!$C$57*12,0))</f>
        <v/>
      </c>
      <c r="L13" s="350">
        <f>IF(L$3="","",入力データ!$C$35*12+IF(AND(L5&lt;&gt;"",L5&lt;前提条件!$C$38),前提条件!$C$57*12,0))</f>
        <v/>
      </c>
      <c r="M13" s="350">
        <f>IF(M$3="","",入力データ!$C$35*12+IF(AND(M5&lt;&gt;"",M5&lt;前提条件!$C$38),前提条件!$C$57*12,0))</f>
        <v/>
      </c>
      <c r="N13" s="350">
        <f>IF(N$3="","",入力データ!$C$35*12+IF(AND(N5&lt;&gt;"",N5&lt;前提条件!$C$38),前提条件!$C$57*12,0))</f>
        <v/>
      </c>
      <c r="O13" s="350">
        <f>IF(O$3="","",入力データ!$C$35*12+IF(AND(O5&lt;&gt;"",O5&lt;前提条件!$C$38),前提条件!$C$57*12,0))</f>
        <v/>
      </c>
      <c r="P13" s="350">
        <f>IF(P$3="","",入力データ!$C$35*12+IF(AND(P5&lt;&gt;"",P5&lt;前提条件!$C$38),前提条件!$C$57*12,0))</f>
        <v/>
      </c>
      <c r="Q13" s="350">
        <f>IF(Q$3="","",入力データ!$C$35*12+IF(AND(Q5&lt;&gt;"",Q5&lt;前提条件!$C$38),前提条件!$C$57*12,0))</f>
        <v/>
      </c>
      <c r="R13" s="350">
        <f>IF(R$3="","",入力データ!$C$35*12+IF(AND(R5&lt;&gt;"",R5&lt;前提条件!$C$38),前提条件!$C$57*12,0))</f>
        <v/>
      </c>
      <c r="S13" s="350">
        <f>IF(S$3="","",入力データ!$C$35*12+IF(AND(S5&lt;&gt;"",S5&lt;前提条件!$C$38),前提条件!$C$57*12,0))</f>
        <v/>
      </c>
      <c r="T13" s="350">
        <f>IF(T$3="","",入力データ!$C$35*12+IF(AND(T5&lt;&gt;"",T5&lt;前提条件!$C$38),前提条件!$C$57*12,0))</f>
        <v/>
      </c>
      <c r="U13" s="350">
        <f>IF(U$3="","",入力データ!$C$35*12+IF(AND(U5&lt;&gt;"",U5&lt;前提条件!$C$38),前提条件!$C$57*12,0))</f>
        <v/>
      </c>
      <c r="V13" s="350">
        <f>IF(V$3="","",入力データ!$C$35*12+IF(AND(V5&lt;&gt;"",V5&lt;前提条件!$C$38),前提条件!$C$57*12,0))</f>
        <v/>
      </c>
      <c r="W13" s="350">
        <f>IF(W$3="","",入力データ!$C$35*12+IF(AND(W5&lt;&gt;"",W5&lt;前提条件!$C$38),前提条件!$C$57*12,0))</f>
        <v/>
      </c>
      <c r="X13" s="350">
        <f>IF(X$3="","",入力データ!$C$35*12+IF(AND(X5&lt;&gt;"",X5&lt;前提条件!$C$38),前提条件!$C$57*12,0))</f>
        <v/>
      </c>
      <c r="Y13" s="350">
        <f>IF(Y$3="","",入力データ!$C$35*12+IF(AND(Y5&lt;&gt;"",Y5&lt;前提条件!$C$38),前提条件!$C$57*12,0))</f>
        <v/>
      </c>
      <c r="Z13" s="350">
        <f>IF(Z$3="","",入力データ!$C$35*12+IF(AND(Z5&lt;&gt;"",Z5&lt;前提条件!$C$38),前提条件!$C$57*12,0))</f>
        <v/>
      </c>
      <c r="AA13" s="350">
        <f>IF(AA$3="","",入力データ!$C$35*12+IF(AND(AA5&lt;&gt;"",AA5&lt;前提条件!$C$38),前提条件!$C$57*12,0))</f>
        <v/>
      </c>
      <c r="AB13" s="350">
        <f>IF(AB$3="","",入力データ!$C$35*12+IF(AND(AB5&lt;&gt;"",AB5&lt;前提条件!$C$38),前提条件!$C$57*12,0))</f>
        <v/>
      </c>
      <c r="AC13" s="350">
        <f>IF(AC$3="","",入力データ!$C$35*12+IF(AND(AC5&lt;&gt;"",AC5&lt;前提条件!$C$38),前提条件!$C$57*12,0))</f>
        <v/>
      </c>
      <c r="AD13" s="350">
        <f>IF(AD$3="","",入力データ!$C$35*12+IF(AND(AD5&lt;&gt;"",AD5&lt;前提条件!$C$38),前提条件!$C$57*12,0))</f>
        <v/>
      </c>
      <c r="AE13" s="350">
        <f>IF(AE$3="","",入力データ!$C$35*12+IF(AND(AE5&lt;&gt;"",AE5&lt;前提条件!$C$38),前提条件!$C$57*12,0))</f>
        <v/>
      </c>
      <c r="AF13" s="350">
        <f>IF(AF$3="","",入力データ!$C$35*12+IF(AND(AF5&lt;&gt;"",AF5&lt;前提条件!$C$38),前提条件!$C$57*12,0))</f>
        <v/>
      </c>
      <c r="AG13" s="350">
        <f>IF(AG$3="","",入力データ!$C$35*12+IF(AND(AG5&lt;&gt;"",AG5&lt;前提条件!$C$38),前提条件!$C$57*12,0))</f>
        <v/>
      </c>
      <c r="AH13" s="350">
        <f>IF(AH$3="","",入力データ!$C$35*12+IF(AND(AH5&lt;&gt;"",AH5&lt;前提条件!$C$38),前提条件!$C$57*12,0))</f>
        <v/>
      </c>
      <c r="AI13" s="350">
        <f>IF(AI$3="","",入力データ!$C$35*12+IF(AND(AI5&lt;&gt;"",AI5&lt;前提条件!$C$38),前提条件!$C$57*12,0))</f>
        <v/>
      </c>
      <c r="AJ13" s="350">
        <f>IF(AJ$3="","",入力データ!$C$35*12+IF(AND(AJ5&lt;&gt;"",AJ5&lt;前提条件!$C$38),前提条件!$C$57*12,0))</f>
        <v/>
      </c>
      <c r="AK13" s="350">
        <f>IF(AK$3="","",入力データ!$C$35*12+IF(AND(AK5&lt;&gt;"",AK5&lt;前提条件!$C$38),前提条件!$C$57*12,0))</f>
        <v/>
      </c>
      <c r="AL13" s="350">
        <f>IF(AL$3="","",入力データ!$C$35*12+IF(AND(AL5&lt;&gt;"",AL5&lt;前提条件!$C$38),前提条件!$C$57*12,0))</f>
        <v/>
      </c>
      <c r="AM13" s="350">
        <f>IF(AM$3="","",入力データ!$C$35*12+IF(AND(AM5&lt;&gt;"",AM5&lt;前提条件!$C$38),前提条件!$C$57*12,0))</f>
        <v/>
      </c>
      <c r="AN13" s="350">
        <f>IF(AN$3="","",入力データ!$C$35*12+IF(AND(AN5&lt;&gt;"",AN5&lt;前提条件!$C$38),前提条件!$C$57*12,0))</f>
        <v/>
      </c>
      <c r="AO13" s="350">
        <f>IF(AO$3="","",入力データ!$C$35*12+IF(AND(AO5&lt;&gt;"",AO5&lt;前提条件!$C$38),前提条件!$C$57*12,0))</f>
        <v/>
      </c>
      <c r="AP13" s="350">
        <f>IF(AP$3="","",入力データ!$C$35*12+IF(AND(AP5&lt;&gt;"",AP5&lt;前提条件!$C$38),前提条件!$C$57*12,0))</f>
        <v/>
      </c>
      <c r="AQ13" s="350">
        <f>IF(AQ$3="","",入力データ!$C$35*12+IF(AND(AQ5&lt;&gt;"",AQ5&lt;前提条件!$C$38),前提条件!$C$57*12,0))</f>
        <v/>
      </c>
      <c r="AR13" s="350">
        <f>IF(AR$3="","",入力データ!$C$35*12+IF(AND(AR5&lt;&gt;"",AR5&lt;前提条件!$C$38),前提条件!$C$57*12,0))</f>
        <v/>
      </c>
      <c r="AS13" s="350">
        <f>IF(AS$3="","",入力データ!$C$35*12+IF(AND(AS5&lt;&gt;"",AS5&lt;前提条件!$C$38),前提条件!$C$57*12,0))</f>
        <v/>
      </c>
      <c r="AT13" s="350">
        <f>IF(AT$3="","",入力データ!$C$35*12+IF(AND(AT5&lt;&gt;"",AT5&lt;前提条件!$C$38),前提条件!$C$57*12,0))</f>
        <v/>
      </c>
      <c r="AU13" s="350">
        <f>IF(AU$3="","",入力データ!$C$35*12+IF(AND(AU5&lt;&gt;"",AU5&lt;前提条件!$C$38),前提条件!$C$57*12,0))</f>
        <v/>
      </c>
      <c r="AV13" s="350">
        <f>IF(AV$3="","",入力データ!$C$35*12+IF(AND(AV5&lt;&gt;"",AV5&lt;前提条件!$C$38),前提条件!$C$57*12,0))</f>
        <v/>
      </c>
      <c r="AW13" s="350">
        <f>IF(AW$3="","",入力データ!$C$35*12+IF(AND(AW5&lt;&gt;"",AW5&lt;前提条件!$C$38),前提条件!$C$57*12,0))</f>
        <v/>
      </c>
      <c r="AX13" s="350">
        <f>IF(AX$3="","",入力データ!$C$35*12+IF(AND(AX5&lt;&gt;"",AX5&lt;前提条件!$C$38),前提条件!$C$57*12,0))</f>
        <v/>
      </c>
      <c r="AY13" s="350">
        <f>IF(AY$3="","",入力データ!$C$35*12+IF(AND(AY5&lt;&gt;"",AY5&lt;前提条件!$C$38),前提条件!$C$57*12,0))</f>
        <v/>
      </c>
      <c r="AZ13" s="350">
        <f>IF(AZ$3="","",入力データ!$C$35*12+IF(AND(AZ5&lt;&gt;"",AZ5&lt;前提条件!$C$38),前提条件!$C$57*12,0))</f>
        <v/>
      </c>
      <c r="BA13" s="350">
        <f>IF(BA$3="","",入力データ!$C$35*12+IF(AND(BA5&lt;&gt;"",BA5&lt;前提条件!$C$38),前提条件!$C$57*12,0))</f>
        <v/>
      </c>
      <c r="BB13" s="350">
        <f>IF(BB$3="","",入力データ!$C$35*12+IF(AND(BB5&lt;&gt;"",BB5&lt;前提条件!$C$38),前提条件!$C$57*12,0))</f>
        <v/>
      </c>
      <c r="BC13" s="350">
        <f>IF(BC$3="","",入力データ!$C$35*12+IF(AND(BC5&lt;&gt;"",BC5&lt;前提条件!$C$38),前提条件!$C$57*12,0))</f>
        <v/>
      </c>
      <c r="BD13" s="350">
        <f>IF(BD$3="","",入力データ!$C$35*12+IF(AND(BD5&lt;&gt;"",BD5&lt;前提条件!$C$38),前提条件!$C$57*12,0))</f>
        <v/>
      </c>
      <c r="BE13" s="350">
        <f>IF(BE$3="","",入力データ!$C$35*12+IF(AND(BE5&lt;&gt;"",BE5&lt;前提条件!$C$38),前提条件!$C$57*12,0))</f>
        <v/>
      </c>
      <c r="BF13" s="350">
        <f>IF(BF$3="","",入力データ!$C$35*12+IF(AND(BF5&lt;&gt;"",BF5&lt;前提条件!$C$38),前提条件!$C$57*12,0))</f>
        <v/>
      </c>
      <c r="BG13" s="350">
        <f>IF(BG$3="","",入力データ!$C$35*12+IF(AND(BG5&lt;&gt;"",BG5&lt;前提条件!$C$38),前提条件!$C$57*12,0))</f>
        <v/>
      </c>
      <c r="BH13" s="350">
        <f>IF(BH$3="","",入力データ!$C$35*12+IF(AND(BH5&lt;&gt;"",BH5&lt;前提条件!$C$38),前提条件!$C$57*12,0))</f>
        <v/>
      </c>
      <c r="BI13" s="350">
        <f>IF(BI$3="","",入力データ!$C$35*12+IF(AND(BI5&lt;&gt;"",BI5&lt;前提条件!$C$38),前提条件!$C$57*12,0))</f>
        <v/>
      </c>
      <c r="BJ13" s="350">
        <f>IF(BJ$3="","",入力データ!$C$35*12+IF(AND(BJ5&lt;&gt;"",BJ5&lt;前提条件!$C$38),前提条件!$C$57*12,0))</f>
        <v/>
      </c>
      <c r="BK13" s="350">
        <f>IF(BK$3="","",入力データ!$C$35*12+IF(AND(BK5&lt;&gt;"",BK5&lt;前提条件!$C$38),前提条件!$C$57*12,0))</f>
        <v/>
      </c>
      <c r="BL13" s="350">
        <f>IF(BL$3="","",入力データ!$C$35*12+IF(AND(BL5&lt;&gt;"",BL5&lt;前提条件!$C$38),前提条件!$C$57*12,0))</f>
        <v/>
      </c>
      <c r="BM13" s="350">
        <f>IF(BM$3="","",入力データ!$C$35*12+IF(AND(BM5&lt;&gt;"",BM5&lt;前提条件!$C$38),前提条件!$C$57*12,0))</f>
        <v/>
      </c>
      <c r="BN13" s="350">
        <f>IF(BN$3="","",入力データ!$C$35*12+IF(AND(BN5&lt;&gt;"",BN5&lt;前提条件!$C$38),前提条件!$C$57*12,0))</f>
        <v/>
      </c>
      <c r="BO13" s="350">
        <f>IF(BO$3="","",入力データ!$C$35*12+IF(AND(BO5&lt;&gt;"",BO5&lt;前提条件!$C$38),前提条件!$C$57*12,0))</f>
        <v/>
      </c>
      <c r="BP13" s="350">
        <f>IF(BP$3="","",入力データ!$C$35*12+IF(AND(BP5&lt;&gt;"",BP5&lt;前提条件!$C$38),前提条件!$C$57*12,0))</f>
        <v/>
      </c>
      <c r="BQ13" s="350">
        <f>IF(BQ$3="","",入力データ!$C$35*12+IF(AND(BQ5&lt;&gt;"",BQ5&lt;前提条件!$C$38),前提条件!$C$57*12,0))</f>
        <v/>
      </c>
      <c r="BR13" s="350">
        <f>IF(BR$3="","",入力データ!$C$35*12+IF(AND(BR5&lt;&gt;"",BR5&lt;前提条件!$C$38),前提条件!$C$57*12,0))</f>
        <v/>
      </c>
      <c r="BS13" s="350">
        <f>IF(BS$3="","",入力データ!$C$35*12+IF(AND(BS5&lt;&gt;"",BS5&lt;前提条件!$C$38),前提条件!$C$57*12,0))</f>
        <v/>
      </c>
      <c r="BT13" s="350">
        <f>IF(BT$3="","",入力データ!$C$35*12+IF(AND(BT5&lt;&gt;"",BT5&lt;前提条件!$C$38),前提条件!$C$57*12,0))</f>
        <v/>
      </c>
      <c r="BU13" s="350">
        <f>IF(BU$3="","",入力データ!$C$35*12+IF(AND(BU5&lt;&gt;"",BU5&lt;前提条件!$C$38),前提条件!$C$57*12,0))</f>
        <v/>
      </c>
      <c r="BV13" s="350">
        <f>IF(BV$3="","",入力データ!$C$35*12+IF(AND(BV5&lt;&gt;"",BV5&lt;前提条件!$C$38),前提条件!$C$57*12,0))</f>
        <v/>
      </c>
      <c r="BW13" s="350">
        <f>IF(BW$3="","",入力データ!$C$35*12+IF(AND(BW5&lt;&gt;"",BW5&lt;前提条件!$C$38),前提条件!$C$57*12,0))</f>
        <v/>
      </c>
      <c r="BX13" s="350">
        <f>IF(BX$3="","",入力データ!$C$35*12+IF(AND(BX5&lt;&gt;"",BX5&lt;前提条件!$C$38),前提条件!$C$57*12,0))</f>
        <v/>
      </c>
      <c r="BY13" s="350">
        <f>IF(BY$3="","",入力データ!$C$35*12+IF(AND(BY5&lt;&gt;"",BY5&lt;前提条件!$C$38),前提条件!$C$57*12,0))</f>
        <v/>
      </c>
      <c r="BZ13" s="350">
        <f>IF(BZ$3="","",入力データ!$C$35*12+IF(AND(BZ5&lt;&gt;"",BZ5&lt;前提条件!$C$38),前提条件!$C$57*12,0))</f>
        <v/>
      </c>
      <c r="CA13" s="350">
        <f>IF(CA$3="","",入力データ!$C$35*12+IF(AND(CA5&lt;&gt;"",CA5&lt;前提条件!$C$38),前提条件!$C$57*12,0))</f>
        <v/>
      </c>
      <c r="CB13" s="350">
        <f>IF(CB$3="","",入力データ!$C$35*12+IF(AND(CB5&lt;&gt;"",CB5&lt;前提条件!$C$38),前提条件!$C$57*12,0))</f>
        <v/>
      </c>
      <c r="CC13" s="350">
        <f>IF(CC$3="","",入力データ!$C$35*12+IF(AND(CC5&lt;&gt;"",CC5&lt;前提条件!$C$38),前提条件!$C$57*12,0))</f>
        <v/>
      </c>
      <c r="CD13" s="350">
        <f>IF(CD$3="","",入力データ!$C$35*12+IF(AND(CD5&lt;&gt;"",CD5&lt;前提条件!$C$38),前提条件!$C$57*12,0))</f>
        <v/>
      </c>
      <c r="CE13" s="350">
        <f>IF(CE$3="","",入力データ!$C$35*12+IF(AND(CE5&lt;&gt;"",CE5&lt;前提条件!$C$38),前提条件!$C$57*12,0))</f>
        <v/>
      </c>
      <c r="CF13" s="350">
        <f>IF(CF$3="","",入力データ!$C$35*12+IF(AND(CF5&lt;&gt;"",CF5&lt;前提条件!$C$38),前提条件!$C$57*12,0))</f>
        <v/>
      </c>
      <c r="CG13" s="350">
        <f>IF(CG$3="","",入力データ!$C$35*12+IF(AND(CG5&lt;&gt;"",CG5&lt;前提条件!$C$38),前提条件!$C$57*12,0))</f>
        <v/>
      </c>
      <c r="CH13" s="350">
        <f>IF(CH$3="","",入力データ!$C$35*12+IF(AND(CH5&lt;&gt;"",CH5&lt;前提条件!$C$38),前提条件!$C$57*12,0))</f>
        <v/>
      </c>
      <c r="CI13" s="350">
        <f>IF(CI$3="","",入力データ!$C$35*12+IF(AND(CI5&lt;&gt;"",CI5&lt;前提条件!$C$38),前提条件!$C$57*12,0))</f>
        <v/>
      </c>
      <c r="CJ13" s="350">
        <f>IF(CJ$3="","",入力データ!$C$35*12+IF(AND(CJ5&lt;&gt;"",CJ5&lt;前提条件!$C$38),前提条件!$C$57*12,0))</f>
        <v/>
      </c>
      <c r="CK13" s="350">
        <f>IF(CK$3="","",入力データ!$C$35*12+IF(AND(CK5&lt;&gt;"",CK5&lt;前提条件!$C$38),前提条件!$C$57*12,0))</f>
        <v/>
      </c>
      <c r="CL13" s="350">
        <f>IF(CL$3="","",入力データ!$C$35*12+IF(AND(CL5&lt;&gt;"",CL5&lt;前提条件!$C$38),前提条件!$C$57*12,0))</f>
        <v/>
      </c>
      <c r="CM13" s="350">
        <f>IF(CM$3="","",入力データ!$C$35*12+IF(AND(CM5&lt;&gt;"",CM5&lt;前提条件!$C$38),前提条件!$C$57*12,0))</f>
        <v/>
      </c>
      <c r="CN13" s="350">
        <f>IF(CN$3="","",入力データ!$C$35*12+IF(AND(CN5&lt;&gt;"",CN5&lt;前提条件!$C$38),前提条件!$C$57*12,0))</f>
        <v/>
      </c>
      <c r="CO13" s="350">
        <f>IF(CO$3="","",入力データ!$C$35*12+IF(AND(CO5&lt;&gt;"",CO5&lt;前提条件!$C$38),前提条件!$C$57*12,0))</f>
        <v/>
      </c>
      <c r="CP13" s="350">
        <f>IF(CP$3="","",入力データ!$C$35*12+IF(AND(CP5&lt;&gt;"",CP5&lt;前提条件!$C$38),前提条件!$C$57*12,0))</f>
        <v/>
      </c>
      <c r="CQ13" s="350">
        <f>IF(CQ$3="","",入力データ!$C$35*12+IF(AND(CQ5&lt;&gt;"",CQ5&lt;前提条件!$C$38),前提条件!$C$57*12,0))</f>
        <v/>
      </c>
      <c r="CR13" s="350">
        <f>IF(CR$3="","",入力データ!$C$35*12+IF(AND(CR5&lt;&gt;"",CR5&lt;前提条件!$C$38),前提条件!$C$57*12,0))</f>
        <v/>
      </c>
      <c r="CS13" s="350">
        <f>IF(CS$3="","",入力データ!$C$35*12+IF(AND(CS5&lt;&gt;"",CS5&lt;前提条件!$C$38),前提条件!$C$57*12,0))</f>
        <v/>
      </c>
      <c r="CT13" s="350">
        <f>IF(CT$3="","",入力データ!$C$35*12+IF(AND(CT5&lt;&gt;"",CT5&lt;前提条件!$C$38),前提条件!$C$57*12,0))</f>
        <v/>
      </c>
      <c r="CU13" s="350">
        <f>IF(CU$3="","",入力データ!$C$35*12+IF(AND(CU5&lt;&gt;"",CU5&lt;前提条件!$C$38),前提条件!$C$57*12,0))</f>
        <v/>
      </c>
      <c r="CV13" s="350">
        <f>IF(CV$3="","",入力データ!$C$35*12+IF(AND(CV5&lt;&gt;"",CV5&lt;前提条件!$C$38),前提条件!$C$57*12,0))</f>
        <v/>
      </c>
      <c r="CW13" s="350">
        <f>IF(CW$3="","",入力データ!$C$35*12+IF(AND(CW5&lt;&gt;"",CW5&lt;前提条件!$C$38),前提条件!$C$57*12,0))</f>
        <v/>
      </c>
    </row>
    <row r="14" ht="15" customHeight="1" s="180">
      <c r="A14" s="220" t="inlineStr">
        <is>
          <t>ご主人様退職金</t>
        </is>
      </c>
      <c r="B14" s="350">
        <f>IF(B$3="","",0)</f>
        <v/>
      </c>
      <c r="C14" s="350">
        <f>IF(C$3="","",0)</f>
        <v/>
      </c>
      <c r="D14" s="350">
        <f>IF(D$3="","",0)</f>
        <v/>
      </c>
      <c r="E14" s="350">
        <f>IF(E$3="","",0)</f>
        <v/>
      </c>
      <c r="F14" s="350">
        <f>IF(F$3="","",0)</f>
        <v/>
      </c>
      <c r="G14" s="350">
        <f>IF(G$3="","",0)</f>
        <v/>
      </c>
      <c r="H14" s="350">
        <f>IF(H$3="","",0)</f>
        <v/>
      </c>
      <c r="I14" s="350">
        <f>IF(I$3="","",0)</f>
        <v/>
      </c>
      <c r="J14" s="350">
        <f>IF(J$3="","",0)</f>
        <v/>
      </c>
      <c r="K14" s="350">
        <f>IF(K$3="","",0)</f>
        <v/>
      </c>
      <c r="L14" s="350">
        <f>IF(L$3="","",0)</f>
        <v/>
      </c>
      <c r="M14" s="350">
        <f>IF(M$3="","",0)</f>
        <v/>
      </c>
      <c r="N14" s="350">
        <f>IF(N$3="","",0)</f>
        <v/>
      </c>
      <c r="O14" s="350">
        <f>IF(O$3="","",0)</f>
        <v/>
      </c>
      <c r="P14" s="350">
        <f>IF(P$3="","",0)</f>
        <v/>
      </c>
      <c r="Q14" s="350">
        <f>IF(Q$3="","",0)</f>
        <v/>
      </c>
      <c r="R14" s="350">
        <f>IF(R$3="","",0)</f>
        <v/>
      </c>
      <c r="S14" s="350">
        <f>IF(S$3="","",0)</f>
        <v/>
      </c>
      <c r="T14" s="350">
        <f>IF(T$3="","",0)</f>
        <v/>
      </c>
      <c r="U14" s="350">
        <f>IF(U$3="","",0)</f>
        <v/>
      </c>
      <c r="V14" s="350">
        <f>IF(V$3="","",0)</f>
        <v/>
      </c>
      <c r="W14" s="350">
        <f>IF(W$3="","",0)</f>
        <v/>
      </c>
      <c r="X14" s="350">
        <f>IF(X$3="","",0)</f>
        <v/>
      </c>
      <c r="Y14" s="350">
        <f>IF(Y$3="","",0)</f>
        <v/>
      </c>
      <c r="Z14" s="350">
        <f>IF(Z$3="","",0)</f>
        <v/>
      </c>
      <c r="AA14" s="350">
        <f>IF(AA$3="","",0)</f>
        <v/>
      </c>
      <c r="AB14" s="350">
        <f>IF(AB$3="","",0)</f>
        <v/>
      </c>
      <c r="AC14" s="350">
        <f>IF(AC$3="","",0)</f>
        <v/>
      </c>
      <c r="AD14" s="350">
        <f>IF(AD$3="","",0)</f>
        <v/>
      </c>
      <c r="AE14" s="350">
        <f>IF(AE$3="","",0)</f>
        <v/>
      </c>
      <c r="AF14" s="350">
        <f>IF(AF$3="","",0)</f>
        <v/>
      </c>
      <c r="AG14" s="350">
        <f>IF(AG$3="","",0)</f>
        <v/>
      </c>
      <c r="AH14" s="350">
        <f>IF(AH$3="","",0)</f>
        <v/>
      </c>
      <c r="AI14" s="350">
        <f>IF(AI$3="","",0)</f>
        <v/>
      </c>
      <c r="AJ14" s="350">
        <f>IF(AJ$3="","",0)</f>
        <v/>
      </c>
      <c r="AK14" s="350">
        <f>IF(AK$3="","",0)</f>
        <v/>
      </c>
      <c r="AL14" s="350">
        <f>IF(AL$3="","",0)</f>
        <v/>
      </c>
      <c r="AM14" s="350">
        <f>IF(AM$3="","",0)</f>
        <v/>
      </c>
      <c r="AN14" s="350">
        <f>IF(AN$3="","",0)</f>
        <v/>
      </c>
      <c r="AO14" s="350">
        <f>IF(AO$3="","",0)</f>
        <v/>
      </c>
      <c r="AP14" s="350">
        <f>IF(AP$3="","",0)</f>
        <v/>
      </c>
      <c r="AQ14" s="350">
        <f>IF(AQ$3="","",0)</f>
        <v/>
      </c>
      <c r="AR14" s="350">
        <f>IF(AR$3="","",0)</f>
        <v/>
      </c>
      <c r="AS14" s="350">
        <f>IF(AS$3="","",0)</f>
        <v/>
      </c>
      <c r="AT14" s="350">
        <f>IF(AT$3="","",0)</f>
        <v/>
      </c>
      <c r="AU14" s="350">
        <f>IF(AU$3="","",0)</f>
        <v/>
      </c>
      <c r="AV14" s="350">
        <f>IF(AV$3="","",0)</f>
        <v/>
      </c>
      <c r="AW14" s="350">
        <f>IF(AW$3="","",0)</f>
        <v/>
      </c>
      <c r="AX14" s="350">
        <f>IF(AX$3="","",0)</f>
        <v/>
      </c>
      <c r="AY14" s="350">
        <f>IF(AY$3="","",0)</f>
        <v/>
      </c>
      <c r="AZ14" s="350">
        <f>IF(AZ$3="","",0)</f>
        <v/>
      </c>
      <c r="BA14" s="350">
        <f>IF(BA$3="","",0)</f>
        <v/>
      </c>
      <c r="BB14" s="350">
        <f>IF(BB$3="","",0)</f>
        <v/>
      </c>
      <c r="BC14" s="350">
        <f>IF(BC$3="","",0)</f>
        <v/>
      </c>
      <c r="BD14" s="350">
        <f>IF(BD$3="","",0)</f>
        <v/>
      </c>
      <c r="BE14" s="350">
        <f>IF(BE$3="","",0)</f>
        <v/>
      </c>
      <c r="BF14" s="350">
        <f>IF(BF$3="","",0)</f>
        <v/>
      </c>
      <c r="BG14" s="350">
        <f>IF(BG$3="","",0)</f>
        <v/>
      </c>
      <c r="BH14" s="350">
        <f>IF(BH$3="","",0)</f>
        <v/>
      </c>
      <c r="BI14" s="350">
        <f>IF(BI$3="","",0)</f>
        <v/>
      </c>
      <c r="BJ14" s="350">
        <f>IF(BJ$3="","",0)</f>
        <v/>
      </c>
      <c r="BK14" s="350">
        <f>IF(BK$3="","",0)</f>
        <v/>
      </c>
      <c r="BL14" s="350">
        <f>IF(BL$3="","",0)</f>
        <v/>
      </c>
      <c r="BM14" s="350">
        <f>IF(BM$3="","",0)</f>
        <v/>
      </c>
      <c r="BN14" s="350">
        <f>IF(BN$3="","",0)</f>
        <v/>
      </c>
      <c r="BO14" s="350">
        <f>IF(BO$3="","",0)</f>
        <v/>
      </c>
      <c r="BP14" s="350">
        <f>IF(BP$3="","",0)</f>
        <v/>
      </c>
      <c r="BQ14" s="350">
        <f>IF(BQ$3="","",0)</f>
        <v/>
      </c>
      <c r="BR14" s="350">
        <f>IF(BR$3="","",0)</f>
        <v/>
      </c>
      <c r="BS14" s="350">
        <f>IF(BS$3="","",0)</f>
        <v/>
      </c>
      <c r="BT14" s="350">
        <f>IF(BT$3="","",0)</f>
        <v/>
      </c>
      <c r="BU14" s="350">
        <f>IF(BU$3="","",0)</f>
        <v/>
      </c>
      <c r="BV14" s="350">
        <f>IF(BV$3="","",0)</f>
        <v/>
      </c>
      <c r="BW14" s="350">
        <f>IF(BW$3="","",0)</f>
        <v/>
      </c>
      <c r="BX14" s="350">
        <f>IF(BX$3="","",0)</f>
        <v/>
      </c>
      <c r="BY14" s="350">
        <f>IF(BY$3="","",0)</f>
        <v/>
      </c>
      <c r="BZ14" s="350">
        <f>IF(BZ$3="","",0)</f>
        <v/>
      </c>
      <c r="CA14" s="350">
        <f>IF(CA$3="","",0)</f>
        <v/>
      </c>
      <c r="CB14" s="350">
        <f>IF(CB$3="","",0)</f>
        <v/>
      </c>
      <c r="CC14" s="350">
        <f>IF(CC$3="","",0)</f>
        <v/>
      </c>
      <c r="CD14" s="350">
        <f>IF(CD$3="","",0)</f>
        <v/>
      </c>
      <c r="CE14" s="350">
        <f>IF(CE$3="","",0)</f>
        <v/>
      </c>
      <c r="CF14" s="350">
        <f>IF(CF$3="","",0)</f>
        <v/>
      </c>
      <c r="CG14" s="350">
        <f>IF(CG$3="","",0)</f>
        <v/>
      </c>
      <c r="CH14" s="350">
        <f>IF(CH$3="","",0)</f>
        <v/>
      </c>
      <c r="CI14" s="350">
        <f>IF(CI$3="","",0)</f>
        <v/>
      </c>
      <c r="CJ14" s="350">
        <f>IF(CJ$3="","",0)</f>
        <v/>
      </c>
      <c r="CK14" s="350">
        <f>IF(CK$3="","",0)</f>
        <v/>
      </c>
      <c r="CL14" s="350">
        <f>IF(CL$3="","",0)</f>
        <v/>
      </c>
      <c r="CM14" s="350">
        <f>IF(CM$3="","",0)</f>
        <v/>
      </c>
      <c r="CN14" s="350">
        <f>IF(CN$3="","",0)</f>
        <v/>
      </c>
      <c r="CO14" s="350">
        <f>IF(CO$3="","",0)</f>
        <v/>
      </c>
      <c r="CP14" s="350">
        <f>IF(CP$3="","",0)</f>
        <v/>
      </c>
      <c r="CQ14" s="350">
        <f>IF(CQ$3="","",0)</f>
        <v/>
      </c>
      <c r="CR14" s="350">
        <f>IF(CR$3="","",0)</f>
        <v/>
      </c>
      <c r="CS14" s="350">
        <f>IF(CS$3="","",0)</f>
        <v/>
      </c>
      <c r="CT14" s="350">
        <f>IF(CT$3="","",0)</f>
        <v/>
      </c>
      <c r="CU14" s="350">
        <f>IF(CU$3="","",0)</f>
        <v/>
      </c>
      <c r="CV14" s="350">
        <f>IF(CV$3="","",0)</f>
        <v/>
      </c>
      <c r="CW14" s="350">
        <f>IF(CW$3="","",0)</f>
        <v/>
      </c>
    </row>
    <row r="15" ht="15" customHeight="1" s="180">
      <c r="A15" s="220" t="inlineStr">
        <is>
          <t>奥様退職金</t>
        </is>
      </c>
      <c r="B15" s="350">
        <f>IF(B$3="","",IF(B5=入力データ!$C$110,入力データ!$C$37,0))</f>
        <v/>
      </c>
      <c r="C15" s="350">
        <f>IF(C$3="","",IF(C5=入力データ!$C$110,入力データ!$C$37,0))</f>
        <v/>
      </c>
      <c r="D15" s="350">
        <f>IF(D$3="","",IF(D5=入力データ!$C$110,入力データ!$C$37,0))</f>
        <v/>
      </c>
      <c r="E15" s="350">
        <f>IF(E$3="","",IF(E5=入力データ!$C$110,入力データ!$C$37,0))</f>
        <v/>
      </c>
      <c r="F15" s="350">
        <f>IF(F$3="","",IF(F5=入力データ!$C$110,入力データ!$C$37,0))</f>
        <v/>
      </c>
      <c r="G15" s="350">
        <f>IF(G$3="","",IF(G5=入力データ!$C$110,入力データ!$C$37,0))</f>
        <v/>
      </c>
      <c r="H15" s="350">
        <f>IF(H$3="","",IF(H5=入力データ!$C$110,入力データ!$C$37,0))</f>
        <v/>
      </c>
      <c r="I15" s="350">
        <f>IF(I$3="","",IF(I5=入力データ!$C$110,入力データ!$C$37,0))</f>
        <v/>
      </c>
      <c r="J15" s="350">
        <f>IF(J$3="","",IF(J5=入力データ!$C$110,入力データ!$C$37,0))</f>
        <v/>
      </c>
      <c r="K15" s="350">
        <f>IF(K$3="","",IF(K5=入力データ!$C$110,入力データ!$C$37,0))</f>
        <v/>
      </c>
      <c r="L15" s="350">
        <f>IF(L$3="","",IF(L5=入力データ!$C$110,入力データ!$C$37,0))</f>
        <v/>
      </c>
      <c r="M15" s="350">
        <f>IF(M$3="","",IF(M5=入力データ!$C$110,入力データ!$C$37,0))</f>
        <v/>
      </c>
      <c r="N15" s="350">
        <f>IF(N$3="","",IF(N5=入力データ!$C$110,入力データ!$C$37,0))</f>
        <v/>
      </c>
      <c r="O15" s="350">
        <f>IF(O$3="","",IF(O5=入力データ!$C$110,入力データ!$C$37,0))</f>
        <v/>
      </c>
      <c r="P15" s="350">
        <f>IF(P$3="","",IF(P5=入力データ!$C$110,入力データ!$C$37,0))</f>
        <v/>
      </c>
      <c r="Q15" s="350">
        <f>IF(Q$3="","",IF(Q5=入力データ!$C$110,入力データ!$C$37,0))</f>
        <v/>
      </c>
      <c r="R15" s="350">
        <f>IF(R$3="","",IF(R5=入力データ!$C$110,入力データ!$C$37,0))</f>
        <v/>
      </c>
      <c r="S15" s="350">
        <f>IF(S$3="","",IF(S5=入力データ!$C$110,入力データ!$C$37,0))</f>
        <v/>
      </c>
      <c r="T15" s="350">
        <f>IF(T$3="","",IF(T5=入力データ!$C$110,入力データ!$C$37,0))</f>
        <v/>
      </c>
      <c r="U15" s="350">
        <f>IF(U$3="","",IF(U5=入力データ!$C$110,入力データ!$C$37,0))</f>
        <v/>
      </c>
      <c r="V15" s="350">
        <f>IF(V$3="","",IF(V5=入力データ!$C$110,入力データ!$C$37,0))</f>
        <v/>
      </c>
      <c r="W15" s="350">
        <f>IF(W$3="","",IF(W5=入力データ!$C$110,入力データ!$C$37,0))</f>
        <v/>
      </c>
      <c r="X15" s="350">
        <f>IF(X$3="","",IF(X5=入力データ!$C$110,入力データ!$C$37,0))</f>
        <v/>
      </c>
      <c r="Y15" s="350">
        <f>IF(Y$3="","",IF(Y5=入力データ!$C$110,入力データ!$C$37,0))</f>
        <v/>
      </c>
      <c r="Z15" s="350">
        <f>IF(Z$3="","",IF(Z5=入力データ!$C$110,入力データ!$C$37,0))</f>
        <v/>
      </c>
      <c r="AA15" s="350">
        <f>IF(AA$3="","",IF(AA5=入力データ!$C$110,入力データ!$C$37,0))</f>
        <v/>
      </c>
      <c r="AB15" s="350">
        <f>IF(AB$3="","",IF(AB5=入力データ!$C$110,入力データ!$C$37,0))</f>
        <v/>
      </c>
      <c r="AC15" s="350">
        <f>IF(AC$3="","",IF(AC5=入力データ!$C$110,入力データ!$C$37,0))</f>
        <v/>
      </c>
      <c r="AD15" s="350">
        <f>IF(AD$3="","",IF(AD5=入力データ!$C$110,入力データ!$C$37,0))</f>
        <v/>
      </c>
      <c r="AE15" s="350">
        <f>IF(AE$3="","",IF(AE5=入力データ!$C$110,入力データ!$C$37,0))</f>
        <v/>
      </c>
      <c r="AF15" s="350">
        <f>IF(AF$3="","",IF(AF5=入力データ!$C$110,入力データ!$C$37,0))</f>
        <v/>
      </c>
      <c r="AG15" s="350">
        <f>IF(AG$3="","",IF(AG5=入力データ!$C$110,入力データ!$C$37,0))</f>
        <v/>
      </c>
      <c r="AH15" s="350">
        <f>IF(AH$3="","",IF(AH5=入力データ!$C$110,入力データ!$C$37,0))</f>
        <v/>
      </c>
      <c r="AI15" s="350">
        <f>IF(AI$3="","",IF(AI5=入力データ!$C$110,入力データ!$C$37,0))</f>
        <v/>
      </c>
      <c r="AJ15" s="350">
        <f>IF(AJ$3="","",IF(AJ5=入力データ!$C$110,入力データ!$C$37,0))</f>
        <v/>
      </c>
      <c r="AK15" s="350">
        <f>IF(AK$3="","",IF(AK5=入力データ!$C$110,入力データ!$C$37,0))</f>
        <v/>
      </c>
      <c r="AL15" s="350">
        <f>IF(AL$3="","",IF(AL5=入力データ!$C$110,入力データ!$C$37,0))</f>
        <v/>
      </c>
      <c r="AM15" s="350">
        <f>IF(AM$3="","",IF(AM5=入力データ!$C$110,入力データ!$C$37,0))</f>
        <v/>
      </c>
      <c r="AN15" s="350">
        <f>IF(AN$3="","",IF(AN5=入力データ!$C$110,入力データ!$C$37,0))</f>
        <v/>
      </c>
      <c r="AO15" s="350">
        <f>IF(AO$3="","",IF(AO5=入力データ!$C$110,入力データ!$C$37,0))</f>
        <v/>
      </c>
      <c r="AP15" s="350">
        <f>IF(AP$3="","",IF(AP5=入力データ!$C$110,入力データ!$C$37,0))</f>
        <v/>
      </c>
      <c r="AQ15" s="350">
        <f>IF(AQ$3="","",IF(AQ5=入力データ!$C$110,入力データ!$C$37,0))</f>
        <v/>
      </c>
      <c r="AR15" s="350">
        <f>IF(AR$3="","",IF(AR5=入力データ!$C$110,入力データ!$C$37,0))</f>
        <v/>
      </c>
      <c r="AS15" s="350">
        <f>IF(AS$3="","",IF(AS5=入力データ!$C$110,入力データ!$C$37,0))</f>
        <v/>
      </c>
      <c r="AT15" s="350">
        <f>IF(AT$3="","",IF(AT5=入力データ!$C$110,入力データ!$C$37,0))</f>
        <v/>
      </c>
      <c r="AU15" s="350">
        <f>IF(AU$3="","",IF(AU5=入力データ!$C$110,入力データ!$C$37,0))</f>
        <v/>
      </c>
      <c r="AV15" s="350">
        <f>IF(AV$3="","",IF(AV5=入力データ!$C$110,入力データ!$C$37,0))</f>
        <v/>
      </c>
      <c r="AW15" s="350">
        <f>IF(AW$3="","",IF(AW5=入力データ!$C$110,入力データ!$C$37,0))</f>
        <v/>
      </c>
      <c r="AX15" s="350">
        <f>IF(AX$3="","",IF(AX5=入力データ!$C$110,入力データ!$C$37,0))</f>
        <v/>
      </c>
      <c r="AY15" s="350">
        <f>IF(AY$3="","",IF(AY5=入力データ!$C$110,入力データ!$C$37,0))</f>
        <v/>
      </c>
      <c r="AZ15" s="350">
        <f>IF(AZ$3="","",IF(AZ5=入力データ!$C$110,入力データ!$C$37,0))</f>
        <v/>
      </c>
      <c r="BA15" s="350">
        <f>IF(BA$3="","",IF(BA5=入力データ!$C$110,入力データ!$C$37,0))</f>
        <v/>
      </c>
      <c r="BB15" s="350">
        <f>IF(BB$3="","",IF(BB5=入力データ!$C$110,入力データ!$C$37,0))</f>
        <v/>
      </c>
      <c r="BC15" s="350">
        <f>IF(BC$3="","",IF(BC5=入力データ!$C$110,入力データ!$C$37,0))</f>
        <v/>
      </c>
      <c r="BD15" s="350">
        <f>IF(BD$3="","",IF(BD5=入力データ!$C$110,入力データ!$C$37,0))</f>
        <v/>
      </c>
      <c r="BE15" s="350">
        <f>IF(BE$3="","",IF(BE5=入力データ!$C$110,入力データ!$C$37,0))</f>
        <v/>
      </c>
      <c r="BF15" s="350">
        <f>IF(BF$3="","",IF(BF5=入力データ!$C$110,入力データ!$C$37,0))</f>
        <v/>
      </c>
      <c r="BG15" s="350">
        <f>IF(BG$3="","",IF(BG5=入力データ!$C$110,入力データ!$C$37,0))</f>
        <v/>
      </c>
      <c r="BH15" s="350">
        <f>IF(BH$3="","",IF(BH5=入力データ!$C$110,入力データ!$C$37,0))</f>
        <v/>
      </c>
      <c r="BI15" s="350">
        <f>IF(BI$3="","",IF(BI5=入力データ!$C$110,入力データ!$C$37,0))</f>
        <v/>
      </c>
      <c r="BJ15" s="350">
        <f>IF(BJ$3="","",IF(BJ5=入力データ!$C$110,入力データ!$C$37,0))</f>
        <v/>
      </c>
      <c r="BK15" s="350">
        <f>IF(BK$3="","",IF(BK5=入力データ!$C$110,入力データ!$C$37,0))</f>
        <v/>
      </c>
      <c r="BL15" s="350">
        <f>IF(BL$3="","",IF(BL5=入力データ!$C$110,入力データ!$C$37,0))</f>
        <v/>
      </c>
      <c r="BM15" s="350">
        <f>IF(BM$3="","",IF(BM5=入力データ!$C$110,入力データ!$C$37,0))</f>
        <v/>
      </c>
      <c r="BN15" s="350">
        <f>IF(BN$3="","",IF(BN5=入力データ!$C$110,入力データ!$C$37,0))</f>
        <v/>
      </c>
      <c r="BO15" s="350">
        <f>IF(BO$3="","",IF(BO5=入力データ!$C$110,入力データ!$C$37,0))</f>
        <v/>
      </c>
      <c r="BP15" s="350">
        <f>IF(BP$3="","",IF(BP5=入力データ!$C$110,入力データ!$C$37,0))</f>
        <v/>
      </c>
      <c r="BQ15" s="350">
        <f>IF(BQ$3="","",IF(BQ5=入力データ!$C$110,入力データ!$C$37,0))</f>
        <v/>
      </c>
      <c r="BR15" s="350">
        <f>IF(BR$3="","",IF(BR5=入力データ!$C$110,入力データ!$C$37,0))</f>
        <v/>
      </c>
      <c r="BS15" s="350">
        <f>IF(BS$3="","",IF(BS5=入力データ!$C$110,入力データ!$C$37,0))</f>
        <v/>
      </c>
      <c r="BT15" s="350">
        <f>IF(BT$3="","",IF(BT5=入力データ!$C$110,入力データ!$C$37,0))</f>
        <v/>
      </c>
      <c r="BU15" s="350">
        <f>IF(BU$3="","",IF(BU5=入力データ!$C$110,入力データ!$C$37,0))</f>
        <v/>
      </c>
      <c r="BV15" s="350">
        <f>IF(BV$3="","",IF(BV5=入力データ!$C$110,入力データ!$C$37,0))</f>
        <v/>
      </c>
      <c r="BW15" s="350">
        <f>IF(BW$3="","",IF(BW5=入力データ!$C$110,入力データ!$C$37,0))</f>
        <v/>
      </c>
      <c r="BX15" s="350">
        <f>IF(BX$3="","",IF(BX5=入力データ!$C$110,入力データ!$C$37,0))</f>
        <v/>
      </c>
      <c r="BY15" s="350">
        <f>IF(BY$3="","",IF(BY5=入力データ!$C$110,入力データ!$C$37,0))</f>
        <v/>
      </c>
      <c r="BZ15" s="350">
        <f>IF(BZ$3="","",IF(BZ5=入力データ!$C$110,入力データ!$C$37,0))</f>
        <v/>
      </c>
      <c r="CA15" s="350">
        <f>IF(CA$3="","",IF(CA5=入力データ!$C$110,入力データ!$C$37,0))</f>
        <v/>
      </c>
      <c r="CB15" s="350">
        <f>IF(CB$3="","",IF(CB5=入力データ!$C$110,入力データ!$C$37,0))</f>
        <v/>
      </c>
      <c r="CC15" s="350">
        <f>IF(CC$3="","",IF(CC5=入力データ!$C$110,入力データ!$C$37,0))</f>
        <v/>
      </c>
      <c r="CD15" s="350">
        <f>IF(CD$3="","",IF(CD5=入力データ!$C$110,入力データ!$C$37,0))</f>
        <v/>
      </c>
      <c r="CE15" s="350">
        <f>IF(CE$3="","",IF(CE5=入力データ!$C$110,入力データ!$C$37,0))</f>
        <v/>
      </c>
      <c r="CF15" s="350">
        <f>IF(CF$3="","",IF(CF5=入力データ!$C$110,入力データ!$C$37,0))</f>
        <v/>
      </c>
      <c r="CG15" s="350">
        <f>IF(CG$3="","",IF(CG5=入力データ!$C$110,入力データ!$C$37,0))</f>
        <v/>
      </c>
      <c r="CH15" s="350">
        <f>IF(CH$3="","",IF(CH5=入力データ!$C$110,入力データ!$C$37,0))</f>
        <v/>
      </c>
      <c r="CI15" s="350">
        <f>IF(CI$3="","",IF(CI5=入力データ!$C$110,入力データ!$C$37,0))</f>
        <v/>
      </c>
      <c r="CJ15" s="350">
        <f>IF(CJ$3="","",IF(CJ5=入力データ!$C$110,入力データ!$C$37,0))</f>
        <v/>
      </c>
      <c r="CK15" s="350">
        <f>IF(CK$3="","",IF(CK5=入力データ!$C$110,入力データ!$C$37,0))</f>
        <v/>
      </c>
      <c r="CL15" s="350">
        <f>IF(CL$3="","",IF(CL5=入力データ!$C$110,入力データ!$C$37,0))</f>
        <v/>
      </c>
      <c r="CM15" s="350">
        <f>IF(CM$3="","",IF(CM5=入力データ!$C$110,入力データ!$C$37,0))</f>
        <v/>
      </c>
      <c r="CN15" s="350">
        <f>IF(CN$3="","",IF(CN5=入力データ!$C$110,入力データ!$C$37,0))</f>
        <v/>
      </c>
      <c r="CO15" s="350">
        <f>IF(CO$3="","",IF(CO5=入力データ!$C$110,入力データ!$C$37,0))</f>
        <v/>
      </c>
      <c r="CP15" s="350">
        <f>IF(CP$3="","",IF(CP5=入力データ!$C$110,入力データ!$C$37,0))</f>
        <v/>
      </c>
      <c r="CQ15" s="350">
        <f>IF(CQ$3="","",IF(CQ5=入力データ!$C$110,入力データ!$C$37,0))</f>
        <v/>
      </c>
      <c r="CR15" s="350">
        <f>IF(CR$3="","",IF(CR5=入力データ!$C$110,入力データ!$C$37,0))</f>
        <v/>
      </c>
      <c r="CS15" s="350">
        <f>IF(CS$3="","",IF(CS5=入力データ!$C$110,入力データ!$C$37,0))</f>
        <v/>
      </c>
      <c r="CT15" s="350">
        <f>IF(CT$3="","",IF(CT5=入力データ!$C$110,入力データ!$C$37,0))</f>
        <v/>
      </c>
      <c r="CU15" s="350">
        <f>IF(CU$3="","",IF(CU5=入力データ!$C$110,入力データ!$C$37,0))</f>
        <v/>
      </c>
      <c r="CV15" s="350">
        <f>IF(CV$3="","",IF(CV5=入力データ!$C$110,入力データ!$C$37,0))</f>
        <v/>
      </c>
      <c r="CW15" s="350">
        <f>IF(CW$3="","",IF(CW5=入力データ!$C$110,入力データ!$C$37,0))</f>
        <v/>
      </c>
    </row>
    <row r="16" ht="15" customHeight="1" s="180">
      <c r="A16" s="220" t="inlineStr">
        <is>
          <t>ご主人様年金収入</t>
        </is>
      </c>
      <c r="B16" s="350">
        <f>IF(B$3="","",0)</f>
        <v/>
      </c>
      <c r="C16" s="350">
        <f>IF(C$3="","",0)</f>
        <v/>
      </c>
      <c r="D16" s="350">
        <f>IF(D$3="","",0)</f>
        <v/>
      </c>
      <c r="E16" s="350">
        <f>IF(E$3="","",0)</f>
        <v/>
      </c>
      <c r="F16" s="350">
        <f>IF(F$3="","",0)</f>
        <v/>
      </c>
      <c r="G16" s="350">
        <f>IF(G$3="","",0)</f>
        <v/>
      </c>
      <c r="H16" s="350">
        <f>IF(H$3="","",0)</f>
        <v/>
      </c>
      <c r="I16" s="350">
        <f>IF(I$3="","",0)</f>
        <v/>
      </c>
      <c r="J16" s="350">
        <f>IF(J$3="","",0)</f>
        <v/>
      </c>
      <c r="K16" s="350">
        <f>IF(K$3="","",0)</f>
        <v/>
      </c>
      <c r="L16" s="350">
        <f>IF(L$3="","",0)</f>
        <v/>
      </c>
      <c r="M16" s="350">
        <f>IF(M$3="","",0)</f>
        <v/>
      </c>
      <c r="N16" s="350">
        <f>IF(N$3="","",0)</f>
        <v/>
      </c>
      <c r="O16" s="350">
        <f>IF(O$3="","",0)</f>
        <v/>
      </c>
      <c r="P16" s="350">
        <f>IF(P$3="","",0)</f>
        <v/>
      </c>
      <c r="Q16" s="350">
        <f>IF(Q$3="","",0)</f>
        <v/>
      </c>
      <c r="R16" s="350">
        <f>IF(R$3="","",0)</f>
        <v/>
      </c>
      <c r="S16" s="350">
        <f>IF(S$3="","",0)</f>
        <v/>
      </c>
      <c r="T16" s="350">
        <f>IF(T$3="","",0)</f>
        <v/>
      </c>
      <c r="U16" s="350">
        <f>IF(U$3="","",0)</f>
        <v/>
      </c>
      <c r="V16" s="350">
        <f>IF(V$3="","",0)</f>
        <v/>
      </c>
      <c r="W16" s="350">
        <f>IF(W$3="","",0)</f>
        <v/>
      </c>
      <c r="X16" s="350">
        <f>IF(X$3="","",0)</f>
        <v/>
      </c>
      <c r="Y16" s="350">
        <f>IF(Y$3="","",0)</f>
        <v/>
      </c>
      <c r="Z16" s="350">
        <f>IF(Z$3="","",0)</f>
        <v/>
      </c>
      <c r="AA16" s="350">
        <f>IF(AA$3="","",0)</f>
        <v/>
      </c>
      <c r="AB16" s="350">
        <f>IF(AB$3="","",0)</f>
        <v/>
      </c>
      <c r="AC16" s="350">
        <f>IF(AC$3="","",0)</f>
        <v/>
      </c>
      <c r="AD16" s="350">
        <f>IF(AD$3="","",0)</f>
        <v/>
      </c>
      <c r="AE16" s="350">
        <f>IF(AE$3="","",0)</f>
        <v/>
      </c>
      <c r="AF16" s="350">
        <f>IF(AF$3="","",0)</f>
        <v/>
      </c>
      <c r="AG16" s="350">
        <f>IF(AG$3="","",0)</f>
        <v/>
      </c>
      <c r="AH16" s="350">
        <f>IF(AH$3="","",0)</f>
        <v/>
      </c>
      <c r="AI16" s="350">
        <f>IF(AI$3="","",0)</f>
        <v/>
      </c>
      <c r="AJ16" s="350">
        <f>IF(AJ$3="","",0)</f>
        <v/>
      </c>
      <c r="AK16" s="350">
        <f>IF(AK$3="","",0)</f>
        <v/>
      </c>
      <c r="AL16" s="350">
        <f>IF(AL$3="","",0)</f>
        <v/>
      </c>
      <c r="AM16" s="350">
        <f>IF(AM$3="","",0)</f>
        <v/>
      </c>
      <c r="AN16" s="350">
        <f>IF(AN$3="","",0)</f>
        <v/>
      </c>
      <c r="AO16" s="350">
        <f>IF(AO$3="","",0)</f>
        <v/>
      </c>
      <c r="AP16" s="350">
        <f>IF(AP$3="","",0)</f>
        <v/>
      </c>
      <c r="AQ16" s="350">
        <f>IF(AQ$3="","",0)</f>
        <v/>
      </c>
      <c r="AR16" s="350">
        <f>IF(AR$3="","",0)</f>
        <v/>
      </c>
      <c r="AS16" s="350">
        <f>IF(AS$3="","",0)</f>
        <v/>
      </c>
      <c r="AT16" s="350">
        <f>IF(AT$3="","",0)</f>
        <v/>
      </c>
      <c r="AU16" s="350">
        <f>IF(AU$3="","",0)</f>
        <v/>
      </c>
      <c r="AV16" s="350">
        <f>IF(AV$3="","",0)</f>
        <v/>
      </c>
      <c r="AW16" s="350">
        <f>IF(AW$3="","",0)</f>
        <v/>
      </c>
      <c r="AX16" s="350">
        <f>IF(AX$3="","",0)</f>
        <v/>
      </c>
      <c r="AY16" s="350">
        <f>IF(AY$3="","",0)</f>
        <v/>
      </c>
      <c r="AZ16" s="350">
        <f>IF(AZ$3="","",0)</f>
        <v/>
      </c>
      <c r="BA16" s="350">
        <f>IF(BA$3="","",0)</f>
        <v/>
      </c>
      <c r="BB16" s="350">
        <f>IF(BB$3="","",0)</f>
        <v/>
      </c>
      <c r="BC16" s="350">
        <f>IF(BC$3="","",0)</f>
        <v/>
      </c>
      <c r="BD16" s="350">
        <f>IF(BD$3="","",0)</f>
        <v/>
      </c>
      <c r="BE16" s="350">
        <f>IF(BE$3="","",0)</f>
        <v/>
      </c>
      <c r="BF16" s="350">
        <f>IF(BF$3="","",0)</f>
        <v/>
      </c>
      <c r="BG16" s="350">
        <f>IF(BG$3="","",0)</f>
        <v/>
      </c>
      <c r="BH16" s="350">
        <f>IF(BH$3="","",0)</f>
        <v/>
      </c>
      <c r="BI16" s="350">
        <f>IF(BI$3="","",0)</f>
        <v/>
      </c>
      <c r="BJ16" s="350">
        <f>IF(BJ$3="","",0)</f>
        <v/>
      </c>
      <c r="BK16" s="350">
        <f>IF(BK$3="","",0)</f>
        <v/>
      </c>
      <c r="BL16" s="350">
        <f>IF(BL$3="","",0)</f>
        <v/>
      </c>
      <c r="BM16" s="350">
        <f>IF(BM$3="","",0)</f>
        <v/>
      </c>
      <c r="BN16" s="350">
        <f>IF(BN$3="","",0)</f>
        <v/>
      </c>
      <c r="BO16" s="350">
        <f>IF(BO$3="","",0)</f>
        <v/>
      </c>
      <c r="BP16" s="350">
        <f>IF(BP$3="","",0)</f>
        <v/>
      </c>
      <c r="BQ16" s="350">
        <f>IF(BQ$3="","",0)</f>
        <v/>
      </c>
      <c r="BR16" s="350">
        <f>IF(BR$3="","",0)</f>
        <v/>
      </c>
      <c r="BS16" s="350">
        <f>IF(BS$3="","",0)</f>
        <v/>
      </c>
      <c r="BT16" s="350">
        <f>IF(BT$3="","",0)</f>
        <v/>
      </c>
      <c r="BU16" s="350">
        <f>IF(BU$3="","",0)</f>
        <v/>
      </c>
      <c r="BV16" s="350">
        <f>IF(BV$3="","",0)</f>
        <v/>
      </c>
      <c r="BW16" s="350">
        <f>IF(BW$3="","",0)</f>
        <v/>
      </c>
      <c r="BX16" s="350">
        <f>IF(BX$3="","",0)</f>
        <v/>
      </c>
      <c r="BY16" s="350">
        <f>IF(BY$3="","",0)</f>
        <v/>
      </c>
      <c r="BZ16" s="350">
        <f>IF(BZ$3="","",0)</f>
        <v/>
      </c>
      <c r="CA16" s="350">
        <f>IF(CA$3="","",0)</f>
        <v/>
      </c>
      <c r="CB16" s="350">
        <f>IF(CB$3="","",0)</f>
        <v/>
      </c>
      <c r="CC16" s="350">
        <f>IF(CC$3="","",0)</f>
        <v/>
      </c>
      <c r="CD16" s="350">
        <f>IF(CD$3="","",0)</f>
        <v/>
      </c>
      <c r="CE16" s="350">
        <f>IF(CE$3="","",0)</f>
        <v/>
      </c>
      <c r="CF16" s="350">
        <f>IF(CF$3="","",0)</f>
        <v/>
      </c>
      <c r="CG16" s="350">
        <f>IF(CG$3="","",0)</f>
        <v/>
      </c>
      <c r="CH16" s="350">
        <f>IF(CH$3="","",0)</f>
        <v/>
      </c>
      <c r="CI16" s="350">
        <f>IF(CI$3="","",0)</f>
        <v/>
      </c>
      <c r="CJ16" s="350">
        <f>IF(CJ$3="","",0)</f>
        <v/>
      </c>
      <c r="CK16" s="350">
        <f>IF(CK$3="","",0)</f>
        <v/>
      </c>
      <c r="CL16" s="350">
        <f>IF(CL$3="","",0)</f>
        <v/>
      </c>
      <c r="CM16" s="350">
        <f>IF(CM$3="","",0)</f>
        <v/>
      </c>
      <c r="CN16" s="350">
        <f>IF(CN$3="","",0)</f>
        <v/>
      </c>
      <c r="CO16" s="350">
        <f>IF(CO$3="","",0)</f>
        <v/>
      </c>
      <c r="CP16" s="350">
        <f>IF(CP$3="","",0)</f>
        <v/>
      </c>
      <c r="CQ16" s="350">
        <f>IF(CQ$3="","",0)</f>
        <v/>
      </c>
      <c r="CR16" s="350">
        <f>IF(CR$3="","",0)</f>
        <v/>
      </c>
      <c r="CS16" s="350">
        <f>IF(CS$3="","",0)</f>
        <v/>
      </c>
      <c r="CT16" s="350">
        <f>IF(CT$3="","",0)</f>
        <v/>
      </c>
      <c r="CU16" s="350">
        <f>IF(CU$3="","",0)</f>
        <v/>
      </c>
      <c r="CV16" s="350">
        <f>IF(CV$3="","",0)</f>
        <v/>
      </c>
      <c r="CW16" s="350">
        <f>IF(CW$3="","",0)</f>
        <v/>
      </c>
    </row>
    <row r="17" ht="15" customHeight="1" s="180">
      <c r="A17" s="220" t="inlineStr">
        <is>
          <t>奥様年金収入</t>
        </is>
      </c>
      <c r="B17" s="350">
        <f>IF(B$3="","",IF(B5&gt;=前提条件!$C$38,前提条件!$C$40*12,0))</f>
        <v/>
      </c>
      <c r="C17" s="350">
        <f>IF(C$3="","",IF(C5&gt;=前提条件!$C$38,前提条件!$C$40*12,0))</f>
        <v/>
      </c>
      <c r="D17" s="350">
        <f>IF(D$3="","",IF(D5&gt;=前提条件!$C$38,前提条件!$C$40*12,0))</f>
        <v/>
      </c>
      <c r="E17" s="350">
        <f>IF(E$3="","",IF(E5&gt;=前提条件!$C$38,前提条件!$C$40*12,0))</f>
        <v/>
      </c>
      <c r="F17" s="350">
        <f>IF(F$3="","",IF(F5&gt;=前提条件!$C$38,前提条件!$C$40*12,0))</f>
        <v/>
      </c>
      <c r="G17" s="350">
        <f>IF(G$3="","",IF(G5&gt;=前提条件!$C$38,前提条件!$C$40*12,0))</f>
        <v/>
      </c>
      <c r="H17" s="350">
        <f>IF(H$3="","",IF(H5&gt;=前提条件!$C$38,前提条件!$C$40*12,0))</f>
        <v/>
      </c>
      <c r="I17" s="350">
        <f>IF(I$3="","",IF(I5&gt;=前提条件!$C$38,前提条件!$C$40*12,0))</f>
        <v/>
      </c>
      <c r="J17" s="350">
        <f>IF(J$3="","",IF(J5&gt;=前提条件!$C$38,前提条件!$C$40*12,0))</f>
        <v/>
      </c>
      <c r="K17" s="350">
        <f>IF(K$3="","",IF(K5&gt;=前提条件!$C$38,前提条件!$C$40*12,0))</f>
        <v/>
      </c>
      <c r="L17" s="350">
        <f>IF(L$3="","",IF(L5&gt;=前提条件!$C$38,前提条件!$C$40*12,0))</f>
        <v/>
      </c>
      <c r="M17" s="350">
        <f>IF(M$3="","",IF(M5&gt;=前提条件!$C$38,前提条件!$C$40*12,0))</f>
        <v/>
      </c>
      <c r="N17" s="350">
        <f>IF(N$3="","",IF(N5&gt;=前提条件!$C$38,前提条件!$C$40*12,0))</f>
        <v/>
      </c>
      <c r="O17" s="350">
        <f>IF(O$3="","",IF(O5&gt;=前提条件!$C$38,前提条件!$C$40*12,0))</f>
        <v/>
      </c>
      <c r="P17" s="350">
        <f>IF(P$3="","",IF(P5&gt;=前提条件!$C$38,前提条件!$C$40*12,0))</f>
        <v/>
      </c>
      <c r="Q17" s="350">
        <f>IF(Q$3="","",IF(Q5&gt;=前提条件!$C$38,前提条件!$C$40*12,0))</f>
        <v/>
      </c>
      <c r="R17" s="350">
        <f>IF(R$3="","",IF(R5&gt;=前提条件!$C$38,前提条件!$C$40*12,0))</f>
        <v/>
      </c>
      <c r="S17" s="350">
        <f>IF(S$3="","",IF(S5&gt;=前提条件!$C$38,前提条件!$C$40*12,0))</f>
        <v/>
      </c>
      <c r="T17" s="350">
        <f>IF(T$3="","",IF(T5&gt;=前提条件!$C$38,前提条件!$C$40*12,0))</f>
        <v/>
      </c>
      <c r="U17" s="350">
        <f>IF(U$3="","",IF(U5&gt;=前提条件!$C$38,前提条件!$C$40*12,0))</f>
        <v/>
      </c>
      <c r="V17" s="350">
        <f>IF(V$3="","",IF(V5&gt;=前提条件!$C$38,前提条件!$C$40*12,0))</f>
        <v/>
      </c>
      <c r="W17" s="350">
        <f>IF(W$3="","",IF(W5&gt;=前提条件!$C$38,前提条件!$C$40*12,0))</f>
        <v/>
      </c>
      <c r="X17" s="350">
        <f>IF(X$3="","",IF(X5&gt;=前提条件!$C$38,前提条件!$C$40*12,0))</f>
        <v/>
      </c>
      <c r="Y17" s="350">
        <f>IF(Y$3="","",IF(Y5&gt;=前提条件!$C$38,前提条件!$C$40*12,0))</f>
        <v/>
      </c>
      <c r="Z17" s="350">
        <f>IF(Z$3="","",IF(Z5&gt;=前提条件!$C$38,前提条件!$C$40*12,0))</f>
        <v/>
      </c>
      <c r="AA17" s="350">
        <f>IF(AA$3="","",IF(AA5&gt;=前提条件!$C$38,前提条件!$C$40*12,0))</f>
        <v/>
      </c>
      <c r="AB17" s="350">
        <f>IF(AB$3="","",IF(AB5&gt;=前提条件!$C$38,前提条件!$C$40*12,0))</f>
        <v/>
      </c>
      <c r="AC17" s="350">
        <f>IF(AC$3="","",IF(AC5&gt;=前提条件!$C$38,前提条件!$C$40*12,0))</f>
        <v/>
      </c>
      <c r="AD17" s="350">
        <f>IF(AD$3="","",IF(AD5&gt;=前提条件!$C$38,前提条件!$C$40*12,0))</f>
        <v/>
      </c>
      <c r="AE17" s="350">
        <f>IF(AE$3="","",IF(AE5&gt;=前提条件!$C$38,前提条件!$C$40*12,0))</f>
        <v/>
      </c>
      <c r="AF17" s="350">
        <f>IF(AF$3="","",IF(AF5&gt;=前提条件!$C$38,前提条件!$C$40*12,0))</f>
        <v/>
      </c>
      <c r="AG17" s="350">
        <f>IF(AG$3="","",IF(AG5&gt;=前提条件!$C$38,前提条件!$C$40*12,0))</f>
        <v/>
      </c>
      <c r="AH17" s="350">
        <f>IF(AH$3="","",IF(AH5&gt;=前提条件!$C$38,前提条件!$C$40*12,0))</f>
        <v/>
      </c>
      <c r="AI17" s="350">
        <f>IF(AI$3="","",IF(AI5&gt;=前提条件!$C$38,前提条件!$C$40*12,0))</f>
        <v/>
      </c>
      <c r="AJ17" s="350">
        <f>IF(AJ$3="","",IF(AJ5&gt;=前提条件!$C$38,前提条件!$C$40*12,0))</f>
        <v/>
      </c>
      <c r="AK17" s="350">
        <f>IF(AK$3="","",IF(AK5&gt;=前提条件!$C$38,前提条件!$C$40*12,0))</f>
        <v/>
      </c>
      <c r="AL17" s="350">
        <f>IF(AL$3="","",IF(AL5&gt;=前提条件!$C$38,前提条件!$C$40*12,0))</f>
        <v/>
      </c>
      <c r="AM17" s="350">
        <f>IF(AM$3="","",IF(AM5&gt;=前提条件!$C$38,前提条件!$C$40*12,0))</f>
        <v/>
      </c>
      <c r="AN17" s="350">
        <f>IF(AN$3="","",IF(AN5&gt;=前提条件!$C$38,前提条件!$C$40*12,0))</f>
        <v/>
      </c>
      <c r="AO17" s="350">
        <f>IF(AO$3="","",IF(AO5&gt;=前提条件!$C$38,前提条件!$C$40*12,0))</f>
        <v/>
      </c>
      <c r="AP17" s="350">
        <f>IF(AP$3="","",IF(AP5&gt;=前提条件!$C$38,前提条件!$C$40*12,0))</f>
        <v/>
      </c>
      <c r="AQ17" s="350">
        <f>IF(AQ$3="","",IF(AQ5&gt;=前提条件!$C$38,前提条件!$C$40*12,0))</f>
        <v/>
      </c>
      <c r="AR17" s="350">
        <f>IF(AR$3="","",IF(AR5&gt;=前提条件!$C$38,前提条件!$C$40*12,0))</f>
        <v/>
      </c>
      <c r="AS17" s="350">
        <f>IF(AS$3="","",IF(AS5&gt;=前提条件!$C$38,前提条件!$C$40*12,0))</f>
        <v/>
      </c>
      <c r="AT17" s="350">
        <f>IF(AT$3="","",IF(AT5&gt;=前提条件!$C$38,前提条件!$C$40*12,0))</f>
        <v/>
      </c>
      <c r="AU17" s="350">
        <f>IF(AU$3="","",IF(AU5&gt;=前提条件!$C$38,前提条件!$C$40*12,0))</f>
        <v/>
      </c>
      <c r="AV17" s="350">
        <f>IF(AV$3="","",IF(AV5&gt;=前提条件!$C$38,前提条件!$C$40*12,0))</f>
        <v/>
      </c>
      <c r="AW17" s="350">
        <f>IF(AW$3="","",IF(AW5&gt;=前提条件!$C$38,前提条件!$C$40*12,0))</f>
        <v/>
      </c>
      <c r="AX17" s="350">
        <f>IF(AX$3="","",IF(AX5&gt;=前提条件!$C$38,前提条件!$C$40*12,0))</f>
        <v/>
      </c>
      <c r="AY17" s="350">
        <f>IF(AY$3="","",IF(AY5&gt;=前提条件!$C$38,前提条件!$C$40*12,0))</f>
        <v/>
      </c>
      <c r="AZ17" s="350">
        <f>IF(AZ$3="","",IF(AZ5&gt;=前提条件!$C$38,前提条件!$C$40*12,0))</f>
        <v/>
      </c>
      <c r="BA17" s="350">
        <f>IF(BA$3="","",IF(BA5&gt;=前提条件!$C$38,前提条件!$C$40*12,0))</f>
        <v/>
      </c>
      <c r="BB17" s="350">
        <f>IF(BB$3="","",IF(BB5&gt;=前提条件!$C$38,前提条件!$C$40*12,0))</f>
        <v/>
      </c>
      <c r="BC17" s="350">
        <f>IF(BC$3="","",IF(BC5&gt;=前提条件!$C$38,前提条件!$C$40*12,0))</f>
        <v/>
      </c>
      <c r="BD17" s="350">
        <f>IF(BD$3="","",IF(BD5&gt;=前提条件!$C$38,前提条件!$C$40*12,0))</f>
        <v/>
      </c>
      <c r="BE17" s="350">
        <f>IF(BE$3="","",IF(BE5&gt;=前提条件!$C$38,前提条件!$C$40*12,0))</f>
        <v/>
      </c>
      <c r="BF17" s="350">
        <f>IF(BF$3="","",IF(BF5&gt;=前提条件!$C$38,前提条件!$C$40*12,0))</f>
        <v/>
      </c>
      <c r="BG17" s="350">
        <f>IF(BG$3="","",IF(BG5&gt;=前提条件!$C$38,前提条件!$C$40*12,0))</f>
        <v/>
      </c>
      <c r="BH17" s="350">
        <f>IF(BH$3="","",IF(BH5&gt;=前提条件!$C$38,前提条件!$C$40*12,0))</f>
        <v/>
      </c>
      <c r="BI17" s="350">
        <f>IF(BI$3="","",IF(BI5&gt;=前提条件!$C$38,前提条件!$C$40*12,0))</f>
        <v/>
      </c>
      <c r="BJ17" s="350">
        <f>IF(BJ$3="","",IF(BJ5&gt;=前提条件!$C$38,前提条件!$C$40*12,0))</f>
        <v/>
      </c>
      <c r="BK17" s="350">
        <f>IF(BK$3="","",IF(BK5&gt;=前提条件!$C$38,前提条件!$C$40*12,0))</f>
        <v/>
      </c>
      <c r="BL17" s="350">
        <f>IF(BL$3="","",IF(BL5&gt;=前提条件!$C$38,前提条件!$C$40*12,0))</f>
        <v/>
      </c>
      <c r="BM17" s="350">
        <f>IF(BM$3="","",IF(BM5&gt;=前提条件!$C$38,前提条件!$C$40*12,0))</f>
        <v/>
      </c>
      <c r="BN17" s="350">
        <f>IF(BN$3="","",IF(BN5&gt;=前提条件!$C$38,前提条件!$C$40*12,0))</f>
        <v/>
      </c>
      <c r="BO17" s="350">
        <f>IF(BO$3="","",IF(BO5&gt;=前提条件!$C$38,前提条件!$C$40*12,0))</f>
        <v/>
      </c>
      <c r="BP17" s="350">
        <f>IF(BP$3="","",IF(BP5&gt;=前提条件!$C$38,前提条件!$C$40*12,0))</f>
        <v/>
      </c>
      <c r="BQ17" s="350">
        <f>IF(BQ$3="","",IF(BQ5&gt;=前提条件!$C$38,前提条件!$C$40*12,0))</f>
        <v/>
      </c>
      <c r="BR17" s="350">
        <f>IF(BR$3="","",IF(BR5&gt;=前提条件!$C$38,前提条件!$C$40*12,0))</f>
        <v/>
      </c>
      <c r="BS17" s="350">
        <f>IF(BS$3="","",IF(BS5&gt;=前提条件!$C$38,前提条件!$C$40*12,0))</f>
        <v/>
      </c>
      <c r="BT17" s="350">
        <f>IF(BT$3="","",IF(BT5&gt;=前提条件!$C$38,前提条件!$C$40*12,0))</f>
        <v/>
      </c>
      <c r="BU17" s="350">
        <f>IF(BU$3="","",IF(BU5&gt;=前提条件!$C$38,前提条件!$C$40*12,0))</f>
        <v/>
      </c>
      <c r="BV17" s="350">
        <f>IF(BV$3="","",IF(BV5&gt;=前提条件!$C$38,前提条件!$C$40*12,0))</f>
        <v/>
      </c>
      <c r="BW17" s="350">
        <f>IF(BW$3="","",IF(BW5&gt;=前提条件!$C$38,前提条件!$C$40*12,0))</f>
        <v/>
      </c>
      <c r="BX17" s="350">
        <f>IF(BX$3="","",IF(BX5&gt;=前提条件!$C$38,前提条件!$C$40*12,0))</f>
        <v/>
      </c>
      <c r="BY17" s="350">
        <f>IF(BY$3="","",IF(BY5&gt;=前提条件!$C$38,前提条件!$C$40*12,0))</f>
        <v/>
      </c>
      <c r="BZ17" s="350">
        <f>IF(BZ$3="","",IF(BZ5&gt;=前提条件!$C$38,前提条件!$C$40*12,0))</f>
        <v/>
      </c>
      <c r="CA17" s="350">
        <f>IF(CA$3="","",IF(CA5&gt;=前提条件!$C$38,前提条件!$C$40*12,0))</f>
        <v/>
      </c>
      <c r="CB17" s="350">
        <f>IF(CB$3="","",IF(CB5&gt;=前提条件!$C$38,前提条件!$C$40*12,0))</f>
        <v/>
      </c>
      <c r="CC17" s="350">
        <f>IF(CC$3="","",IF(CC5&gt;=前提条件!$C$38,前提条件!$C$40*12,0))</f>
        <v/>
      </c>
      <c r="CD17" s="350">
        <f>IF(CD$3="","",IF(CD5&gt;=前提条件!$C$38,前提条件!$C$40*12,0))</f>
        <v/>
      </c>
      <c r="CE17" s="350">
        <f>IF(CE$3="","",IF(CE5&gt;=前提条件!$C$38,前提条件!$C$40*12,0))</f>
        <v/>
      </c>
      <c r="CF17" s="350">
        <f>IF(CF$3="","",IF(CF5&gt;=前提条件!$C$38,前提条件!$C$40*12,0))</f>
        <v/>
      </c>
      <c r="CG17" s="350">
        <f>IF(CG$3="","",IF(CG5&gt;=前提条件!$C$38,前提条件!$C$40*12,0))</f>
        <v/>
      </c>
      <c r="CH17" s="350">
        <f>IF(CH$3="","",IF(CH5&gt;=前提条件!$C$38,前提条件!$C$40*12,0))</f>
        <v/>
      </c>
      <c r="CI17" s="350">
        <f>IF(CI$3="","",IF(CI5&gt;=前提条件!$C$38,前提条件!$C$40*12,0))</f>
        <v/>
      </c>
      <c r="CJ17" s="350">
        <f>IF(CJ$3="","",IF(CJ5&gt;=前提条件!$C$38,前提条件!$C$40*12,0))</f>
        <v/>
      </c>
      <c r="CK17" s="350">
        <f>IF(CK$3="","",IF(CK5&gt;=前提条件!$C$38,前提条件!$C$40*12,0))</f>
        <v/>
      </c>
      <c r="CL17" s="350">
        <f>IF(CL$3="","",IF(CL5&gt;=前提条件!$C$38,前提条件!$C$40*12,0))</f>
        <v/>
      </c>
      <c r="CM17" s="350">
        <f>IF(CM$3="","",IF(CM5&gt;=前提条件!$C$38,前提条件!$C$40*12,0))</f>
        <v/>
      </c>
      <c r="CN17" s="350">
        <f>IF(CN$3="","",IF(CN5&gt;=前提条件!$C$38,前提条件!$C$40*12,0))</f>
        <v/>
      </c>
      <c r="CO17" s="350">
        <f>IF(CO$3="","",IF(CO5&gt;=前提条件!$C$38,前提条件!$C$40*12,0))</f>
        <v/>
      </c>
      <c r="CP17" s="350">
        <f>IF(CP$3="","",IF(CP5&gt;=前提条件!$C$38,前提条件!$C$40*12,0))</f>
        <v/>
      </c>
      <c r="CQ17" s="350">
        <f>IF(CQ$3="","",IF(CQ5&gt;=前提条件!$C$38,前提条件!$C$40*12,0))</f>
        <v/>
      </c>
      <c r="CR17" s="350">
        <f>IF(CR$3="","",IF(CR5&gt;=前提条件!$C$38,前提条件!$C$40*12,0))</f>
        <v/>
      </c>
      <c r="CS17" s="350">
        <f>IF(CS$3="","",IF(CS5&gt;=前提条件!$C$38,前提条件!$C$40*12,0))</f>
        <v/>
      </c>
      <c r="CT17" s="350">
        <f>IF(CT$3="","",IF(CT5&gt;=前提条件!$C$38,前提条件!$C$40*12,0))</f>
        <v/>
      </c>
      <c r="CU17" s="350">
        <f>IF(CU$3="","",IF(CU5&gt;=前提条件!$C$38,前提条件!$C$40*12,0))</f>
        <v/>
      </c>
      <c r="CV17" s="350">
        <f>IF(CV$3="","",IF(CV5&gt;=前提条件!$C$38,前提条件!$C$40*12,0))</f>
        <v/>
      </c>
      <c r="CW17" s="350">
        <f>IF(CW$3="","",IF(CW5&gt;=前提条件!$C$38,前提条件!$C$40*12,0))</f>
        <v/>
      </c>
    </row>
    <row r="18" ht="15" customHeight="1" s="180">
      <c r="A18" s="222" t="inlineStr">
        <is>
          <t>世帯収入合計</t>
        </is>
      </c>
      <c r="B18" s="351">
        <f>IF(B$3="","",SUM(B10:B17))</f>
        <v/>
      </c>
      <c r="C18" s="351">
        <f>IF(C$3="","",SUM(C10:C17))</f>
        <v/>
      </c>
      <c r="D18" s="351">
        <f>IF(D$3="","",SUM(D10:D17))</f>
        <v/>
      </c>
      <c r="E18" s="351">
        <f>IF(E$3="","",SUM(E10:E17))</f>
        <v/>
      </c>
      <c r="F18" s="351">
        <f>IF(F$3="","",SUM(F10:F17))</f>
        <v/>
      </c>
      <c r="G18" s="351">
        <f>IF(G$3="","",SUM(G10:G17))</f>
        <v/>
      </c>
      <c r="H18" s="351">
        <f>IF(H$3="","",SUM(H10:H17))</f>
        <v/>
      </c>
      <c r="I18" s="351">
        <f>IF(I$3="","",SUM(I10:I17))</f>
        <v/>
      </c>
      <c r="J18" s="351">
        <f>IF(J$3="","",SUM(J10:J17))</f>
        <v/>
      </c>
      <c r="K18" s="351">
        <f>IF(K$3="","",SUM(K10:K17))</f>
        <v/>
      </c>
      <c r="L18" s="351">
        <f>IF(L$3="","",SUM(L10:L17))</f>
        <v/>
      </c>
      <c r="M18" s="351">
        <f>IF(M$3="","",SUM(M10:M17))</f>
        <v/>
      </c>
      <c r="N18" s="351">
        <f>IF(N$3="","",SUM(N10:N17))</f>
        <v/>
      </c>
      <c r="O18" s="351">
        <f>IF(O$3="","",SUM(O10:O17))</f>
        <v/>
      </c>
      <c r="P18" s="351">
        <f>IF(P$3="","",SUM(P10:P17))</f>
        <v/>
      </c>
      <c r="Q18" s="351">
        <f>IF(Q$3="","",SUM(Q10:Q17))</f>
        <v/>
      </c>
      <c r="R18" s="351">
        <f>IF(R$3="","",SUM(R10:R17))</f>
        <v/>
      </c>
      <c r="S18" s="351">
        <f>IF(S$3="","",SUM(S10:S17))</f>
        <v/>
      </c>
      <c r="T18" s="351">
        <f>IF(T$3="","",SUM(T10:T17))</f>
        <v/>
      </c>
      <c r="U18" s="351">
        <f>IF(U$3="","",SUM(U10:U17))</f>
        <v/>
      </c>
      <c r="V18" s="351">
        <f>IF(V$3="","",SUM(V10:V17))</f>
        <v/>
      </c>
      <c r="W18" s="351">
        <f>IF(W$3="","",SUM(W10:W17))</f>
        <v/>
      </c>
      <c r="X18" s="351">
        <f>IF(X$3="","",SUM(X10:X17))</f>
        <v/>
      </c>
      <c r="Y18" s="351">
        <f>IF(Y$3="","",SUM(Y10:Y17))</f>
        <v/>
      </c>
      <c r="Z18" s="351">
        <f>IF(Z$3="","",SUM(Z10:Z17))</f>
        <v/>
      </c>
      <c r="AA18" s="351">
        <f>IF(AA$3="","",SUM(AA10:AA17))</f>
        <v/>
      </c>
      <c r="AB18" s="351">
        <f>IF(AB$3="","",SUM(AB10:AB17))</f>
        <v/>
      </c>
      <c r="AC18" s="351">
        <f>IF(AC$3="","",SUM(AC10:AC17))</f>
        <v/>
      </c>
      <c r="AD18" s="351">
        <f>IF(AD$3="","",SUM(AD10:AD17))</f>
        <v/>
      </c>
      <c r="AE18" s="351">
        <f>IF(AE$3="","",SUM(AE10:AE17))</f>
        <v/>
      </c>
      <c r="AF18" s="351">
        <f>IF(AF$3="","",SUM(AF10:AF17))</f>
        <v/>
      </c>
      <c r="AG18" s="351">
        <f>IF(AG$3="","",SUM(AG10:AG17))</f>
        <v/>
      </c>
      <c r="AH18" s="351">
        <f>IF(AH$3="","",SUM(AH10:AH17))</f>
        <v/>
      </c>
      <c r="AI18" s="351">
        <f>IF(AI$3="","",SUM(AI10:AI17))</f>
        <v/>
      </c>
      <c r="AJ18" s="351">
        <f>IF(AJ$3="","",SUM(AJ10:AJ17))</f>
        <v/>
      </c>
      <c r="AK18" s="351">
        <f>IF(AK$3="","",SUM(AK10:AK17))</f>
        <v/>
      </c>
      <c r="AL18" s="351">
        <f>IF(AL$3="","",SUM(AL10:AL17))</f>
        <v/>
      </c>
      <c r="AM18" s="351">
        <f>IF(AM$3="","",SUM(AM10:AM17))</f>
        <v/>
      </c>
      <c r="AN18" s="351">
        <f>IF(AN$3="","",SUM(AN10:AN17))</f>
        <v/>
      </c>
      <c r="AO18" s="351">
        <f>IF(AO$3="","",SUM(AO10:AO17))</f>
        <v/>
      </c>
      <c r="AP18" s="351">
        <f>IF(AP$3="","",SUM(AP10:AP17))</f>
        <v/>
      </c>
      <c r="AQ18" s="351">
        <f>IF(AQ$3="","",SUM(AQ10:AQ17))</f>
        <v/>
      </c>
      <c r="AR18" s="351">
        <f>IF(AR$3="","",SUM(AR10:AR17))</f>
        <v/>
      </c>
      <c r="AS18" s="351">
        <f>IF(AS$3="","",SUM(AS10:AS17))</f>
        <v/>
      </c>
      <c r="AT18" s="351">
        <f>IF(AT$3="","",SUM(AT10:AT17))</f>
        <v/>
      </c>
      <c r="AU18" s="351">
        <f>IF(AU$3="","",SUM(AU10:AU17))</f>
        <v/>
      </c>
      <c r="AV18" s="351">
        <f>IF(AV$3="","",SUM(AV10:AV17))</f>
        <v/>
      </c>
      <c r="AW18" s="351">
        <f>IF(AW$3="","",SUM(AW10:AW17))</f>
        <v/>
      </c>
      <c r="AX18" s="351">
        <f>IF(AX$3="","",SUM(AX10:AX17))</f>
        <v/>
      </c>
      <c r="AY18" s="351">
        <f>IF(AY$3="","",SUM(AY10:AY17))</f>
        <v/>
      </c>
      <c r="AZ18" s="351">
        <f>IF(AZ$3="","",SUM(AZ10:AZ17))</f>
        <v/>
      </c>
      <c r="BA18" s="351">
        <f>IF(BA$3="","",SUM(BA10:BA17))</f>
        <v/>
      </c>
      <c r="BB18" s="351">
        <f>IF(BB$3="","",SUM(BB10:BB17))</f>
        <v/>
      </c>
      <c r="BC18" s="351">
        <f>IF(BC$3="","",SUM(BC10:BC17))</f>
        <v/>
      </c>
      <c r="BD18" s="351">
        <f>IF(BD$3="","",SUM(BD10:BD17))</f>
        <v/>
      </c>
      <c r="BE18" s="351">
        <f>IF(BE$3="","",SUM(BE10:BE17))</f>
        <v/>
      </c>
      <c r="BF18" s="351">
        <f>IF(BF$3="","",SUM(BF10:BF17))</f>
        <v/>
      </c>
      <c r="BG18" s="351">
        <f>IF(BG$3="","",SUM(BG10:BG17))</f>
        <v/>
      </c>
      <c r="BH18" s="351">
        <f>IF(BH$3="","",SUM(BH10:BH17))</f>
        <v/>
      </c>
      <c r="BI18" s="351">
        <f>IF(BI$3="","",SUM(BI10:BI17))</f>
        <v/>
      </c>
      <c r="BJ18" s="351">
        <f>IF(BJ$3="","",SUM(BJ10:BJ17))</f>
        <v/>
      </c>
      <c r="BK18" s="351">
        <f>IF(BK$3="","",SUM(BK10:BK17))</f>
        <v/>
      </c>
      <c r="BL18" s="351">
        <f>IF(BL$3="","",SUM(BL10:BL17))</f>
        <v/>
      </c>
      <c r="BM18" s="351">
        <f>IF(BM$3="","",SUM(BM10:BM17))</f>
        <v/>
      </c>
      <c r="BN18" s="351">
        <f>IF(BN$3="","",SUM(BN10:BN17))</f>
        <v/>
      </c>
      <c r="BO18" s="351">
        <f>IF(BO$3="","",SUM(BO10:BO17))</f>
        <v/>
      </c>
      <c r="BP18" s="351">
        <f>IF(BP$3="","",SUM(BP10:BP17))</f>
        <v/>
      </c>
      <c r="BQ18" s="351">
        <f>IF(BQ$3="","",SUM(BQ10:BQ17))</f>
        <v/>
      </c>
      <c r="BR18" s="351">
        <f>IF(BR$3="","",SUM(BR10:BR17))</f>
        <v/>
      </c>
      <c r="BS18" s="351">
        <f>IF(BS$3="","",SUM(BS10:BS17))</f>
        <v/>
      </c>
      <c r="BT18" s="351">
        <f>IF(BT$3="","",SUM(BT10:BT17))</f>
        <v/>
      </c>
      <c r="BU18" s="351">
        <f>IF(BU$3="","",SUM(BU10:BU17))</f>
        <v/>
      </c>
      <c r="BV18" s="351">
        <f>IF(BV$3="","",SUM(BV10:BV17))</f>
        <v/>
      </c>
      <c r="BW18" s="351">
        <f>IF(BW$3="","",SUM(BW10:BW17))</f>
        <v/>
      </c>
      <c r="BX18" s="351">
        <f>IF(BX$3="","",SUM(BX10:BX17))</f>
        <v/>
      </c>
      <c r="BY18" s="351">
        <f>IF(BY$3="","",SUM(BY10:BY17))</f>
        <v/>
      </c>
      <c r="BZ18" s="351">
        <f>IF(BZ$3="","",SUM(BZ10:BZ17))</f>
        <v/>
      </c>
      <c r="CA18" s="351">
        <f>IF(CA$3="","",SUM(CA10:CA17))</f>
        <v/>
      </c>
      <c r="CB18" s="351">
        <f>IF(CB$3="","",SUM(CB10:CB17))</f>
        <v/>
      </c>
      <c r="CC18" s="351">
        <f>IF(CC$3="","",SUM(CC10:CC17))</f>
        <v/>
      </c>
      <c r="CD18" s="351">
        <f>IF(CD$3="","",SUM(CD10:CD17))</f>
        <v/>
      </c>
      <c r="CE18" s="351">
        <f>IF(CE$3="","",SUM(CE10:CE17))</f>
        <v/>
      </c>
      <c r="CF18" s="351">
        <f>IF(CF$3="","",SUM(CF10:CF17))</f>
        <v/>
      </c>
      <c r="CG18" s="351">
        <f>IF(CG$3="","",SUM(CG10:CG17))</f>
        <v/>
      </c>
      <c r="CH18" s="351">
        <f>IF(CH$3="","",SUM(CH10:CH17))</f>
        <v/>
      </c>
      <c r="CI18" s="351">
        <f>IF(CI$3="","",SUM(CI10:CI17))</f>
        <v/>
      </c>
      <c r="CJ18" s="351">
        <f>IF(CJ$3="","",SUM(CJ10:CJ17))</f>
        <v/>
      </c>
      <c r="CK18" s="351">
        <f>IF(CK$3="","",SUM(CK10:CK17))</f>
        <v/>
      </c>
      <c r="CL18" s="351">
        <f>IF(CL$3="","",SUM(CL10:CL17))</f>
        <v/>
      </c>
      <c r="CM18" s="351">
        <f>IF(CM$3="","",SUM(CM10:CM17))</f>
        <v/>
      </c>
      <c r="CN18" s="351">
        <f>IF(CN$3="","",SUM(CN10:CN17))</f>
        <v/>
      </c>
      <c r="CO18" s="351">
        <f>IF(CO$3="","",SUM(CO10:CO17))</f>
        <v/>
      </c>
      <c r="CP18" s="351">
        <f>IF(CP$3="","",SUM(CP10:CP17))</f>
        <v/>
      </c>
      <c r="CQ18" s="351">
        <f>IF(CQ$3="","",SUM(CQ10:CQ17))</f>
        <v/>
      </c>
      <c r="CR18" s="351">
        <f>IF(CR$3="","",SUM(CR10:CR17))</f>
        <v/>
      </c>
      <c r="CS18" s="351">
        <f>IF(CS$3="","",SUM(CS10:CS17))</f>
        <v/>
      </c>
      <c r="CT18" s="351">
        <f>IF(CT$3="","",SUM(CT10:CT17))</f>
        <v/>
      </c>
      <c r="CU18" s="351">
        <f>IF(CU$3="","",SUM(CU10:CU17))</f>
        <v/>
      </c>
      <c r="CV18" s="351">
        <f>IF(CV$3="","",SUM(CV10:CV17))</f>
        <v/>
      </c>
      <c r="CW18" s="351">
        <f>IF(CW$3="","",SUM(CW10:CW17))</f>
        <v/>
      </c>
    </row>
    <row r="19" ht="15" customHeight="1" s="180">
      <c r="A19" s="205" t="inlineStr">
        <is>
          <t>収入</t>
        </is>
      </c>
      <c r="B19" s="219" t="n"/>
      <c r="C19" s="219" t="n"/>
      <c r="D19" s="219" t="n"/>
      <c r="E19" s="219" t="n"/>
      <c r="F19" s="219" t="n"/>
      <c r="G19" s="219" t="n"/>
      <c r="H19" s="219" t="n"/>
      <c r="I19" s="219" t="n"/>
      <c r="J19" s="219" t="n"/>
      <c r="K19" s="219" t="n"/>
      <c r="L19" s="219" t="n"/>
      <c r="M19" s="219" t="n"/>
      <c r="N19" s="219" t="n"/>
      <c r="O19" s="219" t="n"/>
      <c r="P19" s="219" t="n"/>
      <c r="Q19" s="219" t="n"/>
      <c r="R19" s="219" t="n"/>
      <c r="S19" s="219" t="n"/>
      <c r="T19" s="219" t="n"/>
      <c r="U19" s="219" t="n"/>
      <c r="V19" s="219" t="n"/>
      <c r="W19" s="219" t="n"/>
      <c r="X19" s="219" t="n"/>
      <c r="Y19" s="219" t="n"/>
      <c r="Z19" s="219" t="n"/>
      <c r="AA19" s="219" t="n"/>
      <c r="AB19" s="219" t="n"/>
      <c r="AC19" s="219" t="n"/>
      <c r="AD19" s="219" t="n"/>
      <c r="AE19" s="219" t="n"/>
      <c r="AF19" s="219" t="n"/>
      <c r="AG19" s="219" t="n"/>
      <c r="AH19" s="219" t="n"/>
      <c r="AI19" s="219" t="n"/>
      <c r="AJ19" s="219" t="n"/>
      <c r="AK19" s="219" t="n"/>
      <c r="AL19" s="219" t="n"/>
      <c r="AM19" s="219" t="n"/>
      <c r="AN19" s="219" t="n"/>
      <c r="AO19" s="219" t="n"/>
      <c r="AP19" s="219" t="n"/>
      <c r="AQ19" s="219" t="n"/>
      <c r="AR19" s="219" t="n"/>
      <c r="AS19" s="219" t="n"/>
      <c r="AT19" s="219" t="n"/>
      <c r="AU19" s="219" t="n"/>
      <c r="AV19" s="219" t="n"/>
      <c r="AW19" s="219" t="n"/>
      <c r="AX19" s="219" t="n"/>
      <c r="AY19" s="219" t="n"/>
      <c r="AZ19" s="219" t="n"/>
      <c r="BA19" s="219" t="n"/>
      <c r="BB19" s="219" t="n"/>
      <c r="BC19" s="219" t="n"/>
      <c r="BD19" s="219" t="n"/>
      <c r="BE19" s="219" t="n"/>
      <c r="BF19" s="219" t="n"/>
      <c r="BG19" s="219" t="n"/>
      <c r="BH19" s="219" t="n"/>
      <c r="BI19" s="219" t="n"/>
      <c r="BJ19" s="219" t="n"/>
      <c r="BK19" s="219" t="n"/>
      <c r="BL19" s="219" t="n"/>
      <c r="BM19" s="219" t="n"/>
      <c r="BN19" s="219" t="n"/>
      <c r="BO19" s="219" t="n"/>
      <c r="BP19" s="219" t="n"/>
      <c r="BQ19" s="219" t="n"/>
      <c r="BR19" s="219" t="n"/>
      <c r="BS19" s="219" t="n"/>
      <c r="BT19" s="219" t="n"/>
      <c r="BU19" s="219" t="n"/>
      <c r="BV19" s="219" t="n"/>
      <c r="BW19" s="219" t="n"/>
      <c r="BX19" s="219" t="n"/>
      <c r="BY19" s="219" t="n"/>
      <c r="BZ19" s="219" t="n"/>
      <c r="CA19" s="219" t="n"/>
      <c r="CB19" s="219" t="n"/>
      <c r="CC19" s="219" t="n"/>
      <c r="CD19" s="219" t="n"/>
      <c r="CE19" s="219" t="n"/>
      <c r="CF19" s="219" t="n"/>
      <c r="CG19" s="219" t="n"/>
      <c r="CH19" s="219" t="n"/>
      <c r="CI19" s="219" t="n"/>
      <c r="CJ19" s="219" t="n"/>
      <c r="CK19" s="219" t="n"/>
      <c r="CL19" s="219" t="n"/>
      <c r="CM19" s="219" t="n"/>
      <c r="CN19" s="219" t="n"/>
      <c r="CO19" s="219" t="n"/>
      <c r="CP19" s="219" t="n"/>
      <c r="CQ19" s="219" t="n"/>
      <c r="CR19" s="219" t="n"/>
      <c r="CS19" s="219" t="n"/>
      <c r="CT19" s="219" t="n"/>
      <c r="CU19" s="219" t="n"/>
      <c r="CV19" s="219" t="n"/>
      <c r="CW19" s="219" t="n"/>
    </row>
    <row r="20" ht="15" customHeight="1" s="180">
      <c r="A20" s="224" t="inlineStr">
        <is>
          <t>基本生活費</t>
        </is>
      </c>
      <c r="B20" s="352">
        <f>IF(B$3="","",(IF(MIN(B4,B5)&gt;=入力データ!$C$111,入力データ!$C$112*12*(1+前提条件!$C$14)^(B$3-$B$3),SUM(入力データ!$C$41:$C$52)*12*(1+前提条件!$C$12)^(B$3-$B$3)))*前提条件!$C$52)</f>
        <v/>
      </c>
      <c r="C20" s="352">
        <f>IF(C$3="","",(IF(MIN(C4,C5)&gt;=入力データ!$C$111,入力データ!$C$112*12*(1+前提条件!$C$14)^(C$3-$B$3),SUM(入力データ!$C$41:$C$52)*12*(1+前提条件!$C$12)^(C$3-$B$3)))*前提条件!$C$52)</f>
        <v/>
      </c>
      <c r="D20" s="352">
        <f>IF(D$3="","",(IF(MIN(D4,D5)&gt;=入力データ!$C$111,入力データ!$C$112*12*(1+前提条件!$C$14)^(D$3-$B$3),SUM(入力データ!$C$41:$C$52)*12*(1+前提条件!$C$12)^(D$3-$B$3)))*前提条件!$C$52)</f>
        <v/>
      </c>
      <c r="E20" s="352">
        <f>IF(E$3="","",(IF(MIN(E4,E5)&gt;=入力データ!$C$111,入力データ!$C$112*12*(1+前提条件!$C$14)^(E$3-$B$3),SUM(入力データ!$C$41:$C$52)*12*(1+前提条件!$C$12)^(E$3-$B$3)))*前提条件!$C$52)</f>
        <v/>
      </c>
      <c r="F20" s="352">
        <f>IF(F$3="","",(IF(MIN(F4,F5)&gt;=入力データ!$C$111,入力データ!$C$112*12*(1+前提条件!$C$14)^(F$3-$B$3),SUM(入力データ!$C$41:$C$52)*12*(1+前提条件!$C$12)^(F$3-$B$3)))*前提条件!$C$52)</f>
        <v/>
      </c>
      <c r="G20" s="352">
        <f>IF(G$3="","",(IF(MIN(G4,G5)&gt;=入力データ!$C$111,入力データ!$C$112*12*(1+前提条件!$C$14)^(G$3-$B$3),SUM(入力データ!$C$41:$C$52)*12*(1+前提条件!$C$12)^(G$3-$B$3)))*前提条件!$C$52)</f>
        <v/>
      </c>
      <c r="H20" s="352">
        <f>IF(H$3="","",(IF(MIN(H4,H5)&gt;=入力データ!$C$111,入力データ!$C$112*12*(1+前提条件!$C$14)^(H$3-$B$3),SUM(入力データ!$C$41:$C$52)*12*(1+前提条件!$C$12)^(H$3-$B$3)))*前提条件!$C$52)</f>
        <v/>
      </c>
      <c r="I20" s="352">
        <f>IF(I$3="","",(IF(MIN(I4,I5)&gt;=入力データ!$C$111,入力データ!$C$112*12*(1+前提条件!$C$14)^(I$3-$B$3),SUM(入力データ!$C$41:$C$52)*12*(1+前提条件!$C$12)^(I$3-$B$3)))*前提条件!$C$52)</f>
        <v/>
      </c>
      <c r="J20" s="352">
        <f>IF(J$3="","",(IF(MIN(J4,J5)&gt;=入力データ!$C$111,入力データ!$C$112*12*(1+前提条件!$C$14)^(J$3-$B$3),SUM(入力データ!$C$41:$C$52)*12*(1+前提条件!$C$12)^(J$3-$B$3)))*前提条件!$C$52)</f>
        <v/>
      </c>
      <c r="K20" s="352">
        <f>IF(K$3="","",(IF(MIN(K4,K5)&gt;=入力データ!$C$111,入力データ!$C$112*12*(1+前提条件!$C$14)^(K$3-$B$3),SUM(入力データ!$C$41:$C$52)*12*(1+前提条件!$C$12)^(K$3-$B$3)))*前提条件!$C$52)</f>
        <v/>
      </c>
      <c r="L20" s="352">
        <f>IF(L$3="","",(IF(MIN(L4,L5)&gt;=入力データ!$C$111,入力データ!$C$112*12*(1+前提条件!$C$14)^(L$3-$B$3),SUM(入力データ!$C$41:$C$52)*12*(1+前提条件!$C$12)^(L$3-$B$3)))*前提条件!$C$52)</f>
        <v/>
      </c>
      <c r="M20" s="352">
        <f>IF(M$3="","",(IF(MIN(M4,M5)&gt;=入力データ!$C$111,入力データ!$C$112*12*(1+前提条件!$C$14)^(M$3-$B$3),SUM(入力データ!$C$41:$C$52)*12*(1+前提条件!$C$12)^(M$3-$B$3)))*前提条件!$C$52)</f>
        <v/>
      </c>
      <c r="N20" s="352">
        <f>IF(N$3="","",(IF(MIN(N4,N5)&gt;=入力データ!$C$111,入力データ!$C$112*12*(1+前提条件!$C$14)^(N$3-$B$3),SUM(入力データ!$C$41:$C$52)*12*(1+前提条件!$C$12)^(N$3-$B$3)))*前提条件!$C$52)</f>
        <v/>
      </c>
      <c r="O20" s="352">
        <f>IF(O$3="","",(IF(MIN(O4,O5)&gt;=入力データ!$C$111,入力データ!$C$112*12*(1+前提条件!$C$14)^(O$3-$B$3),SUM(入力データ!$C$41:$C$52)*12*(1+前提条件!$C$12)^(O$3-$B$3)))*前提条件!$C$52)</f>
        <v/>
      </c>
      <c r="P20" s="352">
        <f>IF(P$3="","",(IF(MIN(P4,P5)&gt;=入力データ!$C$111,入力データ!$C$112*12*(1+前提条件!$C$14)^(P$3-$B$3),SUM(入力データ!$C$41:$C$52)*12*(1+前提条件!$C$12)^(P$3-$B$3)))*前提条件!$C$52)</f>
        <v/>
      </c>
      <c r="Q20" s="352">
        <f>IF(Q$3="","",(IF(MIN(Q4,Q5)&gt;=入力データ!$C$111,入力データ!$C$112*12*(1+前提条件!$C$14)^(Q$3-$B$3),SUM(入力データ!$C$41:$C$52)*12*(1+前提条件!$C$12)^(Q$3-$B$3)))*前提条件!$C$52)</f>
        <v/>
      </c>
      <c r="R20" s="352">
        <f>IF(R$3="","",(IF(MIN(R4,R5)&gt;=入力データ!$C$111,入力データ!$C$112*12*(1+前提条件!$C$14)^(R$3-$B$3),SUM(入力データ!$C$41:$C$52)*12*(1+前提条件!$C$12)^(R$3-$B$3)))*前提条件!$C$52)</f>
        <v/>
      </c>
      <c r="S20" s="352">
        <f>IF(S$3="","",(IF(MIN(S4,S5)&gt;=入力データ!$C$111,入力データ!$C$112*12*(1+前提条件!$C$14)^(S$3-$B$3),SUM(入力データ!$C$41:$C$52)*12*(1+前提条件!$C$12)^(S$3-$B$3)))*前提条件!$C$52)</f>
        <v/>
      </c>
      <c r="T20" s="352">
        <f>IF(T$3="","",(IF(MIN(T4,T5)&gt;=入力データ!$C$111,入力データ!$C$112*12*(1+前提条件!$C$14)^(T$3-$B$3),SUM(入力データ!$C$41:$C$52)*12*(1+前提条件!$C$12)^(T$3-$B$3)))*前提条件!$C$52)</f>
        <v/>
      </c>
      <c r="U20" s="352">
        <f>IF(U$3="","",(IF(MIN(U4,U5)&gt;=入力データ!$C$111,入力データ!$C$112*12*(1+前提条件!$C$14)^(U$3-$B$3),SUM(入力データ!$C$41:$C$52)*12*(1+前提条件!$C$12)^(U$3-$B$3)))*前提条件!$C$52)</f>
        <v/>
      </c>
      <c r="V20" s="352">
        <f>IF(V$3="","",(IF(MIN(V4,V5)&gt;=入力データ!$C$111,入力データ!$C$112*12*(1+前提条件!$C$14)^(V$3-$B$3),SUM(入力データ!$C$41:$C$52)*12*(1+前提条件!$C$12)^(V$3-$B$3)))*前提条件!$C$52)</f>
        <v/>
      </c>
      <c r="W20" s="352">
        <f>IF(W$3="","",(IF(MIN(W4,W5)&gt;=入力データ!$C$111,入力データ!$C$112*12*(1+前提条件!$C$14)^(W$3-$B$3),SUM(入力データ!$C$41:$C$52)*12*(1+前提条件!$C$12)^(W$3-$B$3)))*前提条件!$C$52)</f>
        <v/>
      </c>
      <c r="X20" s="352">
        <f>IF(X$3="","",(IF(MIN(X4,X5)&gt;=入力データ!$C$111,入力データ!$C$112*12*(1+前提条件!$C$14)^(X$3-$B$3),SUM(入力データ!$C$41:$C$52)*12*(1+前提条件!$C$12)^(X$3-$B$3)))*前提条件!$C$52)</f>
        <v/>
      </c>
      <c r="Y20" s="352">
        <f>IF(Y$3="","",(IF(MIN(Y4,Y5)&gt;=入力データ!$C$111,入力データ!$C$112*12*(1+前提条件!$C$14)^(Y$3-$B$3),SUM(入力データ!$C$41:$C$52)*12*(1+前提条件!$C$12)^(Y$3-$B$3)))*前提条件!$C$52)</f>
        <v/>
      </c>
      <c r="Z20" s="352">
        <f>IF(Z$3="","",(IF(MIN(Z4,Z5)&gt;=入力データ!$C$111,入力データ!$C$112*12*(1+前提条件!$C$14)^(Z$3-$B$3),SUM(入力データ!$C$41:$C$52)*12*(1+前提条件!$C$12)^(Z$3-$B$3)))*前提条件!$C$52)</f>
        <v/>
      </c>
      <c r="AA20" s="352">
        <f>IF(AA$3="","",(IF(MIN(AA4,AA5)&gt;=入力データ!$C$111,入力データ!$C$112*12*(1+前提条件!$C$14)^(AA$3-$B$3),SUM(入力データ!$C$41:$C$52)*12*(1+前提条件!$C$12)^(AA$3-$B$3)))*前提条件!$C$52)</f>
        <v/>
      </c>
      <c r="AB20" s="352">
        <f>IF(AB$3="","",(IF(MIN(AB4,AB5)&gt;=入力データ!$C$111,入力データ!$C$112*12*(1+前提条件!$C$14)^(AB$3-$B$3),SUM(入力データ!$C$41:$C$52)*12*(1+前提条件!$C$12)^(AB$3-$B$3)))*前提条件!$C$52)</f>
        <v/>
      </c>
      <c r="AC20" s="352">
        <f>IF(AC$3="","",(IF(MIN(AC4,AC5)&gt;=入力データ!$C$111,入力データ!$C$112*12*(1+前提条件!$C$14)^(AC$3-$B$3),SUM(入力データ!$C$41:$C$52)*12*(1+前提条件!$C$12)^(AC$3-$B$3)))*前提条件!$C$52)</f>
        <v/>
      </c>
      <c r="AD20" s="352">
        <f>IF(AD$3="","",(IF(MIN(AD4,AD5)&gt;=入力データ!$C$111,入力データ!$C$112*12*(1+前提条件!$C$14)^(AD$3-$B$3),SUM(入力データ!$C$41:$C$52)*12*(1+前提条件!$C$12)^(AD$3-$B$3)))*前提条件!$C$52)</f>
        <v/>
      </c>
      <c r="AE20" s="352">
        <f>IF(AE$3="","",(IF(MIN(AE4,AE5)&gt;=入力データ!$C$111,入力データ!$C$112*12*(1+前提条件!$C$14)^(AE$3-$B$3),SUM(入力データ!$C$41:$C$52)*12*(1+前提条件!$C$12)^(AE$3-$B$3)))*前提条件!$C$52)</f>
        <v/>
      </c>
      <c r="AF20" s="352">
        <f>IF(AF$3="","",(IF(MIN(AF4,AF5)&gt;=入力データ!$C$111,入力データ!$C$112*12*(1+前提条件!$C$14)^(AF$3-$B$3),SUM(入力データ!$C$41:$C$52)*12*(1+前提条件!$C$12)^(AF$3-$B$3)))*前提条件!$C$52)</f>
        <v/>
      </c>
      <c r="AG20" s="352">
        <f>IF(AG$3="","",(IF(MIN(AG4,AG5)&gt;=入力データ!$C$111,入力データ!$C$112*12*(1+前提条件!$C$14)^(AG$3-$B$3),SUM(入力データ!$C$41:$C$52)*12*(1+前提条件!$C$12)^(AG$3-$B$3)))*前提条件!$C$52)</f>
        <v/>
      </c>
      <c r="AH20" s="352">
        <f>IF(AH$3="","",(IF(MIN(AH4,AH5)&gt;=入力データ!$C$111,入力データ!$C$112*12*(1+前提条件!$C$14)^(AH$3-$B$3),SUM(入力データ!$C$41:$C$52)*12*(1+前提条件!$C$12)^(AH$3-$B$3)))*前提条件!$C$52)</f>
        <v/>
      </c>
      <c r="AI20" s="352">
        <f>IF(AI$3="","",(IF(MIN(AI4,AI5)&gt;=入力データ!$C$111,入力データ!$C$112*12*(1+前提条件!$C$14)^(AI$3-$B$3),SUM(入力データ!$C$41:$C$52)*12*(1+前提条件!$C$12)^(AI$3-$B$3)))*前提条件!$C$52)</f>
        <v/>
      </c>
      <c r="AJ20" s="352">
        <f>IF(AJ$3="","",(IF(MIN(AJ4,AJ5)&gt;=入力データ!$C$111,入力データ!$C$112*12*(1+前提条件!$C$14)^(AJ$3-$B$3),SUM(入力データ!$C$41:$C$52)*12*(1+前提条件!$C$12)^(AJ$3-$B$3)))*前提条件!$C$52)</f>
        <v/>
      </c>
      <c r="AK20" s="352">
        <f>IF(AK$3="","",(IF(MIN(AK4,AK5)&gt;=入力データ!$C$111,入力データ!$C$112*12*(1+前提条件!$C$14)^(AK$3-$B$3),SUM(入力データ!$C$41:$C$52)*12*(1+前提条件!$C$12)^(AK$3-$B$3)))*前提条件!$C$52)</f>
        <v/>
      </c>
      <c r="AL20" s="352">
        <f>IF(AL$3="","",(IF(MIN(AL4,AL5)&gt;=入力データ!$C$111,入力データ!$C$112*12*(1+前提条件!$C$14)^(AL$3-$B$3),SUM(入力データ!$C$41:$C$52)*12*(1+前提条件!$C$12)^(AL$3-$B$3)))*前提条件!$C$52)</f>
        <v/>
      </c>
      <c r="AM20" s="352">
        <f>IF(AM$3="","",(IF(MIN(AM4,AM5)&gt;=入力データ!$C$111,入力データ!$C$112*12*(1+前提条件!$C$14)^(AM$3-$B$3),SUM(入力データ!$C$41:$C$52)*12*(1+前提条件!$C$12)^(AM$3-$B$3)))*前提条件!$C$52)</f>
        <v/>
      </c>
      <c r="AN20" s="352">
        <f>IF(AN$3="","",(IF(MIN(AN4,AN5)&gt;=入力データ!$C$111,入力データ!$C$112*12*(1+前提条件!$C$14)^(AN$3-$B$3),SUM(入力データ!$C$41:$C$52)*12*(1+前提条件!$C$12)^(AN$3-$B$3)))*前提条件!$C$52)</f>
        <v/>
      </c>
      <c r="AO20" s="352">
        <f>IF(AO$3="","",(IF(MIN(AO4,AO5)&gt;=入力データ!$C$111,入力データ!$C$112*12*(1+前提条件!$C$14)^(AO$3-$B$3),SUM(入力データ!$C$41:$C$52)*12*(1+前提条件!$C$12)^(AO$3-$B$3)))*前提条件!$C$52)</f>
        <v/>
      </c>
      <c r="AP20" s="352">
        <f>IF(AP$3="","",(IF(MIN(AP4,AP5)&gt;=入力データ!$C$111,入力データ!$C$112*12*(1+前提条件!$C$14)^(AP$3-$B$3),SUM(入力データ!$C$41:$C$52)*12*(1+前提条件!$C$12)^(AP$3-$B$3)))*前提条件!$C$52)</f>
        <v/>
      </c>
      <c r="AQ20" s="352">
        <f>IF(AQ$3="","",(IF(MIN(AQ4,AQ5)&gt;=入力データ!$C$111,入力データ!$C$112*12*(1+前提条件!$C$14)^(AQ$3-$B$3),SUM(入力データ!$C$41:$C$52)*12*(1+前提条件!$C$12)^(AQ$3-$B$3)))*前提条件!$C$52)</f>
        <v/>
      </c>
      <c r="AR20" s="352">
        <f>IF(AR$3="","",(IF(MIN(AR4,AR5)&gt;=入力データ!$C$111,入力データ!$C$112*12*(1+前提条件!$C$14)^(AR$3-$B$3),SUM(入力データ!$C$41:$C$52)*12*(1+前提条件!$C$12)^(AR$3-$B$3)))*前提条件!$C$52)</f>
        <v/>
      </c>
      <c r="AS20" s="352">
        <f>IF(AS$3="","",(IF(MIN(AS4,AS5)&gt;=入力データ!$C$111,入力データ!$C$112*12*(1+前提条件!$C$14)^(AS$3-$B$3),SUM(入力データ!$C$41:$C$52)*12*(1+前提条件!$C$12)^(AS$3-$B$3)))*前提条件!$C$52)</f>
        <v/>
      </c>
      <c r="AT20" s="352">
        <f>IF(AT$3="","",(IF(MIN(AT4,AT5)&gt;=入力データ!$C$111,入力データ!$C$112*12*(1+前提条件!$C$14)^(AT$3-$B$3),SUM(入力データ!$C$41:$C$52)*12*(1+前提条件!$C$12)^(AT$3-$B$3)))*前提条件!$C$52)</f>
        <v/>
      </c>
      <c r="AU20" s="352">
        <f>IF(AU$3="","",(IF(MIN(AU4,AU5)&gt;=入力データ!$C$111,入力データ!$C$112*12*(1+前提条件!$C$14)^(AU$3-$B$3),SUM(入力データ!$C$41:$C$52)*12*(1+前提条件!$C$12)^(AU$3-$B$3)))*前提条件!$C$52)</f>
        <v/>
      </c>
      <c r="AV20" s="352">
        <f>IF(AV$3="","",(IF(MIN(AV4,AV5)&gt;=入力データ!$C$111,入力データ!$C$112*12*(1+前提条件!$C$14)^(AV$3-$B$3),SUM(入力データ!$C$41:$C$52)*12*(1+前提条件!$C$12)^(AV$3-$B$3)))*前提条件!$C$52)</f>
        <v/>
      </c>
      <c r="AW20" s="352">
        <f>IF(AW$3="","",(IF(MIN(AW4,AW5)&gt;=入力データ!$C$111,入力データ!$C$112*12*(1+前提条件!$C$14)^(AW$3-$B$3),SUM(入力データ!$C$41:$C$52)*12*(1+前提条件!$C$12)^(AW$3-$B$3)))*前提条件!$C$52)</f>
        <v/>
      </c>
      <c r="AX20" s="352">
        <f>IF(AX$3="","",(IF(MIN(AX4,AX5)&gt;=入力データ!$C$111,入力データ!$C$112*12*(1+前提条件!$C$14)^(AX$3-$B$3),SUM(入力データ!$C$41:$C$52)*12*(1+前提条件!$C$12)^(AX$3-$B$3)))*前提条件!$C$52)</f>
        <v/>
      </c>
      <c r="AY20" s="352">
        <f>IF(AY$3="","",(IF(MIN(AY4,AY5)&gt;=入力データ!$C$111,入力データ!$C$112*12*(1+前提条件!$C$14)^(AY$3-$B$3),SUM(入力データ!$C$41:$C$52)*12*(1+前提条件!$C$12)^(AY$3-$B$3)))*前提条件!$C$52)</f>
        <v/>
      </c>
      <c r="AZ20" s="352">
        <f>IF(AZ$3="","",(IF(MIN(AZ4,AZ5)&gt;=入力データ!$C$111,入力データ!$C$112*12*(1+前提条件!$C$14)^(AZ$3-$B$3),SUM(入力データ!$C$41:$C$52)*12*(1+前提条件!$C$12)^(AZ$3-$B$3)))*前提条件!$C$52)</f>
        <v/>
      </c>
      <c r="BA20" s="352">
        <f>IF(BA$3="","",(IF(MIN(BA4,BA5)&gt;=入力データ!$C$111,入力データ!$C$112*12*(1+前提条件!$C$14)^(BA$3-$B$3),SUM(入力データ!$C$41:$C$52)*12*(1+前提条件!$C$12)^(BA$3-$B$3)))*前提条件!$C$52)</f>
        <v/>
      </c>
      <c r="BB20" s="352">
        <f>IF(BB$3="","",(IF(MIN(BB4,BB5)&gt;=入力データ!$C$111,入力データ!$C$112*12*(1+前提条件!$C$14)^(BB$3-$B$3),SUM(入力データ!$C$41:$C$52)*12*(1+前提条件!$C$12)^(BB$3-$B$3)))*前提条件!$C$52)</f>
        <v/>
      </c>
      <c r="BC20" s="352">
        <f>IF(BC$3="","",(IF(MIN(BC4,BC5)&gt;=入力データ!$C$111,入力データ!$C$112*12*(1+前提条件!$C$14)^(BC$3-$B$3),SUM(入力データ!$C$41:$C$52)*12*(1+前提条件!$C$12)^(BC$3-$B$3)))*前提条件!$C$52)</f>
        <v/>
      </c>
      <c r="BD20" s="352">
        <f>IF(BD$3="","",(IF(MIN(BD4,BD5)&gt;=入力データ!$C$111,入力データ!$C$112*12*(1+前提条件!$C$14)^(BD$3-$B$3),SUM(入力データ!$C$41:$C$52)*12*(1+前提条件!$C$12)^(BD$3-$B$3)))*前提条件!$C$52)</f>
        <v/>
      </c>
      <c r="BE20" s="352">
        <f>IF(BE$3="","",(IF(MIN(BE4,BE5)&gt;=入力データ!$C$111,入力データ!$C$112*12*(1+前提条件!$C$14)^(BE$3-$B$3),SUM(入力データ!$C$41:$C$52)*12*(1+前提条件!$C$12)^(BE$3-$B$3)))*前提条件!$C$52)</f>
        <v/>
      </c>
      <c r="BF20" s="352">
        <f>IF(BF$3="","",(IF(MIN(BF4,BF5)&gt;=入力データ!$C$111,入力データ!$C$112*12*(1+前提条件!$C$14)^(BF$3-$B$3),SUM(入力データ!$C$41:$C$52)*12*(1+前提条件!$C$12)^(BF$3-$B$3)))*前提条件!$C$52)</f>
        <v/>
      </c>
      <c r="BG20" s="352">
        <f>IF(BG$3="","",(IF(MIN(BG4,BG5)&gt;=入力データ!$C$111,入力データ!$C$112*12*(1+前提条件!$C$14)^(BG$3-$B$3),SUM(入力データ!$C$41:$C$52)*12*(1+前提条件!$C$12)^(BG$3-$B$3)))*前提条件!$C$52)</f>
        <v/>
      </c>
      <c r="BH20" s="352">
        <f>IF(BH$3="","",(IF(MIN(BH4,BH5)&gt;=入力データ!$C$111,入力データ!$C$112*12*(1+前提条件!$C$14)^(BH$3-$B$3),SUM(入力データ!$C$41:$C$52)*12*(1+前提条件!$C$12)^(BH$3-$B$3)))*前提条件!$C$52)</f>
        <v/>
      </c>
      <c r="BI20" s="352">
        <f>IF(BI$3="","",(IF(MIN(BI4,BI5)&gt;=入力データ!$C$111,入力データ!$C$112*12*(1+前提条件!$C$14)^(BI$3-$B$3),SUM(入力データ!$C$41:$C$52)*12*(1+前提条件!$C$12)^(BI$3-$B$3)))*前提条件!$C$52)</f>
        <v/>
      </c>
      <c r="BJ20" s="352">
        <f>IF(BJ$3="","",(IF(MIN(BJ4,BJ5)&gt;=入力データ!$C$111,入力データ!$C$112*12*(1+前提条件!$C$14)^(BJ$3-$B$3),SUM(入力データ!$C$41:$C$52)*12*(1+前提条件!$C$12)^(BJ$3-$B$3)))*前提条件!$C$52)</f>
        <v/>
      </c>
      <c r="BK20" s="352">
        <f>IF(BK$3="","",(IF(MIN(BK4,BK5)&gt;=入力データ!$C$111,入力データ!$C$112*12*(1+前提条件!$C$14)^(BK$3-$B$3),SUM(入力データ!$C$41:$C$52)*12*(1+前提条件!$C$12)^(BK$3-$B$3)))*前提条件!$C$52)</f>
        <v/>
      </c>
      <c r="BL20" s="352">
        <f>IF(BL$3="","",(IF(MIN(BL4,BL5)&gt;=入力データ!$C$111,入力データ!$C$112*12*(1+前提条件!$C$14)^(BL$3-$B$3),SUM(入力データ!$C$41:$C$52)*12*(1+前提条件!$C$12)^(BL$3-$B$3)))*前提条件!$C$52)</f>
        <v/>
      </c>
      <c r="BM20" s="352">
        <f>IF(BM$3="","",(IF(MIN(BM4,BM5)&gt;=入力データ!$C$111,入力データ!$C$112*12*(1+前提条件!$C$14)^(BM$3-$B$3),SUM(入力データ!$C$41:$C$52)*12*(1+前提条件!$C$12)^(BM$3-$B$3)))*前提条件!$C$52)</f>
        <v/>
      </c>
      <c r="BN20" s="352">
        <f>IF(BN$3="","",(IF(MIN(BN4,BN5)&gt;=入力データ!$C$111,入力データ!$C$112*12*(1+前提条件!$C$14)^(BN$3-$B$3),SUM(入力データ!$C$41:$C$52)*12*(1+前提条件!$C$12)^(BN$3-$B$3)))*前提条件!$C$52)</f>
        <v/>
      </c>
      <c r="BO20" s="352">
        <f>IF(BO$3="","",(IF(MIN(BO4,BO5)&gt;=入力データ!$C$111,入力データ!$C$112*12*(1+前提条件!$C$14)^(BO$3-$B$3),SUM(入力データ!$C$41:$C$52)*12*(1+前提条件!$C$12)^(BO$3-$B$3)))*前提条件!$C$52)</f>
        <v/>
      </c>
      <c r="BP20" s="352">
        <f>IF(BP$3="","",(IF(MIN(BP4,BP5)&gt;=入力データ!$C$111,入力データ!$C$112*12*(1+前提条件!$C$14)^(BP$3-$B$3),SUM(入力データ!$C$41:$C$52)*12*(1+前提条件!$C$12)^(BP$3-$B$3)))*前提条件!$C$52)</f>
        <v/>
      </c>
      <c r="BQ20" s="352">
        <f>IF(BQ$3="","",(IF(MIN(BQ4,BQ5)&gt;=入力データ!$C$111,入力データ!$C$112*12*(1+前提条件!$C$14)^(BQ$3-$B$3),SUM(入力データ!$C$41:$C$52)*12*(1+前提条件!$C$12)^(BQ$3-$B$3)))*前提条件!$C$52)</f>
        <v/>
      </c>
      <c r="BR20" s="352">
        <f>IF(BR$3="","",(IF(MIN(BR4,BR5)&gt;=入力データ!$C$111,入力データ!$C$112*12*(1+前提条件!$C$14)^(BR$3-$B$3),SUM(入力データ!$C$41:$C$52)*12*(1+前提条件!$C$12)^(BR$3-$B$3)))*前提条件!$C$52)</f>
        <v/>
      </c>
      <c r="BS20" s="352">
        <f>IF(BS$3="","",(IF(MIN(BS4,BS5)&gt;=入力データ!$C$111,入力データ!$C$112*12*(1+前提条件!$C$14)^(BS$3-$B$3),SUM(入力データ!$C$41:$C$52)*12*(1+前提条件!$C$12)^(BS$3-$B$3)))*前提条件!$C$52)</f>
        <v/>
      </c>
      <c r="BT20" s="352">
        <f>IF(BT$3="","",(IF(MIN(BT4,BT5)&gt;=入力データ!$C$111,入力データ!$C$112*12*(1+前提条件!$C$14)^(BT$3-$B$3),SUM(入力データ!$C$41:$C$52)*12*(1+前提条件!$C$12)^(BT$3-$B$3)))*前提条件!$C$52)</f>
        <v/>
      </c>
      <c r="BU20" s="352">
        <f>IF(BU$3="","",(IF(MIN(BU4,BU5)&gt;=入力データ!$C$111,入力データ!$C$112*12*(1+前提条件!$C$14)^(BU$3-$B$3),SUM(入力データ!$C$41:$C$52)*12*(1+前提条件!$C$12)^(BU$3-$B$3)))*前提条件!$C$52)</f>
        <v/>
      </c>
      <c r="BV20" s="352">
        <f>IF(BV$3="","",(IF(MIN(BV4,BV5)&gt;=入力データ!$C$111,入力データ!$C$112*12*(1+前提条件!$C$14)^(BV$3-$B$3),SUM(入力データ!$C$41:$C$52)*12*(1+前提条件!$C$12)^(BV$3-$B$3)))*前提条件!$C$52)</f>
        <v/>
      </c>
      <c r="BW20" s="352">
        <f>IF(BW$3="","",(IF(MIN(BW4,BW5)&gt;=入力データ!$C$111,入力データ!$C$112*12*(1+前提条件!$C$14)^(BW$3-$B$3),SUM(入力データ!$C$41:$C$52)*12*(1+前提条件!$C$12)^(BW$3-$B$3)))*前提条件!$C$52)</f>
        <v/>
      </c>
      <c r="BX20" s="352">
        <f>IF(BX$3="","",(IF(MIN(BX4,BX5)&gt;=入力データ!$C$111,入力データ!$C$112*12*(1+前提条件!$C$14)^(BX$3-$B$3),SUM(入力データ!$C$41:$C$52)*12*(1+前提条件!$C$12)^(BX$3-$B$3)))*前提条件!$C$52)</f>
        <v/>
      </c>
      <c r="BY20" s="352">
        <f>IF(BY$3="","",(IF(MIN(BY4,BY5)&gt;=入力データ!$C$111,入力データ!$C$112*12*(1+前提条件!$C$14)^(BY$3-$B$3),SUM(入力データ!$C$41:$C$52)*12*(1+前提条件!$C$12)^(BY$3-$B$3)))*前提条件!$C$52)</f>
        <v/>
      </c>
      <c r="BZ20" s="352">
        <f>IF(BZ$3="","",(IF(MIN(BZ4,BZ5)&gt;=入力データ!$C$111,入力データ!$C$112*12*(1+前提条件!$C$14)^(BZ$3-$B$3),SUM(入力データ!$C$41:$C$52)*12*(1+前提条件!$C$12)^(BZ$3-$B$3)))*前提条件!$C$52)</f>
        <v/>
      </c>
      <c r="CA20" s="352">
        <f>IF(CA$3="","",(IF(MIN(CA4,CA5)&gt;=入力データ!$C$111,入力データ!$C$112*12*(1+前提条件!$C$14)^(CA$3-$B$3),SUM(入力データ!$C$41:$C$52)*12*(1+前提条件!$C$12)^(CA$3-$B$3)))*前提条件!$C$52)</f>
        <v/>
      </c>
      <c r="CB20" s="352">
        <f>IF(CB$3="","",(IF(MIN(CB4,CB5)&gt;=入力データ!$C$111,入力データ!$C$112*12*(1+前提条件!$C$14)^(CB$3-$B$3),SUM(入力データ!$C$41:$C$52)*12*(1+前提条件!$C$12)^(CB$3-$B$3)))*前提条件!$C$52)</f>
        <v/>
      </c>
      <c r="CC20" s="352">
        <f>IF(CC$3="","",(IF(MIN(CC4,CC5)&gt;=入力データ!$C$111,入力データ!$C$112*12*(1+前提条件!$C$14)^(CC$3-$B$3),SUM(入力データ!$C$41:$C$52)*12*(1+前提条件!$C$12)^(CC$3-$B$3)))*前提条件!$C$52)</f>
        <v/>
      </c>
      <c r="CD20" s="352">
        <f>IF(CD$3="","",(IF(MIN(CD4,CD5)&gt;=入力データ!$C$111,入力データ!$C$112*12*(1+前提条件!$C$14)^(CD$3-$B$3),SUM(入力データ!$C$41:$C$52)*12*(1+前提条件!$C$12)^(CD$3-$B$3)))*前提条件!$C$52)</f>
        <v/>
      </c>
      <c r="CE20" s="352">
        <f>IF(CE$3="","",(IF(MIN(CE4,CE5)&gt;=入力データ!$C$111,入力データ!$C$112*12*(1+前提条件!$C$14)^(CE$3-$B$3),SUM(入力データ!$C$41:$C$52)*12*(1+前提条件!$C$12)^(CE$3-$B$3)))*前提条件!$C$52)</f>
        <v/>
      </c>
      <c r="CF20" s="352">
        <f>IF(CF$3="","",(IF(MIN(CF4,CF5)&gt;=入力データ!$C$111,入力データ!$C$112*12*(1+前提条件!$C$14)^(CF$3-$B$3),SUM(入力データ!$C$41:$C$52)*12*(1+前提条件!$C$12)^(CF$3-$B$3)))*前提条件!$C$52)</f>
        <v/>
      </c>
      <c r="CG20" s="352">
        <f>IF(CG$3="","",(IF(MIN(CG4,CG5)&gt;=入力データ!$C$111,入力データ!$C$112*12*(1+前提条件!$C$14)^(CG$3-$B$3),SUM(入力データ!$C$41:$C$52)*12*(1+前提条件!$C$12)^(CG$3-$B$3)))*前提条件!$C$52)</f>
        <v/>
      </c>
      <c r="CH20" s="352">
        <f>IF(CH$3="","",(IF(MIN(CH4,CH5)&gt;=入力データ!$C$111,入力データ!$C$112*12*(1+前提条件!$C$14)^(CH$3-$B$3),SUM(入力データ!$C$41:$C$52)*12*(1+前提条件!$C$12)^(CH$3-$B$3)))*前提条件!$C$52)</f>
        <v/>
      </c>
      <c r="CI20" s="352">
        <f>IF(CI$3="","",(IF(MIN(CI4,CI5)&gt;=入力データ!$C$111,入力データ!$C$112*12*(1+前提条件!$C$14)^(CI$3-$B$3),SUM(入力データ!$C$41:$C$52)*12*(1+前提条件!$C$12)^(CI$3-$B$3)))*前提条件!$C$52)</f>
        <v/>
      </c>
      <c r="CJ20" s="352">
        <f>IF(CJ$3="","",(IF(MIN(CJ4,CJ5)&gt;=入力データ!$C$111,入力データ!$C$112*12*(1+前提条件!$C$14)^(CJ$3-$B$3),SUM(入力データ!$C$41:$C$52)*12*(1+前提条件!$C$12)^(CJ$3-$B$3)))*前提条件!$C$52)</f>
        <v/>
      </c>
      <c r="CK20" s="352">
        <f>IF(CK$3="","",(IF(MIN(CK4,CK5)&gt;=入力データ!$C$111,入力データ!$C$112*12*(1+前提条件!$C$14)^(CK$3-$B$3),SUM(入力データ!$C$41:$C$52)*12*(1+前提条件!$C$12)^(CK$3-$B$3)))*前提条件!$C$52)</f>
        <v/>
      </c>
      <c r="CL20" s="352">
        <f>IF(CL$3="","",(IF(MIN(CL4,CL5)&gt;=入力データ!$C$111,入力データ!$C$112*12*(1+前提条件!$C$14)^(CL$3-$B$3),SUM(入力データ!$C$41:$C$52)*12*(1+前提条件!$C$12)^(CL$3-$B$3)))*前提条件!$C$52)</f>
        <v/>
      </c>
      <c r="CM20" s="352">
        <f>IF(CM$3="","",(IF(MIN(CM4,CM5)&gt;=入力データ!$C$111,入力データ!$C$112*12*(1+前提条件!$C$14)^(CM$3-$B$3),SUM(入力データ!$C$41:$C$52)*12*(1+前提条件!$C$12)^(CM$3-$B$3)))*前提条件!$C$52)</f>
        <v/>
      </c>
      <c r="CN20" s="352">
        <f>IF(CN$3="","",(IF(MIN(CN4,CN5)&gt;=入力データ!$C$111,入力データ!$C$112*12*(1+前提条件!$C$14)^(CN$3-$B$3),SUM(入力データ!$C$41:$C$52)*12*(1+前提条件!$C$12)^(CN$3-$B$3)))*前提条件!$C$52)</f>
        <v/>
      </c>
      <c r="CO20" s="352">
        <f>IF(CO$3="","",(IF(MIN(CO4,CO5)&gt;=入力データ!$C$111,入力データ!$C$112*12*(1+前提条件!$C$14)^(CO$3-$B$3),SUM(入力データ!$C$41:$C$52)*12*(1+前提条件!$C$12)^(CO$3-$B$3)))*前提条件!$C$52)</f>
        <v/>
      </c>
      <c r="CP20" s="352">
        <f>IF(CP$3="","",(IF(MIN(CP4,CP5)&gt;=入力データ!$C$111,入力データ!$C$112*12*(1+前提条件!$C$14)^(CP$3-$B$3),SUM(入力データ!$C$41:$C$52)*12*(1+前提条件!$C$12)^(CP$3-$B$3)))*前提条件!$C$52)</f>
        <v/>
      </c>
      <c r="CQ20" s="352">
        <f>IF(CQ$3="","",(IF(MIN(CQ4,CQ5)&gt;=入力データ!$C$111,入力データ!$C$112*12*(1+前提条件!$C$14)^(CQ$3-$B$3),SUM(入力データ!$C$41:$C$52)*12*(1+前提条件!$C$12)^(CQ$3-$B$3)))*前提条件!$C$52)</f>
        <v/>
      </c>
      <c r="CR20" s="352">
        <f>IF(CR$3="","",(IF(MIN(CR4,CR5)&gt;=入力データ!$C$111,入力データ!$C$112*12*(1+前提条件!$C$14)^(CR$3-$B$3),SUM(入力データ!$C$41:$C$52)*12*(1+前提条件!$C$12)^(CR$3-$B$3)))*前提条件!$C$52)</f>
        <v/>
      </c>
      <c r="CS20" s="352">
        <f>IF(CS$3="","",(IF(MIN(CS4,CS5)&gt;=入力データ!$C$111,入力データ!$C$112*12*(1+前提条件!$C$14)^(CS$3-$B$3),SUM(入力データ!$C$41:$C$52)*12*(1+前提条件!$C$12)^(CS$3-$B$3)))*前提条件!$C$52)</f>
        <v/>
      </c>
      <c r="CT20" s="352">
        <f>IF(CT$3="","",(IF(MIN(CT4,CT5)&gt;=入力データ!$C$111,入力データ!$C$112*12*(1+前提条件!$C$14)^(CT$3-$B$3),SUM(入力データ!$C$41:$C$52)*12*(1+前提条件!$C$12)^(CT$3-$B$3)))*前提条件!$C$52)</f>
        <v/>
      </c>
      <c r="CU20" s="352">
        <f>IF(CU$3="","",(IF(MIN(CU4,CU5)&gt;=入力データ!$C$111,入力データ!$C$112*12*(1+前提条件!$C$14)^(CU$3-$B$3),SUM(入力データ!$C$41:$C$52)*12*(1+前提条件!$C$12)^(CU$3-$B$3)))*前提条件!$C$52)</f>
        <v/>
      </c>
      <c r="CV20" s="352">
        <f>IF(CV$3="","",(IF(MIN(CV4,CV5)&gt;=入力データ!$C$111,入力データ!$C$112*12*(1+前提条件!$C$14)^(CV$3-$B$3),SUM(入力データ!$C$41:$C$52)*12*(1+前提条件!$C$12)^(CV$3-$B$3)))*前提条件!$C$52)</f>
        <v/>
      </c>
      <c r="CW20" s="352">
        <f>IF(CW$3="","",(IF(MIN(CW4,CW5)&gt;=入力データ!$C$111,入力データ!$C$112*12*(1+前提条件!$C$14)^(CW$3-$B$3),SUM(入力データ!$C$41:$C$52)*12*(1+前提条件!$C$12)^(CW$3-$B$3)))*前提条件!$C$52)</f>
        <v/>
      </c>
    </row>
    <row r="21" ht="15" customHeight="1" s="180">
      <c r="A21" s="224" t="inlineStr">
        <is>
          <t>住居費</t>
        </is>
      </c>
      <c r="B21" s="352">
        <f>IF(B$3="","",((IF(入力データ!$C$13="持ち家",IF(入力データ!$C$57="あり",0,IF(B4&lt;=前提条件!$C$44,入力データ!$C$53,0)),入力データ!$C$53)+入力データ!$C$54+入力データ!$C$55+入力データ!$C$56)*12+IF(入力データ!$C$13="持ち家",入力データ!$C$83+前提条件!$C$47,入力データ!$C$84+前提条件!$C$48))*(1+前提条件!$C$15)^(B$3-$B$3))</f>
        <v/>
      </c>
      <c r="C21" s="352">
        <f>IF(C$3="","",((IF(入力データ!$C$13="持ち家",IF(入力データ!$C$57="あり",0,IF(C4&lt;=前提条件!$C$44,入力データ!$C$53,0)),入力データ!$C$53)+入力データ!$C$54+入力データ!$C$55+入力データ!$C$56)*12+IF(入力データ!$C$13="持ち家",入力データ!$C$83+前提条件!$C$47,入力データ!$C$84+前提条件!$C$48))*(1+前提条件!$C$15)^(C$3-$B$3))</f>
        <v/>
      </c>
      <c r="D21" s="352">
        <f>IF(D$3="","",((IF(入力データ!$C$13="持ち家",IF(入力データ!$C$57="あり",0,IF(D4&lt;=前提条件!$C$44,入力データ!$C$53,0)),入力データ!$C$53)+入力データ!$C$54+入力データ!$C$55+入力データ!$C$56)*12+IF(入力データ!$C$13="持ち家",入力データ!$C$83+前提条件!$C$47,入力データ!$C$84+前提条件!$C$48))*(1+前提条件!$C$15)^(D$3-$B$3))</f>
        <v/>
      </c>
      <c r="E21" s="352">
        <f>IF(E$3="","",((IF(入力データ!$C$13="持ち家",IF(入力データ!$C$57="あり",0,IF(E4&lt;=前提条件!$C$44,入力データ!$C$53,0)),入力データ!$C$53)+入力データ!$C$54+入力データ!$C$55+入力データ!$C$56)*12+IF(入力データ!$C$13="持ち家",入力データ!$C$83+前提条件!$C$47,入力データ!$C$84+前提条件!$C$48))*(1+前提条件!$C$15)^(E$3-$B$3))</f>
        <v/>
      </c>
      <c r="F21" s="352">
        <f>IF(F$3="","",((IF(入力データ!$C$13="持ち家",IF(入力データ!$C$57="あり",0,IF(F4&lt;=前提条件!$C$44,入力データ!$C$53,0)),入力データ!$C$53)+入力データ!$C$54+入力データ!$C$55+入力データ!$C$56)*12+IF(入力データ!$C$13="持ち家",入力データ!$C$83+前提条件!$C$47,入力データ!$C$84+前提条件!$C$48))*(1+前提条件!$C$15)^(F$3-$B$3))</f>
        <v/>
      </c>
      <c r="G21" s="352">
        <f>IF(G$3="","",((IF(入力データ!$C$13="持ち家",IF(入力データ!$C$57="あり",0,IF(G4&lt;=前提条件!$C$44,入力データ!$C$53,0)),入力データ!$C$53)+入力データ!$C$54+入力データ!$C$55+入力データ!$C$56)*12+IF(入力データ!$C$13="持ち家",入力データ!$C$83+前提条件!$C$47,入力データ!$C$84+前提条件!$C$48))*(1+前提条件!$C$15)^(G$3-$B$3))</f>
        <v/>
      </c>
      <c r="H21" s="352">
        <f>IF(H$3="","",((IF(入力データ!$C$13="持ち家",IF(入力データ!$C$57="あり",0,IF(H4&lt;=前提条件!$C$44,入力データ!$C$53,0)),入力データ!$C$53)+入力データ!$C$54+入力データ!$C$55+入力データ!$C$56)*12+IF(入力データ!$C$13="持ち家",入力データ!$C$83+前提条件!$C$47,入力データ!$C$84+前提条件!$C$48))*(1+前提条件!$C$15)^(H$3-$B$3))</f>
        <v/>
      </c>
      <c r="I21" s="352">
        <f>IF(I$3="","",((IF(入力データ!$C$13="持ち家",IF(入力データ!$C$57="あり",0,IF(I4&lt;=前提条件!$C$44,入力データ!$C$53,0)),入力データ!$C$53)+入力データ!$C$54+入力データ!$C$55+入力データ!$C$56)*12+IF(入力データ!$C$13="持ち家",入力データ!$C$83+前提条件!$C$47,入力データ!$C$84+前提条件!$C$48))*(1+前提条件!$C$15)^(I$3-$B$3))</f>
        <v/>
      </c>
      <c r="J21" s="352">
        <f>IF(J$3="","",((IF(入力データ!$C$13="持ち家",IF(入力データ!$C$57="あり",0,IF(J4&lt;=前提条件!$C$44,入力データ!$C$53,0)),入力データ!$C$53)+入力データ!$C$54+入力データ!$C$55+入力データ!$C$56)*12+IF(入力データ!$C$13="持ち家",入力データ!$C$83+前提条件!$C$47,入力データ!$C$84+前提条件!$C$48))*(1+前提条件!$C$15)^(J$3-$B$3))</f>
        <v/>
      </c>
      <c r="K21" s="352">
        <f>IF(K$3="","",((IF(入力データ!$C$13="持ち家",IF(入力データ!$C$57="あり",0,IF(K4&lt;=前提条件!$C$44,入力データ!$C$53,0)),入力データ!$C$53)+入力データ!$C$54+入力データ!$C$55+入力データ!$C$56)*12+IF(入力データ!$C$13="持ち家",入力データ!$C$83+前提条件!$C$47,入力データ!$C$84+前提条件!$C$48))*(1+前提条件!$C$15)^(K$3-$B$3))</f>
        <v/>
      </c>
      <c r="L21" s="352">
        <f>IF(L$3="","",((IF(入力データ!$C$13="持ち家",IF(入力データ!$C$57="あり",0,IF(L4&lt;=前提条件!$C$44,入力データ!$C$53,0)),入力データ!$C$53)+入力データ!$C$54+入力データ!$C$55+入力データ!$C$56)*12+IF(入力データ!$C$13="持ち家",入力データ!$C$83+前提条件!$C$47,入力データ!$C$84+前提条件!$C$48))*(1+前提条件!$C$15)^(L$3-$B$3))</f>
        <v/>
      </c>
      <c r="M21" s="352">
        <f>IF(M$3="","",((IF(入力データ!$C$13="持ち家",IF(入力データ!$C$57="あり",0,IF(M4&lt;=前提条件!$C$44,入力データ!$C$53,0)),入力データ!$C$53)+入力データ!$C$54+入力データ!$C$55+入力データ!$C$56)*12+IF(入力データ!$C$13="持ち家",入力データ!$C$83+前提条件!$C$47,入力データ!$C$84+前提条件!$C$48))*(1+前提条件!$C$15)^(M$3-$B$3))</f>
        <v/>
      </c>
      <c r="N21" s="352">
        <f>IF(N$3="","",((IF(入力データ!$C$13="持ち家",IF(入力データ!$C$57="あり",0,IF(N4&lt;=前提条件!$C$44,入力データ!$C$53,0)),入力データ!$C$53)+入力データ!$C$54+入力データ!$C$55+入力データ!$C$56)*12+IF(入力データ!$C$13="持ち家",入力データ!$C$83+前提条件!$C$47,入力データ!$C$84+前提条件!$C$48))*(1+前提条件!$C$15)^(N$3-$B$3))</f>
        <v/>
      </c>
      <c r="O21" s="352">
        <f>IF(O$3="","",((IF(入力データ!$C$13="持ち家",IF(入力データ!$C$57="あり",0,IF(O4&lt;=前提条件!$C$44,入力データ!$C$53,0)),入力データ!$C$53)+入力データ!$C$54+入力データ!$C$55+入力データ!$C$56)*12+IF(入力データ!$C$13="持ち家",入力データ!$C$83+前提条件!$C$47,入力データ!$C$84+前提条件!$C$48))*(1+前提条件!$C$15)^(O$3-$B$3))</f>
        <v/>
      </c>
      <c r="P21" s="352">
        <f>IF(P$3="","",((IF(入力データ!$C$13="持ち家",IF(入力データ!$C$57="あり",0,IF(P4&lt;=前提条件!$C$44,入力データ!$C$53,0)),入力データ!$C$53)+入力データ!$C$54+入力データ!$C$55+入力データ!$C$56)*12+IF(入力データ!$C$13="持ち家",入力データ!$C$83+前提条件!$C$47,入力データ!$C$84+前提条件!$C$48))*(1+前提条件!$C$15)^(P$3-$B$3))</f>
        <v/>
      </c>
      <c r="Q21" s="352">
        <f>IF(Q$3="","",((IF(入力データ!$C$13="持ち家",IF(入力データ!$C$57="あり",0,IF(Q4&lt;=前提条件!$C$44,入力データ!$C$53,0)),入力データ!$C$53)+入力データ!$C$54+入力データ!$C$55+入力データ!$C$56)*12+IF(入力データ!$C$13="持ち家",入力データ!$C$83+前提条件!$C$47,入力データ!$C$84+前提条件!$C$48))*(1+前提条件!$C$15)^(Q$3-$B$3))</f>
        <v/>
      </c>
      <c r="R21" s="352">
        <f>IF(R$3="","",((IF(入力データ!$C$13="持ち家",IF(入力データ!$C$57="あり",0,IF(R4&lt;=前提条件!$C$44,入力データ!$C$53,0)),入力データ!$C$53)+入力データ!$C$54+入力データ!$C$55+入力データ!$C$56)*12+IF(入力データ!$C$13="持ち家",入力データ!$C$83+前提条件!$C$47,入力データ!$C$84+前提条件!$C$48))*(1+前提条件!$C$15)^(R$3-$B$3))</f>
        <v/>
      </c>
      <c r="S21" s="352">
        <f>IF(S$3="","",((IF(入力データ!$C$13="持ち家",IF(入力データ!$C$57="あり",0,IF(S4&lt;=前提条件!$C$44,入力データ!$C$53,0)),入力データ!$C$53)+入力データ!$C$54+入力データ!$C$55+入力データ!$C$56)*12+IF(入力データ!$C$13="持ち家",入力データ!$C$83+前提条件!$C$47,入力データ!$C$84+前提条件!$C$48))*(1+前提条件!$C$15)^(S$3-$B$3))</f>
        <v/>
      </c>
      <c r="T21" s="352">
        <f>IF(T$3="","",((IF(入力データ!$C$13="持ち家",IF(入力データ!$C$57="あり",0,IF(T4&lt;=前提条件!$C$44,入力データ!$C$53,0)),入力データ!$C$53)+入力データ!$C$54+入力データ!$C$55+入力データ!$C$56)*12+IF(入力データ!$C$13="持ち家",入力データ!$C$83+前提条件!$C$47,入力データ!$C$84+前提条件!$C$48))*(1+前提条件!$C$15)^(T$3-$B$3))</f>
        <v/>
      </c>
      <c r="U21" s="352">
        <f>IF(U$3="","",((IF(入力データ!$C$13="持ち家",IF(入力データ!$C$57="あり",0,IF(U4&lt;=前提条件!$C$44,入力データ!$C$53,0)),入力データ!$C$53)+入力データ!$C$54+入力データ!$C$55+入力データ!$C$56)*12+IF(入力データ!$C$13="持ち家",入力データ!$C$83+前提条件!$C$47,入力データ!$C$84+前提条件!$C$48))*(1+前提条件!$C$15)^(U$3-$B$3))</f>
        <v/>
      </c>
      <c r="V21" s="352">
        <f>IF(V$3="","",((IF(入力データ!$C$13="持ち家",IF(入力データ!$C$57="あり",0,IF(V4&lt;=前提条件!$C$44,入力データ!$C$53,0)),入力データ!$C$53)+入力データ!$C$54+入力データ!$C$55+入力データ!$C$56)*12+IF(入力データ!$C$13="持ち家",入力データ!$C$83+前提条件!$C$47,入力データ!$C$84+前提条件!$C$48))*(1+前提条件!$C$15)^(V$3-$B$3))</f>
        <v/>
      </c>
      <c r="W21" s="352">
        <f>IF(W$3="","",((IF(入力データ!$C$13="持ち家",IF(入力データ!$C$57="あり",0,IF(W4&lt;=前提条件!$C$44,入力データ!$C$53,0)),入力データ!$C$53)+入力データ!$C$54+入力データ!$C$55+入力データ!$C$56)*12+IF(入力データ!$C$13="持ち家",入力データ!$C$83+前提条件!$C$47,入力データ!$C$84+前提条件!$C$48))*(1+前提条件!$C$15)^(W$3-$B$3))</f>
        <v/>
      </c>
      <c r="X21" s="352">
        <f>IF(X$3="","",((IF(入力データ!$C$13="持ち家",IF(入力データ!$C$57="あり",0,IF(X4&lt;=前提条件!$C$44,入力データ!$C$53,0)),入力データ!$C$53)+入力データ!$C$54+入力データ!$C$55+入力データ!$C$56)*12+IF(入力データ!$C$13="持ち家",入力データ!$C$83+前提条件!$C$47,入力データ!$C$84+前提条件!$C$48))*(1+前提条件!$C$15)^(X$3-$B$3))</f>
        <v/>
      </c>
      <c r="Y21" s="352">
        <f>IF(Y$3="","",((IF(入力データ!$C$13="持ち家",IF(入力データ!$C$57="あり",0,IF(Y4&lt;=前提条件!$C$44,入力データ!$C$53,0)),入力データ!$C$53)+入力データ!$C$54+入力データ!$C$55+入力データ!$C$56)*12+IF(入力データ!$C$13="持ち家",入力データ!$C$83+前提条件!$C$47,入力データ!$C$84+前提条件!$C$48))*(1+前提条件!$C$15)^(Y$3-$B$3))</f>
        <v/>
      </c>
      <c r="Z21" s="352">
        <f>IF(Z$3="","",((IF(入力データ!$C$13="持ち家",IF(入力データ!$C$57="あり",0,IF(Z4&lt;=前提条件!$C$44,入力データ!$C$53,0)),入力データ!$C$53)+入力データ!$C$54+入力データ!$C$55+入力データ!$C$56)*12+IF(入力データ!$C$13="持ち家",入力データ!$C$83+前提条件!$C$47,入力データ!$C$84+前提条件!$C$48))*(1+前提条件!$C$15)^(Z$3-$B$3))</f>
        <v/>
      </c>
      <c r="AA21" s="352">
        <f>IF(AA$3="","",((IF(入力データ!$C$13="持ち家",IF(入力データ!$C$57="あり",0,IF(AA4&lt;=前提条件!$C$44,入力データ!$C$53,0)),入力データ!$C$53)+入力データ!$C$54+入力データ!$C$55+入力データ!$C$56)*12+IF(入力データ!$C$13="持ち家",入力データ!$C$83+前提条件!$C$47,入力データ!$C$84+前提条件!$C$48))*(1+前提条件!$C$15)^(AA$3-$B$3))</f>
        <v/>
      </c>
      <c r="AB21" s="352">
        <f>IF(AB$3="","",((IF(入力データ!$C$13="持ち家",IF(入力データ!$C$57="あり",0,IF(AB4&lt;=前提条件!$C$44,入力データ!$C$53,0)),入力データ!$C$53)+入力データ!$C$54+入力データ!$C$55+入力データ!$C$56)*12+IF(入力データ!$C$13="持ち家",入力データ!$C$83+前提条件!$C$47,入力データ!$C$84+前提条件!$C$48))*(1+前提条件!$C$15)^(AB$3-$B$3))</f>
        <v/>
      </c>
      <c r="AC21" s="352">
        <f>IF(AC$3="","",((IF(入力データ!$C$13="持ち家",IF(入力データ!$C$57="あり",0,IF(AC4&lt;=前提条件!$C$44,入力データ!$C$53,0)),入力データ!$C$53)+入力データ!$C$54+入力データ!$C$55+入力データ!$C$56)*12+IF(入力データ!$C$13="持ち家",入力データ!$C$83+前提条件!$C$47,入力データ!$C$84+前提条件!$C$48))*(1+前提条件!$C$15)^(AC$3-$B$3))</f>
        <v/>
      </c>
      <c r="AD21" s="352">
        <f>IF(AD$3="","",((IF(入力データ!$C$13="持ち家",IF(入力データ!$C$57="あり",0,IF(AD4&lt;=前提条件!$C$44,入力データ!$C$53,0)),入力データ!$C$53)+入力データ!$C$54+入力データ!$C$55+入力データ!$C$56)*12+IF(入力データ!$C$13="持ち家",入力データ!$C$83+前提条件!$C$47,入力データ!$C$84+前提条件!$C$48))*(1+前提条件!$C$15)^(AD$3-$B$3))</f>
        <v/>
      </c>
      <c r="AE21" s="352">
        <f>IF(AE$3="","",((IF(入力データ!$C$13="持ち家",IF(入力データ!$C$57="あり",0,IF(AE4&lt;=前提条件!$C$44,入力データ!$C$53,0)),入力データ!$C$53)+入力データ!$C$54+入力データ!$C$55+入力データ!$C$56)*12+IF(入力データ!$C$13="持ち家",入力データ!$C$83+前提条件!$C$47,入力データ!$C$84+前提条件!$C$48))*(1+前提条件!$C$15)^(AE$3-$B$3))</f>
        <v/>
      </c>
      <c r="AF21" s="352">
        <f>IF(AF$3="","",((IF(入力データ!$C$13="持ち家",IF(入力データ!$C$57="あり",0,IF(AF4&lt;=前提条件!$C$44,入力データ!$C$53,0)),入力データ!$C$53)+入力データ!$C$54+入力データ!$C$55+入力データ!$C$56)*12+IF(入力データ!$C$13="持ち家",入力データ!$C$83+前提条件!$C$47,入力データ!$C$84+前提条件!$C$48))*(1+前提条件!$C$15)^(AF$3-$B$3))</f>
        <v/>
      </c>
      <c r="AG21" s="352">
        <f>IF(AG$3="","",((IF(入力データ!$C$13="持ち家",IF(入力データ!$C$57="あり",0,IF(AG4&lt;=前提条件!$C$44,入力データ!$C$53,0)),入力データ!$C$53)+入力データ!$C$54+入力データ!$C$55+入力データ!$C$56)*12+IF(入力データ!$C$13="持ち家",入力データ!$C$83+前提条件!$C$47,入力データ!$C$84+前提条件!$C$48))*(1+前提条件!$C$15)^(AG$3-$B$3))</f>
        <v/>
      </c>
      <c r="AH21" s="352">
        <f>IF(AH$3="","",((IF(入力データ!$C$13="持ち家",IF(入力データ!$C$57="あり",0,IF(AH4&lt;=前提条件!$C$44,入力データ!$C$53,0)),入力データ!$C$53)+入力データ!$C$54+入力データ!$C$55+入力データ!$C$56)*12+IF(入力データ!$C$13="持ち家",入力データ!$C$83+前提条件!$C$47,入力データ!$C$84+前提条件!$C$48))*(1+前提条件!$C$15)^(AH$3-$B$3))</f>
        <v/>
      </c>
      <c r="AI21" s="352">
        <f>IF(AI$3="","",((IF(入力データ!$C$13="持ち家",IF(入力データ!$C$57="あり",0,IF(AI4&lt;=前提条件!$C$44,入力データ!$C$53,0)),入力データ!$C$53)+入力データ!$C$54+入力データ!$C$55+入力データ!$C$56)*12+IF(入力データ!$C$13="持ち家",入力データ!$C$83+前提条件!$C$47,入力データ!$C$84+前提条件!$C$48))*(1+前提条件!$C$15)^(AI$3-$B$3))</f>
        <v/>
      </c>
      <c r="AJ21" s="352">
        <f>IF(AJ$3="","",((IF(入力データ!$C$13="持ち家",IF(入力データ!$C$57="あり",0,IF(AJ4&lt;=前提条件!$C$44,入力データ!$C$53,0)),入力データ!$C$53)+入力データ!$C$54+入力データ!$C$55+入力データ!$C$56)*12+IF(入力データ!$C$13="持ち家",入力データ!$C$83+前提条件!$C$47,入力データ!$C$84+前提条件!$C$48))*(1+前提条件!$C$15)^(AJ$3-$B$3))</f>
        <v/>
      </c>
      <c r="AK21" s="352">
        <f>IF(AK$3="","",((IF(入力データ!$C$13="持ち家",IF(入力データ!$C$57="あり",0,IF(AK4&lt;=前提条件!$C$44,入力データ!$C$53,0)),入力データ!$C$53)+入力データ!$C$54+入力データ!$C$55+入力データ!$C$56)*12+IF(入力データ!$C$13="持ち家",入力データ!$C$83+前提条件!$C$47,入力データ!$C$84+前提条件!$C$48))*(1+前提条件!$C$15)^(AK$3-$B$3))</f>
        <v/>
      </c>
      <c r="AL21" s="352">
        <f>IF(AL$3="","",((IF(入力データ!$C$13="持ち家",IF(入力データ!$C$57="あり",0,IF(AL4&lt;=前提条件!$C$44,入力データ!$C$53,0)),入力データ!$C$53)+入力データ!$C$54+入力データ!$C$55+入力データ!$C$56)*12+IF(入力データ!$C$13="持ち家",入力データ!$C$83+前提条件!$C$47,入力データ!$C$84+前提条件!$C$48))*(1+前提条件!$C$15)^(AL$3-$B$3))</f>
        <v/>
      </c>
      <c r="AM21" s="352">
        <f>IF(AM$3="","",((IF(入力データ!$C$13="持ち家",IF(入力データ!$C$57="あり",0,IF(AM4&lt;=前提条件!$C$44,入力データ!$C$53,0)),入力データ!$C$53)+入力データ!$C$54+入力データ!$C$55+入力データ!$C$56)*12+IF(入力データ!$C$13="持ち家",入力データ!$C$83+前提条件!$C$47,入力データ!$C$84+前提条件!$C$48))*(1+前提条件!$C$15)^(AM$3-$B$3))</f>
        <v/>
      </c>
      <c r="AN21" s="352">
        <f>IF(AN$3="","",((IF(入力データ!$C$13="持ち家",IF(入力データ!$C$57="あり",0,IF(AN4&lt;=前提条件!$C$44,入力データ!$C$53,0)),入力データ!$C$53)+入力データ!$C$54+入力データ!$C$55+入力データ!$C$56)*12+IF(入力データ!$C$13="持ち家",入力データ!$C$83+前提条件!$C$47,入力データ!$C$84+前提条件!$C$48))*(1+前提条件!$C$15)^(AN$3-$B$3))</f>
        <v/>
      </c>
      <c r="AO21" s="352">
        <f>IF(AO$3="","",((IF(入力データ!$C$13="持ち家",IF(入力データ!$C$57="あり",0,IF(AO4&lt;=前提条件!$C$44,入力データ!$C$53,0)),入力データ!$C$53)+入力データ!$C$54+入力データ!$C$55+入力データ!$C$56)*12+IF(入力データ!$C$13="持ち家",入力データ!$C$83+前提条件!$C$47,入力データ!$C$84+前提条件!$C$48))*(1+前提条件!$C$15)^(AO$3-$B$3))</f>
        <v/>
      </c>
      <c r="AP21" s="352">
        <f>IF(AP$3="","",((IF(入力データ!$C$13="持ち家",IF(入力データ!$C$57="あり",0,IF(AP4&lt;=前提条件!$C$44,入力データ!$C$53,0)),入力データ!$C$53)+入力データ!$C$54+入力データ!$C$55+入力データ!$C$56)*12+IF(入力データ!$C$13="持ち家",入力データ!$C$83+前提条件!$C$47,入力データ!$C$84+前提条件!$C$48))*(1+前提条件!$C$15)^(AP$3-$B$3))</f>
        <v/>
      </c>
      <c r="AQ21" s="352">
        <f>IF(AQ$3="","",((IF(入力データ!$C$13="持ち家",IF(入力データ!$C$57="あり",0,IF(AQ4&lt;=前提条件!$C$44,入力データ!$C$53,0)),入力データ!$C$53)+入力データ!$C$54+入力データ!$C$55+入力データ!$C$56)*12+IF(入力データ!$C$13="持ち家",入力データ!$C$83+前提条件!$C$47,入力データ!$C$84+前提条件!$C$48))*(1+前提条件!$C$15)^(AQ$3-$B$3))</f>
        <v/>
      </c>
      <c r="AR21" s="352">
        <f>IF(AR$3="","",((IF(入力データ!$C$13="持ち家",IF(入力データ!$C$57="あり",0,IF(AR4&lt;=前提条件!$C$44,入力データ!$C$53,0)),入力データ!$C$53)+入力データ!$C$54+入力データ!$C$55+入力データ!$C$56)*12+IF(入力データ!$C$13="持ち家",入力データ!$C$83+前提条件!$C$47,入力データ!$C$84+前提条件!$C$48))*(1+前提条件!$C$15)^(AR$3-$B$3))</f>
        <v/>
      </c>
      <c r="AS21" s="352">
        <f>IF(AS$3="","",((IF(入力データ!$C$13="持ち家",IF(入力データ!$C$57="あり",0,IF(AS4&lt;=前提条件!$C$44,入力データ!$C$53,0)),入力データ!$C$53)+入力データ!$C$54+入力データ!$C$55+入力データ!$C$56)*12+IF(入力データ!$C$13="持ち家",入力データ!$C$83+前提条件!$C$47,入力データ!$C$84+前提条件!$C$48))*(1+前提条件!$C$15)^(AS$3-$B$3))</f>
        <v/>
      </c>
      <c r="AT21" s="352">
        <f>IF(AT$3="","",((IF(入力データ!$C$13="持ち家",IF(入力データ!$C$57="あり",0,IF(AT4&lt;=前提条件!$C$44,入力データ!$C$53,0)),入力データ!$C$53)+入力データ!$C$54+入力データ!$C$55+入力データ!$C$56)*12+IF(入力データ!$C$13="持ち家",入力データ!$C$83+前提条件!$C$47,入力データ!$C$84+前提条件!$C$48))*(1+前提条件!$C$15)^(AT$3-$B$3))</f>
        <v/>
      </c>
      <c r="AU21" s="352">
        <f>IF(AU$3="","",((IF(入力データ!$C$13="持ち家",IF(入力データ!$C$57="あり",0,IF(AU4&lt;=前提条件!$C$44,入力データ!$C$53,0)),入力データ!$C$53)+入力データ!$C$54+入力データ!$C$55+入力データ!$C$56)*12+IF(入力データ!$C$13="持ち家",入力データ!$C$83+前提条件!$C$47,入力データ!$C$84+前提条件!$C$48))*(1+前提条件!$C$15)^(AU$3-$B$3))</f>
        <v/>
      </c>
      <c r="AV21" s="352">
        <f>IF(AV$3="","",((IF(入力データ!$C$13="持ち家",IF(入力データ!$C$57="あり",0,IF(AV4&lt;=前提条件!$C$44,入力データ!$C$53,0)),入力データ!$C$53)+入力データ!$C$54+入力データ!$C$55+入力データ!$C$56)*12+IF(入力データ!$C$13="持ち家",入力データ!$C$83+前提条件!$C$47,入力データ!$C$84+前提条件!$C$48))*(1+前提条件!$C$15)^(AV$3-$B$3))</f>
        <v/>
      </c>
      <c r="AW21" s="352">
        <f>IF(AW$3="","",((IF(入力データ!$C$13="持ち家",IF(入力データ!$C$57="あり",0,IF(AW4&lt;=前提条件!$C$44,入力データ!$C$53,0)),入力データ!$C$53)+入力データ!$C$54+入力データ!$C$55+入力データ!$C$56)*12+IF(入力データ!$C$13="持ち家",入力データ!$C$83+前提条件!$C$47,入力データ!$C$84+前提条件!$C$48))*(1+前提条件!$C$15)^(AW$3-$B$3))</f>
        <v/>
      </c>
      <c r="AX21" s="352">
        <f>IF(AX$3="","",((IF(入力データ!$C$13="持ち家",IF(入力データ!$C$57="あり",0,IF(AX4&lt;=前提条件!$C$44,入力データ!$C$53,0)),入力データ!$C$53)+入力データ!$C$54+入力データ!$C$55+入力データ!$C$56)*12+IF(入力データ!$C$13="持ち家",入力データ!$C$83+前提条件!$C$47,入力データ!$C$84+前提条件!$C$48))*(1+前提条件!$C$15)^(AX$3-$B$3))</f>
        <v/>
      </c>
      <c r="AY21" s="352">
        <f>IF(AY$3="","",((IF(入力データ!$C$13="持ち家",IF(入力データ!$C$57="あり",0,IF(AY4&lt;=前提条件!$C$44,入力データ!$C$53,0)),入力データ!$C$53)+入力データ!$C$54+入力データ!$C$55+入力データ!$C$56)*12+IF(入力データ!$C$13="持ち家",入力データ!$C$83+前提条件!$C$47,入力データ!$C$84+前提条件!$C$48))*(1+前提条件!$C$15)^(AY$3-$B$3))</f>
        <v/>
      </c>
      <c r="AZ21" s="352">
        <f>IF(AZ$3="","",((IF(入力データ!$C$13="持ち家",IF(入力データ!$C$57="あり",0,IF(AZ4&lt;=前提条件!$C$44,入力データ!$C$53,0)),入力データ!$C$53)+入力データ!$C$54+入力データ!$C$55+入力データ!$C$56)*12+IF(入力データ!$C$13="持ち家",入力データ!$C$83+前提条件!$C$47,入力データ!$C$84+前提条件!$C$48))*(1+前提条件!$C$15)^(AZ$3-$B$3))</f>
        <v/>
      </c>
      <c r="BA21" s="352">
        <f>IF(BA$3="","",((IF(入力データ!$C$13="持ち家",IF(入力データ!$C$57="あり",0,IF(BA4&lt;=前提条件!$C$44,入力データ!$C$53,0)),入力データ!$C$53)+入力データ!$C$54+入力データ!$C$55+入力データ!$C$56)*12+IF(入力データ!$C$13="持ち家",入力データ!$C$83+前提条件!$C$47,入力データ!$C$84+前提条件!$C$48))*(1+前提条件!$C$15)^(BA$3-$B$3))</f>
        <v/>
      </c>
      <c r="BB21" s="352">
        <f>IF(BB$3="","",((IF(入力データ!$C$13="持ち家",IF(入力データ!$C$57="あり",0,IF(BB4&lt;=前提条件!$C$44,入力データ!$C$53,0)),入力データ!$C$53)+入力データ!$C$54+入力データ!$C$55+入力データ!$C$56)*12+IF(入力データ!$C$13="持ち家",入力データ!$C$83+前提条件!$C$47,入力データ!$C$84+前提条件!$C$48))*(1+前提条件!$C$15)^(BB$3-$B$3))</f>
        <v/>
      </c>
      <c r="BC21" s="352">
        <f>IF(BC$3="","",((IF(入力データ!$C$13="持ち家",IF(入力データ!$C$57="あり",0,IF(BC4&lt;=前提条件!$C$44,入力データ!$C$53,0)),入力データ!$C$53)+入力データ!$C$54+入力データ!$C$55+入力データ!$C$56)*12+IF(入力データ!$C$13="持ち家",入力データ!$C$83+前提条件!$C$47,入力データ!$C$84+前提条件!$C$48))*(1+前提条件!$C$15)^(BC$3-$B$3))</f>
        <v/>
      </c>
      <c r="BD21" s="352">
        <f>IF(BD$3="","",((IF(入力データ!$C$13="持ち家",IF(入力データ!$C$57="あり",0,IF(BD4&lt;=前提条件!$C$44,入力データ!$C$53,0)),入力データ!$C$53)+入力データ!$C$54+入力データ!$C$55+入力データ!$C$56)*12+IF(入力データ!$C$13="持ち家",入力データ!$C$83+前提条件!$C$47,入力データ!$C$84+前提条件!$C$48))*(1+前提条件!$C$15)^(BD$3-$B$3))</f>
        <v/>
      </c>
      <c r="BE21" s="352">
        <f>IF(BE$3="","",((IF(入力データ!$C$13="持ち家",IF(入力データ!$C$57="あり",0,IF(BE4&lt;=前提条件!$C$44,入力データ!$C$53,0)),入力データ!$C$53)+入力データ!$C$54+入力データ!$C$55+入力データ!$C$56)*12+IF(入力データ!$C$13="持ち家",入力データ!$C$83+前提条件!$C$47,入力データ!$C$84+前提条件!$C$48))*(1+前提条件!$C$15)^(BE$3-$B$3))</f>
        <v/>
      </c>
      <c r="BF21" s="352">
        <f>IF(BF$3="","",((IF(入力データ!$C$13="持ち家",IF(入力データ!$C$57="あり",0,IF(BF4&lt;=前提条件!$C$44,入力データ!$C$53,0)),入力データ!$C$53)+入力データ!$C$54+入力データ!$C$55+入力データ!$C$56)*12+IF(入力データ!$C$13="持ち家",入力データ!$C$83+前提条件!$C$47,入力データ!$C$84+前提条件!$C$48))*(1+前提条件!$C$15)^(BF$3-$B$3))</f>
        <v/>
      </c>
      <c r="BG21" s="352">
        <f>IF(BG$3="","",((IF(入力データ!$C$13="持ち家",IF(入力データ!$C$57="あり",0,IF(BG4&lt;=前提条件!$C$44,入力データ!$C$53,0)),入力データ!$C$53)+入力データ!$C$54+入力データ!$C$55+入力データ!$C$56)*12+IF(入力データ!$C$13="持ち家",入力データ!$C$83+前提条件!$C$47,入力データ!$C$84+前提条件!$C$48))*(1+前提条件!$C$15)^(BG$3-$B$3))</f>
        <v/>
      </c>
      <c r="BH21" s="352">
        <f>IF(BH$3="","",((IF(入力データ!$C$13="持ち家",IF(入力データ!$C$57="あり",0,IF(BH4&lt;=前提条件!$C$44,入力データ!$C$53,0)),入力データ!$C$53)+入力データ!$C$54+入力データ!$C$55+入力データ!$C$56)*12+IF(入力データ!$C$13="持ち家",入力データ!$C$83+前提条件!$C$47,入力データ!$C$84+前提条件!$C$48))*(1+前提条件!$C$15)^(BH$3-$B$3))</f>
        <v/>
      </c>
      <c r="BI21" s="352">
        <f>IF(BI$3="","",((IF(入力データ!$C$13="持ち家",IF(入力データ!$C$57="あり",0,IF(BI4&lt;=前提条件!$C$44,入力データ!$C$53,0)),入力データ!$C$53)+入力データ!$C$54+入力データ!$C$55+入力データ!$C$56)*12+IF(入力データ!$C$13="持ち家",入力データ!$C$83+前提条件!$C$47,入力データ!$C$84+前提条件!$C$48))*(1+前提条件!$C$15)^(BI$3-$B$3))</f>
        <v/>
      </c>
      <c r="BJ21" s="352">
        <f>IF(BJ$3="","",((IF(入力データ!$C$13="持ち家",IF(入力データ!$C$57="あり",0,IF(BJ4&lt;=前提条件!$C$44,入力データ!$C$53,0)),入力データ!$C$53)+入力データ!$C$54+入力データ!$C$55+入力データ!$C$56)*12+IF(入力データ!$C$13="持ち家",入力データ!$C$83+前提条件!$C$47,入力データ!$C$84+前提条件!$C$48))*(1+前提条件!$C$15)^(BJ$3-$B$3))</f>
        <v/>
      </c>
      <c r="BK21" s="352">
        <f>IF(BK$3="","",((IF(入力データ!$C$13="持ち家",IF(入力データ!$C$57="あり",0,IF(BK4&lt;=前提条件!$C$44,入力データ!$C$53,0)),入力データ!$C$53)+入力データ!$C$54+入力データ!$C$55+入力データ!$C$56)*12+IF(入力データ!$C$13="持ち家",入力データ!$C$83+前提条件!$C$47,入力データ!$C$84+前提条件!$C$48))*(1+前提条件!$C$15)^(BK$3-$B$3))</f>
        <v/>
      </c>
      <c r="BL21" s="352">
        <f>IF(BL$3="","",((IF(入力データ!$C$13="持ち家",IF(入力データ!$C$57="あり",0,IF(BL4&lt;=前提条件!$C$44,入力データ!$C$53,0)),入力データ!$C$53)+入力データ!$C$54+入力データ!$C$55+入力データ!$C$56)*12+IF(入力データ!$C$13="持ち家",入力データ!$C$83+前提条件!$C$47,入力データ!$C$84+前提条件!$C$48))*(1+前提条件!$C$15)^(BL$3-$B$3))</f>
        <v/>
      </c>
      <c r="BM21" s="352">
        <f>IF(BM$3="","",((IF(入力データ!$C$13="持ち家",IF(入力データ!$C$57="あり",0,IF(BM4&lt;=前提条件!$C$44,入力データ!$C$53,0)),入力データ!$C$53)+入力データ!$C$54+入力データ!$C$55+入力データ!$C$56)*12+IF(入力データ!$C$13="持ち家",入力データ!$C$83+前提条件!$C$47,入力データ!$C$84+前提条件!$C$48))*(1+前提条件!$C$15)^(BM$3-$B$3))</f>
        <v/>
      </c>
      <c r="BN21" s="352">
        <f>IF(BN$3="","",((IF(入力データ!$C$13="持ち家",IF(入力データ!$C$57="あり",0,IF(BN4&lt;=前提条件!$C$44,入力データ!$C$53,0)),入力データ!$C$53)+入力データ!$C$54+入力データ!$C$55+入力データ!$C$56)*12+IF(入力データ!$C$13="持ち家",入力データ!$C$83+前提条件!$C$47,入力データ!$C$84+前提条件!$C$48))*(1+前提条件!$C$15)^(BN$3-$B$3))</f>
        <v/>
      </c>
      <c r="BO21" s="352">
        <f>IF(BO$3="","",((IF(入力データ!$C$13="持ち家",IF(入力データ!$C$57="あり",0,IF(BO4&lt;=前提条件!$C$44,入力データ!$C$53,0)),入力データ!$C$53)+入力データ!$C$54+入力データ!$C$55+入力データ!$C$56)*12+IF(入力データ!$C$13="持ち家",入力データ!$C$83+前提条件!$C$47,入力データ!$C$84+前提条件!$C$48))*(1+前提条件!$C$15)^(BO$3-$B$3))</f>
        <v/>
      </c>
      <c r="BP21" s="352">
        <f>IF(BP$3="","",((IF(入力データ!$C$13="持ち家",IF(入力データ!$C$57="あり",0,IF(BP4&lt;=前提条件!$C$44,入力データ!$C$53,0)),入力データ!$C$53)+入力データ!$C$54+入力データ!$C$55+入力データ!$C$56)*12+IF(入力データ!$C$13="持ち家",入力データ!$C$83+前提条件!$C$47,入力データ!$C$84+前提条件!$C$48))*(1+前提条件!$C$15)^(BP$3-$B$3))</f>
        <v/>
      </c>
      <c r="BQ21" s="352">
        <f>IF(BQ$3="","",((IF(入力データ!$C$13="持ち家",IF(入力データ!$C$57="あり",0,IF(BQ4&lt;=前提条件!$C$44,入力データ!$C$53,0)),入力データ!$C$53)+入力データ!$C$54+入力データ!$C$55+入力データ!$C$56)*12+IF(入力データ!$C$13="持ち家",入力データ!$C$83+前提条件!$C$47,入力データ!$C$84+前提条件!$C$48))*(1+前提条件!$C$15)^(BQ$3-$B$3))</f>
        <v/>
      </c>
      <c r="BR21" s="352">
        <f>IF(BR$3="","",((IF(入力データ!$C$13="持ち家",IF(入力データ!$C$57="あり",0,IF(BR4&lt;=前提条件!$C$44,入力データ!$C$53,0)),入力データ!$C$53)+入力データ!$C$54+入力データ!$C$55+入力データ!$C$56)*12+IF(入力データ!$C$13="持ち家",入力データ!$C$83+前提条件!$C$47,入力データ!$C$84+前提条件!$C$48))*(1+前提条件!$C$15)^(BR$3-$B$3))</f>
        <v/>
      </c>
      <c r="BS21" s="352">
        <f>IF(BS$3="","",((IF(入力データ!$C$13="持ち家",IF(入力データ!$C$57="あり",0,IF(BS4&lt;=前提条件!$C$44,入力データ!$C$53,0)),入力データ!$C$53)+入力データ!$C$54+入力データ!$C$55+入力データ!$C$56)*12+IF(入力データ!$C$13="持ち家",入力データ!$C$83+前提条件!$C$47,入力データ!$C$84+前提条件!$C$48))*(1+前提条件!$C$15)^(BS$3-$B$3))</f>
        <v/>
      </c>
      <c r="BT21" s="352">
        <f>IF(BT$3="","",((IF(入力データ!$C$13="持ち家",IF(入力データ!$C$57="あり",0,IF(BT4&lt;=前提条件!$C$44,入力データ!$C$53,0)),入力データ!$C$53)+入力データ!$C$54+入力データ!$C$55+入力データ!$C$56)*12+IF(入力データ!$C$13="持ち家",入力データ!$C$83+前提条件!$C$47,入力データ!$C$84+前提条件!$C$48))*(1+前提条件!$C$15)^(BT$3-$B$3))</f>
        <v/>
      </c>
      <c r="BU21" s="352">
        <f>IF(BU$3="","",((IF(入力データ!$C$13="持ち家",IF(入力データ!$C$57="あり",0,IF(BU4&lt;=前提条件!$C$44,入力データ!$C$53,0)),入力データ!$C$53)+入力データ!$C$54+入力データ!$C$55+入力データ!$C$56)*12+IF(入力データ!$C$13="持ち家",入力データ!$C$83+前提条件!$C$47,入力データ!$C$84+前提条件!$C$48))*(1+前提条件!$C$15)^(BU$3-$B$3))</f>
        <v/>
      </c>
      <c r="BV21" s="352">
        <f>IF(BV$3="","",((IF(入力データ!$C$13="持ち家",IF(入力データ!$C$57="あり",0,IF(BV4&lt;=前提条件!$C$44,入力データ!$C$53,0)),入力データ!$C$53)+入力データ!$C$54+入力データ!$C$55+入力データ!$C$56)*12+IF(入力データ!$C$13="持ち家",入力データ!$C$83+前提条件!$C$47,入力データ!$C$84+前提条件!$C$48))*(1+前提条件!$C$15)^(BV$3-$B$3))</f>
        <v/>
      </c>
      <c r="BW21" s="352">
        <f>IF(BW$3="","",((IF(入力データ!$C$13="持ち家",IF(入力データ!$C$57="あり",0,IF(BW4&lt;=前提条件!$C$44,入力データ!$C$53,0)),入力データ!$C$53)+入力データ!$C$54+入力データ!$C$55+入力データ!$C$56)*12+IF(入力データ!$C$13="持ち家",入力データ!$C$83+前提条件!$C$47,入力データ!$C$84+前提条件!$C$48))*(1+前提条件!$C$15)^(BW$3-$B$3))</f>
        <v/>
      </c>
      <c r="BX21" s="352">
        <f>IF(BX$3="","",((IF(入力データ!$C$13="持ち家",IF(入力データ!$C$57="あり",0,IF(BX4&lt;=前提条件!$C$44,入力データ!$C$53,0)),入力データ!$C$53)+入力データ!$C$54+入力データ!$C$55+入力データ!$C$56)*12+IF(入力データ!$C$13="持ち家",入力データ!$C$83+前提条件!$C$47,入力データ!$C$84+前提条件!$C$48))*(1+前提条件!$C$15)^(BX$3-$B$3))</f>
        <v/>
      </c>
      <c r="BY21" s="352">
        <f>IF(BY$3="","",((IF(入力データ!$C$13="持ち家",IF(入力データ!$C$57="あり",0,IF(BY4&lt;=前提条件!$C$44,入力データ!$C$53,0)),入力データ!$C$53)+入力データ!$C$54+入力データ!$C$55+入力データ!$C$56)*12+IF(入力データ!$C$13="持ち家",入力データ!$C$83+前提条件!$C$47,入力データ!$C$84+前提条件!$C$48))*(1+前提条件!$C$15)^(BY$3-$B$3))</f>
        <v/>
      </c>
      <c r="BZ21" s="352">
        <f>IF(BZ$3="","",((IF(入力データ!$C$13="持ち家",IF(入力データ!$C$57="あり",0,IF(BZ4&lt;=前提条件!$C$44,入力データ!$C$53,0)),入力データ!$C$53)+入力データ!$C$54+入力データ!$C$55+入力データ!$C$56)*12+IF(入力データ!$C$13="持ち家",入力データ!$C$83+前提条件!$C$47,入力データ!$C$84+前提条件!$C$48))*(1+前提条件!$C$15)^(BZ$3-$B$3))</f>
        <v/>
      </c>
      <c r="CA21" s="352">
        <f>IF(CA$3="","",((IF(入力データ!$C$13="持ち家",IF(入力データ!$C$57="あり",0,IF(CA4&lt;=前提条件!$C$44,入力データ!$C$53,0)),入力データ!$C$53)+入力データ!$C$54+入力データ!$C$55+入力データ!$C$56)*12+IF(入力データ!$C$13="持ち家",入力データ!$C$83+前提条件!$C$47,入力データ!$C$84+前提条件!$C$48))*(1+前提条件!$C$15)^(CA$3-$B$3))</f>
        <v/>
      </c>
      <c r="CB21" s="352">
        <f>IF(CB$3="","",((IF(入力データ!$C$13="持ち家",IF(入力データ!$C$57="あり",0,IF(CB4&lt;=前提条件!$C$44,入力データ!$C$53,0)),入力データ!$C$53)+入力データ!$C$54+入力データ!$C$55+入力データ!$C$56)*12+IF(入力データ!$C$13="持ち家",入力データ!$C$83+前提条件!$C$47,入力データ!$C$84+前提条件!$C$48))*(1+前提条件!$C$15)^(CB$3-$B$3))</f>
        <v/>
      </c>
      <c r="CC21" s="352">
        <f>IF(CC$3="","",((IF(入力データ!$C$13="持ち家",IF(入力データ!$C$57="あり",0,IF(CC4&lt;=前提条件!$C$44,入力データ!$C$53,0)),入力データ!$C$53)+入力データ!$C$54+入力データ!$C$55+入力データ!$C$56)*12+IF(入力データ!$C$13="持ち家",入力データ!$C$83+前提条件!$C$47,入力データ!$C$84+前提条件!$C$48))*(1+前提条件!$C$15)^(CC$3-$B$3))</f>
        <v/>
      </c>
      <c r="CD21" s="352">
        <f>IF(CD$3="","",((IF(入力データ!$C$13="持ち家",IF(入力データ!$C$57="あり",0,IF(CD4&lt;=前提条件!$C$44,入力データ!$C$53,0)),入力データ!$C$53)+入力データ!$C$54+入力データ!$C$55+入力データ!$C$56)*12+IF(入力データ!$C$13="持ち家",入力データ!$C$83+前提条件!$C$47,入力データ!$C$84+前提条件!$C$48))*(1+前提条件!$C$15)^(CD$3-$B$3))</f>
        <v/>
      </c>
      <c r="CE21" s="352">
        <f>IF(CE$3="","",((IF(入力データ!$C$13="持ち家",IF(入力データ!$C$57="あり",0,IF(CE4&lt;=前提条件!$C$44,入力データ!$C$53,0)),入力データ!$C$53)+入力データ!$C$54+入力データ!$C$55+入力データ!$C$56)*12+IF(入力データ!$C$13="持ち家",入力データ!$C$83+前提条件!$C$47,入力データ!$C$84+前提条件!$C$48))*(1+前提条件!$C$15)^(CE$3-$B$3))</f>
        <v/>
      </c>
      <c r="CF21" s="352">
        <f>IF(CF$3="","",((IF(入力データ!$C$13="持ち家",IF(入力データ!$C$57="あり",0,IF(CF4&lt;=前提条件!$C$44,入力データ!$C$53,0)),入力データ!$C$53)+入力データ!$C$54+入力データ!$C$55+入力データ!$C$56)*12+IF(入力データ!$C$13="持ち家",入力データ!$C$83+前提条件!$C$47,入力データ!$C$84+前提条件!$C$48))*(1+前提条件!$C$15)^(CF$3-$B$3))</f>
        <v/>
      </c>
      <c r="CG21" s="352">
        <f>IF(CG$3="","",((IF(入力データ!$C$13="持ち家",IF(入力データ!$C$57="あり",0,IF(CG4&lt;=前提条件!$C$44,入力データ!$C$53,0)),入力データ!$C$53)+入力データ!$C$54+入力データ!$C$55+入力データ!$C$56)*12+IF(入力データ!$C$13="持ち家",入力データ!$C$83+前提条件!$C$47,入力データ!$C$84+前提条件!$C$48))*(1+前提条件!$C$15)^(CG$3-$B$3))</f>
        <v/>
      </c>
      <c r="CH21" s="352">
        <f>IF(CH$3="","",((IF(入力データ!$C$13="持ち家",IF(入力データ!$C$57="あり",0,IF(CH4&lt;=前提条件!$C$44,入力データ!$C$53,0)),入力データ!$C$53)+入力データ!$C$54+入力データ!$C$55+入力データ!$C$56)*12+IF(入力データ!$C$13="持ち家",入力データ!$C$83+前提条件!$C$47,入力データ!$C$84+前提条件!$C$48))*(1+前提条件!$C$15)^(CH$3-$B$3))</f>
        <v/>
      </c>
      <c r="CI21" s="352">
        <f>IF(CI$3="","",((IF(入力データ!$C$13="持ち家",IF(入力データ!$C$57="あり",0,IF(CI4&lt;=前提条件!$C$44,入力データ!$C$53,0)),入力データ!$C$53)+入力データ!$C$54+入力データ!$C$55+入力データ!$C$56)*12+IF(入力データ!$C$13="持ち家",入力データ!$C$83+前提条件!$C$47,入力データ!$C$84+前提条件!$C$48))*(1+前提条件!$C$15)^(CI$3-$B$3))</f>
        <v/>
      </c>
      <c r="CJ21" s="352">
        <f>IF(CJ$3="","",((IF(入力データ!$C$13="持ち家",IF(入力データ!$C$57="あり",0,IF(CJ4&lt;=前提条件!$C$44,入力データ!$C$53,0)),入力データ!$C$53)+入力データ!$C$54+入力データ!$C$55+入力データ!$C$56)*12+IF(入力データ!$C$13="持ち家",入力データ!$C$83+前提条件!$C$47,入力データ!$C$84+前提条件!$C$48))*(1+前提条件!$C$15)^(CJ$3-$B$3))</f>
        <v/>
      </c>
      <c r="CK21" s="352">
        <f>IF(CK$3="","",((IF(入力データ!$C$13="持ち家",IF(入力データ!$C$57="あり",0,IF(CK4&lt;=前提条件!$C$44,入力データ!$C$53,0)),入力データ!$C$53)+入力データ!$C$54+入力データ!$C$55+入力データ!$C$56)*12+IF(入力データ!$C$13="持ち家",入力データ!$C$83+前提条件!$C$47,入力データ!$C$84+前提条件!$C$48))*(1+前提条件!$C$15)^(CK$3-$B$3))</f>
        <v/>
      </c>
      <c r="CL21" s="352">
        <f>IF(CL$3="","",((IF(入力データ!$C$13="持ち家",IF(入力データ!$C$57="あり",0,IF(CL4&lt;=前提条件!$C$44,入力データ!$C$53,0)),入力データ!$C$53)+入力データ!$C$54+入力データ!$C$55+入力データ!$C$56)*12+IF(入力データ!$C$13="持ち家",入力データ!$C$83+前提条件!$C$47,入力データ!$C$84+前提条件!$C$48))*(1+前提条件!$C$15)^(CL$3-$B$3))</f>
        <v/>
      </c>
      <c r="CM21" s="352">
        <f>IF(CM$3="","",((IF(入力データ!$C$13="持ち家",IF(入力データ!$C$57="あり",0,IF(CM4&lt;=前提条件!$C$44,入力データ!$C$53,0)),入力データ!$C$53)+入力データ!$C$54+入力データ!$C$55+入力データ!$C$56)*12+IF(入力データ!$C$13="持ち家",入力データ!$C$83+前提条件!$C$47,入力データ!$C$84+前提条件!$C$48))*(1+前提条件!$C$15)^(CM$3-$B$3))</f>
        <v/>
      </c>
      <c r="CN21" s="352">
        <f>IF(CN$3="","",((IF(入力データ!$C$13="持ち家",IF(入力データ!$C$57="あり",0,IF(CN4&lt;=前提条件!$C$44,入力データ!$C$53,0)),入力データ!$C$53)+入力データ!$C$54+入力データ!$C$55+入力データ!$C$56)*12+IF(入力データ!$C$13="持ち家",入力データ!$C$83+前提条件!$C$47,入力データ!$C$84+前提条件!$C$48))*(1+前提条件!$C$15)^(CN$3-$B$3))</f>
        <v/>
      </c>
      <c r="CO21" s="352">
        <f>IF(CO$3="","",((IF(入力データ!$C$13="持ち家",IF(入力データ!$C$57="あり",0,IF(CO4&lt;=前提条件!$C$44,入力データ!$C$53,0)),入力データ!$C$53)+入力データ!$C$54+入力データ!$C$55+入力データ!$C$56)*12+IF(入力データ!$C$13="持ち家",入力データ!$C$83+前提条件!$C$47,入力データ!$C$84+前提条件!$C$48))*(1+前提条件!$C$15)^(CO$3-$B$3))</f>
        <v/>
      </c>
      <c r="CP21" s="352">
        <f>IF(CP$3="","",((IF(入力データ!$C$13="持ち家",IF(入力データ!$C$57="あり",0,IF(CP4&lt;=前提条件!$C$44,入力データ!$C$53,0)),入力データ!$C$53)+入力データ!$C$54+入力データ!$C$55+入力データ!$C$56)*12+IF(入力データ!$C$13="持ち家",入力データ!$C$83+前提条件!$C$47,入力データ!$C$84+前提条件!$C$48))*(1+前提条件!$C$15)^(CP$3-$B$3))</f>
        <v/>
      </c>
      <c r="CQ21" s="352">
        <f>IF(CQ$3="","",((IF(入力データ!$C$13="持ち家",IF(入力データ!$C$57="あり",0,IF(CQ4&lt;=前提条件!$C$44,入力データ!$C$53,0)),入力データ!$C$53)+入力データ!$C$54+入力データ!$C$55+入力データ!$C$56)*12+IF(入力データ!$C$13="持ち家",入力データ!$C$83+前提条件!$C$47,入力データ!$C$84+前提条件!$C$48))*(1+前提条件!$C$15)^(CQ$3-$B$3))</f>
        <v/>
      </c>
      <c r="CR21" s="352">
        <f>IF(CR$3="","",((IF(入力データ!$C$13="持ち家",IF(入力データ!$C$57="あり",0,IF(CR4&lt;=前提条件!$C$44,入力データ!$C$53,0)),入力データ!$C$53)+入力データ!$C$54+入力データ!$C$55+入力データ!$C$56)*12+IF(入力データ!$C$13="持ち家",入力データ!$C$83+前提条件!$C$47,入力データ!$C$84+前提条件!$C$48))*(1+前提条件!$C$15)^(CR$3-$B$3))</f>
        <v/>
      </c>
      <c r="CS21" s="352">
        <f>IF(CS$3="","",((IF(入力データ!$C$13="持ち家",IF(入力データ!$C$57="あり",0,IF(CS4&lt;=前提条件!$C$44,入力データ!$C$53,0)),入力データ!$C$53)+入力データ!$C$54+入力データ!$C$55+入力データ!$C$56)*12+IF(入力データ!$C$13="持ち家",入力データ!$C$83+前提条件!$C$47,入力データ!$C$84+前提条件!$C$48))*(1+前提条件!$C$15)^(CS$3-$B$3))</f>
        <v/>
      </c>
      <c r="CT21" s="352">
        <f>IF(CT$3="","",((IF(入力データ!$C$13="持ち家",IF(入力データ!$C$57="あり",0,IF(CT4&lt;=前提条件!$C$44,入力データ!$C$53,0)),入力データ!$C$53)+入力データ!$C$54+入力データ!$C$55+入力データ!$C$56)*12+IF(入力データ!$C$13="持ち家",入力データ!$C$83+前提条件!$C$47,入力データ!$C$84+前提条件!$C$48))*(1+前提条件!$C$15)^(CT$3-$B$3))</f>
        <v/>
      </c>
      <c r="CU21" s="352">
        <f>IF(CU$3="","",((IF(入力データ!$C$13="持ち家",IF(入力データ!$C$57="あり",0,IF(CU4&lt;=前提条件!$C$44,入力データ!$C$53,0)),入力データ!$C$53)+入力データ!$C$54+入力データ!$C$55+入力データ!$C$56)*12+IF(入力データ!$C$13="持ち家",入力データ!$C$83+前提条件!$C$47,入力データ!$C$84+前提条件!$C$48))*(1+前提条件!$C$15)^(CU$3-$B$3))</f>
        <v/>
      </c>
      <c r="CV21" s="352">
        <f>IF(CV$3="","",((IF(入力データ!$C$13="持ち家",IF(入力データ!$C$57="あり",0,IF(CV4&lt;=前提条件!$C$44,入力データ!$C$53,0)),入力データ!$C$53)+入力データ!$C$54+入力データ!$C$55+入力データ!$C$56)*12+IF(入力データ!$C$13="持ち家",入力データ!$C$83+前提条件!$C$47,入力データ!$C$84+前提条件!$C$48))*(1+前提条件!$C$15)^(CV$3-$B$3))</f>
        <v/>
      </c>
      <c r="CW21" s="352">
        <f>IF(CW$3="","",((IF(入力データ!$C$13="持ち家",IF(入力データ!$C$57="あり",0,IF(CW4&lt;=前提条件!$C$44,入力データ!$C$53,0)),入力データ!$C$53)+入力データ!$C$54+入力データ!$C$55+入力データ!$C$56)*12+IF(入力データ!$C$13="持ち家",入力データ!$C$83+前提条件!$C$47,入力データ!$C$84+前提条件!$C$48))*(1+前提条件!$C$15)^(CW$3-$B$3))</f>
        <v/>
      </c>
    </row>
    <row r="22" ht="15" customHeight="1" s="180">
      <c r="A22" s="224" t="inlineStr">
        <is>
          <t>終身系保険料</t>
        </is>
      </c>
      <c r="B22" s="352">
        <f>IF(B$3="","",SUMPRODUCT(--ISNUMBER(SEARCH("終身",入力データ!$F$5:$F$20)),--(IFERROR(YEAR(入力データ!$J$5:$J$20),0)&lt;=B$3),--(IFERROR(YEAR(入力データ!$K$5:$K$20),9999)&gt;=B$3),入力データ!$M$5:$M$20)*12)</f>
        <v/>
      </c>
      <c r="C22" s="352">
        <f>IF(C$3="","",SUMPRODUCT(--ISNUMBER(SEARCH("終身",入力データ!$F$5:$F$20)),--(IFERROR(YEAR(入力データ!$J$5:$J$20),0)&lt;=C$3),--(IFERROR(YEAR(入力データ!$K$5:$K$20),9999)&gt;=C$3),入力データ!$M$5:$M$20)*12)</f>
        <v/>
      </c>
      <c r="D22" s="352">
        <f>IF(D$3="","",SUMPRODUCT(--ISNUMBER(SEARCH("終身",入力データ!$F$5:$F$20)),--(IFERROR(YEAR(入力データ!$J$5:$J$20),0)&lt;=D$3),--(IFERROR(YEAR(入力データ!$K$5:$K$20),9999)&gt;=D$3),入力データ!$M$5:$M$20)*12)</f>
        <v/>
      </c>
      <c r="E22" s="352">
        <f>IF(E$3="","",SUMPRODUCT(--ISNUMBER(SEARCH("終身",入力データ!$F$5:$F$20)),--(IFERROR(YEAR(入力データ!$J$5:$J$20),0)&lt;=E$3),--(IFERROR(YEAR(入力データ!$K$5:$K$20),9999)&gt;=E$3),入力データ!$M$5:$M$20)*12)</f>
        <v/>
      </c>
      <c r="F22" s="352">
        <f>IF(F$3="","",SUMPRODUCT(--ISNUMBER(SEARCH("終身",入力データ!$F$5:$F$20)),--(IFERROR(YEAR(入力データ!$J$5:$J$20),0)&lt;=F$3),--(IFERROR(YEAR(入力データ!$K$5:$K$20),9999)&gt;=F$3),入力データ!$M$5:$M$20)*12)</f>
        <v/>
      </c>
      <c r="G22" s="352">
        <f>IF(G$3="","",SUMPRODUCT(--ISNUMBER(SEARCH("終身",入力データ!$F$5:$F$20)),--(IFERROR(YEAR(入力データ!$J$5:$J$20),0)&lt;=G$3),--(IFERROR(YEAR(入力データ!$K$5:$K$20),9999)&gt;=G$3),入力データ!$M$5:$M$20)*12)</f>
        <v/>
      </c>
      <c r="H22" s="352">
        <f>IF(H$3="","",SUMPRODUCT(--ISNUMBER(SEARCH("終身",入力データ!$F$5:$F$20)),--(IFERROR(YEAR(入力データ!$J$5:$J$20),0)&lt;=H$3),--(IFERROR(YEAR(入力データ!$K$5:$K$20),9999)&gt;=H$3),入力データ!$M$5:$M$20)*12)</f>
        <v/>
      </c>
      <c r="I22" s="352">
        <f>IF(I$3="","",SUMPRODUCT(--ISNUMBER(SEARCH("終身",入力データ!$F$5:$F$20)),--(IFERROR(YEAR(入力データ!$J$5:$J$20),0)&lt;=I$3),--(IFERROR(YEAR(入力データ!$K$5:$K$20),9999)&gt;=I$3),入力データ!$M$5:$M$20)*12)</f>
        <v/>
      </c>
      <c r="J22" s="352">
        <f>IF(J$3="","",SUMPRODUCT(--ISNUMBER(SEARCH("終身",入力データ!$F$5:$F$20)),--(IFERROR(YEAR(入力データ!$J$5:$J$20),0)&lt;=J$3),--(IFERROR(YEAR(入力データ!$K$5:$K$20),9999)&gt;=J$3),入力データ!$M$5:$M$20)*12)</f>
        <v/>
      </c>
      <c r="K22" s="352">
        <f>IF(K$3="","",SUMPRODUCT(--ISNUMBER(SEARCH("終身",入力データ!$F$5:$F$20)),--(IFERROR(YEAR(入力データ!$J$5:$J$20),0)&lt;=K$3),--(IFERROR(YEAR(入力データ!$K$5:$K$20),9999)&gt;=K$3),入力データ!$M$5:$M$20)*12)</f>
        <v/>
      </c>
      <c r="L22" s="352">
        <f>IF(L$3="","",SUMPRODUCT(--ISNUMBER(SEARCH("終身",入力データ!$F$5:$F$20)),--(IFERROR(YEAR(入力データ!$J$5:$J$20),0)&lt;=L$3),--(IFERROR(YEAR(入力データ!$K$5:$K$20),9999)&gt;=L$3),入力データ!$M$5:$M$20)*12)</f>
        <v/>
      </c>
      <c r="M22" s="352">
        <f>IF(M$3="","",SUMPRODUCT(--ISNUMBER(SEARCH("終身",入力データ!$F$5:$F$20)),--(IFERROR(YEAR(入力データ!$J$5:$J$20),0)&lt;=M$3),--(IFERROR(YEAR(入力データ!$K$5:$K$20),9999)&gt;=M$3),入力データ!$M$5:$M$20)*12)</f>
        <v/>
      </c>
      <c r="N22" s="352">
        <f>IF(N$3="","",SUMPRODUCT(--ISNUMBER(SEARCH("終身",入力データ!$F$5:$F$20)),--(IFERROR(YEAR(入力データ!$J$5:$J$20),0)&lt;=N$3),--(IFERROR(YEAR(入力データ!$K$5:$K$20),9999)&gt;=N$3),入力データ!$M$5:$M$20)*12)</f>
        <v/>
      </c>
      <c r="O22" s="352">
        <f>IF(O$3="","",SUMPRODUCT(--ISNUMBER(SEARCH("終身",入力データ!$F$5:$F$20)),--(IFERROR(YEAR(入力データ!$J$5:$J$20),0)&lt;=O$3),--(IFERROR(YEAR(入力データ!$K$5:$K$20),9999)&gt;=O$3),入力データ!$M$5:$M$20)*12)</f>
        <v/>
      </c>
      <c r="P22" s="352">
        <f>IF(P$3="","",SUMPRODUCT(--ISNUMBER(SEARCH("終身",入力データ!$F$5:$F$20)),--(IFERROR(YEAR(入力データ!$J$5:$J$20),0)&lt;=P$3),--(IFERROR(YEAR(入力データ!$K$5:$K$20),9999)&gt;=P$3),入力データ!$M$5:$M$20)*12)</f>
        <v/>
      </c>
      <c r="Q22" s="352">
        <f>IF(Q$3="","",SUMPRODUCT(--ISNUMBER(SEARCH("終身",入力データ!$F$5:$F$20)),--(IFERROR(YEAR(入力データ!$J$5:$J$20),0)&lt;=Q$3),--(IFERROR(YEAR(入力データ!$K$5:$K$20),9999)&gt;=Q$3),入力データ!$M$5:$M$20)*12)</f>
        <v/>
      </c>
      <c r="R22" s="352">
        <f>IF(R$3="","",SUMPRODUCT(--ISNUMBER(SEARCH("終身",入力データ!$F$5:$F$20)),--(IFERROR(YEAR(入力データ!$J$5:$J$20),0)&lt;=R$3),--(IFERROR(YEAR(入力データ!$K$5:$K$20),9999)&gt;=R$3),入力データ!$M$5:$M$20)*12)</f>
        <v/>
      </c>
      <c r="S22" s="352">
        <f>IF(S$3="","",SUMPRODUCT(--ISNUMBER(SEARCH("終身",入力データ!$F$5:$F$20)),--(IFERROR(YEAR(入力データ!$J$5:$J$20),0)&lt;=S$3),--(IFERROR(YEAR(入力データ!$K$5:$K$20),9999)&gt;=S$3),入力データ!$M$5:$M$20)*12)</f>
        <v/>
      </c>
      <c r="T22" s="352">
        <f>IF(T$3="","",SUMPRODUCT(--ISNUMBER(SEARCH("終身",入力データ!$F$5:$F$20)),--(IFERROR(YEAR(入力データ!$J$5:$J$20),0)&lt;=T$3),--(IFERROR(YEAR(入力データ!$K$5:$K$20),9999)&gt;=T$3),入力データ!$M$5:$M$20)*12)</f>
        <v/>
      </c>
      <c r="U22" s="352">
        <f>IF(U$3="","",SUMPRODUCT(--ISNUMBER(SEARCH("終身",入力データ!$F$5:$F$20)),--(IFERROR(YEAR(入力データ!$J$5:$J$20),0)&lt;=U$3),--(IFERROR(YEAR(入力データ!$K$5:$K$20),9999)&gt;=U$3),入力データ!$M$5:$M$20)*12)</f>
        <v/>
      </c>
      <c r="V22" s="352">
        <f>IF(V$3="","",SUMPRODUCT(--ISNUMBER(SEARCH("終身",入力データ!$F$5:$F$20)),--(IFERROR(YEAR(入力データ!$J$5:$J$20),0)&lt;=V$3),--(IFERROR(YEAR(入力データ!$K$5:$K$20),9999)&gt;=V$3),入力データ!$M$5:$M$20)*12)</f>
        <v/>
      </c>
      <c r="W22" s="352">
        <f>IF(W$3="","",SUMPRODUCT(--ISNUMBER(SEARCH("終身",入力データ!$F$5:$F$20)),--(IFERROR(YEAR(入力データ!$J$5:$J$20),0)&lt;=W$3),--(IFERROR(YEAR(入力データ!$K$5:$K$20),9999)&gt;=W$3),入力データ!$M$5:$M$20)*12)</f>
        <v/>
      </c>
      <c r="X22" s="352">
        <f>IF(X$3="","",SUMPRODUCT(--ISNUMBER(SEARCH("終身",入力データ!$F$5:$F$20)),--(IFERROR(YEAR(入力データ!$J$5:$J$20),0)&lt;=X$3),--(IFERROR(YEAR(入力データ!$K$5:$K$20),9999)&gt;=X$3),入力データ!$M$5:$M$20)*12)</f>
        <v/>
      </c>
      <c r="Y22" s="352">
        <f>IF(Y$3="","",SUMPRODUCT(--ISNUMBER(SEARCH("終身",入力データ!$F$5:$F$20)),--(IFERROR(YEAR(入力データ!$J$5:$J$20),0)&lt;=Y$3),--(IFERROR(YEAR(入力データ!$K$5:$K$20),9999)&gt;=Y$3),入力データ!$M$5:$M$20)*12)</f>
        <v/>
      </c>
      <c r="Z22" s="352">
        <f>IF(Z$3="","",SUMPRODUCT(--ISNUMBER(SEARCH("終身",入力データ!$F$5:$F$20)),--(IFERROR(YEAR(入力データ!$J$5:$J$20),0)&lt;=Z$3),--(IFERROR(YEAR(入力データ!$K$5:$K$20),9999)&gt;=Z$3),入力データ!$M$5:$M$20)*12)</f>
        <v/>
      </c>
      <c r="AA22" s="352">
        <f>IF(AA$3="","",SUMPRODUCT(--ISNUMBER(SEARCH("終身",入力データ!$F$5:$F$20)),--(IFERROR(YEAR(入力データ!$J$5:$J$20),0)&lt;=AA$3),--(IFERROR(YEAR(入力データ!$K$5:$K$20),9999)&gt;=AA$3),入力データ!$M$5:$M$20)*12)</f>
        <v/>
      </c>
      <c r="AB22" s="352">
        <f>IF(AB$3="","",SUMPRODUCT(--ISNUMBER(SEARCH("終身",入力データ!$F$5:$F$20)),--(IFERROR(YEAR(入力データ!$J$5:$J$20),0)&lt;=AB$3),--(IFERROR(YEAR(入力データ!$K$5:$K$20),9999)&gt;=AB$3),入力データ!$M$5:$M$20)*12)</f>
        <v/>
      </c>
      <c r="AC22" s="352">
        <f>IF(AC$3="","",SUMPRODUCT(--ISNUMBER(SEARCH("終身",入力データ!$F$5:$F$20)),--(IFERROR(YEAR(入力データ!$J$5:$J$20),0)&lt;=AC$3),--(IFERROR(YEAR(入力データ!$K$5:$K$20),9999)&gt;=AC$3),入力データ!$M$5:$M$20)*12)</f>
        <v/>
      </c>
      <c r="AD22" s="352">
        <f>IF(AD$3="","",SUMPRODUCT(--ISNUMBER(SEARCH("終身",入力データ!$F$5:$F$20)),--(IFERROR(YEAR(入力データ!$J$5:$J$20),0)&lt;=AD$3),--(IFERROR(YEAR(入力データ!$K$5:$K$20),9999)&gt;=AD$3),入力データ!$M$5:$M$20)*12)</f>
        <v/>
      </c>
      <c r="AE22" s="352">
        <f>IF(AE$3="","",SUMPRODUCT(--ISNUMBER(SEARCH("終身",入力データ!$F$5:$F$20)),--(IFERROR(YEAR(入力データ!$J$5:$J$20),0)&lt;=AE$3),--(IFERROR(YEAR(入力データ!$K$5:$K$20),9999)&gt;=AE$3),入力データ!$M$5:$M$20)*12)</f>
        <v/>
      </c>
      <c r="AF22" s="352">
        <f>IF(AF$3="","",SUMPRODUCT(--ISNUMBER(SEARCH("終身",入力データ!$F$5:$F$20)),--(IFERROR(YEAR(入力データ!$J$5:$J$20),0)&lt;=AF$3),--(IFERROR(YEAR(入力データ!$K$5:$K$20),9999)&gt;=AF$3),入力データ!$M$5:$M$20)*12)</f>
        <v/>
      </c>
      <c r="AG22" s="352">
        <f>IF(AG$3="","",SUMPRODUCT(--ISNUMBER(SEARCH("終身",入力データ!$F$5:$F$20)),--(IFERROR(YEAR(入力データ!$J$5:$J$20),0)&lt;=AG$3),--(IFERROR(YEAR(入力データ!$K$5:$K$20),9999)&gt;=AG$3),入力データ!$M$5:$M$20)*12)</f>
        <v/>
      </c>
      <c r="AH22" s="352">
        <f>IF(AH$3="","",SUMPRODUCT(--ISNUMBER(SEARCH("終身",入力データ!$F$5:$F$20)),--(IFERROR(YEAR(入力データ!$J$5:$J$20),0)&lt;=AH$3),--(IFERROR(YEAR(入力データ!$K$5:$K$20),9999)&gt;=AH$3),入力データ!$M$5:$M$20)*12)</f>
        <v/>
      </c>
      <c r="AI22" s="352">
        <f>IF(AI$3="","",SUMPRODUCT(--ISNUMBER(SEARCH("終身",入力データ!$F$5:$F$20)),--(IFERROR(YEAR(入力データ!$J$5:$J$20),0)&lt;=AI$3),--(IFERROR(YEAR(入力データ!$K$5:$K$20),9999)&gt;=AI$3),入力データ!$M$5:$M$20)*12)</f>
        <v/>
      </c>
      <c r="AJ22" s="352">
        <f>IF(AJ$3="","",SUMPRODUCT(--ISNUMBER(SEARCH("終身",入力データ!$F$5:$F$20)),--(IFERROR(YEAR(入力データ!$J$5:$J$20),0)&lt;=AJ$3),--(IFERROR(YEAR(入力データ!$K$5:$K$20),9999)&gt;=AJ$3),入力データ!$M$5:$M$20)*12)</f>
        <v/>
      </c>
      <c r="AK22" s="352">
        <f>IF(AK$3="","",SUMPRODUCT(--ISNUMBER(SEARCH("終身",入力データ!$F$5:$F$20)),--(IFERROR(YEAR(入力データ!$J$5:$J$20),0)&lt;=AK$3),--(IFERROR(YEAR(入力データ!$K$5:$K$20),9999)&gt;=AK$3),入力データ!$M$5:$M$20)*12)</f>
        <v/>
      </c>
      <c r="AL22" s="352">
        <f>IF(AL$3="","",SUMPRODUCT(--ISNUMBER(SEARCH("終身",入力データ!$F$5:$F$20)),--(IFERROR(YEAR(入力データ!$J$5:$J$20),0)&lt;=AL$3),--(IFERROR(YEAR(入力データ!$K$5:$K$20),9999)&gt;=AL$3),入力データ!$M$5:$M$20)*12)</f>
        <v/>
      </c>
      <c r="AM22" s="352">
        <f>IF(AM$3="","",SUMPRODUCT(--ISNUMBER(SEARCH("終身",入力データ!$F$5:$F$20)),--(IFERROR(YEAR(入力データ!$J$5:$J$20),0)&lt;=AM$3),--(IFERROR(YEAR(入力データ!$K$5:$K$20),9999)&gt;=AM$3),入力データ!$M$5:$M$20)*12)</f>
        <v/>
      </c>
      <c r="AN22" s="352">
        <f>IF(AN$3="","",SUMPRODUCT(--ISNUMBER(SEARCH("終身",入力データ!$F$5:$F$20)),--(IFERROR(YEAR(入力データ!$J$5:$J$20),0)&lt;=AN$3),--(IFERROR(YEAR(入力データ!$K$5:$K$20),9999)&gt;=AN$3),入力データ!$M$5:$M$20)*12)</f>
        <v/>
      </c>
      <c r="AO22" s="352">
        <f>IF(AO$3="","",SUMPRODUCT(--ISNUMBER(SEARCH("終身",入力データ!$F$5:$F$20)),--(IFERROR(YEAR(入力データ!$J$5:$J$20),0)&lt;=AO$3),--(IFERROR(YEAR(入力データ!$K$5:$K$20),9999)&gt;=AO$3),入力データ!$M$5:$M$20)*12)</f>
        <v/>
      </c>
      <c r="AP22" s="352">
        <f>IF(AP$3="","",SUMPRODUCT(--ISNUMBER(SEARCH("終身",入力データ!$F$5:$F$20)),--(IFERROR(YEAR(入力データ!$J$5:$J$20),0)&lt;=AP$3),--(IFERROR(YEAR(入力データ!$K$5:$K$20),9999)&gt;=AP$3),入力データ!$M$5:$M$20)*12)</f>
        <v/>
      </c>
      <c r="AQ22" s="352">
        <f>IF(AQ$3="","",SUMPRODUCT(--ISNUMBER(SEARCH("終身",入力データ!$F$5:$F$20)),--(IFERROR(YEAR(入力データ!$J$5:$J$20),0)&lt;=AQ$3),--(IFERROR(YEAR(入力データ!$K$5:$K$20),9999)&gt;=AQ$3),入力データ!$M$5:$M$20)*12)</f>
        <v/>
      </c>
      <c r="AR22" s="352">
        <f>IF(AR$3="","",SUMPRODUCT(--ISNUMBER(SEARCH("終身",入力データ!$F$5:$F$20)),--(IFERROR(YEAR(入力データ!$J$5:$J$20),0)&lt;=AR$3),--(IFERROR(YEAR(入力データ!$K$5:$K$20),9999)&gt;=AR$3),入力データ!$M$5:$M$20)*12)</f>
        <v/>
      </c>
      <c r="AS22" s="352">
        <f>IF(AS$3="","",SUMPRODUCT(--ISNUMBER(SEARCH("終身",入力データ!$F$5:$F$20)),--(IFERROR(YEAR(入力データ!$J$5:$J$20),0)&lt;=AS$3),--(IFERROR(YEAR(入力データ!$K$5:$K$20),9999)&gt;=AS$3),入力データ!$M$5:$M$20)*12)</f>
        <v/>
      </c>
      <c r="AT22" s="352">
        <f>IF(AT$3="","",SUMPRODUCT(--ISNUMBER(SEARCH("終身",入力データ!$F$5:$F$20)),--(IFERROR(YEAR(入力データ!$J$5:$J$20),0)&lt;=AT$3),--(IFERROR(YEAR(入力データ!$K$5:$K$20),9999)&gt;=AT$3),入力データ!$M$5:$M$20)*12)</f>
        <v/>
      </c>
      <c r="AU22" s="352">
        <f>IF(AU$3="","",SUMPRODUCT(--ISNUMBER(SEARCH("終身",入力データ!$F$5:$F$20)),--(IFERROR(YEAR(入力データ!$J$5:$J$20),0)&lt;=AU$3),--(IFERROR(YEAR(入力データ!$K$5:$K$20),9999)&gt;=AU$3),入力データ!$M$5:$M$20)*12)</f>
        <v/>
      </c>
      <c r="AV22" s="352">
        <f>IF(AV$3="","",SUMPRODUCT(--ISNUMBER(SEARCH("終身",入力データ!$F$5:$F$20)),--(IFERROR(YEAR(入力データ!$J$5:$J$20),0)&lt;=AV$3),--(IFERROR(YEAR(入力データ!$K$5:$K$20),9999)&gt;=AV$3),入力データ!$M$5:$M$20)*12)</f>
        <v/>
      </c>
      <c r="AW22" s="352">
        <f>IF(AW$3="","",SUMPRODUCT(--ISNUMBER(SEARCH("終身",入力データ!$F$5:$F$20)),--(IFERROR(YEAR(入力データ!$J$5:$J$20),0)&lt;=AW$3),--(IFERROR(YEAR(入力データ!$K$5:$K$20),9999)&gt;=AW$3),入力データ!$M$5:$M$20)*12)</f>
        <v/>
      </c>
      <c r="AX22" s="352">
        <f>IF(AX$3="","",SUMPRODUCT(--ISNUMBER(SEARCH("終身",入力データ!$F$5:$F$20)),--(IFERROR(YEAR(入力データ!$J$5:$J$20),0)&lt;=AX$3),--(IFERROR(YEAR(入力データ!$K$5:$K$20),9999)&gt;=AX$3),入力データ!$M$5:$M$20)*12)</f>
        <v/>
      </c>
      <c r="AY22" s="352">
        <f>IF(AY$3="","",SUMPRODUCT(--ISNUMBER(SEARCH("終身",入力データ!$F$5:$F$20)),--(IFERROR(YEAR(入力データ!$J$5:$J$20),0)&lt;=AY$3),--(IFERROR(YEAR(入力データ!$K$5:$K$20),9999)&gt;=AY$3),入力データ!$M$5:$M$20)*12)</f>
        <v/>
      </c>
      <c r="AZ22" s="352">
        <f>IF(AZ$3="","",SUMPRODUCT(--ISNUMBER(SEARCH("終身",入力データ!$F$5:$F$20)),--(IFERROR(YEAR(入力データ!$J$5:$J$20),0)&lt;=AZ$3),--(IFERROR(YEAR(入力データ!$K$5:$K$20),9999)&gt;=AZ$3),入力データ!$M$5:$M$20)*12)</f>
        <v/>
      </c>
      <c r="BA22" s="352">
        <f>IF(BA$3="","",SUMPRODUCT(--ISNUMBER(SEARCH("終身",入力データ!$F$5:$F$20)),--(IFERROR(YEAR(入力データ!$J$5:$J$20),0)&lt;=BA$3),--(IFERROR(YEAR(入力データ!$K$5:$K$20),9999)&gt;=BA$3),入力データ!$M$5:$M$20)*12)</f>
        <v/>
      </c>
      <c r="BB22" s="352">
        <f>IF(BB$3="","",SUMPRODUCT(--ISNUMBER(SEARCH("終身",入力データ!$F$5:$F$20)),--(IFERROR(YEAR(入力データ!$J$5:$J$20),0)&lt;=BB$3),--(IFERROR(YEAR(入力データ!$K$5:$K$20),9999)&gt;=BB$3),入力データ!$M$5:$M$20)*12)</f>
        <v/>
      </c>
      <c r="BC22" s="352">
        <f>IF(BC$3="","",SUMPRODUCT(--ISNUMBER(SEARCH("終身",入力データ!$F$5:$F$20)),--(IFERROR(YEAR(入力データ!$J$5:$J$20),0)&lt;=BC$3),--(IFERROR(YEAR(入力データ!$K$5:$K$20),9999)&gt;=BC$3),入力データ!$M$5:$M$20)*12)</f>
        <v/>
      </c>
      <c r="BD22" s="352">
        <f>IF(BD$3="","",SUMPRODUCT(--ISNUMBER(SEARCH("終身",入力データ!$F$5:$F$20)),--(IFERROR(YEAR(入力データ!$J$5:$J$20),0)&lt;=BD$3),--(IFERROR(YEAR(入力データ!$K$5:$K$20),9999)&gt;=BD$3),入力データ!$M$5:$M$20)*12)</f>
        <v/>
      </c>
      <c r="BE22" s="352">
        <f>IF(BE$3="","",SUMPRODUCT(--ISNUMBER(SEARCH("終身",入力データ!$F$5:$F$20)),--(IFERROR(YEAR(入力データ!$J$5:$J$20),0)&lt;=BE$3),--(IFERROR(YEAR(入力データ!$K$5:$K$20),9999)&gt;=BE$3),入力データ!$M$5:$M$20)*12)</f>
        <v/>
      </c>
      <c r="BF22" s="352">
        <f>IF(BF$3="","",SUMPRODUCT(--ISNUMBER(SEARCH("終身",入力データ!$F$5:$F$20)),--(IFERROR(YEAR(入力データ!$J$5:$J$20),0)&lt;=BF$3),--(IFERROR(YEAR(入力データ!$K$5:$K$20),9999)&gt;=BF$3),入力データ!$M$5:$M$20)*12)</f>
        <v/>
      </c>
      <c r="BG22" s="352">
        <f>IF(BG$3="","",SUMPRODUCT(--ISNUMBER(SEARCH("終身",入力データ!$F$5:$F$20)),--(IFERROR(YEAR(入力データ!$J$5:$J$20),0)&lt;=BG$3),--(IFERROR(YEAR(入力データ!$K$5:$K$20),9999)&gt;=BG$3),入力データ!$M$5:$M$20)*12)</f>
        <v/>
      </c>
      <c r="BH22" s="352">
        <f>IF(BH$3="","",SUMPRODUCT(--ISNUMBER(SEARCH("終身",入力データ!$F$5:$F$20)),--(IFERROR(YEAR(入力データ!$J$5:$J$20),0)&lt;=BH$3),--(IFERROR(YEAR(入力データ!$K$5:$K$20),9999)&gt;=BH$3),入力データ!$M$5:$M$20)*12)</f>
        <v/>
      </c>
      <c r="BI22" s="352">
        <f>IF(BI$3="","",SUMPRODUCT(--ISNUMBER(SEARCH("終身",入力データ!$F$5:$F$20)),--(IFERROR(YEAR(入力データ!$J$5:$J$20),0)&lt;=BI$3),--(IFERROR(YEAR(入力データ!$K$5:$K$20),9999)&gt;=BI$3),入力データ!$M$5:$M$20)*12)</f>
        <v/>
      </c>
      <c r="BJ22" s="352">
        <f>IF(BJ$3="","",SUMPRODUCT(--ISNUMBER(SEARCH("終身",入力データ!$F$5:$F$20)),--(IFERROR(YEAR(入力データ!$J$5:$J$20),0)&lt;=BJ$3),--(IFERROR(YEAR(入力データ!$K$5:$K$20),9999)&gt;=BJ$3),入力データ!$M$5:$M$20)*12)</f>
        <v/>
      </c>
      <c r="BK22" s="352">
        <f>IF(BK$3="","",SUMPRODUCT(--ISNUMBER(SEARCH("終身",入力データ!$F$5:$F$20)),--(IFERROR(YEAR(入力データ!$J$5:$J$20),0)&lt;=BK$3),--(IFERROR(YEAR(入力データ!$K$5:$K$20),9999)&gt;=BK$3),入力データ!$M$5:$M$20)*12)</f>
        <v/>
      </c>
      <c r="BL22" s="352">
        <f>IF(BL$3="","",SUMPRODUCT(--ISNUMBER(SEARCH("終身",入力データ!$F$5:$F$20)),--(IFERROR(YEAR(入力データ!$J$5:$J$20),0)&lt;=BL$3),--(IFERROR(YEAR(入力データ!$K$5:$K$20),9999)&gt;=BL$3),入力データ!$M$5:$M$20)*12)</f>
        <v/>
      </c>
      <c r="BM22" s="352">
        <f>IF(BM$3="","",SUMPRODUCT(--ISNUMBER(SEARCH("終身",入力データ!$F$5:$F$20)),--(IFERROR(YEAR(入力データ!$J$5:$J$20),0)&lt;=BM$3),--(IFERROR(YEAR(入力データ!$K$5:$K$20),9999)&gt;=BM$3),入力データ!$M$5:$M$20)*12)</f>
        <v/>
      </c>
      <c r="BN22" s="352">
        <f>IF(BN$3="","",SUMPRODUCT(--ISNUMBER(SEARCH("終身",入力データ!$F$5:$F$20)),--(IFERROR(YEAR(入力データ!$J$5:$J$20),0)&lt;=BN$3),--(IFERROR(YEAR(入力データ!$K$5:$K$20),9999)&gt;=BN$3),入力データ!$M$5:$M$20)*12)</f>
        <v/>
      </c>
      <c r="BO22" s="352">
        <f>IF(BO$3="","",SUMPRODUCT(--ISNUMBER(SEARCH("終身",入力データ!$F$5:$F$20)),--(IFERROR(YEAR(入力データ!$J$5:$J$20),0)&lt;=BO$3),--(IFERROR(YEAR(入力データ!$K$5:$K$20),9999)&gt;=BO$3),入力データ!$M$5:$M$20)*12)</f>
        <v/>
      </c>
      <c r="BP22" s="352">
        <f>IF(BP$3="","",SUMPRODUCT(--ISNUMBER(SEARCH("終身",入力データ!$F$5:$F$20)),--(IFERROR(YEAR(入力データ!$J$5:$J$20),0)&lt;=BP$3),--(IFERROR(YEAR(入力データ!$K$5:$K$20),9999)&gt;=BP$3),入力データ!$M$5:$M$20)*12)</f>
        <v/>
      </c>
      <c r="BQ22" s="352">
        <f>IF(BQ$3="","",SUMPRODUCT(--ISNUMBER(SEARCH("終身",入力データ!$F$5:$F$20)),--(IFERROR(YEAR(入力データ!$J$5:$J$20),0)&lt;=BQ$3),--(IFERROR(YEAR(入力データ!$K$5:$K$20),9999)&gt;=BQ$3),入力データ!$M$5:$M$20)*12)</f>
        <v/>
      </c>
      <c r="BR22" s="352">
        <f>IF(BR$3="","",SUMPRODUCT(--ISNUMBER(SEARCH("終身",入力データ!$F$5:$F$20)),--(IFERROR(YEAR(入力データ!$J$5:$J$20),0)&lt;=BR$3),--(IFERROR(YEAR(入力データ!$K$5:$K$20),9999)&gt;=BR$3),入力データ!$M$5:$M$20)*12)</f>
        <v/>
      </c>
      <c r="BS22" s="352">
        <f>IF(BS$3="","",SUMPRODUCT(--ISNUMBER(SEARCH("終身",入力データ!$F$5:$F$20)),--(IFERROR(YEAR(入力データ!$J$5:$J$20),0)&lt;=BS$3),--(IFERROR(YEAR(入力データ!$K$5:$K$20),9999)&gt;=BS$3),入力データ!$M$5:$M$20)*12)</f>
        <v/>
      </c>
      <c r="BT22" s="352">
        <f>IF(BT$3="","",SUMPRODUCT(--ISNUMBER(SEARCH("終身",入力データ!$F$5:$F$20)),--(IFERROR(YEAR(入力データ!$J$5:$J$20),0)&lt;=BT$3),--(IFERROR(YEAR(入力データ!$K$5:$K$20),9999)&gt;=BT$3),入力データ!$M$5:$M$20)*12)</f>
        <v/>
      </c>
      <c r="BU22" s="352">
        <f>IF(BU$3="","",SUMPRODUCT(--ISNUMBER(SEARCH("終身",入力データ!$F$5:$F$20)),--(IFERROR(YEAR(入力データ!$J$5:$J$20),0)&lt;=BU$3),--(IFERROR(YEAR(入力データ!$K$5:$K$20),9999)&gt;=BU$3),入力データ!$M$5:$M$20)*12)</f>
        <v/>
      </c>
      <c r="BV22" s="352">
        <f>IF(BV$3="","",SUMPRODUCT(--ISNUMBER(SEARCH("終身",入力データ!$F$5:$F$20)),--(IFERROR(YEAR(入力データ!$J$5:$J$20),0)&lt;=BV$3),--(IFERROR(YEAR(入力データ!$K$5:$K$20),9999)&gt;=BV$3),入力データ!$M$5:$M$20)*12)</f>
        <v/>
      </c>
      <c r="BW22" s="352">
        <f>IF(BW$3="","",SUMPRODUCT(--ISNUMBER(SEARCH("終身",入力データ!$F$5:$F$20)),--(IFERROR(YEAR(入力データ!$J$5:$J$20),0)&lt;=BW$3),--(IFERROR(YEAR(入力データ!$K$5:$K$20),9999)&gt;=BW$3),入力データ!$M$5:$M$20)*12)</f>
        <v/>
      </c>
      <c r="BX22" s="352">
        <f>IF(BX$3="","",SUMPRODUCT(--ISNUMBER(SEARCH("終身",入力データ!$F$5:$F$20)),--(IFERROR(YEAR(入力データ!$J$5:$J$20),0)&lt;=BX$3),--(IFERROR(YEAR(入力データ!$K$5:$K$20),9999)&gt;=BX$3),入力データ!$M$5:$M$20)*12)</f>
        <v/>
      </c>
      <c r="BY22" s="352">
        <f>IF(BY$3="","",SUMPRODUCT(--ISNUMBER(SEARCH("終身",入力データ!$F$5:$F$20)),--(IFERROR(YEAR(入力データ!$J$5:$J$20),0)&lt;=BY$3),--(IFERROR(YEAR(入力データ!$K$5:$K$20),9999)&gt;=BY$3),入力データ!$M$5:$M$20)*12)</f>
        <v/>
      </c>
      <c r="BZ22" s="352">
        <f>IF(BZ$3="","",SUMPRODUCT(--ISNUMBER(SEARCH("終身",入力データ!$F$5:$F$20)),--(IFERROR(YEAR(入力データ!$J$5:$J$20),0)&lt;=BZ$3),--(IFERROR(YEAR(入力データ!$K$5:$K$20),9999)&gt;=BZ$3),入力データ!$M$5:$M$20)*12)</f>
        <v/>
      </c>
      <c r="CA22" s="352">
        <f>IF(CA$3="","",SUMPRODUCT(--ISNUMBER(SEARCH("終身",入力データ!$F$5:$F$20)),--(IFERROR(YEAR(入力データ!$J$5:$J$20),0)&lt;=CA$3),--(IFERROR(YEAR(入力データ!$K$5:$K$20),9999)&gt;=CA$3),入力データ!$M$5:$M$20)*12)</f>
        <v/>
      </c>
      <c r="CB22" s="352">
        <f>IF(CB$3="","",SUMPRODUCT(--ISNUMBER(SEARCH("終身",入力データ!$F$5:$F$20)),--(IFERROR(YEAR(入力データ!$J$5:$J$20),0)&lt;=CB$3),--(IFERROR(YEAR(入力データ!$K$5:$K$20),9999)&gt;=CB$3),入力データ!$M$5:$M$20)*12)</f>
        <v/>
      </c>
      <c r="CC22" s="352">
        <f>IF(CC$3="","",SUMPRODUCT(--ISNUMBER(SEARCH("終身",入力データ!$F$5:$F$20)),--(IFERROR(YEAR(入力データ!$J$5:$J$20),0)&lt;=CC$3),--(IFERROR(YEAR(入力データ!$K$5:$K$20),9999)&gt;=CC$3),入力データ!$M$5:$M$20)*12)</f>
        <v/>
      </c>
      <c r="CD22" s="352">
        <f>IF(CD$3="","",SUMPRODUCT(--ISNUMBER(SEARCH("終身",入力データ!$F$5:$F$20)),--(IFERROR(YEAR(入力データ!$J$5:$J$20),0)&lt;=CD$3),--(IFERROR(YEAR(入力データ!$K$5:$K$20),9999)&gt;=CD$3),入力データ!$M$5:$M$20)*12)</f>
        <v/>
      </c>
      <c r="CE22" s="352">
        <f>IF(CE$3="","",SUMPRODUCT(--ISNUMBER(SEARCH("終身",入力データ!$F$5:$F$20)),--(IFERROR(YEAR(入力データ!$J$5:$J$20),0)&lt;=CE$3),--(IFERROR(YEAR(入力データ!$K$5:$K$20),9999)&gt;=CE$3),入力データ!$M$5:$M$20)*12)</f>
        <v/>
      </c>
      <c r="CF22" s="352">
        <f>IF(CF$3="","",SUMPRODUCT(--ISNUMBER(SEARCH("終身",入力データ!$F$5:$F$20)),--(IFERROR(YEAR(入力データ!$J$5:$J$20),0)&lt;=CF$3),--(IFERROR(YEAR(入力データ!$K$5:$K$20),9999)&gt;=CF$3),入力データ!$M$5:$M$20)*12)</f>
        <v/>
      </c>
      <c r="CG22" s="352">
        <f>IF(CG$3="","",SUMPRODUCT(--ISNUMBER(SEARCH("終身",入力データ!$F$5:$F$20)),--(IFERROR(YEAR(入力データ!$J$5:$J$20),0)&lt;=CG$3),--(IFERROR(YEAR(入力データ!$K$5:$K$20),9999)&gt;=CG$3),入力データ!$M$5:$M$20)*12)</f>
        <v/>
      </c>
      <c r="CH22" s="352">
        <f>IF(CH$3="","",SUMPRODUCT(--ISNUMBER(SEARCH("終身",入力データ!$F$5:$F$20)),--(IFERROR(YEAR(入力データ!$J$5:$J$20),0)&lt;=CH$3),--(IFERROR(YEAR(入力データ!$K$5:$K$20),9999)&gt;=CH$3),入力データ!$M$5:$M$20)*12)</f>
        <v/>
      </c>
      <c r="CI22" s="352">
        <f>IF(CI$3="","",SUMPRODUCT(--ISNUMBER(SEARCH("終身",入力データ!$F$5:$F$20)),--(IFERROR(YEAR(入力データ!$J$5:$J$20),0)&lt;=CI$3),--(IFERROR(YEAR(入力データ!$K$5:$K$20),9999)&gt;=CI$3),入力データ!$M$5:$M$20)*12)</f>
        <v/>
      </c>
      <c r="CJ22" s="352">
        <f>IF(CJ$3="","",SUMPRODUCT(--ISNUMBER(SEARCH("終身",入力データ!$F$5:$F$20)),--(IFERROR(YEAR(入力データ!$J$5:$J$20),0)&lt;=CJ$3),--(IFERROR(YEAR(入力データ!$K$5:$K$20),9999)&gt;=CJ$3),入力データ!$M$5:$M$20)*12)</f>
        <v/>
      </c>
      <c r="CK22" s="352">
        <f>IF(CK$3="","",SUMPRODUCT(--ISNUMBER(SEARCH("終身",入力データ!$F$5:$F$20)),--(IFERROR(YEAR(入力データ!$J$5:$J$20),0)&lt;=CK$3),--(IFERROR(YEAR(入力データ!$K$5:$K$20),9999)&gt;=CK$3),入力データ!$M$5:$M$20)*12)</f>
        <v/>
      </c>
      <c r="CL22" s="352">
        <f>IF(CL$3="","",SUMPRODUCT(--ISNUMBER(SEARCH("終身",入力データ!$F$5:$F$20)),--(IFERROR(YEAR(入力データ!$J$5:$J$20),0)&lt;=CL$3),--(IFERROR(YEAR(入力データ!$K$5:$K$20),9999)&gt;=CL$3),入力データ!$M$5:$M$20)*12)</f>
        <v/>
      </c>
      <c r="CM22" s="352">
        <f>IF(CM$3="","",SUMPRODUCT(--ISNUMBER(SEARCH("終身",入力データ!$F$5:$F$20)),--(IFERROR(YEAR(入力データ!$J$5:$J$20),0)&lt;=CM$3),--(IFERROR(YEAR(入力データ!$K$5:$K$20),9999)&gt;=CM$3),入力データ!$M$5:$M$20)*12)</f>
        <v/>
      </c>
      <c r="CN22" s="352">
        <f>IF(CN$3="","",SUMPRODUCT(--ISNUMBER(SEARCH("終身",入力データ!$F$5:$F$20)),--(IFERROR(YEAR(入力データ!$J$5:$J$20),0)&lt;=CN$3),--(IFERROR(YEAR(入力データ!$K$5:$K$20),9999)&gt;=CN$3),入力データ!$M$5:$M$20)*12)</f>
        <v/>
      </c>
      <c r="CO22" s="352">
        <f>IF(CO$3="","",SUMPRODUCT(--ISNUMBER(SEARCH("終身",入力データ!$F$5:$F$20)),--(IFERROR(YEAR(入力データ!$J$5:$J$20),0)&lt;=CO$3),--(IFERROR(YEAR(入力データ!$K$5:$K$20),9999)&gt;=CO$3),入力データ!$M$5:$M$20)*12)</f>
        <v/>
      </c>
      <c r="CP22" s="352">
        <f>IF(CP$3="","",SUMPRODUCT(--ISNUMBER(SEARCH("終身",入力データ!$F$5:$F$20)),--(IFERROR(YEAR(入力データ!$J$5:$J$20),0)&lt;=CP$3),--(IFERROR(YEAR(入力データ!$K$5:$K$20),9999)&gt;=CP$3),入力データ!$M$5:$M$20)*12)</f>
        <v/>
      </c>
      <c r="CQ22" s="352">
        <f>IF(CQ$3="","",SUMPRODUCT(--ISNUMBER(SEARCH("終身",入力データ!$F$5:$F$20)),--(IFERROR(YEAR(入力データ!$J$5:$J$20),0)&lt;=CQ$3),--(IFERROR(YEAR(入力データ!$K$5:$K$20),9999)&gt;=CQ$3),入力データ!$M$5:$M$20)*12)</f>
        <v/>
      </c>
      <c r="CR22" s="352">
        <f>IF(CR$3="","",SUMPRODUCT(--ISNUMBER(SEARCH("終身",入力データ!$F$5:$F$20)),--(IFERROR(YEAR(入力データ!$J$5:$J$20),0)&lt;=CR$3),--(IFERROR(YEAR(入力データ!$K$5:$K$20),9999)&gt;=CR$3),入力データ!$M$5:$M$20)*12)</f>
        <v/>
      </c>
      <c r="CS22" s="352">
        <f>IF(CS$3="","",SUMPRODUCT(--ISNUMBER(SEARCH("終身",入力データ!$F$5:$F$20)),--(IFERROR(YEAR(入力データ!$J$5:$J$20),0)&lt;=CS$3),--(IFERROR(YEAR(入力データ!$K$5:$K$20),9999)&gt;=CS$3),入力データ!$M$5:$M$20)*12)</f>
        <v/>
      </c>
      <c r="CT22" s="352">
        <f>IF(CT$3="","",SUMPRODUCT(--ISNUMBER(SEARCH("終身",入力データ!$F$5:$F$20)),--(IFERROR(YEAR(入力データ!$J$5:$J$20),0)&lt;=CT$3),--(IFERROR(YEAR(入力データ!$K$5:$K$20),9999)&gt;=CT$3),入力データ!$M$5:$M$20)*12)</f>
        <v/>
      </c>
      <c r="CU22" s="352">
        <f>IF(CU$3="","",SUMPRODUCT(--ISNUMBER(SEARCH("終身",入力データ!$F$5:$F$20)),--(IFERROR(YEAR(入力データ!$J$5:$J$20),0)&lt;=CU$3),--(IFERROR(YEAR(入力データ!$K$5:$K$20),9999)&gt;=CU$3),入力データ!$M$5:$M$20)*12)</f>
        <v/>
      </c>
      <c r="CV22" s="352">
        <f>IF(CV$3="","",SUMPRODUCT(--ISNUMBER(SEARCH("終身",入力データ!$F$5:$F$20)),--(IFERROR(YEAR(入力データ!$J$5:$J$20),0)&lt;=CV$3),--(IFERROR(YEAR(入力データ!$K$5:$K$20),9999)&gt;=CV$3),入力データ!$M$5:$M$20)*12)</f>
        <v/>
      </c>
      <c r="CW22" s="352">
        <f>IF(CW$3="","",SUMPRODUCT(--ISNUMBER(SEARCH("終身",入力データ!$F$5:$F$20)),--(IFERROR(YEAR(入力データ!$J$5:$J$20),0)&lt;=CW$3),--(IFERROR(YEAR(入力データ!$K$5:$K$20),9999)&gt;=CW$3),入力データ!$M$5:$M$20)*12)</f>
        <v/>
      </c>
    </row>
    <row r="23" ht="15" customHeight="1" s="180">
      <c r="A23" s="224" t="inlineStr">
        <is>
          <t>定期系保険料</t>
        </is>
      </c>
      <c r="B23" s="352">
        <f>IF(B$3="","",SUMPRODUCT(--ISERROR(SEARCH("終身",入力データ!$F$5:$F$20)),--(IFERROR(YEAR(入力データ!$J$5:$J$20),0)&lt;=B$3),--(IFERROR(YEAR(入力データ!$K$5:$K$20),9999)&gt;=B$3),入力データ!$M$5:$M$20)*12)</f>
        <v/>
      </c>
      <c r="C23" s="352">
        <f>IF(C$3="","",SUMPRODUCT(--ISERROR(SEARCH("終身",入力データ!$F$5:$F$20)),--(IFERROR(YEAR(入力データ!$J$5:$J$20),0)&lt;=C$3),--(IFERROR(YEAR(入力データ!$K$5:$K$20),9999)&gt;=C$3),入力データ!$M$5:$M$20)*12)</f>
        <v/>
      </c>
      <c r="D23" s="352">
        <f>IF(D$3="","",SUMPRODUCT(--ISERROR(SEARCH("終身",入力データ!$F$5:$F$20)),--(IFERROR(YEAR(入力データ!$J$5:$J$20),0)&lt;=D$3),--(IFERROR(YEAR(入力データ!$K$5:$K$20),9999)&gt;=D$3),入力データ!$M$5:$M$20)*12)</f>
        <v/>
      </c>
      <c r="E23" s="352">
        <f>IF(E$3="","",SUMPRODUCT(--ISERROR(SEARCH("終身",入力データ!$F$5:$F$20)),--(IFERROR(YEAR(入力データ!$J$5:$J$20),0)&lt;=E$3),--(IFERROR(YEAR(入力データ!$K$5:$K$20),9999)&gt;=E$3),入力データ!$M$5:$M$20)*12)</f>
        <v/>
      </c>
      <c r="F23" s="352">
        <f>IF(F$3="","",SUMPRODUCT(--ISERROR(SEARCH("終身",入力データ!$F$5:$F$20)),--(IFERROR(YEAR(入力データ!$J$5:$J$20),0)&lt;=F$3),--(IFERROR(YEAR(入力データ!$K$5:$K$20),9999)&gt;=F$3),入力データ!$M$5:$M$20)*12)</f>
        <v/>
      </c>
      <c r="G23" s="352">
        <f>IF(G$3="","",SUMPRODUCT(--ISERROR(SEARCH("終身",入力データ!$F$5:$F$20)),--(IFERROR(YEAR(入力データ!$J$5:$J$20),0)&lt;=G$3),--(IFERROR(YEAR(入力データ!$K$5:$K$20),9999)&gt;=G$3),入力データ!$M$5:$M$20)*12)</f>
        <v/>
      </c>
      <c r="H23" s="352">
        <f>IF(H$3="","",SUMPRODUCT(--ISERROR(SEARCH("終身",入力データ!$F$5:$F$20)),--(IFERROR(YEAR(入力データ!$J$5:$J$20),0)&lt;=H$3),--(IFERROR(YEAR(入力データ!$K$5:$K$20),9999)&gt;=H$3),入力データ!$M$5:$M$20)*12)</f>
        <v/>
      </c>
      <c r="I23" s="352">
        <f>IF(I$3="","",SUMPRODUCT(--ISERROR(SEARCH("終身",入力データ!$F$5:$F$20)),--(IFERROR(YEAR(入力データ!$J$5:$J$20),0)&lt;=I$3),--(IFERROR(YEAR(入力データ!$K$5:$K$20),9999)&gt;=I$3),入力データ!$M$5:$M$20)*12)</f>
        <v/>
      </c>
      <c r="J23" s="352">
        <f>IF(J$3="","",SUMPRODUCT(--ISERROR(SEARCH("終身",入力データ!$F$5:$F$20)),--(IFERROR(YEAR(入力データ!$J$5:$J$20),0)&lt;=J$3),--(IFERROR(YEAR(入力データ!$K$5:$K$20),9999)&gt;=J$3),入力データ!$M$5:$M$20)*12)</f>
        <v/>
      </c>
      <c r="K23" s="352">
        <f>IF(K$3="","",SUMPRODUCT(--ISERROR(SEARCH("終身",入力データ!$F$5:$F$20)),--(IFERROR(YEAR(入力データ!$J$5:$J$20),0)&lt;=K$3),--(IFERROR(YEAR(入力データ!$K$5:$K$20),9999)&gt;=K$3),入力データ!$M$5:$M$20)*12)</f>
        <v/>
      </c>
      <c r="L23" s="352">
        <f>IF(L$3="","",SUMPRODUCT(--ISERROR(SEARCH("終身",入力データ!$F$5:$F$20)),--(IFERROR(YEAR(入力データ!$J$5:$J$20),0)&lt;=L$3),--(IFERROR(YEAR(入力データ!$K$5:$K$20),9999)&gt;=L$3),入力データ!$M$5:$M$20)*12)</f>
        <v/>
      </c>
      <c r="M23" s="352">
        <f>IF(M$3="","",SUMPRODUCT(--ISERROR(SEARCH("終身",入力データ!$F$5:$F$20)),--(IFERROR(YEAR(入力データ!$J$5:$J$20),0)&lt;=M$3),--(IFERROR(YEAR(入力データ!$K$5:$K$20),9999)&gt;=M$3),入力データ!$M$5:$M$20)*12)</f>
        <v/>
      </c>
      <c r="N23" s="352">
        <f>IF(N$3="","",SUMPRODUCT(--ISERROR(SEARCH("終身",入力データ!$F$5:$F$20)),--(IFERROR(YEAR(入力データ!$J$5:$J$20),0)&lt;=N$3),--(IFERROR(YEAR(入力データ!$K$5:$K$20),9999)&gt;=N$3),入力データ!$M$5:$M$20)*12)</f>
        <v/>
      </c>
      <c r="O23" s="352">
        <f>IF(O$3="","",SUMPRODUCT(--ISERROR(SEARCH("終身",入力データ!$F$5:$F$20)),--(IFERROR(YEAR(入力データ!$J$5:$J$20),0)&lt;=O$3),--(IFERROR(YEAR(入力データ!$K$5:$K$20),9999)&gt;=O$3),入力データ!$M$5:$M$20)*12)</f>
        <v/>
      </c>
      <c r="P23" s="352">
        <f>IF(P$3="","",SUMPRODUCT(--ISERROR(SEARCH("終身",入力データ!$F$5:$F$20)),--(IFERROR(YEAR(入力データ!$J$5:$J$20),0)&lt;=P$3),--(IFERROR(YEAR(入力データ!$K$5:$K$20),9999)&gt;=P$3),入力データ!$M$5:$M$20)*12)</f>
        <v/>
      </c>
      <c r="Q23" s="352">
        <f>IF(Q$3="","",SUMPRODUCT(--ISERROR(SEARCH("終身",入力データ!$F$5:$F$20)),--(IFERROR(YEAR(入力データ!$J$5:$J$20),0)&lt;=Q$3),--(IFERROR(YEAR(入力データ!$K$5:$K$20),9999)&gt;=Q$3),入力データ!$M$5:$M$20)*12)</f>
        <v/>
      </c>
      <c r="R23" s="352">
        <f>IF(R$3="","",SUMPRODUCT(--ISERROR(SEARCH("終身",入力データ!$F$5:$F$20)),--(IFERROR(YEAR(入力データ!$J$5:$J$20),0)&lt;=R$3),--(IFERROR(YEAR(入力データ!$K$5:$K$20),9999)&gt;=R$3),入力データ!$M$5:$M$20)*12)</f>
        <v/>
      </c>
      <c r="S23" s="352">
        <f>IF(S$3="","",SUMPRODUCT(--ISERROR(SEARCH("終身",入力データ!$F$5:$F$20)),--(IFERROR(YEAR(入力データ!$J$5:$J$20),0)&lt;=S$3),--(IFERROR(YEAR(入力データ!$K$5:$K$20),9999)&gt;=S$3),入力データ!$M$5:$M$20)*12)</f>
        <v/>
      </c>
      <c r="T23" s="352">
        <f>IF(T$3="","",SUMPRODUCT(--ISERROR(SEARCH("終身",入力データ!$F$5:$F$20)),--(IFERROR(YEAR(入力データ!$J$5:$J$20),0)&lt;=T$3),--(IFERROR(YEAR(入力データ!$K$5:$K$20),9999)&gt;=T$3),入力データ!$M$5:$M$20)*12)</f>
        <v/>
      </c>
      <c r="U23" s="352">
        <f>IF(U$3="","",SUMPRODUCT(--ISERROR(SEARCH("終身",入力データ!$F$5:$F$20)),--(IFERROR(YEAR(入力データ!$J$5:$J$20),0)&lt;=U$3),--(IFERROR(YEAR(入力データ!$K$5:$K$20),9999)&gt;=U$3),入力データ!$M$5:$M$20)*12)</f>
        <v/>
      </c>
      <c r="V23" s="352">
        <f>IF(V$3="","",SUMPRODUCT(--ISERROR(SEARCH("終身",入力データ!$F$5:$F$20)),--(IFERROR(YEAR(入力データ!$J$5:$J$20),0)&lt;=V$3),--(IFERROR(YEAR(入力データ!$K$5:$K$20),9999)&gt;=V$3),入力データ!$M$5:$M$20)*12)</f>
        <v/>
      </c>
      <c r="W23" s="352">
        <f>IF(W$3="","",SUMPRODUCT(--ISERROR(SEARCH("終身",入力データ!$F$5:$F$20)),--(IFERROR(YEAR(入力データ!$J$5:$J$20),0)&lt;=W$3),--(IFERROR(YEAR(入力データ!$K$5:$K$20),9999)&gt;=W$3),入力データ!$M$5:$M$20)*12)</f>
        <v/>
      </c>
      <c r="X23" s="352">
        <f>IF(X$3="","",SUMPRODUCT(--ISERROR(SEARCH("終身",入力データ!$F$5:$F$20)),--(IFERROR(YEAR(入力データ!$J$5:$J$20),0)&lt;=X$3),--(IFERROR(YEAR(入力データ!$K$5:$K$20),9999)&gt;=X$3),入力データ!$M$5:$M$20)*12)</f>
        <v/>
      </c>
      <c r="Y23" s="352">
        <f>IF(Y$3="","",SUMPRODUCT(--ISERROR(SEARCH("終身",入力データ!$F$5:$F$20)),--(IFERROR(YEAR(入力データ!$J$5:$J$20),0)&lt;=Y$3),--(IFERROR(YEAR(入力データ!$K$5:$K$20),9999)&gt;=Y$3),入力データ!$M$5:$M$20)*12)</f>
        <v/>
      </c>
      <c r="Z23" s="352">
        <f>IF(Z$3="","",SUMPRODUCT(--ISERROR(SEARCH("終身",入力データ!$F$5:$F$20)),--(IFERROR(YEAR(入力データ!$J$5:$J$20),0)&lt;=Z$3),--(IFERROR(YEAR(入力データ!$K$5:$K$20),9999)&gt;=Z$3),入力データ!$M$5:$M$20)*12)</f>
        <v/>
      </c>
      <c r="AA23" s="352">
        <f>IF(AA$3="","",SUMPRODUCT(--ISERROR(SEARCH("終身",入力データ!$F$5:$F$20)),--(IFERROR(YEAR(入力データ!$J$5:$J$20),0)&lt;=AA$3),--(IFERROR(YEAR(入力データ!$K$5:$K$20),9999)&gt;=AA$3),入力データ!$M$5:$M$20)*12)</f>
        <v/>
      </c>
      <c r="AB23" s="352">
        <f>IF(AB$3="","",SUMPRODUCT(--ISERROR(SEARCH("終身",入力データ!$F$5:$F$20)),--(IFERROR(YEAR(入力データ!$J$5:$J$20),0)&lt;=AB$3),--(IFERROR(YEAR(入力データ!$K$5:$K$20),9999)&gt;=AB$3),入力データ!$M$5:$M$20)*12)</f>
        <v/>
      </c>
      <c r="AC23" s="352">
        <f>IF(AC$3="","",SUMPRODUCT(--ISERROR(SEARCH("終身",入力データ!$F$5:$F$20)),--(IFERROR(YEAR(入力データ!$J$5:$J$20),0)&lt;=AC$3),--(IFERROR(YEAR(入力データ!$K$5:$K$20),9999)&gt;=AC$3),入力データ!$M$5:$M$20)*12)</f>
        <v/>
      </c>
      <c r="AD23" s="352">
        <f>IF(AD$3="","",SUMPRODUCT(--ISERROR(SEARCH("終身",入力データ!$F$5:$F$20)),--(IFERROR(YEAR(入力データ!$J$5:$J$20),0)&lt;=AD$3),--(IFERROR(YEAR(入力データ!$K$5:$K$20),9999)&gt;=AD$3),入力データ!$M$5:$M$20)*12)</f>
        <v/>
      </c>
      <c r="AE23" s="352">
        <f>IF(AE$3="","",SUMPRODUCT(--ISERROR(SEARCH("終身",入力データ!$F$5:$F$20)),--(IFERROR(YEAR(入力データ!$J$5:$J$20),0)&lt;=AE$3),--(IFERROR(YEAR(入力データ!$K$5:$K$20),9999)&gt;=AE$3),入力データ!$M$5:$M$20)*12)</f>
        <v/>
      </c>
      <c r="AF23" s="352">
        <f>IF(AF$3="","",SUMPRODUCT(--ISERROR(SEARCH("終身",入力データ!$F$5:$F$20)),--(IFERROR(YEAR(入力データ!$J$5:$J$20),0)&lt;=AF$3),--(IFERROR(YEAR(入力データ!$K$5:$K$20),9999)&gt;=AF$3),入力データ!$M$5:$M$20)*12)</f>
        <v/>
      </c>
      <c r="AG23" s="352">
        <f>IF(AG$3="","",SUMPRODUCT(--ISERROR(SEARCH("終身",入力データ!$F$5:$F$20)),--(IFERROR(YEAR(入力データ!$J$5:$J$20),0)&lt;=AG$3),--(IFERROR(YEAR(入力データ!$K$5:$K$20),9999)&gt;=AG$3),入力データ!$M$5:$M$20)*12)</f>
        <v/>
      </c>
      <c r="AH23" s="352">
        <f>IF(AH$3="","",SUMPRODUCT(--ISERROR(SEARCH("終身",入力データ!$F$5:$F$20)),--(IFERROR(YEAR(入力データ!$J$5:$J$20),0)&lt;=AH$3),--(IFERROR(YEAR(入力データ!$K$5:$K$20),9999)&gt;=AH$3),入力データ!$M$5:$M$20)*12)</f>
        <v/>
      </c>
      <c r="AI23" s="352">
        <f>IF(AI$3="","",SUMPRODUCT(--ISERROR(SEARCH("終身",入力データ!$F$5:$F$20)),--(IFERROR(YEAR(入力データ!$J$5:$J$20),0)&lt;=AI$3),--(IFERROR(YEAR(入力データ!$K$5:$K$20),9999)&gt;=AI$3),入力データ!$M$5:$M$20)*12)</f>
        <v/>
      </c>
      <c r="AJ23" s="352">
        <f>IF(AJ$3="","",SUMPRODUCT(--ISERROR(SEARCH("終身",入力データ!$F$5:$F$20)),--(IFERROR(YEAR(入力データ!$J$5:$J$20),0)&lt;=AJ$3),--(IFERROR(YEAR(入力データ!$K$5:$K$20),9999)&gt;=AJ$3),入力データ!$M$5:$M$20)*12)</f>
        <v/>
      </c>
      <c r="AK23" s="352">
        <f>IF(AK$3="","",SUMPRODUCT(--ISERROR(SEARCH("終身",入力データ!$F$5:$F$20)),--(IFERROR(YEAR(入力データ!$J$5:$J$20),0)&lt;=AK$3),--(IFERROR(YEAR(入力データ!$K$5:$K$20),9999)&gt;=AK$3),入力データ!$M$5:$M$20)*12)</f>
        <v/>
      </c>
      <c r="AL23" s="352">
        <f>IF(AL$3="","",SUMPRODUCT(--ISERROR(SEARCH("終身",入力データ!$F$5:$F$20)),--(IFERROR(YEAR(入力データ!$J$5:$J$20),0)&lt;=AL$3),--(IFERROR(YEAR(入力データ!$K$5:$K$20),9999)&gt;=AL$3),入力データ!$M$5:$M$20)*12)</f>
        <v/>
      </c>
      <c r="AM23" s="352">
        <f>IF(AM$3="","",SUMPRODUCT(--ISERROR(SEARCH("終身",入力データ!$F$5:$F$20)),--(IFERROR(YEAR(入力データ!$J$5:$J$20),0)&lt;=AM$3),--(IFERROR(YEAR(入力データ!$K$5:$K$20),9999)&gt;=AM$3),入力データ!$M$5:$M$20)*12)</f>
        <v/>
      </c>
      <c r="AN23" s="352">
        <f>IF(AN$3="","",SUMPRODUCT(--ISERROR(SEARCH("終身",入力データ!$F$5:$F$20)),--(IFERROR(YEAR(入力データ!$J$5:$J$20),0)&lt;=AN$3),--(IFERROR(YEAR(入力データ!$K$5:$K$20),9999)&gt;=AN$3),入力データ!$M$5:$M$20)*12)</f>
        <v/>
      </c>
      <c r="AO23" s="352">
        <f>IF(AO$3="","",SUMPRODUCT(--ISERROR(SEARCH("終身",入力データ!$F$5:$F$20)),--(IFERROR(YEAR(入力データ!$J$5:$J$20),0)&lt;=AO$3),--(IFERROR(YEAR(入力データ!$K$5:$K$20),9999)&gt;=AO$3),入力データ!$M$5:$M$20)*12)</f>
        <v/>
      </c>
      <c r="AP23" s="352">
        <f>IF(AP$3="","",SUMPRODUCT(--ISERROR(SEARCH("終身",入力データ!$F$5:$F$20)),--(IFERROR(YEAR(入力データ!$J$5:$J$20),0)&lt;=AP$3),--(IFERROR(YEAR(入力データ!$K$5:$K$20),9999)&gt;=AP$3),入力データ!$M$5:$M$20)*12)</f>
        <v/>
      </c>
      <c r="AQ23" s="352">
        <f>IF(AQ$3="","",SUMPRODUCT(--ISERROR(SEARCH("終身",入力データ!$F$5:$F$20)),--(IFERROR(YEAR(入力データ!$J$5:$J$20),0)&lt;=AQ$3),--(IFERROR(YEAR(入力データ!$K$5:$K$20),9999)&gt;=AQ$3),入力データ!$M$5:$M$20)*12)</f>
        <v/>
      </c>
      <c r="AR23" s="352">
        <f>IF(AR$3="","",SUMPRODUCT(--ISERROR(SEARCH("終身",入力データ!$F$5:$F$20)),--(IFERROR(YEAR(入力データ!$J$5:$J$20),0)&lt;=AR$3),--(IFERROR(YEAR(入力データ!$K$5:$K$20),9999)&gt;=AR$3),入力データ!$M$5:$M$20)*12)</f>
        <v/>
      </c>
      <c r="AS23" s="352">
        <f>IF(AS$3="","",SUMPRODUCT(--ISERROR(SEARCH("終身",入力データ!$F$5:$F$20)),--(IFERROR(YEAR(入力データ!$J$5:$J$20),0)&lt;=AS$3),--(IFERROR(YEAR(入力データ!$K$5:$K$20),9999)&gt;=AS$3),入力データ!$M$5:$M$20)*12)</f>
        <v/>
      </c>
      <c r="AT23" s="352">
        <f>IF(AT$3="","",SUMPRODUCT(--ISERROR(SEARCH("終身",入力データ!$F$5:$F$20)),--(IFERROR(YEAR(入力データ!$J$5:$J$20),0)&lt;=AT$3),--(IFERROR(YEAR(入力データ!$K$5:$K$20),9999)&gt;=AT$3),入力データ!$M$5:$M$20)*12)</f>
        <v/>
      </c>
      <c r="AU23" s="352">
        <f>IF(AU$3="","",SUMPRODUCT(--ISERROR(SEARCH("終身",入力データ!$F$5:$F$20)),--(IFERROR(YEAR(入力データ!$J$5:$J$20),0)&lt;=AU$3),--(IFERROR(YEAR(入力データ!$K$5:$K$20),9999)&gt;=AU$3),入力データ!$M$5:$M$20)*12)</f>
        <v/>
      </c>
      <c r="AV23" s="352">
        <f>IF(AV$3="","",SUMPRODUCT(--ISERROR(SEARCH("終身",入力データ!$F$5:$F$20)),--(IFERROR(YEAR(入力データ!$J$5:$J$20),0)&lt;=AV$3),--(IFERROR(YEAR(入力データ!$K$5:$K$20),9999)&gt;=AV$3),入力データ!$M$5:$M$20)*12)</f>
        <v/>
      </c>
      <c r="AW23" s="352">
        <f>IF(AW$3="","",SUMPRODUCT(--ISERROR(SEARCH("終身",入力データ!$F$5:$F$20)),--(IFERROR(YEAR(入力データ!$J$5:$J$20),0)&lt;=AW$3),--(IFERROR(YEAR(入力データ!$K$5:$K$20),9999)&gt;=AW$3),入力データ!$M$5:$M$20)*12)</f>
        <v/>
      </c>
      <c r="AX23" s="352">
        <f>IF(AX$3="","",SUMPRODUCT(--ISERROR(SEARCH("終身",入力データ!$F$5:$F$20)),--(IFERROR(YEAR(入力データ!$J$5:$J$20),0)&lt;=AX$3),--(IFERROR(YEAR(入力データ!$K$5:$K$20),9999)&gt;=AX$3),入力データ!$M$5:$M$20)*12)</f>
        <v/>
      </c>
      <c r="AY23" s="352">
        <f>IF(AY$3="","",SUMPRODUCT(--ISERROR(SEARCH("終身",入力データ!$F$5:$F$20)),--(IFERROR(YEAR(入力データ!$J$5:$J$20),0)&lt;=AY$3),--(IFERROR(YEAR(入力データ!$K$5:$K$20),9999)&gt;=AY$3),入力データ!$M$5:$M$20)*12)</f>
        <v/>
      </c>
      <c r="AZ23" s="352">
        <f>IF(AZ$3="","",SUMPRODUCT(--ISERROR(SEARCH("終身",入力データ!$F$5:$F$20)),--(IFERROR(YEAR(入力データ!$J$5:$J$20),0)&lt;=AZ$3),--(IFERROR(YEAR(入力データ!$K$5:$K$20),9999)&gt;=AZ$3),入力データ!$M$5:$M$20)*12)</f>
        <v/>
      </c>
      <c r="BA23" s="352">
        <f>IF(BA$3="","",SUMPRODUCT(--ISERROR(SEARCH("終身",入力データ!$F$5:$F$20)),--(IFERROR(YEAR(入力データ!$J$5:$J$20),0)&lt;=BA$3),--(IFERROR(YEAR(入力データ!$K$5:$K$20),9999)&gt;=BA$3),入力データ!$M$5:$M$20)*12)</f>
        <v/>
      </c>
      <c r="BB23" s="352">
        <f>IF(BB$3="","",SUMPRODUCT(--ISERROR(SEARCH("終身",入力データ!$F$5:$F$20)),--(IFERROR(YEAR(入力データ!$J$5:$J$20),0)&lt;=BB$3),--(IFERROR(YEAR(入力データ!$K$5:$K$20),9999)&gt;=BB$3),入力データ!$M$5:$M$20)*12)</f>
        <v/>
      </c>
      <c r="BC23" s="352">
        <f>IF(BC$3="","",SUMPRODUCT(--ISERROR(SEARCH("終身",入力データ!$F$5:$F$20)),--(IFERROR(YEAR(入力データ!$J$5:$J$20),0)&lt;=BC$3),--(IFERROR(YEAR(入力データ!$K$5:$K$20),9999)&gt;=BC$3),入力データ!$M$5:$M$20)*12)</f>
        <v/>
      </c>
      <c r="BD23" s="352">
        <f>IF(BD$3="","",SUMPRODUCT(--ISERROR(SEARCH("終身",入力データ!$F$5:$F$20)),--(IFERROR(YEAR(入力データ!$J$5:$J$20),0)&lt;=BD$3),--(IFERROR(YEAR(入力データ!$K$5:$K$20),9999)&gt;=BD$3),入力データ!$M$5:$M$20)*12)</f>
        <v/>
      </c>
      <c r="BE23" s="352">
        <f>IF(BE$3="","",SUMPRODUCT(--ISERROR(SEARCH("終身",入力データ!$F$5:$F$20)),--(IFERROR(YEAR(入力データ!$J$5:$J$20),0)&lt;=BE$3),--(IFERROR(YEAR(入力データ!$K$5:$K$20),9999)&gt;=BE$3),入力データ!$M$5:$M$20)*12)</f>
        <v/>
      </c>
      <c r="BF23" s="352">
        <f>IF(BF$3="","",SUMPRODUCT(--ISERROR(SEARCH("終身",入力データ!$F$5:$F$20)),--(IFERROR(YEAR(入力データ!$J$5:$J$20),0)&lt;=BF$3),--(IFERROR(YEAR(入力データ!$K$5:$K$20),9999)&gt;=BF$3),入力データ!$M$5:$M$20)*12)</f>
        <v/>
      </c>
      <c r="BG23" s="352">
        <f>IF(BG$3="","",SUMPRODUCT(--ISERROR(SEARCH("終身",入力データ!$F$5:$F$20)),--(IFERROR(YEAR(入力データ!$J$5:$J$20),0)&lt;=BG$3),--(IFERROR(YEAR(入力データ!$K$5:$K$20),9999)&gt;=BG$3),入力データ!$M$5:$M$20)*12)</f>
        <v/>
      </c>
      <c r="BH23" s="352">
        <f>IF(BH$3="","",SUMPRODUCT(--ISERROR(SEARCH("終身",入力データ!$F$5:$F$20)),--(IFERROR(YEAR(入力データ!$J$5:$J$20),0)&lt;=BH$3),--(IFERROR(YEAR(入力データ!$K$5:$K$20),9999)&gt;=BH$3),入力データ!$M$5:$M$20)*12)</f>
        <v/>
      </c>
      <c r="BI23" s="352">
        <f>IF(BI$3="","",SUMPRODUCT(--ISERROR(SEARCH("終身",入力データ!$F$5:$F$20)),--(IFERROR(YEAR(入力データ!$J$5:$J$20),0)&lt;=BI$3),--(IFERROR(YEAR(入力データ!$K$5:$K$20),9999)&gt;=BI$3),入力データ!$M$5:$M$20)*12)</f>
        <v/>
      </c>
      <c r="BJ23" s="352">
        <f>IF(BJ$3="","",SUMPRODUCT(--ISERROR(SEARCH("終身",入力データ!$F$5:$F$20)),--(IFERROR(YEAR(入力データ!$J$5:$J$20),0)&lt;=BJ$3),--(IFERROR(YEAR(入力データ!$K$5:$K$20),9999)&gt;=BJ$3),入力データ!$M$5:$M$20)*12)</f>
        <v/>
      </c>
      <c r="BK23" s="352">
        <f>IF(BK$3="","",SUMPRODUCT(--ISERROR(SEARCH("終身",入力データ!$F$5:$F$20)),--(IFERROR(YEAR(入力データ!$J$5:$J$20),0)&lt;=BK$3),--(IFERROR(YEAR(入力データ!$K$5:$K$20),9999)&gt;=BK$3),入力データ!$M$5:$M$20)*12)</f>
        <v/>
      </c>
      <c r="BL23" s="352">
        <f>IF(BL$3="","",SUMPRODUCT(--ISERROR(SEARCH("終身",入力データ!$F$5:$F$20)),--(IFERROR(YEAR(入力データ!$J$5:$J$20),0)&lt;=BL$3),--(IFERROR(YEAR(入力データ!$K$5:$K$20),9999)&gt;=BL$3),入力データ!$M$5:$M$20)*12)</f>
        <v/>
      </c>
      <c r="BM23" s="352">
        <f>IF(BM$3="","",SUMPRODUCT(--ISERROR(SEARCH("終身",入力データ!$F$5:$F$20)),--(IFERROR(YEAR(入力データ!$J$5:$J$20),0)&lt;=BM$3),--(IFERROR(YEAR(入力データ!$K$5:$K$20),9999)&gt;=BM$3),入力データ!$M$5:$M$20)*12)</f>
        <v/>
      </c>
      <c r="BN23" s="352">
        <f>IF(BN$3="","",SUMPRODUCT(--ISERROR(SEARCH("終身",入力データ!$F$5:$F$20)),--(IFERROR(YEAR(入力データ!$J$5:$J$20),0)&lt;=BN$3),--(IFERROR(YEAR(入力データ!$K$5:$K$20),9999)&gt;=BN$3),入力データ!$M$5:$M$20)*12)</f>
        <v/>
      </c>
      <c r="BO23" s="352">
        <f>IF(BO$3="","",SUMPRODUCT(--ISERROR(SEARCH("終身",入力データ!$F$5:$F$20)),--(IFERROR(YEAR(入力データ!$J$5:$J$20),0)&lt;=BO$3),--(IFERROR(YEAR(入力データ!$K$5:$K$20),9999)&gt;=BO$3),入力データ!$M$5:$M$20)*12)</f>
        <v/>
      </c>
      <c r="BP23" s="352">
        <f>IF(BP$3="","",SUMPRODUCT(--ISERROR(SEARCH("終身",入力データ!$F$5:$F$20)),--(IFERROR(YEAR(入力データ!$J$5:$J$20),0)&lt;=BP$3),--(IFERROR(YEAR(入力データ!$K$5:$K$20),9999)&gt;=BP$3),入力データ!$M$5:$M$20)*12)</f>
        <v/>
      </c>
      <c r="BQ23" s="352">
        <f>IF(BQ$3="","",SUMPRODUCT(--ISERROR(SEARCH("終身",入力データ!$F$5:$F$20)),--(IFERROR(YEAR(入力データ!$J$5:$J$20),0)&lt;=BQ$3),--(IFERROR(YEAR(入力データ!$K$5:$K$20),9999)&gt;=BQ$3),入力データ!$M$5:$M$20)*12)</f>
        <v/>
      </c>
      <c r="BR23" s="352">
        <f>IF(BR$3="","",SUMPRODUCT(--ISERROR(SEARCH("終身",入力データ!$F$5:$F$20)),--(IFERROR(YEAR(入力データ!$J$5:$J$20),0)&lt;=BR$3),--(IFERROR(YEAR(入力データ!$K$5:$K$20),9999)&gt;=BR$3),入力データ!$M$5:$M$20)*12)</f>
        <v/>
      </c>
      <c r="BS23" s="352">
        <f>IF(BS$3="","",SUMPRODUCT(--ISERROR(SEARCH("終身",入力データ!$F$5:$F$20)),--(IFERROR(YEAR(入力データ!$J$5:$J$20),0)&lt;=BS$3),--(IFERROR(YEAR(入力データ!$K$5:$K$20),9999)&gt;=BS$3),入力データ!$M$5:$M$20)*12)</f>
        <v/>
      </c>
      <c r="BT23" s="352">
        <f>IF(BT$3="","",SUMPRODUCT(--ISERROR(SEARCH("終身",入力データ!$F$5:$F$20)),--(IFERROR(YEAR(入力データ!$J$5:$J$20),0)&lt;=BT$3),--(IFERROR(YEAR(入力データ!$K$5:$K$20),9999)&gt;=BT$3),入力データ!$M$5:$M$20)*12)</f>
        <v/>
      </c>
      <c r="BU23" s="352">
        <f>IF(BU$3="","",SUMPRODUCT(--ISERROR(SEARCH("終身",入力データ!$F$5:$F$20)),--(IFERROR(YEAR(入力データ!$J$5:$J$20),0)&lt;=BU$3),--(IFERROR(YEAR(入力データ!$K$5:$K$20),9999)&gt;=BU$3),入力データ!$M$5:$M$20)*12)</f>
        <v/>
      </c>
      <c r="BV23" s="352">
        <f>IF(BV$3="","",SUMPRODUCT(--ISERROR(SEARCH("終身",入力データ!$F$5:$F$20)),--(IFERROR(YEAR(入力データ!$J$5:$J$20),0)&lt;=BV$3),--(IFERROR(YEAR(入力データ!$K$5:$K$20),9999)&gt;=BV$3),入力データ!$M$5:$M$20)*12)</f>
        <v/>
      </c>
      <c r="BW23" s="352">
        <f>IF(BW$3="","",SUMPRODUCT(--ISERROR(SEARCH("終身",入力データ!$F$5:$F$20)),--(IFERROR(YEAR(入力データ!$J$5:$J$20),0)&lt;=BW$3),--(IFERROR(YEAR(入力データ!$K$5:$K$20),9999)&gt;=BW$3),入力データ!$M$5:$M$20)*12)</f>
        <v/>
      </c>
      <c r="BX23" s="352">
        <f>IF(BX$3="","",SUMPRODUCT(--ISERROR(SEARCH("終身",入力データ!$F$5:$F$20)),--(IFERROR(YEAR(入力データ!$J$5:$J$20),0)&lt;=BX$3),--(IFERROR(YEAR(入力データ!$K$5:$K$20),9999)&gt;=BX$3),入力データ!$M$5:$M$20)*12)</f>
        <v/>
      </c>
      <c r="BY23" s="352">
        <f>IF(BY$3="","",SUMPRODUCT(--ISERROR(SEARCH("終身",入力データ!$F$5:$F$20)),--(IFERROR(YEAR(入力データ!$J$5:$J$20),0)&lt;=BY$3),--(IFERROR(YEAR(入力データ!$K$5:$K$20),9999)&gt;=BY$3),入力データ!$M$5:$M$20)*12)</f>
        <v/>
      </c>
      <c r="BZ23" s="352">
        <f>IF(BZ$3="","",SUMPRODUCT(--ISERROR(SEARCH("終身",入力データ!$F$5:$F$20)),--(IFERROR(YEAR(入力データ!$J$5:$J$20),0)&lt;=BZ$3),--(IFERROR(YEAR(入力データ!$K$5:$K$20),9999)&gt;=BZ$3),入力データ!$M$5:$M$20)*12)</f>
        <v/>
      </c>
      <c r="CA23" s="352">
        <f>IF(CA$3="","",SUMPRODUCT(--ISERROR(SEARCH("終身",入力データ!$F$5:$F$20)),--(IFERROR(YEAR(入力データ!$J$5:$J$20),0)&lt;=CA$3),--(IFERROR(YEAR(入力データ!$K$5:$K$20),9999)&gt;=CA$3),入力データ!$M$5:$M$20)*12)</f>
        <v/>
      </c>
      <c r="CB23" s="352">
        <f>IF(CB$3="","",SUMPRODUCT(--ISERROR(SEARCH("終身",入力データ!$F$5:$F$20)),--(IFERROR(YEAR(入力データ!$J$5:$J$20),0)&lt;=CB$3),--(IFERROR(YEAR(入力データ!$K$5:$K$20),9999)&gt;=CB$3),入力データ!$M$5:$M$20)*12)</f>
        <v/>
      </c>
      <c r="CC23" s="352">
        <f>IF(CC$3="","",SUMPRODUCT(--ISERROR(SEARCH("終身",入力データ!$F$5:$F$20)),--(IFERROR(YEAR(入力データ!$J$5:$J$20),0)&lt;=CC$3),--(IFERROR(YEAR(入力データ!$K$5:$K$20),9999)&gt;=CC$3),入力データ!$M$5:$M$20)*12)</f>
        <v/>
      </c>
      <c r="CD23" s="352">
        <f>IF(CD$3="","",SUMPRODUCT(--ISERROR(SEARCH("終身",入力データ!$F$5:$F$20)),--(IFERROR(YEAR(入力データ!$J$5:$J$20),0)&lt;=CD$3),--(IFERROR(YEAR(入力データ!$K$5:$K$20),9999)&gt;=CD$3),入力データ!$M$5:$M$20)*12)</f>
        <v/>
      </c>
      <c r="CE23" s="352">
        <f>IF(CE$3="","",SUMPRODUCT(--ISERROR(SEARCH("終身",入力データ!$F$5:$F$20)),--(IFERROR(YEAR(入力データ!$J$5:$J$20),0)&lt;=CE$3),--(IFERROR(YEAR(入力データ!$K$5:$K$20),9999)&gt;=CE$3),入力データ!$M$5:$M$20)*12)</f>
        <v/>
      </c>
      <c r="CF23" s="352">
        <f>IF(CF$3="","",SUMPRODUCT(--ISERROR(SEARCH("終身",入力データ!$F$5:$F$20)),--(IFERROR(YEAR(入力データ!$J$5:$J$20),0)&lt;=CF$3),--(IFERROR(YEAR(入力データ!$K$5:$K$20),9999)&gt;=CF$3),入力データ!$M$5:$M$20)*12)</f>
        <v/>
      </c>
      <c r="CG23" s="352">
        <f>IF(CG$3="","",SUMPRODUCT(--ISERROR(SEARCH("終身",入力データ!$F$5:$F$20)),--(IFERROR(YEAR(入力データ!$J$5:$J$20),0)&lt;=CG$3),--(IFERROR(YEAR(入力データ!$K$5:$K$20),9999)&gt;=CG$3),入力データ!$M$5:$M$20)*12)</f>
        <v/>
      </c>
      <c r="CH23" s="352">
        <f>IF(CH$3="","",SUMPRODUCT(--ISERROR(SEARCH("終身",入力データ!$F$5:$F$20)),--(IFERROR(YEAR(入力データ!$J$5:$J$20),0)&lt;=CH$3),--(IFERROR(YEAR(入力データ!$K$5:$K$20),9999)&gt;=CH$3),入力データ!$M$5:$M$20)*12)</f>
        <v/>
      </c>
      <c r="CI23" s="352">
        <f>IF(CI$3="","",SUMPRODUCT(--ISERROR(SEARCH("終身",入力データ!$F$5:$F$20)),--(IFERROR(YEAR(入力データ!$J$5:$J$20),0)&lt;=CI$3),--(IFERROR(YEAR(入力データ!$K$5:$K$20),9999)&gt;=CI$3),入力データ!$M$5:$M$20)*12)</f>
        <v/>
      </c>
      <c r="CJ23" s="352">
        <f>IF(CJ$3="","",SUMPRODUCT(--ISERROR(SEARCH("終身",入力データ!$F$5:$F$20)),--(IFERROR(YEAR(入力データ!$J$5:$J$20),0)&lt;=CJ$3),--(IFERROR(YEAR(入力データ!$K$5:$K$20),9999)&gt;=CJ$3),入力データ!$M$5:$M$20)*12)</f>
        <v/>
      </c>
      <c r="CK23" s="352">
        <f>IF(CK$3="","",SUMPRODUCT(--ISERROR(SEARCH("終身",入力データ!$F$5:$F$20)),--(IFERROR(YEAR(入力データ!$J$5:$J$20),0)&lt;=CK$3),--(IFERROR(YEAR(入力データ!$K$5:$K$20),9999)&gt;=CK$3),入力データ!$M$5:$M$20)*12)</f>
        <v/>
      </c>
      <c r="CL23" s="352">
        <f>IF(CL$3="","",SUMPRODUCT(--ISERROR(SEARCH("終身",入力データ!$F$5:$F$20)),--(IFERROR(YEAR(入力データ!$J$5:$J$20),0)&lt;=CL$3),--(IFERROR(YEAR(入力データ!$K$5:$K$20),9999)&gt;=CL$3),入力データ!$M$5:$M$20)*12)</f>
        <v/>
      </c>
      <c r="CM23" s="352">
        <f>IF(CM$3="","",SUMPRODUCT(--ISERROR(SEARCH("終身",入力データ!$F$5:$F$20)),--(IFERROR(YEAR(入力データ!$J$5:$J$20),0)&lt;=CM$3),--(IFERROR(YEAR(入力データ!$K$5:$K$20),9999)&gt;=CM$3),入力データ!$M$5:$M$20)*12)</f>
        <v/>
      </c>
      <c r="CN23" s="352">
        <f>IF(CN$3="","",SUMPRODUCT(--ISERROR(SEARCH("終身",入力データ!$F$5:$F$20)),--(IFERROR(YEAR(入力データ!$J$5:$J$20),0)&lt;=CN$3),--(IFERROR(YEAR(入力データ!$K$5:$K$20),9999)&gt;=CN$3),入力データ!$M$5:$M$20)*12)</f>
        <v/>
      </c>
      <c r="CO23" s="352">
        <f>IF(CO$3="","",SUMPRODUCT(--ISERROR(SEARCH("終身",入力データ!$F$5:$F$20)),--(IFERROR(YEAR(入力データ!$J$5:$J$20),0)&lt;=CO$3),--(IFERROR(YEAR(入力データ!$K$5:$K$20),9999)&gt;=CO$3),入力データ!$M$5:$M$20)*12)</f>
        <v/>
      </c>
      <c r="CP23" s="352">
        <f>IF(CP$3="","",SUMPRODUCT(--ISERROR(SEARCH("終身",入力データ!$F$5:$F$20)),--(IFERROR(YEAR(入力データ!$J$5:$J$20),0)&lt;=CP$3),--(IFERROR(YEAR(入力データ!$K$5:$K$20),9999)&gt;=CP$3),入力データ!$M$5:$M$20)*12)</f>
        <v/>
      </c>
      <c r="CQ23" s="352">
        <f>IF(CQ$3="","",SUMPRODUCT(--ISERROR(SEARCH("終身",入力データ!$F$5:$F$20)),--(IFERROR(YEAR(入力データ!$J$5:$J$20),0)&lt;=CQ$3),--(IFERROR(YEAR(入力データ!$K$5:$K$20),9999)&gt;=CQ$3),入力データ!$M$5:$M$20)*12)</f>
        <v/>
      </c>
      <c r="CR23" s="352">
        <f>IF(CR$3="","",SUMPRODUCT(--ISERROR(SEARCH("終身",入力データ!$F$5:$F$20)),--(IFERROR(YEAR(入力データ!$J$5:$J$20),0)&lt;=CR$3),--(IFERROR(YEAR(入力データ!$K$5:$K$20),9999)&gt;=CR$3),入力データ!$M$5:$M$20)*12)</f>
        <v/>
      </c>
      <c r="CS23" s="352">
        <f>IF(CS$3="","",SUMPRODUCT(--ISERROR(SEARCH("終身",入力データ!$F$5:$F$20)),--(IFERROR(YEAR(入力データ!$J$5:$J$20),0)&lt;=CS$3),--(IFERROR(YEAR(入力データ!$K$5:$K$20),9999)&gt;=CS$3),入力データ!$M$5:$M$20)*12)</f>
        <v/>
      </c>
      <c r="CT23" s="352">
        <f>IF(CT$3="","",SUMPRODUCT(--ISERROR(SEARCH("終身",入力データ!$F$5:$F$20)),--(IFERROR(YEAR(入力データ!$J$5:$J$20),0)&lt;=CT$3),--(IFERROR(YEAR(入力データ!$K$5:$K$20),9999)&gt;=CT$3),入力データ!$M$5:$M$20)*12)</f>
        <v/>
      </c>
      <c r="CU23" s="352">
        <f>IF(CU$3="","",SUMPRODUCT(--ISERROR(SEARCH("終身",入力データ!$F$5:$F$20)),--(IFERROR(YEAR(入力データ!$J$5:$J$20),0)&lt;=CU$3),--(IFERROR(YEAR(入力データ!$K$5:$K$20),9999)&gt;=CU$3),入力データ!$M$5:$M$20)*12)</f>
        <v/>
      </c>
      <c r="CV23" s="352">
        <f>IF(CV$3="","",SUMPRODUCT(--ISERROR(SEARCH("終身",入力データ!$F$5:$F$20)),--(IFERROR(YEAR(入力データ!$J$5:$J$20),0)&lt;=CV$3),--(IFERROR(YEAR(入力データ!$K$5:$K$20),9999)&gt;=CV$3),入力データ!$M$5:$M$20)*12)</f>
        <v/>
      </c>
      <c r="CW23" s="352">
        <f>IF(CW$3="","",SUMPRODUCT(--ISERROR(SEARCH("終身",入力データ!$F$5:$F$20)),--(IFERROR(YEAR(入力データ!$J$5:$J$20),0)&lt;=CW$3),--(IFERROR(YEAR(入力データ!$K$5:$K$20),9999)&gt;=CW$3),入力データ!$M$5:$M$20)*12)</f>
        <v/>
      </c>
    </row>
    <row r="24" ht="15" customHeight="1" s="180">
      <c r="A24" s="224" t="inlineStr">
        <is>
          <t>教育費</t>
        </is>
      </c>
      <c r="B24" s="352">
        <f>IF(B$3="","",IF(入力データ!$C$17&lt;=0,0,IF(B$3="","",((SUM(入力データ!$C$58:$C$61)*12)+IF(B6="",0,IF(B6&lt;=5,IF(入力データ!$G$25="私立",前提条件!$C$22,前提条件!$C$21),IF(B6&lt;=11,IF(入力データ!$H$25="私立",前提条件!$C$24,前提条件!$C$23),IF(B6&lt;=14,IF(入力データ!$I$25="私立",前提条件!$C$26,前提条件!$C$25),IF(B6&lt;=17,IF(入力データ!$J$25="私立",前提条件!$C$28,前提条件!$C$27),IF(B6&lt;=21,IF(入力データ!$K$25="国公立",前提条件!$C$29,IF(入力データ!$K$25="私立理系",前提条件!$C$31,前提条件!$C$30))+IF(入力データ!$L$25="下宿",前提条件!$C$32,0)+IF(B6=18,前提条件!$C$33,0),0))))))+IF(B7="",0,IF(B7&lt;=5,IF(入力データ!$G$26="私立",前提条件!$C$22,前提条件!$C$21),IF(B7&lt;=11,IF(入力データ!$H$26="私立",前提条件!$C$24,前提条件!$C$23),IF(B7&lt;=14,IF(入力データ!$I$26="私立",前提条件!$C$26,前提条件!$C$25),IF(B7&lt;=17,IF(入力データ!$J$26="私立",前提条件!$C$28,前提条件!$C$27),IF(B7&lt;=21,IF(入力データ!$K$26="国公立",前提条件!$C$29,IF(入力データ!$K$26="私立理系",前提条件!$C$31,前提条件!$C$30))+IF(入力データ!$L$26="下宿",前提条件!$C$32,0)+IF(B7=18,前提条件!$C$33,0),0))))))+IF(B8="",0,IF(B8&lt;=5,IF(入力データ!$G$27="私立",前提条件!$C$22,前提条件!$C$21),IF(B8&lt;=11,IF(入力データ!$H$27="私立",前提条件!$C$24,前提条件!$C$23),IF(B8&lt;=14,IF(入力データ!$I$27="私立",前提条件!$C$26,前提条件!$C$25),IF(B8&lt;=17,IF(入力データ!$J$27="私立",前提条件!$C$28,前提条件!$C$27),IF(B8&lt;=21,IF(入力データ!$K$27="国公立",前提条件!$C$29,IF(入力データ!$K$27="私立理系",前提条件!$C$31,前提条件!$C$30))+IF(入力データ!$L$27="下宿",前提条件!$C$32,0)+IF(B8=18,前提条件!$C$33,0),0)))))))*(1+前提条件!$C$13)^(B$3-$B$3))))</f>
        <v/>
      </c>
      <c r="C24" s="352">
        <f>IF(C$3="","",IF(入力データ!$C$17&lt;=0,0,IF(C$3="","",((SUM(入力データ!$C$58:$C$61)*12)+IF(C6="",0,IF(C6&lt;=5,IF(入力データ!$G$25="私立",前提条件!$C$22,前提条件!$C$21),IF(C6&lt;=11,IF(入力データ!$H$25="私立",前提条件!$C$24,前提条件!$C$23),IF(C6&lt;=14,IF(入力データ!$I$25="私立",前提条件!$C$26,前提条件!$C$25),IF(C6&lt;=17,IF(入力データ!$J$25="私立",前提条件!$C$28,前提条件!$C$27),IF(C6&lt;=21,IF(入力データ!$K$25="国公立",前提条件!$C$29,IF(入力データ!$K$25="私立理系",前提条件!$C$31,前提条件!$C$30))+IF(入力データ!$L$25="下宿",前提条件!$C$32,0)+IF(C6=18,前提条件!$C$33,0),0))))))+IF(C7="",0,IF(C7&lt;=5,IF(入力データ!$G$26="私立",前提条件!$C$22,前提条件!$C$21),IF(C7&lt;=11,IF(入力データ!$H$26="私立",前提条件!$C$24,前提条件!$C$23),IF(C7&lt;=14,IF(入力データ!$I$26="私立",前提条件!$C$26,前提条件!$C$25),IF(C7&lt;=17,IF(入力データ!$J$26="私立",前提条件!$C$28,前提条件!$C$27),IF(C7&lt;=21,IF(入力データ!$K$26="国公立",前提条件!$C$29,IF(入力データ!$K$26="私立理系",前提条件!$C$31,前提条件!$C$30))+IF(入力データ!$L$26="下宿",前提条件!$C$32,0)+IF(C7=18,前提条件!$C$33,0),0))))))+IF(C8="",0,IF(C8&lt;=5,IF(入力データ!$G$27="私立",前提条件!$C$22,前提条件!$C$21),IF(C8&lt;=11,IF(入力データ!$H$27="私立",前提条件!$C$24,前提条件!$C$23),IF(C8&lt;=14,IF(入力データ!$I$27="私立",前提条件!$C$26,前提条件!$C$25),IF(C8&lt;=17,IF(入力データ!$J$27="私立",前提条件!$C$28,前提条件!$C$27),IF(C8&lt;=21,IF(入力データ!$K$27="国公立",前提条件!$C$29,IF(入力データ!$K$27="私立理系",前提条件!$C$31,前提条件!$C$30))+IF(入力データ!$L$27="下宿",前提条件!$C$32,0)+IF(C8=18,前提条件!$C$33,0),0)))))))*(1+前提条件!$C$13)^(C$3-$B$3))))</f>
        <v/>
      </c>
      <c r="D24" s="352">
        <f>IF(D$3="","",IF(入力データ!$C$17&lt;=0,0,IF(D$3="","",((SUM(入力データ!$C$58:$C$61)*12)+IF(D6="",0,IF(D6&lt;=5,IF(入力データ!$G$25="私立",前提条件!$C$22,前提条件!$C$21),IF(D6&lt;=11,IF(入力データ!$H$25="私立",前提条件!$C$24,前提条件!$C$23),IF(D6&lt;=14,IF(入力データ!$I$25="私立",前提条件!$C$26,前提条件!$C$25),IF(D6&lt;=17,IF(入力データ!$J$25="私立",前提条件!$C$28,前提条件!$C$27),IF(D6&lt;=21,IF(入力データ!$K$25="国公立",前提条件!$C$29,IF(入力データ!$K$25="私立理系",前提条件!$C$31,前提条件!$C$30))+IF(入力データ!$L$25="下宿",前提条件!$C$32,0)+IF(D6=18,前提条件!$C$33,0),0))))))+IF(D7="",0,IF(D7&lt;=5,IF(入力データ!$G$26="私立",前提条件!$C$22,前提条件!$C$21),IF(D7&lt;=11,IF(入力データ!$H$26="私立",前提条件!$C$24,前提条件!$C$23),IF(D7&lt;=14,IF(入力データ!$I$26="私立",前提条件!$C$26,前提条件!$C$25),IF(D7&lt;=17,IF(入力データ!$J$26="私立",前提条件!$C$28,前提条件!$C$27),IF(D7&lt;=21,IF(入力データ!$K$26="国公立",前提条件!$C$29,IF(入力データ!$K$26="私立理系",前提条件!$C$31,前提条件!$C$30))+IF(入力データ!$L$26="下宿",前提条件!$C$32,0)+IF(D7=18,前提条件!$C$33,0),0))))))+IF(D8="",0,IF(D8&lt;=5,IF(入力データ!$G$27="私立",前提条件!$C$22,前提条件!$C$21),IF(D8&lt;=11,IF(入力データ!$H$27="私立",前提条件!$C$24,前提条件!$C$23),IF(D8&lt;=14,IF(入力データ!$I$27="私立",前提条件!$C$26,前提条件!$C$25),IF(D8&lt;=17,IF(入力データ!$J$27="私立",前提条件!$C$28,前提条件!$C$27),IF(D8&lt;=21,IF(入力データ!$K$27="国公立",前提条件!$C$29,IF(入力データ!$K$27="私立理系",前提条件!$C$31,前提条件!$C$30))+IF(入力データ!$L$27="下宿",前提条件!$C$32,0)+IF(D8=18,前提条件!$C$33,0),0)))))))*(1+前提条件!$C$13)^(D$3-$B$3))))</f>
        <v/>
      </c>
      <c r="E24" s="352">
        <f>IF(E$3="","",IF(入力データ!$C$17&lt;=0,0,IF(E$3="","",((SUM(入力データ!$C$58:$C$61)*12)+IF(E6="",0,IF(E6&lt;=5,IF(入力データ!$G$25="私立",前提条件!$C$22,前提条件!$C$21),IF(E6&lt;=11,IF(入力データ!$H$25="私立",前提条件!$C$24,前提条件!$C$23),IF(E6&lt;=14,IF(入力データ!$I$25="私立",前提条件!$C$26,前提条件!$C$25),IF(E6&lt;=17,IF(入力データ!$J$25="私立",前提条件!$C$28,前提条件!$C$27),IF(E6&lt;=21,IF(入力データ!$K$25="国公立",前提条件!$C$29,IF(入力データ!$K$25="私立理系",前提条件!$C$31,前提条件!$C$30))+IF(入力データ!$L$25="下宿",前提条件!$C$32,0)+IF(E6=18,前提条件!$C$33,0),0))))))+IF(E7="",0,IF(E7&lt;=5,IF(入力データ!$G$26="私立",前提条件!$C$22,前提条件!$C$21),IF(E7&lt;=11,IF(入力データ!$H$26="私立",前提条件!$C$24,前提条件!$C$23),IF(E7&lt;=14,IF(入力データ!$I$26="私立",前提条件!$C$26,前提条件!$C$25),IF(E7&lt;=17,IF(入力データ!$J$26="私立",前提条件!$C$28,前提条件!$C$27),IF(E7&lt;=21,IF(入力データ!$K$26="国公立",前提条件!$C$29,IF(入力データ!$K$26="私立理系",前提条件!$C$31,前提条件!$C$30))+IF(入力データ!$L$26="下宿",前提条件!$C$32,0)+IF(E7=18,前提条件!$C$33,0),0))))))+IF(E8="",0,IF(E8&lt;=5,IF(入力データ!$G$27="私立",前提条件!$C$22,前提条件!$C$21),IF(E8&lt;=11,IF(入力データ!$H$27="私立",前提条件!$C$24,前提条件!$C$23),IF(E8&lt;=14,IF(入力データ!$I$27="私立",前提条件!$C$26,前提条件!$C$25),IF(E8&lt;=17,IF(入力データ!$J$27="私立",前提条件!$C$28,前提条件!$C$27),IF(E8&lt;=21,IF(入力データ!$K$27="国公立",前提条件!$C$29,IF(入力データ!$K$27="私立理系",前提条件!$C$31,前提条件!$C$30))+IF(入力データ!$L$27="下宿",前提条件!$C$32,0)+IF(E8=18,前提条件!$C$33,0),0)))))))*(1+前提条件!$C$13)^(E$3-$B$3))))</f>
        <v/>
      </c>
      <c r="F24" s="352">
        <f>IF(F$3="","",IF(入力データ!$C$17&lt;=0,0,IF(F$3="","",((SUM(入力データ!$C$58:$C$61)*12)+IF(F6="",0,IF(F6&lt;=5,IF(入力データ!$G$25="私立",前提条件!$C$22,前提条件!$C$21),IF(F6&lt;=11,IF(入力データ!$H$25="私立",前提条件!$C$24,前提条件!$C$23),IF(F6&lt;=14,IF(入力データ!$I$25="私立",前提条件!$C$26,前提条件!$C$25),IF(F6&lt;=17,IF(入力データ!$J$25="私立",前提条件!$C$28,前提条件!$C$27),IF(F6&lt;=21,IF(入力データ!$K$25="国公立",前提条件!$C$29,IF(入力データ!$K$25="私立理系",前提条件!$C$31,前提条件!$C$30))+IF(入力データ!$L$25="下宿",前提条件!$C$32,0)+IF(F6=18,前提条件!$C$33,0),0))))))+IF(F7="",0,IF(F7&lt;=5,IF(入力データ!$G$26="私立",前提条件!$C$22,前提条件!$C$21),IF(F7&lt;=11,IF(入力データ!$H$26="私立",前提条件!$C$24,前提条件!$C$23),IF(F7&lt;=14,IF(入力データ!$I$26="私立",前提条件!$C$26,前提条件!$C$25),IF(F7&lt;=17,IF(入力データ!$J$26="私立",前提条件!$C$28,前提条件!$C$27),IF(F7&lt;=21,IF(入力データ!$K$26="国公立",前提条件!$C$29,IF(入力データ!$K$26="私立理系",前提条件!$C$31,前提条件!$C$30))+IF(入力データ!$L$26="下宿",前提条件!$C$32,0)+IF(F7=18,前提条件!$C$33,0),0))))))+IF(F8="",0,IF(F8&lt;=5,IF(入力データ!$G$27="私立",前提条件!$C$22,前提条件!$C$21),IF(F8&lt;=11,IF(入力データ!$H$27="私立",前提条件!$C$24,前提条件!$C$23),IF(F8&lt;=14,IF(入力データ!$I$27="私立",前提条件!$C$26,前提条件!$C$25),IF(F8&lt;=17,IF(入力データ!$J$27="私立",前提条件!$C$28,前提条件!$C$27),IF(F8&lt;=21,IF(入力データ!$K$27="国公立",前提条件!$C$29,IF(入力データ!$K$27="私立理系",前提条件!$C$31,前提条件!$C$30))+IF(入力データ!$L$27="下宿",前提条件!$C$32,0)+IF(F8=18,前提条件!$C$33,0),0)))))))*(1+前提条件!$C$13)^(F$3-$B$3))))</f>
        <v/>
      </c>
      <c r="G24" s="352">
        <f>IF(G$3="","",IF(入力データ!$C$17&lt;=0,0,IF(G$3="","",((SUM(入力データ!$C$58:$C$61)*12)+IF(G6="",0,IF(G6&lt;=5,IF(入力データ!$G$25="私立",前提条件!$C$22,前提条件!$C$21),IF(G6&lt;=11,IF(入力データ!$H$25="私立",前提条件!$C$24,前提条件!$C$23),IF(G6&lt;=14,IF(入力データ!$I$25="私立",前提条件!$C$26,前提条件!$C$25),IF(G6&lt;=17,IF(入力データ!$J$25="私立",前提条件!$C$28,前提条件!$C$27),IF(G6&lt;=21,IF(入力データ!$K$25="国公立",前提条件!$C$29,IF(入力データ!$K$25="私立理系",前提条件!$C$31,前提条件!$C$30))+IF(入力データ!$L$25="下宿",前提条件!$C$32,0)+IF(G6=18,前提条件!$C$33,0),0))))))+IF(G7="",0,IF(G7&lt;=5,IF(入力データ!$G$26="私立",前提条件!$C$22,前提条件!$C$21),IF(G7&lt;=11,IF(入力データ!$H$26="私立",前提条件!$C$24,前提条件!$C$23),IF(G7&lt;=14,IF(入力データ!$I$26="私立",前提条件!$C$26,前提条件!$C$25),IF(G7&lt;=17,IF(入力データ!$J$26="私立",前提条件!$C$28,前提条件!$C$27),IF(G7&lt;=21,IF(入力データ!$K$26="国公立",前提条件!$C$29,IF(入力データ!$K$26="私立理系",前提条件!$C$31,前提条件!$C$30))+IF(入力データ!$L$26="下宿",前提条件!$C$32,0)+IF(G7=18,前提条件!$C$33,0),0))))))+IF(G8="",0,IF(G8&lt;=5,IF(入力データ!$G$27="私立",前提条件!$C$22,前提条件!$C$21),IF(G8&lt;=11,IF(入力データ!$H$27="私立",前提条件!$C$24,前提条件!$C$23),IF(G8&lt;=14,IF(入力データ!$I$27="私立",前提条件!$C$26,前提条件!$C$25),IF(G8&lt;=17,IF(入力データ!$J$27="私立",前提条件!$C$28,前提条件!$C$27),IF(G8&lt;=21,IF(入力データ!$K$27="国公立",前提条件!$C$29,IF(入力データ!$K$27="私立理系",前提条件!$C$31,前提条件!$C$30))+IF(入力データ!$L$27="下宿",前提条件!$C$32,0)+IF(G8=18,前提条件!$C$33,0),0)))))))*(1+前提条件!$C$13)^(G$3-$B$3))))</f>
        <v/>
      </c>
      <c r="H24" s="352">
        <f>IF(H$3="","",IF(入力データ!$C$17&lt;=0,0,IF(H$3="","",((SUM(入力データ!$C$58:$C$61)*12)+IF(H6="",0,IF(H6&lt;=5,IF(入力データ!$G$25="私立",前提条件!$C$22,前提条件!$C$21),IF(H6&lt;=11,IF(入力データ!$H$25="私立",前提条件!$C$24,前提条件!$C$23),IF(H6&lt;=14,IF(入力データ!$I$25="私立",前提条件!$C$26,前提条件!$C$25),IF(H6&lt;=17,IF(入力データ!$J$25="私立",前提条件!$C$28,前提条件!$C$27),IF(H6&lt;=21,IF(入力データ!$K$25="国公立",前提条件!$C$29,IF(入力データ!$K$25="私立理系",前提条件!$C$31,前提条件!$C$30))+IF(入力データ!$L$25="下宿",前提条件!$C$32,0)+IF(H6=18,前提条件!$C$33,0),0))))))+IF(H7="",0,IF(H7&lt;=5,IF(入力データ!$G$26="私立",前提条件!$C$22,前提条件!$C$21),IF(H7&lt;=11,IF(入力データ!$H$26="私立",前提条件!$C$24,前提条件!$C$23),IF(H7&lt;=14,IF(入力データ!$I$26="私立",前提条件!$C$26,前提条件!$C$25),IF(H7&lt;=17,IF(入力データ!$J$26="私立",前提条件!$C$28,前提条件!$C$27),IF(H7&lt;=21,IF(入力データ!$K$26="国公立",前提条件!$C$29,IF(入力データ!$K$26="私立理系",前提条件!$C$31,前提条件!$C$30))+IF(入力データ!$L$26="下宿",前提条件!$C$32,0)+IF(H7=18,前提条件!$C$33,0),0))))))+IF(H8="",0,IF(H8&lt;=5,IF(入力データ!$G$27="私立",前提条件!$C$22,前提条件!$C$21),IF(H8&lt;=11,IF(入力データ!$H$27="私立",前提条件!$C$24,前提条件!$C$23),IF(H8&lt;=14,IF(入力データ!$I$27="私立",前提条件!$C$26,前提条件!$C$25),IF(H8&lt;=17,IF(入力データ!$J$27="私立",前提条件!$C$28,前提条件!$C$27),IF(H8&lt;=21,IF(入力データ!$K$27="国公立",前提条件!$C$29,IF(入力データ!$K$27="私立理系",前提条件!$C$31,前提条件!$C$30))+IF(入力データ!$L$27="下宿",前提条件!$C$32,0)+IF(H8=18,前提条件!$C$33,0),0)))))))*(1+前提条件!$C$13)^(H$3-$B$3))))</f>
        <v/>
      </c>
      <c r="I24" s="352">
        <f>IF(I$3="","",IF(入力データ!$C$17&lt;=0,0,IF(I$3="","",((SUM(入力データ!$C$58:$C$61)*12)+IF(I6="",0,IF(I6&lt;=5,IF(入力データ!$G$25="私立",前提条件!$C$22,前提条件!$C$21),IF(I6&lt;=11,IF(入力データ!$H$25="私立",前提条件!$C$24,前提条件!$C$23),IF(I6&lt;=14,IF(入力データ!$I$25="私立",前提条件!$C$26,前提条件!$C$25),IF(I6&lt;=17,IF(入力データ!$J$25="私立",前提条件!$C$28,前提条件!$C$27),IF(I6&lt;=21,IF(入力データ!$K$25="国公立",前提条件!$C$29,IF(入力データ!$K$25="私立理系",前提条件!$C$31,前提条件!$C$30))+IF(入力データ!$L$25="下宿",前提条件!$C$32,0)+IF(I6=18,前提条件!$C$33,0),0))))))+IF(I7="",0,IF(I7&lt;=5,IF(入力データ!$G$26="私立",前提条件!$C$22,前提条件!$C$21),IF(I7&lt;=11,IF(入力データ!$H$26="私立",前提条件!$C$24,前提条件!$C$23),IF(I7&lt;=14,IF(入力データ!$I$26="私立",前提条件!$C$26,前提条件!$C$25),IF(I7&lt;=17,IF(入力データ!$J$26="私立",前提条件!$C$28,前提条件!$C$27),IF(I7&lt;=21,IF(入力データ!$K$26="国公立",前提条件!$C$29,IF(入力データ!$K$26="私立理系",前提条件!$C$31,前提条件!$C$30))+IF(入力データ!$L$26="下宿",前提条件!$C$32,0)+IF(I7=18,前提条件!$C$33,0),0))))))+IF(I8="",0,IF(I8&lt;=5,IF(入力データ!$G$27="私立",前提条件!$C$22,前提条件!$C$21),IF(I8&lt;=11,IF(入力データ!$H$27="私立",前提条件!$C$24,前提条件!$C$23),IF(I8&lt;=14,IF(入力データ!$I$27="私立",前提条件!$C$26,前提条件!$C$25),IF(I8&lt;=17,IF(入力データ!$J$27="私立",前提条件!$C$28,前提条件!$C$27),IF(I8&lt;=21,IF(入力データ!$K$27="国公立",前提条件!$C$29,IF(入力データ!$K$27="私立理系",前提条件!$C$31,前提条件!$C$30))+IF(入力データ!$L$27="下宿",前提条件!$C$32,0)+IF(I8=18,前提条件!$C$33,0),0)))))))*(1+前提条件!$C$13)^(I$3-$B$3))))</f>
        <v/>
      </c>
      <c r="J24" s="352">
        <f>IF(J$3="","",IF(入力データ!$C$17&lt;=0,0,IF(J$3="","",((SUM(入力データ!$C$58:$C$61)*12)+IF(J6="",0,IF(J6&lt;=5,IF(入力データ!$G$25="私立",前提条件!$C$22,前提条件!$C$21),IF(J6&lt;=11,IF(入力データ!$H$25="私立",前提条件!$C$24,前提条件!$C$23),IF(J6&lt;=14,IF(入力データ!$I$25="私立",前提条件!$C$26,前提条件!$C$25),IF(J6&lt;=17,IF(入力データ!$J$25="私立",前提条件!$C$28,前提条件!$C$27),IF(J6&lt;=21,IF(入力データ!$K$25="国公立",前提条件!$C$29,IF(入力データ!$K$25="私立理系",前提条件!$C$31,前提条件!$C$30))+IF(入力データ!$L$25="下宿",前提条件!$C$32,0)+IF(J6=18,前提条件!$C$33,0),0))))))+IF(J7="",0,IF(J7&lt;=5,IF(入力データ!$G$26="私立",前提条件!$C$22,前提条件!$C$21),IF(J7&lt;=11,IF(入力データ!$H$26="私立",前提条件!$C$24,前提条件!$C$23),IF(J7&lt;=14,IF(入力データ!$I$26="私立",前提条件!$C$26,前提条件!$C$25),IF(J7&lt;=17,IF(入力データ!$J$26="私立",前提条件!$C$28,前提条件!$C$27),IF(J7&lt;=21,IF(入力データ!$K$26="国公立",前提条件!$C$29,IF(入力データ!$K$26="私立理系",前提条件!$C$31,前提条件!$C$30))+IF(入力データ!$L$26="下宿",前提条件!$C$32,0)+IF(J7=18,前提条件!$C$33,0),0))))))+IF(J8="",0,IF(J8&lt;=5,IF(入力データ!$G$27="私立",前提条件!$C$22,前提条件!$C$21),IF(J8&lt;=11,IF(入力データ!$H$27="私立",前提条件!$C$24,前提条件!$C$23),IF(J8&lt;=14,IF(入力データ!$I$27="私立",前提条件!$C$26,前提条件!$C$25),IF(J8&lt;=17,IF(入力データ!$J$27="私立",前提条件!$C$28,前提条件!$C$27),IF(J8&lt;=21,IF(入力データ!$K$27="国公立",前提条件!$C$29,IF(入力データ!$K$27="私立理系",前提条件!$C$31,前提条件!$C$30))+IF(入力データ!$L$27="下宿",前提条件!$C$32,0)+IF(J8=18,前提条件!$C$33,0),0)))))))*(1+前提条件!$C$13)^(J$3-$B$3))))</f>
        <v/>
      </c>
      <c r="K24" s="352">
        <f>IF(K$3="","",IF(入力データ!$C$17&lt;=0,0,IF(K$3="","",((SUM(入力データ!$C$58:$C$61)*12)+IF(K6="",0,IF(K6&lt;=5,IF(入力データ!$G$25="私立",前提条件!$C$22,前提条件!$C$21),IF(K6&lt;=11,IF(入力データ!$H$25="私立",前提条件!$C$24,前提条件!$C$23),IF(K6&lt;=14,IF(入力データ!$I$25="私立",前提条件!$C$26,前提条件!$C$25),IF(K6&lt;=17,IF(入力データ!$J$25="私立",前提条件!$C$28,前提条件!$C$27),IF(K6&lt;=21,IF(入力データ!$K$25="国公立",前提条件!$C$29,IF(入力データ!$K$25="私立理系",前提条件!$C$31,前提条件!$C$30))+IF(入力データ!$L$25="下宿",前提条件!$C$32,0)+IF(K6=18,前提条件!$C$33,0),0))))))+IF(K7="",0,IF(K7&lt;=5,IF(入力データ!$G$26="私立",前提条件!$C$22,前提条件!$C$21),IF(K7&lt;=11,IF(入力データ!$H$26="私立",前提条件!$C$24,前提条件!$C$23),IF(K7&lt;=14,IF(入力データ!$I$26="私立",前提条件!$C$26,前提条件!$C$25),IF(K7&lt;=17,IF(入力データ!$J$26="私立",前提条件!$C$28,前提条件!$C$27),IF(K7&lt;=21,IF(入力データ!$K$26="国公立",前提条件!$C$29,IF(入力データ!$K$26="私立理系",前提条件!$C$31,前提条件!$C$30))+IF(入力データ!$L$26="下宿",前提条件!$C$32,0)+IF(K7=18,前提条件!$C$33,0),0))))))+IF(K8="",0,IF(K8&lt;=5,IF(入力データ!$G$27="私立",前提条件!$C$22,前提条件!$C$21),IF(K8&lt;=11,IF(入力データ!$H$27="私立",前提条件!$C$24,前提条件!$C$23),IF(K8&lt;=14,IF(入力データ!$I$27="私立",前提条件!$C$26,前提条件!$C$25),IF(K8&lt;=17,IF(入力データ!$J$27="私立",前提条件!$C$28,前提条件!$C$27),IF(K8&lt;=21,IF(入力データ!$K$27="国公立",前提条件!$C$29,IF(入力データ!$K$27="私立理系",前提条件!$C$31,前提条件!$C$30))+IF(入力データ!$L$27="下宿",前提条件!$C$32,0)+IF(K8=18,前提条件!$C$33,0),0)))))))*(1+前提条件!$C$13)^(K$3-$B$3))))</f>
        <v/>
      </c>
      <c r="L24" s="352">
        <f>IF(L$3="","",IF(入力データ!$C$17&lt;=0,0,IF(L$3="","",((SUM(入力データ!$C$58:$C$61)*12)+IF(L6="",0,IF(L6&lt;=5,IF(入力データ!$G$25="私立",前提条件!$C$22,前提条件!$C$21),IF(L6&lt;=11,IF(入力データ!$H$25="私立",前提条件!$C$24,前提条件!$C$23),IF(L6&lt;=14,IF(入力データ!$I$25="私立",前提条件!$C$26,前提条件!$C$25),IF(L6&lt;=17,IF(入力データ!$J$25="私立",前提条件!$C$28,前提条件!$C$27),IF(L6&lt;=21,IF(入力データ!$K$25="国公立",前提条件!$C$29,IF(入力データ!$K$25="私立理系",前提条件!$C$31,前提条件!$C$30))+IF(入力データ!$L$25="下宿",前提条件!$C$32,0)+IF(L6=18,前提条件!$C$33,0),0))))))+IF(L7="",0,IF(L7&lt;=5,IF(入力データ!$G$26="私立",前提条件!$C$22,前提条件!$C$21),IF(L7&lt;=11,IF(入力データ!$H$26="私立",前提条件!$C$24,前提条件!$C$23),IF(L7&lt;=14,IF(入力データ!$I$26="私立",前提条件!$C$26,前提条件!$C$25),IF(L7&lt;=17,IF(入力データ!$J$26="私立",前提条件!$C$28,前提条件!$C$27),IF(L7&lt;=21,IF(入力データ!$K$26="国公立",前提条件!$C$29,IF(入力データ!$K$26="私立理系",前提条件!$C$31,前提条件!$C$30))+IF(入力データ!$L$26="下宿",前提条件!$C$32,0)+IF(L7=18,前提条件!$C$33,0),0))))))+IF(L8="",0,IF(L8&lt;=5,IF(入力データ!$G$27="私立",前提条件!$C$22,前提条件!$C$21),IF(L8&lt;=11,IF(入力データ!$H$27="私立",前提条件!$C$24,前提条件!$C$23),IF(L8&lt;=14,IF(入力データ!$I$27="私立",前提条件!$C$26,前提条件!$C$25),IF(L8&lt;=17,IF(入力データ!$J$27="私立",前提条件!$C$28,前提条件!$C$27),IF(L8&lt;=21,IF(入力データ!$K$27="国公立",前提条件!$C$29,IF(入力データ!$K$27="私立理系",前提条件!$C$31,前提条件!$C$30))+IF(入力データ!$L$27="下宿",前提条件!$C$32,0)+IF(L8=18,前提条件!$C$33,0),0)))))))*(1+前提条件!$C$13)^(L$3-$B$3))))</f>
        <v/>
      </c>
      <c r="M24" s="352">
        <f>IF(M$3="","",IF(入力データ!$C$17&lt;=0,0,IF(M$3="","",((SUM(入力データ!$C$58:$C$61)*12)+IF(M6="",0,IF(M6&lt;=5,IF(入力データ!$G$25="私立",前提条件!$C$22,前提条件!$C$21),IF(M6&lt;=11,IF(入力データ!$H$25="私立",前提条件!$C$24,前提条件!$C$23),IF(M6&lt;=14,IF(入力データ!$I$25="私立",前提条件!$C$26,前提条件!$C$25),IF(M6&lt;=17,IF(入力データ!$J$25="私立",前提条件!$C$28,前提条件!$C$27),IF(M6&lt;=21,IF(入力データ!$K$25="国公立",前提条件!$C$29,IF(入力データ!$K$25="私立理系",前提条件!$C$31,前提条件!$C$30))+IF(入力データ!$L$25="下宿",前提条件!$C$32,0)+IF(M6=18,前提条件!$C$33,0),0))))))+IF(M7="",0,IF(M7&lt;=5,IF(入力データ!$G$26="私立",前提条件!$C$22,前提条件!$C$21),IF(M7&lt;=11,IF(入力データ!$H$26="私立",前提条件!$C$24,前提条件!$C$23),IF(M7&lt;=14,IF(入力データ!$I$26="私立",前提条件!$C$26,前提条件!$C$25),IF(M7&lt;=17,IF(入力データ!$J$26="私立",前提条件!$C$28,前提条件!$C$27),IF(M7&lt;=21,IF(入力データ!$K$26="国公立",前提条件!$C$29,IF(入力データ!$K$26="私立理系",前提条件!$C$31,前提条件!$C$30))+IF(入力データ!$L$26="下宿",前提条件!$C$32,0)+IF(M7=18,前提条件!$C$33,0),0))))))+IF(M8="",0,IF(M8&lt;=5,IF(入力データ!$G$27="私立",前提条件!$C$22,前提条件!$C$21),IF(M8&lt;=11,IF(入力データ!$H$27="私立",前提条件!$C$24,前提条件!$C$23),IF(M8&lt;=14,IF(入力データ!$I$27="私立",前提条件!$C$26,前提条件!$C$25),IF(M8&lt;=17,IF(入力データ!$J$27="私立",前提条件!$C$28,前提条件!$C$27),IF(M8&lt;=21,IF(入力データ!$K$27="国公立",前提条件!$C$29,IF(入力データ!$K$27="私立理系",前提条件!$C$31,前提条件!$C$30))+IF(入力データ!$L$27="下宿",前提条件!$C$32,0)+IF(M8=18,前提条件!$C$33,0),0)))))))*(1+前提条件!$C$13)^(M$3-$B$3))))</f>
        <v/>
      </c>
      <c r="N24" s="352">
        <f>IF(N$3="","",IF(入力データ!$C$17&lt;=0,0,IF(N$3="","",((SUM(入力データ!$C$58:$C$61)*12)+IF(N6="",0,IF(N6&lt;=5,IF(入力データ!$G$25="私立",前提条件!$C$22,前提条件!$C$21),IF(N6&lt;=11,IF(入力データ!$H$25="私立",前提条件!$C$24,前提条件!$C$23),IF(N6&lt;=14,IF(入力データ!$I$25="私立",前提条件!$C$26,前提条件!$C$25),IF(N6&lt;=17,IF(入力データ!$J$25="私立",前提条件!$C$28,前提条件!$C$27),IF(N6&lt;=21,IF(入力データ!$K$25="国公立",前提条件!$C$29,IF(入力データ!$K$25="私立理系",前提条件!$C$31,前提条件!$C$30))+IF(入力データ!$L$25="下宿",前提条件!$C$32,0)+IF(N6=18,前提条件!$C$33,0),0))))))+IF(N7="",0,IF(N7&lt;=5,IF(入力データ!$G$26="私立",前提条件!$C$22,前提条件!$C$21),IF(N7&lt;=11,IF(入力データ!$H$26="私立",前提条件!$C$24,前提条件!$C$23),IF(N7&lt;=14,IF(入力データ!$I$26="私立",前提条件!$C$26,前提条件!$C$25),IF(N7&lt;=17,IF(入力データ!$J$26="私立",前提条件!$C$28,前提条件!$C$27),IF(N7&lt;=21,IF(入力データ!$K$26="国公立",前提条件!$C$29,IF(入力データ!$K$26="私立理系",前提条件!$C$31,前提条件!$C$30))+IF(入力データ!$L$26="下宿",前提条件!$C$32,0)+IF(N7=18,前提条件!$C$33,0),0))))))+IF(N8="",0,IF(N8&lt;=5,IF(入力データ!$G$27="私立",前提条件!$C$22,前提条件!$C$21),IF(N8&lt;=11,IF(入力データ!$H$27="私立",前提条件!$C$24,前提条件!$C$23),IF(N8&lt;=14,IF(入力データ!$I$27="私立",前提条件!$C$26,前提条件!$C$25),IF(N8&lt;=17,IF(入力データ!$J$27="私立",前提条件!$C$28,前提条件!$C$27),IF(N8&lt;=21,IF(入力データ!$K$27="国公立",前提条件!$C$29,IF(入力データ!$K$27="私立理系",前提条件!$C$31,前提条件!$C$30))+IF(入力データ!$L$27="下宿",前提条件!$C$32,0)+IF(N8=18,前提条件!$C$33,0),0)))))))*(1+前提条件!$C$13)^(N$3-$B$3))))</f>
        <v/>
      </c>
      <c r="O24" s="352">
        <f>IF(O$3="","",IF(入力データ!$C$17&lt;=0,0,IF(O$3="","",((SUM(入力データ!$C$58:$C$61)*12)+IF(O6="",0,IF(O6&lt;=5,IF(入力データ!$G$25="私立",前提条件!$C$22,前提条件!$C$21),IF(O6&lt;=11,IF(入力データ!$H$25="私立",前提条件!$C$24,前提条件!$C$23),IF(O6&lt;=14,IF(入力データ!$I$25="私立",前提条件!$C$26,前提条件!$C$25),IF(O6&lt;=17,IF(入力データ!$J$25="私立",前提条件!$C$28,前提条件!$C$27),IF(O6&lt;=21,IF(入力データ!$K$25="国公立",前提条件!$C$29,IF(入力データ!$K$25="私立理系",前提条件!$C$31,前提条件!$C$30))+IF(入力データ!$L$25="下宿",前提条件!$C$32,0)+IF(O6=18,前提条件!$C$33,0),0))))))+IF(O7="",0,IF(O7&lt;=5,IF(入力データ!$G$26="私立",前提条件!$C$22,前提条件!$C$21),IF(O7&lt;=11,IF(入力データ!$H$26="私立",前提条件!$C$24,前提条件!$C$23),IF(O7&lt;=14,IF(入力データ!$I$26="私立",前提条件!$C$26,前提条件!$C$25),IF(O7&lt;=17,IF(入力データ!$J$26="私立",前提条件!$C$28,前提条件!$C$27),IF(O7&lt;=21,IF(入力データ!$K$26="国公立",前提条件!$C$29,IF(入力データ!$K$26="私立理系",前提条件!$C$31,前提条件!$C$30))+IF(入力データ!$L$26="下宿",前提条件!$C$32,0)+IF(O7=18,前提条件!$C$33,0),0))))))+IF(O8="",0,IF(O8&lt;=5,IF(入力データ!$G$27="私立",前提条件!$C$22,前提条件!$C$21),IF(O8&lt;=11,IF(入力データ!$H$27="私立",前提条件!$C$24,前提条件!$C$23),IF(O8&lt;=14,IF(入力データ!$I$27="私立",前提条件!$C$26,前提条件!$C$25),IF(O8&lt;=17,IF(入力データ!$J$27="私立",前提条件!$C$28,前提条件!$C$27),IF(O8&lt;=21,IF(入力データ!$K$27="国公立",前提条件!$C$29,IF(入力データ!$K$27="私立理系",前提条件!$C$31,前提条件!$C$30))+IF(入力データ!$L$27="下宿",前提条件!$C$32,0)+IF(O8=18,前提条件!$C$33,0),0)))))))*(1+前提条件!$C$13)^(O$3-$B$3))))</f>
        <v/>
      </c>
      <c r="P24" s="352">
        <f>IF(P$3="","",IF(入力データ!$C$17&lt;=0,0,IF(P$3="","",((SUM(入力データ!$C$58:$C$61)*12)+IF(P6="",0,IF(P6&lt;=5,IF(入力データ!$G$25="私立",前提条件!$C$22,前提条件!$C$21),IF(P6&lt;=11,IF(入力データ!$H$25="私立",前提条件!$C$24,前提条件!$C$23),IF(P6&lt;=14,IF(入力データ!$I$25="私立",前提条件!$C$26,前提条件!$C$25),IF(P6&lt;=17,IF(入力データ!$J$25="私立",前提条件!$C$28,前提条件!$C$27),IF(P6&lt;=21,IF(入力データ!$K$25="国公立",前提条件!$C$29,IF(入力データ!$K$25="私立理系",前提条件!$C$31,前提条件!$C$30))+IF(入力データ!$L$25="下宿",前提条件!$C$32,0)+IF(P6=18,前提条件!$C$33,0),0))))))+IF(P7="",0,IF(P7&lt;=5,IF(入力データ!$G$26="私立",前提条件!$C$22,前提条件!$C$21),IF(P7&lt;=11,IF(入力データ!$H$26="私立",前提条件!$C$24,前提条件!$C$23),IF(P7&lt;=14,IF(入力データ!$I$26="私立",前提条件!$C$26,前提条件!$C$25),IF(P7&lt;=17,IF(入力データ!$J$26="私立",前提条件!$C$28,前提条件!$C$27),IF(P7&lt;=21,IF(入力データ!$K$26="国公立",前提条件!$C$29,IF(入力データ!$K$26="私立理系",前提条件!$C$31,前提条件!$C$30))+IF(入力データ!$L$26="下宿",前提条件!$C$32,0)+IF(P7=18,前提条件!$C$33,0),0))))))+IF(P8="",0,IF(P8&lt;=5,IF(入力データ!$G$27="私立",前提条件!$C$22,前提条件!$C$21),IF(P8&lt;=11,IF(入力データ!$H$27="私立",前提条件!$C$24,前提条件!$C$23),IF(P8&lt;=14,IF(入力データ!$I$27="私立",前提条件!$C$26,前提条件!$C$25),IF(P8&lt;=17,IF(入力データ!$J$27="私立",前提条件!$C$28,前提条件!$C$27),IF(P8&lt;=21,IF(入力データ!$K$27="国公立",前提条件!$C$29,IF(入力データ!$K$27="私立理系",前提条件!$C$31,前提条件!$C$30))+IF(入力データ!$L$27="下宿",前提条件!$C$32,0)+IF(P8=18,前提条件!$C$33,0),0)))))))*(1+前提条件!$C$13)^(P$3-$B$3))))</f>
        <v/>
      </c>
      <c r="Q24" s="352">
        <f>IF(Q$3="","",IF(入力データ!$C$17&lt;=0,0,IF(Q$3="","",((SUM(入力データ!$C$58:$C$61)*12)+IF(Q6="",0,IF(Q6&lt;=5,IF(入力データ!$G$25="私立",前提条件!$C$22,前提条件!$C$21),IF(Q6&lt;=11,IF(入力データ!$H$25="私立",前提条件!$C$24,前提条件!$C$23),IF(Q6&lt;=14,IF(入力データ!$I$25="私立",前提条件!$C$26,前提条件!$C$25),IF(Q6&lt;=17,IF(入力データ!$J$25="私立",前提条件!$C$28,前提条件!$C$27),IF(Q6&lt;=21,IF(入力データ!$K$25="国公立",前提条件!$C$29,IF(入力データ!$K$25="私立理系",前提条件!$C$31,前提条件!$C$30))+IF(入力データ!$L$25="下宿",前提条件!$C$32,0)+IF(Q6=18,前提条件!$C$33,0),0))))))+IF(Q7="",0,IF(Q7&lt;=5,IF(入力データ!$G$26="私立",前提条件!$C$22,前提条件!$C$21),IF(Q7&lt;=11,IF(入力データ!$H$26="私立",前提条件!$C$24,前提条件!$C$23),IF(Q7&lt;=14,IF(入力データ!$I$26="私立",前提条件!$C$26,前提条件!$C$25),IF(Q7&lt;=17,IF(入力データ!$J$26="私立",前提条件!$C$28,前提条件!$C$27),IF(Q7&lt;=21,IF(入力データ!$K$26="国公立",前提条件!$C$29,IF(入力データ!$K$26="私立理系",前提条件!$C$31,前提条件!$C$30))+IF(入力データ!$L$26="下宿",前提条件!$C$32,0)+IF(Q7=18,前提条件!$C$33,0),0))))))+IF(Q8="",0,IF(Q8&lt;=5,IF(入力データ!$G$27="私立",前提条件!$C$22,前提条件!$C$21),IF(Q8&lt;=11,IF(入力データ!$H$27="私立",前提条件!$C$24,前提条件!$C$23),IF(Q8&lt;=14,IF(入力データ!$I$27="私立",前提条件!$C$26,前提条件!$C$25),IF(Q8&lt;=17,IF(入力データ!$J$27="私立",前提条件!$C$28,前提条件!$C$27),IF(Q8&lt;=21,IF(入力データ!$K$27="国公立",前提条件!$C$29,IF(入力データ!$K$27="私立理系",前提条件!$C$31,前提条件!$C$30))+IF(入力データ!$L$27="下宿",前提条件!$C$32,0)+IF(Q8=18,前提条件!$C$33,0),0)))))))*(1+前提条件!$C$13)^(Q$3-$B$3))))</f>
        <v/>
      </c>
      <c r="R24" s="352">
        <f>IF(R$3="","",IF(入力データ!$C$17&lt;=0,0,IF(R$3="","",((SUM(入力データ!$C$58:$C$61)*12)+IF(R6="",0,IF(R6&lt;=5,IF(入力データ!$G$25="私立",前提条件!$C$22,前提条件!$C$21),IF(R6&lt;=11,IF(入力データ!$H$25="私立",前提条件!$C$24,前提条件!$C$23),IF(R6&lt;=14,IF(入力データ!$I$25="私立",前提条件!$C$26,前提条件!$C$25),IF(R6&lt;=17,IF(入力データ!$J$25="私立",前提条件!$C$28,前提条件!$C$27),IF(R6&lt;=21,IF(入力データ!$K$25="国公立",前提条件!$C$29,IF(入力データ!$K$25="私立理系",前提条件!$C$31,前提条件!$C$30))+IF(入力データ!$L$25="下宿",前提条件!$C$32,0)+IF(R6=18,前提条件!$C$33,0),0))))))+IF(R7="",0,IF(R7&lt;=5,IF(入力データ!$G$26="私立",前提条件!$C$22,前提条件!$C$21),IF(R7&lt;=11,IF(入力データ!$H$26="私立",前提条件!$C$24,前提条件!$C$23),IF(R7&lt;=14,IF(入力データ!$I$26="私立",前提条件!$C$26,前提条件!$C$25),IF(R7&lt;=17,IF(入力データ!$J$26="私立",前提条件!$C$28,前提条件!$C$27),IF(R7&lt;=21,IF(入力データ!$K$26="国公立",前提条件!$C$29,IF(入力データ!$K$26="私立理系",前提条件!$C$31,前提条件!$C$30))+IF(入力データ!$L$26="下宿",前提条件!$C$32,0)+IF(R7=18,前提条件!$C$33,0),0))))))+IF(R8="",0,IF(R8&lt;=5,IF(入力データ!$G$27="私立",前提条件!$C$22,前提条件!$C$21),IF(R8&lt;=11,IF(入力データ!$H$27="私立",前提条件!$C$24,前提条件!$C$23),IF(R8&lt;=14,IF(入力データ!$I$27="私立",前提条件!$C$26,前提条件!$C$25),IF(R8&lt;=17,IF(入力データ!$J$27="私立",前提条件!$C$28,前提条件!$C$27),IF(R8&lt;=21,IF(入力データ!$K$27="国公立",前提条件!$C$29,IF(入力データ!$K$27="私立理系",前提条件!$C$31,前提条件!$C$30))+IF(入力データ!$L$27="下宿",前提条件!$C$32,0)+IF(R8=18,前提条件!$C$33,0),0)))))))*(1+前提条件!$C$13)^(R$3-$B$3))))</f>
        <v/>
      </c>
      <c r="S24" s="352">
        <f>IF(S$3="","",IF(入力データ!$C$17&lt;=0,0,IF(S$3="","",((SUM(入力データ!$C$58:$C$61)*12)+IF(S6="",0,IF(S6&lt;=5,IF(入力データ!$G$25="私立",前提条件!$C$22,前提条件!$C$21),IF(S6&lt;=11,IF(入力データ!$H$25="私立",前提条件!$C$24,前提条件!$C$23),IF(S6&lt;=14,IF(入力データ!$I$25="私立",前提条件!$C$26,前提条件!$C$25),IF(S6&lt;=17,IF(入力データ!$J$25="私立",前提条件!$C$28,前提条件!$C$27),IF(S6&lt;=21,IF(入力データ!$K$25="国公立",前提条件!$C$29,IF(入力データ!$K$25="私立理系",前提条件!$C$31,前提条件!$C$30))+IF(入力データ!$L$25="下宿",前提条件!$C$32,0)+IF(S6=18,前提条件!$C$33,0),0))))))+IF(S7="",0,IF(S7&lt;=5,IF(入力データ!$G$26="私立",前提条件!$C$22,前提条件!$C$21),IF(S7&lt;=11,IF(入力データ!$H$26="私立",前提条件!$C$24,前提条件!$C$23),IF(S7&lt;=14,IF(入力データ!$I$26="私立",前提条件!$C$26,前提条件!$C$25),IF(S7&lt;=17,IF(入力データ!$J$26="私立",前提条件!$C$28,前提条件!$C$27),IF(S7&lt;=21,IF(入力データ!$K$26="国公立",前提条件!$C$29,IF(入力データ!$K$26="私立理系",前提条件!$C$31,前提条件!$C$30))+IF(入力データ!$L$26="下宿",前提条件!$C$32,0)+IF(S7=18,前提条件!$C$33,0),0))))))+IF(S8="",0,IF(S8&lt;=5,IF(入力データ!$G$27="私立",前提条件!$C$22,前提条件!$C$21),IF(S8&lt;=11,IF(入力データ!$H$27="私立",前提条件!$C$24,前提条件!$C$23),IF(S8&lt;=14,IF(入力データ!$I$27="私立",前提条件!$C$26,前提条件!$C$25),IF(S8&lt;=17,IF(入力データ!$J$27="私立",前提条件!$C$28,前提条件!$C$27),IF(S8&lt;=21,IF(入力データ!$K$27="国公立",前提条件!$C$29,IF(入力データ!$K$27="私立理系",前提条件!$C$31,前提条件!$C$30))+IF(入力データ!$L$27="下宿",前提条件!$C$32,0)+IF(S8=18,前提条件!$C$33,0),0)))))))*(1+前提条件!$C$13)^(S$3-$B$3))))</f>
        <v/>
      </c>
      <c r="T24" s="352">
        <f>IF(T$3="","",IF(入力データ!$C$17&lt;=0,0,IF(T$3="","",((SUM(入力データ!$C$58:$C$61)*12)+IF(T6="",0,IF(T6&lt;=5,IF(入力データ!$G$25="私立",前提条件!$C$22,前提条件!$C$21),IF(T6&lt;=11,IF(入力データ!$H$25="私立",前提条件!$C$24,前提条件!$C$23),IF(T6&lt;=14,IF(入力データ!$I$25="私立",前提条件!$C$26,前提条件!$C$25),IF(T6&lt;=17,IF(入力データ!$J$25="私立",前提条件!$C$28,前提条件!$C$27),IF(T6&lt;=21,IF(入力データ!$K$25="国公立",前提条件!$C$29,IF(入力データ!$K$25="私立理系",前提条件!$C$31,前提条件!$C$30))+IF(入力データ!$L$25="下宿",前提条件!$C$32,0)+IF(T6=18,前提条件!$C$33,0),0))))))+IF(T7="",0,IF(T7&lt;=5,IF(入力データ!$G$26="私立",前提条件!$C$22,前提条件!$C$21),IF(T7&lt;=11,IF(入力データ!$H$26="私立",前提条件!$C$24,前提条件!$C$23),IF(T7&lt;=14,IF(入力データ!$I$26="私立",前提条件!$C$26,前提条件!$C$25),IF(T7&lt;=17,IF(入力データ!$J$26="私立",前提条件!$C$28,前提条件!$C$27),IF(T7&lt;=21,IF(入力データ!$K$26="国公立",前提条件!$C$29,IF(入力データ!$K$26="私立理系",前提条件!$C$31,前提条件!$C$30))+IF(入力データ!$L$26="下宿",前提条件!$C$32,0)+IF(T7=18,前提条件!$C$33,0),0))))))+IF(T8="",0,IF(T8&lt;=5,IF(入力データ!$G$27="私立",前提条件!$C$22,前提条件!$C$21),IF(T8&lt;=11,IF(入力データ!$H$27="私立",前提条件!$C$24,前提条件!$C$23),IF(T8&lt;=14,IF(入力データ!$I$27="私立",前提条件!$C$26,前提条件!$C$25),IF(T8&lt;=17,IF(入力データ!$J$27="私立",前提条件!$C$28,前提条件!$C$27),IF(T8&lt;=21,IF(入力データ!$K$27="国公立",前提条件!$C$29,IF(入力データ!$K$27="私立理系",前提条件!$C$31,前提条件!$C$30))+IF(入力データ!$L$27="下宿",前提条件!$C$32,0)+IF(T8=18,前提条件!$C$33,0),0)))))))*(1+前提条件!$C$13)^(T$3-$B$3))))</f>
        <v/>
      </c>
      <c r="U24" s="352">
        <f>IF(U$3="","",IF(入力データ!$C$17&lt;=0,0,IF(U$3="","",((SUM(入力データ!$C$58:$C$61)*12)+IF(U6="",0,IF(U6&lt;=5,IF(入力データ!$G$25="私立",前提条件!$C$22,前提条件!$C$21),IF(U6&lt;=11,IF(入力データ!$H$25="私立",前提条件!$C$24,前提条件!$C$23),IF(U6&lt;=14,IF(入力データ!$I$25="私立",前提条件!$C$26,前提条件!$C$25),IF(U6&lt;=17,IF(入力データ!$J$25="私立",前提条件!$C$28,前提条件!$C$27),IF(U6&lt;=21,IF(入力データ!$K$25="国公立",前提条件!$C$29,IF(入力データ!$K$25="私立理系",前提条件!$C$31,前提条件!$C$30))+IF(入力データ!$L$25="下宿",前提条件!$C$32,0)+IF(U6=18,前提条件!$C$33,0),0))))))+IF(U7="",0,IF(U7&lt;=5,IF(入力データ!$G$26="私立",前提条件!$C$22,前提条件!$C$21),IF(U7&lt;=11,IF(入力データ!$H$26="私立",前提条件!$C$24,前提条件!$C$23),IF(U7&lt;=14,IF(入力データ!$I$26="私立",前提条件!$C$26,前提条件!$C$25),IF(U7&lt;=17,IF(入力データ!$J$26="私立",前提条件!$C$28,前提条件!$C$27),IF(U7&lt;=21,IF(入力データ!$K$26="国公立",前提条件!$C$29,IF(入力データ!$K$26="私立理系",前提条件!$C$31,前提条件!$C$30))+IF(入力データ!$L$26="下宿",前提条件!$C$32,0)+IF(U7=18,前提条件!$C$33,0),0))))))+IF(U8="",0,IF(U8&lt;=5,IF(入力データ!$G$27="私立",前提条件!$C$22,前提条件!$C$21),IF(U8&lt;=11,IF(入力データ!$H$27="私立",前提条件!$C$24,前提条件!$C$23),IF(U8&lt;=14,IF(入力データ!$I$27="私立",前提条件!$C$26,前提条件!$C$25),IF(U8&lt;=17,IF(入力データ!$J$27="私立",前提条件!$C$28,前提条件!$C$27),IF(U8&lt;=21,IF(入力データ!$K$27="国公立",前提条件!$C$29,IF(入力データ!$K$27="私立理系",前提条件!$C$31,前提条件!$C$30))+IF(入力データ!$L$27="下宿",前提条件!$C$32,0)+IF(U8=18,前提条件!$C$33,0),0)))))))*(1+前提条件!$C$13)^(U$3-$B$3))))</f>
        <v/>
      </c>
      <c r="V24" s="352">
        <f>IF(V$3="","",IF(入力データ!$C$17&lt;=0,0,IF(V$3="","",((SUM(入力データ!$C$58:$C$61)*12)+IF(V6="",0,IF(V6&lt;=5,IF(入力データ!$G$25="私立",前提条件!$C$22,前提条件!$C$21),IF(V6&lt;=11,IF(入力データ!$H$25="私立",前提条件!$C$24,前提条件!$C$23),IF(V6&lt;=14,IF(入力データ!$I$25="私立",前提条件!$C$26,前提条件!$C$25),IF(V6&lt;=17,IF(入力データ!$J$25="私立",前提条件!$C$28,前提条件!$C$27),IF(V6&lt;=21,IF(入力データ!$K$25="国公立",前提条件!$C$29,IF(入力データ!$K$25="私立理系",前提条件!$C$31,前提条件!$C$30))+IF(入力データ!$L$25="下宿",前提条件!$C$32,0)+IF(V6=18,前提条件!$C$33,0),0))))))+IF(V7="",0,IF(V7&lt;=5,IF(入力データ!$G$26="私立",前提条件!$C$22,前提条件!$C$21),IF(V7&lt;=11,IF(入力データ!$H$26="私立",前提条件!$C$24,前提条件!$C$23),IF(V7&lt;=14,IF(入力データ!$I$26="私立",前提条件!$C$26,前提条件!$C$25),IF(V7&lt;=17,IF(入力データ!$J$26="私立",前提条件!$C$28,前提条件!$C$27),IF(V7&lt;=21,IF(入力データ!$K$26="国公立",前提条件!$C$29,IF(入力データ!$K$26="私立理系",前提条件!$C$31,前提条件!$C$30))+IF(入力データ!$L$26="下宿",前提条件!$C$32,0)+IF(V7=18,前提条件!$C$33,0),0))))))+IF(V8="",0,IF(V8&lt;=5,IF(入力データ!$G$27="私立",前提条件!$C$22,前提条件!$C$21),IF(V8&lt;=11,IF(入力データ!$H$27="私立",前提条件!$C$24,前提条件!$C$23),IF(V8&lt;=14,IF(入力データ!$I$27="私立",前提条件!$C$26,前提条件!$C$25),IF(V8&lt;=17,IF(入力データ!$J$27="私立",前提条件!$C$28,前提条件!$C$27),IF(V8&lt;=21,IF(入力データ!$K$27="国公立",前提条件!$C$29,IF(入力データ!$K$27="私立理系",前提条件!$C$31,前提条件!$C$30))+IF(入力データ!$L$27="下宿",前提条件!$C$32,0)+IF(V8=18,前提条件!$C$33,0),0)))))))*(1+前提条件!$C$13)^(V$3-$B$3))))</f>
        <v/>
      </c>
      <c r="W24" s="352">
        <f>IF(W$3="","",IF(入力データ!$C$17&lt;=0,0,IF(W$3="","",((SUM(入力データ!$C$58:$C$61)*12)+IF(W6="",0,IF(W6&lt;=5,IF(入力データ!$G$25="私立",前提条件!$C$22,前提条件!$C$21),IF(W6&lt;=11,IF(入力データ!$H$25="私立",前提条件!$C$24,前提条件!$C$23),IF(W6&lt;=14,IF(入力データ!$I$25="私立",前提条件!$C$26,前提条件!$C$25),IF(W6&lt;=17,IF(入力データ!$J$25="私立",前提条件!$C$28,前提条件!$C$27),IF(W6&lt;=21,IF(入力データ!$K$25="国公立",前提条件!$C$29,IF(入力データ!$K$25="私立理系",前提条件!$C$31,前提条件!$C$30))+IF(入力データ!$L$25="下宿",前提条件!$C$32,0)+IF(W6=18,前提条件!$C$33,0),0))))))+IF(W7="",0,IF(W7&lt;=5,IF(入力データ!$G$26="私立",前提条件!$C$22,前提条件!$C$21),IF(W7&lt;=11,IF(入力データ!$H$26="私立",前提条件!$C$24,前提条件!$C$23),IF(W7&lt;=14,IF(入力データ!$I$26="私立",前提条件!$C$26,前提条件!$C$25),IF(W7&lt;=17,IF(入力データ!$J$26="私立",前提条件!$C$28,前提条件!$C$27),IF(W7&lt;=21,IF(入力データ!$K$26="国公立",前提条件!$C$29,IF(入力データ!$K$26="私立理系",前提条件!$C$31,前提条件!$C$30))+IF(入力データ!$L$26="下宿",前提条件!$C$32,0)+IF(W7=18,前提条件!$C$33,0),0))))))+IF(W8="",0,IF(W8&lt;=5,IF(入力データ!$G$27="私立",前提条件!$C$22,前提条件!$C$21),IF(W8&lt;=11,IF(入力データ!$H$27="私立",前提条件!$C$24,前提条件!$C$23),IF(W8&lt;=14,IF(入力データ!$I$27="私立",前提条件!$C$26,前提条件!$C$25),IF(W8&lt;=17,IF(入力データ!$J$27="私立",前提条件!$C$28,前提条件!$C$27),IF(W8&lt;=21,IF(入力データ!$K$27="国公立",前提条件!$C$29,IF(入力データ!$K$27="私立理系",前提条件!$C$31,前提条件!$C$30))+IF(入力データ!$L$27="下宿",前提条件!$C$32,0)+IF(W8=18,前提条件!$C$33,0),0)))))))*(1+前提条件!$C$13)^(W$3-$B$3))))</f>
        <v/>
      </c>
      <c r="X24" s="352">
        <f>IF(X$3="","",IF(入力データ!$C$17&lt;=0,0,IF(X$3="","",((SUM(入力データ!$C$58:$C$61)*12)+IF(X6="",0,IF(X6&lt;=5,IF(入力データ!$G$25="私立",前提条件!$C$22,前提条件!$C$21),IF(X6&lt;=11,IF(入力データ!$H$25="私立",前提条件!$C$24,前提条件!$C$23),IF(X6&lt;=14,IF(入力データ!$I$25="私立",前提条件!$C$26,前提条件!$C$25),IF(X6&lt;=17,IF(入力データ!$J$25="私立",前提条件!$C$28,前提条件!$C$27),IF(X6&lt;=21,IF(入力データ!$K$25="国公立",前提条件!$C$29,IF(入力データ!$K$25="私立理系",前提条件!$C$31,前提条件!$C$30))+IF(入力データ!$L$25="下宿",前提条件!$C$32,0)+IF(X6=18,前提条件!$C$33,0),0))))))+IF(X7="",0,IF(X7&lt;=5,IF(入力データ!$G$26="私立",前提条件!$C$22,前提条件!$C$21),IF(X7&lt;=11,IF(入力データ!$H$26="私立",前提条件!$C$24,前提条件!$C$23),IF(X7&lt;=14,IF(入力データ!$I$26="私立",前提条件!$C$26,前提条件!$C$25),IF(X7&lt;=17,IF(入力データ!$J$26="私立",前提条件!$C$28,前提条件!$C$27),IF(X7&lt;=21,IF(入力データ!$K$26="国公立",前提条件!$C$29,IF(入力データ!$K$26="私立理系",前提条件!$C$31,前提条件!$C$30))+IF(入力データ!$L$26="下宿",前提条件!$C$32,0)+IF(X7=18,前提条件!$C$33,0),0))))))+IF(X8="",0,IF(X8&lt;=5,IF(入力データ!$G$27="私立",前提条件!$C$22,前提条件!$C$21),IF(X8&lt;=11,IF(入力データ!$H$27="私立",前提条件!$C$24,前提条件!$C$23),IF(X8&lt;=14,IF(入力データ!$I$27="私立",前提条件!$C$26,前提条件!$C$25),IF(X8&lt;=17,IF(入力データ!$J$27="私立",前提条件!$C$28,前提条件!$C$27),IF(X8&lt;=21,IF(入力データ!$K$27="国公立",前提条件!$C$29,IF(入力データ!$K$27="私立理系",前提条件!$C$31,前提条件!$C$30))+IF(入力データ!$L$27="下宿",前提条件!$C$32,0)+IF(X8=18,前提条件!$C$33,0),0)))))))*(1+前提条件!$C$13)^(X$3-$B$3))))</f>
        <v/>
      </c>
      <c r="Y24" s="352">
        <f>IF(Y$3="","",IF(入力データ!$C$17&lt;=0,0,IF(Y$3="","",((SUM(入力データ!$C$58:$C$61)*12)+IF(Y6="",0,IF(Y6&lt;=5,IF(入力データ!$G$25="私立",前提条件!$C$22,前提条件!$C$21),IF(Y6&lt;=11,IF(入力データ!$H$25="私立",前提条件!$C$24,前提条件!$C$23),IF(Y6&lt;=14,IF(入力データ!$I$25="私立",前提条件!$C$26,前提条件!$C$25),IF(Y6&lt;=17,IF(入力データ!$J$25="私立",前提条件!$C$28,前提条件!$C$27),IF(Y6&lt;=21,IF(入力データ!$K$25="国公立",前提条件!$C$29,IF(入力データ!$K$25="私立理系",前提条件!$C$31,前提条件!$C$30))+IF(入力データ!$L$25="下宿",前提条件!$C$32,0)+IF(Y6=18,前提条件!$C$33,0),0))))))+IF(Y7="",0,IF(Y7&lt;=5,IF(入力データ!$G$26="私立",前提条件!$C$22,前提条件!$C$21),IF(Y7&lt;=11,IF(入力データ!$H$26="私立",前提条件!$C$24,前提条件!$C$23),IF(Y7&lt;=14,IF(入力データ!$I$26="私立",前提条件!$C$26,前提条件!$C$25),IF(Y7&lt;=17,IF(入力データ!$J$26="私立",前提条件!$C$28,前提条件!$C$27),IF(Y7&lt;=21,IF(入力データ!$K$26="国公立",前提条件!$C$29,IF(入力データ!$K$26="私立理系",前提条件!$C$31,前提条件!$C$30))+IF(入力データ!$L$26="下宿",前提条件!$C$32,0)+IF(Y7=18,前提条件!$C$33,0),0))))))+IF(Y8="",0,IF(Y8&lt;=5,IF(入力データ!$G$27="私立",前提条件!$C$22,前提条件!$C$21),IF(Y8&lt;=11,IF(入力データ!$H$27="私立",前提条件!$C$24,前提条件!$C$23),IF(Y8&lt;=14,IF(入力データ!$I$27="私立",前提条件!$C$26,前提条件!$C$25),IF(Y8&lt;=17,IF(入力データ!$J$27="私立",前提条件!$C$28,前提条件!$C$27),IF(Y8&lt;=21,IF(入力データ!$K$27="国公立",前提条件!$C$29,IF(入力データ!$K$27="私立理系",前提条件!$C$31,前提条件!$C$30))+IF(入力データ!$L$27="下宿",前提条件!$C$32,0)+IF(Y8=18,前提条件!$C$33,0),0)))))))*(1+前提条件!$C$13)^(Y$3-$B$3))))</f>
        <v/>
      </c>
      <c r="Z24" s="352">
        <f>IF(Z$3="","",IF(入力データ!$C$17&lt;=0,0,IF(Z$3="","",((SUM(入力データ!$C$58:$C$61)*12)+IF(Z6="",0,IF(Z6&lt;=5,IF(入力データ!$G$25="私立",前提条件!$C$22,前提条件!$C$21),IF(Z6&lt;=11,IF(入力データ!$H$25="私立",前提条件!$C$24,前提条件!$C$23),IF(Z6&lt;=14,IF(入力データ!$I$25="私立",前提条件!$C$26,前提条件!$C$25),IF(Z6&lt;=17,IF(入力データ!$J$25="私立",前提条件!$C$28,前提条件!$C$27),IF(Z6&lt;=21,IF(入力データ!$K$25="国公立",前提条件!$C$29,IF(入力データ!$K$25="私立理系",前提条件!$C$31,前提条件!$C$30))+IF(入力データ!$L$25="下宿",前提条件!$C$32,0)+IF(Z6=18,前提条件!$C$33,0),0))))))+IF(Z7="",0,IF(Z7&lt;=5,IF(入力データ!$G$26="私立",前提条件!$C$22,前提条件!$C$21),IF(Z7&lt;=11,IF(入力データ!$H$26="私立",前提条件!$C$24,前提条件!$C$23),IF(Z7&lt;=14,IF(入力データ!$I$26="私立",前提条件!$C$26,前提条件!$C$25),IF(Z7&lt;=17,IF(入力データ!$J$26="私立",前提条件!$C$28,前提条件!$C$27),IF(Z7&lt;=21,IF(入力データ!$K$26="国公立",前提条件!$C$29,IF(入力データ!$K$26="私立理系",前提条件!$C$31,前提条件!$C$30))+IF(入力データ!$L$26="下宿",前提条件!$C$32,0)+IF(Z7=18,前提条件!$C$33,0),0))))))+IF(Z8="",0,IF(Z8&lt;=5,IF(入力データ!$G$27="私立",前提条件!$C$22,前提条件!$C$21),IF(Z8&lt;=11,IF(入力データ!$H$27="私立",前提条件!$C$24,前提条件!$C$23),IF(Z8&lt;=14,IF(入力データ!$I$27="私立",前提条件!$C$26,前提条件!$C$25),IF(Z8&lt;=17,IF(入力データ!$J$27="私立",前提条件!$C$28,前提条件!$C$27),IF(Z8&lt;=21,IF(入力データ!$K$27="国公立",前提条件!$C$29,IF(入力データ!$K$27="私立理系",前提条件!$C$31,前提条件!$C$30))+IF(入力データ!$L$27="下宿",前提条件!$C$32,0)+IF(Z8=18,前提条件!$C$33,0),0)))))))*(1+前提条件!$C$13)^(Z$3-$B$3))))</f>
        <v/>
      </c>
      <c r="AA24" s="352">
        <f>IF(AA$3="","",IF(入力データ!$C$17&lt;=0,0,IF(AA$3="","",((SUM(入力データ!$C$58:$C$61)*12)+IF(AA6="",0,IF(AA6&lt;=5,IF(入力データ!$G$25="私立",前提条件!$C$22,前提条件!$C$21),IF(AA6&lt;=11,IF(入力データ!$H$25="私立",前提条件!$C$24,前提条件!$C$23),IF(AA6&lt;=14,IF(入力データ!$I$25="私立",前提条件!$C$26,前提条件!$C$25),IF(AA6&lt;=17,IF(入力データ!$J$25="私立",前提条件!$C$28,前提条件!$C$27),IF(AA6&lt;=21,IF(入力データ!$K$25="国公立",前提条件!$C$29,IF(入力データ!$K$25="私立理系",前提条件!$C$31,前提条件!$C$30))+IF(入力データ!$L$25="下宿",前提条件!$C$32,0)+IF(AA6=18,前提条件!$C$33,0),0))))))+IF(AA7="",0,IF(AA7&lt;=5,IF(入力データ!$G$26="私立",前提条件!$C$22,前提条件!$C$21),IF(AA7&lt;=11,IF(入力データ!$H$26="私立",前提条件!$C$24,前提条件!$C$23),IF(AA7&lt;=14,IF(入力データ!$I$26="私立",前提条件!$C$26,前提条件!$C$25),IF(AA7&lt;=17,IF(入力データ!$J$26="私立",前提条件!$C$28,前提条件!$C$27),IF(AA7&lt;=21,IF(入力データ!$K$26="国公立",前提条件!$C$29,IF(入力データ!$K$26="私立理系",前提条件!$C$31,前提条件!$C$30))+IF(入力データ!$L$26="下宿",前提条件!$C$32,0)+IF(AA7=18,前提条件!$C$33,0),0))))))+IF(AA8="",0,IF(AA8&lt;=5,IF(入力データ!$G$27="私立",前提条件!$C$22,前提条件!$C$21),IF(AA8&lt;=11,IF(入力データ!$H$27="私立",前提条件!$C$24,前提条件!$C$23),IF(AA8&lt;=14,IF(入力データ!$I$27="私立",前提条件!$C$26,前提条件!$C$25),IF(AA8&lt;=17,IF(入力データ!$J$27="私立",前提条件!$C$28,前提条件!$C$27),IF(AA8&lt;=21,IF(入力データ!$K$27="国公立",前提条件!$C$29,IF(入力データ!$K$27="私立理系",前提条件!$C$31,前提条件!$C$30))+IF(入力データ!$L$27="下宿",前提条件!$C$32,0)+IF(AA8=18,前提条件!$C$33,0),0)))))))*(1+前提条件!$C$13)^(AA$3-$B$3))))</f>
        <v/>
      </c>
      <c r="AB24" s="352">
        <f>IF(AB$3="","",IF(入力データ!$C$17&lt;=0,0,IF(AB$3="","",((SUM(入力データ!$C$58:$C$61)*12)+IF(AB6="",0,IF(AB6&lt;=5,IF(入力データ!$G$25="私立",前提条件!$C$22,前提条件!$C$21),IF(AB6&lt;=11,IF(入力データ!$H$25="私立",前提条件!$C$24,前提条件!$C$23),IF(AB6&lt;=14,IF(入力データ!$I$25="私立",前提条件!$C$26,前提条件!$C$25),IF(AB6&lt;=17,IF(入力データ!$J$25="私立",前提条件!$C$28,前提条件!$C$27),IF(AB6&lt;=21,IF(入力データ!$K$25="国公立",前提条件!$C$29,IF(入力データ!$K$25="私立理系",前提条件!$C$31,前提条件!$C$30))+IF(入力データ!$L$25="下宿",前提条件!$C$32,0)+IF(AB6=18,前提条件!$C$33,0),0))))))+IF(AB7="",0,IF(AB7&lt;=5,IF(入力データ!$G$26="私立",前提条件!$C$22,前提条件!$C$21),IF(AB7&lt;=11,IF(入力データ!$H$26="私立",前提条件!$C$24,前提条件!$C$23),IF(AB7&lt;=14,IF(入力データ!$I$26="私立",前提条件!$C$26,前提条件!$C$25),IF(AB7&lt;=17,IF(入力データ!$J$26="私立",前提条件!$C$28,前提条件!$C$27),IF(AB7&lt;=21,IF(入力データ!$K$26="国公立",前提条件!$C$29,IF(入力データ!$K$26="私立理系",前提条件!$C$31,前提条件!$C$30))+IF(入力データ!$L$26="下宿",前提条件!$C$32,0)+IF(AB7=18,前提条件!$C$33,0),0))))))+IF(AB8="",0,IF(AB8&lt;=5,IF(入力データ!$G$27="私立",前提条件!$C$22,前提条件!$C$21),IF(AB8&lt;=11,IF(入力データ!$H$27="私立",前提条件!$C$24,前提条件!$C$23),IF(AB8&lt;=14,IF(入力データ!$I$27="私立",前提条件!$C$26,前提条件!$C$25),IF(AB8&lt;=17,IF(入力データ!$J$27="私立",前提条件!$C$28,前提条件!$C$27),IF(AB8&lt;=21,IF(入力データ!$K$27="国公立",前提条件!$C$29,IF(入力データ!$K$27="私立理系",前提条件!$C$31,前提条件!$C$30))+IF(入力データ!$L$27="下宿",前提条件!$C$32,0)+IF(AB8=18,前提条件!$C$33,0),0)))))))*(1+前提条件!$C$13)^(AB$3-$B$3))))</f>
        <v/>
      </c>
      <c r="AC24" s="352">
        <f>IF(AC$3="","",IF(入力データ!$C$17&lt;=0,0,IF(AC$3="","",((SUM(入力データ!$C$58:$C$61)*12)+IF(AC6="",0,IF(AC6&lt;=5,IF(入力データ!$G$25="私立",前提条件!$C$22,前提条件!$C$21),IF(AC6&lt;=11,IF(入力データ!$H$25="私立",前提条件!$C$24,前提条件!$C$23),IF(AC6&lt;=14,IF(入力データ!$I$25="私立",前提条件!$C$26,前提条件!$C$25),IF(AC6&lt;=17,IF(入力データ!$J$25="私立",前提条件!$C$28,前提条件!$C$27),IF(AC6&lt;=21,IF(入力データ!$K$25="国公立",前提条件!$C$29,IF(入力データ!$K$25="私立理系",前提条件!$C$31,前提条件!$C$30))+IF(入力データ!$L$25="下宿",前提条件!$C$32,0)+IF(AC6=18,前提条件!$C$33,0),0))))))+IF(AC7="",0,IF(AC7&lt;=5,IF(入力データ!$G$26="私立",前提条件!$C$22,前提条件!$C$21),IF(AC7&lt;=11,IF(入力データ!$H$26="私立",前提条件!$C$24,前提条件!$C$23),IF(AC7&lt;=14,IF(入力データ!$I$26="私立",前提条件!$C$26,前提条件!$C$25),IF(AC7&lt;=17,IF(入力データ!$J$26="私立",前提条件!$C$28,前提条件!$C$27),IF(AC7&lt;=21,IF(入力データ!$K$26="国公立",前提条件!$C$29,IF(入力データ!$K$26="私立理系",前提条件!$C$31,前提条件!$C$30))+IF(入力データ!$L$26="下宿",前提条件!$C$32,0)+IF(AC7=18,前提条件!$C$33,0),0))))))+IF(AC8="",0,IF(AC8&lt;=5,IF(入力データ!$G$27="私立",前提条件!$C$22,前提条件!$C$21),IF(AC8&lt;=11,IF(入力データ!$H$27="私立",前提条件!$C$24,前提条件!$C$23),IF(AC8&lt;=14,IF(入力データ!$I$27="私立",前提条件!$C$26,前提条件!$C$25),IF(AC8&lt;=17,IF(入力データ!$J$27="私立",前提条件!$C$28,前提条件!$C$27),IF(AC8&lt;=21,IF(入力データ!$K$27="国公立",前提条件!$C$29,IF(入力データ!$K$27="私立理系",前提条件!$C$31,前提条件!$C$30))+IF(入力データ!$L$27="下宿",前提条件!$C$32,0)+IF(AC8=18,前提条件!$C$33,0),0)))))))*(1+前提条件!$C$13)^(AC$3-$B$3))))</f>
        <v/>
      </c>
      <c r="AD24" s="352">
        <f>IF(AD$3="","",IF(入力データ!$C$17&lt;=0,0,IF(AD$3="","",((SUM(入力データ!$C$58:$C$61)*12)+IF(AD6="",0,IF(AD6&lt;=5,IF(入力データ!$G$25="私立",前提条件!$C$22,前提条件!$C$21),IF(AD6&lt;=11,IF(入力データ!$H$25="私立",前提条件!$C$24,前提条件!$C$23),IF(AD6&lt;=14,IF(入力データ!$I$25="私立",前提条件!$C$26,前提条件!$C$25),IF(AD6&lt;=17,IF(入力データ!$J$25="私立",前提条件!$C$28,前提条件!$C$27),IF(AD6&lt;=21,IF(入力データ!$K$25="国公立",前提条件!$C$29,IF(入力データ!$K$25="私立理系",前提条件!$C$31,前提条件!$C$30))+IF(入力データ!$L$25="下宿",前提条件!$C$32,0)+IF(AD6=18,前提条件!$C$33,0),0))))))+IF(AD7="",0,IF(AD7&lt;=5,IF(入力データ!$G$26="私立",前提条件!$C$22,前提条件!$C$21),IF(AD7&lt;=11,IF(入力データ!$H$26="私立",前提条件!$C$24,前提条件!$C$23),IF(AD7&lt;=14,IF(入力データ!$I$26="私立",前提条件!$C$26,前提条件!$C$25),IF(AD7&lt;=17,IF(入力データ!$J$26="私立",前提条件!$C$28,前提条件!$C$27),IF(AD7&lt;=21,IF(入力データ!$K$26="国公立",前提条件!$C$29,IF(入力データ!$K$26="私立理系",前提条件!$C$31,前提条件!$C$30))+IF(入力データ!$L$26="下宿",前提条件!$C$32,0)+IF(AD7=18,前提条件!$C$33,0),0))))))+IF(AD8="",0,IF(AD8&lt;=5,IF(入力データ!$G$27="私立",前提条件!$C$22,前提条件!$C$21),IF(AD8&lt;=11,IF(入力データ!$H$27="私立",前提条件!$C$24,前提条件!$C$23),IF(AD8&lt;=14,IF(入力データ!$I$27="私立",前提条件!$C$26,前提条件!$C$25),IF(AD8&lt;=17,IF(入力データ!$J$27="私立",前提条件!$C$28,前提条件!$C$27),IF(AD8&lt;=21,IF(入力データ!$K$27="国公立",前提条件!$C$29,IF(入力データ!$K$27="私立理系",前提条件!$C$31,前提条件!$C$30))+IF(入力データ!$L$27="下宿",前提条件!$C$32,0)+IF(AD8=18,前提条件!$C$33,0),0)))))))*(1+前提条件!$C$13)^(AD$3-$B$3))))</f>
        <v/>
      </c>
      <c r="AE24" s="352">
        <f>IF(AE$3="","",IF(入力データ!$C$17&lt;=0,0,IF(AE$3="","",((SUM(入力データ!$C$58:$C$61)*12)+IF(AE6="",0,IF(AE6&lt;=5,IF(入力データ!$G$25="私立",前提条件!$C$22,前提条件!$C$21),IF(AE6&lt;=11,IF(入力データ!$H$25="私立",前提条件!$C$24,前提条件!$C$23),IF(AE6&lt;=14,IF(入力データ!$I$25="私立",前提条件!$C$26,前提条件!$C$25),IF(AE6&lt;=17,IF(入力データ!$J$25="私立",前提条件!$C$28,前提条件!$C$27),IF(AE6&lt;=21,IF(入力データ!$K$25="国公立",前提条件!$C$29,IF(入力データ!$K$25="私立理系",前提条件!$C$31,前提条件!$C$30))+IF(入力データ!$L$25="下宿",前提条件!$C$32,0)+IF(AE6=18,前提条件!$C$33,0),0))))))+IF(AE7="",0,IF(AE7&lt;=5,IF(入力データ!$G$26="私立",前提条件!$C$22,前提条件!$C$21),IF(AE7&lt;=11,IF(入力データ!$H$26="私立",前提条件!$C$24,前提条件!$C$23),IF(AE7&lt;=14,IF(入力データ!$I$26="私立",前提条件!$C$26,前提条件!$C$25),IF(AE7&lt;=17,IF(入力データ!$J$26="私立",前提条件!$C$28,前提条件!$C$27),IF(AE7&lt;=21,IF(入力データ!$K$26="国公立",前提条件!$C$29,IF(入力データ!$K$26="私立理系",前提条件!$C$31,前提条件!$C$30))+IF(入力データ!$L$26="下宿",前提条件!$C$32,0)+IF(AE7=18,前提条件!$C$33,0),0))))))+IF(AE8="",0,IF(AE8&lt;=5,IF(入力データ!$G$27="私立",前提条件!$C$22,前提条件!$C$21),IF(AE8&lt;=11,IF(入力データ!$H$27="私立",前提条件!$C$24,前提条件!$C$23),IF(AE8&lt;=14,IF(入力データ!$I$27="私立",前提条件!$C$26,前提条件!$C$25),IF(AE8&lt;=17,IF(入力データ!$J$27="私立",前提条件!$C$28,前提条件!$C$27),IF(AE8&lt;=21,IF(入力データ!$K$27="国公立",前提条件!$C$29,IF(入力データ!$K$27="私立理系",前提条件!$C$31,前提条件!$C$30))+IF(入力データ!$L$27="下宿",前提条件!$C$32,0)+IF(AE8=18,前提条件!$C$33,0),0)))))))*(1+前提条件!$C$13)^(AE$3-$B$3))))</f>
        <v/>
      </c>
      <c r="AF24" s="352">
        <f>IF(AF$3="","",IF(入力データ!$C$17&lt;=0,0,IF(AF$3="","",((SUM(入力データ!$C$58:$C$61)*12)+IF(AF6="",0,IF(AF6&lt;=5,IF(入力データ!$G$25="私立",前提条件!$C$22,前提条件!$C$21),IF(AF6&lt;=11,IF(入力データ!$H$25="私立",前提条件!$C$24,前提条件!$C$23),IF(AF6&lt;=14,IF(入力データ!$I$25="私立",前提条件!$C$26,前提条件!$C$25),IF(AF6&lt;=17,IF(入力データ!$J$25="私立",前提条件!$C$28,前提条件!$C$27),IF(AF6&lt;=21,IF(入力データ!$K$25="国公立",前提条件!$C$29,IF(入力データ!$K$25="私立理系",前提条件!$C$31,前提条件!$C$30))+IF(入力データ!$L$25="下宿",前提条件!$C$32,0)+IF(AF6=18,前提条件!$C$33,0),0))))))+IF(AF7="",0,IF(AF7&lt;=5,IF(入力データ!$G$26="私立",前提条件!$C$22,前提条件!$C$21),IF(AF7&lt;=11,IF(入力データ!$H$26="私立",前提条件!$C$24,前提条件!$C$23),IF(AF7&lt;=14,IF(入力データ!$I$26="私立",前提条件!$C$26,前提条件!$C$25),IF(AF7&lt;=17,IF(入力データ!$J$26="私立",前提条件!$C$28,前提条件!$C$27),IF(AF7&lt;=21,IF(入力データ!$K$26="国公立",前提条件!$C$29,IF(入力データ!$K$26="私立理系",前提条件!$C$31,前提条件!$C$30))+IF(入力データ!$L$26="下宿",前提条件!$C$32,0)+IF(AF7=18,前提条件!$C$33,0),0))))))+IF(AF8="",0,IF(AF8&lt;=5,IF(入力データ!$G$27="私立",前提条件!$C$22,前提条件!$C$21),IF(AF8&lt;=11,IF(入力データ!$H$27="私立",前提条件!$C$24,前提条件!$C$23),IF(AF8&lt;=14,IF(入力データ!$I$27="私立",前提条件!$C$26,前提条件!$C$25),IF(AF8&lt;=17,IF(入力データ!$J$27="私立",前提条件!$C$28,前提条件!$C$27),IF(AF8&lt;=21,IF(入力データ!$K$27="国公立",前提条件!$C$29,IF(入力データ!$K$27="私立理系",前提条件!$C$31,前提条件!$C$30))+IF(入力データ!$L$27="下宿",前提条件!$C$32,0)+IF(AF8=18,前提条件!$C$33,0),0)))))))*(1+前提条件!$C$13)^(AF$3-$B$3))))</f>
        <v/>
      </c>
      <c r="AG24" s="352">
        <f>IF(AG$3="","",IF(入力データ!$C$17&lt;=0,0,IF(AG$3="","",((SUM(入力データ!$C$58:$C$61)*12)+IF(AG6="",0,IF(AG6&lt;=5,IF(入力データ!$G$25="私立",前提条件!$C$22,前提条件!$C$21),IF(AG6&lt;=11,IF(入力データ!$H$25="私立",前提条件!$C$24,前提条件!$C$23),IF(AG6&lt;=14,IF(入力データ!$I$25="私立",前提条件!$C$26,前提条件!$C$25),IF(AG6&lt;=17,IF(入力データ!$J$25="私立",前提条件!$C$28,前提条件!$C$27),IF(AG6&lt;=21,IF(入力データ!$K$25="国公立",前提条件!$C$29,IF(入力データ!$K$25="私立理系",前提条件!$C$31,前提条件!$C$30))+IF(入力データ!$L$25="下宿",前提条件!$C$32,0)+IF(AG6=18,前提条件!$C$33,0),0))))))+IF(AG7="",0,IF(AG7&lt;=5,IF(入力データ!$G$26="私立",前提条件!$C$22,前提条件!$C$21),IF(AG7&lt;=11,IF(入力データ!$H$26="私立",前提条件!$C$24,前提条件!$C$23),IF(AG7&lt;=14,IF(入力データ!$I$26="私立",前提条件!$C$26,前提条件!$C$25),IF(AG7&lt;=17,IF(入力データ!$J$26="私立",前提条件!$C$28,前提条件!$C$27),IF(AG7&lt;=21,IF(入力データ!$K$26="国公立",前提条件!$C$29,IF(入力データ!$K$26="私立理系",前提条件!$C$31,前提条件!$C$30))+IF(入力データ!$L$26="下宿",前提条件!$C$32,0)+IF(AG7=18,前提条件!$C$33,0),0))))))+IF(AG8="",0,IF(AG8&lt;=5,IF(入力データ!$G$27="私立",前提条件!$C$22,前提条件!$C$21),IF(AG8&lt;=11,IF(入力データ!$H$27="私立",前提条件!$C$24,前提条件!$C$23),IF(AG8&lt;=14,IF(入力データ!$I$27="私立",前提条件!$C$26,前提条件!$C$25),IF(AG8&lt;=17,IF(入力データ!$J$27="私立",前提条件!$C$28,前提条件!$C$27),IF(AG8&lt;=21,IF(入力データ!$K$27="国公立",前提条件!$C$29,IF(入力データ!$K$27="私立理系",前提条件!$C$31,前提条件!$C$30))+IF(入力データ!$L$27="下宿",前提条件!$C$32,0)+IF(AG8=18,前提条件!$C$33,0),0)))))))*(1+前提条件!$C$13)^(AG$3-$B$3))))</f>
        <v/>
      </c>
      <c r="AH24" s="352">
        <f>IF(AH$3="","",IF(入力データ!$C$17&lt;=0,0,IF(AH$3="","",((SUM(入力データ!$C$58:$C$61)*12)+IF(AH6="",0,IF(AH6&lt;=5,IF(入力データ!$G$25="私立",前提条件!$C$22,前提条件!$C$21),IF(AH6&lt;=11,IF(入力データ!$H$25="私立",前提条件!$C$24,前提条件!$C$23),IF(AH6&lt;=14,IF(入力データ!$I$25="私立",前提条件!$C$26,前提条件!$C$25),IF(AH6&lt;=17,IF(入力データ!$J$25="私立",前提条件!$C$28,前提条件!$C$27),IF(AH6&lt;=21,IF(入力データ!$K$25="国公立",前提条件!$C$29,IF(入力データ!$K$25="私立理系",前提条件!$C$31,前提条件!$C$30))+IF(入力データ!$L$25="下宿",前提条件!$C$32,0)+IF(AH6=18,前提条件!$C$33,0),0))))))+IF(AH7="",0,IF(AH7&lt;=5,IF(入力データ!$G$26="私立",前提条件!$C$22,前提条件!$C$21),IF(AH7&lt;=11,IF(入力データ!$H$26="私立",前提条件!$C$24,前提条件!$C$23),IF(AH7&lt;=14,IF(入力データ!$I$26="私立",前提条件!$C$26,前提条件!$C$25),IF(AH7&lt;=17,IF(入力データ!$J$26="私立",前提条件!$C$28,前提条件!$C$27),IF(AH7&lt;=21,IF(入力データ!$K$26="国公立",前提条件!$C$29,IF(入力データ!$K$26="私立理系",前提条件!$C$31,前提条件!$C$30))+IF(入力データ!$L$26="下宿",前提条件!$C$32,0)+IF(AH7=18,前提条件!$C$33,0),0))))))+IF(AH8="",0,IF(AH8&lt;=5,IF(入力データ!$G$27="私立",前提条件!$C$22,前提条件!$C$21),IF(AH8&lt;=11,IF(入力データ!$H$27="私立",前提条件!$C$24,前提条件!$C$23),IF(AH8&lt;=14,IF(入力データ!$I$27="私立",前提条件!$C$26,前提条件!$C$25),IF(AH8&lt;=17,IF(入力データ!$J$27="私立",前提条件!$C$28,前提条件!$C$27),IF(AH8&lt;=21,IF(入力データ!$K$27="国公立",前提条件!$C$29,IF(入力データ!$K$27="私立理系",前提条件!$C$31,前提条件!$C$30))+IF(入力データ!$L$27="下宿",前提条件!$C$32,0)+IF(AH8=18,前提条件!$C$33,0),0)))))))*(1+前提条件!$C$13)^(AH$3-$B$3))))</f>
        <v/>
      </c>
      <c r="AI24" s="352">
        <f>IF(AI$3="","",IF(入力データ!$C$17&lt;=0,0,IF(AI$3="","",((SUM(入力データ!$C$58:$C$61)*12)+IF(AI6="",0,IF(AI6&lt;=5,IF(入力データ!$G$25="私立",前提条件!$C$22,前提条件!$C$21),IF(AI6&lt;=11,IF(入力データ!$H$25="私立",前提条件!$C$24,前提条件!$C$23),IF(AI6&lt;=14,IF(入力データ!$I$25="私立",前提条件!$C$26,前提条件!$C$25),IF(AI6&lt;=17,IF(入力データ!$J$25="私立",前提条件!$C$28,前提条件!$C$27),IF(AI6&lt;=21,IF(入力データ!$K$25="国公立",前提条件!$C$29,IF(入力データ!$K$25="私立理系",前提条件!$C$31,前提条件!$C$30))+IF(入力データ!$L$25="下宿",前提条件!$C$32,0)+IF(AI6=18,前提条件!$C$33,0),0))))))+IF(AI7="",0,IF(AI7&lt;=5,IF(入力データ!$G$26="私立",前提条件!$C$22,前提条件!$C$21),IF(AI7&lt;=11,IF(入力データ!$H$26="私立",前提条件!$C$24,前提条件!$C$23),IF(AI7&lt;=14,IF(入力データ!$I$26="私立",前提条件!$C$26,前提条件!$C$25),IF(AI7&lt;=17,IF(入力データ!$J$26="私立",前提条件!$C$28,前提条件!$C$27),IF(AI7&lt;=21,IF(入力データ!$K$26="国公立",前提条件!$C$29,IF(入力データ!$K$26="私立理系",前提条件!$C$31,前提条件!$C$30))+IF(入力データ!$L$26="下宿",前提条件!$C$32,0)+IF(AI7=18,前提条件!$C$33,0),0))))))+IF(AI8="",0,IF(AI8&lt;=5,IF(入力データ!$G$27="私立",前提条件!$C$22,前提条件!$C$21),IF(AI8&lt;=11,IF(入力データ!$H$27="私立",前提条件!$C$24,前提条件!$C$23),IF(AI8&lt;=14,IF(入力データ!$I$27="私立",前提条件!$C$26,前提条件!$C$25),IF(AI8&lt;=17,IF(入力データ!$J$27="私立",前提条件!$C$28,前提条件!$C$27),IF(AI8&lt;=21,IF(入力データ!$K$27="国公立",前提条件!$C$29,IF(入力データ!$K$27="私立理系",前提条件!$C$31,前提条件!$C$30))+IF(入力データ!$L$27="下宿",前提条件!$C$32,0)+IF(AI8=18,前提条件!$C$33,0),0)))))))*(1+前提条件!$C$13)^(AI$3-$B$3))))</f>
        <v/>
      </c>
      <c r="AJ24" s="352">
        <f>IF(AJ$3="","",IF(入力データ!$C$17&lt;=0,0,IF(AJ$3="","",((SUM(入力データ!$C$58:$C$61)*12)+IF(AJ6="",0,IF(AJ6&lt;=5,IF(入力データ!$G$25="私立",前提条件!$C$22,前提条件!$C$21),IF(AJ6&lt;=11,IF(入力データ!$H$25="私立",前提条件!$C$24,前提条件!$C$23),IF(AJ6&lt;=14,IF(入力データ!$I$25="私立",前提条件!$C$26,前提条件!$C$25),IF(AJ6&lt;=17,IF(入力データ!$J$25="私立",前提条件!$C$28,前提条件!$C$27),IF(AJ6&lt;=21,IF(入力データ!$K$25="国公立",前提条件!$C$29,IF(入力データ!$K$25="私立理系",前提条件!$C$31,前提条件!$C$30))+IF(入力データ!$L$25="下宿",前提条件!$C$32,0)+IF(AJ6=18,前提条件!$C$33,0),0))))))+IF(AJ7="",0,IF(AJ7&lt;=5,IF(入力データ!$G$26="私立",前提条件!$C$22,前提条件!$C$21),IF(AJ7&lt;=11,IF(入力データ!$H$26="私立",前提条件!$C$24,前提条件!$C$23),IF(AJ7&lt;=14,IF(入力データ!$I$26="私立",前提条件!$C$26,前提条件!$C$25),IF(AJ7&lt;=17,IF(入力データ!$J$26="私立",前提条件!$C$28,前提条件!$C$27),IF(AJ7&lt;=21,IF(入力データ!$K$26="国公立",前提条件!$C$29,IF(入力データ!$K$26="私立理系",前提条件!$C$31,前提条件!$C$30))+IF(入力データ!$L$26="下宿",前提条件!$C$32,0)+IF(AJ7=18,前提条件!$C$33,0),0))))))+IF(AJ8="",0,IF(AJ8&lt;=5,IF(入力データ!$G$27="私立",前提条件!$C$22,前提条件!$C$21),IF(AJ8&lt;=11,IF(入力データ!$H$27="私立",前提条件!$C$24,前提条件!$C$23),IF(AJ8&lt;=14,IF(入力データ!$I$27="私立",前提条件!$C$26,前提条件!$C$25),IF(AJ8&lt;=17,IF(入力データ!$J$27="私立",前提条件!$C$28,前提条件!$C$27),IF(AJ8&lt;=21,IF(入力データ!$K$27="国公立",前提条件!$C$29,IF(入力データ!$K$27="私立理系",前提条件!$C$31,前提条件!$C$30))+IF(入力データ!$L$27="下宿",前提条件!$C$32,0)+IF(AJ8=18,前提条件!$C$33,0),0)))))))*(1+前提条件!$C$13)^(AJ$3-$B$3))))</f>
        <v/>
      </c>
      <c r="AK24" s="352">
        <f>IF(AK$3="","",IF(入力データ!$C$17&lt;=0,0,IF(AK$3="","",((SUM(入力データ!$C$58:$C$61)*12)+IF(AK6="",0,IF(AK6&lt;=5,IF(入力データ!$G$25="私立",前提条件!$C$22,前提条件!$C$21),IF(AK6&lt;=11,IF(入力データ!$H$25="私立",前提条件!$C$24,前提条件!$C$23),IF(AK6&lt;=14,IF(入力データ!$I$25="私立",前提条件!$C$26,前提条件!$C$25),IF(AK6&lt;=17,IF(入力データ!$J$25="私立",前提条件!$C$28,前提条件!$C$27),IF(AK6&lt;=21,IF(入力データ!$K$25="国公立",前提条件!$C$29,IF(入力データ!$K$25="私立理系",前提条件!$C$31,前提条件!$C$30))+IF(入力データ!$L$25="下宿",前提条件!$C$32,0)+IF(AK6=18,前提条件!$C$33,0),0))))))+IF(AK7="",0,IF(AK7&lt;=5,IF(入力データ!$G$26="私立",前提条件!$C$22,前提条件!$C$21),IF(AK7&lt;=11,IF(入力データ!$H$26="私立",前提条件!$C$24,前提条件!$C$23),IF(AK7&lt;=14,IF(入力データ!$I$26="私立",前提条件!$C$26,前提条件!$C$25),IF(AK7&lt;=17,IF(入力データ!$J$26="私立",前提条件!$C$28,前提条件!$C$27),IF(AK7&lt;=21,IF(入力データ!$K$26="国公立",前提条件!$C$29,IF(入力データ!$K$26="私立理系",前提条件!$C$31,前提条件!$C$30))+IF(入力データ!$L$26="下宿",前提条件!$C$32,0)+IF(AK7=18,前提条件!$C$33,0),0))))))+IF(AK8="",0,IF(AK8&lt;=5,IF(入力データ!$G$27="私立",前提条件!$C$22,前提条件!$C$21),IF(AK8&lt;=11,IF(入力データ!$H$27="私立",前提条件!$C$24,前提条件!$C$23),IF(AK8&lt;=14,IF(入力データ!$I$27="私立",前提条件!$C$26,前提条件!$C$25),IF(AK8&lt;=17,IF(入力データ!$J$27="私立",前提条件!$C$28,前提条件!$C$27),IF(AK8&lt;=21,IF(入力データ!$K$27="国公立",前提条件!$C$29,IF(入力データ!$K$27="私立理系",前提条件!$C$31,前提条件!$C$30))+IF(入力データ!$L$27="下宿",前提条件!$C$32,0)+IF(AK8=18,前提条件!$C$33,0),0)))))))*(1+前提条件!$C$13)^(AK$3-$B$3))))</f>
        <v/>
      </c>
      <c r="AL24" s="352">
        <f>IF(AL$3="","",IF(入力データ!$C$17&lt;=0,0,IF(AL$3="","",((SUM(入力データ!$C$58:$C$61)*12)+IF(AL6="",0,IF(AL6&lt;=5,IF(入力データ!$G$25="私立",前提条件!$C$22,前提条件!$C$21),IF(AL6&lt;=11,IF(入力データ!$H$25="私立",前提条件!$C$24,前提条件!$C$23),IF(AL6&lt;=14,IF(入力データ!$I$25="私立",前提条件!$C$26,前提条件!$C$25),IF(AL6&lt;=17,IF(入力データ!$J$25="私立",前提条件!$C$28,前提条件!$C$27),IF(AL6&lt;=21,IF(入力データ!$K$25="国公立",前提条件!$C$29,IF(入力データ!$K$25="私立理系",前提条件!$C$31,前提条件!$C$30))+IF(入力データ!$L$25="下宿",前提条件!$C$32,0)+IF(AL6=18,前提条件!$C$33,0),0))))))+IF(AL7="",0,IF(AL7&lt;=5,IF(入力データ!$G$26="私立",前提条件!$C$22,前提条件!$C$21),IF(AL7&lt;=11,IF(入力データ!$H$26="私立",前提条件!$C$24,前提条件!$C$23),IF(AL7&lt;=14,IF(入力データ!$I$26="私立",前提条件!$C$26,前提条件!$C$25),IF(AL7&lt;=17,IF(入力データ!$J$26="私立",前提条件!$C$28,前提条件!$C$27),IF(AL7&lt;=21,IF(入力データ!$K$26="国公立",前提条件!$C$29,IF(入力データ!$K$26="私立理系",前提条件!$C$31,前提条件!$C$30))+IF(入力データ!$L$26="下宿",前提条件!$C$32,0)+IF(AL7=18,前提条件!$C$33,0),0))))))+IF(AL8="",0,IF(AL8&lt;=5,IF(入力データ!$G$27="私立",前提条件!$C$22,前提条件!$C$21),IF(AL8&lt;=11,IF(入力データ!$H$27="私立",前提条件!$C$24,前提条件!$C$23),IF(AL8&lt;=14,IF(入力データ!$I$27="私立",前提条件!$C$26,前提条件!$C$25),IF(AL8&lt;=17,IF(入力データ!$J$27="私立",前提条件!$C$28,前提条件!$C$27),IF(AL8&lt;=21,IF(入力データ!$K$27="国公立",前提条件!$C$29,IF(入力データ!$K$27="私立理系",前提条件!$C$31,前提条件!$C$30))+IF(入力データ!$L$27="下宿",前提条件!$C$32,0)+IF(AL8=18,前提条件!$C$33,0),0)))))))*(1+前提条件!$C$13)^(AL$3-$B$3))))</f>
        <v/>
      </c>
      <c r="AM24" s="352">
        <f>IF(AM$3="","",IF(入力データ!$C$17&lt;=0,0,IF(AM$3="","",((SUM(入力データ!$C$58:$C$61)*12)+IF(AM6="",0,IF(AM6&lt;=5,IF(入力データ!$G$25="私立",前提条件!$C$22,前提条件!$C$21),IF(AM6&lt;=11,IF(入力データ!$H$25="私立",前提条件!$C$24,前提条件!$C$23),IF(AM6&lt;=14,IF(入力データ!$I$25="私立",前提条件!$C$26,前提条件!$C$25),IF(AM6&lt;=17,IF(入力データ!$J$25="私立",前提条件!$C$28,前提条件!$C$27),IF(AM6&lt;=21,IF(入力データ!$K$25="国公立",前提条件!$C$29,IF(入力データ!$K$25="私立理系",前提条件!$C$31,前提条件!$C$30))+IF(入力データ!$L$25="下宿",前提条件!$C$32,0)+IF(AM6=18,前提条件!$C$33,0),0))))))+IF(AM7="",0,IF(AM7&lt;=5,IF(入力データ!$G$26="私立",前提条件!$C$22,前提条件!$C$21),IF(AM7&lt;=11,IF(入力データ!$H$26="私立",前提条件!$C$24,前提条件!$C$23),IF(AM7&lt;=14,IF(入力データ!$I$26="私立",前提条件!$C$26,前提条件!$C$25),IF(AM7&lt;=17,IF(入力データ!$J$26="私立",前提条件!$C$28,前提条件!$C$27),IF(AM7&lt;=21,IF(入力データ!$K$26="国公立",前提条件!$C$29,IF(入力データ!$K$26="私立理系",前提条件!$C$31,前提条件!$C$30))+IF(入力データ!$L$26="下宿",前提条件!$C$32,0)+IF(AM7=18,前提条件!$C$33,0),0))))))+IF(AM8="",0,IF(AM8&lt;=5,IF(入力データ!$G$27="私立",前提条件!$C$22,前提条件!$C$21),IF(AM8&lt;=11,IF(入力データ!$H$27="私立",前提条件!$C$24,前提条件!$C$23),IF(AM8&lt;=14,IF(入力データ!$I$27="私立",前提条件!$C$26,前提条件!$C$25),IF(AM8&lt;=17,IF(入力データ!$J$27="私立",前提条件!$C$28,前提条件!$C$27),IF(AM8&lt;=21,IF(入力データ!$K$27="国公立",前提条件!$C$29,IF(入力データ!$K$27="私立理系",前提条件!$C$31,前提条件!$C$30))+IF(入力データ!$L$27="下宿",前提条件!$C$32,0)+IF(AM8=18,前提条件!$C$33,0),0)))))))*(1+前提条件!$C$13)^(AM$3-$B$3))))</f>
        <v/>
      </c>
      <c r="AN24" s="352">
        <f>IF(AN$3="","",IF(入力データ!$C$17&lt;=0,0,IF(AN$3="","",((SUM(入力データ!$C$58:$C$61)*12)+IF(AN6="",0,IF(AN6&lt;=5,IF(入力データ!$G$25="私立",前提条件!$C$22,前提条件!$C$21),IF(AN6&lt;=11,IF(入力データ!$H$25="私立",前提条件!$C$24,前提条件!$C$23),IF(AN6&lt;=14,IF(入力データ!$I$25="私立",前提条件!$C$26,前提条件!$C$25),IF(AN6&lt;=17,IF(入力データ!$J$25="私立",前提条件!$C$28,前提条件!$C$27),IF(AN6&lt;=21,IF(入力データ!$K$25="国公立",前提条件!$C$29,IF(入力データ!$K$25="私立理系",前提条件!$C$31,前提条件!$C$30))+IF(入力データ!$L$25="下宿",前提条件!$C$32,0)+IF(AN6=18,前提条件!$C$33,0),0))))))+IF(AN7="",0,IF(AN7&lt;=5,IF(入力データ!$G$26="私立",前提条件!$C$22,前提条件!$C$21),IF(AN7&lt;=11,IF(入力データ!$H$26="私立",前提条件!$C$24,前提条件!$C$23),IF(AN7&lt;=14,IF(入力データ!$I$26="私立",前提条件!$C$26,前提条件!$C$25),IF(AN7&lt;=17,IF(入力データ!$J$26="私立",前提条件!$C$28,前提条件!$C$27),IF(AN7&lt;=21,IF(入力データ!$K$26="国公立",前提条件!$C$29,IF(入力データ!$K$26="私立理系",前提条件!$C$31,前提条件!$C$30))+IF(入力データ!$L$26="下宿",前提条件!$C$32,0)+IF(AN7=18,前提条件!$C$33,0),0))))))+IF(AN8="",0,IF(AN8&lt;=5,IF(入力データ!$G$27="私立",前提条件!$C$22,前提条件!$C$21),IF(AN8&lt;=11,IF(入力データ!$H$27="私立",前提条件!$C$24,前提条件!$C$23),IF(AN8&lt;=14,IF(入力データ!$I$27="私立",前提条件!$C$26,前提条件!$C$25),IF(AN8&lt;=17,IF(入力データ!$J$27="私立",前提条件!$C$28,前提条件!$C$27),IF(AN8&lt;=21,IF(入力データ!$K$27="国公立",前提条件!$C$29,IF(入力データ!$K$27="私立理系",前提条件!$C$31,前提条件!$C$30))+IF(入力データ!$L$27="下宿",前提条件!$C$32,0)+IF(AN8=18,前提条件!$C$33,0),0)))))))*(1+前提条件!$C$13)^(AN$3-$B$3))))</f>
        <v/>
      </c>
      <c r="AO24" s="352">
        <f>IF(AO$3="","",IF(入力データ!$C$17&lt;=0,0,IF(AO$3="","",((SUM(入力データ!$C$58:$C$61)*12)+IF(AO6="",0,IF(AO6&lt;=5,IF(入力データ!$G$25="私立",前提条件!$C$22,前提条件!$C$21),IF(AO6&lt;=11,IF(入力データ!$H$25="私立",前提条件!$C$24,前提条件!$C$23),IF(AO6&lt;=14,IF(入力データ!$I$25="私立",前提条件!$C$26,前提条件!$C$25),IF(AO6&lt;=17,IF(入力データ!$J$25="私立",前提条件!$C$28,前提条件!$C$27),IF(AO6&lt;=21,IF(入力データ!$K$25="国公立",前提条件!$C$29,IF(入力データ!$K$25="私立理系",前提条件!$C$31,前提条件!$C$30))+IF(入力データ!$L$25="下宿",前提条件!$C$32,0)+IF(AO6=18,前提条件!$C$33,0),0))))))+IF(AO7="",0,IF(AO7&lt;=5,IF(入力データ!$G$26="私立",前提条件!$C$22,前提条件!$C$21),IF(AO7&lt;=11,IF(入力データ!$H$26="私立",前提条件!$C$24,前提条件!$C$23),IF(AO7&lt;=14,IF(入力データ!$I$26="私立",前提条件!$C$26,前提条件!$C$25),IF(AO7&lt;=17,IF(入力データ!$J$26="私立",前提条件!$C$28,前提条件!$C$27),IF(AO7&lt;=21,IF(入力データ!$K$26="国公立",前提条件!$C$29,IF(入力データ!$K$26="私立理系",前提条件!$C$31,前提条件!$C$30))+IF(入力データ!$L$26="下宿",前提条件!$C$32,0)+IF(AO7=18,前提条件!$C$33,0),0))))))+IF(AO8="",0,IF(AO8&lt;=5,IF(入力データ!$G$27="私立",前提条件!$C$22,前提条件!$C$21),IF(AO8&lt;=11,IF(入力データ!$H$27="私立",前提条件!$C$24,前提条件!$C$23),IF(AO8&lt;=14,IF(入力データ!$I$27="私立",前提条件!$C$26,前提条件!$C$25),IF(AO8&lt;=17,IF(入力データ!$J$27="私立",前提条件!$C$28,前提条件!$C$27),IF(AO8&lt;=21,IF(入力データ!$K$27="国公立",前提条件!$C$29,IF(入力データ!$K$27="私立理系",前提条件!$C$31,前提条件!$C$30))+IF(入力データ!$L$27="下宿",前提条件!$C$32,0)+IF(AO8=18,前提条件!$C$33,0),0)))))))*(1+前提条件!$C$13)^(AO$3-$B$3))))</f>
        <v/>
      </c>
      <c r="AP24" s="352">
        <f>IF(AP$3="","",IF(入力データ!$C$17&lt;=0,0,IF(AP$3="","",((SUM(入力データ!$C$58:$C$61)*12)+IF(AP6="",0,IF(AP6&lt;=5,IF(入力データ!$G$25="私立",前提条件!$C$22,前提条件!$C$21),IF(AP6&lt;=11,IF(入力データ!$H$25="私立",前提条件!$C$24,前提条件!$C$23),IF(AP6&lt;=14,IF(入力データ!$I$25="私立",前提条件!$C$26,前提条件!$C$25),IF(AP6&lt;=17,IF(入力データ!$J$25="私立",前提条件!$C$28,前提条件!$C$27),IF(AP6&lt;=21,IF(入力データ!$K$25="国公立",前提条件!$C$29,IF(入力データ!$K$25="私立理系",前提条件!$C$31,前提条件!$C$30))+IF(入力データ!$L$25="下宿",前提条件!$C$32,0)+IF(AP6=18,前提条件!$C$33,0),0))))))+IF(AP7="",0,IF(AP7&lt;=5,IF(入力データ!$G$26="私立",前提条件!$C$22,前提条件!$C$21),IF(AP7&lt;=11,IF(入力データ!$H$26="私立",前提条件!$C$24,前提条件!$C$23),IF(AP7&lt;=14,IF(入力データ!$I$26="私立",前提条件!$C$26,前提条件!$C$25),IF(AP7&lt;=17,IF(入力データ!$J$26="私立",前提条件!$C$28,前提条件!$C$27),IF(AP7&lt;=21,IF(入力データ!$K$26="国公立",前提条件!$C$29,IF(入力データ!$K$26="私立理系",前提条件!$C$31,前提条件!$C$30))+IF(入力データ!$L$26="下宿",前提条件!$C$32,0)+IF(AP7=18,前提条件!$C$33,0),0))))))+IF(AP8="",0,IF(AP8&lt;=5,IF(入力データ!$G$27="私立",前提条件!$C$22,前提条件!$C$21),IF(AP8&lt;=11,IF(入力データ!$H$27="私立",前提条件!$C$24,前提条件!$C$23),IF(AP8&lt;=14,IF(入力データ!$I$27="私立",前提条件!$C$26,前提条件!$C$25),IF(AP8&lt;=17,IF(入力データ!$J$27="私立",前提条件!$C$28,前提条件!$C$27),IF(AP8&lt;=21,IF(入力データ!$K$27="国公立",前提条件!$C$29,IF(入力データ!$K$27="私立理系",前提条件!$C$31,前提条件!$C$30))+IF(入力データ!$L$27="下宿",前提条件!$C$32,0)+IF(AP8=18,前提条件!$C$33,0),0)))))))*(1+前提条件!$C$13)^(AP$3-$B$3))))</f>
        <v/>
      </c>
      <c r="AQ24" s="352">
        <f>IF(AQ$3="","",IF(入力データ!$C$17&lt;=0,0,IF(AQ$3="","",((SUM(入力データ!$C$58:$C$61)*12)+IF(AQ6="",0,IF(AQ6&lt;=5,IF(入力データ!$G$25="私立",前提条件!$C$22,前提条件!$C$21),IF(AQ6&lt;=11,IF(入力データ!$H$25="私立",前提条件!$C$24,前提条件!$C$23),IF(AQ6&lt;=14,IF(入力データ!$I$25="私立",前提条件!$C$26,前提条件!$C$25),IF(AQ6&lt;=17,IF(入力データ!$J$25="私立",前提条件!$C$28,前提条件!$C$27),IF(AQ6&lt;=21,IF(入力データ!$K$25="国公立",前提条件!$C$29,IF(入力データ!$K$25="私立理系",前提条件!$C$31,前提条件!$C$30))+IF(入力データ!$L$25="下宿",前提条件!$C$32,0)+IF(AQ6=18,前提条件!$C$33,0),0))))))+IF(AQ7="",0,IF(AQ7&lt;=5,IF(入力データ!$G$26="私立",前提条件!$C$22,前提条件!$C$21),IF(AQ7&lt;=11,IF(入力データ!$H$26="私立",前提条件!$C$24,前提条件!$C$23),IF(AQ7&lt;=14,IF(入力データ!$I$26="私立",前提条件!$C$26,前提条件!$C$25),IF(AQ7&lt;=17,IF(入力データ!$J$26="私立",前提条件!$C$28,前提条件!$C$27),IF(AQ7&lt;=21,IF(入力データ!$K$26="国公立",前提条件!$C$29,IF(入力データ!$K$26="私立理系",前提条件!$C$31,前提条件!$C$30))+IF(入力データ!$L$26="下宿",前提条件!$C$32,0)+IF(AQ7=18,前提条件!$C$33,0),0))))))+IF(AQ8="",0,IF(AQ8&lt;=5,IF(入力データ!$G$27="私立",前提条件!$C$22,前提条件!$C$21),IF(AQ8&lt;=11,IF(入力データ!$H$27="私立",前提条件!$C$24,前提条件!$C$23),IF(AQ8&lt;=14,IF(入力データ!$I$27="私立",前提条件!$C$26,前提条件!$C$25),IF(AQ8&lt;=17,IF(入力データ!$J$27="私立",前提条件!$C$28,前提条件!$C$27),IF(AQ8&lt;=21,IF(入力データ!$K$27="国公立",前提条件!$C$29,IF(入力データ!$K$27="私立理系",前提条件!$C$31,前提条件!$C$30))+IF(入力データ!$L$27="下宿",前提条件!$C$32,0)+IF(AQ8=18,前提条件!$C$33,0),0)))))))*(1+前提条件!$C$13)^(AQ$3-$B$3))))</f>
        <v/>
      </c>
      <c r="AR24" s="352">
        <f>IF(AR$3="","",IF(入力データ!$C$17&lt;=0,0,IF(AR$3="","",((SUM(入力データ!$C$58:$C$61)*12)+IF(AR6="",0,IF(AR6&lt;=5,IF(入力データ!$G$25="私立",前提条件!$C$22,前提条件!$C$21),IF(AR6&lt;=11,IF(入力データ!$H$25="私立",前提条件!$C$24,前提条件!$C$23),IF(AR6&lt;=14,IF(入力データ!$I$25="私立",前提条件!$C$26,前提条件!$C$25),IF(AR6&lt;=17,IF(入力データ!$J$25="私立",前提条件!$C$28,前提条件!$C$27),IF(AR6&lt;=21,IF(入力データ!$K$25="国公立",前提条件!$C$29,IF(入力データ!$K$25="私立理系",前提条件!$C$31,前提条件!$C$30))+IF(入力データ!$L$25="下宿",前提条件!$C$32,0)+IF(AR6=18,前提条件!$C$33,0),0))))))+IF(AR7="",0,IF(AR7&lt;=5,IF(入力データ!$G$26="私立",前提条件!$C$22,前提条件!$C$21),IF(AR7&lt;=11,IF(入力データ!$H$26="私立",前提条件!$C$24,前提条件!$C$23),IF(AR7&lt;=14,IF(入力データ!$I$26="私立",前提条件!$C$26,前提条件!$C$25),IF(AR7&lt;=17,IF(入力データ!$J$26="私立",前提条件!$C$28,前提条件!$C$27),IF(AR7&lt;=21,IF(入力データ!$K$26="国公立",前提条件!$C$29,IF(入力データ!$K$26="私立理系",前提条件!$C$31,前提条件!$C$30))+IF(入力データ!$L$26="下宿",前提条件!$C$32,0)+IF(AR7=18,前提条件!$C$33,0),0))))))+IF(AR8="",0,IF(AR8&lt;=5,IF(入力データ!$G$27="私立",前提条件!$C$22,前提条件!$C$21),IF(AR8&lt;=11,IF(入力データ!$H$27="私立",前提条件!$C$24,前提条件!$C$23),IF(AR8&lt;=14,IF(入力データ!$I$27="私立",前提条件!$C$26,前提条件!$C$25),IF(AR8&lt;=17,IF(入力データ!$J$27="私立",前提条件!$C$28,前提条件!$C$27),IF(AR8&lt;=21,IF(入力データ!$K$27="国公立",前提条件!$C$29,IF(入力データ!$K$27="私立理系",前提条件!$C$31,前提条件!$C$30))+IF(入力データ!$L$27="下宿",前提条件!$C$32,0)+IF(AR8=18,前提条件!$C$33,0),0)))))))*(1+前提条件!$C$13)^(AR$3-$B$3))))</f>
        <v/>
      </c>
      <c r="AS24" s="352">
        <f>IF(AS$3="","",IF(入力データ!$C$17&lt;=0,0,IF(AS$3="","",((SUM(入力データ!$C$58:$C$61)*12)+IF(AS6="",0,IF(AS6&lt;=5,IF(入力データ!$G$25="私立",前提条件!$C$22,前提条件!$C$21),IF(AS6&lt;=11,IF(入力データ!$H$25="私立",前提条件!$C$24,前提条件!$C$23),IF(AS6&lt;=14,IF(入力データ!$I$25="私立",前提条件!$C$26,前提条件!$C$25),IF(AS6&lt;=17,IF(入力データ!$J$25="私立",前提条件!$C$28,前提条件!$C$27),IF(AS6&lt;=21,IF(入力データ!$K$25="国公立",前提条件!$C$29,IF(入力データ!$K$25="私立理系",前提条件!$C$31,前提条件!$C$30))+IF(入力データ!$L$25="下宿",前提条件!$C$32,0)+IF(AS6=18,前提条件!$C$33,0),0))))))+IF(AS7="",0,IF(AS7&lt;=5,IF(入力データ!$G$26="私立",前提条件!$C$22,前提条件!$C$21),IF(AS7&lt;=11,IF(入力データ!$H$26="私立",前提条件!$C$24,前提条件!$C$23),IF(AS7&lt;=14,IF(入力データ!$I$26="私立",前提条件!$C$26,前提条件!$C$25),IF(AS7&lt;=17,IF(入力データ!$J$26="私立",前提条件!$C$28,前提条件!$C$27),IF(AS7&lt;=21,IF(入力データ!$K$26="国公立",前提条件!$C$29,IF(入力データ!$K$26="私立理系",前提条件!$C$31,前提条件!$C$30))+IF(入力データ!$L$26="下宿",前提条件!$C$32,0)+IF(AS7=18,前提条件!$C$33,0),0))))))+IF(AS8="",0,IF(AS8&lt;=5,IF(入力データ!$G$27="私立",前提条件!$C$22,前提条件!$C$21),IF(AS8&lt;=11,IF(入力データ!$H$27="私立",前提条件!$C$24,前提条件!$C$23),IF(AS8&lt;=14,IF(入力データ!$I$27="私立",前提条件!$C$26,前提条件!$C$25),IF(AS8&lt;=17,IF(入力データ!$J$27="私立",前提条件!$C$28,前提条件!$C$27),IF(AS8&lt;=21,IF(入力データ!$K$27="国公立",前提条件!$C$29,IF(入力データ!$K$27="私立理系",前提条件!$C$31,前提条件!$C$30))+IF(入力データ!$L$27="下宿",前提条件!$C$32,0)+IF(AS8=18,前提条件!$C$33,0),0)))))))*(1+前提条件!$C$13)^(AS$3-$B$3))))</f>
        <v/>
      </c>
      <c r="AT24" s="352">
        <f>IF(AT$3="","",IF(入力データ!$C$17&lt;=0,0,IF(AT$3="","",((SUM(入力データ!$C$58:$C$61)*12)+IF(AT6="",0,IF(AT6&lt;=5,IF(入力データ!$G$25="私立",前提条件!$C$22,前提条件!$C$21),IF(AT6&lt;=11,IF(入力データ!$H$25="私立",前提条件!$C$24,前提条件!$C$23),IF(AT6&lt;=14,IF(入力データ!$I$25="私立",前提条件!$C$26,前提条件!$C$25),IF(AT6&lt;=17,IF(入力データ!$J$25="私立",前提条件!$C$28,前提条件!$C$27),IF(AT6&lt;=21,IF(入力データ!$K$25="国公立",前提条件!$C$29,IF(入力データ!$K$25="私立理系",前提条件!$C$31,前提条件!$C$30))+IF(入力データ!$L$25="下宿",前提条件!$C$32,0)+IF(AT6=18,前提条件!$C$33,0),0))))))+IF(AT7="",0,IF(AT7&lt;=5,IF(入力データ!$G$26="私立",前提条件!$C$22,前提条件!$C$21),IF(AT7&lt;=11,IF(入力データ!$H$26="私立",前提条件!$C$24,前提条件!$C$23),IF(AT7&lt;=14,IF(入力データ!$I$26="私立",前提条件!$C$26,前提条件!$C$25),IF(AT7&lt;=17,IF(入力データ!$J$26="私立",前提条件!$C$28,前提条件!$C$27),IF(AT7&lt;=21,IF(入力データ!$K$26="国公立",前提条件!$C$29,IF(入力データ!$K$26="私立理系",前提条件!$C$31,前提条件!$C$30))+IF(入力データ!$L$26="下宿",前提条件!$C$32,0)+IF(AT7=18,前提条件!$C$33,0),0))))))+IF(AT8="",0,IF(AT8&lt;=5,IF(入力データ!$G$27="私立",前提条件!$C$22,前提条件!$C$21),IF(AT8&lt;=11,IF(入力データ!$H$27="私立",前提条件!$C$24,前提条件!$C$23),IF(AT8&lt;=14,IF(入力データ!$I$27="私立",前提条件!$C$26,前提条件!$C$25),IF(AT8&lt;=17,IF(入力データ!$J$27="私立",前提条件!$C$28,前提条件!$C$27),IF(AT8&lt;=21,IF(入力データ!$K$27="国公立",前提条件!$C$29,IF(入力データ!$K$27="私立理系",前提条件!$C$31,前提条件!$C$30))+IF(入力データ!$L$27="下宿",前提条件!$C$32,0)+IF(AT8=18,前提条件!$C$33,0),0)))))))*(1+前提条件!$C$13)^(AT$3-$B$3))))</f>
        <v/>
      </c>
      <c r="AU24" s="352">
        <f>IF(AU$3="","",IF(入力データ!$C$17&lt;=0,0,IF(AU$3="","",((SUM(入力データ!$C$58:$C$61)*12)+IF(AU6="",0,IF(AU6&lt;=5,IF(入力データ!$G$25="私立",前提条件!$C$22,前提条件!$C$21),IF(AU6&lt;=11,IF(入力データ!$H$25="私立",前提条件!$C$24,前提条件!$C$23),IF(AU6&lt;=14,IF(入力データ!$I$25="私立",前提条件!$C$26,前提条件!$C$25),IF(AU6&lt;=17,IF(入力データ!$J$25="私立",前提条件!$C$28,前提条件!$C$27),IF(AU6&lt;=21,IF(入力データ!$K$25="国公立",前提条件!$C$29,IF(入力データ!$K$25="私立理系",前提条件!$C$31,前提条件!$C$30))+IF(入力データ!$L$25="下宿",前提条件!$C$32,0)+IF(AU6=18,前提条件!$C$33,0),0))))))+IF(AU7="",0,IF(AU7&lt;=5,IF(入力データ!$G$26="私立",前提条件!$C$22,前提条件!$C$21),IF(AU7&lt;=11,IF(入力データ!$H$26="私立",前提条件!$C$24,前提条件!$C$23),IF(AU7&lt;=14,IF(入力データ!$I$26="私立",前提条件!$C$26,前提条件!$C$25),IF(AU7&lt;=17,IF(入力データ!$J$26="私立",前提条件!$C$28,前提条件!$C$27),IF(AU7&lt;=21,IF(入力データ!$K$26="国公立",前提条件!$C$29,IF(入力データ!$K$26="私立理系",前提条件!$C$31,前提条件!$C$30))+IF(入力データ!$L$26="下宿",前提条件!$C$32,0)+IF(AU7=18,前提条件!$C$33,0),0))))))+IF(AU8="",0,IF(AU8&lt;=5,IF(入力データ!$G$27="私立",前提条件!$C$22,前提条件!$C$21),IF(AU8&lt;=11,IF(入力データ!$H$27="私立",前提条件!$C$24,前提条件!$C$23),IF(AU8&lt;=14,IF(入力データ!$I$27="私立",前提条件!$C$26,前提条件!$C$25),IF(AU8&lt;=17,IF(入力データ!$J$27="私立",前提条件!$C$28,前提条件!$C$27),IF(AU8&lt;=21,IF(入力データ!$K$27="国公立",前提条件!$C$29,IF(入力データ!$K$27="私立理系",前提条件!$C$31,前提条件!$C$30))+IF(入力データ!$L$27="下宿",前提条件!$C$32,0)+IF(AU8=18,前提条件!$C$33,0),0)))))))*(1+前提条件!$C$13)^(AU$3-$B$3))))</f>
        <v/>
      </c>
      <c r="AV24" s="352">
        <f>IF(AV$3="","",IF(入力データ!$C$17&lt;=0,0,IF(AV$3="","",((SUM(入力データ!$C$58:$C$61)*12)+IF(AV6="",0,IF(AV6&lt;=5,IF(入力データ!$G$25="私立",前提条件!$C$22,前提条件!$C$21),IF(AV6&lt;=11,IF(入力データ!$H$25="私立",前提条件!$C$24,前提条件!$C$23),IF(AV6&lt;=14,IF(入力データ!$I$25="私立",前提条件!$C$26,前提条件!$C$25),IF(AV6&lt;=17,IF(入力データ!$J$25="私立",前提条件!$C$28,前提条件!$C$27),IF(AV6&lt;=21,IF(入力データ!$K$25="国公立",前提条件!$C$29,IF(入力データ!$K$25="私立理系",前提条件!$C$31,前提条件!$C$30))+IF(入力データ!$L$25="下宿",前提条件!$C$32,0)+IF(AV6=18,前提条件!$C$33,0),0))))))+IF(AV7="",0,IF(AV7&lt;=5,IF(入力データ!$G$26="私立",前提条件!$C$22,前提条件!$C$21),IF(AV7&lt;=11,IF(入力データ!$H$26="私立",前提条件!$C$24,前提条件!$C$23),IF(AV7&lt;=14,IF(入力データ!$I$26="私立",前提条件!$C$26,前提条件!$C$25),IF(AV7&lt;=17,IF(入力データ!$J$26="私立",前提条件!$C$28,前提条件!$C$27),IF(AV7&lt;=21,IF(入力データ!$K$26="国公立",前提条件!$C$29,IF(入力データ!$K$26="私立理系",前提条件!$C$31,前提条件!$C$30))+IF(入力データ!$L$26="下宿",前提条件!$C$32,0)+IF(AV7=18,前提条件!$C$33,0),0))))))+IF(AV8="",0,IF(AV8&lt;=5,IF(入力データ!$G$27="私立",前提条件!$C$22,前提条件!$C$21),IF(AV8&lt;=11,IF(入力データ!$H$27="私立",前提条件!$C$24,前提条件!$C$23),IF(AV8&lt;=14,IF(入力データ!$I$27="私立",前提条件!$C$26,前提条件!$C$25),IF(AV8&lt;=17,IF(入力データ!$J$27="私立",前提条件!$C$28,前提条件!$C$27),IF(AV8&lt;=21,IF(入力データ!$K$27="国公立",前提条件!$C$29,IF(入力データ!$K$27="私立理系",前提条件!$C$31,前提条件!$C$30))+IF(入力データ!$L$27="下宿",前提条件!$C$32,0)+IF(AV8=18,前提条件!$C$33,0),0)))))))*(1+前提条件!$C$13)^(AV$3-$B$3))))</f>
        <v/>
      </c>
      <c r="AW24" s="352">
        <f>IF(AW$3="","",IF(入力データ!$C$17&lt;=0,0,IF(AW$3="","",((SUM(入力データ!$C$58:$C$61)*12)+IF(AW6="",0,IF(AW6&lt;=5,IF(入力データ!$G$25="私立",前提条件!$C$22,前提条件!$C$21),IF(AW6&lt;=11,IF(入力データ!$H$25="私立",前提条件!$C$24,前提条件!$C$23),IF(AW6&lt;=14,IF(入力データ!$I$25="私立",前提条件!$C$26,前提条件!$C$25),IF(AW6&lt;=17,IF(入力データ!$J$25="私立",前提条件!$C$28,前提条件!$C$27),IF(AW6&lt;=21,IF(入力データ!$K$25="国公立",前提条件!$C$29,IF(入力データ!$K$25="私立理系",前提条件!$C$31,前提条件!$C$30))+IF(入力データ!$L$25="下宿",前提条件!$C$32,0)+IF(AW6=18,前提条件!$C$33,0),0))))))+IF(AW7="",0,IF(AW7&lt;=5,IF(入力データ!$G$26="私立",前提条件!$C$22,前提条件!$C$21),IF(AW7&lt;=11,IF(入力データ!$H$26="私立",前提条件!$C$24,前提条件!$C$23),IF(AW7&lt;=14,IF(入力データ!$I$26="私立",前提条件!$C$26,前提条件!$C$25),IF(AW7&lt;=17,IF(入力データ!$J$26="私立",前提条件!$C$28,前提条件!$C$27),IF(AW7&lt;=21,IF(入力データ!$K$26="国公立",前提条件!$C$29,IF(入力データ!$K$26="私立理系",前提条件!$C$31,前提条件!$C$30))+IF(入力データ!$L$26="下宿",前提条件!$C$32,0)+IF(AW7=18,前提条件!$C$33,0),0))))))+IF(AW8="",0,IF(AW8&lt;=5,IF(入力データ!$G$27="私立",前提条件!$C$22,前提条件!$C$21),IF(AW8&lt;=11,IF(入力データ!$H$27="私立",前提条件!$C$24,前提条件!$C$23),IF(AW8&lt;=14,IF(入力データ!$I$27="私立",前提条件!$C$26,前提条件!$C$25),IF(AW8&lt;=17,IF(入力データ!$J$27="私立",前提条件!$C$28,前提条件!$C$27),IF(AW8&lt;=21,IF(入力データ!$K$27="国公立",前提条件!$C$29,IF(入力データ!$K$27="私立理系",前提条件!$C$31,前提条件!$C$30))+IF(入力データ!$L$27="下宿",前提条件!$C$32,0)+IF(AW8=18,前提条件!$C$33,0),0)))))))*(1+前提条件!$C$13)^(AW$3-$B$3))))</f>
        <v/>
      </c>
      <c r="AX24" s="352">
        <f>IF(AX$3="","",IF(入力データ!$C$17&lt;=0,0,IF(AX$3="","",((SUM(入力データ!$C$58:$C$61)*12)+IF(AX6="",0,IF(AX6&lt;=5,IF(入力データ!$G$25="私立",前提条件!$C$22,前提条件!$C$21),IF(AX6&lt;=11,IF(入力データ!$H$25="私立",前提条件!$C$24,前提条件!$C$23),IF(AX6&lt;=14,IF(入力データ!$I$25="私立",前提条件!$C$26,前提条件!$C$25),IF(AX6&lt;=17,IF(入力データ!$J$25="私立",前提条件!$C$28,前提条件!$C$27),IF(AX6&lt;=21,IF(入力データ!$K$25="国公立",前提条件!$C$29,IF(入力データ!$K$25="私立理系",前提条件!$C$31,前提条件!$C$30))+IF(入力データ!$L$25="下宿",前提条件!$C$32,0)+IF(AX6=18,前提条件!$C$33,0),0))))))+IF(AX7="",0,IF(AX7&lt;=5,IF(入力データ!$G$26="私立",前提条件!$C$22,前提条件!$C$21),IF(AX7&lt;=11,IF(入力データ!$H$26="私立",前提条件!$C$24,前提条件!$C$23),IF(AX7&lt;=14,IF(入力データ!$I$26="私立",前提条件!$C$26,前提条件!$C$25),IF(AX7&lt;=17,IF(入力データ!$J$26="私立",前提条件!$C$28,前提条件!$C$27),IF(AX7&lt;=21,IF(入力データ!$K$26="国公立",前提条件!$C$29,IF(入力データ!$K$26="私立理系",前提条件!$C$31,前提条件!$C$30))+IF(入力データ!$L$26="下宿",前提条件!$C$32,0)+IF(AX7=18,前提条件!$C$33,0),0))))))+IF(AX8="",0,IF(AX8&lt;=5,IF(入力データ!$G$27="私立",前提条件!$C$22,前提条件!$C$21),IF(AX8&lt;=11,IF(入力データ!$H$27="私立",前提条件!$C$24,前提条件!$C$23),IF(AX8&lt;=14,IF(入力データ!$I$27="私立",前提条件!$C$26,前提条件!$C$25),IF(AX8&lt;=17,IF(入力データ!$J$27="私立",前提条件!$C$28,前提条件!$C$27),IF(AX8&lt;=21,IF(入力データ!$K$27="国公立",前提条件!$C$29,IF(入力データ!$K$27="私立理系",前提条件!$C$31,前提条件!$C$30))+IF(入力データ!$L$27="下宿",前提条件!$C$32,0)+IF(AX8=18,前提条件!$C$33,0),0)))))))*(1+前提条件!$C$13)^(AX$3-$B$3))))</f>
        <v/>
      </c>
      <c r="AY24" s="352">
        <f>IF(AY$3="","",IF(入力データ!$C$17&lt;=0,0,IF(AY$3="","",((SUM(入力データ!$C$58:$C$61)*12)+IF(AY6="",0,IF(AY6&lt;=5,IF(入力データ!$G$25="私立",前提条件!$C$22,前提条件!$C$21),IF(AY6&lt;=11,IF(入力データ!$H$25="私立",前提条件!$C$24,前提条件!$C$23),IF(AY6&lt;=14,IF(入力データ!$I$25="私立",前提条件!$C$26,前提条件!$C$25),IF(AY6&lt;=17,IF(入力データ!$J$25="私立",前提条件!$C$28,前提条件!$C$27),IF(AY6&lt;=21,IF(入力データ!$K$25="国公立",前提条件!$C$29,IF(入力データ!$K$25="私立理系",前提条件!$C$31,前提条件!$C$30))+IF(入力データ!$L$25="下宿",前提条件!$C$32,0)+IF(AY6=18,前提条件!$C$33,0),0))))))+IF(AY7="",0,IF(AY7&lt;=5,IF(入力データ!$G$26="私立",前提条件!$C$22,前提条件!$C$21),IF(AY7&lt;=11,IF(入力データ!$H$26="私立",前提条件!$C$24,前提条件!$C$23),IF(AY7&lt;=14,IF(入力データ!$I$26="私立",前提条件!$C$26,前提条件!$C$25),IF(AY7&lt;=17,IF(入力データ!$J$26="私立",前提条件!$C$28,前提条件!$C$27),IF(AY7&lt;=21,IF(入力データ!$K$26="国公立",前提条件!$C$29,IF(入力データ!$K$26="私立理系",前提条件!$C$31,前提条件!$C$30))+IF(入力データ!$L$26="下宿",前提条件!$C$32,0)+IF(AY7=18,前提条件!$C$33,0),0))))))+IF(AY8="",0,IF(AY8&lt;=5,IF(入力データ!$G$27="私立",前提条件!$C$22,前提条件!$C$21),IF(AY8&lt;=11,IF(入力データ!$H$27="私立",前提条件!$C$24,前提条件!$C$23),IF(AY8&lt;=14,IF(入力データ!$I$27="私立",前提条件!$C$26,前提条件!$C$25),IF(AY8&lt;=17,IF(入力データ!$J$27="私立",前提条件!$C$28,前提条件!$C$27),IF(AY8&lt;=21,IF(入力データ!$K$27="国公立",前提条件!$C$29,IF(入力データ!$K$27="私立理系",前提条件!$C$31,前提条件!$C$30))+IF(入力データ!$L$27="下宿",前提条件!$C$32,0)+IF(AY8=18,前提条件!$C$33,0),0)))))))*(1+前提条件!$C$13)^(AY$3-$B$3))))</f>
        <v/>
      </c>
      <c r="AZ24" s="352">
        <f>IF(AZ$3="","",IF(入力データ!$C$17&lt;=0,0,IF(AZ$3="","",((SUM(入力データ!$C$58:$C$61)*12)+IF(AZ6="",0,IF(AZ6&lt;=5,IF(入力データ!$G$25="私立",前提条件!$C$22,前提条件!$C$21),IF(AZ6&lt;=11,IF(入力データ!$H$25="私立",前提条件!$C$24,前提条件!$C$23),IF(AZ6&lt;=14,IF(入力データ!$I$25="私立",前提条件!$C$26,前提条件!$C$25),IF(AZ6&lt;=17,IF(入力データ!$J$25="私立",前提条件!$C$28,前提条件!$C$27),IF(AZ6&lt;=21,IF(入力データ!$K$25="国公立",前提条件!$C$29,IF(入力データ!$K$25="私立理系",前提条件!$C$31,前提条件!$C$30))+IF(入力データ!$L$25="下宿",前提条件!$C$32,0)+IF(AZ6=18,前提条件!$C$33,0),0))))))+IF(AZ7="",0,IF(AZ7&lt;=5,IF(入力データ!$G$26="私立",前提条件!$C$22,前提条件!$C$21),IF(AZ7&lt;=11,IF(入力データ!$H$26="私立",前提条件!$C$24,前提条件!$C$23),IF(AZ7&lt;=14,IF(入力データ!$I$26="私立",前提条件!$C$26,前提条件!$C$25),IF(AZ7&lt;=17,IF(入力データ!$J$26="私立",前提条件!$C$28,前提条件!$C$27),IF(AZ7&lt;=21,IF(入力データ!$K$26="国公立",前提条件!$C$29,IF(入力データ!$K$26="私立理系",前提条件!$C$31,前提条件!$C$30))+IF(入力データ!$L$26="下宿",前提条件!$C$32,0)+IF(AZ7=18,前提条件!$C$33,0),0))))))+IF(AZ8="",0,IF(AZ8&lt;=5,IF(入力データ!$G$27="私立",前提条件!$C$22,前提条件!$C$21),IF(AZ8&lt;=11,IF(入力データ!$H$27="私立",前提条件!$C$24,前提条件!$C$23),IF(AZ8&lt;=14,IF(入力データ!$I$27="私立",前提条件!$C$26,前提条件!$C$25),IF(AZ8&lt;=17,IF(入力データ!$J$27="私立",前提条件!$C$28,前提条件!$C$27),IF(AZ8&lt;=21,IF(入力データ!$K$27="国公立",前提条件!$C$29,IF(入力データ!$K$27="私立理系",前提条件!$C$31,前提条件!$C$30))+IF(入力データ!$L$27="下宿",前提条件!$C$32,0)+IF(AZ8=18,前提条件!$C$33,0),0)))))))*(1+前提条件!$C$13)^(AZ$3-$B$3))))</f>
        <v/>
      </c>
      <c r="BA24" s="352">
        <f>IF(BA$3="","",IF(入力データ!$C$17&lt;=0,0,IF(BA$3="","",((SUM(入力データ!$C$58:$C$61)*12)+IF(BA6="",0,IF(BA6&lt;=5,IF(入力データ!$G$25="私立",前提条件!$C$22,前提条件!$C$21),IF(BA6&lt;=11,IF(入力データ!$H$25="私立",前提条件!$C$24,前提条件!$C$23),IF(BA6&lt;=14,IF(入力データ!$I$25="私立",前提条件!$C$26,前提条件!$C$25),IF(BA6&lt;=17,IF(入力データ!$J$25="私立",前提条件!$C$28,前提条件!$C$27),IF(BA6&lt;=21,IF(入力データ!$K$25="国公立",前提条件!$C$29,IF(入力データ!$K$25="私立理系",前提条件!$C$31,前提条件!$C$30))+IF(入力データ!$L$25="下宿",前提条件!$C$32,0)+IF(BA6=18,前提条件!$C$33,0),0))))))+IF(BA7="",0,IF(BA7&lt;=5,IF(入力データ!$G$26="私立",前提条件!$C$22,前提条件!$C$21),IF(BA7&lt;=11,IF(入力データ!$H$26="私立",前提条件!$C$24,前提条件!$C$23),IF(BA7&lt;=14,IF(入力データ!$I$26="私立",前提条件!$C$26,前提条件!$C$25),IF(BA7&lt;=17,IF(入力データ!$J$26="私立",前提条件!$C$28,前提条件!$C$27),IF(BA7&lt;=21,IF(入力データ!$K$26="国公立",前提条件!$C$29,IF(入力データ!$K$26="私立理系",前提条件!$C$31,前提条件!$C$30))+IF(入力データ!$L$26="下宿",前提条件!$C$32,0)+IF(BA7=18,前提条件!$C$33,0),0))))))+IF(BA8="",0,IF(BA8&lt;=5,IF(入力データ!$G$27="私立",前提条件!$C$22,前提条件!$C$21),IF(BA8&lt;=11,IF(入力データ!$H$27="私立",前提条件!$C$24,前提条件!$C$23),IF(BA8&lt;=14,IF(入力データ!$I$27="私立",前提条件!$C$26,前提条件!$C$25),IF(BA8&lt;=17,IF(入力データ!$J$27="私立",前提条件!$C$28,前提条件!$C$27),IF(BA8&lt;=21,IF(入力データ!$K$27="国公立",前提条件!$C$29,IF(入力データ!$K$27="私立理系",前提条件!$C$31,前提条件!$C$30))+IF(入力データ!$L$27="下宿",前提条件!$C$32,0)+IF(BA8=18,前提条件!$C$33,0),0)))))))*(1+前提条件!$C$13)^(BA$3-$B$3))))</f>
        <v/>
      </c>
      <c r="BB24" s="352">
        <f>IF(BB$3="","",IF(入力データ!$C$17&lt;=0,0,IF(BB$3="","",((SUM(入力データ!$C$58:$C$61)*12)+IF(BB6="",0,IF(BB6&lt;=5,IF(入力データ!$G$25="私立",前提条件!$C$22,前提条件!$C$21),IF(BB6&lt;=11,IF(入力データ!$H$25="私立",前提条件!$C$24,前提条件!$C$23),IF(BB6&lt;=14,IF(入力データ!$I$25="私立",前提条件!$C$26,前提条件!$C$25),IF(BB6&lt;=17,IF(入力データ!$J$25="私立",前提条件!$C$28,前提条件!$C$27),IF(BB6&lt;=21,IF(入力データ!$K$25="国公立",前提条件!$C$29,IF(入力データ!$K$25="私立理系",前提条件!$C$31,前提条件!$C$30))+IF(入力データ!$L$25="下宿",前提条件!$C$32,0)+IF(BB6=18,前提条件!$C$33,0),0))))))+IF(BB7="",0,IF(BB7&lt;=5,IF(入力データ!$G$26="私立",前提条件!$C$22,前提条件!$C$21),IF(BB7&lt;=11,IF(入力データ!$H$26="私立",前提条件!$C$24,前提条件!$C$23),IF(BB7&lt;=14,IF(入力データ!$I$26="私立",前提条件!$C$26,前提条件!$C$25),IF(BB7&lt;=17,IF(入力データ!$J$26="私立",前提条件!$C$28,前提条件!$C$27),IF(BB7&lt;=21,IF(入力データ!$K$26="国公立",前提条件!$C$29,IF(入力データ!$K$26="私立理系",前提条件!$C$31,前提条件!$C$30))+IF(入力データ!$L$26="下宿",前提条件!$C$32,0)+IF(BB7=18,前提条件!$C$33,0),0))))))+IF(BB8="",0,IF(BB8&lt;=5,IF(入力データ!$G$27="私立",前提条件!$C$22,前提条件!$C$21),IF(BB8&lt;=11,IF(入力データ!$H$27="私立",前提条件!$C$24,前提条件!$C$23),IF(BB8&lt;=14,IF(入力データ!$I$27="私立",前提条件!$C$26,前提条件!$C$25),IF(BB8&lt;=17,IF(入力データ!$J$27="私立",前提条件!$C$28,前提条件!$C$27),IF(BB8&lt;=21,IF(入力データ!$K$27="国公立",前提条件!$C$29,IF(入力データ!$K$27="私立理系",前提条件!$C$31,前提条件!$C$30))+IF(入力データ!$L$27="下宿",前提条件!$C$32,0)+IF(BB8=18,前提条件!$C$33,0),0)))))))*(1+前提条件!$C$13)^(BB$3-$B$3))))</f>
        <v/>
      </c>
      <c r="BC24" s="352">
        <f>IF(BC$3="","",IF(入力データ!$C$17&lt;=0,0,IF(BC$3="","",((SUM(入力データ!$C$58:$C$61)*12)+IF(BC6="",0,IF(BC6&lt;=5,IF(入力データ!$G$25="私立",前提条件!$C$22,前提条件!$C$21),IF(BC6&lt;=11,IF(入力データ!$H$25="私立",前提条件!$C$24,前提条件!$C$23),IF(BC6&lt;=14,IF(入力データ!$I$25="私立",前提条件!$C$26,前提条件!$C$25),IF(BC6&lt;=17,IF(入力データ!$J$25="私立",前提条件!$C$28,前提条件!$C$27),IF(BC6&lt;=21,IF(入力データ!$K$25="国公立",前提条件!$C$29,IF(入力データ!$K$25="私立理系",前提条件!$C$31,前提条件!$C$30))+IF(入力データ!$L$25="下宿",前提条件!$C$32,0)+IF(BC6=18,前提条件!$C$33,0),0))))))+IF(BC7="",0,IF(BC7&lt;=5,IF(入力データ!$G$26="私立",前提条件!$C$22,前提条件!$C$21),IF(BC7&lt;=11,IF(入力データ!$H$26="私立",前提条件!$C$24,前提条件!$C$23),IF(BC7&lt;=14,IF(入力データ!$I$26="私立",前提条件!$C$26,前提条件!$C$25),IF(BC7&lt;=17,IF(入力データ!$J$26="私立",前提条件!$C$28,前提条件!$C$27),IF(BC7&lt;=21,IF(入力データ!$K$26="国公立",前提条件!$C$29,IF(入力データ!$K$26="私立理系",前提条件!$C$31,前提条件!$C$30))+IF(入力データ!$L$26="下宿",前提条件!$C$32,0)+IF(BC7=18,前提条件!$C$33,0),0))))))+IF(BC8="",0,IF(BC8&lt;=5,IF(入力データ!$G$27="私立",前提条件!$C$22,前提条件!$C$21),IF(BC8&lt;=11,IF(入力データ!$H$27="私立",前提条件!$C$24,前提条件!$C$23),IF(BC8&lt;=14,IF(入力データ!$I$27="私立",前提条件!$C$26,前提条件!$C$25),IF(BC8&lt;=17,IF(入力データ!$J$27="私立",前提条件!$C$28,前提条件!$C$27),IF(BC8&lt;=21,IF(入力データ!$K$27="国公立",前提条件!$C$29,IF(入力データ!$K$27="私立理系",前提条件!$C$31,前提条件!$C$30))+IF(入力データ!$L$27="下宿",前提条件!$C$32,0)+IF(BC8=18,前提条件!$C$33,0),0)))))))*(1+前提条件!$C$13)^(BC$3-$B$3))))</f>
        <v/>
      </c>
      <c r="BD24" s="352">
        <f>IF(BD$3="","",IF(入力データ!$C$17&lt;=0,0,IF(BD$3="","",((SUM(入力データ!$C$58:$C$61)*12)+IF(BD6="",0,IF(BD6&lt;=5,IF(入力データ!$G$25="私立",前提条件!$C$22,前提条件!$C$21),IF(BD6&lt;=11,IF(入力データ!$H$25="私立",前提条件!$C$24,前提条件!$C$23),IF(BD6&lt;=14,IF(入力データ!$I$25="私立",前提条件!$C$26,前提条件!$C$25),IF(BD6&lt;=17,IF(入力データ!$J$25="私立",前提条件!$C$28,前提条件!$C$27),IF(BD6&lt;=21,IF(入力データ!$K$25="国公立",前提条件!$C$29,IF(入力データ!$K$25="私立理系",前提条件!$C$31,前提条件!$C$30))+IF(入力データ!$L$25="下宿",前提条件!$C$32,0)+IF(BD6=18,前提条件!$C$33,0),0))))))+IF(BD7="",0,IF(BD7&lt;=5,IF(入力データ!$G$26="私立",前提条件!$C$22,前提条件!$C$21),IF(BD7&lt;=11,IF(入力データ!$H$26="私立",前提条件!$C$24,前提条件!$C$23),IF(BD7&lt;=14,IF(入力データ!$I$26="私立",前提条件!$C$26,前提条件!$C$25),IF(BD7&lt;=17,IF(入力データ!$J$26="私立",前提条件!$C$28,前提条件!$C$27),IF(BD7&lt;=21,IF(入力データ!$K$26="国公立",前提条件!$C$29,IF(入力データ!$K$26="私立理系",前提条件!$C$31,前提条件!$C$30))+IF(入力データ!$L$26="下宿",前提条件!$C$32,0)+IF(BD7=18,前提条件!$C$33,0),0))))))+IF(BD8="",0,IF(BD8&lt;=5,IF(入力データ!$G$27="私立",前提条件!$C$22,前提条件!$C$21),IF(BD8&lt;=11,IF(入力データ!$H$27="私立",前提条件!$C$24,前提条件!$C$23),IF(BD8&lt;=14,IF(入力データ!$I$27="私立",前提条件!$C$26,前提条件!$C$25),IF(BD8&lt;=17,IF(入力データ!$J$27="私立",前提条件!$C$28,前提条件!$C$27),IF(BD8&lt;=21,IF(入力データ!$K$27="国公立",前提条件!$C$29,IF(入力データ!$K$27="私立理系",前提条件!$C$31,前提条件!$C$30))+IF(入力データ!$L$27="下宿",前提条件!$C$32,0)+IF(BD8=18,前提条件!$C$33,0),0)))))))*(1+前提条件!$C$13)^(BD$3-$B$3))))</f>
        <v/>
      </c>
      <c r="BE24" s="352">
        <f>IF(BE$3="","",IF(入力データ!$C$17&lt;=0,0,IF(BE$3="","",((SUM(入力データ!$C$58:$C$61)*12)+IF(BE6="",0,IF(BE6&lt;=5,IF(入力データ!$G$25="私立",前提条件!$C$22,前提条件!$C$21),IF(BE6&lt;=11,IF(入力データ!$H$25="私立",前提条件!$C$24,前提条件!$C$23),IF(BE6&lt;=14,IF(入力データ!$I$25="私立",前提条件!$C$26,前提条件!$C$25),IF(BE6&lt;=17,IF(入力データ!$J$25="私立",前提条件!$C$28,前提条件!$C$27),IF(BE6&lt;=21,IF(入力データ!$K$25="国公立",前提条件!$C$29,IF(入力データ!$K$25="私立理系",前提条件!$C$31,前提条件!$C$30))+IF(入力データ!$L$25="下宿",前提条件!$C$32,0)+IF(BE6=18,前提条件!$C$33,0),0))))))+IF(BE7="",0,IF(BE7&lt;=5,IF(入力データ!$G$26="私立",前提条件!$C$22,前提条件!$C$21),IF(BE7&lt;=11,IF(入力データ!$H$26="私立",前提条件!$C$24,前提条件!$C$23),IF(BE7&lt;=14,IF(入力データ!$I$26="私立",前提条件!$C$26,前提条件!$C$25),IF(BE7&lt;=17,IF(入力データ!$J$26="私立",前提条件!$C$28,前提条件!$C$27),IF(BE7&lt;=21,IF(入力データ!$K$26="国公立",前提条件!$C$29,IF(入力データ!$K$26="私立理系",前提条件!$C$31,前提条件!$C$30))+IF(入力データ!$L$26="下宿",前提条件!$C$32,0)+IF(BE7=18,前提条件!$C$33,0),0))))))+IF(BE8="",0,IF(BE8&lt;=5,IF(入力データ!$G$27="私立",前提条件!$C$22,前提条件!$C$21),IF(BE8&lt;=11,IF(入力データ!$H$27="私立",前提条件!$C$24,前提条件!$C$23),IF(BE8&lt;=14,IF(入力データ!$I$27="私立",前提条件!$C$26,前提条件!$C$25),IF(BE8&lt;=17,IF(入力データ!$J$27="私立",前提条件!$C$28,前提条件!$C$27),IF(BE8&lt;=21,IF(入力データ!$K$27="国公立",前提条件!$C$29,IF(入力データ!$K$27="私立理系",前提条件!$C$31,前提条件!$C$30))+IF(入力データ!$L$27="下宿",前提条件!$C$32,0)+IF(BE8=18,前提条件!$C$33,0),0)))))))*(1+前提条件!$C$13)^(BE$3-$B$3))))</f>
        <v/>
      </c>
      <c r="BF24" s="352">
        <f>IF(BF$3="","",IF(入力データ!$C$17&lt;=0,0,IF(BF$3="","",((SUM(入力データ!$C$58:$C$61)*12)+IF(BF6="",0,IF(BF6&lt;=5,IF(入力データ!$G$25="私立",前提条件!$C$22,前提条件!$C$21),IF(BF6&lt;=11,IF(入力データ!$H$25="私立",前提条件!$C$24,前提条件!$C$23),IF(BF6&lt;=14,IF(入力データ!$I$25="私立",前提条件!$C$26,前提条件!$C$25),IF(BF6&lt;=17,IF(入力データ!$J$25="私立",前提条件!$C$28,前提条件!$C$27),IF(BF6&lt;=21,IF(入力データ!$K$25="国公立",前提条件!$C$29,IF(入力データ!$K$25="私立理系",前提条件!$C$31,前提条件!$C$30))+IF(入力データ!$L$25="下宿",前提条件!$C$32,0)+IF(BF6=18,前提条件!$C$33,0),0))))))+IF(BF7="",0,IF(BF7&lt;=5,IF(入力データ!$G$26="私立",前提条件!$C$22,前提条件!$C$21),IF(BF7&lt;=11,IF(入力データ!$H$26="私立",前提条件!$C$24,前提条件!$C$23),IF(BF7&lt;=14,IF(入力データ!$I$26="私立",前提条件!$C$26,前提条件!$C$25),IF(BF7&lt;=17,IF(入力データ!$J$26="私立",前提条件!$C$28,前提条件!$C$27),IF(BF7&lt;=21,IF(入力データ!$K$26="国公立",前提条件!$C$29,IF(入力データ!$K$26="私立理系",前提条件!$C$31,前提条件!$C$30))+IF(入力データ!$L$26="下宿",前提条件!$C$32,0)+IF(BF7=18,前提条件!$C$33,0),0))))))+IF(BF8="",0,IF(BF8&lt;=5,IF(入力データ!$G$27="私立",前提条件!$C$22,前提条件!$C$21),IF(BF8&lt;=11,IF(入力データ!$H$27="私立",前提条件!$C$24,前提条件!$C$23),IF(BF8&lt;=14,IF(入力データ!$I$27="私立",前提条件!$C$26,前提条件!$C$25),IF(BF8&lt;=17,IF(入力データ!$J$27="私立",前提条件!$C$28,前提条件!$C$27),IF(BF8&lt;=21,IF(入力データ!$K$27="国公立",前提条件!$C$29,IF(入力データ!$K$27="私立理系",前提条件!$C$31,前提条件!$C$30))+IF(入力データ!$L$27="下宿",前提条件!$C$32,0)+IF(BF8=18,前提条件!$C$33,0),0)))))))*(1+前提条件!$C$13)^(BF$3-$B$3))))</f>
        <v/>
      </c>
      <c r="BG24" s="352">
        <f>IF(BG$3="","",IF(入力データ!$C$17&lt;=0,0,IF(BG$3="","",((SUM(入力データ!$C$58:$C$61)*12)+IF(BG6="",0,IF(BG6&lt;=5,IF(入力データ!$G$25="私立",前提条件!$C$22,前提条件!$C$21),IF(BG6&lt;=11,IF(入力データ!$H$25="私立",前提条件!$C$24,前提条件!$C$23),IF(BG6&lt;=14,IF(入力データ!$I$25="私立",前提条件!$C$26,前提条件!$C$25),IF(BG6&lt;=17,IF(入力データ!$J$25="私立",前提条件!$C$28,前提条件!$C$27),IF(BG6&lt;=21,IF(入力データ!$K$25="国公立",前提条件!$C$29,IF(入力データ!$K$25="私立理系",前提条件!$C$31,前提条件!$C$30))+IF(入力データ!$L$25="下宿",前提条件!$C$32,0)+IF(BG6=18,前提条件!$C$33,0),0))))))+IF(BG7="",0,IF(BG7&lt;=5,IF(入力データ!$G$26="私立",前提条件!$C$22,前提条件!$C$21),IF(BG7&lt;=11,IF(入力データ!$H$26="私立",前提条件!$C$24,前提条件!$C$23),IF(BG7&lt;=14,IF(入力データ!$I$26="私立",前提条件!$C$26,前提条件!$C$25),IF(BG7&lt;=17,IF(入力データ!$J$26="私立",前提条件!$C$28,前提条件!$C$27),IF(BG7&lt;=21,IF(入力データ!$K$26="国公立",前提条件!$C$29,IF(入力データ!$K$26="私立理系",前提条件!$C$31,前提条件!$C$30))+IF(入力データ!$L$26="下宿",前提条件!$C$32,0)+IF(BG7=18,前提条件!$C$33,0),0))))))+IF(BG8="",0,IF(BG8&lt;=5,IF(入力データ!$G$27="私立",前提条件!$C$22,前提条件!$C$21),IF(BG8&lt;=11,IF(入力データ!$H$27="私立",前提条件!$C$24,前提条件!$C$23),IF(BG8&lt;=14,IF(入力データ!$I$27="私立",前提条件!$C$26,前提条件!$C$25),IF(BG8&lt;=17,IF(入力データ!$J$27="私立",前提条件!$C$28,前提条件!$C$27),IF(BG8&lt;=21,IF(入力データ!$K$27="国公立",前提条件!$C$29,IF(入力データ!$K$27="私立理系",前提条件!$C$31,前提条件!$C$30))+IF(入力データ!$L$27="下宿",前提条件!$C$32,0)+IF(BG8=18,前提条件!$C$33,0),0)))))))*(1+前提条件!$C$13)^(BG$3-$B$3))))</f>
        <v/>
      </c>
      <c r="BH24" s="352">
        <f>IF(BH$3="","",IF(入力データ!$C$17&lt;=0,0,IF(BH$3="","",((SUM(入力データ!$C$58:$C$61)*12)+IF(BH6="",0,IF(BH6&lt;=5,IF(入力データ!$G$25="私立",前提条件!$C$22,前提条件!$C$21),IF(BH6&lt;=11,IF(入力データ!$H$25="私立",前提条件!$C$24,前提条件!$C$23),IF(BH6&lt;=14,IF(入力データ!$I$25="私立",前提条件!$C$26,前提条件!$C$25),IF(BH6&lt;=17,IF(入力データ!$J$25="私立",前提条件!$C$28,前提条件!$C$27),IF(BH6&lt;=21,IF(入力データ!$K$25="国公立",前提条件!$C$29,IF(入力データ!$K$25="私立理系",前提条件!$C$31,前提条件!$C$30))+IF(入力データ!$L$25="下宿",前提条件!$C$32,0)+IF(BH6=18,前提条件!$C$33,0),0))))))+IF(BH7="",0,IF(BH7&lt;=5,IF(入力データ!$G$26="私立",前提条件!$C$22,前提条件!$C$21),IF(BH7&lt;=11,IF(入力データ!$H$26="私立",前提条件!$C$24,前提条件!$C$23),IF(BH7&lt;=14,IF(入力データ!$I$26="私立",前提条件!$C$26,前提条件!$C$25),IF(BH7&lt;=17,IF(入力データ!$J$26="私立",前提条件!$C$28,前提条件!$C$27),IF(BH7&lt;=21,IF(入力データ!$K$26="国公立",前提条件!$C$29,IF(入力データ!$K$26="私立理系",前提条件!$C$31,前提条件!$C$30))+IF(入力データ!$L$26="下宿",前提条件!$C$32,0)+IF(BH7=18,前提条件!$C$33,0),0))))))+IF(BH8="",0,IF(BH8&lt;=5,IF(入力データ!$G$27="私立",前提条件!$C$22,前提条件!$C$21),IF(BH8&lt;=11,IF(入力データ!$H$27="私立",前提条件!$C$24,前提条件!$C$23),IF(BH8&lt;=14,IF(入力データ!$I$27="私立",前提条件!$C$26,前提条件!$C$25),IF(BH8&lt;=17,IF(入力データ!$J$27="私立",前提条件!$C$28,前提条件!$C$27),IF(BH8&lt;=21,IF(入力データ!$K$27="国公立",前提条件!$C$29,IF(入力データ!$K$27="私立理系",前提条件!$C$31,前提条件!$C$30))+IF(入力データ!$L$27="下宿",前提条件!$C$32,0)+IF(BH8=18,前提条件!$C$33,0),0)))))))*(1+前提条件!$C$13)^(BH$3-$B$3))))</f>
        <v/>
      </c>
      <c r="BI24" s="352">
        <f>IF(BI$3="","",IF(入力データ!$C$17&lt;=0,0,IF(BI$3="","",((SUM(入力データ!$C$58:$C$61)*12)+IF(BI6="",0,IF(BI6&lt;=5,IF(入力データ!$G$25="私立",前提条件!$C$22,前提条件!$C$21),IF(BI6&lt;=11,IF(入力データ!$H$25="私立",前提条件!$C$24,前提条件!$C$23),IF(BI6&lt;=14,IF(入力データ!$I$25="私立",前提条件!$C$26,前提条件!$C$25),IF(BI6&lt;=17,IF(入力データ!$J$25="私立",前提条件!$C$28,前提条件!$C$27),IF(BI6&lt;=21,IF(入力データ!$K$25="国公立",前提条件!$C$29,IF(入力データ!$K$25="私立理系",前提条件!$C$31,前提条件!$C$30))+IF(入力データ!$L$25="下宿",前提条件!$C$32,0)+IF(BI6=18,前提条件!$C$33,0),0))))))+IF(BI7="",0,IF(BI7&lt;=5,IF(入力データ!$G$26="私立",前提条件!$C$22,前提条件!$C$21),IF(BI7&lt;=11,IF(入力データ!$H$26="私立",前提条件!$C$24,前提条件!$C$23),IF(BI7&lt;=14,IF(入力データ!$I$26="私立",前提条件!$C$26,前提条件!$C$25),IF(BI7&lt;=17,IF(入力データ!$J$26="私立",前提条件!$C$28,前提条件!$C$27),IF(BI7&lt;=21,IF(入力データ!$K$26="国公立",前提条件!$C$29,IF(入力データ!$K$26="私立理系",前提条件!$C$31,前提条件!$C$30))+IF(入力データ!$L$26="下宿",前提条件!$C$32,0)+IF(BI7=18,前提条件!$C$33,0),0))))))+IF(BI8="",0,IF(BI8&lt;=5,IF(入力データ!$G$27="私立",前提条件!$C$22,前提条件!$C$21),IF(BI8&lt;=11,IF(入力データ!$H$27="私立",前提条件!$C$24,前提条件!$C$23),IF(BI8&lt;=14,IF(入力データ!$I$27="私立",前提条件!$C$26,前提条件!$C$25),IF(BI8&lt;=17,IF(入力データ!$J$27="私立",前提条件!$C$28,前提条件!$C$27),IF(BI8&lt;=21,IF(入力データ!$K$27="国公立",前提条件!$C$29,IF(入力データ!$K$27="私立理系",前提条件!$C$31,前提条件!$C$30))+IF(入力データ!$L$27="下宿",前提条件!$C$32,0)+IF(BI8=18,前提条件!$C$33,0),0)))))))*(1+前提条件!$C$13)^(BI$3-$B$3))))</f>
        <v/>
      </c>
      <c r="BJ24" s="352">
        <f>IF(BJ$3="","",IF(入力データ!$C$17&lt;=0,0,IF(BJ$3="","",((SUM(入力データ!$C$58:$C$61)*12)+IF(BJ6="",0,IF(BJ6&lt;=5,IF(入力データ!$G$25="私立",前提条件!$C$22,前提条件!$C$21),IF(BJ6&lt;=11,IF(入力データ!$H$25="私立",前提条件!$C$24,前提条件!$C$23),IF(BJ6&lt;=14,IF(入力データ!$I$25="私立",前提条件!$C$26,前提条件!$C$25),IF(BJ6&lt;=17,IF(入力データ!$J$25="私立",前提条件!$C$28,前提条件!$C$27),IF(BJ6&lt;=21,IF(入力データ!$K$25="国公立",前提条件!$C$29,IF(入力データ!$K$25="私立理系",前提条件!$C$31,前提条件!$C$30))+IF(入力データ!$L$25="下宿",前提条件!$C$32,0)+IF(BJ6=18,前提条件!$C$33,0),0))))))+IF(BJ7="",0,IF(BJ7&lt;=5,IF(入力データ!$G$26="私立",前提条件!$C$22,前提条件!$C$21),IF(BJ7&lt;=11,IF(入力データ!$H$26="私立",前提条件!$C$24,前提条件!$C$23),IF(BJ7&lt;=14,IF(入力データ!$I$26="私立",前提条件!$C$26,前提条件!$C$25),IF(BJ7&lt;=17,IF(入力データ!$J$26="私立",前提条件!$C$28,前提条件!$C$27),IF(BJ7&lt;=21,IF(入力データ!$K$26="国公立",前提条件!$C$29,IF(入力データ!$K$26="私立理系",前提条件!$C$31,前提条件!$C$30))+IF(入力データ!$L$26="下宿",前提条件!$C$32,0)+IF(BJ7=18,前提条件!$C$33,0),0))))))+IF(BJ8="",0,IF(BJ8&lt;=5,IF(入力データ!$G$27="私立",前提条件!$C$22,前提条件!$C$21),IF(BJ8&lt;=11,IF(入力データ!$H$27="私立",前提条件!$C$24,前提条件!$C$23),IF(BJ8&lt;=14,IF(入力データ!$I$27="私立",前提条件!$C$26,前提条件!$C$25),IF(BJ8&lt;=17,IF(入力データ!$J$27="私立",前提条件!$C$28,前提条件!$C$27),IF(BJ8&lt;=21,IF(入力データ!$K$27="国公立",前提条件!$C$29,IF(入力データ!$K$27="私立理系",前提条件!$C$31,前提条件!$C$30))+IF(入力データ!$L$27="下宿",前提条件!$C$32,0)+IF(BJ8=18,前提条件!$C$33,0),0)))))))*(1+前提条件!$C$13)^(BJ$3-$B$3))))</f>
        <v/>
      </c>
      <c r="BK24" s="352">
        <f>IF(BK$3="","",IF(入力データ!$C$17&lt;=0,0,IF(BK$3="","",((SUM(入力データ!$C$58:$C$61)*12)+IF(BK6="",0,IF(BK6&lt;=5,IF(入力データ!$G$25="私立",前提条件!$C$22,前提条件!$C$21),IF(BK6&lt;=11,IF(入力データ!$H$25="私立",前提条件!$C$24,前提条件!$C$23),IF(BK6&lt;=14,IF(入力データ!$I$25="私立",前提条件!$C$26,前提条件!$C$25),IF(BK6&lt;=17,IF(入力データ!$J$25="私立",前提条件!$C$28,前提条件!$C$27),IF(BK6&lt;=21,IF(入力データ!$K$25="国公立",前提条件!$C$29,IF(入力データ!$K$25="私立理系",前提条件!$C$31,前提条件!$C$30))+IF(入力データ!$L$25="下宿",前提条件!$C$32,0)+IF(BK6=18,前提条件!$C$33,0),0))))))+IF(BK7="",0,IF(BK7&lt;=5,IF(入力データ!$G$26="私立",前提条件!$C$22,前提条件!$C$21),IF(BK7&lt;=11,IF(入力データ!$H$26="私立",前提条件!$C$24,前提条件!$C$23),IF(BK7&lt;=14,IF(入力データ!$I$26="私立",前提条件!$C$26,前提条件!$C$25),IF(BK7&lt;=17,IF(入力データ!$J$26="私立",前提条件!$C$28,前提条件!$C$27),IF(BK7&lt;=21,IF(入力データ!$K$26="国公立",前提条件!$C$29,IF(入力データ!$K$26="私立理系",前提条件!$C$31,前提条件!$C$30))+IF(入力データ!$L$26="下宿",前提条件!$C$32,0)+IF(BK7=18,前提条件!$C$33,0),0))))))+IF(BK8="",0,IF(BK8&lt;=5,IF(入力データ!$G$27="私立",前提条件!$C$22,前提条件!$C$21),IF(BK8&lt;=11,IF(入力データ!$H$27="私立",前提条件!$C$24,前提条件!$C$23),IF(BK8&lt;=14,IF(入力データ!$I$27="私立",前提条件!$C$26,前提条件!$C$25),IF(BK8&lt;=17,IF(入力データ!$J$27="私立",前提条件!$C$28,前提条件!$C$27),IF(BK8&lt;=21,IF(入力データ!$K$27="国公立",前提条件!$C$29,IF(入力データ!$K$27="私立理系",前提条件!$C$31,前提条件!$C$30))+IF(入力データ!$L$27="下宿",前提条件!$C$32,0)+IF(BK8=18,前提条件!$C$33,0),0)))))))*(1+前提条件!$C$13)^(BK$3-$B$3))))</f>
        <v/>
      </c>
      <c r="BL24" s="352">
        <f>IF(BL$3="","",IF(入力データ!$C$17&lt;=0,0,IF(BL$3="","",((SUM(入力データ!$C$58:$C$61)*12)+IF(BL6="",0,IF(BL6&lt;=5,IF(入力データ!$G$25="私立",前提条件!$C$22,前提条件!$C$21),IF(BL6&lt;=11,IF(入力データ!$H$25="私立",前提条件!$C$24,前提条件!$C$23),IF(BL6&lt;=14,IF(入力データ!$I$25="私立",前提条件!$C$26,前提条件!$C$25),IF(BL6&lt;=17,IF(入力データ!$J$25="私立",前提条件!$C$28,前提条件!$C$27),IF(BL6&lt;=21,IF(入力データ!$K$25="国公立",前提条件!$C$29,IF(入力データ!$K$25="私立理系",前提条件!$C$31,前提条件!$C$30))+IF(入力データ!$L$25="下宿",前提条件!$C$32,0)+IF(BL6=18,前提条件!$C$33,0),0))))))+IF(BL7="",0,IF(BL7&lt;=5,IF(入力データ!$G$26="私立",前提条件!$C$22,前提条件!$C$21),IF(BL7&lt;=11,IF(入力データ!$H$26="私立",前提条件!$C$24,前提条件!$C$23),IF(BL7&lt;=14,IF(入力データ!$I$26="私立",前提条件!$C$26,前提条件!$C$25),IF(BL7&lt;=17,IF(入力データ!$J$26="私立",前提条件!$C$28,前提条件!$C$27),IF(BL7&lt;=21,IF(入力データ!$K$26="国公立",前提条件!$C$29,IF(入力データ!$K$26="私立理系",前提条件!$C$31,前提条件!$C$30))+IF(入力データ!$L$26="下宿",前提条件!$C$32,0)+IF(BL7=18,前提条件!$C$33,0),0))))))+IF(BL8="",0,IF(BL8&lt;=5,IF(入力データ!$G$27="私立",前提条件!$C$22,前提条件!$C$21),IF(BL8&lt;=11,IF(入力データ!$H$27="私立",前提条件!$C$24,前提条件!$C$23),IF(BL8&lt;=14,IF(入力データ!$I$27="私立",前提条件!$C$26,前提条件!$C$25),IF(BL8&lt;=17,IF(入力データ!$J$27="私立",前提条件!$C$28,前提条件!$C$27),IF(BL8&lt;=21,IF(入力データ!$K$27="国公立",前提条件!$C$29,IF(入力データ!$K$27="私立理系",前提条件!$C$31,前提条件!$C$30))+IF(入力データ!$L$27="下宿",前提条件!$C$32,0)+IF(BL8=18,前提条件!$C$33,0),0)))))))*(1+前提条件!$C$13)^(BL$3-$B$3))))</f>
        <v/>
      </c>
      <c r="BM24" s="352">
        <f>IF(BM$3="","",IF(入力データ!$C$17&lt;=0,0,IF(BM$3="","",((SUM(入力データ!$C$58:$C$61)*12)+IF(BM6="",0,IF(BM6&lt;=5,IF(入力データ!$G$25="私立",前提条件!$C$22,前提条件!$C$21),IF(BM6&lt;=11,IF(入力データ!$H$25="私立",前提条件!$C$24,前提条件!$C$23),IF(BM6&lt;=14,IF(入力データ!$I$25="私立",前提条件!$C$26,前提条件!$C$25),IF(BM6&lt;=17,IF(入力データ!$J$25="私立",前提条件!$C$28,前提条件!$C$27),IF(BM6&lt;=21,IF(入力データ!$K$25="国公立",前提条件!$C$29,IF(入力データ!$K$25="私立理系",前提条件!$C$31,前提条件!$C$30))+IF(入力データ!$L$25="下宿",前提条件!$C$32,0)+IF(BM6=18,前提条件!$C$33,0),0))))))+IF(BM7="",0,IF(BM7&lt;=5,IF(入力データ!$G$26="私立",前提条件!$C$22,前提条件!$C$21),IF(BM7&lt;=11,IF(入力データ!$H$26="私立",前提条件!$C$24,前提条件!$C$23),IF(BM7&lt;=14,IF(入力データ!$I$26="私立",前提条件!$C$26,前提条件!$C$25),IF(BM7&lt;=17,IF(入力データ!$J$26="私立",前提条件!$C$28,前提条件!$C$27),IF(BM7&lt;=21,IF(入力データ!$K$26="国公立",前提条件!$C$29,IF(入力データ!$K$26="私立理系",前提条件!$C$31,前提条件!$C$30))+IF(入力データ!$L$26="下宿",前提条件!$C$32,0)+IF(BM7=18,前提条件!$C$33,0),0))))))+IF(BM8="",0,IF(BM8&lt;=5,IF(入力データ!$G$27="私立",前提条件!$C$22,前提条件!$C$21),IF(BM8&lt;=11,IF(入力データ!$H$27="私立",前提条件!$C$24,前提条件!$C$23),IF(BM8&lt;=14,IF(入力データ!$I$27="私立",前提条件!$C$26,前提条件!$C$25),IF(BM8&lt;=17,IF(入力データ!$J$27="私立",前提条件!$C$28,前提条件!$C$27),IF(BM8&lt;=21,IF(入力データ!$K$27="国公立",前提条件!$C$29,IF(入力データ!$K$27="私立理系",前提条件!$C$31,前提条件!$C$30))+IF(入力データ!$L$27="下宿",前提条件!$C$32,0)+IF(BM8=18,前提条件!$C$33,0),0)))))))*(1+前提条件!$C$13)^(BM$3-$B$3))))</f>
        <v/>
      </c>
      <c r="BN24" s="352">
        <f>IF(BN$3="","",IF(入力データ!$C$17&lt;=0,0,IF(BN$3="","",((SUM(入力データ!$C$58:$C$61)*12)+IF(BN6="",0,IF(BN6&lt;=5,IF(入力データ!$G$25="私立",前提条件!$C$22,前提条件!$C$21),IF(BN6&lt;=11,IF(入力データ!$H$25="私立",前提条件!$C$24,前提条件!$C$23),IF(BN6&lt;=14,IF(入力データ!$I$25="私立",前提条件!$C$26,前提条件!$C$25),IF(BN6&lt;=17,IF(入力データ!$J$25="私立",前提条件!$C$28,前提条件!$C$27),IF(BN6&lt;=21,IF(入力データ!$K$25="国公立",前提条件!$C$29,IF(入力データ!$K$25="私立理系",前提条件!$C$31,前提条件!$C$30))+IF(入力データ!$L$25="下宿",前提条件!$C$32,0)+IF(BN6=18,前提条件!$C$33,0),0))))))+IF(BN7="",0,IF(BN7&lt;=5,IF(入力データ!$G$26="私立",前提条件!$C$22,前提条件!$C$21),IF(BN7&lt;=11,IF(入力データ!$H$26="私立",前提条件!$C$24,前提条件!$C$23),IF(BN7&lt;=14,IF(入力データ!$I$26="私立",前提条件!$C$26,前提条件!$C$25),IF(BN7&lt;=17,IF(入力データ!$J$26="私立",前提条件!$C$28,前提条件!$C$27),IF(BN7&lt;=21,IF(入力データ!$K$26="国公立",前提条件!$C$29,IF(入力データ!$K$26="私立理系",前提条件!$C$31,前提条件!$C$30))+IF(入力データ!$L$26="下宿",前提条件!$C$32,0)+IF(BN7=18,前提条件!$C$33,0),0))))))+IF(BN8="",0,IF(BN8&lt;=5,IF(入力データ!$G$27="私立",前提条件!$C$22,前提条件!$C$21),IF(BN8&lt;=11,IF(入力データ!$H$27="私立",前提条件!$C$24,前提条件!$C$23),IF(BN8&lt;=14,IF(入力データ!$I$27="私立",前提条件!$C$26,前提条件!$C$25),IF(BN8&lt;=17,IF(入力データ!$J$27="私立",前提条件!$C$28,前提条件!$C$27),IF(BN8&lt;=21,IF(入力データ!$K$27="国公立",前提条件!$C$29,IF(入力データ!$K$27="私立理系",前提条件!$C$31,前提条件!$C$30))+IF(入力データ!$L$27="下宿",前提条件!$C$32,0)+IF(BN8=18,前提条件!$C$33,0),0)))))))*(1+前提条件!$C$13)^(BN$3-$B$3))))</f>
        <v/>
      </c>
      <c r="BO24" s="352">
        <f>IF(BO$3="","",IF(入力データ!$C$17&lt;=0,0,IF(BO$3="","",((SUM(入力データ!$C$58:$C$61)*12)+IF(BO6="",0,IF(BO6&lt;=5,IF(入力データ!$G$25="私立",前提条件!$C$22,前提条件!$C$21),IF(BO6&lt;=11,IF(入力データ!$H$25="私立",前提条件!$C$24,前提条件!$C$23),IF(BO6&lt;=14,IF(入力データ!$I$25="私立",前提条件!$C$26,前提条件!$C$25),IF(BO6&lt;=17,IF(入力データ!$J$25="私立",前提条件!$C$28,前提条件!$C$27),IF(BO6&lt;=21,IF(入力データ!$K$25="国公立",前提条件!$C$29,IF(入力データ!$K$25="私立理系",前提条件!$C$31,前提条件!$C$30))+IF(入力データ!$L$25="下宿",前提条件!$C$32,0)+IF(BO6=18,前提条件!$C$33,0),0))))))+IF(BO7="",0,IF(BO7&lt;=5,IF(入力データ!$G$26="私立",前提条件!$C$22,前提条件!$C$21),IF(BO7&lt;=11,IF(入力データ!$H$26="私立",前提条件!$C$24,前提条件!$C$23),IF(BO7&lt;=14,IF(入力データ!$I$26="私立",前提条件!$C$26,前提条件!$C$25),IF(BO7&lt;=17,IF(入力データ!$J$26="私立",前提条件!$C$28,前提条件!$C$27),IF(BO7&lt;=21,IF(入力データ!$K$26="国公立",前提条件!$C$29,IF(入力データ!$K$26="私立理系",前提条件!$C$31,前提条件!$C$30))+IF(入力データ!$L$26="下宿",前提条件!$C$32,0)+IF(BO7=18,前提条件!$C$33,0),0))))))+IF(BO8="",0,IF(BO8&lt;=5,IF(入力データ!$G$27="私立",前提条件!$C$22,前提条件!$C$21),IF(BO8&lt;=11,IF(入力データ!$H$27="私立",前提条件!$C$24,前提条件!$C$23),IF(BO8&lt;=14,IF(入力データ!$I$27="私立",前提条件!$C$26,前提条件!$C$25),IF(BO8&lt;=17,IF(入力データ!$J$27="私立",前提条件!$C$28,前提条件!$C$27),IF(BO8&lt;=21,IF(入力データ!$K$27="国公立",前提条件!$C$29,IF(入力データ!$K$27="私立理系",前提条件!$C$31,前提条件!$C$30))+IF(入力データ!$L$27="下宿",前提条件!$C$32,0)+IF(BO8=18,前提条件!$C$33,0),0)))))))*(1+前提条件!$C$13)^(BO$3-$B$3))))</f>
        <v/>
      </c>
      <c r="BP24" s="352">
        <f>IF(BP$3="","",IF(入力データ!$C$17&lt;=0,0,IF(BP$3="","",((SUM(入力データ!$C$58:$C$61)*12)+IF(BP6="",0,IF(BP6&lt;=5,IF(入力データ!$G$25="私立",前提条件!$C$22,前提条件!$C$21),IF(BP6&lt;=11,IF(入力データ!$H$25="私立",前提条件!$C$24,前提条件!$C$23),IF(BP6&lt;=14,IF(入力データ!$I$25="私立",前提条件!$C$26,前提条件!$C$25),IF(BP6&lt;=17,IF(入力データ!$J$25="私立",前提条件!$C$28,前提条件!$C$27),IF(BP6&lt;=21,IF(入力データ!$K$25="国公立",前提条件!$C$29,IF(入力データ!$K$25="私立理系",前提条件!$C$31,前提条件!$C$30))+IF(入力データ!$L$25="下宿",前提条件!$C$32,0)+IF(BP6=18,前提条件!$C$33,0),0))))))+IF(BP7="",0,IF(BP7&lt;=5,IF(入力データ!$G$26="私立",前提条件!$C$22,前提条件!$C$21),IF(BP7&lt;=11,IF(入力データ!$H$26="私立",前提条件!$C$24,前提条件!$C$23),IF(BP7&lt;=14,IF(入力データ!$I$26="私立",前提条件!$C$26,前提条件!$C$25),IF(BP7&lt;=17,IF(入力データ!$J$26="私立",前提条件!$C$28,前提条件!$C$27),IF(BP7&lt;=21,IF(入力データ!$K$26="国公立",前提条件!$C$29,IF(入力データ!$K$26="私立理系",前提条件!$C$31,前提条件!$C$30))+IF(入力データ!$L$26="下宿",前提条件!$C$32,0)+IF(BP7=18,前提条件!$C$33,0),0))))))+IF(BP8="",0,IF(BP8&lt;=5,IF(入力データ!$G$27="私立",前提条件!$C$22,前提条件!$C$21),IF(BP8&lt;=11,IF(入力データ!$H$27="私立",前提条件!$C$24,前提条件!$C$23),IF(BP8&lt;=14,IF(入力データ!$I$27="私立",前提条件!$C$26,前提条件!$C$25),IF(BP8&lt;=17,IF(入力データ!$J$27="私立",前提条件!$C$28,前提条件!$C$27),IF(BP8&lt;=21,IF(入力データ!$K$27="国公立",前提条件!$C$29,IF(入力データ!$K$27="私立理系",前提条件!$C$31,前提条件!$C$30))+IF(入力データ!$L$27="下宿",前提条件!$C$32,0)+IF(BP8=18,前提条件!$C$33,0),0)))))))*(1+前提条件!$C$13)^(BP$3-$B$3))))</f>
        <v/>
      </c>
      <c r="BQ24" s="352">
        <f>IF(BQ$3="","",IF(入力データ!$C$17&lt;=0,0,IF(BQ$3="","",((SUM(入力データ!$C$58:$C$61)*12)+IF(BQ6="",0,IF(BQ6&lt;=5,IF(入力データ!$G$25="私立",前提条件!$C$22,前提条件!$C$21),IF(BQ6&lt;=11,IF(入力データ!$H$25="私立",前提条件!$C$24,前提条件!$C$23),IF(BQ6&lt;=14,IF(入力データ!$I$25="私立",前提条件!$C$26,前提条件!$C$25),IF(BQ6&lt;=17,IF(入力データ!$J$25="私立",前提条件!$C$28,前提条件!$C$27),IF(BQ6&lt;=21,IF(入力データ!$K$25="国公立",前提条件!$C$29,IF(入力データ!$K$25="私立理系",前提条件!$C$31,前提条件!$C$30))+IF(入力データ!$L$25="下宿",前提条件!$C$32,0)+IF(BQ6=18,前提条件!$C$33,0),0))))))+IF(BQ7="",0,IF(BQ7&lt;=5,IF(入力データ!$G$26="私立",前提条件!$C$22,前提条件!$C$21),IF(BQ7&lt;=11,IF(入力データ!$H$26="私立",前提条件!$C$24,前提条件!$C$23),IF(BQ7&lt;=14,IF(入力データ!$I$26="私立",前提条件!$C$26,前提条件!$C$25),IF(BQ7&lt;=17,IF(入力データ!$J$26="私立",前提条件!$C$28,前提条件!$C$27),IF(BQ7&lt;=21,IF(入力データ!$K$26="国公立",前提条件!$C$29,IF(入力データ!$K$26="私立理系",前提条件!$C$31,前提条件!$C$30))+IF(入力データ!$L$26="下宿",前提条件!$C$32,0)+IF(BQ7=18,前提条件!$C$33,0),0))))))+IF(BQ8="",0,IF(BQ8&lt;=5,IF(入力データ!$G$27="私立",前提条件!$C$22,前提条件!$C$21),IF(BQ8&lt;=11,IF(入力データ!$H$27="私立",前提条件!$C$24,前提条件!$C$23),IF(BQ8&lt;=14,IF(入力データ!$I$27="私立",前提条件!$C$26,前提条件!$C$25),IF(BQ8&lt;=17,IF(入力データ!$J$27="私立",前提条件!$C$28,前提条件!$C$27),IF(BQ8&lt;=21,IF(入力データ!$K$27="国公立",前提条件!$C$29,IF(入力データ!$K$27="私立理系",前提条件!$C$31,前提条件!$C$30))+IF(入力データ!$L$27="下宿",前提条件!$C$32,0)+IF(BQ8=18,前提条件!$C$33,0),0)))))))*(1+前提条件!$C$13)^(BQ$3-$B$3))))</f>
        <v/>
      </c>
      <c r="BR24" s="352">
        <f>IF(BR$3="","",IF(入力データ!$C$17&lt;=0,0,IF(BR$3="","",((SUM(入力データ!$C$58:$C$61)*12)+IF(BR6="",0,IF(BR6&lt;=5,IF(入力データ!$G$25="私立",前提条件!$C$22,前提条件!$C$21),IF(BR6&lt;=11,IF(入力データ!$H$25="私立",前提条件!$C$24,前提条件!$C$23),IF(BR6&lt;=14,IF(入力データ!$I$25="私立",前提条件!$C$26,前提条件!$C$25),IF(BR6&lt;=17,IF(入力データ!$J$25="私立",前提条件!$C$28,前提条件!$C$27),IF(BR6&lt;=21,IF(入力データ!$K$25="国公立",前提条件!$C$29,IF(入力データ!$K$25="私立理系",前提条件!$C$31,前提条件!$C$30))+IF(入力データ!$L$25="下宿",前提条件!$C$32,0)+IF(BR6=18,前提条件!$C$33,0),0))))))+IF(BR7="",0,IF(BR7&lt;=5,IF(入力データ!$G$26="私立",前提条件!$C$22,前提条件!$C$21),IF(BR7&lt;=11,IF(入力データ!$H$26="私立",前提条件!$C$24,前提条件!$C$23),IF(BR7&lt;=14,IF(入力データ!$I$26="私立",前提条件!$C$26,前提条件!$C$25),IF(BR7&lt;=17,IF(入力データ!$J$26="私立",前提条件!$C$28,前提条件!$C$27),IF(BR7&lt;=21,IF(入力データ!$K$26="国公立",前提条件!$C$29,IF(入力データ!$K$26="私立理系",前提条件!$C$31,前提条件!$C$30))+IF(入力データ!$L$26="下宿",前提条件!$C$32,0)+IF(BR7=18,前提条件!$C$33,0),0))))))+IF(BR8="",0,IF(BR8&lt;=5,IF(入力データ!$G$27="私立",前提条件!$C$22,前提条件!$C$21),IF(BR8&lt;=11,IF(入力データ!$H$27="私立",前提条件!$C$24,前提条件!$C$23),IF(BR8&lt;=14,IF(入力データ!$I$27="私立",前提条件!$C$26,前提条件!$C$25),IF(BR8&lt;=17,IF(入力データ!$J$27="私立",前提条件!$C$28,前提条件!$C$27),IF(BR8&lt;=21,IF(入力データ!$K$27="国公立",前提条件!$C$29,IF(入力データ!$K$27="私立理系",前提条件!$C$31,前提条件!$C$30))+IF(入力データ!$L$27="下宿",前提条件!$C$32,0)+IF(BR8=18,前提条件!$C$33,0),0)))))))*(1+前提条件!$C$13)^(BR$3-$B$3))))</f>
        <v/>
      </c>
      <c r="BS24" s="352">
        <f>IF(BS$3="","",IF(入力データ!$C$17&lt;=0,0,IF(BS$3="","",((SUM(入力データ!$C$58:$C$61)*12)+IF(BS6="",0,IF(BS6&lt;=5,IF(入力データ!$G$25="私立",前提条件!$C$22,前提条件!$C$21),IF(BS6&lt;=11,IF(入力データ!$H$25="私立",前提条件!$C$24,前提条件!$C$23),IF(BS6&lt;=14,IF(入力データ!$I$25="私立",前提条件!$C$26,前提条件!$C$25),IF(BS6&lt;=17,IF(入力データ!$J$25="私立",前提条件!$C$28,前提条件!$C$27),IF(BS6&lt;=21,IF(入力データ!$K$25="国公立",前提条件!$C$29,IF(入力データ!$K$25="私立理系",前提条件!$C$31,前提条件!$C$30))+IF(入力データ!$L$25="下宿",前提条件!$C$32,0)+IF(BS6=18,前提条件!$C$33,0),0))))))+IF(BS7="",0,IF(BS7&lt;=5,IF(入力データ!$G$26="私立",前提条件!$C$22,前提条件!$C$21),IF(BS7&lt;=11,IF(入力データ!$H$26="私立",前提条件!$C$24,前提条件!$C$23),IF(BS7&lt;=14,IF(入力データ!$I$26="私立",前提条件!$C$26,前提条件!$C$25),IF(BS7&lt;=17,IF(入力データ!$J$26="私立",前提条件!$C$28,前提条件!$C$27),IF(BS7&lt;=21,IF(入力データ!$K$26="国公立",前提条件!$C$29,IF(入力データ!$K$26="私立理系",前提条件!$C$31,前提条件!$C$30))+IF(入力データ!$L$26="下宿",前提条件!$C$32,0)+IF(BS7=18,前提条件!$C$33,0),0))))))+IF(BS8="",0,IF(BS8&lt;=5,IF(入力データ!$G$27="私立",前提条件!$C$22,前提条件!$C$21),IF(BS8&lt;=11,IF(入力データ!$H$27="私立",前提条件!$C$24,前提条件!$C$23),IF(BS8&lt;=14,IF(入力データ!$I$27="私立",前提条件!$C$26,前提条件!$C$25),IF(BS8&lt;=17,IF(入力データ!$J$27="私立",前提条件!$C$28,前提条件!$C$27),IF(BS8&lt;=21,IF(入力データ!$K$27="国公立",前提条件!$C$29,IF(入力データ!$K$27="私立理系",前提条件!$C$31,前提条件!$C$30))+IF(入力データ!$L$27="下宿",前提条件!$C$32,0)+IF(BS8=18,前提条件!$C$33,0),0)))))))*(1+前提条件!$C$13)^(BS$3-$B$3))))</f>
        <v/>
      </c>
      <c r="BT24" s="352">
        <f>IF(BT$3="","",IF(入力データ!$C$17&lt;=0,0,IF(BT$3="","",((SUM(入力データ!$C$58:$C$61)*12)+IF(BT6="",0,IF(BT6&lt;=5,IF(入力データ!$G$25="私立",前提条件!$C$22,前提条件!$C$21),IF(BT6&lt;=11,IF(入力データ!$H$25="私立",前提条件!$C$24,前提条件!$C$23),IF(BT6&lt;=14,IF(入力データ!$I$25="私立",前提条件!$C$26,前提条件!$C$25),IF(BT6&lt;=17,IF(入力データ!$J$25="私立",前提条件!$C$28,前提条件!$C$27),IF(BT6&lt;=21,IF(入力データ!$K$25="国公立",前提条件!$C$29,IF(入力データ!$K$25="私立理系",前提条件!$C$31,前提条件!$C$30))+IF(入力データ!$L$25="下宿",前提条件!$C$32,0)+IF(BT6=18,前提条件!$C$33,0),0))))))+IF(BT7="",0,IF(BT7&lt;=5,IF(入力データ!$G$26="私立",前提条件!$C$22,前提条件!$C$21),IF(BT7&lt;=11,IF(入力データ!$H$26="私立",前提条件!$C$24,前提条件!$C$23),IF(BT7&lt;=14,IF(入力データ!$I$26="私立",前提条件!$C$26,前提条件!$C$25),IF(BT7&lt;=17,IF(入力データ!$J$26="私立",前提条件!$C$28,前提条件!$C$27),IF(BT7&lt;=21,IF(入力データ!$K$26="国公立",前提条件!$C$29,IF(入力データ!$K$26="私立理系",前提条件!$C$31,前提条件!$C$30))+IF(入力データ!$L$26="下宿",前提条件!$C$32,0)+IF(BT7=18,前提条件!$C$33,0),0))))))+IF(BT8="",0,IF(BT8&lt;=5,IF(入力データ!$G$27="私立",前提条件!$C$22,前提条件!$C$21),IF(BT8&lt;=11,IF(入力データ!$H$27="私立",前提条件!$C$24,前提条件!$C$23),IF(BT8&lt;=14,IF(入力データ!$I$27="私立",前提条件!$C$26,前提条件!$C$25),IF(BT8&lt;=17,IF(入力データ!$J$27="私立",前提条件!$C$28,前提条件!$C$27),IF(BT8&lt;=21,IF(入力データ!$K$27="国公立",前提条件!$C$29,IF(入力データ!$K$27="私立理系",前提条件!$C$31,前提条件!$C$30))+IF(入力データ!$L$27="下宿",前提条件!$C$32,0)+IF(BT8=18,前提条件!$C$33,0),0)))))))*(1+前提条件!$C$13)^(BT$3-$B$3))))</f>
        <v/>
      </c>
      <c r="BU24" s="352">
        <f>IF(BU$3="","",IF(入力データ!$C$17&lt;=0,0,IF(BU$3="","",((SUM(入力データ!$C$58:$C$61)*12)+IF(BU6="",0,IF(BU6&lt;=5,IF(入力データ!$G$25="私立",前提条件!$C$22,前提条件!$C$21),IF(BU6&lt;=11,IF(入力データ!$H$25="私立",前提条件!$C$24,前提条件!$C$23),IF(BU6&lt;=14,IF(入力データ!$I$25="私立",前提条件!$C$26,前提条件!$C$25),IF(BU6&lt;=17,IF(入力データ!$J$25="私立",前提条件!$C$28,前提条件!$C$27),IF(BU6&lt;=21,IF(入力データ!$K$25="国公立",前提条件!$C$29,IF(入力データ!$K$25="私立理系",前提条件!$C$31,前提条件!$C$30))+IF(入力データ!$L$25="下宿",前提条件!$C$32,0)+IF(BU6=18,前提条件!$C$33,0),0))))))+IF(BU7="",0,IF(BU7&lt;=5,IF(入力データ!$G$26="私立",前提条件!$C$22,前提条件!$C$21),IF(BU7&lt;=11,IF(入力データ!$H$26="私立",前提条件!$C$24,前提条件!$C$23),IF(BU7&lt;=14,IF(入力データ!$I$26="私立",前提条件!$C$26,前提条件!$C$25),IF(BU7&lt;=17,IF(入力データ!$J$26="私立",前提条件!$C$28,前提条件!$C$27),IF(BU7&lt;=21,IF(入力データ!$K$26="国公立",前提条件!$C$29,IF(入力データ!$K$26="私立理系",前提条件!$C$31,前提条件!$C$30))+IF(入力データ!$L$26="下宿",前提条件!$C$32,0)+IF(BU7=18,前提条件!$C$33,0),0))))))+IF(BU8="",0,IF(BU8&lt;=5,IF(入力データ!$G$27="私立",前提条件!$C$22,前提条件!$C$21),IF(BU8&lt;=11,IF(入力データ!$H$27="私立",前提条件!$C$24,前提条件!$C$23),IF(BU8&lt;=14,IF(入力データ!$I$27="私立",前提条件!$C$26,前提条件!$C$25),IF(BU8&lt;=17,IF(入力データ!$J$27="私立",前提条件!$C$28,前提条件!$C$27),IF(BU8&lt;=21,IF(入力データ!$K$27="国公立",前提条件!$C$29,IF(入力データ!$K$27="私立理系",前提条件!$C$31,前提条件!$C$30))+IF(入力データ!$L$27="下宿",前提条件!$C$32,0)+IF(BU8=18,前提条件!$C$33,0),0)))))))*(1+前提条件!$C$13)^(BU$3-$B$3))))</f>
        <v/>
      </c>
      <c r="BV24" s="352">
        <f>IF(BV$3="","",IF(入力データ!$C$17&lt;=0,0,IF(BV$3="","",((SUM(入力データ!$C$58:$C$61)*12)+IF(BV6="",0,IF(BV6&lt;=5,IF(入力データ!$G$25="私立",前提条件!$C$22,前提条件!$C$21),IF(BV6&lt;=11,IF(入力データ!$H$25="私立",前提条件!$C$24,前提条件!$C$23),IF(BV6&lt;=14,IF(入力データ!$I$25="私立",前提条件!$C$26,前提条件!$C$25),IF(BV6&lt;=17,IF(入力データ!$J$25="私立",前提条件!$C$28,前提条件!$C$27),IF(BV6&lt;=21,IF(入力データ!$K$25="国公立",前提条件!$C$29,IF(入力データ!$K$25="私立理系",前提条件!$C$31,前提条件!$C$30))+IF(入力データ!$L$25="下宿",前提条件!$C$32,0)+IF(BV6=18,前提条件!$C$33,0),0))))))+IF(BV7="",0,IF(BV7&lt;=5,IF(入力データ!$G$26="私立",前提条件!$C$22,前提条件!$C$21),IF(BV7&lt;=11,IF(入力データ!$H$26="私立",前提条件!$C$24,前提条件!$C$23),IF(BV7&lt;=14,IF(入力データ!$I$26="私立",前提条件!$C$26,前提条件!$C$25),IF(BV7&lt;=17,IF(入力データ!$J$26="私立",前提条件!$C$28,前提条件!$C$27),IF(BV7&lt;=21,IF(入力データ!$K$26="国公立",前提条件!$C$29,IF(入力データ!$K$26="私立理系",前提条件!$C$31,前提条件!$C$30))+IF(入力データ!$L$26="下宿",前提条件!$C$32,0)+IF(BV7=18,前提条件!$C$33,0),0))))))+IF(BV8="",0,IF(BV8&lt;=5,IF(入力データ!$G$27="私立",前提条件!$C$22,前提条件!$C$21),IF(BV8&lt;=11,IF(入力データ!$H$27="私立",前提条件!$C$24,前提条件!$C$23),IF(BV8&lt;=14,IF(入力データ!$I$27="私立",前提条件!$C$26,前提条件!$C$25),IF(BV8&lt;=17,IF(入力データ!$J$27="私立",前提条件!$C$28,前提条件!$C$27),IF(BV8&lt;=21,IF(入力データ!$K$27="国公立",前提条件!$C$29,IF(入力データ!$K$27="私立理系",前提条件!$C$31,前提条件!$C$30))+IF(入力データ!$L$27="下宿",前提条件!$C$32,0)+IF(BV8=18,前提条件!$C$33,0),0)))))))*(1+前提条件!$C$13)^(BV$3-$B$3))))</f>
        <v/>
      </c>
      <c r="BW24" s="352">
        <f>IF(BW$3="","",IF(入力データ!$C$17&lt;=0,0,IF(BW$3="","",((SUM(入力データ!$C$58:$C$61)*12)+IF(BW6="",0,IF(BW6&lt;=5,IF(入力データ!$G$25="私立",前提条件!$C$22,前提条件!$C$21),IF(BW6&lt;=11,IF(入力データ!$H$25="私立",前提条件!$C$24,前提条件!$C$23),IF(BW6&lt;=14,IF(入力データ!$I$25="私立",前提条件!$C$26,前提条件!$C$25),IF(BW6&lt;=17,IF(入力データ!$J$25="私立",前提条件!$C$28,前提条件!$C$27),IF(BW6&lt;=21,IF(入力データ!$K$25="国公立",前提条件!$C$29,IF(入力データ!$K$25="私立理系",前提条件!$C$31,前提条件!$C$30))+IF(入力データ!$L$25="下宿",前提条件!$C$32,0)+IF(BW6=18,前提条件!$C$33,0),0))))))+IF(BW7="",0,IF(BW7&lt;=5,IF(入力データ!$G$26="私立",前提条件!$C$22,前提条件!$C$21),IF(BW7&lt;=11,IF(入力データ!$H$26="私立",前提条件!$C$24,前提条件!$C$23),IF(BW7&lt;=14,IF(入力データ!$I$26="私立",前提条件!$C$26,前提条件!$C$25),IF(BW7&lt;=17,IF(入力データ!$J$26="私立",前提条件!$C$28,前提条件!$C$27),IF(BW7&lt;=21,IF(入力データ!$K$26="国公立",前提条件!$C$29,IF(入力データ!$K$26="私立理系",前提条件!$C$31,前提条件!$C$30))+IF(入力データ!$L$26="下宿",前提条件!$C$32,0)+IF(BW7=18,前提条件!$C$33,0),0))))))+IF(BW8="",0,IF(BW8&lt;=5,IF(入力データ!$G$27="私立",前提条件!$C$22,前提条件!$C$21),IF(BW8&lt;=11,IF(入力データ!$H$27="私立",前提条件!$C$24,前提条件!$C$23),IF(BW8&lt;=14,IF(入力データ!$I$27="私立",前提条件!$C$26,前提条件!$C$25),IF(BW8&lt;=17,IF(入力データ!$J$27="私立",前提条件!$C$28,前提条件!$C$27),IF(BW8&lt;=21,IF(入力データ!$K$27="国公立",前提条件!$C$29,IF(入力データ!$K$27="私立理系",前提条件!$C$31,前提条件!$C$30))+IF(入力データ!$L$27="下宿",前提条件!$C$32,0)+IF(BW8=18,前提条件!$C$33,0),0)))))))*(1+前提条件!$C$13)^(BW$3-$B$3))))</f>
        <v/>
      </c>
      <c r="BX24" s="352">
        <f>IF(BX$3="","",IF(入力データ!$C$17&lt;=0,0,IF(BX$3="","",((SUM(入力データ!$C$58:$C$61)*12)+IF(BX6="",0,IF(BX6&lt;=5,IF(入力データ!$G$25="私立",前提条件!$C$22,前提条件!$C$21),IF(BX6&lt;=11,IF(入力データ!$H$25="私立",前提条件!$C$24,前提条件!$C$23),IF(BX6&lt;=14,IF(入力データ!$I$25="私立",前提条件!$C$26,前提条件!$C$25),IF(BX6&lt;=17,IF(入力データ!$J$25="私立",前提条件!$C$28,前提条件!$C$27),IF(BX6&lt;=21,IF(入力データ!$K$25="国公立",前提条件!$C$29,IF(入力データ!$K$25="私立理系",前提条件!$C$31,前提条件!$C$30))+IF(入力データ!$L$25="下宿",前提条件!$C$32,0)+IF(BX6=18,前提条件!$C$33,0),0))))))+IF(BX7="",0,IF(BX7&lt;=5,IF(入力データ!$G$26="私立",前提条件!$C$22,前提条件!$C$21),IF(BX7&lt;=11,IF(入力データ!$H$26="私立",前提条件!$C$24,前提条件!$C$23),IF(BX7&lt;=14,IF(入力データ!$I$26="私立",前提条件!$C$26,前提条件!$C$25),IF(BX7&lt;=17,IF(入力データ!$J$26="私立",前提条件!$C$28,前提条件!$C$27),IF(BX7&lt;=21,IF(入力データ!$K$26="国公立",前提条件!$C$29,IF(入力データ!$K$26="私立理系",前提条件!$C$31,前提条件!$C$30))+IF(入力データ!$L$26="下宿",前提条件!$C$32,0)+IF(BX7=18,前提条件!$C$33,0),0))))))+IF(BX8="",0,IF(BX8&lt;=5,IF(入力データ!$G$27="私立",前提条件!$C$22,前提条件!$C$21),IF(BX8&lt;=11,IF(入力データ!$H$27="私立",前提条件!$C$24,前提条件!$C$23),IF(BX8&lt;=14,IF(入力データ!$I$27="私立",前提条件!$C$26,前提条件!$C$25),IF(BX8&lt;=17,IF(入力データ!$J$27="私立",前提条件!$C$28,前提条件!$C$27),IF(BX8&lt;=21,IF(入力データ!$K$27="国公立",前提条件!$C$29,IF(入力データ!$K$27="私立理系",前提条件!$C$31,前提条件!$C$30))+IF(入力データ!$L$27="下宿",前提条件!$C$32,0)+IF(BX8=18,前提条件!$C$33,0),0)))))))*(1+前提条件!$C$13)^(BX$3-$B$3))))</f>
        <v/>
      </c>
      <c r="BY24" s="352">
        <f>IF(BY$3="","",IF(入力データ!$C$17&lt;=0,0,IF(BY$3="","",((SUM(入力データ!$C$58:$C$61)*12)+IF(BY6="",0,IF(BY6&lt;=5,IF(入力データ!$G$25="私立",前提条件!$C$22,前提条件!$C$21),IF(BY6&lt;=11,IF(入力データ!$H$25="私立",前提条件!$C$24,前提条件!$C$23),IF(BY6&lt;=14,IF(入力データ!$I$25="私立",前提条件!$C$26,前提条件!$C$25),IF(BY6&lt;=17,IF(入力データ!$J$25="私立",前提条件!$C$28,前提条件!$C$27),IF(BY6&lt;=21,IF(入力データ!$K$25="国公立",前提条件!$C$29,IF(入力データ!$K$25="私立理系",前提条件!$C$31,前提条件!$C$30))+IF(入力データ!$L$25="下宿",前提条件!$C$32,0)+IF(BY6=18,前提条件!$C$33,0),0))))))+IF(BY7="",0,IF(BY7&lt;=5,IF(入力データ!$G$26="私立",前提条件!$C$22,前提条件!$C$21),IF(BY7&lt;=11,IF(入力データ!$H$26="私立",前提条件!$C$24,前提条件!$C$23),IF(BY7&lt;=14,IF(入力データ!$I$26="私立",前提条件!$C$26,前提条件!$C$25),IF(BY7&lt;=17,IF(入力データ!$J$26="私立",前提条件!$C$28,前提条件!$C$27),IF(BY7&lt;=21,IF(入力データ!$K$26="国公立",前提条件!$C$29,IF(入力データ!$K$26="私立理系",前提条件!$C$31,前提条件!$C$30))+IF(入力データ!$L$26="下宿",前提条件!$C$32,0)+IF(BY7=18,前提条件!$C$33,0),0))))))+IF(BY8="",0,IF(BY8&lt;=5,IF(入力データ!$G$27="私立",前提条件!$C$22,前提条件!$C$21),IF(BY8&lt;=11,IF(入力データ!$H$27="私立",前提条件!$C$24,前提条件!$C$23),IF(BY8&lt;=14,IF(入力データ!$I$27="私立",前提条件!$C$26,前提条件!$C$25),IF(BY8&lt;=17,IF(入力データ!$J$27="私立",前提条件!$C$28,前提条件!$C$27),IF(BY8&lt;=21,IF(入力データ!$K$27="国公立",前提条件!$C$29,IF(入力データ!$K$27="私立理系",前提条件!$C$31,前提条件!$C$30))+IF(入力データ!$L$27="下宿",前提条件!$C$32,0)+IF(BY8=18,前提条件!$C$33,0),0)))))))*(1+前提条件!$C$13)^(BY$3-$B$3))))</f>
        <v/>
      </c>
      <c r="BZ24" s="352">
        <f>IF(BZ$3="","",IF(入力データ!$C$17&lt;=0,0,IF(BZ$3="","",((SUM(入力データ!$C$58:$C$61)*12)+IF(BZ6="",0,IF(BZ6&lt;=5,IF(入力データ!$G$25="私立",前提条件!$C$22,前提条件!$C$21),IF(BZ6&lt;=11,IF(入力データ!$H$25="私立",前提条件!$C$24,前提条件!$C$23),IF(BZ6&lt;=14,IF(入力データ!$I$25="私立",前提条件!$C$26,前提条件!$C$25),IF(BZ6&lt;=17,IF(入力データ!$J$25="私立",前提条件!$C$28,前提条件!$C$27),IF(BZ6&lt;=21,IF(入力データ!$K$25="国公立",前提条件!$C$29,IF(入力データ!$K$25="私立理系",前提条件!$C$31,前提条件!$C$30))+IF(入力データ!$L$25="下宿",前提条件!$C$32,0)+IF(BZ6=18,前提条件!$C$33,0),0))))))+IF(BZ7="",0,IF(BZ7&lt;=5,IF(入力データ!$G$26="私立",前提条件!$C$22,前提条件!$C$21),IF(BZ7&lt;=11,IF(入力データ!$H$26="私立",前提条件!$C$24,前提条件!$C$23),IF(BZ7&lt;=14,IF(入力データ!$I$26="私立",前提条件!$C$26,前提条件!$C$25),IF(BZ7&lt;=17,IF(入力データ!$J$26="私立",前提条件!$C$28,前提条件!$C$27),IF(BZ7&lt;=21,IF(入力データ!$K$26="国公立",前提条件!$C$29,IF(入力データ!$K$26="私立理系",前提条件!$C$31,前提条件!$C$30))+IF(入力データ!$L$26="下宿",前提条件!$C$32,0)+IF(BZ7=18,前提条件!$C$33,0),0))))))+IF(BZ8="",0,IF(BZ8&lt;=5,IF(入力データ!$G$27="私立",前提条件!$C$22,前提条件!$C$21),IF(BZ8&lt;=11,IF(入力データ!$H$27="私立",前提条件!$C$24,前提条件!$C$23),IF(BZ8&lt;=14,IF(入力データ!$I$27="私立",前提条件!$C$26,前提条件!$C$25),IF(BZ8&lt;=17,IF(入力データ!$J$27="私立",前提条件!$C$28,前提条件!$C$27),IF(BZ8&lt;=21,IF(入力データ!$K$27="国公立",前提条件!$C$29,IF(入力データ!$K$27="私立理系",前提条件!$C$31,前提条件!$C$30))+IF(入力データ!$L$27="下宿",前提条件!$C$32,0)+IF(BZ8=18,前提条件!$C$33,0),0)))))))*(1+前提条件!$C$13)^(BZ$3-$B$3))))</f>
        <v/>
      </c>
      <c r="CA24" s="352">
        <f>IF(CA$3="","",IF(入力データ!$C$17&lt;=0,0,IF(CA$3="","",((SUM(入力データ!$C$58:$C$61)*12)+IF(CA6="",0,IF(CA6&lt;=5,IF(入力データ!$G$25="私立",前提条件!$C$22,前提条件!$C$21),IF(CA6&lt;=11,IF(入力データ!$H$25="私立",前提条件!$C$24,前提条件!$C$23),IF(CA6&lt;=14,IF(入力データ!$I$25="私立",前提条件!$C$26,前提条件!$C$25),IF(CA6&lt;=17,IF(入力データ!$J$25="私立",前提条件!$C$28,前提条件!$C$27),IF(CA6&lt;=21,IF(入力データ!$K$25="国公立",前提条件!$C$29,IF(入力データ!$K$25="私立理系",前提条件!$C$31,前提条件!$C$30))+IF(入力データ!$L$25="下宿",前提条件!$C$32,0)+IF(CA6=18,前提条件!$C$33,0),0))))))+IF(CA7="",0,IF(CA7&lt;=5,IF(入力データ!$G$26="私立",前提条件!$C$22,前提条件!$C$21),IF(CA7&lt;=11,IF(入力データ!$H$26="私立",前提条件!$C$24,前提条件!$C$23),IF(CA7&lt;=14,IF(入力データ!$I$26="私立",前提条件!$C$26,前提条件!$C$25),IF(CA7&lt;=17,IF(入力データ!$J$26="私立",前提条件!$C$28,前提条件!$C$27),IF(CA7&lt;=21,IF(入力データ!$K$26="国公立",前提条件!$C$29,IF(入力データ!$K$26="私立理系",前提条件!$C$31,前提条件!$C$30))+IF(入力データ!$L$26="下宿",前提条件!$C$32,0)+IF(CA7=18,前提条件!$C$33,0),0))))))+IF(CA8="",0,IF(CA8&lt;=5,IF(入力データ!$G$27="私立",前提条件!$C$22,前提条件!$C$21),IF(CA8&lt;=11,IF(入力データ!$H$27="私立",前提条件!$C$24,前提条件!$C$23),IF(CA8&lt;=14,IF(入力データ!$I$27="私立",前提条件!$C$26,前提条件!$C$25),IF(CA8&lt;=17,IF(入力データ!$J$27="私立",前提条件!$C$28,前提条件!$C$27),IF(CA8&lt;=21,IF(入力データ!$K$27="国公立",前提条件!$C$29,IF(入力データ!$K$27="私立理系",前提条件!$C$31,前提条件!$C$30))+IF(入力データ!$L$27="下宿",前提条件!$C$32,0)+IF(CA8=18,前提条件!$C$33,0),0)))))))*(1+前提条件!$C$13)^(CA$3-$B$3))))</f>
        <v/>
      </c>
      <c r="CB24" s="352">
        <f>IF(CB$3="","",IF(入力データ!$C$17&lt;=0,0,IF(CB$3="","",((SUM(入力データ!$C$58:$C$61)*12)+IF(CB6="",0,IF(CB6&lt;=5,IF(入力データ!$G$25="私立",前提条件!$C$22,前提条件!$C$21),IF(CB6&lt;=11,IF(入力データ!$H$25="私立",前提条件!$C$24,前提条件!$C$23),IF(CB6&lt;=14,IF(入力データ!$I$25="私立",前提条件!$C$26,前提条件!$C$25),IF(CB6&lt;=17,IF(入力データ!$J$25="私立",前提条件!$C$28,前提条件!$C$27),IF(CB6&lt;=21,IF(入力データ!$K$25="国公立",前提条件!$C$29,IF(入力データ!$K$25="私立理系",前提条件!$C$31,前提条件!$C$30))+IF(入力データ!$L$25="下宿",前提条件!$C$32,0)+IF(CB6=18,前提条件!$C$33,0),0))))))+IF(CB7="",0,IF(CB7&lt;=5,IF(入力データ!$G$26="私立",前提条件!$C$22,前提条件!$C$21),IF(CB7&lt;=11,IF(入力データ!$H$26="私立",前提条件!$C$24,前提条件!$C$23),IF(CB7&lt;=14,IF(入力データ!$I$26="私立",前提条件!$C$26,前提条件!$C$25),IF(CB7&lt;=17,IF(入力データ!$J$26="私立",前提条件!$C$28,前提条件!$C$27),IF(CB7&lt;=21,IF(入力データ!$K$26="国公立",前提条件!$C$29,IF(入力データ!$K$26="私立理系",前提条件!$C$31,前提条件!$C$30))+IF(入力データ!$L$26="下宿",前提条件!$C$32,0)+IF(CB7=18,前提条件!$C$33,0),0))))))+IF(CB8="",0,IF(CB8&lt;=5,IF(入力データ!$G$27="私立",前提条件!$C$22,前提条件!$C$21),IF(CB8&lt;=11,IF(入力データ!$H$27="私立",前提条件!$C$24,前提条件!$C$23),IF(CB8&lt;=14,IF(入力データ!$I$27="私立",前提条件!$C$26,前提条件!$C$25),IF(CB8&lt;=17,IF(入力データ!$J$27="私立",前提条件!$C$28,前提条件!$C$27),IF(CB8&lt;=21,IF(入力データ!$K$27="国公立",前提条件!$C$29,IF(入力データ!$K$27="私立理系",前提条件!$C$31,前提条件!$C$30))+IF(入力データ!$L$27="下宿",前提条件!$C$32,0)+IF(CB8=18,前提条件!$C$33,0),0)))))))*(1+前提条件!$C$13)^(CB$3-$B$3))))</f>
        <v/>
      </c>
      <c r="CC24" s="352">
        <f>IF(CC$3="","",IF(入力データ!$C$17&lt;=0,0,IF(CC$3="","",((SUM(入力データ!$C$58:$C$61)*12)+IF(CC6="",0,IF(CC6&lt;=5,IF(入力データ!$G$25="私立",前提条件!$C$22,前提条件!$C$21),IF(CC6&lt;=11,IF(入力データ!$H$25="私立",前提条件!$C$24,前提条件!$C$23),IF(CC6&lt;=14,IF(入力データ!$I$25="私立",前提条件!$C$26,前提条件!$C$25),IF(CC6&lt;=17,IF(入力データ!$J$25="私立",前提条件!$C$28,前提条件!$C$27),IF(CC6&lt;=21,IF(入力データ!$K$25="国公立",前提条件!$C$29,IF(入力データ!$K$25="私立理系",前提条件!$C$31,前提条件!$C$30))+IF(入力データ!$L$25="下宿",前提条件!$C$32,0)+IF(CC6=18,前提条件!$C$33,0),0))))))+IF(CC7="",0,IF(CC7&lt;=5,IF(入力データ!$G$26="私立",前提条件!$C$22,前提条件!$C$21),IF(CC7&lt;=11,IF(入力データ!$H$26="私立",前提条件!$C$24,前提条件!$C$23),IF(CC7&lt;=14,IF(入力データ!$I$26="私立",前提条件!$C$26,前提条件!$C$25),IF(CC7&lt;=17,IF(入力データ!$J$26="私立",前提条件!$C$28,前提条件!$C$27),IF(CC7&lt;=21,IF(入力データ!$K$26="国公立",前提条件!$C$29,IF(入力データ!$K$26="私立理系",前提条件!$C$31,前提条件!$C$30))+IF(入力データ!$L$26="下宿",前提条件!$C$32,0)+IF(CC7=18,前提条件!$C$33,0),0))))))+IF(CC8="",0,IF(CC8&lt;=5,IF(入力データ!$G$27="私立",前提条件!$C$22,前提条件!$C$21),IF(CC8&lt;=11,IF(入力データ!$H$27="私立",前提条件!$C$24,前提条件!$C$23),IF(CC8&lt;=14,IF(入力データ!$I$27="私立",前提条件!$C$26,前提条件!$C$25),IF(CC8&lt;=17,IF(入力データ!$J$27="私立",前提条件!$C$28,前提条件!$C$27),IF(CC8&lt;=21,IF(入力データ!$K$27="国公立",前提条件!$C$29,IF(入力データ!$K$27="私立理系",前提条件!$C$31,前提条件!$C$30))+IF(入力データ!$L$27="下宿",前提条件!$C$32,0)+IF(CC8=18,前提条件!$C$33,0),0)))))))*(1+前提条件!$C$13)^(CC$3-$B$3))))</f>
        <v/>
      </c>
      <c r="CD24" s="352">
        <f>IF(CD$3="","",IF(入力データ!$C$17&lt;=0,0,IF(CD$3="","",((SUM(入力データ!$C$58:$C$61)*12)+IF(CD6="",0,IF(CD6&lt;=5,IF(入力データ!$G$25="私立",前提条件!$C$22,前提条件!$C$21),IF(CD6&lt;=11,IF(入力データ!$H$25="私立",前提条件!$C$24,前提条件!$C$23),IF(CD6&lt;=14,IF(入力データ!$I$25="私立",前提条件!$C$26,前提条件!$C$25),IF(CD6&lt;=17,IF(入力データ!$J$25="私立",前提条件!$C$28,前提条件!$C$27),IF(CD6&lt;=21,IF(入力データ!$K$25="国公立",前提条件!$C$29,IF(入力データ!$K$25="私立理系",前提条件!$C$31,前提条件!$C$30))+IF(入力データ!$L$25="下宿",前提条件!$C$32,0)+IF(CD6=18,前提条件!$C$33,0),0))))))+IF(CD7="",0,IF(CD7&lt;=5,IF(入力データ!$G$26="私立",前提条件!$C$22,前提条件!$C$21),IF(CD7&lt;=11,IF(入力データ!$H$26="私立",前提条件!$C$24,前提条件!$C$23),IF(CD7&lt;=14,IF(入力データ!$I$26="私立",前提条件!$C$26,前提条件!$C$25),IF(CD7&lt;=17,IF(入力データ!$J$26="私立",前提条件!$C$28,前提条件!$C$27),IF(CD7&lt;=21,IF(入力データ!$K$26="国公立",前提条件!$C$29,IF(入力データ!$K$26="私立理系",前提条件!$C$31,前提条件!$C$30))+IF(入力データ!$L$26="下宿",前提条件!$C$32,0)+IF(CD7=18,前提条件!$C$33,0),0))))))+IF(CD8="",0,IF(CD8&lt;=5,IF(入力データ!$G$27="私立",前提条件!$C$22,前提条件!$C$21),IF(CD8&lt;=11,IF(入力データ!$H$27="私立",前提条件!$C$24,前提条件!$C$23),IF(CD8&lt;=14,IF(入力データ!$I$27="私立",前提条件!$C$26,前提条件!$C$25),IF(CD8&lt;=17,IF(入力データ!$J$27="私立",前提条件!$C$28,前提条件!$C$27),IF(CD8&lt;=21,IF(入力データ!$K$27="国公立",前提条件!$C$29,IF(入力データ!$K$27="私立理系",前提条件!$C$31,前提条件!$C$30))+IF(入力データ!$L$27="下宿",前提条件!$C$32,0)+IF(CD8=18,前提条件!$C$33,0),0)))))))*(1+前提条件!$C$13)^(CD$3-$B$3))))</f>
        <v/>
      </c>
      <c r="CE24" s="352">
        <f>IF(CE$3="","",IF(入力データ!$C$17&lt;=0,0,IF(CE$3="","",((SUM(入力データ!$C$58:$C$61)*12)+IF(CE6="",0,IF(CE6&lt;=5,IF(入力データ!$G$25="私立",前提条件!$C$22,前提条件!$C$21),IF(CE6&lt;=11,IF(入力データ!$H$25="私立",前提条件!$C$24,前提条件!$C$23),IF(CE6&lt;=14,IF(入力データ!$I$25="私立",前提条件!$C$26,前提条件!$C$25),IF(CE6&lt;=17,IF(入力データ!$J$25="私立",前提条件!$C$28,前提条件!$C$27),IF(CE6&lt;=21,IF(入力データ!$K$25="国公立",前提条件!$C$29,IF(入力データ!$K$25="私立理系",前提条件!$C$31,前提条件!$C$30))+IF(入力データ!$L$25="下宿",前提条件!$C$32,0)+IF(CE6=18,前提条件!$C$33,0),0))))))+IF(CE7="",0,IF(CE7&lt;=5,IF(入力データ!$G$26="私立",前提条件!$C$22,前提条件!$C$21),IF(CE7&lt;=11,IF(入力データ!$H$26="私立",前提条件!$C$24,前提条件!$C$23),IF(CE7&lt;=14,IF(入力データ!$I$26="私立",前提条件!$C$26,前提条件!$C$25),IF(CE7&lt;=17,IF(入力データ!$J$26="私立",前提条件!$C$28,前提条件!$C$27),IF(CE7&lt;=21,IF(入力データ!$K$26="国公立",前提条件!$C$29,IF(入力データ!$K$26="私立理系",前提条件!$C$31,前提条件!$C$30))+IF(入力データ!$L$26="下宿",前提条件!$C$32,0)+IF(CE7=18,前提条件!$C$33,0),0))))))+IF(CE8="",0,IF(CE8&lt;=5,IF(入力データ!$G$27="私立",前提条件!$C$22,前提条件!$C$21),IF(CE8&lt;=11,IF(入力データ!$H$27="私立",前提条件!$C$24,前提条件!$C$23),IF(CE8&lt;=14,IF(入力データ!$I$27="私立",前提条件!$C$26,前提条件!$C$25),IF(CE8&lt;=17,IF(入力データ!$J$27="私立",前提条件!$C$28,前提条件!$C$27),IF(CE8&lt;=21,IF(入力データ!$K$27="国公立",前提条件!$C$29,IF(入力データ!$K$27="私立理系",前提条件!$C$31,前提条件!$C$30))+IF(入力データ!$L$27="下宿",前提条件!$C$32,0)+IF(CE8=18,前提条件!$C$33,0),0)))))))*(1+前提条件!$C$13)^(CE$3-$B$3))))</f>
        <v/>
      </c>
      <c r="CF24" s="352">
        <f>IF(CF$3="","",IF(入力データ!$C$17&lt;=0,0,IF(CF$3="","",((SUM(入力データ!$C$58:$C$61)*12)+IF(CF6="",0,IF(CF6&lt;=5,IF(入力データ!$G$25="私立",前提条件!$C$22,前提条件!$C$21),IF(CF6&lt;=11,IF(入力データ!$H$25="私立",前提条件!$C$24,前提条件!$C$23),IF(CF6&lt;=14,IF(入力データ!$I$25="私立",前提条件!$C$26,前提条件!$C$25),IF(CF6&lt;=17,IF(入力データ!$J$25="私立",前提条件!$C$28,前提条件!$C$27),IF(CF6&lt;=21,IF(入力データ!$K$25="国公立",前提条件!$C$29,IF(入力データ!$K$25="私立理系",前提条件!$C$31,前提条件!$C$30))+IF(入力データ!$L$25="下宿",前提条件!$C$32,0)+IF(CF6=18,前提条件!$C$33,0),0))))))+IF(CF7="",0,IF(CF7&lt;=5,IF(入力データ!$G$26="私立",前提条件!$C$22,前提条件!$C$21),IF(CF7&lt;=11,IF(入力データ!$H$26="私立",前提条件!$C$24,前提条件!$C$23),IF(CF7&lt;=14,IF(入力データ!$I$26="私立",前提条件!$C$26,前提条件!$C$25),IF(CF7&lt;=17,IF(入力データ!$J$26="私立",前提条件!$C$28,前提条件!$C$27),IF(CF7&lt;=21,IF(入力データ!$K$26="国公立",前提条件!$C$29,IF(入力データ!$K$26="私立理系",前提条件!$C$31,前提条件!$C$30))+IF(入力データ!$L$26="下宿",前提条件!$C$32,0)+IF(CF7=18,前提条件!$C$33,0),0))))))+IF(CF8="",0,IF(CF8&lt;=5,IF(入力データ!$G$27="私立",前提条件!$C$22,前提条件!$C$21),IF(CF8&lt;=11,IF(入力データ!$H$27="私立",前提条件!$C$24,前提条件!$C$23),IF(CF8&lt;=14,IF(入力データ!$I$27="私立",前提条件!$C$26,前提条件!$C$25),IF(CF8&lt;=17,IF(入力データ!$J$27="私立",前提条件!$C$28,前提条件!$C$27),IF(CF8&lt;=21,IF(入力データ!$K$27="国公立",前提条件!$C$29,IF(入力データ!$K$27="私立理系",前提条件!$C$31,前提条件!$C$30))+IF(入力データ!$L$27="下宿",前提条件!$C$32,0)+IF(CF8=18,前提条件!$C$33,0),0)))))))*(1+前提条件!$C$13)^(CF$3-$B$3))))</f>
        <v/>
      </c>
      <c r="CG24" s="352">
        <f>IF(CG$3="","",IF(入力データ!$C$17&lt;=0,0,IF(CG$3="","",((SUM(入力データ!$C$58:$C$61)*12)+IF(CG6="",0,IF(CG6&lt;=5,IF(入力データ!$G$25="私立",前提条件!$C$22,前提条件!$C$21),IF(CG6&lt;=11,IF(入力データ!$H$25="私立",前提条件!$C$24,前提条件!$C$23),IF(CG6&lt;=14,IF(入力データ!$I$25="私立",前提条件!$C$26,前提条件!$C$25),IF(CG6&lt;=17,IF(入力データ!$J$25="私立",前提条件!$C$28,前提条件!$C$27),IF(CG6&lt;=21,IF(入力データ!$K$25="国公立",前提条件!$C$29,IF(入力データ!$K$25="私立理系",前提条件!$C$31,前提条件!$C$30))+IF(入力データ!$L$25="下宿",前提条件!$C$32,0)+IF(CG6=18,前提条件!$C$33,0),0))))))+IF(CG7="",0,IF(CG7&lt;=5,IF(入力データ!$G$26="私立",前提条件!$C$22,前提条件!$C$21),IF(CG7&lt;=11,IF(入力データ!$H$26="私立",前提条件!$C$24,前提条件!$C$23),IF(CG7&lt;=14,IF(入力データ!$I$26="私立",前提条件!$C$26,前提条件!$C$25),IF(CG7&lt;=17,IF(入力データ!$J$26="私立",前提条件!$C$28,前提条件!$C$27),IF(CG7&lt;=21,IF(入力データ!$K$26="国公立",前提条件!$C$29,IF(入力データ!$K$26="私立理系",前提条件!$C$31,前提条件!$C$30))+IF(入力データ!$L$26="下宿",前提条件!$C$32,0)+IF(CG7=18,前提条件!$C$33,0),0))))))+IF(CG8="",0,IF(CG8&lt;=5,IF(入力データ!$G$27="私立",前提条件!$C$22,前提条件!$C$21),IF(CG8&lt;=11,IF(入力データ!$H$27="私立",前提条件!$C$24,前提条件!$C$23),IF(CG8&lt;=14,IF(入力データ!$I$27="私立",前提条件!$C$26,前提条件!$C$25),IF(CG8&lt;=17,IF(入力データ!$J$27="私立",前提条件!$C$28,前提条件!$C$27),IF(CG8&lt;=21,IF(入力データ!$K$27="国公立",前提条件!$C$29,IF(入力データ!$K$27="私立理系",前提条件!$C$31,前提条件!$C$30))+IF(入力データ!$L$27="下宿",前提条件!$C$32,0)+IF(CG8=18,前提条件!$C$33,0),0)))))))*(1+前提条件!$C$13)^(CG$3-$B$3))))</f>
        <v/>
      </c>
      <c r="CH24" s="352">
        <f>IF(CH$3="","",IF(入力データ!$C$17&lt;=0,0,IF(CH$3="","",((SUM(入力データ!$C$58:$C$61)*12)+IF(CH6="",0,IF(CH6&lt;=5,IF(入力データ!$G$25="私立",前提条件!$C$22,前提条件!$C$21),IF(CH6&lt;=11,IF(入力データ!$H$25="私立",前提条件!$C$24,前提条件!$C$23),IF(CH6&lt;=14,IF(入力データ!$I$25="私立",前提条件!$C$26,前提条件!$C$25),IF(CH6&lt;=17,IF(入力データ!$J$25="私立",前提条件!$C$28,前提条件!$C$27),IF(CH6&lt;=21,IF(入力データ!$K$25="国公立",前提条件!$C$29,IF(入力データ!$K$25="私立理系",前提条件!$C$31,前提条件!$C$30))+IF(入力データ!$L$25="下宿",前提条件!$C$32,0)+IF(CH6=18,前提条件!$C$33,0),0))))))+IF(CH7="",0,IF(CH7&lt;=5,IF(入力データ!$G$26="私立",前提条件!$C$22,前提条件!$C$21),IF(CH7&lt;=11,IF(入力データ!$H$26="私立",前提条件!$C$24,前提条件!$C$23),IF(CH7&lt;=14,IF(入力データ!$I$26="私立",前提条件!$C$26,前提条件!$C$25),IF(CH7&lt;=17,IF(入力データ!$J$26="私立",前提条件!$C$28,前提条件!$C$27),IF(CH7&lt;=21,IF(入力データ!$K$26="国公立",前提条件!$C$29,IF(入力データ!$K$26="私立理系",前提条件!$C$31,前提条件!$C$30))+IF(入力データ!$L$26="下宿",前提条件!$C$32,0)+IF(CH7=18,前提条件!$C$33,0),0))))))+IF(CH8="",0,IF(CH8&lt;=5,IF(入力データ!$G$27="私立",前提条件!$C$22,前提条件!$C$21),IF(CH8&lt;=11,IF(入力データ!$H$27="私立",前提条件!$C$24,前提条件!$C$23),IF(CH8&lt;=14,IF(入力データ!$I$27="私立",前提条件!$C$26,前提条件!$C$25),IF(CH8&lt;=17,IF(入力データ!$J$27="私立",前提条件!$C$28,前提条件!$C$27),IF(CH8&lt;=21,IF(入力データ!$K$27="国公立",前提条件!$C$29,IF(入力データ!$K$27="私立理系",前提条件!$C$31,前提条件!$C$30))+IF(入力データ!$L$27="下宿",前提条件!$C$32,0)+IF(CH8=18,前提条件!$C$33,0),0)))))))*(1+前提条件!$C$13)^(CH$3-$B$3))))</f>
        <v/>
      </c>
      <c r="CI24" s="352">
        <f>IF(CI$3="","",IF(入力データ!$C$17&lt;=0,0,IF(CI$3="","",((SUM(入力データ!$C$58:$C$61)*12)+IF(CI6="",0,IF(CI6&lt;=5,IF(入力データ!$G$25="私立",前提条件!$C$22,前提条件!$C$21),IF(CI6&lt;=11,IF(入力データ!$H$25="私立",前提条件!$C$24,前提条件!$C$23),IF(CI6&lt;=14,IF(入力データ!$I$25="私立",前提条件!$C$26,前提条件!$C$25),IF(CI6&lt;=17,IF(入力データ!$J$25="私立",前提条件!$C$28,前提条件!$C$27),IF(CI6&lt;=21,IF(入力データ!$K$25="国公立",前提条件!$C$29,IF(入力データ!$K$25="私立理系",前提条件!$C$31,前提条件!$C$30))+IF(入力データ!$L$25="下宿",前提条件!$C$32,0)+IF(CI6=18,前提条件!$C$33,0),0))))))+IF(CI7="",0,IF(CI7&lt;=5,IF(入力データ!$G$26="私立",前提条件!$C$22,前提条件!$C$21),IF(CI7&lt;=11,IF(入力データ!$H$26="私立",前提条件!$C$24,前提条件!$C$23),IF(CI7&lt;=14,IF(入力データ!$I$26="私立",前提条件!$C$26,前提条件!$C$25),IF(CI7&lt;=17,IF(入力データ!$J$26="私立",前提条件!$C$28,前提条件!$C$27),IF(CI7&lt;=21,IF(入力データ!$K$26="国公立",前提条件!$C$29,IF(入力データ!$K$26="私立理系",前提条件!$C$31,前提条件!$C$30))+IF(入力データ!$L$26="下宿",前提条件!$C$32,0)+IF(CI7=18,前提条件!$C$33,0),0))))))+IF(CI8="",0,IF(CI8&lt;=5,IF(入力データ!$G$27="私立",前提条件!$C$22,前提条件!$C$21),IF(CI8&lt;=11,IF(入力データ!$H$27="私立",前提条件!$C$24,前提条件!$C$23),IF(CI8&lt;=14,IF(入力データ!$I$27="私立",前提条件!$C$26,前提条件!$C$25),IF(CI8&lt;=17,IF(入力データ!$J$27="私立",前提条件!$C$28,前提条件!$C$27),IF(CI8&lt;=21,IF(入力データ!$K$27="国公立",前提条件!$C$29,IF(入力データ!$K$27="私立理系",前提条件!$C$31,前提条件!$C$30))+IF(入力データ!$L$27="下宿",前提条件!$C$32,0)+IF(CI8=18,前提条件!$C$33,0),0)))))))*(1+前提条件!$C$13)^(CI$3-$B$3))))</f>
        <v/>
      </c>
      <c r="CJ24" s="352">
        <f>IF(CJ$3="","",IF(入力データ!$C$17&lt;=0,0,IF(CJ$3="","",((SUM(入力データ!$C$58:$C$61)*12)+IF(CJ6="",0,IF(CJ6&lt;=5,IF(入力データ!$G$25="私立",前提条件!$C$22,前提条件!$C$21),IF(CJ6&lt;=11,IF(入力データ!$H$25="私立",前提条件!$C$24,前提条件!$C$23),IF(CJ6&lt;=14,IF(入力データ!$I$25="私立",前提条件!$C$26,前提条件!$C$25),IF(CJ6&lt;=17,IF(入力データ!$J$25="私立",前提条件!$C$28,前提条件!$C$27),IF(CJ6&lt;=21,IF(入力データ!$K$25="国公立",前提条件!$C$29,IF(入力データ!$K$25="私立理系",前提条件!$C$31,前提条件!$C$30))+IF(入力データ!$L$25="下宿",前提条件!$C$32,0)+IF(CJ6=18,前提条件!$C$33,0),0))))))+IF(CJ7="",0,IF(CJ7&lt;=5,IF(入力データ!$G$26="私立",前提条件!$C$22,前提条件!$C$21),IF(CJ7&lt;=11,IF(入力データ!$H$26="私立",前提条件!$C$24,前提条件!$C$23),IF(CJ7&lt;=14,IF(入力データ!$I$26="私立",前提条件!$C$26,前提条件!$C$25),IF(CJ7&lt;=17,IF(入力データ!$J$26="私立",前提条件!$C$28,前提条件!$C$27),IF(CJ7&lt;=21,IF(入力データ!$K$26="国公立",前提条件!$C$29,IF(入力データ!$K$26="私立理系",前提条件!$C$31,前提条件!$C$30))+IF(入力データ!$L$26="下宿",前提条件!$C$32,0)+IF(CJ7=18,前提条件!$C$33,0),0))))))+IF(CJ8="",0,IF(CJ8&lt;=5,IF(入力データ!$G$27="私立",前提条件!$C$22,前提条件!$C$21),IF(CJ8&lt;=11,IF(入力データ!$H$27="私立",前提条件!$C$24,前提条件!$C$23),IF(CJ8&lt;=14,IF(入力データ!$I$27="私立",前提条件!$C$26,前提条件!$C$25),IF(CJ8&lt;=17,IF(入力データ!$J$27="私立",前提条件!$C$28,前提条件!$C$27),IF(CJ8&lt;=21,IF(入力データ!$K$27="国公立",前提条件!$C$29,IF(入力データ!$K$27="私立理系",前提条件!$C$31,前提条件!$C$30))+IF(入力データ!$L$27="下宿",前提条件!$C$32,0)+IF(CJ8=18,前提条件!$C$33,0),0)))))))*(1+前提条件!$C$13)^(CJ$3-$B$3))))</f>
        <v/>
      </c>
      <c r="CK24" s="352">
        <f>IF(CK$3="","",IF(入力データ!$C$17&lt;=0,0,IF(CK$3="","",((SUM(入力データ!$C$58:$C$61)*12)+IF(CK6="",0,IF(CK6&lt;=5,IF(入力データ!$G$25="私立",前提条件!$C$22,前提条件!$C$21),IF(CK6&lt;=11,IF(入力データ!$H$25="私立",前提条件!$C$24,前提条件!$C$23),IF(CK6&lt;=14,IF(入力データ!$I$25="私立",前提条件!$C$26,前提条件!$C$25),IF(CK6&lt;=17,IF(入力データ!$J$25="私立",前提条件!$C$28,前提条件!$C$27),IF(CK6&lt;=21,IF(入力データ!$K$25="国公立",前提条件!$C$29,IF(入力データ!$K$25="私立理系",前提条件!$C$31,前提条件!$C$30))+IF(入力データ!$L$25="下宿",前提条件!$C$32,0)+IF(CK6=18,前提条件!$C$33,0),0))))))+IF(CK7="",0,IF(CK7&lt;=5,IF(入力データ!$G$26="私立",前提条件!$C$22,前提条件!$C$21),IF(CK7&lt;=11,IF(入力データ!$H$26="私立",前提条件!$C$24,前提条件!$C$23),IF(CK7&lt;=14,IF(入力データ!$I$26="私立",前提条件!$C$26,前提条件!$C$25),IF(CK7&lt;=17,IF(入力データ!$J$26="私立",前提条件!$C$28,前提条件!$C$27),IF(CK7&lt;=21,IF(入力データ!$K$26="国公立",前提条件!$C$29,IF(入力データ!$K$26="私立理系",前提条件!$C$31,前提条件!$C$30))+IF(入力データ!$L$26="下宿",前提条件!$C$32,0)+IF(CK7=18,前提条件!$C$33,0),0))))))+IF(CK8="",0,IF(CK8&lt;=5,IF(入力データ!$G$27="私立",前提条件!$C$22,前提条件!$C$21),IF(CK8&lt;=11,IF(入力データ!$H$27="私立",前提条件!$C$24,前提条件!$C$23),IF(CK8&lt;=14,IF(入力データ!$I$27="私立",前提条件!$C$26,前提条件!$C$25),IF(CK8&lt;=17,IF(入力データ!$J$27="私立",前提条件!$C$28,前提条件!$C$27),IF(CK8&lt;=21,IF(入力データ!$K$27="国公立",前提条件!$C$29,IF(入力データ!$K$27="私立理系",前提条件!$C$31,前提条件!$C$30))+IF(入力データ!$L$27="下宿",前提条件!$C$32,0)+IF(CK8=18,前提条件!$C$33,0),0)))))))*(1+前提条件!$C$13)^(CK$3-$B$3))))</f>
        <v/>
      </c>
      <c r="CL24" s="352">
        <f>IF(CL$3="","",IF(入力データ!$C$17&lt;=0,0,IF(CL$3="","",((SUM(入力データ!$C$58:$C$61)*12)+IF(CL6="",0,IF(CL6&lt;=5,IF(入力データ!$G$25="私立",前提条件!$C$22,前提条件!$C$21),IF(CL6&lt;=11,IF(入力データ!$H$25="私立",前提条件!$C$24,前提条件!$C$23),IF(CL6&lt;=14,IF(入力データ!$I$25="私立",前提条件!$C$26,前提条件!$C$25),IF(CL6&lt;=17,IF(入力データ!$J$25="私立",前提条件!$C$28,前提条件!$C$27),IF(CL6&lt;=21,IF(入力データ!$K$25="国公立",前提条件!$C$29,IF(入力データ!$K$25="私立理系",前提条件!$C$31,前提条件!$C$30))+IF(入力データ!$L$25="下宿",前提条件!$C$32,0)+IF(CL6=18,前提条件!$C$33,0),0))))))+IF(CL7="",0,IF(CL7&lt;=5,IF(入力データ!$G$26="私立",前提条件!$C$22,前提条件!$C$21),IF(CL7&lt;=11,IF(入力データ!$H$26="私立",前提条件!$C$24,前提条件!$C$23),IF(CL7&lt;=14,IF(入力データ!$I$26="私立",前提条件!$C$26,前提条件!$C$25),IF(CL7&lt;=17,IF(入力データ!$J$26="私立",前提条件!$C$28,前提条件!$C$27),IF(CL7&lt;=21,IF(入力データ!$K$26="国公立",前提条件!$C$29,IF(入力データ!$K$26="私立理系",前提条件!$C$31,前提条件!$C$30))+IF(入力データ!$L$26="下宿",前提条件!$C$32,0)+IF(CL7=18,前提条件!$C$33,0),0))))))+IF(CL8="",0,IF(CL8&lt;=5,IF(入力データ!$G$27="私立",前提条件!$C$22,前提条件!$C$21),IF(CL8&lt;=11,IF(入力データ!$H$27="私立",前提条件!$C$24,前提条件!$C$23),IF(CL8&lt;=14,IF(入力データ!$I$27="私立",前提条件!$C$26,前提条件!$C$25),IF(CL8&lt;=17,IF(入力データ!$J$27="私立",前提条件!$C$28,前提条件!$C$27),IF(CL8&lt;=21,IF(入力データ!$K$27="国公立",前提条件!$C$29,IF(入力データ!$K$27="私立理系",前提条件!$C$31,前提条件!$C$30))+IF(入力データ!$L$27="下宿",前提条件!$C$32,0)+IF(CL8=18,前提条件!$C$33,0),0)))))))*(1+前提条件!$C$13)^(CL$3-$B$3))))</f>
        <v/>
      </c>
      <c r="CM24" s="352">
        <f>IF(CM$3="","",IF(入力データ!$C$17&lt;=0,0,IF(CM$3="","",((SUM(入力データ!$C$58:$C$61)*12)+IF(CM6="",0,IF(CM6&lt;=5,IF(入力データ!$G$25="私立",前提条件!$C$22,前提条件!$C$21),IF(CM6&lt;=11,IF(入力データ!$H$25="私立",前提条件!$C$24,前提条件!$C$23),IF(CM6&lt;=14,IF(入力データ!$I$25="私立",前提条件!$C$26,前提条件!$C$25),IF(CM6&lt;=17,IF(入力データ!$J$25="私立",前提条件!$C$28,前提条件!$C$27),IF(CM6&lt;=21,IF(入力データ!$K$25="国公立",前提条件!$C$29,IF(入力データ!$K$25="私立理系",前提条件!$C$31,前提条件!$C$30))+IF(入力データ!$L$25="下宿",前提条件!$C$32,0)+IF(CM6=18,前提条件!$C$33,0),0))))))+IF(CM7="",0,IF(CM7&lt;=5,IF(入力データ!$G$26="私立",前提条件!$C$22,前提条件!$C$21),IF(CM7&lt;=11,IF(入力データ!$H$26="私立",前提条件!$C$24,前提条件!$C$23),IF(CM7&lt;=14,IF(入力データ!$I$26="私立",前提条件!$C$26,前提条件!$C$25),IF(CM7&lt;=17,IF(入力データ!$J$26="私立",前提条件!$C$28,前提条件!$C$27),IF(CM7&lt;=21,IF(入力データ!$K$26="国公立",前提条件!$C$29,IF(入力データ!$K$26="私立理系",前提条件!$C$31,前提条件!$C$30))+IF(入力データ!$L$26="下宿",前提条件!$C$32,0)+IF(CM7=18,前提条件!$C$33,0),0))))))+IF(CM8="",0,IF(CM8&lt;=5,IF(入力データ!$G$27="私立",前提条件!$C$22,前提条件!$C$21),IF(CM8&lt;=11,IF(入力データ!$H$27="私立",前提条件!$C$24,前提条件!$C$23),IF(CM8&lt;=14,IF(入力データ!$I$27="私立",前提条件!$C$26,前提条件!$C$25),IF(CM8&lt;=17,IF(入力データ!$J$27="私立",前提条件!$C$28,前提条件!$C$27),IF(CM8&lt;=21,IF(入力データ!$K$27="国公立",前提条件!$C$29,IF(入力データ!$K$27="私立理系",前提条件!$C$31,前提条件!$C$30))+IF(入力データ!$L$27="下宿",前提条件!$C$32,0)+IF(CM8=18,前提条件!$C$33,0),0)))))))*(1+前提条件!$C$13)^(CM$3-$B$3))))</f>
        <v/>
      </c>
      <c r="CN24" s="352">
        <f>IF(CN$3="","",IF(入力データ!$C$17&lt;=0,0,IF(CN$3="","",((SUM(入力データ!$C$58:$C$61)*12)+IF(CN6="",0,IF(CN6&lt;=5,IF(入力データ!$G$25="私立",前提条件!$C$22,前提条件!$C$21),IF(CN6&lt;=11,IF(入力データ!$H$25="私立",前提条件!$C$24,前提条件!$C$23),IF(CN6&lt;=14,IF(入力データ!$I$25="私立",前提条件!$C$26,前提条件!$C$25),IF(CN6&lt;=17,IF(入力データ!$J$25="私立",前提条件!$C$28,前提条件!$C$27),IF(CN6&lt;=21,IF(入力データ!$K$25="国公立",前提条件!$C$29,IF(入力データ!$K$25="私立理系",前提条件!$C$31,前提条件!$C$30))+IF(入力データ!$L$25="下宿",前提条件!$C$32,0)+IF(CN6=18,前提条件!$C$33,0),0))))))+IF(CN7="",0,IF(CN7&lt;=5,IF(入力データ!$G$26="私立",前提条件!$C$22,前提条件!$C$21),IF(CN7&lt;=11,IF(入力データ!$H$26="私立",前提条件!$C$24,前提条件!$C$23),IF(CN7&lt;=14,IF(入力データ!$I$26="私立",前提条件!$C$26,前提条件!$C$25),IF(CN7&lt;=17,IF(入力データ!$J$26="私立",前提条件!$C$28,前提条件!$C$27),IF(CN7&lt;=21,IF(入力データ!$K$26="国公立",前提条件!$C$29,IF(入力データ!$K$26="私立理系",前提条件!$C$31,前提条件!$C$30))+IF(入力データ!$L$26="下宿",前提条件!$C$32,0)+IF(CN7=18,前提条件!$C$33,0),0))))))+IF(CN8="",0,IF(CN8&lt;=5,IF(入力データ!$G$27="私立",前提条件!$C$22,前提条件!$C$21),IF(CN8&lt;=11,IF(入力データ!$H$27="私立",前提条件!$C$24,前提条件!$C$23),IF(CN8&lt;=14,IF(入力データ!$I$27="私立",前提条件!$C$26,前提条件!$C$25),IF(CN8&lt;=17,IF(入力データ!$J$27="私立",前提条件!$C$28,前提条件!$C$27),IF(CN8&lt;=21,IF(入力データ!$K$27="国公立",前提条件!$C$29,IF(入力データ!$K$27="私立理系",前提条件!$C$31,前提条件!$C$30))+IF(入力データ!$L$27="下宿",前提条件!$C$32,0)+IF(CN8=18,前提条件!$C$33,0),0)))))))*(1+前提条件!$C$13)^(CN$3-$B$3))))</f>
        <v/>
      </c>
      <c r="CO24" s="352">
        <f>IF(CO$3="","",IF(入力データ!$C$17&lt;=0,0,IF(CO$3="","",((SUM(入力データ!$C$58:$C$61)*12)+IF(CO6="",0,IF(CO6&lt;=5,IF(入力データ!$G$25="私立",前提条件!$C$22,前提条件!$C$21),IF(CO6&lt;=11,IF(入力データ!$H$25="私立",前提条件!$C$24,前提条件!$C$23),IF(CO6&lt;=14,IF(入力データ!$I$25="私立",前提条件!$C$26,前提条件!$C$25),IF(CO6&lt;=17,IF(入力データ!$J$25="私立",前提条件!$C$28,前提条件!$C$27),IF(CO6&lt;=21,IF(入力データ!$K$25="国公立",前提条件!$C$29,IF(入力データ!$K$25="私立理系",前提条件!$C$31,前提条件!$C$30))+IF(入力データ!$L$25="下宿",前提条件!$C$32,0)+IF(CO6=18,前提条件!$C$33,0),0))))))+IF(CO7="",0,IF(CO7&lt;=5,IF(入力データ!$G$26="私立",前提条件!$C$22,前提条件!$C$21),IF(CO7&lt;=11,IF(入力データ!$H$26="私立",前提条件!$C$24,前提条件!$C$23),IF(CO7&lt;=14,IF(入力データ!$I$26="私立",前提条件!$C$26,前提条件!$C$25),IF(CO7&lt;=17,IF(入力データ!$J$26="私立",前提条件!$C$28,前提条件!$C$27),IF(CO7&lt;=21,IF(入力データ!$K$26="国公立",前提条件!$C$29,IF(入力データ!$K$26="私立理系",前提条件!$C$31,前提条件!$C$30))+IF(入力データ!$L$26="下宿",前提条件!$C$32,0)+IF(CO7=18,前提条件!$C$33,0),0))))))+IF(CO8="",0,IF(CO8&lt;=5,IF(入力データ!$G$27="私立",前提条件!$C$22,前提条件!$C$21),IF(CO8&lt;=11,IF(入力データ!$H$27="私立",前提条件!$C$24,前提条件!$C$23),IF(CO8&lt;=14,IF(入力データ!$I$27="私立",前提条件!$C$26,前提条件!$C$25),IF(CO8&lt;=17,IF(入力データ!$J$27="私立",前提条件!$C$28,前提条件!$C$27),IF(CO8&lt;=21,IF(入力データ!$K$27="国公立",前提条件!$C$29,IF(入力データ!$K$27="私立理系",前提条件!$C$31,前提条件!$C$30))+IF(入力データ!$L$27="下宿",前提条件!$C$32,0)+IF(CO8=18,前提条件!$C$33,0),0)))))))*(1+前提条件!$C$13)^(CO$3-$B$3))))</f>
        <v/>
      </c>
      <c r="CP24" s="352">
        <f>IF(CP$3="","",IF(入力データ!$C$17&lt;=0,0,IF(CP$3="","",((SUM(入力データ!$C$58:$C$61)*12)+IF(CP6="",0,IF(CP6&lt;=5,IF(入力データ!$G$25="私立",前提条件!$C$22,前提条件!$C$21),IF(CP6&lt;=11,IF(入力データ!$H$25="私立",前提条件!$C$24,前提条件!$C$23),IF(CP6&lt;=14,IF(入力データ!$I$25="私立",前提条件!$C$26,前提条件!$C$25),IF(CP6&lt;=17,IF(入力データ!$J$25="私立",前提条件!$C$28,前提条件!$C$27),IF(CP6&lt;=21,IF(入力データ!$K$25="国公立",前提条件!$C$29,IF(入力データ!$K$25="私立理系",前提条件!$C$31,前提条件!$C$30))+IF(入力データ!$L$25="下宿",前提条件!$C$32,0)+IF(CP6=18,前提条件!$C$33,0),0))))))+IF(CP7="",0,IF(CP7&lt;=5,IF(入力データ!$G$26="私立",前提条件!$C$22,前提条件!$C$21),IF(CP7&lt;=11,IF(入力データ!$H$26="私立",前提条件!$C$24,前提条件!$C$23),IF(CP7&lt;=14,IF(入力データ!$I$26="私立",前提条件!$C$26,前提条件!$C$25),IF(CP7&lt;=17,IF(入力データ!$J$26="私立",前提条件!$C$28,前提条件!$C$27),IF(CP7&lt;=21,IF(入力データ!$K$26="国公立",前提条件!$C$29,IF(入力データ!$K$26="私立理系",前提条件!$C$31,前提条件!$C$30))+IF(入力データ!$L$26="下宿",前提条件!$C$32,0)+IF(CP7=18,前提条件!$C$33,0),0))))))+IF(CP8="",0,IF(CP8&lt;=5,IF(入力データ!$G$27="私立",前提条件!$C$22,前提条件!$C$21),IF(CP8&lt;=11,IF(入力データ!$H$27="私立",前提条件!$C$24,前提条件!$C$23),IF(CP8&lt;=14,IF(入力データ!$I$27="私立",前提条件!$C$26,前提条件!$C$25),IF(CP8&lt;=17,IF(入力データ!$J$27="私立",前提条件!$C$28,前提条件!$C$27),IF(CP8&lt;=21,IF(入力データ!$K$27="国公立",前提条件!$C$29,IF(入力データ!$K$27="私立理系",前提条件!$C$31,前提条件!$C$30))+IF(入力データ!$L$27="下宿",前提条件!$C$32,0)+IF(CP8=18,前提条件!$C$33,0),0)))))))*(1+前提条件!$C$13)^(CP$3-$B$3))))</f>
        <v/>
      </c>
      <c r="CQ24" s="352">
        <f>IF(CQ$3="","",IF(入力データ!$C$17&lt;=0,0,IF(CQ$3="","",((SUM(入力データ!$C$58:$C$61)*12)+IF(CQ6="",0,IF(CQ6&lt;=5,IF(入力データ!$G$25="私立",前提条件!$C$22,前提条件!$C$21),IF(CQ6&lt;=11,IF(入力データ!$H$25="私立",前提条件!$C$24,前提条件!$C$23),IF(CQ6&lt;=14,IF(入力データ!$I$25="私立",前提条件!$C$26,前提条件!$C$25),IF(CQ6&lt;=17,IF(入力データ!$J$25="私立",前提条件!$C$28,前提条件!$C$27),IF(CQ6&lt;=21,IF(入力データ!$K$25="国公立",前提条件!$C$29,IF(入力データ!$K$25="私立理系",前提条件!$C$31,前提条件!$C$30))+IF(入力データ!$L$25="下宿",前提条件!$C$32,0)+IF(CQ6=18,前提条件!$C$33,0),0))))))+IF(CQ7="",0,IF(CQ7&lt;=5,IF(入力データ!$G$26="私立",前提条件!$C$22,前提条件!$C$21),IF(CQ7&lt;=11,IF(入力データ!$H$26="私立",前提条件!$C$24,前提条件!$C$23),IF(CQ7&lt;=14,IF(入力データ!$I$26="私立",前提条件!$C$26,前提条件!$C$25),IF(CQ7&lt;=17,IF(入力データ!$J$26="私立",前提条件!$C$28,前提条件!$C$27),IF(CQ7&lt;=21,IF(入力データ!$K$26="国公立",前提条件!$C$29,IF(入力データ!$K$26="私立理系",前提条件!$C$31,前提条件!$C$30))+IF(入力データ!$L$26="下宿",前提条件!$C$32,0)+IF(CQ7=18,前提条件!$C$33,0),0))))))+IF(CQ8="",0,IF(CQ8&lt;=5,IF(入力データ!$G$27="私立",前提条件!$C$22,前提条件!$C$21),IF(CQ8&lt;=11,IF(入力データ!$H$27="私立",前提条件!$C$24,前提条件!$C$23),IF(CQ8&lt;=14,IF(入力データ!$I$27="私立",前提条件!$C$26,前提条件!$C$25),IF(CQ8&lt;=17,IF(入力データ!$J$27="私立",前提条件!$C$28,前提条件!$C$27),IF(CQ8&lt;=21,IF(入力データ!$K$27="国公立",前提条件!$C$29,IF(入力データ!$K$27="私立理系",前提条件!$C$31,前提条件!$C$30))+IF(入力データ!$L$27="下宿",前提条件!$C$32,0)+IF(CQ8=18,前提条件!$C$33,0),0)))))))*(1+前提条件!$C$13)^(CQ$3-$B$3))))</f>
        <v/>
      </c>
      <c r="CR24" s="352">
        <f>IF(CR$3="","",IF(入力データ!$C$17&lt;=0,0,IF(CR$3="","",((SUM(入力データ!$C$58:$C$61)*12)+IF(CR6="",0,IF(CR6&lt;=5,IF(入力データ!$G$25="私立",前提条件!$C$22,前提条件!$C$21),IF(CR6&lt;=11,IF(入力データ!$H$25="私立",前提条件!$C$24,前提条件!$C$23),IF(CR6&lt;=14,IF(入力データ!$I$25="私立",前提条件!$C$26,前提条件!$C$25),IF(CR6&lt;=17,IF(入力データ!$J$25="私立",前提条件!$C$28,前提条件!$C$27),IF(CR6&lt;=21,IF(入力データ!$K$25="国公立",前提条件!$C$29,IF(入力データ!$K$25="私立理系",前提条件!$C$31,前提条件!$C$30))+IF(入力データ!$L$25="下宿",前提条件!$C$32,0)+IF(CR6=18,前提条件!$C$33,0),0))))))+IF(CR7="",0,IF(CR7&lt;=5,IF(入力データ!$G$26="私立",前提条件!$C$22,前提条件!$C$21),IF(CR7&lt;=11,IF(入力データ!$H$26="私立",前提条件!$C$24,前提条件!$C$23),IF(CR7&lt;=14,IF(入力データ!$I$26="私立",前提条件!$C$26,前提条件!$C$25),IF(CR7&lt;=17,IF(入力データ!$J$26="私立",前提条件!$C$28,前提条件!$C$27),IF(CR7&lt;=21,IF(入力データ!$K$26="国公立",前提条件!$C$29,IF(入力データ!$K$26="私立理系",前提条件!$C$31,前提条件!$C$30))+IF(入力データ!$L$26="下宿",前提条件!$C$32,0)+IF(CR7=18,前提条件!$C$33,0),0))))))+IF(CR8="",0,IF(CR8&lt;=5,IF(入力データ!$G$27="私立",前提条件!$C$22,前提条件!$C$21),IF(CR8&lt;=11,IF(入力データ!$H$27="私立",前提条件!$C$24,前提条件!$C$23),IF(CR8&lt;=14,IF(入力データ!$I$27="私立",前提条件!$C$26,前提条件!$C$25),IF(CR8&lt;=17,IF(入力データ!$J$27="私立",前提条件!$C$28,前提条件!$C$27),IF(CR8&lt;=21,IF(入力データ!$K$27="国公立",前提条件!$C$29,IF(入力データ!$K$27="私立理系",前提条件!$C$31,前提条件!$C$30))+IF(入力データ!$L$27="下宿",前提条件!$C$32,0)+IF(CR8=18,前提条件!$C$33,0),0)))))))*(1+前提条件!$C$13)^(CR$3-$B$3))))</f>
        <v/>
      </c>
      <c r="CS24" s="352">
        <f>IF(CS$3="","",IF(入力データ!$C$17&lt;=0,0,IF(CS$3="","",((SUM(入力データ!$C$58:$C$61)*12)+IF(CS6="",0,IF(CS6&lt;=5,IF(入力データ!$G$25="私立",前提条件!$C$22,前提条件!$C$21),IF(CS6&lt;=11,IF(入力データ!$H$25="私立",前提条件!$C$24,前提条件!$C$23),IF(CS6&lt;=14,IF(入力データ!$I$25="私立",前提条件!$C$26,前提条件!$C$25),IF(CS6&lt;=17,IF(入力データ!$J$25="私立",前提条件!$C$28,前提条件!$C$27),IF(CS6&lt;=21,IF(入力データ!$K$25="国公立",前提条件!$C$29,IF(入力データ!$K$25="私立理系",前提条件!$C$31,前提条件!$C$30))+IF(入力データ!$L$25="下宿",前提条件!$C$32,0)+IF(CS6=18,前提条件!$C$33,0),0))))))+IF(CS7="",0,IF(CS7&lt;=5,IF(入力データ!$G$26="私立",前提条件!$C$22,前提条件!$C$21),IF(CS7&lt;=11,IF(入力データ!$H$26="私立",前提条件!$C$24,前提条件!$C$23),IF(CS7&lt;=14,IF(入力データ!$I$26="私立",前提条件!$C$26,前提条件!$C$25),IF(CS7&lt;=17,IF(入力データ!$J$26="私立",前提条件!$C$28,前提条件!$C$27),IF(CS7&lt;=21,IF(入力データ!$K$26="国公立",前提条件!$C$29,IF(入力データ!$K$26="私立理系",前提条件!$C$31,前提条件!$C$30))+IF(入力データ!$L$26="下宿",前提条件!$C$32,0)+IF(CS7=18,前提条件!$C$33,0),0))))))+IF(CS8="",0,IF(CS8&lt;=5,IF(入力データ!$G$27="私立",前提条件!$C$22,前提条件!$C$21),IF(CS8&lt;=11,IF(入力データ!$H$27="私立",前提条件!$C$24,前提条件!$C$23),IF(CS8&lt;=14,IF(入力データ!$I$27="私立",前提条件!$C$26,前提条件!$C$25),IF(CS8&lt;=17,IF(入力データ!$J$27="私立",前提条件!$C$28,前提条件!$C$27),IF(CS8&lt;=21,IF(入力データ!$K$27="国公立",前提条件!$C$29,IF(入力データ!$K$27="私立理系",前提条件!$C$31,前提条件!$C$30))+IF(入力データ!$L$27="下宿",前提条件!$C$32,0)+IF(CS8=18,前提条件!$C$33,0),0)))))))*(1+前提条件!$C$13)^(CS$3-$B$3))))</f>
        <v/>
      </c>
      <c r="CT24" s="352">
        <f>IF(CT$3="","",IF(入力データ!$C$17&lt;=0,0,IF(CT$3="","",((SUM(入力データ!$C$58:$C$61)*12)+IF(CT6="",0,IF(CT6&lt;=5,IF(入力データ!$G$25="私立",前提条件!$C$22,前提条件!$C$21),IF(CT6&lt;=11,IF(入力データ!$H$25="私立",前提条件!$C$24,前提条件!$C$23),IF(CT6&lt;=14,IF(入力データ!$I$25="私立",前提条件!$C$26,前提条件!$C$25),IF(CT6&lt;=17,IF(入力データ!$J$25="私立",前提条件!$C$28,前提条件!$C$27),IF(CT6&lt;=21,IF(入力データ!$K$25="国公立",前提条件!$C$29,IF(入力データ!$K$25="私立理系",前提条件!$C$31,前提条件!$C$30))+IF(入力データ!$L$25="下宿",前提条件!$C$32,0)+IF(CT6=18,前提条件!$C$33,0),0))))))+IF(CT7="",0,IF(CT7&lt;=5,IF(入力データ!$G$26="私立",前提条件!$C$22,前提条件!$C$21),IF(CT7&lt;=11,IF(入力データ!$H$26="私立",前提条件!$C$24,前提条件!$C$23),IF(CT7&lt;=14,IF(入力データ!$I$26="私立",前提条件!$C$26,前提条件!$C$25),IF(CT7&lt;=17,IF(入力データ!$J$26="私立",前提条件!$C$28,前提条件!$C$27),IF(CT7&lt;=21,IF(入力データ!$K$26="国公立",前提条件!$C$29,IF(入力データ!$K$26="私立理系",前提条件!$C$31,前提条件!$C$30))+IF(入力データ!$L$26="下宿",前提条件!$C$32,0)+IF(CT7=18,前提条件!$C$33,0),0))))))+IF(CT8="",0,IF(CT8&lt;=5,IF(入力データ!$G$27="私立",前提条件!$C$22,前提条件!$C$21),IF(CT8&lt;=11,IF(入力データ!$H$27="私立",前提条件!$C$24,前提条件!$C$23),IF(CT8&lt;=14,IF(入力データ!$I$27="私立",前提条件!$C$26,前提条件!$C$25),IF(CT8&lt;=17,IF(入力データ!$J$27="私立",前提条件!$C$28,前提条件!$C$27),IF(CT8&lt;=21,IF(入力データ!$K$27="国公立",前提条件!$C$29,IF(入力データ!$K$27="私立理系",前提条件!$C$31,前提条件!$C$30))+IF(入力データ!$L$27="下宿",前提条件!$C$32,0)+IF(CT8=18,前提条件!$C$33,0),0)))))))*(1+前提条件!$C$13)^(CT$3-$B$3))))</f>
        <v/>
      </c>
      <c r="CU24" s="352">
        <f>IF(CU$3="","",IF(入力データ!$C$17&lt;=0,0,IF(CU$3="","",((SUM(入力データ!$C$58:$C$61)*12)+IF(CU6="",0,IF(CU6&lt;=5,IF(入力データ!$G$25="私立",前提条件!$C$22,前提条件!$C$21),IF(CU6&lt;=11,IF(入力データ!$H$25="私立",前提条件!$C$24,前提条件!$C$23),IF(CU6&lt;=14,IF(入力データ!$I$25="私立",前提条件!$C$26,前提条件!$C$25),IF(CU6&lt;=17,IF(入力データ!$J$25="私立",前提条件!$C$28,前提条件!$C$27),IF(CU6&lt;=21,IF(入力データ!$K$25="国公立",前提条件!$C$29,IF(入力データ!$K$25="私立理系",前提条件!$C$31,前提条件!$C$30))+IF(入力データ!$L$25="下宿",前提条件!$C$32,0)+IF(CU6=18,前提条件!$C$33,0),0))))))+IF(CU7="",0,IF(CU7&lt;=5,IF(入力データ!$G$26="私立",前提条件!$C$22,前提条件!$C$21),IF(CU7&lt;=11,IF(入力データ!$H$26="私立",前提条件!$C$24,前提条件!$C$23),IF(CU7&lt;=14,IF(入力データ!$I$26="私立",前提条件!$C$26,前提条件!$C$25),IF(CU7&lt;=17,IF(入力データ!$J$26="私立",前提条件!$C$28,前提条件!$C$27),IF(CU7&lt;=21,IF(入力データ!$K$26="国公立",前提条件!$C$29,IF(入力データ!$K$26="私立理系",前提条件!$C$31,前提条件!$C$30))+IF(入力データ!$L$26="下宿",前提条件!$C$32,0)+IF(CU7=18,前提条件!$C$33,0),0))))))+IF(CU8="",0,IF(CU8&lt;=5,IF(入力データ!$G$27="私立",前提条件!$C$22,前提条件!$C$21),IF(CU8&lt;=11,IF(入力データ!$H$27="私立",前提条件!$C$24,前提条件!$C$23),IF(CU8&lt;=14,IF(入力データ!$I$27="私立",前提条件!$C$26,前提条件!$C$25),IF(CU8&lt;=17,IF(入力データ!$J$27="私立",前提条件!$C$28,前提条件!$C$27),IF(CU8&lt;=21,IF(入力データ!$K$27="国公立",前提条件!$C$29,IF(入力データ!$K$27="私立理系",前提条件!$C$31,前提条件!$C$30))+IF(入力データ!$L$27="下宿",前提条件!$C$32,0)+IF(CU8=18,前提条件!$C$33,0),0)))))))*(1+前提条件!$C$13)^(CU$3-$B$3))))</f>
        <v/>
      </c>
      <c r="CV24" s="352">
        <f>IF(CV$3="","",IF(入力データ!$C$17&lt;=0,0,IF(CV$3="","",((SUM(入力データ!$C$58:$C$61)*12)+IF(CV6="",0,IF(CV6&lt;=5,IF(入力データ!$G$25="私立",前提条件!$C$22,前提条件!$C$21),IF(CV6&lt;=11,IF(入力データ!$H$25="私立",前提条件!$C$24,前提条件!$C$23),IF(CV6&lt;=14,IF(入力データ!$I$25="私立",前提条件!$C$26,前提条件!$C$25),IF(CV6&lt;=17,IF(入力データ!$J$25="私立",前提条件!$C$28,前提条件!$C$27),IF(CV6&lt;=21,IF(入力データ!$K$25="国公立",前提条件!$C$29,IF(入力データ!$K$25="私立理系",前提条件!$C$31,前提条件!$C$30))+IF(入力データ!$L$25="下宿",前提条件!$C$32,0)+IF(CV6=18,前提条件!$C$33,0),0))))))+IF(CV7="",0,IF(CV7&lt;=5,IF(入力データ!$G$26="私立",前提条件!$C$22,前提条件!$C$21),IF(CV7&lt;=11,IF(入力データ!$H$26="私立",前提条件!$C$24,前提条件!$C$23),IF(CV7&lt;=14,IF(入力データ!$I$26="私立",前提条件!$C$26,前提条件!$C$25),IF(CV7&lt;=17,IF(入力データ!$J$26="私立",前提条件!$C$28,前提条件!$C$27),IF(CV7&lt;=21,IF(入力データ!$K$26="国公立",前提条件!$C$29,IF(入力データ!$K$26="私立理系",前提条件!$C$31,前提条件!$C$30))+IF(入力データ!$L$26="下宿",前提条件!$C$32,0)+IF(CV7=18,前提条件!$C$33,0),0))))))+IF(CV8="",0,IF(CV8&lt;=5,IF(入力データ!$G$27="私立",前提条件!$C$22,前提条件!$C$21),IF(CV8&lt;=11,IF(入力データ!$H$27="私立",前提条件!$C$24,前提条件!$C$23),IF(CV8&lt;=14,IF(入力データ!$I$27="私立",前提条件!$C$26,前提条件!$C$25),IF(CV8&lt;=17,IF(入力データ!$J$27="私立",前提条件!$C$28,前提条件!$C$27),IF(CV8&lt;=21,IF(入力データ!$K$27="国公立",前提条件!$C$29,IF(入力データ!$K$27="私立理系",前提条件!$C$31,前提条件!$C$30))+IF(入力データ!$L$27="下宿",前提条件!$C$32,0)+IF(CV8=18,前提条件!$C$33,0),0)))))))*(1+前提条件!$C$13)^(CV$3-$B$3))))</f>
        <v/>
      </c>
      <c r="CW24" s="352">
        <f>IF(CW$3="","",IF(入力データ!$C$17&lt;=0,0,IF(CW$3="","",((SUM(入力データ!$C$58:$C$61)*12)+IF(CW6="",0,IF(CW6&lt;=5,IF(入力データ!$G$25="私立",前提条件!$C$22,前提条件!$C$21),IF(CW6&lt;=11,IF(入力データ!$H$25="私立",前提条件!$C$24,前提条件!$C$23),IF(CW6&lt;=14,IF(入力データ!$I$25="私立",前提条件!$C$26,前提条件!$C$25),IF(CW6&lt;=17,IF(入力データ!$J$25="私立",前提条件!$C$28,前提条件!$C$27),IF(CW6&lt;=21,IF(入力データ!$K$25="国公立",前提条件!$C$29,IF(入力データ!$K$25="私立理系",前提条件!$C$31,前提条件!$C$30))+IF(入力データ!$L$25="下宿",前提条件!$C$32,0)+IF(CW6=18,前提条件!$C$33,0),0))))))+IF(CW7="",0,IF(CW7&lt;=5,IF(入力データ!$G$26="私立",前提条件!$C$22,前提条件!$C$21),IF(CW7&lt;=11,IF(入力データ!$H$26="私立",前提条件!$C$24,前提条件!$C$23),IF(CW7&lt;=14,IF(入力データ!$I$26="私立",前提条件!$C$26,前提条件!$C$25),IF(CW7&lt;=17,IF(入力データ!$J$26="私立",前提条件!$C$28,前提条件!$C$27),IF(CW7&lt;=21,IF(入力データ!$K$26="国公立",前提条件!$C$29,IF(入力データ!$K$26="私立理系",前提条件!$C$31,前提条件!$C$30))+IF(入力データ!$L$26="下宿",前提条件!$C$32,0)+IF(CW7=18,前提条件!$C$33,0),0))))))+IF(CW8="",0,IF(CW8&lt;=5,IF(入力データ!$G$27="私立",前提条件!$C$22,前提条件!$C$21),IF(CW8&lt;=11,IF(入力データ!$H$27="私立",前提条件!$C$24,前提条件!$C$23),IF(CW8&lt;=14,IF(入力データ!$I$27="私立",前提条件!$C$26,前提条件!$C$25),IF(CW8&lt;=17,IF(入力データ!$J$27="私立",前提条件!$C$28,前提条件!$C$27),IF(CW8&lt;=21,IF(入力データ!$K$27="国公立",前提条件!$C$29,IF(入力データ!$K$27="私立理系",前提条件!$C$31,前提条件!$C$30))+IF(入力データ!$L$27="下宿",前提条件!$C$32,0)+IF(CW8=18,前提条件!$C$33,0),0)))))))*(1+前提条件!$C$13)^(CW$3-$B$3))))</f>
        <v/>
      </c>
    </row>
    <row r="25" ht="15" customHeight="1" s="180">
      <c r="A25" s="224" t="inlineStr">
        <is>
          <t>車関連費</t>
        </is>
      </c>
      <c r="B25" s="352">
        <f>IF(B$3="","",N(入力データ!$C$69)*12*(1+前提条件!$C$12)^(B$3-$B$3))</f>
        <v/>
      </c>
      <c r="C25" s="352">
        <f>IF(C$3="","",N(入力データ!$C$69)*12*(1+前提条件!$C$12)^(C$3-$B$3))</f>
        <v/>
      </c>
      <c r="D25" s="352">
        <f>IF(D$3="","",N(入力データ!$C$69)*12*(1+前提条件!$C$12)^(D$3-$B$3))</f>
        <v/>
      </c>
      <c r="E25" s="352">
        <f>IF(E$3="","",N(入力データ!$C$69)*12*(1+前提条件!$C$12)^(E$3-$B$3))</f>
        <v/>
      </c>
      <c r="F25" s="352">
        <f>IF(F$3="","",N(入力データ!$C$69)*12*(1+前提条件!$C$12)^(F$3-$B$3))</f>
        <v/>
      </c>
      <c r="G25" s="352">
        <f>IF(G$3="","",N(入力データ!$C$69)*12*(1+前提条件!$C$12)^(G$3-$B$3))</f>
        <v/>
      </c>
      <c r="H25" s="352">
        <f>IF(H$3="","",N(入力データ!$C$69)*12*(1+前提条件!$C$12)^(H$3-$B$3))</f>
        <v/>
      </c>
      <c r="I25" s="352">
        <f>IF(I$3="","",N(入力データ!$C$69)*12*(1+前提条件!$C$12)^(I$3-$B$3))</f>
        <v/>
      </c>
      <c r="J25" s="352">
        <f>IF(J$3="","",N(入力データ!$C$69)*12*(1+前提条件!$C$12)^(J$3-$B$3))</f>
        <v/>
      </c>
      <c r="K25" s="352">
        <f>IF(K$3="","",N(入力データ!$C$69)*12*(1+前提条件!$C$12)^(K$3-$B$3))</f>
        <v/>
      </c>
      <c r="L25" s="352">
        <f>IF(L$3="","",N(入力データ!$C$69)*12*(1+前提条件!$C$12)^(L$3-$B$3))</f>
        <v/>
      </c>
      <c r="M25" s="352">
        <f>IF(M$3="","",N(入力データ!$C$69)*12*(1+前提条件!$C$12)^(M$3-$B$3))</f>
        <v/>
      </c>
      <c r="N25" s="352">
        <f>IF(N$3="","",N(入力データ!$C$69)*12*(1+前提条件!$C$12)^(N$3-$B$3))</f>
        <v/>
      </c>
      <c r="O25" s="352">
        <f>IF(O$3="","",N(入力データ!$C$69)*12*(1+前提条件!$C$12)^(O$3-$B$3))</f>
        <v/>
      </c>
      <c r="P25" s="352">
        <f>IF(P$3="","",N(入力データ!$C$69)*12*(1+前提条件!$C$12)^(P$3-$B$3))</f>
        <v/>
      </c>
      <c r="Q25" s="352">
        <f>IF(Q$3="","",N(入力データ!$C$69)*12*(1+前提条件!$C$12)^(Q$3-$B$3))</f>
        <v/>
      </c>
      <c r="R25" s="352">
        <f>IF(R$3="","",N(入力データ!$C$69)*12*(1+前提条件!$C$12)^(R$3-$B$3))</f>
        <v/>
      </c>
      <c r="S25" s="352">
        <f>IF(S$3="","",N(入力データ!$C$69)*12*(1+前提条件!$C$12)^(S$3-$B$3))</f>
        <v/>
      </c>
      <c r="T25" s="352">
        <f>IF(T$3="","",N(入力データ!$C$69)*12*(1+前提条件!$C$12)^(T$3-$B$3))</f>
        <v/>
      </c>
      <c r="U25" s="352">
        <f>IF(U$3="","",N(入力データ!$C$69)*12*(1+前提条件!$C$12)^(U$3-$B$3))</f>
        <v/>
      </c>
      <c r="V25" s="352">
        <f>IF(V$3="","",N(入力データ!$C$69)*12*(1+前提条件!$C$12)^(V$3-$B$3))</f>
        <v/>
      </c>
      <c r="W25" s="352">
        <f>IF(W$3="","",N(入力データ!$C$69)*12*(1+前提条件!$C$12)^(W$3-$B$3))</f>
        <v/>
      </c>
      <c r="X25" s="352">
        <f>IF(X$3="","",N(入力データ!$C$69)*12*(1+前提条件!$C$12)^(X$3-$B$3))</f>
        <v/>
      </c>
      <c r="Y25" s="352">
        <f>IF(Y$3="","",N(入力データ!$C$69)*12*(1+前提条件!$C$12)^(Y$3-$B$3))</f>
        <v/>
      </c>
      <c r="Z25" s="352">
        <f>IF(Z$3="","",N(入力データ!$C$69)*12*(1+前提条件!$C$12)^(Z$3-$B$3))</f>
        <v/>
      </c>
      <c r="AA25" s="352">
        <f>IF(AA$3="","",N(入力データ!$C$69)*12*(1+前提条件!$C$12)^(AA$3-$B$3))</f>
        <v/>
      </c>
      <c r="AB25" s="352">
        <f>IF(AB$3="","",N(入力データ!$C$69)*12*(1+前提条件!$C$12)^(AB$3-$B$3))</f>
        <v/>
      </c>
      <c r="AC25" s="352">
        <f>IF(AC$3="","",N(入力データ!$C$69)*12*(1+前提条件!$C$12)^(AC$3-$B$3))</f>
        <v/>
      </c>
      <c r="AD25" s="352">
        <f>IF(AD$3="","",N(入力データ!$C$69)*12*(1+前提条件!$C$12)^(AD$3-$B$3))</f>
        <v/>
      </c>
      <c r="AE25" s="352">
        <f>IF(AE$3="","",N(入力データ!$C$69)*12*(1+前提条件!$C$12)^(AE$3-$B$3))</f>
        <v/>
      </c>
      <c r="AF25" s="352">
        <f>IF(AF$3="","",N(入力データ!$C$69)*12*(1+前提条件!$C$12)^(AF$3-$B$3))</f>
        <v/>
      </c>
      <c r="AG25" s="352">
        <f>IF(AG$3="","",N(入力データ!$C$69)*12*(1+前提条件!$C$12)^(AG$3-$B$3))</f>
        <v/>
      </c>
      <c r="AH25" s="352">
        <f>IF(AH$3="","",N(入力データ!$C$69)*12*(1+前提条件!$C$12)^(AH$3-$B$3))</f>
        <v/>
      </c>
      <c r="AI25" s="352">
        <f>IF(AI$3="","",N(入力データ!$C$69)*12*(1+前提条件!$C$12)^(AI$3-$B$3))</f>
        <v/>
      </c>
      <c r="AJ25" s="352">
        <f>IF(AJ$3="","",N(入力データ!$C$69)*12*(1+前提条件!$C$12)^(AJ$3-$B$3))</f>
        <v/>
      </c>
      <c r="AK25" s="352">
        <f>IF(AK$3="","",N(入力データ!$C$69)*12*(1+前提条件!$C$12)^(AK$3-$B$3))</f>
        <v/>
      </c>
      <c r="AL25" s="352">
        <f>IF(AL$3="","",N(入力データ!$C$69)*12*(1+前提条件!$C$12)^(AL$3-$B$3))</f>
        <v/>
      </c>
      <c r="AM25" s="352">
        <f>IF(AM$3="","",N(入力データ!$C$69)*12*(1+前提条件!$C$12)^(AM$3-$B$3))</f>
        <v/>
      </c>
      <c r="AN25" s="352">
        <f>IF(AN$3="","",N(入力データ!$C$69)*12*(1+前提条件!$C$12)^(AN$3-$B$3))</f>
        <v/>
      </c>
      <c r="AO25" s="352">
        <f>IF(AO$3="","",N(入力データ!$C$69)*12*(1+前提条件!$C$12)^(AO$3-$B$3))</f>
        <v/>
      </c>
      <c r="AP25" s="352">
        <f>IF(AP$3="","",N(入力データ!$C$69)*12*(1+前提条件!$C$12)^(AP$3-$B$3))</f>
        <v/>
      </c>
      <c r="AQ25" s="352">
        <f>IF(AQ$3="","",N(入力データ!$C$69)*12*(1+前提条件!$C$12)^(AQ$3-$B$3))</f>
        <v/>
      </c>
      <c r="AR25" s="352">
        <f>IF(AR$3="","",N(入力データ!$C$69)*12*(1+前提条件!$C$12)^(AR$3-$B$3))</f>
        <v/>
      </c>
      <c r="AS25" s="352">
        <f>IF(AS$3="","",N(入力データ!$C$69)*12*(1+前提条件!$C$12)^(AS$3-$B$3))</f>
        <v/>
      </c>
      <c r="AT25" s="352">
        <f>IF(AT$3="","",N(入力データ!$C$69)*12*(1+前提条件!$C$12)^(AT$3-$B$3))</f>
        <v/>
      </c>
      <c r="AU25" s="352">
        <f>IF(AU$3="","",N(入力データ!$C$69)*12*(1+前提条件!$C$12)^(AU$3-$B$3))</f>
        <v/>
      </c>
      <c r="AV25" s="352">
        <f>IF(AV$3="","",N(入力データ!$C$69)*12*(1+前提条件!$C$12)^(AV$3-$B$3))</f>
        <v/>
      </c>
      <c r="AW25" s="352">
        <f>IF(AW$3="","",N(入力データ!$C$69)*12*(1+前提条件!$C$12)^(AW$3-$B$3))</f>
        <v/>
      </c>
      <c r="AX25" s="352">
        <f>IF(AX$3="","",N(入力データ!$C$69)*12*(1+前提条件!$C$12)^(AX$3-$B$3))</f>
        <v/>
      </c>
      <c r="AY25" s="352">
        <f>IF(AY$3="","",N(入力データ!$C$69)*12*(1+前提条件!$C$12)^(AY$3-$B$3))</f>
        <v/>
      </c>
      <c r="AZ25" s="352">
        <f>IF(AZ$3="","",N(入力データ!$C$69)*12*(1+前提条件!$C$12)^(AZ$3-$B$3))</f>
        <v/>
      </c>
      <c r="BA25" s="352">
        <f>IF(BA$3="","",N(入力データ!$C$69)*12*(1+前提条件!$C$12)^(BA$3-$B$3))</f>
        <v/>
      </c>
      <c r="BB25" s="352">
        <f>IF(BB$3="","",N(入力データ!$C$69)*12*(1+前提条件!$C$12)^(BB$3-$B$3))</f>
        <v/>
      </c>
      <c r="BC25" s="352">
        <f>IF(BC$3="","",N(入力データ!$C$69)*12*(1+前提条件!$C$12)^(BC$3-$B$3))</f>
        <v/>
      </c>
      <c r="BD25" s="352">
        <f>IF(BD$3="","",N(入力データ!$C$69)*12*(1+前提条件!$C$12)^(BD$3-$B$3))</f>
        <v/>
      </c>
      <c r="BE25" s="352">
        <f>IF(BE$3="","",N(入力データ!$C$69)*12*(1+前提条件!$C$12)^(BE$3-$B$3))</f>
        <v/>
      </c>
      <c r="BF25" s="352">
        <f>IF(BF$3="","",N(入力データ!$C$69)*12*(1+前提条件!$C$12)^(BF$3-$B$3))</f>
        <v/>
      </c>
      <c r="BG25" s="352">
        <f>IF(BG$3="","",N(入力データ!$C$69)*12*(1+前提条件!$C$12)^(BG$3-$B$3))</f>
        <v/>
      </c>
      <c r="BH25" s="352">
        <f>IF(BH$3="","",N(入力データ!$C$69)*12*(1+前提条件!$C$12)^(BH$3-$B$3))</f>
        <v/>
      </c>
      <c r="BI25" s="352">
        <f>IF(BI$3="","",N(入力データ!$C$69)*12*(1+前提条件!$C$12)^(BI$3-$B$3))</f>
        <v/>
      </c>
      <c r="BJ25" s="352">
        <f>IF(BJ$3="","",N(入力データ!$C$69)*12*(1+前提条件!$C$12)^(BJ$3-$B$3))</f>
        <v/>
      </c>
      <c r="BK25" s="352">
        <f>IF(BK$3="","",N(入力データ!$C$69)*12*(1+前提条件!$C$12)^(BK$3-$B$3))</f>
        <v/>
      </c>
      <c r="BL25" s="352">
        <f>IF(BL$3="","",N(入力データ!$C$69)*12*(1+前提条件!$C$12)^(BL$3-$B$3))</f>
        <v/>
      </c>
      <c r="BM25" s="352">
        <f>IF(BM$3="","",N(入力データ!$C$69)*12*(1+前提条件!$C$12)^(BM$3-$B$3))</f>
        <v/>
      </c>
      <c r="BN25" s="352">
        <f>IF(BN$3="","",N(入力データ!$C$69)*12*(1+前提条件!$C$12)^(BN$3-$B$3))</f>
        <v/>
      </c>
      <c r="BO25" s="352">
        <f>IF(BO$3="","",N(入力データ!$C$69)*12*(1+前提条件!$C$12)^(BO$3-$B$3))</f>
        <v/>
      </c>
      <c r="BP25" s="352">
        <f>IF(BP$3="","",N(入力データ!$C$69)*12*(1+前提条件!$C$12)^(BP$3-$B$3))</f>
        <v/>
      </c>
      <c r="BQ25" s="352">
        <f>IF(BQ$3="","",N(入力データ!$C$69)*12*(1+前提条件!$C$12)^(BQ$3-$B$3))</f>
        <v/>
      </c>
      <c r="BR25" s="352">
        <f>IF(BR$3="","",N(入力データ!$C$69)*12*(1+前提条件!$C$12)^(BR$3-$B$3))</f>
        <v/>
      </c>
      <c r="BS25" s="352">
        <f>IF(BS$3="","",N(入力データ!$C$69)*12*(1+前提条件!$C$12)^(BS$3-$B$3))</f>
        <v/>
      </c>
      <c r="BT25" s="352">
        <f>IF(BT$3="","",N(入力データ!$C$69)*12*(1+前提条件!$C$12)^(BT$3-$B$3))</f>
        <v/>
      </c>
      <c r="BU25" s="352">
        <f>IF(BU$3="","",N(入力データ!$C$69)*12*(1+前提条件!$C$12)^(BU$3-$B$3))</f>
        <v/>
      </c>
      <c r="BV25" s="352">
        <f>IF(BV$3="","",N(入力データ!$C$69)*12*(1+前提条件!$C$12)^(BV$3-$B$3))</f>
        <v/>
      </c>
      <c r="BW25" s="352">
        <f>IF(BW$3="","",N(入力データ!$C$69)*12*(1+前提条件!$C$12)^(BW$3-$B$3))</f>
        <v/>
      </c>
      <c r="BX25" s="352">
        <f>IF(BX$3="","",N(入力データ!$C$69)*12*(1+前提条件!$C$12)^(BX$3-$B$3))</f>
        <v/>
      </c>
      <c r="BY25" s="352">
        <f>IF(BY$3="","",N(入力データ!$C$69)*12*(1+前提条件!$C$12)^(BY$3-$B$3))</f>
        <v/>
      </c>
      <c r="BZ25" s="352">
        <f>IF(BZ$3="","",N(入力データ!$C$69)*12*(1+前提条件!$C$12)^(BZ$3-$B$3))</f>
        <v/>
      </c>
      <c r="CA25" s="352">
        <f>IF(CA$3="","",N(入力データ!$C$69)*12*(1+前提条件!$C$12)^(CA$3-$B$3))</f>
        <v/>
      </c>
      <c r="CB25" s="352">
        <f>IF(CB$3="","",N(入力データ!$C$69)*12*(1+前提条件!$C$12)^(CB$3-$B$3))</f>
        <v/>
      </c>
      <c r="CC25" s="352">
        <f>IF(CC$3="","",N(入力データ!$C$69)*12*(1+前提条件!$C$12)^(CC$3-$B$3))</f>
        <v/>
      </c>
      <c r="CD25" s="352">
        <f>IF(CD$3="","",N(入力データ!$C$69)*12*(1+前提条件!$C$12)^(CD$3-$B$3))</f>
        <v/>
      </c>
      <c r="CE25" s="352">
        <f>IF(CE$3="","",N(入力データ!$C$69)*12*(1+前提条件!$C$12)^(CE$3-$B$3))</f>
        <v/>
      </c>
      <c r="CF25" s="352">
        <f>IF(CF$3="","",N(入力データ!$C$69)*12*(1+前提条件!$C$12)^(CF$3-$B$3))</f>
        <v/>
      </c>
      <c r="CG25" s="352">
        <f>IF(CG$3="","",N(入力データ!$C$69)*12*(1+前提条件!$C$12)^(CG$3-$B$3))</f>
        <v/>
      </c>
      <c r="CH25" s="352">
        <f>IF(CH$3="","",N(入力データ!$C$69)*12*(1+前提条件!$C$12)^(CH$3-$B$3))</f>
        <v/>
      </c>
      <c r="CI25" s="352">
        <f>IF(CI$3="","",N(入力データ!$C$69)*12*(1+前提条件!$C$12)^(CI$3-$B$3))</f>
        <v/>
      </c>
      <c r="CJ25" s="352">
        <f>IF(CJ$3="","",N(入力データ!$C$69)*12*(1+前提条件!$C$12)^(CJ$3-$B$3))</f>
        <v/>
      </c>
      <c r="CK25" s="352">
        <f>IF(CK$3="","",N(入力データ!$C$69)*12*(1+前提条件!$C$12)^(CK$3-$B$3))</f>
        <v/>
      </c>
      <c r="CL25" s="352">
        <f>IF(CL$3="","",N(入力データ!$C$69)*12*(1+前提条件!$C$12)^(CL$3-$B$3))</f>
        <v/>
      </c>
      <c r="CM25" s="352">
        <f>IF(CM$3="","",N(入力データ!$C$69)*12*(1+前提条件!$C$12)^(CM$3-$B$3))</f>
        <v/>
      </c>
      <c r="CN25" s="352">
        <f>IF(CN$3="","",N(入力データ!$C$69)*12*(1+前提条件!$C$12)^(CN$3-$B$3))</f>
        <v/>
      </c>
      <c r="CO25" s="352">
        <f>IF(CO$3="","",N(入力データ!$C$69)*12*(1+前提条件!$C$12)^(CO$3-$B$3))</f>
        <v/>
      </c>
      <c r="CP25" s="352">
        <f>IF(CP$3="","",N(入力データ!$C$69)*12*(1+前提条件!$C$12)^(CP$3-$B$3))</f>
        <v/>
      </c>
      <c r="CQ25" s="352">
        <f>IF(CQ$3="","",N(入力データ!$C$69)*12*(1+前提条件!$C$12)^(CQ$3-$B$3))</f>
        <v/>
      </c>
      <c r="CR25" s="352">
        <f>IF(CR$3="","",N(入力データ!$C$69)*12*(1+前提条件!$C$12)^(CR$3-$B$3))</f>
        <v/>
      </c>
      <c r="CS25" s="352">
        <f>IF(CS$3="","",N(入力データ!$C$69)*12*(1+前提条件!$C$12)^(CS$3-$B$3))</f>
        <v/>
      </c>
      <c r="CT25" s="352">
        <f>IF(CT$3="","",N(入力データ!$C$69)*12*(1+前提条件!$C$12)^(CT$3-$B$3))</f>
        <v/>
      </c>
      <c r="CU25" s="352">
        <f>IF(CU$3="","",N(入力データ!$C$69)*12*(1+前提条件!$C$12)^(CU$3-$B$3))</f>
        <v/>
      </c>
      <c r="CV25" s="352">
        <f>IF(CV$3="","",N(入力データ!$C$69)*12*(1+前提条件!$C$12)^(CV$3-$B$3))</f>
        <v/>
      </c>
      <c r="CW25" s="352">
        <f>IF(CW$3="","",N(入力データ!$C$69)*12*(1+前提条件!$C$12)^(CW$3-$B$3))</f>
        <v/>
      </c>
    </row>
    <row r="26" ht="15" customHeight="1" s="180">
      <c r="A26" s="224" t="inlineStr">
        <is>
          <t>その他支出</t>
        </is>
      </c>
      <c r="B26" s="352">
        <f>IF(B$3="","",SUM(入力データ!$C$71:$C$74)*12*(1+前提条件!$C$12)^(B$3-$B$3))</f>
        <v/>
      </c>
      <c r="C26" s="352">
        <f>IF(C$3="","",SUM(入力データ!$C$71:$C$74)*12*(1+前提条件!$C$12)^(C$3-$B$3))</f>
        <v/>
      </c>
      <c r="D26" s="352">
        <f>IF(D$3="","",SUM(入力データ!$C$71:$C$74)*12*(1+前提条件!$C$12)^(D$3-$B$3))</f>
        <v/>
      </c>
      <c r="E26" s="352">
        <f>IF(E$3="","",SUM(入力データ!$C$71:$C$74)*12*(1+前提条件!$C$12)^(E$3-$B$3))</f>
        <v/>
      </c>
      <c r="F26" s="352">
        <f>IF(F$3="","",SUM(入力データ!$C$71:$C$74)*12*(1+前提条件!$C$12)^(F$3-$B$3))</f>
        <v/>
      </c>
      <c r="G26" s="352">
        <f>IF(G$3="","",SUM(入力データ!$C$71:$C$74)*12*(1+前提条件!$C$12)^(G$3-$B$3))</f>
        <v/>
      </c>
      <c r="H26" s="352">
        <f>IF(H$3="","",SUM(入力データ!$C$71:$C$74)*12*(1+前提条件!$C$12)^(H$3-$B$3))</f>
        <v/>
      </c>
      <c r="I26" s="352">
        <f>IF(I$3="","",SUM(入力データ!$C$71:$C$74)*12*(1+前提条件!$C$12)^(I$3-$B$3))</f>
        <v/>
      </c>
      <c r="J26" s="352">
        <f>IF(J$3="","",SUM(入力データ!$C$71:$C$74)*12*(1+前提条件!$C$12)^(J$3-$B$3))</f>
        <v/>
      </c>
      <c r="K26" s="352">
        <f>IF(K$3="","",SUM(入力データ!$C$71:$C$74)*12*(1+前提条件!$C$12)^(K$3-$B$3))</f>
        <v/>
      </c>
      <c r="L26" s="352">
        <f>IF(L$3="","",SUM(入力データ!$C$71:$C$74)*12*(1+前提条件!$C$12)^(L$3-$B$3))</f>
        <v/>
      </c>
      <c r="M26" s="352">
        <f>IF(M$3="","",SUM(入力データ!$C$71:$C$74)*12*(1+前提条件!$C$12)^(M$3-$B$3))</f>
        <v/>
      </c>
      <c r="N26" s="352">
        <f>IF(N$3="","",SUM(入力データ!$C$71:$C$74)*12*(1+前提条件!$C$12)^(N$3-$B$3))</f>
        <v/>
      </c>
      <c r="O26" s="352">
        <f>IF(O$3="","",SUM(入力データ!$C$71:$C$74)*12*(1+前提条件!$C$12)^(O$3-$B$3))</f>
        <v/>
      </c>
      <c r="P26" s="352">
        <f>IF(P$3="","",SUM(入力データ!$C$71:$C$74)*12*(1+前提条件!$C$12)^(P$3-$B$3))</f>
        <v/>
      </c>
      <c r="Q26" s="352">
        <f>IF(Q$3="","",SUM(入力データ!$C$71:$C$74)*12*(1+前提条件!$C$12)^(Q$3-$B$3))</f>
        <v/>
      </c>
      <c r="R26" s="352">
        <f>IF(R$3="","",SUM(入力データ!$C$71:$C$74)*12*(1+前提条件!$C$12)^(R$3-$B$3))</f>
        <v/>
      </c>
      <c r="S26" s="352">
        <f>IF(S$3="","",SUM(入力データ!$C$71:$C$74)*12*(1+前提条件!$C$12)^(S$3-$B$3))</f>
        <v/>
      </c>
      <c r="T26" s="352">
        <f>IF(T$3="","",SUM(入力データ!$C$71:$C$74)*12*(1+前提条件!$C$12)^(T$3-$B$3))</f>
        <v/>
      </c>
      <c r="U26" s="352">
        <f>IF(U$3="","",SUM(入力データ!$C$71:$C$74)*12*(1+前提条件!$C$12)^(U$3-$B$3))</f>
        <v/>
      </c>
      <c r="V26" s="352">
        <f>IF(V$3="","",SUM(入力データ!$C$71:$C$74)*12*(1+前提条件!$C$12)^(V$3-$B$3))</f>
        <v/>
      </c>
      <c r="W26" s="352">
        <f>IF(W$3="","",SUM(入力データ!$C$71:$C$74)*12*(1+前提条件!$C$12)^(W$3-$B$3))</f>
        <v/>
      </c>
      <c r="X26" s="352">
        <f>IF(X$3="","",SUM(入力データ!$C$71:$C$74)*12*(1+前提条件!$C$12)^(X$3-$B$3))</f>
        <v/>
      </c>
      <c r="Y26" s="352">
        <f>IF(Y$3="","",SUM(入力データ!$C$71:$C$74)*12*(1+前提条件!$C$12)^(Y$3-$B$3))</f>
        <v/>
      </c>
      <c r="Z26" s="352">
        <f>IF(Z$3="","",SUM(入力データ!$C$71:$C$74)*12*(1+前提条件!$C$12)^(Z$3-$B$3))</f>
        <v/>
      </c>
      <c r="AA26" s="352">
        <f>IF(AA$3="","",SUM(入力データ!$C$71:$C$74)*12*(1+前提条件!$C$12)^(AA$3-$B$3))</f>
        <v/>
      </c>
      <c r="AB26" s="352">
        <f>IF(AB$3="","",SUM(入力データ!$C$71:$C$74)*12*(1+前提条件!$C$12)^(AB$3-$B$3))</f>
        <v/>
      </c>
      <c r="AC26" s="352">
        <f>IF(AC$3="","",SUM(入力データ!$C$71:$C$74)*12*(1+前提条件!$C$12)^(AC$3-$B$3))</f>
        <v/>
      </c>
      <c r="AD26" s="352">
        <f>IF(AD$3="","",SUM(入力データ!$C$71:$C$74)*12*(1+前提条件!$C$12)^(AD$3-$B$3))</f>
        <v/>
      </c>
      <c r="AE26" s="352">
        <f>IF(AE$3="","",SUM(入力データ!$C$71:$C$74)*12*(1+前提条件!$C$12)^(AE$3-$B$3))</f>
        <v/>
      </c>
      <c r="AF26" s="352">
        <f>IF(AF$3="","",SUM(入力データ!$C$71:$C$74)*12*(1+前提条件!$C$12)^(AF$3-$B$3))</f>
        <v/>
      </c>
      <c r="AG26" s="352">
        <f>IF(AG$3="","",SUM(入力データ!$C$71:$C$74)*12*(1+前提条件!$C$12)^(AG$3-$B$3))</f>
        <v/>
      </c>
      <c r="AH26" s="352">
        <f>IF(AH$3="","",SUM(入力データ!$C$71:$C$74)*12*(1+前提条件!$C$12)^(AH$3-$B$3))</f>
        <v/>
      </c>
      <c r="AI26" s="352">
        <f>IF(AI$3="","",SUM(入力データ!$C$71:$C$74)*12*(1+前提条件!$C$12)^(AI$3-$B$3))</f>
        <v/>
      </c>
      <c r="AJ26" s="352">
        <f>IF(AJ$3="","",SUM(入力データ!$C$71:$C$74)*12*(1+前提条件!$C$12)^(AJ$3-$B$3))</f>
        <v/>
      </c>
      <c r="AK26" s="352">
        <f>IF(AK$3="","",SUM(入力データ!$C$71:$C$74)*12*(1+前提条件!$C$12)^(AK$3-$B$3))</f>
        <v/>
      </c>
      <c r="AL26" s="352">
        <f>IF(AL$3="","",SUM(入力データ!$C$71:$C$74)*12*(1+前提条件!$C$12)^(AL$3-$B$3))</f>
        <v/>
      </c>
      <c r="AM26" s="352">
        <f>IF(AM$3="","",SUM(入力データ!$C$71:$C$74)*12*(1+前提条件!$C$12)^(AM$3-$B$3))</f>
        <v/>
      </c>
      <c r="AN26" s="352">
        <f>IF(AN$3="","",SUM(入力データ!$C$71:$C$74)*12*(1+前提条件!$C$12)^(AN$3-$B$3))</f>
        <v/>
      </c>
      <c r="AO26" s="352">
        <f>IF(AO$3="","",SUM(入力データ!$C$71:$C$74)*12*(1+前提条件!$C$12)^(AO$3-$B$3))</f>
        <v/>
      </c>
      <c r="AP26" s="352">
        <f>IF(AP$3="","",SUM(入力データ!$C$71:$C$74)*12*(1+前提条件!$C$12)^(AP$3-$B$3))</f>
        <v/>
      </c>
      <c r="AQ26" s="352">
        <f>IF(AQ$3="","",SUM(入力データ!$C$71:$C$74)*12*(1+前提条件!$C$12)^(AQ$3-$B$3))</f>
        <v/>
      </c>
      <c r="AR26" s="352">
        <f>IF(AR$3="","",SUM(入力データ!$C$71:$C$74)*12*(1+前提条件!$C$12)^(AR$3-$B$3))</f>
        <v/>
      </c>
      <c r="AS26" s="352">
        <f>IF(AS$3="","",SUM(入力データ!$C$71:$C$74)*12*(1+前提条件!$C$12)^(AS$3-$B$3))</f>
        <v/>
      </c>
      <c r="AT26" s="352">
        <f>IF(AT$3="","",SUM(入力データ!$C$71:$C$74)*12*(1+前提条件!$C$12)^(AT$3-$B$3))</f>
        <v/>
      </c>
      <c r="AU26" s="352">
        <f>IF(AU$3="","",SUM(入力データ!$C$71:$C$74)*12*(1+前提条件!$C$12)^(AU$3-$B$3))</f>
        <v/>
      </c>
      <c r="AV26" s="352">
        <f>IF(AV$3="","",SUM(入力データ!$C$71:$C$74)*12*(1+前提条件!$C$12)^(AV$3-$B$3))</f>
        <v/>
      </c>
      <c r="AW26" s="352">
        <f>IF(AW$3="","",SUM(入力データ!$C$71:$C$74)*12*(1+前提条件!$C$12)^(AW$3-$B$3))</f>
        <v/>
      </c>
      <c r="AX26" s="352">
        <f>IF(AX$3="","",SUM(入力データ!$C$71:$C$74)*12*(1+前提条件!$C$12)^(AX$3-$B$3))</f>
        <v/>
      </c>
      <c r="AY26" s="352">
        <f>IF(AY$3="","",SUM(入力データ!$C$71:$C$74)*12*(1+前提条件!$C$12)^(AY$3-$B$3))</f>
        <v/>
      </c>
      <c r="AZ26" s="352">
        <f>IF(AZ$3="","",SUM(入力データ!$C$71:$C$74)*12*(1+前提条件!$C$12)^(AZ$3-$B$3))</f>
        <v/>
      </c>
      <c r="BA26" s="352">
        <f>IF(BA$3="","",SUM(入力データ!$C$71:$C$74)*12*(1+前提条件!$C$12)^(BA$3-$B$3))</f>
        <v/>
      </c>
      <c r="BB26" s="352">
        <f>IF(BB$3="","",SUM(入力データ!$C$71:$C$74)*12*(1+前提条件!$C$12)^(BB$3-$B$3))</f>
        <v/>
      </c>
      <c r="BC26" s="352">
        <f>IF(BC$3="","",SUM(入力データ!$C$71:$C$74)*12*(1+前提条件!$C$12)^(BC$3-$B$3))</f>
        <v/>
      </c>
      <c r="BD26" s="352">
        <f>IF(BD$3="","",SUM(入力データ!$C$71:$C$74)*12*(1+前提条件!$C$12)^(BD$3-$B$3))</f>
        <v/>
      </c>
      <c r="BE26" s="352">
        <f>IF(BE$3="","",SUM(入力データ!$C$71:$C$74)*12*(1+前提条件!$C$12)^(BE$3-$B$3))</f>
        <v/>
      </c>
      <c r="BF26" s="352">
        <f>IF(BF$3="","",SUM(入力データ!$C$71:$C$74)*12*(1+前提条件!$C$12)^(BF$3-$B$3))</f>
        <v/>
      </c>
      <c r="BG26" s="352">
        <f>IF(BG$3="","",SUM(入力データ!$C$71:$C$74)*12*(1+前提条件!$C$12)^(BG$3-$B$3))</f>
        <v/>
      </c>
      <c r="BH26" s="352">
        <f>IF(BH$3="","",SUM(入力データ!$C$71:$C$74)*12*(1+前提条件!$C$12)^(BH$3-$B$3))</f>
        <v/>
      </c>
      <c r="BI26" s="352">
        <f>IF(BI$3="","",SUM(入力データ!$C$71:$C$74)*12*(1+前提条件!$C$12)^(BI$3-$B$3))</f>
        <v/>
      </c>
      <c r="BJ26" s="352">
        <f>IF(BJ$3="","",SUM(入力データ!$C$71:$C$74)*12*(1+前提条件!$C$12)^(BJ$3-$B$3))</f>
        <v/>
      </c>
      <c r="BK26" s="352">
        <f>IF(BK$3="","",SUM(入力データ!$C$71:$C$74)*12*(1+前提条件!$C$12)^(BK$3-$B$3))</f>
        <v/>
      </c>
      <c r="BL26" s="352">
        <f>IF(BL$3="","",SUM(入力データ!$C$71:$C$74)*12*(1+前提条件!$C$12)^(BL$3-$B$3))</f>
        <v/>
      </c>
      <c r="BM26" s="352">
        <f>IF(BM$3="","",SUM(入力データ!$C$71:$C$74)*12*(1+前提条件!$C$12)^(BM$3-$B$3))</f>
        <v/>
      </c>
      <c r="BN26" s="352">
        <f>IF(BN$3="","",SUM(入力データ!$C$71:$C$74)*12*(1+前提条件!$C$12)^(BN$3-$B$3))</f>
        <v/>
      </c>
      <c r="BO26" s="352">
        <f>IF(BO$3="","",SUM(入力データ!$C$71:$C$74)*12*(1+前提条件!$C$12)^(BO$3-$B$3))</f>
        <v/>
      </c>
      <c r="BP26" s="352">
        <f>IF(BP$3="","",SUM(入力データ!$C$71:$C$74)*12*(1+前提条件!$C$12)^(BP$3-$B$3))</f>
        <v/>
      </c>
      <c r="BQ26" s="352">
        <f>IF(BQ$3="","",SUM(入力データ!$C$71:$C$74)*12*(1+前提条件!$C$12)^(BQ$3-$B$3))</f>
        <v/>
      </c>
      <c r="BR26" s="352">
        <f>IF(BR$3="","",SUM(入力データ!$C$71:$C$74)*12*(1+前提条件!$C$12)^(BR$3-$B$3))</f>
        <v/>
      </c>
      <c r="BS26" s="352">
        <f>IF(BS$3="","",SUM(入力データ!$C$71:$C$74)*12*(1+前提条件!$C$12)^(BS$3-$B$3))</f>
        <v/>
      </c>
      <c r="BT26" s="352">
        <f>IF(BT$3="","",SUM(入力データ!$C$71:$C$74)*12*(1+前提条件!$C$12)^(BT$3-$B$3))</f>
        <v/>
      </c>
      <c r="BU26" s="352">
        <f>IF(BU$3="","",SUM(入力データ!$C$71:$C$74)*12*(1+前提条件!$C$12)^(BU$3-$B$3))</f>
        <v/>
      </c>
      <c r="BV26" s="352">
        <f>IF(BV$3="","",SUM(入力データ!$C$71:$C$74)*12*(1+前提条件!$C$12)^(BV$3-$B$3))</f>
        <v/>
      </c>
      <c r="BW26" s="352">
        <f>IF(BW$3="","",SUM(入力データ!$C$71:$C$74)*12*(1+前提条件!$C$12)^(BW$3-$B$3))</f>
        <v/>
      </c>
      <c r="BX26" s="352">
        <f>IF(BX$3="","",SUM(入力データ!$C$71:$C$74)*12*(1+前提条件!$C$12)^(BX$3-$B$3))</f>
        <v/>
      </c>
      <c r="BY26" s="352">
        <f>IF(BY$3="","",SUM(入力データ!$C$71:$C$74)*12*(1+前提条件!$C$12)^(BY$3-$B$3))</f>
        <v/>
      </c>
      <c r="BZ26" s="352">
        <f>IF(BZ$3="","",SUM(入力データ!$C$71:$C$74)*12*(1+前提条件!$C$12)^(BZ$3-$B$3))</f>
        <v/>
      </c>
      <c r="CA26" s="352">
        <f>IF(CA$3="","",SUM(入力データ!$C$71:$C$74)*12*(1+前提条件!$C$12)^(CA$3-$B$3))</f>
        <v/>
      </c>
      <c r="CB26" s="352">
        <f>IF(CB$3="","",SUM(入力データ!$C$71:$C$74)*12*(1+前提条件!$C$12)^(CB$3-$B$3))</f>
        <v/>
      </c>
      <c r="CC26" s="352">
        <f>IF(CC$3="","",SUM(入力データ!$C$71:$C$74)*12*(1+前提条件!$C$12)^(CC$3-$B$3))</f>
        <v/>
      </c>
      <c r="CD26" s="352">
        <f>IF(CD$3="","",SUM(入力データ!$C$71:$C$74)*12*(1+前提条件!$C$12)^(CD$3-$B$3))</f>
        <v/>
      </c>
      <c r="CE26" s="352">
        <f>IF(CE$3="","",SUM(入力データ!$C$71:$C$74)*12*(1+前提条件!$C$12)^(CE$3-$B$3))</f>
        <v/>
      </c>
      <c r="CF26" s="352">
        <f>IF(CF$3="","",SUM(入力データ!$C$71:$C$74)*12*(1+前提条件!$C$12)^(CF$3-$B$3))</f>
        <v/>
      </c>
      <c r="CG26" s="352">
        <f>IF(CG$3="","",SUM(入力データ!$C$71:$C$74)*12*(1+前提条件!$C$12)^(CG$3-$B$3))</f>
        <v/>
      </c>
      <c r="CH26" s="352">
        <f>IF(CH$3="","",SUM(入力データ!$C$71:$C$74)*12*(1+前提条件!$C$12)^(CH$3-$B$3))</f>
        <v/>
      </c>
      <c r="CI26" s="352">
        <f>IF(CI$3="","",SUM(入力データ!$C$71:$C$74)*12*(1+前提条件!$C$12)^(CI$3-$B$3))</f>
        <v/>
      </c>
      <c r="CJ26" s="352">
        <f>IF(CJ$3="","",SUM(入力データ!$C$71:$C$74)*12*(1+前提条件!$C$12)^(CJ$3-$B$3))</f>
        <v/>
      </c>
      <c r="CK26" s="352">
        <f>IF(CK$3="","",SUM(入力データ!$C$71:$C$74)*12*(1+前提条件!$C$12)^(CK$3-$B$3))</f>
        <v/>
      </c>
      <c r="CL26" s="352">
        <f>IF(CL$3="","",SUM(入力データ!$C$71:$C$74)*12*(1+前提条件!$C$12)^(CL$3-$B$3))</f>
        <v/>
      </c>
      <c r="CM26" s="352">
        <f>IF(CM$3="","",SUM(入力データ!$C$71:$C$74)*12*(1+前提条件!$C$12)^(CM$3-$B$3))</f>
        <v/>
      </c>
      <c r="CN26" s="352">
        <f>IF(CN$3="","",SUM(入力データ!$C$71:$C$74)*12*(1+前提条件!$C$12)^(CN$3-$B$3))</f>
        <v/>
      </c>
      <c r="CO26" s="352">
        <f>IF(CO$3="","",SUM(入力データ!$C$71:$C$74)*12*(1+前提条件!$C$12)^(CO$3-$B$3))</f>
        <v/>
      </c>
      <c r="CP26" s="352">
        <f>IF(CP$3="","",SUM(入力データ!$C$71:$C$74)*12*(1+前提条件!$C$12)^(CP$3-$B$3))</f>
        <v/>
      </c>
      <c r="CQ26" s="352">
        <f>IF(CQ$3="","",SUM(入力データ!$C$71:$C$74)*12*(1+前提条件!$C$12)^(CQ$3-$B$3))</f>
        <v/>
      </c>
      <c r="CR26" s="352">
        <f>IF(CR$3="","",SUM(入力データ!$C$71:$C$74)*12*(1+前提条件!$C$12)^(CR$3-$B$3))</f>
        <v/>
      </c>
      <c r="CS26" s="352">
        <f>IF(CS$3="","",SUM(入力データ!$C$71:$C$74)*12*(1+前提条件!$C$12)^(CS$3-$B$3))</f>
        <v/>
      </c>
      <c r="CT26" s="352">
        <f>IF(CT$3="","",SUM(入力データ!$C$71:$C$74)*12*(1+前提条件!$C$12)^(CT$3-$B$3))</f>
        <v/>
      </c>
      <c r="CU26" s="352">
        <f>IF(CU$3="","",SUM(入力データ!$C$71:$C$74)*12*(1+前提条件!$C$12)^(CU$3-$B$3))</f>
        <v/>
      </c>
      <c r="CV26" s="352">
        <f>IF(CV$3="","",SUM(入力データ!$C$71:$C$74)*12*(1+前提条件!$C$12)^(CV$3-$B$3))</f>
        <v/>
      </c>
      <c r="CW26" s="352">
        <f>IF(CW$3="","",SUM(入力データ!$C$71:$C$74)*12*(1+前提条件!$C$12)^(CW$3-$B$3))</f>
        <v/>
      </c>
    </row>
    <row r="27" ht="15" customHeight="1" s="180">
      <c r="A27" s="224" t="inlineStr">
        <is>
          <t>一時支出</t>
        </is>
      </c>
      <c r="B27" s="352">
        <f>IF(B$3="","",SUM(入力データ!$C$78:$C$82))</f>
        <v/>
      </c>
      <c r="C27" s="352">
        <f>IF(C$3="","",SUM(入力データ!$C$78:$C$82))</f>
        <v/>
      </c>
      <c r="D27" s="352">
        <f>IF(D$3="","",SUM(入力データ!$C$78:$C$82))</f>
        <v/>
      </c>
      <c r="E27" s="352">
        <f>IF(E$3="","",SUM(入力データ!$C$78:$C$82))</f>
        <v/>
      </c>
      <c r="F27" s="352">
        <f>IF(F$3="","",SUM(入力データ!$C$78:$C$82))</f>
        <v/>
      </c>
      <c r="G27" s="352">
        <f>IF(G$3="","",SUM(入力データ!$C$78:$C$82))</f>
        <v/>
      </c>
      <c r="H27" s="352">
        <f>IF(H$3="","",SUM(入力データ!$C$78:$C$82))</f>
        <v/>
      </c>
      <c r="I27" s="352">
        <f>IF(I$3="","",SUM(入力データ!$C$78:$C$82))</f>
        <v/>
      </c>
      <c r="J27" s="352">
        <f>IF(J$3="","",SUM(入力データ!$C$78:$C$82))</f>
        <v/>
      </c>
      <c r="K27" s="352">
        <f>IF(K$3="","",SUM(入力データ!$C$78:$C$82))</f>
        <v/>
      </c>
      <c r="L27" s="352">
        <f>IF(L$3="","",SUM(入力データ!$C$78:$C$82))</f>
        <v/>
      </c>
      <c r="M27" s="352">
        <f>IF(M$3="","",SUM(入力データ!$C$78:$C$82))</f>
        <v/>
      </c>
      <c r="N27" s="352">
        <f>IF(N$3="","",SUM(入力データ!$C$78:$C$82))</f>
        <v/>
      </c>
      <c r="O27" s="352">
        <f>IF(O$3="","",SUM(入力データ!$C$78:$C$82))</f>
        <v/>
      </c>
      <c r="P27" s="352">
        <f>IF(P$3="","",SUM(入力データ!$C$78:$C$82))</f>
        <v/>
      </c>
      <c r="Q27" s="352">
        <f>IF(Q$3="","",SUM(入力データ!$C$78:$C$82))</f>
        <v/>
      </c>
      <c r="R27" s="352">
        <f>IF(R$3="","",SUM(入力データ!$C$78:$C$82))</f>
        <v/>
      </c>
      <c r="S27" s="352">
        <f>IF(S$3="","",SUM(入力データ!$C$78:$C$82))</f>
        <v/>
      </c>
      <c r="T27" s="352">
        <f>IF(T$3="","",SUM(入力データ!$C$78:$C$82))</f>
        <v/>
      </c>
      <c r="U27" s="352">
        <f>IF(U$3="","",SUM(入力データ!$C$78:$C$82))</f>
        <v/>
      </c>
      <c r="V27" s="352">
        <f>IF(V$3="","",SUM(入力データ!$C$78:$C$82))</f>
        <v/>
      </c>
      <c r="W27" s="352">
        <f>IF(W$3="","",SUM(入力データ!$C$78:$C$82))</f>
        <v/>
      </c>
      <c r="X27" s="352">
        <f>IF(X$3="","",SUM(入力データ!$C$78:$C$82))</f>
        <v/>
      </c>
      <c r="Y27" s="352">
        <f>IF(Y$3="","",SUM(入力データ!$C$78:$C$82))</f>
        <v/>
      </c>
      <c r="Z27" s="352">
        <f>IF(Z$3="","",SUM(入力データ!$C$78:$C$82))</f>
        <v/>
      </c>
      <c r="AA27" s="352">
        <f>IF(AA$3="","",SUM(入力データ!$C$78:$C$82))</f>
        <v/>
      </c>
      <c r="AB27" s="352">
        <f>IF(AB$3="","",SUM(入力データ!$C$78:$C$82))</f>
        <v/>
      </c>
      <c r="AC27" s="352">
        <f>IF(AC$3="","",SUM(入力データ!$C$78:$C$82))</f>
        <v/>
      </c>
      <c r="AD27" s="352">
        <f>IF(AD$3="","",SUM(入力データ!$C$78:$C$82))</f>
        <v/>
      </c>
      <c r="AE27" s="352">
        <f>IF(AE$3="","",SUM(入力データ!$C$78:$C$82))</f>
        <v/>
      </c>
      <c r="AF27" s="352">
        <f>IF(AF$3="","",SUM(入力データ!$C$78:$C$82))</f>
        <v/>
      </c>
      <c r="AG27" s="352">
        <f>IF(AG$3="","",SUM(入力データ!$C$78:$C$82))</f>
        <v/>
      </c>
      <c r="AH27" s="352">
        <f>IF(AH$3="","",SUM(入力データ!$C$78:$C$82))</f>
        <v/>
      </c>
      <c r="AI27" s="352">
        <f>IF(AI$3="","",SUM(入力データ!$C$78:$C$82))</f>
        <v/>
      </c>
      <c r="AJ27" s="352">
        <f>IF(AJ$3="","",SUM(入力データ!$C$78:$C$82))</f>
        <v/>
      </c>
      <c r="AK27" s="352">
        <f>IF(AK$3="","",SUM(入力データ!$C$78:$C$82))</f>
        <v/>
      </c>
      <c r="AL27" s="352">
        <f>IF(AL$3="","",SUM(入力データ!$C$78:$C$82))</f>
        <v/>
      </c>
      <c r="AM27" s="352">
        <f>IF(AM$3="","",SUM(入力データ!$C$78:$C$82))</f>
        <v/>
      </c>
      <c r="AN27" s="352">
        <f>IF(AN$3="","",SUM(入力データ!$C$78:$C$82))</f>
        <v/>
      </c>
      <c r="AO27" s="352">
        <f>IF(AO$3="","",SUM(入力データ!$C$78:$C$82))</f>
        <v/>
      </c>
      <c r="AP27" s="352">
        <f>IF(AP$3="","",SUM(入力データ!$C$78:$C$82))</f>
        <v/>
      </c>
      <c r="AQ27" s="352">
        <f>IF(AQ$3="","",SUM(入力データ!$C$78:$C$82))</f>
        <v/>
      </c>
      <c r="AR27" s="352">
        <f>IF(AR$3="","",SUM(入力データ!$C$78:$C$82))</f>
        <v/>
      </c>
      <c r="AS27" s="352">
        <f>IF(AS$3="","",SUM(入力データ!$C$78:$C$82))</f>
        <v/>
      </c>
      <c r="AT27" s="352">
        <f>IF(AT$3="","",SUM(入力データ!$C$78:$C$82))</f>
        <v/>
      </c>
      <c r="AU27" s="352">
        <f>IF(AU$3="","",SUM(入力データ!$C$78:$C$82))</f>
        <v/>
      </c>
      <c r="AV27" s="352">
        <f>IF(AV$3="","",SUM(入力データ!$C$78:$C$82))</f>
        <v/>
      </c>
      <c r="AW27" s="352">
        <f>IF(AW$3="","",SUM(入力データ!$C$78:$C$82))</f>
        <v/>
      </c>
      <c r="AX27" s="352">
        <f>IF(AX$3="","",SUM(入力データ!$C$78:$C$82))</f>
        <v/>
      </c>
      <c r="AY27" s="352">
        <f>IF(AY$3="","",SUM(入力データ!$C$78:$C$82))</f>
        <v/>
      </c>
      <c r="AZ27" s="352">
        <f>IF(AZ$3="","",SUM(入力データ!$C$78:$C$82))</f>
        <v/>
      </c>
      <c r="BA27" s="352">
        <f>IF(BA$3="","",SUM(入力データ!$C$78:$C$82))</f>
        <v/>
      </c>
      <c r="BB27" s="352">
        <f>IF(BB$3="","",SUM(入力データ!$C$78:$C$82))</f>
        <v/>
      </c>
      <c r="BC27" s="352">
        <f>IF(BC$3="","",SUM(入力データ!$C$78:$C$82))</f>
        <v/>
      </c>
      <c r="BD27" s="352">
        <f>IF(BD$3="","",SUM(入力データ!$C$78:$C$82))</f>
        <v/>
      </c>
      <c r="BE27" s="352">
        <f>IF(BE$3="","",SUM(入力データ!$C$78:$C$82))</f>
        <v/>
      </c>
      <c r="BF27" s="352">
        <f>IF(BF$3="","",SUM(入力データ!$C$78:$C$82))</f>
        <v/>
      </c>
      <c r="BG27" s="352">
        <f>IF(BG$3="","",SUM(入力データ!$C$78:$C$82))</f>
        <v/>
      </c>
      <c r="BH27" s="352">
        <f>IF(BH$3="","",SUM(入力データ!$C$78:$C$82))</f>
        <v/>
      </c>
      <c r="BI27" s="352">
        <f>IF(BI$3="","",SUM(入力データ!$C$78:$C$82))</f>
        <v/>
      </c>
      <c r="BJ27" s="352">
        <f>IF(BJ$3="","",SUM(入力データ!$C$78:$C$82))</f>
        <v/>
      </c>
      <c r="BK27" s="352">
        <f>IF(BK$3="","",SUM(入力データ!$C$78:$C$82))</f>
        <v/>
      </c>
      <c r="BL27" s="352">
        <f>IF(BL$3="","",SUM(入力データ!$C$78:$C$82))</f>
        <v/>
      </c>
      <c r="BM27" s="352">
        <f>IF(BM$3="","",SUM(入力データ!$C$78:$C$82))</f>
        <v/>
      </c>
      <c r="BN27" s="352">
        <f>IF(BN$3="","",SUM(入力データ!$C$78:$C$82))</f>
        <v/>
      </c>
      <c r="BO27" s="352">
        <f>IF(BO$3="","",SUM(入力データ!$C$78:$C$82))</f>
        <v/>
      </c>
      <c r="BP27" s="352">
        <f>IF(BP$3="","",SUM(入力データ!$C$78:$C$82))</f>
        <v/>
      </c>
      <c r="BQ27" s="352">
        <f>IF(BQ$3="","",SUM(入力データ!$C$78:$C$82))</f>
        <v/>
      </c>
      <c r="BR27" s="352">
        <f>IF(BR$3="","",SUM(入力データ!$C$78:$C$82))</f>
        <v/>
      </c>
      <c r="BS27" s="352">
        <f>IF(BS$3="","",SUM(入力データ!$C$78:$C$82))</f>
        <v/>
      </c>
      <c r="BT27" s="352">
        <f>IF(BT$3="","",SUM(入力データ!$C$78:$C$82))</f>
        <v/>
      </c>
      <c r="BU27" s="352">
        <f>IF(BU$3="","",SUM(入力データ!$C$78:$C$82))</f>
        <v/>
      </c>
      <c r="BV27" s="352">
        <f>IF(BV$3="","",SUM(入力データ!$C$78:$C$82))</f>
        <v/>
      </c>
      <c r="BW27" s="352">
        <f>IF(BW$3="","",SUM(入力データ!$C$78:$C$82))</f>
        <v/>
      </c>
      <c r="BX27" s="352">
        <f>IF(BX$3="","",SUM(入力データ!$C$78:$C$82))</f>
        <v/>
      </c>
      <c r="BY27" s="352">
        <f>IF(BY$3="","",SUM(入力データ!$C$78:$C$82))</f>
        <v/>
      </c>
      <c r="BZ27" s="352">
        <f>IF(BZ$3="","",SUM(入力データ!$C$78:$C$82))</f>
        <v/>
      </c>
      <c r="CA27" s="352">
        <f>IF(CA$3="","",SUM(入力データ!$C$78:$C$82))</f>
        <v/>
      </c>
      <c r="CB27" s="352">
        <f>IF(CB$3="","",SUM(入力データ!$C$78:$C$82))</f>
        <v/>
      </c>
      <c r="CC27" s="352">
        <f>IF(CC$3="","",SUM(入力データ!$C$78:$C$82))</f>
        <v/>
      </c>
      <c r="CD27" s="352">
        <f>IF(CD$3="","",SUM(入力データ!$C$78:$C$82))</f>
        <v/>
      </c>
      <c r="CE27" s="352">
        <f>IF(CE$3="","",SUM(入力データ!$C$78:$C$82))</f>
        <v/>
      </c>
      <c r="CF27" s="352">
        <f>IF(CF$3="","",SUM(入力データ!$C$78:$C$82))</f>
        <v/>
      </c>
      <c r="CG27" s="352">
        <f>IF(CG$3="","",SUM(入力データ!$C$78:$C$82))</f>
        <v/>
      </c>
      <c r="CH27" s="352">
        <f>IF(CH$3="","",SUM(入力データ!$C$78:$C$82))</f>
        <v/>
      </c>
      <c r="CI27" s="352">
        <f>IF(CI$3="","",SUM(入力データ!$C$78:$C$82))</f>
        <v/>
      </c>
      <c r="CJ27" s="352">
        <f>IF(CJ$3="","",SUM(入力データ!$C$78:$C$82))</f>
        <v/>
      </c>
      <c r="CK27" s="352">
        <f>IF(CK$3="","",SUM(入力データ!$C$78:$C$82))</f>
        <v/>
      </c>
      <c r="CL27" s="352">
        <f>IF(CL$3="","",SUM(入力データ!$C$78:$C$82))</f>
        <v/>
      </c>
      <c r="CM27" s="352">
        <f>IF(CM$3="","",SUM(入力データ!$C$78:$C$82))</f>
        <v/>
      </c>
      <c r="CN27" s="352">
        <f>IF(CN$3="","",SUM(入力データ!$C$78:$C$82))</f>
        <v/>
      </c>
      <c r="CO27" s="352">
        <f>IF(CO$3="","",SUM(入力データ!$C$78:$C$82))</f>
        <v/>
      </c>
      <c r="CP27" s="352">
        <f>IF(CP$3="","",SUM(入力データ!$C$78:$C$82))</f>
        <v/>
      </c>
      <c r="CQ27" s="352">
        <f>IF(CQ$3="","",SUM(入力データ!$C$78:$C$82))</f>
        <v/>
      </c>
      <c r="CR27" s="352">
        <f>IF(CR$3="","",SUM(入力データ!$C$78:$C$82))</f>
        <v/>
      </c>
      <c r="CS27" s="352">
        <f>IF(CS$3="","",SUM(入力データ!$C$78:$C$82))</f>
        <v/>
      </c>
      <c r="CT27" s="352">
        <f>IF(CT$3="","",SUM(入力データ!$C$78:$C$82))</f>
        <v/>
      </c>
      <c r="CU27" s="352">
        <f>IF(CU$3="","",SUM(入力データ!$C$78:$C$82))</f>
        <v/>
      </c>
      <c r="CV27" s="352">
        <f>IF(CV$3="","",SUM(入力データ!$C$78:$C$82))</f>
        <v/>
      </c>
      <c r="CW27" s="352">
        <f>IF(CW$3="","",SUM(入力データ!$C$78:$C$82))</f>
        <v/>
      </c>
    </row>
    <row r="28" ht="15" customHeight="1" s="180">
      <c r="A28" s="226" t="inlineStr">
        <is>
          <t>支出合計</t>
        </is>
      </c>
      <c r="B28" s="353">
        <f>IF(B$3="","",SUM(B20:B27))</f>
        <v/>
      </c>
      <c r="C28" s="353">
        <f>IF(C$3="","",SUM(C20:C27))</f>
        <v/>
      </c>
      <c r="D28" s="353">
        <f>IF(D$3="","",SUM(D20:D27))</f>
        <v/>
      </c>
      <c r="E28" s="353">
        <f>IF(E$3="","",SUM(E20:E27))</f>
        <v/>
      </c>
      <c r="F28" s="353">
        <f>IF(F$3="","",SUM(F20:F27))</f>
        <v/>
      </c>
      <c r="G28" s="353">
        <f>IF(G$3="","",SUM(G20:G27))</f>
        <v/>
      </c>
      <c r="H28" s="353">
        <f>IF(H$3="","",SUM(H20:H27))</f>
        <v/>
      </c>
      <c r="I28" s="353">
        <f>IF(I$3="","",SUM(I20:I27))</f>
        <v/>
      </c>
      <c r="J28" s="353">
        <f>IF(J$3="","",SUM(J20:J27))</f>
        <v/>
      </c>
      <c r="K28" s="353">
        <f>IF(K$3="","",SUM(K20:K27))</f>
        <v/>
      </c>
      <c r="L28" s="353">
        <f>IF(L$3="","",SUM(L20:L27))</f>
        <v/>
      </c>
      <c r="M28" s="353">
        <f>IF(M$3="","",SUM(M20:M27))</f>
        <v/>
      </c>
      <c r="N28" s="353">
        <f>IF(N$3="","",SUM(N20:N27))</f>
        <v/>
      </c>
      <c r="O28" s="353">
        <f>IF(O$3="","",SUM(O20:O27))</f>
        <v/>
      </c>
      <c r="P28" s="353">
        <f>IF(P$3="","",SUM(P20:P27))</f>
        <v/>
      </c>
      <c r="Q28" s="353">
        <f>IF(Q$3="","",SUM(Q20:Q27))</f>
        <v/>
      </c>
      <c r="R28" s="353">
        <f>IF(R$3="","",SUM(R20:R27))</f>
        <v/>
      </c>
      <c r="S28" s="353">
        <f>IF(S$3="","",SUM(S20:S27))</f>
        <v/>
      </c>
      <c r="T28" s="353">
        <f>IF(T$3="","",SUM(T20:T27))</f>
        <v/>
      </c>
      <c r="U28" s="353">
        <f>IF(U$3="","",SUM(U20:U27))</f>
        <v/>
      </c>
      <c r="V28" s="353">
        <f>IF(V$3="","",SUM(V20:V27))</f>
        <v/>
      </c>
      <c r="W28" s="353">
        <f>IF(W$3="","",SUM(W20:W27))</f>
        <v/>
      </c>
      <c r="X28" s="353">
        <f>IF(X$3="","",SUM(X20:X27))</f>
        <v/>
      </c>
      <c r="Y28" s="353">
        <f>IF(Y$3="","",SUM(Y20:Y27))</f>
        <v/>
      </c>
      <c r="Z28" s="353">
        <f>IF(Z$3="","",SUM(Z20:Z27))</f>
        <v/>
      </c>
      <c r="AA28" s="353">
        <f>IF(AA$3="","",SUM(AA20:AA27))</f>
        <v/>
      </c>
      <c r="AB28" s="353">
        <f>IF(AB$3="","",SUM(AB20:AB27))</f>
        <v/>
      </c>
      <c r="AC28" s="353">
        <f>IF(AC$3="","",SUM(AC20:AC27))</f>
        <v/>
      </c>
      <c r="AD28" s="353">
        <f>IF(AD$3="","",SUM(AD20:AD27))</f>
        <v/>
      </c>
      <c r="AE28" s="353">
        <f>IF(AE$3="","",SUM(AE20:AE27))</f>
        <v/>
      </c>
      <c r="AF28" s="353">
        <f>IF(AF$3="","",SUM(AF20:AF27))</f>
        <v/>
      </c>
      <c r="AG28" s="353">
        <f>IF(AG$3="","",SUM(AG20:AG27))</f>
        <v/>
      </c>
      <c r="AH28" s="353">
        <f>IF(AH$3="","",SUM(AH20:AH27))</f>
        <v/>
      </c>
      <c r="AI28" s="353">
        <f>IF(AI$3="","",SUM(AI20:AI27))</f>
        <v/>
      </c>
      <c r="AJ28" s="353">
        <f>IF(AJ$3="","",SUM(AJ20:AJ27))</f>
        <v/>
      </c>
      <c r="AK28" s="353">
        <f>IF(AK$3="","",SUM(AK20:AK27))</f>
        <v/>
      </c>
      <c r="AL28" s="353">
        <f>IF(AL$3="","",SUM(AL20:AL27))</f>
        <v/>
      </c>
      <c r="AM28" s="353">
        <f>IF(AM$3="","",SUM(AM20:AM27))</f>
        <v/>
      </c>
      <c r="AN28" s="353">
        <f>IF(AN$3="","",SUM(AN20:AN27))</f>
        <v/>
      </c>
      <c r="AO28" s="353">
        <f>IF(AO$3="","",SUM(AO20:AO27))</f>
        <v/>
      </c>
      <c r="AP28" s="353">
        <f>IF(AP$3="","",SUM(AP20:AP27))</f>
        <v/>
      </c>
      <c r="AQ28" s="353">
        <f>IF(AQ$3="","",SUM(AQ20:AQ27))</f>
        <v/>
      </c>
      <c r="AR28" s="353">
        <f>IF(AR$3="","",SUM(AR20:AR27))</f>
        <v/>
      </c>
      <c r="AS28" s="353">
        <f>IF(AS$3="","",SUM(AS20:AS27))</f>
        <v/>
      </c>
      <c r="AT28" s="353">
        <f>IF(AT$3="","",SUM(AT20:AT27))</f>
        <v/>
      </c>
      <c r="AU28" s="353">
        <f>IF(AU$3="","",SUM(AU20:AU27))</f>
        <v/>
      </c>
      <c r="AV28" s="353">
        <f>IF(AV$3="","",SUM(AV20:AV27))</f>
        <v/>
      </c>
      <c r="AW28" s="353">
        <f>IF(AW$3="","",SUM(AW20:AW27))</f>
        <v/>
      </c>
      <c r="AX28" s="353">
        <f>IF(AX$3="","",SUM(AX20:AX27))</f>
        <v/>
      </c>
      <c r="AY28" s="353">
        <f>IF(AY$3="","",SUM(AY20:AY27))</f>
        <v/>
      </c>
      <c r="AZ28" s="353">
        <f>IF(AZ$3="","",SUM(AZ20:AZ27))</f>
        <v/>
      </c>
      <c r="BA28" s="353">
        <f>IF(BA$3="","",SUM(BA20:BA27))</f>
        <v/>
      </c>
      <c r="BB28" s="353">
        <f>IF(BB$3="","",SUM(BB20:BB27))</f>
        <v/>
      </c>
      <c r="BC28" s="353">
        <f>IF(BC$3="","",SUM(BC20:BC27))</f>
        <v/>
      </c>
      <c r="BD28" s="353">
        <f>IF(BD$3="","",SUM(BD20:BD27))</f>
        <v/>
      </c>
      <c r="BE28" s="353">
        <f>IF(BE$3="","",SUM(BE20:BE27))</f>
        <v/>
      </c>
      <c r="BF28" s="353">
        <f>IF(BF$3="","",SUM(BF20:BF27))</f>
        <v/>
      </c>
      <c r="BG28" s="353">
        <f>IF(BG$3="","",SUM(BG20:BG27))</f>
        <v/>
      </c>
      <c r="BH28" s="353">
        <f>IF(BH$3="","",SUM(BH20:BH27))</f>
        <v/>
      </c>
      <c r="BI28" s="353">
        <f>IF(BI$3="","",SUM(BI20:BI27))</f>
        <v/>
      </c>
      <c r="BJ28" s="353">
        <f>IF(BJ$3="","",SUM(BJ20:BJ27))</f>
        <v/>
      </c>
      <c r="BK28" s="353">
        <f>IF(BK$3="","",SUM(BK20:BK27))</f>
        <v/>
      </c>
      <c r="BL28" s="353">
        <f>IF(BL$3="","",SUM(BL20:BL27))</f>
        <v/>
      </c>
      <c r="BM28" s="353">
        <f>IF(BM$3="","",SUM(BM20:BM27))</f>
        <v/>
      </c>
      <c r="BN28" s="353">
        <f>IF(BN$3="","",SUM(BN20:BN27))</f>
        <v/>
      </c>
      <c r="BO28" s="353">
        <f>IF(BO$3="","",SUM(BO20:BO27))</f>
        <v/>
      </c>
      <c r="BP28" s="353">
        <f>IF(BP$3="","",SUM(BP20:BP27))</f>
        <v/>
      </c>
      <c r="BQ28" s="353">
        <f>IF(BQ$3="","",SUM(BQ20:BQ27))</f>
        <v/>
      </c>
      <c r="BR28" s="353">
        <f>IF(BR$3="","",SUM(BR20:BR27))</f>
        <v/>
      </c>
      <c r="BS28" s="353">
        <f>IF(BS$3="","",SUM(BS20:BS27))</f>
        <v/>
      </c>
      <c r="BT28" s="353">
        <f>IF(BT$3="","",SUM(BT20:BT27))</f>
        <v/>
      </c>
      <c r="BU28" s="353">
        <f>IF(BU$3="","",SUM(BU20:BU27))</f>
        <v/>
      </c>
      <c r="BV28" s="353">
        <f>IF(BV$3="","",SUM(BV20:BV27))</f>
        <v/>
      </c>
      <c r="BW28" s="353">
        <f>IF(BW$3="","",SUM(BW20:BW27))</f>
        <v/>
      </c>
      <c r="BX28" s="353">
        <f>IF(BX$3="","",SUM(BX20:BX27))</f>
        <v/>
      </c>
      <c r="BY28" s="353">
        <f>IF(BY$3="","",SUM(BY20:BY27))</f>
        <v/>
      </c>
      <c r="BZ28" s="353">
        <f>IF(BZ$3="","",SUM(BZ20:BZ27))</f>
        <v/>
      </c>
      <c r="CA28" s="353">
        <f>IF(CA$3="","",SUM(CA20:CA27))</f>
        <v/>
      </c>
      <c r="CB28" s="353">
        <f>IF(CB$3="","",SUM(CB20:CB27))</f>
        <v/>
      </c>
      <c r="CC28" s="353">
        <f>IF(CC$3="","",SUM(CC20:CC27))</f>
        <v/>
      </c>
      <c r="CD28" s="353">
        <f>IF(CD$3="","",SUM(CD20:CD27))</f>
        <v/>
      </c>
      <c r="CE28" s="353">
        <f>IF(CE$3="","",SUM(CE20:CE27))</f>
        <v/>
      </c>
      <c r="CF28" s="353">
        <f>IF(CF$3="","",SUM(CF20:CF27))</f>
        <v/>
      </c>
      <c r="CG28" s="353">
        <f>IF(CG$3="","",SUM(CG20:CG27))</f>
        <v/>
      </c>
      <c r="CH28" s="353">
        <f>IF(CH$3="","",SUM(CH20:CH27))</f>
        <v/>
      </c>
      <c r="CI28" s="353">
        <f>IF(CI$3="","",SUM(CI20:CI27))</f>
        <v/>
      </c>
      <c r="CJ28" s="353">
        <f>IF(CJ$3="","",SUM(CJ20:CJ27))</f>
        <v/>
      </c>
      <c r="CK28" s="353">
        <f>IF(CK$3="","",SUM(CK20:CK27))</f>
        <v/>
      </c>
      <c r="CL28" s="353">
        <f>IF(CL$3="","",SUM(CL20:CL27))</f>
        <v/>
      </c>
      <c r="CM28" s="353">
        <f>IF(CM$3="","",SUM(CM20:CM27))</f>
        <v/>
      </c>
      <c r="CN28" s="353">
        <f>IF(CN$3="","",SUM(CN20:CN27))</f>
        <v/>
      </c>
      <c r="CO28" s="353">
        <f>IF(CO$3="","",SUM(CO20:CO27))</f>
        <v/>
      </c>
      <c r="CP28" s="353">
        <f>IF(CP$3="","",SUM(CP20:CP27))</f>
        <v/>
      </c>
      <c r="CQ28" s="353">
        <f>IF(CQ$3="","",SUM(CQ20:CQ27))</f>
        <v/>
      </c>
      <c r="CR28" s="353">
        <f>IF(CR$3="","",SUM(CR20:CR27))</f>
        <v/>
      </c>
      <c r="CS28" s="353">
        <f>IF(CS$3="","",SUM(CS20:CS27))</f>
        <v/>
      </c>
      <c r="CT28" s="353">
        <f>IF(CT$3="","",SUM(CT20:CT27))</f>
        <v/>
      </c>
      <c r="CU28" s="353">
        <f>IF(CU$3="","",SUM(CU20:CU27))</f>
        <v/>
      </c>
      <c r="CV28" s="353">
        <f>IF(CV$3="","",SUM(CV20:CV27))</f>
        <v/>
      </c>
      <c r="CW28" s="353">
        <f>IF(CW$3="","",SUM(CW20:CW27))</f>
        <v/>
      </c>
    </row>
    <row r="29" ht="15" customHeight="1" s="180">
      <c r="A29" s="205" t="inlineStr">
        <is>
          <t>収支・資産</t>
        </is>
      </c>
      <c r="B29" s="219" t="n"/>
      <c r="C29" s="219" t="n"/>
      <c r="D29" s="219" t="n"/>
      <c r="E29" s="219" t="n"/>
      <c r="F29" s="219" t="n"/>
      <c r="G29" s="219" t="n"/>
      <c r="H29" s="219" t="n"/>
      <c r="I29" s="219" t="n"/>
      <c r="J29" s="219" t="n"/>
      <c r="K29" s="219" t="n"/>
      <c r="L29" s="219" t="n"/>
      <c r="M29" s="219" t="n"/>
      <c r="N29" s="219" t="n"/>
      <c r="O29" s="219" t="n"/>
      <c r="P29" s="219" t="n"/>
      <c r="Q29" s="219" t="n"/>
      <c r="R29" s="219" t="n"/>
      <c r="S29" s="219" t="n"/>
      <c r="T29" s="219" t="n"/>
      <c r="U29" s="219" t="n"/>
      <c r="V29" s="219" t="n"/>
      <c r="W29" s="219" t="n"/>
      <c r="X29" s="219" t="n"/>
      <c r="Y29" s="219" t="n"/>
      <c r="Z29" s="219" t="n"/>
      <c r="AA29" s="219" t="n"/>
      <c r="AB29" s="219" t="n"/>
      <c r="AC29" s="219" t="n"/>
      <c r="AD29" s="219" t="n"/>
      <c r="AE29" s="219" t="n"/>
      <c r="AF29" s="219" t="n"/>
      <c r="AG29" s="219" t="n"/>
      <c r="AH29" s="219" t="n"/>
      <c r="AI29" s="219" t="n"/>
      <c r="AJ29" s="219" t="n"/>
      <c r="AK29" s="219" t="n"/>
      <c r="AL29" s="219" t="n"/>
      <c r="AM29" s="219" t="n"/>
      <c r="AN29" s="219" t="n"/>
      <c r="AO29" s="219" t="n"/>
      <c r="AP29" s="219" t="n"/>
      <c r="AQ29" s="219" t="n"/>
      <c r="AR29" s="219" t="n"/>
      <c r="AS29" s="219" t="n"/>
      <c r="AT29" s="219" t="n"/>
      <c r="AU29" s="219" t="n"/>
      <c r="AV29" s="219" t="n"/>
      <c r="AW29" s="219" t="n"/>
      <c r="AX29" s="219" t="n"/>
      <c r="AY29" s="219" t="n"/>
      <c r="AZ29" s="219" t="n"/>
      <c r="BA29" s="219" t="n"/>
      <c r="BB29" s="219" t="n"/>
      <c r="BC29" s="219" t="n"/>
      <c r="BD29" s="219" t="n"/>
      <c r="BE29" s="219" t="n"/>
      <c r="BF29" s="219" t="n"/>
      <c r="BG29" s="219" t="n"/>
      <c r="BH29" s="219" t="n"/>
      <c r="BI29" s="219" t="n"/>
      <c r="BJ29" s="219" t="n"/>
      <c r="BK29" s="219" t="n"/>
      <c r="BL29" s="219" t="n"/>
      <c r="BM29" s="219" t="n"/>
      <c r="BN29" s="219" t="n"/>
      <c r="BO29" s="219" t="n"/>
      <c r="BP29" s="219" t="n"/>
      <c r="BQ29" s="219" t="n"/>
      <c r="BR29" s="219" t="n"/>
      <c r="BS29" s="219" t="n"/>
      <c r="BT29" s="219" t="n"/>
      <c r="BU29" s="219" t="n"/>
      <c r="BV29" s="219" t="n"/>
      <c r="BW29" s="219" t="n"/>
      <c r="BX29" s="219" t="n"/>
      <c r="BY29" s="219" t="n"/>
      <c r="BZ29" s="219" t="n"/>
      <c r="CA29" s="219" t="n"/>
      <c r="CB29" s="219" t="n"/>
      <c r="CC29" s="219" t="n"/>
      <c r="CD29" s="219" t="n"/>
      <c r="CE29" s="219" t="n"/>
      <c r="CF29" s="219" t="n"/>
      <c r="CG29" s="219" t="n"/>
      <c r="CH29" s="219" t="n"/>
      <c r="CI29" s="219" t="n"/>
      <c r="CJ29" s="219" t="n"/>
      <c r="CK29" s="219" t="n"/>
      <c r="CL29" s="219" t="n"/>
      <c r="CM29" s="219" t="n"/>
      <c r="CN29" s="219" t="n"/>
      <c r="CO29" s="219" t="n"/>
      <c r="CP29" s="219" t="n"/>
      <c r="CQ29" s="219" t="n"/>
      <c r="CR29" s="219" t="n"/>
      <c r="CS29" s="219" t="n"/>
      <c r="CT29" s="219" t="n"/>
      <c r="CU29" s="219" t="n"/>
      <c r="CV29" s="219" t="n"/>
      <c r="CW29" s="219" t="n"/>
    </row>
    <row r="30" ht="21.75" customHeight="1" s="180">
      <c r="A30" s="229" t="inlineStr">
        <is>
          <t>年間収支</t>
        </is>
      </c>
      <c r="B30" s="354">
        <f>IF(B$3="","",B18-B28)</f>
        <v/>
      </c>
      <c r="C30" s="354">
        <f>IF(C$3="","",C18-C28)</f>
        <v/>
      </c>
      <c r="D30" s="354">
        <f>IF(D$3="","",D18-D28)</f>
        <v/>
      </c>
      <c r="E30" s="354">
        <f>IF(E$3="","",E18-E28)</f>
        <v/>
      </c>
      <c r="F30" s="354">
        <f>IF(F$3="","",F18-F28)</f>
        <v/>
      </c>
      <c r="G30" s="354">
        <f>IF(G$3="","",G18-G28)</f>
        <v/>
      </c>
      <c r="H30" s="354">
        <f>IF(H$3="","",H18-H28)</f>
        <v/>
      </c>
      <c r="I30" s="354">
        <f>IF(I$3="","",I18-I28)</f>
        <v/>
      </c>
      <c r="J30" s="354">
        <f>IF(J$3="","",J18-J28)</f>
        <v/>
      </c>
      <c r="K30" s="354">
        <f>IF(K$3="","",K18-K28)</f>
        <v/>
      </c>
      <c r="L30" s="354">
        <f>IF(L$3="","",L18-L28)</f>
        <v/>
      </c>
      <c r="M30" s="354">
        <f>IF(M$3="","",M18-M28)</f>
        <v/>
      </c>
      <c r="N30" s="354">
        <f>IF(N$3="","",N18-N28)</f>
        <v/>
      </c>
      <c r="O30" s="354">
        <f>IF(O$3="","",O18-O28)</f>
        <v/>
      </c>
      <c r="P30" s="354">
        <f>IF(P$3="","",P18-P28)</f>
        <v/>
      </c>
      <c r="Q30" s="354">
        <f>IF(Q$3="","",Q18-Q28)</f>
        <v/>
      </c>
      <c r="R30" s="354">
        <f>IF(R$3="","",R18-R28)</f>
        <v/>
      </c>
      <c r="S30" s="354">
        <f>IF(S$3="","",S18-S28)</f>
        <v/>
      </c>
      <c r="T30" s="354">
        <f>IF(T$3="","",T18-T28)</f>
        <v/>
      </c>
      <c r="U30" s="354">
        <f>IF(U$3="","",U18-U28)</f>
        <v/>
      </c>
      <c r="V30" s="354">
        <f>IF(V$3="","",V18-V28)</f>
        <v/>
      </c>
      <c r="W30" s="354">
        <f>IF(W$3="","",W18-W28)</f>
        <v/>
      </c>
      <c r="X30" s="354">
        <f>IF(X$3="","",X18-X28)</f>
        <v/>
      </c>
      <c r="Y30" s="354">
        <f>IF(Y$3="","",Y18-Y28)</f>
        <v/>
      </c>
      <c r="Z30" s="354">
        <f>IF(Z$3="","",Z18-Z28)</f>
        <v/>
      </c>
      <c r="AA30" s="354">
        <f>IF(AA$3="","",AA18-AA28)</f>
        <v/>
      </c>
      <c r="AB30" s="354">
        <f>IF(AB$3="","",AB18-AB28)</f>
        <v/>
      </c>
      <c r="AC30" s="354">
        <f>IF(AC$3="","",AC18-AC28)</f>
        <v/>
      </c>
      <c r="AD30" s="354">
        <f>IF(AD$3="","",AD18-AD28)</f>
        <v/>
      </c>
      <c r="AE30" s="354">
        <f>IF(AE$3="","",AE18-AE28)</f>
        <v/>
      </c>
      <c r="AF30" s="354">
        <f>IF(AF$3="","",AF18-AF28)</f>
        <v/>
      </c>
      <c r="AG30" s="354">
        <f>IF(AG$3="","",AG18-AG28)</f>
        <v/>
      </c>
      <c r="AH30" s="354">
        <f>IF(AH$3="","",AH18-AH28)</f>
        <v/>
      </c>
      <c r="AI30" s="354">
        <f>IF(AI$3="","",AI18-AI28)</f>
        <v/>
      </c>
      <c r="AJ30" s="354">
        <f>IF(AJ$3="","",AJ18-AJ28)</f>
        <v/>
      </c>
      <c r="AK30" s="354">
        <f>IF(AK$3="","",AK18-AK28)</f>
        <v/>
      </c>
      <c r="AL30" s="354">
        <f>IF(AL$3="","",AL18-AL28)</f>
        <v/>
      </c>
      <c r="AM30" s="354">
        <f>IF(AM$3="","",AM18-AM28)</f>
        <v/>
      </c>
      <c r="AN30" s="354">
        <f>IF(AN$3="","",AN18-AN28)</f>
        <v/>
      </c>
      <c r="AO30" s="354">
        <f>IF(AO$3="","",AO18-AO28)</f>
        <v/>
      </c>
      <c r="AP30" s="354">
        <f>IF(AP$3="","",AP18-AP28)</f>
        <v/>
      </c>
      <c r="AQ30" s="354">
        <f>IF(AQ$3="","",AQ18-AQ28)</f>
        <v/>
      </c>
      <c r="AR30" s="354">
        <f>IF(AR$3="","",AR18-AR28)</f>
        <v/>
      </c>
      <c r="AS30" s="354">
        <f>IF(AS$3="","",AS18-AS28)</f>
        <v/>
      </c>
      <c r="AT30" s="354">
        <f>IF(AT$3="","",AT18-AT28)</f>
        <v/>
      </c>
      <c r="AU30" s="354">
        <f>IF(AU$3="","",AU18-AU28)</f>
        <v/>
      </c>
      <c r="AV30" s="354">
        <f>IF(AV$3="","",AV18-AV28)</f>
        <v/>
      </c>
      <c r="AW30" s="354">
        <f>IF(AW$3="","",AW18-AW28)</f>
        <v/>
      </c>
      <c r="AX30" s="354">
        <f>IF(AX$3="","",AX18-AX28)</f>
        <v/>
      </c>
      <c r="AY30" s="354">
        <f>IF(AY$3="","",AY18-AY28)</f>
        <v/>
      </c>
      <c r="AZ30" s="354">
        <f>IF(AZ$3="","",AZ18-AZ28)</f>
        <v/>
      </c>
      <c r="BA30" s="354">
        <f>IF(BA$3="","",BA18-BA28)</f>
        <v/>
      </c>
      <c r="BB30" s="354">
        <f>IF(BB$3="","",BB18-BB28)</f>
        <v/>
      </c>
      <c r="BC30" s="354">
        <f>IF(BC$3="","",BC18-BC28)</f>
        <v/>
      </c>
      <c r="BD30" s="354">
        <f>IF(BD$3="","",BD18-BD28)</f>
        <v/>
      </c>
      <c r="BE30" s="354">
        <f>IF(BE$3="","",BE18-BE28)</f>
        <v/>
      </c>
      <c r="BF30" s="354">
        <f>IF(BF$3="","",BF18-BF28)</f>
        <v/>
      </c>
      <c r="BG30" s="354">
        <f>IF(BG$3="","",BG18-BG28)</f>
        <v/>
      </c>
      <c r="BH30" s="354">
        <f>IF(BH$3="","",BH18-BH28)</f>
        <v/>
      </c>
      <c r="BI30" s="354">
        <f>IF(BI$3="","",BI18-BI28)</f>
        <v/>
      </c>
      <c r="BJ30" s="354">
        <f>IF(BJ$3="","",BJ18-BJ28)</f>
        <v/>
      </c>
      <c r="BK30" s="354">
        <f>IF(BK$3="","",BK18-BK28)</f>
        <v/>
      </c>
      <c r="BL30" s="354">
        <f>IF(BL$3="","",BL18-BL28)</f>
        <v/>
      </c>
      <c r="BM30" s="354">
        <f>IF(BM$3="","",BM18-BM28)</f>
        <v/>
      </c>
      <c r="BN30" s="354">
        <f>IF(BN$3="","",BN18-BN28)</f>
        <v/>
      </c>
      <c r="BO30" s="354">
        <f>IF(BO$3="","",BO18-BO28)</f>
        <v/>
      </c>
      <c r="BP30" s="354">
        <f>IF(BP$3="","",BP18-BP28)</f>
        <v/>
      </c>
      <c r="BQ30" s="354">
        <f>IF(BQ$3="","",BQ18-BQ28)</f>
        <v/>
      </c>
      <c r="BR30" s="354">
        <f>IF(BR$3="","",BR18-BR28)</f>
        <v/>
      </c>
      <c r="BS30" s="354">
        <f>IF(BS$3="","",BS18-BS28)</f>
        <v/>
      </c>
      <c r="BT30" s="354">
        <f>IF(BT$3="","",BT18-BT28)</f>
        <v/>
      </c>
      <c r="BU30" s="354">
        <f>IF(BU$3="","",BU18-BU28)</f>
        <v/>
      </c>
      <c r="BV30" s="354">
        <f>IF(BV$3="","",BV18-BV28)</f>
        <v/>
      </c>
      <c r="BW30" s="354">
        <f>IF(BW$3="","",BW18-BW28)</f>
        <v/>
      </c>
      <c r="BX30" s="354">
        <f>IF(BX$3="","",BX18-BX28)</f>
        <v/>
      </c>
      <c r="BY30" s="354">
        <f>IF(BY$3="","",BY18-BY28)</f>
        <v/>
      </c>
      <c r="BZ30" s="354">
        <f>IF(BZ$3="","",BZ18-BZ28)</f>
        <v/>
      </c>
      <c r="CA30" s="354">
        <f>IF(CA$3="","",CA18-CA28)</f>
        <v/>
      </c>
      <c r="CB30" s="354">
        <f>IF(CB$3="","",CB18-CB28)</f>
        <v/>
      </c>
      <c r="CC30" s="354">
        <f>IF(CC$3="","",CC18-CC28)</f>
        <v/>
      </c>
      <c r="CD30" s="354">
        <f>IF(CD$3="","",CD18-CD28)</f>
        <v/>
      </c>
      <c r="CE30" s="354">
        <f>IF(CE$3="","",CE18-CE28)</f>
        <v/>
      </c>
      <c r="CF30" s="354">
        <f>IF(CF$3="","",CF18-CF28)</f>
        <v/>
      </c>
      <c r="CG30" s="354">
        <f>IF(CG$3="","",CG18-CG28)</f>
        <v/>
      </c>
      <c r="CH30" s="354">
        <f>IF(CH$3="","",CH18-CH28)</f>
        <v/>
      </c>
      <c r="CI30" s="354">
        <f>IF(CI$3="","",CI18-CI28)</f>
        <v/>
      </c>
      <c r="CJ30" s="354">
        <f>IF(CJ$3="","",CJ18-CJ28)</f>
        <v/>
      </c>
      <c r="CK30" s="354">
        <f>IF(CK$3="","",CK18-CK28)</f>
        <v/>
      </c>
      <c r="CL30" s="354">
        <f>IF(CL$3="","",CL18-CL28)</f>
        <v/>
      </c>
      <c r="CM30" s="354">
        <f>IF(CM$3="","",CM18-CM28)</f>
        <v/>
      </c>
      <c r="CN30" s="354">
        <f>IF(CN$3="","",CN18-CN28)</f>
        <v/>
      </c>
      <c r="CO30" s="354">
        <f>IF(CO$3="","",CO18-CO28)</f>
        <v/>
      </c>
      <c r="CP30" s="354">
        <f>IF(CP$3="","",CP18-CP28)</f>
        <v/>
      </c>
      <c r="CQ30" s="354">
        <f>IF(CQ$3="","",CQ18-CQ28)</f>
        <v/>
      </c>
      <c r="CR30" s="354">
        <f>IF(CR$3="","",CR18-CR28)</f>
        <v/>
      </c>
      <c r="CS30" s="354">
        <f>IF(CS$3="","",CS18-CS28)</f>
        <v/>
      </c>
      <c r="CT30" s="354">
        <f>IF(CT$3="","",CT18-CT28)</f>
        <v/>
      </c>
      <c r="CU30" s="354">
        <f>IF(CU$3="","",CU18-CU28)</f>
        <v/>
      </c>
      <c r="CV30" s="354">
        <f>IF(CV$3="","",CV18-CV28)</f>
        <v/>
      </c>
      <c r="CW30" s="354">
        <f>IF(CW$3="","",CW18-CW28)</f>
        <v/>
      </c>
    </row>
    <row r="31" ht="15" customHeight="1" s="180">
      <c r="A31" s="231" t="inlineStr">
        <is>
          <t>預貯金残高</t>
        </is>
      </c>
      <c r="B31" s="355">
        <f>IF(B$3="","",B38)</f>
        <v/>
      </c>
      <c r="C31" s="355">
        <f>IF(C$3="","",C38)</f>
        <v/>
      </c>
      <c r="D31" s="355">
        <f>IF(D$3="","",D38)</f>
        <v/>
      </c>
      <c r="E31" s="355">
        <f>IF(E$3="","",E38)</f>
        <v/>
      </c>
      <c r="F31" s="355">
        <f>IF(F$3="","",F38)</f>
        <v/>
      </c>
      <c r="G31" s="355">
        <f>IF(G$3="","",G38)</f>
        <v/>
      </c>
      <c r="H31" s="355">
        <f>IF(H$3="","",H38)</f>
        <v/>
      </c>
      <c r="I31" s="355">
        <f>IF(I$3="","",I38)</f>
        <v/>
      </c>
      <c r="J31" s="355">
        <f>IF(J$3="","",J38)</f>
        <v/>
      </c>
      <c r="K31" s="355">
        <f>IF(K$3="","",K38)</f>
        <v/>
      </c>
      <c r="L31" s="355">
        <f>IF(L$3="","",L38)</f>
        <v/>
      </c>
      <c r="M31" s="355">
        <f>IF(M$3="","",M38)</f>
        <v/>
      </c>
      <c r="N31" s="355">
        <f>IF(N$3="","",N38)</f>
        <v/>
      </c>
      <c r="O31" s="355">
        <f>IF(O$3="","",O38)</f>
        <v/>
      </c>
      <c r="P31" s="355">
        <f>IF(P$3="","",P38)</f>
        <v/>
      </c>
      <c r="Q31" s="355">
        <f>IF(Q$3="","",Q38)</f>
        <v/>
      </c>
      <c r="R31" s="355">
        <f>IF(R$3="","",R38)</f>
        <v/>
      </c>
      <c r="S31" s="355">
        <f>IF(S$3="","",S38)</f>
        <v/>
      </c>
      <c r="T31" s="355">
        <f>IF(T$3="","",T38)</f>
        <v/>
      </c>
      <c r="U31" s="355">
        <f>IF(U$3="","",U38)</f>
        <v/>
      </c>
      <c r="V31" s="355">
        <f>IF(V$3="","",V38)</f>
        <v/>
      </c>
      <c r="W31" s="355">
        <f>IF(W$3="","",W38)</f>
        <v/>
      </c>
      <c r="X31" s="355">
        <f>IF(X$3="","",X38)</f>
        <v/>
      </c>
      <c r="Y31" s="355">
        <f>IF(Y$3="","",Y38)</f>
        <v/>
      </c>
      <c r="Z31" s="355">
        <f>IF(Z$3="","",Z38)</f>
        <v/>
      </c>
      <c r="AA31" s="355">
        <f>IF(AA$3="","",AA38)</f>
        <v/>
      </c>
      <c r="AB31" s="355">
        <f>IF(AB$3="","",AB38)</f>
        <v/>
      </c>
      <c r="AC31" s="355">
        <f>IF(AC$3="","",AC38)</f>
        <v/>
      </c>
      <c r="AD31" s="355">
        <f>IF(AD$3="","",AD38)</f>
        <v/>
      </c>
      <c r="AE31" s="355">
        <f>IF(AE$3="","",AE38)</f>
        <v/>
      </c>
      <c r="AF31" s="355">
        <f>IF(AF$3="","",AF38)</f>
        <v/>
      </c>
      <c r="AG31" s="355">
        <f>IF(AG$3="","",AG38)</f>
        <v/>
      </c>
      <c r="AH31" s="355">
        <f>IF(AH$3="","",AH38)</f>
        <v/>
      </c>
      <c r="AI31" s="355">
        <f>IF(AI$3="","",AI38)</f>
        <v/>
      </c>
      <c r="AJ31" s="355">
        <f>IF(AJ$3="","",AJ38)</f>
        <v/>
      </c>
      <c r="AK31" s="355">
        <f>IF(AK$3="","",AK38)</f>
        <v/>
      </c>
      <c r="AL31" s="355">
        <f>IF(AL$3="","",AL38)</f>
        <v/>
      </c>
      <c r="AM31" s="355">
        <f>IF(AM$3="","",AM38)</f>
        <v/>
      </c>
      <c r="AN31" s="355">
        <f>IF(AN$3="","",AN38)</f>
        <v/>
      </c>
      <c r="AO31" s="355">
        <f>IF(AO$3="","",AO38)</f>
        <v/>
      </c>
      <c r="AP31" s="355">
        <f>IF(AP$3="","",AP38)</f>
        <v/>
      </c>
      <c r="AQ31" s="355">
        <f>IF(AQ$3="","",AQ38)</f>
        <v/>
      </c>
      <c r="AR31" s="355">
        <f>IF(AR$3="","",AR38)</f>
        <v/>
      </c>
      <c r="AS31" s="355">
        <f>IF(AS$3="","",AS38)</f>
        <v/>
      </c>
      <c r="AT31" s="355">
        <f>IF(AT$3="","",AT38)</f>
        <v/>
      </c>
      <c r="AU31" s="355">
        <f>IF(AU$3="","",AU38)</f>
        <v/>
      </c>
      <c r="AV31" s="355">
        <f>IF(AV$3="","",AV38)</f>
        <v/>
      </c>
      <c r="AW31" s="355">
        <f>IF(AW$3="","",AW38)</f>
        <v/>
      </c>
      <c r="AX31" s="355">
        <f>IF(AX$3="","",AX38)</f>
        <v/>
      </c>
      <c r="AY31" s="355">
        <f>IF(AY$3="","",AY38)</f>
        <v/>
      </c>
      <c r="AZ31" s="355">
        <f>IF(AZ$3="","",AZ38)</f>
        <v/>
      </c>
      <c r="BA31" s="355">
        <f>IF(BA$3="","",BA38)</f>
        <v/>
      </c>
      <c r="BB31" s="355">
        <f>IF(BB$3="","",BB38)</f>
        <v/>
      </c>
      <c r="BC31" s="355">
        <f>IF(BC$3="","",BC38)</f>
        <v/>
      </c>
      <c r="BD31" s="355">
        <f>IF(BD$3="","",BD38)</f>
        <v/>
      </c>
      <c r="BE31" s="355">
        <f>IF(BE$3="","",BE38)</f>
        <v/>
      </c>
      <c r="BF31" s="355">
        <f>IF(BF$3="","",BF38)</f>
        <v/>
      </c>
      <c r="BG31" s="355">
        <f>IF(BG$3="","",BG38)</f>
        <v/>
      </c>
      <c r="BH31" s="355">
        <f>IF(BH$3="","",BH38)</f>
        <v/>
      </c>
      <c r="BI31" s="355">
        <f>IF(BI$3="","",BI38)</f>
        <v/>
      </c>
      <c r="BJ31" s="355">
        <f>IF(BJ$3="","",BJ38)</f>
        <v/>
      </c>
      <c r="BK31" s="355">
        <f>IF(BK$3="","",BK38)</f>
        <v/>
      </c>
      <c r="BL31" s="355">
        <f>IF(BL$3="","",BL38)</f>
        <v/>
      </c>
      <c r="BM31" s="355">
        <f>IF(BM$3="","",BM38)</f>
        <v/>
      </c>
      <c r="BN31" s="355">
        <f>IF(BN$3="","",BN38)</f>
        <v/>
      </c>
      <c r="BO31" s="355">
        <f>IF(BO$3="","",BO38)</f>
        <v/>
      </c>
      <c r="BP31" s="355">
        <f>IF(BP$3="","",BP38)</f>
        <v/>
      </c>
      <c r="BQ31" s="355">
        <f>IF(BQ$3="","",BQ38)</f>
        <v/>
      </c>
      <c r="BR31" s="355">
        <f>IF(BR$3="","",BR38)</f>
        <v/>
      </c>
      <c r="BS31" s="355">
        <f>IF(BS$3="","",BS38)</f>
        <v/>
      </c>
      <c r="BT31" s="355">
        <f>IF(BT$3="","",BT38)</f>
        <v/>
      </c>
      <c r="BU31" s="355">
        <f>IF(BU$3="","",BU38)</f>
        <v/>
      </c>
      <c r="BV31" s="355">
        <f>IF(BV$3="","",BV38)</f>
        <v/>
      </c>
      <c r="BW31" s="355">
        <f>IF(BW$3="","",BW38)</f>
        <v/>
      </c>
      <c r="BX31" s="355">
        <f>IF(BX$3="","",BX38)</f>
        <v/>
      </c>
      <c r="BY31" s="355">
        <f>IF(BY$3="","",BY38)</f>
        <v/>
      </c>
      <c r="BZ31" s="355">
        <f>IF(BZ$3="","",BZ38)</f>
        <v/>
      </c>
      <c r="CA31" s="355">
        <f>IF(CA$3="","",CA38)</f>
        <v/>
      </c>
      <c r="CB31" s="355">
        <f>IF(CB$3="","",CB38)</f>
        <v/>
      </c>
      <c r="CC31" s="355">
        <f>IF(CC$3="","",CC38)</f>
        <v/>
      </c>
      <c r="CD31" s="355">
        <f>IF(CD$3="","",CD38)</f>
        <v/>
      </c>
      <c r="CE31" s="355">
        <f>IF(CE$3="","",CE38)</f>
        <v/>
      </c>
      <c r="CF31" s="355">
        <f>IF(CF$3="","",CF38)</f>
        <v/>
      </c>
      <c r="CG31" s="355">
        <f>IF(CG$3="","",CG38)</f>
        <v/>
      </c>
      <c r="CH31" s="355">
        <f>IF(CH$3="","",CH38)</f>
        <v/>
      </c>
      <c r="CI31" s="355">
        <f>IF(CI$3="","",CI38)</f>
        <v/>
      </c>
      <c r="CJ31" s="355">
        <f>IF(CJ$3="","",CJ38)</f>
        <v/>
      </c>
      <c r="CK31" s="355">
        <f>IF(CK$3="","",CK38)</f>
        <v/>
      </c>
      <c r="CL31" s="355">
        <f>IF(CL$3="","",CL38)</f>
        <v/>
      </c>
      <c r="CM31" s="355">
        <f>IF(CM$3="","",CM38)</f>
        <v/>
      </c>
      <c r="CN31" s="355">
        <f>IF(CN$3="","",CN38)</f>
        <v/>
      </c>
      <c r="CO31" s="355">
        <f>IF(CO$3="","",CO38)</f>
        <v/>
      </c>
      <c r="CP31" s="355">
        <f>IF(CP$3="","",CP38)</f>
        <v/>
      </c>
      <c r="CQ31" s="355">
        <f>IF(CQ$3="","",CQ38)</f>
        <v/>
      </c>
      <c r="CR31" s="355">
        <f>IF(CR$3="","",CR38)</f>
        <v/>
      </c>
      <c r="CS31" s="355">
        <f>IF(CS$3="","",CS38)</f>
        <v/>
      </c>
      <c r="CT31" s="355">
        <f>IF(CT$3="","",CT38)</f>
        <v/>
      </c>
      <c r="CU31" s="355">
        <f>IF(CU$3="","",CU38)</f>
        <v/>
      </c>
      <c r="CV31" s="355">
        <f>IF(CV$3="","",CV38)</f>
        <v/>
      </c>
      <c r="CW31" s="355">
        <f>IF(CW$3="","",CW38)</f>
        <v/>
      </c>
    </row>
    <row r="32" ht="15" customHeight="1" s="180">
      <c r="A32" s="233" t="inlineStr">
        <is>
          <t>投資資産残高</t>
        </is>
      </c>
      <c r="B32" s="356">
        <f>IF(B$3="","",((SUM(入力データ!$C$90:$C$92,入力データ!$C$94)*(1+前提条件!$C$60))+B36-B39))</f>
        <v/>
      </c>
      <c r="C32" s="356">
        <f>IF(C$3="","",((SUM(入力データ!$C$90:$C$92,入力データ!$C$94)*(1+前提条件!$C$60))+C36-C39))</f>
        <v/>
      </c>
      <c r="D32" s="356">
        <f>IF(D$3="","",((SUM(入力データ!$C$90:$C$92,入力データ!$C$94)*(1+前提条件!$C$60))+D36-D39))</f>
        <v/>
      </c>
      <c r="E32" s="356">
        <f>IF(E$3="","",((SUM(入力データ!$C$90:$C$92,入力データ!$C$94)*(1+前提条件!$C$60))+E36-E39))</f>
        <v/>
      </c>
      <c r="F32" s="356">
        <f>IF(F$3="","",((SUM(入力データ!$C$90:$C$92,入力データ!$C$94)*(1+前提条件!$C$60))+F36-F39))</f>
        <v/>
      </c>
      <c r="G32" s="356">
        <f>IF(G$3="","",((SUM(入力データ!$C$90:$C$92,入力データ!$C$94)*(1+前提条件!$C$60))+G36-G39))</f>
        <v/>
      </c>
      <c r="H32" s="356">
        <f>IF(H$3="","",((SUM(入力データ!$C$90:$C$92,入力データ!$C$94)*(1+前提条件!$C$60))+H36-H39))</f>
        <v/>
      </c>
      <c r="I32" s="356">
        <f>IF(I$3="","",((SUM(入力データ!$C$90:$C$92,入力データ!$C$94)*(1+前提条件!$C$60))+I36-I39))</f>
        <v/>
      </c>
      <c r="J32" s="356">
        <f>IF(J$3="","",((SUM(入力データ!$C$90:$C$92,入力データ!$C$94)*(1+前提条件!$C$60))+J36-J39))</f>
        <v/>
      </c>
      <c r="K32" s="356">
        <f>IF(K$3="","",((SUM(入力データ!$C$90:$C$92,入力データ!$C$94)*(1+前提条件!$C$60))+K36-K39))</f>
        <v/>
      </c>
      <c r="L32" s="356">
        <f>IF(L$3="","",((SUM(入力データ!$C$90:$C$92,入力データ!$C$94)*(1+前提条件!$C$60))+L36-L39))</f>
        <v/>
      </c>
      <c r="M32" s="356">
        <f>IF(M$3="","",((SUM(入力データ!$C$90:$C$92,入力データ!$C$94)*(1+前提条件!$C$60))+M36-M39))</f>
        <v/>
      </c>
      <c r="N32" s="356">
        <f>IF(N$3="","",((SUM(入力データ!$C$90:$C$92,入力データ!$C$94)*(1+前提条件!$C$60))+N36-N39))</f>
        <v/>
      </c>
      <c r="O32" s="356">
        <f>IF(O$3="","",((SUM(入力データ!$C$90:$C$92,入力データ!$C$94)*(1+前提条件!$C$60))+O36-O39))</f>
        <v/>
      </c>
      <c r="P32" s="356">
        <f>IF(P$3="","",((SUM(入力データ!$C$90:$C$92,入力データ!$C$94)*(1+前提条件!$C$60))+P36-P39))</f>
        <v/>
      </c>
      <c r="Q32" s="356">
        <f>IF(Q$3="","",((SUM(入力データ!$C$90:$C$92,入力データ!$C$94)*(1+前提条件!$C$60))+Q36-Q39))</f>
        <v/>
      </c>
      <c r="R32" s="356">
        <f>IF(R$3="","",((SUM(入力データ!$C$90:$C$92,入力データ!$C$94)*(1+前提条件!$C$60))+R36-R39))</f>
        <v/>
      </c>
      <c r="S32" s="356">
        <f>IF(S$3="","",((SUM(入力データ!$C$90:$C$92,入力データ!$C$94)*(1+前提条件!$C$60))+S36-S39))</f>
        <v/>
      </c>
      <c r="T32" s="356">
        <f>IF(T$3="","",((SUM(入力データ!$C$90:$C$92,入力データ!$C$94)*(1+前提条件!$C$60))+T36-T39))</f>
        <v/>
      </c>
      <c r="U32" s="356">
        <f>IF(U$3="","",((SUM(入力データ!$C$90:$C$92,入力データ!$C$94)*(1+前提条件!$C$60))+U36-U39))</f>
        <v/>
      </c>
      <c r="V32" s="356">
        <f>IF(V$3="","",((SUM(入力データ!$C$90:$C$92,入力データ!$C$94)*(1+前提条件!$C$60))+V36-V39))</f>
        <v/>
      </c>
      <c r="W32" s="356">
        <f>IF(W$3="","",((SUM(入力データ!$C$90:$C$92,入力データ!$C$94)*(1+前提条件!$C$60))+W36-W39))</f>
        <v/>
      </c>
      <c r="X32" s="356">
        <f>IF(X$3="","",((SUM(入力データ!$C$90:$C$92,入力データ!$C$94)*(1+前提条件!$C$60))+X36-X39))</f>
        <v/>
      </c>
      <c r="Y32" s="356">
        <f>IF(Y$3="","",((SUM(入力データ!$C$90:$C$92,入力データ!$C$94)*(1+前提条件!$C$60))+Y36-Y39))</f>
        <v/>
      </c>
      <c r="Z32" s="356">
        <f>IF(Z$3="","",((SUM(入力データ!$C$90:$C$92,入力データ!$C$94)*(1+前提条件!$C$60))+Z36-Z39))</f>
        <v/>
      </c>
      <c r="AA32" s="356">
        <f>IF(AA$3="","",((SUM(入力データ!$C$90:$C$92,入力データ!$C$94)*(1+前提条件!$C$60))+AA36-AA39))</f>
        <v/>
      </c>
      <c r="AB32" s="356">
        <f>IF(AB$3="","",((SUM(入力データ!$C$90:$C$92,入力データ!$C$94)*(1+前提条件!$C$60))+AB36-AB39))</f>
        <v/>
      </c>
      <c r="AC32" s="356">
        <f>IF(AC$3="","",((SUM(入力データ!$C$90:$C$92,入力データ!$C$94)*(1+前提条件!$C$60))+AC36-AC39))</f>
        <v/>
      </c>
      <c r="AD32" s="356">
        <f>IF(AD$3="","",((SUM(入力データ!$C$90:$C$92,入力データ!$C$94)*(1+前提条件!$C$60))+AD36-AD39))</f>
        <v/>
      </c>
      <c r="AE32" s="356">
        <f>IF(AE$3="","",((SUM(入力データ!$C$90:$C$92,入力データ!$C$94)*(1+前提条件!$C$60))+AE36-AE39))</f>
        <v/>
      </c>
      <c r="AF32" s="356">
        <f>IF(AF$3="","",((SUM(入力データ!$C$90:$C$92,入力データ!$C$94)*(1+前提条件!$C$60))+AF36-AF39))</f>
        <v/>
      </c>
      <c r="AG32" s="356">
        <f>IF(AG$3="","",((SUM(入力データ!$C$90:$C$92,入力データ!$C$94)*(1+前提条件!$C$60))+AG36-AG39))</f>
        <v/>
      </c>
      <c r="AH32" s="356">
        <f>IF(AH$3="","",((SUM(入力データ!$C$90:$C$92,入力データ!$C$94)*(1+前提条件!$C$60))+AH36-AH39))</f>
        <v/>
      </c>
      <c r="AI32" s="356">
        <f>IF(AI$3="","",((SUM(入力データ!$C$90:$C$92,入力データ!$C$94)*(1+前提条件!$C$60))+AI36-AI39))</f>
        <v/>
      </c>
      <c r="AJ32" s="356">
        <f>IF(AJ$3="","",((SUM(入力データ!$C$90:$C$92,入力データ!$C$94)*(1+前提条件!$C$60))+AJ36-AJ39))</f>
        <v/>
      </c>
      <c r="AK32" s="356">
        <f>IF(AK$3="","",((SUM(入力データ!$C$90:$C$92,入力データ!$C$94)*(1+前提条件!$C$60))+AK36-AK39))</f>
        <v/>
      </c>
      <c r="AL32" s="356">
        <f>IF(AL$3="","",((SUM(入力データ!$C$90:$C$92,入力データ!$C$94)*(1+前提条件!$C$60))+AL36-AL39))</f>
        <v/>
      </c>
      <c r="AM32" s="356">
        <f>IF(AM$3="","",((SUM(入力データ!$C$90:$C$92,入力データ!$C$94)*(1+前提条件!$C$60))+AM36-AM39))</f>
        <v/>
      </c>
      <c r="AN32" s="356">
        <f>IF(AN$3="","",((SUM(入力データ!$C$90:$C$92,入力データ!$C$94)*(1+前提条件!$C$60))+AN36-AN39))</f>
        <v/>
      </c>
      <c r="AO32" s="356">
        <f>IF(AO$3="","",((SUM(入力データ!$C$90:$C$92,入力データ!$C$94)*(1+前提条件!$C$60))+AO36-AO39))</f>
        <v/>
      </c>
      <c r="AP32" s="356">
        <f>IF(AP$3="","",((SUM(入力データ!$C$90:$C$92,入力データ!$C$94)*(1+前提条件!$C$60))+AP36-AP39))</f>
        <v/>
      </c>
      <c r="AQ32" s="356">
        <f>IF(AQ$3="","",((SUM(入力データ!$C$90:$C$92,入力データ!$C$94)*(1+前提条件!$C$60))+AQ36-AQ39))</f>
        <v/>
      </c>
      <c r="AR32" s="356">
        <f>IF(AR$3="","",((SUM(入力データ!$C$90:$C$92,入力データ!$C$94)*(1+前提条件!$C$60))+AR36-AR39))</f>
        <v/>
      </c>
      <c r="AS32" s="356">
        <f>IF(AS$3="","",((SUM(入力データ!$C$90:$C$92,入力データ!$C$94)*(1+前提条件!$C$60))+AS36-AS39))</f>
        <v/>
      </c>
      <c r="AT32" s="356">
        <f>IF(AT$3="","",((SUM(入力データ!$C$90:$C$92,入力データ!$C$94)*(1+前提条件!$C$60))+AT36-AT39))</f>
        <v/>
      </c>
      <c r="AU32" s="356">
        <f>IF(AU$3="","",((SUM(入力データ!$C$90:$C$92,入力データ!$C$94)*(1+前提条件!$C$60))+AU36-AU39))</f>
        <v/>
      </c>
      <c r="AV32" s="356">
        <f>IF(AV$3="","",((SUM(入力データ!$C$90:$C$92,入力データ!$C$94)*(1+前提条件!$C$60))+AV36-AV39))</f>
        <v/>
      </c>
      <c r="AW32" s="356">
        <f>IF(AW$3="","",((SUM(入力データ!$C$90:$C$92,入力データ!$C$94)*(1+前提条件!$C$60))+AW36-AW39))</f>
        <v/>
      </c>
      <c r="AX32" s="356">
        <f>IF(AX$3="","",((SUM(入力データ!$C$90:$C$92,入力データ!$C$94)*(1+前提条件!$C$60))+AX36-AX39))</f>
        <v/>
      </c>
      <c r="AY32" s="356">
        <f>IF(AY$3="","",((SUM(入力データ!$C$90:$C$92,入力データ!$C$94)*(1+前提条件!$C$60))+AY36-AY39))</f>
        <v/>
      </c>
      <c r="AZ32" s="356">
        <f>IF(AZ$3="","",((SUM(入力データ!$C$90:$C$92,入力データ!$C$94)*(1+前提条件!$C$60))+AZ36-AZ39))</f>
        <v/>
      </c>
      <c r="BA32" s="356">
        <f>IF(BA$3="","",((SUM(入力データ!$C$90:$C$92,入力データ!$C$94)*(1+前提条件!$C$60))+BA36-BA39))</f>
        <v/>
      </c>
      <c r="BB32" s="356">
        <f>IF(BB$3="","",((SUM(入力データ!$C$90:$C$92,入力データ!$C$94)*(1+前提条件!$C$60))+BB36-BB39))</f>
        <v/>
      </c>
      <c r="BC32" s="356">
        <f>IF(BC$3="","",((SUM(入力データ!$C$90:$C$92,入力データ!$C$94)*(1+前提条件!$C$60))+BC36-BC39))</f>
        <v/>
      </c>
      <c r="BD32" s="356">
        <f>IF(BD$3="","",((SUM(入力データ!$C$90:$C$92,入力データ!$C$94)*(1+前提条件!$C$60))+BD36-BD39))</f>
        <v/>
      </c>
      <c r="BE32" s="356">
        <f>IF(BE$3="","",((SUM(入力データ!$C$90:$C$92,入力データ!$C$94)*(1+前提条件!$C$60))+BE36-BE39))</f>
        <v/>
      </c>
      <c r="BF32" s="356">
        <f>IF(BF$3="","",((SUM(入力データ!$C$90:$C$92,入力データ!$C$94)*(1+前提条件!$C$60))+BF36-BF39))</f>
        <v/>
      </c>
      <c r="BG32" s="356">
        <f>IF(BG$3="","",((SUM(入力データ!$C$90:$C$92,入力データ!$C$94)*(1+前提条件!$C$60))+BG36-BG39))</f>
        <v/>
      </c>
      <c r="BH32" s="356">
        <f>IF(BH$3="","",((SUM(入力データ!$C$90:$C$92,入力データ!$C$94)*(1+前提条件!$C$60))+BH36-BH39))</f>
        <v/>
      </c>
      <c r="BI32" s="356">
        <f>IF(BI$3="","",((SUM(入力データ!$C$90:$C$92,入力データ!$C$94)*(1+前提条件!$C$60))+BI36-BI39))</f>
        <v/>
      </c>
      <c r="BJ32" s="356">
        <f>IF(BJ$3="","",((SUM(入力データ!$C$90:$C$92,入力データ!$C$94)*(1+前提条件!$C$60))+BJ36-BJ39))</f>
        <v/>
      </c>
      <c r="BK32" s="356">
        <f>IF(BK$3="","",((SUM(入力データ!$C$90:$C$92,入力データ!$C$94)*(1+前提条件!$C$60))+BK36-BK39))</f>
        <v/>
      </c>
      <c r="BL32" s="356">
        <f>IF(BL$3="","",((SUM(入力データ!$C$90:$C$92,入力データ!$C$94)*(1+前提条件!$C$60))+BL36-BL39))</f>
        <v/>
      </c>
      <c r="BM32" s="356">
        <f>IF(BM$3="","",((SUM(入力データ!$C$90:$C$92,入力データ!$C$94)*(1+前提条件!$C$60))+BM36-BM39))</f>
        <v/>
      </c>
      <c r="BN32" s="356">
        <f>IF(BN$3="","",((SUM(入力データ!$C$90:$C$92,入力データ!$C$94)*(1+前提条件!$C$60))+BN36-BN39))</f>
        <v/>
      </c>
      <c r="BO32" s="356">
        <f>IF(BO$3="","",((SUM(入力データ!$C$90:$C$92,入力データ!$C$94)*(1+前提条件!$C$60))+BO36-BO39))</f>
        <v/>
      </c>
      <c r="BP32" s="356">
        <f>IF(BP$3="","",((SUM(入力データ!$C$90:$C$92,入力データ!$C$94)*(1+前提条件!$C$60))+BP36-BP39))</f>
        <v/>
      </c>
      <c r="BQ32" s="356">
        <f>IF(BQ$3="","",((SUM(入力データ!$C$90:$C$92,入力データ!$C$94)*(1+前提条件!$C$60))+BQ36-BQ39))</f>
        <v/>
      </c>
      <c r="BR32" s="356">
        <f>IF(BR$3="","",((SUM(入力データ!$C$90:$C$92,入力データ!$C$94)*(1+前提条件!$C$60))+BR36-BR39))</f>
        <v/>
      </c>
      <c r="BS32" s="356">
        <f>IF(BS$3="","",((SUM(入力データ!$C$90:$C$92,入力データ!$C$94)*(1+前提条件!$C$60))+BS36-BS39))</f>
        <v/>
      </c>
      <c r="BT32" s="356">
        <f>IF(BT$3="","",((SUM(入力データ!$C$90:$C$92,入力データ!$C$94)*(1+前提条件!$C$60))+BT36-BT39))</f>
        <v/>
      </c>
      <c r="BU32" s="356">
        <f>IF(BU$3="","",((SUM(入力データ!$C$90:$C$92,入力データ!$C$94)*(1+前提条件!$C$60))+BU36-BU39))</f>
        <v/>
      </c>
      <c r="BV32" s="356">
        <f>IF(BV$3="","",((SUM(入力データ!$C$90:$C$92,入力データ!$C$94)*(1+前提条件!$C$60))+BV36-BV39))</f>
        <v/>
      </c>
      <c r="BW32" s="356">
        <f>IF(BW$3="","",((SUM(入力データ!$C$90:$C$92,入力データ!$C$94)*(1+前提条件!$C$60))+BW36-BW39))</f>
        <v/>
      </c>
      <c r="BX32" s="356">
        <f>IF(BX$3="","",((SUM(入力データ!$C$90:$C$92,入力データ!$C$94)*(1+前提条件!$C$60))+BX36-BX39))</f>
        <v/>
      </c>
      <c r="BY32" s="356">
        <f>IF(BY$3="","",((SUM(入力データ!$C$90:$C$92,入力データ!$C$94)*(1+前提条件!$C$60))+BY36-BY39))</f>
        <v/>
      </c>
      <c r="BZ32" s="356">
        <f>IF(BZ$3="","",((SUM(入力データ!$C$90:$C$92,入力データ!$C$94)*(1+前提条件!$C$60))+BZ36-BZ39))</f>
        <v/>
      </c>
      <c r="CA32" s="356">
        <f>IF(CA$3="","",((SUM(入力データ!$C$90:$C$92,入力データ!$C$94)*(1+前提条件!$C$60))+CA36-CA39))</f>
        <v/>
      </c>
      <c r="CB32" s="356">
        <f>IF(CB$3="","",((SUM(入力データ!$C$90:$C$92,入力データ!$C$94)*(1+前提条件!$C$60))+CB36-CB39))</f>
        <v/>
      </c>
      <c r="CC32" s="356">
        <f>IF(CC$3="","",((SUM(入力データ!$C$90:$C$92,入力データ!$C$94)*(1+前提条件!$C$60))+CC36-CC39))</f>
        <v/>
      </c>
      <c r="CD32" s="356">
        <f>IF(CD$3="","",((SUM(入力データ!$C$90:$C$92,入力データ!$C$94)*(1+前提条件!$C$60))+CD36-CD39))</f>
        <v/>
      </c>
      <c r="CE32" s="356">
        <f>IF(CE$3="","",((SUM(入力データ!$C$90:$C$92,入力データ!$C$94)*(1+前提条件!$C$60))+CE36-CE39))</f>
        <v/>
      </c>
      <c r="CF32" s="356">
        <f>IF(CF$3="","",((SUM(入力データ!$C$90:$C$92,入力データ!$C$94)*(1+前提条件!$C$60))+CF36-CF39))</f>
        <v/>
      </c>
      <c r="CG32" s="356">
        <f>IF(CG$3="","",((SUM(入力データ!$C$90:$C$92,入力データ!$C$94)*(1+前提条件!$C$60))+CG36-CG39))</f>
        <v/>
      </c>
      <c r="CH32" s="356">
        <f>IF(CH$3="","",((SUM(入力データ!$C$90:$C$92,入力データ!$C$94)*(1+前提条件!$C$60))+CH36-CH39))</f>
        <v/>
      </c>
      <c r="CI32" s="356">
        <f>IF(CI$3="","",((SUM(入力データ!$C$90:$C$92,入力データ!$C$94)*(1+前提条件!$C$60))+CI36-CI39))</f>
        <v/>
      </c>
      <c r="CJ32" s="356">
        <f>IF(CJ$3="","",((SUM(入力データ!$C$90:$C$92,入力データ!$C$94)*(1+前提条件!$C$60))+CJ36-CJ39))</f>
        <v/>
      </c>
      <c r="CK32" s="356">
        <f>IF(CK$3="","",((SUM(入力データ!$C$90:$C$92,入力データ!$C$94)*(1+前提条件!$C$60))+CK36-CK39))</f>
        <v/>
      </c>
      <c r="CL32" s="356">
        <f>IF(CL$3="","",((SUM(入力データ!$C$90:$C$92,入力データ!$C$94)*(1+前提条件!$C$60))+CL36-CL39))</f>
        <v/>
      </c>
      <c r="CM32" s="356">
        <f>IF(CM$3="","",((SUM(入力データ!$C$90:$C$92,入力データ!$C$94)*(1+前提条件!$C$60))+CM36-CM39))</f>
        <v/>
      </c>
      <c r="CN32" s="356">
        <f>IF(CN$3="","",((SUM(入力データ!$C$90:$C$92,入力データ!$C$94)*(1+前提条件!$C$60))+CN36-CN39))</f>
        <v/>
      </c>
      <c r="CO32" s="356">
        <f>IF(CO$3="","",((SUM(入力データ!$C$90:$C$92,入力データ!$C$94)*(1+前提条件!$C$60))+CO36-CO39))</f>
        <v/>
      </c>
      <c r="CP32" s="356">
        <f>IF(CP$3="","",((SUM(入力データ!$C$90:$C$92,入力データ!$C$94)*(1+前提条件!$C$60))+CP36-CP39))</f>
        <v/>
      </c>
      <c r="CQ32" s="356">
        <f>IF(CQ$3="","",((SUM(入力データ!$C$90:$C$92,入力データ!$C$94)*(1+前提条件!$C$60))+CQ36-CQ39))</f>
        <v/>
      </c>
      <c r="CR32" s="356">
        <f>IF(CR$3="","",((SUM(入力データ!$C$90:$C$92,入力データ!$C$94)*(1+前提条件!$C$60))+CR36-CR39))</f>
        <v/>
      </c>
      <c r="CS32" s="356">
        <f>IF(CS$3="","",((SUM(入力データ!$C$90:$C$92,入力データ!$C$94)*(1+前提条件!$C$60))+CS36-CS39))</f>
        <v/>
      </c>
      <c r="CT32" s="356">
        <f>IF(CT$3="","",((SUM(入力データ!$C$90:$C$92,入力データ!$C$94)*(1+前提条件!$C$60))+CT36-CT39))</f>
        <v/>
      </c>
      <c r="CU32" s="356">
        <f>IF(CU$3="","",((SUM(入力データ!$C$90:$C$92,入力データ!$C$94)*(1+前提条件!$C$60))+CU36-CU39))</f>
        <v/>
      </c>
      <c r="CV32" s="356">
        <f>IF(CV$3="","",((SUM(入力データ!$C$90:$C$92,入力データ!$C$94)*(1+前提条件!$C$60))+CV36-CV39))</f>
        <v/>
      </c>
      <c r="CW32" s="356">
        <f>IF(CW$3="","",((SUM(入力データ!$C$90:$C$92,入力データ!$C$94)*(1+前提条件!$C$60))+CW36-CW39))</f>
        <v/>
      </c>
    </row>
    <row r="33" ht="15" customHeight="1" s="180">
      <c r="A33" s="233" t="inlineStr">
        <is>
          <t>解約返戻金残高</t>
        </is>
      </c>
      <c r="B33" s="356">
        <f>IF(B$3="","",((入力データ!$C$93*(1+前提条件!$C$61))+B37-B40))</f>
        <v/>
      </c>
      <c r="C33" s="356">
        <f>IF(C$3="","",((入力データ!$C$93*(1+前提条件!$C$61))+C37-C40))</f>
        <v/>
      </c>
      <c r="D33" s="356">
        <f>IF(D$3="","",((入力データ!$C$93*(1+前提条件!$C$61))+D37-D40))</f>
        <v/>
      </c>
      <c r="E33" s="356">
        <f>IF(E$3="","",((入力データ!$C$93*(1+前提条件!$C$61))+E37-E40))</f>
        <v/>
      </c>
      <c r="F33" s="356">
        <f>IF(F$3="","",((入力データ!$C$93*(1+前提条件!$C$61))+F37-F40))</f>
        <v/>
      </c>
      <c r="G33" s="356">
        <f>IF(G$3="","",((入力データ!$C$93*(1+前提条件!$C$61))+G37-G40))</f>
        <v/>
      </c>
      <c r="H33" s="356">
        <f>IF(H$3="","",((入力データ!$C$93*(1+前提条件!$C$61))+H37-H40))</f>
        <v/>
      </c>
      <c r="I33" s="356">
        <f>IF(I$3="","",((入力データ!$C$93*(1+前提条件!$C$61))+I37-I40))</f>
        <v/>
      </c>
      <c r="J33" s="356">
        <f>IF(J$3="","",((入力データ!$C$93*(1+前提条件!$C$61))+J37-J40))</f>
        <v/>
      </c>
      <c r="K33" s="356">
        <f>IF(K$3="","",((入力データ!$C$93*(1+前提条件!$C$61))+K37-K40))</f>
        <v/>
      </c>
      <c r="L33" s="356">
        <f>IF(L$3="","",((入力データ!$C$93*(1+前提条件!$C$61))+L37-L40))</f>
        <v/>
      </c>
      <c r="M33" s="356">
        <f>IF(M$3="","",((入力データ!$C$93*(1+前提条件!$C$61))+M37-M40))</f>
        <v/>
      </c>
      <c r="N33" s="356">
        <f>IF(N$3="","",((入力データ!$C$93*(1+前提条件!$C$61))+N37-N40))</f>
        <v/>
      </c>
      <c r="O33" s="356">
        <f>IF(O$3="","",((入力データ!$C$93*(1+前提条件!$C$61))+O37-O40))</f>
        <v/>
      </c>
      <c r="P33" s="356">
        <f>IF(P$3="","",((入力データ!$C$93*(1+前提条件!$C$61))+P37-P40))</f>
        <v/>
      </c>
      <c r="Q33" s="356">
        <f>IF(Q$3="","",((入力データ!$C$93*(1+前提条件!$C$61))+Q37-Q40))</f>
        <v/>
      </c>
      <c r="R33" s="356">
        <f>IF(R$3="","",((入力データ!$C$93*(1+前提条件!$C$61))+R37-R40))</f>
        <v/>
      </c>
      <c r="S33" s="356">
        <f>IF(S$3="","",((入力データ!$C$93*(1+前提条件!$C$61))+S37-S40))</f>
        <v/>
      </c>
      <c r="T33" s="356">
        <f>IF(T$3="","",((入力データ!$C$93*(1+前提条件!$C$61))+T37-T40))</f>
        <v/>
      </c>
      <c r="U33" s="356">
        <f>IF(U$3="","",((入力データ!$C$93*(1+前提条件!$C$61))+U37-U40))</f>
        <v/>
      </c>
      <c r="V33" s="356">
        <f>IF(V$3="","",((入力データ!$C$93*(1+前提条件!$C$61))+V37-V40))</f>
        <v/>
      </c>
      <c r="W33" s="356">
        <f>IF(W$3="","",((入力データ!$C$93*(1+前提条件!$C$61))+W37-W40))</f>
        <v/>
      </c>
      <c r="X33" s="356">
        <f>IF(X$3="","",((入力データ!$C$93*(1+前提条件!$C$61))+X37-X40))</f>
        <v/>
      </c>
      <c r="Y33" s="356">
        <f>IF(Y$3="","",((入力データ!$C$93*(1+前提条件!$C$61))+Y37-Y40))</f>
        <v/>
      </c>
      <c r="Z33" s="356">
        <f>IF(Z$3="","",((入力データ!$C$93*(1+前提条件!$C$61))+Z37-Z40))</f>
        <v/>
      </c>
      <c r="AA33" s="356">
        <f>IF(AA$3="","",((入力データ!$C$93*(1+前提条件!$C$61))+AA37-AA40))</f>
        <v/>
      </c>
      <c r="AB33" s="356">
        <f>IF(AB$3="","",((入力データ!$C$93*(1+前提条件!$C$61))+AB37-AB40))</f>
        <v/>
      </c>
      <c r="AC33" s="356">
        <f>IF(AC$3="","",((入力データ!$C$93*(1+前提条件!$C$61))+AC37-AC40))</f>
        <v/>
      </c>
      <c r="AD33" s="356">
        <f>IF(AD$3="","",((入力データ!$C$93*(1+前提条件!$C$61))+AD37-AD40))</f>
        <v/>
      </c>
      <c r="AE33" s="356">
        <f>IF(AE$3="","",((入力データ!$C$93*(1+前提条件!$C$61))+AE37-AE40))</f>
        <v/>
      </c>
      <c r="AF33" s="356">
        <f>IF(AF$3="","",((入力データ!$C$93*(1+前提条件!$C$61))+AF37-AF40))</f>
        <v/>
      </c>
      <c r="AG33" s="356">
        <f>IF(AG$3="","",((入力データ!$C$93*(1+前提条件!$C$61))+AG37-AG40))</f>
        <v/>
      </c>
      <c r="AH33" s="356">
        <f>IF(AH$3="","",((入力データ!$C$93*(1+前提条件!$C$61))+AH37-AH40))</f>
        <v/>
      </c>
      <c r="AI33" s="356">
        <f>IF(AI$3="","",((入力データ!$C$93*(1+前提条件!$C$61))+AI37-AI40))</f>
        <v/>
      </c>
      <c r="AJ33" s="356">
        <f>IF(AJ$3="","",((入力データ!$C$93*(1+前提条件!$C$61))+AJ37-AJ40))</f>
        <v/>
      </c>
      <c r="AK33" s="356">
        <f>IF(AK$3="","",((入力データ!$C$93*(1+前提条件!$C$61))+AK37-AK40))</f>
        <v/>
      </c>
      <c r="AL33" s="356">
        <f>IF(AL$3="","",((入力データ!$C$93*(1+前提条件!$C$61))+AL37-AL40))</f>
        <v/>
      </c>
      <c r="AM33" s="356">
        <f>IF(AM$3="","",((入力データ!$C$93*(1+前提条件!$C$61))+AM37-AM40))</f>
        <v/>
      </c>
      <c r="AN33" s="356">
        <f>IF(AN$3="","",((入力データ!$C$93*(1+前提条件!$C$61))+AN37-AN40))</f>
        <v/>
      </c>
      <c r="AO33" s="356">
        <f>IF(AO$3="","",((入力データ!$C$93*(1+前提条件!$C$61))+AO37-AO40))</f>
        <v/>
      </c>
      <c r="AP33" s="356">
        <f>IF(AP$3="","",((入力データ!$C$93*(1+前提条件!$C$61))+AP37-AP40))</f>
        <v/>
      </c>
      <c r="AQ33" s="356">
        <f>IF(AQ$3="","",((入力データ!$C$93*(1+前提条件!$C$61))+AQ37-AQ40))</f>
        <v/>
      </c>
      <c r="AR33" s="356">
        <f>IF(AR$3="","",((入力データ!$C$93*(1+前提条件!$C$61))+AR37-AR40))</f>
        <v/>
      </c>
      <c r="AS33" s="356">
        <f>IF(AS$3="","",((入力データ!$C$93*(1+前提条件!$C$61))+AS37-AS40))</f>
        <v/>
      </c>
      <c r="AT33" s="356">
        <f>IF(AT$3="","",((入力データ!$C$93*(1+前提条件!$C$61))+AT37-AT40))</f>
        <v/>
      </c>
      <c r="AU33" s="356">
        <f>IF(AU$3="","",((入力データ!$C$93*(1+前提条件!$C$61))+AU37-AU40))</f>
        <v/>
      </c>
      <c r="AV33" s="356">
        <f>IF(AV$3="","",((入力データ!$C$93*(1+前提条件!$C$61))+AV37-AV40))</f>
        <v/>
      </c>
      <c r="AW33" s="356">
        <f>IF(AW$3="","",((入力データ!$C$93*(1+前提条件!$C$61))+AW37-AW40))</f>
        <v/>
      </c>
      <c r="AX33" s="356">
        <f>IF(AX$3="","",((入力データ!$C$93*(1+前提条件!$C$61))+AX37-AX40))</f>
        <v/>
      </c>
      <c r="AY33" s="356">
        <f>IF(AY$3="","",((入力データ!$C$93*(1+前提条件!$C$61))+AY37-AY40))</f>
        <v/>
      </c>
      <c r="AZ33" s="356">
        <f>IF(AZ$3="","",((入力データ!$C$93*(1+前提条件!$C$61))+AZ37-AZ40))</f>
        <v/>
      </c>
      <c r="BA33" s="356">
        <f>IF(BA$3="","",((入力データ!$C$93*(1+前提条件!$C$61))+BA37-BA40))</f>
        <v/>
      </c>
      <c r="BB33" s="356">
        <f>IF(BB$3="","",((入力データ!$C$93*(1+前提条件!$C$61))+BB37-BB40))</f>
        <v/>
      </c>
      <c r="BC33" s="356">
        <f>IF(BC$3="","",((入力データ!$C$93*(1+前提条件!$C$61))+BC37-BC40))</f>
        <v/>
      </c>
      <c r="BD33" s="356">
        <f>IF(BD$3="","",((入力データ!$C$93*(1+前提条件!$C$61))+BD37-BD40))</f>
        <v/>
      </c>
      <c r="BE33" s="356">
        <f>IF(BE$3="","",((入力データ!$C$93*(1+前提条件!$C$61))+BE37-BE40))</f>
        <v/>
      </c>
      <c r="BF33" s="356">
        <f>IF(BF$3="","",((入力データ!$C$93*(1+前提条件!$C$61))+BF37-BF40))</f>
        <v/>
      </c>
      <c r="BG33" s="356">
        <f>IF(BG$3="","",((入力データ!$C$93*(1+前提条件!$C$61))+BG37-BG40))</f>
        <v/>
      </c>
      <c r="BH33" s="356">
        <f>IF(BH$3="","",((入力データ!$C$93*(1+前提条件!$C$61))+BH37-BH40))</f>
        <v/>
      </c>
      <c r="BI33" s="356">
        <f>IF(BI$3="","",((入力データ!$C$93*(1+前提条件!$C$61))+BI37-BI40))</f>
        <v/>
      </c>
      <c r="BJ33" s="356">
        <f>IF(BJ$3="","",((入力データ!$C$93*(1+前提条件!$C$61))+BJ37-BJ40))</f>
        <v/>
      </c>
      <c r="BK33" s="356">
        <f>IF(BK$3="","",((入力データ!$C$93*(1+前提条件!$C$61))+BK37-BK40))</f>
        <v/>
      </c>
      <c r="BL33" s="356">
        <f>IF(BL$3="","",((入力データ!$C$93*(1+前提条件!$C$61))+BL37-BL40))</f>
        <v/>
      </c>
      <c r="BM33" s="356">
        <f>IF(BM$3="","",((入力データ!$C$93*(1+前提条件!$C$61))+BM37-BM40))</f>
        <v/>
      </c>
      <c r="BN33" s="356">
        <f>IF(BN$3="","",((入力データ!$C$93*(1+前提条件!$C$61))+BN37-BN40))</f>
        <v/>
      </c>
      <c r="BO33" s="356">
        <f>IF(BO$3="","",((入力データ!$C$93*(1+前提条件!$C$61))+BO37-BO40))</f>
        <v/>
      </c>
      <c r="BP33" s="356">
        <f>IF(BP$3="","",((入力データ!$C$93*(1+前提条件!$C$61))+BP37-BP40))</f>
        <v/>
      </c>
      <c r="BQ33" s="356">
        <f>IF(BQ$3="","",((入力データ!$C$93*(1+前提条件!$C$61))+BQ37-BQ40))</f>
        <v/>
      </c>
      <c r="BR33" s="356">
        <f>IF(BR$3="","",((入力データ!$C$93*(1+前提条件!$C$61))+BR37-BR40))</f>
        <v/>
      </c>
      <c r="BS33" s="356">
        <f>IF(BS$3="","",((入力データ!$C$93*(1+前提条件!$C$61))+BS37-BS40))</f>
        <v/>
      </c>
      <c r="BT33" s="356">
        <f>IF(BT$3="","",((入力データ!$C$93*(1+前提条件!$C$61))+BT37-BT40))</f>
        <v/>
      </c>
      <c r="BU33" s="356">
        <f>IF(BU$3="","",((入力データ!$C$93*(1+前提条件!$C$61))+BU37-BU40))</f>
        <v/>
      </c>
      <c r="BV33" s="356">
        <f>IF(BV$3="","",((入力データ!$C$93*(1+前提条件!$C$61))+BV37-BV40))</f>
        <v/>
      </c>
      <c r="BW33" s="356">
        <f>IF(BW$3="","",((入力データ!$C$93*(1+前提条件!$C$61))+BW37-BW40))</f>
        <v/>
      </c>
      <c r="BX33" s="356">
        <f>IF(BX$3="","",((入力データ!$C$93*(1+前提条件!$C$61))+BX37-BX40))</f>
        <v/>
      </c>
      <c r="BY33" s="356">
        <f>IF(BY$3="","",((入力データ!$C$93*(1+前提条件!$C$61))+BY37-BY40))</f>
        <v/>
      </c>
      <c r="BZ33" s="356">
        <f>IF(BZ$3="","",((入力データ!$C$93*(1+前提条件!$C$61))+BZ37-BZ40))</f>
        <v/>
      </c>
      <c r="CA33" s="356">
        <f>IF(CA$3="","",((入力データ!$C$93*(1+前提条件!$C$61))+CA37-CA40))</f>
        <v/>
      </c>
      <c r="CB33" s="356">
        <f>IF(CB$3="","",((入力データ!$C$93*(1+前提条件!$C$61))+CB37-CB40))</f>
        <v/>
      </c>
      <c r="CC33" s="356">
        <f>IF(CC$3="","",((入力データ!$C$93*(1+前提条件!$C$61))+CC37-CC40))</f>
        <v/>
      </c>
      <c r="CD33" s="356">
        <f>IF(CD$3="","",((入力データ!$C$93*(1+前提条件!$C$61))+CD37-CD40))</f>
        <v/>
      </c>
      <c r="CE33" s="356">
        <f>IF(CE$3="","",((入力データ!$C$93*(1+前提条件!$C$61))+CE37-CE40))</f>
        <v/>
      </c>
      <c r="CF33" s="356">
        <f>IF(CF$3="","",((入力データ!$C$93*(1+前提条件!$C$61))+CF37-CF40))</f>
        <v/>
      </c>
      <c r="CG33" s="356">
        <f>IF(CG$3="","",((入力データ!$C$93*(1+前提条件!$C$61))+CG37-CG40))</f>
        <v/>
      </c>
      <c r="CH33" s="356">
        <f>IF(CH$3="","",((入力データ!$C$93*(1+前提条件!$C$61))+CH37-CH40))</f>
        <v/>
      </c>
      <c r="CI33" s="356">
        <f>IF(CI$3="","",((入力データ!$C$93*(1+前提条件!$C$61))+CI37-CI40))</f>
        <v/>
      </c>
      <c r="CJ33" s="356">
        <f>IF(CJ$3="","",((入力データ!$C$93*(1+前提条件!$C$61))+CJ37-CJ40))</f>
        <v/>
      </c>
      <c r="CK33" s="356">
        <f>IF(CK$3="","",((入力データ!$C$93*(1+前提条件!$C$61))+CK37-CK40))</f>
        <v/>
      </c>
      <c r="CL33" s="356">
        <f>IF(CL$3="","",((入力データ!$C$93*(1+前提条件!$C$61))+CL37-CL40))</f>
        <v/>
      </c>
      <c r="CM33" s="356">
        <f>IF(CM$3="","",((入力データ!$C$93*(1+前提条件!$C$61))+CM37-CM40))</f>
        <v/>
      </c>
      <c r="CN33" s="356">
        <f>IF(CN$3="","",((入力データ!$C$93*(1+前提条件!$C$61))+CN37-CN40))</f>
        <v/>
      </c>
      <c r="CO33" s="356">
        <f>IF(CO$3="","",((入力データ!$C$93*(1+前提条件!$C$61))+CO37-CO40))</f>
        <v/>
      </c>
      <c r="CP33" s="356">
        <f>IF(CP$3="","",((入力データ!$C$93*(1+前提条件!$C$61))+CP37-CP40))</f>
        <v/>
      </c>
      <c r="CQ33" s="356">
        <f>IF(CQ$3="","",((入力データ!$C$93*(1+前提条件!$C$61))+CQ37-CQ40))</f>
        <v/>
      </c>
      <c r="CR33" s="356">
        <f>IF(CR$3="","",((入力データ!$C$93*(1+前提条件!$C$61))+CR37-CR40))</f>
        <v/>
      </c>
      <c r="CS33" s="356">
        <f>IF(CS$3="","",((入力データ!$C$93*(1+前提条件!$C$61))+CS37-CS40))</f>
        <v/>
      </c>
      <c r="CT33" s="356">
        <f>IF(CT$3="","",((入力データ!$C$93*(1+前提条件!$C$61))+CT37-CT40))</f>
        <v/>
      </c>
      <c r="CU33" s="356">
        <f>IF(CU$3="","",((入力データ!$C$93*(1+前提条件!$C$61))+CU37-CU40))</f>
        <v/>
      </c>
      <c r="CV33" s="356">
        <f>IF(CV$3="","",((入力データ!$C$93*(1+前提条件!$C$61))+CV37-CV40))</f>
        <v/>
      </c>
      <c r="CW33" s="356">
        <f>IF(CW$3="","",((入力データ!$C$93*(1+前提条件!$C$61))+CW37-CW40))</f>
        <v/>
      </c>
    </row>
    <row r="34" ht="15" customHeight="1" s="180">
      <c r="A34" s="235" t="inlineStr">
        <is>
          <t>住宅ローン残高</t>
        </is>
      </c>
      <c r="B34" s="357">
        <f>IF(B$3="","",IF(入力データ!$C$57="あり",0,MAX(入力データ!$C$95-B41,0)))</f>
        <v/>
      </c>
      <c r="C34" s="357">
        <f>IF(C$3="","",IF(入力データ!$C$57="あり",0,MAX(B34-C41,0)))</f>
        <v/>
      </c>
      <c r="D34" s="357">
        <f>IF(D$3="","",IF(入力データ!$C$57="あり",0,MAX(C34-D41,0)))</f>
        <v/>
      </c>
      <c r="E34" s="357">
        <f>IF(E$3="","",IF(入力データ!$C$57="あり",0,MAX(D34-E41,0)))</f>
        <v/>
      </c>
      <c r="F34" s="357">
        <f>IF(F$3="","",IF(入力データ!$C$57="あり",0,MAX(E34-F41,0)))</f>
        <v/>
      </c>
      <c r="G34" s="357">
        <f>IF(G$3="","",IF(入力データ!$C$57="あり",0,MAX(F34-G41,0)))</f>
        <v/>
      </c>
      <c r="H34" s="357">
        <f>IF(H$3="","",IF(入力データ!$C$57="あり",0,MAX(G34-H41,0)))</f>
        <v/>
      </c>
      <c r="I34" s="357">
        <f>IF(I$3="","",IF(入力データ!$C$57="あり",0,MAX(H34-I41,0)))</f>
        <v/>
      </c>
      <c r="J34" s="357">
        <f>IF(J$3="","",IF(入力データ!$C$57="あり",0,MAX(I34-J41,0)))</f>
        <v/>
      </c>
      <c r="K34" s="357">
        <f>IF(K$3="","",IF(入力データ!$C$57="あり",0,MAX(J34-K41,0)))</f>
        <v/>
      </c>
      <c r="L34" s="357">
        <f>IF(L$3="","",IF(入力データ!$C$57="あり",0,MAX(K34-L41,0)))</f>
        <v/>
      </c>
      <c r="M34" s="357">
        <f>IF(M$3="","",IF(入力データ!$C$57="あり",0,MAX(L34-M41,0)))</f>
        <v/>
      </c>
      <c r="N34" s="357">
        <f>IF(N$3="","",IF(入力データ!$C$57="あり",0,MAX(M34-N41,0)))</f>
        <v/>
      </c>
      <c r="O34" s="357">
        <f>IF(O$3="","",IF(入力データ!$C$57="あり",0,MAX(N34-O41,0)))</f>
        <v/>
      </c>
      <c r="P34" s="357">
        <f>IF(P$3="","",IF(入力データ!$C$57="あり",0,MAX(O34-P41,0)))</f>
        <v/>
      </c>
      <c r="Q34" s="357">
        <f>IF(Q$3="","",IF(入力データ!$C$57="あり",0,MAX(P34-Q41,0)))</f>
        <v/>
      </c>
      <c r="R34" s="357">
        <f>IF(R$3="","",IF(入力データ!$C$57="あり",0,MAX(Q34-R41,0)))</f>
        <v/>
      </c>
      <c r="S34" s="357">
        <f>IF(S$3="","",IF(入力データ!$C$57="あり",0,MAX(R34-S41,0)))</f>
        <v/>
      </c>
      <c r="T34" s="357">
        <f>IF(T$3="","",IF(入力データ!$C$57="あり",0,MAX(S34-T41,0)))</f>
        <v/>
      </c>
      <c r="U34" s="357">
        <f>IF(U$3="","",IF(入力データ!$C$57="あり",0,MAX(T34-U41,0)))</f>
        <v/>
      </c>
      <c r="V34" s="357">
        <f>IF(V$3="","",IF(入力データ!$C$57="あり",0,MAX(U34-V41,0)))</f>
        <v/>
      </c>
      <c r="W34" s="357">
        <f>IF(W$3="","",IF(入力データ!$C$57="あり",0,MAX(V34-W41,0)))</f>
        <v/>
      </c>
      <c r="X34" s="357">
        <f>IF(X$3="","",IF(入力データ!$C$57="あり",0,MAX(W34-X41,0)))</f>
        <v/>
      </c>
      <c r="Y34" s="357">
        <f>IF(Y$3="","",IF(入力データ!$C$57="あり",0,MAX(X34-Y41,0)))</f>
        <v/>
      </c>
      <c r="Z34" s="357">
        <f>IF(Z$3="","",IF(入力データ!$C$57="あり",0,MAX(Y34-Z41,0)))</f>
        <v/>
      </c>
      <c r="AA34" s="357">
        <f>IF(AA$3="","",IF(入力データ!$C$57="あり",0,MAX(Z34-AA41,0)))</f>
        <v/>
      </c>
      <c r="AB34" s="357">
        <f>IF(AB$3="","",IF(入力データ!$C$57="あり",0,MAX(AA34-AB41,0)))</f>
        <v/>
      </c>
      <c r="AC34" s="357">
        <f>IF(AC$3="","",IF(入力データ!$C$57="あり",0,MAX(AB34-AC41,0)))</f>
        <v/>
      </c>
      <c r="AD34" s="357">
        <f>IF(AD$3="","",IF(入力データ!$C$57="あり",0,MAX(AC34-AD41,0)))</f>
        <v/>
      </c>
      <c r="AE34" s="357">
        <f>IF(AE$3="","",IF(入力データ!$C$57="あり",0,MAX(AD34-AE41,0)))</f>
        <v/>
      </c>
      <c r="AF34" s="357">
        <f>IF(AF$3="","",IF(入力データ!$C$57="あり",0,MAX(AE34-AF41,0)))</f>
        <v/>
      </c>
      <c r="AG34" s="357">
        <f>IF(AG$3="","",IF(入力データ!$C$57="あり",0,MAX(AF34-AG41,0)))</f>
        <v/>
      </c>
      <c r="AH34" s="357">
        <f>IF(AH$3="","",IF(入力データ!$C$57="あり",0,MAX(AG34-AH41,0)))</f>
        <v/>
      </c>
      <c r="AI34" s="357">
        <f>IF(AI$3="","",IF(入力データ!$C$57="あり",0,MAX(AH34-AI41,0)))</f>
        <v/>
      </c>
      <c r="AJ34" s="357">
        <f>IF(AJ$3="","",IF(入力データ!$C$57="あり",0,MAX(AI34-AJ41,0)))</f>
        <v/>
      </c>
      <c r="AK34" s="357">
        <f>IF(AK$3="","",IF(入力データ!$C$57="あり",0,MAX(AJ34-AK41,0)))</f>
        <v/>
      </c>
      <c r="AL34" s="357">
        <f>IF(AL$3="","",IF(入力データ!$C$57="あり",0,MAX(AK34-AL41,0)))</f>
        <v/>
      </c>
      <c r="AM34" s="357">
        <f>IF(AM$3="","",IF(入力データ!$C$57="あり",0,MAX(AL34-AM41,0)))</f>
        <v/>
      </c>
      <c r="AN34" s="357">
        <f>IF(AN$3="","",IF(入力データ!$C$57="あり",0,MAX(AM34-AN41,0)))</f>
        <v/>
      </c>
      <c r="AO34" s="357">
        <f>IF(AO$3="","",IF(入力データ!$C$57="あり",0,MAX(AN34-AO41,0)))</f>
        <v/>
      </c>
      <c r="AP34" s="357">
        <f>IF(AP$3="","",IF(入力データ!$C$57="あり",0,MAX(AO34-AP41,0)))</f>
        <v/>
      </c>
      <c r="AQ34" s="357">
        <f>IF(AQ$3="","",IF(入力データ!$C$57="あり",0,MAX(AP34-AQ41,0)))</f>
        <v/>
      </c>
      <c r="AR34" s="357">
        <f>IF(AR$3="","",IF(入力データ!$C$57="あり",0,MAX(AQ34-AR41,0)))</f>
        <v/>
      </c>
      <c r="AS34" s="357">
        <f>IF(AS$3="","",IF(入力データ!$C$57="あり",0,MAX(AR34-AS41,0)))</f>
        <v/>
      </c>
      <c r="AT34" s="357">
        <f>IF(AT$3="","",IF(入力データ!$C$57="あり",0,MAX(AS34-AT41,0)))</f>
        <v/>
      </c>
      <c r="AU34" s="357">
        <f>IF(AU$3="","",IF(入力データ!$C$57="あり",0,MAX(AT34-AU41,0)))</f>
        <v/>
      </c>
      <c r="AV34" s="357">
        <f>IF(AV$3="","",IF(入力データ!$C$57="あり",0,MAX(AU34-AV41,0)))</f>
        <v/>
      </c>
      <c r="AW34" s="357">
        <f>IF(AW$3="","",IF(入力データ!$C$57="あり",0,MAX(AV34-AW41,0)))</f>
        <v/>
      </c>
      <c r="AX34" s="357">
        <f>IF(AX$3="","",IF(入力データ!$C$57="あり",0,MAX(AW34-AX41,0)))</f>
        <v/>
      </c>
      <c r="AY34" s="357">
        <f>IF(AY$3="","",IF(入力データ!$C$57="あり",0,MAX(AX34-AY41,0)))</f>
        <v/>
      </c>
      <c r="AZ34" s="357">
        <f>IF(AZ$3="","",IF(入力データ!$C$57="あり",0,MAX(AY34-AZ41,0)))</f>
        <v/>
      </c>
      <c r="BA34" s="357">
        <f>IF(BA$3="","",IF(入力データ!$C$57="あり",0,MAX(AZ34-BA41,0)))</f>
        <v/>
      </c>
      <c r="BB34" s="357">
        <f>IF(BB$3="","",IF(入力データ!$C$57="あり",0,MAX(BA34-BB41,0)))</f>
        <v/>
      </c>
      <c r="BC34" s="357">
        <f>IF(BC$3="","",IF(入力データ!$C$57="あり",0,MAX(BB34-BC41,0)))</f>
        <v/>
      </c>
      <c r="BD34" s="357">
        <f>IF(BD$3="","",IF(入力データ!$C$57="あり",0,MAX(BC34-BD41,0)))</f>
        <v/>
      </c>
      <c r="BE34" s="357">
        <f>IF(BE$3="","",IF(入力データ!$C$57="あり",0,MAX(BD34-BE41,0)))</f>
        <v/>
      </c>
      <c r="BF34" s="357">
        <f>IF(BF$3="","",IF(入力データ!$C$57="あり",0,MAX(BE34-BF41,0)))</f>
        <v/>
      </c>
      <c r="BG34" s="357">
        <f>IF(BG$3="","",IF(入力データ!$C$57="あり",0,MAX(BF34-BG41,0)))</f>
        <v/>
      </c>
      <c r="BH34" s="357">
        <f>IF(BH$3="","",IF(入力データ!$C$57="あり",0,MAX(BG34-BH41,0)))</f>
        <v/>
      </c>
      <c r="BI34" s="357">
        <f>IF(BI$3="","",IF(入力データ!$C$57="あり",0,MAX(BH34-BI41,0)))</f>
        <v/>
      </c>
      <c r="BJ34" s="357">
        <f>IF(BJ$3="","",IF(入力データ!$C$57="あり",0,MAX(BI34-BJ41,0)))</f>
        <v/>
      </c>
      <c r="BK34" s="357">
        <f>IF(BK$3="","",IF(入力データ!$C$57="あり",0,MAX(BJ34-BK41,0)))</f>
        <v/>
      </c>
      <c r="BL34" s="357">
        <f>IF(BL$3="","",IF(入力データ!$C$57="あり",0,MAX(BK34-BL41,0)))</f>
        <v/>
      </c>
      <c r="BM34" s="357">
        <f>IF(BM$3="","",IF(入力データ!$C$57="あり",0,MAX(BL34-BM41,0)))</f>
        <v/>
      </c>
      <c r="BN34" s="357">
        <f>IF(BN$3="","",IF(入力データ!$C$57="あり",0,MAX(BM34-BN41,0)))</f>
        <v/>
      </c>
      <c r="BO34" s="357">
        <f>IF(BO$3="","",IF(入力データ!$C$57="あり",0,MAX(BN34-BO41,0)))</f>
        <v/>
      </c>
      <c r="BP34" s="357">
        <f>IF(BP$3="","",IF(入力データ!$C$57="あり",0,MAX(BO34-BP41,0)))</f>
        <v/>
      </c>
      <c r="BQ34" s="357">
        <f>IF(BQ$3="","",IF(入力データ!$C$57="あり",0,MAX(BP34-BQ41,0)))</f>
        <v/>
      </c>
      <c r="BR34" s="357">
        <f>IF(BR$3="","",IF(入力データ!$C$57="あり",0,MAX(BQ34-BR41,0)))</f>
        <v/>
      </c>
      <c r="BS34" s="357">
        <f>IF(BS$3="","",IF(入力データ!$C$57="あり",0,MAX(BR34-BS41,0)))</f>
        <v/>
      </c>
      <c r="BT34" s="357">
        <f>IF(BT$3="","",IF(入力データ!$C$57="あり",0,MAX(BS34-BT41,0)))</f>
        <v/>
      </c>
      <c r="BU34" s="357">
        <f>IF(BU$3="","",IF(入力データ!$C$57="あり",0,MAX(BT34-BU41,0)))</f>
        <v/>
      </c>
      <c r="BV34" s="357">
        <f>IF(BV$3="","",IF(入力データ!$C$57="あり",0,MAX(BU34-BV41,0)))</f>
        <v/>
      </c>
      <c r="BW34" s="357">
        <f>IF(BW$3="","",IF(入力データ!$C$57="あり",0,MAX(BV34-BW41,0)))</f>
        <v/>
      </c>
      <c r="BX34" s="357">
        <f>IF(BX$3="","",IF(入力データ!$C$57="あり",0,MAX(BW34-BX41,0)))</f>
        <v/>
      </c>
      <c r="BY34" s="357">
        <f>IF(BY$3="","",IF(入力データ!$C$57="あり",0,MAX(BX34-BY41,0)))</f>
        <v/>
      </c>
      <c r="BZ34" s="357">
        <f>IF(BZ$3="","",IF(入力データ!$C$57="あり",0,MAX(BY34-BZ41,0)))</f>
        <v/>
      </c>
      <c r="CA34" s="357">
        <f>IF(CA$3="","",IF(入力データ!$C$57="あり",0,MAX(BZ34-CA41,0)))</f>
        <v/>
      </c>
      <c r="CB34" s="357">
        <f>IF(CB$3="","",IF(入力データ!$C$57="あり",0,MAX(CA34-CB41,0)))</f>
        <v/>
      </c>
      <c r="CC34" s="357">
        <f>IF(CC$3="","",IF(入力データ!$C$57="あり",0,MAX(CB34-CC41,0)))</f>
        <v/>
      </c>
      <c r="CD34" s="357">
        <f>IF(CD$3="","",IF(入力データ!$C$57="あり",0,MAX(CC34-CD41,0)))</f>
        <v/>
      </c>
      <c r="CE34" s="357">
        <f>IF(CE$3="","",IF(入力データ!$C$57="あり",0,MAX(CD34-CE41,0)))</f>
        <v/>
      </c>
      <c r="CF34" s="357">
        <f>IF(CF$3="","",IF(入力データ!$C$57="あり",0,MAX(CE34-CF41,0)))</f>
        <v/>
      </c>
      <c r="CG34" s="357">
        <f>IF(CG$3="","",IF(入力データ!$C$57="あり",0,MAX(CF34-CG41,0)))</f>
        <v/>
      </c>
      <c r="CH34" s="357">
        <f>IF(CH$3="","",IF(入力データ!$C$57="あり",0,MAX(CG34-CH41,0)))</f>
        <v/>
      </c>
      <c r="CI34" s="357">
        <f>IF(CI$3="","",IF(入力データ!$C$57="あり",0,MAX(CH34-CI41,0)))</f>
        <v/>
      </c>
      <c r="CJ34" s="357">
        <f>IF(CJ$3="","",IF(入力データ!$C$57="あり",0,MAX(CI34-CJ41,0)))</f>
        <v/>
      </c>
      <c r="CK34" s="357">
        <f>IF(CK$3="","",IF(入力データ!$C$57="あり",0,MAX(CJ34-CK41,0)))</f>
        <v/>
      </c>
      <c r="CL34" s="357">
        <f>IF(CL$3="","",IF(入力データ!$C$57="あり",0,MAX(CK34-CL41,0)))</f>
        <v/>
      </c>
      <c r="CM34" s="357">
        <f>IF(CM$3="","",IF(入力データ!$C$57="あり",0,MAX(CL34-CM41,0)))</f>
        <v/>
      </c>
      <c r="CN34" s="357">
        <f>IF(CN$3="","",IF(入力データ!$C$57="あり",0,MAX(CM34-CN41,0)))</f>
        <v/>
      </c>
      <c r="CO34" s="357">
        <f>IF(CO$3="","",IF(入力データ!$C$57="あり",0,MAX(CN34-CO41,0)))</f>
        <v/>
      </c>
      <c r="CP34" s="357">
        <f>IF(CP$3="","",IF(入力データ!$C$57="あり",0,MAX(CO34-CP41,0)))</f>
        <v/>
      </c>
      <c r="CQ34" s="357">
        <f>IF(CQ$3="","",IF(入力データ!$C$57="あり",0,MAX(CP34-CQ41,0)))</f>
        <v/>
      </c>
      <c r="CR34" s="357">
        <f>IF(CR$3="","",IF(入力データ!$C$57="あり",0,MAX(CQ34-CR41,0)))</f>
        <v/>
      </c>
      <c r="CS34" s="357">
        <f>IF(CS$3="","",IF(入力データ!$C$57="あり",0,MAX(CR34-CS41,0)))</f>
        <v/>
      </c>
      <c r="CT34" s="357">
        <f>IF(CT$3="","",IF(入力データ!$C$57="あり",0,MAX(CS34-CT41,0)))</f>
        <v/>
      </c>
      <c r="CU34" s="357">
        <f>IF(CU$3="","",IF(入力データ!$C$57="あり",0,MAX(CT34-CU41,0)))</f>
        <v/>
      </c>
      <c r="CV34" s="357">
        <f>IF(CV$3="","",IF(入力データ!$C$57="あり",0,MAX(CU34-CV41,0)))</f>
        <v/>
      </c>
      <c r="CW34" s="357">
        <f>IF(CW$3="","",IF(入力データ!$C$57="あり",0,MAX(CV34-CW41,0)))</f>
        <v/>
      </c>
    </row>
    <row r="35" ht="21.75" customHeight="1" s="180">
      <c r="A35" s="237" t="inlineStr">
        <is>
          <t>保有資産合計（ローン除く）</t>
        </is>
      </c>
      <c r="B35" s="358">
        <f>IF(B$3="","",B31+B32+B33)</f>
        <v/>
      </c>
      <c r="C35" s="358">
        <f>IF(C$3="","",C31+C32+C33)</f>
        <v/>
      </c>
      <c r="D35" s="358">
        <f>IF(D$3="","",D31+D32+D33)</f>
        <v/>
      </c>
      <c r="E35" s="358">
        <f>IF(E$3="","",E31+E32+E33)</f>
        <v/>
      </c>
      <c r="F35" s="358">
        <f>IF(F$3="","",F31+F32+F33)</f>
        <v/>
      </c>
      <c r="G35" s="358">
        <f>IF(G$3="","",G31+G32+G33)</f>
        <v/>
      </c>
      <c r="H35" s="358">
        <f>IF(H$3="","",H31+H32+H33)</f>
        <v/>
      </c>
      <c r="I35" s="358">
        <f>IF(I$3="","",I31+I32+I33)</f>
        <v/>
      </c>
      <c r="J35" s="358">
        <f>IF(J$3="","",J31+J32+J33)</f>
        <v/>
      </c>
      <c r="K35" s="358">
        <f>IF(K$3="","",K31+K32+K33)</f>
        <v/>
      </c>
      <c r="L35" s="358">
        <f>IF(L$3="","",L31+L32+L33)</f>
        <v/>
      </c>
      <c r="M35" s="358">
        <f>IF(M$3="","",M31+M32+M33)</f>
        <v/>
      </c>
      <c r="N35" s="358">
        <f>IF(N$3="","",N31+N32+N33)</f>
        <v/>
      </c>
      <c r="O35" s="358">
        <f>IF(O$3="","",O31+O32+O33)</f>
        <v/>
      </c>
      <c r="P35" s="358">
        <f>IF(P$3="","",P31+P32+P33)</f>
        <v/>
      </c>
      <c r="Q35" s="358">
        <f>IF(Q$3="","",Q31+Q32+Q33)</f>
        <v/>
      </c>
      <c r="R35" s="358">
        <f>IF(R$3="","",R31+R32+R33)</f>
        <v/>
      </c>
      <c r="S35" s="358">
        <f>IF(S$3="","",S31+S32+S33)</f>
        <v/>
      </c>
      <c r="T35" s="358">
        <f>IF(T$3="","",T31+T32+T33)</f>
        <v/>
      </c>
      <c r="U35" s="358">
        <f>IF(U$3="","",U31+U32+U33)</f>
        <v/>
      </c>
      <c r="V35" s="358">
        <f>IF(V$3="","",V31+V32+V33)</f>
        <v/>
      </c>
      <c r="W35" s="358">
        <f>IF(W$3="","",W31+W32+W33)</f>
        <v/>
      </c>
      <c r="X35" s="358">
        <f>IF(X$3="","",X31+X32+X33)</f>
        <v/>
      </c>
      <c r="Y35" s="358">
        <f>IF(Y$3="","",Y31+Y32+Y33)</f>
        <v/>
      </c>
      <c r="Z35" s="358">
        <f>IF(Z$3="","",Z31+Z32+Z33)</f>
        <v/>
      </c>
      <c r="AA35" s="358">
        <f>IF(AA$3="","",AA31+AA32+AA33)</f>
        <v/>
      </c>
      <c r="AB35" s="358">
        <f>IF(AB$3="","",AB31+AB32+AB33)</f>
        <v/>
      </c>
      <c r="AC35" s="358">
        <f>IF(AC$3="","",AC31+AC32+AC33)</f>
        <v/>
      </c>
      <c r="AD35" s="358">
        <f>IF(AD$3="","",AD31+AD32+AD33)</f>
        <v/>
      </c>
      <c r="AE35" s="358">
        <f>IF(AE$3="","",AE31+AE32+AE33)</f>
        <v/>
      </c>
      <c r="AF35" s="358">
        <f>IF(AF$3="","",AF31+AF32+AF33)</f>
        <v/>
      </c>
      <c r="AG35" s="358">
        <f>IF(AG$3="","",AG31+AG32+AG33)</f>
        <v/>
      </c>
      <c r="AH35" s="358">
        <f>IF(AH$3="","",AH31+AH32+AH33)</f>
        <v/>
      </c>
      <c r="AI35" s="358">
        <f>IF(AI$3="","",AI31+AI32+AI33)</f>
        <v/>
      </c>
      <c r="AJ35" s="358">
        <f>IF(AJ$3="","",AJ31+AJ32+AJ33)</f>
        <v/>
      </c>
      <c r="AK35" s="358">
        <f>IF(AK$3="","",AK31+AK32+AK33)</f>
        <v/>
      </c>
      <c r="AL35" s="358">
        <f>IF(AL$3="","",AL31+AL32+AL33)</f>
        <v/>
      </c>
      <c r="AM35" s="358">
        <f>IF(AM$3="","",AM31+AM32+AM33)</f>
        <v/>
      </c>
      <c r="AN35" s="358">
        <f>IF(AN$3="","",AN31+AN32+AN33)</f>
        <v/>
      </c>
      <c r="AO35" s="358">
        <f>IF(AO$3="","",AO31+AO32+AO33)</f>
        <v/>
      </c>
      <c r="AP35" s="358">
        <f>IF(AP$3="","",AP31+AP32+AP33)</f>
        <v/>
      </c>
      <c r="AQ35" s="358">
        <f>IF(AQ$3="","",AQ31+AQ32+AQ33)</f>
        <v/>
      </c>
      <c r="AR35" s="358">
        <f>IF(AR$3="","",AR31+AR32+AR33)</f>
        <v/>
      </c>
      <c r="AS35" s="358">
        <f>IF(AS$3="","",AS31+AS32+AS33)</f>
        <v/>
      </c>
      <c r="AT35" s="358">
        <f>IF(AT$3="","",AT31+AT32+AT33)</f>
        <v/>
      </c>
      <c r="AU35" s="358">
        <f>IF(AU$3="","",AU31+AU32+AU33)</f>
        <v/>
      </c>
      <c r="AV35" s="358">
        <f>IF(AV$3="","",AV31+AV32+AV33)</f>
        <v/>
      </c>
      <c r="AW35" s="358">
        <f>IF(AW$3="","",AW31+AW32+AW33)</f>
        <v/>
      </c>
      <c r="AX35" s="358">
        <f>IF(AX$3="","",AX31+AX32+AX33)</f>
        <v/>
      </c>
      <c r="AY35" s="358">
        <f>IF(AY$3="","",AY31+AY32+AY33)</f>
        <v/>
      </c>
      <c r="AZ35" s="358">
        <f>IF(AZ$3="","",AZ31+AZ32+AZ33)</f>
        <v/>
      </c>
      <c r="BA35" s="358">
        <f>IF(BA$3="","",BA31+BA32+BA33)</f>
        <v/>
      </c>
      <c r="BB35" s="358">
        <f>IF(BB$3="","",BB31+BB32+BB33)</f>
        <v/>
      </c>
      <c r="BC35" s="358">
        <f>IF(BC$3="","",BC31+BC32+BC33)</f>
        <v/>
      </c>
      <c r="BD35" s="358">
        <f>IF(BD$3="","",BD31+BD32+BD33)</f>
        <v/>
      </c>
      <c r="BE35" s="358">
        <f>IF(BE$3="","",BE31+BE32+BE33)</f>
        <v/>
      </c>
      <c r="BF35" s="358">
        <f>IF(BF$3="","",BF31+BF32+BF33)</f>
        <v/>
      </c>
      <c r="BG35" s="358">
        <f>IF(BG$3="","",BG31+BG32+BG33)</f>
        <v/>
      </c>
      <c r="BH35" s="358">
        <f>IF(BH$3="","",BH31+BH32+BH33)</f>
        <v/>
      </c>
      <c r="BI35" s="358">
        <f>IF(BI$3="","",BI31+BI32+BI33)</f>
        <v/>
      </c>
      <c r="BJ35" s="358">
        <f>IF(BJ$3="","",BJ31+BJ32+BJ33)</f>
        <v/>
      </c>
      <c r="BK35" s="358">
        <f>IF(BK$3="","",BK31+BK32+BK33)</f>
        <v/>
      </c>
      <c r="BL35" s="358">
        <f>IF(BL$3="","",BL31+BL32+BL33)</f>
        <v/>
      </c>
      <c r="BM35" s="358">
        <f>IF(BM$3="","",BM31+BM32+BM33)</f>
        <v/>
      </c>
      <c r="BN35" s="358">
        <f>IF(BN$3="","",BN31+BN32+BN33)</f>
        <v/>
      </c>
      <c r="BO35" s="358">
        <f>IF(BO$3="","",BO31+BO32+BO33)</f>
        <v/>
      </c>
      <c r="BP35" s="358">
        <f>IF(BP$3="","",BP31+BP32+BP33)</f>
        <v/>
      </c>
      <c r="BQ35" s="358">
        <f>IF(BQ$3="","",BQ31+BQ32+BQ33)</f>
        <v/>
      </c>
      <c r="BR35" s="358">
        <f>IF(BR$3="","",BR31+BR32+BR33)</f>
        <v/>
      </c>
      <c r="BS35" s="358">
        <f>IF(BS$3="","",BS31+BS32+BS33)</f>
        <v/>
      </c>
      <c r="BT35" s="358">
        <f>IF(BT$3="","",BT31+BT32+BT33)</f>
        <v/>
      </c>
      <c r="BU35" s="358">
        <f>IF(BU$3="","",BU31+BU32+BU33)</f>
        <v/>
      </c>
      <c r="BV35" s="358">
        <f>IF(BV$3="","",BV31+BV32+BV33)</f>
        <v/>
      </c>
      <c r="BW35" s="358">
        <f>IF(BW$3="","",BW31+BW32+BW33)</f>
        <v/>
      </c>
      <c r="BX35" s="358">
        <f>IF(BX$3="","",BX31+BX32+BX33)</f>
        <v/>
      </c>
      <c r="BY35" s="358">
        <f>IF(BY$3="","",BY31+BY32+BY33)</f>
        <v/>
      </c>
      <c r="BZ35" s="358">
        <f>IF(BZ$3="","",BZ31+BZ32+BZ33)</f>
        <v/>
      </c>
      <c r="CA35" s="358">
        <f>IF(CA$3="","",CA31+CA32+CA33)</f>
        <v/>
      </c>
      <c r="CB35" s="358">
        <f>IF(CB$3="","",CB31+CB32+CB33)</f>
        <v/>
      </c>
      <c r="CC35" s="358">
        <f>IF(CC$3="","",CC31+CC32+CC33)</f>
        <v/>
      </c>
      <c r="CD35" s="358">
        <f>IF(CD$3="","",CD31+CD32+CD33)</f>
        <v/>
      </c>
      <c r="CE35" s="358">
        <f>IF(CE$3="","",CE31+CE32+CE33)</f>
        <v/>
      </c>
      <c r="CF35" s="358">
        <f>IF(CF$3="","",CF31+CF32+CF33)</f>
        <v/>
      </c>
      <c r="CG35" s="358">
        <f>IF(CG$3="","",CG31+CG32+CG33)</f>
        <v/>
      </c>
      <c r="CH35" s="358">
        <f>IF(CH$3="","",CH31+CH32+CH33)</f>
        <v/>
      </c>
      <c r="CI35" s="358">
        <f>IF(CI$3="","",CI31+CI32+CI33)</f>
        <v/>
      </c>
      <c r="CJ35" s="358">
        <f>IF(CJ$3="","",CJ31+CJ32+CJ33)</f>
        <v/>
      </c>
      <c r="CK35" s="358">
        <f>IF(CK$3="","",CK31+CK32+CK33)</f>
        <v/>
      </c>
      <c r="CL35" s="358">
        <f>IF(CL$3="","",CL31+CL32+CL33)</f>
        <v/>
      </c>
      <c r="CM35" s="358">
        <f>IF(CM$3="","",CM31+CM32+CM33)</f>
        <v/>
      </c>
      <c r="CN35" s="358">
        <f>IF(CN$3="","",CN31+CN32+CN33)</f>
        <v/>
      </c>
      <c r="CO35" s="358">
        <f>IF(CO$3="","",CO31+CO32+CO33)</f>
        <v/>
      </c>
      <c r="CP35" s="358">
        <f>IF(CP$3="","",CP31+CP32+CP33)</f>
        <v/>
      </c>
      <c r="CQ35" s="358">
        <f>IF(CQ$3="","",CQ31+CQ32+CQ33)</f>
        <v/>
      </c>
      <c r="CR35" s="358">
        <f>IF(CR$3="","",CR31+CR32+CR33)</f>
        <v/>
      </c>
      <c r="CS35" s="358">
        <f>IF(CS$3="","",CS31+CS32+CS33)</f>
        <v/>
      </c>
      <c r="CT35" s="358">
        <f>IF(CT$3="","",CT31+CT32+CT33)</f>
        <v/>
      </c>
      <c r="CU35" s="358">
        <f>IF(CU$3="","",CU31+CU32+CU33)</f>
        <v/>
      </c>
      <c r="CV35" s="358">
        <f>IF(CV$3="","",CV31+CV32+CV33)</f>
        <v/>
      </c>
      <c r="CW35" s="358">
        <f>IF(CW$3="","",CW31+CW32+CW33)</f>
        <v/>
      </c>
    </row>
    <row r="36" hidden="1" ht="16.5" customHeight="1" s="180">
      <c r="A36" s="239" t="inlineStr">
        <is>
          <t>投資積立年額(補助)</t>
        </is>
      </c>
      <c r="B36" s="359">
        <f>IF(B$3="","",SUM(入力データ!$C$101:$C$103,入力データ!$C$105)*12)</f>
        <v/>
      </c>
      <c r="C36" s="359">
        <f>IF(C$3="","",SUM(入力データ!$C$101:$C$103,入力データ!$C$105)*12)</f>
        <v/>
      </c>
      <c r="D36" s="359">
        <f>IF(D$3="","",SUM(入力データ!$C$101:$C$103,入力データ!$C$105)*12)</f>
        <v/>
      </c>
      <c r="E36" s="359">
        <f>IF(E$3="","",SUM(入力データ!$C$101:$C$103,入力データ!$C$105)*12)</f>
        <v/>
      </c>
      <c r="F36" s="359">
        <f>IF(F$3="","",SUM(入力データ!$C$101:$C$103,入力データ!$C$105)*12)</f>
        <v/>
      </c>
      <c r="G36" s="359">
        <f>IF(G$3="","",SUM(入力データ!$C$101:$C$103,入力データ!$C$105)*12)</f>
        <v/>
      </c>
      <c r="H36" s="359">
        <f>IF(H$3="","",SUM(入力データ!$C$101:$C$103,入力データ!$C$105)*12)</f>
        <v/>
      </c>
      <c r="I36" s="359">
        <f>IF(I$3="","",SUM(入力データ!$C$101:$C$103,入力データ!$C$105)*12)</f>
        <v/>
      </c>
      <c r="J36" s="359">
        <f>IF(J$3="","",SUM(入力データ!$C$101:$C$103,入力データ!$C$105)*12)</f>
        <v/>
      </c>
      <c r="K36" s="359">
        <f>IF(K$3="","",SUM(入力データ!$C$101:$C$103,入力データ!$C$105)*12)</f>
        <v/>
      </c>
      <c r="L36" s="359">
        <f>IF(L$3="","",SUM(入力データ!$C$101:$C$103,入力データ!$C$105)*12)</f>
        <v/>
      </c>
      <c r="M36" s="359">
        <f>IF(M$3="","",SUM(入力データ!$C$101:$C$103,入力データ!$C$105)*12)</f>
        <v/>
      </c>
      <c r="N36" s="359">
        <f>IF(N$3="","",SUM(入力データ!$C$101:$C$103,入力データ!$C$105)*12)</f>
        <v/>
      </c>
      <c r="O36" s="359">
        <f>IF(O$3="","",SUM(入力データ!$C$101:$C$103,入力データ!$C$105)*12)</f>
        <v/>
      </c>
      <c r="P36" s="359">
        <f>IF(P$3="","",SUM(入力データ!$C$101:$C$103,入力データ!$C$105)*12)</f>
        <v/>
      </c>
      <c r="Q36" s="359">
        <f>IF(Q$3="","",SUM(入力データ!$C$101:$C$103,入力データ!$C$105)*12)</f>
        <v/>
      </c>
      <c r="R36" s="359">
        <f>IF(R$3="","",SUM(入力データ!$C$101:$C$103,入力データ!$C$105)*12)</f>
        <v/>
      </c>
      <c r="S36" s="359">
        <f>IF(S$3="","",SUM(入力データ!$C$101:$C$103,入力データ!$C$105)*12)</f>
        <v/>
      </c>
      <c r="T36" s="359">
        <f>IF(T$3="","",SUM(入力データ!$C$101:$C$103,入力データ!$C$105)*12)</f>
        <v/>
      </c>
      <c r="U36" s="359">
        <f>IF(U$3="","",SUM(入力データ!$C$101:$C$103,入力データ!$C$105)*12)</f>
        <v/>
      </c>
      <c r="V36" s="359">
        <f>IF(V$3="","",SUM(入力データ!$C$101:$C$103,入力データ!$C$105)*12)</f>
        <v/>
      </c>
      <c r="W36" s="359">
        <f>IF(W$3="","",SUM(入力データ!$C$101:$C$103,入力データ!$C$105)*12)</f>
        <v/>
      </c>
      <c r="X36" s="359">
        <f>IF(X$3="","",SUM(入力データ!$C$101:$C$103,入力データ!$C$105)*12)</f>
        <v/>
      </c>
      <c r="Y36" s="359">
        <f>IF(Y$3="","",SUM(入力データ!$C$101:$C$103,入力データ!$C$105)*12)</f>
        <v/>
      </c>
      <c r="Z36" s="359">
        <f>IF(Z$3="","",SUM(入力データ!$C$101:$C$103,入力データ!$C$105)*12)</f>
        <v/>
      </c>
      <c r="AA36" s="359">
        <f>IF(AA$3="","",SUM(入力データ!$C$101:$C$103,入力データ!$C$105)*12)</f>
        <v/>
      </c>
      <c r="AB36" s="359">
        <f>IF(AB$3="","",SUM(入力データ!$C$101:$C$103,入力データ!$C$105)*12)</f>
        <v/>
      </c>
      <c r="AC36" s="359">
        <f>IF(AC$3="","",SUM(入力データ!$C$101:$C$103,入力データ!$C$105)*12)</f>
        <v/>
      </c>
      <c r="AD36" s="359">
        <f>IF(AD$3="","",SUM(入力データ!$C$101:$C$103,入力データ!$C$105)*12)</f>
        <v/>
      </c>
      <c r="AE36" s="359">
        <f>IF(AE$3="","",SUM(入力データ!$C$101:$C$103,入力データ!$C$105)*12)</f>
        <v/>
      </c>
      <c r="AF36" s="359">
        <f>IF(AF$3="","",SUM(入力データ!$C$101:$C$103,入力データ!$C$105)*12)</f>
        <v/>
      </c>
      <c r="AG36" s="359">
        <f>IF(AG$3="","",SUM(入力データ!$C$101:$C$103,入力データ!$C$105)*12)</f>
        <v/>
      </c>
      <c r="AH36" s="359">
        <f>IF(AH$3="","",SUM(入力データ!$C$101:$C$103,入力データ!$C$105)*12)</f>
        <v/>
      </c>
      <c r="AI36" s="359">
        <f>IF(AI$3="","",SUM(入力データ!$C$101:$C$103,入力データ!$C$105)*12)</f>
        <v/>
      </c>
      <c r="AJ36" s="359">
        <f>IF(AJ$3="","",SUM(入力データ!$C$101:$C$103,入力データ!$C$105)*12)</f>
        <v/>
      </c>
      <c r="AK36" s="359">
        <f>IF(AK$3="","",SUM(入力データ!$C$101:$C$103,入力データ!$C$105)*12)</f>
        <v/>
      </c>
      <c r="AL36" s="359">
        <f>IF(AL$3="","",SUM(入力データ!$C$101:$C$103,入力データ!$C$105)*12)</f>
        <v/>
      </c>
      <c r="AM36" s="359">
        <f>IF(AM$3="","",SUM(入力データ!$C$101:$C$103,入力データ!$C$105)*12)</f>
        <v/>
      </c>
      <c r="AN36" s="359">
        <f>IF(AN$3="","",SUM(入力データ!$C$101:$C$103,入力データ!$C$105)*12)</f>
        <v/>
      </c>
      <c r="AO36" s="359">
        <f>IF(AO$3="","",SUM(入力データ!$C$101:$C$103,入力データ!$C$105)*12)</f>
        <v/>
      </c>
      <c r="AP36" s="359">
        <f>IF(AP$3="","",SUM(入力データ!$C$101:$C$103,入力データ!$C$105)*12)</f>
        <v/>
      </c>
      <c r="AQ36" s="359">
        <f>IF(AQ$3="","",SUM(入力データ!$C$101:$C$103,入力データ!$C$105)*12)</f>
        <v/>
      </c>
      <c r="AR36" s="359">
        <f>IF(AR$3="","",SUM(入力データ!$C$101:$C$103,入力データ!$C$105)*12)</f>
        <v/>
      </c>
      <c r="AS36" s="359">
        <f>IF(AS$3="","",SUM(入力データ!$C$101:$C$103,入力データ!$C$105)*12)</f>
        <v/>
      </c>
      <c r="AT36" s="359">
        <f>IF(AT$3="","",SUM(入力データ!$C$101:$C$103,入力データ!$C$105)*12)</f>
        <v/>
      </c>
      <c r="AU36" s="359">
        <f>IF(AU$3="","",SUM(入力データ!$C$101:$C$103,入力データ!$C$105)*12)</f>
        <v/>
      </c>
      <c r="AV36" s="359">
        <f>IF(AV$3="","",SUM(入力データ!$C$101:$C$103,入力データ!$C$105)*12)</f>
        <v/>
      </c>
      <c r="AW36" s="359">
        <f>IF(AW$3="","",SUM(入力データ!$C$101:$C$103,入力データ!$C$105)*12)</f>
        <v/>
      </c>
      <c r="AX36" s="359">
        <f>IF(AX$3="","",SUM(入力データ!$C$101:$C$103,入力データ!$C$105)*12)</f>
        <v/>
      </c>
      <c r="AY36" s="359">
        <f>IF(AY$3="","",SUM(入力データ!$C$101:$C$103,入力データ!$C$105)*12)</f>
        <v/>
      </c>
      <c r="AZ36" s="359">
        <f>IF(AZ$3="","",SUM(入力データ!$C$101:$C$103,入力データ!$C$105)*12)</f>
        <v/>
      </c>
      <c r="BA36" s="359">
        <f>IF(BA$3="","",SUM(入力データ!$C$101:$C$103,入力データ!$C$105)*12)</f>
        <v/>
      </c>
      <c r="BB36" s="359">
        <f>IF(BB$3="","",SUM(入力データ!$C$101:$C$103,入力データ!$C$105)*12)</f>
        <v/>
      </c>
      <c r="BC36" s="359">
        <f>IF(BC$3="","",SUM(入力データ!$C$101:$C$103,入力データ!$C$105)*12)</f>
        <v/>
      </c>
      <c r="BD36" s="359">
        <f>IF(BD$3="","",SUM(入力データ!$C$101:$C$103,入力データ!$C$105)*12)</f>
        <v/>
      </c>
      <c r="BE36" s="359">
        <f>IF(BE$3="","",SUM(入力データ!$C$101:$C$103,入力データ!$C$105)*12)</f>
        <v/>
      </c>
      <c r="BF36" s="359">
        <f>IF(BF$3="","",SUM(入力データ!$C$101:$C$103,入力データ!$C$105)*12)</f>
        <v/>
      </c>
      <c r="BG36" s="359">
        <f>IF(BG$3="","",SUM(入力データ!$C$101:$C$103,入力データ!$C$105)*12)</f>
        <v/>
      </c>
      <c r="BH36" s="359">
        <f>IF(BH$3="","",SUM(入力データ!$C$101:$C$103,入力データ!$C$105)*12)</f>
        <v/>
      </c>
      <c r="BI36" s="359">
        <f>IF(BI$3="","",SUM(入力データ!$C$101:$C$103,入力データ!$C$105)*12)</f>
        <v/>
      </c>
      <c r="BJ36" s="359">
        <f>IF(BJ$3="","",SUM(入力データ!$C$101:$C$103,入力データ!$C$105)*12)</f>
        <v/>
      </c>
      <c r="BK36" s="359">
        <f>IF(BK$3="","",SUM(入力データ!$C$101:$C$103,入力データ!$C$105)*12)</f>
        <v/>
      </c>
      <c r="BL36" s="359">
        <f>IF(BL$3="","",SUM(入力データ!$C$101:$C$103,入力データ!$C$105)*12)</f>
        <v/>
      </c>
      <c r="BM36" s="359">
        <f>IF(BM$3="","",SUM(入力データ!$C$101:$C$103,入力データ!$C$105)*12)</f>
        <v/>
      </c>
      <c r="BN36" s="359">
        <f>IF(BN$3="","",SUM(入力データ!$C$101:$C$103,入力データ!$C$105)*12)</f>
        <v/>
      </c>
      <c r="BO36" s="359">
        <f>IF(BO$3="","",SUM(入力データ!$C$101:$C$103,入力データ!$C$105)*12)</f>
        <v/>
      </c>
      <c r="BP36" s="359">
        <f>IF(BP$3="","",SUM(入力データ!$C$101:$C$103,入力データ!$C$105)*12)</f>
        <v/>
      </c>
      <c r="BQ36" s="359">
        <f>IF(BQ$3="","",SUM(入力データ!$C$101:$C$103,入力データ!$C$105)*12)</f>
        <v/>
      </c>
      <c r="BR36" s="359">
        <f>IF(BR$3="","",SUM(入力データ!$C$101:$C$103,入力データ!$C$105)*12)</f>
        <v/>
      </c>
      <c r="BS36" s="359">
        <f>IF(BS$3="","",SUM(入力データ!$C$101:$C$103,入力データ!$C$105)*12)</f>
        <v/>
      </c>
      <c r="BT36" s="359">
        <f>IF(BT$3="","",SUM(入力データ!$C$101:$C$103,入力データ!$C$105)*12)</f>
        <v/>
      </c>
      <c r="BU36" s="359">
        <f>IF(BU$3="","",SUM(入力データ!$C$101:$C$103,入力データ!$C$105)*12)</f>
        <v/>
      </c>
      <c r="BV36" s="359">
        <f>IF(BV$3="","",SUM(入力データ!$C$101:$C$103,入力データ!$C$105)*12)</f>
        <v/>
      </c>
      <c r="BW36" s="359">
        <f>IF(BW$3="","",SUM(入力データ!$C$101:$C$103,入力データ!$C$105)*12)</f>
        <v/>
      </c>
      <c r="BX36" s="359">
        <f>IF(BX$3="","",SUM(入力データ!$C$101:$C$103,入力データ!$C$105)*12)</f>
        <v/>
      </c>
      <c r="BY36" s="359">
        <f>IF(BY$3="","",SUM(入力データ!$C$101:$C$103,入力データ!$C$105)*12)</f>
        <v/>
      </c>
      <c r="BZ36" s="359">
        <f>IF(BZ$3="","",SUM(入力データ!$C$101:$C$103,入力データ!$C$105)*12)</f>
        <v/>
      </c>
      <c r="CA36" s="359">
        <f>IF(CA$3="","",SUM(入力データ!$C$101:$C$103,入力データ!$C$105)*12)</f>
        <v/>
      </c>
      <c r="CB36" s="359">
        <f>IF(CB$3="","",SUM(入力データ!$C$101:$C$103,入力データ!$C$105)*12)</f>
        <v/>
      </c>
      <c r="CC36" s="359">
        <f>IF(CC$3="","",SUM(入力データ!$C$101:$C$103,入力データ!$C$105)*12)</f>
        <v/>
      </c>
      <c r="CD36" s="359">
        <f>IF(CD$3="","",SUM(入力データ!$C$101:$C$103,入力データ!$C$105)*12)</f>
        <v/>
      </c>
      <c r="CE36" s="359">
        <f>IF(CE$3="","",SUM(入力データ!$C$101:$C$103,入力データ!$C$105)*12)</f>
        <v/>
      </c>
      <c r="CF36" s="359">
        <f>IF(CF$3="","",SUM(入力データ!$C$101:$C$103,入力データ!$C$105)*12)</f>
        <v/>
      </c>
      <c r="CG36" s="359">
        <f>IF(CG$3="","",SUM(入力データ!$C$101:$C$103,入力データ!$C$105)*12)</f>
        <v/>
      </c>
      <c r="CH36" s="359">
        <f>IF(CH$3="","",SUM(入力データ!$C$101:$C$103,入力データ!$C$105)*12)</f>
        <v/>
      </c>
      <c r="CI36" s="359">
        <f>IF(CI$3="","",SUM(入力データ!$C$101:$C$103,入力データ!$C$105)*12)</f>
        <v/>
      </c>
      <c r="CJ36" s="359">
        <f>IF(CJ$3="","",SUM(入力データ!$C$101:$C$103,入力データ!$C$105)*12)</f>
        <v/>
      </c>
      <c r="CK36" s="359">
        <f>IF(CK$3="","",SUM(入力データ!$C$101:$C$103,入力データ!$C$105)*12)</f>
        <v/>
      </c>
      <c r="CL36" s="359">
        <f>IF(CL$3="","",SUM(入力データ!$C$101:$C$103,入力データ!$C$105)*12)</f>
        <v/>
      </c>
      <c r="CM36" s="359">
        <f>IF(CM$3="","",SUM(入力データ!$C$101:$C$103,入力データ!$C$105)*12)</f>
        <v/>
      </c>
      <c r="CN36" s="359">
        <f>IF(CN$3="","",SUM(入力データ!$C$101:$C$103,入力データ!$C$105)*12)</f>
        <v/>
      </c>
      <c r="CO36" s="359">
        <f>IF(CO$3="","",SUM(入力データ!$C$101:$C$103,入力データ!$C$105)*12)</f>
        <v/>
      </c>
      <c r="CP36" s="359">
        <f>IF(CP$3="","",SUM(入力データ!$C$101:$C$103,入力データ!$C$105)*12)</f>
        <v/>
      </c>
      <c r="CQ36" s="359">
        <f>IF(CQ$3="","",SUM(入力データ!$C$101:$C$103,入力データ!$C$105)*12)</f>
        <v/>
      </c>
      <c r="CR36" s="359">
        <f>IF(CR$3="","",SUM(入力データ!$C$101:$C$103,入力データ!$C$105)*12)</f>
        <v/>
      </c>
      <c r="CS36" s="359">
        <f>IF(CS$3="","",SUM(入力データ!$C$101:$C$103,入力データ!$C$105)*12)</f>
        <v/>
      </c>
      <c r="CT36" s="359">
        <f>IF(CT$3="","",SUM(入力データ!$C$101:$C$103,入力データ!$C$105)*12)</f>
        <v/>
      </c>
      <c r="CU36" s="359">
        <f>IF(CU$3="","",SUM(入力データ!$C$101:$C$103,入力データ!$C$105)*12)</f>
        <v/>
      </c>
      <c r="CV36" s="359">
        <f>IF(CV$3="","",SUM(入力データ!$C$101:$C$103,入力データ!$C$105)*12)</f>
        <v/>
      </c>
      <c r="CW36" s="359">
        <f>IF(CW$3="","",SUM(入力データ!$C$101:$C$103,入力データ!$C$105)*12)</f>
        <v/>
      </c>
    </row>
    <row r="37" hidden="1" ht="16.5" customHeight="1" s="180">
      <c r="A37" s="239" t="inlineStr">
        <is>
          <t>返戻金積立年額(補助)</t>
        </is>
      </c>
      <c r="B37" s="359">
        <f>IF(B$3="","",入力データ!$C$104*12)</f>
        <v/>
      </c>
      <c r="C37" s="359">
        <f>IF(C$3="","",入力データ!$C$104*12)</f>
        <v/>
      </c>
      <c r="D37" s="359">
        <f>IF(D$3="","",入力データ!$C$104*12)</f>
        <v/>
      </c>
      <c r="E37" s="359">
        <f>IF(E$3="","",入力データ!$C$104*12)</f>
        <v/>
      </c>
      <c r="F37" s="359">
        <f>IF(F$3="","",入力データ!$C$104*12)</f>
        <v/>
      </c>
      <c r="G37" s="359">
        <f>IF(G$3="","",入力データ!$C$104*12)</f>
        <v/>
      </c>
      <c r="H37" s="359">
        <f>IF(H$3="","",入力データ!$C$104*12)</f>
        <v/>
      </c>
      <c r="I37" s="359">
        <f>IF(I$3="","",入力データ!$C$104*12)</f>
        <v/>
      </c>
      <c r="J37" s="359">
        <f>IF(J$3="","",入力データ!$C$104*12)</f>
        <v/>
      </c>
      <c r="K37" s="359">
        <f>IF(K$3="","",入力データ!$C$104*12)</f>
        <v/>
      </c>
      <c r="L37" s="359">
        <f>IF(L$3="","",入力データ!$C$104*12)</f>
        <v/>
      </c>
      <c r="M37" s="359">
        <f>IF(M$3="","",入力データ!$C$104*12)</f>
        <v/>
      </c>
      <c r="N37" s="359">
        <f>IF(N$3="","",入力データ!$C$104*12)</f>
        <v/>
      </c>
      <c r="O37" s="359">
        <f>IF(O$3="","",入力データ!$C$104*12)</f>
        <v/>
      </c>
      <c r="P37" s="359">
        <f>IF(P$3="","",入力データ!$C$104*12)</f>
        <v/>
      </c>
      <c r="Q37" s="359">
        <f>IF(Q$3="","",入力データ!$C$104*12)</f>
        <v/>
      </c>
      <c r="R37" s="359">
        <f>IF(R$3="","",入力データ!$C$104*12)</f>
        <v/>
      </c>
      <c r="S37" s="359">
        <f>IF(S$3="","",入力データ!$C$104*12)</f>
        <v/>
      </c>
      <c r="T37" s="359">
        <f>IF(T$3="","",入力データ!$C$104*12)</f>
        <v/>
      </c>
      <c r="U37" s="359">
        <f>IF(U$3="","",入力データ!$C$104*12)</f>
        <v/>
      </c>
      <c r="V37" s="359">
        <f>IF(V$3="","",入力データ!$C$104*12)</f>
        <v/>
      </c>
      <c r="W37" s="359">
        <f>IF(W$3="","",入力データ!$C$104*12)</f>
        <v/>
      </c>
      <c r="X37" s="359">
        <f>IF(X$3="","",入力データ!$C$104*12)</f>
        <v/>
      </c>
      <c r="Y37" s="359">
        <f>IF(Y$3="","",入力データ!$C$104*12)</f>
        <v/>
      </c>
      <c r="Z37" s="359">
        <f>IF(Z$3="","",入力データ!$C$104*12)</f>
        <v/>
      </c>
      <c r="AA37" s="359">
        <f>IF(AA$3="","",入力データ!$C$104*12)</f>
        <v/>
      </c>
      <c r="AB37" s="359">
        <f>IF(AB$3="","",入力データ!$C$104*12)</f>
        <v/>
      </c>
      <c r="AC37" s="359">
        <f>IF(AC$3="","",入力データ!$C$104*12)</f>
        <v/>
      </c>
      <c r="AD37" s="359">
        <f>IF(AD$3="","",入力データ!$C$104*12)</f>
        <v/>
      </c>
      <c r="AE37" s="359">
        <f>IF(AE$3="","",入力データ!$C$104*12)</f>
        <v/>
      </c>
      <c r="AF37" s="359">
        <f>IF(AF$3="","",入力データ!$C$104*12)</f>
        <v/>
      </c>
      <c r="AG37" s="359">
        <f>IF(AG$3="","",入力データ!$C$104*12)</f>
        <v/>
      </c>
      <c r="AH37" s="359">
        <f>IF(AH$3="","",入力データ!$C$104*12)</f>
        <v/>
      </c>
      <c r="AI37" s="359">
        <f>IF(AI$3="","",入力データ!$C$104*12)</f>
        <v/>
      </c>
      <c r="AJ37" s="359">
        <f>IF(AJ$3="","",入力データ!$C$104*12)</f>
        <v/>
      </c>
      <c r="AK37" s="359">
        <f>IF(AK$3="","",入力データ!$C$104*12)</f>
        <v/>
      </c>
      <c r="AL37" s="359">
        <f>IF(AL$3="","",入力データ!$C$104*12)</f>
        <v/>
      </c>
      <c r="AM37" s="359">
        <f>IF(AM$3="","",入力データ!$C$104*12)</f>
        <v/>
      </c>
      <c r="AN37" s="359">
        <f>IF(AN$3="","",入力データ!$C$104*12)</f>
        <v/>
      </c>
      <c r="AO37" s="359">
        <f>IF(AO$3="","",入力データ!$C$104*12)</f>
        <v/>
      </c>
      <c r="AP37" s="359">
        <f>IF(AP$3="","",入力データ!$C$104*12)</f>
        <v/>
      </c>
      <c r="AQ37" s="359">
        <f>IF(AQ$3="","",入力データ!$C$104*12)</f>
        <v/>
      </c>
      <c r="AR37" s="359">
        <f>IF(AR$3="","",入力データ!$C$104*12)</f>
        <v/>
      </c>
      <c r="AS37" s="359">
        <f>IF(AS$3="","",入力データ!$C$104*12)</f>
        <v/>
      </c>
      <c r="AT37" s="359">
        <f>IF(AT$3="","",入力データ!$C$104*12)</f>
        <v/>
      </c>
      <c r="AU37" s="359">
        <f>IF(AU$3="","",入力データ!$C$104*12)</f>
        <v/>
      </c>
      <c r="AV37" s="359">
        <f>IF(AV$3="","",入力データ!$C$104*12)</f>
        <v/>
      </c>
      <c r="AW37" s="359">
        <f>IF(AW$3="","",入力データ!$C$104*12)</f>
        <v/>
      </c>
      <c r="AX37" s="359">
        <f>IF(AX$3="","",入力データ!$C$104*12)</f>
        <v/>
      </c>
      <c r="AY37" s="359">
        <f>IF(AY$3="","",入力データ!$C$104*12)</f>
        <v/>
      </c>
      <c r="AZ37" s="359">
        <f>IF(AZ$3="","",入力データ!$C$104*12)</f>
        <v/>
      </c>
      <c r="BA37" s="359">
        <f>IF(BA$3="","",入力データ!$C$104*12)</f>
        <v/>
      </c>
      <c r="BB37" s="359">
        <f>IF(BB$3="","",入力データ!$C$104*12)</f>
        <v/>
      </c>
      <c r="BC37" s="359">
        <f>IF(BC$3="","",入力データ!$C$104*12)</f>
        <v/>
      </c>
      <c r="BD37" s="359">
        <f>IF(BD$3="","",入力データ!$C$104*12)</f>
        <v/>
      </c>
      <c r="BE37" s="359">
        <f>IF(BE$3="","",入力データ!$C$104*12)</f>
        <v/>
      </c>
      <c r="BF37" s="359">
        <f>IF(BF$3="","",入力データ!$C$104*12)</f>
        <v/>
      </c>
      <c r="BG37" s="359">
        <f>IF(BG$3="","",入力データ!$C$104*12)</f>
        <v/>
      </c>
      <c r="BH37" s="359">
        <f>IF(BH$3="","",入力データ!$C$104*12)</f>
        <v/>
      </c>
      <c r="BI37" s="359">
        <f>IF(BI$3="","",入力データ!$C$104*12)</f>
        <v/>
      </c>
      <c r="BJ37" s="359">
        <f>IF(BJ$3="","",入力データ!$C$104*12)</f>
        <v/>
      </c>
      <c r="BK37" s="359">
        <f>IF(BK$3="","",入力データ!$C$104*12)</f>
        <v/>
      </c>
      <c r="BL37" s="359">
        <f>IF(BL$3="","",入力データ!$C$104*12)</f>
        <v/>
      </c>
      <c r="BM37" s="359">
        <f>IF(BM$3="","",入力データ!$C$104*12)</f>
        <v/>
      </c>
      <c r="BN37" s="359">
        <f>IF(BN$3="","",入力データ!$C$104*12)</f>
        <v/>
      </c>
      <c r="BO37" s="359">
        <f>IF(BO$3="","",入力データ!$C$104*12)</f>
        <v/>
      </c>
      <c r="BP37" s="359">
        <f>IF(BP$3="","",入力データ!$C$104*12)</f>
        <v/>
      </c>
      <c r="BQ37" s="359">
        <f>IF(BQ$3="","",入力データ!$C$104*12)</f>
        <v/>
      </c>
      <c r="BR37" s="359">
        <f>IF(BR$3="","",入力データ!$C$104*12)</f>
        <v/>
      </c>
      <c r="BS37" s="359">
        <f>IF(BS$3="","",入力データ!$C$104*12)</f>
        <v/>
      </c>
      <c r="BT37" s="359">
        <f>IF(BT$3="","",入力データ!$C$104*12)</f>
        <v/>
      </c>
      <c r="BU37" s="359">
        <f>IF(BU$3="","",入力データ!$C$104*12)</f>
        <v/>
      </c>
      <c r="BV37" s="359">
        <f>IF(BV$3="","",入力データ!$C$104*12)</f>
        <v/>
      </c>
      <c r="BW37" s="359">
        <f>IF(BW$3="","",入力データ!$C$104*12)</f>
        <v/>
      </c>
      <c r="BX37" s="359">
        <f>IF(BX$3="","",入力データ!$C$104*12)</f>
        <v/>
      </c>
      <c r="BY37" s="359">
        <f>IF(BY$3="","",入力データ!$C$104*12)</f>
        <v/>
      </c>
      <c r="BZ37" s="359">
        <f>IF(BZ$3="","",入力データ!$C$104*12)</f>
        <v/>
      </c>
      <c r="CA37" s="359">
        <f>IF(CA$3="","",入力データ!$C$104*12)</f>
        <v/>
      </c>
      <c r="CB37" s="359">
        <f>IF(CB$3="","",入力データ!$C$104*12)</f>
        <v/>
      </c>
      <c r="CC37" s="359">
        <f>IF(CC$3="","",入力データ!$C$104*12)</f>
        <v/>
      </c>
      <c r="CD37" s="359">
        <f>IF(CD$3="","",入力データ!$C$104*12)</f>
        <v/>
      </c>
      <c r="CE37" s="359">
        <f>IF(CE$3="","",入力データ!$C$104*12)</f>
        <v/>
      </c>
      <c r="CF37" s="359">
        <f>IF(CF$3="","",入力データ!$C$104*12)</f>
        <v/>
      </c>
      <c r="CG37" s="359">
        <f>IF(CG$3="","",入力データ!$C$104*12)</f>
        <v/>
      </c>
      <c r="CH37" s="359">
        <f>IF(CH$3="","",入力データ!$C$104*12)</f>
        <v/>
      </c>
      <c r="CI37" s="359">
        <f>IF(CI$3="","",入力データ!$C$104*12)</f>
        <v/>
      </c>
      <c r="CJ37" s="359">
        <f>IF(CJ$3="","",入力データ!$C$104*12)</f>
        <v/>
      </c>
      <c r="CK37" s="359">
        <f>IF(CK$3="","",入力データ!$C$104*12)</f>
        <v/>
      </c>
      <c r="CL37" s="359">
        <f>IF(CL$3="","",入力データ!$C$104*12)</f>
        <v/>
      </c>
      <c r="CM37" s="359">
        <f>IF(CM$3="","",入力データ!$C$104*12)</f>
        <v/>
      </c>
      <c r="CN37" s="359">
        <f>IF(CN$3="","",入力データ!$C$104*12)</f>
        <v/>
      </c>
      <c r="CO37" s="359">
        <f>IF(CO$3="","",入力データ!$C$104*12)</f>
        <v/>
      </c>
      <c r="CP37" s="359">
        <f>IF(CP$3="","",入力データ!$C$104*12)</f>
        <v/>
      </c>
      <c r="CQ37" s="359">
        <f>IF(CQ$3="","",入力データ!$C$104*12)</f>
        <v/>
      </c>
      <c r="CR37" s="359">
        <f>IF(CR$3="","",入力データ!$C$104*12)</f>
        <v/>
      </c>
      <c r="CS37" s="359">
        <f>IF(CS$3="","",入力データ!$C$104*12)</f>
        <v/>
      </c>
      <c r="CT37" s="359">
        <f>IF(CT$3="","",入力データ!$C$104*12)</f>
        <v/>
      </c>
      <c r="CU37" s="359">
        <f>IF(CU$3="","",入力データ!$C$104*12)</f>
        <v/>
      </c>
      <c r="CV37" s="359">
        <f>IF(CV$3="","",入力データ!$C$104*12)</f>
        <v/>
      </c>
      <c r="CW37" s="359">
        <f>IF(CW$3="","",入力データ!$C$104*12)</f>
        <v/>
      </c>
    </row>
    <row r="38" hidden="1" ht="16.5" customHeight="1" s="180">
      <c r="A38" s="239" t="inlineStr">
        <is>
          <t>預貯金前年差引前(補助)</t>
        </is>
      </c>
      <c r="B38" s="359">
        <f>IF(B$3="","",SUM(入力データ!$C$88:$C$89)+B30-B36-B37)</f>
        <v/>
      </c>
      <c r="C38" s="359">
        <f>IF(C$3="","",B31+C30-C36-C37)</f>
        <v/>
      </c>
      <c r="D38" s="359">
        <f>IF(D$3="","",C31+D30-D36-D37)</f>
        <v/>
      </c>
      <c r="E38" s="359">
        <f>IF(E$3="","",D31+E30-E36-E37)</f>
        <v/>
      </c>
      <c r="F38" s="359">
        <f>IF(F$3="","",E31+F30-F36-F37)</f>
        <v/>
      </c>
      <c r="G38" s="359">
        <f>IF(G$3="","",F31+G30-G36-G37)</f>
        <v/>
      </c>
      <c r="H38" s="359">
        <f>IF(H$3="","",G31+H30-H36-H37)</f>
        <v/>
      </c>
      <c r="I38" s="359">
        <f>IF(I$3="","",H31+I30-I36-I37)</f>
        <v/>
      </c>
      <c r="J38" s="359">
        <f>IF(J$3="","",I31+J30-J36-J37)</f>
        <v/>
      </c>
      <c r="K38" s="359">
        <f>IF(K$3="","",J31+K30-K36-K37)</f>
        <v/>
      </c>
      <c r="L38" s="359">
        <f>IF(L$3="","",K31+L30-L36-L37)</f>
        <v/>
      </c>
      <c r="M38" s="359">
        <f>IF(M$3="","",L31+M30-M36-M37)</f>
        <v/>
      </c>
      <c r="N38" s="359">
        <f>IF(N$3="","",M31+N30-N36-N37)</f>
        <v/>
      </c>
      <c r="O38" s="359">
        <f>IF(O$3="","",N31+O30-O36-O37)</f>
        <v/>
      </c>
      <c r="P38" s="359">
        <f>IF(P$3="","",O31+P30-P36-P37)</f>
        <v/>
      </c>
      <c r="Q38" s="359">
        <f>IF(Q$3="","",P31+Q30-Q36-Q37)</f>
        <v/>
      </c>
      <c r="R38" s="359">
        <f>IF(R$3="","",Q31+R30-R36-R37)</f>
        <v/>
      </c>
      <c r="S38" s="359">
        <f>IF(S$3="","",R31+S30-S36-S37)</f>
        <v/>
      </c>
      <c r="T38" s="359">
        <f>IF(T$3="","",S31+T30-T36-T37)</f>
        <v/>
      </c>
      <c r="U38" s="359">
        <f>IF(U$3="","",T31+U30-U36-U37)</f>
        <v/>
      </c>
      <c r="V38" s="359">
        <f>IF(V$3="","",U31+V30-V36-V37)</f>
        <v/>
      </c>
      <c r="W38" s="359">
        <f>IF(W$3="","",V31+W30-W36-W37)</f>
        <v/>
      </c>
      <c r="X38" s="359">
        <f>IF(X$3="","",W31+X30-X36-X37)</f>
        <v/>
      </c>
      <c r="Y38" s="359">
        <f>IF(Y$3="","",X31+Y30-Y36-Y37)</f>
        <v/>
      </c>
      <c r="Z38" s="359">
        <f>IF(Z$3="","",Y31+Z30-Z36-Z37)</f>
        <v/>
      </c>
      <c r="AA38" s="359">
        <f>IF(AA$3="","",Z31+AA30-AA36-AA37)</f>
        <v/>
      </c>
      <c r="AB38" s="359">
        <f>IF(AB$3="","",AA31+AB30-AB36-AB37)</f>
        <v/>
      </c>
      <c r="AC38" s="359">
        <f>IF(AC$3="","",AB31+AC30-AC36-AC37)</f>
        <v/>
      </c>
      <c r="AD38" s="359">
        <f>IF(AD$3="","",AC31+AD30-AD36-AD37)</f>
        <v/>
      </c>
      <c r="AE38" s="359">
        <f>IF(AE$3="","",AD31+AE30-AE36-AE37)</f>
        <v/>
      </c>
      <c r="AF38" s="359">
        <f>IF(AF$3="","",AE31+AF30-AF36-AF37)</f>
        <v/>
      </c>
      <c r="AG38" s="359">
        <f>IF(AG$3="","",AF31+AG30-AG36-AG37)</f>
        <v/>
      </c>
      <c r="AH38" s="359">
        <f>IF(AH$3="","",AG31+AH30-AH36-AH37)</f>
        <v/>
      </c>
      <c r="AI38" s="359">
        <f>IF(AI$3="","",AH31+AI30-AI36-AI37)</f>
        <v/>
      </c>
      <c r="AJ38" s="359">
        <f>IF(AJ$3="","",AI31+AJ30-AJ36-AJ37)</f>
        <v/>
      </c>
      <c r="AK38" s="359">
        <f>IF(AK$3="","",AJ31+AK30-AK36-AK37)</f>
        <v/>
      </c>
      <c r="AL38" s="359">
        <f>IF(AL$3="","",AK31+AL30-AL36-AL37)</f>
        <v/>
      </c>
      <c r="AM38" s="359">
        <f>IF(AM$3="","",AL31+AM30-AM36-AM37)</f>
        <v/>
      </c>
      <c r="AN38" s="359">
        <f>IF(AN$3="","",AM31+AN30-AN36-AN37)</f>
        <v/>
      </c>
      <c r="AO38" s="359">
        <f>IF(AO$3="","",AN31+AO30-AO36-AO37)</f>
        <v/>
      </c>
      <c r="AP38" s="359">
        <f>IF(AP$3="","",AO31+AP30-AP36-AP37)</f>
        <v/>
      </c>
      <c r="AQ38" s="359">
        <f>IF(AQ$3="","",AP31+AQ30-AQ36-AQ37)</f>
        <v/>
      </c>
      <c r="AR38" s="359">
        <f>IF(AR$3="","",AQ31+AR30-AR36-AR37)</f>
        <v/>
      </c>
      <c r="AS38" s="359">
        <f>IF(AS$3="","",AR31+AS30-AS36-AS37)</f>
        <v/>
      </c>
      <c r="AT38" s="359">
        <f>IF(AT$3="","",AS31+AT30-AT36-AT37)</f>
        <v/>
      </c>
      <c r="AU38" s="359">
        <f>IF(AU$3="","",AT31+AU30-AU36-AU37)</f>
        <v/>
      </c>
      <c r="AV38" s="359">
        <f>IF(AV$3="","",AU31+AV30-AV36-AV37)</f>
        <v/>
      </c>
      <c r="AW38" s="359">
        <f>IF(AW$3="","",AV31+AW30-AW36-AW37)</f>
        <v/>
      </c>
      <c r="AX38" s="359">
        <f>IF(AX$3="","",AW31+AX30-AX36-AX37)</f>
        <v/>
      </c>
      <c r="AY38" s="359">
        <f>IF(AY$3="","",AX31+AY30-AY36-AY37)</f>
        <v/>
      </c>
      <c r="AZ38" s="359">
        <f>IF(AZ$3="","",AY31+AZ30-AZ36-AZ37)</f>
        <v/>
      </c>
      <c r="BA38" s="359">
        <f>IF(BA$3="","",AZ31+BA30-BA36-BA37)</f>
        <v/>
      </c>
      <c r="BB38" s="359">
        <f>IF(BB$3="","",BA31+BB30-BB36-BB37)</f>
        <v/>
      </c>
      <c r="BC38" s="359">
        <f>IF(BC$3="","",BB31+BC30-BC36-BC37)</f>
        <v/>
      </c>
      <c r="BD38" s="359">
        <f>IF(BD$3="","",BC31+BD30-BD36-BD37)</f>
        <v/>
      </c>
      <c r="BE38" s="359">
        <f>IF(BE$3="","",BD31+BE30-BE36-BE37)</f>
        <v/>
      </c>
      <c r="BF38" s="359">
        <f>IF(BF$3="","",BE31+BF30-BF36-BF37)</f>
        <v/>
      </c>
      <c r="BG38" s="359">
        <f>IF(BG$3="","",BF31+BG30-BG36-BG37)</f>
        <v/>
      </c>
      <c r="BH38" s="359">
        <f>IF(BH$3="","",BG31+BH30-BH36-BH37)</f>
        <v/>
      </c>
      <c r="BI38" s="359">
        <f>IF(BI$3="","",BH31+BI30-BI36-BI37)</f>
        <v/>
      </c>
      <c r="BJ38" s="359">
        <f>IF(BJ$3="","",BI31+BJ30-BJ36-BJ37)</f>
        <v/>
      </c>
      <c r="BK38" s="359">
        <f>IF(BK$3="","",BJ31+BK30-BK36-BK37)</f>
        <v/>
      </c>
      <c r="BL38" s="359">
        <f>IF(BL$3="","",BK31+BL30-BL36-BL37)</f>
        <v/>
      </c>
      <c r="BM38" s="359">
        <f>IF(BM$3="","",BL31+BM30-BM36-BM37)</f>
        <v/>
      </c>
      <c r="BN38" s="359">
        <f>IF(BN$3="","",BM31+BN30-BN36-BN37)</f>
        <v/>
      </c>
      <c r="BO38" s="359">
        <f>IF(BO$3="","",BN31+BO30-BO36-BO37)</f>
        <v/>
      </c>
      <c r="BP38" s="359">
        <f>IF(BP$3="","",BO31+BP30-BP36-BP37)</f>
        <v/>
      </c>
      <c r="BQ38" s="359">
        <f>IF(BQ$3="","",BP31+BQ30-BQ36-BQ37)</f>
        <v/>
      </c>
      <c r="BR38" s="359">
        <f>IF(BR$3="","",BQ31+BR30-BR36-BR37)</f>
        <v/>
      </c>
      <c r="BS38" s="359">
        <f>IF(BS$3="","",BR31+BS30-BS36-BS37)</f>
        <v/>
      </c>
      <c r="BT38" s="359">
        <f>IF(BT$3="","",BS31+BT30-BT36-BT37)</f>
        <v/>
      </c>
      <c r="BU38" s="359">
        <f>IF(BU$3="","",BT31+BU30-BU36-BU37)</f>
        <v/>
      </c>
      <c r="BV38" s="359">
        <f>IF(BV$3="","",BU31+BV30-BV36-BV37)</f>
        <v/>
      </c>
      <c r="BW38" s="359">
        <f>IF(BW$3="","",BV31+BW30-BW36-BW37)</f>
        <v/>
      </c>
      <c r="BX38" s="359">
        <f>IF(BX$3="","",BW31+BX30-BX36-BX37)</f>
        <v/>
      </c>
      <c r="BY38" s="359">
        <f>IF(BY$3="","",BX31+BY30-BY36-BY37)</f>
        <v/>
      </c>
      <c r="BZ38" s="359">
        <f>IF(BZ$3="","",BY31+BZ30-BZ36-BZ37)</f>
        <v/>
      </c>
      <c r="CA38" s="359">
        <f>IF(CA$3="","",BZ31+CA30-CA36-CA37)</f>
        <v/>
      </c>
      <c r="CB38" s="359">
        <f>IF(CB$3="","",CA31+CB30-CB36-CB37)</f>
        <v/>
      </c>
      <c r="CC38" s="359">
        <f>IF(CC$3="","",CB31+CC30-CC36-CC37)</f>
        <v/>
      </c>
      <c r="CD38" s="359">
        <f>IF(CD$3="","",CC31+CD30-CD36-CD37)</f>
        <v/>
      </c>
      <c r="CE38" s="359">
        <f>IF(CE$3="","",CD31+CE30-CE36-CE37)</f>
        <v/>
      </c>
      <c r="CF38" s="359">
        <f>IF(CF$3="","",CE31+CF30-CF36-CF37)</f>
        <v/>
      </c>
      <c r="CG38" s="359">
        <f>IF(CG$3="","",CF31+CG30-CG36-CG37)</f>
        <v/>
      </c>
      <c r="CH38" s="359">
        <f>IF(CH$3="","",CG31+CH30-CH36-CH37)</f>
        <v/>
      </c>
      <c r="CI38" s="359">
        <f>IF(CI$3="","",CH31+CI30-CI36-CI37)</f>
        <v/>
      </c>
      <c r="CJ38" s="359">
        <f>IF(CJ$3="","",CI31+CJ30-CJ36-CJ37)</f>
        <v/>
      </c>
      <c r="CK38" s="359">
        <f>IF(CK$3="","",CJ31+CK30-CK36-CK37)</f>
        <v/>
      </c>
      <c r="CL38" s="359">
        <f>IF(CL$3="","",CK31+CL30-CL36-CL37)</f>
        <v/>
      </c>
      <c r="CM38" s="359">
        <f>IF(CM$3="","",CL31+CM30-CM36-CM37)</f>
        <v/>
      </c>
      <c r="CN38" s="359">
        <f>IF(CN$3="","",CM31+CN30-CN36-CN37)</f>
        <v/>
      </c>
      <c r="CO38" s="359">
        <f>IF(CO$3="","",CN31+CO30-CO36-CO37)</f>
        <v/>
      </c>
      <c r="CP38" s="359">
        <f>IF(CP$3="","",CO31+CP30-CP36-CP37)</f>
        <v/>
      </c>
      <c r="CQ38" s="359">
        <f>IF(CQ$3="","",CP31+CQ30-CQ36-CQ37)</f>
        <v/>
      </c>
      <c r="CR38" s="359">
        <f>IF(CR$3="","",CQ31+CR30-CR36-CR37)</f>
        <v/>
      </c>
      <c r="CS38" s="359">
        <f>IF(CS$3="","",CR31+CS30-CS36-CS37)</f>
        <v/>
      </c>
      <c r="CT38" s="359">
        <f>IF(CT$3="","",CS31+CT30-CT36-CT37)</f>
        <v/>
      </c>
      <c r="CU38" s="359">
        <f>IF(CU$3="","",CT31+CU30-CU36-CU37)</f>
        <v/>
      </c>
      <c r="CV38" s="359">
        <f>IF(CV$3="","",CU31+CV30-CV36-CV37)</f>
        <v/>
      </c>
      <c r="CW38" s="359">
        <f>IF(CW$3="","",CV31+CW30-CW36-CW37)</f>
        <v/>
      </c>
    </row>
    <row r="39" hidden="1" ht="16.5" customHeight="1" s="180">
      <c r="A39" s="239" t="inlineStr">
        <is>
          <t>投資取り崩し額(補助)</t>
        </is>
      </c>
      <c r="B39" s="359">
        <f>IF(B$3="","",MAX(0,-B38))</f>
        <v/>
      </c>
      <c r="C39" s="359">
        <f>IF(C$3="","",MAX(0,-C38))</f>
        <v/>
      </c>
      <c r="D39" s="359">
        <f>IF(D$3="","",MAX(0,-D38))</f>
        <v/>
      </c>
      <c r="E39" s="359">
        <f>IF(E$3="","",MAX(0,-E38))</f>
        <v/>
      </c>
      <c r="F39" s="359">
        <f>IF(F$3="","",MAX(0,-F38))</f>
        <v/>
      </c>
      <c r="G39" s="359">
        <f>IF(G$3="","",MAX(0,-G38))</f>
        <v/>
      </c>
      <c r="H39" s="359">
        <f>IF(H$3="","",MAX(0,-H38))</f>
        <v/>
      </c>
      <c r="I39" s="359">
        <f>IF(I$3="","",MAX(0,-I38))</f>
        <v/>
      </c>
      <c r="J39" s="359">
        <f>IF(J$3="","",MAX(0,-J38))</f>
        <v/>
      </c>
      <c r="K39" s="359">
        <f>IF(K$3="","",MAX(0,-K38))</f>
        <v/>
      </c>
      <c r="L39" s="359">
        <f>IF(L$3="","",MAX(0,-L38))</f>
        <v/>
      </c>
      <c r="M39" s="359">
        <f>IF(M$3="","",MAX(0,-M38))</f>
        <v/>
      </c>
      <c r="N39" s="359">
        <f>IF(N$3="","",MAX(0,-N38))</f>
        <v/>
      </c>
      <c r="O39" s="359">
        <f>IF(O$3="","",MAX(0,-O38))</f>
        <v/>
      </c>
      <c r="P39" s="359">
        <f>IF(P$3="","",MAX(0,-P38))</f>
        <v/>
      </c>
      <c r="Q39" s="359">
        <f>IF(Q$3="","",MAX(0,-Q38))</f>
        <v/>
      </c>
      <c r="R39" s="359">
        <f>IF(R$3="","",MAX(0,-R38))</f>
        <v/>
      </c>
      <c r="S39" s="359">
        <f>IF(S$3="","",MAX(0,-S38))</f>
        <v/>
      </c>
      <c r="T39" s="359">
        <f>IF(T$3="","",MAX(0,-T38))</f>
        <v/>
      </c>
      <c r="U39" s="359">
        <f>IF(U$3="","",MAX(0,-U38))</f>
        <v/>
      </c>
      <c r="V39" s="359">
        <f>IF(V$3="","",MAX(0,-V38))</f>
        <v/>
      </c>
      <c r="W39" s="359">
        <f>IF(W$3="","",MAX(0,-W38))</f>
        <v/>
      </c>
      <c r="X39" s="359">
        <f>IF(X$3="","",MAX(0,-X38))</f>
        <v/>
      </c>
      <c r="Y39" s="359">
        <f>IF(Y$3="","",MAX(0,-Y38))</f>
        <v/>
      </c>
      <c r="Z39" s="359">
        <f>IF(Z$3="","",MAX(0,-Z38))</f>
        <v/>
      </c>
      <c r="AA39" s="359">
        <f>IF(AA$3="","",MAX(0,-AA38))</f>
        <v/>
      </c>
      <c r="AB39" s="359">
        <f>IF(AB$3="","",MAX(0,-AB38))</f>
        <v/>
      </c>
      <c r="AC39" s="359">
        <f>IF(AC$3="","",MAX(0,-AC38))</f>
        <v/>
      </c>
      <c r="AD39" s="359">
        <f>IF(AD$3="","",MAX(0,-AD38))</f>
        <v/>
      </c>
      <c r="AE39" s="359">
        <f>IF(AE$3="","",MAX(0,-AE38))</f>
        <v/>
      </c>
      <c r="AF39" s="359">
        <f>IF(AF$3="","",MAX(0,-AF38))</f>
        <v/>
      </c>
      <c r="AG39" s="359">
        <f>IF(AG$3="","",MAX(0,-AG38))</f>
        <v/>
      </c>
      <c r="AH39" s="359">
        <f>IF(AH$3="","",MAX(0,-AH38))</f>
        <v/>
      </c>
      <c r="AI39" s="359">
        <f>IF(AI$3="","",MAX(0,-AI38))</f>
        <v/>
      </c>
      <c r="AJ39" s="359">
        <f>IF(AJ$3="","",MAX(0,-AJ38))</f>
        <v/>
      </c>
      <c r="AK39" s="359">
        <f>IF(AK$3="","",MAX(0,-AK38))</f>
        <v/>
      </c>
      <c r="AL39" s="359">
        <f>IF(AL$3="","",MAX(0,-AL38))</f>
        <v/>
      </c>
      <c r="AM39" s="359">
        <f>IF(AM$3="","",MAX(0,-AM38))</f>
        <v/>
      </c>
      <c r="AN39" s="359">
        <f>IF(AN$3="","",MAX(0,-AN38))</f>
        <v/>
      </c>
      <c r="AO39" s="359">
        <f>IF(AO$3="","",MAX(0,-AO38))</f>
        <v/>
      </c>
      <c r="AP39" s="359">
        <f>IF(AP$3="","",MAX(0,-AP38))</f>
        <v/>
      </c>
      <c r="AQ39" s="359">
        <f>IF(AQ$3="","",MAX(0,-AQ38))</f>
        <v/>
      </c>
      <c r="AR39" s="359">
        <f>IF(AR$3="","",MAX(0,-AR38))</f>
        <v/>
      </c>
      <c r="AS39" s="359">
        <f>IF(AS$3="","",MAX(0,-AS38))</f>
        <v/>
      </c>
      <c r="AT39" s="359">
        <f>IF(AT$3="","",MAX(0,-AT38))</f>
        <v/>
      </c>
      <c r="AU39" s="359">
        <f>IF(AU$3="","",MAX(0,-AU38))</f>
        <v/>
      </c>
      <c r="AV39" s="359">
        <f>IF(AV$3="","",MAX(0,-AV38))</f>
        <v/>
      </c>
      <c r="AW39" s="359">
        <f>IF(AW$3="","",MAX(0,-AW38))</f>
        <v/>
      </c>
      <c r="AX39" s="359">
        <f>IF(AX$3="","",MAX(0,-AX38))</f>
        <v/>
      </c>
      <c r="AY39" s="359">
        <f>IF(AY$3="","",MAX(0,-AY38))</f>
        <v/>
      </c>
      <c r="AZ39" s="359">
        <f>IF(AZ$3="","",MAX(0,-AZ38))</f>
        <v/>
      </c>
      <c r="BA39" s="359">
        <f>IF(BA$3="","",MAX(0,-BA38))</f>
        <v/>
      </c>
      <c r="BB39" s="359">
        <f>IF(BB$3="","",MAX(0,-BB38))</f>
        <v/>
      </c>
      <c r="BC39" s="359">
        <f>IF(BC$3="","",MAX(0,-BC38))</f>
        <v/>
      </c>
      <c r="BD39" s="359">
        <f>IF(BD$3="","",MAX(0,-BD38))</f>
        <v/>
      </c>
      <c r="BE39" s="359">
        <f>IF(BE$3="","",MAX(0,-BE38))</f>
        <v/>
      </c>
      <c r="BF39" s="359">
        <f>IF(BF$3="","",MAX(0,-BF38))</f>
        <v/>
      </c>
      <c r="BG39" s="359">
        <f>IF(BG$3="","",MAX(0,-BG38))</f>
        <v/>
      </c>
      <c r="BH39" s="359">
        <f>IF(BH$3="","",MAX(0,-BH38))</f>
        <v/>
      </c>
      <c r="BI39" s="359">
        <f>IF(BI$3="","",MAX(0,-BI38))</f>
        <v/>
      </c>
      <c r="BJ39" s="359">
        <f>IF(BJ$3="","",MAX(0,-BJ38))</f>
        <v/>
      </c>
      <c r="BK39" s="359">
        <f>IF(BK$3="","",MAX(0,-BK38))</f>
        <v/>
      </c>
      <c r="BL39" s="359">
        <f>IF(BL$3="","",MAX(0,-BL38))</f>
        <v/>
      </c>
      <c r="BM39" s="359">
        <f>IF(BM$3="","",MAX(0,-BM38))</f>
        <v/>
      </c>
      <c r="BN39" s="359">
        <f>IF(BN$3="","",MAX(0,-BN38))</f>
        <v/>
      </c>
      <c r="BO39" s="359">
        <f>IF(BO$3="","",MAX(0,-BO38))</f>
        <v/>
      </c>
      <c r="BP39" s="359">
        <f>IF(BP$3="","",MAX(0,-BP38))</f>
        <v/>
      </c>
      <c r="BQ39" s="359">
        <f>IF(BQ$3="","",MAX(0,-BQ38))</f>
        <v/>
      </c>
      <c r="BR39" s="359">
        <f>IF(BR$3="","",MAX(0,-BR38))</f>
        <v/>
      </c>
      <c r="BS39" s="359">
        <f>IF(BS$3="","",MAX(0,-BS38))</f>
        <v/>
      </c>
      <c r="BT39" s="359">
        <f>IF(BT$3="","",MAX(0,-BT38))</f>
        <v/>
      </c>
      <c r="BU39" s="359">
        <f>IF(BU$3="","",MAX(0,-BU38))</f>
        <v/>
      </c>
      <c r="BV39" s="359">
        <f>IF(BV$3="","",MAX(0,-BV38))</f>
        <v/>
      </c>
      <c r="BW39" s="359">
        <f>IF(BW$3="","",MAX(0,-BW38))</f>
        <v/>
      </c>
      <c r="BX39" s="359">
        <f>IF(BX$3="","",MAX(0,-BX38))</f>
        <v/>
      </c>
      <c r="BY39" s="359">
        <f>IF(BY$3="","",MAX(0,-BY38))</f>
        <v/>
      </c>
      <c r="BZ39" s="359">
        <f>IF(BZ$3="","",MAX(0,-BZ38))</f>
        <v/>
      </c>
      <c r="CA39" s="359">
        <f>IF(CA$3="","",MAX(0,-CA38))</f>
        <v/>
      </c>
      <c r="CB39" s="359">
        <f>IF(CB$3="","",MAX(0,-CB38))</f>
        <v/>
      </c>
      <c r="CC39" s="359">
        <f>IF(CC$3="","",MAX(0,-CC38))</f>
        <v/>
      </c>
      <c r="CD39" s="359">
        <f>IF(CD$3="","",MAX(0,-CD38))</f>
        <v/>
      </c>
      <c r="CE39" s="359">
        <f>IF(CE$3="","",MAX(0,-CE38))</f>
        <v/>
      </c>
      <c r="CF39" s="359">
        <f>IF(CF$3="","",MAX(0,-CF38))</f>
        <v/>
      </c>
      <c r="CG39" s="359">
        <f>IF(CG$3="","",MAX(0,-CG38))</f>
        <v/>
      </c>
      <c r="CH39" s="359">
        <f>IF(CH$3="","",MAX(0,-CH38))</f>
        <v/>
      </c>
      <c r="CI39" s="359">
        <f>IF(CI$3="","",MAX(0,-CI38))</f>
        <v/>
      </c>
      <c r="CJ39" s="359">
        <f>IF(CJ$3="","",MAX(0,-CJ38))</f>
        <v/>
      </c>
      <c r="CK39" s="359">
        <f>IF(CK$3="","",MAX(0,-CK38))</f>
        <v/>
      </c>
      <c r="CL39" s="359">
        <f>IF(CL$3="","",MAX(0,-CL38))</f>
        <v/>
      </c>
      <c r="CM39" s="359">
        <f>IF(CM$3="","",MAX(0,-CM38))</f>
        <v/>
      </c>
      <c r="CN39" s="359">
        <f>IF(CN$3="","",MAX(0,-CN38))</f>
        <v/>
      </c>
      <c r="CO39" s="359">
        <f>IF(CO$3="","",MAX(0,-CO38))</f>
        <v/>
      </c>
      <c r="CP39" s="359">
        <f>IF(CP$3="","",MAX(0,-CP38))</f>
        <v/>
      </c>
      <c r="CQ39" s="359">
        <f>IF(CQ$3="","",MAX(0,-CQ38))</f>
        <v/>
      </c>
      <c r="CR39" s="359">
        <f>IF(CR$3="","",MAX(0,-CR38))</f>
        <v/>
      </c>
      <c r="CS39" s="359">
        <f>IF(CS$3="","",MAX(0,-CS38))</f>
        <v/>
      </c>
      <c r="CT39" s="359">
        <f>IF(CT$3="","",MAX(0,-CT38))</f>
        <v/>
      </c>
      <c r="CU39" s="359">
        <f>IF(CU$3="","",MAX(0,-CU38))</f>
        <v/>
      </c>
      <c r="CV39" s="359">
        <f>IF(CV$3="","",MAX(0,-CV38))</f>
        <v/>
      </c>
      <c r="CW39" s="359">
        <f>IF(CW$3="","",MAX(0,-CW38))</f>
        <v/>
      </c>
    </row>
    <row r="40" hidden="1" ht="16.5" customHeight="1" s="180">
      <c r="A40" s="239" t="inlineStr">
        <is>
          <t>返戻金取り崩し額(補助)</t>
        </is>
      </c>
      <c r="B40" s="359">
        <f>IF(B$3="","",MAX(0,B39-((SUM(入力データ!$C$90:$C$92,入力データ!$C$94)*(1+前提条件!$C$60))+B36)))</f>
        <v/>
      </c>
      <c r="C40" s="359">
        <f>IF(C$3="","",MAX(0,C39-((B32*(1+前提条件!$C$60))+C36)))</f>
        <v/>
      </c>
      <c r="D40" s="359">
        <f>IF(D$3="","",MAX(0,D39-((C32*(1+前提条件!$C$60))+D36)))</f>
        <v/>
      </c>
      <c r="E40" s="359">
        <f>IF(E$3="","",MAX(0,E39-((D32*(1+前提条件!$C$60))+E36)))</f>
        <v/>
      </c>
      <c r="F40" s="359">
        <f>IF(F$3="","",MAX(0,F39-((E32*(1+前提条件!$C$60))+F36)))</f>
        <v/>
      </c>
      <c r="G40" s="359">
        <f>IF(G$3="","",MAX(0,G39-((F32*(1+前提条件!$C$60))+G36)))</f>
        <v/>
      </c>
      <c r="H40" s="359">
        <f>IF(H$3="","",MAX(0,H39-((G32*(1+前提条件!$C$60))+H36)))</f>
        <v/>
      </c>
      <c r="I40" s="359">
        <f>IF(I$3="","",MAX(0,I39-((H32*(1+前提条件!$C$60))+I36)))</f>
        <v/>
      </c>
      <c r="J40" s="359">
        <f>IF(J$3="","",MAX(0,J39-((I32*(1+前提条件!$C$60))+J36)))</f>
        <v/>
      </c>
      <c r="K40" s="359">
        <f>IF(K$3="","",MAX(0,K39-((J32*(1+前提条件!$C$60))+K36)))</f>
        <v/>
      </c>
      <c r="L40" s="359">
        <f>IF(L$3="","",MAX(0,L39-((K32*(1+前提条件!$C$60))+L36)))</f>
        <v/>
      </c>
      <c r="M40" s="359">
        <f>IF(M$3="","",MAX(0,M39-((L32*(1+前提条件!$C$60))+M36)))</f>
        <v/>
      </c>
      <c r="N40" s="359">
        <f>IF(N$3="","",MAX(0,N39-((M32*(1+前提条件!$C$60))+N36)))</f>
        <v/>
      </c>
      <c r="O40" s="359">
        <f>IF(O$3="","",MAX(0,O39-((N32*(1+前提条件!$C$60))+O36)))</f>
        <v/>
      </c>
      <c r="P40" s="359">
        <f>IF(P$3="","",MAX(0,P39-((O32*(1+前提条件!$C$60))+P36)))</f>
        <v/>
      </c>
      <c r="Q40" s="359">
        <f>IF(Q$3="","",MAX(0,Q39-((P32*(1+前提条件!$C$60))+Q36)))</f>
        <v/>
      </c>
      <c r="R40" s="359">
        <f>IF(R$3="","",MAX(0,R39-((Q32*(1+前提条件!$C$60))+R36)))</f>
        <v/>
      </c>
      <c r="S40" s="359">
        <f>IF(S$3="","",MAX(0,S39-((R32*(1+前提条件!$C$60))+S36)))</f>
        <v/>
      </c>
      <c r="T40" s="359">
        <f>IF(T$3="","",MAX(0,T39-((S32*(1+前提条件!$C$60))+T36)))</f>
        <v/>
      </c>
      <c r="U40" s="359">
        <f>IF(U$3="","",MAX(0,U39-((T32*(1+前提条件!$C$60))+U36)))</f>
        <v/>
      </c>
      <c r="V40" s="359">
        <f>IF(V$3="","",MAX(0,V39-((U32*(1+前提条件!$C$60))+V36)))</f>
        <v/>
      </c>
      <c r="W40" s="359">
        <f>IF(W$3="","",MAX(0,W39-((V32*(1+前提条件!$C$60))+W36)))</f>
        <v/>
      </c>
      <c r="X40" s="359">
        <f>IF(X$3="","",MAX(0,X39-((W32*(1+前提条件!$C$60))+X36)))</f>
        <v/>
      </c>
      <c r="Y40" s="359">
        <f>IF(Y$3="","",MAX(0,Y39-((X32*(1+前提条件!$C$60))+Y36)))</f>
        <v/>
      </c>
      <c r="Z40" s="359">
        <f>IF(Z$3="","",MAX(0,Z39-((Y32*(1+前提条件!$C$60))+Z36)))</f>
        <v/>
      </c>
      <c r="AA40" s="359">
        <f>IF(AA$3="","",MAX(0,AA39-((Z32*(1+前提条件!$C$60))+AA36)))</f>
        <v/>
      </c>
      <c r="AB40" s="359">
        <f>IF(AB$3="","",MAX(0,AB39-((AA32*(1+前提条件!$C$60))+AB36)))</f>
        <v/>
      </c>
      <c r="AC40" s="359">
        <f>IF(AC$3="","",MAX(0,AC39-((AB32*(1+前提条件!$C$60))+AC36)))</f>
        <v/>
      </c>
      <c r="AD40" s="359">
        <f>IF(AD$3="","",MAX(0,AD39-((AC32*(1+前提条件!$C$60))+AD36)))</f>
        <v/>
      </c>
      <c r="AE40" s="359">
        <f>IF(AE$3="","",MAX(0,AE39-((AD32*(1+前提条件!$C$60))+AE36)))</f>
        <v/>
      </c>
      <c r="AF40" s="359">
        <f>IF(AF$3="","",MAX(0,AF39-((AE32*(1+前提条件!$C$60))+AF36)))</f>
        <v/>
      </c>
      <c r="AG40" s="359">
        <f>IF(AG$3="","",MAX(0,AG39-((AF32*(1+前提条件!$C$60))+AG36)))</f>
        <v/>
      </c>
      <c r="AH40" s="359">
        <f>IF(AH$3="","",MAX(0,AH39-((AG32*(1+前提条件!$C$60))+AH36)))</f>
        <v/>
      </c>
      <c r="AI40" s="359">
        <f>IF(AI$3="","",MAX(0,AI39-((AH32*(1+前提条件!$C$60))+AI36)))</f>
        <v/>
      </c>
      <c r="AJ40" s="359">
        <f>IF(AJ$3="","",MAX(0,AJ39-((AI32*(1+前提条件!$C$60))+AJ36)))</f>
        <v/>
      </c>
      <c r="AK40" s="359">
        <f>IF(AK$3="","",MAX(0,AK39-((AJ32*(1+前提条件!$C$60))+AK36)))</f>
        <v/>
      </c>
      <c r="AL40" s="359">
        <f>IF(AL$3="","",MAX(0,AL39-((AK32*(1+前提条件!$C$60))+AL36)))</f>
        <v/>
      </c>
      <c r="AM40" s="359">
        <f>IF(AM$3="","",MAX(0,AM39-((AL32*(1+前提条件!$C$60))+AM36)))</f>
        <v/>
      </c>
      <c r="AN40" s="359">
        <f>IF(AN$3="","",MAX(0,AN39-((AM32*(1+前提条件!$C$60))+AN36)))</f>
        <v/>
      </c>
      <c r="AO40" s="359">
        <f>IF(AO$3="","",MAX(0,AO39-((AN32*(1+前提条件!$C$60))+AO36)))</f>
        <v/>
      </c>
      <c r="AP40" s="359">
        <f>IF(AP$3="","",MAX(0,AP39-((AO32*(1+前提条件!$C$60))+AP36)))</f>
        <v/>
      </c>
      <c r="AQ40" s="359">
        <f>IF(AQ$3="","",MAX(0,AQ39-((AP32*(1+前提条件!$C$60))+AQ36)))</f>
        <v/>
      </c>
      <c r="AR40" s="359">
        <f>IF(AR$3="","",MAX(0,AR39-((AQ32*(1+前提条件!$C$60))+AR36)))</f>
        <v/>
      </c>
      <c r="AS40" s="359">
        <f>IF(AS$3="","",MAX(0,AS39-((AR32*(1+前提条件!$C$60))+AS36)))</f>
        <v/>
      </c>
      <c r="AT40" s="359">
        <f>IF(AT$3="","",MAX(0,AT39-((AS32*(1+前提条件!$C$60))+AT36)))</f>
        <v/>
      </c>
      <c r="AU40" s="359">
        <f>IF(AU$3="","",MAX(0,AU39-((AT32*(1+前提条件!$C$60))+AU36)))</f>
        <v/>
      </c>
      <c r="AV40" s="359">
        <f>IF(AV$3="","",MAX(0,AV39-((AU32*(1+前提条件!$C$60))+AV36)))</f>
        <v/>
      </c>
      <c r="AW40" s="359">
        <f>IF(AW$3="","",MAX(0,AW39-((AV32*(1+前提条件!$C$60))+AW36)))</f>
        <v/>
      </c>
      <c r="AX40" s="359">
        <f>IF(AX$3="","",MAX(0,AX39-((AW32*(1+前提条件!$C$60))+AX36)))</f>
        <v/>
      </c>
      <c r="AY40" s="359">
        <f>IF(AY$3="","",MAX(0,AY39-((AX32*(1+前提条件!$C$60))+AY36)))</f>
        <v/>
      </c>
      <c r="AZ40" s="359">
        <f>IF(AZ$3="","",MAX(0,AZ39-((AY32*(1+前提条件!$C$60))+AZ36)))</f>
        <v/>
      </c>
      <c r="BA40" s="359">
        <f>IF(BA$3="","",MAX(0,BA39-((AZ32*(1+前提条件!$C$60))+BA36)))</f>
        <v/>
      </c>
      <c r="BB40" s="359">
        <f>IF(BB$3="","",MAX(0,BB39-((BA32*(1+前提条件!$C$60))+BB36)))</f>
        <v/>
      </c>
      <c r="BC40" s="359">
        <f>IF(BC$3="","",MAX(0,BC39-((BB32*(1+前提条件!$C$60))+BC36)))</f>
        <v/>
      </c>
      <c r="BD40" s="359">
        <f>IF(BD$3="","",MAX(0,BD39-((BC32*(1+前提条件!$C$60))+BD36)))</f>
        <v/>
      </c>
      <c r="BE40" s="359">
        <f>IF(BE$3="","",MAX(0,BE39-((BD32*(1+前提条件!$C$60))+BE36)))</f>
        <v/>
      </c>
      <c r="BF40" s="359">
        <f>IF(BF$3="","",MAX(0,BF39-((BE32*(1+前提条件!$C$60))+BF36)))</f>
        <v/>
      </c>
      <c r="BG40" s="359">
        <f>IF(BG$3="","",MAX(0,BG39-((BF32*(1+前提条件!$C$60))+BG36)))</f>
        <v/>
      </c>
      <c r="BH40" s="359">
        <f>IF(BH$3="","",MAX(0,BH39-((BG32*(1+前提条件!$C$60))+BH36)))</f>
        <v/>
      </c>
      <c r="BI40" s="359">
        <f>IF(BI$3="","",MAX(0,BI39-((BH32*(1+前提条件!$C$60))+BI36)))</f>
        <v/>
      </c>
      <c r="BJ40" s="359">
        <f>IF(BJ$3="","",MAX(0,BJ39-((BI32*(1+前提条件!$C$60))+BJ36)))</f>
        <v/>
      </c>
      <c r="BK40" s="359">
        <f>IF(BK$3="","",MAX(0,BK39-((BJ32*(1+前提条件!$C$60))+BK36)))</f>
        <v/>
      </c>
      <c r="BL40" s="359">
        <f>IF(BL$3="","",MAX(0,BL39-((BK32*(1+前提条件!$C$60))+BL36)))</f>
        <v/>
      </c>
      <c r="BM40" s="359">
        <f>IF(BM$3="","",MAX(0,BM39-((BL32*(1+前提条件!$C$60))+BM36)))</f>
        <v/>
      </c>
      <c r="BN40" s="359">
        <f>IF(BN$3="","",MAX(0,BN39-((BM32*(1+前提条件!$C$60))+BN36)))</f>
        <v/>
      </c>
      <c r="BO40" s="359">
        <f>IF(BO$3="","",MAX(0,BO39-((BN32*(1+前提条件!$C$60))+BO36)))</f>
        <v/>
      </c>
      <c r="BP40" s="359">
        <f>IF(BP$3="","",MAX(0,BP39-((BO32*(1+前提条件!$C$60))+BP36)))</f>
        <v/>
      </c>
      <c r="BQ40" s="359">
        <f>IF(BQ$3="","",MAX(0,BQ39-((BP32*(1+前提条件!$C$60))+BQ36)))</f>
        <v/>
      </c>
      <c r="BR40" s="359">
        <f>IF(BR$3="","",MAX(0,BR39-((BQ32*(1+前提条件!$C$60))+BR36)))</f>
        <v/>
      </c>
      <c r="BS40" s="359">
        <f>IF(BS$3="","",MAX(0,BS39-((BR32*(1+前提条件!$C$60))+BS36)))</f>
        <v/>
      </c>
      <c r="BT40" s="359">
        <f>IF(BT$3="","",MAX(0,BT39-((BS32*(1+前提条件!$C$60))+BT36)))</f>
        <v/>
      </c>
      <c r="BU40" s="359">
        <f>IF(BU$3="","",MAX(0,BU39-((BT32*(1+前提条件!$C$60))+BU36)))</f>
        <v/>
      </c>
      <c r="BV40" s="359">
        <f>IF(BV$3="","",MAX(0,BV39-((BU32*(1+前提条件!$C$60))+BV36)))</f>
        <v/>
      </c>
      <c r="BW40" s="359">
        <f>IF(BW$3="","",MAX(0,BW39-((BV32*(1+前提条件!$C$60))+BW36)))</f>
        <v/>
      </c>
      <c r="BX40" s="359">
        <f>IF(BX$3="","",MAX(0,BX39-((BW32*(1+前提条件!$C$60))+BX36)))</f>
        <v/>
      </c>
      <c r="BY40" s="359">
        <f>IF(BY$3="","",MAX(0,BY39-((BX32*(1+前提条件!$C$60))+BY36)))</f>
        <v/>
      </c>
      <c r="BZ40" s="359">
        <f>IF(BZ$3="","",MAX(0,BZ39-((BY32*(1+前提条件!$C$60))+BZ36)))</f>
        <v/>
      </c>
      <c r="CA40" s="359">
        <f>IF(CA$3="","",MAX(0,CA39-((BZ32*(1+前提条件!$C$60))+CA36)))</f>
        <v/>
      </c>
      <c r="CB40" s="359">
        <f>IF(CB$3="","",MAX(0,CB39-((CA32*(1+前提条件!$C$60))+CB36)))</f>
        <v/>
      </c>
      <c r="CC40" s="359">
        <f>IF(CC$3="","",MAX(0,CC39-((CB32*(1+前提条件!$C$60))+CC36)))</f>
        <v/>
      </c>
      <c r="CD40" s="359">
        <f>IF(CD$3="","",MAX(0,CD39-((CC32*(1+前提条件!$C$60))+CD36)))</f>
        <v/>
      </c>
      <c r="CE40" s="359">
        <f>IF(CE$3="","",MAX(0,CE39-((CD32*(1+前提条件!$C$60))+CE36)))</f>
        <v/>
      </c>
      <c r="CF40" s="359">
        <f>IF(CF$3="","",MAX(0,CF39-((CE32*(1+前提条件!$C$60))+CF36)))</f>
        <v/>
      </c>
      <c r="CG40" s="359">
        <f>IF(CG$3="","",MAX(0,CG39-((CF32*(1+前提条件!$C$60))+CG36)))</f>
        <v/>
      </c>
      <c r="CH40" s="359">
        <f>IF(CH$3="","",MAX(0,CH39-((CG32*(1+前提条件!$C$60))+CH36)))</f>
        <v/>
      </c>
      <c r="CI40" s="359">
        <f>IF(CI$3="","",MAX(0,CI39-((CH32*(1+前提条件!$C$60))+CI36)))</f>
        <v/>
      </c>
      <c r="CJ40" s="359">
        <f>IF(CJ$3="","",MAX(0,CJ39-((CI32*(1+前提条件!$C$60))+CJ36)))</f>
        <v/>
      </c>
      <c r="CK40" s="359">
        <f>IF(CK$3="","",MAX(0,CK39-((CJ32*(1+前提条件!$C$60))+CK36)))</f>
        <v/>
      </c>
      <c r="CL40" s="359">
        <f>IF(CL$3="","",MAX(0,CL39-((CK32*(1+前提条件!$C$60))+CL36)))</f>
        <v/>
      </c>
      <c r="CM40" s="359">
        <f>IF(CM$3="","",MAX(0,CM39-((CL32*(1+前提条件!$C$60))+CM36)))</f>
        <v/>
      </c>
      <c r="CN40" s="359">
        <f>IF(CN$3="","",MAX(0,CN39-((CM32*(1+前提条件!$C$60))+CN36)))</f>
        <v/>
      </c>
      <c r="CO40" s="359">
        <f>IF(CO$3="","",MAX(0,CO39-((CN32*(1+前提条件!$C$60))+CO36)))</f>
        <v/>
      </c>
      <c r="CP40" s="359">
        <f>IF(CP$3="","",MAX(0,CP39-((CO32*(1+前提条件!$C$60))+CP36)))</f>
        <v/>
      </c>
      <c r="CQ40" s="359">
        <f>IF(CQ$3="","",MAX(0,CQ39-((CP32*(1+前提条件!$C$60))+CQ36)))</f>
        <v/>
      </c>
      <c r="CR40" s="359">
        <f>IF(CR$3="","",MAX(0,CR39-((CQ32*(1+前提条件!$C$60))+CR36)))</f>
        <v/>
      </c>
      <c r="CS40" s="359">
        <f>IF(CS$3="","",MAX(0,CS39-((CR32*(1+前提条件!$C$60))+CS36)))</f>
        <v/>
      </c>
      <c r="CT40" s="359">
        <f>IF(CT$3="","",MAX(0,CT39-((CS32*(1+前提条件!$C$60))+CT36)))</f>
        <v/>
      </c>
      <c r="CU40" s="359">
        <f>IF(CU$3="","",MAX(0,CU39-((CT32*(1+前提条件!$C$60))+CU36)))</f>
        <v/>
      </c>
      <c r="CV40" s="359">
        <f>IF(CV$3="","",MAX(0,CV39-((CU32*(1+前提条件!$C$60))+CV36)))</f>
        <v/>
      </c>
      <c r="CW40" s="359">
        <f>IF(CW$3="","",MAX(0,CW39-((CV32*(1+前提条件!$C$60))+CW36)))</f>
        <v/>
      </c>
    </row>
    <row r="41" hidden="1" ht="16.5" customHeight="1" s="180">
      <c r="A41" s="239" t="inlineStr">
        <is>
          <t>年間住宅ローン元本返済(補助)</t>
        </is>
      </c>
      <c r="B41" s="359">
        <f>IF(B$3="","",IF(OR(入力データ!$C$57="あり",NOT(AND(B4&lt;&gt;"",B4&lt;=前提条件!$C$44,入力データ!$C$95&gt;0))),0,入力データ!$C$95/MAX(1,前提条件!$C$44-B4+1)))</f>
        <v/>
      </c>
      <c r="C41" s="359">
        <f>IF(C$3="","",IF(OR(入力データ!$C$57="あり",C4&gt;前提条件!$C$44),0,$B$41))</f>
        <v/>
      </c>
      <c r="D41" s="359">
        <f>IF(D$3="","",IF(OR(入力データ!$C$57="あり",D4&gt;前提条件!$C$44),0,$B$41))</f>
        <v/>
      </c>
      <c r="E41" s="359">
        <f>IF(E$3="","",IF(OR(入力データ!$C$57="あり",E4&gt;前提条件!$C$44),0,$B$41))</f>
        <v/>
      </c>
      <c r="F41" s="359">
        <f>IF(F$3="","",IF(OR(入力データ!$C$57="あり",F4&gt;前提条件!$C$44),0,$B$41))</f>
        <v/>
      </c>
      <c r="G41" s="359">
        <f>IF(G$3="","",IF(OR(入力データ!$C$57="あり",G4&gt;前提条件!$C$44),0,$B$41))</f>
        <v/>
      </c>
      <c r="H41" s="359">
        <f>IF(H$3="","",IF(OR(入力データ!$C$57="あり",H4&gt;前提条件!$C$44),0,$B$41))</f>
        <v/>
      </c>
      <c r="I41" s="359">
        <f>IF(I$3="","",IF(OR(入力データ!$C$57="あり",I4&gt;前提条件!$C$44),0,$B$41))</f>
        <v/>
      </c>
      <c r="J41" s="359">
        <f>IF(J$3="","",IF(OR(入力データ!$C$57="あり",J4&gt;前提条件!$C$44),0,$B$41))</f>
        <v/>
      </c>
      <c r="K41" s="359">
        <f>IF(K$3="","",IF(OR(入力データ!$C$57="あり",K4&gt;前提条件!$C$44),0,$B$41))</f>
        <v/>
      </c>
      <c r="L41" s="359">
        <f>IF(L$3="","",IF(OR(入力データ!$C$57="あり",L4&gt;前提条件!$C$44),0,$B$41))</f>
        <v/>
      </c>
      <c r="M41" s="359">
        <f>IF(M$3="","",IF(OR(入力データ!$C$57="あり",M4&gt;前提条件!$C$44),0,$B$41))</f>
        <v/>
      </c>
      <c r="N41" s="359">
        <f>IF(N$3="","",IF(OR(入力データ!$C$57="あり",N4&gt;前提条件!$C$44),0,$B$41))</f>
        <v/>
      </c>
      <c r="O41" s="359">
        <f>IF(O$3="","",IF(OR(入力データ!$C$57="あり",O4&gt;前提条件!$C$44),0,$B$41))</f>
        <v/>
      </c>
      <c r="P41" s="359">
        <f>IF(P$3="","",IF(OR(入力データ!$C$57="あり",P4&gt;前提条件!$C$44),0,$B$41))</f>
        <v/>
      </c>
      <c r="Q41" s="359">
        <f>IF(Q$3="","",IF(OR(入力データ!$C$57="あり",Q4&gt;前提条件!$C$44),0,$B$41))</f>
        <v/>
      </c>
      <c r="R41" s="359">
        <f>IF(R$3="","",IF(OR(入力データ!$C$57="あり",R4&gt;前提条件!$C$44),0,$B$41))</f>
        <v/>
      </c>
      <c r="S41" s="359">
        <f>IF(S$3="","",IF(OR(入力データ!$C$57="あり",S4&gt;前提条件!$C$44),0,$B$41))</f>
        <v/>
      </c>
      <c r="T41" s="359">
        <f>IF(T$3="","",IF(OR(入力データ!$C$57="あり",T4&gt;前提条件!$C$44),0,$B$41))</f>
        <v/>
      </c>
      <c r="U41" s="359">
        <f>IF(U$3="","",IF(OR(入力データ!$C$57="あり",U4&gt;前提条件!$C$44),0,$B$41))</f>
        <v/>
      </c>
      <c r="V41" s="359">
        <f>IF(V$3="","",IF(OR(入力データ!$C$57="あり",V4&gt;前提条件!$C$44),0,$B$41))</f>
        <v/>
      </c>
      <c r="W41" s="359">
        <f>IF(W$3="","",IF(OR(入力データ!$C$57="あり",W4&gt;前提条件!$C$44),0,$B$41))</f>
        <v/>
      </c>
      <c r="X41" s="359">
        <f>IF(X$3="","",IF(OR(入力データ!$C$57="あり",X4&gt;前提条件!$C$44),0,$B$41))</f>
        <v/>
      </c>
      <c r="Y41" s="359">
        <f>IF(Y$3="","",IF(OR(入力データ!$C$57="あり",Y4&gt;前提条件!$C$44),0,$B$41))</f>
        <v/>
      </c>
      <c r="Z41" s="359">
        <f>IF(Z$3="","",IF(OR(入力データ!$C$57="あり",Z4&gt;前提条件!$C$44),0,$B$41))</f>
        <v/>
      </c>
      <c r="AA41" s="359">
        <f>IF(AA$3="","",IF(OR(入力データ!$C$57="あり",AA4&gt;前提条件!$C$44),0,$B$41))</f>
        <v/>
      </c>
      <c r="AB41" s="359">
        <f>IF(AB$3="","",IF(OR(入力データ!$C$57="あり",AB4&gt;前提条件!$C$44),0,$B$41))</f>
        <v/>
      </c>
      <c r="AC41" s="359">
        <f>IF(AC$3="","",IF(OR(入力データ!$C$57="あり",AC4&gt;前提条件!$C$44),0,$B$41))</f>
        <v/>
      </c>
      <c r="AD41" s="359">
        <f>IF(AD$3="","",IF(OR(入力データ!$C$57="あり",AD4&gt;前提条件!$C$44),0,$B$41))</f>
        <v/>
      </c>
      <c r="AE41" s="359">
        <f>IF(AE$3="","",IF(OR(入力データ!$C$57="あり",AE4&gt;前提条件!$C$44),0,$B$41))</f>
        <v/>
      </c>
      <c r="AF41" s="359">
        <f>IF(AF$3="","",IF(OR(入力データ!$C$57="あり",AF4&gt;前提条件!$C$44),0,$B$41))</f>
        <v/>
      </c>
      <c r="AG41" s="359">
        <f>IF(AG$3="","",IF(OR(入力データ!$C$57="あり",AG4&gt;前提条件!$C$44),0,$B$41))</f>
        <v/>
      </c>
      <c r="AH41" s="359">
        <f>IF(AH$3="","",IF(OR(入力データ!$C$57="あり",AH4&gt;前提条件!$C$44),0,$B$41))</f>
        <v/>
      </c>
      <c r="AI41" s="359">
        <f>IF(AI$3="","",IF(OR(入力データ!$C$57="あり",AI4&gt;前提条件!$C$44),0,$B$41))</f>
        <v/>
      </c>
      <c r="AJ41" s="359">
        <f>IF(AJ$3="","",IF(OR(入力データ!$C$57="あり",AJ4&gt;前提条件!$C$44),0,$B$41))</f>
        <v/>
      </c>
      <c r="AK41" s="359">
        <f>IF(AK$3="","",IF(OR(入力データ!$C$57="あり",AK4&gt;前提条件!$C$44),0,$B$41))</f>
        <v/>
      </c>
      <c r="AL41" s="359">
        <f>IF(AL$3="","",IF(OR(入力データ!$C$57="あり",AL4&gt;前提条件!$C$44),0,$B$41))</f>
        <v/>
      </c>
      <c r="AM41" s="359">
        <f>IF(AM$3="","",IF(OR(入力データ!$C$57="あり",AM4&gt;前提条件!$C$44),0,$B$41))</f>
        <v/>
      </c>
      <c r="AN41" s="359">
        <f>IF(AN$3="","",IF(OR(入力データ!$C$57="あり",AN4&gt;前提条件!$C$44),0,$B$41))</f>
        <v/>
      </c>
      <c r="AO41" s="359">
        <f>IF(AO$3="","",IF(OR(入力データ!$C$57="あり",AO4&gt;前提条件!$C$44),0,$B$41))</f>
        <v/>
      </c>
      <c r="AP41" s="359">
        <f>IF(AP$3="","",IF(OR(入力データ!$C$57="あり",AP4&gt;前提条件!$C$44),0,$B$41))</f>
        <v/>
      </c>
      <c r="AQ41" s="359">
        <f>IF(AQ$3="","",IF(OR(入力データ!$C$57="あり",AQ4&gt;前提条件!$C$44),0,$B$41))</f>
        <v/>
      </c>
      <c r="AR41" s="359">
        <f>IF(AR$3="","",IF(OR(入力データ!$C$57="あり",AR4&gt;前提条件!$C$44),0,$B$41))</f>
        <v/>
      </c>
      <c r="AS41" s="359">
        <f>IF(AS$3="","",IF(OR(入力データ!$C$57="あり",AS4&gt;前提条件!$C$44),0,$B$41))</f>
        <v/>
      </c>
      <c r="AT41" s="359">
        <f>IF(AT$3="","",IF(OR(入力データ!$C$57="あり",AT4&gt;前提条件!$C$44),0,$B$41))</f>
        <v/>
      </c>
      <c r="AU41" s="359">
        <f>IF(AU$3="","",IF(OR(入力データ!$C$57="あり",AU4&gt;前提条件!$C$44),0,$B$41))</f>
        <v/>
      </c>
      <c r="AV41" s="359">
        <f>IF(AV$3="","",IF(OR(入力データ!$C$57="あり",AV4&gt;前提条件!$C$44),0,$B$41))</f>
        <v/>
      </c>
      <c r="AW41" s="359">
        <f>IF(AW$3="","",IF(OR(入力データ!$C$57="あり",AW4&gt;前提条件!$C$44),0,$B$41))</f>
        <v/>
      </c>
      <c r="AX41" s="359">
        <f>IF(AX$3="","",IF(OR(入力データ!$C$57="あり",AX4&gt;前提条件!$C$44),0,$B$41))</f>
        <v/>
      </c>
      <c r="AY41" s="359">
        <f>IF(AY$3="","",IF(OR(入力データ!$C$57="あり",AY4&gt;前提条件!$C$44),0,$B$41))</f>
        <v/>
      </c>
      <c r="AZ41" s="359">
        <f>IF(AZ$3="","",IF(OR(入力データ!$C$57="あり",AZ4&gt;前提条件!$C$44),0,$B$41))</f>
        <v/>
      </c>
      <c r="BA41" s="359">
        <f>IF(BA$3="","",IF(OR(入力データ!$C$57="あり",BA4&gt;前提条件!$C$44),0,$B$41))</f>
        <v/>
      </c>
      <c r="BB41" s="359">
        <f>IF(BB$3="","",IF(OR(入力データ!$C$57="あり",BB4&gt;前提条件!$C$44),0,$B$41))</f>
        <v/>
      </c>
      <c r="BC41" s="359">
        <f>IF(BC$3="","",IF(OR(入力データ!$C$57="あり",BC4&gt;前提条件!$C$44),0,$B$41))</f>
        <v/>
      </c>
      <c r="BD41" s="359">
        <f>IF(BD$3="","",IF(OR(入力データ!$C$57="あり",BD4&gt;前提条件!$C$44),0,$B$41))</f>
        <v/>
      </c>
      <c r="BE41" s="359">
        <f>IF(BE$3="","",IF(OR(入力データ!$C$57="あり",BE4&gt;前提条件!$C$44),0,$B$41))</f>
        <v/>
      </c>
      <c r="BF41" s="359">
        <f>IF(BF$3="","",IF(OR(入力データ!$C$57="あり",BF4&gt;前提条件!$C$44),0,$B$41))</f>
        <v/>
      </c>
      <c r="BG41" s="359">
        <f>IF(BG$3="","",IF(OR(入力データ!$C$57="あり",BG4&gt;前提条件!$C$44),0,$B$41))</f>
        <v/>
      </c>
      <c r="BH41" s="359">
        <f>IF(BH$3="","",IF(OR(入力データ!$C$57="あり",BH4&gt;前提条件!$C$44),0,$B$41))</f>
        <v/>
      </c>
      <c r="BI41" s="359">
        <f>IF(BI$3="","",IF(OR(入力データ!$C$57="あり",BI4&gt;前提条件!$C$44),0,$B$41))</f>
        <v/>
      </c>
      <c r="BJ41" s="359">
        <f>IF(BJ$3="","",IF(OR(入力データ!$C$57="あり",BJ4&gt;前提条件!$C$44),0,$B$41))</f>
        <v/>
      </c>
      <c r="BK41" s="359">
        <f>IF(BK$3="","",IF(OR(入力データ!$C$57="あり",BK4&gt;前提条件!$C$44),0,$B$41))</f>
        <v/>
      </c>
      <c r="BL41" s="359">
        <f>IF(BL$3="","",IF(OR(入力データ!$C$57="あり",BL4&gt;前提条件!$C$44),0,$B$41))</f>
        <v/>
      </c>
      <c r="BM41" s="359">
        <f>IF(BM$3="","",IF(OR(入力データ!$C$57="あり",BM4&gt;前提条件!$C$44),0,$B$41))</f>
        <v/>
      </c>
      <c r="BN41" s="359">
        <f>IF(BN$3="","",IF(OR(入力データ!$C$57="あり",BN4&gt;前提条件!$C$44),0,$B$41))</f>
        <v/>
      </c>
      <c r="BO41" s="359">
        <f>IF(BO$3="","",IF(OR(入力データ!$C$57="あり",BO4&gt;前提条件!$C$44),0,$B$41))</f>
        <v/>
      </c>
      <c r="BP41" s="359">
        <f>IF(BP$3="","",IF(OR(入力データ!$C$57="あり",BP4&gt;前提条件!$C$44),0,$B$41))</f>
        <v/>
      </c>
      <c r="BQ41" s="359">
        <f>IF(BQ$3="","",IF(OR(入力データ!$C$57="あり",BQ4&gt;前提条件!$C$44),0,$B$41))</f>
        <v/>
      </c>
      <c r="BR41" s="359">
        <f>IF(BR$3="","",IF(OR(入力データ!$C$57="あり",BR4&gt;前提条件!$C$44),0,$B$41))</f>
        <v/>
      </c>
      <c r="BS41" s="359">
        <f>IF(BS$3="","",IF(OR(入力データ!$C$57="あり",BS4&gt;前提条件!$C$44),0,$B$41))</f>
        <v/>
      </c>
      <c r="BT41" s="359">
        <f>IF(BT$3="","",IF(OR(入力データ!$C$57="あり",BT4&gt;前提条件!$C$44),0,$B$41))</f>
        <v/>
      </c>
      <c r="BU41" s="359">
        <f>IF(BU$3="","",IF(OR(入力データ!$C$57="あり",BU4&gt;前提条件!$C$44),0,$B$41))</f>
        <v/>
      </c>
      <c r="BV41" s="359">
        <f>IF(BV$3="","",IF(OR(入力データ!$C$57="あり",BV4&gt;前提条件!$C$44),0,$B$41))</f>
        <v/>
      </c>
      <c r="BW41" s="359">
        <f>IF(BW$3="","",IF(OR(入力データ!$C$57="あり",BW4&gt;前提条件!$C$44),0,$B$41))</f>
        <v/>
      </c>
      <c r="BX41" s="359">
        <f>IF(BX$3="","",IF(OR(入力データ!$C$57="あり",BX4&gt;前提条件!$C$44),0,$B$41))</f>
        <v/>
      </c>
      <c r="BY41" s="359">
        <f>IF(BY$3="","",IF(OR(入力データ!$C$57="あり",BY4&gt;前提条件!$C$44),0,$B$41))</f>
        <v/>
      </c>
      <c r="BZ41" s="359">
        <f>IF(BZ$3="","",IF(OR(入力データ!$C$57="あり",BZ4&gt;前提条件!$C$44),0,$B$41))</f>
        <v/>
      </c>
      <c r="CA41" s="359">
        <f>IF(CA$3="","",IF(OR(入力データ!$C$57="あり",CA4&gt;前提条件!$C$44),0,$B$41))</f>
        <v/>
      </c>
      <c r="CB41" s="359">
        <f>IF(CB$3="","",IF(OR(入力データ!$C$57="あり",CB4&gt;前提条件!$C$44),0,$B$41))</f>
        <v/>
      </c>
      <c r="CC41" s="359">
        <f>IF(CC$3="","",IF(OR(入力データ!$C$57="あり",CC4&gt;前提条件!$C$44),0,$B$41))</f>
        <v/>
      </c>
      <c r="CD41" s="359">
        <f>IF(CD$3="","",IF(OR(入力データ!$C$57="あり",CD4&gt;前提条件!$C$44),0,$B$41))</f>
        <v/>
      </c>
      <c r="CE41" s="359">
        <f>IF(CE$3="","",IF(OR(入力データ!$C$57="あり",CE4&gt;前提条件!$C$44),0,$B$41))</f>
        <v/>
      </c>
      <c r="CF41" s="359">
        <f>IF(CF$3="","",IF(OR(入力データ!$C$57="あり",CF4&gt;前提条件!$C$44),0,$B$41))</f>
        <v/>
      </c>
      <c r="CG41" s="359">
        <f>IF(CG$3="","",IF(OR(入力データ!$C$57="あり",CG4&gt;前提条件!$C$44),0,$B$41))</f>
        <v/>
      </c>
      <c r="CH41" s="359">
        <f>IF(CH$3="","",IF(OR(入力データ!$C$57="あり",CH4&gt;前提条件!$C$44),0,$B$41))</f>
        <v/>
      </c>
      <c r="CI41" s="359">
        <f>IF(CI$3="","",IF(OR(入力データ!$C$57="あり",CI4&gt;前提条件!$C$44),0,$B$41))</f>
        <v/>
      </c>
      <c r="CJ41" s="359">
        <f>IF(CJ$3="","",IF(OR(入力データ!$C$57="あり",CJ4&gt;前提条件!$C$44),0,$B$41))</f>
        <v/>
      </c>
      <c r="CK41" s="359">
        <f>IF(CK$3="","",IF(OR(入力データ!$C$57="あり",CK4&gt;前提条件!$C$44),0,$B$41))</f>
        <v/>
      </c>
      <c r="CL41" s="359">
        <f>IF(CL$3="","",IF(OR(入力データ!$C$57="あり",CL4&gt;前提条件!$C$44),0,$B$41))</f>
        <v/>
      </c>
      <c r="CM41" s="359">
        <f>IF(CM$3="","",IF(OR(入力データ!$C$57="あり",CM4&gt;前提条件!$C$44),0,$B$41))</f>
        <v/>
      </c>
      <c r="CN41" s="359">
        <f>IF(CN$3="","",IF(OR(入力データ!$C$57="あり",CN4&gt;前提条件!$C$44),0,$B$41))</f>
        <v/>
      </c>
      <c r="CO41" s="359">
        <f>IF(CO$3="","",IF(OR(入力データ!$C$57="あり",CO4&gt;前提条件!$C$44),0,$B$41))</f>
        <v/>
      </c>
      <c r="CP41" s="359">
        <f>IF(CP$3="","",IF(OR(入力データ!$C$57="あり",CP4&gt;前提条件!$C$44),0,$B$41))</f>
        <v/>
      </c>
      <c r="CQ41" s="359">
        <f>IF(CQ$3="","",IF(OR(入力データ!$C$57="あり",CQ4&gt;前提条件!$C$44),0,$B$41))</f>
        <v/>
      </c>
      <c r="CR41" s="359">
        <f>IF(CR$3="","",IF(OR(入力データ!$C$57="あり",CR4&gt;前提条件!$C$44),0,$B$41))</f>
        <v/>
      </c>
      <c r="CS41" s="359">
        <f>IF(CS$3="","",IF(OR(入力データ!$C$57="あり",CS4&gt;前提条件!$C$44),0,$B$41))</f>
        <v/>
      </c>
      <c r="CT41" s="359">
        <f>IF(CT$3="","",IF(OR(入力データ!$C$57="あり",CT4&gt;前提条件!$C$44),0,$B$41))</f>
        <v/>
      </c>
      <c r="CU41" s="359">
        <f>IF(CU$3="","",IF(OR(入力データ!$C$57="あり",CU4&gt;前提条件!$C$44),0,$B$41))</f>
        <v/>
      </c>
      <c r="CV41" s="359">
        <f>IF(CV$3="","",IF(OR(入力データ!$C$57="あり",CV4&gt;前提条件!$C$44),0,$B$41))</f>
        <v/>
      </c>
      <c r="CW41" s="359">
        <f>IF(CW$3="","",IF(OR(入力データ!$C$57="あり",CW4&gt;前提条件!$C$44),0,$B$41))</f>
        <v/>
      </c>
    </row>
    <row r="42" hidden="1" ht="16.5" customHeight="1" s="180">
      <c r="A42" s="239" t="inlineStr">
        <is>
          <t>老後期フラグ(補助)</t>
        </is>
      </c>
      <c r="B42" s="360">
        <f>IF(B$3="","",IF(AND(B4&gt;=入力データ!$C$111,B5&gt;=入力データ!$C$111),1,0))</f>
        <v/>
      </c>
      <c r="C42" s="360">
        <f>IF(C$3="","",IF(AND(C4&gt;=入力データ!$C$111,C5&gt;=入力データ!$C$111),1,0))</f>
        <v/>
      </c>
      <c r="D42" s="360">
        <f>IF(D$3="","",IF(AND(D4&gt;=入力データ!$C$111,D5&gt;=入力データ!$C$111),1,0))</f>
        <v/>
      </c>
      <c r="E42" s="360">
        <f>IF(E$3="","",IF(AND(E4&gt;=入力データ!$C$111,E5&gt;=入力データ!$C$111),1,0))</f>
        <v/>
      </c>
      <c r="F42" s="360">
        <f>IF(F$3="","",IF(AND(F4&gt;=入力データ!$C$111,F5&gt;=入力データ!$C$111),1,0))</f>
        <v/>
      </c>
      <c r="G42" s="360">
        <f>IF(G$3="","",IF(AND(G4&gt;=入力データ!$C$111,G5&gt;=入力データ!$C$111),1,0))</f>
        <v/>
      </c>
      <c r="H42" s="360">
        <f>IF(H$3="","",IF(AND(H4&gt;=入力データ!$C$111,H5&gt;=入力データ!$C$111),1,0))</f>
        <v/>
      </c>
      <c r="I42" s="360">
        <f>IF(I$3="","",IF(AND(I4&gt;=入力データ!$C$111,I5&gt;=入力データ!$C$111),1,0))</f>
        <v/>
      </c>
      <c r="J42" s="360">
        <f>IF(J$3="","",IF(AND(J4&gt;=入力データ!$C$111,J5&gt;=入力データ!$C$111),1,0))</f>
        <v/>
      </c>
      <c r="K42" s="360">
        <f>IF(K$3="","",IF(AND(K4&gt;=入力データ!$C$111,K5&gt;=入力データ!$C$111),1,0))</f>
        <v/>
      </c>
      <c r="L42" s="360">
        <f>IF(L$3="","",IF(AND(L4&gt;=入力データ!$C$111,L5&gt;=入力データ!$C$111),1,0))</f>
        <v/>
      </c>
      <c r="M42" s="360">
        <f>IF(M$3="","",IF(AND(M4&gt;=入力データ!$C$111,M5&gt;=入力データ!$C$111),1,0))</f>
        <v/>
      </c>
      <c r="N42" s="360">
        <f>IF(N$3="","",IF(AND(N4&gt;=入力データ!$C$111,N5&gt;=入力データ!$C$111),1,0))</f>
        <v/>
      </c>
      <c r="O42" s="360">
        <f>IF(O$3="","",IF(AND(O4&gt;=入力データ!$C$111,O5&gt;=入力データ!$C$111),1,0))</f>
        <v/>
      </c>
      <c r="P42" s="360">
        <f>IF(P$3="","",IF(AND(P4&gt;=入力データ!$C$111,P5&gt;=入力データ!$C$111),1,0))</f>
        <v/>
      </c>
      <c r="Q42" s="360">
        <f>IF(Q$3="","",IF(AND(Q4&gt;=入力データ!$C$111,Q5&gt;=入力データ!$C$111),1,0))</f>
        <v/>
      </c>
      <c r="R42" s="360">
        <f>IF(R$3="","",IF(AND(R4&gt;=入力データ!$C$111,R5&gt;=入力データ!$C$111),1,0))</f>
        <v/>
      </c>
      <c r="S42" s="360">
        <f>IF(S$3="","",IF(AND(S4&gt;=入力データ!$C$111,S5&gt;=入力データ!$C$111),1,0))</f>
        <v/>
      </c>
      <c r="T42" s="360">
        <f>IF(T$3="","",IF(AND(T4&gt;=入力データ!$C$111,T5&gt;=入力データ!$C$111),1,0))</f>
        <v/>
      </c>
      <c r="U42" s="360">
        <f>IF(U$3="","",IF(AND(U4&gt;=入力データ!$C$111,U5&gt;=入力データ!$C$111),1,0))</f>
        <v/>
      </c>
      <c r="V42" s="360">
        <f>IF(V$3="","",IF(AND(V4&gt;=入力データ!$C$111,V5&gt;=入力データ!$C$111),1,0))</f>
        <v/>
      </c>
      <c r="W42" s="360">
        <f>IF(W$3="","",IF(AND(W4&gt;=入力データ!$C$111,W5&gt;=入力データ!$C$111),1,0))</f>
        <v/>
      </c>
      <c r="X42" s="360">
        <f>IF(X$3="","",IF(AND(X4&gt;=入力データ!$C$111,X5&gt;=入力データ!$C$111),1,0))</f>
        <v/>
      </c>
      <c r="Y42" s="360">
        <f>IF(Y$3="","",IF(AND(Y4&gt;=入力データ!$C$111,Y5&gt;=入力データ!$C$111),1,0))</f>
        <v/>
      </c>
      <c r="Z42" s="360">
        <f>IF(Z$3="","",IF(AND(Z4&gt;=入力データ!$C$111,Z5&gt;=入力データ!$C$111),1,0))</f>
        <v/>
      </c>
      <c r="AA42" s="360">
        <f>IF(AA$3="","",IF(AND(AA4&gt;=入力データ!$C$111,AA5&gt;=入力データ!$C$111),1,0))</f>
        <v/>
      </c>
      <c r="AB42" s="360">
        <f>IF(AB$3="","",IF(AND(AB4&gt;=入力データ!$C$111,AB5&gt;=入力データ!$C$111),1,0))</f>
        <v/>
      </c>
      <c r="AC42" s="360">
        <f>IF(AC$3="","",IF(AND(AC4&gt;=入力データ!$C$111,AC5&gt;=入力データ!$C$111),1,0))</f>
        <v/>
      </c>
      <c r="AD42" s="360">
        <f>IF(AD$3="","",IF(AND(AD4&gt;=入力データ!$C$111,AD5&gt;=入力データ!$C$111),1,0))</f>
        <v/>
      </c>
      <c r="AE42" s="360">
        <f>IF(AE$3="","",IF(AND(AE4&gt;=入力データ!$C$111,AE5&gt;=入力データ!$C$111),1,0))</f>
        <v/>
      </c>
      <c r="AF42" s="360">
        <f>IF(AF$3="","",IF(AND(AF4&gt;=入力データ!$C$111,AF5&gt;=入力データ!$C$111),1,0))</f>
        <v/>
      </c>
      <c r="AG42" s="360">
        <f>IF(AG$3="","",IF(AND(AG4&gt;=入力データ!$C$111,AG5&gt;=入力データ!$C$111),1,0))</f>
        <v/>
      </c>
      <c r="AH42" s="360">
        <f>IF(AH$3="","",IF(AND(AH4&gt;=入力データ!$C$111,AH5&gt;=入力データ!$C$111),1,0))</f>
        <v/>
      </c>
      <c r="AI42" s="360">
        <f>IF(AI$3="","",IF(AND(AI4&gt;=入力データ!$C$111,AI5&gt;=入力データ!$C$111),1,0))</f>
        <v/>
      </c>
      <c r="AJ42" s="360">
        <f>IF(AJ$3="","",IF(AND(AJ4&gt;=入力データ!$C$111,AJ5&gt;=入力データ!$C$111),1,0))</f>
        <v/>
      </c>
      <c r="AK42" s="360">
        <f>IF(AK$3="","",IF(AND(AK4&gt;=入力データ!$C$111,AK5&gt;=入力データ!$C$111),1,0))</f>
        <v/>
      </c>
      <c r="AL42" s="360">
        <f>IF(AL$3="","",IF(AND(AL4&gt;=入力データ!$C$111,AL5&gt;=入力データ!$C$111),1,0))</f>
        <v/>
      </c>
      <c r="AM42" s="360">
        <f>IF(AM$3="","",IF(AND(AM4&gt;=入力データ!$C$111,AM5&gt;=入力データ!$C$111),1,0))</f>
        <v/>
      </c>
      <c r="AN42" s="360">
        <f>IF(AN$3="","",IF(AND(AN4&gt;=入力データ!$C$111,AN5&gt;=入力データ!$C$111),1,0))</f>
        <v/>
      </c>
      <c r="AO42" s="360">
        <f>IF(AO$3="","",IF(AND(AO4&gt;=入力データ!$C$111,AO5&gt;=入力データ!$C$111),1,0))</f>
        <v/>
      </c>
      <c r="AP42" s="360">
        <f>IF(AP$3="","",IF(AND(AP4&gt;=入力データ!$C$111,AP5&gt;=入力データ!$C$111),1,0))</f>
        <v/>
      </c>
      <c r="AQ42" s="360">
        <f>IF(AQ$3="","",IF(AND(AQ4&gt;=入力データ!$C$111,AQ5&gt;=入力データ!$C$111),1,0))</f>
        <v/>
      </c>
      <c r="AR42" s="360">
        <f>IF(AR$3="","",IF(AND(AR4&gt;=入力データ!$C$111,AR5&gt;=入力データ!$C$111),1,0))</f>
        <v/>
      </c>
      <c r="AS42" s="360">
        <f>IF(AS$3="","",IF(AND(AS4&gt;=入力データ!$C$111,AS5&gt;=入力データ!$C$111),1,0))</f>
        <v/>
      </c>
      <c r="AT42" s="360">
        <f>IF(AT$3="","",IF(AND(AT4&gt;=入力データ!$C$111,AT5&gt;=入力データ!$C$111),1,0))</f>
        <v/>
      </c>
      <c r="AU42" s="360">
        <f>IF(AU$3="","",IF(AND(AU4&gt;=入力データ!$C$111,AU5&gt;=入力データ!$C$111),1,0))</f>
        <v/>
      </c>
      <c r="AV42" s="360">
        <f>IF(AV$3="","",IF(AND(AV4&gt;=入力データ!$C$111,AV5&gt;=入力データ!$C$111),1,0))</f>
        <v/>
      </c>
      <c r="AW42" s="360">
        <f>IF(AW$3="","",IF(AND(AW4&gt;=入力データ!$C$111,AW5&gt;=入力データ!$C$111),1,0))</f>
        <v/>
      </c>
      <c r="AX42" s="360">
        <f>IF(AX$3="","",IF(AND(AX4&gt;=入力データ!$C$111,AX5&gt;=入力データ!$C$111),1,0))</f>
        <v/>
      </c>
      <c r="AY42" s="360">
        <f>IF(AY$3="","",IF(AND(AY4&gt;=入力データ!$C$111,AY5&gt;=入力データ!$C$111),1,0))</f>
        <v/>
      </c>
      <c r="AZ42" s="360">
        <f>IF(AZ$3="","",IF(AND(AZ4&gt;=入力データ!$C$111,AZ5&gt;=入力データ!$C$111),1,0))</f>
        <v/>
      </c>
      <c r="BA42" s="360">
        <f>IF(BA$3="","",IF(AND(BA4&gt;=入力データ!$C$111,BA5&gt;=入力データ!$C$111),1,0))</f>
        <v/>
      </c>
      <c r="BB42" s="360">
        <f>IF(BB$3="","",IF(AND(BB4&gt;=入力データ!$C$111,BB5&gt;=入力データ!$C$111),1,0))</f>
        <v/>
      </c>
      <c r="BC42" s="360">
        <f>IF(BC$3="","",IF(AND(BC4&gt;=入力データ!$C$111,BC5&gt;=入力データ!$C$111),1,0))</f>
        <v/>
      </c>
      <c r="BD42" s="360">
        <f>IF(BD$3="","",IF(AND(BD4&gt;=入力データ!$C$111,BD5&gt;=入力データ!$C$111),1,0))</f>
        <v/>
      </c>
      <c r="BE42" s="360">
        <f>IF(BE$3="","",IF(AND(BE4&gt;=入力データ!$C$111,BE5&gt;=入力データ!$C$111),1,0))</f>
        <v/>
      </c>
      <c r="BF42" s="360">
        <f>IF(BF$3="","",IF(AND(BF4&gt;=入力データ!$C$111,BF5&gt;=入力データ!$C$111),1,0))</f>
        <v/>
      </c>
      <c r="BG42" s="360">
        <f>IF(BG$3="","",IF(AND(BG4&gt;=入力データ!$C$111,BG5&gt;=入力データ!$C$111),1,0))</f>
        <v/>
      </c>
      <c r="BH42" s="360">
        <f>IF(BH$3="","",IF(AND(BH4&gt;=入力データ!$C$111,BH5&gt;=入力データ!$C$111),1,0))</f>
        <v/>
      </c>
      <c r="BI42" s="360">
        <f>IF(BI$3="","",IF(AND(BI4&gt;=入力データ!$C$111,BI5&gt;=入力データ!$C$111),1,0))</f>
        <v/>
      </c>
      <c r="BJ42" s="360">
        <f>IF(BJ$3="","",IF(AND(BJ4&gt;=入力データ!$C$111,BJ5&gt;=入力データ!$C$111),1,0))</f>
        <v/>
      </c>
      <c r="BK42" s="360">
        <f>IF(BK$3="","",IF(AND(BK4&gt;=入力データ!$C$111,BK5&gt;=入力データ!$C$111),1,0))</f>
        <v/>
      </c>
      <c r="BL42" s="360">
        <f>IF(BL$3="","",IF(AND(BL4&gt;=入力データ!$C$111,BL5&gt;=入力データ!$C$111),1,0))</f>
        <v/>
      </c>
      <c r="BM42" s="360">
        <f>IF(BM$3="","",IF(AND(BM4&gt;=入力データ!$C$111,BM5&gt;=入力データ!$C$111),1,0))</f>
        <v/>
      </c>
      <c r="BN42" s="360">
        <f>IF(BN$3="","",IF(AND(BN4&gt;=入力データ!$C$111,BN5&gt;=入力データ!$C$111),1,0))</f>
        <v/>
      </c>
      <c r="BO42" s="360">
        <f>IF(BO$3="","",IF(AND(BO4&gt;=入力データ!$C$111,BO5&gt;=入力データ!$C$111),1,0))</f>
        <v/>
      </c>
      <c r="BP42" s="360">
        <f>IF(BP$3="","",IF(AND(BP4&gt;=入力データ!$C$111,BP5&gt;=入力データ!$C$111),1,0))</f>
        <v/>
      </c>
      <c r="BQ42" s="360">
        <f>IF(BQ$3="","",IF(AND(BQ4&gt;=入力データ!$C$111,BQ5&gt;=入力データ!$C$111),1,0))</f>
        <v/>
      </c>
      <c r="BR42" s="360">
        <f>IF(BR$3="","",IF(AND(BR4&gt;=入力データ!$C$111,BR5&gt;=入力データ!$C$111),1,0))</f>
        <v/>
      </c>
      <c r="BS42" s="360">
        <f>IF(BS$3="","",IF(AND(BS4&gt;=入力データ!$C$111,BS5&gt;=入力データ!$C$111),1,0))</f>
        <v/>
      </c>
      <c r="BT42" s="360">
        <f>IF(BT$3="","",IF(AND(BT4&gt;=入力データ!$C$111,BT5&gt;=入力データ!$C$111),1,0))</f>
        <v/>
      </c>
      <c r="BU42" s="360">
        <f>IF(BU$3="","",IF(AND(BU4&gt;=入力データ!$C$111,BU5&gt;=入力データ!$C$111),1,0))</f>
        <v/>
      </c>
      <c r="BV42" s="360">
        <f>IF(BV$3="","",IF(AND(BV4&gt;=入力データ!$C$111,BV5&gt;=入力データ!$C$111),1,0))</f>
        <v/>
      </c>
      <c r="BW42" s="360">
        <f>IF(BW$3="","",IF(AND(BW4&gt;=入力データ!$C$111,BW5&gt;=入力データ!$C$111),1,0))</f>
        <v/>
      </c>
      <c r="BX42" s="360">
        <f>IF(BX$3="","",IF(AND(BX4&gt;=入力データ!$C$111,BX5&gt;=入力データ!$C$111),1,0))</f>
        <v/>
      </c>
      <c r="BY42" s="360">
        <f>IF(BY$3="","",IF(AND(BY4&gt;=入力データ!$C$111,BY5&gt;=入力データ!$C$111),1,0))</f>
        <v/>
      </c>
      <c r="BZ42" s="360">
        <f>IF(BZ$3="","",IF(AND(BZ4&gt;=入力データ!$C$111,BZ5&gt;=入力データ!$C$111),1,0))</f>
        <v/>
      </c>
      <c r="CA42" s="360">
        <f>IF(CA$3="","",IF(AND(CA4&gt;=入力データ!$C$111,CA5&gt;=入力データ!$C$111),1,0))</f>
        <v/>
      </c>
      <c r="CB42" s="360">
        <f>IF(CB$3="","",IF(AND(CB4&gt;=入力データ!$C$111,CB5&gt;=入力データ!$C$111),1,0))</f>
        <v/>
      </c>
      <c r="CC42" s="360">
        <f>IF(CC$3="","",IF(AND(CC4&gt;=入力データ!$C$111,CC5&gt;=入力データ!$C$111),1,0))</f>
        <v/>
      </c>
      <c r="CD42" s="360">
        <f>IF(CD$3="","",IF(AND(CD4&gt;=入力データ!$C$111,CD5&gt;=入力データ!$C$111),1,0))</f>
        <v/>
      </c>
      <c r="CE42" s="360">
        <f>IF(CE$3="","",IF(AND(CE4&gt;=入力データ!$C$111,CE5&gt;=入力データ!$C$111),1,0))</f>
        <v/>
      </c>
      <c r="CF42" s="360">
        <f>IF(CF$3="","",IF(AND(CF4&gt;=入力データ!$C$111,CF5&gt;=入力データ!$C$111),1,0))</f>
        <v/>
      </c>
      <c r="CG42" s="360">
        <f>IF(CG$3="","",IF(AND(CG4&gt;=入力データ!$C$111,CG5&gt;=入力データ!$C$111),1,0))</f>
        <v/>
      </c>
      <c r="CH42" s="360">
        <f>IF(CH$3="","",IF(AND(CH4&gt;=入力データ!$C$111,CH5&gt;=入力データ!$C$111),1,0))</f>
        <v/>
      </c>
      <c r="CI42" s="360">
        <f>IF(CI$3="","",IF(AND(CI4&gt;=入力データ!$C$111,CI5&gt;=入力データ!$C$111),1,0))</f>
        <v/>
      </c>
      <c r="CJ42" s="360">
        <f>IF(CJ$3="","",IF(AND(CJ4&gt;=入力データ!$C$111,CJ5&gt;=入力データ!$C$111),1,0))</f>
        <v/>
      </c>
      <c r="CK42" s="360">
        <f>IF(CK$3="","",IF(AND(CK4&gt;=入力データ!$C$111,CK5&gt;=入力データ!$C$111),1,0))</f>
        <v/>
      </c>
      <c r="CL42" s="360">
        <f>IF(CL$3="","",IF(AND(CL4&gt;=入力データ!$C$111,CL5&gt;=入力データ!$C$111),1,0))</f>
        <v/>
      </c>
      <c r="CM42" s="360">
        <f>IF(CM$3="","",IF(AND(CM4&gt;=入力データ!$C$111,CM5&gt;=入力データ!$C$111),1,0))</f>
        <v/>
      </c>
      <c r="CN42" s="360">
        <f>IF(CN$3="","",IF(AND(CN4&gt;=入力データ!$C$111,CN5&gt;=入力データ!$C$111),1,0))</f>
        <v/>
      </c>
      <c r="CO42" s="360">
        <f>IF(CO$3="","",IF(AND(CO4&gt;=入力データ!$C$111,CO5&gt;=入力データ!$C$111),1,0))</f>
        <v/>
      </c>
      <c r="CP42" s="360">
        <f>IF(CP$3="","",IF(AND(CP4&gt;=入力データ!$C$111,CP5&gt;=入力データ!$C$111),1,0))</f>
        <v/>
      </c>
      <c r="CQ42" s="360">
        <f>IF(CQ$3="","",IF(AND(CQ4&gt;=入力データ!$C$111,CQ5&gt;=入力データ!$C$111),1,0))</f>
        <v/>
      </c>
      <c r="CR42" s="360">
        <f>IF(CR$3="","",IF(AND(CR4&gt;=入力データ!$C$111,CR5&gt;=入力データ!$C$111),1,0))</f>
        <v/>
      </c>
      <c r="CS42" s="360">
        <f>IF(CS$3="","",IF(AND(CS4&gt;=入力データ!$C$111,CS5&gt;=入力データ!$C$111),1,0))</f>
        <v/>
      </c>
      <c r="CT42" s="360">
        <f>IF(CT$3="","",IF(AND(CT4&gt;=入力データ!$C$111,CT5&gt;=入力データ!$C$111),1,0))</f>
        <v/>
      </c>
      <c r="CU42" s="360">
        <f>IF(CU$3="","",IF(AND(CU4&gt;=入力データ!$C$111,CU5&gt;=入力データ!$C$111),1,0))</f>
        <v/>
      </c>
      <c r="CV42" s="360">
        <f>IF(CV$3="","",IF(AND(CV4&gt;=入力データ!$C$111,CV5&gt;=入力データ!$C$111),1,0))</f>
        <v/>
      </c>
      <c r="CW42" s="360">
        <f>IF(CW$3="","",IF(AND(CW4&gt;=入力データ!$C$111,CW5&gt;=入力データ!$C$111),1,0))</f>
        <v/>
      </c>
    </row>
    <row r="43" hidden="1" ht="16.5" customHeight="1" s="180">
      <c r="A43" s="239" t="inlineStr">
        <is>
          <t>老後不足額(補助)</t>
        </is>
      </c>
      <c r="B43" s="359">
        <f>IF(B$3="","",IF(B42=1,MAX(0,-B30),0))</f>
        <v/>
      </c>
      <c r="C43" s="359">
        <f>IF(C$3="","",IF(C42=1,MAX(0,-C30),0))</f>
        <v/>
      </c>
      <c r="D43" s="359">
        <f>IF(D$3="","",IF(D42=1,MAX(0,-D30),0))</f>
        <v/>
      </c>
      <c r="E43" s="359">
        <f>IF(E$3="","",IF(E42=1,MAX(0,-E30),0))</f>
        <v/>
      </c>
      <c r="F43" s="359">
        <f>IF(F$3="","",IF(F42=1,MAX(0,-F30),0))</f>
        <v/>
      </c>
      <c r="G43" s="359">
        <f>IF(G$3="","",IF(G42=1,MAX(0,-G30),0))</f>
        <v/>
      </c>
      <c r="H43" s="359">
        <f>IF(H$3="","",IF(H42=1,MAX(0,-H30),0))</f>
        <v/>
      </c>
      <c r="I43" s="359">
        <f>IF(I$3="","",IF(I42=1,MAX(0,-I30),0))</f>
        <v/>
      </c>
      <c r="J43" s="359">
        <f>IF(J$3="","",IF(J42=1,MAX(0,-J30),0))</f>
        <v/>
      </c>
      <c r="K43" s="359">
        <f>IF(K$3="","",IF(K42=1,MAX(0,-K30),0))</f>
        <v/>
      </c>
      <c r="L43" s="359">
        <f>IF(L$3="","",IF(L42=1,MAX(0,-L30),0))</f>
        <v/>
      </c>
      <c r="M43" s="359">
        <f>IF(M$3="","",IF(M42=1,MAX(0,-M30),0))</f>
        <v/>
      </c>
      <c r="N43" s="359">
        <f>IF(N$3="","",IF(N42=1,MAX(0,-N30),0))</f>
        <v/>
      </c>
      <c r="O43" s="359">
        <f>IF(O$3="","",IF(O42=1,MAX(0,-O30),0))</f>
        <v/>
      </c>
      <c r="P43" s="359">
        <f>IF(P$3="","",IF(P42=1,MAX(0,-P30),0))</f>
        <v/>
      </c>
      <c r="Q43" s="359">
        <f>IF(Q$3="","",IF(Q42=1,MAX(0,-Q30),0))</f>
        <v/>
      </c>
      <c r="R43" s="359">
        <f>IF(R$3="","",IF(R42=1,MAX(0,-R30),0))</f>
        <v/>
      </c>
      <c r="S43" s="359">
        <f>IF(S$3="","",IF(S42=1,MAX(0,-S30),0))</f>
        <v/>
      </c>
      <c r="T43" s="359">
        <f>IF(T$3="","",IF(T42=1,MAX(0,-T30),0))</f>
        <v/>
      </c>
      <c r="U43" s="359">
        <f>IF(U$3="","",IF(U42=1,MAX(0,-U30),0))</f>
        <v/>
      </c>
      <c r="V43" s="359">
        <f>IF(V$3="","",IF(V42=1,MAX(0,-V30),0))</f>
        <v/>
      </c>
      <c r="W43" s="359">
        <f>IF(W$3="","",IF(W42=1,MAX(0,-W30),0))</f>
        <v/>
      </c>
      <c r="X43" s="359">
        <f>IF(X$3="","",IF(X42=1,MAX(0,-X30),0))</f>
        <v/>
      </c>
      <c r="Y43" s="359">
        <f>IF(Y$3="","",IF(Y42=1,MAX(0,-Y30),0))</f>
        <v/>
      </c>
      <c r="Z43" s="359">
        <f>IF(Z$3="","",IF(Z42=1,MAX(0,-Z30),0))</f>
        <v/>
      </c>
      <c r="AA43" s="359">
        <f>IF(AA$3="","",IF(AA42=1,MAX(0,-AA30),0))</f>
        <v/>
      </c>
      <c r="AB43" s="359">
        <f>IF(AB$3="","",IF(AB42=1,MAX(0,-AB30),0))</f>
        <v/>
      </c>
      <c r="AC43" s="359">
        <f>IF(AC$3="","",IF(AC42=1,MAX(0,-AC30),0))</f>
        <v/>
      </c>
      <c r="AD43" s="359">
        <f>IF(AD$3="","",IF(AD42=1,MAX(0,-AD30),0))</f>
        <v/>
      </c>
      <c r="AE43" s="359">
        <f>IF(AE$3="","",IF(AE42=1,MAX(0,-AE30),0))</f>
        <v/>
      </c>
      <c r="AF43" s="359">
        <f>IF(AF$3="","",IF(AF42=1,MAX(0,-AF30),0))</f>
        <v/>
      </c>
      <c r="AG43" s="359">
        <f>IF(AG$3="","",IF(AG42=1,MAX(0,-AG30),0))</f>
        <v/>
      </c>
      <c r="AH43" s="359">
        <f>IF(AH$3="","",IF(AH42=1,MAX(0,-AH30),0))</f>
        <v/>
      </c>
      <c r="AI43" s="359">
        <f>IF(AI$3="","",IF(AI42=1,MAX(0,-AI30),0))</f>
        <v/>
      </c>
      <c r="AJ43" s="359">
        <f>IF(AJ$3="","",IF(AJ42=1,MAX(0,-AJ30),0))</f>
        <v/>
      </c>
      <c r="AK43" s="359">
        <f>IF(AK$3="","",IF(AK42=1,MAX(0,-AK30),0))</f>
        <v/>
      </c>
      <c r="AL43" s="359">
        <f>IF(AL$3="","",IF(AL42=1,MAX(0,-AL30),0))</f>
        <v/>
      </c>
      <c r="AM43" s="359">
        <f>IF(AM$3="","",IF(AM42=1,MAX(0,-AM30),0))</f>
        <v/>
      </c>
      <c r="AN43" s="359">
        <f>IF(AN$3="","",IF(AN42=1,MAX(0,-AN30),0))</f>
        <v/>
      </c>
      <c r="AO43" s="359">
        <f>IF(AO$3="","",IF(AO42=1,MAX(0,-AO30),0))</f>
        <v/>
      </c>
      <c r="AP43" s="359">
        <f>IF(AP$3="","",IF(AP42=1,MAX(0,-AP30),0))</f>
        <v/>
      </c>
      <c r="AQ43" s="359">
        <f>IF(AQ$3="","",IF(AQ42=1,MAX(0,-AQ30),0))</f>
        <v/>
      </c>
      <c r="AR43" s="359">
        <f>IF(AR$3="","",IF(AR42=1,MAX(0,-AR30),0))</f>
        <v/>
      </c>
      <c r="AS43" s="359">
        <f>IF(AS$3="","",IF(AS42=1,MAX(0,-AS30),0))</f>
        <v/>
      </c>
      <c r="AT43" s="359">
        <f>IF(AT$3="","",IF(AT42=1,MAX(0,-AT30),0))</f>
        <v/>
      </c>
      <c r="AU43" s="359">
        <f>IF(AU$3="","",IF(AU42=1,MAX(0,-AU30),0))</f>
        <v/>
      </c>
      <c r="AV43" s="359">
        <f>IF(AV$3="","",IF(AV42=1,MAX(0,-AV30),0))</f>
        <v/>
      </c>
      <c r="AW43" s="359">
        <f>IF(AW$3="","",IF(AW42=1,MAX(0,-AW30),0))</f>
        <v/>
      </c>
      <c r="AX43" s="359">
        <f>IF(AX$3="","",IF(AX42=1,MAX(0,-AX30),0))</f>
        <v/>
      </c>
      <c r="AY43" s="359">
        <f>IF(AY$3="","",IF(AY42=1,MAX(0,-AY30),0))</f>
        <v/>
      </c>
      <c r="AZ43" s="359">
        <f>IF(AZ$3="","",IF(AZ42=1,MAX(0,-AZ30),0))</f>
        <v/>
      </c>
      <c r="BA43" s="359">
        <f>IF(BA$3="","",IF(BA42=1,MAX(0,-BA30),0))</f>
        <v/>
      </c>
      <c r="BB43" s="359">
        <f>IF(BB$3="","",IF(BB42=1,MAX(0,-BB30),0))</f>
        <v/>
      </c>
      <c r="BC43" s="359">
        <f>IF(BC$3="","",IF(BC42=1,MAX(0,-BC30),0))</f>
        <v/>
      </c>
      <c r="BD43" s="359">
        <f>IF(BD$3="","",IF(BD42=1,MAX(0,-BD30),0))</f>
        <v/>
      </c>
      <c r="BE43" s="359">
        <f>IF(BE$3="","",IF(BE42=1,MAX(0,-BE30),0))</f>
        <v/>
      </c>
      <c r="BF43" s="359">
        <f>IF(BF$3="","",IF(BF42=1,MAX(0,-BF30),0))</f>
        <v/>
      </c>
      <c r="BG43" s="359">
        <f>IF(BG$3="","",IF(BG42=1,MAX(0,-BG30),0))</f>
        <v/>
      </c>
      <c r="BH43" s="359">
        <f>IF(BH$3="","",IF(BH42=1,MAX(0,-BH30),0))</f>
        <v/>
      </c>
      <c r="BI43" s="359">
        <f>IF(BI$3="","",IF(BI42=1,MAX(0,-BI30),0))</f>
        <v/>
      </c>
      <c r="BJ43" s="359">
        <f>IF(BJ$3="","",IF(BJ42=1,MAX(0,-BJ30),0))</f>
        <v/>
      </c>
      <c r="BK43" s="359">
        <f>IF(BK$3="","",IF(BK42=1,MAX(0,-BK30),0))</f>
        <v/>
      </c>
      <c r="BL43" s="359">
        <f>IF(BL$3="","",IF(BL42=1,MAX(0,-BL30),0))</f>
        <v/>
      </c>
      <c r="BM43" s="359">
        <f>IF(BM$3="","",IF(BM42=1,MAX(0,-BM30),0))</f>
        <v/>
      </c>
      <c r="BN43" s="359">
        <f>IF(BN$3="","",IF(BN42=1,MAX(0,-BN30),0))</f>
        <v/>
      </c>
      <c r="BO43" s="359">
        <f>IF(BO$3="","",IF(BO42=1,MAX(0,-BO30),0))</f>
        <v/>
      </c>
      <c r="BP43" s="359">
        <f>IF(BP$3="","",IF(BP42=1,MAX(0,-BP30),0))</f>
        <v/>
      </c>
      <c r="BQ43" s="359">
        <f>IF(BQ$3="","",IF(BQ42=1,MAX(0,-BQ30),0))</f>
        <v/>
      </c>
      <c r="BR43" s="359">
        <f>IF(BR$3="","",IF(BR42=1,MAX(0,-BR30),0))</f>
        <v/>
      </c>
      <c r="BS43" s="359">
        <f>IF(BS$3="","",IF(BS42=1,MAX(0,-BS30),0))</f>
        <v/>
      </c>
      <c r="BT43" s="359">
        <f>IF(BT$3="","",IF(BT42=1,MAX(0,-BT30),0))</f>
        <v/>
      </c>
      <c r="BU43" s="359">
        <f>IF(BU$3="","",IF(BU42=1,MAX(0,-BU30),0))</f>
        <v/>
      </c>
      <c r="BV43" s="359">
        <f>IF(BV$3="","",IF(BV42=1,MAX(0,-BV30),0))</f>
        <v/>
      </c>
      <c r="BW43" s="359">
        <f>IF(BW$3="","",IF(BW42=1,MAX(0,-BW30),0))</f>
        <v/>
      </c>
      <c r="BX43" s="359">
        <f>IF(BX$3="","",IF(BX42=1,MAX(0,-BX30),0))</f>
        <v/>
      </c>
      <c r="BY43" s="359">
        <f>IF(BY$3="","",IF(BY42=1,MAX(0,-BY30),0))</f>
        <v/>
      </c>
      <c r="BZ43" s="359">
        <f>IF(BZ$3="","",IF(BZ42=1,MAX(0,-BZ30),0))</f>
        <v/>
      </c>
      <c r="CA43" s="359">
        <f>IF(CA$3="","",IF(CA42=1,MAX(0,-CA30),0))</f>
        <v/>
      </c>
      <c r="CB43" s="359">
        <f>IF(CB$3="","",IF(CB42=1,MAX(0,-CB30),0))</f>
        <v/>
      </c>
      <c r="CC43" s="359">
        <f>IF(CC$3="","",IF(CC42=1,MAX(0,-CC30),0))</f>
        <v/>
      </c>
      <c r="CD43" s="359">
        <f>IF(CD$3="","",IF(CD42=1,MAX(0,-CD30),0))</f>
        <v/>
      </c>
      <c r="CE43" s="359">
        <f>IF(CE$3="","",IF(CE42=1,MAX(0,-CE30),0))</f>
        <v/>
      </c>
      <c r="CF43" s="359">
        <f>IF(CF$3="","",IF(CF42=1,MAX(0,-CF30),0))</f>
        <v/>
      </c>
      <c r="CG43" s="359">
        <f>IF(CG$3="","",IF(CG42=1,MAX(0,-CG30),0))</f>
        <v/>
      </c>
      <c r="CH43" s="359">
        <f>IF(CH$3="","",IF(CH42=1,MAX(0,-CH30),0))</f>
        <v/>
      </c>
      <c r="CI43" s="359">
        <f>IF(CI$3="","",IF(CI42=1,MAX(0,-CI30),0))</f>
        <v/>
      </c>
      <c r="CJ43" s="359">
        <f>IF(CJ$3="","",IF(CJ42=1,MAX(0,-CJ30),0))</f>
        <v/>
      </c>
      <c r="CK43" s="359">
        <f>IF(CK$3="","",IF(CK42=1,MAX(0,-CK30),0))</f>
        <v/>
      </c>
      <c r="CL43" s="359">
        <f>IF(CL$3="","",IF(CL42=1,MAX(0,-CL30),0))</f>
        <v/>
      </c>
      <c r="CM43" s="359">
        <f>IF(CM$3="","",IF(CM42=1,MAX(0,-CM30),0))</f>
        <v/>
      </c>
      <c r="CN43" s="359">
        <f>IF(CN$3="","",IF(CN42=1,MAX(0,-CN30),0))</f>
        <v/>
      </c>
      <c r="CO43" s="359">
        <f>IF(CO$3="","",IF(CO42=1,MAX(0,-CO30),0))</f>
        <v/>
      </c>
      <c r="CP43" s="359">
        <f>IF(CP$3="","",IF(CP42=1,MAX(0,-CP30),0))</f>
        <v/>
      </c>
      <c r="CQ43" s="359">
        <f>IF(CQ$3="","",IF(CQ42=1,MAX(0,-CQ30),0))</f>
        <v/>
      </c>
      <c r="CR43" s="359">
        <f>IF(CR$3="","",IF(CR42=1,MAX(0,-CR30),0))</f>
        <v/>
      </c>
      <c r="CS43" s="359">
        <f>IF(CS$3="","",IF(CS42=1,MAX(0,-CS30),0))</f>
        <v/>
      </c>
      <c r="CT43" s="359">
        <f>IF(CT$3="","",IF(CT42=1,MAX(0,-CT30),0))</f>
        <v/>
      </c>
      <c r="CU43" s="359">
        <f>IF(CU$3="","",IF(CU42=1,MAX(0,-CU30),0))</f>
        <v/>
      </c>
      <c r="CV43" s="359">
        <f>IF(CV$3="","",IF(CV42=1,MAX(0,-CV30),0))</f>
        <v/>
      </c>
      <c r="CW43" s="359">
        <f>IF(CW$3="","",IF(CW42=1,MAX(0,-CW30),0))</f>
        <v/>
      </c>
    </row>
    <row r="44" ht="15" customHeight="1" s="180">
      <c r="A44" s="241" t="inlineStr">
        <is>
          <t>保有資産合計（参考）</t>
        </is>
      </c>
      <c r="B44" s="361">
        <f>IF(B$3="","",B31+B32+B33)</f>
        <v/>
      </c>
      <c r="C44" s="361">
        <f>IF(C$3="","",C31+C32+C33)</f>
        <v/>
      </c>
      <c r="D44" s="361">
        <f>IF(D$3="","",D31+D32+D33)</f>
        <v/>
      </c>
      <c r="E44" s="361">
        <f>IF(E$3="","",E31+E32+E33)</f>
        <v/>
      </c>
      <c r="F44" s="361">
        <f>IF(F$3="","",F31+F32+F33)</f>
        <v/>
      </c>
      <c r="G44" s="361">
        <f>IF(G$3="","",G31+G32+G33)</f>
        <v/>
      </c>
      <c r="H44" s="361">
        <f>IF(H$3="","",H31+H32+H33)</f>
        <v/>
      </c>
      <c r="I44" s="361">
        <f>IF(I$3="","",I31+I32+I33)</f>
        <v/>
      </c>
      <c r="J44" s="361">
        <f>IF(J$3="","",J31+J32+J33)</f>
        <v/>
      </c>
      <c r="K44" s="361">
        <f>IF(K$3="","",K31+K32+K33)</f>
        <v/>
      </c>
      <c r="L44" s="361">
        <f>IF(L$3="","",L31+L32+L33)</f>
        <v/>
      </c>
      <c r="M44" s="361">
        <f>IF(M$3="","",M31+M32+M33)</f>
        <v/>
      </c>
      <c r="N44" s="361">
        <f>IF(N$3="","",N31+N32+N33)</f>
        <v/>
      </c>
      <c r="O44" s="361">
        <f>IF(O$3="","",O31+O32+O33)</f>
        <v/>
      </c>
      <c r="P44" s="361">
        <f>IF(P$3="","",P31+P32+P33)</f>
        <v/>
      </c>
      <c r="Q44" s="361">
        <f>IF(Q$3="","",Q31+Q32+Q33)</f>
        <v/>
      </c>
      <c r="R44" s="361">
        <f>IF(R$3="","",R31+R32+R33)</f>
        <v/>
      </c>
      <c r="S44" s="361">
        <f>IF(S$3="","",S31+S32+S33)</f>
        <v/>
      </c>
      <c r="T44" s="361">
        <f>IF(T$3="","",T31+T32+T33)</f>
        <v/>
      </c>
      <c r="U44" s="361">
        <f>IF(U$3="","",U31+U32+U33)</f>
        <v/>
      </c>
      <c r="V44" s="361">
        <f>IF(V$3="","",V31+V32+V33)</f>
        <v/>
      </c>
      <c r="W44" s="361">
        <f>IF(W$3="","",W31+W32+W33)</f>
        <v/>
      </c>
      <c r="X44" s="361">
        <f>IF(X$3="","",X31+X32+X33)</f>
        <v/>
      </c>
      <c r="Y44" s="361">
        <f>IF(Y$3="","",Y31+Y32+Y33)</f>
        <v/>
      </c>
      <c r="Z44" s="361">
        <f>IF(Z$3="","",Z31+Z32+Z33)</f>
        <v/>
      </c>
      <c r="AA44" s="361">
        <f>IF(AA$3="","",AA31+AA32+AA33)</f>
        <v/>
      </c>
      <c r="AB44" s="361">
        <f>IF(AB$3="","",AB31+AB32+AB33)</f>
        <v/>
      </c>
      <c r="AC44" s="361">
        <f>IF(AC$3="","",AC31+AC32+AC33)</f>
        <v/>
      </c>
      <c r="AD44" s="361">
        <f>IF(AD$3="","",AD31+AD32+AD33)</f>
        <v/>
      </c>
      <c r="AE44" s="361">
        <f>IF(AE$3="","",AE31+AE32+AE33)</f>
        <v/>
      </c>
      <c r="AF44" s="361">
        <f>IF(AF$3="","",AF31+AF32+AF33)</f>
        <v/>
      </c>
      <c r="AG44" s="361">
        <f>IF(AG$3="","",AG31+AG32+AG33)</f>
        <v/>
      </c>
      <c r="AH44" s="361">
        <f>IF(AH$3="","",AH31+AH32+AH33)</f>
        <v/>
      </c>
      <c r="AI44" s="361">
        <f>IF(AI$3="","",AI31+AI32+AI33)</f>
        <v/>
      </c>
      <c r="AJ44" s="361">
        <f>IF(AJ$3="","",AJ31+AJ32+AJ33)</f>
        <v/>
      </c>
      <c r="AK44" s="361">
        <f>IF(AK$3="","",AK31+AK32+AK33)</f>
        <v/>
      </c>
      <c r="AL44" s="361">
        <f>IF(AL$3="","",AL31+AL32+AL33)</f>
        <v/>
      </c>
      <c r="AM44" s="361">
        <f>IF(AM$3="","",AM31+AM32+AM33)</f>
        <v/>
      </c>
      <c r="AN44" s="361">
        <f>IF(AN$3="","",AN31+AN32+AN33)</f>
        <v/>
      </c>
      <c r="AO44" s="361">
        <f>IF(AO$3="","",AO31+AO32+AO33)</f>
        <v/>
      </c>
      <c r="AP44" s="361">
        <f>IF(AP$3="","",AP31+AP32+AP33)</f>
        <v/>
      </c>
      <c r="AQ44" s="361">
        <f>IF(AQ$3="","",AQ31+AQ32+AQ33)</f>
        <v/>
      </c>
      <c r="AR44" s="361">
        <f>IF(AR$3="","",AR31+AR32+AR33)</f>
        <v/>
      </c>
      <c r="AS44" s="361">
        <f>IF(AS$3="","",AS31+AS32+AS33)</f>
        <v/>
      </c>
      <c r="AT44" s="361">
        <f>IF(AT$3="","",AT31+AT32+AT33)</f>
        <v/>
      </c>
      <c r="AU44" s="361">
        <f>IF(AU$3="","",AU31+AU32+AU33)</f>
        <v/>
      </c>
      <c r="AV44" s="361">
        <f>IF(AV$3="","",AV31+AV32+AV33)</f>
        <v/>
      </c>
      <c r="AW44" s="361">
        <f>IF(AW$3="","",AW31+AW32+AW33)</f>
        <v/>
      </c>
      <c r="AX44" s="361">
        <f>IF(AX$3="","",AX31+AX32+AX33)</f>
        <v/>
      </c>
      <c r="AY44" s="361">
        <f>IF(AY$3="","",AY31+AY32+AY33)</f>
        <v/>
      </c>
      <c r="AZ44" s="361">
        <f>IF(AZ$3="","",AZ31+AZ32+AZ33)</f>
        <v/>
      </c>
      <c r="BA44" s="361">
        <f>IF(BA$3="","",BA31+BA32+BA33)</f>
        <v/>
      </c>
      <c r="BB44" s="361">
        <f>IF(BB$3="","",BB31+BB32+BB33)</f>
        <v/>
      </c>
      <c r="BC44" s="361">
        <f>IF(BC$3="","",BC31+BC32+BC33)</f>
        <v/>
      </c>
      <c r="BD44" s="361">
        <f>IF(BD$3="","",BD31+BD32+BD33)</f>
        <v/>
      </c>
      <c r="BE44" s="361">
        <f>IF(BE$3="","",BE31+BE32+BE33)</f>
        <v/>
      </c>
      <c r="BF44" s="361">
        <f>IF(BF$3="","",BF31+BF32+BF33)</f>
        <v/>
      </c>
      <c r="BG44" s="361">
        <f>IF(BG$3="","",BG31+BG32+BG33)</f>
        <v/>
      </c>
      <c r="BH44" s="361">
        <f>IF(BH$3="","",BH31+BH32+BH33)</f>
        <v/>
      </c>
      <c r="BI44" s="361">
        <f>IF(BI$3="","",BI31+BI32+BI33)</f>
        <v/>
      </c>
      <c r="BJ44" s="361">
        <f>IF(BJ$3="","",BJ31+BJ32+BJ33)</f>
        <v/>
      </c>
      <c r="BK44" s="361">
        <f>IF(BK$3="","",BK31+BK32+BK33)</f>
        <v/>
      </c>
      <c r="BL44" s="361">
        <f>IF(BL$3="","",BL31+BL32+BL33)</f>
        <v/>
      </c>
      <c r="BM44" s="361">
        <f>IF(BM$3="","",BM31+BM32+BM33)</f>
        <v/>
      </c>
      <c r="BN44" s="361">
        <f>IF(BN$3="","",BN31+BN32+BN33)</f>
        <v/>
      </c>
      <c r="BO44" s="361">
        <f>IF(BO$3="","",BO31+BO32+BO33)</f>
        <v/>
      </c>
      <c r="BP44" s="361">
        <f>IF(BP$3="","",BP31+BP32+BP33)</f>
        <v/>
      </c>
      <c r="BQ44" s="361">
        <f>IF(BQ$3="","",BQ31+BQ32+BQ33)</f>
        <v/>
      </c>
      <c r="BR44" s="361">
        <f>IF(BR$3="","",BR31+BR32+BR33)</f>
        <v/>
      </c>
      <c r="BS44" s="361">
        <f>IF(BS$3="","",BS31+BS32+BS33)</f>
        <v/>
      </c>
      <c r="BT44" s="361">
        <f>IF(BT$3="","",BT31+BT32+BT33)</f>
        <v/>
      </c>
      <c r="BU44" s="361">
        <f>IF(BU$3="","",BU31+BU32+BU33)</f>
        <v/>
      </c>
      <c r="BV44" s="361">
        <f>IF(BV$3="","",BV31+BV32+BV33)</f>
        <v/>
      </c>
      <c r="BW44" s="361">
        <f>IF(BW$3="","",BW31+BW32+BW33)</f>
        <v/>
      </c>
      <c r="BX44" s="361">
        <f>IF(BX$3="","",BX31+BX32+BX33)</f>
        <v/>
      </c>
      <c r="BY44" s="361">
        <f>IF(BY$3="","",BY31+BY32+BY33)</f>
        <v/>
      </c>
      <c r="BZ44" s="361">
        <f>IF(BZ$3="","",BZ31+BZ32+BZ33)</f>
        <v/>
      </c>
      <c r="CA44" s="361">
        <f>IF(CA$3="","",CA31+CA32+CA33)</f>
        <v/>
      </c>
      <c r="CB44" s="361">
        <f>IF(CB$3="","",CB31+CB32+CB33)</f>
        <v/>
      </c>
      <c r="CC44" s="361">
        <f>IF(CC$3="","",CC31+CC32+CC33)</f>
        <v/>
      </c>
      <c r="CD44" s="361">
        <f>IF(CD$3="","",CD31+CD32+CD33)</f>
        <v/>
      </c>
      <c r="CE44" s="361">
        <f>IF(CE$3="","",CE31+CE32+CE33)</f>
        <v/>
      </c>
      <c r="CF44" s="361">
        <f>IF(CF$3="","",CF31+CF32+CF33)</f>
        <v/>
      </c>
      <c r="CG44" s="361">
        <f>IF(CG$3="","",CG31+CG32+CG33)</f>
        <v/>
      </c>
      <c r="CH44" s="361">
        <f>IF(CH$3="","",CH31+CH32+CH33)</f>
        <v/>
      </c>
      <c r="CI44" s="361">
        <f>IF(CI$3="","",CI31+CI32+CI33)</f>
        <v/>
      </c>
      <c r="CJ44" s="361">
        <f>IF(CJ$3="","",CJ31+CJ32+CJ33)</f>
        <v/>
      </c>
      <c r="CK44" s="361">
        <f>IF(CK$3="","",CK31+CK32+CK33)</f>
        <v/>
      </c>
      <c r="CL44" s="361">
        <f>IF(CL$3="","",CL31+CL32+CL33)</f>
        <v/>
      </c>
      <c r="CM44" s="361">
        <f>IF(CM$3="","",CM31+CM32+CM33)</f>
        <v/>
      </c>
      <c r="CN44" s="361">
        <f>IF(CN$3="","",CN31+CN32+CN33)</f>
        <v/>
      </c>
      <c r="CO44" s="361">
        <f>IF(CO$3="","",CO31+CO32+CO33)</f>
        <v/>
      </c>
      <c r="CP44" s="361">
        <f>IF(CP$3="","",CP31+CP32+CP33)</f>
        <v/>
      </c>
      <c r="CQ44" s="361">
        <f>IF(CQ$3="","",CQ31+CQ32+CQ33)</f>
        <v/>
      </c>
      <c r="CR44" s="361">
        <f>IF(CR$3="","",CR31+CR32+CR33)</f>
        <v/>
      </c>
      <c r="CS44" s="361">
        <f>IF(CS$3="","",CS31+CS32+CS33)</f>
        <v/>
      </c>
      <c r="CT44" s="361">
        <f>IF(CT$3="","",CT31+CT32+CT33)</f>
        <v/>
      </c>
      <c r="CU44" s="361">
        <f>IF(CU$3="","",CU31+CU32+CU33)</f>
        <v/>
      </c>
      <c r="CV44" s="361">
        <f>IF(CV$3="","",CV31+CV32+CV33)</f>
        <v/>
      </c>
      <c r="CW44" s="361">
        <f>IF(CW$3="","",CW31+CW32+CW33)</f>
        <v/>
      </c>
    </row>
    <row r="45" ht="15" customHeight="1" s="180">
      <c r="A45" s="241" t="inlineStr">
        <is>
          <t>負債合計（参考）</t>
        </is>
      </c>
      <c r="B45" s="362">
        <f>IF(B$3="","",B34)</f>
        <v/>
      </c>
      <c r="C45" s="362">
        <f>IF(C$3="","",C34)</f>
        <v/>
      </c>
      <c r="D45" s="362">
        <f>IF(D$3="","",D34)</f>
        <v/>
      </c>
      <c r="E45" s="362">
        <f>IF(E$3="","",E34)</f>
        <v/>
      </c>
      <c r="F45" s="362">
        <f>IF(F$3="","",F34)</f>
        <v/>
      </c>
      <c r="G45" s="362">
        <f>IF(G$3="","",G34)</f>
        <v/>
      </c>
      <c r="H45" s="362">
        <f>IF(H$3="","",H34)</f>
        <v/>
      </c>
      <c r="I45" s="362">
        <f>IF(I$3="","",I34)</f>
        <v/>
      </c>
      <c r="J45" s="362">
        <f>IF(J$3="","",J34)</f>
        <v/>
      </c>
      <c r="K45" s="362">
        <f>IF(K$3="","",K34)</f>
        <v/>
      </c>
      <c r="L45" s="362">
        <f>IF(L$3="","",L34)</f>
        <v/>
      </c>
      <c r="M45" s="362">
        <f>IF(M$3="","",M34)</f>
        <v/>
      </c>
      <c r="N45" s="362">
        <f>IF(N$3="","",N34)</f>
        <v/>
      </c>
      <c r="O45" s="362">
        <f>IF(O$3="","",O34)</f>
        <v/>
      </c>
      <c r="P45" s="362">
        <f>IF(P$3="","",P34)</f>
        <v/>
      </c>
      <c r="Q45" s="362">
        <f>IF(Q$3="","",Q34)</f>
        <v/>
      </c>
      <c r="R45" s="362">
        <f>IF(R$3="","",R34)</f>
        <v/>
      </c>
      <c r="S45" s="362">
        <f>IF(S$3="","",S34)</f>
        <v/>
      </c>
      <c r="T45" s="362">
        <f>IF(T$3="","",T34)</f>
        <v/>
      </c>
      <c r="U45" s="362">
        <f>IF(U$3="","",U34)</f>
        <v/>
      </c>
      <c r="V45" s="362">
        <f>IF(V$3="","",V34)</f>
        <v/>
      </c>
      <c r="W45" s="362">
        <f>IF(W$3="","",W34)</f>
        <v/>
      </c>
      <c r="X45" s="362">
        <f>IF(X$3="","",X34)</f>
        <v/>
      </c>
      <c r="Y45" s="362">
        <f>IF(Y$3="","",Y34)</f>
        <v/>
      </c>
      <c r="Z45" s="362">
        <f>IF(Z$3="","",Z34)</f>
        <v/>
      </c>
      <c r="AA45" s="362">
        <f>IF(AA$3="","",AA34)</f>
        <v/>
      </c>
      <c r="AB45" s="362">
        <f>IF(AB$3="","",AB34)</f>
        <v/>
      </c>
      <c r="AC45" s="362">
        <f>IF(AC$3="","",AC34)</f>
        <v/>
      </c>
      <c r="AD45" s="362">
        <f>IF(AD$3="","",AD34)</f>
        <v/>
      </c>
      <c r="AE45" s="362">
        <f>IF(AE$3="","",AE34)</f>
        <v/>
      </c>
      <c r="AF45" s="362">
        <f>IF(AF$3="","",AF34)</f>
        <v/>
      </c>
      <c r="AG45" s="362">
        <f>IF(AG$3="","",AG34)</f>
        <v/>
      </c>
      <c r="AH45" s="362">
        <f>IF(AH$3="","",AH34)</f>
        <v/>
      </c>
      <c r="AI45" s="362">
        <f>IF(AI$3="","",AI34)</f>
        <v/>
      </c>
      <c r="AJ45" s="362">
        <f>IF(AJ$3="","",AJ34)</f>
        <v/>
      </c>
      <c r="AK45" s="362">
        <f>IF(AK$3="","",AK34)</f>
        <v/>
      </c>
      <c r="AL45" s="362">
        <f>IF(AL$3="","",AL34)</f>
        <v/>
      </c>
      <c r="AM45" s="362">
        <f>IF(AM$3="","",AM34)</f>
        <v/>
      </c>
      <c r="AN45" s="362">
        <f>IF(AN$3="","",AN34)</f>
        <v/>
      </c>
      <c r="AO45" s="362">
        <f>IF(AO$3="","",AO34)</f>
        <v/>
      </c>
      <c r="AP45" s="362">
        <f>IF(AP$3="","",AP34)</f>
        <v/>
      </c>
      <c r="AQ45" s="362">
        <f>IF(AQ$3="","",AQ34)</f>
        <v/>
      </c>
      <c r="AR45" s="362">
        <f>IF(AR$3="","",AR34)</f>
        <v/>
      </c>
      <c r="AS45" s="362">
        <f>IF(AS$3="","",AS34)</f>
        <v/>
      </c>
      <c r="AT45" s="362">
        <f>IF(AT$3="","",AT34)</f>
        <v/>
      </c>
      <c r="AU45" s="362">
        <f>IF(AU$3="","",AU34)</f>
        <v/>
      </c>
      <c r="AV45" s="362">
        <f>IF(AV$3="","",AV34)</f>
        <v/>
      </c>
      <c r="AW45" s="362">
        <f>IF(AW$3="","",AW34)</f>
        <v/>
      </c>
      <c r="AX45" s="362">
        <f>IF(AX$3="","",AX34)</f>
        <v/>
      </c>
      <c r="AY45" s="362">
        <f>IF(AY$3="","",AY34)</f>
        <v/>
      </c>
      <c r="AZ45" s="362">
        <f>IF(AZ$3="","",AZ34)</f>
        <v/>
      </c>
      <c r="BA45" s="362">
        <f>IF(BA$3="","",BA34)</f>
        <v/>
      </c>
      <c r="BB45" s="362">
        <f>IF(BB$3="","",BB34)</f>
        <v/>
      </c>
      <c r="BC45" s="362">
        <f>IF(BC$3="","",BC34)</f>
        <v/>
      </c>
      <c r="BD45" s="362">
        <f>IF(BD$3="","",BD34)</f>
        <v/>
      </c>
      <c r="BE45" s="362">
        <f>IF(BE$3="","",BE34)</f>
        <v/>
      </c>
      <c r="BF45" s="362">
        <f>IF(BF$3="","",BF34)</f>
        <v/>
      </c>
      <c r="BG45" s="362">
        <f>IF(BG$3="","",BG34)</f>
        <v/>
      </c>
      <c r="BH45" s="362">
        <f>IF(BH$3="","",BH34)</f>
        <v/>
      </c>
      <c r="BI45" s="362">
        <f>IF(BI$3="","",BI34)</f>
        <v/>
      </c>
      <c r="BJ45" s="362">
        <f>IF(BJ$3="","",BJ34)</f>
        <v/>
      </c>
      <c r="BK45" s="362">
        <f>IF(BK$3="","",BK34)</f>
        <v/>
      </c>
      <c r="BL45" s="362">
        <f>IF(BL$3="","",BL34)</f>
        <v/>
      </c>
      <c r="BM45" s="362">
        <f>IF(BM$3="","",BM34)</f>
        <v/>
      </c>
      <c r="BN45" s="362">
        <f>IF(BN$3="","",BN34)</f>
        <v/>
      </c>
      <c r="BO45" s="362">
        <f>IF(BO$3="","",BO34)</f>
        <v/>
      </c>
      <c r="BP45" s="362">
        <f>IF(BP$3="","",BP34)</f>
        <v/>
      </c>
      <c r="BQ45" s="361">
        <f>IF(BQ$3="","",BQ34)</f>
        <v/>
      </c>
      <c r="BR45" s="361">
        <f>IF(BR$3="","",BR34)</f>
        <v/>
      </c>
      <c r="BS45" s="361">
        <f>IF(BS$3="","",BS34)</f>
        <v/>
      </c>
      <c r="BT45" s="361">
        <f>IF(BT$3="","",BT34)</f>
        <v/>
      </c>
      <c r="BU45" s="361">
        <f>IF(BU$3="","",BU34)</f>
        <v/>
      </c>
      <c r="BV45" s="361">
        <f>IF(BV$3="","",BV34)</f>
        <v/>
      </c>
      <c r="BW45" s="361">
        <f>IF(BW$3="","",BW34)</f>
        <v/>
      </c>
      <c r="BX45" s="361">
        <f>IF(BX$3="","",BX34)</f>
        <v/>
      </c>
      <c r="BY45" s="361">
        <f>IF(BY$3="","",BY34)</f>
        <v/>
      </c>
      <c r="BZ45" s="361">
        <f>IF(BZ$3="","",BZ34)</f>
        <v/>
      </c>
      <c r="CA45" s="361">
        <f>IF(CA$3="","",CA34)</f>
        <v/>
      </c>
      <c r="CB45" s="361">
        <f>IF(CB$3="","",CB34)</f>
        <v/>
      </c>
      <c r="CC45" s="361">
        <f>IF(CC$3="","",CC34)</f>
        <v/>
      </c>
      <c r="CD45" s="361">
        <f>IF(CD$3="","",CD34)</f>
        <v/>
      </c>
      <c r="CE45" s="361">
        <f>IF(CE$3="","",CE34)</f>
        <v/>
      </c>
      <c r="CF45" s="361">
        <f>IF(CF$3="","",CF34)</f>
        <v/>
      </c>
      <c r="CG45" s="361">
        <f>IF(CG$3="","",CG34)</f>
        <v/>
      </c>
      <c r="CH45" s="361">
        <f>IF(CH$3="","",CH34)</f>
        <v/>
      </c>
      <c r="CI45" s="361">
        <f>IF(CI$3="","",CI34)</f>
        <v/>
      </c>
      <c r="CJ45" s="361">
        <f>IF(CJ$3="","",CJ34)</f>
        <v/>
      </c>
      <c r="CK45" s="361">
        <f>IF(CK$3="","",CK34)</f>
        <v/>
      </c>
      <c r="CL45" s="361">
        <f>IF(CL$3="","",CL34)</f>
        <v/>
      </c>
      <c r="CM45" s="361">
        <f>IF(CM$3="","",CM34)</f>
        <v/>
      </c>
      <c r="CN45" s="361">
        <f>IF(CN$3="","",CN34)</f>
        <v/>
      </c>
      <c r="CO45" s="361">
        <f>IF(CO$3="","",CO34)</f>
        <v/>
      </c>
      <c r="CP45" s="361">
        <f>IF(CP$3="","",CP34)</f>
        <v/>
      </c>
      <c r="CQ45" s="361">
        <f>IF(CQ$3="","",CQ34)</f>
        <v/>
      </c>
      <c r="CR45" s="361">
        <f>IF(CR$3="","",CR34)</f>
        <v/>
      </c>
      <c r="CS45" s="361">
        <f>IF(CS$3="","",CS34)</f>
        <v/>
      </c>
      <c r="CT45" s="361">
        <f>IF(CT$3="","",CT34)</f>
        <v/>
      </c>
      <c r="CU45" s="361">
        <f>IF(CU$3="","",CU34)</f>
        <v/>
      </c>
      <c r="CV45" s="361">
        <f>IF(CV$3="","",CV34)</f>
        <v/>
      </c>
      <c r="CW45" s="361">
        <f>IF(CW$3="","",CW34)</f>
        <v/>
      </c>
    </row>
    <row r="47" ht="24" customHeight="1" s="180">
      <c r="A47" s="363" t="inlineStr">
        <is>
          <t>※初版前提：ご主人様収入・ご主人様退職金・ご主人様年金を0、基本生活費圧縮、遺族年金・団信を反映。死亡保険金の受取額は未反映です。</t>
        </is>
      </c>
    </row>
  </sheetData>
  <mergeCells count="2">
    <mergeCell ref="A1:CW1"/>
    <mergeCell ref="A47:H4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CW4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4" customWidth="1" style="179" min="1" max="1"/>
    <col width="11" customWidth="1" style="179" min="2" max="101"/>
  </cols>
  <sheetData>
    <row r="1" ht="21" customHeight="1" s="180">
      <c r="A1" s="213" t="inlineStr">
        <is>
          <t>CF表（奥様死亡時 / 年次CF / 左→右に年が進む）</t>
        </is>
      </c>
    </row>
    <row r="2" ht="15" customHeight="1" s="180">
      <c r="A2" s="214" t="inlineStr">
        <is>
          <t>試算終了年</t>
        </is>
      </c>
      <c r="B2" s="179">
        <f>MAX(IF(入力データ!$C$10&lt;&gt;"",YEAR(入力データ!$C$10)+100,0),IF(入力データ!$C$11&lt;&gt;"",YEAR(入力データ!$C$11)+100,0))</f>
        <v/>
      </c>
    </row>
    <row r="3" ht="15" customHeight="1" s="180">
      <c r="A3" s="215" t="inlineStr">
        <is>
          <t>年</t>
        </is>
      </c>
      <c r="B3" s="216">
        <f>IF(YEAR(入力データ!$C$5)&gt;$B$2,"",YEAR(入力データ!$C$5))</f>
        <v/>
      </c>
      <c r="C3" s="216">
        <f>IF(B3="","",IF(B3+1&gt;$B$2,"",B3+1))</f>
        <v/>
      </c>
      <c r="D3" s="216">
        <f>IF(C3="","",IF(C3+1&gt;$B$2,"",C3+1))</f>
        <v/>
      </c>
      <c r="E3" s="216">
        <f>IF(D3="","",IF(D3+1&gt;$B$2,"",D3+1))</f>
        <v/>
      </c>
      <c r="F3" s="216">
        <f>IF(E3="","",IF(E3+1&gt;$B$2,"",E3+1))</f>
        <v/>
      </c>
      <c r="G3" s="216">
        <f>IF(F3="","",IF(F3+1&gt;$B$2,"",F3+1))</f>
        <v/>
      </c>
      <c r="H3" s="216">
        <f>IF(G3="","",IF(G3+1&gt;$B$2,"",G3+1))</f>
        <v/>
      </c>
      <c r="I3" s="216">
        <f>IF(H3="","",IF(H3+1&gt;$B$2,"",H3+1))</f>
        <v/>
      </c>
      <c r="J3" s="216">
        <f>IF(I3="","",IF(I3+1&gt;$B$2,"",I3+1))</f>
        <v/>
      </c>
      <c r="K3" s="216">
        <f>IF(J3="","",IF(J3+1&gt;$B$2,"",J3+1))</f>
        <v/>
      </c>
      <c r="L3" s="216">
        <f>IF(K3="","",IF(K3+1&gt;$B$2,"",K3+1))</f>
        <v/>
      </c>
      <c r="M3" s="216">
        <f>IF(L3="","",IF(L3+1&gt;$B$2,"",L3+1))</f>
        <v/>
      </c>
      <c r="N3" s="216">
        <f>IF(M3="","",IF(M3+1&gt;$B$2,"",M3+1))</f>
        <v/>
      </c>
      <c r="O3" s="216">
        <f>IF(N3="","",IF(N3+1&gt;$B$2,"",N3+1))</f>
        <v/>
      </c>
      <c r="P3" s="216">
        <f>IF(O3="","",IF(O3+1&gt;$B$2,"",O3+1))</f>
        <v/>
      </c>
      <c r="Q3" s="216">
        <f>IF(P3="","",IF(P3+1&gt;$B$2,"",P3+1))</f>
        <v/>
      </c>
      <c r="R3" s="216">
        <f>IF(Q3="","",IF(Q3+1&gt;$B$2,"",Q3+1))</f>
        <v/>
      </c>
      <c r="S3" s="216">
        <f>IF(R3="","",IF(R3+1&gt;$B$2,"",R3+1))</f>
        <v/>
      </c>
      <c r="T3" s="216">
        <f>IF(S3="","",IF(S3+1&gt;$B$2,"",S3+1))</f>
        <v/>
      </c>
      <c r="U3" s="216">
        <f>IF(T3="","",IF(T3+1&gt;$B$2,"",T3+1))</f>
        <v/>
      </c>
      <c r="V3" s="216">
        <f>IF(U3="","",IF(U3+1&gt;$B$2,"",U3+1))</f>
        <v/>
      </c>
      <c r="W3" s="216">
        <f>IF(V3="","",IF(V3+1&gt;$B$2,"",V3+1))</f>
        <v/>
      </c>
      <c r="X3" s="216">
        <f>IF(W3="","",IF(W3+1&gt;$B$2,"",W3+1))</f>
        <v/>
      </c>
      <c r="Y3" s="216">
        <f>IF(X3="","",IF(X3+1&gt;$B$2,"",X3+1))</f>
        <v/>
      </c>
      <c r="Z3" s="216">
        <f>IF(Y3="","",IF(Y3+1&gt;$B$2,"",Y3+1))</f>
        <v/>
      </c>
      <c r="AA3" s="216">
        <f>IF(Z3="","",IF(Z3+1&gt;$B$2,"",Z3+1))</f>
        <v/>
      </c>
      <c r="AB3" s="216">
        <f>IF(AA3="","",IF(AA3+1&gt;$B$2,"",AA3+1))</f>
        <v/>
      </c>
      <c r="AC3" s="216">
        <f>IF(AB3="","",IF(AB3+1&gt;$B$2,"",AB3+1))</f>
        <v/>
      </c>
      <c r="AD3" s="216">
        <f>IF(AC3="","",IF(AC3+1&gt;$B$2,"",AC3+1))</f>
        <v/>
      </c>
      <c r="AE3" s="216">
        <f>IF(AD3="","",IF(AD3+1&gt;$B$2,"",AD3+1))</f>
        <v/>
      </c>
      <c r="AF3" s="216">
        <f>IF(AE3="","",IF(AE3+1&gt;$B$2,"",AE3+1))</f>
        <v/>
      </c>
      <c r="AG3" s="216">
        <f>IF(AF3="","",IF(AF3+1&gt;$B$2,"",AF3+1))</f>
        <v/>
      </c>
      <c r="AH3" s="216">
        <f>IF(AG3="","",IF(AG3+1&gt;$B$2,"",AG3+1))</f>
        <v/>
      </c>
      <c r="AI3" s="216">
        <f>IF(AH3="","",IF(AH3+1&gt;$B$2,"",AH3+1))</f>
        <v/>
      </c>
      <c r="AJ3" s="216">
        <f>IF(AI3="","",IF(AI3+1&gt;$B$2,"",AI3+1))</f>
        <v/>
      </c>
      <c r="AK3" s="216">
        <f>IF(AJ3="","",IF(AJ3+1&gt;$B$2,"",AJ3+1))</f>
        <v/>
      </c>
      <c r="AL3" s="216">
        <f>IF(AK3="","",IF(AK3+1&gt;$B$2,"",AK3+1))</f>
        <v/>
      </c>
      <c r="AM3" s="216">
        <f>IF(AL3="","",IF(AL3+1&gt;$B$2,"",AL3+1))</f>
        <v/>
      </c>
      <c r="AN3" s="216">
        <f>IF(AM3="","",IF(AM3+1&gt;$B$2,"",AM3+1))</f>
        <v/>
      </c>
      <c r="AO3" s="216">
        <f>IF(AN3="","",IF(AN3+1&gt;$B$2,"",AN3+1))</f>
        <v/>
      </c>
      <c r="AP3" s="216">
        <f>IF(AO3="","",IF(AO3+1&gt;$B$2,"",AO3+1))</f>
        <v/>
      </c>
      <c r="AQ3" s="216">
        <f>IF(AP3="","",IF(AP3+1&gt;$B$2,"",AP3+1))</f>
        <v/>
      </c>
      <c r="AR3" s="216">
        <f>IF(AQ3="","",IF(AQ3+1&gt;$B$2,"",AQ3+1))</f>
        <v/>
      </c>
      <c r="AS3" s="216">
        <f>IF(AR3="","",IF(AR3+1&gt;$B$2,"",AR3+1))</f>
        <v/>
      </c>
      <c r="AT3" s="216">
        <f>IF(AS3="","",IF(AS3+1&gt;$B$2,"",AS3+1))</f>
        <v/>
      </c>
      <c r="AU3" s="216">
        <f>IF(AT3="","",IF(AT3+1&gt;$B$2,"",AT3+1))</f>
        <v/>
      </c>
      <c r="AV3" s="216">
        <f>IF(AU3="","",IF(AU3+1&gt;$B$2,"",AU3+1))</f>
        <v/>
      </c>
      <c r="AW3" s="216">
        <f>IF(AV3="","",IF(AV3+1&gt;$B$2,"",AV3+1))</f>
        <v/>
      </c>
      <c r="AX3" s="216">
        <f>IF(AW3="","",IF(AW3+1&gt;$B$2,"",AW3+1))</f>
        <v/>
      </c>
      <c r="AY3" s="216">
        <f>IF(AX3="","",IF(AX3+1&gt;$B$2,"",AX3+1))</f>
        <v/>
      </c>
      <c r="AZ3" s="216">
        <f>IF(AY3="","",IF(AY3+1&gt;$B$2,"",AY3+1))</f>
        <v/>
      </c>
      <c r="BA3" s="216">
        <f>IF(AZ3="","",IF(AZ3+1&gt;$B$2,"",AZ3+1))</f>
        <v/>
      </c>
      <c r="BB3" s="216">
        <f>IF(BA3="","",IF(BA3+1&gt;$B$2,"",BA3+1))</f>
        <v/>
      </c>
      <c r="BC3" s="216">
        <f>IF(BB3="","",IF(BB3+1&gt;$B$2,"",BB3+1))</f>
        <v/>
      </c>
      <c r="BD3" s="216">
        <f>IF(BC3="","",IF(BC3+1&gt;$B$2,"",BC3+1))</f>
        <v/>
      </c>
      <c r="BE3" s="216">
        <f>IF(BD3="","",IF(BD3+1&gt;$B$2,"",BD3+1))</f>
        <v/>
      </c>
      <c r="BF3" s="216">
        <f>IF(BE3="","",IF(BE3+1&gt;$B$2,"",BE3+1))</f>
        <v/>
      </c>
      <c r="BG3" s="216">
        <f>IF(BF3="","",IF(BF3+1&gt;$B$2,"",BF3+1))</f>
        <v/>
      </c>
      <c r="BH3" s="216">
        <f>IF(BG3="","",IF(BG3+1&gt;$B$2,"",BG3+1))</f>
        <v/>
      </c>
      <c r="BI3" s="216">
        <f>IF(BH3="","",IF(BH3+1&gt;$B$2,"",BH3+1))</f>
        <v/>
      </c>
      <c r="BJ3" s="216">
        <f>IF(BI3="","",IF(BI3+1&gt;$B$2,"",BI3+1))</f>
        <v/>
      </c>
      <c r="BK3" s="216">
        <f>IF(BJ3="","",IF(BJ3+1&gt;$B$2,"",BJ3+1))</f>
        <v/>
      </c>
      <c r="BL3" s="216">
        <f>IF(BK3="","",IF(BK3+1&gt;$B$2,"",BK3+1))</f>
        <v/>
      </c>
      <c r="BM3" s="216">
        <f>IF(BL3="","",IF(BL3+1&gt;$B$2,"",BL3+1))</f>
        <v/>
      </c>
      <c r="BN3" s="216">
        <f>IF(BM3="","",IF(BM3+1&gt;$B$2,"",BM3+1))</f>
        <v/>
      </c>
      <c r="BO3" s="216">
        <f>IF(BN3="","",IF(BN3+1&gt;$B$2,"",BN3+1))</f>
        <v/>
      </c>
      <c r="BP3" s="216">
        <f>IF(BO3="","",IF(BO3+1&gt;$B$2,"",BO3+1))</f>
        <v/>
      </c>
      <c r="BQ3" s="216">
        <f>IF(BP3="","",IF(BP3+1&gt;$B$2,"",BP3+1))</f>
        <v/>
      </c>
      <c r="BR3" s="216">
        <f>IF(BQ3="","",IF(BQ3+1&gt;$B$2,"",BQ3+1))</f>
        <v/>
      </c>
      <c r="BS3" s="216">
        <f>IF(BR3="","",IF(BR3+1&gt;$B$2,"",BR3+1))</f>
        <v/>
      </c>
      <c r="BT3" s="216">
        <f>IF(BS3="","",IF(BS3+1&gt;$B$2,"",BS3+1))</f>
        <v/>
      </c>
      <c r="BU3" s="216">
        <f>IF(BT3="","",IF(BT3+1&gt;$B$2,"",BT3+1))</f>
        <v/>
      </c>
      <c r="BV3" s="216">
        <f>IF(BU3="","",IF(BU3+1&gt;$B$2,"",BU3+1))</f>
        <v/>
      </c>
      <c r="BW3" s="216">
        <f>IF(BV3="","",IF(BV3+1&gt;$B$2,"",BV3+1))</f>
        <v/>
      </c>
      <c r="BX3" s="216">
        <f>IF(BW3="","",IF(BW3+1&gt;$B$2,"",BW3+1))</f>
        <v/>
      </c>
      <c r="BY3" s="216">
        <f>IF(BX3="","",IF(BX3+1&gt;$B$2,"",BX3+1))</f>
        <v/>
      </c>
      <c r="BZ3" s="216">
        <f>IF(BY3="","",IF(BY3+1&gt;$B$2,"",BY3+1))</f>
        <v/>
      </c>
      <c r="CA3" s="216">
        <f>IF(BZ3="","",IF(BZ3+1&gt;$B$2,"",BZ3+1))</f>
        <v/>
      </c>
      <c r="CB3" s="216">
        <f>IF(CA3="","",IF(CA3+1&gt;$B$2,"",CA3+1))</f>
        <v/>
      </c>
      <c r="CC3" s="216">
        <f>IF(CB3="","",IF(CB3+1&gt;$B$2,"",CB3+1))</f>
        <v/>
      </c>
      <c r="CD3" s="216">
        <f>IF(CC3="","",IF(CC3+1&gt;$B$2,"",CC3+1))</f>
        <v/>
      </c>
      <c r="CE3" s="216">
        <f>IF(CD3="","",IF(CD3+1&gt;$B$2,"",CD3+1))</f>
        <v/>
      </c>
      <c r="CF3" s="216">
        <f>IF(CE3="","",IF(CE3+1&gt;$B$2,"",CE3+1))</f>
        <v/>
      </c>
      <c r="CG3" s="216">
        <f>IF(CF3="","",IF(CF3+1&gt;$B$2,"",CF3+1))</f>
        <v/>
      </c>
      <c r="CH3" s="216">
        <f>IF(CG3="","",IF(CG3+1&gt;$B$2,"",CG3+1))</f>
        <v/>
      </c>
      <c r="CI3" s="216">
        <f>IF(CH3="","",IF(CH3+1&gt;$B$2,"",CH3+1))</f>
        <v/>
      </c>
      <c r="CJ3" s="216">
        <f>IF(CI3="","",IF(CI3+1&gt;$B$2,"",CI3+1))</f>
        <v/>
      </c>
      <c r="CK3" s="216">
        <f>IF(CJ3="","",IF(CJ3+1&gt;$B$2,"",CJ3+1))</f>
        <v/>
      </c>
      <c r="CL3" s="216">
        <f>IF(CK3="","",IF(CK3+1&gt;$B$2,"",CK3+1))</f>
        <v/>
      </c>
      <c r="CM3" s="216">
        <f>IF(CL3="","",IF(CL3+1&gt;$B$2,"",CL3+1))</f>
        <v/>
      </c>
      <c r="CN3" s="216">
        <f>IF(CM3="","",IF(CM3+1&gt;$B$2,"",CM3+1))</f>
        <v/>
      </c>
      <c r="CO3" s="216">
        <f>IF(CN3="","",IF(CN3+1&gt;$B$2,"",CN3+1))</f>
        <v/>
      </c>
      <c r="CP3" s="216">
        <f>IF(CO3="","",IF(CO3+1&gt;$B$2,"",CO3+1))</f>
        <v/>
      </c>
      <c r="CQ3" s="216">
        <f>IF(CP3="","",IF(CP3+1&gt;$B$2,"",CP3+1))</f>
        <v/>
      </c>
      <c r="CR3" s="216">
        <f>IF(CQ3="","",IF(CQ3+1&gt;$B$2,"",CQ3+1))</f>
        <v/>
      </c>
      <c r="CS3" s="216">
        <f>IF(CR3="","",IF(CR3+1&gt;$B$2,"",CR3+1))</f>
        <v/>
      </c>
      <c r="CT3" s="216">
        <f>IF(CS3="","",IF(CS3+1&gt;$B$2,"",CS3+1))</f>
        <v/>
      </c>
      <c r="CU3" s="216">
        <f>IF(CT3="","",IF(CT3+1&gt;$B$2,"",CT3+1))</f>
        <v/>
      </c>
      <c r="CV3" s="216">
        <f>IF(CU3="","",IF(CU3+1&gt;$B$2,"",CU3+1))</f>
        <v/>
      </c>
      <c r="CW3" s="216">
        <f>IF(CV3="","",IF(CV3+1&gt;$B$2,"",CV3+1))</f>
        <v/>
      </c>
    </row>
    <row r="4" ht="15" customHeight="1" s="180">
      <c r="A4" s="217" t="inlineStr">
        <is>
          <t>ご主人様年齢</t>
        </is>
      </c>
      <c r="B4" s="218">
        <f>IF(B$3="","",IF(入力データ!$C$10="","",YEAR(DATE(B$3,12,31))-YEAR(入力データ!$C$10)-IF(DATE(B$3,12,31)&lt;DATE(B$3,MONTH(入力データ!$C$10),DAY(入力データ!$C$10)),1,0)))</f>
        <v/>
      </c>
      <c r="C4" s="218">
        <f>IF(C$3="","",IF(入力データ!$C$10="","",YEAR(DATE(C$3,12,31))-YEAR(入力データ!$C$10)-IF(DATE(C$3,12,31)&lt;DATE(C$3,MONTH(入力データ!$C$10),DAY(入力データ!$C$10)),1,0)))</f>
        <v/>
      </c>
      <c r="D4" s="218">
        <f>IF(D$3="","",IF(入力データ!$C$10="","",YEAR(DATE(D$3,12,31))-YEAR(入力データ!$C$10)-IF(DATE(D$3,12,31)&lt;DATE(D$3,MONTH(入力データ!$C$10),DAY(入力データ!$C$10)),1,0)))</f>
        <v/>
      </c>
      <c r="E4" s="218">
        <f>IF(E$3="","",IF(入力データ!$C$10="","",YEAR(DATE(E$3,12,31))-YEAR(入力データ!$C$10)-IF(DATE(E$3,12,31)&lt;DATE(E$3,MONTH(入力データ!$C$10),DAY(入力データ!$C$10)),1,0)))</f>
        <v/>
      </c>
      <c r="F4" s="218">
        <f>IF(F$3="","",IF(入力データ!$C$10="","",YEAR(DATE(F$3,12,31))-YEAR(入力データ!$C$10)-IF(DATE(F$3,12,31)&lt;DATE(F$3,MONTH(入力データ!$C$10),DAY(入力データ!$C$10)),1,0)))</f>
        <v/>
      </c>
      <c r="G4" s="218">
        <f>IF(G$3="","",IF(入力データ!$C$10="","",YEAR(DATE(G$3,12,31))-YEAR(入力データ!$C$10)-IF(DATE(G$3,12,31)&lt;DATE(G$3,MONTH(入力データ!$C$10),DAY(入力データ!$C$10)),1,0)))</f>
        <v/>
      </c>
      <c r="H4" s="218">
        <f>IF(H$3="","",IF(入力データ!$C$10="","",YEAR(DATE(H$3,12,31))-YEAR(入力データ!$C$10)-IF(DATE(H$3,12,31)&lt;DATE(H$3,MONTH(入力データ!$C$10),DAY(入力データ!$C$10)),1,0)))</f>
        <v/>
      </c>
      <c r="I4" s="218">
        <f>IF(I$3="","",IF(入力データ!$C$10="","",YEAR(DATE(I$3,12,31))-YEAR(入力データ!$C$10)-IF(DATE(I$3,12,31)&lt;DATE(I$3,MONTH(入力データ!$C$10),DAY(入力データ!$C$10)),1,0)))</f>
        <v/>
      </c>
      <c r="J4" s="218">
        <f>IF(J$3="","",IF(入力データ!$C$10="","",YEAR(DATE(J$3,12,31))-YEAR(入力データ!$C$10)-IF(DATE(J$3,12,31)&lt;DATE(J$3,MONTH(入力データ!$C$10),DAY(入力データ!$C$10)),1,0)))</f>
        <v/>
      </c>
      <c r="K4" s="218">
        <f>IF(K$3="","",IF(入力データ!$C$10="","",YEAR(DATE(K$3,12,31))-YEAR(入力データ!$C$10)-IF(DATE(K$3,12,31)&lt;DATE(K$3,MONTH(入力データ!$C$10),DAY(入力データ!$C$10)),1,0)))</f>
        <v/>
      </c>
      <c r="L4" s="218">
        <f>IF(L$3="","",IF(入力データ!$C$10="","",YEAR(DATE(L$3,12,31))-YEAR(入力データ!$C$10)-IF(DATE(L$3,12,31)&lt;DATE(L$3,MONTH(入力データ!$C$10),DAY(入力データ!$C$10)),1,0)))</f>
        <v/>
      </c>
      <c r="M4" s="218">
        <f>IF(M$3="","",IF(入力データ!$C$10="","",YEAR(DATE(M$3,12,31))-YEAR(入力データ!$C$10)-IF(DATE(M$3,12,31)&lt;DATE(M$3,MONTH(入力データ!$C$10),DAY(入力データ!$C$10)),1,0)))</f>
        <v/>
      </c>
      <c r="N4" s="218">
        <f>IF(N$3="","",IF(入力データ!$C$10="","",YEAR(DATE(N$3,12,31))-YEAR(入力データ!$C$10)-IF(DATE(N$3,12,31)&lt;DATE(N$3,MONTH(入力データ!$C$10),DAY(入力データ!$C$10)),1,0)))</f>
        <v/>
      </c>
      <c r="O4" s="218">
        <f>IF(O$3="","",IF(入力データ!$C$10="","",YEAR(DATE(O$3,12,31))-YEAR(入力データ!$C$10)-IF(DATE(O$3,12,31)&lt;DATE(O$3,MONTH(入力データ!$C$10),DAY(入力データ!$C$10)),1,0)))</f>
        <v/>
      </c>
      <c r="P4" s="218">
        <f>IF(P$3="","",IF(入力データ!$C$10="","",YEAR(DATE(P$3,12,31))-YEAR(入力データ!$C$10)-IF(DATE(P$3,12,31)&lt;DATE(P$3,MONTH(入力データ!$C$10),DAY(入力データ!$C$10)),1,0)))</f>
        <v/>
      </c>
      <c r="Q4" s="218">
        <f>IF(Q$3="","",IF(入力データ!$C$10="","",YEAR(DATE(Q$3,12,31))-YEAR(入力データ!$C$10)-IF(DATE(Q$3,12,31)&lt;DATE(Q$3,MONTH(入力データ!$C$10),DAY(入力データ!$C$10)),1,0)))</f>
        <v/>
      </c>
      <c r="R4" s="218">
        <f>IF(R$3="","",IF(入力データ!$C$10="","",YEAR(DATE(R$3,12,31))-YEAR(入力データ!$C$10)-IF(DATE(R$3,12,31)&lt;DATE(R$3,MONTH(入力データ!$C$10),DAY(入力データ!$C$10)),1,0)))</f>
        <v/>
      </c>
      <c r="S4" s="218">
        <f>IF(S$3="","",IF(入力データ!$C$10="","",YEAR(DATE(S$3,12,31))-YEAR(入力データ!$C$10)-IF(DATE(S$3,12,31)&lt;DATE(S$3,MONTH(入力データ!$C$10),DAY(入力データ!$C$10)),1,0)))</f>
        <v/>
      </c>
      <c r="T4" s="218">
        <f>IF(T$3="","",IF(入力データ!$C$10="","",YEAR(DATE(T$3,12,31))-YEAR(入力データ!$C$10)-IF(DATE(T$3,12,31)&lt;DATE(T$3,MONTH(入力データ!$C$10),DAY(入力データ!$C$10)),1,0)))</f>
        <v/>
      </c>
      <c r="U4" s="218">
        <f>IF(U$3="","",IF(入力データ!$C$10="","",YEAR(DATE(U$3,12,31))-YEAR(入力データ!$C$10)-IF(DATE(U$3,12,31)&lt;DATE(U$3,MONTH(入力データ!$C$10),DAY(入力データ!$C$10)),1,0)))</f>
        <v/>
      </c>
      <c r="V4" s="218">
        <f>IF(V$3="","",IF(入力データ!$C$10="","",YEAR(DATE(V$3,12,31))-YEAR(入力データ!$C$10)-IF(DATE(V$3,12,31)&lt;DATE(V$3,MONTH(入力データ!$C$10),DAY(入力データ!$C$10)),1,0)))</f>
        <v/>
      </c>
      <c r="W4" s="218">
        <f>IF(W$3="","",IF(入力データ!$C$10="","",YEAR(DATE(W$3,12,31))-YEAR(入力データ!$C$10)-IF(DATE(W$3,12,31)&lt;DATE(W$3,MONTH(入力データ!$C$10),DAY(入力データ!$C$10)),1,0)))</f>
        <v/>
      </c>
      <c r="X4" s="218">
        <f>IF(X$3="","",IF(入力データ!$C$10="","",YEAR(DATE(X$3,12,31))-YEAR(入力データ!$C$10)-IF(DATE(X$3,12,31)&lt;DATE(X$3,MONTH(入力データ!$C$10),DAY(入力データ!$C$10)),1,0)))</f>
        <v/>
      </c>
      <c r="Y4" s="218">
        <f>IF(Y$3="","",IF(入力データ!$C$10="","",YEAR(DATE(Y$3,12,31))-YEAR(入力データ!$C$10)-IF(DATE(Y$3,12,31)&lt;DATE(Y$3,MONTH(入力データ!$C$10),DAY(入力データ!$C$10)),1,0)))</f>
        <v/>
      </c>
      <c r="Z4" s="218">
        <f>IF(Z$3="","",IF(入力データ!$C$10="","",YEAR(DATE(Z$3,12,31))-YEAR(入力データ!$C$10)-IF(DATE(Z$3,12,31)&lt;DATE(Z$3,MONTH(入力データ!$C$10),DAY(入力データ!$C$10)),1,0)))</f>
        <v/>
      </c>
      <c r="AA4" s="218">
        <f>IF(AA$3="","",IF(入力データ!$C$10="","",YEAR(DATE(AA$3,12,31))-YEAR(入力データ!$C$10)-IF(DATE(AA$3,12,31)&lt;DATE(AA$3,MONTH(入力データ!$C$10),DAY(入力データ!$C$10)),1,0)))</f>
        <v/>
      </c>
      <c r="AB4" s="218">
        <f>IF(AB$3="","",IF(入力データ!$C$10="","",YEAR(DATE(AB$3,12,31))-YEAR(入力データ!$C$10)-IF(DATE(AB$3,12,31)&lt;DATE(AB$3,MONTH(入力データ!$C$10),DAY(入力データ!$C$10)),1,0)))</f>
        <v/>
      </c>
      <c r="AC4" s="218">
        <f>IF(AC$3="","",IF(入力データ!$C$10="","",YEAR(DATE(AC$3,12,31))-YEAR(入力データ!$C$10)-IF(DATE(AC$3,12,31)&lt;DATE(AC$3,MONTH(入力データ!$C$10),DAY(入力データ!$C$10)),1,0)))</f>
        <v/>
      </c>
      <c r="AD4" s="218">
        <f>IF(AD$3="","",IF(入力データ!$C$10="","",YEAR(DATE(AD$3,12,31))-YEAR(入力データ!$C$10)-IF(DATE(AD$3,12,31)&lt;DATE(AD$3,MONTH(入力データ!$C$10),DAY(入力データ!$C$10)),1,0)))</f>
        <v/>
      </c>
      <c r="AE4" s="218">
        <f>IF(AE$3="","",IF(入力データ!$C$10="","",YEAR(DATE(AE$3,12,31))-YEAR(入力データ!$C$10)-IF(DATE(AE$3,12,31)&lt;DATE(AE$3,MONTH(入力データ!$C$10),DAY(入力データ!$C$10)),1,0)))</f>
        <v/>
      </c>
      <c r="AF4" s="218">
        <f>IF(AF$3="","",IF(入力データ!$C$10="","",YEAR(DATE(AF$3,12,31))-YEAR(入力データ!$C$10)-IF(DATE(AF$3,12,31)&lt;DATE(AF$3,MONTH(入力データ!$C$10),DAY(入力データ!$C$10)),1,0)))</f>
        <v/>
      </c>
      <c r="AG4" s="218">
        <f>IF(AG$3="","",IF(入力データ!$C$10="","",YEAR(DATE(AG$3,12,31))-YEAR(入力データ!$C$10)-IF(DATE(AG$3,12,31)&lt;DATE(AG$3,MONTH(入力データ!$C$10),DAY(入力データ!$C$10)),1,0)))</f>
        <v/>
      </c>
      <c r="AH4" s="218">
        <f>IF(AH$3="","",IF(入力データ!$C$10="","",YEAR(DATE(AH$3,12,31))-YEAR(入力データ!$C$10)-IF(DATE(AH$3,12,31)&lt;DATE(AH$3,MONTH(入力データ!$C$10),DAY(入力データ!$C$10)),1,0)))</f>
        <v/>
      </c>
      <c r="AI4" s="218">
        <f>IF(AI$3="","",IF(入力データ!$C$10="","",YEAR(DATE(AI$3,12,31))-YEAR(入力データ!$C$10)-IF(DATE(AI$3,12,31)&lt;DATE(AI$3,MONTH(入力データ!$C$10),DAY(入力データ!$C$10)),1,0)))</f>
        <v/>
      </c>
      <c r="AJ4" s="218">
        <f>IF(AJ$3="","",IF(入力データ!$C$10="","",YEAR(DATE(AJ$3,12,31))-YEAR(入力データ!$C$10)-IF(DATE(AJ$3,12,31)&lt;DATE(AJ$3,MONTH(入力データ!$C$10),DAY(入力データ!$C$10)),1,0)))</f>
        <v/>
      </c>
      <c r="AK4" s="218">
        <f>IF(AK$3="","",IF(入力データ!$C$10="","",YEAR(DATE(AK$3,12,31))-YEAR(入力データ!$C$10)-IF(DATE(AK$3,12,31)&lt;DATE(AK$3,MONTH(入力データ!$C$10),DAY(入力データ!$C$10)),1,0)))</f>
        <v/>
      </c>
      <c r="AL4" s="218">
        <f>IF(AL$3="","",IF(入力データ!$C$10="","",YEAR(DATE(AL$3,12,31))-YEAR(入力データ!$C$10)-IF(DATE(AL$3,12,31)&lt;DATE(AL$3,MONTH(入力データ!$C$10),DAY(入力データ!$C$10)),1,0)))</f>
        <v/>
      </c>
      <c r="AM4" s="218">
        <f>IF(AM$3="","",IF(入力データ!$C$10="","",YEAR(DATE(AM$3,12,31))-YEAR(入力データ!$C$10)-IF(DATE(AM$3,12,31)&lt;DATE(AM$3,MONTH(入力データ!$C$10),DAY(入力データ!$C$10)),1,0)))</f>
        <v/>
      </c>
      <c r="AN4" s="218">
        <f>IF(AN$3="","",IF(入力データ!$C$10="","",YEAR(DATE(AN$3,12,31))-YEAR(入力データ!$C$10)-IF(DATE(AN$3,12,31)&lt;DATE(AN$3,MONTH(入力データ!$C$10),DAY(入力データ!$C$10)),1,0)))</f>
        <v/>
      </c>
      <c r="AO4" s="218">
        <f>IF(AO$3="","",IF(入力データ!$C$10="","",YEAR(DATE(AO$3,12,31))-YEAR(入力データ!$C$10)-IF(DATE(AO$3,12,31)&lt;DATE(AO$3,MONTH(入力データ!$C$10),DAY(入力データ!$C$10)),1,0)))</f>
        <v/>
      </c>
      <c r="AP4" s="218">
        <f>IF(AP$3="","",IF(入力データ!$C$10="","",YEAR(DATE(AP$3,12,31))-YEAR(入力データ!$C$10)-IF(DATE(AP$3,12,31)&lt;DATE(AP$3,MONTH(入力データ!$C$10),DAY(入力データ!$C$10)),1,0)))</f>
        <v/>
      </c>
      <c r="AQ4" s="218">
        <f>IF(AQ$3="","",IF(入力データ!$C$10="","",YEAR(DATE(AQ$3,12,31))-YEAR(入力データ!$C$10)-IF(DATE(AQ$3,12,31)&lt;DATE(AQ$3,MONTH(入力データ!$C$10),DAY(入力データ!$C$10)),1,0)))</f>
        <v/>
      </c>
      <c r="AR4" s="218">
        <f>IF(AR$3="","",IF(入力データ!$C$10="","",YEAR(DATE(AR$3,12,31))-YEAR(入力データ!$C$10)-IF(DATE(AR$3,12,31)&lt;DATE(AR$3,MONTH(入力データ!$C$10),DAY(入力データ!$C$10)),1,0)))</f>
        <v/>
      </c>
      <c r="AS4" s="218">
        <f>IF(AS$3="","",IF(入力データ!$C$10="","",YEAR(DATE(AS$3,12,31))-YEAR(入力データ!$C$10)-IF(DATE(AS$3,12,31)&lt;DATE(AS$3,MONTH(入力データ!$C$10),DAY(入力データ!$C$10)),1,0)))</f>
        <v/>
      </c>
      <c r="AT4" s="218">
        <f>IF(AT$3="","",IF(入力データ!$C$10="","",YEAR(DATE(AT$3,12,31))-YEAR(入力データ!$C$10)-IF(DATE(AT$3,12,31)&lt;DATE(AT$3,MONTH(入力データ!$C$10),DAY(入力データ!$C$10)),1,0)))</f>
        <v/>
      </c>
      <c r="AU4" s="218">
        <f>IF(AU$3="","",IF(入力データ!$C$10="","",YEAR(DATE(AU$3,12,31))-YEAR(入力データ!$C$10)-IF(DATE(AU$3,12,31)&lt;DATE(AU$3,MONTH(入力データ!$C$10),DAY(入力データ!$C$10)),1,0)))</f>
        <v/>
      </c>
      <c r="AV4" s="218">
        <f>IF(AV$3="","",IF(入力データ!$C$10="","",YEAR(DATE(AV$3,12,31))-YEAR(入力データ!$C$10)-IF(DATE(AV$3,12,31)&lt;DATE(AV$3,MONTH(入力データ!$C$10),DAY(入力データ!$C$10)),1,0)))</f>
        <v/>
      </c>
      <c r="AW4" s="218">
        <f>IF(AW$3="","",IF(入力データ!$C$10="","",YEAR(DATE(AW$3,12,31))-YEAR(入力データ!$C$10)-IF(DATE(AW$3,12,31)&lt;DATE(AW$3,MONTH(入力データ!$C$10),DAY(入力データ!$C$10)),1,0)))</f>
        <v/>
      </c>
      <c r="AX4" s="218">
        <f>IF(AX$3="","",IF(入力データ!$C$10="","",YEAR(DATE(AX$3,12,31))-YEAR(入力データ!$C$10)-IF(DATE(AX$3,12,31)&lt;DATE(AX$3,MONTH(入力データ!$C$10),DAY(入力データ!$C$10)),1,0)))</f>
        <v/>
      </c>
      <c r="AY4" s="218">
        <f>IF(AY$3="","",IF(入力データ!$C$10="","",YEAR(DATE(AY$3,12,31))-YEAR(入力データ!$C$10)-IF(DATE(AY$3,12,31)&lt;DATE(AY$3,MONTH(入力データ!$C$10),DAY(入力データ!$C$10)),1,0)))</f>
        <v/>
      </c>
      <c r="AZ4" s="218">
        <f>IF(AZ$3="","",IF(入力データ!$C$10="","",YEAR(DATE(AZ$3,12,31))-YEAR(入力データ!$C$10)-IF(DATE(AZ$3,12,31)&lt;DATE(AZ$3,MONTH(入力データ!$C$10),DAY(入力データ!$C$10)),1,0)))</f>
        <v/>
      </c>
      <c r="BA4" s="218">
        <f>IF(BA$3="","",IF(入力データ!$C$10="","",YEAR(DATE(BA$3,12,31))-YEAR(入力データ!$C$10)-IF(DATE(BA$3,12,31)&lt;DATE(BA$3,MONTH(入力データ!$C$10),DAY(入力データ!$C$10)),1,0)))</f>
        <v/>
      </c>
      <c r="BB4" s="218">
        <f>IF(BB$3="","",IF(入力データ!$C$10="","",YEAR(DATE(BB$3,12,31))-YEAR(入力データ!$C$10)-IF(DATE(BB$3,12,31)&lt;DATE(BB$3,MONTH(入力データ!$C$10),DAY(入力データ!$C$10)),1,0)))</f>
        <v/>
      </c>
      <c r="BC4" s="218">
        <f>IF(BC$3="","",IF(入力データ!$C$10="","",YEAR(DATE(BC$3,12,31))-YEAR(入力データ!$C$10)-IF(DATE(BC$3,12,31)&lt;DATE(BC$3,MONTH(入力データ!$C$10),DAY(入力データ!$C$10)),1,0)))</f>
        <v/>
      </c>
      <c r="BD4" s="218">
        <f>IF(BD$3="","",IF(入力データ!$C$10="","",YEAR(DATE(BD$3,12,31))-YEAR(入力データ!$C$10)-IF(DATE(BD$3,12,31)&lt;DATE(BD$3,MONTH(入力データ!$C$10),DAY(入力データ!$C$10)),1,0)))</f>
        <v/>
      </c>
      <c r="BE4" s="218">
        <f>IF(BE$3="","",IF(入力データ!$C$10="","",YEAR(DATE(BE$3,12,31))-YEAR(入力データ!$C$10)-IF(DATE(BE$3,12,31)&lt;DATE(BE$3,MONTH(入力データ!$C$10),DAY(入力データ!$C$10)),1,0)))</f>
        <v/>
      </c>
      <c r="BF4" s="218">
        <f>IF(BF$3="","",IF(入力データ!$C$10="","",YEAR(DATE(BF$3,12,31))-YEAR(入力データ!$C$10)-IF(DATE(BF$3,12,31)&lt;DATE(BF$3,MONTH(入力データ!$C$10),DAY(入力データ!$C$10)),1,0)))</f>
        <v/>
      </c>
      <c r="BG4" s="218">
        <f>IF(BG$3="","",IF(入力データ!$C$10="","",YEAR(DATE(BG$3,12,31))-YEAR(入力データ!$C$10)-IF(DATE(BG$3,12,31)&lt;DATE(BG$3,MONTH(入力データ!$C$10),DAY(入力データ!$C$10)),1,0)))</f>
        <v/>
      </c>
      <c r="BH4" s="218">
        <f>IF(BH$3="","",IF(入力データ!$C$10="","",YEAR(DATE(BH$3,12,31))-YEAR(入力データ!$C$10)-IF(DATE(BH$3,12,31)&lt;DATE(BH$3,MONTH(入力データ!$C$10),DAY(入力データ!$C$10)),1,0)))</f>
        <v/>
      </c>
      <c r="BI4" s="218">
        <f>IF(BI$3="","",IF(入力データ!$C$10="","",YEAR(DATE(BI$3,12,31))-YEAR(入力データ!$C$10)-IF(DATE(BI$3,12,31)&lt;DATE(BI$3,MONTH(入力データ!$C$10),DAY(入力データ!$C$10)),1,0)))</f>
        <v/>
      </c>
      <c r="BJ4" s="218">
        <f>IF(BJ$3="","",IF(入力データ!$C$10="","",YEAR(DATE(BJ$3,12,31))-YEAR(入力データ!$C$10)-IF(DATE(BJ$3,12,31)&lt;DATE(BJ$3,MONTH(入力データ!$C$10),DAY(入力データ!$C$10)),1,0)))</f>
        <v/>
      </c>
      <c r="BK4" s="218">
        <f>IF(BK$3="","",IF(入力データ!$C$10="","",YEAR(DATE(BK$3,12,31))-YEAR(入力データ!$C$10)-IF(DATE(BK$3,12,31)&lt;DATE(BK$3,MONTH(入力データ!$C$10),DAY(入力データ!$C$10)),1,0)))</f>
        <v/>
      </c>
      <c r="BL4" s="218">
        <f>IF(BL$3="","",IF(入力データ!$C$10="","",YEAR(DATE(BL$3,12,31))-YEAR(入力データ!$C$10)-IF(DATE(BL$3,12,31)&lt;DATE(BL$3,MONTH(入力データ!$C$10),DAY(入力データ!$C$10)),1,0)))</f>
        <v/>
      </c>
      <c r="BM4" s="218">
        <f>IF(BM$3="","",IF(入力データ!$C$10="","",YEAR(DATE(BM$3,12,31))-YEAR(入力データ!$C$10)-IF(DATE(BM$3,12,31)&lt;DATE(BM$3,MONTH(入力データ!$C$10),DAY(入力データ!$C$10)),1,0)))</f>
        <v/>
      </c>
      <c r="BN4" s="218">
        <f>IF(BN$3="","",IF(入力データ!$C$10="","",YEAR(DATE(BN$3,12,31))-YEAR(入力データ!$C$10)-IF(DATE(BN$3,12,31)&lt;DATE(BN$3,MONTH(入力データ!$C$10),DAY(入力データ!$C$10)),1,0)))</f>
        <v/>
      </c>
      <c r="BO4" s="218">
        <f>IF(BO$3="","",IF(入力データ!$C$10="","",YEAR(DATE(BO$3,12,31))-YEAR(入力データ!$C$10)-IF(DATE(BO$3,12,31)&lt;DATE(BO$3,MONTH(入力データ!$C$10),DAY(入力データ!$C$10)),1,0)))</f>
        <v/>
      </c>
      <c r="BP4" s="218">
        <f>IF(BP$3="","",IF(入力データ!$C$10="","",YEAR(DATE(BP$3,12,31))-YEAR(入力データ!$C$10)-IF(DATE(BP$3,12,31)&lt;DATE(BP$3,MONTH(入力データ!$C$10),DAY(入力データ!$C$10)),1,0)))</f>
        <v/>
      </c>
      <c r="BQ4" s="218">
        <f>IF(BQ$3="","",IF(入力データ!$C$10="","",YEAR(DATE(BQ$3,12,31))-YEAR(入力データ!$C$10)-IF(DATE(BQ$3,12,31)&lt;DATE(BQ$3,MONTH(入力データ!$C$10),DAY(入力データ!$C$10)),1,0)))</f>
        <v/>
      </c>
      <c r="BR4" s="218">
        <f>IF(BR$3="","",IF(入力データ!$C$10="","",YEAR(DATE(BR$3,12,31))-YEAR(入力データ!$C$10)-IF(DATE(BR$3,12,31)&lt;DATE(BR$3,MONTH(入力データ!$C$10),DAY(入力データ!$C$10)),1,0)))</f>
        <v/>
      </c>
      <c r="BS4" s="218">
        <f>IF(BS$3="","",IF(入力データ!$C$10="","",YEAR(DATE(BS$3,12,31))-YEAR(入力データ!$C$10)-IF(DATE(BS$3,12,31)&lt;DATE(BS$3,MONTH(入力データ!$C$10),DAY(入力データ!$C$10)),1,0)))</f>
        <v/>
      </c>
      <c r="BT4" s="218">
        <f>IF(BT$3="","",IF(入力データ!$C$10="","",YEAR(DATE(BT$3,12,31))-YEAR(入力データ!$C$10)-IF(DATE(BT$3,12,31)&lt;DATE(BT$3,MONTH(入力データ!$C$10),DAY(入力データ!$C$10)),1,0)))</f>
        <v/>
      </c>
      <c r="BU4" s="218">
        <f>IF(BU$3="","",IF(入力データ!$C$10="","",YEAR(DATE(BU$3,12,31))-YEAR(入力データ!$C$10)-IF(DATE(BU$3,12,31)&lt;DATE(BU$3,MONTH(入力データ!$C$10),DAY(入力データ!$C$10)),1,0)))</f>
        <v/>
      </c>
      <c r="BV4" s="218">
        <f>IF(BV$3="","",IF(入力データ!$C$10="","",YEAR(DATE(BV$3,12,31))-YEAR(入力データ!$C$10)-IF(DATE(BV$3,12,31)&lt;DATE(BV$3,MONTH(入力データ!$C$10),DAY(入力データ!$C$10)),1,0)))</f>
        <v/>
      </c>
      <c r="BW4" s="218">
        <f>IF(BW$3="","",IF(入力データ!$C$10="","",YEAR(DATE(BW$3,12,31))-YEAR(入力データ!$C$10)-IF(DATE(BW$3,12,31)&lt;DATE(BW$3,MONTH(入力データ!$C$10),DAY(入力データ!$C$10)),1,0)))</f>
        <v/>
      </c>
      <c r="BX4" s="218">
        <f>IF(BX$3="","",IF(入力データ!$C$10="","",YEAR(DATE(BX$3,12,31))-YEAR(入力データ!$C$10)-IF(DATE(BX$3,12,31)&lt;DATE(BX$3,MONTH(入力データ!$C$10),DAY(入力データ!$C$10)),1,0)))</f>
        <v/>
      </c>
      <c r="BY4" s="218">
        <f>IF(BY$3="","",IF(入力データ!$C$10="","",YEAR(DATE(BY$3,12,31))-YEAR(入力データ!$C$10)-IF(DATE(BY$3,12,31)&lt;DATE(BY$3,MONTH(入力データ!$C$10),DAY(入力データ!$C$10)),1,0)))</f>
        <v/>
      </c>
      <c r="BZ4" s="218">
        <f>IF(BZ$3="","",IF(入力データ!$C$10="","",YEAR(DATE(BZ$3,12,31))-YEAR(入力データ!$C$10)-IF(DATE(BZ$3,12,31)&lt;DATE(BZ$3,MONTH(入力データ!$C$10),DAY(入力データ!$C$10)),1,0)))</f>
        <v/>
      </c>
      <c r="CA4" s="218">
        <f>IF(CA$3="","",IF(入力データ!$C$10="","",YEAR(DATE(CA$3,12,31))-YEAR(入力データ!$C$10)-IF(DATE(CA$3,12,31)&lt;DATE(CA$3,MONTH(入力データ!$C$10),DAY(入力データ!$C$10)),1,0)))</f>
        <v/>
      </c>
      <c r="CB4" s="218">
        <f>IF(CB$3="","",IF(入力データ!$C$10="","",YEAR(DATE(CB$3,12,31))-YEAR(入力データ!$C$10)-IF(DATE(CB$3,12,31)&lt;DATE(CB$3,MONTH(入力データ!$C$10),DAY(入力データ!$C$10)),1,0)))</f>
        <v/>
      </c>
      <c r="CC4" s="218">
        <f>IF(CC$3="","",IF(入力データ!$C$10="","",YEAR(DATE(CC$3,12,31))-YEAR(入力データ!$C$10)-IF(DATE(CC$3,12,31)&lt;DATE(CC$3,MONTH(入力データ!$C$10),DAY(入力データ!$C$10)),1,0)))</f>
        <v/>
      </c>
      <c r="CD4" s="218">
        <f>IF(CD$3="","",IF(入力データ!$C$10="","",YEAR(DATE(CD$3,12,31))-YEAR(入力データ!$C$10)-IF(DATE(CD$3,12,31)&lt;DATE(CD$3,MONTH(入力データ!$C$10),DAY(入力データ!$C$10)),1,0)))</f>
        <v/>
      </c>
      <c r="CE4" s="218">
        <f>IF(CE$3="","",IF(入力データ!$C$10="","",YEAR(DATE(CE$3,12,31))-YEAR(入力データ!$C$10)-IF(DATE(CE$3,12,31)&lt;DATE(CE$3,MONTH(入力データ!$C$10),DAY(入力データ!$C$10)),1,0)))</f>
        <v/>
      </c>
      <c r="CF4" s="218">
        <f>IF(CF$3="","",IF(入力データ!$C$10="","",YEAR(DATE(CF$3,12,31))-YEAR(入力データ!$C$10)-IF(DATE(CF$3,12,31)&lt;DATE(CF$3,MONTH(入力データ!$C$10),DAY(入力データ!$C$10)),1,0)))</f>
        <v/>
      </c>
      <c r="CG4" s="218">
        <f>IF(CG$3="","",IF(入力データ!$C$10="","",YEAR(DATE(CG$3,12,31))-YEAR(入力データ!$C$10)-IF(DATE(CG$3,12,31)&lt;DATE(CG$3,MONTH(入力データ!$C$10),DAY(入力データ!$C$10)),1,0)))</f>
        <v/>
      </c>
      <c r="CH4" s="218">
        <f>IF(CH$3="","",IF(入力データ!$C$10="","",YEAR(DATE(CH$3,12,31))-YEAR(入力データ!$C$10)-IF(DATE(CH$3,12,31)&lt;DATE(CH$3,MONTH(入力データ!$C$10),DAY(入力データ!$C$10)),1,0)))</f>
        <v/>
      </c>
      <c r="CI4" s="218">
        <f>IF(CI$3="","",IF(入力データ!$C$10="","",YEAR(DATE(CI$3,12,31))-YEAR(入力データ!$C$10)-IF(DATE(CI$3,12,31)&lt;DATE(CI$3,MONTH(入力データ!$C$10),DAY(入力データ!$C$10)),1,0)))</f>
        <v/>
      </c>
      <c r="CJ4" s="218">
        <f>IF(CJ$3="","",IF(入力データ!$C$10="","",YEAR(DATE(CJ$3,12,31))-YEAR(入力データ!$C$10)-IF(DATE(CJ$3,12,31)&lt;DATE(CJ$3,MONTH(入力データ!$C$10),DAY(入力データ!$C$10)),1,0)))</f>
        <v/>
      </c>
      <c r="CK4" s="218">
        <f>IF(CK$3="","",IF(入力データ!$C$10="","",YEAR(DATE(CK$3,12,31))-YEAR(入力データ!$C$10)-IF(DATE(CK$3,12,31)&lt;DATE(CK$3,MONTH(入力データ!$C$10),DAY(入力データ!$C$10)),1,0)))</f>
        <v/>
      </c>
      <c r="CL4" s="218">
        <f>IF(CL$3="","",IF(入力データ!$C$10="","",YEAR(DATE(CL$3,12,31))-YEAR(入力データ!$C$10)-IF(DATE(CL$3,12,31)&lt;DATE(CL$3,MONTH(入力データ!$C$10),DAY(入力データ!$C$10)),1,0)))</f>
        <v/>
      </c>
      <c r="CM4" s="218">
        <f>IF(CM$3="","",IF(入力データ!$C$10="","",YEAR(DATE(CM$3,12,31))-YEAR(入力データ!$C$10)-IF(DATE(CM$3,12,31)&lt;DATE(CM$3,MONTH(入力データ!$C$10),DAY(入力データ!$C$10)),1,0)))</f>
        <v/>
      </c>
      <c r="CN4" s="218">
        <f>IF(CN$3="","",IF(入力データ!$C$10="","",YEAR(DATE(CN$3,12,31))-YEAR(入力データ!$C$10)-IF(DATE(CN$3,12,31)&lt;DATE(CN$3,MONTH(入力データ!$C$10),DAY(入力データ!$C$10)),1,0)))</f>
        <v/>
      </c>
      <c r="CO4" s="218">
        <f>IF(CO$3="","",IF(入力データ!$C$10="","",YEAR(DATE(CO$3,12,31))-YEAR(入力データ!$C$10)-IF(DATE(CO$3,12,31)&lt;DATE(CO$3,MONTH(入力データ!$C$10),DAY(入力データ!$C$10)),1,0)))</f>
        <v/>
      </c>
      <c r="CP4" s="218">
        <f>IF(CP$3="","",IF(入力データ!$C$10="","",YEAR(DATE(CP$3,12,31))-YEAR(入力データ!$C$10)-IF(DATE(CP$3,12,31)&lt;DATE(CP$3,MONTH(入力データ!$C$10),DAY(入力データ!$C$10)),1,0)))</f>
        <v/>
      </c>
      <c r="CQ4" s="218">
        <f>IF(CQ$3="","",IF(入力データ!$C$10="","",YEAR(DATE(CQ$3,12,31))-YEAR(入力データ!$C$10)-IF(DATE(CQ$3,12,31)&lt;DATE(CQ$3,MONTH(入力データ!$C$10),DAY(入力データ!$C$10)),1,0)))</f>
        <v/>
      </c>
      <c r="CR4" s="218">
        <f>IF(CR$3="","",IF(入力データ!$C$10="","",YEAR(DATE(CR$3,12,31))-YEAR(入力データ!$C$10)-IF(DATE(CR$3,12,31)&lt;DATE(CR$3,MONTH(入力データ!$C$10),DAY(入力データ!$C$10)),1,0)))</f>
        <v/>
      </c>
      <c r="CS4" s="218">
        <f>IF(CS$3="","",IF(入力データ!$C$10="","",YEAR(DATE(CS$3,12,31))-YEAR(入力データ!$C$10)-IF(DATE(CS$3,12,31)&lt;DATE(CS$3,MONTH(入力データ!$C$10),DAY(入力データ!$C$10)),1,0)))</f>
        <v/>
      </c>
      <c r="CT4" s="218">
        <f>IF(CT$3="","",IF(入力データ!$C$10="","",YEAR(DATE(CT$3,12,31))-YEAR(入力データ!$C$10)-IF(DATE(CT$3,12,31)&lt;DATE(CT$3,MONTH(入力データ!$C$10),DAY(入力データ!$C$10)),1,0)))</f>
        <v/>
      </c>
      <c r="CU4" s="218">
        <f>IF(CU$3="","",IF(入力データ!$C$10="","",YEAR(DATE(CU$3,12,31))-YEAR(入力データ!$C$10)-IF(DATE(CU$3,12,31)&lt;DATE(CU$3,MONTH(入力データ!$C$10),DAY(入力データ!$C$10)),1,0)))</f>
        <v/>
      </c>
      <c r="CV4" s="218">
        <f>IF(CV$3="","",IF(入力データ!$C$10="","",YEAR(DATE(CV$3,12,31))-YEAR(入力データ!$C$10)-IF(DATE(CV$3,12,31)&lt;DATE(CV$3,MONTH(入力データ!$C$10),DAY(入力データ!$C$10)),1,0)))</f>
        <v/>
      </c>
      <c r="CW4" s="218">
        <f>IF(CW$3="","",IF(入力データ!$C$10="","",YEAR(DATE(CW$3,12,31))-YEAR(入力データ!$C$10)-IF(DATE(CW$3,12,31)&lt;DATE(CW$3,MONTH(入力データ!$C$10),DAY(入力データ!$C$10)),1,0)))</f>
        <v/>
      </c>
    </row>
    <row r="5" ht="15" customHeight="1" s="180">
      <c r="A5" s="217" t="inlineStr">
        <is>
          <t>奥様年齢</t>
        </is>
      </c>
      <c r="B5" s="218">
        <f>IF(B$3="","",IF(入力データ!$C$11="","",YEAR(DATE(B$3,12,31))-YEAR(入力データ!$C$11)-IF(DATE(B$3,12,31)&lt;DATE(B$3,MONTH(入力データ!$C$11),DAY(入力データ!$C$11)),1,0)))</f>
        <v/>
      </c>
      <c r="C5" s="218">
        <f>IF(C$3="","",IF(入力データ!$C$11="","",YEAR(DATE(C$3,12,31))-YEAR(入力データ!$C$11)-IF(DATE(C$3,12,31)&lt;DATE(C$3,MONTH(入力データ!$C$11),DAY(入力データ!$C$11)),1,0)))</f>
        <v/>
      </c>
      <c r="D5" s="218">
        <f>IF(D$3="","",IF(入力データ!$C$11="","",YEAR(DATE(D$3,12,31))-YEAR(入力データ!$C$11)-IF(DATE(D$3,12,31)&lt;DATE(D$3,MONTH(入力データ!$C$11),DAY(入力データ!$C$11)),1,0)))</f>
        <v/>
      </c>
      <c r="E5" s="218">
        <f>IF(E$3="","",IF(入力データ!$C$11="","",YEAR(DATE(E$3,12,31))-YEAR(入力データ!$C$11)-IF(DATE(E$3,12,31)&lt;DATE(E$3,MONTH(入力データ!$C$11),DAY(入力データ!$C$11)),1,0)))</f>
        <v/>
      </c>
      <c r="F5" s="218">
        <f>IF(F$3="","",IF(入力データ!$C$11="","",YEAR(DATE(F$3,12,31))-YEAR(入力データ!$C$11)-IF(DATE(F$3,12,31)&lt;DATE(F$3,MONTH(入力データ!$C$11),DAY(入力データ!$C$11)),1,0)))</f>
        <v/>
      </c>
      <c r="G5" s="218">
        <f>IF(G$3="","",IF(入力データ!$C$11="","",YEAR(DATE(G$3,12,31))-YEAR(入力データ!$C$11)-IF(DATE(G$3,12,31)&lt;DATE(G$3,MONTH(入力データ!$C$11),DAY(入力データ!$C$11)),1,0)))</f>
        <v/>
      </c>
      <c r="H5" s="218">
        <f>IF(H$3="","",IF(入力データ!$C$11="","",YEAR(DATE(H$3,12,31))-YEAR(入力データ!$C$11)-IF(DATE(H$3,12,31)&lt;DATE(H$3,MONTH(入力データ!$C$11),DAY(入力データ!$C$11)),1,0)))</f>
        <v/>
      </c>
      <c r="I5" s="218">
        <f>IF(I$3="","",IF(入力データ!$C$11="","",YEAR(DATE(I$3,12,31))-YEAR(入力データ!$C$11)-IF(DATE(I$3,12,31)&lt;DATE(I$3,MONTH(入力データ!$C$11),DAY(入力データ!$C$11)),1,0)))</f>
        <v/>
      </c>
      <c r="J5" s="218">
        <f>IF(J$3="","",IF(入力データ!$C$11="","",YEAR(DATE(J$3,12,31))-YEAR(入力データ!$C$11)-IF(DATE(J$3,12,31)&lt;DATE(J$3,MONTH(入力データ!$C$11),DAY(入力データ!$C$11)),1,0)))</f>
        <v/>
      </c>
      <c r="K5" s="218">
        <f>IF(K$3="","",IF(入力データ!$C$11="","",YEAR(DATE(K$3,12,31))-YEAR(入力データ!$C$11)-IF(DATE(K$3,12,31)&lt;DATE(K$3,MONTH(入力データ!$C$11),DAY(入力データ!$C$11)),1,0)))</f>
        <v/>
      </c>
      <c r="L5" s="218">
        <f>IF(L$3="","",IF(入力データ!$C$11="","",YEAR(DATE(L$3,12,31))-YEAR(入力データ!$C$11)-IF(DATE(L$3,12,31)&lt;DATE(L$3,MONTH(入力データ!$C$11),DAY(入力データ!$C$11)),1,0)))</f>
        <v/>
      </c>
      <c r="M5" s="218">
        <f>IF(M$3="","",IF(入力データ!$C$11="","",YEAR(DATE(M$3,12,31))-YEAR(入力データ!$C$11)-IF(DATE(M$3,12,31)&lt;DATE(M$3,MONTH(入力データ!$C$11),DAY(入力データ!$C$11)),1,0)))</f>
        <v/>
      </c>
      <c r="N5" s="218">
        <f>IF(N$3="","",IF(入力データ!$C$11="","",YEAR(DATE(N$3,12,31))-YEAR(入力データ!$C$11)-IF(DATE(N$3,12,31)&lt;DATE(N$3,MONTH(入力データ!$C$11),DAY(入力データ!$C$11)),1,0)))</f>
        <v/>
      </c>
      <c r="O5" s="218">
        <f>IF(O$3="","",IF(入力データ!$C$11="","",YEAR(DATE(O$3,12,31))-YEAR(入力データ!$C$11)-IF(DATE(O$3,12,31)&lt;DATE(O$3,MONTH(入力データ!$C$11),DAY(入力データ!$C$11)),1,0)))</f>
        <v/>
      </c>
      <c r="P5" s="218">
        <f>IF(P$3="","",IF(入力データ!$C$11="","",YEAR(DATE(P$3,12,31))-YEAR(入力データ!$C$11)-IF(DATE(P$3,12,31)&lt;DATE(P$3,MONTH(入力データ!$C$11),DAY(入力データ!$C$11)),1,0)))</f>
        <v/>
      </c>
      <c r="Q5" s="218">
        <f>IF(Q$3="","",IF(入力データ!$C$11="","",YEAR(DATE(Q$3,12,31))-YEAR(入力データ!$C$11)-IF(DATE(Q$3,12,31)&lt;DATE(Q$3,MONTH(入力データ!$C$11),DAY(入力データ!$C$11)),1,0)))</f>
        <v/>
      </c>
      <c r="R5" s="218">
        <f>IF(R$3="","",IF(入力データ!$C$11="","",YEAR(DATE(R$3,12,31))-YEAR(入力データ!$C$11)-IF(DATE(R$3,12,31)&lt;DATE(R$3,MONTH(入力データ!$C$11),DAY(入力データ!$C$11)),1,0)))</f>
        <v/>
      </c>
      <c r="S5" s="218">
        <f>IF(S$3="","",IF(入力データ!$C$11="","",YEAR(DATE(S$3,12,31))-YEAR(入力データ!$C$11)-IF(DATE(S$3,12,31)&lt;DATE(S$3,MONTH(入力データ!$C$11),DAY(入力データ!$C$11)),1,0)))</f>
        <v/>
      </c>
      <c r="T5" s="218">
        <f>IF(T$3="","",IF(入力データ!$C$11="","",YEAR(DATE(T$3,12,31))-YEAR(入力データ!$C$11)-IF(DATE(T$3,12,31)&lt;DATE(T$3,MONTH(入力データ!$C$11),DAY(入力データ!$C$11)),1,0)))</f>
        <v/>
      </c>
      <c r="U5" s="218">
        <f>IF(U$3="","",IF(入力データ!$C$11="","",YEAR(DATE(U$3,12,31))-YEAR(入力データ!$C$11)-IF(DATE(U$3,12,31)&lt;DATE(U$3,MONTH(入力データ!$C$11),DAY(入力データ!$C$11)),1,0)))</f>
        <v/>
      </c>
      <c r="V5" s="218">
        <f>IF(V$3="","",IF(入力データ!$C$11="","",YEAR(DATE(V$3,12,31))-YEAR(入力データ!$C$11)-IF(DATE(V$3,12,31)&lt;DATE(V$3,MONTH(入力データ!$C$11),DAY(入力データ!$C$11)),1,0)))</f>
        <v/>
      </c>
      <c r="W5" s="218">
        <f>IF(W$3="","",IF(入力データ!$C$11="","",YEAR(DATE(W$3,12,31))-YEAR(入力データ!$C$11)-IF(DATE(W$3,12,31)&lt;DATE(W$3,MONTH(入力データ!$C$11),DAY(入力データ!$C$11)),1,0)))</f>
        <v/>
      </c>
      <c r="X5" s="218">
        <f>IF(X$3="","",IF(入力データ!$C$11="","",YEAR(DATE(X$3,12,31))-YEAR(入力データ!$C$11)-IF(DATE(X$3,12,31)&lt;DATE(X$3,MONTH(入力データ!$C$11),DAY(入力データ!$C$11)),1,0)))</f>
        <v/>
      </c>
      <c r="Y5" s="218">
        <f>IF(Y$3="","",IF(入力データ!$C$11="","",YEAR(DATE(Y$3,12,31))-YEAR(入力データ!$C$11)-IF(DATE(Y$3,12,31)&lt;DATE(Y$3,MONTH(入力データ!$C$11),DAY(入力データ!$C$11)),1,0)))</f>
        <v/>
      </c>
      <c r="Z5" s="218">
        <f>IF(Z$3="","",IF(入力データ!$C$11="","",YEAR(DATE(Z$3,12,31))-YEAR(入力データ!$C$11)-IF(DATE(Z$3,12,31)&lt;DATE(Z$3,MONTH(入力データ!$C$11),DAY(入力データ!$C$11)),1,0)))</f>
        <v/>
      </c>
      <c r="AA5" s="218">
        <f>IF(AA$3="","",IF(入力データ!$C$11="","",YEAR(DATE(AA$3,12,31))-YEAR(入力データ!$C$11)-IF(DATE(AA$3,12,31)&lt;DATE(AA$3,MONTH(入力データ!$C$11),DAY(入力データ!$C$11)),1,0)))</f>
        <v/>
      </c>
      <c r="AB5" s="218">
        <f>IF(AB$3="","",IF(入力データ!$C$11="","",YEAR(DATE(AB$3,12,31))-YEAR(入力データ!$C$11)-IF(DATE(AB$3,12,31)&lt;DATE(AB$3,MONTH(入力データ!$C$11),DAY(入力データ!$C$11)),1,0)))</f>
        <v/>
      </c>
      <c r="AC5" s="218">
        <f>IF(AC$3="","",IF(入力データ!$C$11="","",YEAR(DATE(AC$3,12,31))-YEAR(入力データ!$C$11)-IF(DATE(AC$3,12,31)&lt;DATE(AC$3,MONTH(入力データ!$C$11),DAY(入力データ!$C$11)),1,0)))</f>
        <v/>
      </c>
      <c r="AD5" s="218">
        <f>IF(AD$3="","",IF(入力データ!$C$11="","",YEAR(DATE(AD$3,12,31))-YEAR(入力データ!$C$11)-IF(DATE(AD$3,12,31)&lt;DATE(AD$3,MONTH(入力データ!$C$11),DAY(入力データ!$C$11)),1,0)))</f>
        <v/>
      </c>
      <c r="AE5" s="218">
        <f>IF(AE$3="","",IF(入力データ!$C$11="","",YEAR(DATE(AE$3,12,31))-YEAR(入力データ!$C$11)-IF(DATE(AE$3,12,31)&lt;DATE(AE$3,MONTH(入力データ!$C$11),DAY(入力データ!$C$11)),1,0)))</f>
        <v/>
      </c>
      <c r="AF5" s="218">
        <f>IF(AF$3="","",IF(入力データ!$C$11="","",YEAR(DATE(AF$3,12,31))-YEAR(入力データ!$C$11)-IF(DATE(AF$3,12,31)&lt;DATE(AF$3,MONTH(入力データ!$C$11),DAY(入力データ!$C$11)),1,0)))</f>
        <v/>
      </c>
      <c r="AG5" s="218">
        <f>IF(AG$3="","",IF(入力データ!$C$11="","",YEAR(DATE(AG$3,12,31))-YEAR(入力データ!$C$11)-IF(DATE(AG$3,12,31)&lt;DATE(AG$3,MONTH(入力データ!$C$11),DAY(入力データ!$C$11)),1,0)))</f>
        <v/>
      </c>
      <c r="AH5" s="218">
        <f>IF(AH$3="","",IF(入力データ!$C$11="","",YEAR(DATE(AH$3,12,31))-YEAR(入力データ!$C$11)-IF(DATE(AH$3,12,31)&lt;DATE(AH$3,MONTH(入力データ!$C$11),DAY(入力データ!$C$11)),1,0)))</f>
        <v/>
      </c>
      <c r="AI5" s="218">
        <f>IF(AI$3="","",IF(入力データ!$C$11="","",YEAR(DATE(AI$3,12,31))-YEAR(入力データ!$C$11)-IF(DATE(AI$3,12,31)&lt;DATE(AI$3,MONTH(入力データ!$C$11),DAY(入力データ!$C$11)),1,0)))</f>
        <v/>
      </c>
      <c r="AJ5" s="218">
        <f>IF(AJ$3="","",IF(入力データ!$C$11="","",YEAR(DATE(AJ$3,12,31))-YEAR(入力データ!$C$11)-IF(DATE(AJ$3,12,31)&lt;DATE(AJ$3,MONTH(入力データ!$C$11),DAY(入力データ!$C$11)),1,0)))</f>
        <v/>
      </c>
      <c r="AK5" s="218">
        <f>IF(AK$3="","",IF(入力データ!$C$11="","",YEAR(DATE(AK$3,12,31))-YEAR(入力データ!$C$11)-IF(DATE(AK$3,12,31)&lt;DATE(AK$3,MONTH(入力データ!$C$11),DAY(入力データ!$C$11)),1,0)))</f>
        <v/>
      </c>
      <c r="AL5" s="218">
        <f>IF(AL$3="","",IF(入力データ!$C$11="","",YEAR(DATE(AL$3,12,31))-YEAR(入力データ!$C$11)-IF(DATE(AL$3,12,31)&lt;DATE(AL$3,MONTH(入力データ!$C$11),DAY(入力データ!$C$11)),1,0)))</f>
        <v/>
      </c>
      <c r="AM5" s="218">
        <f>IF(AM$3="","",IF(入力データ!$C$11="","",YEAR(DATE(AM$3,12,31))-YEAR(入力データ!$C$11)-IF(DATE(AM$3,12,31)&lt;DATE(AM$3,MONTH(入力データ!$C$11),DAY(入力データ!$C$11)),1,0)))</f>
        <v/>
      </c>
      <c r="AN5" s="218">
        <f>IF(AN$3="","",IF(入力データ!$C$11="","",YEAR(DATE(AN$3,12,31))-YEAR(入力データ!$C$11)-IF(DATE(AN$3,12,31)&lt;DATE(AN$3,MONTH(入力データ!$C$11),DAY(入力データ!$C$11)),1,0)))</f>
        <v/>
      </c>
      <c r="AO5" s="218">
        <f>IF(AO$3="","",IF(入力データ!$C$11="","",YEAR(DATE(AO$3,12,31))-YEAR(入力データ!$C$11)-IF(DATE(AO$3,12,31)&lt;DATE(AO$3,MONTH(入力データ!$C$11),DAY(入力データ!$C$11)),1,0)))</f>
        <v/>
      </c>
      <c r="AP5" s="218">
        <f>IF(AP$3="","",IF(入力データ!$C$11="","",YEAR(DATE(AP$3,12,31))-YEAR(入力データ!$C$11)-IF(DATE(AP$3,12,31)&lt;DATE(AP$3,MONTH(入力データ!$C$11),DAY(入力データ!$C$11)),1,0)))</f>
        <v/>
      </c>
      <c r="AQ5" s="218">
        <f>IF(AQ$3="","",IF(入力データ!$C$11="","",YEAR(DATE(AQ$3,12,31))-YEAR(入力データ!$C$11)-IF(DATE(AQ$3,12,31)&lt;DATE(AQ$3,MONTH(入力データ!$C$11),DAY(入力データ!$C$11)),1,0)))</f>
        <v/>
      </c>
      <c r="AR5" s="218">
        <f>IF(AR$3="","",IF(入力データ!$C$11="","",YEAR(DATE(AR$3,12,31))-YEAR(入力データ!$C$11)-IF(DATE(AR$3,12,31)&lt;DATE(AR$3,MONTH(入力データ!$C$11),DAY(入力データ!$C$11)),1,0)))</f>
        <v/>
      </c>
      <c r="AS5" s="218">
        <f>IF(AS$3="","",IF(入力データ!$C$11="","",YEAR(DATE(AS$3,12,31))-YEAR(入力データ!$C$11)-IF(DATE(AS$3,12,31)&lt;DATE(AS$3,MONTH(入力データ!$C$11),DAY(入力データ!$C$11)),1,0)))</f>
        <v/>
      </c>
      <c r="AT5" s="218">
        <f>IF(AT$3="","",IF(入力データ!$C$11="","",YEAR(DATE(AT$3,12,31))-YEAR(入力データ!$C$11)-IF(DATE(AT$3,12,31)&lt;DATE(AT$3,MONTH(入力データ!$C$11),DAY(入力データ!$C$11)),1,0)))</f>
        <v/>
      </c>
      <c r="AU5" s="218">
        <f>IF(AU$3="","",IF(入力データ!$C$11="","",YEAR(DATE(AU$3,12,31))-YEAR(入力データ!$C$11)-IF(DATE(AU$3,12,31)&lt;DATE(AU$3,MONTH(入力データ!$C$11),DAY(入力データ!$C$11)),1,0)))</f>
        <v/>
      </c>
      <c r="AV5" s="218">
        <f>IF(AV$3="","",IF(入力データ!$C$11="","",YEAR(DATE(AV$3,12,31))-YEAR(入力データ!$C$11)-IF(DATE(AV$3,12,31)&lt;DATE(AV$3,MONTH(入力データ!$C$11),DAY(入力データ!$C$11)),1,0)))</f>
        <v/>
      </c>
      <c r="AW5" s="218">
        <f>IF(AW$3="","",IF(入力データ!$C$11="","",YEAR(DATE(AW$3,12,31))-YEAR(入力データ!$C$11)-IF(DATE(AW$3,12,31)&lt;DATE(AW$3,MONTH(入力データ!$C$11),DAY(入力データ!$C$11)),1,0)))</f>
        <v/>
      </c>
      <c r="AX5" s="218">
        <f>IF(AX$3="","",IF(入力データ!$C$11="","",YEAR(DATE(AX$3,12,31))-YEAR(入力データ!$C$11)-IF(DATE(AX$3,12,31)&lt;DATE(AX$3,MONTH(入力データ!$C$11),DAY(入力データ!$C$11)),1,0)))</f>
        <v/>
      </c>
      <c r="AY5" s="218">
        <f>IF(AY$3="","",IF(入力データ!$C$11="","",YEAR(DATE(AY$3,12,31))-YEAR(入力データ!$C$11)-IF(DATE(AY$3,12,31)&lt;DATE(AY$3,MONTH(入力データ!$C$11),DAY(入力データ!$C$11)),1,0)))</f>
        <v/>
      </c>
      <c r="AZ5" s="218">
        <f>IF(AZ$3="","",IF(入力データ!$C$11="","",YEAR(DATE(AZ$3,12,31))-YEAR(入力データ!$C$11)-IF(DATE(AZ$3,12,31)&lt;DATE(AZ$3,MONTH(入力データ!$C$11),DAY(入力データ!$C$11)),1,0)))</f>
        <v/>
      </c>
      <c r="BA5" s="218">
        <f>IF(BA$3="","",IF(入力データ!$C$11="","",YEAR(DATE(BA$3,12,31))-YEAR(入力データ!$C$11)-IF(DATE(BA$3,12,31)&lt;DATE(BA$3,MONTH(入力データ!$C$11),DAY(入力データ!$C$11)),1,0)))</f>
        <v/>
      </c>
      <c r="BB5" s="218">
        <f>IF(BB$3="","",IF(入力データ!$C$11="","",YEAR(DATE(BB$3,12,31))-YEAR(入力データ!$C$11)-IF(DATE(BB$3,12,31)&lt;DATE(BB$3,MONTH(入力データ!$C$11),DAY(入力データ!$C$11)),1,0)))</f>
        <v/>
      </c>
      <c r="BC5" s="218">
        <f>IF(BC$3="","",IF(入力データ!$C$11="","",YEAR(DATE(BC$3,12,31))-YEAR(入力データ!$C$11)-IF(DATE(BC$3,12,31)&lt;DATE(BC$3,MONTH(入力データ!$C$11),DAY(入力データ!$C$11)),1,0)))</f>
        <v/>
      </c>
      <c r="BD5" s="218">
        <f>IF(BD$3="","",IF(入力データ!$C$11="","",YEAR(DATE(BD$3,12,31))-YEAR(入力データ!$C$11)-IF(DATE(BD$3,12,31)&lt;DATE(BD$3,MONTH(入力データ!$C$11),DAY(入力データ!$C$11)),1,0)))</f>
        <v/>
      </c>
      <c r="BE5" s="218">
        <f>IF(BE$3="","",IF(入力データ!$C$11="","",YEAR(DATE(BE$3,12,31))-YEAR(入力データ!$C$11)-IF(DATE(BE$3,12,31)&lt;DATE(BE$3,MONTH(入力データ!$C$11),DAY(入力データ!$C$11)),1,0)))</f>
        <v/>
      </c>
      <c r="BF5" s="218">
        <f>IF(BF$3="","",IF(入力データ!$C$11="","",YEAR(DATE(BF$3,12,31))-YEAR(入力データ!$C$11)-IF(DATE(BF$3,12,31)&lt;DATE(BF$3,MONTH(入力データ!$C$11),DAY(入力データ!$C$11)),1,0)))</f>
        <v/>
      </c>
      <c r="BG5" s="218">
        <f>IF(BG$3="","",IF(入力データ!$C$11="","",YEAR(DATE(BG$3,12,31))-YEAR(入力データ!$C$11)-IF(DATE(BG$3,12,31)&lt;DATE(BG$3,MONTH(入力データ!$C$11),DAY(入力データ!$C$11)),1,0)))</f>
        <v/>
      </c>
      <c r="BH5" s="218">
        <f>IF(BH$3="","",IF(入力データ!$C$11="","",YEAR(DATE(BH$3,12,31))-YEAR(入力データ!$C$11)-IF(DATE(BH$3,12,31)&lt;DATE(BH$3,MONTH(入力データ!$C$11),DAY(入力データ!$C$11)),1,0)))</f>
        <v/>
      </c>
      <c r="BI5" s="218">
        <f>IF(BI$3="","",IF(入力データ!$C$11="","",YEAR(DATE(BI$3,12,31))-YEAR(入力データ!$C$11)-IF(DATE(BI$3,12,31)&lt;DATE(BI$3,MONTH(入力データ!$C$11),DAY(入力データ!$C$11)),1,0)))</f>
        <v/>
      </c>
      <c r="BJ5" s="218">
        <f>IF(BJ$3="","",IF(入力データ!$C$11="","",YEAR(DATE(BJ$3,12,31))-YEAR(入力データ!$C$11)-IF(DATE(BJ$3,12,31)&lt;DATE(BJ$3,MONTH(入力データ!$C$11),DAY(入力データ!$C$11)),1,0)))</f>
        <v/>
      </c>
      <c r="BK5" s="218">
        <f>IF(BK$3="","",IF(入力データ!$C$11="","",YEAR(DATE(BK$3,12,31))-YEAR(入力データ!$C$11)-IF(DATE(BK$3,12,31)&lt;DATE(BK$3,MONTH(入力データ!$C$11),DAY(入力データ!$C$11)),1,0)))</f>
        <v/>
      </c>
      <c r="BL5" s="218">
        <f>IF(BL$3="","",IF(入力データ!$C$11="","",YEAR(DATE(BL$3,12,31))-YEAR(入力データ!$C$11)-IF(DATE(BL$3,12,31)&lt;DATE(BL$3,MONTH(入力データ!$C$11),DAY(入力データ!$C$11)),1,0)))</f>
        <v/>
      </c>
      <c r="BM5" s="218">
        <f>IF(BM$3="","",IF(入力データ!$C$11="","",YEAR(DATE(BM$3,12,31))-YEAR(入力データ!$C$11)-IF(DATE(BM$3,12,31)&lt;DATE(BM$3,MONTH(入力データ!$C$11),DAY(入力データ!$C$11)),1,0)))</f>
        <v/>
      </c>
      <c r="BN5" s="218">
        <f>IF(BN$3="","",IF(入力データ!$C$11="","",YEAR(DATE(BN$3,12,31))-YEAR(入力データ!$C$11)-IF(DATE(BN$3,12,31)&lt;DATE(BN$3,MONTH(入力データ!$C$11),DAY(入力データ!$C$11)),1,0)))</f>
        <v/>
      </c>
      <c r="BO5" s="218">
        <f>IF(BO$3="","",IF(入力データ!$C$11="","",YEAR(DATE(BO$3,12,31))-YEAR(入力データ!$C$11)-IF(DATE(BO$3,12,31)&lt;DATE(BO$3,MONTH(入力データ!$C$11),DAY(入力データ!$C$11)),1,0)))</f>
        <v/>
      </c>
      <c r="BP5" s="218">
        <f>IF(BP$3="","",IF(入力データ!$C$11="","",YEAR(DATE(BP$3,12,31))-YEAR(入力データ!$C$11)-IF(DATE(BP$3,12,31)&lt;DATE(BP$3,MONTH(入力データ!$C$11),DAY(入力データ!$C$11)),1,0)))</f>
        <v/>
      </c>
      <c r="BQ5" s="218">
        <f>IF(BQ$3="","",IF(入力データ!$C$11="","",YEAR(DATE(BQ$3,12,31))-YEAR(入力データ!$C$11)-IF(DATE(BQ$3,12,31)&lt;DATE(BQ$3,MONTH(入力データ!$C$11),DAY(入力データ!$C$11)),1,0)))</f>
        <v/>
      </c>
      <c r="BR5" s="218">
        <f>IF(BR$3="","",IF(入力データ!$C$11="","",YEAR(DATE(BR$3,12,31))-YEAR(入力データ!$C$11)-IF(DATE(BR$3,12,31)&lt;DATE(BR$3,MONTH(入力データ!$C$11),DAY(入力データ!$C$11)),1,0)))</f>
        <v/>
      </c>
      <c r="BS5" s="218">
        <f>IF(BS$3="","",IF(入力データ!$C$11="","",YEAR(DATE(BS$3,12,31))-YEAR(入力データ!$C$11)-IF(DATE(BS$3,12,31)&lt;DATE(BS$3,MONTH(入力データ!$C$11),DAY(入力データ!$C$11)),1,0)))</f>
        <v/>
      </c>
      <c r="BT5" s="218">
        <f>IF(BT$3="","",IF(入力データ!$C$11="","",YEAR(DATE(BT$3,12,31))-YEAR(入力データ!$C$11)-IF(DATE(BT$3,12,31)&lt;DATE(BT$3,MONTH(入力データ!$C$11),DAY(入力データ!$C$11)),1,0)))</f>
        <v/>
      </c>
      <c r="BU5" s="218">
        <f>IF(BU$3="","",IF(入力データ!$C$11="","",YEAR(DATE(BU$3,12,31))-YEAR(入力データ!$C$11)-IF(DATE(BU$3,12,31)&lt;DATE(BU$3,MONTH(入力データ!$C$11),DAY(入力データ!$C$11)),1,0)))</f>
        <v/>
      </c>
      <c r="BV5" s="218">
        <f>IF(BV$3="","",IF(入力データ!$C$11="","",YEAR(DATE(BV$3,12,31))-YEAR(入力データ!$C$11)-IF(DATE(BV$3,12,31)&lt;DATE(BV$3,MONTH(入力データ!$C$11),DAY(入力データ!$C$11)),1,0)))</f>
        <v/>
      </c>
      <c r="BW5" s="218">
        <f>IF(BW$3="","",IF(入力データ!$C$11="","",YEAR(DATE(BW$3,12,31))-YEAR(入力データ!$C$11)-IF(DATE(BW$3,12,31)&lt;DATE(BW$3,MONTH(入力データ!$C$11),DAY(入力データ!$C$11)),1,0)))</f>
        <v/>
      </c>
      <c r="BX5" s="218">
        <f>IF(BX$3="","",IF(入力データ!$C$11="","",YEAR(DATE(BX$3,12,31))-YEAR(入力データ!$C$11)-IF(DATE(BX$3,12,31)&lt;DATE(BX$3,MONTH(入力データ!$C$11),DAY(入力データ!$C$11)),1,0)))</f>
        <v/>
      </c>
      <c r="BY5" s="218">
        <f>IF(BY$3="","",IF(入力データ!$C$11="","",YEAR(DATE(BY$3,12,31))-YEAR(入力データ!$C$11)-IF(DATE(BY$3,12,31)&lt;DATE(BY$3,MONTH(入力データ!$C$11),DAY(入力データ!$C$11)),1,0)))</f>
        <v/>
      </c>
      <c r="BZ5" s="218">
        <f>IF(BZ$3="","",IF(入力データ!$C$11="","",YEAR(DATE(BZ$3,12,31))-YEAR(入力データ!$C$11)-IF(DATE(BZ$3,12,31)&lt;DATE(BZ$3,MONTH(入力データ!$C$11),DAY(入力データ!$C$11)),1,0)))</f>
        <v/>
      </c>
      <c r="CA5" s="218">
        <f>IF(CA$3="","",IF(入力データ!$C$11="","",YEAR(DATE(CA$3,12,31))-YEAR(入力データ!$C$11)-IF(DATE(CA$3,12,31)&lt;DATE(CA$3,MONTH(入力データ!$C$11),DAY(入力データ!$C$11)),1,0)))</f>
        <v/>
      </c>
      <c r="CB5" s="218">
        <f>IF(CB$3="","",IF(入力データ!$C$11="","",YEAR(DATE(CB$3,12,31))-YEAR(入力データ!$C$11)-IF(DATE(CB$3,12,31)&lt;DATE(CB$3,MONTH(入力データ!$C$11),DAY(入力データ!$C$11)),1,0)))</f>
        <v/>
      </c>
      <c r="CC5" s="218">
        <f>IF(CC$3="","",IF(入力データ!$C$11="","",YEAR(DATE(CC$3,12,31))-YEAR(入力データ!$C$11)-IF(DATE(CC$3,12,31)&lt;DATE(CC$3,MONTH(入力データ!$C$11),DAY(入力データ!$C$11)),1,0)))</f>
        <v/>
      </c>
      <c r="CD5" s="218">
        <f>IF(CD$3="","",IF(入力データ!$C$11="","",YEAR(DATE(CD$3,12,31))-YEAR(入力データ!$C$11)-IF(DATE(CD$3,12,31)&lt;DATE(CD$3,MONTH(入力データ!$C$11),DAY(入力データ!$C$11)),1,0)))</f>
        <v/>
      </c>
      <c r="CE5" s="218">
        <f>IF(CE$3="","",IF(入力データ!$C$11="","",YEAR(DATE(CE$3,12,31))-YEAR(入力データ!$C$11)-IF(DATE(CE$3,12,31)&lt;DATE(CE$3,MONTH(入力データ!$C$11),DAY(入力データ!$C$11)),1,0)))</f>
        <v/>
      </c>
      <c r="CF5" s="218">
        <f>IF(CF$3="","",IF(入力データ!$C$11="","",YEAR(DATE(CF$3,12,31))-YEAR(入力データ!$C$11)-IF(DATE(CF$3,12,31)&lt;DATE(CF$3,MONTH(入力データ!$C$11),DAY(入力データ!$C$11)),1,0)))</f>
        <v/>
      </c>
      <c r="CG5" s="218">
        <f>IF(CG$3="","",IF(入力データ!$C$11="","",YEAR(DATE(CG$3,12,31))-YEAR(入力データ!$C$11)-IF(DATE(CG$3,12,31)&lt;DATE(CG$3,MONTH(入力データ!$C$11),DAY(入力データ!$C$11)),1,0)))</f>
        <v/>
      </c>
      <c r="CH5" s="218">
        <f>IF(CH$3="","",IF(入力データ!$C$11="","",YEAR(DATE(CH$3,12,31))-YEAR(入力データ!$C$11)-IF(DATE(CH$3,12,31)&lt;DATE(CH$3,MONTH(入力データ!$C$11),DAY(入力データ!$C$11)),1,0)))</f>
        <v/>
      </c>
      <c r="CI5" s="218">
        <f>IF(CI$3="","",IF(入力データ!$C$11="","",YEAR(DATE(CI$3,12,31))-YEAR(入力データ!$C$11)-IF(DATE(CI$3,12,31)&lt;DATE(CI$3,MONTH(入力データ!$C$11),DAY(入力データ!$C$11)),1,0)))</f>
        <v/>
      </c>
      <c r="CJ5" s="218">
        <f>IF(CJ$3="","",IF(入力データ!$C$11="","",YEAR(DATE(CJ$3,12,31))-YEAR(入力データ!$C$11)-IF(DATE(CJ$3,12,31)&lt;DATE(CJ$3,MONTH(入力データ!$C$11),DAY(入力データ!$C$11)),1,0)))</f>
        <v/>
      </c>
      <c r="CK5" s="218">
        <f>IF(CK$3="","",IF(入力データ!$C$11="","",YEAR(DATE(CK$3,12,31))-YEAR(入力データ!$C$11)-IF(DATE(CK$3,12,31)&lt;DATE(CK$3,MONTH(入力データ!$C$11),DAY(入力データ!$C$11)),1,0)))</f>
        <v/>
      </c>
      <c r="CL5" s="218">
        <f>IF(CL$3="","",IF(入力データ!$C$11="","",YEAR(DATE(CL$3,12,31))-YEAR(入力データ!$C$11)-IF(DATE(CL$3,12,31)&lt;DATE(CL$3,MONTH(入力データ!$C$11),DAY(入力データ!$C$11)),1,0)))</f>
        <v/>
      </c>
      <c r="CM5" s="218">
        <f>IF(CM$3="","",IF(入力データ!$C$11="","",YEAR(DATE(CM$3,12,31))-YEAR(入力データ!$C$11)-IF(DATE(CM$3,12,31)&lt;DATE(CM$3,MONTH(入力データ!$C$11),DAY(入力データ!$C$11)),1,0)))</f>
        <v/>
      </c>
      <c r="CN5" s="218">
        <f>IF(CN$3="","",IF(入力データ!$C$11="","",YEAR(DATE(CN$3,12,31))-YEAR(入力データ!$C$11)-IF(DATE(CN$3,12,31)&lt;DATE(CN$3,MONTH(入力データ!$C$11),DAY(入力データ!$C$11)),1,0)))</f>
        <v/>
      </c>
      <c r="CO5" s="218">
        <f>IF(CO$3="","",IF(入力データ!$C$11="","",YEAR(DATE(CO$3,12,31))-YEAR(入力データ!$C$11)-IF(DATE(CO$3,12,31)&lt;DATE(CO$3,MONTH(入力データ!$C$11),DAY(入力データ!$C$11)),1,0)))</f>
        <v/>
      </c>
      <c r="CP5" s="218">
        <f>IF(CP$3="","",IF(入力データ!$C$11="","",YEAR(DATE(CP$3,12,31))-YEAR(入力データ!$C$11)-IF(DATE(CP$3,12,31)&lt;DATE(CP$3,MONTH(入力データ!$C$11),DAY(入力データ!$C$11)),1,0)))</f>
        <v/>
      </c>
      <c r="CQ5" s="218">
        <f>IF(CQ$3="","",IF(入力データ!$C$11="","",YEAR(DATE(CQ$3,12,31))-YEAR(入力データ!$C$11)-IF(DATE(CQ$3,12,31)&lt;DATE(CQ$3,MONTH(入力データ!$C$11),DAY(入力データ!$C$11)),1,0)))</f>
        <v/>
      </c>
      <c r="CR5" s="218">
        <f>IF(CR$3="","",IF(入力データ!$C$11="","",YEAR(DATE(CR$3,12,31))-YEAR(入力データ!$C$11)-IF(DATE(CR$3,12,31)&lt;DATE(CR$3,MONTH(入力データ!$C$11),DAY(入力データ!$C$11)),1,0)))</f>
        <v/>
      </c>
      <c r="CS5" s="218">
        <f>IF(CS$3="","",IF(入力データ!$C$11="","",YEAR(DATE(CS$3,12,31))-YEAR(入力データ!$C$11)-IF(DATE(CS$3,12,31)&lt;DATE(CS$3,MONTH(入力データ!$C$11),DAY(入力データ!$C$11)),1,0)))</f>
        <v/>
      </c>
      <c r="CT5" s="218">
        <f>IF(CT$3="","",IF(入力データ!$C$11="","",YEAR(DATE(CT$3,12,31))-YEAR(入力データ!$C$11)-IF(DATE(CT$3,12,31)&lt;DATE(CT$3,MONTH(入力データ!$C$11),DAY(入力データ!$C$11)),1,0)))</f>
        <v/>
      </c>
      <c r="CU5" s="218">
        <f>IF(CU$3="","",IF(入力データ!$C$11="","",YEAR(DATE(CU$3,12,31))-YEAR(入力データ!$C$11)-IF(DATE(CU$3,12,31)&lt;DATE(CU$3,MONTH(入力データ!$C$11),DAY(入力データ!$C$11)),1,0)))</f>
        <v/>
      </c>
      <c r="CV5" s="218">
        <f>IF(CV$3="","",IF(入力データ!$C$11="","",YEAR(DATE(CV$3,12,31))-YEAR(入力データ!$C$11)-IF(DATE(CV$3,12,31)&lt;DATE(CV$3,MONTH(入力データ!$C$11),DAY(入力データ!$C$11)),1,0)))</f>
        <v/>
      </c>
      <c r="CW5" s="218">
        <f>IF(CW$3="","",IF(入力データ!$C$11="","",YEAR(DATE(CW$3,12,31))-YEAR(入力データ!$C$11)-IF(DATE(CW$3,12,31)&lt;DATE(CW$3,MONTH(入力データ!$C$11),DAY(入力データ!$C$11)),1,0)))</f>
        <v/>
      </c>
    </row>
    <row r="6" ht="16.5" customHeight="1" s="180">
      <c r="A6" s="217" t="inlineStr">
        <is>
          <t>子1年齢</t>
        </is>
      </c>
      <c r="B6" s="218">
        <f>IF(B$3="","",IF(入力データ!$C$19="","",YEAR(DATE(B$3,12,31))-YEAR(入力データ!$C$19)-IF(DATE(B$3,12,31)&lt;DATE(B$3,MONTH(入力データ!$C$19),DAY(入力データ!$C$19)),1,0)))</f>
        <v/>
      </c>
      <c r="C6" s="218">
        <f>IF(C$3="","",IF(入力データ!$C$19="","",YEAR(DATE(C$3,12,31))-YEAR(入力データ!$C$19)-IF(DATE(C$3,12,31)&lt;DATE(C$3,MONTH(入力データ!$C$19),DAY(入力データ!$C$19)),1,0)))</f>
        <v/>
      </c>
      <c r="D6" s="218">
        <f>IF(D$3="","",IF(入力データ!$C$19="","",YEAR(DATE(D$3,12,31))-YEAR(入力データ!$C$19)-IF(DATE(D$3,12,31)&lt;DATE(D$3,MONTH(入力データ!$C$19),DAY(入力データ!$C$19)),1,0)))</f>
        <v/>
      </c>
      <c r="E6" s="218">
        <f>IF(E$3="","",IF(入力データ!$C$19="","",YEAR(DATE(E$3,12,31))-YEAR(入力データ!$C$19)-IF(DATE(E$3,12,31)&lt;DATE(E$3,MONTH(入力データ!$C$19),DAY(入力データ!$C$19)),1,0)))</f>
        <v/>
      </c>
      <c r="F6" s="218">
        <f>IF(F$3="","",IF(入力データ!$C$19="","",YEAR(DATE(F$3,12,31))-YEAR(入力データ!$C$19)-IF(DATE(F$3,12,31)&lt;DATE(F$3,MONTH(入力データ!$C$19),DAY(入力データ!$C$19)),1,0)))</f>
        <v/>
      </c>
      <c r="G6" s="218">
        <f>IF(G$3="","",IF(入力データ!$C$19="","",YEAR(DATE(G$3,12,31))-YEAR(入力データ!$C$19)-IF(DATE(G$3,12,31)&lt;DATE(G$3,MONTH(入力データ!$C$19),DAY(入力データ!$C$19)),1,0)))</f>
        <v/>
      </c>
      <c r="H6" s="218">
        <f>IF(H$3="","",IF(入力データ!$C$19="","",YEAR(DATE(H$3,12,31))-YEAR(入力データ!$C$19)-IF(DATE(H$3,12,31)&lt;DATE(H$3,MONTH(入力データ!$C$19),DAY(入力データ!$C$19)),1,0)))</f>
        <v/>
      </c>
      <c r="I6" s="218">
        <f>IF(I$3="","",IF(入力データ!$C$19="","",YEAR(DATE(I$3,12,31))-YEAR(入力データ!$C$19)-IF(DATE(I$3,12,31)&lt;DATE(I$3,MONTH(入力データ!$C$19),DAY(入力データ!$C$19)),1,0)))</f>
        <v/>
      </c>
      <c r="J6" s="218">
        <f>IF(J$3="","",IF(入力データ!$C$19="","",YEAR(DATE(J$3,12,31))-YEAR(入力データ!$C$19)-IF(DATE(J$3,12,31)&lt;DATE(J$3,MONTH(入力データ!$C$19),DAY(入力データ!$C$19)),1,0)))</f>
        <v/>
      </c>
      <c r="K6" s="218">
        <f>IF(K$3="","",IF(入力データ!$C$19="","",YEAR(DATE(K$3,12,31))-YEAR(入力データ!$C$19)-IF(DATE(K$3,12,31)&lt;DATE(K$3,MONTH(入力データ!$C$19),DAY(入力データ!$C$19)),1,0)))</f>
        <v/>
      </c>
      <c r="L6" s="218">
        <f>IF(L$3="","",IF(入力データ!$C$19="","",YEAR(DATE(L$3,12,31))-YEAR(入力データ!$C$19)-IF(DATE(L$3,12,31)&lt;DATE(L$3,MONTH(入力データ!$C$19),DAY(入力データ!$C$19)),1,0)))</f>
        <v/>
      </c>
      <c r="M6" s="218">
        <f>IF(M$3="","",IF(入力データ!$C$19="","",YEAR(DATE(M$3,12,31))-YEAR(入力データ!$C$19)-IF(DATE(M$3,12,31)&lt;DATE(M$3,MONTH(入力データ!$C$19),DAY(入力データ!$C$19)),1,0)))</f>
        <v/>
      </c>
      <c r="N6" s="218">
        <f>IF(N$3="","",IF(入力データ!$C$19="","",YEAR(DATE(N$3,12,31))-YEAR(入力データ!$C$19)-IF(DATE(N$3,12,31)&lt;DATE(N$3,MONTH(入力データ!$C$19),DAY(入力データ!$C$19)),1,0)))</f>
        <v/>
      </c>
      <c r="O6" s="218">
        <f>IF(O$3="","",IF(入力データ!$C$19="","",YEAR(DATE(O$3,12,31))-YEAR(入力データ!$C$19)-IF(DATE(O$3,12,31)&lt;DATE(O$3,MONTH(入力データ!$C$19),DAY(入力データ!$C$19)),1,0)))</f>
        <v/>
      </c>
      <c r="P6" s="218">
        <f>IF(P$3="","",IF(入力データ!$C$19="","",YEAR(DATE(P$3,12,31))-YEAR(入力データ!$C$19)-IF(DATE(P$3,12,31)&lt;DATE(P$3,MONTH(入力データ!$C$19),DAY(入力データ!$C$19)),1,0)))</f>
        <v/>
      </c>
      <c r="Q6" s="218">
        <f>IF(Q$3="","",IF(入力データ!$C$19="","",YEAR(DATE(Q$3,12,31))-YEAR(入力データ!$C$19)-IF(DATE(Q$3,12,31)&lt;DATE(Q$3,MONTH(入力データ!$C$19),DAY(入力データ!$C$19)),1,0)))</f>
        <v/>
      </c>
      <c r="R6" s="218">
        <f>IF(R$3="","",IF(入力データ!$C$19="","",YEAR(DATE(R$3,12,31))-YEAR(入力データ!$C$19)-IF(DATE(R$3,12,31)&lt;DATE(R$3,MONTH(入力データ!$C$19),DAY(入力データ!$C$19)),1,0)))</f>
        <v/>
      </c>
      <c r="S6" s="218">
        <f>IF(S$3="","",IF(入力データ!$C$19="","",YEAR(DATE(S$3,12,31))-YEAR(入力データ!$C$19)-IF(DATE(S$3,12,31)&lt;DATE(S$3,MONTH(入力データ!$C$19),DAY(入力データ!$C$19)),1,0)))</f>
        <v/>
      </c>
      <c r="T6" s="218">
        <f>IF(T$3="","",IF(入力データ!$C$19="","",YEAR(DATE(T$3,12,31))-YEAR(入力データ!$C$19)-IF(DATE(T$3,12,31)&lt;DATE(T$3,MONTH(入力データ!$C$19),DAY(入力データ!$C$19)),1,0)))</f>
        <v/>
      </c>
      <c r="U6" s="218">
        <f>IF(U$3="","",IF(入力データ!$C$19="","",YEAR(DATE(U$3,12,31))-YEAR(入力データ!$C$19)-IF(DATE(U$3,12,31)&lt;DATE(U$3,MONTH(入力データ!$C$19),DAY(入力データ!$C$19)),1,0)))</f>
        <v/>
      </c>
      <c r="V6" s="218">
        <f>IF(V$3="","",IF(入力データ!$C$19="","",YEAR(DATE(V$3,12,31))-YEAR(入力データ!$C$19)-IF(DATE(V$3,12,31)&lt;DATE(V$3,MONTH(入力データ!$C$19),DAY(入力データ!$C$19)),1,0)))</f>
        <v/>
      </c>
      <c r="W6" s="218">
        <f>IF(W$3="","",IF(入力データ!$C$19="","",YEAR(DATE(W$3,12,31))-YEAR(入力データ!$C$19)-IF(DATE(W$3,12,31)&lt;DATE(W$3,MONTH(入力データ!$C$19),DAY(入力データ!$C$19)),1,0)))</f>
        <v/>
      </c>
      <c r="X6" s="218">
        <f>IF(X$3="","",IF(入力データ!$C$19="","",YEAR(DATE(X$3,12,31))-YEAR(入力データ!$C$19)-IF(DATE(X$3,12,31)&lt;DATE(X$3,MONTH(入力データ!$C$19),DAY(入力データ!$C$19)),1,0)))</f>
        <v/>
      </c>
      <c r="Y6" s="218">
        <f>IF(Y$3="","",IF(入力データ!$C$19="","",YEAR(DATE(Y$3,12,31))-YEAR(入力データ!$C$19)-IF(DATE(Y$3,12,31)&lt;DATE(Y$3,MONTH(入力データ!$C$19),DAY(入力データ!$C$19)),1,0)))</f>
        <v/>
      </c>
      <c r="Z6" s="218">
        <f>IF(Z$3="","",IF(入力データ!$C$19="","",YEAR(DATE(Z$3,12,31))-YEAR(入力データ!$C$19)-IF(DATE(Z$3,12,31)&lt;DATE(Z$3,MONTH(入力データ!$C$19),DAY(入力データ!$C$19)),1,0)))</f>
        <v/>
      </c>
      <c r="AA6" s="218">
        <f>IF(AA$3="","",IF(入力データ!$C$19="","",YEAR(DATE(AA$3,12,31))-YEAR(入力データ!$C$19)-IF(DATE(AA$3,12,31)&lt;DATE(AA$3,MONTH(入力データ!$C$19),DAY(入力データ!$C$19)),1,0)))</f>
        <v/>
      </c>
      <c r="AB6" s="218">
        <f>IF(AB$3="","",IF(入力データ!$C$19="","",YEAR(DATE(AB$3,12,31))-YEAR(入力データ!$C$19)-IF(DATE(AB$3,12,31)&lt;DATE(AB$3,MONTH(入力データ!$C$19),DAY(入力データ!$C$19)),1,0)))</f>
        <v/>
      </c>
      <c r="AC6" s="218">
        <f>IF(AC$3="","",IF(入力データ!$C$19="","",YEAR(DATE(AC$3,12,31))-YEAR(入力データ!$C$19)-IF(DATE(AC$3,12,31)&lt;DATE(AC$3,MONTH(入力データ!$C$19),DAY(入力データ!$C$19)),1,0)))</f>
        <v/>
      </c>
      <c r="AD6" s="218">
        <f>IF(AD$3="","",IF(入力データ!$C$19="","",YEAR(DATE(AD$3,12,31))-YEAR(入力データ!$C$19)-IF(DATE(AD$3,12,31)&lt;DATE(AD$3,MONTH(入力データ!$C$19),DAY(入力データ!$C$19)),1,0)))</f>
        <v/>
      </c>
      <c r="AE6" s="218">
        <f>IF(AE$3="","",IF(入力データ!$C$19="","",YEAR(DATE(AE$3,12,31))-YEAR(入力データ!$C$19)-IF(DATE(AE$3,12,31)&lt;DATE(AE$3,MONTH(入力データ!$C$19),DAY(入力データ!$C$19)),1,0)))</f>
        <v/>
      </c>
      <c r="AF6" s="218">
        <f>IF(AF$3="","",IF(入力データ!$C$19="","",YEAR(DATE(AF$3,12,31))-YEAR(入力データ!$C$19)-IF(DATE(AF$3,12,31)&lt;DATE(AF$3,MONTH(入力データ!$C$19),DAY(入力データ!$C$19)),1,0)))</f>
        <v/>
      </c>
      <c r="AG6" s="218">
        <f>IF(AG$3="","",IF(入力データ!$C$19="","",YEAR(DATE(AG$3,12,31))-YEAR(入力データ!$C$19)-IF(DATE(AG$3,12,31)&lt;DATE(AG$3,MONTH(入力データ!$C$19),DAY(入力データ!$C$19)),1,0)))</f>
        <v/>
      </c>
      <c r="AH6" s="218">
        <f>IF(AH$3="","",IF(入力データ!$C$19="","",YEAR(DATE(AH$3,12,31))-YEAR(入力データ!$C$19)-IF(DATE(AH$3,12,31)&lt;DATE(AH$3,MONTH(入力データ!$C$19),DAY(入力データ!$C$19)),1,0)))</f>
        <v/>
      </c>
      <c r="AI6" s="218">
        <f>IF(AI$3="","",IF(入力データ!$C$19="","",YEAR(DATE(AI$3,12,31))-YEAR(入力データ!$C$19)-IF(DATE(AI$3,12,31)&lt;DATE(AI$3,MONTH(入力データ!$C$19),DAY(入力データ!$C$19)),1,0)))</f>
        <v/>
      </c>
      <c r="AJ6" s="218">
        <f>IF(AJ$3="","",IF(入力データ!$C$19="","",YEAR(DATE(AJ$3,12,31))-YEAR(入力データ!$C$19)-IF(DATE(AJ$3,12,31)&lt;DATE(AJ$3,MONTH(入力データ!$C$19),DAY(入力データ!$C$19)),1,0)))</f>
        <v/>
      </c>
      <c r="AK6" s="218">
        <f>IF(AK$3="","",IF(入力データ!$C$19="","",YEAR(DATE(AK$3,12,31))-YEAR(入力データ!$C$19)-IF(DATE(AK$3,12,31)&lt;DATE(AK$3,MONTH(入力データ!$C$19),DAY(入力データ!$C$19)),1,0)))</f>
        <v/>
      </c>
      <c r="AL6" s="218">
        <f>IF(AL$3="","",IF(入力データ!$C$19="","",YEAR(DATE(AL$3,12,31))-YEAR(入力データ!$C$19)-IF(DATE(AL$3,12,31)&lt;DATE(AL$3,MONTH(入力データ!$C$19),DAY(入力データ!$C$19)),1,0)))</f>
        <v/>
      </c>
      <c r="AM6" s="218">
        <f>IF(AM$3="","",IF(入力データ!$C$19="","",YEAR(DATE(AM$3,12,31))-YEAR(入力データ!$C$19)-IF(DATE(AM$3,12,31)&lt;DATE(AM$3,MONTH(入力データ!$C$19),DAY(入力データ!$C$19)),1,0)))</f>
        <v/>
      </c>
      <c r="AN6" s="218">
        <f>IF(AN$3="","",IF(入力データ!$C$19="","",YEAR(DATE(AN$3,12,31))-YEAR(入力データ!$C$19)-IF(DATE(AN$3,12,31)&lt;DATE(AN$3,MONTH(入力データ!$C$19),DAY(入力データ!$C$19)),1,0)))</f>
        <v/>
      </c>
      <c r="AO6" s="218">
        <f>IF(AO$3="","",IF(入力データ!$C$19="","",YEAR(DATE(AO$3,12,31))-YEAR(入力データ!$C$19)-IF(DATE(AO$3,12,31)&lt;DATE(AO$3,MONTH(入力データ!$C$19),DAY(入力データ!$C$19)),1,0)))</f>
        <v/>
      </c>
      <c r="AP6" s="218">
        <f>IF(AP$3="","",IF(入力データ!$C$19="","",YEAR(DATE(AP$3,12,31))-YEAR(入力データ!$C$19)-IF(DATE(AP$3,12,31)&lt;DATE(AP$3,MONTH(入力データ!$C$19),DAY(入力データ!$C$19)),1,0)))</f>
        <v/>
      </c>
      <c r="AQ6" s="218">
        <f>IF(AQ$3="","",IF(入力データ!$C$19="","",YEAR(DATE(AQ$3,12,31))-YEAR(入力データ!$C$19)-IF(DATE(AQ$3,12,31)&lt;DATE(AQ$3,MONTH(入力データ!$C$19),DAY(入力データ!$C$19)),1,0)))</f>
        <v/>
      </c>
      <c r="AR6" s="218">
        <f>IF(AR$3="","",IF(入力データ!$C$19="","",YEAR(DATE(AR$3,12,31))-YEAR(入力データ!$C$19)-IF(DATE(AR$3,12,31)&lt;DATE(AR$3,MONTH(入力データ!$C$19),DAY(入力データ!$C$19)),1,0)))</f>
        <v/>
      </c>
      <c r="AS6" s="218">
        <f>IF(AS$3="","",IF(入力データ!$C$19="","",YEAR(DATE(AS$3,12,31))-YEAR(入力データ!$C$19)-IF(DATE(AS$3,12,31)&lt;DATE(AS$3,MONTH(入力データ!$C$19),DAY(入力データ!$C$19)),1,0)))</f>
        <v/>
      </c>
      <c r="AT6" s="218">
        <f>IF(AT$3="","",IF(入力データ!$C$19="","",YEAR(DATE(AT$3,12,31))-YEAR(入力データ!$C$19)-IF(DATE(AT$3,12,31)&lt;DATE(AT$3,MONTH(入力データ!$C$19),DAY(入力データ!$C$19)),1,0)))</f>
        <v/>
      </c>
      <c r="AU6" s="218">
        <f>IF(AU$3="","",IF(入力データ!$C$19="","",YEAR(DATE(AU$3,12,31))-YEAR(入力データ!$C$19)-IF(DATE(AU$3,12,31)&lt;DATE(AU$3,MONTH(入力データ!$C$19),DAY(入力データ!$C$19)),1,0)))</f>
        <v/>
      </c>
      <c r="AV6" s="218">
        <f>IF(AV$3="","",IF(入力データ!$C$19="","",YEAR(DATE(AV$3,12,31))-YEAR(入力データ!$C$19)-IF(DATE(AV$3,12,31)&lt;DATE(AV$3,MONTH(入力データ!$C$19),DAY(入力データ!$C$19)),1,0)))</f>
        <v/>
      </c>
      <c r="AW6" s="218">
        <f>IF(AW$3="","",IF(入力データ!$C$19="","",YEAR(DATE(AW$3,12,31))-YEAR(入力データ!$C$19)-IF(DATE(AW$3,12,31)&lt;DATE(AW$3,MONTH(入力データ!$C$19),DAY(入力データ!$C$19)),1,0)))</f>
        <v/>
      </c>
      <c r="AX6" s="218">
        <f>IF(AX$3="","",IF(入力データ!$C$19="","",YEAR(DATE(AX$3,12,31))-YEAR(入力データ!$C$19)-IF(DATE(AX$3,12,31)&lt;DATE(AX$3,MONTH(入力データ!$C$19),DAY(入力データ!$C$19)),1,0)))</f>
        <v/>
      </c>
      <c r="AY6" s="218">
        <f>IF(AY$3="","",IF(入力データ!$C$19="","",YEAR(DATE(AY$3,12,31))-YEAR(入力データ!$C$19)-IF(DATE(AY$3,12,31)&lt;DATE(AY$3,MONTH(入力データ!$C$19),DAY(入力データ!$C$19)),1,0)))</f>
        <v/>
      </c>
      <c r="AZ6" s="218">
        <f>IF(AZ$3="","",IF(入力データ!$C$19="","",YEAR(DATE(AZ$3,12,31))-YEAR(入力データ!$C$19)-IF(DATE(AZ$3,12,31)&lt;DATE(AZ$3,MONTH(入力データ!$C$19),DAY(入力データ!$C$19)),1,0)))</f>
        <v/>
      </c>
      <c r="BA6" s="218">
        <f>IF(BA$3="","",IF(入力データ!$C$19="","",YEAR(DATE(BA$3,12,31))-YEAR(入力データ!$C$19)-IF(DATE(BA$3,12,31)&lt;DATE(BA$3,MONTH(入力データ!$C$19),DAY(入力データ!$C$19)),1,0)))</f>
        <v/>
      </c>
      <c r="BB6" s="218">
        <f>IF(BB$3="","",IF(入力データ!$C$19="","",YEAR(DATE(BB$3,12,31))-YEAR(入力データ!$C$19)-IF(DATE(BB$3,12,31)&lt;DATE(BB$3,MONTH(入力データ!$C$19),DAY(入力データ!$C$19)),1,0)))</f>
        <v/>
      </c>
      <c r="BC6" s="218">
        <f>IF(BC$3="","",IF(入力データ!$C$19="","",YEAR(DATE(BC$3,12,31))-YEAR(入力データ!$C$19)-IF(DATE(BC$3,12,31)&lt;DATE(BC$3,MONTH(入力データ!$C$19),DAY(入力データ!$C$19)),1,0)))</f>
        <v/>
      </c>
      <c r="BD6" s="218">
        <f>IF(BD$3="","",IF(入力データ!$C$19="","",YEAR(DATE(BD$3,12,31))-YEAR(入力データ!$C$19)-IF(DATE(BD$3,12,31)&lt;DATE(BD$3,MONTH(入力データ!$C$19),DAY(入力データ!$C$19)),1,0)))</f>
        <v/>
      </c>
      <c r="BE6" s="218">
        <f>IF(BE$3="","",IF(入力データ!$C$19="","",YEAR(DATE(BE$3,12,31))-YEAR(入力データ!$C$19)-IF(DATE(BE$3,12,31)&lt;DATE(BE$3,MONTH(入力データ!$C$19),DAY(入力データ!$C$19)),1,0)))</f>
        <v/>
      </c>
      <c r="BF6" s="218">
        <f>IF(BF$3="","",IF(入力データ!$C$19="","",YEAR(DATE(BF$3,12,31))-YEAR(入力データ!$C$19)-IF(DATE(BF$3,12,31)&lt;DATE(BF$3,MONTH(入力データ!$C$19),DAY(入力データ!$C$19)),1,0)))</f>
        <v/>
      </c>
      <c r="BG6" s="218">
        <f>IF(BG$3="","",IF(入力データ!$C$19="","",YEAR(DATE(BG$3,12,31))-YEAR(入力データ!$C$19)-IF(DATE(BG$3,12,31)&lt;DATE(BG$3,MONTH(入力データ!$C$19),DAY(入力データ!$C$19)),1,0)))</f>
        <v/>
      </c>
      <c r="BH6" s="218">
        <f>IF(BH$3="","",IF(入力データ!$C$19="","",YEAR(DATE(BH$3,12,31))-YEAR(入力データ!$C$19)-IF(DATE(BH$3,12,31)&lt;DATE(BH$3,MONTH(入力データ!$C$19),DAY(入力データ!$C$19)),1,0)))</f>
        <v/>
      </c>
      <c r="BI6" s="218">
        <f>IF(BI$3="","",IF(入力データ!$C$19="","",YEAR(DATE(BI$3,12,31))-YEAR(入力データ!$C$19)-IF(DATE(BI$3,12,31)&lt;DATE(BI$3,MONTH(入力データ!$C$19),DAY(入力データ!$C$19)),1,0)))</f>
        <v/>
      </c>
      <c r="BJ6" s="218">
        <f>IF(BJ$3="","",IF(入力データ!$C$19="","",YEAR(DATE(BJ$3,12,31))-YEAR(入力データ!$C$19)-IF(DATE(BJ$3,12,31)&lt;DATE(BJ$3,MONTH(入力データ!$C$19),DAY(入力データ!$C$19)),1,0)))</f>
        <v/>
      </c>
      <c r="BK6" s="218">
        <f>IF(BK$3="","",IF(入力データ!$C$19="","",YEAR(DATE(BK$3,12,31))-YEAR(入力データ!$C$19)-IF(DATE(BK$3,12,31)&lt;DATE(BK$3,MONTH(入力データ!$C$19),DAY(入力データ!$C$19)),1,0)))</f>
        <v/>
      </c>
      <c r="BL6" s="218">
        <f>IF(BL$3="","",IF(入力データ!$C$19="","",YEAR(DATE(BL$3,12,31))-YEAR(入力データ!$C$19)-IF(DATE(BL$3,12,31)&lt;DATE(BL$3,MONTH(入力データ!$C$19),DAY(入力データ!$C$19)),1,0)))</f>
        <v/>
      </c>
      <c r="BM6" s="218">
        <f>IF(BM$3="","",IF(入力データ!$C$19="","",YEAR(DATE(BM$3,12,31))-YEAR(入力データ!$C$19)-IF(DATE(BM$3,12,31)&lt;DATE(BM$3,MONTH(入力データ!$C$19),DAY(入力データ!$C$19)),1,0)))</f>
        <v/>
      </c>
      <c r="BN6" s="218">
        <f>IF(BN$3="","",IF(入力データ!$C$19="","",YEAR(DATE(BN$3,12,31))-YEAR(入力データ!$C$19)-IF(DATE(BN$3,12,31)&lt;DATE(BN$3,MONTH(入力データ!$C$19),DAY(入力データ!$C$19)),1,0)))</f>
        <v/>
      </c>
      <c r="BO6" s="218">
        <f>IF(BO$3="","",IF(入力データ!$C$19="","",YEAR(DATE(BO$3,12,31))-YEAR(入力データ!$C$19)-IF(DATE(BO$3,12,31)&lt;DATE(BO$3,MONTH(入力データ!$C$19),DAY(入力データ!$C$19)),1,0)))</f>
        <v/>
      </c>
      <c r="BP6" s="218">
        <f>IF(BP$3="","",IF(入力データ!$C$19="","",YEAR(DATE(BP$3,12,31))-YEAR(入力データ!$C$19)-IF(DATE(BP$3,12,31)&lt;DATE(BP$3,MONTH(入力データ!$C$19),DAY(入力データ!$C$19)),1,0)))</f>
        <v/>
      </c>
      <c r="BQ6" s="218">
        <f>IF(BQ$3="","",IF(入力データ!$C$19="","",YEAR(DATE(BQ$3,12,31))-YEAR(入力データ!$C$19)-IF(DATE(BQ$3,12,31)&lt;DATE(BQ$3,MONTH(入力データ!$C$19),DAY(入力データ!$C$19)),1,0)))</f>
        <v/>
      </c>
      <c r="BR6" s="218">
        <f>IF(BR$3="","",IF(入力データ!$C$19="","",YEAR(DATE(BR$3,12,31))-YEAR(入力データ!$C$19)-IF(DATE(BR$3,12,31)&lt;DATE(BR$3,MONTH(入力データ!$C$19),DAY(入力データ!$C$19)),1,0)))</f>
        <v/>
      </c>
      <c r="BS6" s="218">
        <f>IF(BS$3="","",IF(入力データ!$C$19="","",YEAR(DATE(BS$3,12,31))-YEAR(入力データ!$C$19)-IF(DATE(BS$3,12,31)&lt;DATE(BS$3,MONTH(入力データ!$C$19),DAY(入力データ!$C$19)),1,0)))</f>
        <v/>
      </c>
      <c r="BT6" s="218">
        <f>IF(BT$3="","",IF(入力データ!$C$19="","",YEAR(DATE(BT$3,12,31))-YEAR(入力データ!$C$19)-IF(DATE(BT$3,12,31)&lt;DATE(BT$3,MONTH(入力データ!$C$19),DAY(入力データ!$C$19)),1,0)))</f>
        <v/>
      </c>
      <c r="BU6" s="218">
        <f>IF(BU$3="","",IF(入力データ!$C$19="","",YEAR(DATE(BU$3,12,31))-YEAR(入力データ!$C$19)-IF(DATE(BU$3,12,31)&lt;DATE(BU$3,MONTH(入力データ!$C$19),DAY(入力データ!$C$19)),1,0)))</f>
        <v/>
      </c>
      <c r="BV6" s="218">
        <f>IF(BV$3="","",IF(入力データ!$C$19="","",YEAR(DATE(BV$3,12,31))-YEAR(入力データ!$C$19)-IF(DATE(BV$3,12,31)&lt;DATE(BV$3,MONTH(入力データ!$C$19),DAY(入力データ!$C$19)),1,0)))</f>
        <v/>
      </c>
      <c r="BW6" s="218">
        <f>IF(BW$3="","",IF(入力データ!$C$19="","",YEAR(DATE(BW$3,12,31))-YEAR(入力データ!$C$19)-IF(DATE(BW$3,12,31)&lt;DATE(BW$3,MONTH(入力データ!$C$19),DAY(入力データ!$C$19)),1,0)))</f>
        <v/>
      </c>
      <c r="BX6" s="218">
        <f>IF(BX$3="","",IF(入力データ!$C$19="","",YEAR(DATE(BX$3,12,31))-YEAR(入力データ!$C$19)-IF(DATE(BX$3,12,31)&lt;DATE(BX$3,MONTH(入力データ!$C$19),DAY(入力データ!$C$19)),1,0)))</f>
        <v/>
      </c>
      <c r="BY6" s="218">
        <f>IF(BY$3="","",IF(入力データ!$C$19="","",YEAR(DATE(BY$3,12,31))-YEAR(入力データ!$C$19)-IF(DATE(BY$3,12,31)&lt;DATE(BY$3,MONTH(入力データ!$C$19),DAY(入力データ!$C$19)),1,0)))</f>
        <v/>
      </c>
      <c r="BZ6" s="218">
        <f>IF(BZ$3="","",IF(入力データ!$C$19="","",YEAR(DATE(BZ$3,12,31))-YEAR(入力データ!$C$19)-IF(DATE(BZ$3,12,31)&lt;DATE(BZ$3,MONTH(入力データ!$C$19),DAY(入力データ!$C$19)),1,0)))</f>
        <v/>
      </c>
      <c r="CA6" s="218">
        <f>IF(CA$3="","",IF(入力データ!$C$19="","",YEAR(DATE(CA$3,12,31))-YEAR(入力データ!$C$19)-IF(DATE(CA$3,12,31)&lt;DATE(CA$3,MONTH(入力データ!$C$19),DAY(入力データ!$C$19)),1,0)))</f>
        <v/>
      </c>
      <c r="CB6" s="218">
        <f>IF(CB$3="","",IF(入力データ!$C$19="","",YEAR(DATE(CB$3,12,31))-YEAR(入力データ!$C$19)-IF(DATE(CB$3,12,31)&lt;DATE(CB$3,MONTH(入力データ!$C$19),DAY(入力データ!$C$19)),1,0)))</f>
        <v/>
      </c>
      <c r="CC6" s="218">
        <f>IF(CC$3="","",IF(入力データ!$C$19="","",YEAR(DATE(CC$3,12,31))-YEAR(入力データ!$C$19)-IF(DATE(CC$3,12,31)&lt;DATE(CC$3,MONTH(入力データ!$C$19),DAY(入力データ!$C$19)),1,0)))</f>
        <v/>
      </c>
      <c r="CD6" s="218">
        <f>IF(CD$3="","",IF(入力データ!$C$19="","",YEAR(DATE(CD$3,12,31))-YEAR(入力データ!$C$19)-IF(DATE(CD$3,12,31)&lt;DATE(CD$3,MONTH(入力データ!$C$19),DAY(入力データ!$C$19)),1,0)))</f>
        <v/>
      </c>
      <c r="CE6" s="218">
        <f>IF(CE$3="","",IF(入力データ!$C$19="","",YEAR(DATE(CE$3,12,31))-YEAR(入力データ!$C$19)-IF(DATE(CE$3,12,31)&lt;DATE(CE$3,MONTH(入力データ!$C$19),DAY(入力データ!$C$19)),1,0)))</f>
        <v/>
      </c>
      <c r="CF6" s="218">
        <f>IF(CF$3="","",IF(入力データ!$C$19="","",YEAR(DATE(CF$3,12,31))-YEAR(入力データ!$C$19)-IF(DATE(CF$3,12,31)&lt;DATE(CF$3,MONTH(入力データ!$C$19),DAY(入力データ!$C$19)),1,0)))</f>
        <v/>
      </c>
      <c r="CG6" s="218">
        <f>IF(CG$3="","",IF(入力データ!$C$19="","",YEAR(DATE(CG$3,12,31))-YEAR(入力データ!$C$19)-IF(DATE(CG$3,12,31)&lt;DATE(CG$3,MONTH(入力データ!$C$19),DAY(入力データ!$C$19)),1,0)))</f>
        <v/>
      </c>
      <c r="CH6" s="218">
        <f>IF(CH$3="","",IF(入力データ!$C$19="","",YEAR(DATE(CH$3,12,31))-YEAR(入力データ!$C$19)-IF(DATE(CH$3,12,31)&lt;DATE(CH$3,MONTH(入力データ!$C$19),DAY(入力データ!$C$19)),1,0)))</f>
        <v/>
      </c>
      <c r="CI6" s="218">
        <f>IF(CI$3="","",IF(入力データ!$C$19="","",YEAR(DATE(CI$3,12,31))-YEAR(入力データ!$C$19)-IF(DATE(CI$3,12,31)&lt;DATE(CI$3,MONTH(入力データ!$C$19),DAY(入力データ!$C$19)),1,0)))</f>
        <v/>
      </c>
      <c r="CJ6" s="218">
        <f>IF(CJ$3="","",IF(入力データ!$C$19="","",YEAR(DATE(CJ$3,12,31))-YEAR(入力データ!$C$19)-IF(DATE(CJ$3,12,31)&lt;DATE(CJ$3,MONTH(入力データ!$C$19),DAY(入力データ!$C$19)),1,0)))</f>
        <v/>
      </c>
      <c r="CK6" s="218">
        <f>IF(CK$3="","",IF(入力データ!$C$19="","",YEAR(DATE(CK$3,12,31))-YEAR(入力データ!$C$19)-IF(DATE(CK$3,12,31)&lt;DATE(CK$3,MONTH(入力データ!$C$19),DAY(入力データ!$C$19)),1,0)))</f>
        <v/>
      </c>
      <c r="CL6" s="218">
        <f>IF(CL$3="","",IF(入力データ!$C$19="","",YEAR(DATE(CL$3,12,31))-YEAR(入力データ!$C$19)-IF(DATE(CL$3,12,31)&lt;DATE(CL$3,MONTH(入力データ!$C$19),DAY(入力データ!$C$19)),1,0)))</f>
        <v/>
      </c>
      <c r="CM6" s="218">
        <f>IF(CM$3="","",IF(入力データ!$C$19="","",YEAR(DATE(CM$3,12,31))-YEAR(入力データ!$C$19)-IF(DATE(CM$3,12,31)&lt;DATE(CM$3,MONTH(入力データ!$C$19),DAY(入力データ!$C$19)),1,0)))</f>
        <v/>
      </c>
      <c r="CN6" s="218">
        <f>IF(CN$3="","",IF(入力データ!$C$19="","",YEAR(DATE(CN$3,12,31))-YEAR(入力データ!$C$19)-IF(DATE(CN$3,12,31)&lt;DATE(CN$3,MONTH(入力データ!$C$19),DAY(入力データ!$C$19)),1,0)))</f>
        <v/>
      </c>
      <c r="CO6" s="218">
        <f>IF(CO$3="","",IF(入力データ!$C$19="","",YEAR(DATE(CO$3,12,31))-YEAR(入力データ!$C$19)-IF(DATE(CO$3,12,31)&lt;DATE(CO$3,MONTH(入力データ!$C$19),DAY(入力データ!$C$19)),1,0)))</f>
        <v/>
      </c>
      <c r="CP6" s="218">
        <f>IF(CP$3="","",IF(入力データ!$C$19="","",YEAR(DATE(CP$3,12,31))-YEAR(入力データ!$C$19)-IF(DATE(CP$3,12,31)&lt;DATE(CP$3,MONTH(入力データ!$C$19),DAY(入力データ!$C$19)),1,0)))</f>
        <v/>
      </c>
      <c r="CQ6" s="218">
        <f>IF(CQ$3="","",IF(入力データ!$C$19="","",YEAR(DATE(CQ$3,12,31))-YEAR(入力データ!$C$19)-IF(DATE(CQ$3,12,31)&lt;DATE(CQ$3,MONTH(入力データ!$C$19),DAY(入力データ!$C$19)),1,0)))</f>
        <v/>
      </c>
      <c r="CR6" s="218">
        <f>IF(CR$3="","",IF(入力データ!$C$19="","",YEAR(DATE(CR$3,12,31))-YEAR(入力データ!$C$19)-IF(DATE(CR$3,12,31)&lt;DATE(CR$3,MONTH(入力データ!$C$19),DAY(入力データ!$C$19)),1,0)))</f>
        <v/>
      </c>
      <c r="CS6" s="218">
        <f>IF(CS$3="","",IF(入力データ!$C$19="","",YEAR(DATE(CS$3,12,31))-YEAR(入力データ!$C$19)-IF(DATE(CS$3,12,31)&lt;DATE(CS$3,MONTH(入力データ!$C$19),DAY(入力データ!$C$19)),1,0)))</f>
        <v/>
      </c>
      <c r="CT6" s="218">
        <f>IF(CT$3="","",IF(入力データ!$C$19="","",YEAR(DATE(CT$3,12,31))-YEAR(入力データ!$C$19)-IF(DATE(CT$3,12,31)&lt;DATE(CT$3,MONTH(入力データ!$C$19),DAY(入力データ!$C$19)),1,0)))</f>
        <v/>
      </c>
      <c r="CU6" s="218">
        <f>IF(CU$3="","",IF(入力データ!$C$19="","",YEAR(DATE(CU$3,12,31))-YEAR(入力データ!$C$19)-IF(DATE(CU$3,12,31)&lt;DATE(CU$3,MONTH(入力データ!$C$19),DAY(入力データ!$C$19)),1,0)))</f>
        <v/>
      </c>
      <c r="CV6" s="218">
        <f>IF(CV$3="","",IF(入力データ!$C$19="","",YEAR(DATE(CV$3,12,31))-YEAR(入力データ!$C$19)-IF(DATE(CV$3,12,31)&lt;DATE(CV$3,MONTH(入力データ!$C$19),DAY(入力データ!$C$19)),1,0)))</f>
        <v/>
      </c>
      <c r="CW6" s="218">
        <f>IF(CW$3="","",IF(入力データ!$C$19="","",YEAR(DATE(CW$3,12,31))-YEAR(入力データ!$C$19)-IF(DATE(CW$3,12,31)&lt;DATE(CW$3,MONTH(入力データ!$C$19),DAY(入力データ!$C$19)),1,0)))</f>
        <v/>
      </c>
    </row>
    <row r="7" ht="16.5" customHeight="1" s="180">
      <c r="A7" s="217" t="inlineStr">
        <is>
          <t>子2年齢</t>
        </is>
      </c>
      <c r="B7" s="218">
        <f>IF(B$3="","",IF(入力データ!$C$21="","",YEAR(DATE(B$3,12,31))-YEAR(入力データ!$C$21)-IF(DATE(B$3,12,31)&lt;DATE(B$3,MONTH(入力データ!$C$21),DAY(入力データ!$C$21)),1,0)))</f>
        <v/>
      </c>
      <c r="C7" s="218">
        <f>IF(C$3="","",IF(入力データ!$C$21="","",YEAR(DATE(C$3,12,31))-YEAR(入力データ!$C$21)-IF(DATE(C$3,12,31)&lt;DATE(C$3,MONTH(入力データ!$C$21),DAY(入力データ!$C$21)),1,0)))</f>
        <v/>
      </c>
      <c r="D7" s="218">
        <f>IF(D$3="","",IF(入力データ!$C$21="","",YEAR(DATE(D$3,12,31))-YEAR(入力データ!$C$21)-IF(DATE(D$3,12,31)&lt;DATE(D$3,MONTH(入力データ!$C$21),DAY(入力データ!$C$21)),1,0)))</f>
        <v/>
      </c>
      <c r="E7" s="218">
        <f>IF(E$3="","",IF(入力データ!$C$21="","",YEAR(DATE(E$3,12,31))-YEAR(入力データ!$C$21)-IF(DATE(E$3,12,31)&lt;DATE(E$3,MONTH(入力データ!$C$21),DAY(入力データ!$C$21)),1,0)))</f>
        <v/>
      </c>
      <c r="F7" s="218">
        <f>IF(F$3="","",IF(入力データ!$C$21="","",YEAR(DATE(F$3,12,31))-YEAR(入力データ!$C$21)-IF(DATE(F$3,12,31)&lt;DATE(F$3,MONTH(入力データ!$C$21),DAY(入力データ!$C$21)),1,0)))</f>
        <v/>
      </c>
      <c r="G7" s="218">
        <f>IF(G$3="","",IF(入力データ!$C$21="","",YEAR(DATE(G$3,12,31))-YEAR(入力データ!$C$21)-IF(DATE(G$3,12,31)&lt;DATE(G$3,MONTH(入力データ!$C$21),DAY(入力データ!$C$21)),1,0)))</f>
        <v/>
      </c>
      <c r="H7" s="218">
        <f>IF(H$3="","",IF(入力データ!$C$21="","",YEAR(DATE(H$3,12,31))-YEAR(入力データ!$C$21)-IF(DATE(H$3,12,31)&lt;DATE(H$3,MONTH(入力データ!$C$21),DAY(入力データ!$C$21)),1,0)))</f>
        <v/>
      </c>
      <c r="I7" s="218">
        <f>IF(I$3="","",IF(入力データ!$C$21="","",YEAR(DATE(I$3,12,31))-YEAR(入力データ!$C$21)-IF(DATE(I$3,12,31)&lt;DATE(I$3,MONTH(入力データ!$C$21),DAY(入力データ!$C$21)),1,0)))</f>
        <v/>
      </c>
      <c r="J7" s="218">
        <f>IF(J$3="","",IF(入力データ!$C$21="","",YEAR(DATE(J$3,12,31))-YEAR(入力データ!$C$21)-IF(DATE(J$3,12,31)&lt;DATE(J$3,MONTH(入力データ!$C$21),DAY(入力データ!$C$21)),1,0)))</f>
        <v/>
      </c>
      <c r="K7" s="218">
        <f>IF(K$3="","",IF(入力データ!$C$21="","",YEAR(DATE(K$3,12,31))-YEAR(入力データ!$C$21)-IF(DATE(K$3,12,31)&lt;DATE(K$3,MONTH(入力データ!$C$21),DAY(入力データ!$C$21)),1,0)))</f>
        <v/>
      </c>
      <c r="L7" s="218">
        <f>IF(L$3="","",IF(入力データ!$C$21="","",YEAR(DATE(L$3,12,31))-YEAR(入力データ!$C$21)-IF(DATE(L$3,12,31)&lt;DATE(L$3,MONTH(入力データ!$C$21),DAY(入力データ!$C$21)),1,0)))</f>
        <v/>
      </c>
      <c r="M7" s="218">
        <f>IF(M$3="","",IF(入力データ!$C$21="","",YEAR(DATE(M$3,12,31))-YEAR(入力データ!$C$21)-IF(DATE(M$3,12,31)&lt;DATE(M$3,MONTH(入力データ!$C$21),DAY(入力データ!$C$21)),1,0)))</f>
        <v/>
      </c>
      <c r="N7" s="218">
        <f>IF(N$3="","",IF(入力データ!$C$21="","",YEAR(DATE(N$3,12,31))-YEAR(入力データ!$C$21)-IF(DATE(N$3,12,31)&lt;DATE(N$3,MONTH(入力データ!$C$21),DAY(入力データ!$C$21)),1,0)))</f>
        <v/>
      </c>
      <c r="O7" s="218">
        <f>IF(O$3="","",IF(入力データ!$C$21="","",YEAR(DATE(O$3,12,31))-YEAR(入力データ!$C$21)-IF(DATE(O$3,12,31)&lt;DATE(O$3,MONTH(入力データ!$C$21),DAY(入力データ!$C$21)),1,0)))</f>
        <v/>
      </c>
      <c r="P7" s="218">
        <f>IF(P$3="","",IF(入力データ!$C$21="","",YEAR(DATE(P$3,12,31))-YEAR(入力データ!$C$21)-IF(DATE(P$3,12,31)&lt;DATE(P$3,MONTH(入力データ!$C$21),DAY(入力データ!$C$21)),1,0)))</f>
        <v/>
      </c>
      <c r="Q7" s="218">
        <f>IF(Q$3="","",IF(入力データ!$C$21="","",YEAR(DATE(Q$3,12,31))-YEAR(入力データ!$C$21)-IF(DATE(Q$3,12,31)&lt;DATE(Q$3,MONTH(入力データ!$C$21),DAY(入力データ!$C$21)),1,0)))</f>
        <v/>
      </c>
      <c r="R7" s="218">
        <f>IF(R$3="","",IF(入力データ!$C$21="","",YEAR(DATE(R$3,12,31))-YEAR(入力データ!$C$21)-IF(DATE(R$3,12,31)&lt;DATE(R$3,MONTH(入力データ!$C$21),DAY(入力データ!$C$21)),1,0)))</f>
        <v/>
      </c>
      <c r="S7" s="218">
        <f>IF(S$3="","",IF(入力データ!$C$21="","",YEAR(DATE(S$3,12,31))-YEAR(入力データ!$C$21)-IF(DATE(S$3,12,31)&lt;DATE(S$3,MONTH(入力データ!$C$21),DAY(入力データ!$C$21)),1,0)))</f>
        <v/>
      </c>
      <c r="T7" s="218">
        <f>IF(T$3="","",IF(入力データ!$C$21="","",YEAR(DATE(T$3,12,31))-YEAR(入力データ!$C$21)-IF(DATE(T$3,12,31)&lt;DATE(T$3,MONTH(入力データ!$C$21),DAY(入力データ!$C$21)),1,0)))</f>
        <v/>
      </c>
      <c r="U7" s="218">
        <f>IF(U$3="","",IF(入力データ!$C$21="","",YEAR(DATE(U$3,12,31))-YEAR(入力データ!$C$21)-IF(DATE(U$3,12,31)&lt;DATE(U$3,MONTH(入力データ!$C$21),DAY(入力データ!$C$21)),1,0)))</f>
        <v/>
      </c>
      <c r="V7" s="218">
        <f>IF(V$3="","",IF(入力データ!$C$21="","",YEAR(DATE(V$3,12,31))-YEAR(入力データ!$C$21)-IF(DATE(V$3,12,31)&lt;DATE(V$3,MONTH(入力データ!$C$21),DAY(入力データ!$C$21)),1,0)))</f>
        <v/>
      </c>
      <c r="W7" s="218">
        <f>IF(W$3="","",IF(入力データ!$C$21="","",YEAR(DATE(W$3,12,31))-YEAR(入力データ!$C$21)-IF(DATE(W$3,12,31)&lt;DATE(W$3,MONTH(入力データ!$C$21),DAY(入力データ!$C$21)),1,0)))</f>
        <v/>
      </c>
      <c r="X7" s="218">
        <f>IF(X$3="","",IF(入力データ!$C$21="","",YEAR(DATE(X$3,12,31))-YEAR(入力データ!$C$21)-IF(DATE(X$3,12,31)&lt;DATE(X$3,MONTH(入力データ!$C$21),DAY(入力データ!$C$21)),1,0)))</f>
        <v/>
      </c>
      <c r="Y7" s="218">
        <f>IF(Y$3="","",IF(入力データ!$C$21="","",YEAR(DATE(Y$3,12,31))-YEAR(入力データ!$C$21)-IF(DATE(Y$3,12,31)&lt;DATE(Y$3,MONTH(入力データ!$C$21),DAY(入力データ!$C$21)),1,0)))</f>
        <v/>
      </c>
      <c r="Z7" s="218">
        <f>IF(Z$3="","",IF(入力データ!$C$21="","",YEAR(DATE(Z$3,12,31))-YEAR(入力データ!$C$21)-IF(DATE(Z$3,12,31)&lt;DATE(Z$3,MONTH(入力データ!$C$21),DAY(入力データ!$C$21)),1,0)))</f>
        <v/>
      </c>
      <c r="AA7" s="218">
        <f>IF(AA$3="","",IF(入力データ!$C$21="","",YEAR(DATE(AA$3,12,31))-YEAR(入力データ!$C$21)-IF(DATE(AA$3,12,31)&lt;DATE(AA$3,MONTH(入力データ!$C$21),DAY(入力データ!$C$21)),1,0)))</f>
        <v/>
      </c>
      <c r="AB7" s="218">
        <f>IF(AB$3="","",IF(入力データ!$C$21="","",YEAR(DATE(AB$3,12,31))-YEAR(入力データ!$C$21)-IF(DATE(AB$3,12,31)&lt;DATE(AB$3,MONTH(入力データ!$C$21),DAY(入力データ!$C$21)),1,0)))</f>
        <v/>
      </c>
      <c r="AC7" s="218">
        <f>IF(AC$3="","",IF(入力データ!$C$21="","",YEAR(DATE(AC$3,12,31))-YEAR(入力データ!$C$21)-IF(DATE(AC$3,12,31)&lt;DATE(AC$3,MONTH(入力データ!$C$21),DAY(入力データ!$C$21)),1,0)))</f>
        <v/>
      </c>
      <c r="AD7" s="218">
        <f>IF(AD$3="","",IF(入力データ!$C$21="","",YEAR(DATE(AD$3,12,31))-YEAR(入力データ!$C$21)-IF(DATE(AD$3,12,31)&lt;DATE(AD$3,MONTH(入力データ!$C$21),DAY(入力データ!$C$21)),1,0)))</f>
        <v/>
      </c>
      <c r="AE7" s="218">
        <f>IF(AE$3="","",IF(入力データ!$C$21="","",YEAR(DATE(AE$3,12,31))-YEAR(入力データ!$C$21)-IF(DATE(AE$3,12,31)&lt;DATE(AE$3,MONTH(入力データ!$C$21),DAY(入力データ!$C$21)),1,0)))</f>
        <v/>
      </c>
      <c r="AF7" s="218">
        <f>IF(AF$3="","",IF(入力データ!$C$21="","",YEAR(DATE(AF$3,12,31))-YEAR(入力データ!$C$21)-IF(DATE(AF$3,12,31)&lt;DATE(AF$3,MONTH(入力データ!$C$21),DAY(入力データ!$C$21)),1,0)))</f>
        <v/>
      </c>
      <c r="AG7" s="218">
        <f>IF(AG$3="","",IF(入力データ!$C$21="","",YEAR(DATE(AG$3,12,31))-YEAR(入力データ!$C$21)-IF(DATE(AG$3,12,31)&lt;DATE(AG$3,MONTH(入力データ!$C$21),DAY(入力データ!$C$21)),1,0)))</f>
        <v/>
      </c>
      <c r="AH7" s="218">
        <f>IF(AH$3="","",IF(入力データ!$C$21="","",YEAR(DATE(AH$3,12,31))-YEAR(入力データ!$C$21)-IF(DATE(AH$3,12,31)&lt;DATE(AH$3,MONTH(入力データ!$C$21),DAY(入力データ!$C$21)),1,0)))</f>
        <v/>
      </c>
      <c r="AI7" s="218">
        <f>IF(AI$3="","",IF(入力データ!$C$21="","",YEAR(DATE(AI$3,12,31))-YEAR(入力データ!$C$21)-IF(DATE(AI$3,12,31)&lt;DATE(AI$3,MONTH(入力データ!$C$21),DAY(入力データ!$C$21)),1,0)))</f>
        <v/>
      </c>
      <c r="AJ7" s="218">
        <f>IF(AJ$3="","",IF(入力データ!$C$21="","",YEAR(DATE(AJ$3,12,31))-YEAR(入力データ!$C$21)-IF(DATE(AJ$3,12,31)&lt;DATE(AJ$3,MONTH(入力データ!$C$21),DAY(入力データ!$C$21)),1,0)))</f>
        <v/>
      </c>
      <c r="AK7" s="218">
        <f>IF(AK$3="","",IF(入力データ!$C$21="","",YEAR(DATE(AK$3,12,31))-YEAR(入力データ!$C$21)-IF(DATE(AK$3,12,31)&lt;DATE(AK$3,MONTH(入力データ!$C$21),DAY(入力データ!$C$21)),1,0)))</f>
        <v/>
      </c>
      <c r="AL7" s="218">
        <f>IF(AL$3="","",IF(入力データ!$C$21="","",YEAR(DATE(AL$3,12,31))-YEAR(入力データ!$C$21)-IF(DATE(AL$3,12,31)&lt;DATE(AL$3,MONTH(入力データ!$C$21),DAY(入力データ!$C$21)),1,0)))</f>
        <v/>
      </c>
      <c r="AM7" s="218">
        <f>IF(AM$3="","",IF(入力データ!$C$21="","",YEAR(DATE(AM$3,12,31))-YEAR(入力データ!$C$21)-IF(DATE(AM$3,12,31)&lt;DATE(AM$3,MONTH(入力データ!$C$21),DAY(入力データ!$C$21)),1,0)))</f>
        <v/>
      </c>
      <c r="AN7" s="218">
        <f>IF(AN$3="","",IF(入力データ!$C$21="","",YEAR(DATE(AN$3,12,31))-YEAR(入力データ!$C$21)-IF(DATE(AN$3,12,31)&lt;DATE(AN$3,MONTH(入力データ!$C$21),DAY(入力データ!$C$21)),1,0)))</f>
        <v/>
      </c>
      <c r="AO7" s="218">
        <f>IF(AO$3="","",IF(入力データ!$C$21="","",YEAR(DATE(AO$3,12,31))-YEAR(入力データ!$C$21)-IF(DATE(AO$3,12,31)&lt;DATE(AO$3,MONTH(入力データ!$C$21),DAY(入力データ!$C$21)),1,0)))</f>
        <v/>
      </c>
      <c r="AP7" s="218">
        <f>IF(AP$3="","",IF(入力データ!$C$21="","",YEAR(DATE(AP$3,12,31))-YEAR(入力データ!$C$21)-IF(DATE(AP$3,12,31)&lt;DATE(AP$3,MONTH(入力データ!$C$21),DAY(入力データ!$C$21)),1,0)))</f>
        <v/>
      </c>
      <c r="AQ7" s="218">
        <f>IF(AQ$3="","",IF(入力データ!$C$21="","",YEAR(DATE(AQ$3,12,31))-YEAR(入力データ!$C$21)-IF(DATE(AQ$3,12,31)&lt;DATE(AQ$3,MONTH(入力データ!$C$21),DAY(入力データ!$C$21)),1,0)))</f>
        <v/>
      </c>
      <c r="AR7" s="218">
        <f>IF(AR$3="","",IF(入力データ!$C$21="","",YEAR(DATE(AR$3,12,31))-YEAR(入力データ!$C$21)-IF(DATE(AR$3,12,31)&lt;DATE(AR$3,MONTH(入力データ!$C$21),DAY(入力データ!$C$21)),1,0)))</f>
        <v/>
      </c>
      <c r="AS7" s="218">
        <f>IF(AS$3="","",IF(入力データ!$C$21="","",YEAR(DATE(AS$3,12,31))-YEAR(入力データ!$C$21)-IF(DATE(AS$3,12,31)&lt;DATE(AS$3,MONTH(入力データ!$C$21),DAY(入力データ!$C$21)),1,0)))</f>
        <v/>
      </c>
      <c r="AT7" s="218">
        <f>IF(AT$3="","",IF(入力データ!$C$21="","",YEAR(DATE(AT$3,12,31))-YEAR(入力データ!$C$21)-IF(DATE(AT$3,12,31)&lt;DATE(AT$3,MONTH(入力データ!$C$21),DAY(入力データ!$C$21)),1,0)))</f>
        <v/>
      </c>
      <c r="AU7" s="218">
        <f>IF(AU$3="","",IF(入力データ!$C$21="","",YEAR(DATE(AU$3,12,31))-YEAR(入力データ!$C$21)-IF(DATE(AU$3,12,31)&lt;DATE(AU$3,MONTH(入力データ!$C$21),DAY(入力データ!$C$21)),1,0)))</f>
        <v/>
      </c>
      <c r="AV7" s="218">
        <f>IF(AV$3="","",IF(入力データ!$C$21="","",YEAR(DATE(AV$3,12,31))-YEAR(入力データ!$C$21)-IF(DATE(AV$3,12,31)&lt;DATE(AV$3,MONTH(入力データ!$C$21),DAY(入力データ!$C$21)),1,0)))</f>
        <v/>
      </c>
      <c r="AW7" s="218">
        <f>IF(AW$3="","",IF(入力データ!$C$21="","",YEAR(DATE(AW$3,12,31))-YEAR(入力データ!$C$21)-IF(DATE(AW$3,12,31)&lt;DATE(AW$3,MONTH(入力データ!$C$21),DAY(入力データ!$C$21)),1,0)))</f>
        <v/>
      </c>
      <c r="AX7" s="218">
        <f>IF(AX$3="","",IF(入力データ!$C$21="","",YEAR(DATE(AX$3,12,31))-YEAR(入力データ!$C$21)-IF(DATE(AX$3,12,31)&lt;DATE(AX$3,MONTH(入力データ!$C$21),DAY(入力データ!$C$21)),1,0)))</f>
        <v/>
      </c>
      <c r="AY7" s="218">
        <f>IF(AY$3="","",IF(入力データ!$C$21="","",YEAR(DATE(AY$3,12,31))-YEAR(入力データ!$C$21)-IF(DATE(AY$3,12,31)&lt;DATE(AY$3,MONTH(入力データ!$C$21),DAY(入力データ!$C$21)),1,0)))</f>
        <v/>
      </c>
      <c r="AZ7" s="218">
        <f>IF(AZ$3="","",IF(入力データ!$C$21="","",YEAR(DATE(AZ$3,12,31))-YEAR(入力データ!$C$21)-IF(DATE(AZ$3,12,31)&lt;DATE(AZ$3,MONTH(入力データ!$C$21),DAY(入力データ!$C$21)),1,0)))</f>
        <v/>
      </c>
      <c r="BA7" s="218">
        <f>IF(BA$3="","",IF(入力データ!$C$21="","",YEAR(DATE(BA$3,12,31))-YEAR(入力データ!$C$21)-IF(DATE(BA$3,12,31)&lt;DATE(BA$3,MONTH(入力データ!$C$21),DAY(入力データ!$C$21)),1,0)))</f>
        <v/>
      </c>
      <c r="BB7" s="218">
        <f>IF(BB$3="","",IF(入力データ!$C$21="","",YEAR(DATE(BB$3,12,31))-YEAR(入力データ!$C$21)-IF(DATE(BB$3,12,31)&lt;DATE(BB$3,MONTH(入力データ!$C$21),DAY(入力データ!$C$21)),1,0)))</f>
        <v/>
      </c>
      <c r="BC7" s="218">
        <f>IF(BC$3="","",IF(入力データ!$C$21="","",YEAR(DATE(BC$3,12,31))-YEAR(入力データ!$C$21)-IF(DATE(BC$3,12,31)&lt;DATE(BC$3,MONTH(入力データ!$C$21),DAY(入力データ!$C$21)),1,0)))</f>
        <v/>
      </c>
      <c r="BD7" s="218">
        <f>IF(BD$3="","",IF(入力データ!$C$21="","",YEAR(DATE(BD$3,12,31))-YEAR(入力データ!$C$21)-IF(DATE(BD$3,12,31)&lt;DATE(BD$3,MONTH(入力データ!$C$21),DAY(入力データ!$C$21)),1,0)))</f>
        <v/>
      </c>
      <c r="BE7" s="218">
        <f>IF(BE$3="","",IF(入力データ!$C$21="","",YEAR(DATE(BE$3,12,31))-YEAR(入力データ!$C$21)-IF(DATE(BE$3,12,31)&lt;DATE(BE$3,MONTH(入力データ!$C$21),DAY(入力データ!$C$21)),1,0)))</f>
        <v/>
      </c>
      <c r="BF7" s="218">
        <f>IF(BF$3="","",IF(入力データ!$C$21="","",YEAR(DATE(BF$3,12,31))-YEAR(入力データ!$C$21)-IF(DATE(BF$3,12,31)&lt;DATE(BF$3,MONTH(入力データ!$C$21),DAY(入力データ!$C$21)),1,0)))</f>
        <v/>
      </c>
      <c r="BG7" s="218">
        <f>IF(BG$3="","",IF(入力データ!$C$21="","",YEAR(DATE(BG$3,12,31))-YEAR(入力データ!$C$21)-IF(DATE(BG$3,12,31)&lt;DATE(BG$3,MONTH(入力データ!$C$21),DAY(入力データ!$C$21)),1,0)))</f>
        <v/>
      </c>
      <c r="BH7" s="218">
        <f>IF(BH$3="","",IF(入力データ!$C$21="","",YEAR(DATE(BH$3,12,31))-YEAR(入力データ!$C$21)-IF(DATE(BH$3,12,31)&lt;DATE(BH$3,MONTH(入力データ!$C$21),DAY(入力データ!$C$21)),1,0)))</f>
        <v/>
      </c>
      <c r="BI7" s="218">
        <f>IF(BI$3="","",IF(入力データ!$C$21="","",YEAR(DATE(BI$3,12,31))-YEAR(入力データ!$C$21)-IF(DATE(BI$3,12,31)&lt;DATE(BI$3,MONTH(入力データ!$C$21),DAY(入力データ!$C$21)),1,0)))</f>
        <v/>
      </c>
      <c r="BJ7" s="218">
        <f>IF(BJ$3="","",IF(入力データ!$C$21="","",YEAR(DATE(BJ$3,12,31))-YEAR(入力データ!$C$21)-IF(DATE(BJ$3,12,31)&lt;DATE(BJ$3,MONTH(入力データ!$C$21),DAY(入力データ!$C$21)),1,0)))</f>
        <v/>
      </c>
      <c r="BK7" s="218">
        <f>IF(BK$3="","",IF(入力データ!$C$21="","",YEAR(DATE(BK$3,12,31))-YEAR(入力データ!$C$21)-IF(DATE(BK$3,12,31)&lt;DATE(BK$3,MONTH(入力データ!$C$21),DAY(入力データ!$C$21)),1,0)))</f>
        <v/>
      </c>
      <c r="BL7" s="218">
        <f>IF(BL$3="","",IF(入力データ!$C$21="","",YEAR(DATE(BL$3,12,31))-YEAR(入力データ!$C$21)-IF(DATE(BL$3,12,31)&lt;DATE(BL$3,MONTH(入力データ!$C$21),DAY(入力データ!$C$21)),1,0)))</f>
        <v/>
      </c>
      <c r="BM7" s="218">
        <f>IF(BM$3="","",IF(入力データ!$C$21="","",YEAR(DATE(BM$3,12,31))-YEAR(入力データ!$C$21)-IF(DATE(BM$3,12,31)&lt;DATE(BM$3,MONTH(入力データ!$C$21),DAY(入力データ!$C$21)),1,0)))</f>
        <v/>
      </c>
      <c r="BN7" s="218">
        <f>IF(BN$3="","",IF(入力データ!$C$21="","",YEAR(DATE(BN$3,12,31))-YEAR(入力データ!$C$21)-IF(DATE(BN$3,12,31)&lt;DATE(BN$3,MONTH(入力データ!$C$21),DAY(入力データ!$C$21)),1,0)))</f>
        <v/>
      </c>
      <c r="BO7" s="218">
        <f>IF(BO$3="","",IF(入力データ!$C$21="","",YEAR(DATE(BO$3,12,31))-YEAR(入力データ!$C$21)-IF(DATE(BO$3,12,31)&lt;DATE(BO$3,MONTH(入力データ!$C$21),DAY(入力データ!$C$21)),1,0)))</f>
        <v/>
      </c>
      <c r="BP7" s="218">
        <f>IF(BP$3="","",IF(入力データ!$C$21="","",YEAR(DATE(BP$3,12,31))-YEAR(入力データ!$C$21)-IF(DATE(BP$3,12,31)&lt;DATE(BP$3,MONTH(入力データ!$C$21),DAY(入力データ!$C$21)),1,0)))</f>
        <v/>
      </c>
      <c r="BQ7" s="218">
        <f>IF(BQ$3="","",IF(入力データ!$C$21="","",YEAR(DATE(BQ$3,12,31))-YEAR(入力データ!$C$21)-IF(DATE(BQ$3,12,31)&lt;DATE(BQ$3,MONTH(入力データ!$C$21),DAY(入力データ!$C$21)),1,0)))</f>
        <v/>
      </c>
      <c r="BR7" s="218">
        <f>IF(BR$3="","",IF(入力データ!$C$21="","",YEAR(DATE(BR$3,12,31))-YEAR(入力データ!$C$21)-IF(DATE(BR$3,12,31)&lt;DATE(BR$3,MONTH(入力データ!$C$21),DAY(入力データ!$C$21)),1,0)))</f>
        <v/>
      </c>
      <c r="BS7" s="218">
        <f>IF(BS$3="","",IF(入力データ!$C$21="","",YEAR(DATE(BS$3,12,31))-YEAR(入力データ!$C$21)-IF(DATE(BS$3,12,31)&lt;DATE(BS$3,MONTH(入力データ!$C$21),DAY(入力データ!$C$21)),1,0)))</f>
        <v/>
      </c>
      <c r="BT7" s="218">
        <f>IF(BT$3="","",IF(入力データ!$C$21="","",YEAR(DATE(BT$3,12,31))-YEAR(入力データ!$C$21)-IF(DATE(BT$3,12,31)&lt;DATE(BT$3,MONTH(入力データ!$C$21),DAY(入力データ!$C$21)),1,0)))</f>
        <v/>
      </c>
      <c r="BU7" s="218">
        <f>IF(BU$3="","",IF(入力データ!$C$21="","",YEAR(DATE(BU$3,12,31))-YEAR(入力データ!$C$21)-IF(DATE(BU$3,12,31)&lt;DATE(BU$3,MONTH(入力データ!$C$21),DAY(入力データ!$C$21)),1,0)))</f>
        <v/>
      </c>
      <c r="BV7" s="218">
        <f>IF(BV$3="","",IF(入力データ!$C$21="","",YEAR(DATE(BV$3,12,31))-YEAR(入力データ!$C$21)-IF(DATE(BV$3,12,31)&lt;DATE(BV$3,MONTH(入力データ!$C$21),DAY(入力データ!$C$21)),1,0)))</f>
        <v/>
      </c>
      <c r="BW7" s="218">
        <f>IF(BW$3="","",IF(入力データ!$C$21="","",YEAR(DATE(BW$3,12,31))-YEAR(入力データ!$C$21)-IF(DATE(BW$3,12,31)&lt;DATE(BW$3,MONTH(入力データ!$C$21),DAY(入力データ!$C$21)),1,0)))</f>
        <v/>
      </c>
      <c r="BX7" s="218">
        <f>IF(BX$3="","",IF(入力データ!$C$21="","",YEAR(DATE(BX$3,12,31))-YEAR(入力データ!$C$21)-IF(DATE(BX$3,12,31)&lt;DATE(BX$3,MONTH(入力データ!$C$21),DAY(入力データ!$C$21)),1,0)))</f>
        <v/>
      </c>
      <c r="BY7" s="218">
        <f>IF(BY$3="","",IF(入力データ!$C$21="","",YEAR(DATE(BY$3,12,31))-YEAR(入力データ!$C$21)-IF(DATE(BY$3,12,31)&lt;DATE(BY$3,MONTH(入力データ!$C$21),DAY(入力データ!$C$21)),1,0)))</f>
        <v/>
      </c>
      <c r="BZ7" s="218">
        <f>IF(BZ$3="","",IF(入力データ!$C$21="","",YEAR(DATE(BZ$3,12,31))-YEAR(入力データ!$C$21)-IF(DATE(BZ$3,12,31)&lt;DATE(BZ$3,MONTH(入力データ!$C$21),DAY(入力データ!$C$21)),1,0)))</f>
        <v/>
      </c>
      <c r="CA7" s="218">
        <f>IF(CA$3="","",IF(入力データ!$C$21="","",YEAR(DATE(CA$3,12,31))-YEAR(入力データ!$C$21)-IF(DATE(CA$3,12,31)&lt;DATE(CA$3,MONTH(入力データ!$C$21),DAY(入力データ!$C$21)),1,0)))</f>
        <v/>
      </c>
      <c r="CB7" s="218">
        <f>IF(CB$3="","",IF(入力データ!$C$21="","",YEAR(DATE(CB$3,12,31))-YEAR(入力データ!$C$21)-IF(DATE(CB$3,12,31)&lt;DATE(CB$3,MONTH(入力データ!$C$21),DAY(入力データ!$C$21)),1,0)))</f>
        <v/>
      </c>
      <c r="CC7" s="218">
        <f>IF(CC$3="","",IF(入力データ!$C$21="","",YEAR(DATE(CC$3,12,31))-YEAR(入力データ!$C$21)-IF(DATE(CC$3,12,31)&lt;DATE(CC$3,MONTH(入力データ!$C$21),DAY(入力データ!$C$21)),1,0)))</f>
        <v/>
      </c>
      <c r="CD7" s="218">
        <f>IF(CD$3="","",IF(入力データ!$C$21="","",YEAR(DATE(CD$3,12,31))-YEAR(入力データ!$C$21)-IF(DATE(CD$3,12,31)&lt;DATE(CD$3,MONTH(入力データ!$C$21),DAY(入力データ!$C$21)),1,0)))</f>
        <v/>
      </c>
      <c r="CE7" s="218">
        <f>IF(CE$3="","",IF(入力データ!$C$21="","",YEAR(DATE(CE$3,12,31))-YEAR(入力データ!$C$21)-IF(DATE(CE$3,12,31)&lt;DATE(CE$3,MONTH(入力データ!$C$21),DAY(入力データ!$C$21)),1,0)))</f>
        <v/>
      </c>
      <c r="CF7" s="218">
        <f>IF(CF$3="","",IF(入力データ!$C$21="","",YEAR(DATE(CF$3,12,31))-YEAR(入力データ!$C$21)-IF(DATE(CF$3,12,31)&lt;DATE(CF$3,MONTH(入力データ!$C$21),DAY(入力データ!$C$21)),1,0)))</f>
        <v/>
      </c>
      <c r="CG7" s="218">
        <f>IF(CG$3="","",IF(入力データ!$C$21="","",YEAR(DATE(CG$3,12,31))-YEAR(入力データ!$C$21)-IF(DATE(CG$3,12,31)&lt;DATE(CG$3,MONTH(入力データ!$C$21),DAY(入力データ!$C$21)),1,0)))</f>
        <v/>
      </c>
      <c r="CH7" s="218">
        <f>IF(CH$3="","",IF(入力データ!$C$21="","",YEAR(DATE(CH$3,12,31))-YEAR(入力データ!$C$21)-IF(DATE(CH$3,12,31)&lt;DATE(CH$3,MONTH(入力データ!$C$21),DAY(入力データ!$C$21)),1,0)))</f>
        <v/>
      </c>
      <c r="CI7" s="218">
        <f>IF(CI$3="","",IF(入力データ!$C$21="","",YEAR(DATE(CI$3,12,31))-YEAR(入力データ!$C$21)-IF(DATE(CI$3,12,31)&lt;DATE(CI$3,MONTH(入力データ!$C$21),DAY(入力データ!$C$21)),1,0)))</f>
        <v/>
      </c>
      <c r="CJ7" s="218">
        <f>IF(CJ$3="","",IF(入力データ!$C$21="","",YEAR(DATE(CJ$3,12,31))-YEAR(入力データ!$C$21)-IF(DATE(CJ$3,12,31)&lt;DATE(CJ$3,MONTH(入力データ!$C$21),DAY(入力データ!$C$21)),1,0)))</f>
        <v/>
      </c>
      <c r="CK7" s="218">
        <f>IF(CK$3="","",IF(入力データ!$C$21="","",YEAR(DATE(CK$3,12,31))-YEAR(入力データ!$C$21)-IF(DATE(CK$3,12,31)&lt;DATE(CK$3,MONTH(入力データ!$C$21),DAY(入力データ!$C$21)),1,0)))</f>
        <v/>
      </c>
      <c r="CL7" s="218">
        <f>IF(CL$3="","",IF(入力データ!$C$21="","",YEAR(DATE(CL$3,12,31))-YEAR(入力データ!$C$21)-IF(DATE(CL$3,12,31)&lt;DATE(CL$3,MONTH(入力データ!$C$21),DAY(入力データ!$C$21)),1,0)))</f>
        <v/>
      </c>
      <c r="CM7" s="218">
        <f>IF(CM$3="","",IF(入力データ!$C$21="","",YEAR(DATE(CM$3,12,31))-YEAR(入力データ!$C$21)-IF(DATE(CM$3,12,31)&lt;DATE(CM$3,MONTH(入力データ!$C$21),DAY(入力データ!$C$21)),1,0)))</f>
        <v/>
      </c>
      <c r="CN7" s="218">
        <f>IF(CN$3="","",IF(入力データ!$C$21="","",YEAR(DATE(CN$3,12,31))-YEAR(入力データ!$C$21)-IF(DATE(CN$3,12,31)&lt;DATE(CN$3,MONTH(入力データ!$C$21),DAY(入力データ!$C$21)),1,0)))</f>
        <v/>
      </c>
      <c r="CO7" s="218">
        <f>IF(CO$3="","",IF(入力データ!$C$21="","",YEAR(DATE(CO$3,12,31))-YEAR(入力データ!$C$21)-IF(DATE(CO$3,12,31)&lt;DATE(CO$3,MONTH(入力データ!$C$21),DAY(入力データ!$C$21)),1,0)))</f>
        <v/>
      </c>
      <c r="CP7" s="218">
        <f>IF(CP$3="","",IF(入力データ!$C$21="","",YEAR(DATE(CP$3,12,31))-YEAR(入力データ!$C$21)-IF(DATE(CP$3,12,31)&lt;DATE(CP$3,MONTH(入力データ!$C$21),DAY(入力データ!$C$21)),1,0)))</f>
        <v/>
      </c>
      <c r="CQ7" s="218">
        <f>IF(CQ$3="","",IF(入力データ!$C$21="","",YEAR(DATE(CQ$3,12,31))-YEAR(入力データ!$C$21)-IF(DATE(CQ$3,12,31)&lt;DATE(CQ$3,MONTH(入力データ!$C$21),DAY(入力データ!$C$21)),1,0)))</f>
        <v/>
      </c>
      <c r="CR7" s="218">
        <f>IF(CR$3="","",IF(入力データ!$C$21="","",YEAR(DATE(CR$3,12,31))-YEAR(入力データ!$C$21)-IF(DATE(CR$3,12,31)&lt;DATE(CR$3,MONTH(入力データ!$C$21),DAY(入力データ!$C$21)),1,0)))</f>
        <v/>
      </c>
      <c r="CS7" s="218">
        <f>IF(CS$3="","",IF(入力データ!$C$21="","",YEAR(DATE(CS$3,12,31))-YEAR(入力データ!$C$21)-IF(DATE(CS$3,12,31)&lt;DATE(CS$3,MONTH(入力データ!$C$21),DAY(入力データ!$C$21)),1,0)))</f>
        <v/>
      </c>
      <c r="CT7" s="218">
        <f>IF(CT$3="","",IF(入力データ!$C$21="","",YEAR(DATE(CT$3,12,31))-YEAR(入力データ!$C$21)-IF(DATE(CT$3,12,31)&lt;DATE(CT$3,MONTH(入力データ!$C$21),DAY(入力データ!$C$21)),1,0)))</f>
        <v/>
      </c>
      <c r="CU7" s="218">
        <f>IF(CU$3="","",IF(入力データ!$C$21="","",YEAR(DATE(CU$3,12,31))-YEAR(入力データ!$C$21)-IF(DATE(CU$3,12,31)&lt;DATE(CU$3,MONTH(入力データ!$C$21),DAY(入力データ!$C$21)),1,0)))</f>
        <v/>
      </c>
      <c r="CV7" s="218">
        <f>IF(CV$3="","",IF(入力データ!$C$21="","",YEAR(DATE(CV$3,12,31))-YEAR(入力データ!$C$21)-IF(DATE(CV$3,12,31)&lt;DATE(CV$3,MONTH(入力データ!$C$21),DAY(入力データ!$C$21)),1,0)))</f>
        <v/>
      </c>
      <c r="CW7" s="218">
        <f>IF(CW$3="","",IF(入力データ!$C$21="","",YEAR(DATE(CW$3,12,31))-YEAR(入力データ!$C$21)-IF(DATE(CW$3,12,31)&lt;DATE(CW$3,MONTH(入力データ!$C$21),DAY(入力データ!$C$21)),1,0)))</f>
        <v/>
      </c>
    </row>
    <row r="8" ht="16.5" customHeight="1" s="180">
      <c r="A8" s="217" t="inlineStr">
        <is>
          <t>子3年齢</t>
        </is>
      </c>
      <c r="B8" s="218">
        <f>IF(B$3="","",IF(情報入力!$C$23="","",YEAR(DATE(B$3,12,31))-YEAR(情報入力!$C$23)-IF(DATE(B$3,12,31)&lt;DATE(B$3,MONTH(情報入力!$C$23),DAY(情報入力!$C$23)),1,0)))</f>
        <v/>
      </c>
      <c r="C8" s="218">
        <f>IF(C$3="","",IF(情報入力!$C$23="","",YEAR(DATE(C$3,12,31))-YEAR(情報入力!$C$23)-IF(DATE(C$3,12,31)&lt;DATE(C$3,MONTH(情報入力!$C$23),DAY(情報入力!$C$23)),1,0)))</f>
        <v/>
      </c>
      <c r="D8" s="218">
        <f>IF(D$3="","",IF(情報入力!$C$23="","",YEAR(DATE(D$3,12,31))-YEAR(情報入力!$C$23)-IF(DATE(D$3,12,31)&lt;DATE(D$3,MONTH(情報入力!$C$23),DAY(情報入力!$C$23)),1,0)))</f>
        <v/>
      </c>
      <c r="E8" s="218">
        <f>IF(E$3="","",IF(情報入力!$C$23="","",YEAR(DATE(E$3,12,31))-YEAR(情報入力!$C$23)-IF(DATE(E$3,12,31)&lt;DATE(E$3,MONTH(情報入力!$C$23),DAY(情報入力!$C$23)),1,0)))</f>
        <v/>
      </c>
      <c r="F8" s="218">
        <f>IF(F$3="","",IF(情報入力!$C$23="","",YEAR(DATE(F$3,12,31))-YEAR(情報入力!$C$23)-IF(DATE(F$3,12,31)&lt;DATE(F$3,MONTH(情報入力!$C$23),DAY(情報入力!$C$23)),1,0)))</f>
        <v/>
      </c>
      <c r="G8" s="218">
        <f>IF(G$3="","",IF(情報入力!$C$23="","",YEAR(DATE(G$3,12,31))-YEAR(情報入力!$C$23)-IF(DATE(G$3,12,31)&lt;DATE(G$3,MONTH(情報入力!$C$23),DAY(情報入力!$C$23)),1,0)))</f>
        <v/>
      </c>
      <c r="H8" s="218">
        <f>IF(H$3="","",IF(情報入力!$C$23="","",YEAR(DATE(H$3,12,31))-YEAR(情報入力!$C$23)-IF(DATE(H$3,12,31)&lt;DATE(H$3,MONTH(情報入力!$C$23),DAY(情報入力!$C$23)),1,0)))</f>
        <v/>
      </c>
      <c r="I8" s="218">
        <f>IF(I$3="","",IF(情報入力!$C$23="","",YEAR(DATE(I$3,12,31))-YEAR(情報入力!$C$23)-IF(DATE(I$3,12,31)&lt;DATE(I$3,MONTH(情報入力!$C$23),DAY(情報入力!$C$23)),1,0)))</f>
        <v/>
      </c>
      <c r="J8" s="218">
        <f>IF(J$3="","",IF(情報入力!$C$23="","",YEAR(DATE(J$3,12,31))-YEAR(情報入力!$C$23)-IF(DATE(J$3,12,31)&lt;DATE(J$3,MONTH(情報入力!$C$23),DAY(情報入力!$C$23)),1,0)))</f>
        <v/>
      </c>
      <c r="K8" s="218">
        <f>IF(K$3="","",IF(情報入力!$C$23="","",YEAR(DATE(K$3,12,31))-YEAR(情報入力!$C$23)-IF(DATE(K$3,12,31)&lt;DATE(K$3,MONTH(情報入力!$C$23),DAY(情報入力!$C$23)),1,0)))</f>
        <v/>
      </c>
      <c r="L8" s="218">
        <f>IF(L$3="","",IF(情報入力!$C$23="","",YEAR(DATE(L$3,12,31))-YEAR(情報入力!$C$23)-IF(DATE(L$3,12,31)&lt;DATE(L$3,MONTH(情報入力!$C$23),DAY(情報入力!$C$23)),1,0)))</f>
        <v/>
      </c>
      <c r="M8" s="218">
        <f>IF(M$3="","",IF(情報入力!$C$23="","",YEAR(DATE(M$3,12,31))-YEAR(情報入力!$C$23)-IF(DATE(M$3,12,31)&lt;DATE(M$3,MONTH(情報入力!$C$23),DAY(情報入力!$C$23)),1,0)))</f>
        <v/>
      </c>
      <c r="N8" s="218">
        <f>IF(N$3="","",IF(情報入力!$C$23="","",YEAR(DATE(N$3,12,31))-YEAR(情報入力!$C$23)-IF(DATE(N$3,12,31)&lt;DATE(N$3,MONTH(情報入力!$C$23),DAY(情報入力!$C$23)),1,0)))</f>
        <v/>
      </c>
      <c r="O8" s="218">
        <f>IF(O$3="","",IF(情報入力!$C$23="","",YEAR(DATE(O$3,12,31))-YEAR(情報入力!$C$23)-IF(DATE(O$3,12,31)&lt;DATE(O$3,MONTH(情報入力!$C$23),DAY(情報入力!$C$23)),1,0)))</f>
        <v/>
      </c>
      <c r="P8" s="218">
        <f>IF(P$3="","",IF(情報入力!$C$23="","",YEAR(DATE(P$3,12,31))-YEAR(情報入力!$C$23)-IF(DATE(P$3,12,31)&lt;DATE(P$3,MONTH(情報入力!$C$23),DAY(情報入力!$C$23)),1,0)))</f>
        <v/>
      </c>
      <c r="Q8" s="218">
        <f>IF(Q$3="","",IF(情報入力!$C$23="","",YEAR(DATE(Q$3,12,31))-YEAR(情報入力!$C$23)-IF(DATE(Q$3,12,31)&lt;DATE(Q$3,MONTH(情報入力!$C$23),DAY(情報入力!$C$23)),1,0)))</f>
        <v/>
      </c>
      <c r="R8" s="218">
        <f>IF(R$3="","",IF(情報入力!$C$23="","",YEAR(DATE(R$3,12,31))-YEAR(情報入力!$C$23)-IF(DATE(R$3,12,31)&lt;DATE(R$3,MONTH(情報入力!$C$23),DAY(情報入力!$C$23)),1,0)))</f>
        <v/>
      </c>
      <c r="S8" s="218">
        <f>IF(S$3="","",IF(情報入力!$C$23="","",YEAR(DATE(S$3,12,31))-YEAR(情報入力!$C$23)-IF(DATE(S$3,12,31)&lt;DATE(S$3,MONTH(情報入力!$C$23),DAY(情報入力!$C$23)),1,0)))</f>
        <v/>
      </c>
      <c r="T8" s="218">
        <f>IF(T$3="","",IF(情報入力!$C$23="","",YEAR(DATE(T$3,12,31))-YEAR(情報入力!$C$23)-IF(DATE(T$3,12,31)&lt;DATE(T$3,MONTH(情報入力!$C$23),DAY(情報入力!$C$23)),1,0)))</f>
        <v/>
      </c>
      <c r="U8" s="218">
        <f>IF(U$3="","",IF(情報入力!$C$23="","",YEAR(DATE(U$3,12,31))-YEAR(情報入力!$C$23)-IF(DATE(U$3,12,31)&lt;DATE(U$3,MONTH(情報入力!$C$23),DAY(情報入力!$C$23)),1,0)))</f>
        <v/>
      </c>
      <c r="V8" s="218">
        <f>IF(V$3="","",IF(情報入力!$C$23="","",YEAR(DATE(V$3,12,31))-YEAR(情報入力!$C$23)-IF(DATE(V$3,12,31)&lt;DATE(V$3,MONTH(情報入力!$C$23),DAY(情報入力!$C$23)),1,0)))</f>
        <v/>
      </c>
      <c r="W8" s="218">
        <f>IF(W$3="","",IF(情報入力!$C$23="","",YEAR(DATE(W$3,12,31))-YEAR(情報入力!$C$23)-IF(DATE(W$3,12,31)&lt;DATE(W$3,MONTH(情報入力!$C$23),DAY(情報入力!$C$23)),1,0)))</f>
        <v/>
      </c>
      <c r="X8" s="218">
        <f>IF(X$3="","",IF(情報入力!$C$23="","",YEAR(DATE(X$3,12,31))-YEAR(情報入力!$C$23)-IF(DATE(X$3,12,31)&lt;DATE(X$3,MONTH(情報入力!$C$23),DAY(情報入力!$C$23)),1,0)))</f>
        <v/>
      </c>
      <c r="Y8" s="218">
        <f>IF(Y$3="","",IF(情報入力!$C$23="","",YEAR(DATE(Y$3,12,31))-YEAR(情報入力!$C$23)-IF(DATE(Y$3,12,31)&lt;DATE(Y$3,MONTH(情報入力!$C$23),DAY(情報入力!$C$23)),1,0)))</f>
        <v/>
      </c>
      <c r="Z8" s="218">
        <f>IF(Z$3="","",IF(情報入力!$C$23="","",YEAR(DATE(Z$3,12,31))-YEAR(情報入力!$C$23)-IF(DATE(Z$3,12,31)&lt;DATE(Z$3,MONTH(情報入力!$C$23),DAY(情報入力!$C$23)),1,0)))</f>
        <v/>
      </c>
      <c r="AA8" s="218">
        <f>IF(AA$3="","",IF(情報入力!$C$23="","",YEAR(DATE(AA$3,12,31))-YEAR(情報入力!$C$23)-IF(DATE(AA$3,12,31)&lt;DATE(AA$3,MONTH(情報入力!$C$23),DAY(情報入力!$C$23)),1,0)))</f>
        <v/>
      </c>
      <c r="AB8" s="218">
        <f>IF(AB$3="","",IF(情報入力!$C$23="","",YEAR(DATE(AB$3,12,31))-YEAR(情報入力!$C$23)-IF(DATE(AB$3,12,31)&lt;DATE(AB$3,MONTH(情報入力!$C$23),DAY(情報入力!$C$23)),1,0)))</f>
        <v/>
      </c>
      <c r="AC8" s="218">
        <f>IF(AC$3="","",IF(情報入力!$C$23="","",YEAR(DATE(AC$3,12,31))-YEAR(情報入力!$C$23)-IF(DATE(AC$3,12,31)&lt;DATE(AC$3,MONTH(情報入力!$C$23),DAY(情報入力!$C$23)),1,0)))</f>
        <v/>
      </c>
      <c r="AD8" s="218">
        <f>IF(AD$3="","",IF(情報入力!$C$23="","",YEAR(DATE(AD$3,12,31))-YEAR(情報入力!$C$23)-IF(DATE(AD$3,12,31)&lt;DATE(AD$3,MONTH(情報入力!$C$23),DAY(情報入力!$C$23)),1,0)))</f>
        <v/>
      </c>
      <c r="AE8" s="218">
        <f>IF(AE$3="","",IF(情報入力!$C$23="","",YEAR(DATE(AE$3,12,31))-YEAR(情報入力!$C$23)-IF(DATE(AE$3,12,31)&lt;DATE(AE$3,MONTH(情報入力!$C$23),DAY(情報入力!$C$23)),1,0)))</f>
        <v/>
      </c>
      <c r="AF8" s="218">
        <f>IF(AF$3="","",IF(情報入力!$C$23="","",YEAR(DATE(AF$3,12,31))-YEAR(情報入力!$C$23)-IF(DATE(AF$3,12,31)&lt;DATE(AF$3,MONTH(情報入力!$C$23),DAY(情報入力!$C$23)),1,0)))</f>
        <v/>
      </c>
      <c r="AG8" s="218">
        <f>IF(AG$3="","",IF(情報入力!$C$23="","",YEAR(DATE(AG$3,12,31))-YEAR(情報入力!$C$23)-IF(DATE(AG$3,12,31)&lt;DATE(AG$3,MONTH(情報入力!$C$23),DAY(情報入力!$C$23)),1,0)))</f>
        <v/>
      </c>
      <c r="AH8" s="218">
        <f>IF(AH$3="","",IF(情報入力!$C$23="","",YEAR(DATE(AH$3,12,31))-YEAR(情報入力!$C$23)-IF(DATE(AH$3,12,31)&lt;DATE(AH$3,MONTH(情報入力!$C$23),DAY(情報入力!$C$23)),1,0)))</f>
        <v/>
      </c>
      <c r="AI8" s="218">
        <f>IF(AI$3="","",IF(情報入力!$C$23="","",YEAR(DATE(AI$3,12,31))-YEAR(情報入力!$C$23)-IF(DATE(AI$3,12,31)&lt;DATE(AI$3,MONTH(情報入力!$C$23),DAY(情報入力!$C$23)),1,0)))</f>
        <v/>
      </c>
      <c r="AJ8" s="218">
        <f>IF(AJ$3="","",IF(情報入力!$C$23="","",YEAR(DATE(AJ$3,12,31))-YEAR(情報入力!$C$23)-IF(DATE(AJ$3,12,31)&lt;DATE(AJ$3,MONTH(情報入力!$C$23),DAY(情報入力!$C$23)),1,0)))</f>
        <v/>
      </c>
      <c r="AK8" s="218">
        <f>IF(AK$3="","",IF(情報入力!$C$23="","",YEAR(DATE(AK$3,12,31))-YEAR(情報入力!$C$23)-IF(DATE(AK$3,12,31)&lt;DATE(AK$3,MONTH(情報入力!$C$23),DAY(情報入力!$C$23)),1,0)))</f>
        <v/>
      </c>
      <c r="AL8" s="218">
        <f>IF(AL$3="","",IF(情報入力!$C$23="","",YEAR(DATE(AL$3,12,31))-YEAR(情報入力!$C$23)-IF(DATE(AL$3,12,31)&lt;DATE(AL$3,MONTH(情報入力!$C$23),DAY(情報入力!$C$23)),1,0)))</f>
        <v/>
      </c>
      <c r="AM8" s="218">
        <f>IF(AM$3="","",IF(情報入力!$C$23="","",YEAR(DATE(AM$3,12,31))-YEAR(情報入力!$C$23)-IF(DATE(AM$3,12,31)&lt;DATE(AM$3,MONTH(情報入力!$C$23),DAY(情報入力!$C$23)),1,0)))</f>
        <v/>
      </c>
      <c r="AN8" s="218">
        <f>IF(AN$3="","",IF(情報入力!$C$23="","",YEAR(DATE(AN$3,12,31))-YEAR(情報入力!$C$23)-IF(DATE(AN$3,12,31)&lt;DATE(AN$3,MONTH(情報入力!$C$23),DAY(情報入力!$C$23)),1,0)))</f>
        <v/>
      </c>
      <c r="AO8" s="218">
        <f>IF(AO$3="","",IF(情報入力!$C$23="","",YEAR(DATE(AO$3,12,31))-YEAR(情報入力!$C$23)-IF(DATE(AO$3,12,31)&lt;DATE(AO$3,MONTH(情報入力!$C$23),DAY(情報入力!$C$23)),1,0)))</f>
        <v/>
      </c>
      <c r="AP8" s="218">
        <f>IF(AP$3="","",IF(情報入力!$C$23="","",YEAR(DATE(AP$3,12,31))-YEAR(情報入力!$C$23)-IF(DATE(AP$3,12,31)&lt;DATE(AP$3,MONTH(情報入力!$C$23),DAY(情報入力!$C$23)),1,0)))</f>
        <v/>
      </c>
      <c r="AQ8" s="218">
        <f>IF(AQ$3="","",IF(情報入力!$C$23="","",YEAR(DATE(AQ$3,12,31))-YEAR(情報入力!$C$23)-IF(DATE(AQ$3,12,31)&lt;DATE(AQ$3,MONTH(情報入力!$C$23),DAY(情報入力!$C$23)),1,0)))</f>
        <v/>
      </c>
      <c r="AR8" s="218">
        <f>IF(AR$3="","",IF(情報入力!$C$23="","",YEAR(DATE(AR$3,12,31))-YEAR(情報入力!$C$23)-IF(DATE(AR$3,12,31)&lt;DATE(AR$3,MONTH(情報入力!$C$23),DAY(情報入力!$C$23)),1,0)))</f>
        <v/>
      </c>
      <c r="AS8" s="218">
        <f>IF(AS$3="","",IF(情報入力!$C$23="","",YEAR(DATE(AS$3,12,31))-YEAR(情報入力!$C$23)-IF(DATE(AS$3,12,31)&lt;DATE(AS$3,MONTH(情報入力!$C$23),DAY(情報入力!$C$23)),1,0)))</f>
        <v/>
      </c>
      <c r="AT8" s="218">
        <f>IF(AT$3="","",IF(情報入力!$C$23="","",YEAR(DATE(AT$3,12,31))-YEAR(情報入力!$C$23)-IF(DATE(AT$3,12,31)&lt;DATE(AT$3,MONTH(情報入力!$C$23),DAY(情報入力!$C$23)),1,0)))</f>
        <v/>
      </c>
      <c r="AU8" s="218">
        <f>IF(AU$3="","",IF(情報入力!$C$23="","",YEAR(DATE(AU$3,12,31))-YEAR(情報入力!$C$23)-IF(DATE(AU$3,12,31)&lt;DATE(AU$3,MONTH(情報入力!$C$23),DAY(情報入力!$C$23)),1,0)))</f>
        <v/>
      </c>
      <c r="AV8" s="218">
        <f>IF(AV$3="","",IF(情報入力!$C$23="","",YEAR(DATE(AV$3,12,31))-YEAR(情報入力!$C$23)-IF(DATE(AV$3,12,31)&lt;DATE(AV$3,MONTH(情報入力!$C$23),DAY(情報入力!$C$23)),1,0)))</f>
        <v/>
      </c>
      <c r="AW8" s="218">
        <f>IF(AW$3="","",IF(情報入力!$C$23="","",YEAR(DATE(AW$3,12,31))-YEAR(情報入力!$C$23)-IF(DATE(AW$3,12,31)&lt;DATE(AW$3,MONTH(情報入力!$C$23),DAY(情報入力!$C$23)),1,0)))</f>
        <v/>
      </c>
      <c r="AX8" s="218">
        <f>IF(AX$3="","",IF(情報入力!$C$23="","",YEAR(DATE(AX$3,12,31))-YEAR(情報入力!$C$23)-IF(DATE(AX$3,12,31)&lt;DATE(AX$3,MONTH(情報入力!$C$23),DAY(情報入力!$C$23)),1,0)))</f>
        <v/>
      </c>
      <c r="AY8" s="218">
        <f>IF(AY$3="","",IF(情報入力!$C$23="","",YEAR(DATE(AY$3,12,31))-YEAR(情報入力!$C$23)-IF(DATE(AY$3,12,31)&lt;DATE(AY$3,MONTH(情報入力!$C$23),DAY(情報入力!$C$23)),1,0)))</f>
        <v/>
      </c>
      <c r="AZ8" s="218">
        <f>IF(AZ$3="","",IF(情報入力!$C$23="","",YEAR(DATE(AZ$3,12,31))-YEAR(情報入力!$C$23)-IF(DATE(AZ$3,12,31)&lt;DATE(AZ$3,MONTH(情報入力!$C$23),DAY(情報入力!$C$23)),1,0)))</f>
        <v/>
      </c>
      <c r="BA8" s="218">
        <f>IF(BA$3="","",IF(情報入力!$C$23="","",YEAR(DATE(BA$3,12,31))-YEAR(情報入力!$C$23)-IF(DATE(BA$3,12,31)&lt;DATE(BA$3,MONTH(情報入力!$C$23),DAY(情報入力!$C$23)),1,0)))</f>
        <v/>
      </c>
      <c r="BB8" s="218">
        <f>IF(BB$3="","",IF(情報入力!$C$23="","",YEAR(DATE(BB$3,12,31))-YEAR(情報入力!$C$23)-IF(DATE(BB$3,12,31)&lt;DATE(BB$3,MONTH(情報入力!$C$23),DAY(情報入力!$C$23)),1,0)))</f>
        <v/>
      </c>
      <c r="BC8" s="218">
        <f>IF(BC$3="","",IF(情報入力!$C$23="","",YEAR(DATE(BC$3,12,31))-YEAR(情報入力!$C$23)-IF(DATE(BC$3,12,31)&lt;DATE(BC$3,MONTH(情報入力!$C$23),DAY(情報入力!$C$23)),1,0)))</f>
        <v/>
      </c>
      <c r="BD8" s="218">
        <f>IF(BD$3="","",IF(情報入力!$C$23="","",YEAR(DATE(BD$3,12,31))-YEAR(情報入力!$C$23)-IF(DATE(BD$3,12,31)&lt;DATE(BD$3,MONTH(情報入力!$C$23),DAY(情報入力!$C$23)),1,0)))</f>
        <v/>
      </c>
      <c r="BE8" s="218">
        <f>IF(BE$3="","",IF(情報入力!$C$23="","",YEAR(DATE(BE$3,12,31))-YEAR(情報入力!$C$23)-IF(DATE(BE$3,12,31)&lt;DATE(BE$3,MONTH(情報入力!$C$23),DAY(情報入力!$C$23)),1,0)))</f>
        <v/>
      </c>
      <c r="BF8" s="218">
        <f>IF(BF$3="","",IF(情報入力!$C$23="","",YEAR(DATE(BF$3,12,31))-YEAR(情報入力!$C$23)-IF(DATE(BF$3,12,31)&lt;DATE(BF$3,MONTH(情報入力!$C$23),DAY(情報入力!$C$23)),1,0)))</f>
        <v/>
      </c>
      <c r="BG8" s="218">
        <f>IF(BG$3="","",IF(情報入力!$C$23="","",YEAR(DATE(BG$3,12,31))-YEAR(情報入力!$C$23)-IF(DATE(BG$3,12,31)&lt;DATE(BG$3,MONTH(情報入力!$C$23),DAY(情報入力!$C$23)),1,0)))</f>
        <v/>
      </c>
      <c r="BH8" s="218">
        <f>IF(BH$3="","",IF(情報入力!$C$23="","",YEAR(DATE(BH$3,12,31))-YEAR(情報入力!$C$23)-IF(DATE(BH$3,12,31)&lt;DATE(BH$3,MONTH(情報入力!$C$23),DAY(情報入力!$C$23)),1,0)))</f>
        <v/>
      </c>
      <c r="BI8" s="218">
        <f>IF(BI$3="","",IF(情報入力!$C$23="","",YEAR(DATE(BI$3,12,31))-YEAR(情報入力!$C$23)-IF(DATE(BI$3,12,31)&lt;DATE(BI$3,MONTH(情報入力!$C$23),DAY(情報入力!$C$23)),1,0)))</f>
        <v/>
      </c>
      <c r="BJ8" s="218">
        <f>IF(BJ$3="","",IF(情報入力!$C$23="","",YEAR(DATE(BJ$3,12,31))-YEAR(情報入力!$C$23)-IF(DATE(BJ$3,12,31)&lt;DATE(BJ$3,MONTH(情報入力!$C$23),DAY(情報入力!$C$23)),1,0)))</f>
        <v/>
      </c>
      <c r="BK8" s="218">
        <f>IF(BK$3="","",IF(情報入力!$C$23="","",YEAR(DATE(BK$3,12,31))-YEAR(情報入力!$C$23)-IF(DATE(BK$3,12,31)&lt;DATE(BK$3,MONTH(情報入力!$C$23),DAY(情報入力!$C$23)),1,0)))</f>
        <v/>
      </c>
      <c r="BL8" s="218">
        <f>IF(BL$3="","",IF(情報入力!$C$23="","",YEAR(DATE(BL$3,12,31))-YEAR(情報入力!$C$23)-IF(DATE(BL$3,12,31)&lt;DATE(BL$3,MONTH(情報入力!$C$23),DAY(情報入力!$C$23)),1,0)))</f>
        <v/>
      </c>
      <c r="BM8" s="218">
        <f>IF(BM$3="","",IF(情報入力!$C$23="","",YEAR(DATE(BM$3,12,31))-YEAR(情報入力!$C$23)-IF(DATE(BM$3,12,31)&lt;DATE(BM$3,MONTH(情報入力!$C$23),DAY(情報入力!$C$23)),1,0)))</f>
        <v/>
      </c>
      <c r="BN8" s="218">
        <f>IF(BN$3="","",IF(情報入力!$C$23="","",YEAR(DATE(BN$3,12,31))-YEAR(情報入力!$C$23)-IF(DATE(BN$3,12,31)&lt;DATE(BN$3,MONTH(情報入力!$C$23),DAY(情報入力!$C$23)),1,0)))</f>
        <v/>
      </c>
      <c r="BO8" s="218">
        <f>IF(BO$3="","",IF(情報入力!$C$23="","",YEAR(DATE(BO$3,12,31))-YEAR(情報入力!$C$23)-IF(DATE(BO$3,12,31)&lt;DATE(BO$3,MONTH(情報入力!$C$23),DAY(情報入力!$C$23)),1,0)))</f>
        <v/>
      </c>
      <c r="BP8" s="218">
        <f>IF(BP$3="","",IF(情報入力!$C$23="","",YEAR(DATE(BP$3,12,31))-YEAR(情報入力!$C$23)-IF(DATE(BP$3,12,31)&lt;DATE(BP$3,MONTH(情報入力!$C$23),DAY(情報入力!$C$23)),1,0)))</f>
        <v/>
      </c>
      <c r="BQ8" s="218">
        <f>IF(BQ$3="","",IF(情報入力!$C$23="","",YEAR(DATE(BQ$3,12,31))-YEAR(情報入力!$C$23)-IF(DATE(BQ$3,12,31)&lt;DATE(BQ$3,MONTH(情報入力!$C$23),DAY(情報入力!$C$23)),1,0)))</f>
        <v/>
      </c>
      <c r="BR8" s="218">
        <f>IF(BR$3="","",IF(情報入力!$C$23="","",YEAR(DATE(BR$3,12,31))-YEAR(情報入力!$C$23)-IF(DATE(BR$3,12,31)&lt;DATE(BR$3,MONTH(情報入力!$C$23),DAY(情報入力!$C$23)),1,0)))</f>
        <v/>
      </c>
      <c r="BS8" s="218">
        <f>IF(BS$3="","",IF(情報入力!$C$23="","",YEAR(DATE(BS$3,12,31))-YEAR(情報入力!$C$23)-IF(DATE(BS$3,12,31)&lt;DATE(BS$3,MONTH(情報入力!$C$23),DAY(情報入力!$C$23)),1,0)))</f>
        <v/>
      </c>
      <c r="BT8" s="218">
        <f>IF(BT$3="","",IF(情報入力!$C$23="","",YEAR(DATE(BT$3,12,31))-YEAR(情報入力!$C$23)-IF(DATE(BT$3,12,31)&lt;DATE(BT$3,MONTH(情報入力!$C$23),DAY(情報入力!$C$23)),1,0)))</f>
        <v/>
      </c>
      <c r="BU8" s="218">
        <f>IF(BU$3="","",IF(情報入力!$C$23="","",YEAR(DATE(BU$3,12,31))-YEAR(情報入力!$C$23)-IF(DATE(BU$3,12,31)&lt;DATE(BU$3,MONTH(情報入力!$C$23),DAY(情報入力!$C$23)),1,0)))</f>
        <v/>
      </c>
      <c r="BV8" s="218">
        <f>IF(BV$3="","",IF(情報入力!$C$23="","",YEAR(DATE(BV$3,12,31))-YEAR(情報入力!$C$23)-IF(DATE(BV$3,12,31)&lt;DATE(BV$3,MONTH(情報入力!$C$23),DAY(情報入力!$C$23)),1,0)))</f>
        <v/>
      </c>
      <c r="BW8" s="218">
        <f>IF(BW$3="","",IF(情報入力!$C$23="","",YEAR(DATE(BW$3,12,31))-YEAR(情報入力!$C$23)-IF(DATE(BW$3,12,31)&lt;DATE(BW$3,MONTH(情報入力!$C$23),DAY(情報入力!$C$23)),1,0)))</f>
        <v/>
      </c>
      <c r="BX8" s="218">
        <f>IF(BX$3="","",IF(情報入力!$C$23="","",YEAR(DATE(BX$3,12,31))-YEAR(情報入力!$C$23)-IF(DATE(BX$3,12,31)&lt;DATE(BX$3,MONTH(情報入力!$C$23),DAY(情報入力!$C$23)),1,0)))</f>
        <v/>
      </c>
      <c r="BY8" s="218">
        <f>IF(BY$3="","",IF(情報入力!$C$23="","",YEAR(DATE(BY$3,12,31))-YEAR(情報入力!$C$23)-IF(DATE(BY$3,12,31)&lt;DATE(BY$3,MONTH(情報入力!$C$23),DAY(情報入力!$C$23)),1,0)))</f>
        <v/>
      </c>
      <c r="BZ8" s="218">
        <f>IF(BZ$3="","",IF(情報入力!$C$23="","",YEAR(DATE(BZ$3,12,31))-YEAR(情報入力!$C$23)-IF(DATE(BZ$3,12,31)&lt;DATE(BZ$3,MONTH(情報入力!$C$23),DAY(情報入力!$C$23)),1,0)))</f>
        <v/>
      </c>
      <c r="CA8" s="218">
        <f>IF(CA$3="","",IF(情報入力!$C$23="","",YEAR(DATE(CA$3,12,31))-YEAR(情報入力!$C$23)-IF(DATE(CA$3,12,31)&lt;DATE(CA$3,MONTH(情報入力!$C$23),DAY(情報入力!$C$23)),1,0)))</f>
        <v/>
      </c>
      <c r="CB8" s="218">
        <f>IF(CB$3="","",IF(情報入力!$C$23="","",YEAR(DATE(CB$3,12,31))-YEAR(情報入力!$C$23)-IF(DATE(CB$3,12,31)&lt;DATE(CB$3,MONTH(情報入力!$C$23),DAY(情報入力!$C$23)),1,0)))</f>
        <v/>
      </c>
      <c r="CC8" s="218">
        <f>IF(CC$3="","",IF(情報入力!$C$23="","",YEAR(DATE(CC$3,12,31))-YEAR(情報入力!$C$23)-IF(DATE(CC$3,12,31)&lt;DATE(CC$3,MONTH(情報入力!$C$23),DAY(情報入力!$C$23)),1,0)))</f>
        <v/>
      </c>
      <c r="CD8" s="218">
        <f>IF(CD$3="","",IF(情報入力!$C$23="","",YEAR(DATE(CD$3,12,31))-YEAR(情報入力!$C$23)-IF(DATE(CD$3,12,31)&lt;DATE(CD$3,MONTH(情報入力!$C$23),DAY(情報入力!$C$23)),1,0)))</f>
        <v/>
      </c>
      <c r="CE8" s="218">
        <f>IF(CE$3="","",IF(情報入力!$C$23="","",YEAR(DATE(CE$3,12,31))-YEAR(情報入力!$C$23)-IF(DATE(CE$3,12,31)&lt;DATE(CE$3,MONTH(情報入力!$C$23),DAY(情報入力!$C$23)),1,0)))</f>
        <v/>
      </c>
      <c r="CF8" s="218">
        <f>IF(CF$3="","",IF(情報入力!$C$23="","",YEAR(DATE(CF$3,12,31))-YEAR(情報入力!$C$23)-IF(DATE(CF$3,12,31)&lt;DATE(CF$3,MONTH(情報入力!$C$23),DAY(情報入力!$C$23)),1,0)))</f>
        <v/>
      </c>
      <c r="CG8" s="218">
        <f>IF(CG$3="","",IF(情報入力!$C$23="","",YEAR(DATE(CG$3,12,31))-YEAR(情報入力!$C$23)-IF(DATE(CG$3,12,31)&lt;DATE(CG$3,MONTH(情報入力!$C$23),DAY(情報入力!$C$23)),1,0)))</f>
        <v/>
      </c>
      <c r="CH8" s="218">
        <f>IF(CH$3="","",IF(情報入力!$C$23="","",YEAR(DATE(CH$3,12,31))-YEAR(情報入力!$C$23)-IF(DATE(CH$3,12,31)&lt;DATE(CH$3,MONTH(情報入力!$C$23),DAY(情報入力!$C$23)),1,0)))</f>
        <v/>
      </c>
      <c r="CI8" s="218">
        <f>IF(CI$3="","",IF(情報入力!$C$23="","",YEAR(DATE(CI$3,12,31))-YEAR(情報入力!$C$23)-IF(DATE(CI$3,12,31)&lt;DATE(CI$3,MONTH(情報入力!$C$23),DAY(情報入力!$C$23)),1,0)))</f>
        <v/>
      </c>
      <c r="CJ8" s="218">
        <f>IF(CJ$3="","",IF(情報入力!$C$23="","",YEAR(DATE(CJ$3,12,31))-YEAR(情報入力!$C$23)-IF(DATE(CJ$3,12,31)&lt;DATE(CJ$3,MONTH(情報入力!$C$23),DAY(情報入力!$C$23)),1,0)))</f>
        <v/>
      </c>
      <c r="CK8" s="218">
        <f>IF(CK$3="","",IF(情報入力!$C$23="","",YEAR(DATE(CK$3,12,31))-YEAR(情報入力!$C$23)-IF(DATE(CK$3,12,31)&lt;DATE(CK$3,MONTH(情報入力!$C$23),DAY(情報入力!$C$23)),1,0)))</f>
        <v/>
      </c>
      <c r="CL8" s="218">
        <f>IF(CL$3="","",IF(情報入力!$C$23="","",YEAR(DATE(CL$3,12,31))-YEAR(情報入力!$C$23)-IF(DATE(CL$3,12,31)&lt;DATE(CL$3,MONTH(情報入力!$C$23),DAY(情報入力!$C$23)),1,0)))</f>
        <v/>
      </c>
      <c r="CM8" s="218">
        <f>IF(CM$3="","",IF(情報入力!$C$23="","",YEAR(DATE(CM$3,12,31))-YEAR(情報入力!$C$23)-IF(DATE(CM$3,12,31)&lt;DATE(CM$3,MONTH(情報入力!$C$23),DAY(情報入力!$C$23)),1,0)))</f>
        <v/>
      </c>
      <c r="CN8" s="218">
        <f>IF(CN$3="","",IF(情報入力!$C$23="","",YEAR(DATE(CN$3,12,31))-YEAR(情報入力!$C$23)-IF(DATE(CN$3,12,31)&lt;DATE(CN$3,MONTH(情報入力!$C$23),DAY(情報入力!$C$23)),1,0)))</f>
        <v/>
      </c>
      <c r="CO8" s="218">
        <f>IF(CO$3="","",IF(情報入力!$C$23="","",YEAR(DATE(CO$3,12,31))-YEAR(情報入力!$C$23)-IF(DATE(CO$3,12,31)&lt;DATE(CO$3,MONTH(情報入力!$C$23),DAY(情報入力!$C$23)),1,0)))</f>
        <v/>
      </c>
      <c r="CP8" s="218">
        <f>IF(CP$3="","",IF(情報入力!$C$23="","",YEAR(DATE(CP$3,12,31))-YEAR(情報入力!$C$23)-IF(DATE(CP$3,12,31)&lt;DATE(CP$3,MONTH(情報入力!$C$23),DAY(情報入力!$C$23)),1,0)))</f>
        <v/>
      </c>
      <c r="CQ8" s="218">
        <f>IF(CQ$3="","",IF(情報入力!$C$23="","",YEAR(DATE(CQ$3,12,31))-YEAR(情報入力!$C$23)-IF(DATE(CQ$3,12,31)&lt;DATE(CQ$3,MONTH(情報入力!$C$23),DAY(情報入力!$C$23)),1,0)))</f>
        <v/>
      </c>
      <c r="CR8" s="218">
        <f>IF(CR$3="","",IF(情報入力!$C$23="","",YEAR(DATE(CR$3,12,31))-YEAR(情報入力!$C$23)-IF(DATE(CR$3,12,31)&lt;DATE(CR$3,MONTH(情報入力!$C$23),DAY(情報入力!$C$23)),1,0)))</f>
        <v/>
      </c>
      <c r="CS8" s="218">
        <f>IF(CS$3="","",IF(情報入力!$C$23="","",YEAR(DATE(CS$3,12,31))-YEAR(情報入力!$C$23)-IF(DATE(CS$3,12,31)&lt;DATE(CS$3,MONTH(情報入力!$C$23),DAY(情報入力!$C$23)),1,0)))</f>
        <v/>
      </c>
      <c r="CT8" s="218">
        <f>IF(CT$3="","",IF(情報入力!$C$23="","",YEAR(DATE(CT$3,12,31))-YEAR(情報入力!$C$23)-IF(DATE(CT$3,12,31)&lt;DATE(CT$3,MONTH(情報入力!$C$23),DAY(情報入力!$C$23)),1,0)))</f>
        <v/>
      </c>
      <c r="CU8" s="218">
        <f>IF(CU$3="","",IF(情報入力!$C$23="","",YEAR(DATE(CU$3,12,31))-YEAR(情報入力!$C$23)-IF(DATE(CU$3,12,31)&lt;DATE(CU$3,MONTH(情報入力!$C$23),DAY(情報入力!$C$23)),1,0)))</f>
        <v/>
      </c>
      <c r="CV8" s="218">
        <f>IF(CV$3="","",IF(情報入力!$C$23="","",YEAR(DATE(CV$3,12,31))-YEAR(情報入力!$C$23)-IF(DATE(CV$3,12,31)&lt;DATE(CV$3,MONTH(情報入力!$C$23),DAY(情報入力!$C$23)),1,0)))</f>
        <v/>
      </c>
      <c r="CW8" s="218">
        <f>IF(CW$3="","",IF(情報入力!$C$23="","",YEAR(DATE(CW$3,12,31))-YEAR(情報入力!$C$23)-IF(DATE(CW$3,12,31)&lt;DATE(CW$3,MONTH(情報入力!$C$23),DAY(情報入力!$C$23)),1,0)))</f>
        <v/>
      </c>
    </row>
    <row r="9" ht="15" customHeight="1" s="180">
      <c r="A9" s="205" t="inlineStr">
        <is>
          <t>家族年齢</t>
        </is>
      </c>
      <c r="B9" s="219" t="n"/>
      <c r="C9" s="219" t="n"/>
      <c r="D9" s="219" t="n"/>
      <c r="E9" s="219" t="n"/>
      <c r="F9" s="219" t="n"/>
      <c r="G9" s="219" t="n"/>
      <c r="H9" s="219" t="n"/>
      <c r="I9" s="219" t="n"/>
      <c r="J9" s="219" t="n"/>
      <c r="K9" s="219" t="n"/>
      <c r="L9" s="219" t="n"/>
      <c r="M9" s="219" t="n"/>
      <c r="N9" s="219" t="n"/>
      <c r="O9" s="219" t="n"/>
      <c r="P9" s="219" t="n"/>
      <c r="Q9" s="219" t="n"/>
      <c r="R9" s="219" t="n"/>
      <c r="S9" s="219" t="n"/>
      <c r="T9" s="219" t="n"/>
      <c r="U9" s="219" t="n"/>
      <c r="V9" s="219" t="n"/>
      <c r="W9" s="219" t="n"/>
      <c r="X9" s="219" t="n"/>
      <c r="Y9" s="219" t="n"/>
      <c r="Z9" s="219" t="n"/>
      <c r="AA9" s="219" t="n"/>
      <c r="AB9" s="219" t="n"/>
      <c r="AC9" s="219" t="n"/>
      <c r="AD9" s="219" t="n"/>
      <c r="AE9" s="219" t="n"/>
      <c r="AF9" s="219" t="n"/>
      <c r="AG9" s="219" t="n"/>
      <c r="AH9" s="219" t="n"/>
      <c r="AI9" s="219" t="n"/>
      <c r="AJ9" s="219" t="n"/>
      <c r="AK9" s="219" t="n"/>
      <c r="AL9" s="219" t="n"/>
      <c r="AM9" s="219" t="n"/>
      <c r="AN9" s="219" t="n"/>
      <c r="AO9" s="219" t="n"/>
      <c r="AP9" s="219" t="n"/>
      <c r="AQ9" s="219" t="n"/>
      <c r="AR9" s="219" t="n"/>
      <c r="AS9" s="219" t="n"/>
      <c r="AT9" s="219" t="n"/>
      <c r="AU9" s="219" t="n"/>
      <c r="AV9" s="219" t="n"/>
      <c r="AW9" s="219" t="n"/>
      <c r="AX9" s="219" t="n"/>
      <c r="AY9" s="219" t="n"/>
      <c r="AZ9" s="219" t="n"/>
      <c r="BA9" s="219" t="n"/>
      <c r="BB9" s="219" t="n"/>
      <c r="BC9" s="219" t="n"/>
      <c r="BD9" s="219" t="n"/>
      <c r="BE9" s="219" t="n"/>
      <c r="BF9" s="219" t="n"/>
      <c r="BG9" s="219" t="n"/>
      <c r="BH9" s="219" t="n"/>
      <c r="BI9" s="219" t="n"/>
      <c r="BJ9" s="219" t="n"/>
      <c r="BK9" s="219" t="n"/>
      <c r="BL9" s="219" t="n"/>
      <c r="BM9" s="219" t="n"/>
      <c r="BN9" s="219" t="n"/>
      <c r="BO9" s="219" t="n"/>
      <c r="BP9" s="219" t="n"/>
      <c r="BQ9" s="219" t="n"/>
      <c r="BR9" s="219" t="n"/>
      <c r="BS9" s="219" t="n"/>
      <c r="BT9" s="219" t="n"/>
      <c r="BU9" s="219" t="n"/>
      <c r="BV9" s="219" t="n"/>
      <c r="BW9" s="219" t="n"/>
      <c r="BX9" s="219" t="n"/>
      <c r="BY9" s="219" t="n"/>
      <c r="BZ9" s="219" t="n"/>
      <c r="CA9" s="219" t="n"/>
      <c r="CB9" s="219" t="n"/>
      <c r="CC9" s="219" t="n"/>
      <c r="CD9" s="219" t="n"/>
      <c r="CE9" s="219" t="n"/>
      <c r="CF9" s="219" t="n"/>
      <c r="CG9" s="219" t="n"/>
      <c r="CH9" s="219" t="n"/>
      <c r="CI9" s="219" t="n"/>
      <c r="CJ9" s="219" t="n"/>
      <c r="CK9" s="219" t="n"/>
      <c r="CL9" s="219" t="n"/>
      <c r="CM9" s="219" t="n"/>
      <c r="CN9" s="219" t="n"/>
      <c r="CO9" s="219" t="n"/>
      <c r="CP9" s="219" t="n"/>
      <c r="CQ9" s="219" t="n"/>
      <c r="CR9" s="219" t="n"/>
      <c r="CS9" s="219" t="n"/>
      <c r="CT9" s="219" t="n"/>
      <c r="CU9" s="219" t="n"/>
      <c r="CV9" s="219" t="n"/>
      <c r="CW9" s="219" t="n"/>
    </row>
    <row r="10" ht="15" customHeight="1" s="180">
      <c r="A10" s="220" t="inlineStr">
        <is>
          <t>ご主人様収入</t>
        </is>
      </c>
      <c r="B10" s="350">
        <f>IF(B$3="","",IF(B4&lt;入力データ!$C$109,((入力データ!$C$29*12)+IF(入力データ!$C$31="あり",入力データ!$C$32,0))*(1+前提条件!$C$5)^(B$3-$B$3),0))</f>
        <v/>
      </c>
      <c r="C10" s="350">
        <f>IF(C$3="","",IF(C4&lt;入力データ!$C$109,((入力データ!$C$29*12)+IF(入力データ!$C$31="あり",入力データ!$C$32,0))*(1+前提条件!$C$5)^(C$3-$B$3),0))</f>
        <v/>
      </c>
      <c r="D10" s="350">
        <f>IF(D$3="","",IF(D4&lt;入力データ!$C$109,((入力データ!$C$29*12)+IF(入力データ!$C$31="あり",入力データ!$C$32,0))*(1+前提条件!$C$5)^(D$3-$B$3),0))</f>
        <v/>
      </c>
      <c r="E10" s="350">
        <f>IF(E$3="","",IF(E4&lt;入力データ!$C$109,((入力データ!$C$29*12)+IF(入力データ!$C$31="あり",入力データ!$C$32,0))*(1+前提条件!$C$5)^(E$3-$B$3),0))</f>
        <v/>
      </c>
      <c r="F10" s="350">
        <f>IF(F$3="","",IF(F4&lt;入力データ!$C$109,((入力データ!$C$29*12)+IF(入力データ!$C$31="あり",入力データ!$C$32,0))*(1+前提条件!$C$5)^(F$3-$B$3),0))</f>
        <v/>
      </c>
      <c r="G10" s="350">
        <f>IF(G$3="","",IF(G4&lt;入力データ!$C$109,((入力データ!$C$29*12)+IF(入力データ!$C$31="あり",入力データ!$C$32,0))*(1+前提条件!$C$5)^(G$3-$B$3),0))</f>
        <v/>
      </c>
      <c r="H10" s="350">
        <f>IF(H$3="","",IF(H4&lt;入力データ!$C$109,((入力データ!$C$29*12)+IF(入力データ!$C$31="あり",入力データ!$C$32,0))*(1+前提条件!$C$5)^(H$3-$B$3),0))</f>
        <v/>
      </c>
      <c r="I10" s="350">
        <f>IF(I$3="","",IF(I4&lt;入力データ!$C$109,((入力データ!$C$29*12)+IF(入力データ!$C$31="あり",入力データ!$C$32,0))*(1+前提条件!$C$5)^(I$3-$B$3),0))</f>
        <v/>
      </c>
      <c r="J10" s="350">
        <f>IF(J$3="","",IF(J4&lt;入力データ!$C$109,((入力データ!$C$29*12)+IF(入力データ!$C$31="あり",入力データ!$C$32,0))*(1+前提条件!$C$5)^(J$3-$B$3),0))</f>
        <v/>
      </c>
      <c r="K10" s="350">
        <f>IF(K$3="","",IF(K4&lt;入力データ!$C$109,((入力データ!$C$29*12)+IF(入力データ!$C$31="あり",入力データ!$C$32,0))*(1+前提条件!$C$5)^(K$3-$B$3),0))</f>
        <v/>
      </c>
      <c r="L10" s="350">
        <f>IF(L$3="","",IF(L4&lt;入力データ!$C$109,((入力データ!$C$29*12)+IF(入力データ!$C$31="あり",入力データ!$C$32,0))*(1+前提条件!$C$5)^(L$3-$B$3),0))</f>
        <v/>
      </c>
      <c r="M10" s="350">
        <f>IF(M$3="","",IF(M4&lt;入力データ!$C$109,((入力データ!$C$29*12)+IF(入力データ!$C$31="あり",入力データ!$C$32,0))*(1+前提条件!$C$5)^(M$3-$B$3),0))</f>
        <v/>
      </c>
      <c r="N10" s="350">
        <f>IF(N$3="","",IF(N4&lt;入力データ!$C$109,((入力データ!$C$29*12)+IF(入力データ!$C$31="あり",入力データ!$C$32,0))*(1+前提条件!$C$5)^(N$3-$B$3),0))</f>
        <v/>
      </c>
      <c r="O10" s="350">
        <f>IF(O$3="","",IF(O4&lt;入力データ!$C$109,((入力データ!$C$29*12)+IF(入力データ!$C$31="あり",入力データ!$C$32,0))*(1+前提条件!$C$5)^(O$3-$B$3),0))</f>
        <v/>
      </c>
      <c r="P10" s="350">
        <f>IF(P$3="","",IF(P4&lt;入力データ!$C$109,((入力データ!$C$29*12)+IF(入力データ!$C$31="あり",入力データ!$C$32,0))*(1+前提条件!$C$5)^(P$3-$B$3),0))</f>
        <v/>
      </c>
      <c r="Q10" s="350">
        <f>IF(Q$3="","",IF(Q4&lt;入力データ!$C$109,((入力データ!$C$29*12)+IF(入力データ!$C$31="あり",入力データ!$C$32,0))*(1+前提条件!$C$5)^(Q$3-$B$3),0))</f>
        <v/>
      </c>
      <c r="R10" s="350">
        <f>IF(R$3="","",IF(R4&lt;入力データ!$C$109,((入力データ!$C$29*12)+IF(入力データ!$C$31="あり",入力データ!$C$32,0))*(1+前提条件!$C$5)^(R$3-$B$3),0))</f>
        <v/>
      </c>
      <c r="S10" s="350">
        <f>IF(S$3="","",IF(S4&lt;入力データ!$C$109,((入力データ!$C$29*12)+IF(入力データ!$C$31="あり",入力データ!$C$32,0))*(1+前提条件!$C$5)^(S$3-$B$3),0))</f>
        <v/>
      </c>
      <c r="T10" s="350">
        <f>IF(T$3="","",IF(T4&lt;入力データ!$C$109,((入力データ!$C$29*12)+IF(入力データ!$C$31="あり",入力データ!$C$32,0))*(1+前提条件!$C$5)^(T$3-$B$3),0))</f>
        <v/>
      </c>
      <c r="U10" s="350">
        <f>IF(U$3="","",IF(U4&lt;入力データ!$C$109,((入力データ!$C$29*12)+IF(入力データ!$C$31="あり",入力データ!$C$32,0))*(1+前提条件!$C$5)^(U$3-$B$3),0))</f>
        <v/>
      </c>
      <c r="V10" s="350">
        <f>IF(V$3="","",IF(V4&lt;入力データ!$C$109,((入力データ!$C$29*12)+IF(入力データ!$C$31="あり",入力データ!$C$32,0))*(1+前提条件!$C$5)^(V$3-$B$3),0))</f>
        <v/>
      </c>
      <c r="W10" s="350">
        <f>IF(W$3="","",IF(W4&lt;入力データ!$C$109,((入力データ!$C$29*12)+IF(入力データ!$C$31="あり",入力データ!$C$32,0))*(1+前提条件!$C$5)^(W$3-$B$3),0))</f>
        <v/>
      </c>
      <c r="X10" s="350">
        <f>IF(X$3="","",IF(X4&lt;入力データ!$C$109,((入力データ!$C$29*12)+IF(入力データ!$C$31="あり",入力データ!$C$32,0))*(1+前提条件!$C$5)^(X$3-$B$3),0))</f>
        <v/>
      </c>
      <c r="Y10" s="350">
        <f>IF(Y$3="","",IF(Y4&lt;入力データ!$C$109,((入力データ!$C$29*12)+IF(入力データ!$C$31="あり",入力データ!$C$32,0))*(1+前提条件!$C$5)^(Y$3-$B$3),0))</f>
        <v/>
      </c>
      <c r="Z10" s="350">
        <f>IF(Z$3="","",IF(Z4&lt;入力データ!$C$109,((入力データ!$C$29*12)+IF(入力データ!$C$31="あり",入力データ!$C$32,0))*(1+前提条件!$C$5)^(Z$3-$B$3),0))</f>
        <v/>
      </c>
      <c r="AA10" s="350">
        <f>IF(AA$3="","",IF(AA4&lt;入力データ!$C$109,((入力データ!$C$29*12)+IF(入力データ!$C$31="あり",入力データ!$C$32,0))*(1+前提条件!$C$5)^(AA$3-$B$3),0))</f>
        <v/>
      </c>
      <c r="AB10" s="350">
        <f>IF(AB$3="","",IF(AB4&lt;入力データ!$C$109,((入力データ!$C$29*12)+IF(入力データ!$C$31="あり",入力データ!$C$32,0))*(1+前提条件!$C$5)^(AB$3-$B$3),0))</f>
        <v/>
      </c>
      <c r="AC10" s="350">
        <f>IF(AC$3="","",IF(AC4&lt;入力データ!$C$109,((入力データ!$C$29*12)+IF(入力データ!$C$31="あり",入力データ!$C$32,0))*(1+前提条件!$C$5)^(AC$3-$B$3),0))</f>
        <v/>
      </c>
      <c r="AD10" s="350">
        <f>IF(AD$3="","",IF(AD4&lt;入力データ!$C$109,((入力データ!$C$29*12)+IF(入力データ!$C$31="あり",入力データ!$C$32,0))*(1+前提条件!$C$5)^(AD$3-$B$3),0))</f>
        <v/>
      </c>
      <c r="AE10" s="350">
        <f>IF(AE$3="","",IF(AE4&lt;入力データ!$C$109,((入力データ!$C$29*12)+IF(入力データ!$C$31="あり",入力データ!$C$32,0))*(1+前提条件!$C$5)^(AE$3-$B$3),0))</f>
        <v/>
      </c>
      <c r="AF10" s="350">
        <f>IF(AF$3="","",IF(AF4&lt;入力データ!$C$109,((入力データ!$C$29*12)+IF(入力データ!$C$31="あり",入力データ!$C$32,0))*(1+前提条件!$C$5)^(AF$3-$B$3),0))</f>
        <v/>
      </c>
      <c r="AG10" s="350">
        <f>IF(AG$3="","",IF(AG4&lt;入力データ!$C$109,((入力データ!$C$29*12)+IF(入力データ!$C$31="あり",入力データ!$C$32,0))*(1+前提条件!$C$5)^(AG$3-$B$3),0))</f>
        <v/>
      </c>
      <c r="AH10" s="350">
        <f>IF(AH$3="","",IF(AH4&lt;入力データ!$C$109,((入力データ!$C$29*12)+IF(入力データ!$C$31="あり",入力データ!$C$32,0))*(1+前提条件!$C$5)^(AH$3-$B$3),0))</f>
        <v/>
      </c>
      <c r="AI10" s="350">
        <f>IF(AI$3="","",IF(AI4&lt;入力データ!$C$109,((入力データ!$C$29*12)+IF(入力データ!$C$31="あり",入力データ!$C$32,0))*(1+前提条件!$C$5)^(AI$3-$B$3),0))</f>
        <v/>
      </c>
      <c r="AJ10" s="350">
        <f>IF(AJ$3="","",IF(AJ4&lt;入力データ!$C$109,((入力データ!$C$29*12)+IF(入力データ!$C$31="あり",入力データ!$C$32,0))*(1+前提条件!$C$5)^(AJ$3-$B$3),0))</f>
        <v/>
      </c>
      <c r="AK10" s="350">
        <f>IF(AK$3="","",IF(AK4&lt;入力データ!$C$109,((入力データ!$C$29*12)+IF(入力データ!$C$31="あり",入力データ!$C$32,0))*(1+前提条件!$C$5)^(AK$3-$B$3),0))</f>
        <v/>
      </c>
      <c r="AL10" s="350">
        <f>IF(AL$3="","",IF(AL4&lt;入力データ!$C$109,((入力データ!$C$29*12)+IF(入力データ!$C$31="あり",入力データ!$C$32,0))*(1+前提条件!$C$5)^(AL$3-$B$3),0))</f>
        <v/>
      </c>
      <c r="AM10" s="350">
        <f>IF(AM$3="","",IF(AM4&lt;入力データ!$C$109,((入力データ!$C$29*12)+IF(入力データ!$C$31="あり",入力データ!$C$32,0))*(1+前提条件!$C$5)^(AM$3-$B$3),0))</f>
        <v/>
      </c>
      <c r="AN10" s="350">
        <f>IF(AN$3="","",IF(AN4&lt;入力データ!$C$109,((入力データ!$C$29*12)+IF(入力データ!$C$31="あり",入力データ!$C$32,0))*(1+前提条件!$C$5)^(AN$3-$B$3),0))</f>
        <v/>
      </c>
      <c r="AO10" s="350">
        <f>IF(AO$3="","",IF(AO4&lt;入力データ!$C$109,((入力データ!$C$29*12)+IF(入力データ!$C$31="あり",入力データ!$C$32,0))*(1+前提条件!$C$5)^(AO$3-$B$3),0))</f>
        <v/>
      </c>
      <c r="AP10" s="350">
        <f>IF(AP$3="","",IF(AP4&lt;入力データ!$C$109,((入力データ!$C$29*12)+IF(入力データ!$C$31="あり",入力データ!$C$32,0))*(1+前提条件!$C$5)^(AP$3-$B$3),0))</f>
        <v/>
      </c>
      <c r="AQ10" s="350">
        <f>IF(AQ$3="","",IF(AQ4&lt;入力データ!$C$109,((入力データ!$C$29*12)+IF(入力データ!$C$31="あり",入力データ!$C$32,0))*(1+前提条件!$C$5)^(AQ$3-$B$3),0))</f>
        <v/>
      </c>
      <c r="AR10" s="350">
        <f>IF(AR$3="","",IF(AR4&lt;入力データ!$C$109,((入力データ!$C$29*12)+IF(入力データ!$C$31="あり",入力データ!$C$32,0))*(1+前提条件!$C$5)^(AR$3-$B$3),0))</f>
        <v/>
      </c>
      <c r="AS10" s="350">
        <f>IF(AS$3="","",IF(AS4&lt;入力データ!$C$109,((入力データ!$C$29*12)+IF(入力データ!$C$31="あり",入力データ!$C$32,0))*(1+前提条件!$C$5)^(AS$3-$B$3),0))</f>
        <v/>
      </c>
      <c r="AT10" s="350">
        <f>IF(AT$3="","",IF(AT4&lt;入力データ!$C$109,((入力データ!$C$29*12)+IF(入力データ!$C$31="あり",入力データ!$C$32,0))*(1+前提条件!$C$5)^(AT$3-$B$3),0))</f>
        <v/>
      </c>
      <c r="AU10" s="350">
        <f>IF(AU$3="","",IF(AU4&lt;入力データ!$C$109,((入力データ!$C$29*12)+IF(入力データ!$C$31="あり",入力データ!$C$32,0))*(1+前提条件!$C$5)^(AU$3-$B$3),0))</f>
        <v/>
      </c>
      <c r="AV10" s="350">
        <f>IF(AV$3="","",IF(AV4&lt;入力データ!$C$109,((入力データ!$C$29*12)+IF(入力データ!$C$31="あり",入力データ!$C$32,0))*(1+前提条件!$C$5)^(AV$3-$B$3),0))</f>
        <v/>
      </c>
      <c r="AW10" s="350">
        <f>IF(AW$3="","",IF(AW4&lt;入力データ!$C$109,((入力データ!$C$29*12)+IF(入力データ!$C$31="あり",入力データ!$C$32,0))*(1+前提条件!$C$5)^(AW$3-$B$3),0))</f>
        <v/>
      </c>
      <c r="AX10" s="350">
        <f>IF(AX$3="","",IF(AX4&lt;入力データ!$C$109,((入力データ!$C$29*12)+IF(入力データ!$C$31="あり",入力データ!$C$32,0))*(1+前提条件!$C$5)^(AX$3-$B$3),0))</f>
        <v/>
      </c>
      <c r="AY10" s="350">
        <f>IF(AY$3="","",IF(AY4&lt;入力データ!$C$109,((入力データ!$C$29*12)+IF(入力データ!$C$31="あり",入力データ!$C$32,0))*(1+前提条件!$C$5)^(AY$3-$B$3),0))</f>
        <v/>
      </c>
      <c r="AZ10" s="350">
        <f>IF(AZ$3="","",IF(AZ4&lt;入力データ!$C$109,((入力データ!$C$29*12)+IF(入力データ!$C$31="あり",入力データ!$C$32,0))*(1+前提条件!$C$5)^(AZ$3-$B$3),0))</f>
        <v/>
      </c>
      <c r="BA10" s="350">
        <f>IF(BA$3="","",IF(BA4&lt;入力データ!$C$109,((入力データ!$C$29*12)+IF(入力データ!$C$31="あり",入力データ!$C$32,0))*(1+前提条件!$C$5)^(BA$3-$B$3),0))</f>
        <v/>
      </c>
      <c r="BB10" s="350">
        <f>IF(BB$3="","",IF(BB4&lt;入力データ!$C$109,((入力データ!$C$29*12)+IF(入力データ!$C$31="あり",入力データ!$C$32,0))*(1+前提条件!$C$5)^(BB$3-$B$3),0))</f>
        <v/>
      </c>
      <c r="BC10" s="350">
        <f>IF(BC$3="","",IF(BC4&lt;入力データ!$C$109,((入力データ!$C$29*12)+IF(入力データ!$C$31="あり",入力データ!$C$32,0))*(1+前提条件!$C$5)^(BC$3-$B$3),0))</f>
        <v/>
      </c>
      <c r="BD10" s="350">
        <f>IF(BD$3="","",IF(BD4&lt;入力データ!$C$109,((入力データ!$C$29*12)+IF(入力データ!$C$31="あり",入力データ!$C$32,0))*(1+前提条件!$C$5)^(BD$3-$B$3),0))</f>
        <v/>
      </c>
      <c r="BE10" s="350">
        <f>IF(BE$3="","",IF(BE4&lt;入力データ!$C$109,((入力データ!$C$29*12)+IF(入力データ!$C$31="あり",入力データ!$C$32,0))*(1+前提条件!$C$5)^(BE$3-$B$3),0))</f>
        <v/>
      </c>
      <c r="BF10" s="350">
        <f>IF(BF$3="","",IF(BF4&lt;入力データ!$C$109,((入力データ!$C$29*12)+IF(入力データ!$C$31="あり",入力データ!$C$32,0))*(1+前提条件!$C$5)^(BF$3-$B$3),0))</f>
        <v/>
      </c>
      <c r="BG10" s="350">
        <f>IF(BG$3="","",IF(BG4&lt;入力データ!$C$109,((入力データ!$C$29*12)+IF(入力データ!$C$31="あり",入力データ!$C$32,0))*(1+前提条件!$C$5)^(BG$3-$B$3),0))</f>
        <v/>
      </c>
      <c r="BH10" s="350">
        <f>IF(BH$3="","",IF(BH4&lt;入力データ!$C$109,((入力データ!$C$29*12)+IF(入力データ!$C$31="あり",入力データ!$C$32,0))*(1+前提条件!$C$5)^(BH$3-$B$3),0))</f>
        <v/>
      </c>
      <c r="BI10" s="350">
        <f>IF(BI$3="","",IF(BI4&lt;入力データ!$C$109,((入力データ!$C$29*12)+IF(入力データ!$C$31="あり",入力データ!$C$32,0))*(1+前提条件!$C$5)^(BI$3-$B$3),0))</f>
        <v/>
      </c>
      <c r="BJ10" s="350">
        <f>IF(BJ$3="","",IF(BJ4&lt;入力データ!$C$109,((入力データ!$C$29*12)+IF(入力データ!$C$31="あり",入力データ!$C$32,0))*(1+前提条件!$C$5)^(BJ$3-$B$3),0))</f>
        <v/>
      </c>
      <c r="BK10" s="350">
        <f>IF(BK$3="","",IF(BK4&lt;入力データ!$C$109,((入力データ!$C$29*12)+IF(入力データ!$C$31="あり",入力データ!$C$32,0))*(1+前提条件!$C$5)^(BK$3-$B$3),0))</f>
        <v/>
      </c>
      <c r="BL10" s="350">
        <f>IF(BL$3="","",IF(BL4&lt;入力データ!$C$109,((入力データ!$C$29*12)+IF(入力データ!$C$31="あり",入力データ!$C$32,0))*(1+前提条件!$C$5)^(BL$3-$B$3),0))</f>
        <v/>
      </c>
      <c r="BM10" s="350">
        <f>IF(BM$3="","",IF(BM4&lt;入力データ!$C$109,((入力データ!$C$29*12)+IF(入力データ!$C$31="あり",入力データ!$C$32,0))*(1+前提条件!$C$5)^(BM$3-$B$3),0))</f>
        <v/>
      </c>
      <c r="BN10" s="350">
        <f>IF(BN$3="","",IF(BN4&lt;入力データ!$C$109,((入力データ!$C$29*12)+IF(入力データ!$C$31="あり",入力データ!$C$32,0))*(1+前提条件!$C$5)^(BN$3-$B$3),0))</f>
        <v/>
      </c>
      <c r="BO10" s="350">
        <f>IF(BO$3="","",IF(BO4&lt;入力データ!$C$109,((入力データ!$C$29*12)+IF(入力データ!$C$31="あり",入力データ!$C$32,0))*(1+前提条件!$C$5)^(BO$3-$B$3),0))</f>
        <v/>
      </c>
      <c r="BP10" s="350">
        <f>IF(BP$3="","",IF(BP4&lt;入力データ!$C$109,((入力データ!$C$29*12)+IF(入力データ!$C$31="あり",入力データ!$C$32,0))*(1+前提条件!$C$5)^(BP$3-$B$3),0))</f>
        <v/>
      </c>
      <c r="BQ10" s="350">
        <f>IF(BQ$3="","",IF(BQ4&lt;入力データ!$C$109,((入力データ!$C$29*12)+IF(入力データ!$C$31="あり",入力データ!$C$32,0))*(1+前提条件!$C$5)^(BQ$3-$B$3),0))</f>
        <v/>
      </c>
      <c r="BR10" s="350">
        <f>IF(BR$3="","",IF(BR4&lt;入力データ!$C$109,((入力データ!$C$29*12)+IF(入力データ!$C$31="あり",入力データ!$C$32,0))*(1+前提条件!$C$5)^(BR$3-$B$3),0))</f>
        <v/>
      </c>
      <c r="BS10" s="350">
        <f>IF(BS$3="","",IF(BS4&lt;入力データ!$C$109,((入力データ!$C$29*12)+IF(入力データ!$C$31="あり",入力データ!$C$32,0))*(1+前提条件!$C$5)^(BS$3-$B$3),0))</f>
        <v/>
      </c>
      <c r="BT10" s="350">
        <f>IF(BT$3="","",IF(BT4&lt;入力データ!$C$109,((入力データ!$C$29*12)+IF(入力データ!$C$31="あり",入力データ!$C$32,0))*(1+前提条件!$C$5)^(BT$3-$B$3),0))</f>
        <v/>
      </c>
      <c r="BU10" s="350">
        <f>IF(BU$3="","",IF(BU4&lt;入力データ!$C$109,((入力データ!$C$29*12)+IF(入力データ!$C$31="あり",入力データ!$C$32,0))*(1+前提条件!$C$5)^(BU$3-$B$3),0))</f>
        <v/>
      </c>
      <c r="BV10" s="350">
        <f>IF(BV$3="","",IF(BV4&lt;入力データ!$C$109,((入力データ!$C$29*12)+IF(入力データ!$C$31="あり",入力データ!$C$32,0))*(1+前提条件!$C$5)^(BV$3-$B$3),0))</f>
        <v/>
      </c>
      <c r="BW10" s="350">
        <f>IF(BW$3="","",IF(BW4&lt;入力データ!$C$109,((入力データ!$C$29*12)+IF(入力データ!$C$31="あり",入力データ!$C$32,0))*(1+前提条件!$C$5)^(BW$3-$B$3),0))</f>
        <v/>
      </c>
      <c r="BX10" s="350">
        <f>IF(BX$3="","",IF(BX4&lt;入力データ!$C$109,((入力データ!$C$29*12)+IF(入力データ!$C$31="あり",入力データ!$C$32,0))*(1+前提条件!$C$5)^(BX$3-$B$3),0))</f>
        <v/>
      </c>
      <c r="BY10" s="350">
        <f>IF(BY$3="","",IF(BY4&lt;入力データ!$C$109,((入力データ!$C$29*12)+IF(入力データ!$C$31="あり",入力データ!$C$32,0))*(1+前提条件!$C$5)^(BY$3-$B$3),0))</f>
        <v/>
      </c>
      <c r="BZ10" s="350">
        <f>IF(BZ$3="","",IF(BZ4&lt;入力データ!$C$109,((入力データ!$C$29*12)+IF(入力データ!$C$31="あり",入力データ!$C$32,0))*(1+前提条件!$C$5)^(BZ$3-$B$3),0))</f>
        <v/>
      </c>
      <c r="CA10" s="350">
        <f>IF(CA$3="","",IF(CA4&lt;入力データ!$C$109,((入力データ!$C$29*12)+IF(入力データ!$C$31="あり",入力データ!$C$32,0))*(1+前提条件!$C$5)^(CA$3-$B$3),0))</f>
        <v/>
      </c>
      <c r="CB10" s="350">
        <f>IF(CB$3="","",IF(CB4&lt;入力データ!$C$109,((入力データ!$C$29*12)+IF(入力データ!$C$31="あり",入力データ!$C$32,0))*(1+前提条件!$C$5)^(CB$3-$B$3),0))</f>
        <v/>
      </c>
      <c r="CC10" s="350">
        <f>IF(CC$3="","",IF(CC4&lt;入力データ!$C$109,((入力データ!$C$29*12)+IF(入力データ!$C$31="あり",入力データ!$C$32,0))*(1+前提条件!$C$5)^(CC$3-$B$3),0))</f>
        <v/>
      </c>
      <c r="CD10" s="350">
        <f>IF(CD$3="","",IF(CD4&lt;入力データ!$C$109,((入力データ!$C$29*12)+IF(入力データ!$C$31="あり",入力データ!$C$32,0))*(1+前提条件!$C$5)^(CD$3-$B$3),0))</f>
        <v/>
      </c>
      <c r="CE10" s="350">
        <f>IF(CE$3="","",IF(CE4&lt;入力データ!$C$109,((入力データ!$C$29*12)+IF(入力データ!$C$31="あり",入力データ!$C$32,0))*(1+前提条件!$C$5)^(CE$3-$B$3),0))</f>
        <v/>
      </c>
      <c r="CF10" s="350">
        <f>IF(CF$3="","",IF(CF4&lt;入力データ!$C$109,((入力データ!$C$29*12)+IF(入力データ!$C$31="あり",入力データ!$C$32,0))*(1+前提条件!$C$5)^(CF$3-$B$3),0))</f>
        <v/>
      </c>
      <c r="CG10" s="350">
        <f>IF(CG$3="","",IF(CG4&lt;入力データ!$C$109,((入力データ!$C$29*12)+IF(入力データ!$C$31="あり",入力データ!$C$32,0))*(1+前提条件!$C$5)^(CG$3-$B$3),0))</f>
        <v/>
      </c>
      <c r="CH10" s="350">
        <f>IF(CH$3="","",IF(CH4&lt;入力データ!$C$109,((入力データ!$C$29*12)+IF(入力データ!$C$31="あり",入力データ!$C$32,0))*(1+前提条件!$C$5)^(CH$3-$B$3),0))</f>
        <v/>
      </c>
      <c r="CI10" s="350">
        <f>IF(CI$3="","",IF(CI4&lt;入力データ!$C$109,((入力データ!$C$29*12)+IF(入力データ!$C$31="あり",入力データ!$C$32,0))*(1+前提条件!$C$5)^(CI$3-$B$3),0))</f>
        <v/>
      </c>
      <c r="CJ10" s="350">
        <f>IF(CJ$3="","",IF(CJ4&lt;入力データ!$C$109,((入力データ!$C$29*12)+IF(入力データ!$C$31="あり",入力データ!$C$32,0))*(1+前提条件!$C$5)^(CJ$3-$B$3),0))</f>
        <v/>
      </c>
      <c r="CK10" s="350">
        <f>IF(CK$3="","",IF(CK4&lt;入力データ!$C$109,((入力データ!$C$29*12)+IF(入力データ!$C$31="あり",入力データ!$C$32,0))*(1+前提条件!$C$5)^(CK$3-$B$3),0))</f>
        <v/>
      </c>
      <c r="CL10" s="350">
        <f>IF(CL$3="","",IF(CL4&lt;入力データ!$C$109,((入力データ!$C$29*12)+IF(入力データ!$C$31="あり",入力データ!$C$32,0))*(1+前提条件!$C$5)^(CL$3-$B$3),0))</f>
        <v/>
      </c>
      <c r="CM10" s="350">
        <f>IF(CM$3="","",IF(CM4&lt;入力データ!$C$109,((入力データ!$C$29*12)+IF(入力データ!$C$31="あり",入力データ!$C$32,0))*(1+前提条件!$C$5)^(CM$3-$B$3),0))</f>
        <v/>
      </c>
      <c r="CN10" s="350">
        <f>IF(CN$3="","",IF(CN4&lt;入力データ!$C$109,((入力データ!$C$29*12)+IF(入力データ!$C$31="あり",入力データ!$C$32,0))*(1+前提条件!$C$5)^(CN$3-$B$3),0))</f>
        <v/>
      </c>
      <c r="CO10" s="350">
        <f>IF(CO$3="","",IF(CO4&lt;入力データ!$C$109,((入力データ!$C$29*12)+IF(入力データ!$C$31="あり",入力データ!$C$32,0))*(1+前提条件!$C$5)^(CO$3-$B$3),0))</f>
        <v/>
      </c>
      <c r="CP10" s="350">
        <f>IF(CP$3="","",IF(CP4&lt;入力データ!$C$109,((入力データ!$C$29*12)+IF(入力データ!$C$31="あり",入力データ!$C$32,0))*(1+前提条件!$C$5)^(CP$3-$B$3),0))</f>
        <v/>
      </c>
      <c r="CQ10" s="350">
        <f>IF(CQ$3="","",IF(CQ4&lt;入力データ!$C$109,((入力データ!$C$29*12)+IF(入力データ!$C$31="あり",入力データ!$C$32,0))*(1+前提条件!$C$5)^(CQ$3-$B$3),0))</f>
        <v/>
      </c>
      <c r="CR10" s="350">
        <f>IF(CR$3="","",IF(CR4&lt;入力データ!$C$109,((入力データ!$C$29*12)+IF(入力データ!$C$31="あり",入力データ!$C$32,0))*(1+前提条件!$C$5)^(CR$3-$B$3),0))</f>
        <v/>
      </c>
      <c r="CS10" s="350">
        <f>IF(CS$3="","",IF(CS4&lt;入力データ!$C$109,((入力データ!$C$29*12)+IF(入力データ!$C$31="あり",入力データ!$C$32,0))*(1+前提条件!$C$5)^(CS$3-$B$3),0))</f>
        <v/>
      </c>
      <c r="CT10" s="350">
        <f>IF(CT$3="","",IF(CT4&lt;入力データ!$C$109,((入力データ!$C$29*12)+IF(入力データ!$C$31="あり",入力データ!$C$32,0))*(1+前提条件!$C$5)^(CT$3-$B$3),0))</f>
        <v/>
      </c>
      <c r="CU10" s="350">
        <f>IF(CU$3="","",IF(CU4&lt;入力データ!$C$109,((入力データ!$C$29*12)+IF(入力データ!$C$31="あり",入力データ!$C$32,0))*(1+前提条件!$C$5)^(CU$3-$B$3),0))</f>
        <v/>
      </c>
      <c r="CV10" s="350">
        <f>IF(CV$3="","",IF(CV4&lt;入力データ!$C$109,((入力データ!$C$29*12)+IF(入力データ!$C$31="あり",入力データ!$C$32,0))*(1+前提条件!$C$5)^(CV$3-$B$3),0))</f>
        <v/>
      </c>
      <c r="CW10" s="350">
        <f>IF(CW$3="","",IF(CW4&lt;入力データ!$C$109,((入力データ!$C$29*12)+IF(入力データ!$C$31="あり",入力データ!$C$32,0))*(1+前提条件!$C$5)^(CW$3-$B$3),0))</f>
        <v/>
      </c>
    </row>
    <row r="11" ht="15" customHeight="1" s="180">
      <c r="A11" s="220" t="inlineStr">
        <is>
          <t>奥様収入</t>
        </is>
      </c>
      <c r="B11" s="350">
        <f>IF(B$3="","",0)</f>
        <v/>
      </c>
      <c r="C11" s="350">
        <f>IF(C$3="","",0)</f>
        <v/>
      </c>
      <c r="D11" s="350">
        <f>IF(D$3="","",0)</f>
        <v/>
      </c>
      <c r="E11" s="350">
        <f>IF(E$3="","",0)</f>
        <v/>
      </c>
      <c r="F11" s="350">
        <f>IF(F$3="","",0)</f>
        <v/>
      </c>
      <c r="G11" s="350">
        <f>IF(G$3="","",0)</f>
        <v/>
      </c>
      <c r="H11" s="350">
        <f>IF(H$3="","",0)</f>
        <v/>
      </c>
      <c r="I11" s="350">
        <f>IF(I$3="","",0)</f>
        <v/>
      </c>
      <c r="J11" s="350">
        <f>IF(J$3="","",0)</f>
        <v/>
      </c>
      <c r="K11" s="350">
        <f>IF(K$3="","",0)</f>
        <v/>
      </c>
      <c r="L11" s="350">
        <f>IF(L$3="","",0)</f>
        <v/>
      </c>
      <c r="M11" s="350">
        <f>IF(M$3="","",0)</f>
        <v/>
      </c>
      <c r="N11" s="350">
        <f>IF(N$3="","",0)</f>
        <v/>
      </c>
      <c r="O11" s="350">
        <f>IF(O$3="","",0)</f>
        <v/>
      </c>
      <c r="P11" s="350">
        <f>IF(P$3="","",0)</f>
        <v/>
      </c>
      <c r="Q11" s="350">
        <f>IF(Q$3="","",0)</f>
        <v/>
      </c>
      <c r="R11" s="350">
        <f>IF(R$3="","",0)</f>
        <v/>
      </c>
      <c r="S11" s="350">
        <f>IF(S$3="","",0)</f>
        <v/>
      </c>
      <c r="T11" s="350">
        <f>IF(T$3="","",0)</f>
        <v/>
      </c>
      <c r="U11" s="350">
        <f>IF(U$3="","",0)</f>
        <v/>
      </c>
      <c r="V11" s="350">
        <f>IF(V$3="","",0)</f>
        <v/>
      </c>
      <c r="W11" s="350">
        <f>IF(W$3="","",0)</f>
        <v/>
      </c>
      <c r="X11" s="350">
        <f>IF(X$3="","",0)</f>
        <v/>
      </c>
      <c r="Y11" s="350">
        <f>IF(Y$3="","",0)</f>
        <v/>
      </c>
      <c r="Z11" s="350">
        <f>IF(Z$3="","",0)</f>
        <v/>
      </c>
      <c r="AA11" s="350">
        <f>IF(AA$3="","",0)</f>
        <v/>
      </c>
      <c r="AB11" s="350">
        <f>IF(AB$3="","",0)</f>
        <v/>
      </c>
      <c r="AC11" s="350">
        <f>IF(AC$3="","",0)</f>
        <v/>
      </c>
      <c r="AD11" s="350">
        <f>IF(AD$3="","",0)</f>
        <v/>
      </c>
      <c r="AE11" s="350">
        <f>IF(AE$3="","",0)</f>
        <v/>
      </c>
      <c r="AF11" s="350">
        <f>IF(AF$3="","",0)</f>
        <v/>
      </c>
      <c r="AG11" s="350">
        <f>IF(AG$3="","",0)</f>
        <v/>
      </c>
      <c r="AH11" s="350">
        <f>IF(AH$3="","",0)</f>
        <v/>
      </c>
      <c r="AI11" s="350">
        <f>IF(AI$3="","",0)</f>
        <v/>
      </c>
      <c r="AJ11" s="350">
        <f>IF(AJ$3="","",0)</f>
        <v/>
      </c>
      <c r="AK11" s="350">
        <f>IF(AK$3="","",0)</f>
        <v/>
      </c>
      <c r="AL11" s="350">
        <f>IF(AL$3="","",0)</f>
        <v/>
      </c>
      <c r="AM11" s="350">
        <f>IF(AM$3="","",0)</f>
        <v/>
      </c>
      <c r="AN11" s="350">
        <f>IF(AN$3="","",0)</f>
        <v/>
      </c>
      <c r="AO11" s="350">
        <f>IF(AO$3="","",0)</f>
        <v/>
      </c>
      <c r="AP11" s="350">
        <f>IF(AP$3="","",0)</f>
        <v/>
      </c>
      <c r="AQ11" s="350">
        <f>IF(AQ$3="","",0)</f>
        <v/>
      </c>
      <c r="AR11" s="350">
        <f>IF(AR$3="","",0)</f>
        <v/>
      </c>
      <c r="AS11" s="350">
        <f>IF(AS$3="","",0)</f>
        <v/>
      </c>
      <c r="AT11" s="350">
        <f>IF(AT$3="","",0)</f>
        <v/>
      </c>
      <c r="AU11" s="350">
        <f>IF(AU$3="","",0)</f>
        <v/>
      </c>
      <c r="AV11" s="350">
        <f>IF(AV$3="","",0)</f>
        <v/>
      </c>
      <c r="AW11" s="350">
        <f>IF(AW$3="","",0)</f>
        <v/>
      </c>
      <c r="AX11" s="350">
        <f>IF(AX$3="","",0)</f>
        <v/>
      </c>
      <c r="AY11" s="350">
        <f>IF(AY$3="","",0)</f>
        <v/>
      </c>
      <c r="AZ11" s="350">
        <f>IF(AZ$3="","",0)</f>
        <v/>
      </c>
      <c r="BA11" s="350">
        <f>IF(BA$3="","",0)</f>
        <v/>
      </c>
      <c r="BB11" s="350">
        <f>IF(BB$3="","",0)</f>
        <v/>
      </c>
      <c r="BC11" s="350">
        <f>IF(BC$3="","",0)</f>
        <v/>
      </c>
      <c r="BD11" s="350">
        <f>IF(BD$3="","",0)</f>
        <v/>
      </c>
      <c r="BE11" s="350">
        <f>IF(BE$3="","",0)</f>
        <v/>
      </c>
      <c r="BF11" s="350">
        <f>IF(BF$3="","",0)</f>
        <v/>
      </c>
      <c r="BG11" s="350">
        <f>IF(BG$3="","",0)</f>
        <v/>
      </c>
      <c r="BH11" s="350">
        <f>IF(BH$3="","",0)</f>
        <v/>
      </c>
      <c r="BI11" s="350">
        <f>IF(BI$3="","",0)</f>
        <v/>
      </c>
      <c r="BJ11" s="350">
        <f>IF(BJ$3="","",0)</f>
        <v/>
      </c>
      <c r="BK11" s="350">
        <f>IF(BK$3="","",0)</f>
        <v/>
      </c>
      <c r="BL11" s="350">
        <f>IF(BL$3="","",0)</f>
        <v/>
      </c>
      <c r="BM11" s="350">
        <f>IF(BM$3="","",0)</f>
        <v/>
      </c>
      <c r="BN11" s="350">
        <f>IF(BN$3="","",0)</f>
        <v/>
      </c>
      <c r="BO11" s="350">
        <f>IF(BO$3="","",0)</f>
        <v/>
      </c>
      <c r="BP11" s="350">
        <f>IF(BP$3="","",0)</f>
        <v/>
      </c>
      <c r="BQ11" s="350">
        <f>IF(BQ$3="","",0)</f>
        <v/>
      </c>
      <c r="BR11" s="350">
        <f>IF(BR$3="","",0)</f>
        <v/>
      </c>
      <c r="BS11" s="350">
        <f>IF(BS$3="","",0)</f>
        <v/>
      </c>
      <c r="BT11" s="350">
        <f>IF(BT$3="","",0)</f>
        <v/>
      </c>
      <c r="BU11" s="350">
        <f>IF(BU$3="","",0)</f>
        <v/>
      </c>
      <c r="BV11" s="350">
        <f>IF(BV$3="","",0)</f>
        <v/>
      </c>
      <c r="BW11" s="350">
        <f>IF(BW$3="","",0)</f>
        <v/>
      </c>
      <c r="BX11" s="350">
        <f>IF(BX$3="","",0)</f>
        <v/>
      </c>
      <c r="BY11" s="350">
        <f>IF(BY$3="","",0)</f>
        <v/>
      </c>
      <c r="BZ11" s="350">
        <f>IF(BZ$3="","",0)</f>
        <v/>
      </c>
      <c r="CA11" s="350">
        <f>IF(CA$3="","",0)</f>
        <v/>
      </c>
      <c r="CB11" s="350">
        <f>IF(CB$3="","",0)</f>
        <v/>
      </c>
      <c r="CC11" s="350">
        <f>IF(CC$3="","",0)</f>
        <v/>
      </c>
      <c r="CD11" s="350">
        <f>IF(CD$3="","",0)</f>
        <v/>
      </c>
      <c r="CE11" s="350">
        <f>IF(CE$3="","",0)</f>
        <v/>
      </c>
      <c r="CF11" s="350">
        <f>IF(CF$3="","",0)</f>
        <v/>
      </c>
      <c r="CG11" s="350">
        <f>IF(CG$3="","",0)</f>
        <v/>
      </c>
      <c r="CH11" s="350">
        <f>IF(CH$3="","",0)</f>
        <v/>
      </c>
      <c r="CI11" s="350">
        <f>IF(CI$3="","",0)</f>
        <v/>
      </c>
      <c r="CJ11" s="350">
        <f>IF(CJ$3="","",0)</f>
        <v/>
      </c>
      <c r="CK11" s="350">
        <f>IF(CK$3="","",0)</f>
        <v/>
      </c>
      <c r="CL11" s="350">
        <f>IF(CL$3="","",0)</f>
        <v/>
      </c>
      <c r="CM11" s="350">
        <f>IF(CM$3="","",0)</f>
        <v/>
      </c>
      <c r="CN11" s="350">
        <f>IF(CN$3="","",0)</f>
        <v/>
      </c>
      <c r="CO11" s="350">
        <f>IF(CO$3="","",0)</f>
        <v/>
      </c>
      <c r="CP11" s="350">
        <f>IF(CP$3="","",0)</f>
        <v/>
      </c>
      <c r="CQ11" s="350">
        <f>IF(CQ$3="","",0)</f>
        <v/>
      </c>
      <c r="CR11" s="350">
        <f>IF(CR$3="","",0)</f>
        <v/>
      </c>
      <c r="CS11" s="350">
        <f>IF(CS$3="","",0)</f>
        <v/>
      </c>
      <c r="CT11" s="350">
        <f>IF(CT$3="","",0)</f>
        <v/>
      </c>
      <c r="CU11" s="350">
        <f>IF(CU$3="","",0)</f>
        <v/>
      </c>
      <c r="CV11" s="350">
        <f>IF(CV$3="","",0)</f>
        <v/>
      </c>
      <c r="CW11" s="350">
        <f>IF(CW$3="","",0)</f>
        <v/>
      </c>
    </row>
    <row r="12" ht="15" customHeight="1" s="180">
      <c r="A12" s="220" t="inlineStr">
        <is>
          <t>児童手当</t>
        </is>
      </c>
      <c r="B12" s="350">
        <f>IF(B$3="","",IF(AND(B6&lt;&gt;"",B6&lt;=前提条件!$C$8),IF(1&gt;=3,30000,IF(B6&lt;3,15000,10000))*6,0)+IF(AND(B7&lt;&gt;"",B7&lt;=前提条件!$C$8),IF(2&gt;=3,30000,IF(B7&lt;3,15000,10000))*6,0)+IF(AND(B8&lt;&gt;"",B8&lt;=前提条件!$C$8),30000*6,0))</f>
        <v/>
      </c>
      <c r="C12" s="350">
        <f>IF(C$3="","",IF(AND(C6&lt;&gt;"",C6&lt;=前提条件!$C$8),IF(1&gt;=3,30000,IF(C6&lt;3,15000,10000))*6,0)+IF(AND(C7&lt;&gt;"",C7&lt;=前提条件!$C$8),IF(2&gt;=3,30000,IF(C7&lt;3,15000,10000))*6,0)+IF(AND(C8&lt;&gt;"",C8&lt;=前提条件!$C$8),30000*6,0))</f>
        <v/>
      </c>
      <c r="D12" s="350">
        <f>IF(D$3="","",IF(AND(D6&lt;&gt;"",D6&lt;=前提条件!$C$8),IF(1&gt;=3,30000,IF(D6&lt;3,15000,10000))*6,0)+IF(AND(D7&lt;&gt;"",D7&lt;=前提条件!$C$8),IF(2&gt;=3,30000,IF(D7&lt;3,15000,10000))*6,0)+IF(AND(D8&lt;&gt;"",D8&lt;=前提条件!$C$8),30000*6,0))</f>
        <v/>
      </c>
      <c r="E12" s="350">
        <f>IF(E$3="","",IF(AND(E6&lt;&gt;"",E6&lt;=前提条件!$C$8),IF(1&gt;=3,30000,IF(E6&lt;3,15000,10000))*6,0)+IF(AND(E7&lt;&gt;"",E7&lt;=前提条件!$C$8),IF(2&gt;=3,30000,IF(E7&lt;3,15000,10000))*6,0)+IF(AND(E8&lt;&gt;"",E8&lt;=前提条件!$C$8),30000*6,0))</f>
        <v/>
      </c>
      <c r="F12" s="350">
        <f>IF(F$3="","",IF(AND(F6&lt;&gt;"",F6&lt;=前提条件!$C$8),IF(1&gt;=3,30000,IF(F6&lt;3,15000,10000))*6,0)+IF(AND(F7&lt;&gt;"",F7&lt;=前提条件!$C$8),IF(2&gt;=3,30000,IF(F7&lt;3,15000,10000))*6,0)+IF(AND(F8&lt;&gt;"",F8&lt;=前提条件!$C$8),30000*6,0))</f>
        <v/>
      </c>
      <c r="G12" s="350">
        <f>IF(G$3="","",IF(AND(G6&lt;&gt;"",G6&lt;=前提条件!$C$8),IF(1&gt;=3,30000,IF(G6&lt;3,15000,10000))*6,0)+IF(AND(G7&lt;&gt;"",G7&lt;=前提条件!$C$8),IF(2&gt;=3,30000,IF(G7&lt;3,15000,10000))*6,0)+IF(AND(G8&lt;&gt;"",G8&lt;=前提条件!$C$8),30000*6,0))</f>
        <v/>
      </c>
      <c r="H12" s="350">
        <f>IF(H$3="","",IF(AND(H6&lt;&gt;"",H6&lt;=前提条件!$C$8),IF(1&gt;=3,30000,IF(H6&lt;3,15000,10000))*6,0)+IF(AND(H7&lt;&gt;"",H7&lt;=前提条件!$C$8),IF(2&gt;=3,30000,IF(H7&lt;3,15000,10000))*6,0)+IF(AND(H8&lt;&gt;"",H8&lt;=前提条件!$C$8),30000*6,0))</f>
        <v/>
      </c>
      <c r="I12" s="350">
        <f>IF(I$3="","",IF(AND(I6&lt;&gt;"",I6&lt;=前提条件!$C$8),IF(1&gt;=3,30000,IF(I6&lt;3,15000,10000))*6,0)+IF(AND(I7&lt;&gt;"",I7&lt;=前提条件!$C$8),IF(2&gt;=3,30000,IF(I7&lt;3,15000,10000))*6,0)+IF(AND(I8&lt;&gt;"",I8&lt;=前提条件!$C$8),30000*6,0))</f>
        <v/>
      </c>
      <c r="J12" s="350">
        <f>IF(J$3="","",IF(AND(J6&lt;&gt;"",J6&lt;=前提条件!$C$8),IF(1&gt;=3,30000,IF(J6&lt;3,15000,10000))*6,0)+IF(AND(J7&lt;&gt;"",J7&lt;=前提条件!$C$8),IF(2&gt;=3,30000,IF(J7&lt;3,15000,10000))*6,0)+IF(AND(J8&lt;&gt;"",J8&lt;=前提条件!$C$8),30000*6,0))</f>
        <v/>
      </c>
      <c r="K12" s="350">
        <f>IF(K$3="","",IF(AND(K6&lt;&gt;"",K6&lt;=前提条件!$C$8),IF(1&gt;=3,30000,IF(K6&lt;3,15000,10000))*6,0)+IF(AND(K7&lt;&gt;"",K7&lt;=前提条件!$C$8),IF(2&gt;=3,30000,IF(K7&lt;3,15000,10000))*6,0)+IF(AND(K8&lt;&gt;"",K8&lt;=前提条件!$C$8),30000*6,0))</f>
        <v/>
      </c>
      <c r="L12" s="350">
        <f>IF(L$3="","",IF(AND(L6&lt;&gt;"",L6&lt;=前提条件!$C$8),IF(1&gt;=3,30000,IF(L6&lt;3,15000,10000))*6,0)+IF(AND(L7&lt;&gt;"",L7&lt;=前提条件!$C$8),IF(2&gt;=3,30000,IF(L7&lt;3,15000,10000))*6,0)+IF(AND(L8&lt;&gt;"",L8&lt;=前提条件!$C$8),30000*6,0))</f>
        <v/>
      </c>
      <c r="M12" s="350">
        <f>IF(M$3="","",IF(AND(M6&lt;&gt;"",M6&lt;=前提条件!$C$8),IF(1&gt;=3,30000,IF(M6&lt;3,15000,10000))*6,0)+IF(AND(M7&lt;&gt;"",M7&lt;=前提条件!$C$8),IF(2&gt;=3,30000,IF(M7&lt;3,15000,10000))*6,0)+IF(AND(M8&lt;&gt;"",M8&lt;=前提条件!$C$8),30000*6,0))</f>
        <v/>
      </c>
      <c r="N12" s="350">
        <f>IF(N$3="","",IF(AND(N6&lt;&gt;"",N6&lt;=前提条件!$C$8),IF(1&gt;=3,30000,IF(N6&lt;3,15000,10000))*6,0)+IF(AND(N7&lt;&gt;"",N7&lt;=前提条件!$C$8),IF(2&gt;=3,30000,IF(N7&lt;3,15000,10000))*6,0)+IF(AND(N8&lt;&gt;"",N8&lt;=前提条件!$C$8),30000*6,0))</f>
        <v/>
      </c>
      <c r="O12" s="350">
        <f>IF(O$3="","",IF(AND(O6&lt;&gt;"",O6&lt;=前提条件!$C$8),IF(1&gt;=3,30000,IF(O6&lt;3,15000,10000))*6,0)+IF(AND(O7&lt;&gt;"",O7&lt;=前提条件!$C$8),IF(2&gt;=3,30000,IF(O7&lt;3,15000,10000))*6,0)+IF(AND(O8&lt;&gt;"",O8&lt;=前提条件!$C$8),30000*6,0))</f>
        <v/>
      </c>
      <c r="P12" s="350">
        <f>IF(P$3="","",IF(AND(P6&lt;&gt;"",P6&lt;=前提条件!$C$8),IF(1&gt;=3,30000,IF(P6&lt;3,15000,10000))*6,0)+IF(AND(P7&lt;&gt;"",P7&lt;=前提条件!$C$8),IF(2&gt;=3,30000,IF(P7&lt;3,15000,10000))*6,0)+IF(AND(P8&lt;&gt;"",P8&lt;=前提条件!$C$8),30000*6,0))</f>
        <v/>
      </c>
      <c r="Q12" s="350">
        <f>IF(Q$3="","",IF(AND(Q6&lt;&gt;"",Q6&lt;=前提条件!$C$8),IF(1&gt;=3,30000,IF(Q6&lt;3,15000,10000))*6,0)+IF(AND(Q7&lt;&gt;"",Q7&lt;=前提条件!$C$8),IF(2&gt;=3,30000,IF(Q7&lt;3,15000,10000))*6,0)+IF(AND(Q8&lt;&gt;"",Q8&lt;=前提条件!$C$8),30000*6,0))</f>
        <v/>
      </c>
      <c r="R12" s="350">
        <f>IF(R$3="","",IF(AND(R6&lt;&gt;"",R6&lt;=前提条件!$C$8),IF(1&gt;=3,30000,IF(R6&lt;3,15000,10000))*6,0)+IF(AND(R7&lt;&gt;"",R7&lt;=前提条件!$C$8),IF(2&gt;=3,30000,IF(R7&lt;3,15000,10000))*6,0)+IF(AND(R8&lt;&gt;"",R8&lt;=前提条件!$C$8),30000*6,0))</f>
        <v/>
      </c>
      <c r="S12" s="350">
        <f>IF(S$3="","",IF(AND(S6&lt;&gt;"",S6&lt;=前提条件!$C$8),IF(1&gt;=3,30000,IF(S6&lt;3,15000,10000))*6,0)+IF(AND(S7&lt;&gt;"",S7&lt;=前提条件!$C$8),IF(2&gt;=3,30000,IF(S7&lt;3,15000,10000))*6,0)+IF(AND(S8&lt;&gt;"",S8&lt;=前提条件!$C$8),30000*6,0))</f>
        <v/>
      </c>
      <c r="T12" s="350">
        <f>IF(T$3="","",IF(AND(T6&lt;&gt;"",T6&lt;=前提条件!$C$8),IF(1&gt;=3,30000,IF(T6&lt;3,15000,10000))*6,0)+IF(AND(T7&lt;&gt;"",T7&lt;=前提条件!$C$8),IF(2&gt;=3,30000,IF(T7&lt;3,15000,10000))*6,0)+IF(AND(T8&lt;&gt;"",T8&lt;=前提条件!$C$8),30000*6,0))</f>
        <v/>
      </c>
      <c r="U12" s="350">
        <f>IF(U$3="","",IF(AND(U6&lt;&gt;"",U6&lt;=前提条件!$C$8),IF(1&gt;=3,30000,IF(U6&lt;3,15000,10000))*6,0)+IF(AND(U7&lt;&gt;"",U7&lt;=前提条件!$C$8),IF(2&gt;=3,30000,IF(U7&lt;3,15000,10000))*6,0)+IF(AND(U8&lt;&gt;"",U8&lt;=前提条件!$C$8),30000*6,0))</f>
        <v/>
      </c>
      <c r="V12" s="350">
        <f>IF(V$3="","",IF(AND(V6&lt;&gt;"",V6&lt;=前提条件!$C$8),IF(1&gt;=3,30000,IF(V6&lt;3,15000,10000))*6,0)+IF(AND(V7&lt;&gt;"",V7&lt;=前提条件!$C$8),IF(2&gt;=3,30000,IF(V7&lt;3,15000,10000))*6,0)+IF(AND(V8&lt;&gt;"",V8&lt;=前提条件!$C$8),30000*6,0))</f>
        <v/>
      </c>
      <c r="W12" s="350">
        <f>IF(W$3="","",IF(AND(W6&lt;&gt;"",W6&lt;=前提条件!$C$8),IF(1&gt;=3,30000,IF(W6&lt;3,15000,10000))*6,0)+IF(AND(W7&lt;&gt;"",W7&lt;=前提条件!$C$8),IF(2&gt;=3,30000,IF(W7&lt;3,15000,10000))*6,0)+IF(AND(W8&lt;&gt;"",W8&lt;=前提条件!$C$8),30000*6,0))</f>
        <v/>
      </c>
      <c r="X12" s="350">
        <f>IF(X$3="","",IF(AND(X6&lt;&gt;"",X6&lt;=前提条件!$C$8),IF(1&gt;=3,30000,IF(X6&lt;3,15000,10000))*6,0)+IF(AND(X7&lt;&gt;"",X7&lt;=前提条件!$C$8),IF(2&gt;=3,30000,IF(X7&lt;3,15000,10000))*6,0)+IF(AND(X8&lt;&gt;"",X8&lt;=前提条件!$C$8),30000*6,0))</f>
        <v/>
      </c>
      <c r="Y12" s="350">
        <f>IF(Y$3="","",IF(AND(Y6&lt;&gt;"",Y6&lt;=前提条件!$C$8),IF(1&gt;=3,30000,IF(Y6&lt;3,15000,10000))*6,0)+IF(AND(Y7&lt;&gt;"",Y7&lt;=前提条件!$C$8),IF(2&gt;=3,30000,IF(Y7&lt;3,15000,10000))*6,0)+IF(AND(Y8&lt;&gt;"",Y8&lt;=前提条件!$C$8),30000*6,0))</f>
        <v/>
      </c>
      <c r="Z12" s="350">
        <f>IF(Z$3="","",IF(AND(Z6&lt;&gt;"",Z6&lt;=前提条件!$C$8),IF(1&gt;=3,30000,IF(Z6&lt;3,15000,10000))*6,0)+IF(AND(Z7&lt;&gt;"",Z7&lt;=前提条件!$C$8),IF(2&gt;=3,30000,IF(Z7&lt;3,15000,10000))*6,0)+IF(AND(Z8&lt;&gt;"",Z8&lt;=前提条件!$C$8),30000*6,0))</f>
        <v/>
      </c>
      <c r="AA12" s="350">
        <f>IF(AA$3="","",IF(AND(AA6&lt;&gt;"",AA6&lt;=前提条件!$C$8),IF(1&gt;=3,30000,IF(AA6&lt;3,15000,10000))*6,0)+IF(AND(AA7&lt;&gt;"",AA7&lt;=前提条件!$C$8),IF(2&gt;=3,30000,IF(AA7&lt;3,15000,10000))*6,0)+IF(AND(AA8&lt;&gt;"",AA8&lt;=前提条件!$C$8),30000*6,0))</f>
        <v/>
      </c>
      <c r="AB12" s="350">
        <f>IF(AB$3="","",IF(AND(AB6&lt;&gt;"",AB6&lt;=前提条件!$C$8),IF(1&gt;=3,30000,IF(AB6&lt;3,15000,10000))*6,0)+IF(AND(AB7&lt;&gt;"",AB7&lt;=前提条件!$C$8),IF(2&gt;=3,30000,IF(AB7&lt;3,15000,10000))*6,0)+IF(AND(AB8&lt;&gt;"",AB8&lt;=前提条件!$C$8),30000*6,0))</f>
        <v/>
      </c>
      <c r="AC12" s="350">
        <f>IF(AC$3="","",IF(AND(AC6&lt;&gt;"",AC6&lt;=前提条件!$C$8),IF(1&gt;=3,30000,IF(AC6&lt;3,15000,10000))*6,0)+IF(AND(AC7&lt;&gt;"",AC7&lt;=前提条件!$C$8),IF(2&gt;=3,30000,IF(AC7&lt;3,15000,10000))*6,0)+IF(AND(AC8&lt;&gt;"",AC8&lt;=前提条件!$C$8),30000*6,0))</f>
        <v/>
      </c>
      <c r="AD12" s="350">
        <f>IF(AD$3="","",IF(AND(AD6&lt;&gt;"",AD6&lt;=前提条件!$C$8),IF(1&gt;=3,30000,IF(AD6&lt;3,15000,10000))*6,0)+IF(AND(AD7&lt;&gt;"",AD7&lt;=前提条件!$C$8),IF(2&gt;=3,30000,IF(AD7&lt;3,15000,10000))*6,0)+IF(AND(AD8&lt;&gt;"",AD8&lt;=前提条件!$C$8),30000*6,0))</f>
        <v/>
      </c>
      <c r="AE12" s="350">
        <f>IF(AE$3="","",IF(AND(AE6&lt;&gt;"",AE6&lt;=前提条件!$C$8),IF(1&gt;=3,30000,IF(AE6&lt;3,15000,10000))*6,0)+IF(AND(AE7&lt;&gt;"",AE7&lt;=前提条件!$C$8),IF(2&gt;=3,30000,IF(AE7&lt;3,15000,10000))*6,0)+IF(AND(AE8&lt;&gt;"",AE8&lt;=前提条件!$C$8),30000*6,0))</f>
        <v/>
      </c>
      <c r="AF12" s="350">
        <f>IF(AF$3="","",IF(AND(AF6&lt;&gt;"",AF6&lt;=前提条件!$C$8),IF(1&gt;=3,30000,IF(AF6&lt;3,15000,10000))*6,0)+IF(AND(AF7&lt;&gt;"",AF7&lt;=前提条件!$C$8),IF(2&gt;=3,30000,IF(AF7&lt;3,15000,10000))*6,0)+IF(AND(AF8&lt;&gt;"",AF8&lt;=前提条件!$C$8),30000*6,0))</f>
        <v/>
      </c>
      <c r="AG12" s="350">
        <f>IF(AG$3="","",IF(AND(AG6&lt;&gt;"",AG6&lt;=前提条件!$C$8),IF(1&gt;=3,30000,IF(AG6&lt;3,15000,10000))*6,0)+IF(AND(AG7&lt;&gt;"",AG7&lt;=前提条件!$C$8),IF(2&gt;=3,30000,IF(AG7&lt;3,15000,10000))*6,0)+IF(AND(AG8&lt;&gt;"",AG8&lt;=前提条件!$C$8),30000*6,0))</f>
        <v/>
      </c>
      <c r="AH12" s="350">
        <f>IF(AH$3="","",IF(AND(AH6&lt;&gt;"",AH6&lt;=前提条件!$C$8),IF(1&gt;=3,30000,IF(AH6&lt;3,15000,10000))*6,0)+IF(AND(AH7&lt;&gt;"",AH7&lt;=前提条件!$C$8),IF(2&gt;=3,30000,IF(AH7&lt;3,15000,10000))*6,0)+IF(AND(AH8&lt;&gt;"",AH8&lt;=前提条件!$C$8),30000*6,0))</f>
        <v/>
      </c>
      <c r="AI12" s="350">
        <f>IF(AI$3="","",IF(AND(AI6&lt;&gt;"",AI6&lt;=前提条件!$C$8),IF(1&gt;=3,30000,IF(AI6&lt;3,15000,10000))*6,0)+IF(AND(AI7&lt;&gt;"",AI7&lt;=前提条件!$C$8),IF(2&gt;=3,30000,IF(AI7&lt;3,15000,10000))*6,0)+IF(AND(AI8&lt;&gt;"",AI8&lt;=前提条件!$C$8),30000*6,0))</f>
        <v/>
      </c>
      <c r="AJ12" s="350">
        <f>IF(AJ$3="","",IF(AND(AJ6&lt;&gt;"",AJ6&lt;=前提条件!$C$8),IF(1&gt;=3,30000,IF(AJ6&lt;3,15000,10000))*6,0)+IF(AND(AJ7&lt;&gt;"",AJ7&lt;=前提条件!$C$8),IF(2&gt;=3,30000,IF(AJ7&lt;3,15000,10000))*6,0)+IF(AND(AJ8&lt;&gt;"",AJ8&lt;=前提条件!$C$8),30000*6,0))</f>
        <v/>
      </c>
      <c r="AK12" s="350">
        <f>IF(AK$3="","",IF(AND(AK6&lt;&gt;"",AK6&lt;=前提条件!$C$8),IF(1&gt;=3,30000,IF(AK6&lt;3,15000,10000))*6,0)+IF(AND(AK7&lt;&gt;"",AK7&lt;=前提条件!$C$8),IF(2&gt;=3,30000,IF(AK7&lt;3,15000,10000))*6,0)+IF(AND(AK8&lt;&gt;"",AK8&lt;=前提条件!$C$8),30000*6,0))</f>
        <v/>
      </c>
      <c r="AL12" s="350">
        <f>IF(AL$3="","",IF(AND(AL6&lt;&gt;"",AL6&lt;=前提条件!$C$8),IF(1&gt;=3,30000,IF(AL6&lt;3,15000,10000))*6,0)+IF(AND(AL7&lt;&gt;"",AL7&lt;=前提条件!$C$8),IF(2&gt;=3,30000,IF(AL7&lt;3,15000,10000))*6,0)+IF(AND(AL8&lt;&gt;"",AL8&lt;=前提条件!$C$8),30000*6,0))</f>
        <v/>
      </c>
      <c r="AM12" s="350">
        <f>IF(AM$3="","",IF(AND(AM6&lt;&gt;"",AM6&lt;=前提条件!$C$8),IF(1&gt;=3,30000,IF(AM6&lt;3,15000,10000))*6,0)+IF(AND(AM7&lt;&gt;"",AM7&lt;=前提条件!$C$8),IF(2&gt;=3,30000,IF(AM7&lt;3,15000,10000))*6,0)+IF(AND(AM8&lt;&gt;"",AM8&lt;=前提条件!$C$8),30000*6,0))</f>
        <v/>
      </c>
      <c r="AN12" s="350">
        <f>IF(AN$3="","",IF(AND(AN6&lt;&gt;"",AN6&lt;=前提条件!$C$8),IF(1&gt;=3,30000,IF(AN6&lt;3,15000,10000))*6,0)+IF(AND(AN7&lt;&gt;"",AN7&lt;=前提条件!$C$8),IF(2&gt;=3,30000,IF(AN7&lt;3,15000,10000))*6,0)+IF(AND(AN8&lt;&gt;"",AN8&lt;=前提条件!$C$8),30000*6,0))</f>
        <v/>
      </c>
      <c r="AO12" s="350">
        <f>IF(AO$3="","",IF(AND(AO6&lt;&gt;"",AO6&lt;=前提条件!$C$8),IF(1&gt;=3,30000,IF(AO6&lt;3,15000,10000))*6,0)+IF(AND(AO7&lt;&gt;"",AO7&lt;=前提条件!$C$8),IF(2&gt;=3,30000,IF(AO7&lt;3,15000,10000))*6,0)+IF(AND(AO8&lt;&gt;"",AO8&lt;=前提条件!$C$8),30000*6,0))</f>
        <v/>
      </c>
      <c r="AP12" s="350">
        <f>IF(AP$3="","",IF(AND(AP6&lt;&gt;"",AP6&lt;=前提条件!$C$8),IF(1&gt;=3,30000,IF(AP6&lt;3,15000,10000))*6,0)+IF(AND(AP7&lt;&gt;"",AP7&lt;=前提条件!$C$8),IF(2&gt;=3,30000,IF(AP7&lt;3,15000,10000))*6,0)+IF(AND(AP8&lt;&gt;"",AP8&lt;=前提条件!$C$8),30000*6,0))</f>
        <v/>
      </c>
      <c r="AQ12" s="350">
        <f>IF(AQ$3="","",IF(AND(AQ6&lt;&gt;"",AQ6&lt;=前提条件!$C$8),IF(1&gt;=3,30000,IF(AQ6&lt;3,15000,10000))*6,0)+IF(AND(AQ7&lt;&gt;"",AQ7&lt;=前提条件!$C$8),IF(2&gt;=3,30000,IF(AQ7&lt;3,15000,10000))*6,0)+IF(AND(AQ8&lt;&gt;"",AQ8&lt;=前提条件!$C$8),30000*6,0))</f>
        <v/>
      </c>
      <c r="AR12" s="350">
        <f>IF(AR$3="","",IF(AND(AR6&lt;&gt;"",AR6&lt;=前提条件!$C$8),IF(1&gt;=3,30000,IF(AR6&lt;3,15000,10000))*6,0)+IF(AND(AR7&lt;&gt;"",AR7&lt;=前提条件!$C$8),IF(2&gt;=3,30000,IF(AR7&lt;3,15000,10000))*6,0)+IF(AND(AR8&lt;&gt;"",AR8&lt;=前提条件!$C$8),30000*6,0))</f>
        <v/>
      </c>
      <c r="AS12" s="350">
        <f>IF(AS$3="","",IF(AND(AS6&lt;&gt;"",AS6&lt;=前提条件!$C$8),IF(1&gt;=3,30000,IF(AS6&lt;3,15000,10000))*6,0)+IF(AND(AS7&lt;&gt;"",AS7&lt;=前提条件!$C$8),IF(2&gt;=3,30000,IF(AS7&lt;3,15000,10000))*6,0)+IF(AND(AS8&lt;&gt;"",AS8&lt;=前提条件!$C$8),30000*6,0))</f>
        <v/>
      </c>
      <c r="AT12" s="350">
        <f>IF(AT$3="","",IF(AND(AT6&lt;&gt;"",AT6&lt;=前提条件!$C$8),IF(1&gt;=3,30000,IF(AT6&lt;3,15000,10000))*6,0)+IF(AND(AT7&lt;&gt;"",AT7&lt;=前提条件!$C$8),IF(2&gt;=3,30000,IF(AT7&lt;3,15000,10000))*6,0)+IF(AND(AT8&lt;&gt;"",AT8&lt;=前提条件!$C$8),30000*6,0))</f>
        <v/>
      </c>
      <c r="AU12" s="350">
        <f>IF(AU$3="","",IF(AND(AU6&lt;&gt;"",AU6&lt;=前提条件!$C$8),IF(1&gt;=3,30000,IF(AU6&lt;3,15000,10000))*6,0)+IF(AND(AU7&lt;&gt;"",AU7&lt;=前提条件!$C$8),IF(2&gt;=3,30000,IF(AU7&lt;3,15000,10000))*6,0)+IF(AND(AU8&lt;&gt;"",AU8&lt;=前提条件!$C$8),30000*6,0))</f>
        <v/>
      </c>
      <c r="AV12" s="350">
        <f>IF(AV$3="","",IF(AND(AV6&lt;&gt;"",AV6&lt;=前提条件!$C$8),IF(1&gt;=3,30000,IF(AV6&lt;3,15000,10000))*6,0)+IF(AND(AV7&lt;&gt;"",AV7&lt;=前提条件!$C$8),IF(2&gt;=3,30000,IF(AV7&lt;3,15000,10000))*6,0)+IF(AND(AV8&lt;&gt;"",AV8&lt;=前提条件!$C$8),30000*6,0))</f>
        <v/>
      </c>
      <c r="AW12" s="350">
        <f>IF(AW$3="","",IF(AND(AW6&lt;&gt;"",AW6&lt;=前提条件!$C$8),IF(1&gt;=3,30000,IF(AW6&lt;3,15000,10000))*6,0)+IF(AND(AW7&lt;&gt;"",AW7&lt;=前提条件!$C$8),IF(2&gt;=3,30000,IF(AW7&lt;3,15000,10000))*6,0)+IF(AND(AW8&lt;&gt;"",AW8&lt;=前提条件!$C$8),30000*6,0))</f>
        <v/>
      </c>
      <c r="AX12" s="350">
        <f>IF(AX$3="","",IF(AND(AX6&lt;&gt;"",AX6&lt;=前提条件!$C$8),IF(1&gt;=3,30000,IF(AX6&lt;3,15000,10000))*6,0)+IF(AND(AX7&lt;&gt;"",AX7&lt;=前提条件!$C$8),IF(2&gt;=3,30000,IF(AX7&lt;3,15000,10000))*6,0)+IF(AND(AX8&lt;&gt;"",AX8&lt;=前提条件!$C$8),30000*6,0))</f>
        <v/>
      </c>
      <c r="AY12" s="350">
        <f>IF(AY$3="","",IF(AND(AY6&lt;&gt;"",AY6&lt;=前提条件!$C$8),IF(1&gt;=3,30000,IF(AY6&lt;3,15000,10000))*6,0)+IF(AND(AY7&lt;&gt;"",AY7&lt;=前提条件!$C$8),IF(2&gt;=3,30000,IF(AY7&lt;3,15000,10000))*6,0)+IF(AND(AY8&lt;&gt;"",AY8&lt;=前提条件!$C$8),30000*6,0))</f>
        <v/>
      </c>
      <c r="AZ12" s="350">
        <f>IF(AZ$3="","",IF(AND(AZ6&lt;&gt;"",AZ6&lt;=前提条件!$C$8),IF(1&gt;=3,30000,IF(AZ6&lt;3,15000,10000))*6,0)+IF(AND(AZ7&lt;&gt;"",AZ7&lt;=前提条件!$C$8),IF(2&gt;=3,30000,IF(AZ7&lt;3,15000,10000))*6,0)+IF(AND(AZ8&lt;&gt;"",AZ8&lt;=前提条件!$C$8),30000*6,0))</f>
        <v/>
      </c>
      <c r="BA12" s="350">
        <f>IF(BA$3="","",IF(AND(BA6&lt;&gt;"",BA6&lt;=前提条件!$C$8),IF(1&gt;=3,30000,IF(BA6&lt;3,15000,10000))*6,0)+IF(AND(BA7&lt;&gt;"",BA7&lt;=前提条件!$C$8),IF(2&gt;=3,30000,IF(BA7&lt;3,15000,10000))*6,0)+IF(AND(BA8&lt;&gt;"",BA8&lt;=前提条件!$C$8),30000*6,0))</f>
        <v/>
      </c>
      <c r="BB12" s="350">
        <f>IF(BB$3="","",IF(AND(BB6&lt;&gt;"",BB6&lt;=前提条件!$C$8),IF(1&gt;=3,30000,IF(BB6&lt;3,15000,10000))*6,0)+IF(AND(BB7&lt;&gt;"",BB7&lt;=前提条件!$C$8),IF(2&gt;=3,30000,IF(BB7&lt;3,15000,10000))*6,0)+IF(AND(BB8&lt;&gt;"",BB8&lt;=前提条件!$C$8),30000*6,0))</f>
        <v/>
      </c>
      <c r="BC12" s="350">
        <f>IF(BC$3="","",IF(AND(BC6&lt;&gt;"",BC6&lt;=前提条件!$C$8),IF(1&gt;=3,30000,IF(BC6&lt;3,15000,10000))*6,0)+IF(AND(BC7&lt;&gt;"",BC7&lt;=前提条件!$C$8),IF(2&gt;=3,30000,IF(BC7&lt;3,15000,10000))*6,0)+IF(AND(BC8&lt;&gt;"",BC8&lt;=前提条件!$C$8),30000*6,0))</f>
        <v/>
      </c>
      <c r="BD12" s="350">
        <f>IF(BD$3="","",IF(AND(BD6&lt;&gt;"",BD6&lt;=前提条件!$C$8),IF(1&gt;=3,30000,IF(BD6&lt;3,15000,10000))*6,0)+IF(AND(BD7&lt;&gt;"",BD7&lt;=前提条件!$C$8),IF(2&gt;=3,30000,IF(BD7&lt;3,15000,10000))*6,0)+IF(AND(BD8&lt;&gt;"",BD8&lt;=前提条件!$C$8),30000*6,0))</f>
        <v/>
      </c>
      <c r="BE12" s="350">
        <f>IF(BE$3="","",IF(AND(BE6&lt;&gt;"",BE6&lt;=前提条件!$C$8),IF(1&gt;=3,30000,IF(BE6&lt;3,15000,10000))*6,0)+IF(AND(BE7&lt;&gt;"",BE7&lt;=前提条件!$C$8),IF(2&gt;=3,30000,IF(BE7&lt;3,15000,10000))*6,0)+IF(AND(BE8&lt;&gt;"",BE8&lt;=前提条件!$C$8),30000*6,0))</f>
        <v/>
      </c>
      <c r="BF12" s="350">
        <f>IF(BF$3="","",IF(AND(BF6&lt;&gt;"",BF6&lt;=前提条件!$C$8),IF(1&gt;=3,30000,IF(BF6&lt;3,15000,10000))*6,0)+IF(AND(BF7&lt;&gt;"",BF7&lt;=前提条件!$C$8),IF(2&gt;=3,30000,IF(BF7&lt;3,15000,10000))*6,0)+IF(AND(BF8&lt;&gt;"",BF8&lt;=前提条件!$C$8),30000*6,0))</f>
        <v/>
      </c>
      <c r="BG12" s="350">
        <f>IF(BG$3="","",IF(AND(BG6&lt;&gt;"",BG6&lt;=前提条件!$C$8),IF(1&gt;=3,30000,IF(BG6&lt;3,15000,10000))*6,0)+IF(AND(BG7&lt;&gt;"",BG7&lt;=前提条件!$C$8),IF(2&gt;=3,30000,IF(BG7&lt;3,15000,10000))*6,0)+IF(AND(BG8&lt;&gt;"",BG8&lt;=前提条件!$C$8),30000*6,0))</f>
        <v/>
      </c>
      <c r="BH12" s="350">
        <f>IF(BH$3="","",IF(AND(BH6&lt;&gt;"",BH6&lt;=前提条件!$C$8),IF(1&gt;=3,30000,IF(BH6&lt;3,15000,10000))*6,0)+IF(AND(BH7&lt;&gt;"",BH7&lt;=前提条件!$C$8),IF(2&gt;=3,30000,IF(BH7&lt;3,15000,10000))*6,0)+IF(AND(BH8&lt;&gt;"",BH8&lt;=前提条件!$C$8),30000*6,0))</f>
        <v/>
      </c>
      <c r="BI12" s="350">
        <f>IF(BI$3="","",IF(AND(BI6&lt;&gt;"",BI6&lt;=前提条件!$C$8),IF(1&gt;=3,30000,IF(BI6&lt;3,15000,10000))*6,0)+IF(AND(BI7&lt;&gt;"",BI7&lt;=前提条件!$C$8),IF(2&gt;=3,30000,IF(BI7&lt;3,15000,10000))*6,0)+IF(AND(BI8&lt;&gt;"",BI8&lt;=前提条件!$C$8),30000*6,0))</f>
        <v/>
      </c>
      <c r="BJ12" s="350">
        <f>IF(BJ$3="","",IF(AND(BJ6&lt;&gt;"",BJ6&lt;=前提条件!$C$8),IF(1&gt;=3,30000,IF(BJ6&lt;3,15000,10000))*6,0)+IF(AND(BJ7&lt;&gt;"",BJ7&lt;=前提条件!$C$8),IF(2&gt;=3,30000,IF(BJ7&lt;3,15000,10000))*6,0)+IF(AND(BJ8&lt;&gt;"",BJ8&lt;=前提条件!$C$8),30000*6,0))</f>
        <v/>
      </c>
      <c r="BK12" s="350">
        <f>IF(BK$3="","",IF(AND(BK6&lt;&gt;"",BK6&lt;=前提条件!$C$8),IF(1&gt;=3,30000,IF(BK6&lt;3,15000,10000))*6,0)+IF(AND(BK7&lt;&gt;"",BK7&lt;=前提条件!$C$8),IF(2&gt;=3,30000,IF(BK7&lt;3,15000,10000))*6,0)+IF(AND(BK8&lt;&gt;"",BK8&lt;=前提条件!$C$8),30000*6,0))</f>
        <v/>
      </c>
      <c r="BL12" s="350">
        <f>IF(BL$3="","",IF(AND(BL6&lt;&gt;"",BL6&lt;=前提条件!$C$8),IF(1&gt;=3,30000,IF(BL6&lt;3,15000,10000))*6,0)+IF(AND(BL7&lt;&gt;"",BL7&lt;=前提条件!$C$8),IF(2&gt;=3,30000,IF(BL7&lt;3,15000,10000))*6,0)+IF(AND(BL8&lt;&gt;"",BL8&lt;=前提条件!$C$8),30000*6,0))</f>
        <v/>
      </c>
      <c r="BM12" s="350">
        <f>IF(BM$3="","",IF(AND(BM6&lt;&gt;"",BM6&lt;=前提条件!$C$8),IF(1&gt;=3,30000,IF(BM6&lt;3,15000,10000))*6,0)+IF(AND(BM7&lt;&gt;"",BM7&lt;=前提条件!$C$8),IF(2&gt;=3,30000,IF(BM7&lt;3,15000,10000))*6,0)+IF(AND(BM8&lt;&gt;"",BM8&lt;=前提条件!$C$8),30000*6,0))</f>
        <v/>
      </c>
      <c r="BN12" s="350">
        <f>IF(BN$3="","",IF(AND(BN6&lt;&gt;"",BN6&lt;=前提条件!$C$8),IF(1&gt;=3,30000,IF(BN6&lt;3,15000,10000))*6,0)+IF(AND(BN7&lt;&gt;"",BN7&lt;=前提条件!$C$8),IF(2&gt;=3,30000,IF(BN7&lt;3,15000,10000))*6,0)+IF(AND(BN8&lt;&gt;"",BN8&lt;=前提条件!$C$8),30000*6,0))</f>
        <v/>
      </c>
      <c r="BO12" s="350">
        <f>IF(BO$3="","",IF(AND(BO6&lt;&gt;"",BO6&lt;=前提条件!$C$8),IF(1&gt;=3,30000,IF(BO6&lt;3,15000,10000))*6,0)+IF(AND(BO7&lt;&gt;"",BO7&lt;=前提条件!$C$8),IF(2&gt;=3,30000,IF(BO7&lt;3,15000,10000))*6,0)+IF(AND(BO8&lt;&gt;"",BO8&lt;=前提条件!$C$8),30000*6,0))</f>
        <v/>
      </c>
      <c r="BP12" s="350">
        <f>IF(BP$3="","",IF(AND(BP6&lt;&gt;"",BP6&lt;=前提条件!$C$8),IF(1&gt;=3,30000,IF(BP6&lt;3,15000,10000))*6,0)+IF(AND(BP7&lt;&gt;"",BP7&lt;=前提条件!$C$8),IF(2&gt;=3,30000,IF(BP7&lt;3,15000,10000))*6,0)+IF(AND(BP8&lt;&gt;"",BP8&lt;=前提条件!$C$8),30000*6,0))</f>
        <v/>
      </c>
      <c r="BQ12" s="350">
        <f>IF(BQ$3="","",IF(AND(BQ6&lt;&gt;"",BQ6&lt;=前提条件!$C$8),IF(1&gt;=3,30000,IF(BQ6&lt;3,15000,10000))*6,0)+IF(AND(BQ7&lt;&gt;"",BQ7&lt;=前提条件!$C$8),IF(2&gt;=3,30000,IF(BQ7&lt;3,15000,10000))*6,0)+IF(AND(BQ8&lt;&gt;"",BQ8&lt;=前提条件!$C$8),30000*6,0))</f>
        <v/>
      </c>
      <c r="BR12" s="350">
        <f>IF(BR$3="","",IF(AND(BR6&lt;&gt;"",BR6&lt;=前提条件!$C$8),IF(1&gt;=3,30000,IF(BR6&lt;3,15000,10000))*6,0)+IF(AND(BR7&lt;&gt;"",BR7&lt;=前提条件!$C$8),IF(2&gt;=3,30000,IF(BR7&lt;3,15000,10000))*6,0)+IF(AND(BR8&lt;&gt;"",BR8&lt;=前提条件!$C$8),30000*6,0))</f>
        <v/>
      </c>
      <c r="BS12" s="350">
        <f>IF(BS$3="","",IF(AND(BS6&lt;&gt;"",BS6&lt;=前提条件!$C$8),IF(1&gt;=3,30000,IF(BS6&lt;3,15000,10000))*6,0)+IF(AND(BS7&lt;&gt;"",BS7&lt;=前提条件!$C$8),IF(2&gt;=3,30000,IF(BS7&lt;3,15000,10000))*6,0)+IF(AND(BS8&lt;&gt;"",BS8&lt;=前提条件!$C$8),30000*6,0))</f>
        <v/>
      </c>
      <c r="BT12" s="350">
        <f>IF(BT$3="","",IF(AND(BT6&lt;&gt;"",BT6&lt;=前提条件!$C$8),IF(1&gt;=3,30000,IF(BT6&lt;3,15000,10000))*6,0)+IF(AND(BT7&lt;&gt;"",BT7&lt;=前提条件!$C$8),IF(2&gt;=3,30000,IF(BT7&lt;3,15000,10000))*6,0)+IF(AND(BT8&lt;&gt;"",BT8&lt;=前提条件!$C$8),30000*6,0))</f>
        <v/>
      </c>
      <c r="BU12" s="350">
        <f>IF(BU$3="","",IF(AND(BU6&lt;&gt;"",BU6&lt;=前提条件!$C$8),IF(1&gt;=3,30000,IF(BU6&lt;3,15000,10000))*6,0)+IF(AND(BU7&lt;&gt;"",BU7&lt;=前提条件!$C$8),IF(2&gt;=3,30000,IF(BU7&lt;3,15000,10000))*6,0)+IF(AND(BU8&lt;&gt;"",BU8&lt;=前提条件!$C$8),30000*6,0))</f>
        <v/>
      </c>
      <c r="BV12" s="350">
        <f>IF(BV$3="","",IF(AND(BV6&lt;&gt;"",BV6&lt;=前提条件!$C$8),IF(1&gt;=3,30000,IF(BV6&lt;3,15000,10000))*6,0)+IF(AND(BV7&lt;&gt;"",BV7&lt;=前提条件!$C$8),IF(2&gt;=3,30000,IF(BV7&lt;3,15000,10000))*6,0)+IF(AND(BV8&lt;&gt;"",BV8&lt;=前提条件!$C$8),30000*6,0))</f>
        <v/>
      </c>
      <c r="BW12" s="350">
        <f>IF(BW$3="","",IF(AND(BW6&lt;&gt;"",BW6&lt;=前提条件!$C$8),IF(1&gt;=3,30000,IF(BW6&lt;3,15000,10000))*6,0)+IF(AND(BW7&lt;&gt;"",BW7&lt;=前提条件!$C$8),IF(2&gt;=3,30000,IF(BW7&lt;3,15000,10000))*6,0)+IF(AND(BW8&lt;&gt;"",BW8&lt;=前提条件!$C$8),30000*6,0))</f>
        <v/>
      </c>
      <c r="BX12" s="350">
        <f>IF(BX$3="","",IF(AND(BX6&lt;&gt;"",BX6&lt;=前提条件!$C$8),IF(1&gt;=3,30000,IF(BX6&lt;3,15000,10000))*6,0)+IF(AND(BX7&lt;&gt;"",BX7&lt;=前提条件!$C$8),IF(2&gt;=3,30000,IF(BX7&lt;3,15000,10000))*6,0)+IF(AND(BX8&lt;&gt;"",BX8&lt;=前提条件!$C$8),30000*6,0))</f>
        <v/>
      </c>
      <c r="BY12" s="350">
        <f>IF(BY$3="","",IF(AND(BY6&lt;&gt;"",BY6&lt;=前提条件!$C$8),IF(1&gt;=3,30000,IF(BY6&lt;3,15000,10000))*6,0)+IF(AND(BY7&lt;&gt;"",BY7&lt;=前提条件!$C$8),IF(2&gt;=3,30000,IF(BY7&lt;3,15000,10000))*6,0)+IF(AND(BY8&lt;&gt;"",BY8&lt;=前提条件!$C$8),30000*6,0))</f>
        <v/>
      </c>
      <c r="BZ12" s="350">
        <f>IF(BZ$3="","",IF(AND(BZ6&lt;&gt;"",BZ6&lt;=前提条件!$C$8),IF(1&gt;=3,30000,IF(BZ6&lt;3,15000,10000))*6,0)+IF(AND(BZ7&lt;&gt;"",BZ7&lt;=前提条件!$C$8),IF(2&gt;=3,30000,IF(BZ7&lt;3,15000,10000))*6,0)+IF(AND(BZ8&lt;&gt;"",BZ8&lt;=前提条件!$C$8),30000*6,0))</f>
        <v/>
      </c>
      <c r="CA12" s="350">
        <f>IF(CA$3="","",IF(AND(CA6&lt;&gt;"",CA6&lt;=前提条件!$C$8),IF(1&gt;=3,30000,IF(CA6&lt;3,15000,10000))*6,0)+IF(AND(CA7&lt;&gt;"",CA7&lt;=前提条件!$C$8),IF(2&gt;=3,30000,IF(CA7&lt;3,15000,10000))*6,0)+IF(AND(CA8&lt;&gt;"",CA8&lt;=前提条件!$C$8),30000*6,0))</f>
        <v/>
      </c>
      <c r="CB12" s="350">
        <f>IF(CB$3="","",IF(AND(CB6&lt;&gt;"",CB6&lt;=前提条件!$C$8),IF(1&gt;=3,30000,IF(CB6&lt;3,15000,10000))*6,0)+IF(AND(CB7&lt;&gt;"",CB7&lt;=前提条件!$C$8),IF(2&gt;=3,30000,IF(CB7&lt;3,15000,10000))*6,0)+IF(AND(CB8&lt;&gt;"",CB8&lt;=前提条件!$C$8),30000*6,0))</f>
        <v/>
      </c>
      <c r="CC12" s="350">
        <f>IF(CC$3="","",IF(AND(CC6&lt;&gt;"",CC6&lt;=前提条件!$C$8),IF(1&gt;=3,30000,IF(CC6&lt;3,15000,10000))*6,0)+IF(AND(CC7&lt;&gt;"",CC7&lt;=前提条件!$C$8),IF(2&gt;=3,30000,IF(CC7&lt;3,15000,10000))*6,0)+IF(AND(CC8&lt;&gt;"",CC8&lt;=前提条件!$C$8),30000*6,0))</f>
        <v/>
      </c>
      <c r="CD12" s="350">
        <f>IF(CD$3="","",IF(AND(CD6&lt;&gt;"",CD6&lt;=前提条件!$C$8),IF(1&gt;=3,30000,IF(CD6&lt;3,15000,10000))*6,0)+IF(AND(CD7&lt;&gt;"",CD7&lt;=前提条件!$C$8),IF(2&gt;=3,30000,IF(CD7&lt;3,15000,10000))*6,0)+IF(AND(CD8&lt;&gt;"",CD8&lt;=前提条件!$C$8),30000*6,0))</f>
        <v/>
      </c>
      <c r="CE12" s="350">
        <f>IF(CE$3="","",IF(AND(CE6&lt;&gt;"",CE6&lt;=前提条件!$C$8),IF(1&gt;=3,30000,IF(CE6&lt;3,15000,10000))*6,0)+IF(AND(CE7&lt;&gt;"",CE7&lt;=前提条件!$C$8),IF(2&gt;=3,30000,IF(CE7&lt;3,15000,10000))*6,0)+IF(AND(CE8&lt;&gt;"",CE8&lt;=前提条件!$C$8),30000*6,0))</f>
        <v/>
      </c>
      <c r="CF12" s="350">
        <f>IF(CF$3="","",IF(AND(CF6&lt;&gt;"",CF6&lt;=前提条件!$C$8),IF(1&gt;=3,30000,IF(CF6&lt;3,15000,10000))*6,0)+IF(AND(CF7&lt;&gt;"",CF7&lt;=前提条件!$C$8),IF(2&gt;=3,30000,IF(CF7&lt;3,15000,10000))*6,0)+IF(AND(CF8&lt;&gt;"",CF8&lt;=前提条件!$C$8),30000*6,0))</f>
        <v/>
      </c>
      <c r="CG12" s="350">
        <f>IF(CG$3="","",IF(AND(CG6&lt;&gt;"",CG6&lt;=前提条件!$C$8),IF(1&gt;=3,30000,IF(CG6&lt;3,15000,10000))*6,0)+IF(AND(CG7&lt;&gt;"",CG7&lt;=前提条件!$C$8),IF(2&gt;=3,30000,IF(CG7&lt;3,15000,10000))*6,0)+IF(AND(CG8&lt;&gt;"",CG8&lt;=前提条件!$C$8),30000*6,0))</f>
        <v/>
      </c>
      <c r="CH12" s="350">
        <f>IF(CH$3="","",IF(AND(CH6&lt;&gt;"",CH6&lt;=前提条件!$C$8),IF(1&gt;=3,30000,IF(CH6&lt;3,15000,10000))*6,0)+IF(AND(CH7&lt;&gt;"",CH7&lt;=前提条件!$C$8),IF(2&gt;=3,30000,IF(CH7&lt;3,15000,10000))*6,0)+IF(AND(CH8&lt;&gt;"",CH8&lt;=前提条件!$C$8),30000*6,0))</f>
        <v/>
      </c>
      <c r="CI12" s="350">
        <f>IF(CI$3="","",IF(AND(CI6&lt;&gt;"",CI6&lt;=前提条件!$C$8),IF(1&gt;=3,30000,IF(CI6&lt;3,15000,10000))*6,0)+IF(AND(CI7&lt;&gt;"",CI7&lt;=前提条件!$C$8),IF(2&gt;=3,30000,IF(CI7&lt;3,15000,10000))*6,0)+IF(AND(CI8&lt;&gt;"",CI8&lt;=前提条件!$C$8),30000*6,0))</f>
        <v/>
      </c>
      <c r="CJ12" s="350">
        <f>IF(CJ$3="","",IF(AND(CJ6&lt;&gt;"",CJ6&lt;=前提条件!$C$8),IF(1&gt;=3,30000,IF(CJ6&lt;3,15000,10000))*6,0)+IF(AND(CJ7&lt;&gt;"",CJ7&lt;=前提条件!$C$8),IF(2&gt;=3,30000,IF(CJ7&lt;3,15000,10000))*6,0)+IF(AND(CJ8&lt;&gt;"",CJ8&lt;=前提条件!$C$8),30000*6,0))</f>
        <v/>
      </c>
      <c r="CK12" s="350">
        <f>IF(CK$3="","",IF(AND(CK6&lt;&gt;"",CK6&lt;=前提条件!$C$8),IF(1&gt;=3,30000,IF(CK6&lt;3,15000,10000))*6,0)+IF(AND(CK7&lt;&gt;"",CK7&lt;=前提条件!$C$8),IF(2&gt;=3,30000,IF(CK7&lt;3,15000,10000))*6,0)+IF(AND(CK8&lt;&gt;"",CK8&lt;=前提条件!$C$8),30000*6,0))</f>
        <v/>
      </c>
      <c r="CL12" s="350">
        <f>IF(CL$3="","",IF(AND(CL6&lt;&gt;"",CL6&lt;=前提条件!$C$8),IF(1&gt;=3,30000,IF(CL6&lt;3,15000,10000))*6,0)+IF(AND(CL7&lt;&gt;"",CL7&lt;=前提条件!$C$8),IF(2&gt;=3,30000,IF(CL7&lt;3,15000,10000))*6,0)+IF(AND(CL8&lt;&gt;"",CL8&lt;=前提条件!$C$8),30000*6,0))</f>
        <v/>
      </c>
      <c r="CM12" s="350">
        <f>IF(CM$3="","",IF(AND(CM6&lt;&gt;"",CM6&lt;=前提条件!$C$8),IF(1&gt;=3,30000,IF(CM6&lt;3,15000,10000))*6,0)+IF(AND(CM7&lt;&gt;"",CM7&lt;=前提条件!$C$8),IF(2&gt;=3,30000,IF(CM7&lt;3,15000,10000))*6,0)+IF(AND(CM8&lt;&gt;"",CM8&lt;=前提条件!$C$8),30000*6,0))</f>
        <v/>
      </c>
      <c r="CN12" s="350">
        <f>IF(CN$3="","",IF(AND(CN6&lt;&gt;"",CN6&lt;=前提条件!$C$8),IF(1&gt;=3,30000,IF(CN6&lt;3,15000,10000))*6,0)+IF(AND(CN7&lt;&gt;"",CN7&lt;=前提条件!$C$8),IF(2&gt;=3,30000,IF(CN7&lt;3,15000,10000))*6,0)+IF(AND(CN8&lt;&gt;"",CN8&lt;=前提条件!$C$8),30000*6,0))</f>
        <v/>
      </c>
      <c r="CO12" s="350">
        <f>IF(CO$3="","",IF(AND(CO6&lt;&gt;"",CO6&lt;=前提条件!$C$8),IF(1&gt;=3,30000,IF(CO6&lt;3,15000,10000))*6,0)+IF(AND(CO7&lt;&gt;"",CO7&lt;=前提条件!$C$8),IF(2&gt;=3,30000,IF(CO7&lt;3,15000,10000))*6,0)+IF(AND(CO8&lt;&gt;"",CO8&lt;=前提条件!$C$8),30000*6,0))</f>
        <v/>
      </c>
      <c r="CP12" s="350">
        <f>IF(CP$3="","",IF(AND(CP6&lt;&gt;"",CP6&lt;=前提条件!$C$8),IF(1&gt;=3,30000,IF(CP6&lt;3,15000,10000))*6,0)+IF(AND(CP7&lt;&gt;"",CP7&lt;=前提条件!$C$8),IF(2&gt;=3,30000,IF(CP7&lt;3,15000,10000))*6,0)+IF(AND(CP8&lt;&gt;"",CP8&lt;=前提条件!$C$8),30000*6,0))</f>
        <v/>
      </c>
      <c r="CQ12" s="350">
        <f>IF(CQ$3="","",IF(AND(CQ6&lt;&gt;"",CQ6&lt;=前提条件!$C$8),IF(1&gt;=3,30000,IF(CQ6&lt;3,15000,10000))*6,0)+IF(AND(CQ7&lt;&gt;"",CQ7&lt;=前提条件!$C$8),IF(2&gt;=3,30000,IF(CQ7&lt;3,15000,10000))*6,0)+IF(AND(CQ8&lt;&gt;"",CQ8&lt;=前提条件!$C$8),30000*6,0))</f>
        <v/>
      </c>
      <c r="CR12" s="350">
        <f>IF(CR$3="","",IF(AND(CR6&lt;&gt;"",CR6&lt;=前提条件!$C$8),IF(1&gt;=3,30000,IF(CR6&lt;3,15000,10000))*6,0)+IF(AND(CR7&lt;&gt;"",CR7&lt;=前提条件!$C$8),IF(2&gt;=3,30000,IF(CR7&lt;3,15000,10000))*6,0)+IF(AND(CR8&lt;&gt;"",CR8&lt;=前提条件!$C$8),30000*6,0))</f>
        <v/>
      </c>
      <c r="CS12" s="350">
        <f>IF(CS$3="","",IF(AND(CS6&lt;&gt;"",CS6&lt;=前提条件!$C$8),IF(1&gt;=3,30000,IF(CS6&lt;3,15000,10000))*6,0)+IF(AND(CS7&lt;&gt;"",CS7&lt;=前提条件!$C$8),IF(2&gt;=3,30000,IF(CS7&lt;3,15000,10000))*6,0)+IF(AND(CS8&lt;&gt;"",CS8&lt;=前提条件!$C$8),30000*6,0))</f>
        <v/>
      </c>
      <c r="CT12" s="350">
        <f>IF(CT$3="","",IF(AND(CT6&lt;&gt;"",CT6&lt;=前提条件!$C$8),IF(1&gt;=3,30000,IF(CT6&lt;3,15000,10000))*6,0)+IF(AND(CT7&lt;&gt;"",CT7&lt;=前提条件!$C$8),IF(2&gt;=3,30000,IF(CT7&lt;3,15000,10000))*6,0)+IF(AND(CT8&lt;&gt;"",CT8&lt;=前提条件!$C$8),30000*6,0))</f>
        <v/>
      </c>
      <c r="CU12" s="350">
        <f>IF(CU$3="","",IF(AND(CU6&lt;&gt;"",CU6&lt;=前提条件!$C$8),IF(1&gt;=3,30000,IF(CU6&lt;3,15000,10000))*6,0)+IF(AND(CU7&lt;&gt;"",CU7&lt;=前提条件!$C$8),IF(2&gt;=3,30000,IF(CU7&lt;3,15000,10000))*6,0)+IF(AND(CU8&lt;&gt;"",CU8&lt;=前提条件!$C$8),30000*6,0))</f>
        <v/>
      </c>
      <c r="CV12" s="350">
        <f>IF(CV$3="","",IF(AND(CV6&lt;&gt;"",CV6&lt;=前提条件!$C$8),IF(1&gt;=3,30000,IF(CV6&lt;3,15000,10000))*6,0)+IF(AND(CV7&lt;&gt;"",CV7&lt;=前提条件!$C$8),IF(2&gt;=3,30000,IF(CV7&lt;3,15000,10000))*6,0)+IF(AND(CV8&lt;&gt;"",CV8&lt;=前提条件!$C$8),30000*6,0))</f>
        <v/>
      </c>
      <c r="CW12" s="350">
        <f>IF(CW$3="","",IF(AND(CW6&lt;&gt;"",CW6&lt;=前提条件!$C$8),入力データ!$C$34*6,0)+IF(AND(CW7&lt;&gt;"",CW7&lt;=前提条件!$C$8),入力データ!$C$34*6,0)+IF(AND(CW8&lt;&gt;"",CW8&lt;=前提条件!$C$8),入力データ!$C$34*6,0))</f>
        <v/>
      </c>
    </row>
    <row r="13" ht="15" customHeight="1" s="180">
      <c r="A13" s="220" t="inlineStr">
        <is>
          <t>その他収入</t>
        </is>
      </c>
      <c r="B13" s="350">
        <f>IF(B$3="","",入力データ!$C$35*12+IF(AND(B4&lt;&gt;"",B4&lt;前提条件!$C$37),前提条件!$C$58*12,0))</f>
        <v/>
      </c>
      <c r="C13" s="350">
        <f>IF(C$3="","",入力データ!$C$35*12+IF(AND(C4&lt;&gt;"",C4&lt;前提条件!$C$37),前提条件!$C$58*12,0))</f>
        <v/>
      </c>
      <c r="D13" s="350">
        <f>IF(D$3="","",入力データ!$C$35*12+IF(AND(D4&lt;&gt;"",D4&lt;前提条件!$C$37),前提条件!$C$58*12,0))</f>
        <v/>
      </c>
      <c r="E13" s="350">
        <f>IF(E$3="","",入力データ!$C$35*12+IF(AND(E4&lt;&gt;"",E4&lt;前提条件!$C$37),前提条件!$C$58*12,0))</f>
        <v/>
      </c>
      <c r="F13" s="350">
        <f>IF(F$3="","",入力データ!$C$35*12+IF(AND(F4&lt;&gt;"",F4&lt;前提条件!$C$37),前提条件!$C$58*12,0))</f>
        <v/>
      </c>
      <c r="G13" s="350">
        <f>IF(G$3="","",入力データ!$C$35*12+IF(AND(G4&lt;&gt;"",G4&lt;前提条件!$C$37),前提条件!$C$58*12,0))</f>
        <v/>
      </c>
      <c r="H13" s="350">
        <f>IF(H$3="","",入力データ!$C$35*12+IF(AND(H4&lt;&gt;"",H4&lt;前提条件!$C$37),前提条件!$C$58*12,0))</f>
        <v/>
      </c>
      <c r="I13" s="350">
        <f>IF(I$3="","",入力データ!$C$35*12+IF(AND(I4&lt;&gt;"",I4&lt;前提条件!$C$37),前提条件!$C$58*12,0))</f>
        <v/>
      </c>
      <c r="J13" s="350">
        <f>IF(J$3="","",入力データ!$C$35*12+IF(AND(J4&lt;&gt;"",J4&lt;前提条件!$C$37),前提条件!$C$58*12,0))</f>
        <v/>
      </c>
      <c r="K13" s="350">
        <f>IF(K$3="","",入力データ!$C$35*12+IF(AND(K4&lt;&gt;"",K4&lt;前提条件!$C$37),前提条件!$C$58*12,0))</f>
        <v/>
      </c>
      <c r="L13" s="350">
        <f>IF(L$3="","",入力データ!$C$35*12+IF(AND(L4&lt;&gt;"",L4&lt;前提条件!$C$37),前提条件!$C$58*12,0))</f>
        <v/>
      </c>
      <c r="M13" s="350">
        <f>IF(M$3="","",入力データ!$C$35*12+IF(AND(M4&lt;&gt;"",M4&lt;前提条件!$C$37),前提条件!$C$58*12,0))</f>
        <v/>
      </c>
      <c r="N13" s="350">
        <f>IF(N$3="","",入力データ!$C$35*12+IF(AND(N4&lt;&gt;"",N4&lt;前提条件!$C$37),前提条件!$C$58*12,0))</f>
        <v/>
      </c>
      <c r="O13" s="350">
        <f>IF(O$3="","",入力データ!$C$35*12+IF(AND(O4&lt;&gt;"",O4&lt;前提条件!$C$37),前提条件!$C$58*12,0))</f>
        <v/>
      </c>
      <c r="P13" s="350">
        <f>IF(P$3="","",入力データ!$C$35*12+IF(AND(P4&lt;&gt;"",P4&lt;前提条件!$C$37),前提条件!$C$58*12,0))</f>
        <v/>
      </c>
      <c r="Q13" s="350">
        <f>IF(Q$3="","",入力データ!$C$35*12+IF(AND(Q4&lt;&gt;"",Q4&lt;前提条件!$C$37),前提条件!$C$58*12,0))</f>
        <v/>
      </c>
      <c r="R13" s="350">
        <f>IF(R$3="","",入力データ!$C$35*12+IF(AND(R4&lt;&gt;"",R4&lt;前提条件!$C$37),前提条件!$C$58*12,0))</f>
        <v/>
      </c>
      <c r="S13" s="350">
        <f>IF(S$3="","",入力データ!$C$35*12+IF(AND(S4&lt;&gt;"",S4&lt;前提条件!$C$37),前提条件!$C$58*12,0))</f>
        <v/>
      </c>
      <c r="T13" s="350">
        <f>IF(T$3="","",入力データ!$C$35*12+IF(AND(T4&lt;&gt;"",T4&lt;前提条件!$C$37),前提条件!$C$58*12,0))</f>
        <v/>
      </c>
      <c r="U13" s="350">
        <f>IF(U$3="","",入力データ!$C$35*12+IF(AND(U4&lt;&gt;"",U4&lt;前提条件!$C$37),前提条件!$C$58*12,0))</f>
        <v/>
      </c>
      <c r="V13" s="350">
        <f>IF(V$3="","",入力データ!$C$35*12+IF(AND(V4&lt;&gt;"",V4&lt;前提条件!$C$37),前提条件!$C$58*12,0))</f>
        <v/>
      </c>
      <c r="W13" s="350">
        <f>IF(W$3="","",入力データ!$C$35*12+IF(AND(W4&lt;&gt;"",W4&lt;前提条件!$C$37),前提条件!$C$58*12,0))</f>
        <v/>
      </c>
      <c r="X13" s="350">
        <f>IF(X$3="","",入力データ!$C$35*12+IF(AND(X4&lt;&gt;"",X4&lt;前提条件!$C$37),前提条件!$C$58*12,0))</f>
        <v/>
      </c>
      <c r="Y13" s="350">
        <f>IF(Y$3="","",入力データ!$C$35*12+IF(AND(Y4&lt;&gt;"",Y4&lt;前提条件!$C$37),前提条件!$C$58*12,0))</f>
        <v/>
      </c>
      <c r="Z13" s="350">
        <f>IF(Z$3="","",入力データ!$C$35*12+IF(AND(Z4&lt;&gt;"",Z4&lt;前提条件!$C$37),前提条件!$C$58*12,0))</f>
        <v/>
      </c>
      <c r="AA13" s="350">
        <f>IF(AA$3="","",入力データ!$C$35*12+IF(AND(AA4&lt;&gt;"",AA4&lt;前提条件!$C$37),前提条件!$C$58*12,0))</f>
        <v/>
      </c>
      <c r="AB13" s="350">
        <f>IF(AB$3="","",入力データ!$C$35*12+IF(AND(AB4&lt;&gt;"",AB4&lt;前提条件!$C$37),前提条件!$C$58*12,0))</f>
        <v/>
      </c>
      <c r="AC13" s="350">
        <f>IF(AC$3="","",入力データ!$C$35*12+IF(AND(AC4&lt;&gt;"",AC4&lt;前提条件!$C$37),前提条件!$C$58*12,0))</f>
        <v/>
      </c>
      <c r="AD13" s="350">
        <f>IF(AD$3="","",入力データ!$C$35*12+IF(AND(AD4&lt;&gt;"",AD4&lt;前提条件!$C$37),前提条件!$C$58*12,0))</f>
        <v/>
      </c>
      <c r="AE13" s="350">
        <f>IF(AE$3="","",入力データ!$C$35*12+IF(AND(AE4&lt;&gt;"",AE4&lt;前提条件!$C$37),前提条件!$C$58*12,0))</f>
        <v/>
      </c>
      <c r="AF13" s="350">
        <f>IF(AF$3="","",入力データ!$C$35*12+IF(AND(AF4&lt;&gt;"",AF4&lt;前提条件!$C$37),前提条件!$C$58*12,0))</f>
        <v/>
      </c>
      <c r="AG13" s="350">
        <f>IF(AG$3="","",入力データ!$C$35*12+IF(AND(AG4&lt;&gt;"",AG4&lt;前提条件!$C$37),前提条件!$C$58*12,0))</f>
        <v/>
      </c>
      <c r="AH13" s="350">
        <f>IF(AH$3="","",入力データ!$C$35*12+IF(AND(AH4&lt;&gt;"",AH4&lt;前提条件!$C$37),前提条件!$C$58*12,0))</f>
        <v/>
      </c>
      <c r="AI13" s="350">
        <f>IF(AI$3="","",入力データ!$C$35*12+IF(AND(AI4&lt;&gt;"",AI4&lt;前提条件!$C$37),前提条件!$C$58*12,0))</f>
        <v/>
      </c>
      <c r="AJ13" s="350">
        <f>IF(AJ$3="","",入力データ!$C$35*12+IF(AND(AJ4&lt;&gt;"",AJ4&lt;前提条件!$C$37),前提条件!$C$58*12,0))</f>
        <v/>
      </c>
      <c r="AK13" s="350">
        <f>IF(AK$3="","",入力データ!$C$35*12+IF(AND(AK4&lt;&gt;"",AK4&lt;前提条件!$C$37),前提条件!$C$58*12,0))</f>
        <v/>
      </c>
      <c r="AL13" s="350">
        <f>IF(AL$3="","",入力データ!$C$35*12+IF(AND(AL4&lt;&gt;"",AL4&lt;前提条件!$C$37),前提条件!$C$58*12,0))</f>
        <v/>
      </c>
      <c r="AM13" s="350">
        <f>IF(AM$3="","",入力データ!$C$35*12+IF(AND(AM4&lt;&gt;"",AM4&lt;前提条件!$C$37),前提条件!$C$58*12,0))</f>
        <v/>
      </c>
      <c r="AN13" s="350">
        <f>IF(AN$3="","",入力データ!$C$35*12+IF(AND(AN4&lt;&gt;"",AN4&lt;前提条件!$C$37),前提条件!$C$58*12,0))</f>
        <v/>
      </c>
      <c r="AO13" s="350">
        <f>IF(AO$3="","",入力データ!$C$35*12+IF(AND(AO4&lt;&gt;"",AO4&lt;前提条件!$C$37),前提条件!$C$58*12,0))</f>
        <v/>
      </c>
      <c r="AP13" s="350">
        <f>IF(AP$3="","",入力データ!$C$35*12+IF(AND(AP4&lt;&gt;"",AP4&lt;前提条件!$C$37),前提条件!$C$58*12,0))</f>
        <v/>
      </c>
      <c r="AQ13" s="350">
        <f>IF(AQ$3="","",入力データ!$C$35*12+IF(AND(AQ4&lt;&gt;"",AQ4&lt;前提条件!$C$37),前提条件!$C$58*12,0))</f>
        <v/>
      </c>
      <c r="AR13" s="350">
        <f>IF(AR$3="","",入力データ!$C$35*12+IF(AND(AR4&lt;&gt;"",AR4&lt;前提条件!$C$37),前提条件!$C$58*12,0))</f>
        <v/>
      </c>
      <c r="AS13" s="350">
        <f>IF(AS$3="","",入力データ!$C$35*12+IF(AND(AS4&lt;&gt;"",AS4&lt;前提条件!$C$37),前提条件!$C$58*12,0))</f>
        <v/>
      </c>
      <c r="AT13" s="350">
        <f>IF(AT$3="","",入力データ!$C$35*12+IF(AND(AT4&lt;&gt;"",AT4&lt;前提条件!$C$37),前提条件!$C$58*12,0))</f>
        <v/>
      </c>
      <c r="AU13" s="350">
        <f>IF(AU$3="","",入力データ!$C$35*12+IF(AND(AU4&lt;&gt;"",AU4&lt;前提条件!$C$37),前提条件!$C$58*12,0))</f>
        <v/>
      </c>
      <c r="AV13" s="350">
        <f>IF(AV$3="","",入力データ!$C$35*12+IF(AND(AV4&lt;&gt;"",AV4&lt;前提条件!$C$37),前提条件!$C$58*12,0))</f>
        <v/>
      </c>
      <c r="AW13" s="350">
        <f>IF(AW$3="","",入力データ!$C$35*12+IF(AND(AW4&lt;&gt;"",AW4&lt;前提条件!$C$37),前提条件!$C$58*12,0))</f>
        <v/>
      </c>
      <c r="AX13" s="350">
        <f>IF(AX$3="","",入力データ!$C$35*12+IF(AND(AX4&lt;&gt;"",AX4&lt;前提条件!$C$37),前提条件!$C$58*12,0))</f>
        <v/>
      </c>
      <c r="AY13" s="350">
        <f>IF(AY$3="","",入力データ!$C$35*12+IF(AND(AY4&lt;&gt;"",AY4&lt;前提条件!$C$37),前提条件!$C$58*12,0))</f>
        <v/>
      </c>
      <c r="AZ13" s="350">
        <f>IF(AZ$3="","",入力データ!$C$35*12+IF(AND(AZ4&lt;&gt;"",AZ4&lt;前提条件!$C$37),前提条件!$C$58*12,0))</f>
        <v/>
      </c>
      <c r="BA13" s="350">
        <f>IF(BA$3="","",入力データ!$C$35*12+IF(AND(BA4&lt;&gt;"",BA4&lt;前提条件!$C$37),前提条件!$C$58*12,0))</f>
        <v/>
      </c>
      <c r="BB13" s="350">
        <f>IF(BB$3="","",入力データ!$C$35*12+IF(AND(BB4&lt;&gt;"",BB4&lt;前提条件!$C$37),前提条件!$C$58*12,0))</f>
        <v/>
      </c>
      <c r="BC13" s="350">
        <f>IF(BC$3="","",入力データ!$C$35*12+IF(AND(BC4&lt;&gt;"",BC4&lt;前提条件!$C$37),前提条件!$C$58*12,0))</f>
        <v/>
      </c>
      <c r="BD13" s="350">
        <f>IF(BD$3="","",入力データ!$C$35*12+IF(AND(BD4&lt;&gt;"",BD4&lt;前提条件!$C$37),前提条件!$C$58*12,0))</f>
        <v/>
      </c>
      <c r="BE13" s="350">
        <f>IF(BE$3="","",入力データ!$C$35*12+IF(AND(BE4&lt;&gt;"",BE4&lt;前提条件!$C$37),前提条件!$C$58*12,0))</f>
        <v/>
      </c>
      <c r="BF13" s="350">
        <f>IF(BF$3="","",入力データ!$C$35*12+IF(AND(BF4&lt;&gt;"",BF4&lt;前提条件!$C$37),前提条件!$C$58*12,0))</f>
        <v/>
      </c>
      <c r="BG13" s="350">
        <f>IF(BG$3="","",入力データ!$C$35*12+IF(AND(BG4&lt;&gt;"",BG4&lt;前提条件!$C$37),前提条件!$C$58*12,0))</f>
        <v/>
      </c>
      <c r="BH13" s="350">
        <f>IF(BH$3="","",入力データ!$C$35*12+IF(AND(BH4&lt;&gt;"",BH4&lt;前提条件!$C$37),前提条件!$C$58*12,0))</f>
        <v/>
      </c>
      <c r="BI13" s="350">
        <f>IF(BI$3="","",入力データ!$C$35*12+IF(AND(BI4&lt;&gt;"",BI4&lt;前提条件!$C$37),前提条件!$C$58*12,0))</f>
        <v/>
      </c>
      <c r="BJ13" s="350">
        <f>IF(BJ$3="","",入力データ!$C$35*12+IF(AND(BJ4&lt;&gt;"",BJ4&lt;前提条件!$C$37),前提条件!$C$58*12,0))</f>
        <v/>
      </c>
      <c r="BK13" s="350">
        <f>IF(BK$3="","",入力データ!$C$35*12+IF(AND(BK4&lt;&gt;"",BK4&lt;前提条件!$C$37),前提条件!$C$58*12,0))</f>
        <v/>
      </c>
      <c r="BL13" s="350">
        <f>IF(BL$3="","",入力データ!$C$35*12+IF(AND(BL4&lt;&gt;"",BL4&lt;前提条件!$C$37),前提条件!$C$58*12,0))</f>
        <v/>
      </c>
      <c r="BM13" s="350">
        <f>IF(BM$3="","",入力データ!$C$35*12+IF(AND(BM4&lt;&gt;"",BM4&lt;前提条件!$C$37),前提条件!$C$58*12,0))</f>
        <v/>
      </c>
      <c r="BN13" s="350">
        <f>IF(BN$3="","",入力データ!$C$35*12+IF(AND(BN4&lt;&gt;"",BN4&lt;前提条件!$C$37),前提条件!$C$58*12,0))</f>
        <v/>
      </c>
      <c r="BO13" s="350">
        <f>IF(BO$3="","",入力データ!$C$35*12+IF(AND(BO4&lt;&gt;"",BO4&lt;前提条件!$C$37),前提条件!$C$58*12,0))</f>
        <v/>
      </c>
      <c r="BP13" s="350">
        <f>IF(BP$3="","",入力データ!$C$35*12+IF(AND(BP4&lt;&gt;"",BP4&lt;前提条件!$C$37),前提条件!$C$58*12,0))</f>
        <v/>
      </c>
      <c r="BQ13" s="350">
        <f>IF(BQ$3="","",入力データ!$C$35*12+IF(AND(BQ4&lt;&gt;"",BQ4&lt;前提条件!$C$37),前提条件!$C$58*12,0))</f>
        <v/>
      </c>
      <c r="BR13" s="350">
        <f>IF(BR$3="","",入力データ!$C$35*12+IF(AND(BR4&lt;&gt;"",BR4&lt;前提条件!$C$37),前提条件!$C$58*12,0))</f>
        <v/>
      </c>
      <c r="BS13" s="350">
        <f>IF(BS$3="","",入力データ!$C$35*12+IF(AND(BS4&lt;&gt;"",BS4&lt;前提条件!$C$37),前提条件!$C$58*12,0))</f>
        <v/>
      </c>
      <c r="BT13" s="350">
        <f>IF(BT$3="","",入力データ!$C$35*12+IF(AND(BT4&lt;&gt;"",BT4&lt;前提条件!$C$37),前提条件!$C$58*12,0))</f>
        <v/>
      </c>
      <c r="BU13" s="350">
        <f>IF(BU$3="","",入力データ!$C$35*12+IF(AND(BU4&lt;&gt;"",BU4&lt;前提条件!$C$37),前提条件!$C$58*12,0))</f>
        <v/>
      </c>
      <c r="BV13" s="350">
        <f>IF(BV$3="","",入力データ!$C$35*12+IF(AND(BV4&lt;&gt;"",BV4&lt;前提条件!$C$37),前提条件!$C$58*12,0))</f>
        <v/>
      </c>
      <c r="BW13" s="350">
        <f>IF(BW$3="","",入力データ!$C$35*12+IF(AND(BW4&lt;&gt;"",BW4&lt;前提条件!$C$37),前提条件!$C$58*12,0))</f>
        <v/>
      </c>
      <c r="BX13" s="350">
        <f>IF(BX$3="","",入力データ!$C$35*12+IF(AND(BX4&lt;&gt;"",BX4&lt;前提条件!$C$37),前提条件!$C$58*12,0))</f>
        <v/>
      </c>
      <c r="BY13" s="350">
        <f>IF(BY$3="","",入力データ!$C$35*12+IF(AND(BY4&lt;&gt;"",BY4&lt;前提条件!$C$37),前提条件!$C$58*12,0))</f>
        <v/>
      </c>
      <c r="BZ13" s="350">
        <f>IF(BZ$3="","",入力データ!$C$35*12+IF(AND(BZ4&lt;&gt;"",BZ4&lt;前提条件!$C$37),前提条件!$C$58*12,0))</f>
        <v/>
      </c>
      <c r="CA13" s="350">
        <f>IF(CA$3="","",入力データ!$C$35*12+IF(AND(CA4&lt;&gt;"",CA4&lt;前提条件!$C$37),前提条件!$C$58*12,0))</f>
        <v/>
      </c>
      <c r="CB13" s="350">
        <f>IF(CB$3="","",入力データ!$C$35*12+IF(AND(CB4&lt;&gt;"",CB4&lt;前提条件!$C$37),前提条件!$C$58*12,0))</f>
        <v/>
      </c>
      <c r="CC13" s="350">
        <f>IF(CC$3="","",入力データ!$C$35*12+IF(AND(CC4&lt;&gt;"",CC4&lt;前提条件!$C$37),前提条件!$C$58*12,0))</f>
        <v/>
      </c>
      <c r="CD13" s="350">
        <f>IF(CD$3="","",入力データ!$C$35*12+IF(AND(CD4&lt;&gt;"",CD4&lt;前提条件!$C$37),前提条件!$C$58*12,0))</f>
        <v/>
      </c>
      <c r="CE13" s="350">
        <f>IF(CE$3="","",入力データ!$C$35*12+IF(AND(CE4&lt;&gt;"",CE4&lt;前提条件!$C$37),前提条件!$C$58*12,0))</f>
        <v/>
      </c>
      <c r="CF13" s="350">
        <f>IF(CF$3="","",入力データ!$C$35*12+IF(AND(CF4&lt;&gt;"",CF4&lt;前提条件!$C$37),前提条件!$C$58*12,0))</f>
        <v/>
      </c>
      <c r="CG13" s="350">
        <f>IF(CG$3="","",入力データ!$C$35*12+IF(AND(CG4&lt;&gt;"",CG4&lt;前提条件!$C$37),前提条件!$C$58*12,0))</f>
        <v/>
      </c>
      <c r="CH13" s="350">
        <f>IF(CH$3="","",入力データ!$C$35*12+IF(AND(CH4&lt;&gt;"",CH4&lt;前提条件!$C$37),前提条件!$C$58*12,0))</f>
        <v/>
      </c>
      <c r="CI13" s="350">
        <f>IF(CI$3="","",入力データ!$C$35*12+IF(AND(CI4&lt;&gt;"",CI4&lt;前提条件!$C$37),前提条件!$C$58*12,0))</f>
        <v/>
      </c>
      <c r="CJ13" s="350">
        <f>IF(CJ$3="","",入力データ!$C$35*12+IF(AND(CJ4&lt;&gt;"",CJ4&lt;前提条件!$C$37),前提条件!$C$58*12,0))</f>
        <v/>
      </c>
      <c r="CK13" s="350">
        <f>IF(CK$3="","",入力データ!$C$35*12+IF(AND(CK4&lt;&gt;"",CK4&lt;前提条件!$C$37),前提条件!$C$58*12,0))</f>
        <v/>
      </c>
      <c r="CL13" s="350">
        <f>IF(CL$3="","",入力データ!$C$35*12+IF(AND(CL4&lt;&gt;"",CL4&lt;前提条件!$C$37),前提条件!$C$58*12,0))</f>
        <v/>
      </c>
      <c r="CM13" s="350">
        <f>IF(CM$3="","",入力データ!$C$35*12+IF(AND(CM4&lt;&gt;"",CM4&lt;前提条件!$C$37),前提条件!$C$58*12,0))</f>
        <v/>
      </c>
      <c r="CN13" s="350">
        <f>IF(CN$3="","",入力データ!$C$35*12+IF(AND(CN4&lt;&gt;"",CN4&lt;前提条件!$C$37),前提条件!$C$58*12,0))</f>
        <v/>
      </c>
      <c r="CO13" s="350">
        <f>IF(CO$3="","",入力データ!$C$35*12+IF(AND(CO4&lt;&gt;"",CO4&lt;前提条件!$C$37),前提条件!$C$58*12,0))</f>
        <v/>
      </c>
      <c r="CP13" s="350">
        <f>IF(CP$3="","",入力データ!$C$35*12+IF(AND(CP4&lt;&gt;"",CP4&lt;前提条件!$C$37),前提条件!$C$58*12,0))</f>
        <v/>
      </c>
      <c r="CQ13" s="350">
        <f>IF(CQ$3="","",入力データ!$C$35*12+IF(AND(CQ4&lt;&gt;"",CQ4&lt;前提条件!$C$37),前提条件!$C$58*12,0))</f>
        <v/>
      </c>
      <c r="CR13" s="350">
        <f>IF(CR$3="","",入力データ!$C$35*12+IF(AND(CR4&lt;&gt;"",CR4&lt;前提条件!$C$37),前提条件!$C$58*12,0))</f>
        <v/>
      </c>
      <c r="CS13" s="350">
        <f>IF(CS$3="","",入力データ!$C$35*12+IF(AND(CS4&lt;&gt;"",CS4&lt;前提条件!$C$37),前提条件!$C$58*12,0))</f>
        <v/>
      </c>
      <c r="CT13" s="350">
        <f>IF(CT$3="","",入力データ!$C$35*12+IF(AND(CT4&lt;&gt;"",CT4&lt;前提条件!$C$37),前提条件!$C$58*12,0))</f>
        <v/>
      </c>
      <c r="CU13" s="350">
        <f>IF(CU$3="","",入力データ!$C$35*12+IF(AND(CU4&lt;&gt;"",CU4&lt;前提条件!$C$37),前提条件!$C$58*12,0))</f>
        <v/>
      </c>
      <c r="CV13" s="350">
        <f>IF(CV$3="","",入力データ!$C$35*12+IF(AND(CV4&lt;&gt;"",CV4&lt;前提条件!$C$37),前提条件!$C$58*12,0))</f>
        <v/>
      </c>
      <c r="CW13" s="350">
        <f>IF(CW$3="","",入力データ!$C$35*12+IF(AND(CW4&lt;&gt;"",CW4&lt;前提条件!$C$37),前提条件!$C$58*12,0))</f>
        <v/>
      </c>
    </row>
    <row r="14" ht="15" customHeight="1" s="180">
      <c r="A14" s="220" t="inlineStr">
        <is>
          <t>ご主人様退職金</t>
        </is>
      </c>
      <c r="B14" s="350">
        <f>IF(B$3="","",IF(B4=入力データ!$C$109,入力データ!$C$36,0))</f>
        <v/>
      </c>
      <c r="C14" s="350">
        <f>IF(C$3="","",IF(C4=入力データ!$C$109,入力データ!$C$36,0))</f>
        <v/>
      </c>
      <c r="D14" s="350">
        <f>IF(D$3="","",IF(D4=入力データ!$C$109,入力データ!$C$36,0))</f>
        <v/>
      </c>
      <c r="E14" s="350">
        <f>IF(E$3="","",IF(E4=入力データ!$C$109,入力データ!$C$36,0))</f>
        <v/>
      </c>
      <c r="F14" s="350">
        <f>IF(F$3="","",IF(F4=入力データ!$C$109,入力データ!$C$36,0))</f>
        <v/>
      </c>
      <c r="G14" s="350">
        <f>IF(G$3="","",IF(G4=入力データ!$C$109,入力データ!$C$36,0))</f>
        <v/>
      </c>
      <c r="H14" s="350">
        <f>IF(H$3="","",IF(H4=入力データ!$C$109,入力データ!$C$36,0))</f>
        <v/>
      </c>
      <c r="I14" s="350">
        <f>IF(I$3="","",IF(I4=入力データ!$C$109,入力データ!$C$36,0))</f>
        <v/>
      </c>
      <c r="J14" s="350">
        <f>IF(J$3="","",IF(J4=入力データ!$C$109,入力データ!$C$36,0))</f>
        <v/>
      </c>
      <c r="K14" s="350">
        <f>IF(K$3="","",IF(K4=入力データ!$C$109,入力データ!$C$36,0))</f>
        <v/>
      </c>
      <c r="L14" s="350">
        <f>IF(L$3="","",IF(L4=入力データ!$C$109,入力データ!$C$36,0))</f>
        <v/>
      </c>
      <c r="M14" s="350">
        <f>IF(M$3="","",IF(M4=入力データ!$C$109,入力データ!$C$36,0))</f>
        <v/>
      </c>
      <c r="N14" s="350">
        <f>IF(N$3="","",IF(N4=入力データ!$C$109,入力データ!$C$36,0))</f>
        <v/>
      </c>
      <c r="O14" s="350">
        <f>IF(O$3="","",IF(O4=入力データ!$C$109,入力データ!$C$36,0))</f>
        <v/>
      </c>
      <c r="P14" s="350">
        <f>IF(P$3="","",IF(P4=入力データ!$C$109,入力データ!$C$36,0))</f>
        <v/>
      </c>
      <c r="Q14" s="350">
        <f>IF(Q$3="","",IF(Q4=入力データ!$C$109,入力データ!$C$36,0))</f>
        <v/>
      </c>
      <c r="R14" s="350">
        <f>IF(R$3="","",IF(R4=入力データ!$C$109,入力データ!$C$36,0))</f>
        <v/>
      </c>
      <c r="S14" s="350">
        <f>IF(S$3="","",IF(S4=入力データ!$C$109,入力データ!$C$36,0))</f>
        <v/>
      </c>
      <c r="T14" s="350">
        <f>IF(T$3="","",IF(T4=入力データ!$C$109,入力データ!$C$36,0))</f>
        <v/>
      </c>
      <c r="U14" s="350">
        <f>IF(U$3="","",IF(U4=入力データ!$C$109,入力データ!$C$36,0))</f>
        <v/>
      </c>
      <c r="V14" s="350">
        <f>IF(V$3="","",IF(V4=入力データ!$C$109,入力データ!$C$36,0))</f>
        <v/>
      </c>
      <c r="W14" s="350">
        <f>IF(W$3="","",IF(W4=入力データ!$C$109,入力データ!$C$36,0))</f>
        <v/>
      </c>
      <c r="X14" s="350">
        <f>IF(X$3="","",IF(X4=入力データ!$C$109,入力データ!$C$36,0))</f>
        <v/>
      </c>
      <c r="Y14" s="350">
        <f>IF(Y$3="","",IF(Y4=入力データ!$C$109,入力データ!$C$36,0))</f>
        <v/>
      </c>
      <c r="Z14" s="350">
        <f>IF(Z$3="","",IF(Z4=入力データ!$C$109,入力データ!$C$36,0))</f>
        <v/>
      </c>
      <c r="AA14" s="350">
        <f>IF(AA$3="","",IF(AA4=入力データ!$C$109,入力データ!$C$36,0))</f>
        <v/>
      </c>
      <c r="AB14" s="350">
        <f>IF(AB$3="","",IF(AB4=入力データ!$C$109,入力データ!$C$36,0))</f>
        <v/>
      </c>
      <c r="AC14" s="350">
        <f>IF(AC$3="","",IF(AC4=入力データ!$C$109,入力データ!$C$36,0))</f>
        <v/>
      </c>
      <c r="AD14" s="350">
        <f>IF(AD$3="","",IF(AD4=入力データ!$C$109,入力データ!$C$36,0))</f>
        <v/>
      </c>
      <c r="AE14" s="350">
        <f>IF(AE$3="","",IF(AE4=入力データ!$C$109,入力データ!$C$36,0))</f>
        <v/>
      </c>
      <c r="AF14" s="350">
        <f>IF(AF$3="","",IF(AF4=入力データ!$C$109,入力データ!$C$36,0))</f>
        <v/>
      </c>
      <c r="AG14" s="350">
        <f>IF(AG$3="","",IF(AG4=入力データ!$C$109,入力データ!$C$36,0))</f>
        <v/>
      </c>
      <c r="AH14" s="350">
        <f>IF(AH$3="","",IF(AH4=入力データ!$C$109,入力データ!$C$36,0))</f>
        <v/>
      </c>
      <c r="AI14" s="350">
        <f>IF(AI$3="","",IF(AI4=入力データ!$C$109,入力データ!$C$36,0))</f>
        <v/>
      </c>
      <c r="AJ14" s="350">
        <f>IF(AJ$3="","",IF(AJ4=入力データ!$C$109,入力データ!$C$36,0))</f>
        <v/>
      </c>
      <c r="AK14" s="350">
        <f>IF(AK$3="","",IF(AK4=入力データ!$C$109,入力データ!$C$36,0))</f>
        <v/>
      </c>
      <c r="AL14" s="350">
        <f>IF(AL$3="","",IF(AL4=入力データ!$C$109,入力データ!$C$36,0))</f>
        <v/>
      </c>
      <c r="AM14" s="350">
        <f>IF(AM$3="","",IF(AM4=入力データ!$C$109,入力データ!$C$36,0))</f>
        <v/>
      </c>
      <c r="AN14" s="350">
        <f>IF(AN$3="","",IF(AN4=入力データ!$C$109,入力データ!$C$36,0))</f>
        <v/>
      </c>
      <c r="AO14" s="350">
        <f>IF(AO$3="","",IF(AO4=入力データ!$C$109,入力データ!$C$36,0))</f>
        <v/>
      </c>
      <c r="AP14" s="350">
        <f>IF(AP$3="","",IF(AP4=入力データ!$C$109,入力データ!$C$36,0))</f>
        <v/>
      </c>
      <c r="AQ14" s="350">
        <f>IF(AQ$3="","",IF(AQ4=入力データ!$C$109,入力データ!$C$36,0))</f>
        <v/>
      </c>
      <c r="AR14" s="350">
        <f>IF(AR$3="","",IF(AR4=入力データ!$C$109,入力データ!$C$36,0))</f>
        <v/>
      </c>
      <c r="AS14" s="350">
        <f>IF(AS$3="","",IF(AS4=入力データ!$C$109,入力データ!$C$36,0))</f>
        <v/>
      </c>
      <c r="AT14" s="350">
        <f>IF(AT$3="","",IF(AT4=入力データ!$C$109,入力データ!$C$36,0))</f>
        <v/>
      </c>
      <c r="AU14" s="350">
        <f>IF(AU$3="","",IF(AU4=入力データ!$C$109,入力データ!$C$36,0))</f>
        <v/>
      </c>
      <c r="AV14" s="350">
        <f>IF(AV$3="","",IF(AV4=入力データ!$C$109,入力データ!$C$36,0))</f>
        <v/>
      </c>
      <c r="AW14" s="350">
        <f>IF(AW$3="","",IF(AW4=入力データ!$C$109,入力データ!$C$36,0))</f>
        <v/>
      </c>
      <c r="AX14" s="350">
        <f>IF(AX$3="","",IF(AX4=入力データ!$C$109,入力データ!$C$36,0))</f>
        <v/>
      </c>
      <c r="AY14" s="350">
        <f>IF(AY$3="","",IF(AY4=入力データ!$C$109,入力データ!$C$36,0))</f>
        <v/>
      </c>
      <c r="AZ14" s="350">
        <f>IF(AZ$3="","",IF(AZ4=入力データ!$C$109,入力データ!$C$36,0))</f>
        <v/>
      </c>
      <c r="BA14" s="350">
        <f>IF(BA$3="","",IF(BA4=入力データ!$C$109,入力データ!$C$36,0))</f>
        <v/>
      </c>
      <c r="BB14" s="350">
        <f>IF(BB$3="","",IF(BB4=入力データ!$C$109,入力データ!$C$36,0))</f>
        <v/>
      </c>
      <c r="BC14" s="350">
        <f>IF(BC$3="","",IF(BC4=入力データ!$C$109,入力データ!$C$36,0))</f>
        <v/>
      </c>
      <c r="BD14" s="350">
        <f>IF(BD$3="","",IF(BD4=入力データ!$C$109,入力データ!$C$36,0))</f>
        <v/>
      </c>
      <c r="BE14" s="350">
        <f>IF(BE$3="","",IF(BE4=入力データ!$C$109,入力データ!$C$36,0))</f>
        <v/>
      </c>
      <c r="BF14" s="350">
        <f>IF(BF$3="","",IF(BF4=入力データ!$C$109,入力データ!$C$36,0))</f>
        <v/>
      </c>
      <c r="BG14" s="350">
        <f>IF(BG$3="","",IF(BG4=入力データ!$C$109,入力データ!$C$36,0))</f>
        <v/>
      </c>
      <c r="BH14" s="350">
        <f>IF(BH$3="","",IF(BH4=入力データ!$C$109,入力データ!$C$36,0))</f>
        <v/>
      </c>
      <c r="BI14" s="350">
        <f>IF(BI$3="","",IF(BI4=入力データ!$C$109,入力データ!$C$36,0))</f>
        <v/>
      </c>
      <c r="BJ14" s="350">
        <f>IF(BJ$3="","",IF(BJ4=入力データ!$C$109,入力データ!$C$36,0))</f>
        <v/>
      </c>
      <c r="BK14" s="350">
        <f>IF(BK$3="","",IF(BK4=入力データ!$C$109,入力データ!$C$36,0))</f>
        <v/>
      </c>
      <c r="BL14" s="350">
        <f>IF(BL$3="","",IF(BL4=入力データ!$C$109,入力データ!$C$36,0))</f>
        <v/>
      </c>
      <c r="BM14" s="350">
        <f>IF(BM$3="","",IF(BM4=入力データ!$C$109,入力データ!$C$36,0))</f>
        <v/>
      </c>
      <c r="BN14" s="350">
        <f>IF(BN$3="","",IF(BN4=入力データ!$C$109,入力データ!$C$36,0))</f>
        <v/>
      </c>
      <c r="BO14" s="350">
        <f>IF(BO$3="","",IF(BO4=入力データ!$C$109,入力データ!$C$36,0))</f>
        <v/>
      </c>
      <c r="BP14" s="350">
        <f>IF(BP$3="","",IF(BP4=入力データ!$C$109,入力データ!$C$36,0))</f>
        <v/>
      </c>
      <c r="BQ14" s="350">
        <f>IF(BQ$3="","",IF(BQ4=入力データ!$C$109,入力データ!$C$36,0))</f>
        <v/>
      </c>
      <c r="BR14" s="350">
        <f>IF(BR$3="","",IF(BR4=入力データ!$C$109,入力データ!$C$36,0))</f>
        <v/>
      </c>
      <c r="BS14" s="350">
        <f>IF(BS$3="","",IF(BS4=入力データ!$C$109,入力データ!$C$36,0))</f>
        <v/>
      </c>
      <c r="BT14" s="350">
        <f>IF(BT$3="","",IF(BT4=入力データ!$C$109,入力データ!$C$36,0))</f>
        <v/>
      </c>
      <c r="BU14" s="350">
        <f>IF(BU$3="","",IF(BU4=入力データ!$C$109,入力データ!$C$36,0))</f>
        <v/>
      </c>
      <c r="BV14" s="350">
        <f>IF(BV$3="","",IF(BV4=入力データ!$C$109,入力データ!$C$36,0))</f>
        <v/>
      </c>
      <c r="BW14" s="350">
        <f>IF(BW$3="","",IF(BW4=入力データ!$C$109,入力データ!$C$36,0))</f>
        <v/>
      </c>
      <c r="BX14" s="350">
        <f>IF(BX$3="","",IF(BX4=入力データ!$C$109,入力データ!$C$36,0))</f>
        <v/>
      </c>
      <c r="BY14" s="350">
        <f>IF(BY$3="","",IF(BY4=入力データ!$C$109,入力データ!$C$36,0))</f>
        <v/>
      </c>
      <c r="BZ14" s="350">
        <f>IF(BZ$3="","",IF(BZ4=入力データ!$C$109,入力データ!$C$36,0))</f>
        <v/>
      </c>
      <c r="CA14" s="350">
        <f>IF(CA$3="","",IF(CA4=入力データ!$C$109,入力データ!$C$36,0))</f>
        <v/>
      </c>
      <c r="CB14" s="350">
        <f>IF(CB$3="","",IF(CB4=入力データ!$C$109,入力データ!$C$36,0))</f>
        <v/>
      </c>
      <c r="CC14" s="350">
        <f>IF(CC$3="","",IF(CC4=入力データ!$C$109,入力データ!$C$36,0))</f>
        <v/>
      </c>
      <c r="CD14" s="350">
        <f>IF(CD$3="","",IF(CD4=入力データ!$C$109,入力データ!$C$36,0))</f>
        <v/>
      </c>
      <c r="CE14" s="350">
        <f>IF(CE$3="","",IF(CE4=入力データ!$C$109,入力データ!$C$36,0))</f>
        <v/>
      </c>
      <c r="CF14" s="350">
        <f>IF(CF$3="","",IF(CF4=入力データ!$C$109,入力データ!$C$36,0))</f>
        <v/>
      </c>
      <c r="CG14" s="350">
        <f>IF(CG$3="","",IF(CG4=入力データ!$C$109,入力データ!$C$36,0))</f>
        <v/>
      </c>
      <c r="CH14" s="350">
        <f>IF(CH$3="","",IF(CH4=入力データ!$C$109,入力データ!$C$36,0))</f>
        <v/>
      </c>
      <c r="CI14" s="350">
        <f>IF(CI$3="","",IF(CI4=入力データ!$C$109,入力データ!$C$36,0))</f>
        <v/>
      </c>
      <c r="CJ14" s="350">
        <f>IF(CJ$3="","",IF(CJ4=入力データ!$C$109,入力データ!$C$36,0))</f>
        <v/>
      </c>
      <c r="CK14" s="350">
        <f>IF(CK$3="","",IF(CK4=入力データ!$C$109,入力データ!$C$36,0))</f>
        <v/>
      </c>
      <c r="CL14" s="350">
        <f>IF(CL$3="","",IF(CL4=入力データ!$C$109,入力データ!$C$36,0))</f>
        <v/>
      </c>
      <c r="CM14" s="350">
        <f>IF(CM$3="","",IF(CM4=入力データ!$C$109,入力データ!$C$36,0))</f>
        <v/>
      </c>
      <c r="CN14" s="350">
        <f>IF(CN$3="","",IF(CN4=入力データ!$C$109,入力データ!$C$36,0))</f>
        <v/>
      </c>
      <c r="CO14" s="350">
        <f>IF(CO$3="","",IF(CO4=入力データ!$C$109,入力データ!$C$36,0))</f>
        <v/>
      </c>
      <c r="CP14" s="350">
        <f>IF(CP$3="","",IF(CP4=入力データ!$C$109,入力データ!$C$36,0))</f>
        <v/>
      </c>
      <c r="CQ14" s="350">
        <f>IF(CQ$3="","",IF(CQ4=入力データ!$C$109,入力データ!$C$36,0))</f>
        <v/>
      </c>
      <c r="CR14" s="350">
        <f>IF(CR$3="","",IF(CR4=入力データ!$C$109,入力データ!$C$36,0))</f>
        <v/>
      </c>
      <c r="CS14" s="350">
        <f>IF(CS$3="","",IF(CS4=入力データ!$C$109,入力データ!$C$36,0))</f>
        <v/>
      </c>
      <c r="CT14" s="350">
        <f>IF(CT$3="","",IF(CT4=入力データ!$C$109,入力データ!$C$36,0))</f>
        <v/>
      </c>
      <c r="CU14" s="350">
        <f>IF(CU$3="","",IF(CU4=入力データ!$C$109,入力データ!$C$36,0))</f>
        <v/>
      </c>
      <c r="CV14" s="350">
        <f>IF(CV$3="","",IF(CV4=入力データ!$C$109,入力データ!$C$36,0))</f>
        <v/>
      </c>
      <c r="CW14" s="350">
        <f>IF(CW$3="","",IF(CW4=入力データ!$C$109,入力データ!$C$36,0))</f>
        <v/>
      </c>
    </row>
    <row r="15" ht="15" customHeight="1" s="180">
      <c r="A15" s="220" t="inlineStr">
        <is>
          <t>奥様退職金</t>
        </is>
      </c>
      <c r="B15" s="350">
        <f>IF(B$3="","",0)</f>
        <v/>
      </c>
      <c r="C15" s="350">
        <f>IF(C$3="","",0)</f>
        <v/>
      </c>
      <c r="D15" s="350">
        <f>IF(D$3="","",0)</f>
        <v/>
      </c>
      <c r="E15" s="350">
        <f>IF(E$3="","",0)</f>
        <v/>
      </c>
      <c r="F15" s="350">
        <f>IF(F$3="","",0)</f>
        <v/>
      </c>
      <c r="G15" s="350">
        <f>IF(G$3="","",0)</f>
        <v/>
      </c>
      <c r="H15" s="350">
        <f>IF(H$3="","",0)</f>
        <v/>
      </c>
      <c r="I15" s="350">
        <f>IF(I$3="","",0)</f>
        <v/>
      </c>
      <c r="J15" s="350">
        <f>IF(J$3="","",0)</f>
        <v/>
      </c>
      <c r="K15" s="350">
        <f>IF(K$3="","",0)</f>
        <v/>
      </c>
      <c r="L15" s="350">
        <f>IF(L$3="","",0)</f>
        <v/>
      </c>
      <c r="M15" s="350">
        <f>IF(M$3="","",0)</f>
        <v/>
      </c>
      <c r="N15" s="350">
        <f>IF(N$3="","",0)</f>
        <v/>
      </c>
      <c r="O15" s="350">
        <f>IF(O$3="","",0)</f>
        <v/>
      </c>
      <c r="P15" s="350">
        <f>IF(P$3="","",0)</f>
        <v/>
      </c>
      <c r="Q15" s="350">
        <f>IF(Q$3="","",0)</f>
        <v/>
      </c>
      <c r="R15" s="350">
        <f>IF(R$3="","",0)</f>
        <v/>
      </c>
      <c r="S15" s="350">
        <f>IF(S$3="","",0)</f>
        <v/>
      </c>
      <c r="T15" s="350">
        <f>IF(T$3="","",0)</f>
        <v/>
      </c>
      <c r="U15" s="350">
        <f>IF(U$3="","",0)</f>
        <v/>
      </c>
      <c r="V15" s="350">
        <f>IF(V$3="","",0)</f>
        <v/>
      </c>
      <c r="W15" s="350">
        <f>IF(W$3="","",0)</f>
        <v/>
      </c>
      <c r="X15" s="350">
        <f>IF(X$3="","",0)</f>
        <v/>
      </c>
      <c r="Y15" s="350">
        <f>IF(Y$3="","",0)</f>
        <v/>
      </c>
      <c r="Z15" s="350">
        <f>IF(Z$3="","",0)</f>
        <v/>
      </c>
      <c r="AA15" s="350">
        <f>IF(AA$3="","",0)</f>
        <v/>
      </c>
      <c r="AB15" s="350">
        <f>IF(AB$3="","",0)</f>
        <v/>
      </c>
      <c r="AC15" s="350">
        <f>IF(AC$3="","",0)</f>
        <v/>
      </c>
      <c r="AD15" s="350">
        <f>IF(AD$3="","",0)</f>
        <v/>
      </c>
      <c r="AE15" s="350">
        <f>IF(AE$3="","",0)</f>
        <v/>
      </c>
      <c r="AF15" s="350">
        <f>IF(AF$3="","",0)</f>
        <v/>
      </c>
      <c r="AG15" s="350">
        <f>IF(AG$3="","",0)</f>
        <v/>
      </c>
      <c r="AH15" s="350">
        <f>IF(AH$3="","",0)</f>
        <v/>
      </c>
      <c r="AI15" s="350">
        <f>IF(AI$3="","",0)</f>
        <v/>
      </c>
      <c r="AJ15" s="350">
        <f>IF(AJ$3="","",0)</f>
        <v/>
      </c>
      <c r="AK15" s="350">
        <f>IF(AK$3="","",0)</f>
        <v/>
      </c>
      <c r="AL15" s="350">
        <f>IF(AL$3="","",0)</f>
        <v/>
      </c>
      <c r="AM15" s="350">
        <f>IF(AM$3="","",0)</f>
        <v/>
      </c>
      <c r="AN15" s="350">
        <f>IF(AN$3="","",0)</f>
        <v/>
      </c>
      <c r="AO15" s="350">
        <f>IF(AO$3="","",0)</f>
        <v/>
      </c>
      <c r="AP15" s="350">
        <f>IF(AP$3="","",0)</f>
        <v/>
      </c>
      <c r="AQ15" s="350">
        <f>IF(AQ$3="","",0)</f>
        <v/>
      </c>
      <c r="AR15" s="350">
        <f>IF(AR$3="","",0)</f>
        <v/>
      </c>
      <c r="AS15" s="350">
        <f>IF(AS$3="","",0)</f>
        <v/>
      </c>
      <c r="AT15" s="350">
        <f>IF(AT$3="","",0)</f>
        <v/>
      </c>
      <c r="AU15" s="350">
        <f>IF(AU$3="","",0)</f>
        <v/>
      </c>
      <c r="AV15" s="350">
        <f>IF(AV$3="","",0)</f>
        <v/>
      </c>
      <c r="AW15" s="350">
        <f>IF(AW$3="","",0)</f>
        <v/>
      </c>
      <c r="AX15" s="350">
        <f>IF(AX$3="","",0)</f>
        <v/>
      </c>
      <c r="AY15" s="350">
        <f>IF(AY$3="","",0)</f>
        <v/>
      </c>
      <c r="AZ15" s="350">
        <f>IF(AZ$3="","",0)</f>
        <v/>
      </c>
      <c r="BA15" s="350">
        <f>IF(BA$3="","",0)</f>
        <v/>
      </c>
      <c r="BB15" s="350">
        <f>IF(BB$3="","",0)</f>
        <v/>
      </c>
      <c r="BC15" s="350">
        <f>IF(BC$3="","",0)</f>
        <v/>
      </c>
      <c r="BD15" s="350">
        <f>IF(BD$3="","",0)</f>
        <v/>
      </c>
      <c r="BE15" s="350">
        <f>IF(BE$3="","",0)</f>
        <v/>
      </c>
      <c r="BF15" s="350">
        <f>IF(BF$3="","",0)</f>
        <v/>
      </c>
      <c r="BG15" s="350">
        <f>IF(BG$3="","",0)</f>
        <v/>
      </c>
      <c r="BH15" s="350">
        <f>IF(BH$3="","",0)</f>
        <v/>
      </c>
      <c r="BI15" s="350">
        <f>IF(BI$3="","",0)</f>
        <v/>
      </c>
      <c r="BJ15" s="350">
        <f>IF(BJ$3="","",0)</f>
        <v/>
      </c>
      <c r="BK15" s="350">
        <f>IF(BK$3="","",0)</f>
        <v/>
      </c>
      <c r="BL15" s="350">
        <f>IF(BL$3="","",0)</f>
        <v/>
      </c>
      <c r="BM15" s="350">
        <f>IF(BM$3="","",0)</f>
        <v/>
      </c>
      <c r="BN15" s="350">
        <f>IF(BN$3="","",0)</f>
        <v/>
      </c>
      <c r="BO15" s="350">
        <f>IF(BO$3="","",0)</f>
        <v/>
      </c>
      <c r="BP15" s="350">
        <f>IF(BP$3="","",0)</f>
        <v/>
      </c>
      <c r="BQ15" s="350">
        <f>IF(BQ$3="","",0)</f>
        <v/>
      </c>
      <c r="BR15" s="350">
        <f>IF(BR$3="","",0)</f>
        <v/>
      </c>
      <c r="BS15" s="350">
        <f>IF(BS$3="","",0)</f>
        <v/>
      </c>
      <c r="BT15" s="350">
        <f>IF(BT$3="","",0)</f>
        <v/>
      </c>
      <c r="BU15" s="350">
        <f>IF(BU$3="","",0)</f>
        <v/>
      </c>
      <c r="BV15" s="350">
        <f>IF(BV$3="","",0)</f>
        <v/>
      </c>
      <c r="BW15" s="350">
        <f>IF(BW$3="","",0)</f>
        <v/>
      </c>
      <c r="BX15" s="350">
        <f>IF(BX$3="","",0)</f>
        <v/>
      </c>
      <c r="BY15" s="350">
        <f>IF(BY$3="","",0)</f>
        <v/>
      </c>
      <c r="BZ15" s="350">
        <f>IF(BZ$3="","",0)</f>
        <v/>
      </c>
      <c r="CA15" s="350">
        <f>IF(CA$3="","",0)</f>
        <v/>
      </c>
      <c r="CB15" s="350">
        <f>IF(CB$3="","",0)</f>
        <v/>
      </c>
      <c r="CC15" s="350">
        <f>IF(CC$3="","",0)</f>
        <v/>
      </c>
      <c r="CD15" s="350">
        <f>IF(CD$3="","",0)</f>
        <v/>
      </c>
      <c r="CE15" s="350">
        <f>IF(CE$3="","",0)</f>
        <v/>
      </c>
      <c r="CF15" s="350">
        <f>IF(CF$3="","",0)</f>
        <v/>
      </c>
      <c r="CG15" s="350">
        <f>IF(CG$3="","",0)</f>
        <v/>
      </c>
      <c r="CH15" s="350">
        <f>IF(CH$3="","",0)</f>
        <v/>
      </c>
      <c r="CI15" s="350">
        <f>IF(CI$3="","",0)</f>
        <v/>
      </c>
      <c r="CJ15" s="350">
        <f>IF(CJ$3="","",0)</f>
        <v/>
      </c>
      <c r="CK15" s="350">
        <f>IF(CK$3="","",0)</f>
        <v/>
      </c>
      <c r="CL15" s="350">
        <f>IF(CL$3="","",0)</f>
        <v/>
      </c>
      <c r="CM15" s="350">
        <f>IF(CM$3="","",0)</f>
        <v/>
      </c>
      <c r="CN15" s="350">
        <f>IF(CN$3="","",0)</f>
        <v/>
      </c>
      <c r="CO15" s="350">
        <f>IF(CO$3="","",0)</f>
        <v/>
      </c>
      <c r="CP15" s="350">
        <f>IF(CP$3="","",0)</f>
        <v/>
      </c>
      <c r="CQ15" s="350">
        <f>IF(CQ$3="","",0)</f>
        <v/>
      </c>
      <c r="CR15" s="350">
        <f>IF(CR$3="","",0)</f>
        <v/>
      </c>
      <c r="CS15" s="350">
        <f>IF(CS$3="","",0)</f>
        <v/>
      </c>
      <c r="CT15" s="350">
        <f>IF(CT$3="","",0)</f>
        <v/>
      </c>
      <c r="CU15" s="350">
        <f>IF(CU$3="","",0)</f>
        <v/>
      </c>
      <c r="CV15" s="350">
        <f>IF(CV$3="","",0)</f>
        <v/>
      </c>
      <c r="CW15" s="350">
        <f>IF(CW$3="","",0)</f>
        <v/>
      </c>
    </row>
    <row r="16" ht="15" customHeight="1" s="180">
      <c r="A16" s="220" t="inlineStr">
        <is>
          <t>ご主人様年金収入</t>
        </is>
      </c>
      <c r="B16" s="350">
        <f>IF(B$3="","",IF(B4&gt;=前提条件!$C$37,前提条件!$C$39*12,0))</f>
        <v/>
      </c>
      <c r="C16" s="350">
        <f>IF(C$3="","",IF(C4&gt;=前提条件!$C$37,前提条件!$C$39*12,0))</f>
        <v/>
      </c>
      <c r="D16" s="350">
        <f>IF(D$3="","",IF(D4&gt;=前提条件!$C$37,前提条件!$C$39*12,0))</f>
        <v/>
      </c>
      <c r="E16" s="350">
        <f>IF(E$3="","",IF(E4&gt;=前提条件!$C$37,前提条件!$C$39*12,0))</f>
        <v/>
      </c>
      <c r="F16" s="350">
        <f>IF(F$3="","",IF(F4&gt;=前提条件!$C$37,前提条件!$C$39*12,0))</f>
        <v/>
      </c>
      <c r="G16" s="350">
        <f>IF(G$3="","",IF(G4&gt;=前提条件!$C$37,前提条件!$C$39*12,0))</f>
        <v/>
      </c>
      <c r="H16" s="350">
        <f>IF(H$3="","",IF(H4&gt;=前提条件!$C$37,前提条件!$C$39*12,0))</f>
        <v/>
      </c>
      <c r="I16" s="350">
        <f>IF(I$3="","",IF(I4&gt;=前提条件!$C$37,前提条件!$C$39*12,0))</f>
        <v/>
      </c>
      <c r="J16" s="350">
        <f>IF(J$3="","",IF(J4&gt;=前提条件!$C$37,前提条件!$C$39*12,0))</f>
        <v/>
      </c>
      <c r="K16" s="350">
        <f>IF(K$3="","",IF(K4&gt;=前提条件!$C$37,前提条件!$C$39*12,0))</f>
        <v/>
      </c>
      <c r="L16" s="350">
        <f>IF(L$3="","",IF(L4&gt;=前提条件!$C$37,前提条件!$C$39*12,0))</f>
        <v/>
      </c>
      <c r="M16" s="350">
        <f>IF(M$3="","",IF(M4&gt;=前提条件!$C$37,前提条件!$C$39*12,0))</f>
        <v/>
      </c>
      <c r="N16" s="350">
        <f>IF(N$3="","",IF(N4&gt;=前提条件!$C$37,前提条件!$C$39*12,0))</f>
        <v/>
      </c>
      <c r="O16" s="350">
        <f>IF(O$3="","",IF(O4&gt;=前提条件!$C$37,前提条件!$C$39*12,0))</f>
        <v/>
      </c>
      <c r="P16" s="350">
        <f>IF(P$3="","",IF(P4&gt;=前提条件!$C$37,前提条件!$C$39*12,0))</f>
        <v/>
      </c>
      <c r="Q16" s="350">
        <f>IF(Q$3="","",IF(Q4&gt;=前提条件!$C$37,前提条件!$C$39*12,0))</f>
        <v/>
      </c>
      <c r="R16" s="350">
        <f>IF(R$3="","",IF(R4&gt;=前提条件!$C$37,前提条件!$C$39*12,0))</f>
        <v/>
      </c>
      <c r="S16" s="350">
        <f>IF(S$3="","",IF(S4&gt;=前提条件!$C$37,前提条件!$C$39*12,0))</f>
        <v/>
      </c>
      <c r="T16" s="350">
        <f>IF(T$3="","",IF(T4&gt;=前提条件!$C$37,前提条件!$C$39*12,0))</f>
        <v/>
      </c>
      <c r="U16" s="350">
        <f>IF(U$3="","",IF(U4&gt;=前提条件!$C$37,前提条件!$C$39*12,0))</f>
        <v/>
      </c>
      <c r="V16" s="350">
        <f>IF(V$3="","",IF(V4&gt;=前提条件!$C$37,前提条件!$C$39*12,0))</f>
        <v/>
      </c>
      <c r="W16" s="350">
        <f>IF(W$3="","",IF(W4&gt;=前提条件!$C$37,前提条件!$C$39*12,0))</f>
        <v/>
      </c>
      <c r="X16" s="350">
        <f>IF(X$3="","",IF(X4&gt;=前提条件!$C$37,前提条件!$C$39*12,0))</f>
        <v/>
      </c>
      <c r="Y16" s="350">
        <f>IF(Y$3="","",IF(Y4&gt;=前提条件!$C$37,前提条件!$C$39*12,0))</f>
        <v/>
      </c>
      <c r="Z16" s="350">
        <f>IF(Z$3="","",IF(Z4&gt;=前提条件!$C$37,前提条件!$C$39*12,0))</f>
        <v/>
      </c>
      <c r="AA16" s="350">
        <f>IF(AA$3="","",IF(AA4&gt;=前提条件!$C$37,前提条件!$C$39*12,0))</f>
        <v/>
      </c>
      <c r="AB16" s="350">
        <f>IF(AB$3="","",IF(AB4&gt;=前提条件!$C$37,前提条件!$C$39*12,0))</f>
        <v/>
      </c>
      <c r="AC16" s="350">
        <f>IF(AC$3="","",IF(AC4&gt;=前提条件!$C$37,前提条件!$C$39*12,0))</f>
        <v/>
      </c>
      <c r="AD16" s="350">
        <f>IF(AD$3="","",IF(AD4&gt;=前提条件!$C$37,前提条件!$C$39*12,0))</f>
        <v/>
      </c>
      <c r="AE16" s="350">
        <f>IF(AE$3="","",IF(AE4&gt;=前提条件!$C$37,前提条件!$C$39*12,0))</f>
        <v/>
      </c>
      <c r="AF16" s="350">
        <f>IF(AF$3="","",IF(AF4&gt;=前提条件!$C$37,前提条件!$C$39*12,0))</f>
        <v/>
      </c>
      <c r="AG16" s="350">
        <f>IF(AG$3="","",IF(AG4&gt;=前提条件!$C$37,前提条件!$C$39*12,0))</f>
        <v/>
      </c>
      <c r="AH16" s="350">
        <f>IF(AH$3="","",IF(AH4&gt;=前提条件!$C$37,前提条件!$C$39*12,0))</f>
        <v/>
      </c>
      <c r="AI16" s="350">
        <f>IF(AI$3="","",IF(AI4&gt;=前提条件!$C$37,前提条件!$C$39*12,0))</f>
        <v/>
      </c>
      <c r="AJ16" s="350">
        <f>IF(AJ$3="","",IF(AJ4&gt;=前提条件!$C$37,前提条件!$C$39*12,0))</f>
        <v/>
      </c>
      <c r="AK16" s="350">
        <f>IF(AK$3="","",IF(AK4&gt;=前提条件!$C$37,前提条件!$C$39*12,0))</f>
        <v/>
      </c>
      <c r="AL16" s="350">
        <f>IF(AL$3="","",IF(AL4&gt;=前提条件!$C$37,前提条件!$C$39*12,0))</f>
        <v/>
      </c>
      <c r="AM16" s="350">
        <f>IF(AM$3="","",IF(AM4&gt;=前提条件!$C$37,前提条件!$C$39*12,0))</f>
        <v/>
      </c>
      <c r="AN16" s="350">
        <f>IF(AN$3="","",IF(AN4&gt;=前提条件!$C$37,前提条件!$C$39*12,0))</f>
        <v/>
      </c>
      <c r="AO16" s="350">
        <f>IF(AO$3="","",IF(AO4&gt;=前提条件!$C$37,前提条件!$C$39*12,0))</f>
        <v/>
      </c>
      <c r="AP16" s="350">
        <f>IF(AP$3="","",IF(AP4&gt;=前提条件!$C$37,前提条件!$C$39*12,0))</f>
        <v/>
      </c>
      <c r="AQ16" s="350">
        <f>IF(AQ$3="","",IF(AQ4&gt;=前提条件!$C$37,前提条件!$C$39*12,0))</f>
        <v/>
      </c>
      <c r="AR16" s="350">
        <f>IF(AR$3="","",IF(AR4&gt;=前提条件!$C$37,前提条件!$C$39*12,0))</f>
        <v/>
      </c>
      <c r="AS16" s="350">
        <f>IF(AS$3="","",IF(AS4&gt;=前提条件!$C$37,前提条件!$C$39*12,0))</f>
        <v/>
      </c>
      <c r="AT16" s="350">
        <f>IF(AT$3="","",IF(AT4&gt;=前提条件!$C$37,前提条件!$C$39*12,0))</f>
        <v/>
      </c>
      <c r="AU16" s="350">
        <f>IF(AU$3="","",IF(AU4&gt;=前提条件!$C$37,前提条件!$C$39*12,0))</f>
        <v/>
      </c>
      <c r="AV16" s="350">
        <f>IF(AV$3="","",IF(AV4&gt;=前提条件!$C$37,前提条件!$C$39*12,0))</f>
        <v/>
      </c>
      <c r="AW16" s="350">
        <f>IF(AW$3="","",IF(AW4&gt;=前提条件!$C$37,前提条件!$C$39*12,0))</f>
        <v/>
      </c>
      <c r="AX16" s="350">
        <f>IF(AX$3="","",IF(AX4&gt;=前提条件!$C$37,前提条件!$C$39*12,0))</f>
        <v/>
      </c>
      <c r="AY16" s="350">
        <f>IF(AY$3="","",IF(AY4&gt;=前提条件!$C$37,前提条件!$C$39*12,0))</f>
        <v/>
      </c>
      <c r="AZ16" s="350">
        <f>IF(AZ$3="","",IF(AZ4&gt;=前提条件!$C$37,前提条件!$C$39*12,0))</f>
        <v/>
      </c>
      <c r="BA16" s="350">
        <f>IF(BA$3="","",IF(BA4&gt;=前提条件!$C$37,前提条件!$C$39*12,0))</f>
        <v/>
      </c>
      <c r="BB16" s="350">
        <f>IF(BB$3="","",IF(BB4&gt;=前提条件!$C$37,前提条件!$C$39*12,0))</f>
        <v/>
      </c>
      <c r="BC16" s="350">
        <f>IF(BC$3="","",IF(BC4&gt;=前提条件!$C$37,前提条件!$C$39*12,0))</f>
        <v/>
      </c>
      <c r="BD16" s="350">
        <f>IF(BD$3="","",IF(BD4&gt;=前提条件!$C$37,前提条件!$C$39*12,0))</f>
        <v/>
      </c>
      <c r="BE16" s="350">
        <f>IF(BE$3="","",IF(BE4&gt;=前提条件!$C$37,前提条件!$C$39*12,0))</f>
        <v/>
      </c>
      <c r="BF16" s="350">
        <f>IF(BF$3="","",IF(BF4&gt;=前提条件!$C$37,前提条件!$C$39*12,0))</f>
        <v/>
      </c>
      <c r="BG16" s="350">
        <f>IF(BG$3="","",IF(BG4&gt;=前提条件!$C$37,前提条件!$C$39*12,0))</f>
        <v/>
      </c>
      <c r="BH16" s="350">
        <f>IF(BH$3="","",IF(BH4&gt;=前提条件!$C$37,前提条件!$C$39*12,0))</f>
        <v/>
      </c>
      <c r="BI16" s="350">
        <f>IF(BI$3="","",IF(BI4&gt;=前提条件!$C$37,前提条件!$C$39*12,0))</f>
        <v/>
      </c>
      <c r="BJ16" s="350">
        <f>IF(BJ$3="","",IF(BJ4&gt;=前提条件!$C$37,前提条件!$C$39*12,0))</f>
        <v/>
      </c>
      <c r="BK16" s="350">
        <f>IF(BK$3="","",IF(BK4&gt;=前提条件!$C$37,前提条件!$C$39*12,0))</f>
        <v/>
      </c>
      <c r="BL16" s="350">
        <f>IF(BL$3="","",IF(BL4&gt;=前提条件!$C$37,前提条件!$C$39*12,0))</f>
        <v/>
      </c>
      <c r="BM16" s="350">
        <f>IF(BM$3="","",IF(BM4&gt;=前提条件!$C$37,前提条件!$C$39*12,0))</f>
        <v/>
      </c>
      <c r="BN16" s="350">
        <f>IF(BN$3="","",IF(BN4&gt;=前提条件!$C$37,前提条件!$C$39*12,0))</f>
        <v/>
      </c>
      <c r="BO16" s="350">
        <f>IF(BO$3="","",IF(BO4&gt;=前提条件!$C$37,前提条件!$C$39*12,0))</f>
        <v/>
      </c>
      <c r="BP16" s="350">
        <f>IF(BP$3="","",IF(BP4&gt;=前提条件!$C$37,前提条件!$C$39*12,0))</f>
        <v/>
      </c>
      <c r="BQ16" s="350">
        <f>IF(BQ$3="","",IF(BQ4&gt;=前提条件!$C$37,前提条件!$C$39*12,0))</f>
        <v/>
      </c>
      <c r="BR16" s="350">
        <f>IF(BR$3="","",IF(BR4&gt;=前提条件!$C$37,前提条件!$C$39*12,0))</f>
        <v/>
      </c>
      <c r="BS16" s="350">
        <f>IF(BS$3="","",IF(BS4&gt;=前提条件!$C$37,前提条件!$C$39*12,0))</f>
        <v/>
      </c>
      <c r="BT16" s="350">
        <f>IF(BT$3="","",IF(BT4&gt;=前提条件!$C$37,前提条件!$C$39*12,0))</f>
        <v/>
      </c>
      <c r="BU16" s="350">
        <f>IF(BU$3="","",IF(BU4&gt;=前提条件!$C$37,前提条件!$C$39*12,0))</f>
        <v/>
      </c>
      <c r="BV16" s="350">
        <f>IF(BV$3="","",IF(BV4&gt;=前提条件!$C$37,前提条件!$C$39*12,0))</f>
        <v/>
      </c>
      <c r="BW16" s="350">
        <f>IF(BW$3="","",IF(BW4&gt;=前提条件!$C$37,前提条件!$C$39*12,0))</f>
        <v/>
      </c>
      <c r="BX16" s="350">
        <f>IF(BX$3="","",IF(BX4&gt;=前提条件!$C$37,前提条件!$C$39*12,0))</f>
        <v/>
      </c>
      <c r="BY16" s="350">
        <f>IF(BY$3="","",IF(BY4&gt;=前提条件!$C$37,前提条件!$C$39*12,0))</f>
        <v/>
      </c>
      <c r="BZ16" s="350">
        <f>IF(BZ$3="","",IF(BZ4&gt;=前提条件!$C$37,前提条件!$C$39*12,0))</f>
        <v/>
      </c>
      <c r="CA16" s="350">
        <f>IF(CA$3="","",IF(CA4&gt;=前提条件!$C$37,前提条件!$C$39*12,0))</f>
        <v/>
      </c>
      <c r="CB16" s="350">
        <f>IF(CB$3="","",IF(CB4&gt;=前提条件!$C$37,前提条件!$C$39*12,0))</f>
        <v/>
      </c>
      <c r="CC16" s="350">
        <f>IF(CC$3="","",IF(CC4&gt;=前提条件!$C$37,前提条件!$C$39*12,0))</f>
        <v/>
      </c>
      <c r="CD16" s="350">
        <f>IF(CD$3="","",IF(CD4&gt;=前提条件!$C$37,前提条件!$C$39*12,0))</f>
        <v/>
      </c>
      <c r="CE16" s="350">
        <f>IF(CE$3="","",IF(CE4&gt;=前提条件!$C$37,前提条件!$C$39*12,0))</f>
        <v/>
      </c>
      <c r="CF16" s="350">
        <f>IF(CF$3="","",IF(CF4&gt;=前提条件!$C$37,前提条件!$C$39*12,0))</f>
        <v/>
      </c>
      <c r="CG16" s="350">
        <f>IF(CG$3="","",IF(CG4&gt;=前提条件!$C$37,前提条件!$C$39*12,0))</f>
        <v/>
      </c>
      <c r="CH16" s="350">
        <f>IF(CH$3="","",IF(CH4&gt;=前提条件!$C$37,前提条件!$C$39*12,0))</f>
        <v/>
      </c>
      <c r="CI16" s="350">
        <f>IF(CI$3="","",IF(CI4&gt;=前提条件!$C$37,前提条件!$C$39*12,0))</f>
        <v/>
      </c>
      <c r="CJ16" s="350">
        <f>IF(CJ$3="","",IF(CJ4&gt;=前提条件!$C$37,前提条件!$C$39*12,0))</f>
        <v/>
      </c>
      <c r="CK16" s="350">
        <f>IF(CK$3="","",IF(CK4&gt;=前提条件!$C$37,前提条件!$C$39*12,0))</f>
        <v/>
      </c>
      <c r="CL16" s="350">
        <f>IF(CL$3="","",IF(CL4&gt;=前提条件!$C$37,前提条件!$C$39*12,0))</f>
        <v/>
      </c>
      <c r="CM16" s="350">
        <f>IF(CM$3="","",IF(CM4&gt;=前提条件!$C$37,前提条件!$C$39*12,0))</f>
        <v/>
      </c>
      <c r="CN16" s="350">
        <f>IF(CN$3="","",IF(CN4&gt;=前提条件!$C$37,前提条件!$C$39*12,0))</f>
        <v/>
      </c>
      <c r="CO16" s="350">
        <f>IF(CO$3="","",IF(CO4&gt;=前提条件!$C$37,前提条件!$C$39*12,0))</f>
        <v/>
      </c>
      <c r="CP16" s="350">
        <f>IF(CP$3="","",IF(CP4&gt;=前提条件!$C$37,前提条件!$C$39*12,0))</f>
        <v/>
      </c>
      <c r="CQ16" s="350">
        <f>IF(CQ$3="","",IF(CQ4&gt;=前提条件!$C$37,前提条件!$C$39*12,0))</f>
        <v/>
      </c>
      <c r="CR16" s="350">
        <f>IF(CR$3="","",IF(CR4&gt;=前提条件!$C$37,前提条件!$C$39*12,0))</f>
        <v/>
      </c>
      <c r="CS16" s="350">
        <f>IF(CS$3="","",IF(CS4&gt;=前提条件!$C$37,前提条件!$C$39*12,0))</f>
        <v/>
      </c>
      <c r="CT16" s="350">
        <f>IF(CT$3="","",IF(CT4&gt;=前提条件!$C$37,前提条件!$C$39*12,0))</f>
        <v/>
      </c>
      <c r="CU16" s="350">
        <f>IF(CU$3="","",IF(CU4&gt;=前提条件!$C$37,前提条件!$C$39*12,0))</f>
        <v/>
      </c>
      <c r="CV16" s="350">
        <f>IF(CV$3="","",IF(CV4&gt;=前提条件!$C$37,前提条件!$C$39*12,0))</f>
        <v/>
      </c>
      <c r="CW16" s="350">
        <f>IF(CW$3="","",IF(CW4&gt;=前提条件!$C$37,前提条件!$C$39*12,0))</f>
        <v/>
      </c>
    </row>
    <row r="17" ht="15" customHeight="1" s="180">
      <c r="A17" s="220" t="inlineStr">
        <is>
          <t>奥様年金収入</t>
        </is>
      </c>
      <c r="B17" s="350">
        <f>IF(B$3="","",0)</f>
        <v/>
      </c>
      <c r="C17" s="350">
        <f>IF(C$3="","",0)</f>
        <v/>
      </c>
      <c r="D17" s="350">
        <f>IF(D$3="","",0)</f>
        <v/>
      </c>
      <c r="E17" s="350">
        <f>IF(E$3="","",0)</f>
        <v/>
      </c>
      <c r="F17" s="350">
        <f>IF(F$3="","",0)</f>
        <v/>
      </c>
      <c r="G17" s="350">
        <f>IF(G$3="","",0)</f>
        <v/>
      </c>
      <c r="H17" s="350">
        <f>IF(H$3="","",0)</f>
        <v/>
      </c>
      <c r="I17" s="350">
        <f>IF(I$3="","",0)</f>
        <v/>
      </c>
      <c r="J17" s="350">
        <f>IF(J$3="","",0)</f>
        <v/>
      </c>
      <c r="K17" s="350">
        <f>IF(K$3="","",0)</f>
        <v/>
      </c>
      <c r="L17" s="350">
        <f>IF(L$3="","",0)</f>
        <v/>
      </c>
      <c r="M17" s="350">
        <f>IF(M$3="","",0)</f>
        <v/>
      </c>
      <c r="N17" s="350">
        <f>IF(N$3="","",0)</f>
        <v/>
      </c>
      <c r="O17" s="350">
        <f>IF(O$3="","",0)</f>
        <v/>
      </c>
      <c r="P17" s="350">
        <f>IF(P$3="","",0)</f>
        <v/>
      </c>
      <c r="Q17" s="350">
        <f>IF(Q$3="","",0)</f>
        <v/>
      </c>
      <c r="R17" s="350">
        <f>IF(R$3="","",0)</f>
        <v/>
      </c>
      <c r="S17" s="350">
        <f>IF(S$3="","",0)</f>
        <v/>
      </c>
      <c r="T17" s="350">
        <f>IF(T$3="","",0)</f>
        <v/>
      </c>
      <c r="U17" s="350">
        <f>IF(U$3="","",0)</f>
        <v/>
      </c>
      <c r="V17" s="350">
        <f>IF(V$3="","",0)</f>
        <v/>
      </c>
      <c r="W17" s="350">
        <f>IF(W$3="","",0)</f>
        <v/>
      </c>
      <c r="X17" s="350">
        <f>IF(X$3="","",0)</f>
        <v/>
      </c>
      <c r="Y17" s="350">
        <f>IF(Y$3="","",0)</f>
        <v/>
      </c>
      <c r="Z17" s="350">
        <f>IF(Z$3="","",0)</f>
        <v/>
      </c>
      <c r="AA17" s="350">
        <f>IF(AA$3="","",0)</f>
        <v/>
      </c>
      <c r="AB17" s="350">
        <f>IF(AB$3="","",0)</f>
        <v/>
      </c>
      <c r="AC17" s="350">
        <f>IF(AC$3="","",0)</f>
        <v/>
      </c>
      <c r="AD17" s="350">
        <f>IF(AD$3="","",0)</f>
        <v/>
      </c>
      <c r="AE17" s="350">
        <f>IF(AE$3="","",0)</f>
        <v/>
      </c>
      <c r="AF17" s="350">
        <f>IF(AF$3="","",0)</f>
        <v/>
      </c>
      <c r="AG17" s="350">
        <f>IF(AG$3="","",0)</f>
        <v/>
      </c>
      <c r="AH17" s="350">
        <f>IF(AH$3="","",0)</f>
        <v/>
      </c>
      <c r="AI17" s="350">
        <f>IF(AI$3="","",0)</f>
        <v/>
      </c>
      <c r="AJ17" s="350">
        <f>IF(AJ$3="","",0)</f>
        <v/>
      </c>
      <c r="AK17" s="350">
        <f>IF(AK$3="","",0)</f>
        <v/>
      </c>
      <c r="AL17" s="350">
        <f>IF(AL$3="","",0)</f>
        <v/>
      </c>
      <c r="AM17" s="350">
        <f>IF(AM$3="","",0)</f>
        <v/>
      </c>
      <c r="AN17" s="350">
        <f>IF(AN$3="","",0)</f>
        <v/>
      </c>
      <c r="AO17" s="350">
        <f>IF(AO$3="","",0)</f>
        <v/>
      </c>
      <c r="AP17" s="350">
        <f>IF(AP$3="","",0)</f>
        <v/>
      </c>
      <c r="AQ17" s="350">
        <f>IF(AQ$3="","",0)</f>
        <v/>
      </c>
      <c r="AR17" s="350">
        <f>IF(AR$3="","",0)</f>
        <v/>
      </c>
      <c r="AS17" s="350">
        <f>IF(AS$3="","",0)</f>
        <v/>
      </c>
      <c r="AT17" s="350">
        <f>IF(AT$3="","",0)</f>
        <v/>
      </c>
      <c r="AU17" s="350">
        <f>IF(AU$3="","",0)</f>
        <v/>
      </c>
      <c r="AV17" s="350">
        <f>IF(AV$3="","",0)</f>
        <v/>
      </c>
      <c r="AW17" s="350">
        <f>IF(AW$3="","",0)</f>
        <v/>
      </c>
      <c r="AX17" s="350">
        <f>IF(AX$3="","",0)</f>
        <v/>
      </c>
      <c r="AY17" s="350">
        <f>IF(AY$3="","",0)</f>
        <v/>
      </c>
      <c r="AZ17" s="350">
        <f>IF(AZ$3="","",0)</f>
        <v/>
      </c>
      <c r="BA17" s="350">
        <f>IF(BA$3="","",0)</f>
        <v/>
      </c>
      <c r="BB17" s="350">
        <f>IF(BB$3="","",0)</f>
        <v/>
      </c>
      <c r="BC17" s="350">
        <f>IF(BC$3="","",0)</f>
        <v/>
      </c>
      <c r="BD17" s="350">
        <f>IF(BD$3="","",0)</f>
        <v/>
      </c>
      <c r="BE17" s="350">
        <f>IF(BE$3="","",0)</f>
        <v/>
      </c>
      <c r="BF17" s="350">
        <f>IF(BF$3="","",0)</f>
        <v/>
      </c>
      <c r="BG17" s="350">
        <f>IF(BG$3="","",0)</f>
        <v/>
      </c>
      <c r="BH17" s="350">
        <f>IF(BH$3="","",0)</f>
        <v/>
      </c>
      <c r="BI17" s="350">
        <f>IF(BI$3="","",0)</f>
        <v/>
      </c>
      <c r="BJ17" s="350">
        <f>IF(BJ$3="","",0)</f>
        <v/>
      </c>
      <c r="BK17" s="350">
        <f>IF(BK$3="","",0)</f>
        <v/>
      </c>
      <c r="BL17" s="350">
        <f>IF(BL$3="","",0)</f>
        <v/>
      </c>
      <c r="BM17" s="350">
        <f>IF(BM$3="","",0)</f>
        <v/>
      </c>
      <c r="BN17" s="350">
        <f>IF(BN$3="","",0)</f>
        <v/>
      </c>
      <c r="BO17" s="350">
        <f>IF(BO$3="","",0)</f>
        <v/>
      </c>
      <c r="BP17" s="350">
        <f>IF(BP$3="","",0)</f>
        <v/>
      </c>
      <c r="BQ17" s="350">
        <f>IF(BQ$3="","",0)</f>
        <v/>
      </c>
      <c r="BR17" s="350">
        <f>IF(BR$3="","",0)</f>
        <v/>
      </c>
      <c r="BS17" s="350">
        <f>IF(BS$3="","",0)</f>
        <v/>
      </c>
      <c r="BT17" s="350">
        <f>IF(BT$3="","",0)</f>
        <v/>
      </c>
      <c r="BU17" s="350">
        <f>IF(BU$3="","",0)</f>
        <v/>
      </c>
      <c r="BV17" s="350">
        <f>IF(BV$3="","",0)</f>
        <v/>
      </c>
      <c r="BW17" s="350">
        <f>IF(BW$3="","",0)</f>
        <v/>
      </c>
      <c r="BX17" s="350">
        <f>IF(BX$3="","",0)</f>
        <v/>
      </c>
      <c r="BY17" s="350">
        <f>IF(BY$3="","",0)</f>
        <v/>
      </c>
      <c r="BZ17" s="350">
        <f>IF(BZ$3="","",0)</f>
        <v/>
      </c>
      <c r="CA17" s="350">
        <f>IF(CA$3="","",0)</f>
        <v/>
      </c>
      <c r="CB17" s="350">
        <f>IF(CB$3="","",0)</f>
        <v/>
      </c>
      <c r="CC17" s="350">
        <f>IF(CC$3="","",0)</f>
        <v/>
      </c>
      <c r="CD17" s="350">
        <f>IF(CD$3="","",0)</f>
        <v/>
      </c>
      <c r="CE17" s="350">
        <f>IF(CE$3="","",0)</f>
        <v/>
      </c>
      <c r="CF17" s="350">
        <f>IF(CF$3="","",0)</f>
        <v/>
      </c>
      <c r="CG17" s="350">
        <f>IF(CG$3="","",0)</f>
        <v/>
      </c>
      <c r="CH17" s="350">
        <f>IF(CH$3="","",0)</f>
        <v/>
      </c>
      <c r="CI17" s="350">
        <f>IF(CI$3="","",0)</f>
        <v/>
      </c>
      <c r="CJ17" s="350">
        <f>IF(CJ$3="","",0)</f>
        <v/>
      </c>
      <c r="CK17" s="350">
        <f>IF(CK$3="","",0)</f>
        <v/>
      </c>
      <c r="CL17" s="350">
        <f>IF(CL$3="","",0)</f>
        <v/>
      </c>
      <c r="CM17" s="350">
        <f>IF(CM$3="","",0)</f>
        <v/>
      </c>
      <c r="CN17" s="350">
        <f>IF(CN$3="","",0)</f>
        <v/>
      </c>
      <c r="CO17" s="350">
        <f>IF(CO$3="","",0)</f>
        <v/>
      </c>
      <c r="CP17" s="350">
        <f>IF(CP$3="","",0)</f>
        <v/>
      </c>
      <c r="CQ17" s="350">
        <f>IF(CQ$3="","",0)</f>
        <v/>
      </c>
      <c r="CR17" s="350">
        <f>IF(CR$3="","",0)</f>
        <v/>
      </c>
      <c r="CS17" s="350">
        <f>IF(CS$3="","",0)</f>
        <v/>
      </c>
      <c r="CT17" s="350">
        <f>IF(CT$3="","",0)</f>
        <v/>
      </c>
      <c r="CU17" s="350">
        <f>IF(CU$3="","",0)</f>
        <v/>
      </c>
      <c r="CV17" s="350">
        <f>IF(CV$3="","",0)</f>
        <v/>
      </c>
      <c r="CW17" s="350">
        <f>IF(CW$3="","",0)</f>
        <v/>
      </c>
    </row>
    <row r="18" ht="15" customHeight="1" s="180">
      <c r="A18" s="222" t="inlineStr">
        <is>
          <t>世帯収入合計</t>
        </is>
      </c>
      <c r="B18" s="351">
        <f>IF(B$3="","",SUM(B10:B17))</f>
        <v/>
      </c>
      <c r="C18" s="351">
        <f>IF(C$3="","",SUM(C10:C17))</f>
        <v/>
      </c>
      <c r="D18" s="351">
        <f>IF(D$3="","",SUM(D10:D17))</f>
        <v/>
      </c>
      <c r="E18" s="351">
        <f>IF(E$3="","",SUM(E10:E17))</f>
        <v/>
      </c>
      <c r="F18" s="351">
        <f>IF(F$3="","",SUM(F10:F17))</f>
        <v/>
      </c>
      <c r="G18" s="351">
        <f>IF(G$3="","",SUM(G10:G17))</f>
        <v/>
      </c>
      <c r="H18" s="351">
        <f>IF(H$3="","",SUM(H10:H17))</f>
        <v/>
      </c>
      <c r="I18" s="351">
        <f>IF(I$3="","",SUM(I10:I17))</f>
        <v/>
      </c>
      <c r="J18" s="351">
        <f>IF(J$3="","",SUM(J10:J17))</f>
        <v/>
      </c>
      <c r="K18" s="351">
        <f>IF(K$3="","",SUM(K10:K17))</f>
        <v/>
      </c>
      <c r="L18" s="351">
        <f>IF(L$3="","",SUM(L10:L17))</f>
        <v/>
      </c>
      <c r="M18" s="351">
        <f>IF(M$3="","",SUM(M10:M17))</f>
        <v/>
      </c>
      <c r="N18" s="351">
        <f>IF(N$3="","",SUM(N10:N17))</f>
        <v/>
      </c>
      <c r="O18" s="351">
        <f>IF(O$3="","",SUM(O10:O17))</f>
        <v/>
      </c>
      <c r="P18" s="351">
        <f>IF(P$3="","",SUM(P10:P17))</f>
        <v/>
      </c>
      <c r="Q18" s="351">
        <f>IF(Q$3="","",SUM(Q10:Q17))</f>
        <v/>
      </c>
      <c r="R18" s="351">
        <f>IF(R$3="","",SUM(R10:R17))</f>
        <v/>
      </c>
      <c r="S18" s="351">
        <f>IF(S$3="","",SUM(S10:S17))</f>
        <v/>
      </c>
      <c r="T18" s="351">
        <f>IF(T$3="","",SUM(T10:T17))</f>
        <v/>
      </c>
      <c r="U18" s="351">
        <f>IF(U$3="","",SUM(U10:U17))</f>
        <v/>
      </c>
      <c r="V18" s="351">
        <f>IF(V$3="","",SUM(V10:V17))</f>
        <v/>
      </c>
      <c r="W18" s="351">
        <f>IF(W$3="","",SUM(W10:W17))</f>
        <v/>
      </c>
      <c r="X18" s="351">
        <f>IF(X$3="","",SUM(X10:X17))</f>
        <v/>
      </c>
      <c r="Y18" s="351">
        <f>IF(Y$3="","",SUM(Y10:Y17))</f>
        <v/>
      </c>
      <c r="Z18" s="351">
        <f>IF(Z$3="","",SUM(Z10:Z17))</f>
        <v/>
      </c>
      <c r="AA18" s="351">
        <f>IF(AA$3="","",SUM(AA10:AA17))</f>
        <v/>
      </c>
      <c r="AB18" s="351">
        <f>IF(AB$3="","",SUM(AB10:AB17))</f>
        <v/>
      </c>
      <c r="AC18" s="351">
        <f>IF(AC$3="","",SUM(AC10:AC17))</f>
        <v/>
      </c>
      <c r="AD18" s="351">
        <f>IF(AD$3="","",SUM(AD10:AD17))</f>
        <v/>
      </c>
      <c r="AE18" s="351">
        <f>IF(AE$3="","",SUM(AE10:AE17))</f>
        <v/>
      </c>
      <c r="AF18" s="351">
        <f>IF(AF$3="","",SUM(AF10:AF17))</f>
        <v/>
      </c>
      <c r="AG18" s="351">
        <f>IF(AG$3="","",SUM(AG10:AG17))</f>
        <v/>
      </c>
      <c r="AH18" s="351">
        <f>IF(AH$3="","",SUM(AH10:AH17))</f>
        <v/>
      </c>
      <c r="AI18" s="351">
        <f>IF(AI$3="","",SUM(AI10:AI17))</f>
        <v/>
      </c>
      <c r="AJ18" s="351">
        <f>IF(AJ$3="","",SUM(AJ10:AJ17))</f>
        <v/>
      </c>
      <c r="AK18" s="351">
        <f>IF(AK$3="","",SUM(AK10:AK17))</f>
        <v/>
      </c>
      <c r="AL18" s="351">
        <f>IF(AL$3="","",SUM(AL10:AL17))</f>
        <v/>
      </c>
      <c r="AM18" s="351">
        <f>IF(AM$3="","",SUM(AM10:AM17))</f>
        <v/>
      </c>
      <c r="AN18" s="351">
        <f>IF(AN$3="","",SUM(AN10:AN17))</f>
        <v/>
      </c>
      <c r="AO18" s="351">
        <f>IF(AO$3="","",SUM(AO10:AO17))</f>
        <v/>
      </c>
      <c r="AP18" s="351">
        <f>IF(AP$3="","",SUM(AP10:AP17))</f>
        <v/>
      </c>
      <c r="AQ18" s="351">
        <f>IF(AQ$3="","",SUM(AQ10:AQ17))</f>
        <v/>
      </c>
      <c r="AR18" s="351">
        <f>IF(AR$3="","",SUM(AR10:AR17))</f>
        <v/>
      </c>
      <c r="AS18" s="351">
        <f>IF(AS$3="","",SUM(AS10:AS17))</f>
        <v/>
      </c>
      <c r="AT18" s="351">
        <f>IF(AT$3="","",SUM(AT10:AT17))</f>
        <v/>
      </c>
      <c r="AU18" s="351">
        <f>IF(AU$3="","",SUM(AU10:AU17))</f>
        <v/>
      </c>
      <c r="AV18" s="351">
        <f>IF(AV$3="","",SUM(AV10:AV17))</f>
        <v/>
      </c>
      <c r="AW18" s="351">
        <f>IF(AW$3="","",SUM(AW10:AW17))</f>
        <v/>
      </c>
      <c r="AX18" s="351">
        <f>IF(AX$3="","",SUM(AX10:AX17))</f>
        <v/>
      </c>
      <c r="AY18" s="351">
        <f>IF(AY$3="","",SUM(AY10:AY17))</f>
        <v/>
      </c>
      <c r="AZ18" s="351">
        <f>IF(AZ$3="","",SUM(AZ10:AZ17))</f>
        <v/>
      </c>
      <c r="BA18" s="351">
        <f>IF(BA$3="","",SUM(BA10:BA17))</f>
        <v/>
      </c>
      <c r="BB18" s="351">
        <f>IF(BB$3="","",SUM(BB10:BB17))</f>
        <v/>
      </c>
      <c r="BC18" s="351">
        <f>IF(BC$3="","",SUM(BC10:BC17))</f>
        <v/>
      </c>
      <c r="BD18" s="351">
        <f>IF(BD$3="","",SUM(BD10:BD17))</f>
        <v/>
      </c>
      <c r="BE18" s="351">
        <f>IF(BE$3="","",SUM(BE10:BE17))</f>
        <v/>
      </c>
      <c r="BF18" s="351">
        <f>IF(BF$3="","",SUM(BF10:BF17))</f>
        <v/>
      </c>
      <c r="BG18" s="351">
        <f>IF(BG$3="","",SUM(BG10:BG17))</f>
        <v/>
      </c>
      <c r="BH18" s="351">
        <f>IF(BH$3="","",SUM(BH10:BH17))</f>
        <v/>
      </c>
      <c r="BI18" s="351">
        <f>IF(BI$3="","",SUM(BI10:BI17))</f>
        <v/>
      </c>
      <c r="BJ18" s="351">
        <f>IF(BJ$3="","",SUM(BJ10:BJ17))</f>
        <v/>
      </c>
      <c r="BK18" s="351">
        <f>IF(BK$3="","",SUM(BK10:BK17))</f>
        <v/>
      </c>
      <c r="BL18" s="351">
        <f>IF(BL$3="","",SUM(BL10:BL17))</f>
        <v/>
      </c>
      <c r="BM18" s="351">
        <f>IF(BM$3="","",SUM(BM10:BM17))</f>
        <v/>
      </c>
      <c r="BN18" s="351">
        <f>IF(BN$3="","",SUM(BN10:BN17))</f>
        <v/>
      </c>
      <c r="BO18" s="351">
        <f>IF(BO$3="","",SUM(BO10:BO17))</f>
        <v/>
      </c>
      <c r="BP18" s="351">
        <f>IF(BP$3="","",SUM(BP10:BP17))</f>
        <v/>
      </c>
      <c r="BQ18" s="351">
        <f>IF(BQ$3="","",SUM(BQ10:BQ17))</f>
        <v/>
      </c>
      <c r="BR18" s="351">
        <f>IF(BR$3="","",SUM(BR10:BR17))</f>
        <v/>
      </c>
      <c r="BS18" s="351">
        <f>IF(BS$3="","",SUM(BS10:BS17))</f>
        <v/>
      </c>
      <c r="BT18" s="351">
        <f>IF(BT$3="","",SUM(BT10:BT17))</f>
        <v/>
      </c>
      <c r="BU18" s="351">
        <f>IF(BU$3="","",SUM(BU10:BU17))</f>
        <v/>
      </c>
      <c r="BV18" s="351">
        <f>IF(BV$3="","",SUM(BV10:BV17))</f>
        <v/>
      </c>
      <c r="BW18" s="351">
        <f>IF(BW$3="","",SUM(BW10:BW17))</f>
        <v/>
      </c>
      <c r="BX18" s="351">
        <f>IF(BX$3="","",SUM(BX10:BX17))</f>
        <v/>
      </c>
      <c r="BY18" s="351">
        <f>IF(BY$3="","",SUM(BY10:BY17))</f>
        <v/>
      </c>
      <c r="BZ18" s="351">
        <f>IF(BZ$3="","",SUM(BZ10:BZ17))</f>
        <v/>
      </c>
      <c r="CA18" s="351">
        <f>IF(CA$3="","",SUM(CA10:CA17))</f>
        <v/>
      </c>
      <c r="CB18" s="351">
        <f>IF(CB$3="","",SUM(CB10:CB17))</f>
        <v/>
      </c>
      <c r="CC18" s="351">
        <f>IF(CC$3="","",SUM(CC10:CC17))</f>
        <v/>
      </c>
      <c r="CD18" s="351">
        <f>IF(CD$3="","",SUM(CD10:CD17))</f>
        <v/>
      </c>
      <c r="CE18" s="351">
        <f>IF(CE$3="","",SUM(CE10:CE17))</f>
        <v/>
      </c>
      <c r="CF18" s="351">
        <f>IF(CF$3="","",SUM(CF10:CF17))</f>
        <v/>
      </c>
      <c r="CG18" s="351">
        <f>IF(CG$3="","",SUM(CG10:CG17))</f>
        <v/>
      </c>
      <c r="CH18" s="351">
        <f>IF(CH$3="","",SUM(CH10:CH17))</f>
        <v/>
      </c>
      <c r="CI18" s="351">
        <f>IF(CI$3="","",SUM(CI10:CI17))</f>
        <v/>
      </c>
      <c r="CJ18" s="351">
        <f>IF(CJ$3="","",SUM(CJ10:CJ17))</f>
        <v/>
      </c>
      <c r="CK18" s="351">
        <f>IF(CK$3="","",SUM(CK10:CK17))</f>
        <v/>
      </c>
      <c r="CL18" s="351">
        <f>IF(CL$3="","",SUM(CL10:CL17))</f>
        <v/>
      </c>
      <c r="CM18" s="351">
        <f>IF(CM$3="","",SUM(CM10:CM17))</f>
        <v/>
      </c>
      <c r="CN18" s="351">
        <f>IF(CN$3="","",SUM(CN10:CN17))</f>
        <v/>
      </c>
      <c r="CO18" s="351">
        <f>IF(CO$3="","",SUM(CO10:CO17))</f>
        <v/>
      </c>
      <c r="CP18" s="351">
        <f>IF(CP$3="","",SUM(CP10:CP17))</f>
        <v/>
      </c>
      <c r="CQ18" s="351">
        <f>IF(CQ$3="","",SUM(CQ10:CQ17))</f>
        <v/>
      </c>
      <c r="CR18" s="351">
        <f>IF(CR$3="","",SUM(CR10:CR17))</f>
        <v/>
      </c>
      <c r="CS18" s="351">
        <f>IF(CS$3="","",SUM(CS10:CS17))</f>
        <v/>
      </c>
      <c r="CT18" s="351">
        <f>IF(CT$3="","",SUM(CT10:CT17))</f>
        <v/>
      </c>
      <c r="CU18" s="351">
        <f>IF(CU$3="","",SUM(CU10:CU17))</f>
        <v/>
      </c>
      <c r="CV18" s="351">
        <f>IF(CV$3="","",SUM(CV10:CV17))</f>
        <v/>
      </c>
      <c r="CW18" s="351">
        <f>IF(CW$3="","",SUM(CW10:CW17))</f>
        <v/>
      </c>
    </row>
    <row r="19" ht="15" customHeight="1" s="180">
      <c r="A19" s="205" t="inlineStr">
        <is>
          <t>収入</t>
        </is>
      </c>
      <c r="B19" s="219" t="n"/>
      <c r="C19" s="219" t="n"/>
      <c r="D19" s="219" t="n"/>
      <c r="E19" s="219" t="n"/>
      <c r="F19" s="219" t="n"/>
      <c r="G19" s="219" t="n"/>
      <c r="H19" s="219" t="n"/>
      <c r="I19" s="219" t="n"/>
      <c r="J19" s="219" t="n"/>
      <c r="K19" s="219" t="n"/>
      <c r="L19" s="219" t="n"/>
      <c r="M19" s="219" t="n"/>
      <c r="N19" s="219" t="n"/>
      <c r="O19" s="219" t="n"/>
      <c r="P19" s="219" t="n"/>
      <c r="Q19" s="219" t="n"/>
      <c r="R19" s="219" t="n"/>
      <c r="S19" s="219" t="n"/>
      <c r="T19" s="219" t="n"/>
      <c r="U19" s="219" t="n"/>
      <c r="V19" s="219" t="n"/>
      <c r="W19" s="219" t="n"/>
      <c r="X19" s="219" t="n"/>
      <c r="Y19" s="219" t="n"/>
      <c r="Z19" s="219" t="n"/>
      <c r="AA19" s="219" t="n"/>
      <c r="AB19" s="219" t="n"/>
      <c r="AC19" s="219" t="n"/>
      <c r="AD19" s="219" t="n"/>
      <c r="AE19" s="219" t="n"/>
      <c r="AF19" s="219" t="n"/>
      <c r="AG19" s="219" t="n"/>
      <c r="AH19" s="219" t="n"/>
      <c r="AI19" s="219" t="n"/>
      <c r="AJ19" s="219" t="n"/>
      <c r="AK19" s="219" t="n"/>
      <c r="AL19" s="219" t="n"/>
      <c r="AM19" s="219" t="n"/>
      <c r="AN19" s="219" t="n"/>
      <c r="AO19" s="219" t="n"/>
      <c r="AP19" s="219" t="n"/>
      <c r="AQ19" s="219" t="n"/>
      <c r="AR19" s="219" t="n"/>
      <c r="AS19" s="219" t="n"/>
      <c r="AT19" s="219" t="n"/>
      <c r="AU19" s="219" t="n"/>
      <c r="AV19" s="219" t="n"/>
      <c r="AW19" s="219" t="n"/>
      <c r="AX19" s="219" t="n"/>
      <c r="AY19" s="219" t="n"/>
      <c r="AZ19" s="219" t="n"/>
      <c r="BA19" s="219" t="n"/>
      <c r="BB19" s="219" t="n"/>
      <c r="BC19" s="219" t="n"/>
      <c r="BD19" s="219" t="n"/>
      <c r="BE19" s="219" t="n"/>
      <c r="BF19" s="219" t="n"/>
      <c r="BG19" s="219" t="n"/>
      <c r="BH19" s="219" t="n"/>
      <c r="BI19" s="219" t="n"/>
      <c r="BJ19" s="219" t="n"/>
      <c r="BK19" s="219" t="n"/>
      <c r="BL19" s="219" t="n"/>
      <c r="BM19" s="219" t="n"/>
      <c r="BN19" s="219" t="n"/>
      <c r="BO19" s="219" t="n"/>
      <c r="BP19" s="219" t="n"/>
      <c r="BQ19" s="219" t="n"/>
      <c r="BR19" s="219" t="n"/>
      <c r="BS19" s="219" t="n"/>
      <c r="BT19" s="219" t="n"/>
      <c r="BU19" s="219" t="n"/>
      <c r="BV19" s="219" t="n"/>
      <c r="BW19" s="219" t="n"/>
      <c r="BX19" s="219" t="n"/>
      <c r="BY19" s="219" t="n"/>
      <c r="BZ19" s="219" t="n"/>
      <c r="CA19" s="219" t="n"/>
      <c r="CB19" s="219" t="n"/>
      <c r="CC19" s="219" t="n"/>
      <c r="CD19" s="219" t="n"/>
      <c r="CE19" s="219" t="n"/>
      <c r="CF19" s="219" t="n"/>
      <c r="CG19" s="219" t="n"/>
      <c r="CH19" s="219" t="n"/>
      <c r="CI19" s="219" t="n"/>
      <c r="CJ19" s="219" t="n"/>
      <c r="CK19" s="219" t="n"/>
      <c r="CL19" s="219" t="n"/>
      <c r="CM19" s="219" t="n"/>
      <c r="CN19" s="219" t="n"/>
      <c r="CO19" s="219" t="n"/>
      <c r="CP19" s="219" t="n"/>
      <c r="CQ19" s="219" t="n"/>
      <c r="CR19" s="219" t="n"/>
      <c r="CS19" s="219" t="n"/>
      <c r="CT19" s="219" t="n"/>
      <c r="CU19" s="219" t="n"/>
      <c r="CV19" s="219" t="n"/>
      <c r="CW19" s="219" t="n"/>
    </row>
    <row r="20" ht="15" customHeight="1" s="180">
      <c r="A20" s="224" t="inlineStr">
        <is>
          <t>基本生活費</t>
        </is>
      </c>
      <c r="B20" s="352">
        <f>IF(B$3="","",(IF(MIN(B4,B5)&gt;=入力データ!$C$111,入力データ!$C$112*12*(1+前提条件!$C$14)^(B$3-$B$3),SUM(入力データ!$C$41:$C$52)*12*(1+前提条件!$C$12)^(B$3-$B$3)))*前提条件!$C$52)</f>
        <v/>
      </c>
      <c r="C20" s="352">
        <f>IF(C$3="","",(IF(MIN(C4,C5)&gt;=入力データ!$C$111,入力データ!$C$112*12*(1+前提条件!$C$14)^(C$3-$B$3),SUM(入力データ!$C$41:$C$52)*12*(1+前提条件!$C$12)^(C$3-$B$3)))*前提条件!$C$52)</f>
        <v/>
      </c>
      <c r="D20" s="352">
        <f>IF(D$3="","",(IF(MIN(D4,D5)&gt;=入力データ!$C$111,入力データ!$C$112*12*(1+前提条件!$C$14)^(D$3-$B$3),SUM(入力データ!$C$41:$C$52)*12*(1+前提条件!$C$12)^(D$3-$B$3)))*前提条件!$C$52)</f>
        <v/>
      </c>
      <c r="E20" s="352">
        <f>IF(E$3="","",(IF(MIN(E4,E5)&gt;=入力データ!$C$111,入力データ!$C$112*12*(1+前提条件!$C$14)^(E$3-$B$3),SUM(入力データ!$C$41:$C$52)*12*(1+前提条件!$C$12)^(E$3-$B$3)))*前提条件!$C$52)</f>
        <v/>
      </c>
      <c r="F20" s="352">
        <f>IF(F$3="","",(IF(MIN(F4,F5)&gt;=入力データ!$C$111,入力データ!$C$112*12*(1+前提条件!$C$14)^(F$3-$B$3),SUM(入力データ!$C$41:$C$52)*12*(1+前提条件!$C$12)^(F$3-$B$3)))*前提条件!$C$52)</f>
        <v/>
      </c>
      <c r="G20" s="352">
        <f>IF(G$3="","",(IF(MIN(G4,G5)&gt;=入力データ!$C$111,入力データ!$C$112*12*(1+前提条件!$C$14)^(G$3-$B$3),SUM(入力データ!$C$41:$C$52)*12*(1+前提条件!$C$12)^(G$3-$B$3)))*前提条件!$C$52)</f>
        <v/>
      </c>
      <c r="H20" s="352">
        <f>IF(H$3="","",(IF(MIN(H4,H5)&gt;=入力データ!$C$111,入力データ!$C$112*12*(1+前提条件!$C$14)^(H$3-$B$3),SUM(入力データ!$C$41:$C$52)*12*(1+前提条件!$C$12)^(H$3-$B$3)))*前提条件!$C$52)</f>
        <v/>
      </c>
      <c r="I20" s="352">
        <f>IF(I$3="","",(IF(MIN(I4,I5)&gt;=入力データ!$C$111,入力データ!$C$112*12*(1+前提条件!$C$14)^(I$3-$B$3),SUM(入力データ!$C$41:$C$52)*12*(1+前提条件!$C$12)^(I$3-$B$3)))*前提条件!$C$52)</f>
        <v/>
      </c>
      <c r="J20" s="352">
        <f>IF(J$3="","",(IF(MIN(J4,J5)&gt;=入力データ!$C$111,入力データ!$C$112*12*(1+前提条件!$C$14)^(J$3-$B$3),SUM(入力データ!$C$41:$C$52)*12*(1+前提条件!$C$12)^(J$3-$B$3)))*前提条件!$C$52)</f>
        <v/>
      </c>
      <c r="K20" s="352">
        <f>IF(K$3="","",(IF(MIN(K4,K5)&gt;=入力データ!$C$111,入力データ!$C$112*12*(1+前提条件!$C$14)^(K$3-$B$3),SUM(入力データ!$C$41:$C$52)*12*(1+前提条件!$C$12)^(K$3-$B$3)))*前提条件!$C$52)</f>
        <v/>
      </c>
      <c r="L20" s="352">
        <f>IF(L$3="","",(IF(MIN(L4,L5)&gt;=入力データ!$C$111,入力データ!$C$112*12*(1+前提条件!$C$14)^(L$3-$B$3),SUM(入力データ!$C$41:$C$52)*12*(1+前提条件!$C$12)^(L$3-$B$3)))*前提条件!$C$52)</f>
        <v/>
      </c>
      <c r="M20" s="352">
        <f>IF(M$3="","",(IF(MIN(M4,M5)&gt;=入力データ!$C$111,入力データ!$C$112*12*(1+前提条件!$C$14)^(M$3-$B$3),SUM(入力データ!$C$41:$C$52)*12*(1+前提条件!$C$12)^(M$3-$B$3)))*前提条件!$C$52)</f>
        <v/>
      </c>
      <c r="N20" s="352">
        <f>IF(N$3="","",(IF(MIN(N4,N5)&gt;=入力データ!$C$111,入力データ!$C$112*12*(1+前提条件!$C$14)^(N$3-$B$3),SUM(入力データ!$C$41:$C$52)*12*(1+前提条件!$C$12)^(N$3-$B$3)))*前提条件!$C$52)</f>
        <v/>
      </c>
      <c r="O20" s="352">
        <f>IF(O$3="","",(IF(MIN(O4,O5)&gt;=入力データ!$C$111,入力データ!$C$112*12*(1+前提条件!$C$14)^(O$3-$B$3),SUM(入力データ!$C$41:$C$52)*12*(1+前提条件!$C$12)^(O$3-$B$3)))*前提条件!$C$52)</f>
        <v/>
      </c>
      <c r="P20" s="352">
        <f>IF(P$3="","",(IF(MIN(P4,P5)&gt;=入力データ!$C$111,入力データ!$C$112*12*(1+前提条件!$C$14)^(P$3-$B$3),SUM(入力データ!$C$41:$C$52)*12*(1+前提条件!$C$12)^(P$3-$B$3)))*前提条件!$C$52)</f>
        <v/>
      </c>
      <c r="Q20" s="352">
        <f>IF(Q$3="","",(IF(MIN(Q4,Q5)&gt;=入力データ!$C$111,入力データ!$C$112*12*(1+前提条件!$C$14)^(Q$3-$B$3),SUM(入力データ!$C$41:$C$52)*12*(1+前提条件!$C$12)^(Q$3-$B$3)))*前提条件!$C$52)</f>
        <v/>
      </c>
      <c r="R20" s="352">
        <f>IF(R$3="","",(IF(MIN(R4,R5)&gt;=入力データ!$C$111,入力データ!$C$112*12*(1+前提条件!$C$14)^(R$3-$B$3),SUM(入力データ!$C$41:$C$52)*12*(1+前提条件!$C$12)^(R$3-$B$3)))*前提条件!$C$52)</f>
        <v/>
      </c>
      <c r="S20" s="352">
        <f>IF(S$3="","",(IF(MIN(S4,S5)&gt;=入力データ!$C$111,入力データ!$C$112*12*(1+前提条件!$C$14)^(S$3-$B$3),SUM(入力データ!$C$41:$C$52)*12*(1+前提条件!$C$12)^(S$3-$B$3)))*前提条件!$C$52)</f>
        <v/>
      </c>
      <c r="T20" s="352">
        <f>IF(T$3="","",(IF(MIN(T4,T5)&gt;=入力データ!$C$111,入力データ!$C$112*12*(1+前提条件!$C$14)^(T$3-$B$3),SUM(入力データ!$C$41:$C$52)*12*(1+前提条件!$C$12)^(T$3-$B$3)))*前提条件!$C$52)</f>
        <v/>
      </c>
      <c r="U20" s="352">
        <f>IF(U$3="","",(IF(MIN(U4,U5)&gt;=入力データ!$C$111,入力データ!$C$112*12*(1+前提条件!$C$14)^(U$3-$B$3),SUM(入力データ!$C$41:$C$52)*12*(1+前提条件!$C$12)^(U$3-$B$3)))*前提条件!$C$52)</f>
        <v/>
      </c>
      <c r="V20" s="352">
        <f>IF(V$3="","",(IF(MIN(V4,V5)&gt;=入力データ!$C$111,入力データ!$C$112*12*(1+前提条件!$C$14)^(V$3-$B$3),SUM(入力データ!$C$41:$C$52)*12*(1+前提条件!$C$12)^(V$3-$B$3)))*前提条件!$C$52)</f>
        <v/>
      </c>
      <c r="W20" s="352">
        <f>IF(W$3="","",(IF(MIN(W4,W5)&gt;=入力データ!$C$111,入力データ!$C$112*12*(1+前提条件!$C$14)^(W$3-$B$3),SUM(入力データ!$C$41:$C$52)*12*(1+前提条件!$C$12)^(W$3-$B$3)))*前提条件!$C$52)</f>
        <v/>
      </c>
      <c r="X20" s="352">
        <f>IF(X$3="","",(IF(MIN(X4,X5)&gt;=入力データ!$C$111,入力データ!$C$112*12*(1+前提条件!$C$14)^(X$3-$B$3),SUM(入力データ!$C$41:$C$52)*12*(1+前提条件!$C$12)^(X$3-$B$3)))*前提条件!$C$52)</f>
        <v/>
      </c>
      <c r="Y20" s="352">
        <f>IF(Y$3="","",(IF(MIN(Y4,Y5)&gt;=入力データ!$C$111,入力データ!$C$112*12*(1+前提条件!$C$14)^(Y$3-$B$3),SUM(入力データ!$C$41:$C$52)*12*(1+前提条件!$C$12)^(Y$3-$B$3)))*前提条件!$C$52)</f>
        <v/>
      </c>
      <c r="Z20" s="352">
        <f>IF(Z$3="","",(IF(MIN(Z4,Z5)&gt;=入力データ!$C$111,入力データ!$C$112*12*(1+前提条件!$C$14)^(Z$3-$B$3),SUM(入力データ!$C$41:$C$52)*12*(1+前提条件!$C$12)^(Z$3-$B$3)))*前提条件!$C$52)</f>
        <v/>
      </c>
      <c r="AA20" s="352">
        <f>IF(AA$3="","",(IF(MIN(AA4,AA5)&gt;=入力データ!$C$111,入力データ!$C$112*12*(1+前提条件!$C$14)^(AA$3-$B$3),SUM(入力データ!$C$41:$C$52)*12*(1+前提条件!$C$12)^(AA$3-$B$3)))*前提条件!$C$52)</f>
        <v/>
      </c>
      <c r="AB20" s="352">
        <f>IF(AB$3="","",(IF(MIN(AB4,AB5)&gt;=入力データ!$C$111,入力データ!$C$112*12*(1+前提条件!$C$14)^(AB$3-$B$3),SUM(入力データ!$C$41:$C$52)*12*(1+前提条件!$C$12)^(AB$3-$B$3)))*前提条件!$C$52)</f>
        <v/>
      </c>
      <c r="AC20" s="352">
        <f>IF(AC$3="","",(IF(MIN(AC4,AC5)&gt;=入力データ!$C$111,入力データ!$C$112*12*(1+前提条件!$C$14)^(AC$3-$B$3),SUM(入力データ!$C$41:$C$52)*12*(1+前提条件!$C$12)^(AC$3-$B$3)))*前提条件!$C$52)</f>
        <v/>
      </c>
      <c r="AD20" s="352">
        <f>IF(AD$3="","",(IF(MIN(AD4,AD5)&gt;=入力データ!$C$111,入力データ!$C$112*12*(1+前提条件!$C$14)^(AD$3-$B$3),SUM(入力データ!$C$41:$C$52)*12*(1+前提条件!$C$12)^(AD$3-$B$3)))*前提条件!$C$52)</f>
        <v/>
      </c>
      <c r="AE20" s="352">
        <f>IF(AE$3="","",(IF(MIN(AE4,AE5)&gt;=入力データ!$C$111,入力データ!$C$112*12*(1+前提条件!$C$14)^(AE$3-$B$3),SUM(入力データ!$C$41:$C$52)*12*(1+前提条件!$C$12)^(AE$3-$B$3)))*前提条件!$C$52)</f>
        <v/>
      </c>
      <c r="AF20" s="352">
        <f>IF(AF$3="","",(IF(MIN(AF4,AF5)&gt;=入力データ!$C$111,入力データ!$C$112*12*(1+前提条件!$C$14)^(AF$3-$B$3),SUM(入力データ!$C$41:$C$52)*12*(1+前提条件!$C$12)^(AF$3-$B$3)))*前提条件!$C$52)</f>
        <v/>
      </c>
      <c r="AG20" s="352">
        <f>IF(AG$3="","",(IF(MIN(AG4,AG5)&gt;=入力データ!$C$111,入力データ!$C$112*12*(1+前提条件!$C$14)^(AG$3-$B$3),SUM(入力データ!$C$41:$C$52)*12*(1+前提条件!$C$12)^(AG$3-$B$3)))*前提条件!$C$52)</f>
        <v/>
      </c>
      <c r="AH20" s="352">
        <f>IF(AH$3="","",(IF(MIN(AH4,AH5)&gt;=入力データ!$C$111,入力データ!$C$112*12*(1+前提条件!$C$14)^(AH$3-$B$3),SUM(入力データ!$C$41:$C$52)*12*(1+前提条件!$C$12)^(AH$3-$B$3)))*前提条件!$C$52)</f>
        <v/>
      </c>
      <c r="AI20" s="352">
        <f>IF(AI$3="","",(IF(MIN(AI4,AI5)&gt;=入力データ!$C$111,入力データ!$C$112*12*(1+前提条件!$C$14)^(AI$3-$B$3),SUM(入力データ!$C$41:$C$52)*12*(1+前提条件!$C$12)^(AI$3-$B$3)))*前提条件!$C$52)</f>
        <v/>
      </c>
      <c r="AJ20" s="352">
        <f>IF(AJ$3="","",(IF(MIN(AJ4,AJ5)&gt;=入力データ!$C$111,入力データ!$C$112*12*(1+前提条件!$C$14)^(AJ$3-$B$3),SUM(入力データ!$C$41:$C$52)*12*(1+前提条件!$C$12)^(AJ$3-$B$3)))*前提条件!$C$52)</f>
        <v/>
      </c>
      <c r="AK20" s="352">
        <f>IF(AK$3="","",(IF(MIN(AK4,AK5)&gt;=入力データ!$C$111,入力データ!$C$112*12*(1+前提条件!$C$14)^(AK$3-$B$3),SUM(入力データ!$C$41:$C$52)*12*(1+前提条件!$C$12)^(AK$3-$B$3)))*前提条件!$C$52)</f>
        <v/>
      </c>
      <c r="AL20" s="352">
        <f>IF(AL$3="","",(IF(MIN(AL4,AL5)&gt;=入力データ!$C$111,入力データ!$C$112*12*(1+前提条件!$C$14)^(AL$3-$B$3),SUM(入力データ!$C$41:$C$52)*12*(1+前提条件!$C$12)^(AL$3-$B$3)))*前提条件!$C$52)</f>
        <v/>
      </c>
      <c r="AM20" s="352">
        <f>IF(AM$3="","",(IF(MIN(AM4,AM5)&gt;=入力データ!$C$111,入力データ!$C$112*12*(1+前提条件!$C$14)^(AM$3-$B$3),SUM(入力データ!$C$41:$C$52)*12*(1+前提条件!$C$12)^(AM$3-$B$3)))*前提条件!$C$52)</f>
        <v/>
      </c>
      <c r="AN20" s="352">
        <f>IF(AN$3="","",(IF(MIN(AN4,AN5)&gt;=入力データ!$C$111,入力データ!$C$112*12*(1+前提条件!$C$14)^(AN$3-$B$3),SUM(入力データ!$C$41:$C$52)*12*(1+前提条件!$C$12)^(AN$3-$B$3)))*前提条件!$C$52)</f>
        <v/>
      </c>
      <c r="AO20" s="352">
        <f>IF(AO$3="","",(IF(MIN(AO4,AO5)&gt;=入力データ!$C$111,入力データ!$C$112*12*(1+前提条件!$C$14)^(AO$3-$B$3),SUM(入力データ!$C$41:$C$52)*12*(1+前提条件!$C$12)^(AO$3-$B$3)))*前提条件!$C$52)</f>
        <v/>
      </c>
      <c r="AP20" s="352">
        <f>IF(AP$3="","",(IF(MIN(AP4,AP5)&gt;=入力データ!$C$111,入力データ!$C$112*12*(1+前提条件!$C$14)^(AP$3-$B$3),SUM(入力データ!$C$41:$C$52)*12*(1+前提条件!$C$12)^(AP$3-$B$3)))*前提条件!$C$52)</f>
        <v/>
      </c>
      <c r="AQ20" s="352">
        <f>IF(AQ$3="","",(IF(MIN(AQ4,AQ5)&gt;=入力データ!$C$111,入力データ!$C$112*12*(1+前提条件!$C$14)^(AQ$3-$B$3),SUM(入力データ!$C$41:$C$52)*12*(1+前提条件!$C$12)^(AQ$3-$B$3)))*前提条件!$C$52)</f>
        <v/>
      </c>
      <c r="AR20" s="352">
        <f>IF(AR$3="","",(IF(MIN(AR4,AR5)&gt;=入力データ!$C$111,入力データ!$C$112*12*(1+前提条件!$C$14)^(AR$3-$B$3),SUM(入力データ!$C$41:$C$52)*12*(1+前提条件!$C$12)^(AR$3-$B$3)))*前提条件!$C$52)</f>
        <v/>
      </c>
      <c r="AS20" s="352">
        <f>IF(AS$3="","",(IF(MIN(AS4,AS5)&gt;=入力データ!$C$111,入力データ!$C$112*12*(1+前提条件!$C$14)^(AS$3-$B$3),SUM(入力データ!$C$41:$C$52)*12*(1+前提条件!$C$12)^(AS$3-$B$3)))*前提条件!$C$52)</f>
        <v/>
      </c>
      <c r="AT20" s="352">
        <f>IF(AT$3="","",(IF(MIN(AT4,AT5)&gt;=入力データ!$C$111,入力データ!$C$112*12*(1+前提条件!$C$14)^(AT$3-$B$3),SUM(入力データ!$C$41:$C$52)*12*(1+前提条件!$C$12)^(AT$3-$B$3)))*前提条件!$C$52)</f>
        <v/>
      </c>
      <c r="AU20" s="352">
        <f>IF(AU$3="","",(IF(MIN(AU4,AU5)&gt;=入力データ!$C$111,入力データ!$C$112*12*(1+前提条件!$C$14)^(AU$3-$B$3),SUM(入力データ!$C$41:$C$52)*12*(1+前提条件!$C$12)^(AU$3-$B$3)))*前提条件!$C$52)</f>
        <v/>
      </c>
      <c r="AV20" s="352">
        <f>IF(AV$3="","",(IF(MIN(AV4,AV5)&gt;=入力データ!$C$111,入力データ!$C$112*12*(1+前提条件!$C$14)^(AV$3-$B$3),SUM(入力データ!$C$41:$C$52)*12*(1+前提条件!$C$12)^(AV$3-$B$3)))*前提条件!$C$52)</f>
        <v/>
      </c>
      <c r="AW20" s="352">
        <f>IF(AW$3="","",(IF(MIN(AW4,AW5)&gt;=入力データ!$C$111,入力データ!$C$112*12*(1+前提条件!$C$14)^(AW$3-$B$3),SUM(入力データ!$C$41:$C$52)*12*(1+前提条件!$C$12)^(AW$3-$B$3)))*前提条件!$C$52)</f>
        <v/>
      </c>
      <c r="AX20" s="352">
        <f>IF(AX$3="","",(IF(MIN(AX4,AX5)&gt;=入力データ!$C$111,入力データ!$C$112*12*(1+前提条件!$C$14)^(AX$3-$B$3),SUM(入力データ!$C$41:$C$52)*12*(1+前提条件!$C$12)^(AX$3-$B$3)))*前提条件!$C$52)</f>
        <v/>
      </c>
      <c r="AY20" s="352">
        <f>IF(AY$3="","",(IF(MIN(AY4,AY5)&gt;=入力データ!$C$111,入力データ!$C$112*12*(1+前提条件!$C$14)^(AY$3-$B$3),SUM(入力データ!$C$41:$C$52)*12*(1+前提条件!$C$12)^(AY$3-$B$3)))*前提条件!$C$52)</f>
        <v/>
      </c>
      <c r="AZ20" s="352">
        <f>IF(AZ$3="","",(IF(MIN(AZ4,AZ5)&gt;=入力データ!$C$111,入力データ!$C$112*12*(1+前提条件!$C$14)^(AZ$3-$B$3),SUM(入力データ!$C$41:$C$52)*12*(1+前提条件!$C$12)^(AZ$3-$B$3)))*前提条件!$C$52)</f>
        <v/>
      </c>
      <c r="BA20" s="352">
        <f>IF(BA$3="","",(IF(MIN(BA4,BA5)&gt;=入力データ!$C$111,入力データ!$C$112*12*(1+前提条件!$C$14)^(BA$3-$B$3),SUM(入力データ!$C$41:$C$52)*12*(1+前提条件!$C$12)^(BA$3-$B$3)))*前提条件!$C$52)</f>
        <v/>
      </c>
      <c r="BB20" s="352">
        <f>IF(BB$3="","",(IF(MIN(BB4,BB5)&gt;=入力データ!$C$111,入力データ!$C$112*12*(1+前提条件!$C$14)^(BB$3-$B$3),SUM(入力データ!$C$41:$C$52)*12*(1+前提条件!$C$12)^(BB$3-$B$3)))*前提条件!$C$52)</f>
        <v/>
      </c>
      <c r="BC20" s="352">
        <f>IF(BC$3="","",(IF(MIN(BC4,BC5)&gt;=入力データ!$C$111,入力データ!$C$112*12*(1+前提条件!$C$14)^(BC$3-$B$3),SUM(入力データ!$C$41:$C$52)*12*(1+前提条件!$C$12)^(BC$3-$B$3)))*前提条件!$C$52)</f>
        <v/>
      </c>
      <c r="BD20" s="352">
        <f>IF(BD$3="","",(IF(MIN(BD4,BD5)&gt;=入力データ!$C$111,入力データ!$C$112*12*(1+前提条件!$C$14)^(BD$3-$B$3),SUM(入力データ!$C$41:$C$52)*12*(1+前提条件!$C$12)^(BD$3-$B$3)))*前提条件!$C$52)</f>
        <v/>
      </c>
      <c r="BE20" s="352">
        <f>IF(BE$3="","",(IF(MIN(BE4,BE5)&gt;=入力データ!$C$111,入力データ!$C$112*12*(1+前提条件!$C$14)^(BE$3-$B$3),SUM(入力データ!$C$41:$C$52)*12*(1+前提条件!$C$12)^(BE$3-$B$3)))*前提条件!$C$52)</f>
        <v/>
      </c>
      <c r="BF20" s="352">
        <f>IF(BF$3="","",(IF(MIN(BF4,BF5)&gt;=入力データ!$C$111,入力データ!$C$112*12*(1+前提条件!$C$14)^(BF$3-$B$3),SUM(入力データ!$C$41:$C$52)*12*(1+前提条件!$C$12)^(BF$3-$B$3)))*前提条件!$C$52)</f>
        <v/>
      </c>
      <c r="BG20" s="352">
        <f>IF(BG$3="","",(IF(MIN(BG4,BG5)&gt;=入力データ!$C$111,入力データ!$C$112*12*(1+前提条件!$C$14)^(BG$3-$B$3),SUM(入力データ!$C$41:$C$52)*12*(1+前提条件!$C$12)^(BG$3-$B$3)))*前提条件!$C$52)</f>
        <v/>
      </c>
      <c r="BH20" s="352">
        <f>IF(BH$3="","",(IF(MIN(BH4,BH5)&gt;=入力データ!$C$111,入力データ!$C$112*12*(1+前提条件!$C$14)^(BH$3-$B$3),SUM(入力データ!$C$41:$C$52)*12*(1+前提条件!$C$12)^(BH$3-$B$3)))*前提条件!$C$52)</f>
        <v/>
      </c>
      <c r="BI20" s="352">
        <f>IF(BI$3="","",(IF(MIN(BI4,BI5)&gt;=入力データ!$C$111,入力データ!$C$112*12*(1+前提条件!$C$14)^(BI$3-$B$3),SUM(入力データ!$C$41:$C$52)*12*(1+前提条件!$C$12)^(BI$3-$B$3)))*前提条件!$C$52)</f>
        <v/>
      </c>
      <c r="BJ20" s="352">
        <f>IF(BJ$3="","",(IF(MIN(BJ4,BJ5)&gt;=入力データ!$C$111,入力データ!$C$112*12*(1+前提条件!$C$14)^(BJ$3-$B$3),SUM(入力データ!$C$41:$C$52)*12*(1+前提条件!$C$12)^(BJ$3-$B$3)))*前提条件!$C$52)</f>
        <v/>
      </c>
      <c r="BK20" s="352">
        <f>IF(BK$3="","",(IF(MIN(BK4,BK5)&gt;=入力データ!$C$111,入力データ!$C$112*12*(1+前提条件!$C$14)^(BK$3-$B$3),SUM(入力データ!$C$41:$C$52)*12*(1+前提条件!$C$12)^(BK$3-$B$3)))*前提条件!$C$52)</f>
        <v/>
      </c>
      <c r="BL20" s="352">
        <f>IF(BL$3="","",(IF(MIN(BL4,BL5)&gt;=入力データ!$C$111,入力データ!$C$112*12*(1+前提条件!$C$14)^(BL$3-$B$3),SUM(入力データ!$C$41:$C$52)*12*(1+前提条件!$C$12)^(BL$3-$B$3)))*前提条件!$C$52)</f>
        <v/>
      </c>
      <c r="BM20" s="352">
        <f>IF(BM$3="","",(IF(MIN(BM4,BM5)&gt;=入力データ!$C$111,入力データ!$C$112*12*(1+前提条件!$C$14)^(BM$3-$B$3),SUM(入力データ!$C$41:$C$52)*12*(1+前提条件!$C$12)^(BM$3-$B$3)))*前提条件!$C$52)</f>
        <v/>
      </c>
      <c r="BN20" s="352">
        <f>IF(BN$3="","",(IF(MIN(BN4,BN5)&gt;=入力データ!$C$111,入力データ!$C$112*12*(1+前提条件!$C$14)^(BN$3-$B$3),SUM(入力データ!$C$41:$C$52)*12*(1+前提条件!$C$12)^(BN$3-$B$3)))*前提条件!$C$52)</f>
        <v/>
      </c>
      <c r="BO20" s="352">
        <f>IF(BO$3="","",(IF(MIN(BO4,BO5)&gt;=入力データ!$C$111,入力データ!$C$112*12*(1+前提条件!$C$14)^(BO$3-$B$3),SUM(入力データ!$C$41:$C$52)*12*(1+前提条件!$C$12)^(BO$3-$B$3)))*前提条件!$C$52)</f>
        <v/>
      </c>
      <c r="BP20" s="352">
        <f>IF(BP$3="","",(IF(MIN(BP4,BP5)&gt;=入力データ!$C$111,入力データ!$C$112*12*(1+前提条件!$C$14)^(BP$3-$B$3),SUM(入力データ!$C$41:$C$52)*12*(1+前提条件!$C$12)^(BP$3-$B$3)))*前提条件!$C$52)</f>
        <v/>
      </c>
      <c r="BQ20" s="352">
        <f>IF(BQ$3="","",(IF(MIN(BQ4,BQ5)&gt;=入力データ!$C$111,入力データ!$C$112*12*(1+前提条件!$C$14)^(BQ$3-$B$3),SUM(入力データ!$C$41:$C$52)*12*(1+前提条件!$C$12)^(BQ$3-$B$3)))*前提条件!$C$52)</f>
        <v/>
      </c>
      <c r="BR20" s="352">
        <f>IF(BR$3="","",(IF(MIN(BR4,BR5)&gt;=入力データ!$C$111,入力データ!$C$112*12*(1+前提条件!$C$14)^(BR$3-$B$3),SUM(入力データ!$C$41:$C$52)*12*(1+前提条件!$C$12)^(BR$3-$B$3)))*前提条件!$C$52)</f>
        <v/>
      </c>
      <c r="BS20" s="352">
        <f>IF(BS$3="","",(IF(MIN(BS4,BS5)&gt;=入力データ!$C$111,入力データ!$C$112*12*(1+前提条件!$C$14)^(BS$3-$B$3),SUM(入力データ!$C$41:$C$52)*12*(1+前提条件!$C$12)^(BS$3-$B$3)))*前提条件!$C$52)</f>
        <v/>
      </c>
      <c r="BT20" s="352">
        <f>IF(BT$3="","",(IF(MIN(BT4,BT5)&gt;=入力データ!$C$111,入力データ!$C$112*12*(1+前提条件!$C$14)^(BT$3-$B$3),SUM(入力データ!$C$41:$C$52)*12*(1+前提条件!$C$12)^(BT$3-$B$3)))*前提条件!$C$52)</f>
        <v/>
      </c>
      <c r="BU20" s="352">
        <f>IF(BU$3="","",(IF(MIN(BU4,BU5)&gt;=入力データ!$C$111,入力データ!$C$112*12*(1+前提条件!$C$14)^(BU$3-$B$3),SUM(入力データ!$C$41:$C$52)*12*(1+前提条件!$C$12)^(BU$3-$B$3)))*前提条件!$C$52)</f>
        <v/>
      </c>
      <c r="BV20" s="352">
        <f>IF(BV$3="","",(IF(MIN(BV4,BV5)&gt;=入力データ!$C$111,入力データ!$C$112*12*(1+前提条件!$C$14)^(BV$3-$B$3),SUM(入力データ!$C$41:$C$52)*12*(1+前提条件!$C$12)^(BV$3-$B$3)))*前提条件!$C$52)</f>
        <v/>
      </c>
      <c r="BW20" s="352">
        <f>IF(BW$3="","",(IF(MIN(BW4,BW5)&gt;=入力データ!$C$111,入力データ!$C$112*12*(1+前提条件!$C$14)^(BW$3-$B$3),SUM(入力データ!$C$41:$C$52)*12*(1+前提条件!$C$12)^(BW$3-$B$3)))*前提条件!$C$52)</f>
        <v/>
      </c>
      <c r="BX20" s="352">
        <f>IF(BX$3="","",(IF(MIN(BX4,BX5)&gt;=入力データ!$C$111,入力データ!$C$112*12*(1+前提条件!$C$14)^(BX$3-$B$3),SUM(入力データ!$C$41:$C$52)*12*(1+前提条件!$C$12)^(BX$3-$B$3)))*前提条件!$C$52)</f>
        <v/>
      </c>
      <c r="BY20" s="352">
        <f>IF(BY$3="","",(IF(MIN(BY4,BY5)&gt;=入力データ!$C$111,入力データ!$C$112*12*(1+前提条件!$C$14)^(BY$3-$B$3),SUM(入力データ!$C$41:$C$52)*12*(1+前提条件!$C$12)^(BY$3-$B$3)))*前提条件!$C$52)</f>
        <v/>
      </c>
      <c r="BZ20" s="352">
        <f>IF(BZ$3="","",(IF(MIN(BZ4,BZ5)&gt;=入力データ!$C$111,入力データ!$C$112*12*(1+前提条件!$C$14)^(BZ$3-$B$3),SUM(入力データ!$C$41:$C$52)*12*(1+前提条件!$C$12)^(BZ$3-$B$3)))*前提条件!$C$52)</f>
        <v/>
      </c>
      <c r="CA20" s="352">
        <f>IF(CA$3="","",(IF(MIN(CA4,CA5)&gt;=入力データ!$C$111,入力データ!$C$112*12*(1+前提条件!$C$14)^(CA$3-$B$3),SUM(入力データ!$C$41:$C$52)*12*(1+前提条件!$C$12)^(CA$3-$B$3)))*前提条件!$C$52)</f>
        <v/>
      </c>
      <c r="CB20" s="352">
        <f>IF(CB$3="","",(IF(MIN(CB4,CB5)&gt;=入力データ!$C$111,入力データ!$C$112*12*(1+前提条件!$C$14)^(CB$3-$B$3),SUM(入力データ!$C$41:$C$52)*12*(1+前提条件!$C$12)^(CB$3-$B$3)))*前提条件!$C$52)</f>
        <v/>
      </c>
      <c r="CC20" s="352">
        <f>IF(CC$3="","",(IF(MIN(CC4,CC5)&gt;=入力データ!$C$111,入力データ!$C$112*12*(1+前提条件!$C$14)^(CC$3-$B$3),SUM(入力データ!$C$41:$C$52)*12*(1+前提条件!$C$12)^(CC$3-$B$3)))*前提条件!$C$52)</f>
        <v/>
      </c>
      <c r="CD20" s="352">
        <f>IF(CD$3="","",(IF(MIN(CD4,CD5)&gt;=入力データ!$C$111,入力データ!$C$112*12*(1+前提条件!$C$14)^(CD$3-$B$3),SUM(入力データ!$C$41:$C$52)*12*(1+前提条件!$C$12)^(CD$3-$B$3)))*前提条件!$C$52)</f>
        <v/>
      </c>
      <c r="CE20" s="352">
        <f>IF(CE$3="","",(IF(MIN(CE4,CE5)&gt;=入力データ!$C$111,入力データ!$C$112*12*(1+前提条件!$C$14)^(CE$3-$B$3),SUM(入力データ!$C$41:$C$52)*12*(1+前提条件!$C$12)^(CE$3-$B$3)))*前提条件!$C$52)</f>
        <v/>
      </c>
      <c r="CF20" s="352">
        <f>IF(CF$3="","",(IF(MIN(CF4,CF5)&gt;=入力データ!$C$111,入力データ!$C$112*12*(1+前提条件!$C$14)^(CF$3-$B$3),SUM(入力データ!$C$41:$C$52)*12*(1+前提条件!$C$12)^(CF$3-$B$3)))*前提条件!$C$52)</f>
        <v/>
      </c>
      <c r="CG20" s="352">
        <f>IF(CG$3="","",(IF(MIN(CG4,CG5)&gt;=入力データ!$C$111,入力データ!$C$112*12*(1+前提条件!$C$14)^(CG$3-$B$3),SUM(入力データ!$C$41:$C$52)*12*(1+前提条件!$C$12)^(CG$3-$B$3)))*前提条件!$C$52)</f>
        <v/>
      </c>
      <c r="CH20" s="352">
        <f>IF(CH$3="","",(IF(MIN(CH4,CH5)&gt;=入力データ!$C$111,入力データ!$C$112*12*(1+前提条件!$C$14)^(CH$3-$B$3),SUM(入力データ!$C$41:$C$52)*12*(1+前提条件!$C$12)^(CH$3-$B$3)))*前提条件!$C$52)</f>
        <v/>
      </c>
      <c r="CI20" s="352">
        <f>IF(CI$3="","",(IF(MIN(CI4,CI5)&gt;=入力データ!$C$111,入力データ!$C$112*12*(1+前提条件!$C$14)^(CI$3-$B$3),SUM(入力データ!$C$41:$C$52)*12*(1+前提条件!$C$12)^(CI$3-$B$3)))*前提条件!$C$52)</f>
        <v/>
      </c>
      <c r="CJ20" s="352">
        <f>IF(CJ$3="","",(IF(MIN(CJ4,CJ5)&gt;=入力データ!$C$111,入力データ!$C$112*12*(1+前提条件!$C$14)^(CJ$3-$B$3),SUM(入力データ!$C$41:$C$52)*12*(1+前提条件!$C$12)^(CJ$3-$B$3)))*前提条件!$C$52)</f>
        <v/>
      </c>
      <c r="CK20" s="352">
        <f>IF(CK$3="","",(IF(MIN(CK4,CK5)&gt;=入力データ!$C$111,入力データ!$C$112*12*(1+前提条件!$C$14)^(CK$3-$B$3),SUM(入力データ!$C$41:$C$52)*12*(1+前提条件!$C$12)^(CK$3-$B$3)))*前提条件!$C$52)</f>
        <v/>
      </c>
      <c r="CL20" s="352">
        <f>IF(CL$3="","",(IF(MIN(CL4,CL5)&gt;=入力データ!$C$111,入力データ!$C$112*12*(1+前提条件!$C$14)^(CL$3-$B$3),SUM(入力データ!$C$41:$C$52)*12*(1+前提条件!$C$12)^(CL$3-$B$3)))*前提条件!$C$52)</f>
        <v/>
      </c>
      <c r="CM20" s="352">
        <f>IF(CM$3="","",(IF(MIN(CM4,CM5)&gt;=入力データ!$C$111,入力データ!$C$112*12*(1+前提条件!$C$14)^(CM$3-$B$3),SUM(入力データ!$C$41:$C$52)*12*(1+前提条件!$C$12)^(CM$3-$B$3)))*前提条件!$C$52)</f>
        <v/>
      </c>
      <c r="CN20" s="352">
        <f>IF(CN$3="","",(IF(MIN(CN4,CN5)&gt;=入力データ!$C$111,入力データ!$C$112*12*(1+前提条件!$C$14)^(CN$3-$B$3),SUM(入力データ!$C$41:$C$52)*12*(1+前提条件!$C$12)^(CN$3-$B$3)))*前提条件!$C$52)</f>
        <v/>
      </c>
      <c r="CO20" s="352">
        <f>IF(CO$3="","",(IF(MIN(CO4,CO5)&gt;=入力データ!$C$111,入力データ!$C$112*12*(1+前提条件!$C$14)^(CO$3-$B$3),SUM(入力データ!$C$41:$C$52)*12*(1+前提条件!$C$12)^(CO$3-$B$3)))*前提条件!$C$52)</f>
        <v/>
      </c>
      <c r="CP20" s="352">
        <f>IF(CP$3="","",(IF(MIN(CP4,CP5)&gt;=入力データ!$C$111,入力データ!$C$112*12*(1+前提条件!$C$14)^(CP$3-$B$3),SUM(入力データ!$C$41:$C$52)*12*(1+前提条件!$C$12)^(CP$3-$B$3)))*前提条件!$C$52)</f>
        <v/>
      </c>
      <c r="CQ20" s="352">
        <f>IF(CQ$3="","",(IF(MIN(CQ4,CQ5)&gt;=入力データ!$C$111,入力データ!$C$112*12*(1+前提条件!$C$14)^(CQ$3-$B$3),SUM(入力データ!$C$41:$C$52)*12*(1+前提条件!$C$12)^(CQ$3-$B$3)))*前提条件!$C$52)</f>
        <v/>
      </c>
      <c r="CR20" s="352">
        <f>IF(CR$3="","",(IF(MIN(CR4,CR5)&gt;=入力データ!$C$111,入力データ!$C$112*12*(1+前提条件!$C$14)^(CR$3-$B$3),SUM(入力データ!$C$41:$C$52)*12*(1+前提条件!$C$12)^(CR$3-$B$3)))*前提条件!$C$52)</f>
        <v/>
      </c>
      <c r="CS20" s="352">
        <f>IF(CS$3="","",(IF(MIN(CS4,CS5)&gt;=入力データ!$C$111,入力データ!$C$112*12*(1+前提条件!$C$14)^(CS$3-$B$3),SUM(入力データ!$C$41:$C$52)*12*(1+前提条件!$C$12)^(CS$3-$B$3)))*前提条件!$C$52)</f>
        <v/>
      </c>
      <c r="CT20" s="352">
        <f>IF(CT$3="","",(IF(MIN(CT4,CT5)&gt;=入力データ!$C$111,入力データ!$C$112*12*(1+前提条件!$C$14)^(CT$3-$B$3),SUM(入力データ!$C$41:$C$52)*12*(1+前提条件!$C$12)^(CT$3-$B$3)))*前提条件!$C$52)</f>
        <v/>
      </c>
      <c r="CU20" s="352">
        <f>IF(CU$3="","",(IF(MIN(CU4,CU5)&gt;=入力データ!$C$111,入力データ!$C$112*12*(1+前提条件!$C$14)^(CU$3-$B$3),SUM(入力データ!$C$41:$C$52)*12*(1+前提条件!$C$12)^(CU$3-$B$3)))*前提条件!$C$52)</f>
        <v/>
      </c>
      <c r="CV20" s="352">
        <f>IF(CV$3="","",(IF(MIN(CV4,CV5)&gt;=入力データ!$C$111,入力データ!$C$112*12*(1+前提条件!$C$14)^(CV$3-$B$3),SUM(入力データ!$C$41:$C$52)*12*(1+前提条件!$C$12)^(CV$3-$B$3)))*前提条件!$C$52)</f>
        <v/>
      </c>
      <c r="CW20" s="352">
        <f>IF(CW$3="","",(IF(MIN(CW4,CW5)&gt;=入力データ!$C$111,入力データ!$C$112*12*(1+前提条件!$C$14)^(CW$3-$B$3),SUM(入力データ!$C$41:$C$52)*12*(1+前提条件!$C$12)^(CW$3-$B$3)))*前提条件!$C$52)</f>
        <v/>
      </c>
    </row>
    <row r="21" ht="15" customHeight="1" s="180">
      <c r="A21" s="224" t="inlineStr">
        <is>
          <t>住居費</t>
        </is>
      </c>
      <c r="B21" s="352">
        <f>IF(B$3="","",((IF(入力データ!$C$13="持ち家",IF(入力データ!$C$57="あり",0,IF(B5&lt;=前提条件!$C$44,入力データ!$C$53,0)),入力データ!$C$53)+入力データ!$C$54+入力データ!$C$55+入力データ!$C$56)*12+IF(入力データ!$C$13="持ち家",入力データ!$C$83+前提条件!$C$47,入力データ!$C$84+前提条件!$C$48))*(1+前提条件!$C$15)^(B$3-$B$3))</f>
        <v/>
      </c>
      <c r="C21" s="352">
        <f>IF(C$3="","",((IF(入力データ!$C$13="持ち家",IF(入力データ!$C$57="あり",0,IF(C5&lt;=前提条件!$C$44,入力データ!$C$53,0)),入力データ!$C$53)+入力データ!$C$54+入力データ!$C$55+入力データ!$C$56)*12+IF(入力データ!$C$13="持ち家",入力データ!$C$83+前提条件!$C$47,入力データ!$C$84+前提条件!$C$48))*(1+前提条件!$C$15)^(C$3-$B$3))</f>
        <v/>
      </c>
      <c r="D21" s="352">
        <f>IF(D$3="","",((IF(入力データ!$C$13="持ち家",IF(入力データ!$C$57="あり",0,IF(D5&lt;=前提条件!$C$44,入力データ!$C$53,0)),入力データ!$C$53)+入力データ!$C$54+入力データ!$C$55+入力データ!$C$56)*12+IF(入力データ!$C$13="持ち家",入力データ!$C$83+前提条件!$C$47,入力データ!$C$84+前提条件!$C$48))*(1+前提条件!$C$15)^(D$3-$B$3))</f>
        <v/>
      </c>
      <c r="E21" s="352">
        <f>IF(E$3="","",((IF(入力データ!$C$13="持ち家",IF(入力データ!$C$57="あり",0,IF(E5&lt;=前提条件!$C$44,入力データ!$C$53,0)),入力データ!$C$53)+入力データ!$C$54+入力データ!$C$55+入力データ!$C$56)*12+IF(入力データ!$C$13="持ち家",入力データ!$C$83+前提条件!$C$47,入力データ!$C$84+前提条件!$C$48))*(1+前提条件!$C$15)^(E$3-$B$3))</f>
        <v/>
      </c>
      <c r="F21" s="352">
        <f>IF(F$3="","",((IF(入力データ!$C$13="持ち家",IF(入力データ!$C$57="あり",0,IF(F5&lt;=前提条件!$C$44,入力データ!$C$53,0)),入力データ!$C$53)+入力データ!$C$54+入力データ!$C$55+入力データ!$C$56)*12+IF(入力データ!$C$13="持ち家",入力データ!$C$83+前提条件!$C$47,入力データ!$C$84+前提条件!$C$48))*(1+前提条件!$C$15)^(F$3-$B$3))</f>
        <v/>
      </c>
      <c r="G21" s="352">
        <f>IF(G$3="","",((IF(入力データ!$C$13="持ち家",IF(入力データ!$C$57="あり",0,IF(G5&lt;=前提条件!$C$44,入力データ!$C$53,0)),入力データ!$C$53)+入力データ!$C$54+入力データ!$C$55+入力データ!$C$56)*12+IF(入力データ!$C$13="持ち家",入力データ!$C$83+前提条件!$C$47,入力データ!$C$84+前提条件!$C$48))*(1+前提条件!$C$15)^(G$3-$B$3))</f>
        <v/>
      </c>
      <c r="H21" s="352">
        <f>IF(H$3="","",((IF(入力データ!$C$13="持ち家",IF(入力データ!$C$57="あり",0,IF(H5&lt;=前提条件!$C$44,入力データ!$C$53,0)),入力データ!$C$53)+入力データ!$C$54+入力データ!$C$55+入力データ!$C$56)*12+IF(入力データ!$C$13="持ち家",入力データ!$C$83+前提条件!$C$47,入力データ!$C$84+前提条件!$C$48))*(1+前提条件!$C$15)^(H$3-$B$3))</f>
        <v/>
      </c>
      <c r="I21" s="352">
        <f>IF(I$3="","",((IF(入力データ!$C$13="持ち家",IF(入力データ!$C$57="あり",0,IF(I5&lt;=前提条件!$C$44,入力データ!$C$53,0)),入力データ!$C$53)+入力データ!$C$54+入力データ!$C$55+入力データ!$C$56)*12+IF(入力データ!$C$13="持ち家",入力データ!$C$83+前提条件!$C$47,入力データ!$C$84+前提条件!$C$48))*(1+前提条件!$C$15)^(I$3-$B$3))</f>
        <v/>
      </c>
      <c r="J21" s="352">
        <f>IF(J$3="","",((IF(入力データ!$C$13="持ち家",IF(入力データ!$C$57="あり",0,IF(J5&lt;=前提条件!$C$44,入力データ!$C$53,0)),入力データ!$C$53)+入力データ!$C$54+入力データ!$C$55+入力データ!$C$56)*12+IF(入力データ!$C$13="持ち家",入力データ!$C$83+前提条件!$C$47,入力データ!$C$84+前提条件!$C$48))*(1+前提条件!$C$15)^(J$3-$B$3))</f>
        <v/>
      </c>
      <c r="K21" s="352">
        <f>IF(K$3="","",((IF(入力データ!$C$13="持ち家",IF(入力データ!$C$57="あり",0,IF(K5&lt;=前提条件!$C$44,入力データ!$C$53,0)),入力データ!$C$53)+入力データ!$C$54+入力データ!$C$55+入力データ!$C$56)*12+IF(入力データ!$C$13="持ち家",入力データ!$C$83+前提条件!$C$47,入力データ!$C$84+前提条件!$C$48))*(1+前提条件!$C$15)^(K$3-$B$3))</f>
        <v/>
      </c>
      <c r="L21" s="352">
        <f>IF(L$3="","",((IF(入力データ!$C$13="持ち家",IF(入力データ!$C$57="あり",0,IF(L5&lt;=前提条件!$C$44,入力データ!$C$53,0)),入力データ!$C$53)+入力データ!$C$54+入力データ!$C$55+入力データ!$C$56)*12+IF(入力データ!$C$13="持ち家",入力データ!$C$83+前提条件!$C$47,入力データ!$C$84+前提条件!$C$48))*(1+前提条件!$C$15)^(L$3-$B$3))</f>
        <v/>
      </c>
      <c r="M21" s="352">
        <f>IF(M$3="","",((IF(入力データ!$C$13="持ち家",IF(入力データ!$C$57="あり",0,IF(M5&lt;=前提条件!$C$44,入力データ!$C$53,0)),入力データ!$C$53)+入力データ!$C$54+入力データ!$C$55+入力データ!$C$56)*12+IF(入力データ!$C$13="持ち家",入力データ!$C$83+前提条件!$C$47,入力データ!$C$84+前提条件!$C$48))*(1+前提条件!$C$15)^(M$3-$B$3))</f>
        <v/>
      </c>
      <c r="N21" s="352">
        <f>IF(N$3="","",((IF(入力データ!$C$13="持ち家",IF(入力データ!$C$57="あり",0,IF(N5&lt;=前提条件!$C$44,入力データ!$C$53,0)),入力データ!$C$53)+入力データ!$C$54+入力データ!$C$55+入力データ!$C$56)*12+IF(入力データ!$C$13="持ち家",入力データ!$C$83+前提条件!$C$47,入力データ!$C$84+前提条件!$C$48))*(1+前提条件!$C$15)^(N$3-$B$3))</f>
        <v/>
      </c>
      <c r="O21" s="352">
        <f>IF(O$3="","",((IF(入力データ!$C$13="持ち家",IF(入力データ!$C$57="あり",0,IF(O5&lt;=前提条件!$C$44,入力データ!$C$53,0)),入力データ!$C$53)+入力データ!$C$54+入力データ!$C$55+入力データ!$C$56)*12+IF(入力データ!$C$13="持ち家",入力データ!$C$83+前提条件!$C$47,入力データ!$C$84+前提条件!$C$48))*(1+前提条件!$C$15)^(O$3-$B$3))</f>
        <v/>
      </c>
      <c r="P21" s="352">
        <f>IF(P$3="","",((IF(入力データ!$C$13="持ち家",IF(入力データ!$C$57="あり",0,IF(P5&lt;=前提条件!$C$44,入力データ!$C$53,0)),入力データ!$C$53)+入力データ!$C$54+入力データ!$C$55+入力データ!$C$56)*12+IF(入力データ!$C$13="持ち家",入力データ!$C$83+前提条件!$C$47,入力データ!$C$84+前提条件!$C$48))*(1+前提条件!$C$15)^(P$3-$B$3))</f>
        <v/>
      </c>
      <c r="Q21" s="352">
        <f>IF(Q$3="","",((IF(入力データ!$C$13="持ち家",IF(入力データ!$C$57="あり",0,IF(Q5&lt;=前提条件!$C$44,入力データ!$C$53,0)),入力データ!$C$53)+入力データ!$C$54+入力データ!$C$55+入力データ!$C$56)*12+IF(入力データ!$C$13="持ち家",入力データ!$C$83+前提条件!$C$47,入力データ!$C$84+前提条件!$C$48))*(1+前提条件!$C$15)^(Q$3-$B$3))</f>
        <v/>
      </c>
      <c r="R21" s="352">
        <f>IF(R$3="","",((IF(入力データ!$C$13="持ち家",IF(入力データ!$C$57="あり",0,IF(R5&lt;=前提条件!$C$44,入力データ!$C$53,0)),入力データ!$C$53)+入力データ!$C$54+入力データ!$C$55+入力データ!$C$56)*12+IF(入力データ!$C$13="持ち家",入力データ!$C$83+前提条件!$C$47,入力データ!$C$84+前提条件!$C$48))*(1+前提条件!$C$15)^(R$3-$B$3))</f>
        <v/>
      </c>
      <c r="S21" s="352">
        <f>IF(S$3="","",((IF(入力データ!$C$13="持ち家",IF(入力データ!$C$57="あり",0,IF(S5&lt;=前提条件!$C$44,入力データ!$C$53,0)),入力データ!$C$53)+入力データ!$C$54+入力データ!$C$55+入力データ!$C$56)*12+IF(入力データ!$C$13="持ち家",入力データ!$C$83+前提条件!$C$47,入力データ!$C$84+前提条件!$C$48))*(1+前提条件!$C$15)^(S$3-$B$3))</f>
        <v/>
      </c>
      <c r="T21" s="352">
        <f>IF(T$3="","",((IF(入力データ!$C$13="持ち家",IF(入力データ!$C$57="あり",0,IF(T5&lt;=前提条件!$C$44,入力データ!$C$53,0)),入力データ!$C$53)+入力データ!$C$54+入力データ!$C$55+入力データ!$C$56)*12+IF(入力データ!$C$13="持ち家",入力データ!$C$83+前提条件!$C$47,入力データ!$C$84+前提条件!$C$48))*(1+前提条件!$C$15)^(T$3-$B$3))</f>
        <v/>
      </c>
      <c r="U21" s="352">
        <f>IF(U$3="","",((IF(入力データ!$C$13="持ち家",IF(入力データ!$C$57="あり",0,IF(U5&lt;=前提条件!$C$44,入力データ!$C$53,0)),入力データ!$C$53)+入力データ!$C$54+入力データ!$C$55+入力データ!$C$56)*12+IF(入力データ!$C$13="持ち家",入力データ!$C$83+前提条件!$C$47,入力データ!$C$84+前提条件!$C$48))*(1+前提条件!$C$15)^(U$3-$B$3))</f>
        <v/>
      </c>
      <c r="V21" s="352">
        <f>IF(V$3="","",((IF(入力データ!$C$13="持ち家",IF(入力データ!$C$57="あり",0,IF(V5&lt;=前提条件!$C$44,入力データ!$C$53,0)),入力データ!$C$53)+入力データ!$C$54+入力データ!$C$55+入力データ!$C$56)*12+IF(入力データ!$C$13="持ち家",入力データ!$C$83+前提条件!$C$47,入力データ!$C$84+前提条件!$C$48))*(1+前提条件!$C$15)^(V$3-$B$3))</f>
        <v/>
      </c>
      <c r="W21" s="352">
        <f>IF(W$3="","",((IF(入力データ!$C$13="持ち家",IF(入力データ!$C$57="あり",0,IF(W5&lt;=前提条件!$C$44,入力データ!$C$53,0)),入力データ!$C$53)+入力データ!$C$54+入力データ!$C$55+入力データ!$C$56)*12+IF(入力データ!$C$13="持ち家",入力データ!$C$83+前提条件!$C$47,入力データ!$C$84+前提条件!$C$48))*(1+前提条件!$C$15)^(W$3-$B$3))</f>
        <v/>
      </c>
      <c r="X21" s="352">
        <f>IF(X$3="","",((IF(入力データ!$C$13="持ち家",IF(入力データ!$C$57="あり",0,IF(X5&lt;=前提条件!$C$44,入力データ!$C$53,0)),入力データ!$C$53)+入力データ!$C$54+入力データ!$C$55+入力データ!$C$56)*12+IF(入力データ!$C$13="持ち家",入力データ!$C$83+前提条件!$C$47,入力データ!$C$84+前提条件!$C$48))*(1+前提条件!$C$15)^(X$3-$B$3))</f>
        <v/>
      </c>
      <c r="Y21" s="352">
        <f>IF(Y$3="","",((IF(入力データ!$C$13="持ち家",IF(入力データ!$C$57="あり",0,IF(Y5&lt;=前提条件!$C$44,入力データ!$C$53,0)),入力データ!$C$53)+入力データ!$C$54+入力データ!$C$55+入力データ!$C$56)*12+IF(入力データ!$C$13="持ち家",入力データ!$C$83+前提条件!$C$47,入力データ!$C$84+前提条件!$C$48))*(1+前提条件!$C$15)^(Y$3-$B$3))</f>
        <v/>
      </c>
      <c r="Z21" s="352">
        <f>IF(Z$3="","",((IF(入力データ!$C$13="持ち家",IF(入力データ!$C$57="あり",0,IF(Z5&lt;=前提条件!$C$44,入力データ!$C$53,0)),入力データ!$C$53)+入力データ!$C$54+入力データ!$C$55+入力データ!$C$56)*12+IF(入力データ!$C$13="持ち家",入力データ!$C$83+前提条件!$C$47,入力データ!$C$84+前提条件!$C$48))*(1+前提条件!$C$15)^(Z$3-$B$3))</f>
        <v/>
      </c>
      <c r="AA21" s="352">
        <f>IF(AA$3="","",((IF(入力データ!$C$13="持ち家",IF(入力データ!$C$57="あり",0,IF(AA5&lt;=前提条件!$C$44,入力データ!$C$53,0)),入力データ!$C$53)+入力データ!$C$54+入力データ!$C$55+入力データ!$C$56)*12+IF(入力データ!$C$13="持ち家",入力データ!$C$83+前提条件!$C$47,入力データ!$C$84+前提条件!$C$48))*(1+前提条件!$C$15)^(AA$3-$B$3))</f>
        <v/>
      </c>
      <c r="AB21" s="352">
        <f>IF(AB$3="","",((IF(入力データ!$C$13="持ち家",IF(入力データ!$C$57="あり",0,IF(AB5&lt;=前提条件!$C$44,入力データ!$C$53,0)),入力データ!$C$53)+入力データ!$C$54+入力データ!$C$55+入力データ!$C$56)*12+IF(入力データ!$C$13="持ち家",入力データ!$C$83+前提条件!$C$47,入力データ!$C$84+前提条件!$C$48))*(1+前提条件!$C$15)^(AB$3-$B$3))</f>
        <v/>
      </c>
      <c r="AC21" s="352">
        <f>IF(AC$3="","",((IF(入力データ!$C$13="持ち家",IF(入力データ!$C$57="あり",0,IF(AC5&lt;=前提条件!$C$44,入力データ!$C$53,0)),入力データ!$C$53)+入力データ!$C$54+入力データ!$C$55+入力データ!$C$56)*12+IF(入力データ!$C$13="持ち家",入力データ!$C$83+前提条件!$C$47,入力データ!$C$84+前提条件!$C$48))*(1+前提条件!$C$15)^(AC$3-$B$3))</f>
        <v/>
      </c>
      <c r="AD21" s="352">
        <f>IF(AD$3="","",((IF(入力データ!$C$13="持ち家",IF(入力データ!$C$57="あり",0,IF(AD5&lt;=前提条件!$C$44,入力データ!$C$53,0)),入力データ!$C$53)+入力データ!$C$54+入力データ!$C$55+入力データ!$C$56)*12+IF(入力データ!$C$13="持ち家",入力データ!$C$83+前提条件!$C$47,入力データ!$C$84+前提条件!$C$48))*(1+前提条件!$C$15)^(AD$3-$B$3))</f>
        <v/>
      </c>
      <c r="AE21" s="352">
        <f>IF(AE$3="","",((IF(入力データ!$C$13="持ち家",IF(入力データ!$C$57="あり",0,IF(AE5&lt;=前提条件!$C$44,入力データ!$C$53,0)),入力データ!$C$53)+入力データ!$C$54+入力データ!$C$55+入力データ!$C$56)*12+IF(入力データ!$C$13="持ち家",入力データ!$C$83+前提条件!$C$47,入力データ!$C$84+前提条件!$C$48))*(1+前提条件!$C$15)^(AE$3-$B$3))</f>
        <v/>
      </c>
      <c r="AF21" s="352">
        <f>IF(AF$3="","",((IF(入力データ!$C$13="持ち家",IF(入力データ!$C$57="あり",0,IF(AF5&lt;=前提条件!$C$44,入力データ!$C$53,0)),入力データ!$C$53)+入力データ!$C$54+入力データ!$C$55+入力データ!$C$56)*12+IF(入力データ!$C$13="持ち家",入力データ!$C$83+前提条件!$C$47,入力データ!$C$84+前提条件!$C$48))*(1+前提条件!$C$15)^(AF$3-$B$3))</f>
        <v/>
      </c>
      <c r="AG21" s="352">
        <f>IF(AG$3="","",((IF(入力データ!$C$13="持ち家",IF(入力データ!$C$57="あり",0,IF(AG5&lt;=前提条件!$C$44,入力データ!$C$53,0)),入力データ!$C$53)+入力データ!$C$54+入力データ!$C$55+入力データ!$C$56)*12+IF(入力データ!$C$13="持ち家",入力データ!$C$83+前提条件!$C$47,入力データ!$C$84+前提条件!$C$48))*(1+前提条件!$C$15)^(AG$3-$B$3))</f>
        <v/>
      </c>
      <c r="AH21" s="352">
        <f>IF(AH$3="","",((IF(入力データ!$C$13="持ち家",IF(入力データ!$C$57="あり",0,IF(AH5&lt;=前提条件!$C$44,入力データ!$C$53,0)),入力データ!$C$53)+入力データ!$C$54+入力データ!$C$55+入力データ!$C$56)*12+IF(入力データ!$C$13="持ち家",入力データ!$C$83+前提条件!$C$47,入力データ!$C$84+前提条件!$C$48))*(1+前提条件!$C$15)^(AH$3-$B$3))</f>
        <v/>
      </c>
      <c r="AI21" s="352">
        <f>IF(AI$3="","",((IF(入力データ!$C$13="持ち家",IF(入力データ!$C$57="あり",0,IF(AI5&lt;=前提条件!$C$44,入力データ!$C$53,0)),入力データ!$C$53)+入力データ!$C$54+入力データ!$C$55+入力データ!$C$56)*12+IF(入力データ!$C$13="持ち家",入力データ!$C$83+前提条件!$C$47,入力データ!$C$84+前提条件!$C$48))*(1+前提条件!$C$15)^(AI$3-$B$3))</f>
        <v/>
      </c>
      <c r="AJ21" s="352">
        <f>IF(AJ$3="","",((IF(入力データ!$C$13="持ち家",IF(入力データ!$C$57="あり",0,IF(AJ5&lt;=前提条件!$C$44,入力データ!$C$53,0)),入力データ!$C$53)+入力データ!$C$54+入力データ!$C$55+入力データ!$C$56)*12+IF(入力データ!$C$13="持ち家",入力データ!$C$83+前提条件!$C$47,入力データ!$C$84+前提条件!$C$48))*(1+前提条件!$C$15)^(AJ$3-$B$3))</f>
        <v/>
      </c>
      <c r="AK21" s="352">
        <f>IF(AK$3="","",((IF(入力データ!$C$13="持ち家",IF(入力データ!$C$57="あり",0,IF(AK5&lt;=前提条件!$C$44,入力データ!$C$53,0)),入力データ!$C$53)+入力データ!$C$54+入力データ!$C$55+入力データ!$C$56)*12+IF(入力データ!$C$13="持ち家",入力データ!$C$83+前提条件!$C$47,入力データ!$C$84+前提条件!$C$48))*(1+前提条件!$C$15)^(AK$3-$B$3))</f>
        <v/>
      </c>
      <c r="AL21" s="352">
        <f>IF(AL$3="","",((IF(入力データ!$C$13="持ち家",IF(入力データ!$C$57="あり",0,IF(AL5&lt;=前提条件!$C$44,入力データ!$C$53,0)),入力データ!$C$53)+入力データ!$C$54+入力データ!$C$55+入力データ!$C$56)*12+IF(入力データ!$C$13="持ち家",入力データ!$C$83+前提条件!$C$47,入力データ!$C$84+前提条件!$C$48))*(1+前提条件!$C$15)^(AL$3-$B$3))</f>
        <v/>
      </c>
      <c r="AM21" s="352">
        <f>IF(AM$3="","",((IF(入力データ!$C$13="持ち家",IF(入力データ!$C$57="あり",0,IF(AM5&lt;=前提条件!$C$44,入力データ!$C$53,0)),入力データ!$C$53)+入力データ!$C$54+入力データ!$C$55+入力データ!$C$56)*12+IF(入力データ!$C$13="持ち家",入力データ!$C$83+前提条件!$C$47,入力データ!$C$84+前提条件!$C$48))*(1+前提条件!$C$15)^(AM$3-$B$3))</f>
        <v/>
      </c>
      <c r="AN21" s="352">
        <f>IF(AN$3="","",((IF(入力データ!$C$13="持ち家",IF(入力データ!$C$57="あり",0,IF(AN5&lt;=前提条件!$C$44,入力データ!$C$53,0)),入力データ!$C$53)+入力データ!$C$54+入力データ!$C$55+入力データ!$C$56)*12+IF(入力データ!$C$13="持ち家",入力データ!$C$83+前提条件!$C$47,入力データ!$C$84+前提条件!$C$48))*(1+前提条件!$C$15)^(AN$3-$B$3))</f>
        <v/>
      </c>
      <c r="AO21" s="352">
        <f>IF(AO$3="","",((IF(入力データ!$C$13="持ち家",IF(入力データ!$C$57="あり",0,IF(AO5&lt;=前提条件!$C$44,入力データ!$C$53,0)),入力データ!$C$53)+入力データ!$C$54+入力データ!$C$55+入力データ!$C$56)*12+IF(入力データ!$C$13="持ち家",入力データ!$C$83+前提条件!$C$47,入力データ!$C$84+前提条件!$C$48))*(1+前提条件!$C$15)^(AO$3-$B$3))</f>
        <v/>
      </c>
      <c r="AP21" s="352">
        <f>IF(AP$3="","",((IF(入力データ!$C$13="持ち家",IF(入力データ!$C$57="あり",0,IF(AP5&lt;=前提条件!$C$44,入力データ!$C$53,0)),入力データ!$C$53)+入力データ!$C$54+入力データ!$C$55+入力データ!$C$56)*12+IF(入力データ!$C$13="持ち家",入力データ!$C$83+前提条件!$C$47,入力データ!$C$84+前提条件!$C$48))*(1+前提条件!$C$15)^(AP$3-$B$3))</f>
        <v/>
      </c>
      <c r="AQ21" s="352">
        <f>IF(AQ$3="","",((IF(入力データ!$C$13="持ち家",IF(入力データ!$C$57="あり",0,IF(AQ5&lt;=前提条件!$C$44,入力データ!$C$53,0)),入力データ!$C$53)+入力データ!$C$54+入力データ!$C$55+入力データ!$C$56)*12+IF(入力データ!$C$13="持ち家",入力データ!$C$83+前提条件!$C$47,入力データ!$C$84+前提条件!$C$48))*(1+前提条件!$C$15)^(AQ$3-$B$3))</f>
        <v/>
      </c>
      <c r="AR21" s="352">
        <f>IF(AR$3="","",((IF(入力データ!$C$13="持ち家",IF(入力データ!$C$57="あり",0,IF(AR5&lt;=前提条件!$C$44,入力データ!$C$53,0)),入力データ!$C$53)+入力データ!$C$54+入力データ!$C$55+入力データ!$C$56)*12+IF(入力データ!$C$13="持ち家",入力データ!$C$83+前提条件!$C$47,入力データ!$C$84+前提条件!$C$48))*(1+前提条件!$C$15)^(AR$3-$B$3))</f>
        <v/>
      </c>
      <c r="AS21" s="352">
        <f>IF(AS$3="","",((IF(入力データ!$C$13="持ち家",IF(入力データ!$C$57="あり",0,IF(AS5&lt;=前提条件!$C$44,入力データ!$C$53,0)),入力データ!$C$53)+入力データ!$C$54+入力データ!$C$55+入力データ!$C$56)*12+IF(入力データ!$C$13="持ち家",入力データ!$C$83+前提条件!$C$47,入力データ!$C$84+前提条件!$C$48))*(1+前提条件!$C$15)^(AS$3-$B$3))</f>
        <v/>
      </c>
      <c r="AT21" s="352">
        <f>IF(AT$3="","",((IF(入力データ!$C$13="持ち家",IF(入力データ!$C$57="あり",0,IF(AT5&lt;=前提条件!$C$44,入力データ!$C$53,0)),入力データ!$C$53)+入力データ!$C$54+入力データ!$C$55+入力データ!$C$56)*12+IF(入力データ!$C$13="持ち家",入力データ!$C$83+前提条件!$C$47,入力データ!$C$84+前提条件!$C$48))*(1+前提条件!$C$15)^(AT$3-$B$3))</f>
        <v/>
      </c>
      <c r="AU21" s="352">
        <f>IF(AU$3="","",((IF(入力データ!$C$13="持ち家",IF(入力データ!$C$57="あり",0,IF(AU5&lt;=前提条件!$C$44,入力データ!$C$53,0)),入力データ!$C$53)+入力データ!$C$54+入力データ!$C$55+入力データ!$C$56)*12+IF(入力データ!$C$13="持ち家",入力データ!$C$83+前提条件!$C$47,入力データ!$C$84+前提条件!$C$48))*(1+前提条件!$C$15)^(AU$3-$B$3))</f>
        <v/>
      </c>
      <c r="AV21" s="352">
        <f>IF(AV$3="","",((IF(入力データ!$C$13="持ち家",IF(入力データ!$C$57="あり",0,IF(AV5&lt;=前提条件!$C$44,入力データ!$C$53,0)),入力データ!$C$53)+入力データ!$C$54+入力データ!$C$55+入力データ!$C$56)*12+IF(入力データ!$C$13="持ち家",入力データ!$C$83+前提条件!$C$47,入力データ!$C$84+前提条件!$C$48))*(1+前提条件!$C$15)^(AV$3-$B$3))</f>
        <v/>
      </c>
      <c r="AW21" s="352">
        <f>IF(AW$3="","",((IF(入力データ!$C$13="持ち家",IF(入力データ!$C$57="あり",0,IF(AW5&lt;=前提条件!$C$44,入力データ!$C$53,0)),入力データ!$C$53)+入力データ!$C$54+入力データ!$C$55+入力データ!$C$56)*12+IF(入力データ!$C$13="持ち家",入力データ!$C$83+前提条件!$C$47,入力データ!$C$84+前提条件!$C$48))*(1+前提条件!$C$15)^(AW$3-$B$3))</f>
        <v/>
      </c>
      <c r="AX21" s="352">
        <f>IF(AX$3="","",((IF(入力データ!$C$13="持ち家",IF(入力データ!$C$57="あり",0,IF(AX5&lt;=前提条件!$C$44,入力データ!$C$53,0)),入力データ!$C$53)+入力データ!$C$54+入力データ!$C$55+入力データ!$C$56)*12+IF(入力データ!$C$13="持ち家",入力データ!$C$83+前提条件!$C$47,入力データ!$C$84+前提条件!$C$48))*(1+前提条件!$C$15)^(AX$3-$B$3))</f>
        <v/>
      </c>
      <c r="AY21" s="352">
        <f>IF(AY$3="","",((IF(入力データ!$C$13="持ち家",IF(入力データ!$C$57="あり",0,IF(AY5&lt;=前提条件!$C$44,入力データ!$C$53,0)),入力データ!$C$53)+入力データ!$C$54+入力データ!$C$55+入力データ!$C$56)*12+IF(入力データ!$C$13="持ち家",入力データ!$C$83+前提条件!$C$47,入力データ!$C$84+前提条件!$C$48))*(1+前提条件!$C$15)^(AY$3-$B$3))</f>
        <v/>
      </c>
      <c r="AZ21" s="352">
        <f>IF(AZ$3="","",((IF(入力データ!$C$13="持ち家",IF(入力データ!$C$57="あり",0,IF(AZ5&lt;=前提条件!$C$44,入力データ!$C$53,0)),入力データ!$C$53)+入力データ!$C$54+入力データ!$C$55+入力データ!$C$56)*12+IF(入力データ!$C$13="持ち家",入力データ!$C$83+前提条件!$C$47,入力データ!$C$84+前提条件!$C$48))*(1+前提条件!$C$15)^(AZ$3-$B$3))</f>
        <v/>
      </c>
      <c r="BA21" s="352">
        <f>IF(BA$3="","",((IF(入力データ!$C$13="持ち家",IF(入力データ!$C$57="あり",0,IF(BA5&lt;=前提条件!$C$44,入力データ!$C$53,0)),入力データ!$C$53)+入力データ!$C$54+入力データ!$C$55+入力データ!$C$56)*12+IF(入力データ!$C$13="持ち家",入力データ!$C$83+前提条件!$C$47,入力データ!$C$84+前提条件!$C$48))*(1+前提条件!$C$15)^(BA$3-$B$3))</f>
        <v/>
      </c>
      <c r="BB21" s="352">
        <f>IF(BB$3="","",((IF(入力データ!$C$13="持ち家",IF(入力データ!$C$57="あり",0,IF(BB5&lt;=前提条件!$C$44,入力データ!$C$53,0)),入力データ!$C$53)+入力データ!$C$54+入力データ!$C$55+入力データ!$C$56)*12+IF(入力データ!$C$13="持ち家",入力データ!$C$83+前提条件!$C$47,入力データ!$C$84+前提条件!$C$48))*(1+前提条件!$C$15)^(BB$3-$B$3))</f>
        <v/>
      </c>
      <c r="BC21" s="352">
        <f>IF(BC$3="","",((IF(入力データ!$C$13="持ち家",IF(入力データ!$C$57="あり",0,IF(BC5&lt;=前提条件!$C$44,入力データ!$C$53,0)),入力データ!$C$53)+入力データ!$C$54+入力データ!$C$55+入力データ!$C$56)*12+IF(入力データ!$C$13="持ち家",入力データ!$C$83+前提条件!$C$47,入力データ!$C$84+前提条件!$C$48))*(1+前提条件!$C$15)^(BC$3-$B$3))</f>
        <v/>
      </c>
      <c r="BD21" s="352">
        <f>IF(BD$3="","",((IF(入力データ!$C$13="持ち家",IF(入力データ!$C$57="あり",0,IF(BD5&lt;=前提条件!$C$44,入力データ!$C$53,0)),入力データ!$C$53)+入力データ!$C$54+入力データ!$C$55+入力データ!$C$56)*12+IF(入力データ!$C$13="持ち家",入力データ!$C$83+前提条件!$C$47,入力データ!$C$84+前提条件!$C$48))*(1+前提条件!$C$15)^(BD$3-$B$3))</f>
        <v/>
      </c>
      <c r="BE21" s="352">
        <f>IF(BE$3="","",((IF(入力データ!$C$13="持ち家",IF(入力データ!$C$57="あり",0,IF(BE5&lt;=前提条件!$C$44,入力データ!$C$53,0)),入力データ!$C$53)+入力データ!$C$54+入力データ!$C$55+入力データ!$C$56)*12+IF(入力データ!$C$13="持ち家",入力データ!$C$83+前提条件!$C$47,入力データ!$C$84+前提条件!$C$48))*(1+前提条件!$C$15)^(BE$3-$B$3))</f>
        <v/>
      </c>
      <c r="BF21" s="352">
        <f>IF(BF$3="","",((IF(入力データ!$C$13="持ち家",IF(入力データ!$C$57="あり",0,IF(BF5&lt;=前提条件!$C$44,入力データ!$C$53,0)),入力データ!$C$53)+入力データ!$C$54+入力データ!$C$55+入力データ!$C$56)*12+IF(入力データ!$C$13="持ち家",入力データ!$C$83+前提条件!$C$47,入力データ!$C$84+前提条件!$C$48))*(1+前提条件!$C$15)^(BF$3-$B$3))</f>
        <v/>
      </c>
      <c r="BG21" s="352">
        <f>IF(BG$3="","",((IF(入力データ!$C$13="持ち家",IF(入力データ!$C$57="あり",0,IF(BG5&lt;=前提条件!$C$44,入力データ!$C$53,0)),入力データ!$C$53)+入力データ!$C$54+入力データ!$C$55+入力データ!$C$56)*12+IF(入力データ!$C$13="持ち家",入力データ!$C$83+前提条件!$C$47,入力データ!$C$84+前提条件!$C$48))*(1+前提条件!$C$15)^(BG$3-$B$3))</f>
        <v/>
      </c>
      <c r="BH21" s="352">
        <f>IF(BH$3="","",((IF(入力データ!$C$13="持ち家",IF(入力データ!$C$57="あり",0,IF(BH5&lt;=前提条件!$C$44,入力データ!$C$53,0)),入力データ!$C$53)+入力データ!$C$54+入力データ!$C$55+入力データ!$C$56)*12+IF(入力データ!$C$13="持ち家",入力データ!$C$83+前提条件!$C$47,入力データ!$C$84+前提条件!$C$48))*(1+前提条件!$C$15)^(BH$3-$B$3))</f>
        <v/>
      </c>
      <c r="BI21" s="352">
        <f>IF(BI$3="","",((IF(入力データ!$C$13="持ち家",IF(入力データ!$C$57="あり",0,IF(BI5&lt;=前提条件!$C$44,入力データ!$C$53,0)),入力データ!$C$53)+入力データ!$C$54+入力データ!$C$55+入力データ!$C$56)*12+IF(入力データ!$C$13="持ち家",入力データ!$C$83+前提条件!$C$47,入力データ!$C$84+前提条件!$C$48))*(1+前提条件!$C$15)^(BI$3-$B$3))</f>
        <v/>
      </c>
      <c r="BJ21" s="352">
        <f>IF(BJ$3="","",((IF(入力データ!$C$13="持ち家",IF(入力データ!$C$57="あり",0,IF(BJ5&lt;=前提条件!$C$44,入力データ!$C$53,0)),入力データ!$C$53)+入力データ!$C$54+入力データ!$C$55+入力データ!$C$56)*12+IF(入力データ!$C$13="持ち家",入力データ!$C$83+前提条件!$C$47,入力データ!$C$84+前提条件!$C$48))*(1+前提条件!$C$15)^(BJ$3-$B$3))</f>
        <v/>
      </c>
      <c r="BK21" s="352">
        <f>IF(BK$3="","",((IF(入力データ!$C$13="持ち家",IF(入力データ!$C$57="あり",0,IF(BK5&lt;=前提条件!$C$44,入力データ!$C$53,0)),入力データ!$C$53)+入力データ!$C$54+入力データ!$C$55+入力データ!$C$56)*12+IF(入力データ!$C$13="持ち家",入力データ!$C$83+前提条件!$C$47,入力データ!$C$84+前提条件!$C$48))*(1+前提条件!$C$15)^(BK$3-$B$3))</f>
        <v/>
      </c>
      <c r="BL21" s="352">
        <f>IF(BL$3="","",((IF(入力データ!$C$13="持ち家",IF(入力データ!$C$57="あり",0,IF(BL5&lt;=前提条件!$C$44,入力データ!$C$53,0)),入力データ!$C$53)+入力データ!$C$54+入力データ!$C$55+入力データ!$C$56)*12+IF(入力データ!$C$13="持ち家",入力データ!$C$83+前提条件!$C$47,入力データ!$C$84+前提条件!$C$48))*(1+前提条件!$C$15)^(BL$3-$B$3))</f>
        <v/>
      </c>
      <c r="BM21" s="352">
        <f>IF(BM$3="","",((IF(入力データ!$C$13="持ち家",IF(入力データ!$C$57="あり",0,IF(BM5&lt;=前提条件!$C$44,入力データ!$C$53,0)),入力データ!$C$53)+入力データ!$C$54+入力データ!$C$55+入力データ!$C$56)*12+IF(入力データ!$C$13="持ち家",入力データ!$C$83+前提条件!$C$47,入力データ!$C$84+前提条件!$C$48))*(1+前提条件!$C$15)^(BM$3-$B$3))</f>
        <v/>
      </c>
      <c r="BN21" s="352">
        <f>IF(BN$3="","",((IF(入力データ!$C$13="持ち家",IF(入力データ!$C$57="あり",0,IF(BN5&lt;=前提条件!$C$44,入力データ!$C$53,0)),入力データ!$C$53)+入力データ!$C$54+入力データ!$C$55+入力データ!$C$56)*12+IF(入力データ!$C$13="持ち家",入力データ!$C$83+前提条件!$C$47,入力データ!$C$84+前提条件!$C$48))*(1+前提条件!$C$15)^(BN$3-$B$3))</f>
        <v/>
      </c>
      <c r="BO21" s="352">
        <f>IF(BO$3="","",((IF(入力データ!$C$13="持ち家",IF(入力データ!$C$57="あり",0,IF(BO5&lt;=前提条件!$C$44,入力データ!$C$53,0)),入力データ!$C$53)+入力データ!$C$54+入力データ!$C$55+入力データ!$C$56)*12+IF(入力データ!$C$13="持ち家",入力データ!$C$83+前提条件!$C$47,入力データ!$C$84+前提条件!$C$48))*(1+前提条件!$C$15)^(BO$3-$B$3))</f>
        <v/>
      </c>
      <c r="BP21" s="352">
        <f>IF(BP$3="","",((IF(入力データ!$C$13="持ち家",IF(入力データ!$C$57="あり",0,IF(BP5&lt;=前提条件!$C$44,入力データ!$C$53,0)),入力データ!$C$53)+入力データ!$C$54+入力データ!$C$55+入力データ!$C$56)*12+IF(入力データ!$C$13="持ち家",入力データ!$C$83+前提条件!$C$47,入力データ!$C$84+前提条件!$C$48))*(1+前提条件!$C$15)^(BP$3-$B$3))</f>
        <v/>
      </c>
      <c r="BQ21" s="352">
        <f>IF(BQ$3="","",((IF(入力データ!$C$13="持ち家",IF(入力データ!$C$57="あり",0,IF(BQ5&lt;=前提条件!$C$44,入力データ!$C$53,0)),入力データ!$C$53)+入力データ!$C$54+入力データ!$C$55+入力データ!$C$56)*12+IF(入力データ!$C$13="持ち家",入力データ!$C$83+前提条件!$C$47,入力データ!$C$84+前提条件!$C$48))*(1+前提条件!$C$15)^(BQ$3-$B$3))</f>
        <v/>
      </c>
      <c r="BR21" s="352">
        <f>IF(BR$3="","",((IF(入力データ!$C$13="持ち家",IF(入力データ!$C$57="あり",0,IF(BR5&lt;=前提条件!$C$44,入力データ!$C$53,0)),入力データ!$C$53)+入力データ!$C$54+入力データ!$C$55+入力データ!$C$56)*12+IF(入力データ!$C$13="持ち家",入力データ!$C$83+前提条件!$C$47,入力データ!$C$84+前提条件!$C$48))*(1+前提条件!$C$15)^(BR$3-$B$3))</f>
        <v/>
      </c>
      <c r="BS21" s="352">
        <f>IF(BS$3="","",((IF(入力データ!$C$13="持ち家",IF(入力データ!$C$57="あり",0,IF(BS5&lt;=前提条件!$C$44,入力データ!$C$53,0)),入力データ!$C$53)+入力データ!$C$54+入力データ!$C$55+入力データ!$C$56)*12+IF(入力データ!$C$13="持ち家",入力データ!$C$83+前提条件!$C$47,入力データ!$C$84+前提条件!$C$48))*(1+前提条件!$C$15)^(BS$3-$B$3))</f>
        <v/>
      </c>
      <c r="BT21" s="352">
        <f>IF(BT$3="","",((IF(入力データ!$C$13="持ち家",IF(入力データ!$C$57="あり",0,IF(BT5&lt;=前提条件!$C$44,入力データ!$C$53,0)),入力データ!$C$53)+入力データ!$C$54+入力データ!$C$55+入力データ!$C$56)*12+IF(入力データ!$C$13="持ち家",入力データ!$C$83+前提条件!$C$47,入力データ!$C$84+前提条件!$C$48))*(1+前提条件!$C$15)^(BT$3-$B$3))</f>
        <v/>
      </c>
      <c r="BU21" s="352">
        <f>IF(BU$3="","",((IF(入力データ!$C$13="持ち家",IF(入力データ!$C$57="あり",0,IF(BU5&lt;=前提条件!$C$44,入力データ!$C$53,0)),入力データ!$C$53)+入力データ!$C$54+入力データ!$C$55+入力データ!$C$56)*12+IF(入力データ!$C$13="持ち家",入力データ!$C$83+前提条件!$C$47,入力データ!$C$84+前提条件!$C$48))*(1+前提条件!$C$15)^(BU$3-$B$3))</f>
        <v/>
      </c>
      <c r="BV21" s="352">
        <f>IF(BV$3="","",((IF(入力データ!$C$13="持ち家",IF(入力データ!$C$57="あり",0,IF(BV5&lt;=前提条件!$C$44,入力データ!$C$53,0)),入力データ!$C$53)+入力データ!$C$54+入力データ!$C$55+入力データ!$C$56)*12+IF(入力データ!$C$13="持ち家",入力データ!$C$83+前提条件!$C$47,入力データ!$C$84+前提条件!$C$48))*(1+前提条件!$C$15)^(BV$3-$B$3))</f>
        <v/>
      </c>
      <c r="BW21" s="352">
        <f>IF(BW$3="","",((IF(入力データ!$C$13="持ち家",IF(入力データ!$C$57="あり",0,IF(BW5&lt;=前提条件!$C$44,入力データ!$C$53,0)),入力データ!$C$53)+入力データ!$C$54+入力データ!$C$55+入力データ!$C$56)*12+IF(入力データ!$C$13="持ち家",入力データ!$C$83+前提条件!$C$47,入力データ!$C$84+前提条件!$C$48))*(1+前提条件!$C$15)^(BW$3-$B$3))</f>
        <v/>
      </c>
      <c r="BX21" s="352">
        <f>IF(BX$3="","",((IF(入力データ!$C$13="持ち家",IF(入力データ!$C$57="あり",0,IF(BX5&lt;=前提条件!$C$44,入力データ!$C$53,0)),入力データ!$C$53)+入力データ!$C$54+入力データ!$C$55+入力データ!$C$56)*12+IF(入力データ!$C$13="持ち家",入力データ!$C$83+前提条件!$C$47,入力データ!$C$84+前提条件!$C$48))*(1+前提条件!$C$15)^(BX$3-$B$3))</f>
        <v/>
      </c>
      <c r="BY21" s="352">
        <f>IF(BY$3="","",((IF(入力データ!$C$13="持ち家",IF(入力データ!$C$57="あり",0,IF(BY5&lt;=前提条件!$C$44,入力データ!$C$53,0)),入力データ!$C$53)+入力データ!$C$54+入力データ!$C$55+入力データ!$C$56)*12+IF(入力データ!$C$13="持ち家",入力データ!$C$83+前提条件!$C$47,入力データ!$C$84+前提条件!$C$48))*(1+前提条件!$C$15)^(BY$3-$B$3))</f>
        <v/>
      </c>
      <c r="BZ21" s="352">
        <f>IF(BZ$3="","",((IF(入力データ!$C$13="持ち家",IF(入力データ!$C$57="あり",0,IF(BZ5&lt;=前提条件!$C$44,入力データ!$C$53,0)),入力データ!$C$53)+入力データ!$C$54+入力データ!$C$55+入力データ!$C$56)*12+IF(入力データ!$C$13="持ち家",入力データ!$C$83+前提条件!$C$47,入力データ!$C$84+前提条件!$C$48))*(1+前提条件!$C$15)^(BZ$3-$B$3))</f>
        <v/>
      </c>
      <c r="CA21" s="352">
        <f>IF(CA$3="","",((IF(入力データ!$C$13="持ち家",IF(入力データ!$C$57="あり",0,IF(CA5&lt;=前提条件!$C$44,入力データ!$C$53,0)),入力データ!$C$53)+入力データ!$C$54+入力データ!$C$55+入力データ!$C$56)*12+IF(入力データ!$C$13="持ち家",入力データ!$C$83+前提条件!$C$47,入力データ!$C$84+前提条件!$C$48))*(1+前提条件!$C$15)^(CA$3-$B$3))</f>
        <v/>
      </c>
      <c r="CB21" s="352">
        <f>IF(CB$3="","",((IF(入力データ!$C$13="持ち家",IF(入力データ!$C$57="あり",0,IF(CB5&lt;=前提条件!$C$44,入力データ!$C$53,0)),入力データ!$C$53)+入力データ!$C$54+入力データ!$C$55+入力データ!$C$56)*12+IF(入力データ!$C$13="持ち家",入力データ!$C$83+前提条件!$C$47,入力データ!$C$84+前提条件!$C$48))*(1+前提条件!$C$15)^(CB$3-$B$3))</f>
        <v/>
      </c>
      <c r="CC21" s="352">
        <f>IF(CC$3="","",((IF(入力データ!$C$13="持ち家",IF(入力データ!$C$57="あり",0,IF(CC5&lt;=前提条件!$C$44,入力データ!$C$53,0)),入力データ!$C$53)+入力データ!$C$54+入力データ!$C$55+入力データ!$C$56)*12+IF(入力データ!$C$13="持ち家",入力データ!$C$83+前提条件!$C$47,入力データ!$C$84+前提条件!$C$48))*(1+前提条件!$C$15)^(CC$3-$B$3))</f>
        <v/>
      </c>
      <c r="CD21" s="352">
        <f>IF(CD$3="","",((IF(入力データ!$C$13="持ち家",IF(入力データ!$C$57="あり",0,IF(CD5&lt;=前提条件!$C$44,入力データ!$C$53,0)),入力データ!$C$53)+入力データ!$C$54+入力データ!$C$55+入力データ!$C$56)*12+IF(入力データ!$C$13="持ち家",入力データ!$C$83+前提条件!$C$47,入力データ!$C$84+前提条件!$C$48))*(1+前提条件!$C$15)^(CD$3-$B$3))</f>
        <v/>
      </c>
      <c r="CE21" s="352">
        <f>IF(CE$3="","",((IF(入力データ!$C$13="持ち家",IF(入力データ!$C$57="あり",0,IF(CE5&lt;=前提条件!$C$44,入力データ!$C$53,0)),入力データ!$C$53)+入力データ!$C$54+入力データ!$C$55+入力データ!$C$56)*12+IF(入力データ!$C$13="持ち家",入力データ!$C$83+前提条件!$C$47,入力データ!$C$84+前提条件!$C$48))*(1+前提条件!$C$15)^(CE$3-$B$3))</f>
        <v/>
      </c>
      <c r="CF21" s="352">
        <f>IF(CF$3="","",((IF(入力データ!$C$13="持ち家",IF(入力データ!$C$57="あり",0,IF(CF5&lt;=前提条件!$C$44,入力データ!$C$53,0)),入力データ!$C$53)+入力データ!$C$54+入力データ!$C$55+入力データ!$C$56)*12+IF(入力データ!$C$13="持ち家",入力データ!$C$83+前提条件!$C$47,入力データ!$C$84+前提条件!$C$48))*(1+前提条件!$C$15)^(CF$3-$B$3))</f>
        <v/>
      </c>
      <c r="CG21" s="352">
        <f>IF(CG$3="","",((IF(入力データ!$C$13="持ち家",IF(入力データ!$C$57="あり",0,IF(CG5&lt;=前提条件!$C$44,入力データ!$C$53,0)),入力データ!$C$53)+入力データ!$C$54+入力データ!$C$55+入力データ!$C$56)*12+IF(入力データ!$C$13="持ち家",入力データ!$C$83+前提条件!$C$47,入力データ!$C$84+前提条件!$C$48))*(1+前提条件!$C$15)^(CG$3-$B$3))</f>
        <v/>
      </c>
      <c r="CH21" s="352">
        <f>IF(CH$3="","",((IF(入力データ!$C$13="持ち家",IF(入力データ!$C$57="あり",0,IF(CH5&lt;=前提条件!$C$44,入力データ!$C$53,0)),入力データ!$C$53)+入力データ!$C$54+入力データ!$C$55+入力データ!$C$56)*12+IF(入力データ!$C$13="持ち家",入力データ!$C$83+前提条件!$C$47,入力データ!$C$84+前提条件!$C$48))*(1+前提条件!$C$15)^(CH$3-$B$3))</f>
        <v/>
      </c>
      <c r="CI21" s="352">
        <f>IF(CI$3="","",((IF(入力データ!$C$13="持ち家",IF(入力データ!$C$57="あり",0,IF(CI5&lt;=前提条件!$C$44,入力データ!$C$53,0)),入力データ!$C$53)+入力データ!$C$54+入力データ!$C$55+入力データ!$C$56)*12+IF(入力データ!$C$13="持ち家",入力データ!$C$83+前提条件!$C$47,入力データ!$C$84+前提条件!$C$48))*(1+前提条件!$C$15)^(CI$3-$B$3))</f>
        <v/>
      </c>
      <c r="CJ21" s="352">
        <f>IF(CJ$3="","",((IF(入力データ!$C$13="持ち家",IF(入力データ!$C$57="あり",0,IF(CJ5&lt;=前提条件!$C$44,入力データ!$C$53,0)),入力データ!$C$53)+入力データ!$C$54+入力データ!$C$55+入力データ!$C$56)*12+IF(入力データ!$C$13="持ち家",入力データ!$C$83+前提条件!$C$47,入力データ!$C$84+前提条件!$C$48))*(1+前提条件!$C$15)^(CJ$3-$B$3))</f>
        <v/>
      </c>
      <c r="CK21" s="352">
        <f>IF(CK$3="","",((IF(入力データ!$C$13="持ち家",IF(入力データ!$C$57="あり",0,IF(CK5&lt;=前提条件!$C$44,入力データ!$C$53,0)),入力データ!$C$53)+入力データ!$C$54+入力データ!$C$55+入力データ!$C$56)*12+IF(入力データ!$C$13="持ち家",入力データ!$C$83+前提条件!$C$47,入力データ!$C$84+前提条件!$C$48))*(1+前提条件!$C$15)^(CK$3-$B$3))</f>
        <v/>
      </c>
      <c r="CL21" s="352">
        <f>IF(CL$3="","",((IF(入力データ!$C$13="持ち家",IF(入力データ!$C$57="あり",0,IF(CL5&lt;=前提条件!$C$44,入力データ!$C$53,0)),入力データ!$C$53)+入力データ!$C$54+入力データ!$C$55+入力データ!$C$56)*12+IF(入力データ!$C$13="持ち家",入力データ!$C$83+前提条件!$C$47,入力データ!$C$84+前提条件!$C$48))*(1+前提条件!$C$15)^(CL$3-$B$3))</f>
        <v/>
      </c>
      <c r="CM21" s="352">
        <f>IF(CM$3="","",((IF(入力データ!$C$13="持ち家",IF(入力データ!$C$57="あり",0,IF(CM5&lt;=前提条件!$C$44,入力データ!$C$53,0)),入力データ!$C$53)+入力データ!$C$54+入力データ!$C$55+入力データ!$C$56)*12+IF(入力データ!$C$13="持ち家",入力データ!$C$83+前提条件!$C$47,入力データ!$C$84+前提条件!$C$48))*(1+前提条件!$C$15)^(CM$3-$B$3))</f>
        <v/>
      </c>
      <c r="CN21" s="352">
        <f>IF(CN$3="","",((IF(入力データ!$C$13="持ち家",IF(入力データ!$C$57="あり",0,IF(CN5&lt;=前提条件!$C$44,入力データ!$C$53,0)),入力データ!$C$53)+入力データ!$C$54+入力データ!$C$55+入力データ!$C$56)*12+IF(入力データ!$C$13="持ち家",入力データ!$C$83+前提条件!$C$47,入力データ!$C$84+前提条件!$C$48))*(1+前提条件!$C$15)^(CN$3-$B$3))</f>
        <v/>
      </c>
      <c r="CO21" s="352">
        <f>IF(CO$3="","",((IF(入力データ!$C$13="持ち家",IF(入力データ!$C$57="あり",0,IF(CO5&lt;=前提条件!$C$44,入力データ!$C$53,0)),入力データ!$C$53)+入力データ!$C$54+入力データ!$C$55+入力データ!$C$56)*12+IF(入力データ!$C$13="持ち家",入力データ!$C$83+前提条件!$C$47,入力データ!$C$84+前提条件!$C$48))*(1+前提条件!$C$15)^(CO$3-$B$3))</f>
        <v/>
      </c>
      <c r="CP21" s="352">
        <f>IF(CP$3="","",((IF(入力データ!$C$13="持ち家",IF(入力データ!$C$57="あり",0,IF(CP5&lt;=前提条件!$C$44,入力データ!$C$53,0)),入力データ!$C$53)+入力データ!$C$54+入力データ!$C$55+入力データ!$C$56)*12+IF(入力データ!$C$13="持ち家",入力データ!$C$83+前提条件!$C$47,入力データ!$C$84+前提条件!$C$48))*(1+前提条件!$C$15)^(CP$3-$B$3))</f>
        <v/>
      </c>
      <c r="CQ21" s="352">
        <f>IF(CQ$3="","",((IF(入力データ!$C$13="持ち家",IF(入力データ!$C$57="あり",0,IF(CQ5&lt;=前提条件!$C$44,入力データ!$C$53,0)),入力データ!$C$53)+入力データ!$C$54+入力データ!$C$55+入力データ!$C$56)*12+IF(入力データ!$C$13="持ち家",入力データ!$C$83+前提条件!$C$47,入力データ!$C$84+前提条件!$C$48))*(1+前提条件!$C$15)^(CQ$3-$B$3))</f>
        <v/>
      </c>
      <c r="CR21" s="352">
        <f>IF(CR$3="","",((IF(入力データ!$C$13="持ち家",IF(入力データ!$C$57="あり",0,IF(CR5&lt;=前提条件!$C$44,入力データ!$C$53,0)),入力データ!$C$53)+入力データ!$C$54+入力データ!$C$55+入力データ!$C$56)*12+IF(入力データ!$C$13="持ち家",入力データ!$C$83+前提条件!$C$47,入力データ!$C$84+前提条件!$C$48))*(1+前提条件!$C$15)^(CR$3-$B$3))</f>
        <v/>
      </c>
      <c r="CS21" s="352">
        <f>IF(CS$3="","",((IF(入力データ!$C$13="持ち家",IF(入力データ!$C$57="あり",0,IF(CS5&lt;=前提条件!$C$44,入力データ!$C$53,0)),入力データ!$C$53)+入力データ!$C$54+入力データ!$C$55+入力データ!$C$56)*12+IF(入力データ!$C$13="持ち家",入力データ!$C$83+前提条件!$C$47,入力データ!$C$84+前提条件!$C$48))*(1+前提条件!$C$15)^(CS$3-$B$3))</f>
        <v/>
      </c>
      <c r="CT21" s="352">
        <f>IF(CT$3="","",((IF(入力データ!$C$13="持ち家",IF(入力データ!$C$57="あり",0,IF(CT5&lt;=前提条件!$C$44,入力データ!$C$53,0)),入力データ!$C$53)+入力データ!$C$54+入力データ!$C$55+入力データ!$C$56)*12+IF(入力データ!$C$13="持ち家",入力データ!$C$83+前提条件!$C$47,入力データ!$C$84+前提条件!$C$48))*(1+前提条件!$C$15)^(CT$3-$B$3))</f>
        <v/>
      </c>
      <c r="CU21" s="352">
        <f>IF(CU$3="","",((IF(入力データ!$C$13="持ち家",IF(入力データ!$C$57="あり",0,IF(CU5&lt;=前提条件!$C$44,入力データ!$C$53,0)),入力データ!$C$53)+入力データ!$C$54+入力データ!$C$55+入力データ!$C$56)*12+IF(入力データ!$C$13="持ち家",入力データ!$C$83+前提条件!$C$47,入力データ!$C$84+前提条件!$C$48))*(1+前提条件!$C$15)^(CU$3-$B$3))</f>
        <v/>
      </c>
      <c r="CV21" s="352">
        <f>IF(CV$3="","",((IF(入力データ!$C$13="持ち家",IF(入力データ!$C$57="あり",0,IF(CV5&lt;=前提条件!$C$44,入力データ!$C$53,0)),入力データ!$C$53)+入力データ!$C$54+入力データ!$C$55+入力データ!$C$56)*12+IF(入力データ!$C$13="持ち家",入力データ!$C$83+前提条件!$C$47,入力データ!$C$84+前提条件!$C$48))*(1+前提条件!$C$15)^(CV$3-$B$3))</f>
        <v/>
      </c>
      <c r="CW21" s="352">
        <f>IF(CW$3="","",((IF(入力データ!$C$13="持ち家",IF(入力データ!$C$57="あり",0,IF(CW5&lt;=前提条件!$C$44,入力データ!$C$53,0)),入力データ!$C$53)+入力データ!$C$54+入力データ!$C$55+入力データ!$C$56)*12+IF(入力データ!$C$13="持ち家",入力データ!$C$83+前提条件!$C$47,入力データ!$C$84+前提条件!$C$48))*(1+前提条件!$C$15)^(CW$3-$B$3))</f>
        <v/>
      </c>
    </row>
    <row r="22" ht="15" customHeight="1" s="180">
      <c r="A22" s="224" t="inlineStr">
        <is>
          <t>終身系保険料</t>
        </is>
      </c>
      <c r="B22" s="352">
        <f>IF(B$3="","",SUMPRODUCT(--ISNUMBER(SEARCH("終身",入力データ!$F$5:$F$20)),--(IFERROR(YEAR(入力データ!$J$5:$J$20),0)&lt;=B$3),--(IFERROR(YEAR(入力データ!$K$5:$K$20),9999)&gt;=B$3),入力データ!$M$5:$M$20)*12)</f>
        <v/>
      </c>
      <c r="C22" s="352">
        <f>IF(C$3="","",SUMPRODUCT(--ISNUMBER(SEARCH("終身",入力データ!$F$5:$F$20)),--(IFERROR(YEAR(入力データ!$J$5:$J$20),0)&lt;=C$3),--(IFERROR(YEAR(入力データ!$K$5:$K$20),9999)&gt;=C$3),入力データ!$M$5:$M$20)*12)</f>
        <v/>
      </c>
      <c r="D22" s="352">
        <f>IF(D$3="","",SUMPRODUCT(--ISNUMBER(SEARCH("終身",入力データ!$F$5:$F$20)),--(IFERROR(YEAR(入力データ!$J$5:$J$20),0)&lt;=D$3),--(IFERROR(YEAR(入力データ!$K$5:$K$20),9999)&gt;=D$3),入力データ!$M$5:$M$20)*12)</f>
        <v/>
      </c>
      <c r="E22" s="352">
        <f>IF(E$3="","",SUMPRODUCT(--ISNUMBER(SEARCH("終身",入力データ!$F$5:$F$20)),--(IFERROR(YEAR(入力データ!$J$5:$J$20),0)&lt;=E$3),--(IFERROR(YEAR(入力データ!$K$5:$K$20),9999)&gt;=E$3),入力データ!$M$5:$M$20)*12)</f>
        <v/>
      </c>
      <c r="F22" s="352">
        <f>IF(F$3="","",SUMPRODUCT(--ISNUMBER(SEARCH("終身",入力データ!$F$5:$F$20)),--(IFERROR(YEAR(入力データ!$J$5:$J$20),0)&lt;=F$3),--(IFERROR(YEAR(入力データ!$K$5:$K$20),9999)&gt;=F$3),入力データ!$M$5:$M$20)*12)</f>
        <v/>
      </c>
      <c r="G22" s="352">
        <f>IF(G$3="","",SUMPRODUCT(--ISNUMBER(SEARCH("終身",入力データ!$F$5:$F$20)),--(IFERROR(YEAR(入力データ!$J$5:$J$20),0)&lt;=G$3),--(IFERROR(YEAR(入力データ!$K$5:$K$20),9999)&gt;=G$3),入力データ!$M$5:$M$20)*12)</f>
        <v/>
      </c>
      <c r="H22" s="352">
        <f>IF(H$3="","",SUMPRODUCT(--ISNUMBER(SEARCH("終身",入力データ!$F$5:$F$20)),--(IFERROR(YEAR(入力データ!$J$5:$J$20),0)&lt;=H$3),--(IFERROR(YEAR(入力データ!$K$5:$K$20),9999)&gt;=H$3),入力データ!$M$5:$M$20)*12)</f>
        <v/>
      </c>
      <c r="I22" s="352">
        <f>IF(I$3="","",SUMPRODUCT(--ISNUMBER(SEARCH("終身",入力データ!$F$5:$F$20)),--(IFERROR(YEAR(入力データ!$J$5:$J$20),0)&lt;=I$3),--(IFERROR(YEAR(入力データ!$K$5:$K$20),9999)&gt;=I$3),入力データ!$M$5:$M$20)*12)</f>
        <v/>
      </c>
      <c r="J22" s="352">
        <f>IF(J$3="","",SUMPRODUCT(--ISNUMBER(SEARCH("終身",入力データ!$F$5:$F$20)),--(IFERROR(YEAR(入力データ!$J$5:$J$20),0)&lt;=J$3),--(IFERROR(YEAR(入力データ!$K$5:$K$20),9999)&gt;=J$3),入力データ!$M$5:$M$20)*12)</f>
        <v/>
      </c>
      <c r="K22" s="352">
        <f>IF(K$3="","",SUMPRODUCT(--ISNUMBER(SEARCH("終身",入力データ!$F$5:$F$20)),--(IFERROR(YEAR(入力データ!$J$5:$J$20),0)&lt;=K$3),--(IFERROR(YEAR(入力データ!$K$5:$K$20),9999)&gt;=K$3),入力データ!$M$5:$M$20)*12)</f>
        <v/>
      </c>
      <c r="L22" s="352">
        <f>IF(L$3="","",SUMPRODUCT(--ISNUMBER(SEARCH("終身",入力データ!$F$5:$F$20)),--(IFERROR(YEAR(入力データ!$J$5:$J$20),0)&lt;=L$3),--(IFERROR(YEAR(入力データ!$K$5:$K$20),9999)&gt;=L$3),入力データ!$M$5:$M$20)*12)</f>
        <v/>
      </c>
      <c r="M22" s="352">
        <f>IF(M$3="","",SUMPRODUCT(--ISNUMBER(SEARCH("終身",入力データ!$F$5:$F$20)),--(IFERROR(YEAR(入力データ!$J$5:$J$20),0)&lt;=M$3),--(IFERROR(YEAR(入力データ!$K$5:$K$20),9999)&gt;=M$3),入力データ!$M$5:$M$20)*12)</f>
        <v/>
      </c>
      <c r="N22" s="352">
        <f>IF(N$3="","",SUMPRODUCT(--ISNUMBER(SEARCH("終身",入力データ!$F$5:$F$20)),--(IFERROR(YEAR(入力データ!$J$5:$J$20),0)&lt;=N$3),--(IFERROR(YEAR(入力データ!$K$5:$K$20),9999)&gt;=N$3),入力データ!$M$5:$M$20)*12)</f>
        <v/>
      </c>
      <c r="O22" s="352">
        <f>IF(O$3="","",SUMPRODUCT(--ISNUMBER(SEARCH("終身",入力データ!$F$5:$F$20)),--(IFERROR(YEAR(入力データ!$J$5:$J$20),0)&lt;=O$3),--(IFERROR(YEAR(入力データ!$K$5:$K$20),9999)&gt;=O$3),入力データ!$M$5:$M$20)*12)</f>
        <v/>
      </c>
      <c r="P22" s="352">
        <f>IF(P$3="","",SUMPRODUCT(--ISNUMBER(SEARCH("終身",入力データ!$F$5:$F$20)),--(IFERROR(YEAR(入力データ!$J$5:$J$20),0)&lt;=P$3),--(IFERROR(YEAR(入力データ!$K$5:$K$20),9999)&gt;=P$3),入力データ!$M$5:$M$20)*12)</f>
        <v/>
      </c>
      <c r="Q22" s="352">
        <f>IF(Q$3="","",SUMPRODUCT(--ISNUMBER(SEARCH("終身",入力データ!$F$5:$F$20)),--(IFERROR(YEAR(入力データ!$J$5:$J$20),0)&lt;=Q$3),--(IFERROR(YEAR(入力データ!$K$5:$K$20),9999)&gt;=Q$3),入力データ!$M$5:$M$20)*12)</f>
        <v/>
      </c>
      <c r="R22" s="352">
        <f>IF(R$3="","",SUMPRODUCT(--ISNUMBER(SEARCH("終身",入力データ!$F$5:$F$20)),--(IFERROR(YEAR(入力データ!$J$5:$J$20),0)&lt;=R$3),--(IFERROR(YEAR(入力データ!$K$5:$K$20),9999)&gt;=R$3),入力データ!$M$5:$M$20)*12)</f>
        <v/>
      </c>
      <c r="S22" s="352">
        <f>IF(S$3="","",SUMPRODUCT(--ISNUMBER(SEARCH("終身",入力データ!$F$5:$F$20)),--(IFERROR(YEAR(入力データ!$J$5:$J$20),0)&lt;=S$3),--(IFERROR(YEAR(入力データ!$K$5:$K$20),9999)&gt;=S$3),入力データ!$M$5:$M$20)*12)</f>
        <v/>
      </c>
      <c r="T22" s="352">
        <f>IF(T$3="","",SUMPRODUCT(--ISNUMBER(SEARCH("終身",入力データ!$F$5:$F$20)),--(IFERROR(YEAR(入力データ!$J$5:$J$20),0)&lt;=T$3),--(IFERROR(YEAR(入力データ!$K$5:$K$20),9999)&gt;=T$3),入力データ!$M$5:$M$20)*12)</f>
        <v/>
      </c>
      <c r="U22" s="352">
        <f>IF(U$3="","",SUMPRODUCT(--ISNUMBER(SEARCH("終身",入力データ!$F$5:$F$20)),--(IFERROR(YEAR(入力データ!$J$5:$J$20),0)&lt;=U$3),--(IFERROR(YEAR(入力データ!$K$5:$K$20),9999)&gt;=U$3),入力データ!$M$5:$M$20)*12)</f>
        <v/>
      </c>
      <c r="V22" s="352">
        <f>IF(V$3="","",SUMPRODUCT(--ISNUMBER(SEARCH("終身",入力データ!$F$5:$F$20)),--(IFERROR(YEAR(入力データ!$J$5:$J$20),0)&lt;=V$3),--(IFERROR(YEAR(入力データ!$K$5:$K$20),9999)&gt;=V$3),入力データ!$M$5:$M$20)*12)</f>
        <v/>
      </c>
      <c r="W22" s="352">
        <f>IF(W$3="","",SUMPRODUCT(--ISNUMBER(SEARCH("終身",入力データ!$F$5:$F$20)),--(IFERROR(YEAR(入力データ!$J$5:$J$20),0)&lt;=W$3),--(IFERROR(YEAR(入力データ!$K$5:$K$20),9999)&gt;=W$3),入力データ!$M$5:$M$20)*12)</f>
        <v/>
      </c>
      <c r="X22" s="352">
        <f>IF(X$3="","",SUMPRODUCT(--ISNUMBER(SEARCH("終身",入力データ!$F$5:$F$20)),--(IFERROR(YEAR(入力データ!$J$5:$J$20),0)&lt;=X$3),--(IFERROR(YEAR(入力データ!$K$5:$K$20),9999)&gt;=X$3),入力データ!$M$5:$M$20)*12)</f>
        <v/>
      </c>
      <c r="Y22" s="352">
        <f>IF(Y$3="","",SUMPRODUCT(--ISNUMBER(SEARCH("終身",入力データ!$F$5:$F$20)),--(IFERROR(YEAR(入力データ!$J$5:$J$20),0)&lt;=Y$3),--(IFERROR(YEAR(入力データ!$K$5:$K$20),9999)&gt;=Y$3),入力データ!$M$5:$M$20)*12)</f>
        <v/>
      </c>
      <c r="Z22" s="352">
        <f>IF(Z$3="","",SUMPRODUCT(--ISNUMBER(SEARCH("終身",入力データ!$F$5:$F$20)),--(IFERROR(YEAR(入力データ!$J$5:$J$20),0)&lt;=Z$3),--(IFERROR(YEAR(入力データ!$K$5:$K$20),9999)&gt;=Z$3),入力データ!$M$5:$M$20)*12)</f>
        <v/>
      </c>
      <c r="AA22" s="352">
        <f>IF(AA$3="","",SUMPRODUCT(--ISNUMBER(SEARCH("終身",入力データ!$F$5:$F$20)),--(IFERROR(YEAR(入力データ!$J$5:$J$20),0)&lt;=AA$3),--(IFERROR(YEAR(入力データ!$K$5:$K$20),9999)&gt;=AA$3),入力データ!$M$5:$M$20)*12)</f>
        <v/>
      </c>
      <c r="AB22" s="352">
        <f>IF(AB$3="","",SUMPRODUCT(--ISNUMBER(SEARCH("終身",入力データ!$F$5:$F$20)),--(IFERROR(YEAR(入力データ!$J$5:$J$20),0)&lt;=AB$3),--(IFERROR(YEAR(入力データ!$K$5:$K$20),9999)&gt;=AB$3),入力データ!$M$5:$M$20)*12)</f>
        <v/>
      </c>
      <c r="AC22" s="352">
        <f>IF(AC$3="","",SUMPRODUCT(--ISNUMBER(SEARCH("終身",入力データ!$F$5:$F$20)),--(IFERROR(YEAR(入力データ!$J$5:$J$20),0)&lt;=AC$3),--(IFERROR(YEAR(入力データ!$K$5:$K$20),9999)&gt;=AC$3),入力データ!$M$5:$M$20)*12)</f>
        <v/>
      </c>
      <c r="AD22" s="352">
        <f>IF(AD$3="","",SUMPRODUCT(--ISNUMBER(SEARCH("終身",入力データ!$F$5:$F$20)),--(IFERROR(YEAR(入力データ!$J$5:$J$20),0)&lt;=AD$3),--(IFERROR(YEAR(入力データ!$K$5:$K$20),9999)&gt;=AD$3),入力データ!$M$5:$M$20)*12)</f>
        <v/>
      </c>
      <c r="AE22" s="352">
        <f>IF(AE$3="","",SUMPRODUCT(--ISNUMBER(SEARCH("終身",入力データ!$F$5:$F$20)),--(IFERROR(YEAR(入力データ!$J$5:$J$20),0)&lt;=AE$3),--(IFERROR(YEAR(入力データ!$K$5:$K$20),9999)&gt;=AE$3),入力データ!$M$5:$M$20)*12)</f>
        <v/>
      </c>
      <c r="AF22" s="352">
        <f>IF(AF$3="","",SUMPRODUCT(--ISNUMBER(SEARCH("終身",入力データ!$F$5:$F$20)),--(IFERROR(YEAR(入力データ!$J$5:$J$20),0)&lt;=AF$3),--(IFERROR(YEAR(入力データ!$K$5:$K$20),9999)&gt;=AF$3),入力データ!$M$5:$M$20)*12)</f>
        <v/>
      </c>
      <c r="AG22" s="352">
        <f>IF(AG$3="","",SUMPRODUCT(--ISNUMBER(SEARCH("終身",入力データ!$F$5:$F$20)),--(IFERROR(YEAR(入力データ!$J$5:$J$20),0)&lt;=AG$3),--(IFERROR(YEAR(入力データ!$K$5:$K$20),9999)&gt;=AG$3),入力データ!$M$5:$M$20)*12)</f>
        <v/>
      </c>
      <c r="AH22" s="352">
        <f>IF(AH$3="","",SUMPRODUCT(--ISNUMBER(SEARCH("終身",入力データ!$F$5:$F$20)),--(IFERROR(YEAR(入力データ!$J$5:$J$20),0)&lt;=AH$3),--(IFERROR(YEAR(入力データ!$K$5:$K$20),9999)&gt;=AH$3),入力データ!$M$5:$M$20)*12)</f>
        <v/>
      </c>
      <c r="AI22" s="352">
        <f>IF(AI$3="","",SUMPRODUCT(--ISNUMBER(SEARCH("終身",入力データ!$F$5:$F$20)),--(IFERROR(YEAR(入力データ!$J$5:$J$20),0)&lt;=AI$3),--(IFERROR(YEAR(入力データ!$K$5:$K$20),9999)&gt;=AI$3),入力データ!$M$5:$M$20)*12)</f>
        <v/>
      </c>
      <c r="AJ22" s="352">
        <f>IF(AJ$3="","",SUMPRODUCT(--ISNUMBER(SEARCH("終身",入力データ!$F$5:$F$20)),--(IFERROR(YEAR(入力データ!$J$5:$J$20),0)&lt;=AJ$3),--(IFERROR(YEAR(入力データ!$K$5:$K$20),9999)&gt;=AJ$3),入力データ!$M$5:$M$20)*12)</f>
        <v/>
      </c>
      <c r="AK22" s="352">
        <f>IF(AK$3="","",SUMPRODUCT(--ISNUMBER(SEARCH("終身",入力データ!$F$5:$F$20)),--(IFERROR(YEAR(入力データ!$J$5:$J$20),0)&lt;=AK$3),--(IFERROR(YEAR(入力データ!$K$5:$K$20),9999)&gt;=AK$3),入力データ!$M$5:$M$20)*12)</f>
        <v/>
      </c>
      <c r="AL22" s="352">
        <f>IF(AL$3="","",SUMPRODUCT(--ISNUMBER(SEARCH("終身",入力データ!$F$5:$F$20)),--(IFERROR(YEAR(入力データ!$J$5:$J$20),0)&lt;=AL$3),--(IFERROR(YEAR(入力データ!$K$5:$K$20),9999)&gt;=AL$3),入力データ!$M$5:$M$20)*12)</f>
        <v/>
      </c>
      <c r="AM22" s="352">
        <f>IF(AM$3="","",SUMPRODUCT(--ISNUMBER(SEARCH("終身",入力データ!$F$5:$F$20)),--(IFERROR(YEAR(入力データ!$J$5:$J$20),0)&lt;=AM$3),--(IFERROR(YEAR(入力データ!$K$5:$K$20),9999)&gt;=AM$3),入力データ!$M$5:$M$20)*12)</f>
        <v/>
      </c>
      <c r="AN22" s="352">
        <f>IF(AN$3="","",SUMPRODUCT(--ISNUMBER(SEARCH("終身",入力データ!$F$5:$F$20)),--(IFERROR(YEAR(入力データ!$J$5:$J$20),0)&lt;=AN$3),--(IFERROR(YEAR(入力データ!$K$5:$K$20),9999)&gt;=AN$3),入力データ!$M$5:$M$20)*12)</f>
        <v/>
      </c>
      <c r="AO22" s="352">
        <f>IF(AO$3="","",SUMPRODUCT(--ISNUMBER(SEARCH("終身",入力データ!$F$5:$F$20)),--(IFERROR(YEAR(入力データ!$J$5:$J$20),0)&lt;=AO$3),--(IFERROR(YEAR(入力データ!$K$5:$K$20),9999)&gt;=AO$3),入力データ!$M$5:$M$20)*12)</f>
        <v/>
      </c>
      <c r="AP22" s="352">
        <f>IF(AP$3="","",SUMPRODUCT(--ISNUMBER(SEARCH("終身",入力データ!$F$5:$F$20)),--(IFERROR(YEAR(入力データ!$J$5:$J$20),0)&lt;=AP$3),--(IFERROR(YEAR(入力データ!$K$5:$K$20),9999)&gt;=AP$3),入力データ!$M$5:$M$20)*12)</f>
        <v/>
      </c>
      <c r="AQ22" s="352">
        <f>IF(AQ$3="","",SUMPRODUCT(--ISNUMBER(SEARCH("終身",入力データ!$F$5:$F$20)),--(IFERROR(YEAR(入力データ!$J$5:$J$20),0)&lt;=AQ$3),--(IFERROR(YEAR(入力データ!$K$5:$K$20),9999)&gt;=AQ$3),入力データ!$M$5:$M$20)*12)</f>
        <v/>
      </c>
      <c r="AR22" s="352">
        <f>IF(AR$3="","",SUMPRODUCT(--ISNUMBER(SEARCH("終身",入力データ!$F$5:$F$20)),--(IFERROR(YEAR(入力データ!$J$5:$J$20),0)&lt;=AR$3),--(IFERROR(YEAR(入力データ!$K$5:$K$20),9999)&gt;=AR$3),入力データ!$M$5:$M$20)*12)</f>
        <v/>
      </c>
      <c r="AS22" s="352">
        <f>IF(AS$3="","",SUMPRODUCT(--ISNUMBER(SEARCH("終身",入力データ!$F$5:$F$20)),--(IFERROR(YEAR(入力データ!$J$5:$J$20),0)&lt;=AS$3),--(IFERROR(YEAR(入力データ!$K$5:$K$20),9999)&gt;=AS$3),入力データ!$M$5:$M$20)*12)</f>
        <v/>
      </c>
      <c r="AT22" s="352">
        <f>IF(AT$3="","",SUMPRODUCT(--ISNUMBER(SEARCH("終身",入力データ!$F$5:$F$20)),--(IFERROR(YEAR(入力データ!$J$5:$J$20),0)&lt;=AT$3),--(IFERROR(YEAR(入力データ!$K$5:$K$20),9999)&gt;=AT$3),入力データ!$M$5:$M$20)*12)</f>
        <v/>
      </c>
      <c r="AU22" s="352">
        <f>IF(AU$3="","",SUMPRODUCT(--ISNUMBER(SEARCH("終身",入力データ!$F$5:$F$20)),--(IFERROR(YEAR(入力データ!$J$5:$J$20),0)&lt;=AU$3),--(IFERROR(YEAR(入力データ!$K$5:$K$20),9999)&gt;=AU$3),入力データ!$M$5:$M$20)*12)</f>
        <v/>
      </c>
      <c r="AV22" s="352">
        <f>IF(AV$3="","",SUMPRODUCT(--ISNUMBER(SEARCH("終身",入力データ!$F$5:$F$20)),--(IFERROR(YEAR(入力データ!$J$5:$J$20),0)&lt;=AV$3),--(IFERROR(YEAR(入力データ!$K$5:$K$20),9999)&gt;=AV$3),入力データ!$M$5:$M$20)*12)</f>
        <v/>
      </c>
      <c r="AW22" s="352">
        <f>IF(AW$3="","",SUMPRODUCT(--ISNUMBER(SEARCH("終身",入力データ!$F$5:$F$20)),--(IFERROR(YEAR(入力データ!$J$5:$J$20),0)&lt;=AW$3),--(IFERROR(YEAR(入力データ!$K$5:$K$20),9999)&gt;=AW$3),入力データ!$M$5:$M$20)*12)</f>
        <v/>
      </c>
      <c r="AX22" s="352">
        <f>IF(AX$3="","",SUMPRODUCT(--ISNUMBER(SEARCH("終身",入力データ!$F$5:$F$20)),--(IFERROR(YEAR(入力データ!$J$5:$J$20),0)&lt;=AX$3),--(IFERROR(YEAR(入力データ!$K$5:$K$20),9999)&gt;=AX$3),入力データ!$M$5:$M$20)*12)</f>
        <v/>
      </c>
      <c r="AY22" s="352">
        <f>IF(AY$3="","",SUMPRODUCT(--ISNUMBER(SEARCH("終身",入力データ!$F$5:$F$20)),--(IFERROR(YEAR(入力データ!$J$5:$J$20),0)&lt;=AY$3),--(IFERROR(YEAR(入力データ!$K$5:$K$20),9999)&gt;=AY$3),入力データ!$M$5:$M$20)*12)</f>
        <v/>
      </c>
      <c r="AZ22" s="352">
        <f>IF(AZ$3="","",SUMPRODUCT(--ISNUMBER(SEARCH("終身",入力データ!$F$5:$F$20)),--(IFERROR(YEAR(入力データ!$J$5:$J$20),0)&lt;=AZ$3),--(IFERROR(YEAR(入力データ!$K$5:$K$20),9999)&gt;=AZ$3),入力データ!$M$5:$M$20)*12)</f>
        <v/>
      </c>
      <c r="BA22" s="352">
        <f>IF(BA$3="","",SUMPRODUCT(--ISNUMBER(SEARCH("終身",入力データ!$F$5:$F$20)),--(IFERROR(YEAR(入力データ!$J$5:$J$20),0)&lt;=BA$3),--(IFERROR(YEAR(入力データ!$K$5:$K$20),9999)&gt;=BA$3),入力データ!$M$5:$M$20)*12)</f>
        <v/>
      </c>
      <c r="BB22" s="352">
        <f>IF(BB$3="","",SUMPRODUCT(--ISNUMBER(SEARCH("終身",入力データ!$F$5:$F$20)),--(IFERROR(YEAR(入力データ!$J$5:$J$20),0)&lt;=BB$3),--(IFERROR(YEAR(入力データ!$K$5:$K$20),9999)&gt;=BB$3),入力データ!$M$5:$M$20)*12)</f>
        <v/>
      </c>
      <c r="BC22" s="352">
        <f>IF(BC$3="","",SUMPRODUCT(--ISNUMBER(SEARCH("終身",入力データ!$F$5:$F$20)),--(IFERROR(YEAR(入力データ!$J$5:$J$20),0)&lt;=BC$3),--(IFERROR(YEAR(入力データ!$K$5:$K$20),9999)&gt;=BC$3),入力データ!$M$5:$M$20)*12)</f>
        <v/>
      </c>
      <c r="BD22" s="352">
        <f>IF(BD$3="","",SUMPRODUCT(--ISNUMBER(SEARCH("終身",入力データ!$F$5:$F$20)),--(IFERROR(YEAR(入力データ!$J$5:$J$20),0)&lt;=BD$3),--(IFERROR(YEAR(入力データ!$K$5:$K$20),9999)&gt;=BD$3),入力データ!$M$5:$M$20)*12)</f>
        <v/>
      </c>
      <c r="BE22" s="352">
        <f>IF(BE$3="","",SUMPRODUCT(--ISNUMBER(SEARCH("終身",入力データ!$F$5:$F$20)),--(IFERROR(YEAR(入力データ!$J$5:$J$20),0)&lt;=BE$3),--(IFERROR(YEAR(入力データ!$K$5:$K$20),9999)&gt;=BE$3),入力データ!$M$5:$M$20)*12)</f>
        <v/>
      </c>
      <c r="BF22" s="352">
        <f>IF(BF$3="","",SUMPRODUCT(--ISNUMBER(SEARCH("終身",入力データ!$F$5:$F$20)),--(IFERROR(YEAR(入力データ!$J$5:$J$20),0)&lt;=BF$3),--(IFERROR(YEAR(入力データ!$K$5:$K$20),9999)&gt;=BF$3),入力データ!$M$5:$M$20)*12)</f>
        <v/>
      </c>
      <c r="BG22" s="352">
        <f>IF(BG$3="","",SUMPRODUCT(--ISNUMBER(SEARCH("終身",入力データ!$F$5:$F$20)),--(IFERROR(YEAR(入力データ!$J$5:$J$20),0)&lt;=BG$3),--(IFERROR(YEAR(入力データ!$K$5:$K$20),9999)&gt;=BG$3),入力データ!$M$5:$M$20)*12)</f>
        <v/>
      </c>
      <c r="BH22" s="352">
        <f>IF(BH$3="","",SUMPRODUCT(--ISNUMBER(SEARCH("終身",入力データ!$F$5:$F$20)),--(IFERROR(YEAR(入力データ!$J$5:$J$20),0)&lt;=BH$3),--(IFERROR(YEAR(入力データ!$K$5:$K$20),9999)&gt;=BH$3),入力データ!$M$5:$M$20)*12)</f>
        <v/>
      </c>
      <c r="BI22" s="352">
        <f>IF(BI$3="","",SUMPRODUCT(--ISNUMBER(SEARCH("終身",入力データ!$F$5:$F$20)),--(IFERROR(YEAR(入力データ!$J$5:$J$20),0)&lt;=BI$3),--(IFERROR(YEAR(入力データ!$K$5:$K$20),9999)&gt;=BI$3),入力データ!$M$5:$M$20)*12)</f>
        <v/>
      </c>
      <c r="BJ22" s="352">
        <f>IF(BJ$3="","",SUMPRODUCT(--ISNUMBER(SEARCH("終身",入力データ!$F$5:$F$20)),--(IFERROR(YEAR(入力データ!$J$5:$J$20),0)&lt;=BJ$3),--(IFERROR(YEAR(入力データ!$K$5:$K$20),9999)&gt;=BJ$3),入力データ!$M$5:$M$20)*12)</f>
        <v/>
      </c>
      <c r="BK22" s="352">
        <f>IF(BK$3="","",SUMPRODUCT(--ISNUMBER(SEARCH("終身",入力データ!$F$5:$F$20)),--(IFERROR(YEAR(入力データ!$J$5:$J$20),0)&lt;=BK$3),--(IFERROR(YEAR(入力データ!$K$5:$K$20),9999)&gt;=BK$3),入力データ!$M$5:$M$20)*12)</f>
        <v/>
      </c>
      <c r="BL22" s="352">
        <f>IF(BL$3="","",SUMPRODUCT(--ISNUMBER(SEARCH("終身",入力データ!$F$5:$F$20)),--(IFERROR(YEAR(入力データ!$J$5:$J$20),0)&lt;=BL$3),--(IFERROR(YEAR(入力データ!$K$5:$K$20),9999)&gt;=BL$3),入力データ!$M$5:$M$20)*12)</f>
        <v/>
      </c>
      <c r="BM22" s="352">
        <f>IF(BM$3="","",SUMPRODUCT(--ISNUMBER(SEARCH("終身",入力データ!$F$5:$F$20)),--(IFERROR(YEAR(入力データ!$J$5:$J$20),0)&lt;=BM$3),--(IFERROR(YEAR(入力データ!$K$5:$K$20),9999)&gt;=BM$3),入力データ!$M$5:$M$20)*12)</f>
        <v/>
      </c>
      <c r="BN22" s="352">
        <f>IF(BN$3="","",SUMPRODUCT(--ISNUMBER(SEARCH("終身",入力データ!$F$5:$F$20)),--(IFERROR(YEAR(入力データ!$J$5:$J$20),0)&lt;=BN$3),--(IFERROR(YEAR(入力データ!$K$5:$K$20),9999)&gt;=BN$3),入力データ!$M$5:$M$20)*12)</f>
        <v/>
      </c>
      <c r="BO22" s="352">
        <f>IF(BO$3="","",SUMPRODUCT(--ISNUMBER(SEARCH("終身",入力データ!$F$5:$F$20)),--(IFERROR(YEAR(入力データ!$J$5:$J$20),0)&lt;=BO$3),--(IFERROR(YEAR(入力データ!$K$5:$K$20),9999)&gt;=BO$3),入力データ!$M$5:$M$20)*12)</f>
        <v/>
      </c>
      <c r="BP22" s="352">
        <f>IF(BP$3="","",SUMPRODUCT(--ISNUMBER(SEARCH("終身",入力データ!$F$5:$F$20)),--(IFERROR(YEAR(入力データ!$J$5:$J$20),0)&lt;=BP$3),--(IFERROR(YEAR(入力データ!$K$5:$K$20),9999)&gt;=BP$3),入力データ!$M$5:$M$20)*12)</f>
        <v/>
      </c>
      <c r="BQ22" s="352">
        <f>IF(BQ$3="","",SUMPRODUCT(--ISNUMBER(SEARCH("終身",入力データ!$F$5:$F$20)),--(IFERROR(YEAR(入力データ!$J$5:$J$20),0)&lt;=BQ$3),--(IFERROR(YEAR(入力データ!$K$5:$K$20),9999)&gt;=BQ$3),入力データ!$M$5:$M$20)*12)</f>
        <v/>
      </c>
      <c r="BR22" s="352">
        <f>IF(BR$3="","",SUMPRODUCT(--ISNUMBER(SEARCH("終身",入力データ!$F$5:$F$20)),--(IFERROR(YEAR(入力データ!$J$5:$J$20),0)&lt;=BR$3),--(IFERROR(YEAR(入力データ!$K$5:$K$20),9999)&gt;=BR$3),入力データ!$M$5:$M$20)*12)</f>
        <v/>
      </c>
      <c r="BS22" s="352">
        <f>IF(BS$3="","",SUMPRODUCT(--ISNUMBER(SEARCH("終身",入力データ!$F$5:$F$20)),--(IFERROR(YEAR(入力データ!$J$5:$J$20),0)&lt;=BS$3),--(IFERROR(YEAR(入力データ!$K$5:$K$20),9999)&gt;=BS$3),入力データ!$M$5:$M$20)*12)</f>
        <v/>
      </c>
      <c r="BT22" s="352">
        <f>IF(BT$3="","",SUMPRODUCT(--ISNUMBER(SEARCH("終身",入力データ!$F$5:$F$20)),--(IFERROR(YEAR(入力データ!$J$5:$J$20),0)&lt;=BT$3),--(IFERROR(YEAR(入力データ!$K$5:$K$20),9999)&gt;=BT$3),入力データ!$M$5:$M$20)*12)</f>
        <v/>
      </c>
      <c r="BU22" s="352">
        <f>IF(BU$3="","",SUMPRODUCT(--ISNUMBER(SEARCH("終身",入力データ!$F$5:$F$20)),--(IFERROR(YEAR(入力データ!$J$5:$J$20),0)&lt;=BU$3),--(IFERROR(YEAR(入力データ!$K$5:$K$20),9999)&gt;=BU$3),入力データ!$M$5:$M$20)*12)</f>
        <v/>
      </c>
      <c r="BV22" s="352">
        <f>IF(BV$3="","",SUMPRODUCT(--ISNUMBER(SEARCH("終身",入力データ!$F$5:$F$20)),--(IFERROR(YEAR(入力データ!$J$5:$J$20),0)&lt;=BV$3),--(IFERROR(YEAR(入力データ!$K$5:$K$20),9999)&gt;=BV$3),入力データ!$M$5:$M$20)*12)</f>
        <v/>
      </c>
      <c r="BW22" s="352">
        <f>IF(BW$3="","",SUMPRODUCT(--ISNUMBER(SEARCH("終身",入力データ!$F$5:$F$20)),--(IFERROR(YEAR(入力データ!$J$5:$J$20),0)&lt;=BW$3),--(IFERROR(YEAR(入力データ!$K$5:$K$20),9999)&gt;=BW$3),入力データ!$M$5:$M$20)*12)</f>
        <v/>
      </c>
      <c r="BX22" s="352">
        <f>IF(BX$3="","",SUMPRODUCT(--ISNUMBER(SEARCH("終身",入力データ!$F$5:$F$20)),--(IFERROR(YEAR(入力データ!$J$5:$J$20),0)&lt;=BX$3),--(IFERROR(YEAR(入力データ!$K$5:$K$20),9999)&gt;=BX$3),入力データ!$M$5:$M$20)*12)</f>
        <v/>
      </c>
      <c r="BY22" s="352">
        <f>IF(BY$3="","",SUMPRODUCT(--ISNUMBER(SEARCH("終身",入力データ!$F$5:$F$20)),--(IFERROR(YEAR(入力データ!$J$5:$J$20),0)&lt;=BY$3),--(IFERROR(YEAR(入力データ!$K$5:$K$20),9999)&gt;=BY$3),入力データ!$M$5:$M$20)*12)</f>
        <v/>
      </c>
      <c r="BZ22" s="352">
        <f>IF(BZ$3="","",SUMPRODUCT(--ISNUMBER(SEARCH("終身",入力データ!$F$5:$F$20)),--(IFERROR(YEAR(入力データ!$J$5:$J$20),0)&lt;=BZ$3),--(IFERROR(YEAR(入力データ!$K$5:$K$20),9999)&gt;=BZ$3),入力データ!$M$5:$M$20)*12)</f>
        <v/>
      </c>
      <c r="CA22" s="352">
        <f>IF(CA$3="","",SUMPRODUCT(--ISNUMBER(SEARCH("終身",入力データ!$F$5:$F$20)),--(IFERROR(YEAR(入力データ!$J$5:$J$20),0)&lt;=CA$3),--(IFERROR(YEAR(入力データ!$K$5:$K$20),9999)&gt;=CA$3),入力データ!$M$5:$M$20)*12)</f>
        <v/>
      </c>
      <c r="CB22" s="352">
        <f>IF(CB$3="","",SUMPRODUCT(--ISNUMBER(SEARCH("終身",入力データ!$F$5:$F$20)),--(IFERROR(YEAR(入力データ!$J$5:$J$20),0)&lt;=CB$3),--(IFERROR(YEAR(入力データ!$K$5:$K$20),9999)&gt;=CB$3),入力データ!$M$5:$M$20)*12)</f>
        <v/>
      </c>
      <c r="CC22" s="352">
        <f>IF(CC$3="","",SUMPRODUCT(--ISNUMBER(SEARCH("終身",入力データ!$F$5:$F$20)),--(IFERROR(YEAR(入力データ!$J$5:$J$20),0)&lt;=CC$3),--(IFERROR(YEAR(入力データ!$K$5:$K$20),9999)&gt;=CC$3),入力データ!$M$5:$M$20)*12)</f>
        <v/>
      </c>
      <c r="CD22" s="352">
        <f>IF(CD$3="","",SUMPRODUCT(--ISNUMBER(SEARCH("終身",入力データ!$F$5:$F$20)),--(IFERROR(YEAR(入力データ!$J$5:$J$20),0)&lt;=CD$3),--(IFERROR(YEAR(入力データ!$K$5:$K$20),9999)&gt;=CD$3),入力データ!$M$5:$M$20)*12)</f>
        <v/>
      </c>
      <c r="CE22" s="352">
        <f>IF(CE$3="","",SUMPRODUCT(--ISNUMBER(SEARCH("終身",入力データ!$F$5:$F$20)),--(IFERROR(YEAR(入力データ!$J$5:$J$20),0)&lt;=CE$3),--(IFERROR(YEAR(入力データ!$K$5:$K$20),9999)&gt;=CE$3),入力データ!$M$5:$M$20)*12)</f>
        <v/>
      </c>
      <c r="CF22" s="352">
        <f>IF(CF$3="","",SUMPRODUCT(--ISNUMBER(SEARCH("終身",入力データ!$F$5:$F$20)),--(IFERROR(YEAR(入力データ!$J$5:$J$20),0)&lt;=CF$3),--(IFERROR(YEAR(入力データ!$K$5:$K$20),9999)&gt;=CF$3),入力データ!$M$5:$M$20)*12)</f>
        <v/>
      </c>
      <c r="CG22" s="352">
        <f>IF(CG$3="","",SUMPRODUCT(--ISNUMBER(SEARCH("終身",入力データ!$F$5:$F$20)),--(IFERROR(YEAR(入力データ!$J$5:$J$20),0)&lt;=CG$3),--(IFERROR(YEAR(入力データ!$K$5:$K$20),9999)&gt;=CG$3),入力データ!$M$5:$M$20)*12)</f>
        <v/>
      </c>
      <c r="CH22" s="352">
        <f>IF(CH$3="","",SUMPRODUCT(--ISNUMBER(SEARCH("終身",入力データ!$F$5:$F$20)),--(IFERROR(YEAR(入力データ!$J$5:$J$20),0)&lt;=CH$3),--(IFERROR(YEAR(入力データ!$K$5:$K$20),9999)&gt;=CH$3),入力データ!$M$5:$M$20)*12)</f>
        <v/>
      </c>
      <c r="CI22" s="352">
        <f>IF(CI$3="","",SUMPRODUCT(--ISNUMBER(SEARCH("終身",入力データ!$F$5:$F$20)),--(IFERROR(YEAR(入力データ!$J$5:$J$20),0)&lt;=CI$3),--(IFERROR(YEAR(入力データ!$K$5:$K$20),9999)&gt;=CI$3),入力データ!$M$5:$M$20)*12)</f>
        <v/>
      </c>
      <c r="CJ22" s="352">
        <f>IF(CJ$3="","",SUMPRODUCT(--ISNUMBER(SEARCH("終身",入力データ!$F$5:$F$20)),--(IFERROR(YEAR(入力データ!$J$5:$J$20),0)&lt;=CJ$3),--(IFERROR(YEAR(入力データ!$K$5:$K$20),9999)&gt;=CJ$3),入力データ!$M$5:$M$20)*12)</f>
        <v/>
      </c>
      <c r="CK22" s="352">
        <f>IF(CK$3="","",SUMPRODUCT(--ISNUMBER(SEARCH("終身",入力データ!$F$5:$F$20)),--(IFERROR(YEAR(入力データ!$J$5:$J$20),0)&lt;=CK$3),--(IFERROR(YEAR(入力データ!$K$5:$K$20),9999)&gt;=CK$3),入力データ!$M$5:$M$20)*12)</f>
        <v/>
      </c>
      <c r="CL22" s="352">
        <f>IF(CL$3="","",SUMPRODUCT(--ISNUMBER(SEARCH("終身",入力データ!$F$5:$F$20)),--(IFERROR(YEAR(入力データ!$J$5:$J$20),0)&lt;=CL$3),--(IFERROR(YEAR(入力データ!$K$5:$K$20),9999)&gt;=CL$3),入力データ!$M$5:$M$20)*12)</f>
        <v/>
      </c>
      <c r="CM22" s="352">
        <f>IF(CM$3="","",SUMPRODUCT(--ISNUMBER(SEARCH("終身",入力データ!$F$5:$F$20)),--(IFERROR(YEAR(入力データ!$J$5:$J$20),0)&lt;=CM$3),--(IFERROR(YEAR(入力データ!$K$5:$K$20),9999)&gt;=CM$3),入力データ!$M$5:$M$20)*12)</f>
        <v/>
      </c>
      <c r="CN22" s="352">
        <f>IF(CN$3="","",SUMPRODUCT(--ISNUMBER(SEARCH("終身",入力データ!$F$5:$F$20)),--(IFERROR(YEAR(入力データ!$J$5:$J$20),0)&lt;=CN$3),--(IFERROR(YEAR(入力データ!$K$5:$K$20),9999)&gt;=CN$3),入力データ!$M$5:$M$20)*12)</f>
        <v/>
      </c>
      <c r="CO22" s="352">
        <f>IF(CO$3="","",SUMPRODUCT(--ISNUMBER(SEARCH("終身",入力データ!$F$5:$F$20)),--(IFERROR(YEAR(入力データ!$J$5:$J$20),0)&lt;=CO$3),--(IFERROR(YEAR(入力データ!$K$5:$K$20),9999)&gt;=CO$3),入力データ!$M$5:$M$20)*12)</f>
        <v/>
      </c>
      <c r="CP22" s="352">
        <f>IF(CP$3="","",SUMPRODUCT(--ISNUMBER(SEARCH("終身",入力データ!$F$5:$F$20)),--(IFERROR(YEAR(入力データ!$J$5:$J$20),0)&lt;=CP$3),--(IFERROR(YEAR(入力データ!$K$5:$K$20),9999)&gt;=CP$3),入力データ!$M$5:$M$20)*12)</f>
        <v/>
      </c>
      <c r="CQ22" s="352">
        <f>IF(CQ$3="","",SUMPRODUCT(--ISNUMBER(SEARCH("終身",入力データ!$F$5:$F$20)),--(IFERROR(YEAR(入力データ!$J$5:$J$20),0)&lt;=CQ$3),--(IFERROR(YEAR(入力データ!$K$5:$K$20),9999)&gt;=CQ$3),入力データ!$M$5:$M$20)*12)</f>
        <v/>
      </c>
      <c r="CR22" s="352">
        <f>IF(CR$3="","",SUMPRODUCT(--ISNUMBER(SEARCH("終身",入力データ!$F$5:$F$20)),--(IFERROR(YEAR(入力データ!$J$5:$J$20),0)&lt;=CR$3),--(IFERROR(YEAR(入力データ!$K$5:$K$20),9999)&gt;=CR$3),入力データ!$M$5:$M$20)*12)</f>
        <v/>
      </c>
      <c r="CS22" s="352">
        <f>IF(CS$3="","",SUMPRODUCT(--ISNUMBER(SEARCH("終身",入力データ!$F$5:$F$20)),--(IFERROR(YEAR(入力データ!$J$5:$J$20),0)&lt;=CS$3),--(IFERROR(YEAR(入力データ!$K$5:$K$20),9999)&gt;=CS$3),入力データ!$M$5:$M$20)*12)</f>
        <v/>
      </c>
      <c r="CT22" s="352">
        <f>IF(CT$3="","",SUMPRODUCT(--ISNUMBER(SEARCH("終身",入力データ!$F$5:$F$20)),--(IFERROR(YEAR(入力データ!$J$5:$J$20),0)&lt;=CT$3),--(IFERROR(YEAR(入力データ!$K$5:$K$20),9999)&gt;=CT$3),入力データ!$M$5:$M$20)*12)</f>
        <v/>
      </c>
      <c r="CU22" s="352">
        <f>IF(CU$3="","",SUMPRODUCT(--ISNUMBER(SEARCH("終身",入力データ!$F$5:$F$20)),--(IFERROR(YEAR(入力データ!$J$5:$J$20),0)&lt;=CU$3),--(IFERROR(YEAR(入力データ!$K$5:$K$20),9999)&gt;=CU$3),入力データ!$M$5:$M$20)*12)</f>
        <v/>
      </c>
      <c r="CV22" s="352">
        <f>IF(CV$3="","",SUMPRODUCT(--ISNUMBER(SEARCH("終身",入力データ!$F$5:$F$20)),--(IFERROR(YEAR(入力データ!$J$5:$J$20),0)&lt;=CV$3),--(IFERROR(YEAR(入力データ!$K$5:$K$20),9999)&gt;=CV$3),入力データ!$M$5:$M$20)*12)</f>
        <v/>
      </c>
      <c r="CW22" s="352">
        <f>IF(CW$3="","",SUMPRODUCT(--ISNUMBER(SEARCH("終身",入力データ!$F$5:$F$20)),--(IFERROR(YEAR(入力データ!$J$5:$J$20),0)&lt;=CW$3),--(IFERROR(YEAR(入力データ!$K$5:$K$20),9999)&gt;=CW$3),入力データ!$M$5:$M$20)*12)</f>
        <v/>
      </c>
    </row>
    <row r="23" ht="15" customHeight="1" s="180">
      <c r="A23" s="224" t="inlineStr">
        <is>
          <t>定期系保険料</t>
        </is>
      </c>
      <c r="B23" s="352">
        <f>IF(B$3="","",SUMPRODUCT(--ISERROR(SEARCH("終身",入力データ!$F$5:$F$20)),--(IFERROR(YEAR(入力データ!$J$5:$J$20),0)&lt;=B$3),--(IFERROR(YEAR(入力データ!$K$5:$K$20),9999)&gt;=B$3),入力データ!$M$5:$M$20)*12)</f>
        <v/>
      </c>
      <c r="C23" s="352">
        <f>IF(C$3="","",SUMPRODUCT(--ISERROR(SEARCH("終身",入力データ!$F$5:$F$20)),--(IFERROR(YEAR(入力データ!$J$5:$J$20),0)&lt;=C$3),--(IFERROR(YEAR(入力データ!$K$5:$K$20),9999)&gt;=C$3),入力データ!$M$5:$M$20)*12)</f>
        <v/>
      </c>
      <c r="D23" s="352">
        <f>IF(D$3="","",SUMPRODUCT(--ISERROR(SEARCH("終身",入力データ!$F$5:$F$20)),--(IFERROR(YEAR(入力データ!$J$5:$J$20),0)&lt;=D$3),--(IFERROR(YEAR(入力データ!$K$5:$K$20),9999)&gt;=D$3),入力データ!$M$5:$M$20)*12)</f>
        <v/>
      </c>
      <c r="E23" s="352">
        <f>IF(E$3="","",SUMPRODUCT(--ISERROR(SEARCH("終身",入力データ!$F$5:$F$20)),--(IFERROR(YEAR(入力データ!$J$5:$J$20),0)&lt;=E$3),--(IFERROR(YEAR(入力データ!$K$5:$K$20),9999)&gt;=E$3),入力データ!$M$5:$M$20)*12)</f>
        <v/>
      </c>
      <c r="F23" s="352">
        <f>IF(F$3="","",SUMPRODUCT(--ISERROR(SEARCH("終身",入力データ!$F$5:$F$20)),--(IFERROR(YEAR(入力データ!$J$5:$J$20),0)&lt;=F$3),--(IFERROR(YEAR(入力データ!$K$5:$K$20),9999)&gt;=F$3),入力データ!$M$5:$M$20)*12)</f>
        <v/>
      </c>
      <c r="G23" s="352">
        <f>IF(G$3="","",SUMPRODUCT(--ISERROR(SEARCH("終身",入力データ!$F$5:$F$20)),--(IFERROR(YEAR(入力データ!$J$5:$J$20),0)&lt;=G$3),--(IFERROR(YEAR(入力データ!$K$5:$K$20),9999)&gt;=G$3),入力データ!$M$5:$M$20)*12)</f>
        <v/>
      </c>
      <c r="H23" s="352">
        <f>IF(H$3="","",SUMPRODUCT(--ISERROR(SEARCH("終身",入力データ!$F$5:$F$20)),--(IFERROR(YEAR(入力データ!$J$5:$J$20),0)&lt;=H$3),--(IFERROR(YEAR(入力データ!$K$5:$K$20),9999)&gt;=H$3),入力データ!$M$5:$M$20)*12)</f>
        <v/>
      </c>
      <c r="I23" s="352">
        <f>IF(I$3="","",SUMPRODUCT(--ISERROR(SEARCH("終身",入力データ!$F$5:$F$20)),--(IFERROR(YEAR(入力データ!$J$5:$J$20),0)&lt;=I$3),--(IFERROR(YEAR(入力データ!$K$5:$K$20),9999)&gt;=I$3),入力データ!$M$5:$M$20)*12)</f>
        <v/>
      </c>
      <c r="J23" s="352">
        <f>IF(J$3="","",SUMPRODUCT(--ISERROR(SEARCH("終身",入力データ!$F$5:$F$20)),--(IFERROR(YEAR(入力データ!$J$5:$J$20),0)&lt;=J$3),--(IFERROR(YEAR(入力データ!$K$5:$K$20),9999)&gt;=J$3),入力データ!$M$5:$M$20)*12)</f>
        <v/>
      </c>
      <c r="K23" s="352">
        <f>IF(K$3="","",SUMPRODUCT(--ISERROR(SEARCH("終身",入力データ!$F$5:$F$20)),--(IFERROR(YEAR(入力データ!$J$5:$J$20),0)&lt;=K$3),--(IFERROR(YEAR(入力データ!$K$5:$K$20),9999)&gt;=K$3),入力データ!$M$5:$M$20)*12)</f>
        <v/>
      </c>
      <c r="L23" s="352">
        <f>IF(L$3="","",SUMPRODUCT(--ISERROR(SEARCH("終身",入力データ!$F$5:$F$20)),--(IFERROR(YEAR(入力データ!$J$5:$J$20),0)&lt;=L$3),--(IFERROR(YEAR(入力データ!$K$5:$K$20),9999)&gt;=L$3),入力データ!$M$5:$M$20)*12)</f>
        <v/>
      </c>
      <c r="M23" s="352">
        <f>IF(M$3="","",SUMPRODUCT(--ISERROR(SEARCH("終身",入力データ!$F$5:$F$20)),--(IFERROR(YEAR(入力データ!$J$5:$J$20),0)&lt;=M$3),--(IFERROR(YEAR(入力データ!$K$5:$K$20),9999)&gt;=M$3),入力データ!$M$5:$M$20)*12)</f>
        <v/>
      </c>
      <c r="N23" s="352">
        <f>IF(N$3="","",SUMPRODUCT(--ISERROR(SEARCH("終身",入力データ!$F$5:$F$20)),--(IFERROR(YEAR(入力データ!$J$5:$J$20),0)&lt;=N$3),--(IFERROR(YEAR(入力データ!$K$5:$K$20),9999)&gt;=N$3),入力データ!$M$5:$M$20)*12)</f>
        <v/>
      </c>
      <c r="O23" s="352">
        <f>IF(O$3="","",SUMPRODUCT(--ISERROR(SEARCH("終身",入力データ!$F$5:$F$20)),--(IFERROR(YEAR(入力データ!$J$5:$J$20),0)&lt;=O$3),--(IFERROR(YEAR(入力データ!$K$5:$K$20),9999)&gt;=O$3),入力データ!$M$5:$M$20)*12)</f>
        <v/>
      </c>
      <c r="P23" s="352">
        <f>IF(P$3="","",SUMPRODUCT(--ISERROR(SEARCH("終身",入力データ!$F$5:$F$20)),--(IFERROR(YEAR(入力データ!$J$5:$J$20),0)&lt;=P$3),--(IFERROR(YEAR(入力データ!$K$5:$K$20),9999)&gt;=P$3),入力データ!$M$5:$M$20)*12)</f>
        <v/>
      </c>
      <c r="Q23" s="352">
        <f>IF(Q$3="","",SUMPRODUCT(--ISERROR(SEARCH("終身",入力データ!$F$5:$F$20)),--(IFERROR(YEAR(入力データ!$J$5:$J$20),0)&lt;=Q$3),--(IFERROR(YEAR(入力データ!$K$5:$K$20),9999)&gt;=Q$3),入力データ!$M$5:$M$20)*12)</f>
        <v/>
      </c>
      <c r="R23" s="352">
        <f>IF(R$3="","",SUMPRODUCT(--ISERROR(SEARCH("終身",入力データ!$F$5:$F$20)),--(IFERROR(YEAR(入力データ!$J$5:$J$20),0)&lt;=R$3),--(IFERROR(YEAR(入力データ!$K$5:$K$20),9999)&gt;=R$3),入力データ!$M$5:$M$20)*12)</f>
        <v/>
      </c>
      <c r="S23" s="352">
        <f>IF(S$3="","",SUMPRODUCT(--ISERROR(SEARCH("終身",入力データ!$F$5:$F$20)),--(IFERROR(YEAR(入力データ!$J$5:$J$20),0)&lt;=S$3),--(IFERROR(YEAR(入力データ!$K$5:$K$20),9999)&gt;=S$3),入力データ!$M$5:$M$20)*12)</f>
        <v/>
      </c>
      <c r="T23" s="352">
        <f>IF(T$3="","",SUMPRODUCT(--ISERROR(SEARCH("終身",入力データ!$F$5:$F$20)),--(IFERROR(YEAR(入力データ!$J$5:$J$20),0)&lt;=T$3),--(IFERROR(YEAR(入力データ!$K$5:$K$20),9999)&gt;=T$3),入力データ!$M$5:$M$20)*12)</f>
        <v/>
      </c>
      <c r="U23" s="352">
        <f>IF(U$3="","",SUMPRODUCT(--ISERROR(SEARCH("終身",入力データ!$F$5:$F$20)),--(IFERROR(YEAR(入力データ!$J$5:$J$20),0)&lt;=U$3),--(IFERROR(YEAR(入力データ!$K$5:$K$20),9999)&gt;=U$3),入力データ!$M$5:$M$20)*12)</f>
        <v/>
      </c>
      <c r="V23" s="352">
        <f>IF(V$3="","",SUMPRODUCT(--ISERROR(SEARCH("終身",入力データ!$F$5:$F$20)),--(IFERROR(YEAR(入力データ!$J$5:$J$20),0)&lt;=V$3),--(IFERROR(YEAR(入力データ!$K$5:$K$20),9999)&gt;=V$3),入力データ!$M$5:$M$20)*12)</f>
        <v/>
      </c>
      <c r="W23" s="352">
        <f>IF(W$3="","",SUMPRODUCT(--ISERROR(SEARCH("終身",入力データ!$F$5:$F$20)),--(IFERROR(YEAR(入力データ!$J$5:$J$20),0)&lt;=W$3),--(IFERROR(YEAR(入力データ!$K$5:$K$20),9999)&gt;=W$3),入力データ!$M$5:$M$20)*12)</f>
        <v/>
      </c>
      <c r="X23" s="352">
        <f>IF(X$3="","",SUMPRODUCT(--ISERROR(SEARCH("終身",入力データ!$F$5:$F$20)),--(IFERROR(YEAR(入力データ!$J$5:$J$20),0)&lt;=X$3),--(IFERROR(YEAR(入力データ!$K$5:$K$20),9999)&gt;=X$3),入力データ!$M$5:$M$20)*12)</f>
        <v/>
      </c>
      <c r="Y23" s="352">
        <f>IF(Y$3="","",SUMPRODUCT(--ISERROR(SEARCH("終身",入力データ!$F$5:$F$20)),--(IFERROR(YEAR(入力データ!$J$5:$J$20),0)&lt;=Y$3),--(IFERROR(YEAR(入力データ!$K$5:$K$20),9999)&gt;=Y$3),入力データ!$M$5:$M$20)*12)</f>
        <v/>
      </c>
      <c r="Z23" s="352">
        <f>IF(Z$3="","",SUMPRODUCT(--ISERROR(SEARCH("終身",入力データ!$F$5:$F$20)),--(IFERROR(YEAR(入力データ!$J$5:$J$20),0)&lt;=Z$3),--(IFERROR(YEAR(入力データ!$K$5:$K$20),9999)&gt;=Z$3),入力データ!$M$5:$M$20)*12)</f>
        <v/>
      </c>
      <c r="AA23" s="352">
        <f>IF(AA$3="","",SUMPRODUCT(--ISERROR(SEARCH("終身",入力データ!$F$5:$F$20)),--(IFERROR(YEAR(入力データ!$J$5:$J$20),0)&lt;=AA$3),--(IFERROR(YEAR(入力データ!$K$5:$K$20),9999)&gt;=AA$3),入力データ!$M$5:$M$20)*12)</f>
        <v/>
      </c>
      <c r="AB23" s="352">
        <f>IF(AB$3="","",SUMPRODUCT(--ISERROR(SEARCH("終身",入力データ!$F$5:$F$20)),--(IFERROR(YEAR(入力データ!$J$5:$J$20),0)&lt;=AB$3),--(IFERROR(YEAR(入力データ!$K$5:$K$20),9999)&gt;=AB$3),入力データ!$M$5:$M$20)*12)</f>
        <v/>
      </c>
      <c r="AC23" s="352">
        <f>IF(AC$3="","",SUMPRODUCT(--ISERROR(SEARCH("終身",入力データ!$F$5:$F$20)),--(IFERROR(YEAR(入力データ!$J$5:$J$20),0)&lt;=AC$3),--(IFERROR(YEAR(入力データ!$K$5:$K$20),9999)&gt;=AC$3),入力データ!$M$5:$M$20)*12)</f>
        <v/>
      </c>
      <c r="AD23" s="352">
        <f>IF(AD$3="","",SUMPRODUCT(--ISERROR(SEARCH("終身",入力データ!$F$5:$F$20)),--(IFERROR(YEAR(入力データ!$J$5:$J$20),0)&lt;=AD$3),--(IFERROR(YEAR(入力データ!$K$5:$K$20),9999)&gt;=AD$3),入力データ!$M$5:$M$20)*12)</f>
        <v/>
      </c>
      <c r="AE23" s="352">
        <f>IF(AE$3="","",SUMPRODUCT(--ISERROR(SEARCH("終身",入力データ!$F$5:$F$20)),--(IFERROR(YEAR(入力データ!$J$5:$J$20),0)&lt;=AE$3),--(IFERROR(YEAR(入力データ!$K$5:$K$20),9999)&gt;=AE$3),入力データ!$M$5:$M$20)*12)</f>
        <v/>
      </c>
      <c r="AF23" s="352">
        <f>IF(AF$3="","",SUMPRODUCT(--ISERROR(SEARCH("終身",入力データ!$F$5:$F$20)),--(IFERROR(YEAR(入力データ!$J$5:$J$20),0)&lt;=AF$3),--(IFERROR(YEAR(入力データ!$K$5:$K$20),9999)&gt;=AF$3),入力データ!$M$5:$M$20)*12)</f>
        <v/>
      </c>
      <c r="AG23" s="352">
        <f>IF(AG$3="","",SUMPRODUCT(--ISERROR(SEARCH("終身",入力データ!$F$5:$F$20)),--(IFERROR(YEAR(入力データ!$J$5:$J$20),0)&lt;=AG$3),--(IFERROR(YEAR(入力データ!$K$5:$K$20),9999)&gt;=AG$3),入力データ!$M$5:$M$20)*12)</f>
        <v/>
      </c>
      <c r="AH23" s="352">
        <f>IF(AH$3="","",SUMPRODUCT(--ISERROR(SEARCH("終身",入力データ!$F$5:$F$20)),--(IFERROR(YEAR(入力データ!$J$5:$J$20),0)&lt;=AH$3),--(IFERROR(YEAR(入力データ!$K$5:$K$20),9999)&gt;=AH$3),入力データ!$M$5:$M$20)*12)</f>
        <v/>
      </c>
      <c r="AI23" s="352">
        <f>IF(AI$3="","",SUMPRODUCT(--ISERROR(SEARCH("終身",入力データ!$F$5:$F$20)),--(IFERROR(YEAR(入力データ!$J$5:$J$20),0)&lt;=AI$3),--(IFERROR(YEAR(入力データ!$K$5:$K$20),9999)&gt;=AI$3),入力データ!$M$5:$M$20)*12)</f>
        <v/>
      </c>
      <c r="AJ23" s="352">
        <f>IF(AJ$3="","",SUMPRODUCT(--ISERROR(SEARCH("終身",入力データ!$F$5:$F$20)),--(IFERROR(YEAR(入力データ!$J$5:$J$20),0)&lt;=AJ$3),--(IFERROR(YEAR(入力データ!$K$5:$K$20),9999)&gt;=AJ$3),入力データ!$M$5:$M$20)*12)</f>
        <v/>
      </c>
      <c r="AK23" s="352">
        <f>IF(AK$3="","",SUMPRODUCT(--ISERROR(SEARCH("終身",入力データ!$F$5:$F$20)),--(IFERROR(YEAR(入力データ!$J$5:$J$20),0)&lt;=AK$3),--(IFERROR(YEAR(入力データ!$K$5:$K$20),9999)&gt;=AK$3),入力データ!$M$5:$M$20)*12)</f>
        <v/>
      </c>
      <c r="AL23" s="352">
        <f>IF(AL$3="","",SUMPRODUCT(--ISERROR(SEARCH("終身",入力データ!$F$5:$F$20)),--(IFERROR(YEAR(入力データ!$J$5:$J$20),0)&lt;=AL$3),--(IFERROR(YEAR(入力データ!$K$5:$K$20),9999)&gt;=AL$3),入力データ!$M$5:$M$20)*12)</f>
        <v/>
      </c>
      <c r="AM23" s="352">
        <f>IF(AM$3="","",SUMPRODUCT(--ISERROR(SEARCH("終身",入力データ!$F$5:$F$20)),--(IFERROR(YEAR(入力データ!$J$5:$J$20),0)&lt;=AM$3),--(IFERROR(YEAR(入力データ!$K$5:$K$20),9999)&gt;=AM$3),入力データ!$M$5:$M$20)*12)</f>
        <v/>
      </c>
      <c r="AN23" s="352">
        <f>IF(AN$3="","",SUMPRODUCT(--ISERROR(SEARCH("終身",入力データ!$F$5:$F$20)),--(IFERROR(YEAR(入力データ!$J$5:$J$20),0)&lt;=AN$3),--(IFERROR(YEAR(入力データ!$K$5:$K$20),9999)&gt;=AN$3),入力データ!$M$5:$M$20)*12)</f>
        <v/>
      </c>
      <c r="AO23" s="352">
        <f>IF(AO$3="","",SUMPRODUCT(--ISERROR(SEARCH("終身",入力データ!$F$5:$F$20)),--(IFERROR(YEAR(入力データ!$J$5:$J$20),0)&lt;=AO$3),--(IFERROR(YEAR(入力データ!$K$5:$K$20),9999)&gt;=AO$3),入力データ!$M$5:$M$20)*12)</f>
        <v/>
      </c>
      <c r="AP23" s="352">
        <f>IF(AP$3="","",SUMPRODUCT(--ISERROR(SEARCH("終身",入力データ!$F$5:$F$20)),--(IFERROR(YEAR(入力データ!$J$5:$J$20),0)&lt;=AP$3),--(IFERROR(YEAR(入力データ!$K$5:$K$20),9999)&gt;=AP$3),入力データ!$M$5:$M$20)*12)</f>
        <v/>
      </c>
      <c r="AQ23" s="352">
        <f>IF(AQ$3="","",SUMPRODUCT(--ISERROR(SEARCH("終身",入力データ!$F$5:$F$20)),--(IFERROR(YEAR(入力データ!$J$5:$J$20),0)&lt;=AQ$3),--(IFERROR(YEAR(入力データ!$K$5:$K$20),9999)&gt;=AQ$3),入力データ!$M$5:$M$20)*12)</f>
        <v/>
      </c>
      <c r="AR23" s="352">
        <f>IF(AR$3="","",SUMPRODUCT(--ISERROR(SEARCH("終身",入力データ!$F$5:$F$20)),--(IFERROR(YEAR(入力データ!$J$5:$J$20),0)&lt;=AR$3),--(IFERROR(YEAR(入力データ!$K$5:$K$20),9999)&gt;=AR$3),入力データ!$M$5:$M$20)*12)</f>
        <v/>
      </c>
      <c r="AS23" s="352">
        <f>IF(AS$3="","",SUMPRODUCT(--ISERROR(SEARCH("終身",入力データ!$F$5:$F$20)),--(IFERROR(YEAR(入力データ!$J$5:$J$20),0)&lt;=AS$3),--(IFERROR(YEAR(入力データ!$K$5:$K$20),9999)&gt;=AS$3),入力データ!$M$5:$M$20)*12)</f>
        <v/>
      </c>
      <c r="AT23" s="352">
        <f>IF(AT$3="","",SUMPRODUCT(--ISERROR(SEARCH("終身",入力データ!$F$5:$F$20)),--(IFERROR(YEAR(入力データ!$J$5:$J$20),0)&lt;=AT$3),--(IFERROR(YEAR(入力データ!$K$5:$K$20),9999)&gt;=AT$3),入力データ!$M$5:$M$20)*12)</f>
        <v/>
      </c>
      <c r="AU23" s="352">
        <f>IF(AU$3="","",SUMPRODUCT(--ISERROR(SEARCH("終身",入力データ!$F$5:$F$20)),--(IFERROR(YEAR(入力データ!$J$5:$J$20),0)&lt;=AU$3),--(IFERROR(YEAR(入力データ!$K$5:$K$20),9999)&gt;=AU$3),入力データ!$M$5:$M$20)*12)</f>
        <v/>
      </c>
      <c r="AV23" s="352">
        <f>IF(AV$3="","",SUMPRODUCT(--ISERROR(SEARCH("終身",入力データ!$F$5:$F$20)),--(IFERROR(YEAR(入力データ!$J$5:$J$20),0)&lt;=AV$3),--(IFERROR(YEAR(入力データ!$K$5:$K$20),9999)&gt;=AV$3),入力データ!$M$5:$M$20)*12)</f>
        <v/>
      </c>
      <c r="AW23" s="352">
        <f>IF(AW$3="","",SUMPRODUCT(--ISERROR(SEARCH("終身",入力データ!$F$5:$F$20)),--(IFERROR(YEAR(入力データ!$J$5:$J$20),0)&lt;=AW$3),--(IFERROR(YEAR(入力データ!$K$5:$K$20),9999)&gt;=AW$3),入力データ!$M$5:$M$20)*12)</f>
        <v/>
      </c>
      <c r="AX23" s="352">
        <f>IF(AX$3="","",SUMPRODUCT(--ISERROR(SEARCH("終身",入力データ!$F$5:$F$20)),--(IFERROR(YEAR(入力データ!$J$5:$J$20),0)&lt;=AX$3),--(IFERROR(YEAR(入力データ!$K$5:$K$20),9999)&gt;=AX$3),入力データ!$M$5:$M$20)*12)</f>
        <v/>
      </c>
      <c r="AY23" s="352">
        <f>IF(AY$3="","",SUMPRODUCT(--ISERROR(SEARCH("終身",入力データ!$F$5:$F$20)),--(IFERROR(YEAR(入力データ!$J$5:$J$20),0)&lt;=AY$3),--(IFERROR(YEAR(入力データ!$K$5:$K$20),9999)&gt;=AY$3),入力データ!$M$5:$M$20)*12)</f>
        <v/>
      </c>
      <c r="AZ23" s="352">
        <f>IF(AZ$3="","",SUMPRODUCT(--ISERROR(SEARCH("終身",入力データ!$F$5:$F$20)),--(IFERROR(YEAR(入力データ!$J$5:$J$20),0)&lt;=AZ$3),--(IFERROR(YEAR(入力データ!$K$5:$K$20),9999)&gt;=AZ$3),入力データ!$M$5:$M$20)*12)</f>
        <v/>
      </c>
      <c r="BA23" s="352">
        <f>IF(BA$3="","",SUMPRODUCT(--ISERROR(SEARCH("終身",入力データ!$F$5:$F$20)),--(IFERROR(YEAR(入力データ!$J$5:$J$20),0)&lt;=BA$3),--(IFERROR(YEAR(入力データ!$K$5:$K$20),9999)&gt;=BA$3),入力データ!$M$5:$M$20)*12)</f>
        <v/>
      </c>
      <c r="BB23" s="352">
        <f>IF(BB$3="","",SUMPRODUCT(--ISERROR(SEARCH("終身",入力データ!$F$5:$F$20)),--(IFERROR(YEAR(入力データ!$J$5:$J$20),0)&lt;=BB$3),--(IFERROR(YEAR(入力データ!$K$5:$K$20),9999)&gt;=BB$3),入力データ!$M$5:$M$20)*12)</f>
        <v/>
      </c>
      <c r="BC23" s="352">
        <f>IF(BC$3="","",SUMPRODUCT(--ISERROR(SEARCH("終身",入力データ!$F$5:$F$20)),--(IFERROR(YEAR(入力データ!$J$5:$J$20),0)&lt;=BC$3),--(IFERROR(YEAR(入力データ!$K$5:$K$20),9999)&gt;=BC$3),入力データ!$M$5:$M$20)*12)</f>
        <v/>
      </c>
      <c r="BD23" s="352">
        <f>IF(BD$3="","",SUMPRODUCT(--ISERROR(SEARCH("終身",入力データ!$F$5:$F$20)),--(IFERROR(YEAR(入力データ!$J$5:$J$20),0)&lt;=BD$3),--(IFERROR(YEAR(入力データ!$K$5:$K$20),9999)&gt;=BD$3),入力データ!$M$5:$M$20)*12)</f>
        <v/>
      </c>
      <c r="BE23" s="352">
        <f>IF(BE$3="","",SUMPRODUCT(--ISERROR(SEARCH("終身",入力データ!$F$5:$F$20)),--(IFERROR(YEAR(入力データ!$J$5:$J$20),0)&lt;=BE$3),--(IFERROR(YEAR(入力データ!$K$5:$K$20),9999)&gt;=BE$3),入力データ!$M$5:$M$20)*12)</f>
        <v/>
      </c>
      <c r="BF23" s="352">
        <f>IF(BF$3="","",SUMPRODUCT(--ISERROR(SEARCH("終身",入力データ!$F$5:$F$20)),--(IFERROR(YEAR(入力データ!$J$5:$J$20),0)&lt;=BF$3),--(IFERROR(YEAR(入力データ!$K$5:$K$20),9999)&gt;=BF$3),入力データ!$M$5:$M$20)*12)</f>
        <v/>
      </c>
      <c r="BG23" s="352">
        <f>IF(BG$3="","",SUMPRODUCT(--ISERROR(SEARCH("終身",入力データ!$F$5:$F$20)),--(IFERROR(YEAR(入力データ!$J$5:$J$20),0)&lt;=BG$3),--(IFERROR(YEAR(入力データ!$K$5:$K$20),9999)&gt;=BG$3),入力データ!$M$5:$M$20)*12)</f>
        <v/>
      </c>
      <c r="BH23" s="352">
        <f>IF(BH$3="","",SUMPRODUCT(--ISERROR(SEARCH("終身",入力データ!$F$5:$F$20)),--(IFERROR(YEAR(入力データ!$J$5:$J$20),0)&lt;=BH$3),--(IFERROR(YEAR(入力データ!$K$5:$K$20),9999)&gt;=BH$3),入力データ!$M$5:$M$20)*12)</f>
        <v/>
      </c>
      <c r="BI23" s="352">
        <f>IF(BI$3="","",SUMPRODUCT(--ISERROR(SEARCH("終身",入力データ!$F$5:$F$20)),--(IFERROR(YEAR(入力データ!$J$5:$J$20),0)&lt;=BI$3),--(IFERROR(YEAR(入力データ!$K$5:$K$20),9999)&gt;=BI$3),入力データ!$M$5:$M$20)*12)</f>
        <v/>
      </c>
      <c r="BJ23" s="352">
        <f>IF(BJ$3="","",SUMPRODUCT(--ISERROR(SEARCH("終身",入力データ!$F$5:$F$20)),--(IFERROR(YEAR(入力データ!$J$5:$J$20),0)&lt;=BJ$3),--(IFERROR(YEAR(入力データ!$K$5:$K$20),9999)&gt;=BJ$3),入力データ!$M$5:$M$20)*12)</f>
        <v/>
      </c>
      <c r="BK23" s="352">
        <f>IF(BK$3="","",SUMPRODUCT(--ISERROR(SEARCH("終身",入力データ!$F$5:$F$20)),--(IFERROR(YEAR(入力データ!$J$5:$J$20),0)&lt;=BK$3),--(IFERROR(YEAR(入力データ!$K$5:$K$20),9999)&gt;=BK$3),入力データ!$M$5:$M$20)*12)</f>
        <v/>
      </c>
      <c r="BL23" s="352">
        <f>IF(BL$3="","",SUMPRODUCT(--ISERROR(SEARCH("終身",入力データ!$F$5:$F$20)),--(IFERROR(YEAR(入力データ!$J$5:$J$20),0)&lt;=BL$3),--(IFERROR(YEAR(入力データ!$K$5:$K$20),9999)&gt;=BL$3),入力データ!$M$5:$M$20)*12)</f>
        <v/>
      </c>
      <c r="BM23" s="352">
        <f>IF(BM$3="","",SUMPRODUCT(--ISERROR(SEARCH("終身",入力データ!$F$5:$F$20)),--(IFERROR(YEAR(入力データ!$J$5:$J$20),0)&lt;=BM$3),--(IFERROR(YEAR(入力データ!$K$5:$K$20),9999)&gt;=BM$3),入力データ!$M$5:$M$20)*12)</f>
        <v/>
      </c>
      <c r="BN23" s="352">
        <f>IF(BN$3="","",SUMPRODUCT(--ISERROR(SEARCH("終身",入力データ!$F$5:$F$20)),--(IFERROR(YEAR(入力データ!$J$5:$J$20),0)&lt;=BN$3),--(IFERROR(YEAR(入力データ!$K$5:$K$20),9999)&gt;=BN$3),入力データ!$M$5:$M$20)*12)</f>
        <v/>
      </c>
      <c r="BO23" s="352">
        <f>IF(BO$3="","",SUMPRODUCT(--ISERROR(SEARCH("終身",入力データ!$F$5:$F$20)),--(IFERROR(YEAR(入力データ!$J$5:$J$20),0)&lt;=BO$3),--(IFERROR(YEAR(入力データ!$K$5:$K$20),9999)&gt;=BO$3),入力データ!$M$5:$M$20)*12)</f>
        <v/>
      </c>
      <c r="BP23" s="352">
        <f>IF(BP$3="","",SUMPRODUCT(--ISERROR(SEARCH("終身",入力データ!$F$5:$F$20)),--(IFERROR(YEAR(入力データ!$J$5:$J$20),0)&lt;=BP$3),--(IFERROR(YEAR(入力データ!$K$5:$K$20),9999)&gt;=BP$3),入力データ!$M$5:$M$20)*12)</f>
        <v/>
      </c>
      <c r="BQ23" s="352">
        <f>IF(BQ$3="","",SUMPRODUCT(--ISERROR(SEARCH("終身",入力データ!$F$5:$F$20)),--(IFERROR(YEAR(入力データ!$J$5:$J$20),0)&lt;=BQ$3),--(IFERROR(YEAR(入力データ!$K$5:$K$20),9999)&gt;=BQ$3),入力データ!$M$5:$M$20)*12)</f>
        <v/>
      </c>
      <c r="BR23" s="352">
        <f>IF(BR$3="","",SUMPRODUCT(--ISERROR(SEARCH("終身",入力データ!$F$5:$F$20)),--(IFERROR(YEAR(入力データ!$J$5:$J$20),0)&lt;=BR$3),--(IFERROR(YEAR(入力データ!$K$5:$K$20),9999)&gt;=BR$3),入力データ!$M$5:$M$20)*12)</f>
        <v/>
      </c>
      <c r="BS23" s="352">
        <f>IF(BS$3="","",SUMPRODUCT(--ISERROR(SEARCH("終身",入力データ!$F$5:$F$20)),--(IFERROR(YEAR(入力データ!$J$5:$J$20),0)&lt;=BS$3),--(IFERROR(YEAR(入力データ!$K$5:$K$20),9999)&gt;=BS$3),入力データ!$M$5:$M$20)*12)</f>
        <v/>
      </c>
      <c r="BT23" s="352">
        <f>IF(BT$3="","",SUMPRODUCT(--ISERROR(SEARCH("終身",入力データ!$F$5:$F$20)),--(IFERROR(YEAR(入力データ!$J$5:$J$20),0)&lt;=BT$3),--(IFERROR(YEAR(入力データ!$K$5:$K$20),9999)&gt;=BT$3),入力データ!$M$5:$M$20)*12)</f>
        <v/>
      </c>
      <c r="BU23" s="352">
        <f>IF(BU$3="","",SUMPRODUCT(--ISERROR(SEARCH("終身",入力データ!$F$5:$F$20)),--(IFERROR(YEAR(入力データ!$J$5:$J$20),0)&lt;=BU$3),--(IFERROR(YEAR(入力データ!$K$5:$K$20),9999)&gt;=BU$3),入力データ!$M$5:$M$20)*12)</f>
        <v/>
      </c>
      <c r="BV23" s="352">
        <f>IF(BV$3="","",SUMPRODUCT(--ISERROR(SEARCH("終身",入力データ!$F$5:$F$20)),--(IFERROR(YEAR(入力データ!$J$5:$J$20),0)&lt;=BV$3),--(IFERROR(YEAR(入力データ!$K$5:$K$20),9999)&gt;=BV$3),入力データ!$M$5:$M$20)*12)</f>
        <v/>
      </c>
      <c r="BW23" s="352">
        <f>IF(BW$3="","",SUMPRODUCT(--ISERROR(SEARCH("終身",入力データ!$F$5:$F$20)),--(IFERROR(YEAR(入力データ!$J$5:$J$20),0)&lt;=BW$3),--(IFERROR(YEAR(入力データ!$K$5:$K$20),9999)&gt;=BW$3),入力データ!$M$5:$M$20)*12)</f>
        <v/>
      </c>
      <c r="BX23" s="352">
        <f>IF(BX$3="","",SUMPRODUCT(--ISERROR(SEARCH("終身",入力データ!$F$5:$F$20)),--(IFERROR(YEAR(入力データ!$J$5:$J$20),0)&lt;=BX$3),--(IFERROR(YEAR(入力データ!$K$5:$K$20),9999)&gt;=BX$3),入力データ!$M$5:$M$20)*12)</f>
        <v/>
      </c>
      <c r="BY23" s="352">
        <f>IF(BY$3="","",SUMPRODUCT(--ISERROR(SEARCH("終身",入力データ!$F$5:$F$20)),--(IFERROR(YEAR(入力データ!$J$5:$J$20),0)&lt;=BY$3),--(IFERROR(YEAR(入力データ!$K$5:$K$20),9999)&gt;=BY$3),入力データ!$M$5:$M$20)*12)</f>
        <v/>
      </c>
      <c r="BZ23" s="352">
        <f>IF(BZ$3="","",SUMPRODUCT(--ISERROR(SEARCH("終身",入力データ!$F$5:$F$20)),--(IFERROR(YEAR(入力データ!$J$5:$J$20),0)&lt;=BZ$3),--(IFERROR(YEAR(入力データ!$K$5:$K$20),9999)&gt;=BZ$3),入力データ!$M$5:$M$20)*12)</f>
        <v/>
      </c>
      <c r="CA23" s="352">
        <f>IF(CA$3="","",SUMPRODUCT(--ISERROR(SEARCH("終身",入力データ!$F$5:$F$20)),--(IFERROR(YEAR(入力データ!$J$5:$J$20),0)&lt;=CA$3),--(IFERROR(YEAR(入力データ!$K$5:$K$20),9999)&gt;=CA$3),入力データ!$M$5:$M$20)*12)</f>
        <v/>
      </c>
      <c r="CB23" s="352">
        <f>IF(CB$3="","",SUMPRODUCT(--ISERROR(SEARCH("終身",入力データ!$F$5:$F$20)),--(IFERROR(YEAR(入力データ!$J$5:$J$20),0)&lt;=CB$3),--(IFERROR(YEAR(入力データ!$K$5:$K$20),9999)&gt;=CB$3),入力データ!$M$5:$M$20)*12)</f>
        <v/>
      </c>
      <c r="CC23" s="352">
        <f>IF(CC$3="","",SUMPRODUCT(--ISERROR(SEARCH("終身",入力データ!$F$5:$F$20)),--(IFERROR(YEAR(入力データ!$J$5:$J$20),0)&lt;=CC$3),--(IFERROR(YEAR(入力データ!$K$5:$K$20),9999)&gt;=CC$3),入力データ!$M$5:$M$20)*12)</f>
        <v/>
      </c>
      <c r="CD23" s="352">
        <f>IF(CD$3="","",SUMPRODUCT(--ISERROR(SEARCH("終身",入力データ!$F$5:$F$20)),--(IFERROR(YEAR(入力データ!$J$5:$J$20),0)&lt;=CD$3),--(IFERROR(YEAR(入力データ!$K$5:$K$20),9999)&gt;=CD$3),入力データ!$M$5:$M$20)*12)</f>
        <v/>
      </c>
      <c r="CE23" s="352">
        <f>IF(CE$3="","",SUMPRODUCT(--ISERROR(SEARCH("終身",入力データ!$F$5:$F$20)),--(IFERROR(YEAR(入力データ!$J$5:$J$20),0)&lt;=CE$3),--(IFERROR(YEAR(入力データ!$K$5:$K$20),9999)&gt;=CE$3),入力データ!$M$5:$M$20)*12)</f>
        <v/>
      </c>
      <c r="CF23" s="352">
        <f>IF(CF$3="","",SUMPRODUCT(--ISERROR(SEARCH("終身",入力データ!$F$5:$F$20)),--(IFERROR(YEAR(入力データ!$J$5:$J$20),0)&lt;=CF$3),--(IFERROR(YEAR(入力データ!$K$5:$K$20),9999)&gt;=CF$3),入力データ!$M$5:$M$20)*12)</f>
        <v/>
      </c>
      <c r="CG23" s="352">
        <f>IF(CG$3="","",SUMPRODUCT(--ISERROR(SEARCH("終身",入力データ!$F$5:$F$20)),--(IFERROR(YEAR(入力データ!$J$5:$J$20),0)&lt;=CG$3),--(IFERROR(YEAR(入力データ!$K$5:$K$20),9999)&gt;=CG$3),入力データ!$M$5:$M$20)*12)</f>
        <v/>
      </c>
      <c r="CH23" s="352">
        <f>IF(CH$3="","",SUMPRODUCT(--ISERROR(SEARCH("終身",入力データ!$F$5:$F$20)),--(IFERROR(YEAR(入力データ!$J$5:$J$20),0)&lt;=CH$3),--(IFERROR(YEAR(入力データ!$K$5:$K$20),9999)&gt;=CH$3),入力データ!$M$5:$M$20)*12)</f>
        <v/>
      </c>
      <c r="CI23" s="352">
        <f>IF(CI$3="","",SUMPRODUCT(--ISERROR(SEARCH("終身",入力データ!$F$5:$F$20)),--(IFERROR(YEAR(入力データ!$J$5:$J$20),0)&lt;=CI$3),--(IFERROR(YEAR(入力データ!$K$5:$K$20),9999)&gt;=CI$3),入力データ!$M$5:$M$20)*12)</f>
        <v/>
      </c>
      <c r="CJ23" s="352">
        <f>IF(CJ$3="","",SUMPRODUCT(--ISERROR(SEARCH("終身",入力データ!$F$5:$F$20)),--(IFERROR(YEAR(入力データ!$J$5:$J$20),0)&lt;=CJ$3),--(IFERROR(YEAR(入力データ!$K$5:$K$20),9999)&gt;=CJ$3),入力データ!$M$5:$M$20)*12)</f>
        <v/>
      </c>
      <c r="CK23" s="352">
        <f>IF(CK$3="","",SUMPRODUCT(--ISERROR(SEARCH("終身",入力データ!$F$5:$F$20)),--(IFERROR(YEAR(入力データ!$J$5:$J$20),0)&lt;=CK$3),--(IFERROR(YEAR(入力データ!$K$5:$K$20),9999)&gt;=CK$3),入力データ!$M$5:$M$20)*12)</f>
        <v/>
      </c>
      <c r="CL23" s="352">
        <f>IF(CL$3="","",SUMPRODUCT(--ISERROR(SEARCH("終身",入力データ!$F$5:$F$20)),--(IFERROR(YEAR(入力データ!$J$5:$J$20),0)&lt;=CL$3),--(IFERROR(YEAR(入力データ!$K$5:$K$20),9999)&gt;=CL$3),入力データ!$M$5:$M$20)*12)</f>
        <v/>
      </c>
      <c r="CM23" s="352">
        <f>IF(CM$3="","",SUMPRODUCT(--ISERROR(SEARCH("終身",入力データ!$F$5:$F$20)),--(IFERROR(YEAR(入力データ!$J$5:$J$20),0)&lt;=CM$3),--(IFERROR(YEAR(入力データ!$K$5:$K$20),9999)&gt;=CM$3),入力データ!$M$5:$M$20)*12)</f>
        <v/>
      </c>
      <c r="CN23" s="352">
        <f>IF(CN$3="","",SUMPRODUCT(--ISERROR(SEARCH("終身",入力データ!$F$5:$F$20)),--(IFERROR(YEAR(入力データ!$J$5:$J$20),0)&lt;=CN$3),--(IFERROR(YEAR(入力データ!$K$5:$K$20),9999)&gt;=CN$3),入力データ!$M$5:$M$20)*12)</f>
        <v/>
      </c>
      <c r="CO23" s="352">
        <f>IF(CO$3="","",SUMPRODUCT(--ISERROR(SEARCH("終身",入力データ!$F$5:$F$20)),--(IFERROR(YEAR(入力データ!$J$5:$J$20),0)&lt;=CO$3),--(IFERROR(YEAR(入力データ!$K$5:$K$20),9999)&gt;=CO$3),入力データ!$M$5:$M$20)*12)</f>
        <v/>
      </c>
      <c r="CP23" s="352">
        <f>IF(CP$3="","",SUMPRODUCT(--ISERROR(SEARCH("終身",入力データ!$F$5:$F$20)),--(IFERROR(YEAR(入力データ!$J$5:$J$20),0)&lt;=CP$3),--(IFERROR(YEAR(入力データ!$K$5:$K$20),9999)&gt;=CP$3),入力データ!$M$5:$M$20)*12)</f>
        <v/>
      </c>
      <c r="CQ23" s="352">
        <f>IF(CQ$3="","",SUMPRODUCT(--ISERROR(SEARCH("終身",入力データ!$F$5:$F$20)),--(IFERROR(YEAR(入力データ!$J$5:$J$20),0)&lt;=CQ$3),--(IFERROR(YEAR(入力データ!$K$5:$K$20),9999)&gt;=CQ$3),入力データ!$M$5:$M$20)*12)</f>
        <v/>
      </c>
      <c r="CR23" s="352">
        <f>IF(CR$3="","",SUMPRODUCT(--ISERROR(SEARCH("終身",入力データ!$F$5:$F$20)),--(IFERROR(YEAR(入力データ!$J$5:$J$20),0)&lt;=CR$3),--(IFERROR(YEAR(入力データ!$K$5:$K$20),9999)&gt;=CR$3),入力データ!$M$5:$M$20)*12)</f>
        <v/>
      </c>
      <c r="CS23" s="352">
        <f>IF(CS$3="","",SUMPRODUCT(--ISERROR(SEARCH("終身",入力データ!$F$5:$F$20)),--(IFERROR(YEAR(入力データ!$J$5:$J$20),0)&lt;=CS$3),--(IFERROR(YEAR(入力データ!$K$5:$K$20),9999)&gt;=CS$3),入力データ!$M$5:$M$20)*12)</f>
        <v/>
      </c>
      <c r="CT23" s="352">
        <f>IF(CT$3="","",SUMPRODUCT(--ISERROR(SEARCH("終身",入力データ!$F$5:$F$20)),--(IFERROR(YEAR(入力データ!$J$5:$J$20),0)&lt;=CT$3),--(IFERROR(YEAR(入力データ!$K$5:$K$20),9999)&gt;=CT$3),入力データ!$M$5:$M$20)*12)</f>
        <v/>
      </c>
      <c r="CU23" s="352">
        <f>IF(CU$3="","",SUMPRODUCT(--ISERROR(SEARCH("終身",入力データ!$F$5:$F$20)),--(IFERROR(YEAR(入力データ!$J$5:$J$20),0)&lt;=CU$3),--(IFERROR(YEAR(入力データ!$K$5:$K$20),9999)&gt;=CU$3),入力データ!$M$5:$M$20)*12)</f>
        <v/>
      </c>
      <c r="CV23" s="352">
        <f>IF(CV$3="","",SUMPRODUCT(--ISERROR(SEARCH("終身",入力データ!$F$5:$F$20)),--(IFERROR(YEAR(入力データ!$J$5:$J$20),0)&lt;=CV$3),--(IFERROR(YEAR(入力データ!$K$5:$K$20),9999)&gt;=CV$3),入力データ!$M$5:$M$20)*12)</f>
        <v/>
      </c>
      <c r="CW23" s="352">
        <f>IF(CW$3="","",SUMPRODUCT(--ISERROR(SEARCH("終身",入力データ!$F$5:$F$20)),--(IFERROR(YEAR(入力データ!$J$5:$J$20),0)&lt;=CW$3),--(IFERROR(YEAR(入力データ!$K$5:$K$20),9999)&gt;=CW$3),入力データ!$M$5:$M$20)*12)</f>
        <v/>
      </c>
    </row>
    <row r="24" ht="15" customHeight="1" s="180">
      <c r="A24" s="224" t="inlineStr">
        <is>
          <t>教育費</t>
        </is>
      </c>
      <c r="B24" s="352">
        <f>IF(B$3="","",IF(入力データ!$C$17&lt;=0,0,IF(B$3="","",((SUM(入力データ!$C$58:$C$61)*12)+IF(B6="",0,IF(B6&lt;=5,IF(入力データ!$G$25="私立",前提条件!$C$22,前提条件!$C$21),IF(B6&lt;=11,IF(入力データ!$H$25="私立",前提条件!$C$24,前提条件!$C$23),IF(B6&lt;=14,IF(入力データ!$I$25="私立",前提条件!$C$26,前提条件!$C$25),IF(B6&lt;=17,IF(入力データ!$J$25="私立",前提条件!$C$28,前提条件!$C$27),IF(B6&lt;=21,IF(入力データ!$K$25="国公立",前提条件!$C$29,IF(入力データ!$K$25="私立理系",前提条件!$C$31,前提条件!$C$30))+IF(入力データ!$L$25="下宿",前提条件!$C$32,0)+IF(B6=18,前提条件!$C$33,0),0))))))+IF(B7="",0,IF(B7&lt;=5,IF(入力データ!$G$26="私立",前提条件!$C$22,前提条件!$C$21),IF(B7&lt;=11,IF(入力データ!$H$26="私立",前提条件!$C$24,前提条件!$C$23),IF(B7&lt;=14,IF(入力データ!$I$26="私立",前提条件!$C$26,前提条件!$C$25),IF(B7&lt;=17,IF(入力データ!$J$26="私立",前提条件!$C$28,前提条件!$C$27),IF(B7&lt;=21,IF(入力データ!$K$26="国公立",前提条件!$C$29,IF(入力データ!$K$26="私立理系",前提条件!$C$31,前提条件!$C$30))+IF(入力データ!$L$26="下宿",前提条件!$C$32,0)+IF(B7=18,前提条件!$C$33,0),0))))))+IF(B8="",0,IF(B8&lt;=5,IF(入力データ!$G$27="私立",前提条件!$C$22,前提条件!$C$21),IF(B8&lt;=11,IF(入力データ!$H$27="私立",前提条件!$C$24,前提条件!$C$23),IF(B8&lt;=14,IF(入力データ!$I$27="私立",前提条件!$C$26,前提条件!$C$25),IF(B8&lt;=17,IF(入力データ!$J$27="私立",前提条件!$C$28,前提条件!$C$27),IF(B8&lt;=21,IF(入力データ!$K$27="国公立",前提条件!$C$29,IF(入力データ!$K$27="私立理系",前提条件!$C$31,前提条件!$C$30))+IF(入力データ!$L$27="下宿",前提条件!$C$32,0)+IF(B8=18,前提条件!$C$33,0),0)))))))*(1+前提条件!$C$13)^(B$3-$B$3))))</f>
        <v/>
      </c>
      <c r="C24" s="352">
        <f>IF(C$3="","",IF(入力データ!$C$17&lt;=0,0,IF(C$3="","",((SUM(入力データ!$C$58:$C$61)*12)+IF(C6="",0,IF(C6&lt;=5,IF(入力データ!$G$25="私立",前提条件!$C$22,前提条件!$C$21),IF(C6&lt;=11,IF(入力データ!$H$25="私立",前提条件!$C$24,前提条件!$C$23),IF(C6&lt;=14,IF(入力データ!$I$25="私立",前提条件!$C$26,前提条件!$C$25),IF(C6&lt;=17,IF(入力データ!$J$25="私立",前提条件!$C$28,前提条件!$C$27),IF(C6&lt;=21,IF(入力データ!$K$25="国公立",前提条件!$C$29,IF(入力データ!$K$25="私立理系",前提条件!$C$31,前提条件!$C$30))+IF(入力データ!$L$25="下宿",前提条件!$C$32,0)+IF(C6=18,前提条件!$C$33,0),0))))))+IF(C7="",0,IF(C7&lt;=5,IF(入力データ!$G$26="私立",前提条件!$C$22,前提条件!$C$21),IF(C7&lt;=11,IF(入力データ!$H$26="私立",前提条件!$C$24,前提条件!$C$23),IF(C7&lt;=14,IF(入力データ!$I$26="私立",前提条件!$C$26,前提条件!$C$25),IF(C7&lt;=17,IF(入力データ!$J$26="私立",前提条件!$C$28,前提条件!$C$27),IF(C7&lt;=21,IF(入力データ!$K$26="国公立",前提条件!$C$29,IF(入力データ!$K$26="私立理系",前提条件!$C$31,前提条件!$C$30))+IF(入力データ!$L$26="下宿",前提条件!$C$32,0)+IF(C7=18,前提条件!$C$33,0),0))))))+IF(C8="",0,IF(C8&lt;=5,IF(入力データ!$G$27="私立",前提条件!$C$22,前提条件!$C$21),IF(C8&lt;=11,IF(入力データ!$H$27="私立",前提条件!$C$24,前提条件!$C$23),IF(C8&lt;=14,IF(入力データ!$I$27="私立",前提条件!$C$26,前提条件!$C$25),IF(C8&lt;=17,IF(入力データ!$J$27="私立",前提条件!$C$28,前提条件!$C$27),IF(C8&lt;=21,IF(入力データ!$K$27="国公立",前提条件!$C$29,IF(入力データ!$K$27="私立理系",前提条件!$C$31,前提条件!$C$30))+IF(入力データ!$L$27="下宿",前提条件!$C$32,0)+IF(C8=18,前提条件!$C$33,0),0)))))))*(1+前提条件!$C$13)^(C$3-$B$3))))</f>
        <v/>
      </c>
      <c r="D24" s="352">
        <f>IF(D$3="","",IF(入力データ!$C$17&lt;=0,0,IF(D$3="","",((SUM(入力データ!$C$58:$C$61)*12)+IF(D6="",0,IF(D6&lt;=5,IF(入力データ!$G$25="私立",前提条件!$C$22,前提条件!$C$21),IF(D6&lt;=11,IF(入力データ!$H$25="私立",前提条件!$C$24,前提条件!$C$23),IF(D6&lt;=14,IF(入力データ!$I$25="私立",前提条件!$C$26,前提条件!$C$25),IF(D6&lt;=17,IF(入力データ!$J$25="私立",前提条件!$C$28,前提条件!$C$27),IF(D6&lt;=21,IF(入力データ!$K$25="国公立",前提条件!$C$29,IF(入力データ!$K$25="私立理系",前提条件!$C$31,前提条件!$C$30))+IF(入力データ!$L$25="下宿",前提条件!$C$32,0)+IF(D6=18,前提条件!$C$33,0),0))))))+IF(D7="",0,IF(D7&lt;=5,IF(入力データ!$G$26="私立",前提条件!$C$22,前提条件!$C$21),IF(D7&lt;=11,IF(入力データ!$H$26="私立",前提条件!$C$24,前提条件!$C$23),IF(D7&lt;=14,IF(入力データ!$I$26="私立",前提条件!$C$26,前提条件!$C$25),IF(D7&lt;=17,IF(入力データ!$J$26="私立",前提条件!$C$28,前提条件!$C$27),IF(D7&lt;=21,IF(入力データ!$K$26="国公立",前提条件!$C$29,IF(入力データ!$K$26="私立理系",前提条件!$C$31,前提条件!$C$30))+IF(入力データ!$L$26="下宿",前提条件!$C$32,0)+IF(D7=18,前提条件!$C$33,0),0))))))+IF(D8="",0,IF(D8&lt;=5,IF(入力データ!$G$27="私立",前提条件!$C$22,前提条件!$C$21),IF(D8&lt;=11,IF(入力データ!$H$27="私立",前提条件!$C$24,前提条件!$C$23),IF(D8&lt;=14,IF(入力データ!$I$27="私立",前提条件!$C$26,前提条件!$C$25),IF(D8&lt;=17,IF(入力データ!$J$27="私立",前提条件!$C$28,前提条件!$C$27),IF(D8&lt;=21,IF(入力データ!$K$27="国公立",前提条件!$C$29,IF(入力データ!$K$27="私立理系",前提条件!$C$31,前提条件!$C$30))+IF(入力データ!$L$27="下宿",前提条件!$C$32,0)+IF(D8=18,前提条件!$C$33,0),0)))))))*(1+前提条件!$C$13)^(D$3-$B$3))))</f>
        <v/>
      </c>
      <c r="E24" s="352">
        <f>IF(E$3="","",IF(入力データ!$C$17&lt;=0,0,IF(E$3="","",((SUM(入力データ!$C$58:$C$61)*12)+IF(E6="",0,IF(E6&lt;=5,IF(入力データ!$G$25="私立",前提条件!$C$22,前提条件!$C$21),IF(E6&lt;=11,IF(入力データ!$H$25="私立",前提条件!$C$24,前提条件!$C$23),IF(E6&lt;=14,IF(入力データ!$I$25="私立",前提条件!$C$26,前提条件!$C$25),IF(E6&lt;=17,IF(入力データ!$J$25="私立",前提条件!$C$28,前提条件!$C$27),IF(E6&lt;=21,IF(入力データ!$K$25="国公立",前提条件!$C$29,IF(入力データ!$K$25="私立理系",前提条件!$C$31,前提条件!$C$30))+IF(入力データ!$L$25="下宿",前提条件!$C$32,0)+IF(E6=18,前提条件!$C$33,0),0))))))+IF(E7="",0,IF(E7&lt;=5,IF(入力データ!$G$26="私立",前提条件!$C$22,前提条件!$C$21),IF(E7&lt;=11,IF(入力データ!$H$26="私立",前提条件!$C$24,前提条件!$C$23),IF(E7&lt;=14,IF(入力データ!$I$26="私立",前提条件!$C$26,前提条件!$C$25),IF(E7&lt;=17,IF(入力データ!$J$26="私立",前提条件!$C$28,前提条件!$C$27),IF(E7&lt;=21,IF(入力データ!$K$26="国公立",前提条件!$C$29,IF(入力データ!$K$26="私立理系",前提条件!$C$31,前提条件!$C$30))+IF(入力データ!$L$26="下宿",前提条件!$C$32,0)+IF(E7=18,前提条件!$C$33,0),0))))))+IF(E8="",0,IF(E8&lt;=5,IF(入力データ!$G$27="私立",前提条件!$C$22,前提条件!$C$21),IF(E8&lt;=11,IF(入力データ!$H$27="私立",前提条件!$C$24,前提条件!$C$23),IF(E8&lt;=14,IF(入力データ!$I$27="私立",前提条件!$C$26,前提条件!$C$25),IF(E8&lt;=17,IF(入力データ!$J$27="私立",前提条件!$C$28,前提条件!$C$27),IF(E8&lt;=21,IF(入力データ!$K$27="国公立",前提条件!$C$29,IF(入力データ!$K$27="私立理系",前提条件!$C$31,前提条件!$C$30))+IF(入力データ!$L$27="下宿",前提条件!$C$32,0)+IF(E8=18,前提条件!$C$33,0),0)))))))*(1+前提条件!$C$13)^(E$3-$B$3))))</f>
        <v/>
      </c>
      <c r="F24" s="352">
        <f>IF(F$3="","",IF(入力データ!$C$17&lt;=0,0,IF(F$3="","",((SUM(入力データ!$C$58:$C$61)*12)+IF(F6="",0,IF(F6&lt;=5,IF(入力データ!$G$25="私立",前提条件!$C$22,前提条件!$C$21),IF(F6&lt;=11,IF(入力データ!$H$25="私立",前提条件!$C$24,前提条件!$C$23),IF(F6&lt;=14,IF(入力データ!$I$25="私立",前提条件!$C$26,前提条件!$C$25),IF(F6&lt;=17,IF(入力データ!$J$25="私立",前提条件!$C$28,前提条件!$C$27),IF(F6&lt;=21,IF(入力データ!$K$25="国公立",前提条件!$C$29,IF(入力データ!$K$25="私立理系",前提条件!$C$31,前提条件!$C$30))+IF(入力データ!$L$25="下宿",前提条件!$C$32,0)+IF(F6=18,前提条件!$C$33,0),0))))))+IF(F7="",0,IF(F7&lt;=5,IF(入力データ!$G$26="私立",前提条件!$C$22,前提条件!$C$21),IF(F7&lt;=11,IF(入力データ!$H$26="私立",前提条件!$C$24,前提条件!$C$23),IF(F7&lt;=14,IF(入力データ!$I$26="私立",前提条件!$C$26,前提条件!$C$25),IF(F7&lt;=17,IF(入力データ!$J$26="私立",前提条件!$C$28,前提条件!$C$27),IF(F7&lt;=21,IF(入力データ!$K$26="国公立",前提条件!$C$29,IF(入力データ!$K$26="私立理系",前提条件!$C$31,前提条件!$C$30))+IF(入力データ!$L$26="下宿",前提条件!$C$32,0)+IF(F7=18,前提条件!$C$33,0),0))))))+IF(F8="",0,IF(F8&lt;=5,IF(入力データ!$G$27="私立",前提条件!$C$22,前提条件!$C$21),IF(F8&lt;=11,IF(入力データ!$H$27="私立",前提条件!$C$24,前提条件!$C$23),IF(F8&lt;=14,IF(入力データ!$I$27="私立",前提条件!$C$26,前提条件!$C$25),IF(F8&lt;=17,IF(入力データ!$J$27="私立",前提条件!$C$28,前提条件!$C$27),IF(F8&lt;=21,IF(入力データ!$K$27="国公立",前提条件!$C$29,IF(入力データ!$K$27="私立理系",前提条件!$C$31,前提条件!$C$30))+IF(入力データ!$L$27="下宿",前提条件!$C$32,0)+IF(F8=18,前提条件!$C$33,0),0)))))))*(1+前提条件!$C$13)^(F$3-$B$3))))</f>
        <v/>
      </c>
      <c r="G24" s="352">
        <f>IF(G$3="","",IF(入力データ!$C$17&lt;=0,0,IF(G$3="","",((SUM(入力データ!$C$58:$C$61)*12)+IF(G6="",0,IF(G6&lt;=5,IF(入力データ!$G$25="私立",前提条件!$C$22,前提条件!$C$21),IF(G6&lt;=11,IF(入力データ!$H$25="私立",前提条件!$C$24,前提条件!$C$23),IF(G6&lt;=14,IF(入力データ!$I$25="私立",前提条件!$C$26,前提条件!$C$25),IF(G6&lt;=17,IF(入力データ!$J$25="私立",前提条件!$C$28,前提条件!$C$27),IF(G6&lt;=21,IF(入力データ!$K$25="国公立",前提条件!$C$29,IF(入力データ!$K$25="私立理系",前提条件!$C$31,前提条件!$C$30))+IF(入力データ!$L$25="下宿",前提条件!$C$32,0)+IF(G6=18,前提条件!$C$33,0),0))))))+IF(G7="",0,IF(G7&lt;=5,IF(入力データ!$G$26="私立",前提条件!$C$22,前提条件!$C$21),IF(G7&lt;=11,IF(入力データ!$H$26="私立",前提条件!$C$24,前提条件!$C$23),IF(G7&lt;=14,IF(入力データ!$I$26="私立",前提条件!$C$26,前提条件!$C$25),IF(G7&lt;=17,IF(入力データ!$J$26="私立",前提条件!$C$28,前提条件!$C$27),IF(G7&lt;=21,IF(入力データ!$K$26="国公立",前提条件!$C$29,IF(入力データ!$K$26="私立理系",前提条件!$C$31,前提条件!$C$30))+IF(入力データ!$L$26="下宿",前提条件!$C$32,0)+IF(G7=18,前提条件!$C$33,0),0))))))+IF(G8="",0,IF(G8&lt;=5,IF(入力データ!$G$27="私立",前提条件!$C$22,前提条件!$C$21),IF(G8&lt;=11,IF(入力データ!$H$27="私立",前提条件!$C$24,前提条件!$C$23),IF(G8&lt;=14,IF(入力データ!$I$27="私立",前提条件!$C$26,前提条件!$C$25),IF(G8&lt;=17,IF(入力データ!$J$27="私立",前提条件!$C$28,前提条件!$C$27),IF(G8&lt;=21,IF(入力データ!$K$27="国公立",前提条件!$C$29,IF(入力データ!$K$27="私立理系",前提条件!$C$31,前提条件!$C$30))+IF(入力データ!$L$27="下宿",前提条件!$C$32,0)+IF(G8=18,前提条件!$C$33,0),0)))))))*(1+前提条件!$C$13)^(G$3-$B$3))))</f>
        <v/>
      </c>
      <c r="H24" s="352">
        <f>IF(H$3="","",IF(入力データ!$C$17&lt;=0,0,IF(H$3="","",((SUM(入力データ!$C$58:$C$61)*12)+IF(H6="",0,IF(H6&lt;=5,IF(入力データ!$G$25="私立",前提条件!$C$22,前提条件!$C$21),IF(H6&lt;=11,IF(入力データ!$H$25="私立",前提条件!$C$24,前提条件!$C$23),IF(H6&lt;=14,IF(入力データ!$I$25="私立",前提条件!$C$26,前提条件!$C$25),IF(H6&lt;=17,IF(入力データ!$J$25="私立",前提条件!$C$28,前提条件!$C$27),IF(H6&lt;=21,IF(入力データ!$K$25="国公立",前提条件!$C$29,IF(入力データ!$K$25="私立理系",前提条件!$C$31,前提条件!$C$30))+IF(入力データ!$L$25="下宿",前提条件!$C$32,0)+IF(H6=18,前提条件!$C$33,0),0))))))+IF(H7="",0,IF(H7&lt;=5,IF(入力データ!$G$26="私立",前提条件!$C$22,前提条件!$C$21),IF(H7&lt;=11,IF(入力データ!$H$26="私立",前提条件!$C$24,前提条件!$C$23),IF(H7&lt;=14,IF(入力データ!$I$26="私立",前提条件!$C$26,前提条件!$C$25),IF(H7&lt;=17,IF(入力データ!$J$26="私立",前提条件!$C$28,前提条件!$C$27),IF(H7&lt;=21,IF(入力データ!$K$26="国公立",前提条件!$C$29,IF(入力データ!$K$26="私立理系",前提条件!$C$31,前提条件!$C$30))+IF(入力データ!$L$26="下宿",前提条件!$C$32,0)+IF(H7=18,前提条件!$C$33,0),0))))))+IF(H8="",0,IF(H8&lt;=5,IF(入力データ!$G$27="私立",前提条件!$C$22,前提条件!$C$21),IF(H8&lt;=11,IF(入力データ!$H$27="私立",前提条件!$C$24,前提条件!$C$23),IF(H8&lt;=14,IF(入力データ!$I$27="私立",前提条件!$C$26,前提条件!$C$25),IF(H8&lt;=17,IF(入力データ!$J$27="私立",前提条件!$C$28,前提条件!$C$27),IF(H8&lt;=21,IF(入力データ!$K$27="国公立",前提条件!$C$29,IF(入力データ!$K$27="私立理系",前提条件!$C$31,前提条件!$C$30))+IF(入力データ!$L$27="下宿",前提条件!$C$32,0)+IF(H8=18,前提条件!$C$33,0),0)))))))*(1+前提条件!$C$13)^(H$3-$B$3))))</f>
        <v/>
      </c>
      <c r="I24" s="352">
        <f>IF(I$3="","",IF(入力データ!$C$17&lt;=0,0,IF(I$3="","",((SUM(入力データ!$C$58:$C$61)*12)+IF(I6="",0,IF(I6&lt;=5,IF(入力データ!$G$25="私立",前提条件!$C$22,前提条件!$C$21),IF(I6&lt;=11,IF(入力データ!$H$25="私立",前提条件!$C$24,前提条件!$C$23),IF(I6&lt;=14,IF(入力データ!$I$25="私立",前提条件!$C$26,前提条件!$C$25),IF(I6&lt;=17,IF(入力データ!$J$25="私立",前提条件!$C$28,前提条件!$C$27),IF(I6&lt;=21,IF(入力データ!$K$25="国公立",前提条件!$C$29,IF(入力データ!$K$25="私立理系",前提条件!$C$31,前提条件!$C$30))+IF(入力データ!$L$25="下宿",前提条件!$C$32,0)+IF(I6=18,前提条件!$C$33,0),0))))))+IF(I7="",0,IF(I7&lt;=5,IF(入力データ!$G$26="私立",前提条件!$C$22,前提条件!$C$21),IF(I7&lt;=11,IF(入力データ!$H$26="私立",前提条件!$C$24,前提条件!$C$23),IF(I7&lt;=14,IF(入力データ!$I$26="私立",前提条件!$C$26,前提条件!$C$25),IF(I7&lt;=17,IF(入力データ!$J$26="私立",前提条件!$C$28,前提条件!$C$27),IF(I7&lt;=21,IF(入力データ!$K$26="国公立",前提条件!$C$29,IF(入力データ!$K$26="私立理系",前提条件!$C$31,前提条件!$C$30))+IF(入力データ!$L$26="下宿",前提条件!$C$32,0)+IF(I7=18,前提条件!$C$33,0),0))))))+IF(I8="",0,IF(I8&lt;=5,IF(入力データ!$G$27="私立",前提条件!$C$22,前提条件!$C$21),IF(I8&lt;=11,IF(入力データ!$H$27="私立",前提条件!$C$24,前提条件!$C$23),IF(I8&lt;=14,IF(入力データ!$I$27="私立",前提条件!$C$26,前提条件!$C$25),IF(I8&lt;=17,IF(入力データ!$J$27="私立",前提条件!$C$28,前提条件!$C$27),IF(I8&lt;=21,IF(入力データ!$K$27="国公立",前提条件!$C$29,IF(入力データ!$K$27="私立理系",前提条件!$C$31,前提条件!$C$30))+IF(入力データ!$L$27="下宿",前提条件!$C$32,0)+IF(I8=18,前提条件!$C$33,0),0)))))))*(1+前提条件!$C$13)^(I$3-$B$3))))</f>
        <v/>
      </c>
      <c r="J24" s="352">
        <f>IF(J$3="","",IF(入力データ!$C$17&lt;=0,0,IF(J$3="","",((SUM(入力データ!$C$58:$C$61)*12)+IF(J6="",0,IF(J6&lt;=5,IF(入力データ!$G$25="私立",前提条件!$C$22,前提条件!$C$21),IF(J6&lt;=11,IF(入力データ!$H$25="私立",前提条件!$C$24,前提条件!$C$23),IF(J6&lt;=14,IF(入力データ!$I$25="私立",前提条件!$C$26,前提条件!$C$25),IF(J6&lt;=17,IF(入力データ!$J$25="私立",前提条件!$C$28,前提条件!$C$27),IF(J6&lt;=21,IF(入力データ!$K$25="国公立",前提条件!$C$29,IF(入力データ!$K$25="私立理系",前提条件!$C$31,前提条件!$C$30))+IF(入力データ!$L$25="下宿",前提条件!$C$32,0)+IF(J6=18,前提条件!$C$33,0),0))))))+IF(J7="",0,IF(J7&lt;=5,IF(入力データ!$G$26="私立",前提条件!$C$22,前提条件!$C$21),IF(J7&lt;=11,IF(入力データ!$H$26="私立",前提条件!$C$24,前提条件!$C$23),IF(J7&lt;=14,IF(入力データ!$I$26="私立",前提条件!$C$26,前提条件!$C$25),IF(J7&lt;=17,IF(入力データ!$J$26="私立",前提条件!$C$28,前提条件!$C$27),IF(J7&lt;=21,IF(入力データ!$K$26="国公立",前提条件!$C$29,IF(入力データ!$K$26="私立理系",前提条件!$C$31,前提条件!$C$30))+IF(入力データ!$L$26="下宿",前提条件!$C$32,0)+IF(J7=18,前提条件!$C$33,0),0))))))+IF(J8="",0,IF(J8&lt;=5,IF(入力データ!$G$27="私立",前提条件!$C$22,前提条件!$C$21),IF(J8&lt;=11,IF(入力データ!$H$27="私立",前提条件!$C$24,前提条件!$C$23),IF(J8&lt;=14,IF(入力データ!$I$27="私立",前提条件!$C$26,前提条件!$C$25),IF(J8&lt;=17,IF(入力データ!$J$27="私立",前提条件!$C$28,前提条件!$C$27),IF(J8&lt;=21,IF(入力データ!$K$27="国公立",前提条件!$C$29,IF(入力データ!$K$27="私立理系",前提条件!$C$31,前提条件!$C$30))+IF(入力データ!$L$27="下宿",前提条件!$C$32,0)+IF(J8=18,前提条件!$C$33,0),0)))))))*(1+前提条件!$C$13)^(J$3-$B$3))))</f>
        <v/>
      </c>
      <c r="K24" s="352">
        <f>IF(K$3="","",IF(入力データ!$C$17&lt;=0,0,IF(K$3="","",((SUM(入力データ!$C$58:$C$61)*12)+IF(K6="",0,IF(K6&lt;=5,IF(入力データ!$G$25="私立",前提条件!$C$22,前提条件!$C$21),IF(K6&lt;=11,IF(入力データ!$H$25="私立",前提条件!$C$24,前提条件!$C$23),IF(K6&lt;=14,IF(入力データ!$I$25="私立",前提条件!$C$26,前提条件!$C$25),IF(K6&lt;=17,IF(入力データ!$J$25="私立",前提条件!$C$28,前提条件!$C$27),IF(K6&lt;=21,IF(入力データ!$K$25="国公立",前提条件!$C$29,IF(入力データ!$K$25="私立理系",前提条件!$C$31,前提条件!$C$30))+IF(入力データ!$L$25="下宿",前提条件!$C$32,0)+IF(K6=18,前提条件!$C$33,0),0))))))+IF(K7="",0,IF(K7&lt;=5,IF(入力データ!$G$26="私立",前提条件!$C$22,前提条件!$C$21),IF(K7&lt;=11,IF(入力データ!$H$26="私立",前提条件!$C$24,前提条件!$C$23),IF(K7&lt;=14,IF(入力データ!$I$26="私立",前提条件!$C$26,前提条件!$C$25),IF(K7&lt;=17,IF(入力データ!$J$26="私立",前提条件!$C$28,前提条件!$C$27),IF(K7&lt;=21,IF(入力データ!$K$26="国公立",前提条件!$C$29,IF(入力データ!$K$26="私立理系",前提条件!$C$31,前提条件!$C$30))+IF(入力データ!$L$26="下宿",前提条件!$C$32,0)+IF(K7=18,前提条件!$C$33,0),0))))))+IF(K8="",0,IF(K8&lt;=5,IF(入力データ!$G$27="私立",前提条件!$C$22,前提条件!$C$21),IF(K8&lt;=11,IF(入力データ!$H$27="私立",前提条件!$C$24,前提条件!$C$23),IF(K8&lt;=14,IF(入力データ!$I$27="私立",前提条件!$C$26,前提条件!$C$25),IF(K8&lt;=17,IF(入力データ!$J$27="私立",前提条件!$C$28,前提条件!$C$27),IF(K8&lt;=21,IF(入力データ!$K$27="国公立",前提条件!$C$29,IF(入力データ!$K$27="私立理系",前提条件!$C$31,前提条件!$C$30))+IF(入力データ!$L$27="下宿",前提条件!$C$32,0)+IF(K8=18,前提条件!$C$33,0),0)))))))*(1+前提条件!$C$13)^(K$3-$B$3))))</f>
        <v/>
      </c>
      <c r="L24" s="352">
        <f>IF(L$3="","",IF(入力データ!$C$17&lt;=0,0,IF(L$3="","",((SUM(入力データ!$C$58:$C$61)*12)+IF(L6="",0,IF(L6&lt;=5,IF(入力データ!$G$25="私立",前提条件!$C$22,前提条件!$C$21),IF(L6&lt;=11,IF(入力データ!$H$25="私立",前提条件!$C$24,前提条件!$C$23),IF(L6&lt;=14,IF(入力データ!$I$25="私立",前提条件!$C$26,前提条件!$C$25),IF(L6&lt;=17,IF(入力データ!$J$25="私立",前提条件!$C$28,前提条件!$C$27),IF(L6&lt;=21,IF(入力データ!$K$25="国公立",前提条件!$C$29,IF(入力データ!$K$25="私立理系",前提条件!$C$31,前提条件!$C$30))+IF(入力データ!$L$25="下宿",前提条件!$C$32,0)+IF(L6=18,前提条件!$C$33,0),0))))))+IF(L7="",0,IF(L7&lt;=5,IF(入力データ!$G$26="私立",前提条件!$C$22,前提条件!$C$21),IF(L7&lt;=11,IF(入力データ!$H$26="私立",前提条件!$C$24,前提条件!$C$23),IF(L7&lt;=14,IF(入力データ!$I$26="私立",前提条件!$C$26,前提条件!$C$25),IF(L7&lt;=17,IF(入力データ!$J$26="私立",前提条件!$C$28,前提条件!$C$27),IF(L7&lt;=21,IF(入力データ!$K$26="国公立",前提条件!$C$29,IF(入力データ!$K$26="私立理系",前提条件!$C$31,前提条件!$C$30))+IF(入力データ!$L$26="下宿",前提条件!$C$32,0)+IF(L7=18,前提条件!$C$33,0),0))))))+IF(L8="",0,IF(L8&lt;=5,IF(入力データ!$G$27="私立",前提条件!$C$22,前提条件!$C$21),IF(L8&lt;=11,IF(入力データ!$H$27="私立",前提条件!$C$24,前提条件!$C$23),IF(L8&lt;=14,IF(入力データ!$I$27="私立",前提条件!$C$26,前提条件!$C$25),IF(L8&lt;=17,IF(入力データ!$J$27="私立",前提条件!$C$28,前提条件!$C$27),IF(L8&lt;=21,IF(入力データ!$K$27="国公立",前提条件!$C$29,IF(入力データ!$K$27="私立理系",前提条件!$C$31,前提条件!$C$30))+IF(入力データ!$L$27="下宿",前提条件!$C$32,0)+IF(L8=18,前提条件!$C$33,0),0)))))))*(1+前提条件!$C$13)^(L$3-$B$3))))</f>
        <v/>
      </c>
      <c r="M24" s="352">
        <f>IF(M$3="","",IF(入力データ!$C$17&lt;=0,0,IF(M$3="","",((SUM(入力データ!$C$58:$C$61)*12)+IF(M6="",0,IF(M6&lt;=5,IF(入力データ!$G$25="私立",前提条件!$C$22,前提条件!$C$21),IF(M6&lt;=11,IF(入力データ!$H$25="私立",前提条件!$C$24,前提条件!$C$23),IF(M6&lt;=14,IF(入力データ!$I$25="私立",前提条件!$C$26,前提条件!$C$25),IF(M6&lt;=17,IF(入力データ!$J$25="私立",前提条件!$C$28,前提条件!$C$27),IF(M6&lt;=21,IF(入力データ!$K$25="国公立",前提条件!$C$29,IF(入力データ!$K$25="私立理系",前提条件!$C$31,前提条件!$C$30))+IF(入力データ!$L$25="下宿",前提条件!$C$32,0)+IF(M6=18,前提条件!$C$33,0),0))))))+IF(M7="",0,IF(M7&lt;=5,IF(入力データ!$G$26="私立",前提条件!$C$22,前提条件!$C$21),IF(M7&lt;=11,IF(入力データ!$H$26="私立",前提条件!$C$24,前提条件!$C$23),IF(M7&lt;=14,IF(入力データ!$I$26="私立",前提条件!$C$26,前提条件!$C$25),IF(M7&lt;=17,IF(入力データ!$J$26="私立",前提条件!$C$28,前提条件!$C$27),IF(M7&lt;=21,IF(入力データ!$K$26="国公立",前提条件!$C$29,IF(入力データ!$K$26="私立理系",前提条件!$C$31,前提条件!$C$30))+IF(入力データ!$L$26="下宿",前提条件!$C$32,0)+IF(M7=18,前提条件!$C$33,0),0))))))+IF(M8="",0,IF(M8&lt;=5,IF(入力データ!$G$27="私立",前提条件!$C$22,前提条件!$C$21),IF(M8&lt;=11,IF(入力データ!$H$27="私立",前提条件!$C$24,前提条件!$C$23),IF(M8&lt;=14,IF(入力データ!$I$27="私立",前提条件!$C$26,前提条件!$C$25),IF(M8&lt;=17,IF(入力データ!$J$27="私立",前提条件!$C$28,前提条件!$C$27),IF(M8&lt;=21,IF(入力データ!$K$27="国公立",前提条件!$C$29,IF(入力データ!$K$27="私立理系",前提条件!$C$31,前提条件!$C$30))+IF(入力データ!$L$27="下宿",前提条件!$C$32,0)+IF(M8=18,前提条件!$C$33,0),0)))))))*(1+前提条件!$C$13)^(M$3-$B$3))))</f>
        <v/>
      </c>
      <c r="N24" s="352">
        <f>IF(N$3="","",IF(入力データ!$C$17&lt;=0,0,IF(N$3="","",((SUM(入力データ!$C$58:$C$61)*12)+IF(N6="",0,IF(N6&lt;=5,IF(入力データ!$G$25="私立",前提条件!$C$22,前提条件!$C$21),IF(N6&lt;=11,IF(入力データ!$H$25="私立",前提条件!$C$24,前提条件!$C$23),IF(N6&lt;=14,IF(入力データ!$I$25="私立",前提条件!$C$26,前提条件!$C$25),IF(N6&lt;=17,IF(入力データ!$J$25="私立",前提条件!$C$28,前提条件!$C$27),IF(N6&lt;=21,IF(入力データ!$K$25="国公立",前提条件!$C$29,IF(入力データ!$K$25="私立理系",前提条件!$C$31,前提条件!$C$30))+IF(入力データ!$L$25="下宿",前提条件!$C$32,0)+IF(N6=18,前提条件!$C$33,0),0))))))+IF(N7="",0,IF(N7&lt;=5,IF(入力データ!$G$26="私立",前提条件!$C$22,前提条件!$C$21),IF(N7&lt;=11,IF(入力データ!$H$26="私立",前提条件!$C$24,前提条件!$C$23),IF(N7&lt;=14,IF(入力データ!$I$26="私立",前提条件!$C$26,前提条件!$C$25),IF(N7&lt;=17,IF(入力データ!$J$26="私立",前提条件!$C$28,前提条件!$C$27),IF(N7&lt;=21,IF(入力データ!$K$26="国公立",前提条件!$C$29,IF(入力データ!$K$26="私立理系",前提条件!$C$31,前提条件!$C$30))+IF(入力データ!$L$26="下宿",前提条件!$C$32,0)+IF(N7=18,前提条件!$C$33,0),0))))))+IF(N8="",0,IF(N8&lt;=5,IF(入力データ!$G$27="私立",前提条件!$C$22,前提条件!$C$21),IF(N8&lt;=11,IF(入力データ!$H$27="私立",前提条件!$C$24,前提条件!$C$23),IF(N8&lt;=14,IF(入力データ!$I$27="私立",前提条件!$C$26,前提条件!$C$25),IF(N8&lt;=17,IF(入力データ!$J$27="私立",前提条件!$C$28,前提条件!$C$27),IF(N8&lt;=21,IF(入力データ!$K$27="国公立",前提条件!$C$29,IF(入力データ!$K$27="私立理系",前提条件!$C$31,前提条件!$C$30))+IF(入力データ!$L$27="下宿",前提条件!$C$32,0)+IF(N8=18,前提条件!$C$33,0),0)))))))*(1+前提条件!$C$13)^(N$3-$B$3))))</f>
        <v/>
      </c>
      <c r="O24" s="352">
        <f>IF(O$3="","",IF(入力データ!$C$17&lt;=0,0,IF(O$3="","",((SUM(入力データ!$C$58:$C$61)*12)+IF(O6="",0,IF(O6&lt;=5,IF(入力データ!$G$25="私立",前提条件!$C$22,前提条件!$C$21),IF(O6&lt;=11,IF(入力データ!$H$25="私立",前提条件!$C$24,前提条件!$C$23),IF(O6&lt;=14,IF(入力データ!$I$25="私立",前提条件!$C$26,前提条件!$C$25),IF(O6&lt;=17,IF(入力データ!$J$25="私立",前提条件!$C$28,前提条件!$C$27),IF(O6&lt;=21,IF(入力データ!$K$25="国公立",前提条件!$C$29,IF(入力データ!$K$25="私立理系",前提条件!$C$31,前提条件!$C$30))+IF(入力データ!$L$25="下宿",前提条件!$C$32,0)+IF(O6=18,前提条件!$C$33,0),0))))))+IF(O7="",0,IF(O7&lt;=5,IF(入力データ!$G$26="私立",前提条件!$C$22,前提条件!$C$21),IF(O7&lt;=11,IF(入力データ!$H$26="私立",前提条件!$C$24,前提条件!$C$23),IF(O7&lt;=14,IF(入力データ!$I$26="私立",前提条件!$C$26,前提条件!$C$25),IF(O7&lt;=17,IF(入力データ!$J$26="私立",前提条件!$C$28,前提条件!$C$27),IF(O7&lt;=21,IF(入力データ!$K$26="国公立",前提条件!$C$29,IF(入力データ!$K$26="私立理系",前提条件!$C$31,前提条件!$C$30))+IF(入力データ!$L$26="下宿",前提条件!$C$32,0)+IF(O7=18,前提条件!$C$33,0),0))))))+IF(O8="",0,IF(O8&lt;=5,IF(入力データ!$G$27="私立",前提条件!$C$22,前提条件!$C$21),IF(O8&lt;=11,IF(入力データ!$H$27="私立",前提条件!$C$24,前提条件!$C$23),IF(O8&lt;=14,IF(入力データ!$I$27="私立",前提条件!$C$26,前提条件!$C$25),IF(O8&lt;=17,IF(入力データ!$J$27="私立",前提条件!$C$28,前提条件!$C$27),IF(O8&lt;=21,IF(入力データ!$K$27="国公立",前提条件!$C$29,IF(入力データ!$K$27="私立理系",前提条件!$C$31,前提条件!$C$30))+IF(入力データ!$L$27="下宿",前提条件!$C$32,0)+IF(O8=18,前提条件!$C$33,0),0)))))))*(1+前提条件!$C$13)^(O$3-$B$3))))</f>
        <v/>
      </c>
      <c r="P24" s="352">
        <f>IF(P$3="","",IF(入力データ!$C$17&lt;=0,0,IF(P$3="","",((SUM(入力データ!$C$58:$C$61)*12)+IF(P6="",0,IF(P6&lt;=5,IF(入力データ!$G$25="私立",前提条件!$C$22,前提条件!$C$21),IF(P6&lt;=11,IF(入力データ!$H$25="私立",前提条件!$C$24,前提条件!$C$23),IF(P6&lt;=14,IF(入力データ!$I$25="私立",前提条件!$C$26,前提条件!$C$25),IF(P6&lt;=17,IF(入力データ!$J$25="私立",前提条件!$C$28,前提条件!$C$27),IF(P6&lt;=21,IF(入力データ!$K$25="国公立",前提条件!$C$29,IF(入力データ!$K$25="私立理系",前提条件!$C$31,前提条件!$C$30))+IF(入力データ!$L$25="下宿",前提条件!$C$32,0)+IF(P6=18,前提条件!$C$33,0),0))))))+IF(P7="",0,IF(P7&lt;=5,IF(入力データ!$G$26="私立",前提条件!$C$22,前提条件!$C$21),IF(P7&lt;=11,IF(入力データ!$H$26="私立",前提条件!$C$24,前提条件!$C$23),IF(P7&lt;=14,IF(入力データ!$I$26="私立",前提条件!$C$26,前提条件!$C$25),IF(P7&lt;=17,IF(入力データ!$J$26="私立",前提条件!$C$28,前提条件!$C$27),IF(P7&lt;=21,IF(入力データ!$K$26="国公立",前提条件!$C$29,IF(入力データ!$K$26="私立理系",前提条件!$C$31,前提条件!$C$30))+IF(入力データ!$L$26="下宿",前提条件!$C$32,0)+IF(P7=18,前提条件!$C$33,0),0))))))+IF(P8="",0,IF(P8&lt;=5,IF(入力データ!$G$27="私立",前提条件!$C$22,前提条件!$C$21),IF(P8&lt;=11,IF(入力データ!$H$27="私立",前提条件!$C$24,前提条件!$C$23),IF(P8&lt;=14,IF(入力データ!$I$27="私立",前提条件!$C$26,前提条件!$C$25),IF(P8&lt;=17,IF(入力データ!$J$27="私立",前提条件!$C$28,前提条件!$C$27),IF(P8&lt;=21,IF(入力データ!$K$27="国公立",前提条件!$C$29,IF(入力データ!$K$27="私立理系",前提条件!$C$31,前提条件!$C$30))+IF(入力データ!$L$27="下宿",前提条件!$C$32,0)+IF(P8=18,前提条件!$C$33,0),0)))))))*(1+前提条件!$C$13)^(P$3-$B$3))))</f>
        <v/>
      </c>
      <c r="Q24" s="352">
        <f>IF(Q$3="","",IF(入力データ!$C$17&lt;=0,0,IF(Q$3="","",((SUM(入力データ!$C$58:$C$61)*12)+IF(Q6="",0,IF(Q6&lt;=5,IF(入力データ!$G$25="私立",前提条件!$C$22,前提条件!$C$21),IF(Q6&lt;=11,IF(入力データ!$H$25="私立",前提条件!$C$24,前提条件!$C$23),IF(Q6&lt;=14,IF(入力データ!$I$25="私立",前提条件!$C$26,前提条件!$C$25),IF(Q6&lt;=17,IF(入力データ!$J$25="私立",前提条件!$C$28,前提条件!$C$27),IF(Q6&lt;=21,IF(入力データ!$K$25="国公立",前提条件!$C$29,IF(入力データ!$K$25="私立理系",前提条件!$C$31,前提条件!$C$30))+IF(入力データ!$L$25="下宿",前提条件!$C$32,0)+IF(Q6=18,前提条件!$C$33,0),0))))))+IF(Q7="",0,IF(Q7&lt;=5,IF(入力データ!$G$26="私立",前提条件!$C$22,前提条件!$C$21),IF(Q7&lt;=11,IF(入力データ!$H$26="私立",前提条件!$C$24,前提条件!$C$23),IF(Q7&lt;=14,IF(入力データ!$I$26="私立",前提条件!$C$26,前提条件!$C$25),IF(Q7&lt;=17,IF(入力データ!$J$26="私立",前提条件!$C$28,前提条件!$C$27),IF(Q7&lt;=21,IF(入力データ!$K$26="国公立",前提条件!$C$29,IF(入力データ!$K$26="私立理系",前提条件!$C$31,前提条件!$C$30))+IF(入力データ!$L$26="下宿",前提条件!$C$32,0)+IF(Q7=18,前提条件!$C$33,0),0))))))+IF(Q8="",0,IF(Q8&lt;=5,IF(入力データ!$G$27="私立",前提条件!$C$22,前提条件!$C$21),IF(Q8&lt;=11,IF(入力データ!$H$27="私立",前提条件!$C$24,前提条件!$C$23),IF(Q8&lt;=14,IF(入力データ!$I$27="私立",前提条件!$C$26,前提条件!$C$25),IF(Q8&lt;=17,IF(入力データ!$J$27="私立",前提条件!$C$28,前提条件!$C$27),IF(Q8&lt;=21,IF(入力データ!$K$27="国公立",前提条件!$C$29,IF(入力データ!$K$27="私立理系",前提条件!$C$31,前提条件!$C$30))+IF(入力データ!$L$27="下宿",前提条件!$C$32,0)+IF(Q8=18,前提条件!$C$33,0),0)))))))*(1+前提条件!$C$13)^(Q$3-$B$3))))</f>
        <v/>
      </c>
      <c r="R24" s="352">
        <f>IF(R$3="","",IF(入力データ!$C$17&lt;=0,0,IF(R$3="","",((SUM(入力データ!$C$58:$C$61)*12)+IF(R6="",0,IF(R6&lt;=5,IF(入力データ!$G$25="私立",前提条件!$C$22,前提条件!$C$21),IF(R6&lt;=11,IF(入力データ!$H$25="私立",前提条件!$C$24,前提条件!$C$23),IF(R6&lt;=14,IF(入力データ!$I$25="私立",前提条件!$C$26,前提条件!$C$25),IF(R6&lt;=17,IF(入力データ!$J$25="私立",前提条件!$C$28,前提条件!$C$27),IF(R6&lt;=21,IF(入力データ!$K$25="国公立",前提条件!$C$29,IF(入力データ!$K$25="私立理系",前提条件!$C$31,前提条件!$C$30))+IF(入力データ!$L$25="下宿",前提条件!$C$32,0)+IF(R6=18,前提条件!$C$33,0),0))))))+IF(R7="",0,IF(R7&lt;=5,IF(入力データ!$G$26="私立",前提条件!$C$22,前提条件!$C$21),IF(R7&lt;=11,IF(入力データ!$H$26="私立",前提条件!$C$24,前提条件!$C$23),IF(R7&lt;=14,IF(入力データ!$I$26="私立",前提条件!$C$26,前提条件!$C$25),IF(R7&lt;=17,IF(入力データ!$J$26="私立",前提条件!$C$28,前提条件!$C$27),IF(R7&lt;=21,IF(入力データ!$K$26="国公立",前提条件!$C$29,IF(入力データ!$K$26="私立理系",前提条件!$C$31,前提条件!$C$30))+IF(入力データ!$L$26="下宿",前提条件!$C$32,0)+IF(R7=18,前提条件!$C$33,0),0))))))+IF(R8="",0,IF(R8&lt;=5,IF(入力データ!$G$27="私立",前提条件!$C$22,前提条件!$C$21),IF(R8&lt;=11,IF(入力データ!$H$27="私立",前提条件!$C$24,前提条件!$C$23),IF(R8&lt;=14,IF(入力データ!$I$27="私立",前提条件!$C$26,前提条件!$C$25),IF(R8&lt;=17,IF(入力データ!$J$27="私立",前提条件!$C$28,前提条件!$C$27),IF(R8&lt;=21,IF(入力データ!$K$27="国公立",前提条件!$C$29,IF(入力データ!$K$27="私立理系",前提条件!$C$31,前提条件!$C$30))+IF(入力データ!$L$27="下宿",前提条件!$C$32,0)+IF(R8=18,前提条件!$C$33,0),0)))))))*(1+前提条件!$C$13)^(R$3-$B$3))))</f>
        <v/>
      </c>
      <c r="S24" s="352">
        <f>IF(S$3="","",IF(入力データ!$C$17&lt;=0,0,IF(S$3="","",((SUM(入力データ!$C$58:$C$61)*12)+IF(S6="",0,IF(S6&lt;=5,IF(入力データ!$G$25="私立",前提条件!$C$22,前提条件!$C$21),IF(S6&lt;=11,IF(入力データ!$H$25="私立",前提条件!$C$24,前提条件!$C$23),IF(S6&lt;=14,IF(入力データ!$I$25="私立",前提条件!$C$26,前提条件!$C$25),IF(S6&lt;=17,IF(入力データ!$J$25="私立",前提条件!$C$28,前提条件!$C$27),IF(S6&lt;=21,IF(入力データ!$K$25="国公立",前提条件!$C$29,IF(入力データ!$K$25="私立理系",前提条件!$C$31,前提条件!$C$30))+IF(入力データ!$L$25="下宿",前提条件!$C$32,0)+IF(S6=18,前提条件!$C$33,0),0))))))+IF(S7="",0,IF(S7&lt;=5,IF(入力データ!$G$26="私立",前提条件!$C$22,前提条件!$C$21),IF(S7&lt;=11,IF(入力データ!$H$26="私立",前提条件!$C$24,前提条件!$C$23),IF(S7&lt;=14,IF(入力データ!$I$26="私立",前提条件!$C$26,前提条件!$C$25),IF(S7&lt;=17,IF(入力データ!$J$26="私立",前提条件!$C$28,前提条件!$C$27),IF(S7&lt;=21,IF(入力データ!$K$26="国公立",前提条件!$C$29,IF(入力データ!$K$26="私立理系",前提条件!$C$31,前提条件!$C$30))+IF(入力データ!$L$26="下宿",前提条件!$C$32,0)+IF(S7=18,前提条件!$C$33,0),0))))))+IF(S8="",0,IF(S8&lt;=5,IF(入力データ!$G$27="私立",前提条件!$C$22,前提条件!$C$21),IF(S8&lt;=11,IF(入力データ!$H$27="私立",前提条件!$C$24,前提条件!$C$23),IF(S8&lt;=14,IF(入力データ!$I$27="私立",前提条件!$C$26,前提条件!$C$25),IF(S8&lt;=17,IF(入力データ!$J$27="私立",前提条件!$C$28,前提条件!$C$27),IF(S8&lt;=21,IF(入力データ!$K$27="国公立",前提条件!$C$29,IF(入力データ!$K$27="私立理系",前提条件!$C$31,前提条件!$C$30))+IF(入力データ!$L$27="下宿",前提条件!$C$32,0)+IF(S8=18,前提条件!$C$33,0),0)))))))*(1+前提条件!$C$13)^(S$3-$B$3))))</f>
        <v/>
      </c>
      <c r="T24" s="352">
        <f>IF(T$3="","",IF(入力データ!$C$17&lt;=0,0,IF(T$3="","",((SUM(入力データ!$C$58:$C$61)*12)+IF(T6="",0,IF(T6&lt;=5,IF(入力データ!$G$25="私立",前提条件!$C$22,前提条件!$C$21),IF(T6&lt;=11,IF(入力データ!$H$25="私立",前提条件!$C$24,前提条件!$C$23),IF(T6&lt;=14,IF(入力データ!$I$25="私立",前提条件!$C$26,前提条件!$C$25),IF(T6&lt;=17,IF(入力データ!$J$25="私立",前提条件!$C$28,前提条件!$C$27),IF(T6&lt;=21,IF(入力データ!$K$25="国公立",前提条件!$C$29,IF(入力データ!$K$25="私立理系",前提条件!$C$31,前提条件!$C$30))+IF(入力データ!$L$25="下宿",前提条件!$C$32,0)+IF(T6=18,前提条件!$C$33,0),0))))))+IF(T7="",0,IF(T7&lt;=5,IF(入力データ!$G$26="私立",前提条件!$C$22,前提条件!$C$21),IF(T7&lt;=11,IF(入力データ!$H$26="私立",前提条件!$C$24,前提条件!$C$23),IF(T7&lt;=14,IF(入力データ!$I$26="私立",前提条件!$C$26,前提条件!$C$25),IF(T7&lt;=17,IF(入力データ!$J$26="私立",前提条件!$C$28,前提条件!$C$27),IF(T7&lt;=21,IF(入力データ!$K$26="国公立",前提条件!$C$29,IF(入力データ!$K$26="私立理系",前提条件!$C$31,前提条件!$C$30))+IF(入力データ!$L$26="下宿",前提条件!$C$32,0)+IF(T7=18,前提条件!$C$33,0),0))))))+IF(T8="",0,IF(T8&lt;=5,IF(入力データ!$G$27="私立",前提条件!$C$22,前提条件!$C$21),IF(T8&lt;=11,IF(入力データ!$H$27="私立",前提条件!$C$24,前提条件!$C$23),IF(T8&lt;=14,IF(入力データ!$I$27="私立",前提条件!$C$26,前提条件!$C$25),IF(T8&lt;=17,IF(入力データ!$J$27="私立",前提条件!$C$28,前提条件!$C$27),IF(T8&lt;=21,IF(入力データ!$K$27="国公立",前提条件!$C$29,IF(入力データ!$K$27="私立理系",前提条件!$C$31,前提条件!$C$30))+IF(入力データ!$L$27="下宿",前提条件!$C$32,0)+IF(T8=18,前提条件!$C$33,0),0)))))))*(1+前提条件!$C$13)^(T$3-$B$3))))</f>
        <v/>
      </c>
      <c r="U24" s="352">
        <f>IF(U$3="","",IF(入力データ!$C$17&lt;=0,0,IF(U$3="","",((SUM(入力データ!$C$58:$C$61)*12)+IF(U6="",0,IF(U6&lt;=5,IF(入力データ!$G$25="私立",前提条件!$C$22,前提条件!$C$21),IF(U6&lt;=11,IF(入力データ!$H$25="私立",前提条件!$C$24,前提条件!$C$23),IF(U6&lt;=14,IF(入力データ!$I$25="私立",前提条件!$C$26,前提条件!$C$25),IF(U6&lt;=17,IF(入力データ!$J$25="私立",前提条件!$C$28,前提条件!$C$27),IF(U6&lt;=21,IF(入力データ!$K$25="国公立",前提条件!$C$29,IF(入力データ!$K$25="私立理系",前提条件!$C$31,前提条件!$C$30))+IF(入力データ!$L$25="下宿",前提条件!$C$32,0)+IF(U6=18,前提条件!$C$33,0),0))))))+IF(U7="",0,IF(U7&lt;=5,IF(入力データ!$G$26="私立",前提条件!$C$22,前提条件!$C$21),IF(U7&lt;=11,IF(入力データ!$H$26="私立",前提条件!$C$24,前提条件!$C$23),IF(U7&lt;=14,IF(入力データ!$I$26="私立",前提条件!$C$26,前提条件!$C$25),IF(U7&lt;=17,IF(入力データ!$J$26="私立",前提条件!$C$28,前提条件!$C$27),IF(U7&lt;=21,IF(入力データ!$K$26="国公立",前提条件!$C$29,IF(入力データ!$K$26="私立理系",前提条件!$C$31,前提条件!$C$30))+IF(入力データ!$L$26="下宿",前提条件!$C$32,0)+IF(U7=18,前提条件!$C$33,0),0))))))+IF(U8="",0,IF(U8&lt;=5,IF(入力データ!$G$27="私立",前提条件!$C$22,前提条件!$C$21),IF(U8&lt;=11,IF(入力データ!$H$27="私立",前提条件!$C$24,前提条件!$C$23),IF(U8&lt;=14,IF(入力データ!$I$27="私立",前提条件!$C$26,前提条件!$C$25),IF(U8&lt;=17,IF(入力データ!$J$27="私立",前提条件!$C$28,前提条件!$C$27),IF(U8&lt;=21,IF(入力データ!$K$27="国公立",前提条件!$C$29,IF(入力データ!$K$27="私立理系",前提条件!$C$31,前提条件!$C$30))+IF(入力データ!$L$27="下宿",前提条件!$C$32,0)+IF(U8=18,前提条件!$C$33,0),0)))))))*(1+前提条件!$C$13)^(U$3-$B$3))))</f>
        <v/>
      </c>
      <c r="V24" s="352">
        <f>IF(V$3="","",IF(入力データ!$C$17&lt;=0,0,IF(V$3="","",((SUM(入力データ!$C$58:$C$61)*12)+IF(V6="",0,IF(V6&lt;=5,IF(入力データ!$G$25="私立",前提条件!$C$22,前提条件!$C$21),IF(V6&lt;=11,IF(入力データ!$H$25="私立",前提条件!$C$24,前提条件!$C$23),IF(V6&lt;=14,IF(入力データ!$I$25="私立",前提条件!$C$26,前提条件!$C$25),IF(V6&lt;=17,IF(入力データ!$J$25="私立",前提条件!$C$28,前提条件!$C$27),IF(V6&lt;=21,IF(入力データ!$K$25="国公立",前提条件!$C$29,IF(入力データ!$K$25="私立理系",前提条件!$C$31,前提条件!$C$30))+IF(入力データ!$L$25="下宿",前提条件!$C$32,0)+IF(V6=18,前提条件!$C$33,0),0))))))+IF(V7="",0,IF(V7&lt;=5,IF(入力データ!$G$26="私立",前提条件!$C$22,前提条件!$C$21),IF(V7&lt;=11,IF(入力データ!$H$26="私立",前提条件!$C$24,前提条件!$C$23),IF(V7&lt;=14,IF(入力データ!$I$26="私立",前提条件!$C$26,前提条件!$C$25),IF(V7&lt;=17,IF(入力データ!$J$26="私立",前提条件!$C$28,前提条件!$C$27),IF(V7&lt;=21,IF(入力データ!$K$26="国公立",前提条件!$C$29,IF(入力データ!$K$26="私立理系",前提条件!$C$31,前提条件!$C$30))+IF(入力データ!$L$26="下宿",前提条件!$C$32,0)+IF(V7=18,前提条件!$C$33,0),0))))))+IF(V8="",0,IF(V8&lt;=5,IF(入力データ!$G$27="私立",前提条件!$C$22,前提条件!$C$21),IF(V8&lt;=11,IF(入力データ!$H$27="私立",前提条件!$C$24,前提条件!$C$23),IF(V8&lt;=14,IF(入力データ!$I$27="私立",前提条件!$C$26,前提条件!$C$25),IF(V8&lt;=17,IF(入力データ!$J$27="私立",前提条件!$C$28,前提条件!$C$27),IF(V8&lt;=21,IF(入力データ!$K$27="国公立",前提条件!$C$29,IF(入力データ!$K$27="私立理系",前提条件!$C$31,前提条件!$C$30))+IF(入力データ!$L$27="下宿",前提条件!$C$32,0)+IF(V8=18,前提条件!$C$33,0),0)))))))*(1+前提条件!$C$13)^(V$3-$B$3))))</f>
        <v/>
      </c>
      <c r="W24" s="352">
        <f>IF(W$3="","",IF(入力データ!$C$17&lt;=0,0,IF(W$3="","",((SUM(入力データ!$C$58:$C$61)*12)+IF(W6="",0,IF(W6&lt;=5,IF(入力データ!$G$25="私立",前提条件!$C$22,前提条件!$C$21),IF(W6&lt;=11,IF(入力データ!$H$25="私立",前提条件!$C$24,前提条件!$C$23),IF(W6&lt;=14,IF(入力データ!$I$25="私立",前提条件!$C$26,前提条件!$C$25),IF(W6&lt;=17,IF(入力データ!$J$25="私立",前提条件!$C$28,前提条件!$C$27),IF(W6&lt;=21,IF(入力データ!$K$25="国公立",前提条件!$C$29,IF(入力データ!$K$25="私立理系",前提条件!$C$31,前提条件!$C$30))+IF(入力データ!$L$25="下宿",前提条件!$C$32,0)+IF(W6=18,前提条件!$C$33,0),0))))))+IF(W7="",0,IF(W7&lt;=5,IF(入力データ!$G$26="私立",前提条件!$C$22,前提条件!$C$21),IF(W7&lt;=11,IF(入力データ!$H$26="私立",前提条件!$C$24,前提条件!$C$23),IF(W7&lt;=14,IF(入力データ!$I$26="私立",前提条件!$C$26,前提条件!$C$25),IF(W7&lt;=17,IF(入力データ!$J$26="私立",前提条件!$C$28,前提条件!$C$27),IF(W7&lt;=21,IF(入力データ!$K$26="国公立",前提条件!$C$29,IF(入力データ!$K$26="私立理系",前提条件!$C$31,前提条件!$C$30))+IF(入力データ!$L$26="下宿",前提条件!$C$32,0)+IF(W7=18,前提条件!$C$33,0),0))))))+IF(W8="",0,IF(W8&lt;=5,IF(入力データ!$G$27="私立",前提条件!$C$22,前提条件!$C$21),IF(W8&lt;=11,IF(入力データ!$H$27="私立",前提条件!$C$24,前提条件!$C$23),IF(W8&lt;=14,IF(入力データ!$I$27="私立",前提条件!$C$26,前提条件!$C$25),IF(W8&lt;=17,IF(入力データ!$J$27="私立",前提条件!$C$28,前提条件!$C$27),IF(W8&lt;=21,IF(入力データ!$K$27="国公立",前提条件!$C$29,IF(入力データ!$K$27="私立理系",前提条件!$C$31,前提条件!$C$30))+IF(入力データ!$L$27="下宿",前提条件!$C$32,0)+IF(W8=18,前提条件!$C$33,0),0)))))))*(1+前提条件!$C$13)^(W$3-$B$3))))</f>
        <v/>
      </c>
      <c r="X24" s="352">
        <f>IF(X$3="","",IF(入力データ!$C$17&lt;=0,0,IF(X$3="","",((SUM(入力データ!$C$58:$C$61)*12)+IF(X6="",0,IF(X6&lt;=5,IF(入力データ!$G$25="私立",前提条件!$C$22,前提条件!$C$21),IF(X6&lt;=11,IF(入力データ!$H$25="私立",前提条件!$C$24,前提条件!$C$23),IF(X6&lt;=14,IF(入力データ!$I$25="私立",前提条件!$C$26,前提条件!$C$25),IF(X6&lt;=17,IF(入力データ!$J$25="私立",前提条件!$C$28,前提条件!$C$27),IF(X6&lt;=21,IF(入力データ!$K$25="国公立",前提条件!$C$29,IF(入力データ!$K$25="私立理系",前提条件!$C$31,前提条件!$C$30))+IF(入力データ!$L$25="下宿",前提条件!$C$32,0)+IF(X6=18,前提条件!$C$33,0),0))))))+IF(X7="",0,IF(X7&lt;=5,IF(入力データ!$G$26="私立",前提条件!$C$22,前提条件!$C$21),IF(X7&lt;=11,IF(入力データ!$H$26="私立",前提条件!$C$24,前提条件!$C$23),IF(X7&lt;=14,IF(入力データ!$I$26="私立",前提条件!$C$26,前提条件!$C$25),IF(X7&lt;=17,IF(入力データ!$J$26="私立",前提条件!$C$28,前提条件!$C$27),IF(X7&lt;=21,IF(入力データ!$K$26="国公立",前提条件!$C$29,IF(入力データ!$K$26="私立理系",前提条件!$C$31,前提条件!$C$30))+IF(入力データ!$L$26="下宿",前提条件!$C$32,0)+IF(X7=18,前提条件!$C$33,0),0))))))+IF(X8="",0,IF(X8&lt;=5,IF(入力データ!$G$27="私立",前提条件!$C$22,前提条件!$C$21),IF(X8&lt;=11,IF(入力データ!$H$27="私立",前提条件!$C$24,前提条件!$C$23),IF(X8&lt;=14,IF(入力データ!$I$27="私立",前提条件!$C$26,前提条件!$C$25),IF(X8&lt;=17,IF(入力データ!$J$27="私立",前提条件!$C$28,前提条件!$C$27),IF(X8&lt;=21,IF(入力データ!$K$27="国公立",前提条件!$C$29,IF(入力データ!$K$27="私立理系",前提条件!$C$31,前提条件!$C$30))+IF(入力データ!$L$27="下宿",前提条件!$C$32,0)+IF(X8=18,前提条件!$C$33,0),0)))))))*(1+前提条件!$C$13)^(X$3-$B$3))))</f>
        <v/>
      </c>
      <c r="Y24" s="352">
        <f>IF(Y$3="","",IF(入力データ!$C$17&lt;=0,0,IF(Y$3="","",((SUM(入力データ!$C$58:$C$61)*12)+IF(Y6="",0,IF(Y6&lt;=5,IF(入力データ!$G$25="私立",前提条件!$C$22,前提条件!$C$21),IF(Y6&lt;=11,IF(入力データ!$H$25="私立",前提条件!$C$24,前提条件!$C$23),IF(Y6&lt;=14,IF(入力データ!$I$25="私立",前提条件!$C$26,前提条件!$C$25),IF(Y6&lt;=17,IF(入力データ!$J$25="私立",前提条件!$C$28,前提条件!$C$27),IF(Y6&lt;=21,IF(入力データ!$K$25="国公立",前提条件!$C$29,IF(入力データ!$K$25="私立理系",前提条件!$C$31,前提条件!$C$30))+IF(入力データ!$L$25="下宿",前提条件!$C$32,0)+IF(Y6=18,前提条件!$C$33,0),0))))))+IF(Y7="",0,IF(Y7&lt;=5,IF(入力データ!$G$26="私立",前提条件!$C$22,前提条件!$C$21),IF(Y7&lt;=11,IF(入力データ!$H$26="私立",前提条件!$C$24,前提条件!$C$23),IF(Y7&lt;=14,IF(入力データ!$I$26="私立",前提条件!$C$26,前提条件!$C$25),IF(Y7&lt;=17,IF(入力データ!$J$26="私立",前提条件!$C$28,前提条件!$C$27),IF(Y7&lt;=21,IF(入力データ!$K$26="国公立",前提条件!$C$29,IF(入力データ!$K$26="私立理系",前提条件!$C$31,前提条件!$C$30))+IF(入力データ!$L$26="下宿",前提条件!$C$32,0)+IF(Y7=18,前提条件!$C$33,0),0))))))+IF(Y8="",0,IF(Y8&lt;=5,IF(入力データ!$G$27="私立",前提条件!$C$22,前提条件!$C$21),IF(Y8&lt;=11,IF(入力データ!$H$27="私立",前提条件!$C$24,前提条件!$C$23),IF(Y8&lt;=14,IF(入力データ!$I$27="私立",前提条件!$C$26,前提条件!$C$25),IF(Y8&lt;=17,IF(入力データ!$J$27="私立",前提条件!$C$28,前提条件!$C$27),IF(Y8&lt;=21,IF(入力データ!$K$27="国公立",前提条件!$C$29,IF(入力データ!$K$27="私立理系",前提条件!$C$31,前提条件!$C$30))+IF(入力データ!$L$27="下宿",前提条件!$C$32,0)+IF(Y8=18,前提条件!$C$33,0),0)))))))*(1+前提条件!$C$13)^(Y$3-$B$3))))</f>
        <v/>
      </c>
      <c r="Z24" s="352">
        <f>IF(Z$3="","",IF(入力データ!$C$17&lt;=0,0,IF(Z$3="","",((SUM(入力データ!$C$58:$C$61)*12)+IF(Z6="",0,IF(Z6&lt;=5,IF(入力データ!$G$25="私立",前提条件!$C$22,前提条件!$C$21),IF(Z6&lt;=11,IF(入力データ!$H$25="私立",前提条件!$C$24,前提条件!$C$23),IF(Z6&lt;=14,IF(入力データ!$I$25="私立",前提条件!$C$26,前提条件!$C$25),IF(Z6&lt;=17,IF(入力データ!$J$25="私立",前提条件!$C$28,前提条件!$C$27),IF(Z6&lt;=21,IF(入力データ!$K$25="国公立",前提条件!$C$29,IF(入力データ!$K$25="私立理系",前提条件!$C$31,前提条件!$C$30))+IF(入力データ!$L$25="下宿",前提条件!$C$32,0)+IF(Z6=18,前提条件!$C$33,0),0))))))+IF(Z7="",0,IF(Z7&lt;=5,IF(入力データ!$G$26="私立",前提条件!$C$22,前提条件!$C$21),IF(Z7&lt;=11,IF(入力データ!$H$26="私立",前提条件!$C$24,前提条件!$C$23),IF(Z7&lt;=14,IF(入力データ!$I$26="私立",前提条件!$C$26,前提条件!$C$25),IF(Z7&lt;=17,IF(入力データ!$J$26="私立",前提条件!$C$28,前提条件!$C$27),IF(Z7&lt;=21,IF(入力データ!$K$26="国公立",前提条件!$C$29,IF(入力データ!$K$26="私立理系",前提条件!$C$31,前提条件!$C$30))+IF(入力データ!$L$26="下宿",前提条件!$C$32,0)+IF(Z7=18,前提条件!$C$33,0),0))))))+IF(Z8="",0,IF(Z8&lt;=5,IF(入力データ!$G$27="私立",前提条件!$C$22,前提条件!$C$21),IF(Z8&lt;=11,IF(入力データ!$H$27="私立",前提条件!$C$24,前提条件!$C$23),IF(Z8&lt;=14,IF(入力データ!$I$27="私立",前提条件!$C$26,前提条件!$C$25),IF(Z8&lt;=17,IF(入力データ!$J$27="私立",前提条件!$C$28,前提条件!$C$27),IF(Z8&lt;=21,IF(入力データ!$K$27="国公立",前提条件!$C$29,IF(入力データ!$K$27="私立理系",前提条件!$C$31,前提条件!$C$30))+IF(入力データ!$L$27="下宿",前提条件!$C$32,0)+IF(Z8=18,前提条件!$C$33,0),0)))))))*(1+前提条件!$C$13)^(Z$3-$B$3))))</f>
        <v/>
      </c>
      <c r="AA24" s="352">
        <f>IF(AA$3="","",IF(入力データ!$C$17&lt;=0,0,IF(AA$3="","",((SUM(入力データ!$C$58:$C$61)*12)+IF(AA6="",0,IF(AA6&lt;=5,IF(入力データ!$G$25="私立",前提条件!$C$22,前提条件!$C$21),IF(AA6&lt;=11,IF(入力データ!$H$25="私立",前提条件!$C$24,前提条件!$C$23),IF(AA6&lt;=14,IF(入力データ!$I$25="私立",前提条件!$C$26,前提条件!$C$25),IF(AA6&lt;=17,IF(入力データ!$J$25="私立",前提条件!$C$28,前提条件!$C$27),IF(AA6&lt;=21,IF(入力データ!$K$25="国公立",前提条件!$C$29,IF(入力データ!$K$25="私立理系",前提条件!$C$31,前提条件!$C$30))+IF(入力データ!$L$25="下宿",前提条件!$C$32,0)+IF(AA6=18,前提条件!$C$33,0),0))))))+IF(AA7="",0,IF(AA7&lt;=5,IF(入力データ!$G$26="私立",前提条件!$C$22,前提条件!$C$21),IF(AA7&lt;=11,IF(入力データ!$H$26="私立",前提条件!$C$24,前提条件!$C$23),IF(AA7&lt;=14,IF(入力データ!$I$26="私立",前提条件!$C$26,前提条件!$C$25),IF(AA7&lt;=17,IF(入力データ!$J$26="私立",前提条件!$C$28,前提条件!$C$27),IF(AA7&lt;=21,IF(入力データ!$K$26="国公立",前提条件!$C$29,IF(入力データ!$K$26="私立理系",前提条件!$C$31,前提条件!$C$30))+IF(入力データ!$L$26="下宿",前提条件!$C$32,0)+IF(AA7=18,前提条件!$C$33,0),0))))))+IF(AA8="",0,IF(AA8&lt;=5,IF(入力データ!$G$27="私立",前提条件!$C$22,前提条件!$C$21),IF(AA8&lt;=11,IF(入力データ!$H$27="私立",前提条件!$C$24,前提条件!$C$23),IF(AA8&lt;=14,IF(入力データ!$I$27="私立",前提条件!$C$26,前提条件!$C$25),IF(AA8&lt;=17,IF(入力データ!$J$27="私立",前提条件!$C$28,前提条件!$C$27),IF(AA8&lt;=21,IF(入力データ!$K$27="国公立",前提条件!$C$29,IF(入力データ!$K$27="私立理系",前提条件!$C$31,前提条件!$C$30))+IF(入力データ!$L$27="下宿",前提条件!$C$32,0)+IF(AA8=18,前提条件!$C$33,0),0)))))))*(1+前提条件!$C$13)^(AA$3-$B$3))))</f>
        <v/>
      </c>
      <c r="AB24" s="352">
        <f>IF(AB$3="","",IF(入力データ!$C$17&lt;=0,0,IF(AB$3="","",((SUM(入力データ!$C$58:$C$61)*12)+IF(AB6="",0,IF(AB6&lt;=5,IF(入力データ!$G$25="私立",前提条件!$C$22,前提条件!$C$21),IF(AB6&lt;=11,IF(入力データ!$H$25="私立",前提条件!$C$24,前提条件!$C$23),IF(AB6&lt;=14,IF(入力データ!$I$25="私立",前提条件!$C$26,前提条件!$C$25),IF(AB6&lt;=17,IF(入力データ!$J$25="私立",前提条件!$C$28,前提条件!$C$27),IF(AB6&lt;=21,IF(入力データ!$K$25="国公立",前提条件!$C$29,IF(入力データ!$K$25="私立理系",前提条件!$C$31,前提条件!$C$30))+IF(入力データ!$L$25="下宿",前提条件!$C$32,0)+IF(AB6=18,前提条件!$C$33,0),0))))))+IF(AB7="",0,IF(AB7&lt;=5,IF(入力データ!$G$26="私立",前提条件!$C$22,前提条件!$C$21),IF(AB7&lt;=11,IF(入力データ!$H$26="私立",前提条件!$C$24,前提条件!$C$23),IF(AB7&lt;=14,IF(入力データ!$I$26="私立",前提条件!$C$26,前提条件!$C$25),IF(AB7&lt;=17,IF(入力データ!$J$26="私立",前提条件!$C$28,前提条件!$C$27),IF(AB7&lt;=21,IF(入力データ!$K$26="国公立",前提条件!$C$29,IF(入力データ!$K$26="私立理系",前提条件!$C$31,前提条件!$C$30))+IF(入力データ!$L$26="下宿",前提条件!$C$32,0)+IF(AB7=18,前提条件!$C$33,0),0))))))+IF(AB8="",0,IF(AB8&lt;=5,IF(入力データ!$G$27="私立",前提条件!$C$22,前提条件!$C$21),IF(AB8&lt;=11,IF(入力データ!$H$27="私立",前提条件!$C$24,前提条件!$C$23),IF(AB8&lt;=14,IF(入力データ!$I$27="私立",前提条件!$C$26,前提条件!$C$25),IF(AB8&lt;=17,IF(入力データ!$J$27="私立",前提条件!$C$28,前提条件!$C$27),IF(AB8&lt;=21,IF(入力データ!$K$27="国公立",前提条件!$C$29,IF(入力データ!$K$27="私立理系",前提条件!$C$31,前提条件!$C$30))+IF(入力データ!$L$27="下宿",前提条件!$C$32,0)+IF(AB8=18,前提条件!$C$33,0),0)))))))*(1+前提条件!$C$13)^(AB$3-$B$3))))</f>
        <v/>
      </c>
      <c r="AC24" s="352">
        <f>IF(AC$3="","",IF(入力データ!$C$17&lt;=0,0,IF(AC$3="","",((SUM(入力データ!$C$58:$C$61)*12)+IF(AC6="",0,IF(AC6&lt;=5,IF(入力データ!$G$25="私立",前提条件!$C$22,前提条件!$C$21),IF(AC6&lt;=11,IF(入力データ!$H$25="私立",前提条件!$C$24,前提条件!$C$23),IF(AC6&lt;=14,IF(入力データ!$I$25="私立",前提条件!$C$26,前提条件!$C$25),IF(AC6&lt;=17,IF(入力データ!$J$25="私立",前提条件!$C$28,前提条件!$C$27),IF(AC6&lt;=21,IF(入力データ!$K$25="国公立",前提条件!$C$29,IF(入力データ!$K$25="私立理系",前提条件!$C$31,前提条件!$C$30))+IF(入力データ!$L$25="下宿",前提条件!$C$32,0)+IF(AC6=18,前提条件!$C$33,0),0))))))+IF(AC7="",0,IF(AC7&lt;=5,IF(入力データ!$G$26="私立",前提条件!$C$22,前提条件!$C$21),IF(AC7&lt;=11,IF(入力データ!$H$26="私立",前提条件!$C$24,前提条件!$C$23),IF(AC7&lt;=14,IF(入力データ!$I$26="私立",前提条件!$C$26,前提条件!$C$25),IF(AC7&lt;=17,IF(入力データ!$J$26="私立",前提条件!$C$28,前提条件!$C$27),IF(AC7&lt;=21,IF(入力データ!$K$26="国公立",前提条件!$C$29,IF(入力データ!$K$26="私立理系",前提条件!$C$31,前提条件!$C$30))+IF(入力データ!$L$26="下宿",前提条件!$C$32,0)+IF(AC7=18,前提条件!$C$33,0),0))))))+IF(AC8="",0,IF(AC8&lt;=5,IF(入力データ!$G$27="私立",前提条件!$C$22,前提条件!$C$21),IF(AC8&lt;=11,IF(入力データ!$H$27="私立",前提条件!$C$24,前提条件!$C$23),IF(AC8&lt;=14,IF(入力データ!$I$27="私立",前提条件!$C$26,前提条件!$C$25),IF(AC8&lt;=17,IF(入力データ!$J$27="私立",前提条件!$C$28,前提条件!$C$27),IF(AC8&lt;=21,IF(入力データ!$K$27="国公立",前提条件!$C$29,IF(入力データ!$K$27="私立理系",前提条件!$C$31,前提条件!$C$30))+IF(入力データ!$L$27="下宿",前提条件!$C$32,0)+IF(AC8=18,前提条件!$C$33,0),0)))))))*(1+前提条件!$C$13)^(AC$3-$B$3))))</f>
        <v/>
      </c>
      <c r="AD24" s="352">
        <f>IF(AD$3="","",IF(入力データ!$C$17&lt;=0,0,IF(AD$3="","",((SUM(入力データ!$C$58:$C$61)*12)+IF(AD6="",0,IF(AD6&lt;=5,IF(入力データ!$G$25="私立",前提条件!$C$22,前提条件!$C$21),IF(AD6&lt;=11,IF(入力データ!$H$25="私立",前提条件!$C$24,前提条件!$C$23),IF(AD6&lt;=14,IF(入力データ!$I$25="私立",前提条件!$C$26,前提条件!$C$25),IF(AD6&lt;=17,IF(入力データ!$J$25="私立",前提条件!$C$28,前提条件!$C$27),IF(AD6&lt;=21,IF(入力データ!$K$25="国公立",前提条件!$C$29,IF(入力データ!$K$25="私立理系",前提条件!$C$31,前提条件!$C$30))+IF(入力データ!$L$25="下宿",前提条件!$C$32,0)+IF(AD6=18,前提条件!$C$33,0),0))))))+IF(AD7="",0,IF(AD7&lt;=5,IF(入力データ!$G$26="私立",前提条件!$C$22,前提条件!$C$21),IF(AD7&lt;=11,IF(入力データ!$H$26="私立",前提条件!$C$24,前提条件!$C$23),IF(AD7&lt;=14,IF(入力データ!$I$26="私立",前提条件!$C$26,前提条件!$C$25),IF(AD7&lt;=17,IF(入力データ!$J$26="私立",前提条件!$C$28,前提条件!$C$27),IF(AD7&lt;=21,IF(入力データ!$K$26="国公立",前提条件!$C$29,IF(入力データ!$K$26="私立理系",前提条件!$C$31,前提条件!$C$30))+IF(入力データ!$L$26="下宿",前提条件!$C$32,0)+IF(AD7=18,前提条件!$C$33,0),0))))))+IF(AD8="",0,IF(AD8&lt;=5,IF(入力データ!$G$27="私立",前提条件!$C$22,前提条件!$C$21),IF(AD8&lt;=11,IF(入力データ!$H$27="私立",前提条件!$C$24,前提条件!$C$23),IF(AD8&lt;=14,IF(入力データ!$I$27="私立",前提条件!$C$26,前提条件!$C$25),IF(AD8&lt;=17,IF(入力データ!$J$27="私立",前提条件!$C$28,前提条件!$C$27),IF(AD8&lt;=21,IF(入力データ!$K$27="国公立",前提条件!$C$29,IF(入力データ!$K$27="私立理系",前提条件!$C$31,前提条件!$C$30))+IF(入力データ!$L$27="下宿",前提条件!$C$32,0)+IF(AD8=18,前提条件!$C$33,0),0)))))))*(1+前提条件!$C$13)^(AD$3-$B$3))))</f>
        <v/>
      </c>
      <c r="AE24" s="352">
        <f>IF(AE$3="","",IF(入力データ!$C$17&lt;=0,0,IF(AE$3="","",((SUM(入力データ!$C$58:$C$61)*12)+IF(AE6="",0,IF(AE6&lt;=5,IF(入力データ!$G$25="私立",前提条件!$C$22,前提条件!$C$21),IF(AE6&lt;=11,IF(入力データ!$H$25="私立",前提条件!$C$24,前提条件!$C$23),IF(AE6&lt;=14,IF(入力データ!$I$25="私立",前提条件!$C$26,前提条件!$C$25),IF(AE6&lt;=17,IF(入力データ!$J$25="私立",前提条件!$C$28,前提条件!$C$27),IF(AE6&lt;=21,IF(入力データ!$K$25="国公立",前提条件!$C$29,IF(入力データ!$K$25="私立理系",前提条件!$C$31,前提条件!$C$30))+IF(入力データ!$L$25="下宿",前提条件!$C$32,0)+IF(AE6=18,前提条件!$C$33,0),0))))))+IF(AE7="",0,IF(AE7&lt;=5,IF(入力データ!$G$26="私立",前提条件!$C$22,前提条件!$C$21),IF(AE7&lt;=11,IF(入力データ!$H$26="私立",前提条件!$C$24,前提条件!$C$23),IF(AE7&lt;=14,IF(入力データ!$I$26="私立",前提条件!$C$26,前提条件!$C$25),IF(AE7&lt;=17,IF(入力データ!$J$26="私立",前提条件!$C$28,前提条件!$C$27),IF(AE7&lt;=21,IF(入力データ!$K$26="国公立",前提条件!$C$29,IF(入力データ!$K$26="私立理系",前提条件!$C$31,前提条件!$C$30))+IF(入力データ!$L$26="下宿",前提条件!$C$32,0)+IF(AE7=18,前提条件!$C$33,0),0))))))+IF(AE8="",0,IF(AE8&lt;=5,IF(入力データ!$G$27="私立",前提条件!$C$22,前提条件!$C$21),IF(AE8&lt;=11,IF(入力データ!$H$27="私立",前提条件!$C$24,前提条件!$C$23),IF(AE8&lt;=14,IF(入力データ!$I$27="私立",前提条件!$C$26,前提条件!$C$25),IF(AE8&lt;=17,IF(入力データ!$J$27="私立",前提条件!$C$28,前提条件!$C$27),IF(AE8&lt;=21,IF(入力データ!$K$27="国公立",前提条件!$C$29,IF(入力データ!$K$27="私立理系",前提条件!$C$31,前提条件!$C$30))+IF(入力データ!$L$27="下宿",前提条件!$C$32,0)+IF(AE8=18,前提条件!$C$33,0),0)))))))*(1+前提条件!$C$13)^(AE$3-$B$3))))</f>
        <v/>
      </c>
      <c r="AF24" s="352">
        <f>IF(AF$3="","",IF(入力データ!$C$17&lt;=0,0,IF(AF$3="","",((SUM(入力データ!$C$58:$C$61)*12)+IF(AF6="",0,IF(AF6&lt;=5,IF(入力データ!$G$25="私立",前提条件!$C$22,前提条件!$C$21),IF(AF6&lt;=11,IF(入力データ!$H$25="私立",前提条件!$C$24,前提条件!$C$23),IF(AF6&lt;=14,IF(入力データ!$I$25="私立",前提条件!$C$26,前提条件!$C$25),IF(AF6&lt;=17,IF(入力データ!$J$25="私立",前提条件!$C$28,前提条件!$C$27),IF(AF6&lt;=21,IF(入力データ!$K$25="国公立",前提条件!$C$29,IF(入力データ!$K$25="私立理系",前提条件!$C$31,前提条件!$C$30))+IF(入力データ!$L$25="下宿",前提条件!$C$32,0)+IF(AF6=18,前提条件!$C$33,0),0))))))+IF(AF7="",0,IF(AF7&lt;=5,IF(入力データ!$G$26="私立",前提条件!$C$22,前提条件!$C$21),IF(AF7&lt;=11,IF(入力データ!$H$26="私立",前提条件!$C$24,前提条件!$C$23),IF(AF7&lt;=14,IF(入力データ!$I$26="私立",前提条件!$C$26,前提条件!$C$25),IF(AF7&lt;=17,IF(入力データ!$J$26="私立",前提条件!$C$28,前提条件!$C$27),IF(AF7&lt;=21,IF(入力データ!$K$26="国公立",前提条件!$C$29,IF(入力データ!$K$26="私立理系",前提条件!$C$31,前提条件!$C$30))+IF(入力データ!$L$26="下宿",前提条件!$C$32,0)+IF(AF7=18,前提条件!$C$33,0),0))))))+IF(AF8="",0,IF(AF8&lt;=5,IF(入力データ!$G$27="私立",前提条件!$C$22,前提条件!$C$21),IF(AF8&lt;=11,IF(入力データ!$H$27="私立",前提条件!$C$24,前提条件!$C$23),IF(AF8&lt;=14,IF(入力データ!$I$27="私立",前提条件!$C$26,前提条件!$C$25),IF(AF8&lt;=17,IF(入力データ!$J$27="私立",前提条件!$C$28,前提条件!$C$27),IF(AF8&lt;=21,IF(入力データ!$K$27="国公立",前提条件!$C$29,IF(入力データ!$K$27="私立理系",前提条件!$C$31,前提条件!$C$30))+IF(入力データ!$L$27="下宿",前提条件!$C$32,0)+IF(AF8=18,前提条件!$C$33,0),0)))))))*(1+前提条件!$C$13)^(AF$3-$B$3))))</f>
        <v/>
      </c>
      <c r="AG24" s="352">
        <f>IF(AG$3="","",IF(入力データ!$C$17&lt;=0,0,IF(AG$3="","",((SUM(入力データ!$C$58:$C$61)*12)+IF(AG6="",0,IF(AG6&lt;=5,IF(入力データ!$G$25="私立",前提条件!$C$22,前提条件!$C$21),IF(AG6&lt;=11,IF(入力データ!$H$25="私立",前提条件!$C$24,前提条件!$C$23),IF(AG6&lt;=14,IF(入力データ!$I$25="私立",前提条件!$C$26,前提条件!$C$25),IF(AG6&lt;=17,IF(入力データ!$J$25="私立",前提条件!$C$28,前提条件!$C$27),IF(AG6&lt;=21,IF(入力データ!$K$25="国公立",前提条件!$C$29,IF(入力データ!$K$25="私立理系",前提条件!$C$31,前提条件!$C$30))+IF(入力データ!$L$25="下宿",前提条件!$C$32,0)+IF(AG6=18,前提条件!$C$33,0),0))))))+IF(AG7="",0,IF(AG7&lt;=5,IF(入力データ!$G$26="私立",前提条件!$C$22,前提条件!$C$21),IF(AG7&lt;=11,IF(入力データ!$H$26="私立",前提条件!$C$24,前提条件!$C$23),IF(AG7&lt;=14,IF(入力データ!$I$26="私立",前提条件!$C$26,前提条件!$C$25),IF(AG7&lt;=17,IF(入力データ!$J$26="私立",前提条件!$C$28,前提条件!$C$27),IF(AG7&lt;=21,IF(入力データ!$K$26="国公立",前提条件!$C$29,IF(入力データ!$K$26="私立理系",前提条件!$C$31,前提条件!$C$30))+IF(入力データ!$L$26="下宿",前提条件!$C$32,0)+IF(AG7=18,前提条件!$C$33,0),0))))))+IF(AG8="",0,IF(AG8&lt;=5,IF(入力データ!$G$27="私立",前提条件!$C$22,前提条件!$C$21),IF(AG8&lt;=11,IF(入力データ!$H$27="私立",前提条件!$C$24,前提条件!$C$23),IF(AG8&lt;=14,IF(入力データ!$I$27="私立",前提条件!$C$26,前提条件!$C$25),IF(AG8&lt;=17,IF(入力データ!$J$27="私立",前提条件!$C$28,前提条件!$C$27),IF(AG8&lt;=21,IF(入力データ!$K$27="国公立",前提条件!$C$29,IF(入力データ!$K$27="私立理系",前提条件!$C$31,前提条件!$C$30))+IF(入力データ!$L$27="下宿",前提条件!$C$32,0)+IF(AG8=18,前提条件!$C$33,0),0)))))))*(1+前提条件!$C$13)^(AG$3-$B$3))))</f>
        <v/>
      </c>
      <c r="AH24" s="352">
        <f>IF(AH$3="","",IF(入力データ!$C$17&lt;=0,0,IF(AH$3="","",((SUM(入力データ!$C$58:$C$61)*12)+IF(AH6="",0,IF(AH6&lt;=5,IF(入力データ!$G$25="私立",前提条件!$C$22,前提条件!$C$21),IF(AH6&lt;=11,IF(入力データ!$H$25="私立",前提条件!$C$24,前提条件!$C$23),IF(AH6&lt;=14,IF(入力データ!$I$25="私立",前提条件!$C$26,前提条件!$C$25),IF(AH6&lt;=17,IF(入力データ!$J$25="私立",前提条件!$C$28,前提条件!$C$27),IF(AH6&lt;=21,IF(入力データ!$K$25="国公立",前提条件!$C$29,IF(入力データ!$K$25="私立理系",前提条件!$C$31,前提条件!$C$30))+IF(入力データ!$L$25="下宿",前提条件!$C$32,0)+IF(AH6=18,前提条件!$C$33,0),0))))))+IF(AH7="",0,IF(AH7&lt;=5,IF(入力データ!$G$26="私立",前提条件!$C$22,前提条件!$C$21),IF(AH7&lt;=11,IF(入力データ!$H$26="私立",前提条件!$C$24,前提条件!$C$23),IF(AH7&lt;=14,IF(入力データ!$I$26="私立",前提条件!$C$26,前提条件!$C$25),IF(AH7&lt;=17,IF(入力データ!$J$26="私立",前提条件!$C$28,前提条件!$C$27),IF(AH7&lt;=21,IF(入力データ!$K$26="国公立",前提条件!$C$29,IF(入力データ!$K$26="私立理系",前提条件!$C$31,前提条件!$C$30))+IF(入力データ!$L$26="下宿",前提条件!$C$32,0)+IF(AH7=18,前提条件!$C$33,0),0))))))+IF(AH8="",0,IF(AH8&lt;=5,IF(入力データ!$G$27="私立",前提条件!$C$22,前提条件!$C$21),IF(AH8&lt;=11,IF(入力データ!$H$27="私立",前提条件!$C$24,前提条件!$C$23),IF(AH8&lt;=14,IF(入力データ!$I$27="私立",前提条件!$C$26,前提条件!$C$25),IF(AH8&lt;=17,IF(入力データ!$J$27="私立",前提条件!$C$28,前提条件!$C$27),IF(AH8&lt;=21,IF(入力データ!$K$27="国公立",前提条件!$C$29,IF(入力データ!$K$27="私立理系",前提条件!$C$31,前提条件!$C$30))+IF(入力データ!$L$27="下宿",前提条件!$C$32,0)+IF(AH8=18,前提条件!$C$33,0),0)))))))*(1+前提条件!$C$13)^(AH$3-$B$3))))</f>
        <v/>
      </c>
      <c r="AI24" s="352">
        <f>IF(AI$3="","",IF(入力データ!$C$17&lt;=0,0,IF(AI$3="","",((SUM(入力データ!$C$58:$C$61)*12)+IF(AI6="",0,IF(AI6&lt;=5,IF(入力データ!$G$25="私立",前提条件!$C$22,前提条件!$C$21),IF(AI6&lt;=11,IF(入力データ!$H$25="私立",前提条件!$C$24,前提条件!$C$23),IF(AI6&lt;=14,IF(入力データ!$I$25="私立",前提条件!$C$26,前提条件!$C$25),IF(AI6&lt;=17,IF(入力データ!$J$25="私立",前提条件!$C$28,前提条件!$C$27),IF(AI6&lt;=21,IF(入力データ!$K$25="国公立",前提条件!$C$29,IF(入力データ!$K$25="私立理系",前提条件!$C$31,前提条件!$C$30))+IF(入力データ!$L$25="下宿",前提条件!$C$32,0)+IF(AI6=18,前提条件!$C$33,0),0))))))+IF(AI7="",0,IF(AI7&lt;=5,IF(入力データ!$G$26="私立",前提条件!$C$22,前提条件!$C$21),IF(AI7&lt;=11,IF(入力データ!$H$26="私立",前提条件!$C$24,前提条件!$C$23),IF(AI7&lt;=14,IF(入力データ!$I$26="私立",前提条件!$C$26,前提条件!$C$25),IF(AI7&lt;=17,IF(入力データ!$J$26="私立",前提条件!$C$28,前提条件!$C$27),IF(AI7&lt;=21,IF(入力データ!$K$26="国公立",前提条件!$C$29,IF(入力データ!$K$26="私立理系",前提条件!$C$31,前提条件!$C$30))+IF(入力データ!$L$26="下宿",前提条件!$C$32,0)+IF(AI7=18,前提条件!$C$33,0),0))))))+IF(AI8="",0,IF(AI8&lt;=5,IF(入力データ!$G$27="私立",前提条件!$C$22,前提条件!$C$21),IF(AI8&lt;=11,IF(入力データ!$H$27="私立",前提条件!$C$24,前提条件!$C$23),IF(AI8&lt;=14,IF(入力データ!$I$27="私立",前提条件!$C$26,前提条件!$C$25),IF(AI8&lt;=17,IF(入力データ!$J$27="私立",前提条件!$C$28,前提条件!$C$27),IF(AI8&lt;=21,IF(入力データ!$K$27="国公立",前提条件!$C$29,IF(入力データ!$K$27="私立理系",前提条件!$C$31,前提条件!$C$30))+IF(入力データ!$L$27="下宿",前提条件!$C$32,0)+IF(AI8=18,前提条件!$C$33,0),0)))))))*(1+前提条件!$C$13)^(AI$3-$B$3))))</f>
        <v/>
      </c>
      <c r="AJ24" s="352">
        <f>IF(AJ$3="","",IF(入力データ!$C$17&lt;=0,0,IF(AJ$3="","",((SUM(入力データ!$C$58:$C$61)*12)+IF(AJ6="",0,IF(AJ6&lt;=5,IF(入力データ!$G$25="私立",前提条件!$C$22,前提条件!$C$21),IF(AJ6&lt;=11,IF(入力データ!$H$25="私立",前提条件!$C$24,前提条件!$C$23),IF(AJ6&lt;=14,IF(入力データ!$I$25="私立",前提条件!$C$26,前提条件!$C$25),IF(AJ6&lt;=17,IF(入力データ!$J$25="私立",前提条件!$C$28,前提条件!$C$27),IF(AJ6&lt;=21,IF(入力データ!$K$25="国公立",前提条件!$C$29,IF(入力データ!$K$25="私立理系",前提条件!$C$31,前提条件!$C$30))+IF(入力データ!$L$25="下宿",前提条件!$C$32,0)+IF(AJ6=18,前提条件!$C$33,0),0))))))+IF(AJ7="",0,IF(AJ7&lt;=5,IF(入力データ!$G$26="私立",前提条件!$C$22,前提条件!$C$21),IF(AJ7&lt;=11,IF(入力データ!$H$26="私立",前提条件!$C$24,前提条件!$C$23),IF(AJ7&lt;=14,IF(入力データ!$I$26="私立",前提条件!$C$26,前提条件!$C$25),IF(AJ7&lt;=17,IF(入力データ!$J$26="私立",前提条件!$C$28,前提条件!$C$27),IF(AJ7&lt;=21,IF(入力データ!$K$26="国公立",前提条件!$C$29,IF(入力データ!$K$26="私立理系",前提条件!$C$31,前提条件!$C$30))+IF(入力データ!$L$26="下宿",前提条件!$C$32,0)+IF(AJ7=18,前提条件!$C$33,0),0))))))+IF(AJ8="",0,IF(AJ8&lt;=5,IF(入力データ!$G$27="私立",前提条件!$C$22,前提条件!$C$21),IF(AJ8&lt;=11,IF(入力データ!$H$27="私立",前提条件!$C$24,前提条件!$C$23),IF(AJ8&lt;=14,IF(入力データ!$I$27="私立",前提条件!$C$26,前提条件!$C$25),IF(AJ8&lt;=17,IF(入力データ!$J$27="私立",前提条件!$C$28,前提条件!$C$27),IF(AJ8&lt;=21,IF(入力データ!$K$27="国公立",前提条件!$C$29,IF(入力データ!$K$27="私立理系",前提条件!$C$31,前提条件!$C$30))+IF(入力データ!$L$27="下宿",前提条件!$C$32,0)+IF(AJ8=18,前提条件!$C$33,0),0)))))))*(1+前提条件!$C$13)^(AJ$3-$B$3))))</f>
        <v/>
      </c>
      <c r="AK24" s="352">
        <f>IF(AK$3="","",IF(入力データ!$C$17&lt;=0,0,IF(AK$3="","",((SUM(入力データ!$C$58:$C$61)*12)+IF(AK6="",0,IF(AK6&lt;=5,IF(入力データ!$G$25="私立",前提条件!$C$22,前提条件!$C$21),IF(AK6&lt;=11,IF(入力データ!$H$25="私立",前提条件!$C$24,前提条件!$C$23),IF(AK6&lt;=14,IF(入力データ!$I$25="私立",前提条件!$C$26,前提条件!$C$25),IF(AK6&lt;=17,IF(入力データ!$J$25="私立",前提条件!$C$28,前提条件!$C$27),IF(AK6&lt;=21,IF(入力データ!$K$25="国公立",前提条件!$C$29,IF(入力データ!$K$25="私立理系",前提条件!$C$31,前提条件!$C$30))+IF(入力データ!$L$25="下宿",前提条件!$C$32,0)+IF(AK6=18,前提条件!$C$33,0),0))))))+IF(AK7="",0,IF(AK7&lt;=5,IF(入力データ!$G$26="私立",前提条件!$C$22,前提条件!$C$21),IF(AK7&lt;=11,IF(入力データ!$H$26="私立",前提条件!$C$24,前提条件!$C$23),IF(AK7&lt;=14,IF(入力データ!$I$26="私立",前提条件!$C$26,前提条件!$C$25),IF(AK7&lt;=17,IF(入力データ!$J$26="私立",前提条件!$C$28,前提条件!$C$27),IF(AK7&lt;=21,IF(入力データ!$K$26="国公立",前提条件!$C$29,IF(入力データ!$K$26="私立理系",前提条件!$C$31,前提条件!$C$30))+IF(入力データ!$L$26="下宿",前提条件!$C$32,0)+IF(AK7=18,前提条件!$C$33,0),0))))))+IF(AK8="",0,IF(AK8&lt;=5,IF(入力データ!$G$27="私立",前提条件!$C$22,前提条件!$C$21),IF(AK8&lt;=11,IF(入力データ!$H$27="私立",前提条件!$C$24,前提条件!$C$23),IF(AK8&lt;=14,IF(入力データ!$I$27="私立",前提条件!$C$26,前提条件!$C$25),IF(AK8&lt;=17,IF(入力データ!$J$27="私立",前提条件!$C$28,前提条件!$C$27),IF(AK8&lt;=21,IF(入力データ!$K$27="国公立",前提条件!$C$29,IF(入力データ!$K$27="私立理系",前提条件!$C$31,前提条件!$C$30))+IF(入力データ!$L$27="下宿",前提条件!$C$32,0)+IF(AK8=18,前提条件!$C$33,0),0)))))))*(1+前提条件!$C$13)^(AK$3-$B$3))))</f>
        <v/>
      </c>
      <c r="AL24" s="352">
        <f>IF(AL$3="","",IF(入力データ!$C$17&lt;=0,0,IF(AL$3="","",((SUM(入力データ!$C$58:$C$61)*12)+IF(AL6="",0,IF(AL6&lt;=5,IF(入力データ!$G$25="私立",前提条件!$C$22,前提条件!$C$21),IF(AL6&lt;=11,IF(入力データ!$H$25="私立",前提条件!$C$24,前提条件!$C$23),IF(AL6&lt;=14,IF(入力データ!$I$25="私立",前提条件!$C$26,前提条件!$C$25),IF(AL6&lt;=17,IF(入力データ!$J$25="私立",前提条件!$C$28,前提条件!$C$27),IF(AL6&lt;=21,IF(入力データ!$K$25="国公立",前提条件!$C$29,IF(入力データ!$K$25="私立理系",前提条件!$C$31,前提条件!$C$30))+IF(入力データ!$L$25="下宿",前提条件!$C$32,0)+IF(AL6=18,前提条件!$C$33,0),0))))))+IF(AL7="",0,IF(AL7&lt;=5,IF(入力データ!$G$26="私立",前提条件!$C$22,前提条件!$C$21),IF(AL7&lt;=11,IF(入力データ!$H$26="私立",前提条件!$C$24,前提条件!$C$23),IF(AL7&lt;=14,IF(入力データ!$I$26="私立",前提条件!$C$26,前提条件!$C$25),IF(AL7&lt;=17,IF(入力データ!$J$26="私立",前提条件!$C$28,前提条件!$C$27),IF(AL7&lt;=21,IF(入力データ!$K$26="国公立",前提条件!$C$29,IF(入力データ!$K$26="私立理系",前提条件!$C$31,前提条件!$C$30))+IF(入力データ!$L$26="下宿",前提条件!$C$32,0)+IF(AL7=18,前提条件!$C$33,0),0))))))+IF(AL8="",0,IF(AL8&lt;=5,IF(入力データ!$G$27="私立",前提条件!$C$22,前提条件!$C$21),IF(AL8&lt;=11,IF(入力データ!$H$27="私立",前提条件!$C$24,前提条件!$C$23),IF(AL8&lt;=14,IF(入力データ!$I$27="私立",前提条件!$C$26,前提条件!$C$25),IF(AL8&lt;=17,IF(入力データ!$J$27="私立",前提条件!$C$28,前提条件!$C$27),IF(AL8&lt;=21,IF(入力データ!$K$27="国公立",前提条件!$C$29,IF(入力データ!$K$27="私立理系",前提条件!$C$31,前提条件!$C$30))+IF(入力データ!$L$27="下宿",前提条件!$C$32,0)+IF(AL8=18,前提条件!$C$33,0),0)))))))*(1+前提条件!$C$13)^(AL$3-$B$3))))</f>
        <v/>
      </c>
      <c r="AM24" s="352">
        <f>IF(AM$3="","",IF(入力データ!$C$17&lt;=0,0,IF(AM$3="","",((SUM(入力データ!$C$58:$C$61)*12)+IF(AM6="",0,IF(AM6&lt;=5,IF(入力データ!$G$25="私立",前提条件!$C$22,前提条件!$C$21),IF(AM6&lt;=11,IF(入力データ!$H$25="私立",前提条件!$C$24,前提条件!$C$23),IF(AM6&lt;=14,IF(入力データ!$I$25="私立",前提条件!$C$26,前提条件!$C$25),IF(AM6&lt;=17,IF(入力データ!$J$25="私立",前提条件!$C$28,前提条件!$C$27),IF(AM6&lt;=21,IF(入力データ!$K$25="国公立",前提条件!$C$29,IF(入力データ!$K$25="私立理系",前提条件!$C$31,前提条件!$C$30))+IF(入力データ!$L$25="下宿",前提条件!$C$32,0)+IF(AM6=18,前提条件!$C$33,0),0))))))+IF(AM7="",0,IF(AM7&lt;=5,IF(入力データ!$G$26="私立",前提条件!$C$22,前提条件!$C$21),IF(AM7&lt;=11,IF(入力データ!$H$26="私立",前提条件!$C$24,前提条件!$C$23),IF(AM7&lt;=14,IF(入力データ!$I$26="私立",前提条件!$C$26,前提条件!$C$25),IF(AM7&lt;=17,IF(入力データ!$J$26="私立",前提条件!$C$28,前提条件!$C$27),IF(AM7&lt;=21,IF(入力データ!$K$26="国公立",前提条件!$C$29,IF(入力データ!$K$26="私立理系",前提条件!$C$31,前提条件!$C$30))+IF(入力データ!$L$26="下宿",前提条件!$C$32,0)+IF(AM7=18,前提条件!$C$33,0),0))))))+IF(AM8="",0,IF(AM8&lt;=5,IF(入力データ!$G$27="私立",前提条件!$C$22,前提条件!$C$21),IF(AM8&lt;=11,IF(入力データ!$H$27="私立",前提条件!$C$24,前提条件!$C$23),IF(AM8&lt;=14,IF(入力データ!$I$27="私立",前提条件!$C$26,前提条件!$C$25),IF(AM8&lt;=17,IF(入力データ!$J$27="私立",前提条件!$C$28,前提条件!$C$27),IF(AM8&lt;=21,IF(入力データ!$K$27="国公立",前提条件!$C$29,IF(入力データ!$K$27="私立理系",前提条件!$C$31,前提条件!$C$30))+IF(入力データ!$L$27="下宿",前提条件!$C$32,0)+IF(AM8=18,前提条件!$C$33,0),0)))))))*(1+前提条件!$C$13)^(AM$3-$B$3))))</f>
        <v/>
      </c>
      <c r="AN24" s="352">
        <f>IF(AN$3="","",IF(入力データ!$C$17&lt;=0,0,IF(AN$3="","",((SUM(入力データ!$C$58:$C$61)*12)+IF(AN6="",0,IF(AN6&lt;=5,IF(入力データ!$G$25="私立",前提条件!$C$22,前提条件!$C$21),IF(AN6&lt;=11,IF(入力データ!$H$25="私立",前提条件!$C$24,前提条件!$C$23),IF(AN6&lt;=14,IF(入力データ!$I$25="私立",前提条件!$C$26,前提条件!$C$25),IF(AN6&lt;=17,IF(入力データ!$J$25="私立",前提条件!$C$28,前提条件!$C$27),IF(AN6&lt;=21,IF(入力データ!$K$25="国公立",前提条件!$C$29,IF(入力データ!$K$25="私立理系",前提条件!$C$31,前提条件!$C$30))+IF(入力データ!$L$25="下宿",前提条件!$C$32,0)+IF(AN6=18,前提条件!$C$33,0),0))))))+IF(AN7="",0,IF(AN7&lt;=5,IF(入力データ!$G$26="私立",前提条件!$C$22,前提条件!$C$21),IF(AN7&lt;=11,IF(入力データ!$H$26="私立",前提条件!$C$24,前提条件!$C$23),IF(AN7&lt;=14,IF(入力データ!$I$26="私立",前提条件!$C$26,前提条件!$C$25),IF(AN7&lt;=17,IF(入力データ!$J$26="私立",前提条件!$C$28,前提条件!$C$27),IF(AN7&lt;=21,IF(入力データ!$K$26="国公立",前提条件!$C$29,IF(入力データ!$K$26="私立理系",前提条件!$C$31,前提条件!$C$30))+IF(入力データ!$L$26="下宿",前提条件!$C$32,0)+IF(AN7=18,前提条件!$C$33,0),0))))))+IF(AN8="",0,IF(AN8&lt;=5,IF(入力データ!$G$27="私立",前提条件!$C$22,前提条件!$C$21),IF(AN8&lt;=11,IF(入力データ!$H$27="私立",前提条件!$C$24,前提条件!$C$23),IF(AN8&lt;=14,IF(入力データ!$I$27="私立",前提条件!$C$26,前提条件!$C$25),IF(AN8&lt;=17,IF(入力データ!$J$27="私立",前提条件!$C$28,前提条件!$C$27),IF(AN8&lt;=21,IF(入力データ!$K$27="国公立",前提条件!$C$29,IF(入力データ!$K$27="私立理系",前提条件!$C$31,前提条件!$C$30))+IF(入力データ!$L$27="下宿",前提条件!$C$32,0)+IF(AN8=18,前提条件!$C$33,0),0)))))))*(1+前提条件!$C$13)^(AN$3-$B$3))))</f>
        <v/>
      </c>
      <c r="AO24" s="352">
        <f>IF(AO$3="","",IF(入力データ!$C$17&lt;=0,0,IF(AO$3="","",((SUM(入力データ!$C$58:$C$61)*12)+IF(AO6="",0,IF(AO6&lt;=5,IF(入力データ!$G$25="私立",前提条件!$C$22,前提条件!$C$21),IF(AO6&lt;=11,IF(入力データ!$H$25="私立",前提条件!$C$24,前提条件!$C$23),IF(AO6&lt;=14,IF(入力データ!$I$25="私立",前提条件!$C$26,前提条件!$C$25),IF(AO6&lt;=17,IF(入力データ!$J$25="私立",前提条件!$C$28,前提条件!$C$27),IF(AO6&lt;=21,IF(入力データ!$K$25="国公立",前提条件!$C$29,IF(入力データ!$K$25="私立理系",前提条件!$C$31,前提条件!$C$30))+IF(入力データ!$L$25="下宿",前提条件!$C$32,0)+IF(AO6=18,前提条件!$C$33,0),0))))))+IF(AO7="",0,IF(AO7&lt;=5,IF(入力データ!$G$26="私立",前提条件!$C$22,前提条件!$C$21),IF(AO7&lt;=11,IF(入力データ!$H$26="私立",前提条件!$C$24,前提条件!$C$23),IF(AO7&lt;=14,IF(入力データ!$I$26="私立",前提条件!$C$26,前提条件!$C$25),IF(AO7&lt;=17,IF(入力データ!$J$26="私立",前提条件!$C$28,前提条件!$C$27),IF(AO7&lt;=21,IF(入力データ!$K$26="国公立",前提条件!$C$29,IF(入力データ!$K$26="私立理系",前提条件!$C$31,前提条件!$C$30))+IF(入力データ!$L$26="下宿",前提条件!$C$32,0)+IF(AO7=18,前提条件!$C$33,0),0))))))+IF(AO8="",0,IF(AO8&lt;=5,IF(入力データ!$G$27="私立",前提条件!$C$22,前提条件!$C$21),IF(AO8&lt;=11,IF(入力データ!$H$27="私立",前提条件!$C$24,前提条件!$C$23),IF(AO8&lt;=14,IF(入力データ!$I$27="私立",前提条件!$C$26,前提条件!$C$25),IF(AO8&lt;=17,IF(入力データ!$J$27="私立",前提条件!$C$28,前提条件!$C$27),IF(AO8&lt;=21,IF(入力データ!$K$27="国公立",前提条件!$C$29,IF(入力データ!$K$27="私立理系",前提条件!$C$31,前提条件!$C$30))+IF(入力データ!$L$27="下宿",前提条件!$C$32,0)+IF(AO8=18,前提条件!$C$33,0),0)))))))*(1+前提条件!$C$13)^(AO$3-$B$3))))</f>
        <v/>
      </c>
      <c r="AP24" s="352">
        <f>IF(AP$3="","",IF(入力データ!$C$17&lt;=0,0,IF(AP$3="","",((SUM(入力データ!$C$58:$C$61)*12)+IF(AP6="",0,IF(AP6&lt;=5,IF(入力データ!$G$25="私立",前提条件!$C$22,前提条件!$C$21),IF(AP6&lt;=11,IF(入力データ!$H$25="私立",前提条件!$C$24,前提条件!$C$23),IF(AP6&lt;=14,IF(入力データ!$I$25="私立",前提条件!$C$26,前提条件!$C$25),IF(AP6&lt;=17,IF(入力データ!$J$25="私立",前提条件!$C$28,前提条件!$C$27),IF(AP6&lt;=21,IF(入力データ!$K$25="国公立",前提条件!$C$29,IF(入力データ!$K$25="私立理系",前提条件!$C$31,前提条件!$C$30))+IF(入力データ!$L$25="下宿",前提条件!$C$32,0)+IF(AP6=18,前提条件!$C$33,0),0))))))+IF(AP7="",0,IF(AP7&lt;=5,IF(入力データ!$G$26="私立",前提条件!$C$22,前提条件!$C$21),IF(AP7&lt;=11,IF(入力データ!$H$26="私立",前提条件!$C$24,前提条件!$C$23),IF(AP7&lt;=14,IF(入力データ!$I$26="私立",前提条件!$C$26,前提条件!$C$25),IF(AP7&lt;=17,IF(入力データ!$J$26="私立",前提条件!$C$28,前提条件!$C$27),IF(AP7&lt;=21,IF(入力データ!$K$26="国公立",前提条件!$C$29,IF(入力データ!$K$26="私立理系",前提条件!$C$31,前提条件!$C$30))+IF(入力データ!$L$26="下宿",前提条件!$C$32,0)+IF(AP7=18,前提条件!$C$33,0),0))))))+IF(AP8="",0,IF(AP8&lt;=5,IF(入力データ!$G$27="私立",前提条件!$C$22,前提条件!$C$21),IF(AP8&lt;=11,IF(入力データ!$H$27="私立",前提条件!$C$24,前提条件!$C$23),IF(AP8&lt;=14,IF(入力データ!$I$27="私立",前提条件!$C$26,前提条件!$C$25),IF(AP8&lt;=17,IF(入力データ!$J$27="私立",前提条件!$C$28,前提条件!$C$27),IF(AP8&lt;=21,IF(入力データ!$K$27="国公立",前提条件!$C$29,IF(入力データ!$K$27="私立理系",前提条件!$C$31,前提条件!$C$30))+IF(入力データ!$L$27="下宿",前提条件!$C$32,0)+IF(AP8=18,前提条件!$C$33,0),0)))))))*(1+前提条件!$C$13)^(AP$3-$B$3))))</f>
        <v/>
      </c>
      <c r="AQ24" s="352">
        <f>IF(AQ$3="","",IF(入力データ!$C$17&lt;=0,0,IF(AQ$3="","",((SUM(入力データ!$C$58:$C$61)*12)+IF(AQ6="",0,IF(AQ6&lt;=5,IF(入力データ!$G$25="私立",前提条件!$C$22,前提条件!$C$21),IF(AQ6&lt;=11,IF(入力データ!$H$25="私立",前提条件!$C$24,前提条件!$C$23),IF(AQ6&lt;=14,IF(入力データ!$I$25="私立",前提条件!$C$26,前提条件!$C$25),IF(AQ6&lt;=17,IF(入力データ!$J$25="私立",前提条件!$C$28,前提条件!$C$27),IF(AQ6&lt;=21,IF(入力データ!$K$25="国公立",前提条件!$C$29,IF(入力データ!$K$25="私立理系",前提条件!$C$31,前提条件!$C$30))+IF(入力データ!$L$25="下宿",前提条件!$C$32,0)+IF(AQ6=18,前提条件!$C$33,0),0))))))+IF(AQ7="",0,IF(AQ7&lt;=5,IF(入力データ!$G$26="私立",前提条件!$C$22,前提条件!$C$21),IF(AQ7&lt;=11,IF(入力データ!$H$26="私立",前提条件!$C$24,前提条件!$C$23),IF(AQ7&lt;=14,IF(入力データ!$I$26="私立",前提条件!$C$26,前提条件!$C$25),IF(AQ7&lt;=17,IF(入力データ!$J$26="私立",前提条件!$C$28,前提条件!$C$27),IF(AQ7&lt;=21,IF(入力データ!$K$26="国公立",前提条件!$C$29,IF(入力データ!$K$26="私立理系",前提条件!$C$31,前提条件!$C$30))+IF(入力データ!$L$26="下宿",前提条件!$C$32,0)+IF(AQ7=18,前提条件!$C$33,0),0))))))+IF(AQ8="",0,IF(AQ8&lt;=5,IF(入力データ!$G$27="私立",前提条件!$C$22,前提条件!$C$21),IF(AQ8&lt;=11,IF(入力データ!$H$27="私立",前提条件!$C$24,前提条件!$C$23),IF(AQ8&lt;=14,IF(入力データ!$I$27="私立",前提条件!$C$26,前提条件!$C$25),IF(AQ8&lt;=17,IF(入力データ!$J$27="私立",前提条件!$C$28,前提条件!$C$27),IF(AQ8&lt;=21,IF(入力データ!$K$27="国公立",前提条件!$C$29,IF(入力データ!$K$27="私立理系",前提条件!$C$31,前提条件!$C$30))+IF(入力データ!$L$27="下宿",前提条件!$C$32,0)+IF(AQ8=18,前提条件!$C$33,0),0)))))))*(1+前提条件!$C$13)^(AQ$3-$B$3))))</f>
        <v/>
      </c>
      <c r="AR24" s="352">
        <f>IF(AR$3="","",IF(入力データ!$C$17&lt;=0,0,IF(AR$3="","",((SUM(入力データ!$C$58:$C$61)*12)+IF(AR6="",0,IF(AR6&lt;=5,IF(入力データ!$G$25="私立",前提条件!$C$22,前提条件!$C$21),IF(AR6&lt;=11,IF(入力データ!$H$25="私立",前提条件!$C$24,前提条件!$C$23),IF(AR6&lt;=14,IF(入力データ!$I$25="私立",前提条件!$C$26,前提条件!$C$25),IF(AR6&lt;=17,IF(入力データ!$J$25="私立",前提条件!$C$28,前提条件!$C$27),IF(AR6&lt;=21,IF(入力データ!$K$25="国公立",前提条件!$C$29,IF(入力データ!$K$25="私立理系",前提条件!$C$31,前提条件!$C$30))+IF(入力データ!$L$25="下宿",前提条件!$C$32,0)+IF(AR6=18,前提条件!$C$33,0),0))))))+IF(AR7="",0,IF(AR7&lt;=5,IF(入力データ!$G$26="私立",前提条件!$C$22,前提条件!$C$21),IF(AR7&lt;=11,IF(入力データ!$H$26="私立",前提条件!$C$24,前提条件!$C$23),IF(AR7&lt;=14,IF(入力データ!$I$26="私立",前提条件!$C$26,前提条件!$C$25),IF(AR7&lt;=17,IF(入力データ!$J$26="私立",前提条件!$C$28,前提条件!$C$27),IF(AR7&lt;=21,IF(入力データ!$K$26="国公立",前提条件!$C$29,IF(入力データ!$K$26="私立理系",前提条件!$C$31,前提条件!$C$30))+IF(入力データ!$L$26="下宿",前提条件!$C$32,0)+IF(AR7=18,前提条件!$C$33,0),0))))))+IF(AR8="",0,IF(AR8&lt;=5,IF(入力データ!$G$27="私立",前提条件!$C$22,前提条件!$C$21),IF(AR8&lt;=11,IF(入力データ!$H$27="私立",前提条件!$C$24,前提条件!$C$23),IF(AR8&lt;=14,IF(入力データ!$I$27="私立",前提条件!$C$26,前提条件!$C$25),IF(AR8&lt;=17,IF(入力データ!$J$27="私立",前提条件!$C$28,前提条件!$C$27),IF(AR8&lt;=21,IF(入力データ!$K$27="国公立",前提条件!$C$29,IF(入力データ!$K$27="私立理系",前提条件!$C$31,前提条件!$C$30))+IF(入力データ!$L$27="下宿",前提条件!$C$32,0)+IF(AR8=18,前提条件!$C$33,0),0)))))))*(1+前提条件!$C$13)^(AR$3-$B$3))))</f>
        <v/>
      </c>
      <c r="AS24" s="352">
        <f>IF(AS$3="","",IF(入力データ!$C$17&lt;=0,0,IF(AS$3="","",((SUM(入力データ!$C$58:$C$61)*12)+IF(AS6="",0,IF(AS6&lt;=5,IF(入力データ!$G$25="私立",前提条件!$C$22,前提条件!$C$21),IF(AS6&lt;=11,IF(入力データ!$H$25="私立",前提条件!$C$24,前提条件!$C$23),IF(AS6&lt;=14,IF(入力データ!$I$25="私立",前提条件!$C$26,前提条件!$C$25),IF(AS6&lt;=17,IF(入力データ!$J$25="私立",前提条件!$C$28,前提条件!$C$27),IF(AS6&lt;=21,IF(入力データ!$K$25="国公立",前提条件!$C$29,IF(入力データ!$K$25="私立理系",前提条件!$C$31,前提条件!$C$30))+IF(入力データ!$L$25="下宿",前提条件!$C$32,0)+IF(AS6=18,前提条件!$C$33,0),0))))))+IF(AS7="",0,IF(AS7&lt;=5,IF(入力データ!$G$26="私立",前提条件!$C$22,前提条件!$C$21),IF(AS7&lt;=11,IF(入力データ!$H$26="私立",前提条件!$C$24,前提条件!$C$23),IF(AS7&lt;=14,IF(入力データ!$I$26="私立",前提条件!$C$26,前提条件!$C$25),IF(AS7&lt;=17,IF(入力データ!$J$26="私立",前提条件!$C$28,前提条件!$C$27),IF(AS7&lt;=21,IF(入力データ!$K$26="国公立",前提条件!$C$29,IF(入力データ!$K$26="私立理系",前提条件!$C$31,前提条件!$C$30))+IF(入力データ!$L$26="下宿",前提条件!$C$32,0)+IF(AS7=18,前提条件!$C$33,0),0))))))+IF(AS8="",0,IF(AS8&lt;=5,IF(入力データ!$G$27="私立",前提条件!$C$22,前提条件!$C$21),IF(AS8&lt;=11,IF(入力データ!$H$27="私立",前提条件!$C$24,前提条件!$C$23),IF(AS8&lt;=14,IF(入力データ!$I$27="私立",前提条件!$C$26,前提条件!$C$25),IF(AS8&lt;=17,IF(入力データ!$J$27="私立",前提条件!$C$28,前提条件!$C$27),IF(AS8&lt;=21,IF(入力データ!$K$27="国公立",前提条件!$C$29,IF(入力データ!$K$27="私立理系",前提条件!$C$31,前提条件!$C$30))+IF(入力データ!$L$27="下宿",前提条件!$C$32,0)+IF(AS8=18,前提条件!$C$33,0),0)))))))*(1+前提条件!$C$13)^(AS$3-$B$3))))</f>
        <v/>
      </c>
      <c r="AT24" s="352">
        <f>IF(AT$3="","",IF(入力データ!$C$17&lt;=0,0,IF(AT$3="","",((SUM(入力データ!$C$58:$C$61)*12)+IF(AT6="",0,IF(AT6&lt;=5,IF(入力データ!$G$25="私立",前提条件!$C$22,前提条件!$C$21),IF(AT6&lt;=11,IF(入力データ!$H$25="私立",前提条件!$C$24,前提条件!$C$23),IF(AT6&lt;=14,IF(入力データ!$I$25="私立",前提条件!$C$26,前提条件!$C$25),IF(AT6&lt;=17,IF(入力データ!$J$25="私立",前提条件!$C$28,前提条件!$C$27),IF(AT6&lt;=21,IF(入力データ!$K$25="国公立",前提条件!$C$29,IF(入力データ!$K$25="私立理系",前提条件!$C$31,前提条件!$C$30))+IF(入力データ!$L$25="下宿",前提条件!$C$32,0)+IF(AT6=18,前提条件!$C$33,0),0))))))+IF(AT7="",0,IF(AT7&lt;=5,IF(入力データ!$G$26="私立",前提条件!$C$22,前提条件!$C$21),IF(AT7&lt;=11,IF(入力データ!$H$26="私立",前提条件!$C$24,前提条件!$C$23),IF(AT7&lt;=14,IF(入力データ!$I$26="私立",前提条件!$C$26,前提条件!$C$25),IF(AT7&lt;=17,IF(入力データ!$J$26="私立",前提条件!$C$28,前提条件!$C$27),IF(AT7&lt;=21,IF(入力データ!$K$26="国公立",前提条件!$C$29,IF(入力データ!$K$26="私立理系",前提条件!$C$31,前提条件!$C$30))+IF(入力データ!$L$26="下宿",前提条件!$C$32,0)+IF(AT7=18,前提条件!$C$33,0),0))))))+IF(AT8="",0,IF(AT8&lt;=5,IF(入力データ!$G$27="私立",前提条件!$C$22,前提条件!$C$21),IF(AT8&lt;=11,IF(入力データ!$H$27="私立",前提条件!$C$24,前提条件!$C$23),IF(AT8&lt;=14,IF(入力データ!$I$27="私立",前提条件!$C$26,前提条件!$C$25),IF(AT8&lt;=17,IF(入力データ!$J$27="私立",前提条件!$C$28,前提条件!$C$27),IF(AT8&lt;=21,IF(入力データ!$K$27="国公立",前提条件!$C$29,IF(入力データ!$K$27="私立理系",前提条件!$C$31,前提条件!$C$30))+IF(入力データ!$L$27="下宿",前提条件!$C$32,0)+IF(AT8=18,前提条件!$C$33,0),0)))))))*(1+前提条件!$C$13)^(AT$3-$B$3))))</f>
        <v/>
      </c>
      <c r="AU24" s="352">
        <f>IF(AU$3="","",IF(入力データ!$C$17&lt;=0,0,IF(AU$3="","",((SUM(入力データ!$C$58:$C$61)*12)+IF(AU6="",0,IF(AU6&lt;=5,IF(入力データ!$G$25="私立",前提条件!$C$22,前提条件!$C$21),IF(AU6&lt;=11,IF(入力データ!$H$25="私立",前提条件!$C$24,前提条件!$C$23),IF(AU6&lt;=14,IF(入力データ!$I$25="私立",前提条件!$C$26,前提条件!$C$25),IF(AU6&lt;=17,IF(入力データ!$J$25="私立",前提条件!$C$28,前提条件!$C$27),IF(AU6&lt;=21,IF(入力データ!$K$25="国公立",前提条件!$C$29,IF(入力データ!$K$25="私立理系",前提条件!$C$31,前提条件!$C$30))+IF(入力データ!$L$25="下宿",前提条件!$C$32,0)+IF(AU6=18,前提条件!$C$33,0),0))))))+IF(AU7="",0,IF(AU7&lt;=5,IF(入力データ!$G$26="私立",前提条件!$C$22,前提条件!$C$21),IF(AU7&lt;=11,IF(入力データ!$H$26="私立",前提条件!$C$24,前提条件!$C$23),IF(AU7&lt;=14,IF(入力データ!$I$26="私立",前提条件!$C$26,前提条件!$C$25),IF(AU7&lt;=17,IF(入力データ!$J$26="私立",前提条件!$C$28,前提条件!$C$27),IF(AU7&lt;=21,IF(入力データ!$K$26="国公立",前提条件!$C$29,IF(入力データ!$K$26="私立理系",前提条件!$C$31,前提条件!$C$30))+IF(入力データ!$L$26="下宿",前提条件!$C$32,0)+IF(AU7=18,前提条件!$C$33,0),0))))))+IF(AU8="",0,IF(AU8&lt;=5,IF(入力データ!$G$27="私立",前提条件!$C$22,前提条件!$C$21),IF(AU8&lt;=11,IF(入力データ!$H$27="私立",前提条件!$C$24,前提条件!$C$23),IF(AU8&lt;=14,IF(入力データ!$I$27="私立",前提条件!$C$26,前提条件!$C$25),IF(AU8&lt;=17,IF(入力データ!$J$27="私立",前提条件!$C$28,前提条件!$C$27),IF(AU8&lt;=21,IF(入力データ!$K$27="国公立",前提条件!$C$29,IF(入力データ!$K$27="私立理系",前提条件!$C$31,前提条件!$C$30))+IF(入力データ!$L$27="下宿",前提条件!$C$32,0)+IF(AU8=18,前提条件!$C$33,0),0)))))))*(1+前提条件!$C$13)^(AU$3-$B$3))))</f>
        <v/>
      </c>
      <c r="AV24" s="352">
        <f>IF(AV$3="","",IF(入力データ!$C$17&lt;=0,0,IF(AV$3="","",((SUM(入力データ!$C$58:$C$61)*12)+IF(AV6="",0,IF(AV6&lt;=5,IF(入力データ!$G$25="私立",前提条件!$C$22,前提条件!$C$21),IF(AV6&lt;=11,IF(入力データ!$H$25="私立",前提条件!$C$24,前提条件!$C$23),IF(AV6&lt;=14,IF(入力データ!$I$25="私立",前提条件!$C$26,前提条件!$C$25),IF(AV6&lt;=17,IF(入力データ!$J$25="私立",前提条件!$C$28,前提条件!$C$27),IF(AV6&lt;=21,IF(入力データ!$K$25="国公立",前提条件!$C$29,IF(入力データ!$K$25="私立理系",前提条件!$C$31,前提条件!$C$30))+IF(入力データ!$L$25="下宿",前提条件!$C$32,0)+IF(AV6=18,前提条件!$C$33,0),0))))))+IF(AV7="",0,IF(AV7&lt;=5,IF(入力データ!$G$26="私立",前提条件!$C$22,前提条件!$C$21),IF(AV7&lt;=11,IF(入力データ!$H$26="私立",前提条件!$C$24,前提条件!$C$23),IF(AV7&lt;=14,IF(入力データ!$I$26="私立",前提条件!$C$26,前提条件!$C$25),IF(AV7&lt;=17,IF(入力データ!$J$26="私立",前提条件!$C$28,前提条件!$C$27),IF(AV7&lt;=21,IF(入力データ!$K$26="国公立",前提条件!$C$29,IF(入力データ!$K$26="私立理系",前提条件!$C$31,前提条件!$C$30))+IF(入力データ!$L$26="下宿",前提条件!$C$32,0)+IF(AV7=18,前提条件!$C$33,0),0))))))+IF(AV8="",0,IF(AV8&lt;=5,IF(入力データ!$G$27="私立",前提条件!$C$22,前提条件!$C$21),IF(AV8&lt;=11,IF(入力データ!$H$27="私立",前提条件!$C$24,前提条件!$C$23),IF(AV8&lt;=14,IF(入力データ!$I$27="私立",前提条件!$C$26,前提条件!$C$25),IF(AV8&lt;=17,IF(入力データ!$J$27="私立",前提条件!$C$28,前提条件!$C$27),IF(AV8&lt;=21,IF(入力データ!$K$27="国公立",前提条件!$C$29,IF(入力データ!$K$27="私立理系",前提条件!$C$31,前提条件!$C$30))+IF(入力データ!$L$27="下宿",前提条件!$C$32,0)+IF(AV8=18,前提条件!$C$33,0),0)))))))*(1+前提条件!$C$13)^(AV$3-$B$3))))</f>
        <v/>
      </c>
      <c r="AW24" s="352">
        <f>IF(AW$3="","",IF(入力データ!$C$17&lt;=0,0,IF(AW$3="","",((SUM(入力データ!$C$58:$C$61)*12)+IF(AW6="",0,IF(AW6&lt;=5,IF(入力データ!$G$25="私立",前提条件!$C$22,前提条件!$C$21),IF(AW6&lt;=11,IF(入力データ!$H$25="私立",前提条件!$C$24,前提条件!$C$23),IF(AW6&lt;=14,IF(入力データ!$I$25="私立",前提条件!$C$26,前提条件!$C$25),IF(AW6&lt;=17,IF(入力データ!$J$25="私立",前提条件!$C$28,前提条件!$C$27),IF(AW6&lt;=21,IF(入力データ!$K$25="国公立",前提条件!$C$29,IF(入力データ!$K$25="私立理系",前提条件!$C$31,前提条件!$C$30))+IF(入力データ!$L$25="下宿",前提条件!$C$32,0)+IF(AW6=18,前提条件!$C$33,0),0))))))+IF(AW7="",0,IF(AW7&lt;=5,IF(入力データ!$G$26="私立",前提条件!$C$22,前提条件!$C$21),IF(AW7&lt;=11,IF(入力データ!$H$26="私立",前提条件!$C$24,前提条件!$C$23),IF(AW7&lt;=14,IF(入力データ!$I$26="私立",前提条件!$C$26,前提条件!$C$25),IF(AW7&lt;=17,IF(入力データ!$J$26="私立",前提条件!$C$28,前提条件!$C$27),IF(AW7&lt;=21,IF(入力データ!$K$26="国公立",前提条件!$C$29,IF(入力データ!$K$26="私立理系",前提条件!$C$31,前提条件!$C$30))+IF(入力データ!$L$26="下宿",前提条件!$C$32,0)+IF(AW7=18,前提条件!$C$33,0),0))))))+IF(AW8="",0,IF(AW8&lt;=5,IF(入力データ!$G$27="私立",前提条件!$C$22,前提条件!$C$21),IF(AW8&lt;=11,IF(入力データ!$H$27="私立",前提条件!$C$24,前提条件!$C$23),IF(AW8&lt;=14,IF(入力データ!$I$27="私立",前提条件!$C$26,前提条件!$C$25),IF(AW8&lt;=17,IF(入力データ!$J$27="私立",前提条件!$C$28,前提条件!$C$27),IF(AW8&lt;=21,IF(入力データ!$K$27="国公立",前提条件!$C$29,IF(入力データ!$K$27="私立理系",前提条件!$C$31,前提条件!$C$30))+IF(入力データ!$L$27="下宿",前提条件!$C$32,0)+IF(AW8=18,前提条件!$C$33,0),0)))))))*(1+前提条件!$C$13)^(AW$3-$B$3))))</f>
        <v/>
      </c>
      <c r="AX24" s="352">
        <f>IF(AX$3="","",IF(入力データ!$C$17&lt;=0,0,IF(AX$3="","",((SUM(入力データ!$C$58:$C$61)*12)+IF(AX6="",0,IF(AX6&lt;=5,IF(入力データ!$G$25="私立",前提条件!$C$22,前提条件!$C$21),IF(AX6&lt;=11,IF(入力データ!$H$25="私立",前提条件!$C$24,前提条件!$C$23),IF(AX6&lt;=14,IF(入力データ!$I$25="私立",前提条件!$C$26,前提条件!$C$25),IF(AX6&lt;=17,IF(入力データ!$J$25="私立",前提条件!$C$28,前提条件!$C$27),IF(AX6&lt;=21,IF(入力データ!$K$25="国公立",前提条件!$C$29,IF(入力データ!$K$25="私立理系",前提条件!$C$31,前提条件!$C$30))+IF(入力データ!$L$25="下宿",前提条件!$C$32,0)+IF(AX6=18,前提条件!$C$33,0),0))))))+IF(AX7="",0,IF(AX7&lt;=5,IF(入力データ!$G$26="私立",前提条件!$C$22,前提条件!$C$21),IF(AX7&lt;=11,IF(入力データ!$H$26="私立",前提条件!$C$24,前提条件!$C$23),IF(AX7&lt;=14,IF(入力データ!$I$26="私立",前提条件!$C$26,前提条件!$C$25),IF(AX7&lt;=17,IF(入力データ!$J$26="私立",前提条件!$C$28,前提条件!$C$27),IF(AX7&lt;=21,IF(入力データ!$K$26="国公立",前提条件!$C$29,IF(入力データ!$K$26="私立理系",前提条件!$C$31,前提条件!$C$30))+IF(入力データ!$L$26="下宿",前提条件!$C$32,0)+IF(AX7=18,前提条件!$C$33,0),0))))))+IF(AX8="",0,IF(AX8&lt;=5,IF(入力データ!$G$27="私立",前提条件!$C$22,前提条件!$C$21),IF(AX8&lt;=11,IF(入力データ!$H$27="私立",前提条件!$C$24,前提条件!$C$23),IF(AX8&lt;=14,IF(入力データ!$I$27="私立",前提条件!$C$26,前提条件!$C$25),IF(AX8&lt;=17,IF(入力データ!$J$27="私立",前提条件!$C$28,前提条件!$C$27),IF(AX8&lt;=21,IF(入力データ!$K$27="国公立",前提条件!$C$29,IF(入力データ!$K$27="私立理系",前提条件!$C$31,前提条件!$C$30))+IF(入力データ!$L$27="下宿",前提条件!$C$32,0)+IF(AX8=18,前提条件!$C$33,0),0)))))))*(1+前提条件!$C$13)^(AX$3-$B$3))))</f>
        <v/>
      </c>
      <c r="AY24" s="352">
        <f>IF(AY$3="","",IF(入力データ!$C$17&lt;=0,0,IF(AY$3="","",((SUM(入力データ!$C$58:$C$61)*12)+IF(AY6="",0,IF(AY6&lt;=5,IF(入力データ!$G$25="私立",前提条件!$C$22,前提条件!$C$21),IF(AY6&lt;=11,IF(入力データ!$H$25="私立",前提条件!$C$24,前提条件!$C$23),IF(AY6&lt;=14,IF(入力データ!$I$25="私立",前提条件!$C$26,前提条件!$C$25),IF(AY6&lt;=17,IF(入力データ!$J$25="私立",前提条件!$C$28,前提条件!$C$27),IF(AY6&lt;=21,IF(入力データ!$K$25="国公立",前提条件!$C$29,IF(入力データ!$K$25="私立理系",前提条件!$C$31,前提条件!$C$30))+IF(入力データ!$L$25="下宿",前提条件!$C$32,0)+IF(AY6=18,前提条件!$C$33,0),0))))))+IF(AY7="",0,IF(AY7&lt;=5,IF(入力データ!$G$26="私立",前提条件!$C$22,前提条件!$C$21),IF(AY7&lt;=11,IF(入力データ!$H$26="私立",前提条件!$C$24,前提条件!$C$23),IF(AY7&lt;=14,IF(入力データ!$I$26="私立",前提条件!$C$26,前提条件!$C$25),IF(AY7&lt;=17,IF(入力データ!$J$26="私立",前提条件!$C$28,前提条件!$C$27),IF(AY7&lt;=21,IF(入力データ!$K$26="国公立",前提条件!$C$29,IF(入力データ!$K$26="私立理系",前提条件!$C$31,前提条件!$C$30))+IF(入力データ!$L$26="下宿",前提条件!$C$32,0)+IF(AY7=18,前提条件!$C$33,0),0))))))+IF(AY8="",0,IF(AY8&lt;=5,IF(入力データ!$G$27="私立",前提条件!$C$22,前提条件!$C$21),IF(AY8&lt;=11,IF(入力データ!$H$27="私立",前提条件!$C$24,前提条件!$C$23),IF(AY8&lt;=14,IF(入力データ!$I$27="私立",前提条件!$C$26,前提条件!$C$25),IF(AY8&lt;=17,IF(入力データ!$J$27="私立",前提条件!$C$28,前提条件!$C$27),IF(AY8&lt;=21,IF(入力データ!$K$27="国公立",前提条件!$C$29,IF(入力データ!$K$27="私立理系",前提条件!$C$31,前提条件!$C$30))+IF(入力データ!$L$27="下宿",前提条件!$C$32,0)+IF(AY8=18,前提条件!$C$33,0),0)))))))*(1+前提条件!$C$13)^(AY$3-$B$3))))</f>
        <v/>
      </c>
      <c r="AZ24" s="352">
        <f>IF(AZ$3="","",IF(入力データ!$C$17&lt;=0,0,IF(AZ$3="","",((SUM(入力データ!$C$58:$C$61)*12)+IF(AZ6="",0,IF(AZ6&lt;=5,IF(入力データ!$G$25="私立",前提条件!$C$22,前提条件!$C$21),IF(AZ6&lt;=11,IF(入力データ!$H$25="私立",前提条件!$C$24,前提条件!$C$23),IF(AZ6&lt;=14,IF(入力データ!$I$25="私立",前提条件!$C$26,前提条件!$C$25),IF(AZ6&lt;=17,IF(入力データ!$J$25="私立",前提条件!$C$28,前提条件!$C$27),IF(AZ6&lt;=21,IF(入力データ!$K$25="国公立",前提条件!$C$29,IF(入力データ!$K$25="私立理系",前提条件!$C$31,前提条件!$C$30))+IF(入力データ!$L$25="下宿",前提条件!$C$32,0)+IF(AZ6=18,前提条件!$C$33,0),0))))))+IF(AZ7="",0,IF(AZ7&lt;=5,IF(入力データ!$G$26="私立",前提条件!$C$22,前提条件!$C$21),IF(AZ7&lt;=11,IF(入力データ!$H$26="私立",前提条件!$C$24,前提条件!$C$23),IF(AZ7&lt;=14,IF(入力データ!$I$26="私立",前提条件!$C$26,前提条件!$C$25),IF(AZ7&lt;=17,IF(入力データ!$J$26="私立",前提条件!$C$28,前提条件!$C$27),IF(AZ7&lt;=21,IF(入力データ!$K$26="国公立",前提条件!$C$29,IF(入力データ!$K$26="私立理系",前提条件!$C$31,前提条件!$C$30))+IF(入力データ!$L$26="下宿",前提条件!$C$32,0)+IF(AZ7=18,前提条件!$C$33,0),0))))))+IF(AZ8="",0,IF(AZ8&lt;=5,IF(入力データ!$G$27="私立",前提条件!$C$22,前提条件!$C$21),IF(AZ8&lt;=11,IF(入力データ!$H$27="私立",前提条件!$C$24,前提条件!$C$23),IF(AZ8&lt;=14,IF(入力データ!$I$27="私立",前提条件!$C$26,前提条件!$C$25),IF(AZ8&lt;=17,IF(入力データ!$J$27="私立",前提条件!$C$28,前提条件!$C$27),IF(AZ8&lt;=21,IF(入力データ!$K$27="国公立",前提条件!$C$29,IF(入力データ!$K$27="私立理系",前提条件!$C$31,前提条件!$C$30))+IF(入力データ!$L$27="下宿",前提条件!$C$32,0)+IF(AZ8=18,前提条件!$C$33,0),0)))))))*(1+前提条件!$C$13)^(AZ$3-$B$3))))</f>
        <v/>
      </c>
      <c r="BA24" s="352">
        <f>IF(BA$3="","",IF(入力データ!$C$17&lt;=0,0,IF(BA$3="","",((SUM(入力データ!$C$58:$C$61)*12)+IF(BA6="",0,IF(BA6&lt;=5,IF(入力データ!$G$25="私立",前提条件!$C$22,前提条件!$C$21),IF(BA6&lt;=11,IF(入力データ!$H$25="私立",前提条件!$C$24,前提条件!$C$23),IF(BA6&lt;=14,IF(入力データ!$I$25="私立",前提条件!$C$26,前提条件!$C$25),IF(BA6&lt;=17,IF(入力データ!$J$25="私立",前提条件!$C$28,前提条件!$C$27),IF(BA6&lt;=21,IF(入力データ!$K$25="国公立",前提条件!$C$29,IF(入力データ!$K$25="私立理系",前提条件!$C$31,前提条件!$C$30))+IF(入力データ!$L$25="下宿",前提条件!$C$32,0)+IF(BA6=18,前提条件!$C$33,0),0))))))+IF(BA7="",0,IF(BA7&lt;=5,IF(入力データ!$G$26="私立",前提条件!$C$22,前提条件!$C$21),IF(BA7&lt;=11,IF(入力データ!$H$26="私立",前提条件!$C$24,前提条件!$C$23),IF(BA7&lt;=14,IF(入力データ!$I$26="私立",前提条件!$C$26,前提条件!$C$25),IF(BA7&lt;=17,IF(入力データ!$J$26="私立",前提条件!$C$28,前提条件!$C$27),IF(BA7&lt;=21,IF(入力データ!$K$26="国公立",前提条件!$C$29,IF(入力データ!$K$26="私立理系",前提条件!$C$31,前提条件!$C$30))+IF(入力データ!$L$26="下宿",前提条件!$C$32,0)+IF(BA7=18,前提条件!$C$33,0),0))))))+IF(BA8="",0,IF(BA8&lt;=5,IF(入力データ!$G$27="私立",前提条件!$C$22,前提条件!$C$21),IF(BA8&lt;=11,IF(入力データ!$H$27="私立",前提条件!$C$24,前提条件!$C$23),IF(BA8&lt;=14,IF(入力データ!$I$27="私立",前提条件!$C$26,前提条件!$C$25),IF(BA8&lt;=17,IF(入力データ!$J$27="私立",前提条件!$C$28,前提条件!$C$27),IF(BA8&lt;=21,IF(入力データ!$K$27="国公立",前提条件!$C$29,IF(入力データ!$K$27="私立理系",前提条件!$C$31,前提条件!$C$30))+IF(入力データ!$L$27="下宿",前提条件!$C$32,0)+IF(BA8=18,前提条件!$C$33,0),0)))))))*(1+前提条件!$C$13)^(BA$3-$B$3))))</f>
        <v/>
      </c>
      <c r="BB24" s="352">
        <f>IF(BB$3="","",IF(入力データ!$C$17&lt;=0,0,IF(BB$3="","",((SUM(入力データ!$C$58:$C$61)*12)+IF(BB6="",0,IF(BB6&lt;=5,IF(入力データ!$G$25="私立",前提条件!$C$22,前提条件!$C$21),IF(BB6&lt;=11,IF(入力データ!$H$25="私立",前提条件!$C$24,前提条件!$C$23),IF(BB6&lt;=14,IF(入力データ!$I$25="私立",前提条件!$C$26,前提条件!$C$25),IF(BB6&lt;=17,IF(入力データ!$J$25="私立",前提条件!$C$28,前提条件!$C$27),IF(BB6&lt;=21,IF(入力データ!$K$25="国公立",前提条件!$C$29,IF(入力データ!$K$25="私立理系",前提条件!$C$31,前提条件!$C$30))+IF(入力データ!$L$25="下宿",前提条件!$C$32,0)+IF(BB6=18,前提条件!$C$33,0),0))))))+IF(BB7="",0,IF(BB7&lt;=5,IF(入力データ!$G$26="私立",前提条件!$C$22,前提条件!$C$21),IF(BB7&lt;=11,IF(入力データ!$H$26="私立",前提条件!$C$24,前提条件!$C$23),IF(BB7&lt;=14,IF(入力データ!$I$26="私立",前提条件!$C$26,前提条件!$C$25),IF(BB7&lt;=17,IF(入力データ!$J$26="私立",前提条件!$C$28,前提条件!$C$27),IF(BB7&lt;=21,IF(入力データ!$K$26="国公立",前提条件!$C$29,IF(入力データ!$K$26="私立理系",前提条件!$C$31,前提条件!$C$30))+IF(入力データ!$L$26="下宿",前提条件!$C$32,0)+IF(BB7=18,前提条件!$C$33,0),0))))))+IF(BB8="",0,IF(BB8&lt;=5,IF(入力データ!$G$27="私立",前提条件!$C$22,前提条件!$C$21),IF(BB8&lt;=11,IF(入力データ!$H$27="私立",前提条件!$C$24,前提条件!$C$23),IF(BB8&lt;=14,IF(入力データ!$I$27="私立",前提条件!$C$26,前提条件!$C$25),IF(BB8&lt;=17,IF(入力データ!$J$27="私立",前提条件!$C$28,前提条件!$C$27),IF(BB8&lt;=21,IF(入力データ!$K$27="国公立",前提条件!$C$29,IF(入力データ!$K$27="私立理系",前提条件!$C$31,前提条件!$C$30))+IF(入力データ!$L$27="下宿",前提条件!$C$32,0)+IF(BB8=18,前提条件!$C$33,0),0)))))))*(1+前提条件!$C$13)^(BB$3-$B$3))))</f>
        <v/>
      </c>
      <c r="BC24" s="352">
        <f>IF(BC$3="","",IF(入力データ!$C$17&lt;=0,0,IF(BC$3="","",((SUM(入力データ!$C$58:$C$61)*12)+IF(BC6="",0,IF(BC6&lt;=5,IF(入力データ!$G$25="私立",前提条件!$C$22,前提条件!$C$21),IF(BC6&lt;=11,IF(入力データ!$H$25="私立",前提条件!$C$24,前提条件!$C$23),IF(BC6&lt;=14,IF(入力データ!$I$25="私立",前提条件!$C$26,前提条件!$C$25),IF(BC6&lt;=17,IF(入力データ!$J$25="私立",前提条件!$C$28,前提条件!$C$27),IF(BC6&lt;=21,IF(入力データ!$K$25="国公立",前提条件!$C$29,IF(入力データ!$K$25="私立理系",前提条件!$C$31,前提条件!$C$30))+IF(入力データ!$L$25="下宿",前提条件!$C$32,0)+IF(BC6=18,前提条件!$C$33,0),0))))))+IF(BC7="",0,IF(BC7&lt;=5,IF(入力データ!$G$26="私立",前提条件!$C$22,前提条件!$C$21),IF(BC7&lt;=11,IF(入力データ!$H$26="私立",前提条件!$C$24,前提条件!$C$23),IF(BC7&lt;=14,IF(入力データ!$I$26="私立",前提条件!$C$26,前提条件!$C$25),IF(BC7&lt;=17,IF(入力データ!$J$26="私立",前提条件!$C$28,前提条件!$C$27),IF(BC7&lt;=21,IF(入力データ!$K$26="国公立",前提条件!$C$29,IF(入力データ!$K$26="私立理系",前提条件!$C$31,前提条件!$C$30))+IF(入力データ!$L$26="下宿",前提条件!$C$32,0)+IF(BC7=18,前提条件!$C$33,0),0))))))+IF(BC8="",0,IF(BC8&lt;=5,IF(入力データ!$G$27="私立",前提条件!$C$22,前提条件!$C$21),IF(BC8&lt;=11,IF(入力データ!$H$27="私立",前提条件!$C$24,前提条件!$C$23),IF(BC8&lt;=14,IF(入力データ!$I$27="私立",前提条件!$C$26,前提条件!$C$25),IF(BC8&lt;=17,IF(入力データ!$J$27="私立",前提条件!$C$28,前提条件!$C$27),IF(BC8&lt;=21,IF(入力データ!$K$27="国公立",前提条件!$C$29,IF(入力データ!$K$27="私立理系",前提条件!$C$31,前提条件!$C$30))+IF(入力データ!$L$27="下宿",前提条件!$C$32,0)+IF(BC8=18,前提条件!$C$33,0),0)))))))*(1+前提条件!$C$13)^(BC$3-$B$3))))</f>
        <v/>
      </c>
      <c r="BD24" s="352">
        <f>IF(BD$3="","",IF(入力データ!$C$17&lt;=0,0,IF(BD$3="","",((SUM(入力データ!$C$58:$C$61)*12)+IF(BD6="",0,IF(BD6&lt;=5,IF(入力データ!$G$25="私立",前提条件!$C$22,前提条件!$C$21),IF(BD6&lt;=11,IF(入力データ!$H$25="私立",前提条件!$C$24,前提条件!$C$23),IF(BD6&lt;=14,IF(入力データ!$I$25="私立",前提条件!$C$26,前提条件!$C$25),IF(BD6&lt;=17,IF(入力データ!$J$25="私立",前提条件!$C$28,前提条件!$C$27),IF(BD6&lt;=21,IF(入力データ!$K$25="国公立",前提条件!$C$29,IF(入力データ!$K$25="私立理系",前提条件!$C$31,前提条件!$C$30))+IF(入力データ!$L$25="下宿",前提条件!$C$32,0)+IF(BD6=18,前提条件!$C$33,0),0))))))+IF(BD7="",0,IF(BD7&lt;=5,IF(入力データ!$G$26="私立",前提条件!$C$22,前提条件!$C$21),IF(BD7&lt;=11,IF(入力データ!$H$26="私立",前提条件!$C$24,前提条件!$C$23),IF(BD7&lt;=14,IF(入力データ!$I$26="私立",前提条件!$C$26,前提条件!$C$25),IF(BD7&lt;=17,IF(入力データ!$J$26="私立",前提条件!$C$28,前提条件!$C$27),IF(BD7&lt;=21,IF(入力データ!$K$26="国公立",前提条件!$C$29,IF(入力データ!$K$26="私立理系",前提条件!$C$31,前提条件!$C$30))+IF(入力データ!$L$26="下宿",前提条件!$C$32,0)+IF(BD7=18,前提条件!$C$33,0),0))))))+IF(BD8="",0,IF(BD8&lt;=5,IF(入力データ!$G$27="私立",前提条件!$C$22,前提条件!$C$21),IF(BD8&lt;=11,IF(入力データ!$H$27="私立",前提条件!$C$24,前提条件!$C$23),IF(BD8&lt;=14,IF(入力データ!$I$27="私立",前提条件!$C$26,前提条件!$C$25),IF(BD8&lt;=17,IF(入力データ!$J$27="私立",前提条件!$C$28,前提条件!$C$27),IF(BD8&lt;=21,IF(入力データ!$K$27="国公立",前提条件!$C$29,IF(入力データ!$K$27="私立理系",前提条件!$C$31,前提条件!$C$30))+IF(入力データ!$L$27="下宿",前提条件!$C$32,0)+IF(BD8=18,前提条件!$C$33,0),0)))))))*(1+前提条件!$C$13)^(BD$3-$B$3))))</f>
        <v/>
      </c>
      <c r="BE24" s="352">
        <f>IF(BE$3="","",IF(入力データ!$C$17&lt;=0,0,IF(BE$3="","",((SUM(入力データ!$C$58:$C$61)*12)+IF(BE6="",0,IF(BE6&lt;=5,IF(入力データ!$G$25="私立",前提条件!$C$22,前提条件!$C$21),IF(BE6&lt;=11,IF(入力データ!$H$25="私立",前提条件!$C$24,前提条件!$C$23),IF(BE6&lt;=14,IF(入力データ!$I$25="私立",前提条件!$C$26,前提条件!$C$25),IF(BE6&lt;=17,IF(入力データ!$J$25="私立",前提条件!$C$28,前提条件!$C$27),IF(BE6&lt;=21,IF(入力データ!$K$25="国公立",前提条件!$C$29,IF(入力データ!$K$25="私立理系",前提条件!$C$31,前提条件!$C$30))+IF(入力データ!$L$25="下宿",前提条件!$C$32,0)+IF(BE6=18,前提条件!$C$33,0),0))))))+IF(BE7="",0,IF(BE7&lt;=5,IF(入力データ!$G$26="私立",前提条件!$C$22,前提条件!$C$21),IF(BE7&lt;=11,IF(入力データ!$H$26="私立",前提条件!$C$24,前提条件!$C$23),IF(BE7&lt;=14,IF(入力データ!$I$26="私立",前提条件!$C$26,前提条件!$C$25),IF(BE7&lt;=17,IF(入力データ!$J$26="私立",前提条件!$C$28,前提条件!$C$27),IF(BE7&lt;=21,IF(入力データ!$K$26="国公立",前提条件!$C$29,IF(入力データ!$K$26="私立理系",前提条件!$C$31,前提条件!$C$30))+IF(入力データ!$L$26="下宿",前提条件!$C$32,0)+IF(BE7=18,前提条件!$C$33,0),0))))))+IF(BE8="",0,IF(BE8&lt;=5,IF(入力データ!$G$27="私立",前提条件!$C$22,前提条件!$C$21),IF(BE8&lt;=11,IF(入力データ!$H$27="私立",前提条件!$C$24,前提条件!$C$23),IF(BE8&lt;=14,IF(入力データ!$I$27="私立",前提条件!$C$26,前提条件!$C$25),IF(BE8&lt;=17,IF(入力データ!$J$27="私立",前提条件!$C$28,前提条件!$C$27),IF(BE8&lt;=21,IF(入力データ!$K$27="国公立",前提条件!$C$29,IF(入力データ!$K$27="私立理系",前提条件!$C$31,前提条件!$C$30))+IF(入力データ!$L$27="下宿",前提条件!$C$32,0)+IF(BE8=18,前提条件!$C$33,0),0)))))))*(1+前提条件!$C$13)^(BE$3-$B$3))))</f>
        <v/>
      </c>
      <c r="BF24" s="352">
        <f>IF(BF$3="","",IF(入力データ!$C$17&lt;=0,0,IF(BF$3="","",((SUM(入力データ!$C$58:$C$61)*12)+IF(BF6="",0,IF(BF6&lt;=5,IF(入力データ!$G$25="私立",前提条件!$C$22,前提条件!$C$21),IF(BF6&lt;=11,IF(入力データ!$H$25="私立",前提条件!$C$24,前提条件!$C$23),IF(BF6&lt;=14,IF(入力データ!$I$25="私立",前提条件!$C$26,前提条件!$C$25),IF(BF6&lt;=17,IF(入力データ!$J$25="私立",前提条件!$C$28,前提条件!$C$27),IF(BF6&lt;=21,IF(入力データ!$K$25="国公立",前提条件!$C$29,IF(入力データ!$K$25="私立理系",前提条件!$C$31,前提条件!$C$30))+IF(入力データ!$L$25="下宿",前提条件!$C$32,0)+IF(BF6=18,前提条件!$C$33,0),0))))))+IF(BF7="",0,IF(BF7&lt;=5,IF(入力データ!$G$26="私立",前提条件!$C$22,前提条件!$C$21),IF(BF7&lt;=11,IF(入力データ!$H$26="私立",前提条件!$C$24,前提条件!$C$23),IF(BF7&lt;=14,IF(入力データ!$I$26="私立",前提条件!$C$26,前提条件!$C$25),IF(BF7&lt;=17,IF(入力データ!$J$26="私立",前提条件!$C$28,前提条件!$C$27),IF(BF7&lt;=21,IF(入力データ!$K$26="国公立",前提条件!$C$29,IF(入力データ!$K$26="私立理系",前提条件!$C$31,前提条件!$C$30))+IF(入力データ!$L$26="下宿",前提条件!$C$32,0)+IF(BF7=18,前提条件!$C$33,0),0))))))+IF(BF8="",0,IF(BF8&lt;=5,IF(入力データ!$G$27="私立",前提条件!$C$22,前提条件!$C$21),IF(BF8&lt;=11,IF(入力データ!$H$27="私立",前提条件!$C$24,前提条件!$C$23),IF(BF8&lt;=14,IF(入力データ!$I$27="私立",前提条件!$C$26,前提条件!$C$25),IF(BF8&lt;=17,IF(入力データ!$J$27="私立",前提条件!$C$28,前提条件!$C$27),IF(BF8&lt;=21,IF(入力データ!$K$27="国公立",前提条件!$C$29,IF(入力データ!$K$27="私立理系",前提条件!$C$31,前提条件!$C$30))+IF(入力データ!$L$27="下宿",前提条件!$C$32,0)+IF(BF8=18,前提条件!$C$33,0),0)))))))*(1+前提条件!$C$13)^(BF$3-$B$3))))</f>
        <v/>
      </c>
      <c r="BG24" s="352">
        <f>IF(BG$3="","",IF(入力データ!$C$17&lt;=0,0,IF(BG$3="","",((SUM(入力データ!$C$58:$C$61)*12)+IF(BG6="",0,IF(BG6&lt;=5,IF(入力データ!$G$25="私立",前提条件!$C$22,前提条件!$C$21),IF(BG6&lt;=11,IF(入力データ!$H$25="私立",前提条件!$C$24,前提条件!$C$23),IF(BG6&lt;=14,IF(入力データ!$I$25="私立",前提条件!$C$26,前提条件!$C$25),IF(BG6&lt;=17,IF(入力データ!$J$25="私立",前提条件!$C$28,前提条件!$C$27),IF(BG6&lt;=21,IF(入力データ!$K$25="国公立",前提条件!$C$29,IF(入力データ!$K$25="私立理系",前提条件!$C$31,前提条件!$C$30))+IF(入力データ!$L$25="下宿",前提条件!$C$32,0)+IF(BG6=18,前提条件!$C$33,0),0))))))+IF(BG7="",0,IF(BG7&lt;=5,IF(入力データ!$G$26="私立",前提条件!$C$22,前提条件!$C$21),IF(BG7&lt;=11,IF(入力データ!$H$26="私立",前提条件!$C$24,前提条件!$C$23),IF(BG7&lt;=14,IF(入力データ!$I$26="私立",前提条件!$C$26,前提条件!$C$25),IF(BG7&lt;=17,IF(入力データ!$J$26="私立",前提条件!$C$28,前提条件!$C$27),IF(BG7&lt;=21,IF(入力データ!$K$26="国公立",前提条件!$C$29,IF(入力データ!$K$26="私立理系",前提条件!$C$31,前提条件!$C$30))+IF(入力データ!$L$26="下宿",前提条件!$C$32,0)+IF(BG7=18,前提条件!$C$33,0),0))))))+IF(BG8="",0,IF(BG8&lt;=5,IF(入力データ!$G$27="私立",前提条件!$C$22,前提条件!$C$21),IF(BG8&lt;=11,IF(入力データ!$H$27="私立",前提条件!$C$24,前提条件!$C$23),IF(BG8&lt;=14,IF(入力データ!$I$27="私立",前提条件!$C$26,前提条件!$C$25),IF(BG8&lt;=17,IF(入力データ!$J$27="私立",前提条件!$C$28,前提条件!$C$27),IF(BG8&lt;=21,IF(入力データ!$K$27="国公立",前提条件!$C$29,IF(入力データ!$K$27="私立理系",前提条件!$C$31,前提条件!$C$30))+IF(入力データ!$L$27="下宿",前提条件!$C$32,0)+IF(BG8=18,前提条件!$C$33,0),0)))))))*(1+前提条件!$C$13)^(BG$3-$B$3))))</f>
        <v/>
      </c>
      <c r="BH24" s="352">
        <f>IF(BH$3="","",IF(入力データ!$C$17&lt;=0,0,IF(BH$3="","",((SUM(入力データ!$C$58:$C$61)*12)+IF(BH6="",0,IF(BH6&lt;=5,IF(入力データ!$G$25="私立",前提条件!$C$22,前提条件!$C$21),IF(BH6&lt;=11,IF(入力データ!$H$25="私立",前提条件!$C$24,前提条件!$C$23),IF(BH6&lt;=14,IF(入力データ!$I$25="私立",前提条件!$C$26,前提条件!$C$25),IF(BH6&lt;=17,IF(入力データ!$J$25="私立",前提条件!$C$28,前提条件!$C$27),IF(BH6&lt;=21,IF(入力データ!$K$25="国公立",前提条件!$C$29,IF(入力データ!$K$25="私立理系",前提条件!$C$31,前提条件!$C$30))+IF(入力データ!$L$25="下宿",前提条件!$C$32,0)+IF(BH6=18,前提条件!$C$33,0),0))))))+IF(BH7="",0,IF(BH7&lt;=5,IF(入力データ!$G$26="私立",前提条件!$C$22,前提条件!$C$21),IF(BH7&lt;=11,IF(入力データ!$H$26="私立",前提条件!$C$24,前提条件!$C$23),IF(BH7&lt;=14,IF(入力データ!$I$26="私立",前提条件!$C$26,前提条件!$C$25),IF(BH7&lt;=17,IF(入力データ!$J$26="私立",前提条件!$C$28,前提条件!$C$27),IF(BH7&lt;=21,IF(入力データ!$K$26="国公立",前提条件!$C$29,IF(入力データ!$K$26="私立理系",前提条件!$C$31,前提条件!$C$30))+IF(入力データ!$L$26="下宿",前提条件!$C$32,0)+IF(BH7=18,前提条件!$C$33,0),0))))))+IF(BH8="",0,IF(BH8&lt;=5,IF(入力データ!$G$27="私立",前提条件!$C$22,前提条件!$C$21),IF(BH8&lt;=11,IF(入力データ!$H$27="私立",前提条件!$C$24,前提条件!$C$23),IF(BH8&lt;=14,IF(入力データ!$I$27="私立",前提条件!$C$26,前提条件!$C$25),IF(BH8&lt;=17,IF(入力データ!$J$27="私立",前提条件!$C$28,前提条件!$C$27),IF(BH8&lt;=21,IF(入力データ!$K$27="国公立",前提条件!$C$29,IF(入力データ!$K$27="私立理系",前提条件!$C$31,前提条件!$C$30))+IF(入力データ!$L$27="下宿",前提条件!$C$32,0)+IF(BH8=18,前提条件!$C$33,0),0)))))))*(1+前提条件!$C$13)^(BH$3-$B$3))))</f>
        <v/>
      </c>
      <c r="BI24" s="352">
        <f>IF(BI$3="","",IF(入力データ!$C$17&lt;=0,0,IF(BI$3="","",((SUM(入力データ!$C$58:$C$61)*12)+IF(BI6="",0,IF(BI6&lt;=5,IF(入力データ!$G$25="私立",前提条件!$C$22,前提条件!$C$21),IF(BI6&lt;=11,IF(入力データ!$H$25="私立",前提条件!$C$24,前提条件!$C$23),IF(BI6&lt;=14,IF(入力データ!$I$25="私立",前提条件!$C$26,前提条件!$C$25),IF(BI6&lt;=17,IF(入力データ!$J$25="私立",前提条件!$C$28,前提条件!$C$27),IF(BI6&lt;=21,IF(入力データ!$K$25="国公立",前提条件!$C$29,IF(入力データ!$K$25="私立理系",前提条件!$C$31,前提条件!$C$30))+IF(入力データ!$L$25="下宿",前提条件!$C$32,0)+IF(BI6=18,前提条件!$C$33,0),0))))))+IF(BI7="",0,IF(BI7&lt;=5,IF(入力データ!$G$26="私立",前提条件!$C$22,前提条件!$C$21),IF(BI7&lt;=11,IF(入力データ!$H$26="私立",前提条件!$C$24,前提条件!$C$23),IF(BI7&lt;=14,IF(入力データ!$I$26="私立",前提条件!$C$26,前提条件!$C$25),IF(BI7&lt;=17,IF(入力データ!$J$26="私立",前提条件!$C$28,前提条件!$C$27),IF(BI7&lt;=21,IF(入力データ!$K$26="国公立",前提条件!$C$29,IF(入力データ!$K$26="私立理系",前提条件!$C$31,前提条件!$C$30))+IF(入力データ!$L$26="下宿",前提条件!$C$32,0)+IF(BI7=18,前提条件!$C$33,0),0))))))+IF(BI8="",0,IF(BI8&lt;=5,IF(入力データ!$G$27="私立",前提条件!$C$22,前提条件!$C$21),IF(BI8&lt;=11,IF(入力データ!$H$27="私立",前提条件!$C$24,前提条件!$C$23),IF(BI8&lt;=14,IF(入力データ!$I$27="私立",前提条件!$C$26,前提条件!$C$25),IF(BI8&lt;=17,IF(入力データ!$J$27="私立",前提条件!$C$28,前提条件!$C$27),IF(BI8&lt;=21,IF(入力データ!$K$27="国公立",前提条件!$C$29,IF(入力データ!$K$27="私立理系",前提条件!$C$31,前提条件!$C$30))+IF(入力データ!$L$27="下宿",前提条件!$C$32,0)+IF(BI8=18,前提条件!$C$33,0),0)))))))*(1+前提条件!$C$13)^(BI$3-$B$3))))</f>
        <v/>
      </c>
      <c r="BJ24" s="352">
        <f>IF(BJ$3="","",IF(入力データ!$C$17&lt;=0,0,IF(BJ$3="","",((SUM(入力データ!$C$58:$C$61)*12)+IF(BJ6="",0,IF(BJ6&lt;=5,IF(入力データ!$G$25="私立",前提条件!$C$22,前提条件!$C$21),IF(BJ6&lt;=11,IF(入力データ!$H$25="私立",前提条件!$C$24,前提条件!$C$23),IF(BJ6&lt;=14,IF(入力データ!$I$25="私立",前提条件!$C$26,前提条件!$C$25),IF(BJ6&lt;=17,IF(入力データ!$J$25="私立",前提条件!$C$28,前提条件!$C$27),IF(BJ6&lt;=21,IF(入力データ!$K$25="国公立",前提条件!$C$29,IF(入力データ!$K$25="私立理系",前提条件!$C$31,前提条件!$C$30))+IF(入力データ!$L$25="下宿",前提条件!$C$32,0)+IF(BJ6=18,前提条件!$C$33,0),0))))))+IF(BJ7="",0,IF(BJ7&lt;=5,IF(入力データ!$G$26="私立",前提条件!$C$22,前提条件!$C$21),IF(BJ7&lt;=11,IF(入力データ!$H$26="私立",前提条件!$C$24,前提条件!$C$23),IF(BJ7&lt;=14,IF(入力データ!$I$26="私立",前提条件!$C$26,前提条件!$C$25),IF(BJ7&lt;=17,IF(入力データ!$J$26="私立",前提条件!$C$28,前提条件!$C$27),IF(BJ7&lt;=21,IF(入力データ!$K$26="国公立",前提条件!$C$29,IF(入力データ!$K$26="私立理系",前提条件!$C$31,前提条件!$C$30))+IF(入力データ!$L$26="下宿",前提条件!$C$32,0)+IF(BJ7=18,前提条件!$C$33,0),0))))))+IF(BJ8="",0,IF(BJ8&lt;=5,IF(入力データ!$G$27="私立",前提条件!$C$22,前提条件!$C$21),IF(BJ8&lt;=11,IF(入力データ!$H$27="私立",前提条件!$C$24,前提条件!$C$23),IF(BJ8&lt;=14,IF(入力データ!$I$27="私立",前提条件!$C$26,前提条件!$C$25),IF(BJ8&lt;=17,IF(入力データ!$J$27="私立",前提条件!$C$28,前提条件!$C$27),IF(BJ8&lt;=21,IF(入力データ!$K$27="国公立",前提条件!$C$29,IF(入力データ!$K$27="私立理系",前提条件!$C$31,前提条件!$C$30))+IF(入力データ!$L$27="下宿",前提条件!$C$32,0)+IF(BJ8=18,前提条件!$C$33,0),0)))))))*(1+前提条件!$C$13)^(BJ$3-$B$3))))</f>
        <v/>
      </c>
      <c r="BK24" s="352">
        <f>IF(BK$3="","",IF(入力データ!$C$17&lt;=0,0,IF(BK$3="","",((SUM(入力データ!$C$58:$C$61)*12)+IF(BK6="",0,IF(BK6&lt;=5,IF(入力データ!$G$25="私立",前提条件!$C$22,前提条件!$C$21),IF(BK6&lt;=11,IF(入力データ!$H$25="私立",前提条件!$C$24,前提条件!$C$23),IF(BK6&lt;=14,IF(入力データ!$I$25="私立",前提条件!$C$26,前提条件!$C$25),IF(BK6&lt;=17,IF(入力データ!$J$25="私立",前提条件!$C$28,前提条件!$C$27),IF(BK6&lt;=21,IF(入力データ!$K$25="国公立",前提条件!$C$29,IF(入力データ!$K$25="私立理系",前提条件!$C$31,前提条件!$C$30))+IF(入力データ!$L$25="下宿",前提条件!$C$32,0)+IF(BK6=18,前提条件!$C$33,0),0))))))+IF(BK7="",0,IF(BK7&lt;=5,IF(入力データ!$G$26="私立",前提条件!$C$22,前提条件!$C$21),IF(BK7&lt;=11,IF(入力データ!$H$26="私立",前提条件!$C$24,前提条件!$C$23),IF(BK7&lt;=14,IF(入力データ!$I$26="私立",前提条件!$C$26,前提条件!$C$25),IF(BK7&lt;=17,IF(入力データ!$J$26="私立",前提条件!$C$28,前提条件!$C$27),IF(BK7&lt;=21,IF(入力データ!$K$26="国公立",前提条件!$C$29,IF(入力データ!$K$26="私立理系",前提条件!$C$31,前提条件!$C$30))+IF(入力データ!$L$26="下宿",前提条件!$C$32,0)+IF(BK7=18,前提条件!$C$33,0),0))))))+IF(BK8="",0,IF(BK8&lt;=5,IF(入力データ!$G$27="私立",前提条件!$C$22,前提条件!$C$21),IF(BK8&lt;=11,IF(入力データ!$H$27="私立",前提条件!$C$24,前提条件!$C$23),IF(BK8&lt;=14,IF(入力データ!$I$27="私立",前提条件!$C$26,前提条件!$C$25),IF(BK8&lt;=17,IF(入力データ!$J$27="私立",前提条件!$C$28,前提条件!$C$27),IF(BK8&lt;=21,IF(入力データ!$K$27="国公立",前提条件!$C$29,IF(入力データ!$K$27="私立理系",前提条件!$C$31,前提条件!$C$30))+IF(入力データ!$L$27="下宿",前提条件!$C$32,0)+IF(BK8=18,前提条件!$C$33,0),0)))))))*(1+前提条件!$C$13)^(BK$3-$B$3))))</f>
        <v/>
      </c>
      <c r="BL24" s="352">
        <f>IF(BL$3="","",IF(入力データ!$C$17&lt;=0,0,IF(BL$3="","",((SUM(入力データ!$C$58:$C$61)*12)+IF(BL6="",0,IF(BL6&lt;=5,IF(入力データ!$G$25="私立",前提条件!$C$22,前提条件!$C$21),IF(BL6&lt;=11,IF(入力データ!$H$25="私立",前提条件!$C$24,前提条件!$C$23),IF(BL6&lt;=14,IF(入力データ!$I$25="私立",前提条件!$C$26,前提条件!$C$25),IF(BL6&lt;=17,IF(入力データ!$J$25="私立",前提条件!$C$28,前提条件!$C$27),IF(BL6&lt;=21,IF(入力データ!$K$25="国公立",前提条件!$C$29,IF(入力データ!$K$25="私立理系",前提条件!$C$31,前提条件!$C$30))+IF(入力データ!$L$25="下宿",前提条件!$C$32,0)+IF(BL6=18,前提条件!$C$33,0),0))))))+IF(BL7="",0,IF(BL7&lt;=5,IF(入力データ!$G$26="私立",前提条件!$C$22,前提条件!$C$21),IF(BL7&lt;=11,IF(入力データ!$H$26="私立",前提条件!$C$24,前提条件!$C$23),IF(BL7&lt;=14,IF(入力データ!$I$26="私立",前提条件!$C$26,前提条件!$C$25),IF(BL7&lt;=17,IF(入力データ!$J$26="私立",前提条件!$C$28,前提条件!$C$27),IF(BL7&lt;=21,IF(入力データ!$K$26="国公立",前提条件!$C$29,IF(入力データ!$K$26="私立理系",前提条件!$C$31,前提条件!$C$30))+IF(入力データ!$L$26="下宿",前提条件!$C$32,0)+IF(BL7=18,前提条件!$C$33,0),0))))))+IF(BL8="",0,IF(BL8&lt;=5,IF(入力データ!$G$27="私立",前提条件!$C$22,前提条件!$C$21),IF(BL8&lt;=11,IF(入力データ!$H$27="私立",前提条件!$C$24,前提条件!$C$23),IF(BL8&lt;=14,IF(入力データ!$I$27="私立",前提条件!$C$26,前提条件!$C$25),IF(BL8&lt;=17,IF(入力データ!$J$27="私立",前提条件!$C$28,前提条件!$C$27),IF(BL8&lt;=21,IF(入力データ!$K$27="国公立",前提条件!$C$29,IF(入力データ!$K$27="私立理系",前提条件!$C$31,前提条件!$C$30))+IF(入力データ!$L$27="下宿",前提条件!$C$32,0)+IF(BL8=18,前提条件!$C$33,0),0)))))))*(1+前提条件!$C$13)^(BL$3-$B$3))))</f>
        <v/>
      </c>
      <c r="BM24" s="352">
        <f>IF(BM$3="","",IF(入力データ!$C$17&lt;=0,0,IF(BM$3="","",((SUM(入力データ!$C$58:$C$61)*12)+IF(BM6="",0,IF(BM6&lt;=5,IF(入力データ!$G$25="私立",前提条件!$C$22,前提条件!$C$21),IF(BM6&lt;=11,IF(入力データ!$H$25="私立",前提条件!$C$24,前提条件!$C$23),IF(BM6&lt;=14,IF(入力データ!$I$25="私立",前提条件!$C$26,前提条件!$C$25),IF(BM6&lt;=17,IF(入力データ!$J$25="私立",前提条件!$C$28,前提条件!$C$27),IF(BM6&lt;=21,IF(入力データ!$K$25="国公立",前提条件!$C$29,IF(入力データ!$K$25="私立理系",前提条件!$C$31,前提条件!$C$30))+IF(入力データ!$L$25="下宿",前提条件!$C$32,0)+IF(BM6=18,前提条件!$C$33,0),0))))))+IF(BM7="",0,IF(BM7&lt;=5,IF(入力データ!$G$26="私立",前提条件!$C$22,前提条件!$C$21),IF(BM7&lt;=11,IF(入力データ!$H$26="私立",前提条件!$C$24,前提条件!$C$23),IF(BM7&lt;=14,IF(入力データ!$I$26="私立",前提条件!$C$26,前提条件!$C$25),IF(BM7&lt;=17,IF(入力データ!$J$26="私立",前提条件!$C$28,前提条件!$C$27),IF(BM7&lt;=21,IF(入力データ!$K$26="国公立",前提条件!$C$29,IF(入力データ!$K$26="私立理系",前提条件!$C$31,前提条件!$C$30))+IF(入力データ!$L$26="下宿",前提条件!$C$32,0)+IF(BM7=18,前提条件!$C$33,0),0))))))+IF(BM8="",0,IF(BM8&lt;=5,IF(入力データ!$G$27="私立",前提条件!$C$22,前提条件!$C$21),IF(BM8&lt;=11,IF(入力データ!$H$27="私立",前提条件!$C$24,前提条件!$C$23),IF(BM8&lt;=14,IF(入力データ!$I$27="私立",前提条件!$C$26,前提条件!$C$25),IF(BM8&lt;=17,IF(入力データ!$J$27="私立",前提条件!$C$28,前提条件!$C$27),IF(BM8&lt;=21,IF(入力データ!$K$27="国公立",前提条件!$C$29,IF(入力データ!$K$27="私立理系",前提条件!$C$31,前提条件!$C$30))+IF(入力データ!$L$27="下宿",前提条件!$C$32,0)+IF(BM8=18,前提条件!$C$33,0),0)))))))*(1+前提条件!$C$13)^(BM$3-$B$3))))</f>
        <v/>
      </c>
      <c r="BN24" s="352">
        <f>IF(BN$3="","",IF(入力データ!$C$17&lt;=0,0,IF(BN$3="","",((SUM(入力データ!$C$58:$C$61)*12)+IF(BN6="",0,IF(BN6&lt;=5,IF(入力データ!$G$25="私立",前提条件!$C$22,前提条件!$C$21),IF(BN6&lt;=11,IF(入力データ!$H$25="私立",前提条件!$C$24,前提条件!$C$23),IF(BN6&lt;=14,IF(入力データ!$I$25="私立",前提条件!$C$26,前提条件!$C$25),IF(BN6&lt;=17,IF(入力データ!$J$25="私立",前提条件!$C$28,前提条件!$C$27),IF(BN6&lt;=21,IF(入力データ!$K$25="国公立",前提条件!$C$29,IF(入力データ!$K$25="私立理系",前提条件!$C$31,前提条件!$C$30))+IF(入力データ!$L$25="下宿",前提条件!$C$32,0)+IF(BN6=18,前提条件!$C$33,0),0))))))+IF(BN7="",0,IF(BN7&lt;=5,IF(入力データ!$G$26="私立",前提条件!$C$22,前提条件!$C$21),IF(BN7&lt;=11,IF(入力データ!$H$26="私立",前提条件!$C$24,前提条件!$C$23),IF(BN7&lt;=14,IF(入力データ!$I$26="私立",前提条件!$C$26,前提条件!$C$25),IF(BN7&lt;=17,IF(入力データ!$J$26="私立",前提条件!$C$28,前提条件!$C$27),IF(BN7&lt;=21,IF(入力データ!$K$26="国公立",前提条件!$C$29,IF(入力データ!$K$26="私立理系",前提条件!$C$31,前提条件!$C$30))+IF(入力データ!$L$26="下宿",前提条件!$C$32,0)+IF(BN7=18,前提条件!$C$33,0),0))))))+IF(BN8="",0,IF(BN8&lt;=5,IF(入力データ!$G$27="私立",前提条件!$C$22,前提条件!$C$21),IF(BN8&lt;=11,IF(入力データ!$H$27="私立",前提条件!$C$24,前提条件!$C$23),IF(BN8&lt;=14,IF(入力データ!$I$27="私立",前提条件!$C$26,前提条件!$C$25),IF(BN8&lt;=17,IF(入力データ!$J$27="私立",前提条件!$C$28,前提条件!$C$27),IF(BN8&lt;=21,IF(入力データ!$K$27="国公立",前提条件!$C$29,IF(入力データ!$K$27="私立理系",前提条件!$C$31,前提条件!$C$30))+IF(入力データ!$L$27="下宿",前提条件!$C$32,0)+IF(BN8=18,前提条件!$C$33,0),0)))))))*(1+前提条件!$C$13)^(BN$3-$B$3))))</f>
        <v/>
      </c>
      <c r="BO24" s="352">
        <f>IF(BO$3="","",IF(入力データ!$C$17&lt;=0,0,IF(BO$3="","",((SUM(入力データ!$C$58:$C$61)*12)+IF(BO6="",0,IF(BO6&lt;=5,IF(入力データ!$G$25="私立",前提条件!$C$22,前提条件!$C$21),IF(BO6&lt;=11,IF(入力データ!$H$25="私立",前提条件!$C$24,前提条件!$C$23),IF(BO6&lt;=14,IF(入力データ!$I$25="私立",前提条件!$C$26,前提条件!$C$25),IF(BO6&lt;=17,IF(入力データ!$J$25="私立",前提条件!$C$28,前提条件!$C$27),IF(BO6&lt;=21,IF(入力データ!$K$25="国公立",前提条件!$C$29,IF(入力データ!$K$25="私立理系",前提条件!$C$31,前提条件!$C$30))+IF(入力データ!$L$25="下宿",前提条件!$C$32,0)+IF(BO6=18,前提条件!$C$33,0),0))))))+IF(BO7="",0,IF(BO7&lt;=5,IF(入力データ!$G$26="私立",前提条件!$C$22,前提条件!$C$21),IF(BO7&lt;=11,IF(入力データ!$H$26="私立",前提条件!$C$24,前提条件!$C$23),IF(BO7&lt;=14,IF(入力データ!$I$26="私立",前提条件!$C$26,前提条件!$C$25),IF(BO7&lt;=17,IF(入力データ!$J$26="私立",前提条件!$C$28,前提条件!$C$27),IF(BO7&lt;=21,IF(入力データ!$K$26="国公立",前提条件!$C$29,IF(入力データ!$K$26="私立理系",前提条件!$C$31,前提条件!$C$30))+IF(入力データ!$L$26="下宿",前提条件!$C$32,0)+IF(BO7=18,前提条件!$C$33,0),0))))))+IF(BO8="",0,IF(BO8&lt;=5,IF(入力データ!$G$27="私立",前提条件!$C$22,前提条件!$C$21),IF(BO8&lt;=11,IF(入力データ!$H$27="私立",前提条件!$C$24,前提条件!$C$23),IF(BO8&lt;=14,IF(入力データ!$I$27="私立",前提条件!$C$26,前提条件!$C$25),IF(BO8&lt;=17,IF(入力データ!$J$27="私立",前提条件!$C$28,前提条件!$C$27),IF(BO8&lt;=21,IF(入力データ!$K$27="国公立",前提条件!$C$29,IF(入力データ!$K$27="私立理系",前提条件!$C$31,前提条件!$C$30))+IF(入力データ!$L$27="下宿",前提条件!$C$32,0)+IF(BO8=18,前提条件!$C$33,0),0)))))))*(1+前提条件!$C$13)^(BO$3-$B$3))))</f>
        <v/>
      </c>
      <c r="BP24" s="352">
        <f>IF(BP$3="","",IF(入力データ!$C$17&lt;=0,0,IF(BP$3="","",((SUM(入力データ!$C$58:$C$61)*12)+IF(BP6="",0,IF(BP6&lt;=5,IF(入力データ!$G$25="私立",前提条件!$C$22,前提条件!$C$21),IF(BP6&lt;=11,IF(入力データ!$H$25="私立",前提条件!$C$24,前提条件!$C$23),IF(BP6&lt;=14,IF(入力データ!$I$25="私立",前提条件!$C$26,前提条件!$C$25),IF(BP6&lt;=17,IF(入力データ!$J$25="私立",前提条件!$C$28,前提条件!$C$27),IF(BP6&lt;=21,IF(入力データ!$K$25="国公立",前提条件!$C$29,IF(入力データ!$K$25="私立理系",前提条件!$C$31,前提条件!$C$30))+IF(入力データ!$L$25="下宿",前提条件!$C$32,0)+IF(BP6=18,前提条件!$C$33,0),0))))))+IF(BP7="",0,IF(BP7&lt;=5,IF(入力データ!$G$26="私立",前提条件!$C$22,前提条件!$C$21),IF(BP7&lt;=11,IF(入力データ!$H$26="私立",前提条件!$C$24,前提条件!$C$23),IF(BP7&lt;=14,IF(入力データ!$I$26="私立",前提条件!$C$26,前提条件!$C$25),IF(BP7&lt;=17,IF(入力データ!$J$26="私立",前提条件!$C$28,前提条件!$C$27),IF(BP7&lt;=21,IF(入力データ!$K$26="国公立",前提条件!$C$29,IF(入力データ!$K$26="私立理系",前提条件!$C$31,前提条件!$C$30))+IF(入力データ!$L$26="下宿",前提条件!$C$32,0)+IF(BP7=18,前提条件!$C$33,0),0))))))+IF(BP8="",0,IF(BP8&lt;=5,IF(入力データ!$G$27="私立",前提条件!$C$22,前提条件!$C$21),IF(BP8&lt;=11,IF(入力データ!$H$27="私立",前提条件!$C$24,前提条件!$C$23),IF(BP8&lt;=14,IF(入力データ!$I$27="私立",前提条件!$C$26,前提条件!$C$25),IF(BP8&lt;=17,IF(入力データ!$J$27="私立",前提条件!$C$28,前提条件!$C$27),IF(BP8&lt;=21,IF(入力データ!$K$27="国公立",前提条件!$C$29,IF(入力データ!$K$27="私立理系",前提条件!$C$31,前提条件!$C$30))+IF(入力データ!$L$27="下宿",前提条件!$C$32,0)+IF(BP8=18,前提条件!$C$33,0),0)))))))*(1+前提条件!$C$13)^(BP$3-$B$3))))</f>
        <v/>
      </c>
      <c r="BQ24" s="352">
        <f>IF(BQ$3="","",IF(入力データ!$C$17&lt;=0,0,IF(BQ$3="","",((SUM(入力データ!$C$58:$C$61)*12)+IF(BQ6="",0,IF(BQ6&lt;=5,IF(入力データ!$G$25="私立",前提条件!$C$22,前提条件!$C$21),IF(BQ6&lt;=11,IF(入力データ!$H$25="私立",前提条件!$C$24,前提条件!$C$23),IF(BQ6&lt;=14,IF(入力データ!$I$25="私立",前提条件!$C$26,前提条件!$C$25),IF(BQ6&lt;=17,IF(入力データ!$J$25="私立",前提条件!$C$28,前提条件!$C$27),IF(BQ6&lt;=21,IF(入力データ!$K$25="国公立",前提条件!$C$29,IF(入力データ!$K$25="私立理系",前提条件!$C$31,前提条件!$C$30))+IF(入力データ!$L$25="下宿",前提条件!$C$32,0)+IF(BQ6=18,前提条件!$C$33,0),0))))))+IF(BQ7="",0,IF(BQ7&lt;=5,IF(入力データ!$G$26="私立",前提条件!$C$22,前提条件!$C$21),IF(BQ7&lt;=11,IF(入力データ!$H$26="私立",前提条件!$C$24,前提条件!$C$23),IF(BQ7&lt;=14,IF(入力データ!$I$26="私立",前提条件!$C$26,前提条件!$C$25),IF(BQ7&lt;=17,IF(入力データ!$J$26="私立",前提条件!$C$28,前提条件!$C$27),IF(BQ7&lt;=21,IF(入力データ!$K$26="国公立",前提条件!$C$29,IF(入力データ!$K$26="私立理系",前提条件!$C$31,前提条件!$C$30))+IF(入力データ!$L$26="下宿",前提条件!$C$32,0)+IF(BQ7=18,前提条件!$C$33,0),0))))))+IF(BQ8="",0,IF(BQ8&lt;=5,IF(入力データ!$G$27="私立",前提条件!$C$22,前提条件!$C$21),IF(BQ8&lt;=11,IF(入力データ!$H$27="私立",前提条件!$C$24,前提条件!$C$23),IF(BQ8&lt;=14,IF(入力データ!$I$27="私立",前提条件!$C$26,前提条件!$C$25),IF(BQ8&lt;=17,IF(入力データ!$J$27="私立",前提条件!$C$28,前提条件!$C$27),IF(BQ8&lt;=21,IF(入力データ!$K$27="国公立",前提条件!$C$29,IF(入力データ!$K$27="私立理系",前提条件!$C$31,前提条件!$C$30))+IF(入力データ!$L$27="下宿",前提条件!$C$32,0)+IF(BQ8=18,前提条件!$C$33,0),0)))))))*(1+前提条件!$C$13)^(BQ$3-$B$3))))</f>
        <v/>
      </c>
      <c r="BR24" s="352">
        <f>IF(BR$3="","",IF(入力データ!$C$17&lt;=0,0,IF(BR$3="","",((SUM(入力データ!$C$58:$C$61)*12)+IF(BR6="",0,IF(BR6&lt;=5,IF(入力データ!$G$25="私立",前提条件!$C$22,前提条件!$C$21),IF(BR6&lt;=11,IF(入力データ!$H$25="私立",前提条件!$C$24,前提条件!$C$23),IF(BR6&lt;=14,IF(入力データ!$I$25="私立",前提条件!$C$26,前提条件!$C$25),IF(BR6&lt;=17,IF(入力データ!$J$25="私立",前提条件!$C$28,前提条件!$C$27),IF(BR6&lt;=21,IF(入力データ!$K$25="国公立",前提条件!$C$29,IF(入力データ!$K$25="私立理系",前提条件!$C$31,前提条件!$C$30))+IF(入力データ!$L$25="下宿",前提条件!$C$32,0)+IF(BR6=18,前提条件!$C$33,0),0))))))+IF(BR7="",0,IF(BR7&lt;=5,IF(入力データ!$G$26="私立",前提条件!$C$22,前提条件!$C$21),IF(BR7&lt;=11,IF(入力データ!$H$26="私立",前提条件!$C$24,前提条件!$C$23),IF(BR7&lt;=14,IF(入力データ!$I$26="私立",前提条件!$C$26,前提条件!$C$25),IF(BR7&lt;=17,IF(入力データ!$J$26="私立",前提条件!$C$28,前提条件!$C$27),IF(BR7&lt;=21,IF(入力データ!$K$26="国公立",前提条件!$C$29,IF(入力データ!$K$26="私立理系",前提条件!$C$31,前提条件!$C$30))+IF(入力データ!$L$26="下宿",前提条件!$C$32,0)+IF(BR7=18,前提条件!$C$33,0),0))))))+IF(BR8="",0,IF(BR8&lt;=5,IF(入力データ!$G$27="私立",前提条件!$C$22,前提条件!$C$21),IF(BR8&lt;=11,IF(入力データ!$H$27="私立",前提条件!$C$24,前提条件!$C$23),IF(BR8&lt;=14,IF(入力データ!$I$27="私立",前提条件!$C$26,前提条件!$C$25),IF(BR8&lt;=17,IF(入力データ!$J$27="私立",前提条件!$C$28,前提条件!$C$27),IF(BR8&lt;=21,IF(入力データ!$K$27="国公立",前提条件!$C$29,IF(入力データ!$K$27="私立理系",前提条件!$C$31,前提条件!$C$30))+IF(入力データ!$L$27="下宿",前提条件!$C$32,0)+IF(BR8=18,前提条件!$C$33,0),0)))))))*(1+前提条件!$C$13)^(BR$3-$B$3))))</f>
        <v/>
      </c>
      <c r="BS24" s="352">
        <f>IF(BS$3="","",IF(入力データ!$C$17&lt;=0,0,IF(BS$3="","",((SUM(入力データ!$C$58:$C$61)*12)+IF(BS6="",0,IF(BS6&lt;=5,IF(入力データ!$G$25="私立",前提条件!$C$22,前提条件!$C$21),IF(BS6&lt;=11,IF(入力データ!$H$25="私立",前提条件!$C$24,前提条件!$C$23),IF(BS6&lt;=14,IF(入力データ!$I$25="私立",前提条件!$C$26,前提条件!$C$25),IF(BS6&lt;=17,IF(入力データ!$J$25="私立",前提条件!$C$28,前提条件!$C$27),IF(BS6&lt;=21,IF(入力データ!$K$25="国公立",前提条件!$C$29,IF(入力データ!$K$25="私立理系",前提条件!$C$31,前提条件!$C$30))+IF(入力データ!$L$25="下宿",前提条件!$C$32,0)+IF(BS6=18,前提条件!$C$33,0),0))))))+IF(BS7="",0,IF(BS7&lt;=5,IF(入力データ!$G$26="私立",前提条件!$C$22,前提条件!$C$21),IF(BS7&lt;=11,IF(入力データ!$H$26="私立",前提条件!$C$24,前提条件!$C$23),IF(BS7&lt;=14,IF(入力データ!$I$26="私立",前提条件!$C$26,前提条件!$C$25),IF(BS7&lt;=17,IF(入力データ!$J$26="私立",前提条件!$C$28,前提条件!$C$27),IF(BS7&lt;=21,IF(入力データ!$K$26="国公立",前提条件!$C$29,IF(入力データ!$K$26="私立理系",前提条件!$C$31,前提条件!$C$30))+IF(入力データ!$L$26="下宿",前提条件!$C$32,0)+IF(BS7=18,前提条件!$C$33,0),0))))))+IF(BS8="",0,IF(BS8&lt;=5,IF(入力データ!$G$27="私立",前提条件!$C$22,前提条件!$C$21),IF(BS8&lt;=11,IF(入力データ!$H$27="私立",前提条件!$C$24,前提条件!$C$23),IF(BS8&lt;=14,IF(入力データ!$I$27="私立",前提条件!$C$26,前提条件!$C$25),IF(BS8&lt;=17,IF(入力データ!$J$27="私立",前提条件!$C$28,前提条件!$C$27),IF(BS8&lt;=21,IF(入力データ!$K$27="国公立",前提条件!$C$29,IF(入力データ!$K$27="私立理系",前提条件!$C$31,前提条件!$C$30))+IF(入力データ!$L$27="下宿",前提条件!$C$32,0)+IF(BS8=18,前提条件!$C$33,0),0)))))))*(1+前提条件!$C$13)^(BS$3-$B$3))))</f>
        <v/>
      </c>
      <c r="BT24" s="352">
        <f>IF(BT$3="","",IF(入力データ!$C$17&lt;=0,0,IF(BT$3="","",((SUM(入力データ!$C$58:$C$61)*12)+IF(BT6="",0,IF(BT6&lt;=5,IF(入力データ!$G$25="私立",前提条件!$C$22,前提条件!$C$21),IF(BT6&lt;=11,IF(入力データ!$H$25="私立",前提条件!$C$24,前提条件!$C$23),IF(BT6&lt;=14,IF(入力データ!$I$25="私立",前提条件!$C$26,前提条件!$C$25),IF(BT6&lt;=17,IF(入力データ!$J$25="私立",前提条件!$C$28,前提条件!$C$27),IF(BT6&lt;=21,IF(入力データ!$K$25="国公立",前提条件!$C$29,IF(入力データ!$K$25="私立理系",前提条件!$C$31,前提条件!$C$30))+IF(入力データ!$L$25="下宿",前提条件!$C$32,0)+IF(BT6=18,前提条件!$C$33,0),0))))))+IF(BT7="",0,IF(BT7&lt;=5,IF(入力データ!$G$26="私立",前提条件!$C$22,前提条件!$C$21),IF(BT7&lt;=11,IF(入力データ!$H$26="私立",前提条件!$C$24,前提条件!$C$23),IF(BT7&lt;=14,IF(入力データ!$I$26="私立",前提条件!$C$26,前提条件!$C$25),IF(BT7&lt;=17,IF(入力データ!$J$26="私立",前提条件!$C$28,前提条件!$C$27),IF(BT7&lt;=21,IF(入力データ!$K$26="国公立",前提条件!$C$29,IF(入力データ!$K$26="私立理系",前提条件!$C$31,前提条件!$C$30))+IF(入力データ!$L$26="下宿",前提条件!$C$32,0)+IF(BT7=18,前提条件!$C$33,0),0))))))+IF(BT8="",0,IF(BT8&lt;=5,IF(入力データ!$G$27="私立",前提条件!$C$22,前提条件!$C$21),IF(BT8&lt;=11,IF(入力データ!$H$27="私立",前提条件!$C$24,前提条件!$C$23),IF(BT8&lt;=14,IF(入力データ!$I$27="私立",前提条件!$C$26,前提条件!$C$25),IF(BT8&lt;=17,IF(入力データ!$J$27="私立",前提条件!$C$28,前提条件!$C$27),IF(BT8&lt;=21,IF(入力データ!$K$27="国公立",前提条件!$C$29,IF(入力データ!$K$27="私立理系",前提条件!$C$31,前提条件!$C$30))+IF(入力データ!$L$27="下宿",前提条件!$C$32,0)+IF(BT8=18,前提条件!$C$33,0),0)))))))*(1+前提条件!$C$13)^(BT$3-$B$3))))</f>
        <v/>
      </c>
      <c r="BU24" s="352">
        <f>IF(BU$3="","",IF(入力データ!$C$17&lt;=0,0,IF(BU$3="","",((SUM(入力データ!$C$58:$C$61)*12)+IF(BU6="",0,IF(BU6&lt;=5,IF(入力データ!$G$25="私立",前提条件!$C$22,前提条件!$C$21),IF(BU6&lt;=11,IF(入力データ!$H$25="私立",前提条件!$C$24,前提条件!$C$23),IF(BU6&lt;=14,IF(入力データ!$I$25="私立",前提条件!$C$26,前提条件!$C$25),IF(BU6&lt;=17,IF(入力データ!$J$25="私立",前提条件!$C$28,前提条件!$C$27),IF(BU6&lt;=21,IF(入力データ!$K$25="国公立",前提条件!$C$29,IF(入力データ!$K$25="私立理系",前提条件!$C$31,前提条件!$C$30))+IF(入力データ!$L$25="下宿",前提条件!$C$32,0)+IF(BU6=18,前提条件!$C$33,0),0))))))+IF(BU7="",0,IF(BU7&lt;=5,IF(入力データ!$G$26="私立",前提条件!$C$22,前提条件!$C$21),IF(BU7&lt;=11,IF(入力データ!$H$26="私立",前提条件!$C$24,前提条件!$C$23),IF(BU7&lt;=14,IF(入力データ!$I$26="私立",前提条件!$C$26,前提条件!$C$25),IF(BU7&lt;=17,IF(入力データ!$J$26="私立",前提条件!$C$28,前提条件!$C$27),IF(BU7&lt;=21,IF(入力データ!$K$26="国公立",前提条件!$C$29,IF(入力データ!$K$26="私立理系",前提条件!$C$31,前提条件!$C$30))+IF(入力データ!$L$26="下宿",前提条件!$C$32,0)+IF(BU7=18,前提条件!$C$33,0),0))))))+IF(BU8="",0,IF(BU8&lt;=5,IF(入力データ!$G$27="私立",前提条件!$C$22,前提条件!$C$21),IF(BU8&lt;=11,IF(入力データ!$H$27="私立",前提条件!$C$24,前提条件!$C$23),IF(BU8&lt;=14,IF(入力データ!$I$27="私立",前提条件!$C$26,前提条件!$C$25),IF(BU8&lt;=17,IF(入力データ!$J$27="私立",前提条件!$C$28,前提条件!$C$27),IF(BU8&lt;=21,IF(入力データ!$K$27="国公立",前提条件!$C$29,IF(入力データ!$K$27="私立理系",前提条件!$C$31,前提条件!$C$30))+IF(入力データ!$L$27="下宿",前提条件!$C$32,0)+IF(BU8=18,前提条件!$C$33,0),0)))))))*(1+前提条件!$C$13)^(BU$3-$B$3))))</f>
        <v/>
      </c>
      <c r="BV24" s="352">
        <f>IF(BV$3="","",IF(入力データ!$C$17&lt;=0,0,IF(BV$3="","",((SUM(入力データ!$C$58:$C$61)*12)+IF(BV6="",0,IF(BV6&lt;=5,IF(入力データ!$G$25="私立",前提条件!$C$22,前提条件!$C$21),IF(BV6&lt;=11,IF(入力データ!$H$25="私立",前提条件!$C$24,前提条件!$C$23),IF(BV6&lt;=14,IF(入力データ!$I$25="私立",前提条件!$C$26,前提条件!$C$25),IF(BV6&lt;=17,IF(入力データ!$J$25="私立",前提条件!$C$28,前提条件!$C$27),IF(BV6&lt;=21,IF(入力データ!$K$25="国公立",前提条件!$C$29,IF(入力データ!$K$25="私立理系",前提条件!$C$31,前提条件!$C$30))+IF(入力データ!$L$25="下宿",前提条件!$C$32,0)+IF(BV6=18,前提条件!$C$33,0),0))))))+IF(BV7="",0,IF(BV7&lt;=5,IF(入力データ!$G$26="私立",前提条件!$C$22,前提条件!$C$21),IF(BV7&lt;=11,IF(入力データ!$H$26="私立",前提条件!$C$24,前提条件!$C$23),IF(BV7&lt;=14,IF(入力データ!$I$26="私立",前提条件!$C$26,前提条件!$C$25),IF(BV7&lt;=17,IF(入力データ!$J$26="私立",前提条件!$C$28,前提条件!$C$27),IF(BV7&lt;=21,IF(入力データ!$K$26="国公立",前提条件!$C$29,IF(入力データ!$K$26="私立理系",前提条件!$C$31,前提条件!$C$30))+IF(入力データ!$L$26="下宿",前提条件!$C$32,0)+IF(BV7=18,前提条件!$C$33,0),0))))))+IF(BV8="",0,IF(BV8&lt;=5,IF(入力データ!$G$27="私立",前提条件!$C$22,前提条件!$C$21),IF(BV8&lt;=11,IF(入力データ!$H$27="私立",前提条件!$C$24,前提条件!$C$23),IF(BV8&lt;=14,IF(入力データ!$I$27="私立",前提条件!$C$26,前提条件!$C$25),IF(BV8&lt;=17,IF(入力データ!$J$27="私立",前提条件!$C$28,前提条件!$C$27),IF(BV8&lt;=21,IF(入力データ!$K$27="国公立",前提条件!$C$29,IF(入力データ!$K$27="私立理系",前提条件!$C$31,前提条件!$C$30))+IF(入力データ!$L$27="下宿",前提条件!$C$32,0)+IF(BV8=18,前提条件!$C$33,0),0)))))))*(1+前提条件!$C$13)^(BV$3-$B$3))))</f>
        <v/>
      </c>
      <c r="BW24" s="352">
        <f>IF(BW$3="","",IF(入力データ!$C$17&lt;=0,0,IF(BW$3="","",((SUM(入力データ!$C$58:$C$61)*12)+IF(BW6="",0,IF(BW6&lt;=5,IF(入力データ!$G$25="私立",前提条件!$C$22,前提条件!$C$21),IF(BW6&lt;=11,IF(入力データ!$H$25="私立",前提条件!$C$24,前提条件!$C$23),IF(BW6&lt;=14,IF(入力データ!$I$25="私立",前提条件!$C$26,前提条件!$C$25),IF(BW6&lt;=17,IF(入力データ!$J$25="私立",前提条件!$C$28,前提条件!$C$27),IF(BW6&lt;=21,IF(入力データ!$K$25="国公立",前提条件!$C$29,IF(入力データ!$K$25="私立理系",前提条件!$C$31,前提条件!$C$30))+IF(入力データ!$L$25="下宿",前提条件!$C$32,0)+IF(BW6=18,前提条件!$C$33,0),0))))))+IF(BW7="",0,IF(BW7&lt;=5,IF(入力データ!$G$26="私立",前提条件!$C$22,前提条件!$C$21),IF(BW7&lt;=11,IF(入力データ!$H$26="私立",前提条件!$C$24,前提条件!$C$23),IF(BW7&lt;=14,IF(入力データ!$I$26="私立",前提条件!$C$26,前提条件!$C$25),IF(BW7&lt;=17,IF(入力データ!$J$26="私立",前提条件!$C$28,前提条件!$C$27),IF(BW7&lt;=21,IF(入力データ!$K$26="国公立",前提条件!$C$29,IF(入力データ!$K$26="私立理系",前提条件!$C$31,前提条件!$C$30))+IF(入力データ!$L$26="下宿",前提条件!$C$32,0)+IF(BW7=18,前提条件!$C$33,0),0))))))+IF(BW8="",0,IF(BW8&lt;=5,IF(入力データ!$G$27="私立",前提条件!$C$22,前提条件!$C$21),IF(BW8&lt;=11,IF(入力データ!$H$27="私立",前提条件!$C$24,前提条件!$C$23),IF(BW8&lt;=14,IF(入力データ!$I$27="私立",前提条件!$C$26,前提条件!$C$25),IF(BW8&lt;=17,IF(入力データ!$J$27="私立",前提条件!$C$28,前提条件!$C$27),IF(BW8&lt;=21,IF(入力データ!$K$27="国公立",前提条件!$C$29,IF(入力データ!$K$27="私立理系",前提条件!$C$31,前提条件!$C$30))+IF(入力データ!$L$27="下宿",前提条件!$C$32,0)+IF(BW8=18,前提条件!$C$33,0),0)))))))*(1+前提条件!$C$13)^(BW$3-$B$3))))</f>
        <v/>
      </c>
      <c r="BX24" s="352">
        <f>IF(BX$3="","",IF(入力データ!$C$17&lt;=0,0,IF(BX$3="","",((SUM(入力データ!$C$58:$C$61)*12)+IF(BX6="",0,IF(BX6&lt;=5,IF(入力データ!$G$25="私立",前提条件!$C$22,前提条件!$C$21),IF(BX6&lt;=11,IF(入力データ!$H$25="私立",前提条件!$C$24,前提条件!$C$23),IF(BX6&lt;=14,IF(入力データ!$I$25="私立",前提条件!$C$26,前提条件!$C$25),IF(BX6&lt;=17,IF(入力データ!$J$25="私立",前提条件!$C$28,前提条件!$C$27),IF(BX6&lt;=21,IF(入力データ!$K$25="国公立",前提条件!$C$29,IF(入力データ!$K$25="私立理系",前提条件!$C$31,前提条件!$C$30))+IF(入力データ!$L$25="下宿",前提条件!$C$32,0)+IF(BX6=18,前提条件!$C$33,0),0))))))+IF(BX7="",0,IF(BX7&lt;=5,IF(入力データ!$G$26="私立",前提条件!$C$22,前提条件!$C$21),IF(BX7&lt;=11,IF(入力データ!$H$26="私立",前提条件!$C$24,前提条件!$C$23),IF(BX7&lt;=14,IF(入力データ!$I$26="私立",前提条件!$C$26,前提条件!$C$25),IF(BX7&lt;=17,IF(入力データ!$J$26="私立",前提条件!$C$28,前提条件!$C$27),IF(BX7&lt;=21,IF(入力データ!$K$26="国公立",前提条件!$C$29,IF(入力データ!$K$26="私立理系",前提条件!$C$31,前提条件!$C$30))+IF(入力データ!$L$26="下宿",前提条件!$C$32,0)+IF(BX7=18,前提条件!$C$33,0),0))))))+IF(BX8="",0,IF(BX8&lt;=5,IF(入力データ!$G$27="私立",前提条件!$C$22,前提条件!$C$21),IF(BX8&lt;=11,IF(入力データ!$H$27="私立",前提条件!$C$24,前提条件!$C$23),IF(BX8&lt;=14,IF(入力データ!$I$27="私立",前提条件!$C$26,前提条件!$C$25),IF(BX8&lt;=17,IF(入力データ!$J$27="私立",前提条件!$C$28,前提条件!$C$27),IF(BX8&lt;=21,IF(入力データ!$K$27="国公立",前提条件!$C$29,IF(入力データ!$K$27="私立理系",前提条件!$C$31,前提条件!$C$30))+IF(入力データ!$L$27="下宿",前提条件!$C$32,0)+IF(BX8=18,前提条件!$C$33,0),0)))))))*(1+前提条件!$C$13)^(BX$3-$B$3))))</f>
        <v/>
      </c>
      <c r="BY24" s="352">
        <f>IF(BY$3="","",IF(入力データ!$C$17&lt;=0,0,IF(BY$3="","",((SUM(入力データ!$C$58:$C$61)*12)+IF(BY6="",0,IF(BY6&lt;=5,IF(入力データ!$G$25="私立",前提条件!$C$22,前提条件!$C$21),IF(BY6&lt;=11,IF(入力データ!$H$25="私立",前提条件!$C$24,前提条件!$C$23),IF(BY6&lt;=14,IF(入力データ!$I$25="私立",前提条件!$C$26,前提条件!$C$25),IF(BY6&lt;=17,IF(入力データ!$J$25="私立",前提条件!$C$28,前提条件!$C$27),IF(BY6&lt;=21,IF(入力データ!$K$25="国公立",前提条件!$C$29,IF(入力データ!$K$25="私立理系",前提条件!$C$31,前提条件!$C$30))+IF(入力データ!$L$25="下宿",前提条件!$C$32,0)+IF(BY6=18,前提条件!$C$33,0),0))))))+IF(BY7="",0,IF(BY7&lt;=5,IF(入力データ!$G$26="私立",前提条件!$C$22,前提条件!$C$21),IF(BY7&lt;=11,IF(入力データ!$H$26="私立",前提条件!$C$24,前提条件!$C$23),IF(BY7&lt;=14,IF(入力データ!$I$26="私立",前提条件!$C$26,前提条件!$C$25),IF(BY7&lt;=17,IF(入力データ!$J$26="私立",前提条件!$C$28,前提条件!$C$27),IF(BY7&lt;=21,IF(入力データ!$K$26="国公立",前提条件!$C$29,IF(入力データ!$K$26="私立理系",前提条件!$C$31,前提条件!$C$30))+IF(入力データ!$L$26="下宿",前提条件!$C$32,0)+IF(BY7=18,前提条件!$C$33,0),0))))))+IF(BY8="",0,IF(BY8&lt;=5,IF(入力データ!$G$27="私立",前提条件!$C$22,前提条件!$C$21),IF(BY8&lt;=11,IF(入力データ!$H$27="私立",前提条件!$C$24,前提条件!$C$23),IF(BY8&lt;=14,IF(入力データ!$I$27="私立",前提条件!$C$26,前提条件!$C$25),IF(BY8&lt;=17,IF(入力データ!$J$27="私立",前提条件!$C$28,前提条件!$C$27),IF(BY8&lt;=21,IF(入力データ!$K$27="国公立",前提条件!$C$29,IF(入力データ!$K$27="私立理系",前提条件!$C$31,前提条件!$C$30))+IF(入力データ!$L$27="下宿",前提条件!$C$32,0)+IF(BY8=18,前提条件!$C$33,0),0)))))))*(1+前提条件!$C$13)^(BY$3-$B$3))))</f>
        <v/>
      </c>
      <c r="BZ24" s="352">
        <f>IF(BZ$3="","",IF(入力データ!$C$17&lt;=0,0,IF(BZ$3="","",((SUM(入力データ!$C$58:$C$61)*12)+IF(BZ6="",0,IF(BZ6&lt;=5,IF(入力データ!$G$25="私立",前提条件!$C$22,前提条件!$C$21),IF(BZ6&lt;=11,IF(入力データ!$H$25="私立",前提条件!$C$24,前提条件!$C$23),IF(BZ6&lt;=14,IF(入力データ!$I$25="私立",前提条件!$C$26,前提条件!$C$25),IF(BZ6&lt;=17,IF(入力データ!$J$25="私立",前提条件!$C$28,前提条件!$C$27),IF(BZ6&lt;=21,IF(入力データ!$K$25="国公立",前提条件!$C$29,IF(入力データ!$K$25="私立理系",前提条件!$C$31,前提条件!$C$30))+IF(入力データ!$L$25="下宿",前提条件!$C$32,0)+IF(BZ6=18,前提条件!$C$33,0),0))))))+IF(BZ7="",0,IF(BZ7&lt;=5,IF(入力データ!$G$26="私立",前提条件!$C$22,前提条件!$C$21),IF(BZ7&lt;=11,IF(入力データ!$H$26="私立",前提条件!$C$24,前提条件!$C$23),IF(BZ7&lt;=14,IF(入力データ!$I$26="私立",前提条件!$C$26,前提条件!$C$25),IF(BZ7&lt;=17,IF(入力データ!$J$26="私立",前提条件!$C$28,前提条件!$C$27),IF(BZ7&lt;=21,IF(入力データ!$K$26="国公立",前提条件!$C$29,IF(入力データ!$K$26="私立理系",前提条件!$C$31,前提条件!$C$30))+IF(入力データ!$L$26="下宿",前提条件!$C$32,0)+IF(BZ7=18,前提条件!$C$33,0),0))))))+IF(BZ8="",0,IF(BZ8&lt;=5,IF(入力データ!$G$27="私立",前提条件!$C$22,前提条件!$C$21),IF(BZ8&lt;=11,IF(入力データ!$H$27="私立",前提条件!$C$24,前提条件!$C$23),IF(BZ8&lt;=14,IF(入力データ!$I$27="私立",前提条件!$C$26,前提条件!$C$25),IF(BZ8&lt;=17,IF(入力データ!$J$27="私立",前提条件!$C$28,前提条件!$C$27),IF(BZ8&lt;=21,IF(入力データ!$K$27="国公立",前提条件!$C$29,IF(入力データ!$K$27="私立理系",前提条件!$C$31,前提条件!$C$30))+IF(入力データ!$L$27="下宿",前提条件!$C$32,0)+IF(BZ8=18,前提条件!$C$33,0),0)))))))*(1+前提条件!$C$13)^(BZ$3-$B$3))))</f>
        <v/>
      </c>
      <c r="CA24" s="352">
        <f>IF(CA$3="","",IF(入力データ!$C$17&lt;=0,0,IF(CA$3="","",((SUM(入力データ!$C$58:$C$61)*12)+IF(CA6="",0,IF(CA6&lt;=5,IF(入力データ!$G$25="私立",前提条件!$C$22,前提条件!$C$21),IF(CA6&lt;=11,IF(入力データ!$H$25="私立",前提条件!$C$24,前提条件!$C$23),IF(CA6&lt;=14,IF(入力データ!$I$25="私立",前提条件!$C$26,前提条件!$C$25),IF(CA6&lt;=17,IF(入力データ!$J$25="私立",前提条件!$C$28,前提条件!$C$27),IF(CA6&lt;=21,IF(入力データ!$K$25="国公立",前提条件!$C$29,IF(入力データ!$K$25="私立理系",前提条件!$C$31,前提条件!$C$30))+IF(入力データ!$L$25="下宿",前提条件!$C$32,0)+IF(CA6=18,前提条件!$C$33,0),0))))))+IF(CA7="",0,IF(CA7&lt;=5,IF(入力データ!$G$26="私立",前提条件!$C$22,前提条件!$C$21),IF(CA7&lt;=11,IF(入力データ!$H$26="私立",前提条件!$C$24,前提条件!$C$23),IF(CA7&lt;=14,IF(入力データ!$I$26="私立",前提条件!$C$26,前提条件!$C$25),IF(CA7&lt;=17,IF(入力データ!$J$26="私立",前提条件!$C$28,前提条件!$C$27),IF(CA7&lt;=21,IF(入力データ!$K$26="国公立",前提条件!$C$29,IF(入力データ!$K$26="私立理系",前提条件!$C$31,前提条件!$C$30))+IF(入力データ!$L$26="下宿",前提条件!$C$32,0)+IF(CA7=18,前提条件!$C$33,0),0))))))+IF(CA8="",0,IF(CA8&lt;=5,IF(入力データ!$G$27="私立",前提条件!$C$22,前提条件!$C$21),IF(CA8&lt;=11,IF(入力データ!$H$27="私立",前提条件!$C$24,前提条件!$C$23),IF(CA8&lt;=14,IF(入力データ!$I$27="私立",前提条件!$C$26,前提条件!$C$25),IF(CA8&lt;=17,IF(入力データ!$J$27="私立",前提条件!$C$28,前提条件!$C$27),IF(CA8&lt;=21,IF(入力データ!$K$27="国公立",前提条件!$C$29,IF(入力データ!$K$27="私立理系",前提条件!$C$31,前提条件!$C$30))+IF(入力データ!$L$27="下宿",前提条件!$C$32,0)+IF(CA8=18,前提条件!$C$33,0),0)))))))*(1+前提条件!$C$13)^(CA$3-$B$3))))</f>
        <v/>
      </c>
      <c r="CB24" s="352">
        <f>IF(CB$3="","",IF(入力データ!$C$17&lt;=0,0,IF(CB$3="","",((SUM(入力データ!$C$58:$C$61)*12)+IF(CB6="",0,IF(CB6&lt;=5,IF(入力データ!$G$25="私立",前提条件!$C$22,前提条件!$C$21),IF(CB6&lt;=11,IF(入力データ!$H$25="私立",前提条件!$C$24,前提条件!$C$23),IF(CB6&lt;=14,IF(入力データ!$I$25="私立",前提条件!$C$26,前提条件!$C$25),IF(CB6&lt;=17,IF(入力データ!$J$25="私立",前提条件!$C$28,前提条件!$C$27),IF(CB6&lt;=21,IF(入力データ!$K$25="国公立",前提条件!$C$29,IF(入力データ!$K$25="私立理系",前提条件!$C$31,前提条件!$C$30))+IF(入力データ!$L$25="下宿",前提条件!$C$32,0)+IF(CB6=18,前提条件!$C$33,0),0))))))+IF(CB7="",0,IF(CB7&lt;=5,IF(入力データ!$G$26="私立",前提条件!$C$22,前提条件!$C$21),IF(CB7&lt;=11,IF(入力データ!$H$26="私立",前提条件!$C$24,前提条件!$C$23),IF(CB7&lt;=14,IF(入力データ!$I$26="私立",前提条件!$C$26,前提条件!$C$25),IF(CB7&lt;=17,IF(入力データ!$J$26="私立",前提条件!$C$28,前提条件!$C$27),IF(CB7&lt;=21,IF(入力データ!$K$26="国公立",前提条件!$C$29,IF(入力データ!$K$26="私立理系",前提条件!$C$31,前提条件!$C$30))+IF(入力データ!$L$26="下宿",前提条件!$C$32,0)+IF(CB7=18,前提条件!$C$33,0),0))))))+IF(CB8="",0,IF(CB8&lt;=5,IF(入力データ!$G$27="私立",前提条件!$C$22,前提条件!$C$21),IF(CB8&lt;=11,IF(入力データ!$H$27="私立",前提条件!$C$24,前提条件!$C$23),IF(CB8&lt;=14,IF(入力データ!$I$27="私立",前提条件!$C$26,前提条件!$C$25),IF(CB8&lt;=17,IF(入力データ!$J$27="私立",前提条件!$C$28,前提条件!$C$27),IF(CB8&lt;=21,IF(入力データ!$K$27="国公立",前提条件!$C$29,IF(入力データ!$K$27="私立理系",前提条件!$C$31,前提条件!$C$30))+IF(入力データ!$L$27="下宿",前提条件!$C$32,0)+IF(CB8=18,前提条件!$C$33,0),0)))))))*(1+前提条件!$C$13)^(CB$3-$B$3))))</f>
        <v/>
      </c>
      <c r="CC24" s="352">
        <f>IF(CC$3="","",IF(入力データ!$C$17&lt;=0,0,IF(CC$3="","",((SUM(入力データ!$C$58:$C$61)*12)+IF(CC6="",0,IF(CC6&lt;=5,IF(入力データ!$G$25="私立",前提条件!$C$22,前提条件!$C$21),IF(CC6&lt;=11,IF(入力データ!$H$25="私立",前提条件!$C$24,前提条件!$C$23),IF(CC6&lt;=14,IF(入力データ!$I$25="私立",前提条件!$C$26,前提条件!$C$25),IF(CC6&lt;=17,IF(入力データ!$J$25="私立",前提条件!$C$28,前提条件!$C$27),IF(CC6&lt;=21,IF(入力データ!$K$25="国公立",前提条件!$C$29,IF(入力データ!$K$25="私立理系",前提条件!$C$31,前提条件!$C$30))+IF(入力データ!$L$25="下宿",前提条件!$C$32,0)+IF(CC6=18,前提条件!$C$33,0),0))))))+IF(CC7="",0,IF(CC7&lt;=5,IF(入力データ!$G$26="私立",前提条件!$C$22,前提条件!$C$21),IF(CC7&lt;=11,IF(入力データ!$H$26="私立",前提条件!$C$24,前提条件!$C$23),IF(CC7&lt;=14,IF(入力データ!$I$26="私立",前提条件!$C$26,前提条件!$C$25),IF(CC7&lt;=17,IF(入力データ!$J$26="私立",前提条件!$C$28,前提条件!$C$27),IF(CC7&lt;=21,IF(入力データ!$K$26="国公立",前提条件!$C$29,IF(入力データ!$K$26="私立理系",前提条件!$C$31,前提条件!$C$30))+IF(入力データ!$L$26="下宿",前提条件!$C$32,0)+IF(CC7=18,前提条件!$C$33,0),0))))))+IF(CC8="",0,IF(CC8&lt;=5,IF(入力データ!$G$27="私立",前提条件!$C$22,前提条件!$C$21),IF(CC8&lt;=11,IF(入力データ!$H$27="私立",前提条件!$C$24,前提条件!$C$23),IF(CC8&lt;=14,IF(入力データ!$I$27="私立",前提条件!$C$26,前提条件!$C$25),IF(CC8&lt;=17,IF(入力データ!$J$27="私立",前提条件!$C$28,前提条件!$C$27),IF(CC8&lt;=21,IF(入力データ!$K$27="国公立",前提条件!$C$29,IF(入力データ!$K$27="私立理系",前提条件!$C$31,前提条件!$C$30))+IF(入力データ!$L$27="下宿",前提条件!$C$32,0)+IF(CC8=18,前提条件!$C$33,0),0)))))))*(1+前提条件!$C$13)^(CC$3-$B$3))))</f>
        <v/>
      </c>
      <c r="CD24" s="352">
        <f>IF(CD$3="","",IF(入力データ!$C$17&lt;=0,0,IF(CD$3="","",((SUM(入力データ!$C$58:$C$61)*12)+IF(CD6="",0,IF(CD6&lt;=5,IF(入力データ!$G$25="私立",前提条件!$C$22,前提条件!$C$21),IF(CD6&lt;=11,IF(入力データ!$H$25="私立",前提条件!$C$24,前提条件!$C$23),IF(CD6&lt;=14,IF(入力データ!$I$25="私立",前提条件!$C$26,前提条件!$C$25),IF(CD6&lt;=17,IF(入力データ!$J$25="私立",前提条件!$C$28,前提条件!$C$27),IF(CD6&lt;=21,IF(入力データ!$K$25="国公立",前提条件!$C$29,IF(入力データ!$K$25="私立理系",前提条件!$C$31,前提条件!$C$30))+IF(入力データ!$L$25="下宿",前提条件!$C$32,0)+IF(CD6=18,前提条件!$C$33,0),0))))))+IF(CD7="",0,IF(CD7&lt;=5,IF(入力データ!$G$26="私立",前提条件!$C$22,前提条件!$C$21),IF(CD7&lt;=11,IF(入力データ!$H$26="私立",前提条件!$C$24,前提条件!$C$23),IF(CD7&lt;=14,IF(入力データ!$I$26="私立",前提条件!$C$26,前提条件!$C$25),IF(CD7&lt;=17,IF(入力データ!$J$26="私立",前提条件!$C$28,前提条件!$C$27),IF(CD7&lt;=21,IF(入力データ!$K$26="国公立",前提条件!$C$29,IF(入力データ!$K$26="私立理系",前提条件!$C$31,前提条件!$C$30))+IF(入力データ!$L$26="下宿",前提条件!$C$32,0)+IF(CD7=18,前提条件!$C$33,0),0))))))+IF(CD8="",0,IF(CD8&lt;=5,IF(入力データ!$G$27="私立",前提条件!$C$22,前提条件!$C$21),IF(CD8&lt;=11,IF(入力データ!$H$27="私立",前提条件!$C$24,前提条件!$C$23),IF(CD8&lt;=14,IF(入力データ!$I$27="私立",前提条件!$C$26,前提条件!$C$25),IF(CD8&lt;=17,IF(入力データ!$J$27="私立",前提条件!$C$28,前提条件!$C$27),IF(CD8&lt;=21,IF(入力データ!$K$27="国公立",前提条件!$C$29,IF(入力データ!$K$27="私立理系",前提条件!$C$31,前提条件!$C$30))+IF(入力データ!$L$27="下宿",前提条件!$C$32,0)+IF(CD8=18,前提条件!$C$33,0),0)))))))*(1+前提条件!$C$13)^(CD$3-$B$3))))</f>
        <v/>
      </c>
      <c r="CE24" s="352">
        <f>IF(CE$3="","",IF(入力データ!$C$17&lt;=0,0,IF(CE$3="","",((SUM(入力データ!$C$58:$C$61)*12)+IF(CE6="",0,IF(CE6&lt;=5,IF(入力データ!$G$25="私立",前提条件!$C$22,前提条件!$C$21),IF(CE6&lt;=11,IF(入力データ!$H$25="私立",前提条件!$C$24,前提条件!$C$23),IF(CE6&lt;=14,IF(入力データ!$I$25="私立",前提条件!$C$26,前提条件!$C$25),IF(CE6&lt;=17,IF(入力データ!$J$25="私立",前提条件!$C$28,前提条件!$C$27),IF(CE6&lt;=21,IF(入力データ!$K$25="国公立",前提条件!$C$29,IF(入力データ!$K$25="私立理系",前提条件!$C$31,前提条件!$C$30))+IF(入力データ!$L$25="下宿",前提条件!$C$32,0)+IF(CE6=18,前提条件!$C$33,0),0))))))+IF(CE7="",0,IF(CE7&lt;=5,IF(入力データ!$G$26="私立",前提条件!$C$22,前提条件!$C$21),IF(CE7&lt;=11,IF(入力データ!$H$26="私立",前提条件!$C$24,前提条件!$C$23),IF(CE7&lt;=14,IF(入力データ!$I$26="私立",前提条件!$C$26,前提条件!$C$25),IF(CE7&lt;=17,IF(入力データ!$J$26="私立",前提条件!$C$28,前提条件!$C$27),IF(CE7&lt;=21,IF(入力データ!$K$26="国公立",前提条件!$C$29,IF(入力データ!$K$26="私立理系",前提条件!$C$31,前提条件!$C$30))+IF(入力データ!$L$26="下宿",前提条件!$C$32,0)+IF(CE7=18,前提条件!$C$33,0),0))))))+IF(CE8="",0,IF(CE8&lt;=5,IF(入力データ!$G$27="私立",前提条件!$C$22,前提条件!$C$21),IF(CE8&lt;=11,IF(入力データ!$H$27="私立",前提条件!$C$24,前提条件!$C$23),IF(CE8&lt;=14,IF(入力データ!$I$27="私立",前提条件!$C$26,前提条件!$C$25),IF(CE8&lt;=17,IF(入力データ!$J$27="私立",前提条件!$C$28,前提条件!$C$27),IF(CE8&lt;=21,IF(入力データ!$K$27="国公立",前提条件!$C$29,IF(入力データ!$K$27="私立理系",前提条件!$C$31,前提条件!$C$30))+IF(入力データ!$L$27="下宿",前提条件!$C$32,0)+IF(CE8=18,前提条件!$C$33,0),0)))))))*(1+前提条件!$C$13)^(CE$3-$B$3))))</f>
        <v/>
      </c>
      <c r="CF24" s="352">
        <f>IF(CF$3="","",IF(入力データ!$C$17&lt;=0,0,IF(CF$3="","",((SUM(入力データ!$C$58:$C$61)*12)+IF(CF6="",0,IF(CF6&lt;=5,IF(入力データ!$G$25="私立",前提条件!$C$22,前提条件!$C$21),IF(CF6&lt;=11,IF(入力データ!$H$25="私立",前提条件!$C$24,前提条件!$C$23),IF(CF6&lt;=14,IF(入力データ!$I$25="私立",前提条件!$C$26,前提条件!$C$25),IF(CF6&lt;=17,IF(入力データ!$J$25="私立",前提条件!$C$28,前提条件!$C$27),IF(CF6&lt;=21,IF(入力データ!$K$25="国公立",前提条件!$C$29,IF(入力データ!$K$25="私立理系",前提条件!$C$31,前提条件!$C$30))+IF(入力データ!$L$25="下宿",前提条件!$C$32,0)+IF(CF6=18,前提条件!$C$33,0),0))))))+IF(CF7="",0,IF(CF7&lt;=5,IF(入力データ!$G$26="私立",前提条件!$C$22,前提条件!$C$21),IF(CF7&lt;=11,IF(入力データ!$H$26="私立",前提条件!$C$24,前提条件!$C$23),IF(CF7&lt;=14,IF(入力データ!$I$26="私立",前提条件!$C$26,前提条件!$C$25),IF(CF7&lt;=17,IF(入力データ!$J$26="私立",前提条件!$C$28,前提条件!$C$27),IF(CF7&lt;=21,IF(入力データ!$K$26="国公立",前提条件!$C$29,IF(入力データ!$K$26="私立理系",前提条件!$C$31,前提条件!$C$30))+IF(入力データ!$L$26="下宿",前提条件!$C$32,0)+IF(CF7=18,前提条件!$C$33,0),0))))))+IF(CF8="",0,IF(CF8&lt;=5,IF(入力データ!$G$27="私立",前提条件!$C$22,前提条件!$C$21),IF(CF8&lt;=11,IF(入力データ!$H$27="私立",前提条件!$C$24,前提条件!$C$23),IF(CF8&lt;=14,IF(入力データ!$I$27="私立",前提条件!$C$26,前提条件!$C$25),IF(CF8&lt;=17,IF(入力データ!$J$27="私立",前提条件!$C$28,前提条件!$C$27),IF(CF8&lt;=21,IF(入力データ!$K$27="国公立",前提条件!$C$29,IF(入力データ!$K$27="私立理系",前提条件!$C$31,前提条件!$C$30))+IF(入力データ!$L$27="下宿",前提条件!$C$32,0)+IF(CF8=18,前提条件!$C$33,0),0)))))))*(1+前提条件!$C$13)^(CF$3-$B$3))))</f>
        <v/>
      </c>
      <c r="CG24" s="352">
        <f>IF(CG$3="","",IF(入力データ!$C$17&lt;=0,0,IF(CG$3="","",((SUM(入力データ!$C$58:$C$61)*12)+IF(CG6="",0,IF(CG6&lt;=5,IF(入力データ!$G$25="私立",前提条件!$C$22,前提条件!$C$21),IF(CG6&lt;=11,IF(入力データ!$H$25="私立",前提条件!$C$24,前提条件!$C$23),IF(CG6&lt;=14,IF(入力データ!$I$25="私立",前提条件!$C$26,前提条件!$C$25),IF(CG6&lt;=17,IF(入力データ!$J$25="私立",前提条件!$C$28,前提条件!$C$27),IF(CG6&lt;=21,IF(入力データ!$K$25="国公立",前提条件!$C$29,IF(入力データ!$K$25="私立理系",前提条件!$C$31,前提条件!$C$30))+IF(入力データ!$L$25="下宿",前提条件!$C$32,0)+IF(CG6=18,前提条件!$C$33,0),0))))))+IF(CG7="",0,IF(CG7&lt;=5,IF(入力データ!$G$26="私立",前提条件!$C$22,前提条件!$C$21),IF(CG7&lt;=11,IF(入力データ!$H$26="私立",前提条件!$C$24,前提条件!$C$23),IF(CG7&lt;=14,IF(入力データ!$I$26="私立",前提条件!$C$26,前提条件!$C$25),IF(CG7&lt;=17,IF(入力データ!$J$26="私立",前提条件!$C$28,前提条件!$C$27),IF(CG7&lt;=21,IF(入力データ!$K$26="国公立",前提条件!$C$29,IF(入力データ!$K$26="私立理系",前提条件!$C$31,前提条件!$C$30))+IF(入力データ!$L$26="下宿",前提条件!$C$32,0)+IF(CG7=18,前提条件!$C$33,0),0))))))+IF(CG8="",0,IF(CG8&lt;=5,IF(入力データ!$G$27="私立",前提条件!$C$22,前提条件!$C$21),IF(CG8&lt;=11,IF(入力データ!$H$27="私立",前提条件!$C$24,前提条件!$C$23),IF(CG8&lt;=14,IF(入力データ!$I$27="私立",前提条件!$C$26,前提条件!$C$25),IF(CG8&lt;=17,IF(入力データ!$J$27="私立",前提条件!$C$28,前提条件!$C$27),IF(CG8&lt;=21,IF(入力データ!$K$27="国公立",前提条件!$C$29,IF(入力データ!$K$27="私立理系",前提条件!$C$31,前提条件!$C$30))+IF(入力データ!$L$27="下宿",前提条件!$C$32,0)+IF(CG8=18,前提条件!$C$33,0),0)))))))*(1+前提条件!$C$13)^(CG$3-$B$3))))</f>
        <v/>
      </c>
      <c r="CH24" s="352">
        <f>IF(CH$3="","",IF(入力データ!$C$17&lt;=0,0,IF(CH$3="","",((SUM(入力データ!$C$58:$C$61)*12)+IF(CH6="",0,IF(CH6&lt;=5,IF(入力データ!$G$25="私立",前提条件!$C$22,前提条件!$C$21),IF(CH6&lt;=11,IF(入力データ!$H$25="私立",前提条件!$C$24,前提条件!$C$23),IF(CH6&lt;=14,IF(入力データ!$I$25="私立",前提条件!$C$26,前提条件!$C$25),IF(CH6&lt;=17,IF(入力データ!$J$25="私立",前提条件!$C$28,前提条件!$C$27),IF(CH6&lt;=21,IF(入力データ!$K$25="国公立",前提条件!$C$29,IF(入力データ!$K$25="私立理系",前提条件!$C$31,前提条件!$C$30))+IF(入力データ!$L$25="下宿",前提条件!$C$32,0)+IF(CH6=18,前提条件!$C$33,0),0))))))+IF(CH7="",0,IF(CH7&lt;=5,IF(入力データ!$G$26="私立",前提条件!$C$22,前提条件!$C$21),IF(CH7&lt;=11,IF(入力データ!$H$26="私立",前提条件!$C$24,前提条件!$C$23),IF(CH7&lt;=14,IF(入力データ!$I$26="私立",前提条件!$C$26,前提条件!$C$25),IF(CH7&lt;=17,IF(入力データ!$J$26="私立",前提条件!$C$28,前提条件!$C$27),IF(CH7&lt;=21,IF(入力データ!$K$26="国公立",前提条件!$C$29,IF(入力データ!$K$26="私立理系",前提条件!$C$31,前提条件!$C$30))+IF(入力データ!$L$26="下宿",前提条件!$C$32,0)+IF(CH7=18,前提条件!$C$33,0),0))))))+IF(CH8="",0,IF(CH8&lt;=5,IF(入力データ!$G$27="私立",前提条件!$C$22,前提条件!$C$21),IF(CH8&lt;=11,IF(入力データ!$H$27="私立",前提条件!$C$24,前提条件!$C$23),IF(CH8&lt;=14,IF(入力データ!$I$27="私立",前提条件!$C$26,前提条件!$C$25),IF(CH8&lt;=17,IF(入力データ!$J$27="私立",前提条件!$C$28,前提条件!$C$27),IF(CH8&lt;=21,IF(入力データ!$K$27="国公立",前提条件!$C$29,IF(入力データ!$K$27="私立理系",前提条件!$C$31,前提条件!$C$30))+IF(入力データ!$L$27="下宿",前提条件!$C$32,0)+IF(CH8=18,前提条件!$C$33,0),0)))))))*(1+前提条件!$C$13)^(CH$3-$B$3))))</f>
        <v/>
      </c>
      <c r="CI24" s="352">
        <f>IF(CI$3="","",IF(入力データ!$C$17&lt;=0,0,IF(CI$3="","",((SUM(入力データ!$C$58:$C$61)*12)+IF(CI6="",0,IF(CI6&lt;=5,IF(入力データ!$G$25="私立",前提条件!$C$22,前提条件!$C$21),IF(CI6&lt;=11,IF(入力データ!$H$25="私立",前提条件!$C$24,前提条件!$C$23),IF(CI6&lt;=14,IF(入力データ!$I$25="私立",前提条件!$C$26,前提条件!$C$25),IF(CI6&lt;=17,IF(入力データ!$J$25="私立",前提条件!$C$28,前提条件!$C$27),IF(CI6&lt;=21,IF(入力データ!$K$25="国公立",前提条件!$C$29,IF(入力データ!$K$25="私立理系",前提条件!$C$31,前提条件!$C$30))+IF(入力データ!$L$25="下宿",前提条件!$C$32,0)+IF(CI6=18,前提条件!$C$33,0),0))))))+IF(CI7="",0,IF(CI7&lt;=5,IF(入力データ!$G$26="私立",前提条件!$C$22,前提条件!$C$21),IF(CI7&lt;=11,IF(入力データ!$H$26="私立",前提条件!$C$24,前提条件!$C$23),IF(CI7&lt;=14,IF(入力データ!$I$26="私立",前提条件!$C$26,前提条件!$C$25),IF(CI7&lt;=17,IF(入力データ!$J$26="私立",前提条件!$C$28,前提条件!$C$27),IF(CI7&lt;=21,IF(入力データ!$K$26="国公立",前提条件!$C$29,IF(入力データ!$K$26="私立理系",前提条件!$C$31,前提条件!$C$30))+IF(入力データ!$L$26="下宿",前提条件!$C$32,0)+IF(CI7=18,前提条件!$C$33,0),0))))))+IF(CI8="",0,IF(CI8&lt;=5,IF(入力データ!$G$27="私立",前提条件!$C$22,前提条件!$C$21),IF(CI8&lt;=11,IF(入力データ!$H$27="私立",前提条件!$C$24,前提条件!$C$23),IF(CI8&lt;=14,IF(入力データ!$I$27="私立",前提条件!$C$26,前提条件!$C$25),IF(CI8&lt;=17,IF(入力データ!$J$27="私立",前提条件!$C$28,前提条件!$C$27),IF(CI8&lt;=21,IF(入力データ!$K$27="国公立",前提条件!$C$29,IF(入力データ!$K$27="私立理系",前提条件!$C$31,前提条件!$C$30))+IF(入力データ!$L$27="下宿",前提条件!$C$32,0)+IF(CI8=18,前提条件!$C$33,0),0)))))))*(1+前提条件!$C$13)^(CI$3-$B$3))))</f>
        <v/>
      </c>
      <c r="CJ24" s="352">
        <f>IF(CJ$3="","",IF(入力データ!$C$17&lt;=0,0,IF(CJ$3="","",((SUM(入力データ!$C$58:$C$61)*12)+IF(CJ6="",0,IF(CJ6&lt;=5,IF(入力データ!$G$25="私立",前提条件!$C$22,前提条件!$C$21),IF(CJ6&lt;=11,IF(入力データ!$H$25="私立",前提条件!$C$24,前提条件!$C$23),IF(CJ6&lt;=14,IF(入力データ!$I$25="私立",前提条件!$C$26,前提条件!$C$25),IF(CJ6&lt;=17,IF(入力データ!$J$25="私立",前提条件!$C$28,前提条件!$C$27),IF(CJ6&lt;=21,IF(入力データ!$K$25="国公立",前提条件!$C$29,IF(入力データ!$K$25="私立理系",前提条件!$C$31,前提条件!$C$30))+IF(入力データ!$L$25="下宿",前提条件!$C$32,0)+IF(CJ6=18,前提条件!$C$33,0),0))))))+IF(CJ7="",0,IF(CJ7&lt;=5,IF(入力データ!$G$26="私立",前提条件!$C$22,前提条件!$C$21),IF(CJ7&lt;=11,IF(入力データ!$H$26="私立",前提条件!$C$24,前提条件!$C$23),IF(CJ7&lt;=14,IF(入力データ!$I$26="私立",前提条件!$C$26,前提条件!$C$25),IF(CJ7&lt;=17,IF(入力データ!$J$26="私立",前提条件!$C$28,前提条件!$C$27),IF(CJ7&lt;=21,IF(入力データ!$K$26="国公立",前提条件!$C$29,IF(入力データ!$K$26="私立理系",前提条件!$C$31,前提条件!$C$30))+IF(入力データ!$L$26="下宿",前提条件!$C$32,0)+IF(CJ7=18,前提条件!$C$33,0),0))))))+IF(CJ8="",0,IF(CJ8&lt;=5,IF(入力データ!$G$27="私立",前提条件!$C$22,前提条件!$C$21),IF(CJ8&lt;=11,IF(入力データ!$H$27="私立",前提条件!$C$24,前提条件!$C$23),IF(CJ8&lt;=14,IF(入力データ!$I$27="私立",前提条件!$C$26,前提条件!$C$25),IF(CJ8&lt;=17,IF(入力データ!$J$27="私立",前提条件!$C$28,前提条件!$C$27),IF(CJ8&lt;=21,IF(入力データ!$K$27="国公立",前提条件!$C$29,IF(入力データ!$K$27="私立理系",前提条件!$C$31,前提条件!$C$30))+IF(入力データ!$L$27="下宿",前提条件!$C$32,0)+IF(CJ8=18,前提条件!$C$33,0),0)))))))*(1+前提条件!$C$13)^(CJ$3-$B$3))))</f>
        <v/>
      </c>
      <c r="CK24" s="352">
        <f>IF(CK$3="","",IF(入力データ!$C$17&lt;=0,0,IF(CK$3="","",((SUM(入力データ!$C$58:$C$61)*12)+IF(CK6="",0,IF(CK6&lt;=5,IF(入力データ!$G$25="私立",前提条件!$C$22,前提条件!$C$21),IF(CK6&lt;=11,IF(入力データ!$H$25="私立",前提条件!$C$24,前提条件!$C$23),IF(CK6&lt;=14,IF(入力データ!$I$25="私立",前提条件!$C$26,前提条件!$C$25),IF(CK6&lt;=17,IF(入力データ!$J$25="私立",前提条件!$C$28,前提条件!$C$27),IF(CK6&lt;=21,IF(入力データ!$K$25="国公立",前提条件!$C$29,IF(入力データ!$K$25="私立理系",前提条件!$C$31,前提条件!$C$30))+IF(入力データ!$L$25="下宿",前提条件!$C$32,0)+IF(CK6=18,前提条件!$C$33,0),0))))))+IF(CK7="",0,IF(CK7&lt;=5,IF(入力データ!$G$26="私立",前提条件!$C$22,前提条件!$C$21),IF(CK7&lt;=11,IF(入力データ!$H$26="私立",前提条件!$C$24,前提条件!$C$23),IF(CK7&lt;=14,IF(入力データ!$I$26="私立",前提条件!$C$26,前提条件!$C$25),IF(CK7&lt;=17,IF(入力データ!$J$26="私立",前提条件!$C$28,前提条件!$C$27),IF(CK7&lt;=21,IF(入力データ!$K$26="国公立",前提条件!$C$29,IF(入力データ!$K$26="私立理系",前提条件!$C$31,前提条件!$C$30))+IF(入力データ!$L$26="下宿",前提条件!$C$32,0)+IF(CK7=18,前提条件!$C$33,0),0))))))+IF(CK8="",0,IF(CK8&lt;=5,IF(入力データ!$G$27="私立",前提条件!$C$22,前提条件!$C$21),IF(CK8&lt;=11,IF(入力データ!$H$27="私立",前提条件!$C$24,前提条件!$C$23),IF(CK8&lt;=14,IF(入力データ!$I$27="私立",前提条件!$C$26,前提条件!$C$25),IF(CK8&lt;=17,IF(入力データ!$J$27="私立",前提条件!$C$28,前提条件!$C$27),IF(CK8&lt;=21,IF(入力データ!$K$27="国公立",前提条件!$C$29,IF(入力データ!$K$27="私立理系",前提条件!$C$31,前提条件!$C$30))+IF(入力データ!$L$27="下宿",前提条件!$C$32,0)+IF(CK8=18,前提条件!$C$33,0),0)))))))*(1+前提条件!$C$13)^(CK$3-$B$3))))</f>
        <v/>
      </c>
      <c r="CL24" s="352">
        <f>IF(CL$3="","",IF(入力データ!$C$17&lt;=0,0,IF(CL$3="","",((SUM(入力データ!$C$58:$C$61)*12)+IF(CL6="",0,IF(CL6&lt;=5,IF(入力データ!$G$25="私立",前提条件!$C$22,前提条件!$C$21),IF(CL6&lt;=11,IF(入力データ!$H$25="私立",前提条件!$C$24,前提条件!$C$23),IF(CL6&lt;=14,IF(入力データ!$I$25="私立",前提条件!$C$26,前提条件!$C$25),IF(CL6&lt;=17,IF(入力データ!$J$25="私立",前提条件!$C$28,前提条件!$C$27),IF(CL6&lt;=21,IF(入力データ!$K$25="国公立",前提条件!$C$29,IF(入力データ!$K$25="私立理系",前提条件!$C$31,前提条件!$C$30))+IF(入力データ!$L$25="下宿",前提条件!$C$32,0)+IF(CL6=18,前提条件!$C$33,0),0))))))+IF(CL7="",0,IF(CL7&lt;=5,IF(入力データ!$G$26="私立",前提条件!$C$22,前提条件!$C$21),IF(CL7&lt;=11,IF(入力データ!$H$26="私立",前提条件!$C$24,前提条件!$C$23),IF(CL7&lt;=14,IF(入力データ!$I$26="私立",前提条件!$C$26,前提条件!$C$25),IF(CL7&lt;=17,IF(入力データ!$J$26="私立",前提条件!$C$28,前提条件!$C$27),IF(CL7&lt;=21,IF(入力データ!$K$26="国公立",前提条件!$C$29,IF(入力データ!$K$26="私立理系",前提条件!$C$31,前提条件!$C$30))+IF(入力データ!$L$26="下宿",前提条件!$C$32,0)+IF(CL7=18,前提条件!$C$33,0),0))))))+IF(CL8="",0,IF(CL8&lt;=5,IF(入力データ!$G$27="私立",前提条件!$C$22,前提条件!$C$21),IF(CL8&lt;=11,IF(入力データ!$H$27="私立",前提条件!$C$24,前提条件!$C$23),IF(CL8&lt;=14,IF(入力データ!$I$27="私立",前提条件!$C$26,前提条件!$C$25),IF(CL8&lt;=17,IF(入力データ!$J$27="私立",前提条件!$C$28,前提条件!$C$27),IF(CL8&lt;=21,IF(入力データ!$K$27="国公立",前提条件!$C$29,IF(入力データ!$K$27="私立理系",前提条件!$C$31,前提条件!$C$30))+IF(入力データ!$L$27="下宿",前提条件!$C$32,0)+IF(CL8=18,前提条件!$C$33,0),0)))))))*(1+前提条件!$C$13)^(CL$3-$B$3))))</f>
        <v/>
      </c>
      <c r="CM24" s="352">
        <f>IF(CM$3="","",IF(入力データ!$C$17&lt;=0,0,IF(CM$3="","",((SUM(入力データ!$C$58:$C$61)*12)+IF(CM6="",0,IF(CM6&lt;=5,IF(入力データ!$G$25="私立",前提条件!$C$22,前提条件!$C$21),IF(CM6&lt;=11,IF(入力データ!$H$25="私立",前提条件!$C$24,前提条件!$C$23),IF(CM6&lt;=14,IF(入力データ!$I$25="私立",前提条件!$C$26,前提条件!$C$25),IF(CM6&lt;=17,IF(入力データ!$J$25="私立",前提条件!$C$28,前提条件!$C$27),IF(CM6&lt;=21,IF(入力データ!$K$25="国公立",前提条件!$C$29,IF(入力データ!$K$25="私立理系",前提条件!$C$31,前提条件!$C$30))+IF(入力データ!$L$25="下宿",前提条件!$C$32,0)+IF(CM6=18,前提条件!$C$33,0),0))))))+IF(CM7="",0,IF(CM7&lt;=5,IF(入力データ!$G$26="私立",前提条件!$C$22,前提条件!$C$21),IF(CM7&lt;=11,IF(入力データ!$H$26="私立",前提条件!$C$24,前提条件!$C$23),IF(CM7&lt;=14,IF(入力データ!$I$26="私立",前提条件!$C$26,前提条件!$C$25),IF(CM7&lt;=17,IF(入力データ!$J$26="私立",前提条件!$C$28,前提条件!$C$27),IF(CM7&lt;=21,IF(入力データ!$K$26="国公立",前提条件!$C$29,IF(入力データ!$K$26="私立理系",前提条件!$C$31,前提条件!$C$30))+IF(入力データ!$L$26="下宿",前提条件!$C$32,0)+IF(CM7=18,前提条件!$C$33,0),0))))))+IF(CM8="",0,IF(CM8&lt;=5,IF(入力データ!$G$27="私立",前提条件!$C$22,前提条件!$C$21),IF(CM8&lt;=11,IF(入力データ!$H$27="私立",前提条件!$C$24,前提条件!$C$23),IF(CM8&lt;=14,IF(入力データ!$I$27="私立",前提条件!$C$26,前提条件!$C$25),IF(CM8&lt;=17,IF(入力データ!$J$27="私立",前提条件!$C$28,前提条件!$C$27),IF(CM8&lt;=21,IF(入力データ!$K$27="国公立",前提条件!$C$29,IF(入力データ!$K$27="私立理系",前提条件!$C$31,前提条件!$C$30))+IF(入力データ!$L$27="下宿",前提条件!$C$32,0)+IF(CM8=18,前提条件!$C$33,0),0)))))))*(1+前提条件!$C$13)^(CM$3-$B$3))))</f>
        <v/>
      </c>
      <c r="CN24" s="352">
        <f>IF(CN$3="","",IF(入力データ!$C$17&lt;=0,0,IF(CN$3="","",((SUM(入力データ!$C$58:$C$61)*12)+IF(CN6="",0,IF(CN6&lt;=5,IF(入力データ!$G$25="私立",前提条件!$C$22,前提条件!$C$21),IF(CN6&lt;=11,IF(入力データ!$H$25="私立",前提条件!$C$24,前提条件!$C$23),IF(CN6&lt;=14,IF(入力データ!$I$25="私立",前提条件!$C$26,前提条件!$C$25),IF(CN6&lt;=17,IF(入力データ!$J$25="私立",前提条件!$C$28,前提条件!$C$27),IF(CN6&lt;=21,IF(入力データ!$K$25="国公立",前提条件!$C$29,IF(入力データ!$K$25="私立理系",前提条件!$C$31,前提条件!$C$30))+IF(入力データ!$L$25="下宿",前提条件!$C$32,0)+IF(CN6=18,前提条件!$C$33,0),0))))))+IF(CN7="",0,IF(CN7&lt;=5,IF(入力データ!$G$26="私立",前提条件!$C$22,前提条件!$C$21),IF(CN7&lt;=11,IF(入力データ!$H$26="私立",前提条件!$C$24,前提条件!$C$23),IF(CN7&lt;=14,IF(入力データ!$I$26="私立",前提条件!$C$26,前提条件!$C$25),IF(CN7&lt;=17,IF(入力データ!$J$26="私立",前提条件!$C$28,前提条件!$C$27),IF(CN7&lt;=21,IF(入力データ!$K$26="国公立",前提条件!$C$29,IF(入力データ!$K$26="私立理系",前提条件!$C$31,前提条件!$C$30))+IF(入力データ!$L$26="下宿",前提条件!$C$32,0)+IF(CN7=18,前提条件!$C$33,0),0))))))+IF(CN8="",0,IF(CN8&lt;=5,IF(入力データ!$G$27="私立",前提条件!$C$22,前提条件!$C$21),IF(CN8&lt;=11,IF(入力データ!$H$27="私立",前提条件!$C$24,前提条件!$C$23),IF(CN8&lt;=14,IF(入力データ!$I$27="私立",前提条件!$C$26,前提条件!$C$25),IF(CN8&lt;=17,IF(入力データ!$J$27="私立",前提条件!$C$28,前提条件!$C$27),IF(CN8&lt;=21,IF(入力データ!$K$27="国公立",前提条件!$C$29,IF(入力データ!$K$27="私立理系",前提条件!$C$31,前提条件!$C$30))+IF(入力データ!$L$27="下宿",前提条件!$C$32,0)+IF(CN8=18,前提条件!$C$33,0),0)))))))*(1+前提条件!$C$13)^(CN$3-$B$3))))</f>
        <v/>
      </c>
      <c r="CO24" s="352">
        <f>IF(CO$3="","",IF(入力データ!$C$17&lt;=0,0,IF(CO$3="","",((SUM(入力データ!$C$58:$C$61)*12)+IF(CO6="",0,IF(CO6&lt;=5,IF(入力データ!$G$25="私立",前提条件!$C$22,前提条件!$C$21),IF(CO6&lt;=11,IF(入力データ!$H$25="私立",前提条件!$C$24,前提条件!$C$23),IF(CO6&lt;=14,IF(入力データ!$I$25="私立",前提条件!$C$26,前提条件!$C$25),IF(CO6&lt;=17,IF(入力データ!$J$25="私立",前提条件!$C$28,前提条件!$C$27),IF(CO6&lt;=21,IF(入力データ!$K$25="国公立",前提条件!$C$29,IF(入力データ!$K$25="私立理系",前提条件!$C$31,前提条件!$C$30))+IF(入力データ!$L$25="下宿",前提条件!$C$32,0)+IF(CO6=18,前提条件!$C$33,0),0))))))+IF(CO7="",0,IF(CO7&lt;=5,IF(入力データ!$G$26="私立",前提条件!$C$22,前提条件!$C$21),IF(CO7&lt;=11,IF(入力データ!$H$26="私立",前提条件!$C$24,前提条件!$C$23),IF(CO7&lt;=14,IF(入力データ!$I$26="私立",前提条件!$C$26,前提条件!$C$25),IF(CO7&lt;=17,IF(入力データ!$J$26="私立",前提条件!$C$28,前提条件!$C$27),IF(CO7&lt;=21,IF(入力データ!$K$26="国公立",前提条件!$C$29,IF(入力データ!$K$26="私立理系",前提条件!$C$31,前提条件!$C$30))+IF(入力データ!$L$26="下宿",前提条件!$C$32,0)+IF(CO7=18,前提条件!$C$33,0),0))))))+IF(CO8="",0,IF(CO8&lt;=5,IF(入力データ!$G$27="私立",前提条件!$C$22,前提条件!$C$21),IF(CO8&lt;=11,IF(入力データ!$H$27="私立",前提条件!$C$24,前提条件!$C$23),IF(CO8&lt;=14,IF(入力データ!$I$27="私立",前提条件!$C$26,前提条件!$C$25),IF(CO8&lt;=17,IF(入力データ!$J$27="私立",前提条件!$C$28,前提条件!$C$27),IF(CO8&lt;=21,IF(入力データ!$K$27="国公立",前提条件!$C$29,IF(入力データ!$K$27="私立理系",前提条件!$C$31,前提条件!$C$30))+IF(入力データ!$L$27="下宿",前提条件!$C$32,0)+IF(CO8=18,前提条件!$C$33,0),0)))))))*(1+前提条件!$C$13)^(CO$3-$B$3))))</f>
        <v/>
      </c>
      <c r="CP24" s="352">
        <f>IF(CP$3="","",IF(入力データ!$C$17&lt;=0,0,IF(CP$3="","",((SUM(入力データ!$C$58:$C$61)*12)+IF(CP6="",0,IF(CP6&lt;=5,IF(入力データ!$G$25="私立",前提条件!$C$22,前提条件!$C$21),IF(CP6&lt;=11,IF(入力データ!$H$25="私立",前提条件!$C$24,前提条件!$C$23),IF(CP6&lt;=14,IF(入力データ!$I$25="私立",前提条件!$C$26,前提条件!$C$25),IF(CP6&lt;=17,IF(入力データ!$J$25="私立",前提条件!$C$28,前提条件!$C$27),IF(CP6&lt;=21,IF(入力データ!$K$25="国公立",前提条件!$C$29,IF(入力データ!$K$25="私立理系",前提条件!$C$31,前提条件!$C$30))+IF(入力データ!$L$25="下宿",前提条件!$C$32,0)+IF(CP6=18,前提条件!$C$33,0),0))))))+IF(CP7="",0,IF(CP7&lt;=5,IF(入力データ!$G$26="私立",前提条件!$C$22,前提条件!$C$21),IF(CP7&lt;=11,IF(入力データ!$H$26="私立",前提条件!$C$24,前提条件!$C$23),IF(CP7&lt;=14,IF(入力データ!$I$26="私立",前提条件!$C$26,前提条件!$C$25),IF(CP7&lt;=17,IF(入力データ!$J$26="私立",前提条件!$C$28,前提条件!$C$27),IF(CP7&lt;=21,IF(入力データ!$K$26="国公立",前提条件!$C$29,IF(入力データ!$K$26="私立理系",前提条件!$C$31,前提条件!$C$30))+IF(入力データ!$L$26="下宿",前提条件!$C$32,0)+IF(CP7=18,前提条件!$C$33,0),0))))))+IF(CP8="",0,IF(CP8&lt;=5,IF(入力データ!$G$27="私立",前提条件!$C$22,前提条件!$C$21),IF(CP8&lt;=11,IF(入力データ!$H$27="私立",前提条件!$C$24,前提条件!$C$23),IF(CP8&lt;=14,IF(入力データ!$I$27="私立",前提条件!$C$26,前提条件!$C$25),IF(CP8&lt;=17,IF(入力データ!$J$27="私立",前提条件!$C$28,前提条件!$C$27),IF(CP8&lt;=21,IF(入力データ!$K$27="国公立",前提条件!$C$29,IF(入力データ!$K$27="私立理系",前提条件!$C$31,前提条件!$C$30))+IF(入力データ!$L$27="下宿",前提条件!$C$32,0)+IF(CP8=18,前提条件!$C$33,0),0)))))))*(1+前提条件!$C$13)^(CP$3-$B$3))))</f>
        <v/>
      </c>
      <c r="CQ24" s="352">
        <f>IF(CQ$3="","",IF(入力データ!$C$17&lt;=0,0,IF(CQ$3="","",((SUM(入力データ!$C$58:$C$61)*12)+IF(CQ6="",0,IF(CQ6&lt;=5,IF(入力データ!$G$25="私立",前提条件!$C$22,前提条件!$C$21),IF(CQ6&lt;=11,IF(入力データ!$H$25="私立",前提条件!$C$24,前提条件!$C$23),IF(CQ6&lt;=14,IF(入力データ!$I$25="私立",前提条件!$C$26,前提条件!$C$25),IF(CQ6&lt;=17,IF(入力データ!$J$25="私立",前提条件!$C$28,前提条件!$C$27),IF(CQ6&lt;=21,IF(入力データ!$K$25="国公立",前提条件!$C$29,IF(入力データ!$K$25="私立理系",前提条件!$C$31,前提条件!$C$30))+IF(入力データ!$L$25="下宿",前提条件!$C$32,0)+IF(CQ6=18,前提条件!$C$33,0),0))))))+IF(CQ7="",0,IF(CQ7&lt;=5,IF(入力データ!$G$26="私立",前提条件!$C$22,前提条件!$C$21),IF(CQ7&lt;=11,IF(入力データ!$H$26="私立",前提条件!$C$24,前提条件!$C$23),IF(CQ7&lt;=14,IF(入力データ!$I$26="私立",前提条件!$C$26,前提条件!$C$25),IF(CQ7&lt;=17,IF(入力データ!$J$26="私立",前提条件!$C$28,前提条件!$C$27),IF(CQ7&lt;=21,IF(入力データ!$K$26="国公立",前提条件!$C$29,IF(入力データ!$K$26="私立理系",前提条件!$C$31,前提条件!$C$30))+IF(入力データ!$L$26="下宿",前提条件!$C$32,0)+IF(CQ7=18,前提条件!$C$33,0),0))))))+IF(CQ8="",0,IF(CQ8&lt;=5,IF(入力データ!$G$27="私立",前提条件!$C$22,前提条件!$C$21),IF(CQ8&lt;=11,IF(入力データ!$H$27="私立",前提条件!$C$24,前提条件!$C$23),IF(CQ8&lt;=14,IF(入力データ!$I$27="私立",前提条件!$C$26,前提条件!$C$25),IF(CQ8&lt;=17,IF(入力データ!$J$27="私立",前提条件!$C$28,前提条件!$C$27),IF(CQ8&lt;=21,IF(入力データ!$K$27="国公立",前提条件!$C$29,IF(入力データ!$K$27="私立理系",前提条件!$C$31,前提条件!$C$30))+IF(入力データ!$L$27="下宿",前提条件!$C$32,0)+IF(CQ8=18,前提条件!$C$33,0),0)))))))*(1+前提条件!$C$13)^(CQ$3-$B$3))))</f>
        <v/>
      </c>
      <c r="CR24" s="352">
        <f>IF(CR$3="","",IF(入力データ!$C$17&lt;=0,0,IF(CR$3="","",((SUM(入力データ!$C$58:$C$61)*12)+IF(CR6="",0,IF(CR6&lt;=5,IF(入力データ!$G$25="私立",前提条件!$C$22,前提条件!$C$21),IF(CR6&lt;=11,IF(入力データ!$H$25="私立",前提条件!$C$24,前提条件!$C$23),IF(CR6&lt;=14,IF(入力データ!$I$25="私立",前提条件!$C$26,前提条件!$C$25),IF(CR6&lt;=17,IF(入力データ!$J$25="私立",前提条件!$C$28,前提条件!$C$27),IF(CR6&lt;=21,IF(入力データ!$K$25="国公立",前提条件!$C$29,IF(入力データ!$K$25="私立理系",前提条件!$C$31,前提条件!$C$30))+IF(入力データ!$L$25="下宿",前提条件!$C$32,0)+IF(CR6=18,前提条件!$C$33,0),0))))))+IF(CR7="",0,IF(CR7&lt;=5,IF(入力データ!$G$26="私立",前提条件!$C$22,前提条件!$C$21),IF(CR7&lt;=11,IF(入力データ!$H$26="私立",前提条件!$C$24,前提条件!$C$23),IF(CR7&lt;=14,IF(入力データ!$I$26="私立",前提条件!$C$26,前提条件!$C$25),IF(CR7&lt;=17,IF(入力データ!$J$26="私立",前提条件!$C$28,前提条件!$C$27),IF(CR7&lt;=21,IF(入力データ!$K$26="国公立",前提条件!$C$29,IF(入力データ!$K$26="私立理系",前提条件!$C$31,前提条件!$C$30))+IF(入力データ!$L$26="下宿",前提条件!$C$32,0)+IF(CR7=18,前提条件!$C$33,0),0))))))+IF(CR8="",0,IF(CR8&lt;=5,IF(入力データ!$G$27="私立",前提条件!$C$22,前提条件!$C$21),IF(CR8&lt;=11,IF(入力データ!$H$27="私立",前提条件!$C$24,前提条件!$C$23),IF(CR8&lt;=14,IF(入力データ!$I$27="私立",前提条件!$C$26,前提条件!$C$25),IF(CR8&lt;=17,IF(入力データ!$J$27="私立",前提条件!$C$28,前提条件!$C$27),IF(CR8&lt;=21,IF(入力データ!$K$27="国公立",前提条件!$C$29,IF(入力データ!$K$27="私立理系",前提条件!$C$31,前提条件!$C$30))+IF(入力データ!$L$27="下宿",前提条件!$C$32,0)+IF(CR8=18,前提条件!$C$33,0),0)))))))*(1+前提条件!$C$13)^(CR$3-$B$3))))</f>
        <v/>
      </c>
      <c r="CS24" s="352">
        <f>IF(CS$3="","",IF(入力データ!$C$17&lt;=0,0,IF(CS$3="","",((SUM(入力データ!$C$58:$C$61)*12)+IF(CS6="",0,IF(CS6&lt;=5,IF(入力データ!$G$25="私立",前提条件!$C$22,前提条件!$C$21),IF(CS6&lt;=11,IF(入力データ!$H$25="私立",前提条件!$C$24,前提条件!$C$23),IF(CS6&lt;=14,IF(入力データ!$I$25="私立",前提条件!$C$26,前提条件!$C$25),IF(CS6&lt;=17,IF(入力データ!$J$25="私立",前提条件!$C$28,前提条件!$C$27),IF(CS6&lt;=21,IF(入力データ!$K$25="国公立",前提条件!$C$29,IF(入力データ!$K$25="私立理系",前提条件!$C$31,前提条件!$C$30))+IF(入力データ!$L$25="下宿",前提条件!$C$32,0)+IF(CS6=18,前提条件!$C$33,0),0))))))+IF(CS7="",0,IF(CS7&lt;=5,IF(入力データ!$G$26="私立",前提条件!$C$22,前提条件!$C$21),IF(CS7&lt;=11,IF(入力データ!$H$26="私立",前提条件!$C$24,前提条件!$C$23),IF(CS7&lt;=14,IF(入力データ!$I$26="私立",前提条件!$C$26,前提条件!$C$25),IF(CS7&lt;=17,IF(入力データ!$J$26="私立",前提条件!$C$28,前提条件!$C$27),IF(CS7&lt;=21,IF(入力データ!$K$26="国公立",前提条件!$C$29,IF(入力データ!$K$26="私立理系",前提条件!$C$31,前提条件!$C$30))+IF(入力データ!$L$26="下宿",前提条件!$C$32,0)+IF(CS7=18,前提条件!$C$33,0),0))))))+IF(CS8="",0,IF(CS8&lt;=5,IF(入力データ!$G$27="私立",前提条件!$C$22,前提条件!$C$21),IF(CS8&lt;=11,IF(入力データ!$H$27="私立",前提条件!$C$24,前提条件!$C$23),IF(CS8&lt;=14,IF(入力データ!$I$27="私立",前提条件!$C$26,前提条件!$C$25),IF(CS8&lt;=17,IF(入力データ!$J$27="私立",前提条件!$C$28,前提条件!$C$27),IF(CS8&lt;=21,IF(入力データ!$K$27="国公立",前提条件!$C$29,IF(入力データ!$K$27="私立理系",前提条件!$C$31,前提条件!$C$30))+IF(入力データ!$L$27="下宿",前提条件!$C$32,0)+IF(CS8=18,前提条件!$C$33,0),0)))))))*(1+前提条件!$C$13)^(CS$3-$B$3))))</f>
        <v/>
      </c>
      <c r="CT24" s="352">
        <f>IF(CT$3="","",IF(入力データ!$C$17&lt;=0,0,IF(CT$3="","",((SUM(入力データ!$C$58:$C$61)*12)+IF(CT6="",0,IF(CT6&lt;=5,IF(入力データ!$G$25="私立",前提条件!$C$22,前提条件!$C$21),IF(CT6&lt;=11,IF(入力データ!$H$25="私立",前提条件!$C$24,前提条件!$C$23),IF(CT6&lt;=14,IF(入力データ!$I$25="私立",前提条件!$C$26,前提条件!$C$25),IF(CT6&lt;=17,IF(入力データ!$J$25="私立",前提条件!$C$28,前提条件!$C$27),IF(CT6&lt;=21,IF(入力データ!$K$25="国公立",前提条件!$C$29,IF(入力データ!$K$25="私立理系",前提条件!$C$31,前提条件!$C$30))+IF(入力データ!$L$25="下宿",前提条件!$C$32,0)+IF(CT6=18,前提条件!$C$33,0),0))))))+IF(CT7="",0,IF(CT7&lt;=5,IF(入力データ!$G$26="私立",前提条件!$C$22,前提条件!$C$21),IF(CT7&lt;=11,IF(入力データ!$H$26="私立",前提条件!$C$24,前提条件!$C$23),IF(CT7&lt;=14,IF(入力データ!$I$26="私立",前提条件!$C$26,前提条件!$C$25),IF(CT7&lt;=17,IF(入力データ!$J$26="私立",前提条件!$C$28,前提条件!$C$27),IF(CT7&lt;=21,IF(入力データ!$K$26="国公立",前提条件!$C$29,IF(入力データ!$K$26="私立理系",前提条件!$C$31,前提条件!$C$30))+IF(入力データ!$L$26="下宿",前提条件!$C$32,0)+IF(CT7=18,前提条件!$C$33,0),0))))))+IF(CT8="",0,IF(CT8&lt;=5,IF(入力データ!$G$27="私立",前提条件!$C$22,前提条件!$C$21),IF(CT8&lt;=11,IF(入力データ!$H$27="私立",前提条件!$C$24,前提条件!$C$23),IF(CT8&lt;=14,IF(入力データ!$I$27="私立",前提条件!$C$26,前提条件!$C$25),IF(CT8&lt;=17,IF(入力データ!$J$27="私立",前提条件!$C$28,前提条件!$C$27),IF(CT8&lt;=21,IF(入力データ!$K$27="国公立",前提条件!$C$29,IF(入力データ!$K$27="私立理系",前提条件!$C$31,前提条件!$C$30))+IF(入力データ!$L$27="下宿",前提条件!$C$32,0)+IF(CT8=18,前提条件!$C$33,0),0)))))))*(1+前提条件!$C$13)^(CT$3-$B$3))))</f>
        <v/>
      </c>
      <c r="CU24" s="352">
        <f>IF(CU$3="","",IF(入力データ!$C$17&lt;=0,0,IF(CU$3="","",((SUM(入力データ!$C$58:$C$61)*12)+IF(CU6="",0,IF(CU6&lt;=5,IF(入力データ!$G$25="私立",前提条件!$C$22,前提条件!$C$21),IF(CU6&lt;=11,IF(入力データ!$H$25="私立",前提条件!$C$24,前提条件!$C$23),IF(CU6&lt;=14,IF(入力データ!$I$25="私立",前提条件!$C$26,前提条件!$C$25),IF(CU6&lt;=17,IF(入力データ!$J$25="私立",前提条件!$C$28,前提条件!$C$27),IF(CU6&lt;=21,IF(入力データ!$K$25="国公立",前提条件!$C$29,IF(入力データ!$K$25="私立理系",前提条件!$C$31,前提条件!$C$30))+IF(入力データ!$L$25="下宿",前提条件!$C$32,0)+IF(CU6=18,前提条件!$C$33,0),0))))))+IF(CU7="",0,IF(CU7&lt;=5,IF(入力データ!$G$26="私立",前提条件!$C$22,前提条件!$C$21),IF(CU7&lt;=11,IF(入力データ!$H$26="私立",前提条件!$C$24,前提条件!$C$23),IF(CU7&lt;=14,IF(入力データ!$I$26="私立",前提条件!$C$26,前提条件!$C$25),IF(CU7&lt;=17,IF(入力データ!$J$26="私立",前提条件!$C$28,前提条件!$C$27),IF(CU7&lt;=21,IF(入力データ!$K$26="国公立",前提条件!$C$29,IF(入力データ!$K$26="私立理系",前提条件!$C$31,前提条件!$C$30))+IF(入力データ!$L$26="下宿",前提条件!$C$32,0)+IF(CU7=18,前提条件!$C$33,0),0))))))+IF(CU8="",0,IF(CU8&lt;=5,IF(入力データ!$G$27="私立",前提条件!$C$22,前提条件!$C$21),IF(CU8&lt;=11,IF(入力データ!$H$27="私立",前提条件!$C$24,前提条件!$C$23),IF(CU8&lt;=14,IF(入力データ!$I$27="私立",前提条件!$C$26,前提条件!$C$25),IF(CU8&lt;=17,IF(入力データ!$J$27="私立",前提条件!$C$28,前提条件!$C$27),IF(CU8&lt;=21,IF(入力データ!$K$27="国公立",前提条件!$C$29,IF(入力データ!$K$27="私立理系",前提条件!$C$31,前提条件!$C$30))+IF(入力データ!$L$27="下宿",前提条件!$C$32,0)+IF(CU8=18,前提条件!$C$33,0),0)))))))*(1+前提条件!$C$13)^(CU$3-$B$3))))</f>
        <v/>
      </c>
      <c r="CV24" s="352">
        <f>IF(CV$3="","",IF(入力データ!$C$17&lt;=0,0,IF(CV$3="","",((SUM(入力データ!$C$58:$C$61)*12)+IF(CV6="",0,IF(CV6&lt;=5,IF(入力データ!$G$25="私立",前提条件!$C$22,前提条件!$C$21),IF(CV6&lt;=11,IF(入力データ!$H$25="私立",前提条件!$C$24,前提条件!$C$23),IF(CV6&lt;=14,IF(入力データ!$I$25="私立",前提条件!$C$26,前提条件!$C$25),IF(CV6&lt;=17,IF(入力データ!$J$25="私立",前提条件!$C$28,前提条件!$C$27),IF(CV6&lt;=21,IF(入力データ!$K$25="国公立",前提条件!$C$29,IF(入力データ!$K$25="私立理系",前提条件!$C$31,前提条件!$C$30))+IF(入力データ!$L$25="下宿",前提条件!$C$32,0)+IF(CV6=18,前提条件!$C$33,0),0))))))+IF(CV7="",0,IF(CV7&lt;=5,IF(入力データ!$G$26="私立",前提条件!$C$22,前提条件!$C$21),IF(CV7&lt;=11,IF(入力データ!$H$26="私立",前提条件!$C$24,前提条件!$C$23),IF(CV7&lt;=14,IF(入力データ!$I$26="私立",前提条件!$C$26,前提条件!$C$25),IF(CV7&lt;=17,IF(入力データ!$J$26="私立",前提条件!$C$28,前提条件!$C$27),IF(CV7&lt;=21,IF(入力データ!$K$26="国公立",前提条件!$C$29,IF(入力データ!$K$26="私立理系",前提条件!$C$31,前提条件!$C$30))+IF(入力データ!$L$26="下宿",前提条件!$C$32,0)+IF(CV7=18,前提条件!$C$33,0),0))))))+IF(CV8="",0,IF(CV8&lt;=5,IF(入力データ!$G$27="私立",前提条件!$C$22,前提条件!$C$21),IF(CV8&lt;=11,IF(入力データ!$H$27="私立",前提条件!$C$24,前提条件!$C$23),IF(CV8&lt;=14,IF(入力データ!$I$27="私立",前提条件!$C$26,前提条件!$C$25),IF(CV8&lt;=17,IF(入力データ!$J$27="私立",前提条件!$C$28,前提条件!$C$27),IF(CV8&lt;=21,IF(入力データ!$K$27="国公立",前提条件!$C$29,IF(入力データ!$K$27="私立理系",前提条件!$C$31,前提条件!$C$30))+IF(入力データ!$L$27="下宿",前提条件!$C$32,0)+IF(CV8=18,前提条件!$C$33,0),0)))))))*(1+前提条件!$C$13)^(CV$3-$B$3))))</f>
        <v/>
      </c>
      <c r="CW24" s="352">
        <f>IF(CW$3="","",IF(入力データ!$C$17&lt;=0,0,IF(CW$3="","",((SUM(入力データ!$C$58:$C$61)*12)+IF(CW6="",0,IF(CW6&lt;=5,IF(入力データ!$G$25="私立",前提条件!$C$22,前提条件!$C$21),IF(CW6&lt;=11,IF(入力データ!$H$25="私立",前提条件!$C$24,前提条件!$C$23),IF(CW6&lt;=14,IF(入力データ!$I$25="私立",前提条件!$C$26,前提条件!$C$25),IF(CW6&lt;=17,IF(入力データ!$J$25="私立",前提条件!$C$28,前提条件!$C$27),IF(CW6&lt;=21,IF(入力データ!$K$25="国公立",前提条件!$C$29,IF(入力データ!$K$25="私立理系",前提条件!$C$31,前提条件!$C$30))+IF(入力データ!$L$25="下宿",前提条件!$C$32,0)+IF(CW6=18,前提条件!$C$33,0),0))))))+IF(CW7="",0,IF(CW7&lt;=5,IF(入力データ!$G$26="私立",前提条件!$C$22,前提条件!$C$21),IF(CW7&lt;=11,IF(入力データ!$H$26="私立",前提条件!$C$24,前提条件!$C$23),IF(CW7&lt;=14,IF(入力データ!$I$26="私立",前提条件!$C$26,前提条件!$C$25),IF(CW7&lt;=17,IF(入力データ!$J$26="私立",前提条件!$C$28,前提条件!$C$27),IF(CW7&lt;=21,IF(入力データ!$K$26="国公立",前提条件!$C$29,IF(入力データ!$K$26="私立理系",前提条件!$C$31,前提条件!$C$30))+IF(入力データ!$L$26="下宿",前提条件!$C$32,0)+IF(CW7=18,前提条件!$C$33,0),0))))))+IF(CW8="",0,IF(CW8&lt;=5,IF(入力データ!$G$27="私立",前提条件!$C$22,前提条件!$C$21),IF(CW8&lt;=11,IF(入力データ!$H$27="私立",前提条件!$C$24,前提条件!$C$23),IF(CW8&lt;=14,IF(入力データ!$I$27="私立",前提条件!$C$26,前提条件!$C$25),IF(CW8&lt;=17,IF(入力データ!$J$27="私立",前提条件!$C$28,前提条件!$C$27),IF(CW8&lt;=21,IF(入力データ!$K$27="国公立",前提条件!$C$29,IF(入力データ!$K$27="私立理系",前提条件!$C$31,前提条件!$C$30))+IF(入力データ!$L$27="下宿",前提条件!$C$32,0)+IF(CW8=18,前提条件!$C$33,0),0)))))))*(1+前提条件!$C$13)^(CW$3-$B$3))))</f>
        <v/>
      </c>
    </row>
    <row r="25" ht="15" customHeight="1" s="180">
      <c r="A25" s="224" t="inlineStr">
        <is>
          <t>車関連費</t>
        </is>
      </c>
      <c r="B25" s="352">
        <f>IF(B$3="","",N(入力データ!$C$69)*12*(1+前提条件!$C$12)^(B$3-$B$3))</f>
        <v/>
      </c>
      <c r="C25" s="352">
        <f>IF(C$3="","",N(入力データ!$C$69)*12*(1+前提条件!$C$12)^(C$3-$B$3))</f>
        <v/>
      </c>
      <c r="D25" s="352">
        <f>IF(D$3="","",N(入力データ!$C$69)*12*(1+前提条件!$C$12)^(D$3-$B$3))</f>
        <v/>
      </c>
      <c r="E25" s="352">
        <f>IF(E$3="","",N(入力データ!$C$69)*12*(1+前提条件!$C$12)^(E$3-$B$3))</f>
        <v/>
      </c>
      <c r="F25" s="352">
        <f>IF(F$3="","",N(入力データ!$C$69)*12*(1+前提条件!$C$12)^(F$3-$B$3))</f>
        <v/>
      </c>
      <c r="G25" s="352">
        <f>IF(G$3="","",N(入力データ!$C$69)*12*(1+前提条件!$C$12)^(G$3-$B$3))</f>
        <v/>
      </c>
      <c r="H25" s="352">
        <f>IF(H$3="","",N(入力データ!$C$69)*12*(1+前提条件!$C$12)^(H$3-$B$3))</f>
        <v/>
      </c>
      <c r="I25" s="352">
        <f>IF(I$3="","",N(入力データ!$C$69)*12*(1+前提条件!$C$12)^(I$3-$B$3))</f>
        <v/>
      </c>
      <c r="J25" s="352">
        <f>IF(J$3="","",N(入力データ!$C$69)*12*(1+前提条件!$C$12)^(J$3-$B$3))</f>
        <v/>
      </c>
      <c r="K25" s="352">
        <f>IF(K$3="","",N(入力データ!$C$69)*12*(1+前提条件!$C$12)^(K$3-$B$3))</f>
        <v/>
      </c>
      <c r="L25" s="352">
        <f>IF(L$3="","",N(入力データ!$C$69)*12*(1+前提条件!$C$12)^(L$3-$B$3))</f>
        <v/>
      </c>
      <c r="M25" s="352">
        <f>IF(M$3="","",N(入力データ!$C$69)*12*(1+前提条件!$C$12)^(M$3-$B$3))</f>
        <v/>
      </c>
      <c r="N25" s="352">
        <f>IF(N$3="","",N(入力データ!$C$69)*12*(1+前提条件!$C$12)^(N$3-$B$3))</f>
        <v/>
      </c>
      <c r="O25" s="352">
        <f>IF(O$3="","",N(入力データ!$C$69)*12*(1+前提条件!$C$12)^(O$3-$B$3))</f>
        <v/>
      </c>
      <c r="P25" s="352">
        <f>IF(P$3="","",N(入力データ!$C$69)*12*(1+前提条件!$C$12)^(P$3-$B$3))</f>
        <v/>
      </c>
      <c r="Q25" s="352">
        <f>IF(Q$3="","",N(入力データ!$C$69)*12*(1+前提条件!$C$12)^(Q$3-$B$3))</f>
        <v/>
      </c>
      <c r="R25" s="352">
        <f>IF(R$3="","",N(入力データ!$C$69)*12*(1+前提条件!$C$12)^(R$3-$B$3))</f>
        <v/>
      </c>
      <c r="S25" s="352">
        <f>IF(S$3="","",N(入力データ!$C$69)*12*(1+前提条件!$C$12)^(S$3-$B$3))</f>
        <v/>
      </c>
      <c r="T25" s="352">
        <f>IF(T$3="","",N(入力データ!$C$69)*12*(1+前提条件!$C$12)^(T$3-$B$3))</f>
        <v/>
      </c>
      <c r="U25" s="352">
        <f>IF(U$3="","",N(入力データ!$C$69)*12*(1+前提条件!$C$12)^(U$3-$B$3))</f>
        <v/>
      </c>
      <c r="V25" s="352">
        <f>IF(V$3="","",N(入力データ!$C$69)*12*(1+前提条件!$C$12)^(V$3-$B$3))</f>
        <v/>
      </c>
      <c r="W25" s="352">
        <f>IF(W$3="","",N(入力データ!$C$69)*12*(1+前提条件!$C$12)^(W$3-$B$3))</f>
        <v/>
      </c>
      <c r="X25" s="352">
        <f>IF(X$3="","",N(入力データ!$C$69)*12*(1+前提条件!$C$12)^(X$3-$B$3))</f>
        <v/>
      </c>
      <c r="Y25" s="352">
        <f>IF(Y$3="","",N(入力データ!$C$69)*12*(1+前提条件!$C$12)^(Y$3-$B$3))</f>
        <v/>
      </c>
      <c r="Z25" s="352">
        <f>IF(Z$3="","",N(入力データ!$C$69)*12*(1+前提条件!$C$12)^(Z$3-$B$3))</f>
        <v/>
      </c>
      <c r="AA25" s="352">
        <f>IF(AA$3="","",N(入力データ!$C$69)*12*(1+前提条件!$C$12)^(AA$3-$B$3))</f>
        <v/>
      </c>
      <c r="AB25" s="352">
        <f>IF(AB$3="","",N(入力データ!$C$69)*12*(1+前提条件!$C$12)^(AB$3-$B$3))</f>
        <v/>
      </c>
      <c r="AC25" s="352">
        <f>IF(AC$3="","",N(入力データ!$C$69)*12*(1+前提条件!$C$12)^(AC$3-$B$3))</f>
        <v/>
      </c>
      <c r="AD25" s="352">
        <f>IF(AD$3="","",N(入力データ!$C$69)*12*(1+前提条件!$C$12)^(AD$3-$B$3))</f>
        <v/>
      </c>
      <c r="AE25" s="352">
        <f>IF(AE$3="","",N(入力データ!$C$69)*12*(1+前提条件!$C$12)^(AE$3-$B$3))</f>
        <v/>
      </c>
      <c r="AF25" s="352">
        <f>IF(AF$3="","",N(入力データ!$C$69)*12*(1+前提条件!$C$12)^(AF$3-$B$3))</f>
        <v/>
      </c>
      <c r="AG25" s="352">
        <f>IF(AG$3="","",N(入力データ!$C$69)*12*(1+前提条件!$C$12)^(AG$3-$B$3))</f>
        <v/>
      </c>
      <c r="AH25" s="352">
        <f>IF(AH$3="","",N(入力データ!$C$69)*12*(1+前提条件!$C$12)^(AH$3-$B$3))</f>
        <v/>
      </c>
      <c r="AI25" s="352">
        <f>IF(AI$3="","",N(入力データ!$C$69)*12*(1+前提条件!$C$12)^(AI$3-$B$3))</f>
        <v/>
      </c>
      <c r="AJ25" s="352">
        <f>IF(AJ$3="","",N(入力データ!$C$69)*12*(1+前提条件!$C$12)^(AJ$3-$B$3))</f>
        <v/>
      </c>
      <c r="AK25" s="352">
        <f>IF(AK$3="","",N(入力データ!$C$69)*12*(1+前提条件!$C$12)^(AK$3-$B$3))</f>
        <v/>
      </c>
      <c r="AL25" s="352">
        <f>IF(AL$3="","",N(入力データ!$C$69)*12*(1+前提条件!$C$12)^(AL$3-$B$3))</f>
        <v/>
      </c>
      <c r="AM25" s="352">
        <f>IF(AM$3="","",N(入力データ!$C$69)*12*(1+前提条件!$C$12)^(AM$3-$B$3))</f>
        <v/>
      </c>
      <c r="AN25" s="352">
        <f>IF(AN$3="","",N(入力データ!$C$69)*12*(1+前提条件!$C$12)^(AN$3-$B$3))</f>
        <v/>
      </c>
      <c r="AO25" s="352">
        <f>IF(AO$3="","",N(入力データ!$C$69)*12*(1+前提条件!$C$12)^(AO$3-$B$3))</f>
        <v/>
      </c>
      <c r="AP25" s="352">
        <f>IF(AP$3="","",N(入力データ!$C$69)*12*(1+前提条件!$C$12)^(AP$3-$B$3))</f>
        <v/>
      </c>
      <c r="AQ25" s="352">
        <f>IF(AQ$3="","",N(入力データ!$C$69)*12*(1+前提条件!$C$12)^(AQ$3-$B$3))</f>
        <v/>
      </c>
      <c r="AR25" s="352">
        <f>IF(AR$3="","",N(入力データ!$C$69)*12*(1+前提条件!$C$12)^(AR$3-$B$3))</f>
        <v/>
      </c>
      <c r="AS25" s="352">
        <f>IF(AS$3="","",N(入力データ!$C$69)*12*(1+前提条件!$C$12)^(AS$3-$B$3))</f>
        <v/>
      </c>
      <c r="AT25" s="352">
        <f>IF(AT$3="","",N(入力データ!$C$69)*12*(1+前提条件!$C$12)^(AT$3-$B$3))</f>
        <v/>
      </c>
      <c r="AU25" s="352">
        <f>IF(AU$3="","",N(入力データ!$C$69)*12*(1+前提条件!$C$12)^(AU$3-$B$3))</f>
        <v/>
      </c>
      <c r="AV25" s="352">
        <f>IF(AV$3="","",N(入力データ!$C$69)*12*(1+前提条件!$C$12)^(AV$3-$B$3))</f>
        <v/>
      </c>
      <c r="AW25" s="352">
        <f>IF(AW$3="","",N(入力データ!$C$69)*12*(1+前提条件!$C$12)^(AW$3-$B$3))</f>
        <v/>
      </c>
      <c r="AX25" s="352">
        <f>IF(AX$3="","",N(入力データ!$C$69)*12*(1+前提条件!$C$12)^(AX$3-$B$3))</f>
        <v/>
      </c>
      <c r="AY25" s="352">
        <f>IF(AY$3="","",N(入力データ!$C$69)*12*(1+前提条件!$C$12)^(AY$3-$B$3))</f>
        <v/>
      </c>
      <c r="AZ25" s="352">
        <f>IF(AZ$3="","",N(入力データ!$C$69)*12*(1+前提条件!$C$12)^(AZ$3-$B$3))</f>
        <v/>
      </c>
      <c r="BA25" s="352">
        <f>IF(BA$3="","",N(入力データ!$C$69)*12*(1+前提条件!$C$12)^(BA$3-$B$3))</f>
        <v/>
      </c>
      <c r="BB25" s="352">
        <f>IF(BB$3="","",N(入力データ!$C$69)*12*(1+前提条件!$C$12)^(BB$3-$B$3))</f>
        <v/>
      </c>
      <c r="BC25" s="352">
        <f>IF(BC$3="","",N(入力データ!$C$69)*12*(1+前提条件!$C$12)^(BC$3-$B$3))</f>
        <v/>
      </c>
      <c r="BD25" s="352">
        <f>IF(BD$3="","",N(入力データ!$C$69)*12*(1+前提条件!$C$12)^(BD$3-$B$3))</f>
        <v/>
      </c>
      <c r="BE25" s="352">
        <f>IF(BE$3="","",N(入力データ!$C$69)*12*(1+前提条件!$C$12)^(BE$3-$B$3))</f>
        <v/>
      </c>
      <c r="BF25" s="352">
        <f>IF(BF$3="","",N(入力データ!$C$69)*12*(1+前提条件!$C$12)^(BF$3-$B$3))</f>
        <v/>
      </c>
      <c r="BG25" s="352">
        <f>IF(BG$3="","",N(入力データ!$C$69)*12*(1+前提条件!$C$12)^(BG$3-$B$3))</f>
        <v/>
      </c>
      <c r="BH25" s="352">
        <f>IF(BH$3="","",N(入力データ!$C$69)*12*(1+前提条件!$C$12)^(BH$3-$B$3))</f>
        <v/>
      </c>
      <c r="BI25" s="352">
        <f>IF(BI$3="","",N(入力データ!$C$69)*12*(1+前提条件!$C$12)^(BI$3-$B$3))</f>
        <v/>
      </c>
      <c r="BJ25" s="352">
        <f>IF(BJ$3="","",N(入力データ!$C$69)*12*(1+前提条件!$C$12)^(BJ$3-$B$3))</f>
        <v/>
      </c>
      <c r="BK25" s="352">
        <f>IF(BK$3="","",N(入力データ!$C$69)*12*(1+前提条件!$C$12)^(BK$3-$B$3))</f>
        <v/>
      </c>
      <c r="BL25" s="352">
        <f>IF(BL$3="","",N(入力データ!$C$69)*12*(1+前提条件!$C$12)^(BL$3-$B$3))</f>
        <v/>
      </c>
      <c r="BM25" s="352">
        <f>IF(BM$3="","",N(入力データ!$C$69)*12*(1+前提条件!$C$12)^(BM$3-$B$3))</f>
        <v/>
      </c>
      <c r="BN25" s="352">
        <f>IF(BN$3="","",N(入力データ!$C$69)*12*(1+前提条件!$C$12)^(BN$3-$B$3))</f>
        <v/>
      </c>
      <c r="BO25" s="352">
        <f>IF(BO$3="","",N(入力データ!$C$69)*12*(1+前提条件!$C$12)^(BO$3-$B$3))</f>
        <v/>
      </c>
      <c r="BP25" s="352">
        <f>IF(BP$3="","",N(入力データ!$C$69)*12*(1+前提条件!$C$12)^(BP$3-$B$3))</f>
        <v/>
      </c>
      <c r="BQ25" s="352">
        <f>IF(BQ$3="","",N(入力データ!$C$69)*12*(1+前提条件!$C$12)^(BQ$3-$B$3))</f>
        <v/>
      </c>
      <c r="BR25" s="352">
        <f>IF(BR$3="","",N(入力データ!$C$69)*12*(1+前提条件!$C$12)^(BR$3-$B$3))</f>
        <v/>
      </c>
      <c r="BS25" s="352">
        <f>IF(BS$3="","",N(入力データ!$C$69)*12*(1+前提条件!$C$12)^(BS$3-$B$3))</f>
        <v/>
      </c>
      <c r="BT25" s="352">
        <f>IF(BT$3="","",N(入力データ!$C$69)*12*(1+前提条件!$C$12)^(BT$3-$B$3))</f>
        <v/>
      </c>
      <c r="BU25" s="352">
        <f>IF(BU$3="","",N(入力データ!$C$69)*12*(1+前提条件!$C$12)^(BU$3-$B$3))</f>
        <v/>
      </c>
      <c r="BV25" s="352">
        <f>IF(BV$3="","",N(入力データ!$C$69)*12*(1+前提条件!$C$12)^(BV$3-$B$3))</f>
        <v/>
      </c>
      <c r="BW25" s="352">
        <f>IF(BW$3="","",N(入力データ!$C$69)*12*(1+前提条件!$C$12)^(BW$3-$B$3))</f>
        <v/>
      </c>
      <c r="BX25" s="352">
        <f>IF(BX$3="","",N(入力データ!$C$69)*12*(1+前提条件!$C$12)^(BX$3-$B$3))</f>
        <v/>
      </c>
      <c r="BY25" s="352">
        <f>IF(BY$3="","",N(入力データ!$C$69)*12*(1+前提条件!$C$12)^(BY$3-$B$3))</f>
        <v/>
      </c>
      <c r="BZ25" s="352">
        <f>IF(BZ$3="","",N(入力データ!$C$69)*12*(1+前提条件!$C$12)^(BZ$3-$B$3))</f>
        <v/>
      </c>
      <c r="CA25" s="352">
        <f>IF(CA$3="","",N(入力データ!$C$69)*12*(1+前提条件!$C$12)^(CA$3-$B$3))</f>
        <v/>
      </c>
      <c r="CB25" s="352">
        <f>IF(CB$3="","",N(入力データ!$C$69)*12*(1+前提条件!$C$12)^(CB$3-$B$3))</f>
        <v/>
      </c>
      <c r="CC25" s="352">
        <f>IF(CC$3="","",N(入力データ!$C$69)*12*(1+前提条件!$C$12)^(CC$3-$B$3))</f>
        <v/>
      </c>
      <c r="CD25" s="352">
        <f>IF(CD$3="","",N(入力データ!$C$69)*12*(1+前提条件!$C$12)^(CD$3-$B$3))</f>
        <v/>
      </c>
      <c r="CE25" s="352">
        <f>IF(CE$3="","",N(入力データ!$C$69)*12*(1+前提条件!$C$12)^(CE$3-$B$3))</f>
        <v/>
      </c>
      <c r="CF25" s="352">
        <f>IF(CF$3="","",N(入力データ!$C$69)*12*(1+前提条件!$C$12)^(CF$3-$B$3))</f>
        <v/>
      </c>
      <c r="CG25" s="352">
        <f>IF(CG$3="","",N(入力データ!$C$69)*12*(1+前提条件!$C$12)^(CG$3-$B$3))</f>
        <v/>
      </c>
      <c r="CH25" s="352">
        <f>IF(CH$3="","",N(入力データ!$C$69)*12*(1+前提条件!$C$12)^(CH$3-$B$3))</f>
        <v/>
      </c>
      <c r="CI25" s="352">
        <f>IF(CI$3="","",N(入力データ!$C$69)*12*(1+前提条件!$C$12)^(CI$3-$B$3))</f>
        <v/>
      </c>
      <c r="CJ25" s="352">
        <f>IF(CJ$3="","",N(入力データ!$C$69)*12*(1+前提条件!$C$12)^(CJ$3-$B$3))</f>
        <v/>
      </c>
      <c r="CK25" s="352">
        <f>IF(CK$3="","",N(入力データ!$C$69)*12*(1+前提条件!$C$12)^(CK$3-$B$3))</f>
        <v/>
      </c>
      <c r="CL25" s="352">
        <f>IF(CL$3="","",N(入力データ!$C$69)*12*(1+前提条件!$C$12)^(CL$3-$B$3))</f>
        <v/>
      </c>
      <c r="CM25" s="352">
        <f>IF(CM$3="","",N(入力データ!$C$69)*12*(1+前提条件!$C$12)^(CM$3-$B$3))</f>
        <v/>
      </c>
      <c r="CN25" s="352">
        <f>IF(CN$3="","",N(入力データ!$C$69)*12*(1+前提条件!$C$12)^(CN$3-$B$3))</f>
        <v/>
      </c>
      <c r="CO25" s="352">
        <f>IF(CO$3="","",N(入力データ!$C$69)*12*(1+前提条件!$C$12)^(CO$3-$B$3))</f>
        <v/>
      </c>
      <c r="CP25" s="352">
        <f>IF(CP$3="","",N(入力データ!$C$69)*12*(1+前提条件!$C$12)^(CP$3-$B$3))</f>
        <v/>
      </c>
      <c r="CQ25" s="352">
        <f>IF(CQ$3="","",N(入力データ!$C$69)*12*(1+前提条件!$C$12)^(CQ$3-$B$3))</f>
        <v/>
      </c>
      <c r="CR25" s="352">
        <f>IF(CR$3="","",N(入力データ!$C$69)*12*(1+前提条件!$C$12)^(CR$3-$B$3))</f>
        <v/>
      </c>
      <c r="CS25" s="352">
        <f>IF(CS$3="","",N(入力データ!$C$69)*12*(1+前提条件!$C$12)^(CS$3-$B$3))</f>
        <v/>
      </c>
      <c r="CT25" s="352">
        <f>IF(CT$3="","",N(入力データ!$C$69)*12*(1+前提条件!$C$12)^(CT$3-$B$3))</f>
        <v/>
      </c>
      <c r="CU25" s="352">
        <f>IF(CU$3="","",N(入力データ!$C$69)*12*(1+前提条件!$C$12)^(CU$3-$B$3))</f>
        <v/>
      </c>
      <c r="CV25" s="352">
        <f>IF(CV$3="","",N(入力データ!$C$69)*12*(1+前提条件!$C$12)^(CV$3-$B$3))</f>
        <v/>
      </c>
      <c r="CW25" s="352">
        <f>IF(CW$3="","",N(入力データ!$C$69)*12*(1+前提条件!$C$12)^(CW$3-$B$3))</f>
        <v/>
      </c>
    </row>
    <row r="26" ht="15" customHeight="1" s="180">
      <c r="A26" s="224" t="inlineStr">
        <is>
          <t>その他支出</t>
        </is>
      </c>
      <c r="B26" s="352">
        <f>IF(B$3="","",SUM(入力データ!$C$71:$C$74)*12*(1+前提条件!$C$12)^(B$3-$B$3))</f>
        <v/>
      </c>
      <c r="C26" s="352">
        <f>IF(C$3="","",SUM(入力データ!$C$71:$C$74)*12*(1+前提条件!$C$12)^(C$3-$B$3))</f>
        <v/>
      </c>
      <c r="D26" s="352">
        <f>IF(D$3="","",SUM(入力データ!$C$71:$C$74)*12*(1+前提条件!$C$12)^(D$3-$B$3))</f>
        <v/>
      </c>
      <c r="E26" s="352">
        <f>IF(E$3="","",SUM(入力データ!$C$71:$C$74)*12*(1+前提条件!$C$12)^(E$3-$B$3))</f>
        <v/>
      </c>
      <c r="F26" s="352">
        <f>IF(F$3="","",SUM(入力データ!$C$71:$C$74)*12*(1+前提条件!$C$12)^(F$3-$B$3))</f>
        <v/>
      </c>
      <c r="G26" s="352">
        <f>IF(G$3="","",SUM(入力データ!$C$71:$C$74)*12*(1+前提条件!$C$12)^(G$3-$B$3))</f>
        <v/>
      </c>
      <c r="H26" s="352">
        <f>IF(H$3="","",SUM(入力データ!$C$71:$C$74)*12*(1+前提条件!$C$12)^(H$3-$B$3))</f>
        <v/>
      </c>
      <c r="I26" s="352">
        <f>IF(I$3="","",SUM(入力データ!$C$71:$C$74)*12*(1+前提条件!$C$12)^(I$3-$B$3))</f>
        <v/>
      </c>
      <c r="J26" s="352">
        <f>IF(J$3="","",SUM(入力データ!$C$71:$C$74)*12*(1+前提条件!$C$12)^(J$3-$B$3))</f>
        <v/>
      </c>
      <c r="K26" s="352">
        <f>IF(K$3="","",SUM(入力データ!$C$71:$C$74)*12*(1+前提条件!$C$12)^(K$3-$B$3))</f>
        <v/>
      </c>
      <c r="L26" s="352">
        <f>IF(L$3="","",SUM(入力データ!$C$71:$C$74)*12*(1+前提条件!$C$12)^(L$3-$B$3))</f>
        <v/>
      </c>
      <c r="M26" s="352">
        <f>IF(M$3="","",SUM(入力データ!$C$71:$C$74)*12*(1+前提条件!$C$12)^(M$3-$B$3))</f>
        <v/>
      </c>
      <c r="N26" s="352">
        <f>IF(N$3="","",SUM(入力データ!$C$71:$C$74)*12*(1+前提条件!$C$12)^(N$3-$B$3))</f>
        <v/>
      </c>
      <c r="O26" s="352">
        <f>IF(O$3="","",SUM(入力データ!$C$71:$C$74)*12*(1+前提条件!$C$12)^(O$3-$B$3))</f>
        <v/>
      </c>
      <c r="P26" s="352">
        <f>IF(P$3="","",SUM(入力データ!$C$71:$C$74)*12*(1+前提条件!$C$12)^(P$3-$B$3))</f>
        <v/>
      </c>
      <c r="Q26" s="352">
        <f>IF(Q$3="","",SUM(入力データ!$C$71:$C$74)*12*(1+前提条件!$C$12)^(Q$3-$B$3))</f>
        <v/>
      </c>
      <c r="R26" s="352">
        <f>IF(R$3="","",SUM(入力データ!$C$71:$C$74)*12*(1+前提条件!$C$12)^(R$3-$B$3))</f>
        <v/>
      </c>
      <c r="S26" s="352">
        <f>IF(S$3="","",SUM(入力データ!$C$71:$C$74)*12*(1+前提条件!$C$12)^(S$3-$B$3))</f>
        <v/>
      </c>
      <c r="T26" s="352">
        <f>IF(T$3="","",SUM(入力データ!$C$71:$C$74)*12*(1+前提条件!$C$12)^(T$3-$B$3))</f>
        <v/>
      </c>
      <c r="U26" s="352">
        <f>IF(U$3="","",SUM(入力データ!$C$71:$C$74)*12*(1+前提条件!$C$12)^(U$3-$B$3))</f>
        <v/>
      </c>
      <c r="V26" s="352">
        <f>IF(V$3="","",SUM(入力データ!$C$71:$C$74)*12*(1+前提条件!$C$12)^(V$3-$B$3))</f>
        <v/>
      </c>
      <c r="W26" s="352">
        <f>IF(W$3="","",SUM(入力データ!$C$71:$C$74)*12*(1+前提条件!$C$12)^(W$3-$B$3))</f>
        <v/>
      </c>
      <c r="X26" s="352">
        <f>IF(X$3="","",SUM(入力データ!$C$71:$C$74)*12*(1+前提条件!$C$12)^(X$3-$B$3))</f>
        <v/>
      </c>
      <c r="Y26" s="352">
        <f>IF(Y$3="","",SUM(入力データ!$C$71:$C$74)*12*(1+前提条件!$C$12)^(Y$3-$B$3))</f>
        <v/>
      </c>
      <c r="Z26" s="352">
        <f>IF(Z$3="","",SUM(入力データ!$C$71:$C$74)*12*(1+前提条件!$C$12)^(Z$3-$B$3))</f>
        <v/>
      </c>
      <c r="AA26" s="352">
        <f>IF(AA$3="","",SUM(入力データ!$C$71:$C$74)*12*(1+前提条件!$C$12)^(AA$3-$B$3))</f>
        <v/>
      </c>
      <c r="AB26" s="352">
        <f>IF(AB$3="","",SUM(入力データ!$C$71:$C$74)*12*(1+前提条件!$C$12)^(AB$3-$B$3))</f>
        <v/>
      </c>
      <c r="AC26" s="352">
        <f>IF(AC$3="","",SUM(入力データ!$C$71:$C$74)*12*(1+前提条件!$C$12)^(AC$3-$B$3))</f>
        <v/>
      </c>
      <c r="AD26" s="352">
        <f>IF(AD$3="","",SUM(入力データ!$C$71:$C$74)*12*(1+前提条件!$C$12)^(AD$3-$B$3))</f>
        <v/>
      </c>
      <c r="AE26" s="352">
        <f>IF(AE$3="","",SUM(入力データ!$C$71:$C$74)*12*(1+前提条件!$C$12)^(AE$3-$B$3))</f>
        <v/>
      </c>
      <c r="AF26" s="352">
        <f>IF(AF$3="","",SUM(入力データ!$C$71:$C$74)*12*(1+前提条件!$C$12)^(AF$3-$B$3))</f>
        <v/>
      </c>
      <c r="AG26" s="352">
        <f>IF(AG$3="","",SUM(入力データ!$C$71:$C$74)*12*(1+前提条件!$C$12)^(AG$3-$B$3))</f>
        <v/>
      </c>
      <c r="AH26" s="352">
        <f>IF(AH$3="","",SUM(入力データ!$C$71:$C$74)*12*(1+前提条件!$C$12)^(AH$3-$B$3))</f>
        <v/>
      </c>
      <c r="AI26" s="352">
        <f>IF(AI$3="","",SUM(入力データ!$C$71:$C$74)*12*(1+前提条件!$C$12)^(AI$3-$B$3))</f>
        <v/>
      </c>
      <c r="AJ26" s="352">
        <f>IF(AJ$3="","",SUM(入力データ!$C$71:$C$74)*12*(1+前提条件!$C$12)^(AJ$3-$B$3))</f>
        <v/>
      </c>
      <c r="AK26" s="352">
        <f>IF(AK$3="","",SUM(入力データ!$C$71:$C$74)*12*(1+前提条件!$C$12)^(AK$3-$B$3))</f>
        <v/>
      </c>
      <c r="AL26" s="352">
        <f>IF(AL$3="","",SUM(入力データ!$C$71:$C$74)*12*(1+前提条件!$C$12)^(AL$3-$B$3))</f>
        <v/>
      </c>
      <c r="AM26" s="352">
        <f>IF(AM$3="","",SUM(入力データ!$C$71:$C$74)*12*(1+前提条件!$C$12)^(AM$3-$B$3))</f>
        <v/>
      </c>
      <c r="AN26" s="352">
        <f>IF(AN$3="","",SUM(入力データ!$C$71:$C$74)*12*(1+前提条件!$C$12)^(AN$3-$B$3))</f>
        <v/>
      </c>
      <c r="AO26" s="352">
        <f>IF(AO$3="","",SUM(入力データ!$C$71:$C$74)*12*(1+前提条件!$C$12)^(AO$3-$B$3))</f>
        <v/>
      </c>
      <c r="AP26" s="352">
        <f>IF(AP$3="","",SUM(入力データ!$C$71:$C$74)*12*(1+前提条件!$C$12)^(AP$3-$B$3))</f>
        <v/>
      </c>
      <c r="AQ26" s="352">
        <f>IF(AQ$3="","",SUM(入力データ!$C$71:$C$74)*12*(1+前提条件!$C$12)^(AQ$3-$B$3))</f>
        <v/>
      </c>
      <c r="AR26" s="352">
        <f>IF(AR$3="","",SUM(入力データ!$C$71:$C$74)*12*(1+前提条件!$C$12)^(AR$3-$B$3))</f>
        <v/>
      </c>
      <c r="AS26" s="352">
        <f>IF(AS$3="","",SUM(入力データ!$C$71:$C$74)*12*(1+前提条件!$C$12)^(AS$3-$B$3))</f>
        <v/>
      </c>
      <c r="AT26" s="352">
        <f>IF(AT$3="","",SUM(入力データ!$C$71:$C$74)*12*(1+前提条件!$C$12)^(AT$3-$B$3))</f>
        <v/>
      </c>
      <c r="AU26" s="352">
        <f>IF(AU$3="","",SUM(入力データ!$C$71:$C$74)*12*(1+前提条件!$C$12)^(AU$3-$B$3))</f>
        <v/>
      </c>
      <c r="AV26" s="352">
        <f>IF(AV$3="","",SUM(入力データ!$C$71:$C$74)*12*(1+前提条件!$C$12)^(AV$3-$B$3))</f>
        <v/>
      </c>
      <c r="AW26" s="352">
        <f>IF(AW$3="","",SUM(入力データ!$C$71:$C$74)*12*(1+前提条件!$C$12)^(AW$3-$B$3))</f>
        <v/>
      </c>
      <c r="AX26" s="352">
        <f>IF(AX$3="","",SUM(入力データ!$C$71:$C$74)*12*(1+前提条件!$C$12)^(AX$3-$B$3))</f>
        <v/>
      </c>
      <c r="AY26" s="352">
        <f>IF(AY$3="","",SUM(入力データ!$C$71:$C$74)*12*(1+前提条件!$C$12)^(AY$3-$B$3))</f>
        <v/>
      </c>
      <c r="AZ26" s="352">
        <f>IF(AZ$3="","",SUM(入力データ!$C$71:$C$74)*12*(1+前提条件!$C$12)^(AZ$3-$B$3))</f>
        <v/>
      </c>
      <c r="BA26" s="352">
        <f>IF(BA$3="","",SUM(入力データ!$C$71:$C$74)*12*(1+前提条件!$C$12)^(BA$3-$B$3))</f>
        <v/>
      </c>
      <c r="BB26" s="352">
        <f>IF(BB$3="","",SUM(入力データ!$C$71:$C$74)*12*(1+前提条件!$C$12)^(BB$3-$B$3))</f>
        <v/>
      </c>
      <c r="BC26" s="352">
        <f>IF(BC$3="","",SUM(入力データ!$C$71:$C$74)*12*(1+前提条件!$C$12)^(BC$3-$B$3))</f>
        <v/>
      </c>
      <c r="BD26" s="352">
        <f>IF(BD$3="","",SUM(入力データ!$C$71:$C$74)*12*(1+前提条件!$C$12)^(BD$3-$B$3))</f>
        <v/>
      </c>
      <c r="BE26" s="352">
        <f>IF(BE$3="","",SUM(入力データ!$C$71:$C$74)*12*(1+前提条件!$C$12)^(BE$3-$B$3))</f>
        <v/>
      </c>
      <c r="BF26" s="352">
        <f>IF(BF$3="","",SUM(入力データ!$C$71:$C$74)*12*(1+前提条件!$C$12)^(BF$3-$B$3))</f>
        <v/>
      </c>
      <c r="BG26" s="352">
        <f>IF(BG$3="","",SUM(入力データ!$C$71:$C$74)*12*(1+前提条件!$C$12)^(BG$3-$B$3))</f>
        <v/>
      </c>
      <c r="BH26" s="352">
        <f>IF(BH$3="","",SUM(入力データ!$C$71:$C$74)*12*(1+前提条件!$C$12)^(BH$3-$B$3))</f>
        <v/>
      </c>
      <c r="BI26" s="352">
        <f>IF(BI$3="","",SUM(入力データ!$C$71:$C$74)*12*(1+前提条件!$C$12)^(BI$3-$B$3))</f>
        <v/>
      </c>
      <c r="BJ26" s="352">
        <f>IF(BJ$3="","",SUM(入力データ!$C$71:$C$74)*12*(1+前提条件!$C$12)^(BJ$3-$B$3))</f>
        <v/>
      </c>
      <c r="BK26" s="352">
        <f>IF(BK$3="","",SUM(入力データ!$C$71:$C$74)*12*(1+前提条件!$C$12)^(BK$3-$B$3))</f>
        <v/>
      </c>
      <c r="BL26" s="352">
        <f>IF(BL$3="","",SUM(入力データ!$C$71:$C$74)*12*(1+前提条件!$C$12)^(BL$3-$B$3))</f>
        <v/>
      </c>
      <c r="BM26" s="352">
        <f>IF(BM$3="","",SUM(入力データ!$C$71:$C$74)*12*(1+前提条件!$C$12)^(BM$3-$B$3))</f>
        <v/>
      </c>
      <c r="BN26" s="352">
        <f>IF(BN$3="","",SUM(入力データ!$C$71:$C$74)*12*(1+前提条件!$C$12)^(BN$3-$B$3))</f>
        <v/>
      </c>
      <c r="BO26" s="352">
        <f>IF(BO$3="","",SUM(入力データ!$C$71:$C$74)*12*(1+前提条件!$C$12)^(BO$3-$B$3))</f>
        <v/>
      </c>
      <c r="BP26" s="352">
        <f>IF(BP$3="","",SUM(入力データ!$C$71:$C$74)*12*(1+前提条件!$C$12)^(BP$3-$B$3))</f>
        <v/>
      </c>
      <c r="BQ26" s="352">
        <f>IF(BQ$3="","",SUM(入力データ!$C$71:$C$74)*12*(1+前提条件!$C$12)^(BQ$3-$B$3))</f>
        <v/>
      </c>
      <c r="BR26" s="352">
        <f>IF(BR$3="","",SUM(入力データ!$C$71:$C$74)*12*(1+前提条件!$C$12)^(BR$3-$B$3))</f>
        <v/>
      </c>
      <c r="BS26" s="352">
        <f>IF(BS$3="","",SUM(入力データ!$C$71:$C$74)*12*(1+前提条件!$C$12)^(BS$3-$B$3))</f>
        <v/>
      </c>
      <c r="BT26" s="352">
        <f>IF(BT$3="","",SUM(入力データ!$C$71:$C$74)*12*(1+前提条件!$C$12)^(BT$3-$B$3))</f>
        <v/>
      </c>
      <c r="BU26" s="352">
        <f>IF(BU$3="","",SUM(入力データ!$C$71:$C$74)*12*(1+前提条件!$C$12)^(BU$3-$B$3))</f>
        <v/>
      </c>
      <c r="BV26" s="352">
        <f>IF(BV$3="","",SUM(入力データ!$C$71:$C$74)*12*(1+前提条件!$C$12)^(BV$3-$B$3))</f>
        <v/>
      </c>
      <c r="BW26" s="352">
        <f>IF(BW$3="","",SUM(入力データ!$C$71:$C$74)*12*(1+前提条件!$C$12)^(BW$3-$B$3))</f>
        <v/>
      </c>
      <c r="BX26" s="352">
        <f>IF(BX$3="","",SUM(入力データ!$C$71:$C$74)*12*(1+前提条件!$C$12)^(BX$3-$B$3))</f>
        <v/>
      </c>
      <c r="BY26" s="352">
        <f>IF(BY$3="","",SUM(入力データ!$C$71:$C$74)*12*(1+前提条件!$C$12)^(BY$3-$B$3))</f>
        <v/>
      </c>
      <c r="BZ26" s="352">
        <f>IF(BZ$3="","",SUM(入力データ!$C$71:$C$74)*12*(1+前提条件!$C$12)^(BZ$3-$B$3))</f>
        <v/>
      </c>
      <c r="CA26" s="352">
        <f>IF(CA$3="","",SUM(入力データ!$C$71:$C$74)*12*(1+前提条件!$C$12)^(CA$3-$B$3))</f>
        <v/>
      </c>
      <c r="CB26" s="352">
        <f>IF(CB$3="","",SUM(入力データ!$C$71:$C$74)*12*(1+前提条件!$C$12)^(CB$3-$B$3))</f>
        <v/>
      </c>
      <c r="CC26" s="352">
        <f>IF(CC$3="","",SUM(入力データ!$C$71:$C$74)*12*(1+前提条件!$C$12)^(CC$3-$B$3))</f>
        <v/>
      </c>
      <c r="CD26" s="352">
        <f>IF(CD$3="","",SUM(入力データ!$C$71:$C$74)*12*(1+前提条件!$C$12)^(CD$3-$B$3))</f>
        <v/>
      </c>
      <c r="CE26" s="352">
        <f>IF(CE$3="","",SUM(入力データ!$C$71:$C$74)*12*(1+前提条件!$C$12)^(CE$3-$B$3))</f>
        <v/>
      </c>
      <c r="CF26" s="352">
        <f>IF(CF$3="","",SUM(入力データ!$C$71:$C$74)*12*(1+前提条件!$C$12)^(CF$3-$B$3))</f>
        <v/>
      </c>
      <c r="CG26" s="352">
        <f>IF(CG$3="","",SUM(入力データ!$C$71:$C$74)*12*(1+前提条件!$C$12)^(CG$3-$B$3))</f>
        <v/>
      </c>
      <c r="CH26" s="352">
        <f>IF(CH$3="","",SUM(入力データ!$C$71:$C$74)*12*(1+前提条件!$C$12)^(CH$3-$B$3))</f>
        <v/>
      </c>
      <c r="CI26" s="352">
        <f>IF(CI$3="","",SUM(入力データ!$C$71:$C$74)*12*(1+前提条件!$C$12)^(CI$3-$B$3))</f>
        <v/>
      </c>
      <c r="CJ26" s="352">
        <f>IF(CJ$3="","",SUM(入力データ!$C$71:$C$74)*12*(1+前提条件!$C$12)^(CJ$3-$B$3))</f>
        <v/>
      </c>
      <c r="CK26" s="352">
        <f>IF(CK$3="","",SUM(入力データ!$C$71:$C$74)*12*(1+前提条件!$C$12)^(CK$3-$B$3))</f>
        <v/>
      </c>
      <c r="CL26" s="352">
        <f>IF(CL$3="","",SUM(入力データ!$C$71:$C$74)*12*(1+前提条件!$C$12)^(CL$3-$B$3))</f>
        <v/>
      </c>
      <c r="CM26" s="352">
        <f>IF(CM$3="","",SUM(入力データ!$C$71:$C$74)*12*(1+前提条件!$C$12)^(CM$3-$B$3))</f>
        <v/>
      </c>
      <c r="CN26" s="352">
        <f>IF(CN$3="","",SUM(入力データ!$C$71:$C$74)*12*(1+前提条件!$C$12)^(CN$3-$B$3))</f>
        <v/>
      </c>
      <c r="CO26" s="352">
        <f>IF(CO$3="","",SUM(入力データ!$C$71:$C$74)*12*(1+前提条件!$C$12)^(CO$3-$B$3))</f>
        <v/>
      </c>
      <c r="CP26" s="352">
        <f>IF(CP$3="","",SUM(入力データ!$C$71:$C$74)*12*(1+前提条件!$C$12)^(CP$3-$B$3))</f>
        <v/>
      </c>
      <c r="CQ26" s="352">
        <f>IF(CQ$3="","",SUM(入力データ!$C$71:$C$74)*12*(1+前提条件!$C$12)^(CQ$3-$B$3))</f>
        <v/>
      </c>
      <c r="CR26" s="352">
        <f>IF(CR$3="","",SUM(入力データ!$C$71:$C$74)*12*(1+前提条件!$C$12)^(CR$3-$B$3))</f>
        <v/>
      </c>
      <c r="CS26" s="352">
        <f>IF(CS$3="","",SUM(入力データ!$C$71:$C$74)*12*(1+前提条件!$C$12)^(CS$3-$B$3))</f>
        <v/>
      </c>
      <c r="CT26" s="352">
        <f>IF(CT$3="","",SUM(入力データ!$C$71:$C$74)*12*(1+前提条件!$C$12)^(CT$3-$B$3))</f>
        <v/>
      </c>
      <c r="CU26" s="352">
        <f>IF(CU$3="","",SUM(入力データ!$C$71:$C$74)*12*(1+前提条件!$C$12)^(CU$3-$B$3))</f>
        <v/>
      </c>
      <c r="CV26" s="352">
        <f>IF(CV$3="","",SUM(入力データ!$C$71:$C$74)*12*(1+前提条件!$C$12)^(CV$3-$B$3))</f>
        <v/>
      </c>
      <c r="CW26" s="352">
        <f>IF(CW$3="","",SUM(入力データ!$C$71:$C$74)*12*(1+前提条件!$C$12)^(CW$3-$B$3))</f>
        <v/>
      </c>
    </row>
    <row r="27" ht="15" customHeight="1" s="180">
      <c r="A27" s="224" t="inlineStr">
        <is>
          <t>一時支出</t>
        </is>
      </c>
      <c r="B27" s="352">
        <f>IF(B$3="","",SUM(入力データ!$C$78:$C$82))</f>
        <v/>
      </c>
      <c r="C27" s="352">
        <f>IF(C$3="","",SUM(入力データ!$C$78:$C$82))</f>
        <v/>
      </c>
      <c r="D27" s="352">
        <f>IF(D$3="","",SUM(入力データ!$C$78:$C$82))</f>
        <v/>
      </c>
      <c r="E27" s="352">
        <f>IF(E$3="","",SUM(入力データ!$C$78:$C$82))</f>
        <v/>
      </c>
      <c r="F27" s="352">
        <f>IF(F$3="","",SUM(入力データ!$C$78:$C$82))</f>
        <v/>
      </c>
      <c r="G27" s="352">
        <f>IF(G$3="","",SUM(入力データ!$C$78:$C$82))</f>
        <v/>
      </c>
      <c r="H27" s="352">
        <f>IF(H$3="","",SUM(入力データ!$C$78:$C$82))</f>
        <v/>
      </c>
      <c r="I27" s="352">
        <f>IF(I$3="","",SUM(入力データ!$C$78:$C$82))</f>
        <v/>
      </c>
      <c r="J27" s="352">
        <f>IF(J$3="","",SUM(入力データ!$C$78:$C$82))</f>
        <v/>
      </c>
      <c r="K27" s="352">
        <f>IF(K$3="","",SUM(入力データ!$C$78:$C$82))</f>
        <v/>
      </c>
      <c r="L27" s="352">
        <f>IF(L$3="","",SUM(入力データ!$C$78:$C$82))</f>
        <v/>
      </c>
      <c r="M27" s="352">
        <f>IF(M$3="","",SUM(入力データ!$C$78:$C$82))</f>
        <v/>
      </c>
      <c r="N27" s="352">
        <f>IF(N$3="","",SUM(入力データ!$C$78:$C$82))</f>
        <v/>
      </c>
      <c r="O27" s="352">
        <f>IF(O$3="","",SUM(入力データ!$C$78:$C$82))</f>
        <v/>
      </c>
      <c r="P27" s="352">
        <f>IF(P$3="","",SUM(入力データ!$C$78:$C$82))</f>
        <v/>
      </c>
      <c r="Q27" s="352">
        <f>IF(Q$3="","",SUM(入力データ!$C$78:$C$82))</f>
        <v/>
      </c>
      <c r="R27" s="352">
        <f>IF(R$3="","",SUM(入力データ!$C$78:$C$82))</f>
        <v/>
      </c>
      <c r="S27" s="352">
        <f>IF(S$3="","",SUM(入力データ!$C$78:$C$82))</f>
        <v/>
      </c>
      <c r="T27" s="352">
        <f>IF(T$3="","",SUM(入力データ!$C$78:$C$82))</f>
        <v/>
      </c>
      <c r="U27" s="352">
        <f>IF(U$3="","",SUM(入力データ!$C$78:$C$82))</f>
        <v/>
      </c>
      <c r="V27" s="352">
        <f>IF(V$3="","",SUM(入力データ!$C$78:$C$82))</f>
        <v/>
      </c>
      <c r="W27" s="352">
        <f>IF(W$3="","",SUM(入力データ!$C$78:$C$82))</f>
        <v/>
      </c>
      <c r="X27" s="352">
        <f>IF(X$3="","",SUM(入力データ!$C$78:$C$82))</f>
        <v/>
      </c>
      <c r="Y27" s="352">
        <f>IF(Y$3="","",SUM(入力データ!$C$78:$C$82))</f>
        <v/>
      </c>
      <c r="Z27" s="352">
        <f>IF(Z$3="","",SUM(入力データ!$C$78:$C$82))</f>
        <v/>
      </c>
      <c r="AA27" s="352">
        <f>IF(AA$3="","",SUM(入力データ!$C$78:$C$82))</f>
        <v/>
      </c>
      <c r="AB27" s="352">
        <f>IF(AB$3="","",SUM(入力データ!$C$78:$C$82))</f>
        <v/>
      </c>
      <c r="AC27" s="352">
        <f>IF(AC$3="","",SUM(入力データ!$C$78:$C$82))</f>
        <v/>
      </c>
      <c r="AD27" s="352">
        <f>IF(AD$3="","",SUM(入力データ!$C$78:$C$82))</f>
        <v/>
      </c>
      <c r="AE27" s="352">
        <f>IF(AE$3="","",SUM(入力データ!$C$78:$C$82))</f>
        <v/>
      </c>
      <c r="AF27" s="352">
        <f>IF(AF$3="","",SUM(入力データ!$C$78:$C$82))</f>
        <v/>
      </c>
      <c r="AG27" s="352">
        <f>IF(AG$3="","",SUM(入力データ!$C$78:$C$82))</f>
        <v/>
      </c>
      <c r="AH27" s="352">
        <f>IF(AH$3="","",SUM(入力データ!$C$78:$C$82))</f>
        <v/>
      </c>
      <c r="AI27" s="352">
        <f>IF(AI$3="","",SUM(入力データ!$C$78:$C$82))</f>
        <v/>
      </c>
      <c r="AJ27" s="352">
        <f>IF(AJ$3="","",SUM(入力データ!$C$78:$C$82))</f>
        <v/>
      </c>
      <c r="AK27" s="352">
        <f>IF(AK$3="","",SUM(入力データ!$C$78:$C$82))</f>
        <v/>
      </c>
      <c r="AL27" s="352">
        <f>IF(AL$3="","",SUM(入力データ!$C$78:$C$82))</f>
        <v/>
      </c>
      <c r="AM27" s="352">
        <f>IF(AM$3="","",SUM(入力データ!$C$78:$C$82))</f>
        <v/>
      </c>
      <c r="AN27" s="352">
        <f>IF(AN$3="","",SUM(入力データ!$C$78:$C$82))</f>
        <v/>
      </c>
      <c r="AO27" s="352">
        <f>IF(AO$3="","",SUM(入力データ!$C$78:$C$82))</f>
        <v/>
      </c>
      <c r="AP27" s="352">
        <f>IF(AP$3="","",SUM(入力データ!$C$78:$C$82))</f>
        <v/>
      </c>
      <c r="AQ27" s="352">
        <f>IF(AQ$3="","",SUM(入力データ!$C$78:$C$82))</f>
        <v/>
      </c>
      <c r="AR27" s="352">
        <f>IF(AR$3="","",SUM(入力データ!$C$78:$C$82))</f>
        <v/>
      </c>
      <c r="AS27" s="352">
        <f>IF(AS$3="","",SUM(入力データ!$C$78:$C$82))</f>
        <v/>
      </c>
      <c r="AT27" s="352">
        <f>IF(AT$3="","",SUM(入力データ!$C$78:$C$82))</f>
        <v/>
      </c>
      <c r="AU27" s="352">
        <f>IF(AU$3="","",SUM(入力データ!$C$78:$C$82))</f>
        <v/>
      </c>
      <c r="AV27" s="352">
        <f>IF(AV$3="","",SUM(入力データ!$C$78:$C$82))</f>
        <v/>
      </c>
      <c r="AW27" s="352">
        <f>IF(AW$3="","",SUM(入力データ!$C$78:$C$82))</f>
        <v/>
      </c>
      <c r="AX27" s="352">
        <f>IF(AX$3="","",SUM(入力データ!$C$78:$C$82))</f>
        <v/>
      </c>
      <c r="AY27" s="352">
        <f>IF(AY$3="","",SUM(入力データ!$C$78:$C$82))</f>
        <v/>
      </c>
      <c r="AZ27" s="352">
        <f>IF(AZ$3="","",SUM(入力データ!$C$78:$C$82))</f>
        <v/>
      </c>
      <c r="BA27" s="352">
        <f>IF(BA$3="","",SUM(入力データ!$C$78:$C$82))</f>
        <v/>
      </c>
      <c r="BB27" s="352">
        <f>IF(BB$3="","",SUM(入力データ!$C$78:$C$82))</f>
        <v/>
      </c>
      <c r="BC27" s="352">
        <f>IF(BC$3="","",SUM(入力データ!$C$78:$C$82))</f>
        <v/>
      </c>
      <c r="BD27" s="352">
        <f>IF(BD$3="","",SUM(入力データ!$C$78:$C$82))</f>
        <v/>
      </c>
      <c r="BE27" s="352">
        <f>IF(BE$3="","",SUM(入力データ!$C$78:$C$82))</f>
        <v/>
      </c>
      <c r="BF27" s="352">
        <f>IF(BF$3="","",SUM(入力データ!$C$78:$C$82))</f>
        <v/>
      </c>
      <c r="BG27" s="352">
        <f>IF(BG$3="","",SUM(入力データ!$C$78:$C$82))</f>
        <v/>
      </c>
      <c r="BH27" s="352">
        <f>IF(BH$3="","",SUM(入力データ!$C$78:$C$82))</f>
        <v/>
      </c>
      <c r="BI27" s="352">
        <f>IF(BI$3="","",SUM(入力データ!$C$78:$C$82))</f>
        <v/>
      </c>
      <c r="BJ27" s="352">
        <f>IF(BJ$3="","",SUM(入力データ!$C$78:$C$82))</f>
        <v/>
      </c>
      <c r="BK27" s="352">
        <f>IF(BK$3="","",SUM(入力データ!$C$78:$C$82))</f>
        <v/>
      </c>
      <c r="BL27" s="352">
        <f>IF(BL$3="","",SUM(入力データ!$C$78:$C$82))</f>
        <v/>
      </c>
      <c r="BM27" s="352">
        <f>IF(BM$3="","",SUM(入力データ!$C$78:$C$82))</f>
        <v/>
      </c>
      <c r="BN27" s="352">
        <f>IF(BN$3="","",SUM(入力データ!$C$78:$C$82))</f>
        <v/>
      </c>
      <c r="BO27" s="352">
        <f>IF(BO$3="","",SUM(入力データ!$C$78:$C$82))</f>
        <v/>
      </c>
      <c r="BP27" s="352">
        <f>IF(BP$3="","",SUM(入力データ!$C$78:$C$82))</f>
        <v/>
      </c>
      <c r="BQ27" s="352">
        <f>IF(BQ$3="","",SUM(入力データ!$C$78:$C$82))</f>
        <v/>
      </c>
      <c r="BR27" s="352">
        <f>IF(BR$3="","",SUM(入力データ!$C$78:$C$82))</f>
        <v/>
      </c>
      <c r="BS27" s="352">
        <f>IF(BS$3="","",SUM(入力データ!$C$78:$C$82))</f>
        <v/>
      </c>
      <c r="BT27" s="352">
        <f>IF(BT$3="","",SUM(入力データ!$C$78:$C$82))</f>
        <v/>
      </c>
      <c r="BU27" s="352">
        <f>IF(BU$3="","",SUM(入力データ!$C$78:$C$82))</f>
        <v/>
      </c>
      <c r="BV27" s="352">
        <f>IF(BV$3="","",SUM(入力データ!$C$78:$C$82))</f>
        <v/>
      </c>
      <c r="BW27" s="352">
        <f>IF(BW$3="","",SUM(入力データ!$C$78:$C$82))</f>
        <v/>
      </c>
      <c r="BX27" s="352">
        <f>IF(BX$3="","",SUM(入力データ!$C$78:$C$82))</f>
        <v/>
      </c>
      <c r="BY27" s="352">
        <f>IF(BY$3="","",SUM(入力データ!$C$78:$C$82))</f>
        <v/>
      </c>
      <c r="BZ27" s="352">
        <f>IF(BZ$3="","",SUM(入力データ!$C$78:$C$82))</f>
        <v/>
      </c>
      <c r="CA27" s="352">
        <f>IF(CA$3="","",SUM(入力データ!$C$78:$C$82))</f>
        <v/>
      </c>
      <c r="CB27" s="352">
        <f>IF(CB$3="","",SUM(入力データ!$C$78:$C$82))</f>
        <v/>
      </c>
      <c r="CC27" s="352">
        <f>IF(CC$3="","",SUM(入力データ!$C$78:$C$82))</f>
        <v/>
      </c>
      <c r="CD27" s="352">
        <f>IF(CD$3="","",SUM(入力データ!$C$78:$C$82))</f>
        <v/>
      </c>
      <c r="CE27" s="352">
        <f>IF(CE$3="","",SUM(入力データ!$C$78:$C$82))</f>
        <v/>
      </c>
      <c r="CF27" s="352">
        <f>IF(CF$3="","",SUM(入力データ!$C$78:$C$82))</f>
        <v/>
      </c>
      <c r="CG27" s="352">
        <f>IF(CG$3="","",SUM(入力データ!$C$78:$C$82))</f>
        <v/>
      </c>
      <c r="CH27" s="352">
        <f>IF(CH$3="","",SUM(入力データ!$C$78:$C$82))</f>
        <v/>
      </c>
      <c r="CI27" s="352">
        <f>IF(CI$3="","",SUM(入力データ!$C$78:$C$82))</f>
        <v/>
      </c>
      <c r="CJ27" s="352">
        <f>IF(CJ$3="","",SUM(入力データ!$C$78:$C$82))</f>
        <v/>
      </c>
      <c r="CK27" s="352">
        <f>IF(CK$3="","",SUM(入力データ!$C$78:$C$82))</f>
        <v/>
      </c>
      <c r="CL27" s="352">
        <f>IF(CL$3="","",SUM(入力データ!$C$78:$C$82))</f>
        <v/>
      </c>
      <c r="CM27" s="352">
        <f>IF(CM$3="","",SUM(入力データ!$C$78:$C$82))</f>
        <v/>
      </c>
      <c r="CN27" s="352">
        <f>IF(CN$3="","",SUM(入力データ!$C$78:$C$82))</f>
        <v/>
      </c>
      <c r="CO27" s="352">
        <f>IF(CO$3="","",SUM(入力データ!$C$78:$C$82))</f>
        <v/>
      </c>
      <c r="CP27" s="352">
        <f>IF(CP$3="","",SUM(入力データ!$C$78:$C$82))</f>
        <v/>
      </c>
      <c r="CQ27" s="352">
        <f>IF(CQ$3="","",SUM(入力データ!$C$78:$C$82))</f>
        <v/>
      </c>
      <c r="CR27" s="352">
        <f>IF(CR$3="","",SUM(入力データ!$C$78:$C$82))</f>
        <v/>
      </c>
      <c r="CS27" s="352">
        <f>IF(CS$3="","",SUM(入力データ!$C$78:$C$82))</f>
        <v/>
      </c>
      <c r="CT27" s="352">
        <f>IF(CT$3="","",SUM(入力データ!$C$78:$C$82))</f>
        <v/>
      </c>
      <c r="CU27" s="352">
        <f>IF(CU$3="","",SUM(入力データ!$C$78:$C$82))</f>
        <v/>
      </c>
      <c r="CV27" s="352">
        <f>IF(CV$3="","",SUM(入力データ!$C$78:$C$82))</f>
        <v/>
      </c>
      <c r="CW27" s="352">
        <f>IF(CW$3="","",SUM(入力データ!$C$78:$C$82))</f>
        <v/>
      </c>
    </row>
    <row r="28" ht="15" customHeight="1" s="180">
      <c r="A28" s="226" t="inlineStr">
        <is>
          <t>支出合計</t>
        </is>
      </c>
      <c r="B28" s="353">
        <f>IF(B$3="","",SUM(B20:B27))</f>
        <v/>
      </c>
      <c r="C28" s="353">
        <f>IF(C$3="","",SUM(C20:C27))</f>
        <v/>
      </c>
      <c r="D28" s="353">
        <f>IF(D$3="","",SUM(D20:D27))</f>
        <v/>
      </c>
      <c r="E28" s="353">
        <f>IF(E$3="","",SUM(E20:E27))</f>
        <v/>
      </c>
      <c r="F28" s="353">
        <f>IF(F$3="","",SUM(F20:F27))</f>
        <v/>
      </c>
      <c r="G28" s="353">
        <f>IF(G$3="","",SUM(G20:G27))</f>
        <v/>
      </c>
      <c r="H28" s="353">
        <f>IF(H$3="","",SUM(H20:H27))</f>
        <v/>
      </c>
      <c r="I28" s="353">
        <f>IF(I$3="","",SUM(I20:I27))</f>
        <v/>
      </c>
      <c r="J28" s="353">
        <f>IF(J$3="","",SUM(J20:J27))</f>
        <v/>
      </c>
      <c r="K28" s="353">
        <f>IF(K$3="","",SUM(K20:K27))</f>
        <v/>
      </c>
      <c r="L28" s="353">
        <f>IF(L$3="","",SUM(L20:L27))</f>
        <v/>
      </c>
      <c r="M28" s="353">
        <f>IF(M$3="","",SUM(M20:M27))</f>
        <v/>
      </c>
      <c r="N28" s="353">
        <f>IF(N$3="","",SUM(N20:N27))</f>
        <v/>
      </c>
      <c r="O28" s="353">
        <f>IF(O$3="","",SUM(O20:O27))</f>
        <v/>
      </c>
      <c r="P28" s="353">
        <f>IF(P$3="","",SUM(P20:P27))</f>
        <v/>
      </c>
      <c r="Q28" s="353">
        <f>IF(Q$3="","",SUM(Q20:Q27))</f>
        <v/>
      </c>
      <c r="R28" s="353">
        <f>IF(R$3="","",SUM(R20:R27))</f>
        <v/>
      </c>
      <c r="S28" s="353">
        <f>IF(S$3="","",SUM(S20:S27))</f>
        <v/>
      </c>
      <c r="T28" s="353">
        <f>IF(T$3="","",SUM(T20:T27))</f>
        <v/>
      </c>
      <c r="U28" s="353">
        <f>IF(U$3="","",SUM(U20:U27))</f>
        <v/>
      </c>
      <c r="V28" s="353">
        <f>IF(V$3="","",SUM(V20:V27))</f>
        <v/>
      </c>
      <c r="W28" s="353">
        <f>IF(W$3="","",SUM(W20:W27))</f>
        <v/>
      </c>
      <c r="X28" s="353">
        <f>IF(X$3="","",SUM(X20:X27))</f>
        <v/>
      </c>
      <c r="Y28" s="353">
        <f>IF(Y$3="","",SUM(Y20:Y27))</f>
        <v/>
      </c>
      <c r="Z28" s="353">
        <f>IF(Z$3="","",SUM(Z20:Z27))</f>
        <v/>
      </c>
      <c r="AA28" s="353">
        <f>IF(AA$3="","",SUM(AA20:AA27))</f>
        <v/>
      </c>
      <c r="AB28" s="353">
        <f>IF(AB$3="","",SUM(AB20:AB27))</f>
        <v/>
      </c>
      <c r="AC28" s="353">
        <f>IF(AC$3="","",SUM(AC20:AC27))</f>
        <v/>
      </c>
      <c r="AD28" s="353">
        <f>IF(AD$3="","",SUM(AD20:AD27))</f>
        <v/>
      </c>
      <c r="AE28" s="353">
        <f>IF(AE$3="","",SUM(AE20:AE27))</f>
        <v/>
      </c>
      <c r="AF28" s="353">
        <f>IF(AF$3="","",SUM(AF20:AF27))</f>
        <v/>
      </c>
      <c r="AG28" s="353">
        <f>IF(AG$3="","",SUM(AG20:AG27))</f>
        <v/>
      </c>
      <c r="AH28" s="353">
        <f>IF(AH$3="","",SUM(AH20:AH27))</f>
        <v/>
      </c>
      <c r="AI28" s="353">
        <f>IF(AI$3="","",SUM(AI20:AI27))</f>
        <v/>
      </c>
      <c r="AJ28" s="353">
        <f>IF(AJ$3="","",SUM(AJ20:AJ27))</f>
        <v/>
      </c>
      <c r="AK28" s="353">
        <f>IF(AK$3="","",SUM(AK20:AK27))</f>
        <v/>
      </c>
      <c r="AL28" s="353">
        <f>IF(AL$3="","",SUM(AL20:AL27))</f>
        <v/>
      </c>
      <c r="AM28" s="353">
        <f>IF(AM$3="","",SUM(AM20:AM27))</f>
        <v/>
      </c>
      <c r="AN28" s="353">
        <f>IF(AN$3="","",SUM(AN20:AN27))</f>
        <v/>
      </c>
      <c r="AO28" s="353">
        <f>IF(AO$3="","",SUM(AO20:AO27))</f>
        <v/>
      </c>
      <c r="AP28" s="353">
        <f>IF(AP$3="","",SUM(AP20:AP27))</f>
        <v/>
      </c>
      <c r="AQ28" s="353">
        <f>IF(AQ$3="","",SUM(AQ20:AQ27))</f>
        <v/>
      </c>
      <c r="AR28" s="353">
        <f>IF(AR$3="","",SUM(AR20:AR27))</f>
        <v/>
      </c>
      <c r="AS28" s="353">
        <f>IF(AS$3="","",SUM(AS20:AS27))</f>
        <v/>
      </c>
      <c r="AT28" s="353">
        <f>IF(AT$3="","",SUM(AT20:AT27))</f>
        <v/>
      </c>
      <c r="AU28" s="353">
        <f>IF(AU$3="","",SUM(AU20:AU27))</f>
        <v/>
      </c>
      <c r="AV28" s="353">
        <f>IF(AV$3="","",SUM(AV20:AV27))</f>
        <v/>
      </c>
      <c r="AW28" s="353">
        <f>IF(AW$3="","",SUM(AW20:AW27))</f>
        <v/>
      </c>
      <c r="AX28" s="353">
        <f>IF(AX$3="","",SUM(AX20:AX27))</f>
        <v/>
      </c>
      <c r="AY28" s="353">
        <f>IF(AY$3="","",SUM(AY20:AY27))</f>
        <v/>
      </c>
      <c r="AZ28" s="353">
        <f>IF(AZ$3="","",SUM(AZ20:AZ27))</f>
        <v/>
      </c>
      <c r="BA28" s="353">
        <f>IF(BA$3="","",SUM(BA20:BA27))</f>
        <v/>
      </c>
      <c r="BB28" s="353">
        <f>IF(BB$3="","",SUM(BB20:BB27))</f>
        <v/>
      </c>
      <c r="BC28" s="353">
        <f>IF(BC$3="","",SUM(BC20:BC27))</f>
        <v/>
      </c>
      <c r="BD28" s="353">
        <f>IF(BD$3="","",SUM(BD20:BD27))</f>
        <v/>
      </c>
      <c r="BE28" s="353">
        <f>IF(BE$3="","",SUM(BE20:BE27))</f>
        <v/>
      </c>
      <c r="BF28" s="353">
        <f>IF(BF$3="","",SUM(BF20:BF27))</f>
        <v/>
      </c>
      <c r="BG28" s="353">
        <f>IF(BG$3="","",SUM(BG20:BG27))</f>
        <v/>
      </c>
      <c r="BH28" s="353">
        <f>IF(BH$3="","",SUM(BH20:BH27))</f>
        <v/>
      </c>
      <c r="BI28" s="353">
        <f>IF(BI$3="","",SUM(BI20:BI27))</f>
        <v/>
      </c>
      <c r="BJ28" s="353">
        <f>IF(BJ$3="","",SUM(BJ20:BJ27))</f>
        <v/>
      </c>
      <c r="BK28" s="353">
        <f>IF(BK$3="","",SUM(BK20:BK27))</f>
        <v/>
      </c>
      <c r="BL28" s="353">
        <f>IF(BL$3="","",SUM(BL20:BL27))</f>
        <v/>
      </c>
      <c r="BM28" s="353">
        <f>IF(BM$3="","",SUM(BM20:BM27))</f>
        <v/>
      </c>
      <c r="BN28" s="353">
        <f>IF(BN$3="","",SUM(BN20:BN27))</f>
        <v/>
      </c>
      <c r="BO28" s="353">
        <f>IF(BO$3="","",SUM(BO20:BO27))</f>
        <v/>
      </c>
      <c r="BP28" s="353">
        <f>IF(BP$3="","",SUM(BP20:BP27))</f>
        <v/>
      </c>
      <c r="BQ28" s="353">
        <f>IF(BQ$3="","",SUM(BQ20:BQ27))</f>
        <v/>
      </c>
      <c r="BR28" s="353">
        <f>IF(BR$3="","",SUM(BR20:BR27))</f>
        <v/>
      </c>
      <c r="BS28" s="353">
        <f>IF(BS$3="","",SUM(BS20:BS27))</f>
        <v/>
      </c>
      <c r="BT28" s="353">
        <f>IF(BT$3="","",SUM(BT20:BT27))</f>
        <v/>
      </c>
      <c r="BU28" s="353">
        <f>IF(BU$3="","",SUM(BU20:BU27))</f>
        <v/>
      </c>
      <c r="BV28" s="353">
        <f>IF(BV$3="","",SUM(BV20:BV27))</f>
        <v/>
      </c>
      <c r="BW28" s="353">
        <f>IF(BW$3="","",SUM(BW20:BW27))</f>
        <v/>
      </c>
      <c r="BX28" s="353">
        <f>IF(BX$3="","",SUM(BX20:BX27))</f>
        <v/>
      </c>
      <c r="BY28" s="353">
        <f>IF(BY$3="","",SUM(BY20:BY27))</f>
        <v/>
      </c>
      <c r="BZ28" s="353">
        <f>IF(BZ$3="","",SUM(BZ20:BZ27))</f>
        <v/>
      </c>
      <c r="CA28" s="353">
        <f>IF(CA$3="","",SUM(CA20:CA27))</f>
        <v/>
      </c>
      <c r="CB28" s="353">
        <f>IF(CB$3="","",SUM(CB20:CB27))</f>
        <v/>
      </c>
      <c r="CC28" s="353">
        <f>IF(CC$3="","",SUM(CC20:CC27))</f>
        <v/>
      </c>
      <c r="CD28" s="353">
        <f>IF(CD$3="","",SUM(CD20:CD27))</f>
        <v/>
      </c>
      <c r="CE28" s="353">
        <f>IF(CE$3="","",SUM(CE20:CE27))</f>
        <v/>
      </c>
      <c r="CF28" s="353">
        <f>IF(CF$3="","",SUM(CF20:CF27))</f>
        <v/>
      </c>
      <c r="CG28" s="353">
        <f>IF(CG$3="","",SUM(CG20:CG27))</f>
        <v/>
      </c>
      <c r="CH28" s="353">
        <f>IF(CH$3="","",SUM(CH20:CH27))</f>
        <v/>
      </c>
      <c r="CI28" s="353">
        <f>IF(CI$3="","",SUM(CI20:CI27))</f>
        <v/>
      </c>
      <c r="CJ28" s="353">
        <f>IF(CJ$3="","",SUM(CJ20:CJ27))</f>
        <v/>
      </c>
      <c r="CK28" s="353">
        <f>IF(CK$3="","",SUM(CK20:CK27))</f>
        <v/>
      </c>
      <c r="CL28" s="353">
        <f>IF(CL$3="","",SUM(CL20:CL27))</f>
        <v/>
      </c>
      <c r="CM28" s="353">
        <f>IF(CM$3="","",SUM(CM20:CM27))</f>
        <v/>
      </c>
      <c r="CN28" s="353">
        <f>IF(CN$3="","",SUM(CN20:CN27))</f>
        <v/>
      </c>
      <c r="CO28" s="353">
        <f>IF(CO$3="","",SUM(CO20:CO27))</f>
        <v/>
      </c>
      <c r="CP28" s="353">
        <f>IF(CP$3="","",SUM(CP20:CP27))</f>
        <v/>
      </c>
      <c r="CQ28" s="353">
        <f>IF(CQ$3="","",SUM(CQ20:CQ27))</f>
        <v/>
      </c>
      <c r="CR28" s="353">
        <f>IF(CR$3="","",SUM(CR20:CR27))</f>
        <v/>
      </c>
      <c r="CS28" s="353">
        <f>IF(CS$3="","",SUM(CS20:CS27))</f>
        <v/>
      </c>
      <c r="CT28" s="353">
        <f>IF(CT$3="","",SUM(CT20:CT27))</f>
        <v/>
      </c>
      <c r="CU28" s="353">
        <f>IF(CU$3="","",SUM(CU20:CU27))</f>
        <v/>
      </c>
      <c r="CV28" s="353">
        <f>IF(CV$3="","",SUM(CV20:CV27))</f>
        <v/>
      </c>
      <c r="CW28" s="353">
        <f>IF(CW$3="","",SUM(CW20:CW27))</f>
        <v/>
      </c>
    </row>
    <row r="29" ht="15" customHeight="1" s="180">
      <c r="A29" s="205" t="inlineStr">
        <is>
          <t>収支・資産</t>
        </is>
      </c>
      <c r="B29" s="219" t="n"/>
      <c r="C29" s="219" t="n"/>
      <c r="D29" s="219" t="n"/>
      <c r="E29" s="219" t="n"/>
      <c r="F29" s="219" t="n"/>
      <c r="G29" s="219" t="n"/>
      <c r="H29" s="219" t="n"/>
      <c r="I29" s="219" t="n"/>
      <c r="J29" s="219" t="n"/>
      <c r="K29" s="219" t="n"/>
      <c r="L29" s="219" t="n"/>
      <c r="M29" s="219" t="n"/>
      <c r="N29" s="219" t="n"/>
      <c r="O29" s="219" t="n"/>
      <c r="P29" s="219" t="n"/>
      <c r="Q29" s="219" t="n"/>
      <c r="R29" s="219" t="n"/>
      <c r="S29" s="219" t="n"/>
      <c r="T29" s="219" t="n"/>
      <c r="U29" s="219" t="n"/>
      <c r="V29" s="219" t="n"/>
      <c r="W29" s="219" t="n"/>
      <c r="X29" s="219" t="n"/>
      <c r="Y29" s="219" t="n"/>
      <c r="Z29" s="219" t="n"/>
      <c r="AA29" s="219" t="n"/>
      <c r="AB29" s="219" t="n"/>
      <c r="AC29" s="219" t="n"/>
      <c r="AD29" s="219" t="n"/>
      <c r="AE29" s="219" t="n"/>
      <c r="AF29" s="219" t="n"/>
      <c r="AG29" s="219" t="n"/>
      <c r="AH29" s="219" t="n"/>
      <c r="AI29" s="219" t="n"/>
      <c r="AJ29" s="219" t="n"/>
      <c r="AK29" s="219" t="n"/>
      <c r="AL29" s="219" t="n"/>
      <c r="AM29" s="219" t="n"/>
      <c r="AN29" s="219" t="n"/>
      <c r="AO29" s="219" t="n"/>
      <c r="AP29" s="219" t="n"/>
      <c r="AQ29" s="219" t="n"/>
      <c r="AR29" s="219" t="n"/>
      <c r="AS29" s="219" t="n"/>
      <c r="AT29" s="219" t="n"/>
      <c r="AU29" s="219" t="n"/>
      <c r="AV29" s="219" t="n"/>
      <c r="AW29" s="219" t="n"/>
      <c r="AX29" s="219" t="n"/>
      <c r="AY29" s="219" t="n"/>
      <c r="AZ29" s="219" t="n"/>
      <c r="BA29" s="219" t="n"/>
      <c r="BB29" s="219" t="n"/>
      <c r="BC29" s="219" t="n"/>
      <c r="BD29" s="219" t="n"/>
      <c r="BE29" s="219" t="n"/>
      <c r="BF29" s="219" t="n"/>
      <c r="BG29" s="219" t="n"/>
      <c r="BH29" s="219" t="n"/>
      <c r="BI29" s="219" t="n"/>
      <c r="BJ29" s="219" t="n"/>
      <c r="BK29" s="219" t="n"/>
      <c r="BL29" s="219" t="n"/>
      <c r="BM29" s="219" t="n"/>
      <c r="BN29" s="219" t="n"/>
      <c r="BO29" s="219" t="n"/>
      <c r="BP29" s="219" t="n"/>
      <c r="BQ29" s="219" t="n"/>
      <c r="BR29" s="219" t="n"/>
      <c r="BS29" s="219" t="n"/>
      <c r="BT29" s="219" t="n"/>
      <c r="BU29" s="219" t="n"/>
      <c r="BV29" s="219" t="n"/>
      <c r="BW29" s="219" t="n"/>
      <c r="BX29" s="219" t="n"/>
      <c r="BY29" s="219" t="n"/>
      <c r="BZ29" s="219" t="n"/>
      <c r="CA29" s="219" t="n"/>
      <c r="CB29" s="219" t="n"/>
      <c r="CC29" s="219" t="n"/>
      <c r="CD29" s="219" t="n"/>
      <c r="CE29" s="219" t="n"/>
      <c r="CF29" s="219" t="n"/>
      <c r="CG29" s="219" t="n"/>
      <c r="CH29" s="219" t="n"/>
      <c r="CI29" s="219" t="n"/>
      <c r="CJ29" s="219" t="n"/>
      <c r="CK29" s="219" t="n"/>
      <c r="CL29" s="219" t="n"/>
      <c r="CM29" s="219" t="n"/>
      <c r="CN29" s="219" t="n"/>
      <c r="CO29" s="219" t="n"/>
      <c r="CP29" s="219" t="n"/>
      <c r="CQ29" s="219" t="n"/>
      <c r="CR29" s="219" t="n"/>
      <c r="CS29" s="219" t="n"/>
      <c r="CT29" s="219" t="n"/>
      <c r="CU29" s="219" t="n"/>
      <c r="CV29" s="219" t="n"/>
      <c r="CW29" s="219" t="n"/>
    </row>
    <row r="30" ht="21.75" customHeight="1" s="180">
      <c r="A30" s="229" t="inlineStr">
        <is>
          <t>年間収支</t>
        </is>
      </c>
      <c r="B30" s="354">
        <f>IF(B$3="","",B18-B28)</f>
        <v/>
      </c>
      <c r="C30" s="354">
        <f>IF(C$3="","",C18-C28)</f>
        <v/>
      </c>
      <c r="D30" s="354">
        <f>IF(D$3="","",D18-D28)</f>
        <v/>
      </c>
      <c r="E30" s="354">
        <f>IF(E$3="","",E18-E28)</f>
        <v/>
      </c>
      <c r="F30" s="354">
        <f>IF(F$3="","",F18-F28)</f>
        <v/>
      </c>
      <c r="G30" s="354">
        <f>IF(G$3="","",G18-G28)</f>
        <v/>
      </c>
      <c r="H30" s="354">
        <f>IF(H$3="","",H18-H28)</f>
        <v/>
      </c>
      <c r="I30" s="354">
        <f>IF(I$3="","",I18-I28)</f>
        <v/>
      </c>
      <c r="J30" s="354">
        <f>IF(J$3="","",J18-J28)</f>
        <v/>
      </c>
      <c r="K30" s="354">
        <f>IF(K$3="","",K18-K28)</f>
        <v/>
      </c>
      <c r="L30" s="354">
        <f>IF(L$3="","",L18-L28)</f>
        <v/>
      </c>
      <c r="M30" s="354">
        <f>IF(M$3="","",M18-M28)</f>
        <v/>
      </c>
      <c r="N30" s="354">
        <f>IF(N$3="","",N18-N28)</f>
        <v/>
      </c>
      <c r="O30" s="354">
        <f>IF(O$3="","",O18-O28)</f>
        <v/>
      </c>
      <c r="P30" s="354">
        <f>IF(P$3="","",P18-P28)</f>
        <v/>
      </c>
      <c r="Q30" s="354">
        <f>IF(Q$3="","",Q18-Q28)</f>
        <v/>
      </c>
      <c r="R30" s="354">
        <f>IF(R$3="","",R18-R28)</f>
        <v/>
      </c>
      <c r="S30" s="354">
        <f>IF(S$3="","",S18-S28)</f>
        <v/>
      </c>
      <c r="T30" s="354">
        <f>IF(T$3="","",T18-T28)</f>
        <v/>
      </c>
      <c r="U30" s="354">
        <f>IF(U$3="","",U18-U28)</f>
        <v/>
      </c>
      <c r="V30" s="354">
        <f>IF(V$3="","",V18-V28)</f>
        <v/>
      </c>
      <c r="W30" s="354">
        <f>IF(W$3="","",W18-W28)</f>
        <v/>
      </c>
      <c r="X30" s="354">
        <f>IF(X$3="","",X18-X28)</f>
        <v/>
      </c>
      <c r="Y30" s="354">
        <f>IF(Y$3="","",Y18-Y28)</f>
        <v/>
      </c>
      <c r="Z30" s="354">
        <f>IF(Z$3="","",Z18-Z28)</f>
        <v/>
      </c>
      <c r="AA30" s="354">
        <f>IF(AA$3="","",AA18-AA28)</f>
        <v/>
      </c>
      <c r="AB30" s="354">
        <f>IF(AB$3="","",AB18-AB28)</f>
        <v/>
      </c>
      <c r="AC30" s="354">
        <f>IF(AC$3="","",AC18-AC28)</f>
        <v/>
      </c>
      <c r="AD30" s="354">
        <f>IF(AD$3="","",AD18-AD28)</f>
        <v/>
      </c>
      <c r="AE30" s="354">
        <f>IF(AE$3="","",AE18-AE28)</f>
        <v/>
      </c>
      <c r="AF30" s="354">
        <f>IF(AF$3="","",AF18-AF28)</f>
        <v/>
      </c>
      <c r="AG30" s="354">
        <f>IF(AG$3="","",AG18-AG28)</f>
        <v/>
      </c>
      <c r="AH30" s="354">
        <f>IF(AH$3="","",AH18-AH28)</f>
        <v/>
      </c>
      <c r="AI30" s="354">
        <f>IF(AI$3="","",AI18-AI28)</f>
        <v/>
      </c>
      <c r="AJ30" s="354">
        <f>IF(AJ$3="","",AJ18-AJ28)</f>
        <v/>
      </c>
      <c r="AK30" s="354">
        <f>IF(AK$3="","",AK18-AK28)</f>
        <v/>
      </c>
      <c r="AL30" s="354">
        <f>IF(AL$3="","",AL18-AL28)</f>
        <v/>
      </c>
      <c r="AM30" s="354">
        <f>IF(AM$3="","",AM18-AM28)</f>
        <v/>
      </c>
      <c r="AN30" s="354">
        <f>IF(AN$3="","",AN18-AN28)</f>
        <v/>
      </c>
      <c r="AO30" s="354">
        <f>IF(AO$3="","",AO18-AO28)</f>
        <v/>
      </c>
      <c r="AP30" s="354">
        <f>IF(AP$3="","",AP18-AP28)</f>
        <v/>
      </c>
      <c r="AQ30" s="354">
        <f>IF(AQ$3="","",AQ18-AQ28)</f>
        <v/>
      </c>
      <c r="AR30" s="354">
        <f>IF(AR$3="","",AR18-AR28)</f>
        <v/>
      </c>
      <c r="AS30" s="354">
        <f>IF(AS$3="","",AS18-AS28)</f>
        <v/>
      </c>
      <c r="AT30" s="354">
        <f>IF(AT$3="","",AT18-AT28)</f>
        <v/>
      </c>
      <c r="AU30" s="354">
        <f>IF(AU$3="","",AU18-AU28)</f>
        <v/>
      </c>
      <c r="AV30" s="354">
        <f>IF(AV$3="","",AV18-AV28)</f>
        <v/>
      </c>
      <c r="AW30" s="354">
        <f>IF(AW$3="","",AW18-AW28)</f>
        <v/>
      </c>
      <c r="AX30" s="354">
        <f>IF(AX$3="","",AX18-AX28)</f>
        <v/>
      </c>
      <c r="AY30" s="354">
        <f>IF(AY$3="","",AY18-AY28)</f>
        <v/>
      </c>
      <c r="AZ30" s="354">
        <f>IF(AZ$3="","",AZ18-AZ28)</f>
        <v/>
      </c>
      <c r="BA30" s="354">
        <f>IF(BA$3="","",BA18-BA28)</f>
        <v/>
      </c>
      <c r="BB30" s="354">
        <f>IF(BB$3="","",BB18-BB28)</f>
        <v/>
      </c>
      <c r="BC30" s="354">
        <f>IF(BC$3="","",BC18-BC28)</f>
        <v/>
      </c>
      <c r="BD30" s="354">
        <f>IF(BD$3="","",BD18-BD28)</f>
        <v/>
      </c>
      <c r="BE30" s="354">
        <f>IF(BE$3="","",BE18-BE28)</f>
        <v/>
      </c>
      <c r="BF30" s="354">
        <f>IF(BF$3="","",BF18-BF28)</f>
        <v/>
      </c>
      <c r="BG30" s="354">
        <f>IF(BG$3="","",BG18-BG28)</f>
        <v/>
      </c>
      <c r="BH30" s="354">
        <f>IF(BH$3="","",BH18-BH28)</f>
        <v/>
      </c>
      <c r="BI30" s="354">
        <f>IF(BI$3="","",BI18-BI28)</f>
        <v/>
      </c>
      <c r="BJ30" s="354">
        <f>IF(BJ$3="","",BJ18-BJ28)</f>
        <v/>
      </c>
      <c r="BK30" s="354">
        <f>IF(BK$3="","",BK18-BK28)</f>
        <v/>
      </c>
      <c r="BL30" s="354">
        <f>IF(BL$3="","",BL18-BL28)</f>
        <v/>
      </c>
      <c r="BM30" s="354">
        <f>IF(BM$3="","",BM18-BM28)</f>
        <v/>
      </c>
      <c r="BN30" s="354">
        <f>IF(BN$3="","",BN18-BN28)</f>
        <v/>
      </c>
      <c r="BO30" s="354">
        <f>IF(BO$3="","",BO18-BO28)</f>
        <v/>
      </c>
      <c r="BP30" s="354">
        <f>IF(BP$3="","",BP18-BP28)</f>
        <v/>
      </c>
      <c r="BQ30" s="354">
        <f>IF(BQ$3="","",BQ18-BQ28)</f>
        <v/>
      </c>
      <c r="BR30" s="354">
        <f>IF(BR$3="","",BR18-BR28)</f>
        <v/>
      </c>
      <c r="BS30" s="354">
        <f>IF(BS$3="","",BS18-BS28)</f>
        <v/>
      </c>
      <c r="BT30" s="354">
        <f>IF(BT$3="","",BT18-BT28)</f>
        <v/>
      </c>
      <c r="BU30" s="354">
        <f>IF(BU$3="","",BU18-BU28)</f>
        <v/>
      </c>
      <c r="BV30" s="354">
        <f>IF(BV$3="","",BV18-BV28)</f>
        <v/>
      </c>
      <c r="BW30" s="354">
        <f>IF(BW$3="","",BW18-BW28)</f>
        <v/>
      </c>
      <c r="BX30" s="354">
        <f>IF(BX$3="","",BX18-BX28)</f>
        <v/>
      </c>
      <c r="BY30" s="354">
        <f>IF(BY$3="","",BY18-BY28)</f>
        <v/>
      </c>
      <c r="BZ30" s="354">
        <f>IF(BZ$3="","",BZ18-BZ28)</f>
        <v/>
      </c>
      <c r="CA30" s="354">
        <f>IF(CA$3="","",CA18-CA28)</f>
        <v/>
      </c>
      <c r="CB30" s="354">
        <f>IF(CB$3="","",CB18-CB28)</f>
        <v/>
      </c>
      <c r="CC30" s="354">
        <f>IF(CC$3="","",CC18-CC28)</f>
        <v/>
      </c>
      <c r="CD30" s="354">
        <f>IF(CD$3="","",CD18-CD28)</f>
        <v/>
      </c>
      <c r="CE30" s="354">
        <f>IF(CE$3="","",CE18-CE28)</f>
        <v/>
      </c>
      <c r="CF30" s="354">
        <f>IF(CF$3="","",CF18-CF28)</f>
        <v/>
      </c>
      <c r="CG30" s="354">
        <f>IF(CG$3="","",CG18-CG28)</f>
        <v/>
      </c>
      <c r="CH30" s="354">
        <f>IF(CH$3="","",CH18-CH28)</f>
        <v/>
      </c>
      <c r="CI30" s="354">
        <f>IF(CI$3="","",CI18-CI28)</f>
        <v/>
      </c>
      <c r="CJ30" s="354">
        <f>IF(CJ$3="","",CJ18-CJ28)</f>
        <v/>
      </c>
      <c r="CK30" s="354">
        <f>IF(CK$3="","",CK18-CK28)</f>
        <v/>
      </c>
      <c r="CL30" s="354">
        <f>IF(CL$3="","",CL18-CL28)</f>
        <v/>
      </c>
      <c r="CM30" s="354">
        <f>IF(CM$3="","",CM18-CM28)</f>
        <v/>
      </c>
      <c r="CN30" s="354">
        <f>IF(CN$3="","",CN18-CN28)</f>
        <v/>
      </c>
      <c r="CO30" s="354">
        <f>IF(CO$3="","",CO18-CO28)</f>
        <v/>
      </c>
      <c r="CP30" s="354">
        <f>IF(CP$3="","",CP18-CP28)</f>
        <v/>
      </c>
      <c r="CQ30" s="354">
        <f>IF(CQ$3="","",CQ18-CQ28)</f>
        <v/>
      </c>
      <c r="CR30" s="354">
        <f>IF(CR$3="","",CR18-CR28)</f>
        <v/>
      </c>
      <c r="CS30" s="354">
        <f>IF(CS$3="","",CS18-CS28)</f>
        <v/>
      </c>
      <c r="CT30" s="354">
        <f>IF(CT$3="","",CT18-CT28)</f>
        <v/>
      </c>
      <c r="CU30" s="354">
        <f>IF(CU$3="","",CU18-CU28)</f>
        <v/>
      </c>
      <c r="CV30" s="354">
        <f>IF(CV$3="","",CV18-CV28)</f>
        <v/>
      </c>
      <c r="CW30" s="354">
        <f>IF(CW$3="","",CW18-CW28)</f>
        <v/>
      </c>
    </row>
    <row r="31" ht="15" customHeight="1" s="180">
      <c r="A31" s="231" t="inlineStr">
        <is>
          <t>預貯金残高</t>
        </is>
      </c>
      <c r="B31" s="355">
        <f>IF(B$3="","",B38)</f>
        <v/>
      </c>
      <c r="C31" s="355">
        <f>IF(C$3="","",C38)</f>
        <v/>
      </c>
      <c r="D31" s="355">
        <f>IF(D$3="","",D38)</f>
        <v/>
      </c>
      <c r="E31" s="355">
        <f>IF(E$3="","",E38)</f>
        <v/>
      </c>
      <c r="F31" s="355">
        <f>IF(F$3="","",F38)</f>
        <v/>
      </c>
      <c r="G31" s="355">
        <f>IF(G$3="","",G38)</f>
        <v/>
      </c>
      <c r="H31" s="355">
        <f>IF(H$3="","",H38)</f>
        <v/>
      </c>
      <c r="I31" s="355">
        <f>IF(I$3="","",I38)</f>
        <v/>
      </c>
      <c r="J31" s="355">
        <f>IF(J$3="","",J38)</f>
        <v/>
      </c>
      <c r="K31" s="355">
        <f>IF(K$3="","",K38)</f>
        <v/>
      </c>
      <c r="L31" s="355">
        <f>IF(L$3="","",L38)</f>
        <v/>
      </c>
      <c r="M31" s="355">
        <f>IF(M$3="","",M38)</f>
        <v/>
      </c>
      <c r="N31" s="355">
        <f>IF(N$3="","",N38)</f>
        <v/>
      </c>
      <c r="O31" s="355">
        <f>IF(O$3="","",O38)</f>
        <v/>
      </c>
      <c r="P31" s="355">
        <f>IF(P$3="","",P38)</f>
        <v/>
      </c>
      <c r="Q31" s="355">
        <f>IF(Q$3="","",Q38)</f>
        <v/>
      </c>
      <c r="R31" s="355">
        <f>IF(R$3="","",R38)</f>
        <v/>
      </c>
      <c r="S31" s="355">
        <f>IF(S$3="","",S38)</f>
        <v/>
      </c>
      <c r="T31" s="355">
        <f>IF(T$3="","",T38)</f>
        <v/>
      </c>
      <c r="U31" s="355">
        <f>IF(U$3="","",U38)</f>
        <v/>
      </c>
      <c r="V31" s="355">
        <f>IF(V$3="","",V38)</f>
        <v/>
      </c>
      <c r="W31" s="355">
        <f>IF(W$3="","",W38)</f>
        <v/>
      </c>
      <c r="X31" s="355">
        <f>IF(X$3="","",X38)</f>
        <v/>
      </c>
      <c r="Y31" s="355">
        <f>IF(Y$3="","",Y38)</f>
        <v/>
      </c>
      <c r="Z31" s="355">
        <f>IF(Z$3="","",Z38)</f>
        <v/>
      </c>
      <c r="AA31" s="355">
        <f>IF(AA$3="","",AA38)</f>
        <v/>
      </c>
      <c r="AB31" s="355">
        <f>IF(AB$3="","",AB38)</f>
        <v/>
      </c>
      <c r="AC31" s="355">
        <f>IF(AC$3="","",AC38)</f>
        <v/>
      </c>
      <c r="AD31" s="355">
        <f>IF(AD$3="","",AD38)</f>
        <v/>
      </c>
      <c r="AE31" s="355">
        <f>IF(AE$3="","",AE38)</f>
        <v/>
      </c>
      <c r="AF31" s="355">
        <f>IF(AF$3="","",AF38)</f>
        <v/>
      </c>
      <c r="AG31" s="355">
        <f>IF(AG$3="","",AG38)</f>
        <v/>
      </c>
      <c r="AH31" s="355">
        <f>IF(AH$3="","",AH38)</f>
        <v/>
      </c>
      <c r="AI31" s="355">
        <f>IF(AI$3="","",AI38)</f>
        <v/>
      </c>
      <c r="AJ31" s="355">
        <f>IF(AJ$3="","",AJ38)</f>
        <v/>
      </c>
      <c r="AK31" s="355">
        <f>IF(AK$3="","",AK38)</f>
        <v/>
      </c>
      <c r="AL31" s="355">
        <f>IF(AL$3="","",AL38)</f>
        <v/>
      </c>
      <c r="AM31" s="355">
        <f>IF(AM$3="","",AM38)</f>
        <v/>
      </c>
      <c r="AN31" s="355">
        <f>IF(AN$3="","",AN38)</f>
        <v/>
      </c>
      <c r="AO31" s="355">
        <f>IF(AO$3="","",AO38)</f>
        <v/>
      </c>
      <c r="AP31" s="355">
        <f>IF(AP$3="","",AP38)</f>
        <v/>
      </c>
      <c r="AQ31" s="355">
        <f>IF(AQ$3="","",AQ38)</f>
        <v/>
      </c>
      <c r="AR31" s="355">
        <f>IF(AR$3="","",AR38)</f>
        <v/>
      </c>
      <c r="AS31" s="355">
        <f>IF(AS$3="","",AS38)</f>
        <v/>
      </c>
      <c r="AT31" s="355">
        <f>IF(AT$3="","",AT38)</f>
        <v/>
      </c>
      <c r="AU31" s="355">
        <f>IF(AU$3="","",AU38)</f>
        <v/>
      </c>
      <c r="AV31" s="355">
        <f>IF(AV$3="","",AV38)</f>
        <v/>
      </c>
      <c r="AW31" s="355">
        <f>IF(AW$3="","",AW38)</f>
        <v/>
      </c>
      <c r="AX31" s="355">
        <f>IF(AX$3="","",AX38)</f>
        <v/>
      </c>
      <c r="AY31" s="355">
        <f>IF(AY$3="","",AY38)</f>
        <v/>
      </c>
      <c r="AZ31" s="355">
        <f>IF(AZ$3="","",AZ38)</f>
        <v/>
      </c>
      <c r="BA31" s="355">
        <f>IF(BA$3="","",BA38)</f>
        <v/>
      </c>
      <c r="BB31" s="355">
        <f>IF(BB$3="","",BB38)</f>
        <v/>
      </c>
      <c r="BC31" s="355">
        <f>IF(BC$3="","",BC38)</f>
        <v/>
      </c>
      <c r="BD31" s="355">
        <f>IF(BD$3="","",BD38)</f>
        <v/>
      </c>
      <c r="BE31" s="355">
        <f>IF(BE$3="","",BE38)</f>
        <v/>
      </c>
      <c r="BF31" s="355">
        <f>IF(BF$3="","",BF38)</f>
        <v/>
      </c>
      <c r="BG31" s="355">
        <f>IF(BG$3="","",BG38)</f>
        <v/>
      </c>
      <c r="BH31" s="355">
        <f>IF(BH$3="","",BH38)</f>
        <v/>
      </c>
      <c r="BI31" s="355">
        <f>IF(BI$3="","",BI38)</f>
        <v/>
      </c>
      <c r="BJ31" s="355">
        <f>IF(BJ$3="","",BJ38)</f>
        <v/>
      </c>
      <c r="BK31" s="355">
        <f>IF(BK$3="","",BK38)</f>
        <v/>
      </c>
      <c r="BL31" s="355">
        <f>IF(BL$3="","",BL38)</f>
        <v/>
      </c>
      <c r="BM31" s="355">
        <f>IF(BM$3="","",BM38)</f>
        <v/>
      </c>
      <c r="BN31" s="355">
        <f>IF(BN$3="","",BN38)</f>
        <v/>
      </c>
      <c r="BO31" s="355">
        <f>IF(BO$3="","",BO38)</f>
        <v/>
      </c>
      <c r="BP31" s="355">
        <f>IF(BP$3="","",BP38)</f>
        <v/>
      </c>
      <c r="BQ31" s="355">
        <f>IF(BQ$3="","",BQ38)</f>
        <v/>
      </c>
      <c r="BR31" s="355">
        <f>IF(BR$3="","",BR38)</f>
        <v/>
      </c>
      <c r="BS31" s="355">
        <f>IF(BS$3="","",BS38)</f>
        <v/>
      </c>
      <c r="BT31" s="355">
        <f>IF(BT$3="","",BT38)</f>
        <v/>
      </c>
      <c r="BU31" s="355">
        <f>IF(BU$3="","",BU38)</f>
        <v/>
      </c>
      <c r="BV31" s="355">
        <f>IF(BV$3="","",BV38)</f>
        <v/>
      </c>
      <c r="BW31" s="355">
        <f>IF(BW$3="","",BW38)</f>
        <v/>
      </c>
      <c r="BX31" s="355">
        <f>IF(BX$3="","",BX38)</f>
        <v/>
      </c>
      <c r="BY31" s="355">
        <f>IF(BY$3="","",BY38)</f>
        <v/>
      </c>
      <c r="BZ31" s="355">
        <f>IF(BZ$3="","",BZ38)</f>
        <v/>
      </c>
      <c r="CA31" s="355">
        <f>IF(CA$3="","",CA38)</f>
        <v/>
      </c>
      <c r="CB31" s="355">
        <f>IF(CB$3="","",CB38)</f>
        <v/>
      </c>
      <c r="CC31" s="355">
        <f>IF(CC$3="","",CC38)</f>
        <v/>
      </c>
      <c r="CD31" s="355">
        <f>IF(CD$3="","",CD38)</f>
        <v/>
      </c>
      <c r="CE31" s="355">
        <f>IF(CE$3="","",CE38)</f>
        <v/>
      </c>
      <c r="CF31" s="355">
        <f>IF(CF$3="","",CF38)</f>
        <v/>
      </c>
      <c r="CG31" s="355">
        <f>IF(CG$3="","",CG38)</f>
        <v/>
      </c>
      <c r="CH31" s="355">
        <f>IF(CH$3="","",CH38)</f>
        <v/>
      </c>
      <c r="CI31" s="355">
        <f>IF(CI$3="","",CI38)</f>
        <v/>
      </c>
      <c r="CJ31" s="355">
        <f>IF(CJ$3="","",CJ38)</f>
        <v/>
      </c>
      <c r="CK31" s="355">
        <f>IF(CK$3="","",CK38)</f>
        <v/>
      </c>
      <c r="CL31" s="355">
        <f>IF(CL$3="","",CL38)</f>
        <v/>
      </c>
      <c r="CM31" s="355">
        <f>IF(CM$3="","",CM38)</f>
        <v/>
      </c>
      <c r="CN31" s="355">
        <f>IF(CN$3="","",CN38)</f>
        <v/>
      </c>
      <c r="CO31" s="355">
        <f>IF(CO$3="","",CO38)</f>
        <v/>
      </c>
      <c r="CP31" s="355">
        <f>IF(CP$3="","",CP38)</f>
        <v/>
      </c>
      <c r="CQ31" s="355">
        <f>IF(CQ$3="","",CQ38)</f>
        <v/>
      </c>
      <c r="CR31" s="355">
        <f>IF(CR$3="","",CR38)</f>
        <v/>
      </c>
      <c r="CS31" s="355">
        <f>IF(CS$3="","",CS38)</f>
        <v/>
      </c>
      <c r="CT31" s="355">
        <f>IF(CT$3="","",CT38)</f>
        <v/>
      </c>
      <c r="CU31" s="355">
        <f>IF(CU$3="","",CU38)</f>
        <v/>
      </c>
      <c r="CV31" s="355">
        <f>IF(CV$3="","",CV38)</f>
        <v/>
      </c>
      <c r="CW31" s="355">
        <f>IF(CW$3="","",CW38)</f>
        <v/>
      </c>
    </row>
    <row r="32" ht="15" customHeight="1" s="180">
      <c r="A32" s="233" t="inlineStr">
        <is>
          <t>投資資産残高</t>
        </is>
      </c>
      <c r="B32" s="356">
        <f>IF(B$3="","",((SUM(入力データ!$C$90:$C$92,入力データ!$C$94)*(1+前提条件!$C$60))+B36-B39))</f>
        <v/>
      </c>
      <c r="C32" s="356">
        <f>IF(C$3="","",((SUM(入力データ!$C$90:$C$92,入力データ!$C$94)*(1+前提条件!$C$60))+C36-C39))</f>
        <v/>
      </c>
      <c r="D32" s="356">
        <f>IF(D$3="","",((SUM(入力データ!$C$90:$C$92,入力データ!$C$94)*(1+前提条件!$C$60))+D36-D39))</f>
        <v/>
      </c>
      <c r="E32" s="356">
        <f>IF(E$3="","",((SUM(入力データ!$C$90:$C$92,入力データ!$C$94)*(1+前提条件!$C$60))+E36-E39))</f>
        <v/>
      </c>
      <c r="F32" s="356">
        <f>IF(F$3="","",((SUM(入力データ!$C$90:$C$92,入力データ!$C$94)*(1+前提条件!$C$60))+F36-F39))</f>
        <v/>
      </c>
      <c r="G32" s="356">
        <f>IF(G$3="","",((SUM(入力データ!$C$90:$C$92,入力データ!$C$94)*(1+前提条件!$C$60))+G36-G39))</f>
        <v/>
      </c>
      <c r="H32" s="356">
        <f>IF(H$3="","",((SUM(入力データ!$C$90:$C$92,入力データ!$C$94)*(1+前提条件!$C$60))+H36-H39))</f>
        <v/>
      </c>
      <c r="I32" s="356">
        <f>IF(I$3="","",((SUM(入力データ!$C$90:$C$92,入力データ!$C$94)*(1+前提条件!$C$60))+I36-I39))</f>
        <v/>
      </c>
      <c r="J32" s="356">
        <f>IF(J$3="","",((SUM(入力データ!$C$90:$C$92,入力データ!$C$94)*(1+前提条件!$C$60))+J36-J39))</f>
        <v/>
      </c>
      <c r="K32" s="356">
        <f>IF(K$3="","",((SUM(入力データ!$C$90:$C$92,入力データ!$C$94)*(1+前提条件!$C$60))+K36-K39))</f>
        <v/>
      </c>
      <c r="L32" s="356">
        <f>IF(L$3="","",((SUM(入力データ!$C$90:$C$92,入力データ!$C$94)*(1+前提条件!$C$60))+L36-L39))</f>
        <v/>
      </c>
      <c r="M32" s="356">
        <f>IF(M$3="","",((SUM(入力データ!$C$90:$C$92,入力データ!$C$94)*(1+前提条件!$C$60))+M36-M39))</f>
        <v/>
      </c>
      <c r="N32" s="356">
        <f>IF(N$3="","",((SUM(入力データ!$C$90:$C$92,入力データ!$C$94)*(1+前提条件!$C$60))+N36-N39))</f>
        <v/>
      </c>
      <c r="O32" s="356">
        <f>IF(O$3="","",((SUM(入力データ!$C$90:$C$92,入力データ!$C$94)*(1+前提条件!$C$60))+O36-O39))</f>
        <v/>
      </c>
      <c r="P32" s="356">
        <f>IF(P$3="","",((SUM(入力データ!$C$90:$C$92,入力データ!$C$94)*(1+前提条件!$C$60))+P36-P39))</f>
        <v/>
      </c>
      <c r="Q32" s="356">
        <f>IF(Q$3="","",((SUM(入力データ!$C$90:$C$92,入力データ!$C$94)*(1+前提条件!$C$60))+Q36-Q39))</f>
        <v/>
      </c>
      <c r="R32" s="356">
        <f>IF(R$3="","",((SUM(入力データ!$C$90:$C$92,入力データ!$C$94)*(1+前提条件!$C$60))+R36-R39))</f>
        <v/>
      </c>
      <c r="S32" s="356">
        <f>IF(S$3="","",((SUM(入力データ!$C$90:$C$92,入力データ!$C$94)*(1+前提条件!$C$60))+S36-S39))</f>
        <v/>
      </c>
      <c r="T32" s="356">
        <f>IF(T$3="","",((SUM(入力データ!$C$90:$C$92,入力データ!$C$94)*(1+前提条件!$C$60))+T36-T39))</f>
        <v/>
      </c>
      <c r="U32" s="356">
        <f>IF(U$3="","",((SUM(入力データ!$C$90:$C$92,入力データ!$C$94)*(1+前提条件!$C$60))+U36-U39))</f>
        <v/>
      </c>
      <c r="V32" s="356">
        <f>IF(V$3="","",((SUM(入力データ!$C$90:$C$92,入力データ!$C$94)*(1+前提条件!$C$60))+V36-V39))</f>
        <v/>
      </c>
      <c r="W32" s="356">
        <f>IF(W$3="","",((SUM(入力データ!$C$90:$C$92,入力データ!$C$94)*(1+前提条件!$C$60))+W36-W39))</f>
        <v/>
      </c>
      <c r="X32" s="356">
        <f>IF(X$3="","",((SUM(入力データ!$C$90:$C$92,入力データ!$C$94)*(1+前提条件!$C$60))+X36-X39))</f>
        <v/>
      </c>
      <c r="Y32" s="356">
        <f>IF(Y$3="","",((SUM(入力データ!$C$90:$C$92,入力データ!$C$94)*(1+前提条件!$C$60))+Y36-Y39))</f>
        <v/>
      </c>
      <c r="Z32" s="356">
        <f>IF(Z$3="","",((SUM(入力データ!$C$90:$C$92,入力データ!$C$94)*(1+前提条件!$C$60))+Z36-Z39))</f>
        <v/>
      </c>
      <c r="AA32" s="356">
        <f>IF(AA$3="","",((SUM(入力データ!$C$90:$C$92,入力データ!$C$94)*(1+前提条件!$C$60))+AA36-AA39))</f>
        <v/>
      </c>
      <c r="AB32" s="356">
        <f>IF(AB$3="","",((SUM(入力データ!$C$90:$C$92,入力データ!$C$94)*(1+前提条件!$C$60))+AB36-AB39))</f>
        <v/>
      </c>
      <c r="AC32" s="356">
        <f>IF(AC$3="","",((SUM(入力データ!$C$90:$C$92,入力データ!$C$94)*(1+前提条件!$C$60))+AC36-AC39))</f>
        <v/>
      </c>
      <c r="AD32" s="356">
        <f>IF(AD$3="","",((SUM(入力データ!$C$90:$C$92,入力データ!$C$94)*(1+前提条件!$C$60))+AD36-AD39))</f>
        <v/>
      </c>
      <c r="AE32" s="356">
        <f>IF(AE$3="","",((SUM(入力データ!$C$90:$C$92,入力データ!$C$94)*(1+前提条件!$C$60))+AE36-AE39))</f>
        <v/>
      </c>
      <c r="AF32" s="356">
        <f>IF(AF$3="","",((SUM(入力データ!$C$90:$C$92,入力データ!$C$94)*(1+前提条件!$C$60))+AF36-AF39))</f>
        <v/>
      </c>
      <c r="AG32" s="356">
        <f>IF(AG$3="","",((SUM(入力データ!$C$90:$C$92,入力データ!$C$94)*(1+前提条件!$C$60))+AG36-AG39))</f>
        <v/>
      </c>
      <c r="AH32" s="356">
        <f>IF(AH$3="","",((SUM(入力データ!$C$90:$C$92,入力データ!$C$94)*(1+前提条件!$C$60))+AH36-AH39))</f>
        <v/>
      </c>
      <c r="AI32" s="356">
        <f>IF(AI$3="","",((SUM(入力データ!$C$90:$C$92,入力データ!$C$94)*(1+前提条件!$C$60))+AI36-AI39))</f>
        <v/>
      </c>
      <c r="AJ32" s="356">
        <f>IF(AJ$3="","",((SUM(入力データ!$C$90:$C$92,入力データ!$C$94)*(1+前提条件!$C$60))+AJ36-AJ39))</f>
        <v/>
      </c>
      <c r="AK32" s="356">
        <f>IF(AK$3="","",((SUM(入力データ!$C$90:$C$92,入力データ!$C$94)*(1+前提条件!$C$60))+AK36-AK39))</f>
        <v/>
      </c>
      <c r="AL32" s="356">
        <f>IF(AL$3="","",((SUM(入力データ!$C$90:$C$92,入力データ!$C$94)*(1+前提条件!$C$60))+AL36-AL39))</f>
        <v/>
      </c>
      <c r="AM32" s="356">
        <f>IF(AM$3="","",((SUM(入力データ!$C$90:$C$92,入力データ!$C$94)*(1+前提条件!$C$60))+AM36-AM39))</f>
        <v/>
      </c>
      <c r="AN32" s="356">
        <f>IF(AN$3="","",((SUM(入力データ!$C$90:$C$92,入力データ!$C$94)*(1+前提条件!$C$60))+AN36-AN39))</f>
        <v/>
      </c>
      <c r="AO32" s="356">
        <f>IF(AO$3="","",((SUM(入力データ!$C$90:$C$92,入力データ!$C$94)*(1+前提条件!$C$60))+AO36-AO39))</f>
        <v/>
      </c>
      <c r="AP32" s="356">
        <f>IF(AP$3="","",((SUM(入力データ!$C$90:$C$92,入力データ!$C$94)*(1+前提条件!$C$60))+AP36-AP39))</f>
        <v/>
      </c>
      <c r="AQ32" s="356">
        <f>IF(AQ$3="","",((SUM(入力データ!$C$90:$C$92,入力データ!$C$94)*(1+前提条件!$C$60))+AQ36-AQ39))</f>
        <v/>
      </c>
      <c r="AR32" s="356">
        <f>IF(AR$3="","",((SUM(入力データ!$C$90:$C$92,入力データ!$C$94)*(1+前提条件!$C$60))+AR36-AR39))</f>
        <v/>
      </c>
      <c r="AS32" s="356">
        <f>IF(AS$3="","",((SUM(入力データ!$C$90:$C$92,入力データ!$C$94)*(1+前提条件!$C$60))+AS36-AS39))</f>
        <v/>
      </c>
      <c r="AT32" s="356">
        <f>IF(AT$3="","",((SUM(入力データ!$C$90:$C$92,入力データ!$C$94)*(1+前提条件!$C$60))+AT36-AT39))</f>
        <v/>
      </c>
      <c r="AU32" s="356">
        <f>IF(AU$3="","",((SUM(入力データ!$C$90:$C$92,入力データ!$C$94)*(1+前提条件!$C$60))+AU36-AU39))</f>
        <v/>
      </c>
      <c r="AV32" s="356">
        <f>IF(AV$3="","",((SUM(入力データ!$C$90:$C$92,入力データ!$C$94)*(1+前提条件!$C$60))+AV36-AV39))</f>
        <v/>
      </c>
      <c r="AW32" s="356">
        <f>IF(AW$3="","",((SUM(入力データ!$C$90:$C$92,入力データ!$C$94)*(1+前提条件!$C$60))+AW36-AW39))</f>
        <v/>
      </c>
      <c r="AX32" s="356">
        <f>IF(AX$3="","",((SUM(入力データ!$C$90:$C$92,入力データ!$C$94)*(1+前提条件!$C$60))+AX36-AX39))</f>
        <v/>
      </c>
      <c r="AY32" s="356">
        <f>IF(AY$3="","",((SUM(入力データ!$C$90:$C$92,入力データ!$C$94)*(1+前提条件!$C$60))+AY36-AY39))</f>
        <v/>
      </c>
      <c r="AZ32" s="356">
        <f>IF(AZ$3="","",((SUM(入力データ!$C$90:$C$92,入力データ!$C$94)*(1+前提条件!$C$60))+AZ36-AZ39))</f>
        <v/>
      </c>
      <c r="BA32" s="356">
        <f>IF(BA$3="","",((SUM(入力データ!$C$90:$C$92,入力データ!$C$94)*(1+前提条件!$C$60))+BA36-BA39))</f>
        <v/>
      </c>
      <c r="BB32" s="356">
        <f>IF(BB$3="","",((SUM(入力データ!$C$90:$C$92,入力データ!$C$94)*(1+前提条件!$C$60))+BB36-BB39))</f>
        <v/>
      </c>
      <c r="BC32" s="356">
        <f>IF(BC$3="","",((SUM(入力データ!$C$90:$C$92,入力データ!$C$94)*(1+前提条件!$C$60))+BC36-BC39))</f>
        <v/>
      </c>
      <c r="BD32" s="356">
        <f>IF(BD$3="","",((SUM(入力データ!$C$90:$C$92,入力データ!$C$94)*(1+前提条件!$C$60))+BD36-BD39))</f>
        <v/>
      </c>
      <c r="BE32" s="356">
        <f>IF(BE$3="","",((SUM(入力データ!$C$90:$C$92,入力データ!$C$94)*(1+前提条件!$C$60))+BE36-BE39))</f>
        <v/>
      </c>
      <c r="BF32" s="356">
        <f>IF(BF$3="","",((SUM(入力データ!$C$90:$C$92,入力データ!$C$94)*(1+前提条件!$C$60))+BF36-BF39))</f>
        <v/>
      </c>
      <c r="BG32" s="356">
        <f>IF(BG$3="","",((SUM(入力データ!$C$90:$C$92,入力データ!$C$94)*(1+前提条件!$C$60))+BG36-BG39))</f>
        <v/>
      </c>
      <c r="BH32" s="356">
        <f>IF(BH$3="","",((SUM(入力データ!$C$90:$C$92,入力データ!$C$94)*(1+前提条件!$C$60))+BH36-BH39))</f>
        <v/>
      </c>
      <c r="BI32" s="356">
        <f>IF(BI$3="","",((SUM(入力データ!$C$90:$C$92,入力データ!$C$94)*(1+前提条件!$C$60))+BI36-BI39))</f>
        <v/>
      </c>
      <c r="BJ32" s="356">
        <f>IF(BJ$3="","",((SUM(入力データ!$C$90:$C$92,入力データ!$C$94)*(1+前提条件!$C$60))+BJ36-BJ39))</f>
        <v/>
      </c>
      <c r="BK32" s="356">
        <f>IF(BK$3="","",((SUM(入力データ!$C$90:$C$92,入力データ!$C$94)*(1+前提条件!$C$60))+BK36-BK39))</f>
        <v/>
      </c>
      <c r="BL32" s="356">
        <f>IF(BL$3="","",((SUM(入力データ!$C$90:$C$92,入力データ!$C$94)*(1+前提条件!$C$60))+BL36-BL39))</f>
        <v/>
      </c>
      <c r="BM32" s="356">
        <f>IF(BM$3="","",((SUM(入力データ!$C$90:$C$92,入力データ!$C$94)*(1+前提条件!$C$60))+BM36-BM39))</f>
        <v/>
      </c>
      <c r="BN32" s="356">
        <f>IF(BN$3="","",((SUM(入力データ!$C$90:$C$92,入力データ!$C$94)*(1+前提条件!$C$60))+BN36-BN39))</f>
        <v/>
      </c>
      <c r="BO32" s="356">
        <f>IF(BO$3="","",((SUM(入力データ!$C$90:$C$92,入力データ!$C$94)*(1+前提条件!$C$60))+BO36-BO39))</f>
        <v/>
      </c>
      <c r="BP32" s="356">
        <f>IF(BP$3="","",((SUM(入力データ!$C$90:$C$92,入力データ!$C$94)*(1+前提条件!$C$60))+BP36-BP39))</f>
        <v/>
      </c>
      <c r="BQ32" s="356">
        <f>IF(BQ$3="","",((SUM(入力データ!$C$90:$C$92,入力データ!$C$94)*(1+前提条件!$C$60))+BQ36-BQ39))</f>
        <v/>
      </c>
      <c r="BR32" s="356">
        <f>IF(BR$3="","",((SUM(入力データ!$C$90:$C$92,入力データ!$C$94)*(1+前提条件!$C$60))+BR36-BR39))</f>
        <v/>
      </c>
      <c r="BS32" s="356">
        <f>IF(BS$3="","",((SUM(入力データ!$C$90:$C$92,入力データ!$C$94)*(1+前提条件!$C$60))+BS36-BS39))</f>
        <v/>
      </c>
      <c r="BT32" s="356">
        <f>IF(BT$3="","",((SUM(入力データ!$C$90:$C$92,入力データ!$C$94)*(1+前提条件!$C$60))+BT36-BT39))</f>
        <v/>
      </c>
      <c r="BU32" s="356">
        <f>IF(BU$3="","",((SUM(入力データ!$C$90:$C$92,入力データ!$C$94)*(1+前提条件!$C$60))+BU36-BU39))</f>
        <v/>
      </c>
      <c r="BV32" s="356">
        <f>IF(BV$3="","",((SUM(入力データ!$C$90:$C$92,入力データ!$C$94)*(1+前提条件!$C$60))+BV36-BV39))</f>
        <v/>
      </c>
      <c r="BW32" s="356">
        <f>IF(BW$3="","",((SUM(入力データ!$C$90:$C$92,入力データ!$C$94)*(1+前提条件!$C$60))+BW36-BW39))</f>
        <v/>
      </c>
      <c r="BX32" s="356">
        <f>IF(BX$3="","",((SUM(入力データ!$C$90:$C$92,入力データ!$C$94)*(1+前提条件!$C$60))+BX36-BX39))</f>
        <v/>
      </c>
      <c r="BY32" s="356">
        <f>IF(BY$3="","",((SUM(入力データ!$C$90:$C$92,入力データ!$C$94)*(1+前提条件!$C$60))+BY36-BY39))</f>
        <v/>
      </c>
      <c r="BZ32" s="356">
        <f>IF(BZ$3="","",((SUM(入力データ!$C$90:$C$92,入力データ!$C$94)*(1+前提条件!$C$60))+BZ36-BZ39))</f>
        <v/>
      </c>
      <c r="CA32" s="356">
        <f>IF(CA$3="","",((SUM(入力データ!$C$90:$C$92,入力データ!$C$94)*(1+前提条件!$C$60))+CA36-CA39))</f>
        <v/>
      </c>
      <c r="CB32" s="356">
        <f>IF(CB$3="","",((SUM(入力データ!$C$90:$C$92,入力データ!$C$94)*(1+前提条件!$C$60))+CB36-CB39))</f>
        <v/>
      </c>
      <c r="CC32" s="356">
        <f>IF(CC$3="","",((SUM(入力データ!$C$90:$C$92,入力データ!$C$94)*(1+前提条件!$C$60))+CC36-CC39))</f>
        <v/>
      </c>
      <c r="CD32" s="356">
        <f>IF(CD$3="","",((SUM(入力データ!$C$90:$C$92,入力データ!$C$94)*(1+前提条件!$C$60))+CD36-CD39))</f>
        <v/>
      </c>
      <c r="CE32" s="356">
        <f>IF(CE$3="","",((SUM(入力データ!$C$90:$C$92,入力データ!$C$94)*(1+前提条件!$C$60))+CE36-CE39))</f>
        <v/>
      </c>
      <c r="CF32" s="356">
        <f>IF(CF$3="","",((SUM(入力データ!$C$90:$C$92,入力データ!$C$94)*(1+前提条件!$C$60))+CF36-CF39))</f>
        <v/>
      </c>
      <c r="CG32" s="356">
        <f>IF(CG$3="","",((SUM(入力データ!$C$90:$C$92,入力データ!$C$94)*(1+前提条件!$C$60))+CG36-CG39))</f>
        <v/>
      </c>
      <c r="CH32" s="356">
        <f>IF(CH$3="","",((SUM(入力データ!$C$90:$C$92,入力データ!$C$94)*(1+前提条件!$C$60))+CH36-CH39))</f>
        <v/>
      </c>
      <c r="CI32" s="356">
        <f>IF(CI$3="","",((SUM(入力データ!$C$90:$C$92,入力データ!$C$94)*(1+前提条件!$C$60))+CI36-CI39))</f>
        <v/>
      </c>
      <c r="CJ32" s="356">
        <f>IF(CJ$3="","",((SUM(入力データ!$C$90:$C$92,入力データ!$C$94)*(1+前提条件!$C$60))+CJ36-CJ39))</f>
        <v/>
      </c>
      <c r="CK32" s="356">
        <f>IF(CK$3="","",((SUM(入力データ!$C$90:$C$92,入力データ!$C$94)*(1+前提条件!$C$60))+CK36-CK39))</f>
        <v/>
      </c>
      <c r="CL32" s="356">
        <f>IF(CL$3="","",((SUM(入力データ!$C$90:$C$92,入力データ!$C$94)*(1+前提条件!$C$60))+CL36-CL39))</f>
        <v/>
      </c>
      <c r="CM32" s="356">
        <f>IF(CM$3="","",((SUM(入力データ!$C$90:$C$92,入力データ!$C$94)*(1+前提条件!$C$60))+CM36-CM39))</f>
        <v/>
      </c>
      <c r="CN32" s="356">
        <f>IF(CN$3="","",((SUM(入力データ!$C$90:$C$92,入力データ!$C$94)*(1+前提条件!$C$60))+CN36-CN39))</f>
        <v/>
      </c>
      <c r="CO32" s="356">
        <f>IF(CO$3="","",((SUM(入力データ!$C$90:$C$92,入力データ!$C$94)*(1+前提条件!$C$60))+CO36-CO39))</f>
        <v/>
      </c>
      <c r="CP32" s="356">
        <f>IF(CP$3="","",((SUM(入力データ!$C$90:$C$92,入力データ!$C$94)*(1+前提条件!$C$60))+CP36-CP39))</f>
        <v/>
      </c>
      <c r="CQ32" s="356">
        <f>IF(CQ$3="","",((SUM(入力データ!$C$90:$C$92,入力データ!$C$94)*(1+前提条件!$C$60))+CQ36-CQ39))</f>
        <v/>
      </c>
      <c r="CR32" s="356">
        <f>IF(CR$3="","",((SUM(入力データ!$C$90:$C$92,入力データ!$C$94)*(1+前提条件!$C$60))+CR36-CR39))</f>
        <v/>
      </c>
      <c r="CS32" s="356">
        <f>IF(CS$3="","",((SUM(入力データ!$C$90:$C$92,入力データ!$C$94)*(1+前提条件!$C$60))+CS36-CS39))</f>
        <v/>
      </c>
      <c r="CT32" s="356">
        <f>IF(CT$3="","",((SUM(入力データ!$C$90:$C$92,入力データ!$C$94)*(1+前提条件!$C$60))+CT36-CT39))</f>
        <v/>
      </c>
      <c r="CU32" s="356">
        <f>IF(CU$3="","",((SUM(入力データ!$C$90:$C$92,入力データ!$C$94)*(1+前提条件!$C$60))+CU36-CU39))</f>
        <v/>
      </c>
      <c r="CV32" s="356">
        <f>IF(CV$3="","",((SUM(入力データ!$C$90:$C$92,入力データ!$C$94)*(1+前提条件!$C$60))+CV36-CV39))</f>
        <v/>
      </c>
      <c r="CW32" s="356">
        <f>IF(CW$3="","",((SUM(入力データ!$C$90:$C$92,入力データ!$C$94)*(1+前提条件!$C$60))+CW36-CW39))</f>
        <v/>
      </c>
    </row>
    <row r="33" ht="15" customHeight="1" s="180">
      <c r="A33" s="233" t="inlineStr">
        <is>
          <t>解約返戻金残高</t>
        </is>
      </c>
      <c r="B33" s="356">
        <f>IF(B$3="","",((入力データ!$C$93*(1+前提条件!$C$61))+B37-B40))</f>
        <v/>
      </c>
      <c r="C33" s="356">
        <f>IF(C$3="","",((入力データ!$C$93*(1+前提条件!$C$61))+C37-C40))</f>
        <v/>
      </c>
      <c r="D33" s="356">
        <f>IF(D$3="","",((入力データ!$C$93*(1+前提条件!$C$61))+D37-D40))</f>
        <v/>
      </c>
      <c r="E33" s="356">
        <f>IF(E$3="","",((入力データ!$C$93*(1+前提条件!$C$61))+E37-E40))</f>
        <v/>
      </c>
      <c r="F33" s="356">
        <f>IF(F$3="","",((入力データ!$C$93*(1+前提条件!$C$61))+F37-F40))</f>
        <v/>
      </c>
      <c r="G33" s="356">
        <f>IF(G$3="","",((入力データ!$C$93*(1+前提条件!$C$61))+G37-G40))</f>
        <v/>
      </c>
      <c r="H33" s="356">
        <f>IF(H$3="","",((入力データ!$C$93*(1+前提条件!$C$61))+H37-H40))</f>
        <v/>
      </c>
      <c r="I33" s="356">
        <f>IF(I$3="","",((入力データ!$C$93*(1+前提条件!$C$61))+I37-I40))</f>
        <v/>
      </c>
      <c r="J33" s="356">
        <f>IF(J$3="","",((入力データ!$C$93*(1+前提条件!$C$61))+J37-J40))</f>
        <v/>
      </c>
      <c r="K33" s="356">
        <f>IF(K$3="","",((入力データ!$C$93*(1+前提条件!$C$61))+K37-K40))</f>
        <v/>
      </c>
      <c r="L33" s="356">
        <f>IF(L$3="","",((入力データ!$C$93*(1+前提条件!$C$61))+L37-L40))</f>
        <v/>
      </c>
      <c r="M33" s="356">
        <f>IF(M$3="","",((入力データ!$C$93*(1+前提条件!$C$61))+M37-M40))</f>
        <v/>
      </c>
      <c r="N33" s="356">
        <f>IF(N$3="","",((入力データ!$C$93*(1+前提条件!$C$61))+N37-N40))</f>
        <v/>
      </c>
      <c r="O33" s="356">
        <f>IF(O$3="","",((入力データ!$C$93*(1+前提条件!$C$61))+O37-O40))</f>
        <v/>
      </c>
      <c r="P33" s="356">
        <f>IF(P$3="","",((入力データ!$C$93*(1+前提条件!$C$61))+P37-P40))</f>
        <v/>
      </c>
      <c r="Q33" s="356">
        <f>IF(Q$3="","",((入力データ!$C$93*(1+前提条件!$C$61))+Q37-Q40))</f>
        <v/>
      </c>
      <c r="R33" s="356">
        <f>IF(R$3="","",((入力データ!$C$93*(1+前提条件!$C$61))+R37-R40))</f>
        <v/>
      </c>
      <c r="S33" s="356">
        <f>IF(S$3="","",((入力データ!$C$93*(1+前提条件!$C$61))+S37-S40))</f>
        <v/>
      </c>
      <c r="T33" s="356">
        <f>IF(T$3="","",((入力データ!$C$93*(1+前提条件!$C$61))+T37-T40))</f>
        <v/>
      </c>
      <c r="U33" s="356">
        <f>IF(U$3="","",((入力データ!$C$93*(1+前提条件!$C$61))+U37-U40))</f>
        <v/>
      </c>
      <c r="V33" s="356">
        <f>IF(V$3="","",((入力データ!$C$93*(1+前提条件!$C$61))+V37-V40))</f>
        <v/>
      </c>
      <c r="W33" s="356">
        <f>IF(W$3="","",((入力データ!$C$93*(1+前提条件!$C$61))+W37-W40))</f>
        <v/>
      </c>
      <c r="X33" s="356">
        <f>IF(X$3="","",((入力データ!$C$93*(1+前提条件!$C$61))+X37-X40))</f>
        <v/>
      </c>
      <c r="Y33" s="356">
        <f>IF(Y$3="","",((入力データ!$C$93*(1+前提条件!$C$61))+Y37-Y40))</f>
        <v/>
      </c>
      <c r="Z33" s="356">
        <f>IF(Z$3="","",((入力データ!$C$93*(1+前提条件!$C$61))+Z37-Z40))</f>
        <v/>
      </c>
      <c r="AA33" s="356">
        <f>IF(AA$3="","",((入力データ!$C$93*(1+前提条件!$C$61))+AA37-AA40))</f>
        <v/>
      </c>
      <c r="AB33" s="356">
        <f>IF(AB$3="","",((入力データ!$C$93*(1+前提条件!$C$61))+AB37-AB40))</f>
        <v/>
      </c>
      <c r="AC33" s="356">
        <f>IF(AC$3="","",((入力データ!$C$93*(1+前提条件!$C$61))+AC37-AC40))</f>
        <v/>
      </c>
      <c r="AD33" s="356">
        <f>IF(AD$3="","",((入力データ!$C$93*(1+前提条件!$C$61))+AD37-AD40))</f>
        <v/>
      </c>
      <c r="AE33" s="356">
        <f>IF(AE$3="","",((入力データ!$C$93*(1+前提条件!$C$61))+AE37-AE40))</f>
        <v/>
      </c>
      <c r="AF33" s="356">
        <f>IF(AF$3="","",((入力データ!$C$93*(1+前提条件!$C$61))+AF37-AF40))</f>
        <v/>
      </c>
      <c r="AG33" s="356">
        <f>IF(AG$3="","",((入力データ!$C$93*(1+前提条件!$C$61))+AG37-AG40))</f>
        <v/>
      </c>
      <c r="AH33" s="356">
        <f>IF(AH$3="","",((入力データ!$C$93*(1+前提条件!$C$61))+AH37-AH40))</f>
        <v/>
      </c>
      <c r="AI33" s="356">
        <f>IF(AI$3="","",((入力データ!$C$93*(1+前提条件!$C$61))+AI37-AI40))</f>
        <v/>
      </c>
      <c r="AJ33" s="356">
        <f>IF(AJ$3="","",((入力データ!$C$93*(1+前提条件!$C$61))+AJ37-AJ40))</f>
        <v/>
      </c>
      <c r="AK33" s="356">
        <f>IF(AK$3="","",((入力データ!$C$93*(1+前提条件!$C$61))+AK37-AK40))</f>
        <v/>
      </c>
      <c r="AL33" s="356">
        <f>IF(AL$3="","",((入力データ!$C$93*(1+前提条件!$C$61))+AL37-AL40))</f>
        <v/>
      </c>
      <c r="AM33" s="356">
        <f>IF(AM$3="","",((入力データ!$C$93*(1+前提条件!$C$61))+AM37-AM40))</f>
        <v/>
      </c>
      <c r="AN33" s="356">
        <f>IF(AN$3="","",((入力データ!$C$93*(1+前提条件!$C$61))+AN37-AN40))</f>
        <v/>
      </c>
      <c r="AO33" s="356">
        <f>IF(AO$3="","",((入力データ!$C$93*(1+前提条件!$C$61))+AO37-AO40))</f>
        <v/>
      </c>
      <c r="AP33" s="356">
        <f>IF(AP$3="","",((入力データ!$C$93*(1+前提条件!$C$61))+AP37-AP40))</f>
        <v/>
      </c>
      <c r="AQ33" s="356">
        <f>IF(AQ$3="","",((入力データ!$C$93*(1+前提条件!$C$61))+AQ37-AQ40))</f>
        <v/>
      </c>
      <c r="AR33" s="356">
        <f>IF(AR$3="","",((入力データ!$C$93*(1+前提条件!$C$61))+AR37-AR40))</f>
        <v/>
      </c>
      <c r="AS33" s="356">
        <f>IF(AS$3="","",((入力データ!$C$93*(1+前提条件!$C$61))+AS37-AS40))</f>
        <v/>
      </c>
      <c r="AT33" s="356">
        <f>IF(AT$3="","",((入力データ!$C$93*(1+前提条件!$C$61))+AT37-AT40))</f>
        <v/>
      </c>
      <c r="AU33" s="356">
        <f>IF(AU$3="","",((入力データ!$C$93*(1+前提条件!$C$61))+AU37-AU40))</f>
        <v/>
      </c>
      <c r="AV33" s="356">
        <f>IF(AV$3="","",((入力データ!$C$93*(1+前提条件!$C$61))+AV37-AV40))</f>
        <v/>
      </c>
      <c r="AW33" s="356">
        <f>IF(AW$3="","",((入力データ!$C$93*(1+前提条件!$C$61))+AW37-AW40))</f>
        <v/>
      </c>
      <c r="AX33" s="356">
        <f>IF(AX$3="","",((入力データ!$C$93*(1+前提条件!$C$61))+AX37-AX40))</f>
        <v/>
      </c>
      <c r="AY33" s="356">
        <f>IF(AY$3="","",((入力データ!$C$93*(1+前提条件!$C$61))+AY37-AY40))</f>
        <v/>
      </c>
      <c r="AZ33" s="356">
        <f>IF(AZ$3="","",((入力データ!$C$93*(1+前提条件!$C$61))+AZ37-AZ40))</f>
        <v/>
      </c>
      <c r="BA33" s="356">
        <f>IF(BA$3="","",((入力データ!$C$93*(1+前提条件!$C$61))+BA37-BA40))</f>
        <v/>
      </c>
      <c r="BB33" s="356">
        <f>IF(BB$3="","",((入力データ!$C$93*(1+前提条件!$C$61))+BB37-BB40))</f>
        <v/>
      </c>
      <c r="BC33" s="356">
        <f>IF(BC$3="","",((入力データ!$C$93*(1+前提条件!$C$61))+BC37-BC40))</f>
        <v/>
      </c>
      <c r="BD33" s="356">
        <f>IF(BD$3="","",((入力データ!$C$93*(1+前提条件!$C$61))+BD37-BD40))</f>
        <v/>
      </c>
      <c r="BE33" s="356">
        <f>IF(BE$3="","",((入力データ!$C$93*(1+前提条件!$C$61))+BE37-BE40))</f>
        <v/>
      </c>
      <c r="BF33" s="356">
        <f>IF(BF$3="","",((入力データ!$C$93*(1+前提条件!$C$61))+BF37-BF40))</f>
        <v/>
      </c>
      <c r="BG33" s="356">
        <f>IF(BG$3="","",((入力データ!$C$93*(1+前提条件!$C$61))+BG37-BG40))</f>
        <v/>
      </c>
      <c r="BH33" s="356">
        <f>IF(BH$3="","",((入力データ!$C$93*(1+前提条件!$C$61))+BH37-BH40))</f>
        <v/>
      </c>
      <c r="BI33" s="356">
        <f>IF(BI$3="","",((入力データ!$C$93*(1+前提条件!$C$61))+BI37-BI40))</f>
        <v/>
      </c>
      <c r="BJ33" s="356">
        <f>IF(BJ$3="","",((入力データ!$C$93*(1+前提条件!$C$61))+BJ37-BJ40))</f>
        <v/>
      </c>
      <c r="BK33" s="356">
        <f>IF(BK$3="","",((入力データ!$C$93*(1+前提条件!$C$61))+BK37-BK40))</f>
        <v/>
      </c>
      <c r="BL33" s="356">
        <f>IF(BL$3="","",((入力データ!$C$93*(1+前提条件!$C$61))+BL37-BL40))</f>
        <v/>
      </c>
      <c r="BM33" s="356">
        <f>IF(BM$3="","",((入力データ!$C$93*(1+前提条件!$C$61))+BM37-BM40))</f>
        <v/>
      </c>
      <c r="BN33" s="356">
        <f>IF(BN$3="","",((入力データ!$C$93*(1+前提条件!$C$61))+BN37-BN40))</f>
        <v/>
      </c>
      <c r="BO33" s="356">
        <f>IF(BO$3="","",((入力データ!$C$93*(1+前提条件!$C$61))+BO37-BO40))</f>
        <v/>
      </c>
      <c r="BP33" s="356">
        <f>IF(BP$3="","",((入力データ!$C$93*(1+前提条件!$C$61))+BP37-BP40))</f>
        <v/>
      </c>
      <c r="BQ33" s="356">
        <f>IF(BQ$3="","",((入力データ!$C$93*(1+前提条件!$C$61))+BQ37-BQ40))</f>
        <v/>
      </c>
      <c r="BR33" s="356">
        <f>IF(BR$3="","",((入力データ!$C$93*(1+前提条件!$C$61))+BR37-BR40))</f>
        <v/>
      </c>
      <c r="BS33" s="356">
        <f>IF(BS$3="","",((入力データ!$C$93*(1+前提条件!$C$61))+BS37-BS40))</f>
        <v/>
      </c>
      <c r="BT33" s="356">
        <f>IF(BT$3="","",((入力データ!$C$93*(1+前提条件!$C$61))+BT37-BT40))</f>
        <v/>
      </c>
      <c r="BU33" s="356">
        <f>IF(BU$3="","",((入力データ!$C$93*(1+前提条件!$C$61))+BU37-BU40))</f>
        <v/>
      </c>
      <c r="BV33" s="356">
        <f>IF(BV$3="","",((入力データ!$C$93*(1+前提条件!$C$61))+BV37-BV40))</f>
        <v/>
      </c>
      <c r="BW33" s="356">
        <f>IF(BW$3="","",((入力データ!$C$93*(1+前提条件!$C$61))+BW37-BW40))</f>
        <v/>
      </c>
      <c r="BX33" s="356">
        <f>IF(BX$3="","",((入力データ!$C$93*(1+前提条件!$C$61))+BX37-BX40))</f>
        <v/>
      </c>
      <c r="BY33" s="356">
        <f>IF(BY$3="","",((入力データ!$C$93*(1+前提条件!$C$61))+BY37-BY40))</f>
        <v/>
      </c>
      <c r="BZ33" s="356">
        <f>IF(BZ$3="","",((入力データ!$C$93*(1+前提条件!$C$61))+BZ37-BZ40))</f>
        <v/>
      </c>
      <c r="CA33" s="356">
        <f>IF(CA$3="","",((入力データ!$C$93*(1+前提条件!$C$61))+CA37-CA40))</f>
        <v/>
      </c>
      <c r="CB33" s="356">
        <f>IF(CB$3="","",((入力データ!$C$93*(1+前提条件!$C$61))+CB37-CB40))</f>
        <v/>
      </c>
      <c r="CC33" s="356">
        <f>IF(CC$3="","",((入力データ!$C$93*(1+前提条件!$C$61))+CC37-CC40))</f>
        <v/>
      </c>
      <c r="CD33" s="356">
        <f>IF(CD$3="","",((入力データ!$C$93*(1+前提条件!$C$61))+CD37-CD40))</f>
        <v/>
      </c>
      <c r="CE33" s="356">
        <f>IF(CE$3="","",((入力データ!$C$93*(1+前提条件!$C$61))+CE37-CE40))</f>
        <v/>
      </c>
      <c r="CF33" s="356">
        <f>IF(CF$3="","",((入力データ!$C$93*(1+前提条件!$C$61))+CF37-CF40))</f>
        <v/>
      </c>
      <c r="CG33" s="356">
        <f>IF(CG$3="","",((入力データ!$C$93*(1+前提条件!$C$61))+CG37-CG40))</f>
        <v/>
      </c>
      <c r="CH33" s="356">
        <f>IF(CH$3="","",((入力データ!$C$93*(1+前提条件!$C$61))+CH37-CH40))</f>
        <v/>
      </c>
      <c r="CI33" s="356">
        <f>IF(CI$3="","",((入力データ!$C$93*(1+前提条件!$C$61))+CI37-CI40))</f>
        <v/>
      </c>
      <c r="CJ33" s="356">
        <f>IF(CJ$3="","",((入力データ!$C$93*(1+前提条件!$C$61))+CJ37-CJ40))</f>
        <v/>
      </c>
      <c r="CK33" s="356">
        <f>IF(CK$3="","",((入力データ!$C$93*(1+前提条件!$C$61))+CK37-CK40))</f>
        <v/>
      </c>
      <c r="CL33" s="356">
        <f>IF(CL$3="","",((入力データ!$C$93*(1+前提条件!$C$61))+CL37-CL40))</f>
        <v/>
      </c>
      <c r="CM33" s="356">
        <f>IF(CM$3="","",((入力データ!$C$93*(1+前提条件!$C$61))+CM37-CM40))</f>
        <v/>
      </c>
      <c r="CN33" s="356">
        <f>IF(CN$3="","",((入力データ!$C$93*(1+前提条件!$C$61))+CN37-CN40))</f>
        <v/>
      </c>
      <c r="CO33" s="356">
        <f>IF(CO$3="","",((入力データ!$C$93*(1+前提条件!$C$61))+CO37-CO40))</f>
        <v/>
      </c>
      <c r="CP33" s="356">
        <f>IF(CP$3="","",((入力データ!$C$93*(1+前提条件!$C$61))+CP37-CP40))</f>
        <v/>
      </c>
      <c r="CQ33" s="356">
        <f>IF(CQ$3="","",((入力データ!$C$93*(1+前提条件!$C$61))+CQ37-CQ40))</f>
        <v/>
      </c>
      <c r="CR33" s="356">
        <f>IF(CR$3="","",((入力データ!$C$93*(1+前提条件!$C$61))+CR37-CR40))</f>
        <v/>
      </c>
      <c r="CS33" s="356">
        <f>IF(CS$3="","",((入力データ!$C$93*(1+前提条件!$C$61))+CS37-CS40))</f>
        <v/>
      </c>
      <c r="CT33" s="356">
        <f>IF(CT$3="","",((入力データ!$C$93*(1+前提条件!$C$61))+CT37-CT40))</f>
        <v/>
      </c>
      <c r="CU33" s="356">
        <f>IF(CU$3="","",((入力データ!$C$93*(1+前提条件!$C$61))+CU37-CU40))</f>
        <v/>
      </c>
      <c r="CV33" s="356">
        <f>IF(CV$3="","",((入力データ!$C$93*(1+前提条件!$C$61))+CV37-CV40))</f>
        <v/>
      </c>
      <c r="CW33" s="356">
        <f>IF(CW$3="","",((入力データ!$C$93*(1+前提条件!$C$61))+CW37-CW40))</f>
        <v/>
      </c>
    </row>
    <row r="34" ht="15" customHeight="1" s="180">
      <c r="A34" s="235" t="inlineStr">
        <is>
          <t>住宅ローン残高</t>
        </is>
      </c>
      <c r="B34" s="357">
        <f>IF(B$3="","",IF(入力データ!$C$57="あり",0,MAX(入力データ!$C$95-B41,0)))</f>
        <v/>
      </c>
      <c r="C34" s="357">
        <f>IF(C$3="","",IF(入力データ!$C$57="あり",0,MAX(B34-C41,0)))</f>
        <v/>
      </c>
      <c r="D34" s="357">
        <f>IF(D$3="","",IF(入力データ!$C$57="あり",0,MAX(C34-D41,0)))</f>
        <v/>
      </c>
      <c r="E34" s="357">
        <f>IF(E$3="","",IF(入力データ!$C$57="あり",0,MAX(D34-E41,0)))</f>
        <v/>
      </c>
      <c r="F34" s="357">
        <f>IF(F$3="","",IF(入力データ!$C$57="あり",0,MAX(E34-F41,0)))</f>
        <v/>
      </c>
      <c r="G34" s="357">
        <f>IF(G$3="","",IF(入力データ!$C$57="あり",0,MAX(F34-G41,0)))</f>
        <v/>
      </c>
      <c r="H34" s="357">
        <f>IF(H$3="","",IF(入力データ!$C$57="あり",0,MAX(G34-H41,0)))</f>
        <v/>
      </c>
      <c r="I34" s="357">
        <f>IF(I$3="","",IF(入力データ!$C$57="あり",0,MAX(H34-I41,0)))</f>
        <v/>
      </c>
      <c r="J34" s="357">
        <f>IF(J$3="","",IF(入力データ!$C$57="あり",0,MAX(I34-J41,0)))</f>
        <v/>
      </c>
      <c r="K34" s="357">
        <f>IF(K$3="","",IF(入力データ!$C$57="あり",0,MAX(J34-K41,0)))</f>
        <v/>
      </c>
      <c r="L34" s="357">
        <f>IF(L$3="","",IF(入力データ!$C$57="あり",0,MAX(K34-L41,0)))</f>
        <v/>
      </c>
      <c r="M34" s="357">
        <f>IF(M$3="","",IF(入力データ!$C$57="あり",0,MAX(L34-M41,0)))</f>
        <v/>
      </c>
      <c r="N34" s="357">
        <f>IF(N$3="","",IF(入力データ!$C$57="あり",0,MAX(M34-N41,0)))</f>
        <v/>
      </c>
      <c r="O34" s="357">
        <f>IF(O$3="","",IF(入力データ!$C$57="あり",0,MAX(N34-O41,0)))</f>
        <v/>
      </c>
      <c r="P34" s="357">
        <f>IF(P$3="","",IF(入力データ!$C$57="あり",0,MAX(O34-P41,0)))</f>
        <v/>
      </c>
      <c r="Q34" s="357">
        <f>IF(Q$3="","",IF(入力データ!$C$57="あり",0,MAX(P34-Q41,0)))</f>
        <v/>
      </c>
      <c r="R34" s="357">
        <f>IF(R$3="","",IF(入力データ!$C$57="あり",0,MAX(Q34-R41,0)))</f>
        <v/>
      </c>
      <c r="S34" s="357">
        <f>IF(S$3="","",IF(入力データ!$C$57="あり",0,MAX(R34-S41,0)))</f>
        <v/>
      </c>
      <c r="T34" s="357">
        <f>IF(T$3="","",IF(入力データ!$C$57="あり",0,MAX(S34-T41,0)))</f>
        <v/>
      </c>
      <c r="U34" s="357">
        <f>IF(U$3="","",IF(入力データ!$C$57="あり",0,MAX(T34-U41,0)))</f>
        <v/>
      </c>
      <c r="V34" s="357">
        <f>IF(V$3="","",IF(入力データ!$C$57="あり",0,MAX(U34-V41,0)))</f>
        <v/>
      </c>
      <c r="W34" s="357">
        <f>IF(W$3="","",IF(入力データ!$C$57="あり",0,MAX(V34-W41,0)))</f>
        <v/>
      </c>
      <c r="X34" s="357">
        <f>IF(X$3="","",IF(入力データ!$C$57="あり",0,MAX(W34-X41,0)))</f>
        <v/>
      </c>
      <c r="Y34" s="357">
        <f>IF(Y$3="","",IF(入力データ!$C$57="あり",0,MAX(X34-Y41,0)))</f>
        <v/>
      </c>
      <c r="Z34" s="357">
        <f>IF(Z$3="","",IF(入力データ!$C$57="あり",0,MAX(Y34-Z41,0)))</f>
        <v/>
      </c>
      <c r="AA34" s="357">
        <f>IF(AA$3="","",IF(入力データ!$C$57="あり",0,MAX(Z34-AA41,0)))</f>
        <v/>
      </c>
      <c r="AB34" s="357">
        <f>IF(AB$3="","",IF(入力データ!$C$57="あり",0,MAX(AA34-AB41,0)))</f>
        <v/>
      </c>
      <c r="AC34" s="357">
        <f>IF(AC$3="","",IF(入力データ!$C$57="あり",0,MAX(AB34-AC41,0)))</f>
        <v/>
      </c>
      <c r="AD34" s="357">
        <f>IF(AD$3="","",IF(入力データ!$C$57="あり",0,MAX(AC34-AD41,0)))</f>
        <v/>
      </c>
      <c r="AE34" s="357">
        <f>IF(AE$3="","",IF(入力データ!$C$57="あり",0,MAX(AD34-AE41,0)))</f>
        <v/>
      </c>
      <c r="AF34" s="357">
        <f>IF(AF$3="","",IF(入力データ!$C$57="あり",0,MAX(AE34-AF41,0)))</f>
        <v/>
      </c>
      <c r="AG34" s="357">
        <f>IF(AG$3="","",IF(入力データ!$C$57="あり",0,MAX(AF34-AG41,0)))</f>
        <v/>
      </c>
      <c r="AH34" s="357">
        <f>IF(AH$3="","",IF(入力データ!$C$57="あり",0,MAX(AG34-AH41,0)))</f>
        <v/>
      </c>
      <c r="AI34" s="357">
        <f>IF(AI$3="","",IF(入力データ!$C$57="あり",0,MAX(AH34-AI41,0)))</f>
        <v/>
      </c>
      <c r="AJ34" s="357">
        <f>IF(AJ$3="","",IF(入力データ!$C$57="あり",0,MAX(AI34-AJ41,0)))</f>
        <v/>
      </c>
      <c r="AK34" s="357">
        <f>IF(AK$3="","",IF(入力データ!$C$57="あり",0,MAX(AJ34-AK41,0)))</f>
        <v/>
      </c>
      <c r="AL34" s="357">
        <f>IF(AL$3="","",IF(入力データ!$C$57="あり",0,MAX(AK34-AL41,0)))</f>
        <v/>
      </c>
      <c r="AM34" s="357">
        <f>IF(AM$3="","",IF(入力データ!$C$57="あり",0,MAX(AL34-AM41,0)))</f>
        <v/>
      </c>
      <c r="AN34" s="357">
        <f>IF(AN$3="","",IF(入力データ!$C$57="あり",0,MAX(AM34-AN41,0)))</f>
        <v/>
      </c>
      <c r="AO34" s="357">
        <f>IF(AO$3="","",IF(入力データ!$C$57="あり",0,MAX(AN34-AO41,0)))</f>
        <v/>
      </c>
      <c r="AP34" s="357">
        <f>IF(AP$3="","",IF(入力データ!$C$57="あり",0,MAX(AO34-AP41,0)))</f>
        <v/>
      </c>
      <c r="AQ34" s="357">
        <f>IF(AQ$3="","",IF(入力データ!$C$57="あり",0,MAX(AP34-AQ41,0)))</f>
        <v/>
      </c>
      <c r="AR34" s="357">
        <f>IF(AR$3="","",IF(入力データ!$C$57="あり",0,MAX(AQ34-AR41,0)))</f>
        <v/>
      </c>
      <c r="AS34" s="357">
        <f>IF(AS$3="","",IF(入力データ!$C$57="あり",0,MAX(AR34-AS41,0)))</f>
        <v/>
      </c>
      <c r="AT34" s="357">
        <f>IF(AT$3="","",IF(入力データ!$C$57="あり",0,MAX(AS34-AT41,0)))</f>
        <v/>
      </c>
      <c r="AU34" s="357">
        <f>IF(AU$3="","",IF(入力データ!$C$57="あり",0,MAX(AT34-AU41,0)))</f>
        <v/>
      </c>
      <c r="AV34" s="357">
        <f>IF(AV$3="","",IF(入力データ!$C$57="あり",0,MAX(AU34-AV41,0)))</f>
        <v/>
      </c>
      <c r="AW34" s="357">
        <f>IF(AW$3="","",IF(入力データ!$C$57="あり",0,MAX(AV34-AW41,0)))</f>
        <v/>
      </c>
      <c r="AX34" s="357">
        <f>IF(AX$3="","",IF(入力データ!$C$57="あり",0,MAX(AW34-AX41,0)))</f>
        <v/>
      </c>
      <c r="AY34" s="357">
        <f>IF(AY$3="","",IF(入力データ!$C$57="あり",0,MAX(AX34-AY41,0)))</f>
        <v/>
      </c>
      <c r="AZ34" s="357">
        <f>IF(AZ$3="","",IF(入力データ!$C$57="あり",0,MAX(AY34-AZ41,0)))</f>
        <v/>
      </c>
      <c r="BA34" s="357">
        <f>IF(BA$3="","",IF(入力データ!$C$57="あり",0,MAX(AZ34-BA41,0)))</f>
        <v/>
      </c>
      <c r="BB34" s="357">
        <f>IF(BB$3="","",IF(入力データ!$C$57="あり",0,MAX(BA34-BB41,0)))</f>
        <v/>
      </c>
      <c r="BC34" s="357">
        <f>IF(BC$3="","",IF(入力データ!$C$57="あり",0,MAX(BB34-BC41,0)))</f>
        <v/>
      </c>
      <c r="BD34" s="357">
        <f>IF(BD$3="","",IF(入力データ!$C$57="あり",0,MAX(BC34-BD41,0)))</f>
        <v/>
      </c>
      <c r="BE34" s="357">
        <f>IF(BE$3="","",IF(入力データ!$C$57="あり",0,MAX(BD34-BE41,0)))</f>
        <v/>
      </c>
      <c r="BF34" s="357">
        <f>IF(BF$3="","",IF(入力データ!$C$57="あり",0,MAX(BE34-BF41,0)))</f>
        <v/>
      </c>
      <c r="BG34" s="357">
        <f>IF(BG$3="","",IF(入力データ!$C$57="あり",0,MAX(BF34-BG41,0)))</f>
        <v/>
      </c>
      <c r="BH34" s="357">
        <f>IF(BH$3="","",IF(入力データ!$C$57="あり",0,MAX(BG34-BH41,0)))</f>
        <v/>
      </c>
      <c r="BI34" s="357">
        <f>IF(BI$3="","",IF(入力データ!$C$57="あり",0,MAX(BH34-BI41,0)))</f>
        <v/>
      </c>
      <c r="BJ34" s="357">
        <f>IF(BJ$3="","",IF(入力データ!$C$57="あり",0,MAX(BI34-BJ41,0)))</f>
        <v/>
      </c>
      <c r="BK34" s="357">
        <f>IF(BK$3="","",IF(入力データ!$C$57="あり",0,MAX(BJ34-BK41,0)))</f>
        <v/>
      </c>
      <c r="BL34" s="357">
        <f>IF(BL$3="","",IF(入力データ!$C$57="あり",0,MAX(BK34-BL41,0)))</f>
        <v/>
      </c>
      <c r="BM34" s="357">
        <f>IF(BM$3="","",IF(入力データ!$C$57="あり",0,MAX(BL34-BM41,0)))</f>
        <v/>
      </c>
      <c r="BN34" s="357">
        <f>IF(BN$3="","",IF(入力データ!$C$57="あり",0,MAX(BM34-BN41,0)))</f>
        <v/>
      </c>
      <c r="BO34" s="357">
        <f>IF(BO$3="","",IF(入力データ!$C$57="あり",0,MAX(BN34-BO41,0)))</f>
        <v/>
      </c>
      <c r="BP34" s="357">
        <f>IF(BP$3="","",IF(入力データ!$C$57="あり",0,MAX(BO34-BP41,0)))</f>
        <v/>
      </c>
      <c r="BQ34" s="357">
        <f>IF(BQ$3="","",IF(入力データ!$C$57="あり",0,MAX(BP34-BQ41,0)))</f>
        <v/>
      </c>
      <c r="BR34" s="357">
        <f>IF(BR$3="","",IF(入力データ!$C$57="あり",0,MAX(BQ34-BR41,0)))</f>
        <v/>
      </c>
      <c r="BS34" s="357">
        <f>IF(BS$3="","",IF(入力データ!$C$57="あり",0,MAX(BR34-BS41,0)))</f>
        <v/>
      </c>
      <c r="BT34" s="357">
        <f>IF(BT$3="","",IF(入力データ!$C$57="あり",0,MAX(BS34-BT41,0)))</f>
        <v/>
      </c>
      <c r="BU34" s="357">
        <f>IF(BU$3="","",IF(入力データ!$C$57="あり",0,MAX(BT34-BU41,0)))</f>
        <v/>
      </c>
      <c r="BV34" s="357">
        <f>IF(BV$3="","",IF(入力データ!$C$57="あり",0,MAX(BU34-BV41,0)))</f>
        <v/>
      </c>
      <c r="BW34" s="357">
        <f>IF(BW$3="","",IF(入力データ!$C$57="あり",0,MAX(BV34-BW41,0)))</f>
        <v/>
      </c>
      <c r="BX34" s="357">
        <f>IF(BX$3="","",IF(入力データ!$C$57="あり",0,MAX(BW34-BX41,0)))</f>
        <v/>
      </c>
      <c r="BY34" s="357">
        <f>IF(BY$3="","",IF(入力データ!$C$57="あり",0,MAX(BX34-BY41,0)))</f>
        <v/>
      </c>
      <c r="BZ34" s="357">
        <f>IF(BZ$3="","",IF(入力データ!$C$57="あり",0,MAX(BY34-BZ41,0)))</f>
        <v/>
      </c>
      <c r="CA34" s="357">
        <f>IF(CA$3="","",IF(入力データ!$C$57="あり",0,MAX(BZ34-CA41,0)))</f>
        <v/>
      </c>
      <c r="CB34" s="357">
        <f>IF(CB$3="","",IF(入力データ!$C$57="あり",0,MAX(CA34-CB41,0)))</f>
        <v/>
      </c>
      <c r="CC34" s="357">
        <f>IF(CC$3="","",IF(入力データ!$C$57="あり",0,MAX(CB34-CC41,0)))</f>
        <v/>
      </c>
      <c r="CD34" s="357">
        <f>IF(CD$3="","",IF(入力データ!$C$57="あり",0,MAX(CC34-CD41,0)))</f>
        <v/>
      </c>
      <c r="CE34" s="357">
        <f>IF(CE$3="","",IF(入力データ!$C$57="あり",0,MAX(CD34-CE41,0)))</f>
        <v/>
      </c>
      <c r="CF34" s="357">
        <f>IF(CF$3="","",IF(入力データ!$C$57="あり",0,MAX(CE34-CF41,0)))</f>
        <v/>
      </c>
      <c r="CG34" s="357">
        <f>IF(CG$3="","",IF(入力データ!$C$57="あり",0,MAX(CF34-CG41,0)))</f>
        <v/>
      </c>
      <c r="CH34" s="357">
        <f>IF(CH$3="","",IF(入力データ!$C$57="あり",0,MAX(CG34-CH41,0)))</f>
        <v/>
      </c>
      <c r="CI34" s="357">
        <f>IF(CI$3="","",IF(入力データ!$C$57="あり",0,MAX(CH34-CI41,0)))</f>
        <v/>
      </c>
      <c r="CJ34" s="357">
        <f>IF(CJ$3="","",IF(入力データ!$C$57="あり",0,MAX(CI34-CJ41,0)))</f>
        <v/>
      </c>
      <c r="CK34" s="357">
        <f>IF(CK$3="","",IF(入力データ!$C$57="あり",0,MAX(CJ34-CK41,0)))</f>
        <v/>
      </c>
      <c r="CL34" s="357">
        <f>IF(CL$3="","",IF(入力データ!$C$57="あり",0,MAX(CK34-CL41,0)))</f>
        <v/>
      </c>
      <c r="CM34" s="357">
        <f>IF(CM$3="","",IF(入力データ!$C$57="あり",0,MAX(CL34-CM41,0)))</f>
        <v/>
      </c>
      <c r="CN34" s="357">
        <f>IF(CN$3="","",IF(入力データ!$C$57="あり",0,MAX(CM34-CN41,0)))</f>
        <v/>
      </c>
      <c r="CO34" s="357">
        <f>IF(CO$3="","",IF(入力データ!$C$57="あり",0,MAX(CN34-CO41,0)))</f>
        <v/>
      </c>
      <c r="CP34" s="357">
        <f>IF(CP$3="","",IF(入力データ!$C$57="あり",0,MAX(CO34-CP41,0)))</f>
        <v/>
      </c>
      <c r="CQ34" s="357">
        <f>IF(CQ$3="","",IF(入力データ!$C$57="あり",0,MAX(CP34-CQ41,0)))</f>
        <v/>
      </c>
      <c r="CR34" s="357">
        <f>IF(CR$3="","",IF(入力データ!$C$57="あり",0,MAX(CQ34-CR41,0)))</f>
        <v/>
      </c>
      <c r="CS34" s="357">
        <f>IF(CS$3="","",IF(入力データ!$C$57="あり",0,MAX(CR34-CS41,0)))</f>
        <v/>
      </c>
      <c r="CT34" s="357">
        <f>IF(CT$3="","",IF(入力データ!$C$57="あり",0,MAX(CS34-CT41,0)))</f>
        <v/>
      </c>
      <c r="CU34" s="357">
        <f>IF(CU$3="","",IF(入力データ!$C$57="あり",0,MAX(CT34-CU41,0)))</f>
        <v/>
      </c>
      <c r="CV34" s="357">
        <f>IF(CV$3="","",IF(入力データ!$C$57="あり",0,MAX(CU34-CV41,0)))</f>
        <v/>
      </c>
      <c r="CW34" s="357">
        <f>IF(CW$3="","",IF(入力データ!$C$57="あり",0,MAX(CV34-CW41,0)))</f>
        <v/>
      </c>
    </row>
    <row r="35" ht="21.75" customHeight="1" s="180">
      <c r="A35" s="237" t="inlineStr">
        <is>
          <t>保有資産合計（ローン除く）</t>
        </is>
      </c>
      <c r="B35" s="358">
        <f>IF(B$3="","",B31+B32+B33)</f>
        <v/>
      </c>
      <c r="C35" s="358">
        <f>IF(C$3="","",C31+C32+C33)</f>
        <v/>
      </c>
      <c r="D35" s="358">
        <f>IF(D$3="","",D31+D32+D33)</f>
        <v/>
      </c>
      <c r="E35" s="358">
        <f>IF(E$3="","",E31+E32+E33)</f>
        <v/>
      </c>
      <c r="F35" s="358">
        <f>IF(F$3="","",F31+F32+F33)</f>
        <v/>
      </c>
      <c r="G35" s="358">
        <f>IF(G$3="","",G31+G32+G33)</f>
        <v/>
      </c>
      <c r="H35" s="358">
        <f>IF(H$3="","",H31+H32+H33)</f>
        <v/>
      </c>
      <c r="I35" s="358">
        <f>IF(I$3="","",I31+I32+I33)</f>
        <v/>
      </c>
      <c r="J35" s="358">
        <f>IF(J$3="","",J31+J32+J33)</f>
        <v/>
      </c>
      <c r="K35" s="358">
        <f>IF(K$3="","",K31+K32+K33)</f>
        <v/>
      </c>
      <c r="L35" s="358">
        <f>IF(L$3="","",L31+L32+L33)</f>
        <v/>
      </c>
      <c r="M35" s="358">
        <f>IF(M$3="","",M31+M32+M33)</f>
        <v/>
      </c>
      <c r="N35" s="358">
        <f>IF(N$3="","",N31+N32+N33)</f>
        <v/>
      </c>
      <c r="O35" s="358">
        <f>IF(O$3="","",O31+O32+O33)</f>
        <v/>
      </c>
      <c r="P35" s="358">
        <f>IF(P$3="","",P31+P32+P33)</f>
        <v/>
      </c>
      <c r="Q35" s="358">
        <f>IF(Q$3="","",Q31+Q32+Q33)</f>
        <v/>
      </c>
      <c r="R35" s="358">
        <f>IF(R$3="","",R31+R32+R33)</f>
        <v/>
      </c>
      <c r="S35" s="358">
        <f>IF(S$3="","",S31+S32+S33)</f>
        <v/>
      </c>
      <c r="T35" s="358">
        <f>IF(T$3="","",T31+T32+T33)</f>
        <v/>
      </c>
      <c r="U35" s="358">
        <f>IF(U$3="","",U31+U32+U33)</f>
        <v/>
      </c>
      <c r="V35" s="358">
        <f>IF(V$3="","",V31+V32+V33)</f>
        <v/>
      </c>
      <c r="W35" s="358">
        <f>IF(W$3="","",W31+W32+W33)</f>
        <v/>
      </c>
      <c r="X35" s="358">
        <f>IF(X$3="","",X31+X32+X33)</f>
        <v/>
      </c>
      <c r="Y35" s="358">
        <f>IF(Y$3="","",Y31+Y32+Y33)</f>
        <v/>
      </c>
      <c r="Z35" s="358">
        <f>IF(Z$3="","",Z31+Z32+Z33)</f>
        <v/>
      </c>
      <c r="AA35" s="358">
        <f>IF(AA$3="","",AA31+AA32+AA33)</f>
        <v/>
      </c>
      <c r="AB35" s="358">
        <f>IF(AB$3="","",AB31+AB32+AB33)</f>
        <v/>
      </c>
      <c r="AC35" s="358">
        <f>IF(AC$3="","",AC31+AC32+AC33)</f>
        <v/>
      </c>
      <c r="AD35" s="358">
        <f>IF(AD$3="","",AD31+AD32+AD33)</f>
        <v/>
      </c>
      <c r="AE35" s="358">
        <f>IF(AE$3="","",AE31+AE32+AE33)</f>
        <v/>
      </c>
      <c r="AF35" s="358">
        <f>IF(AF$3="","",AF31+AF32+AF33)</f>
        <v/>
      </c>
      <c r="AG35" s="358">
        <f>IF(AG$3="","",AG31+AG32+AG33)</f>
        <v/>
      </c>
      <c r="AH35" s="358">
        <f>IF(AH$3="","",AH31+AH32+AH33)</f>
        <v/>
      </c>
      <c r="AI35" s="358">
        <f>IF(AI$3="","",AI31+AI32+AI33)</f>
        <v/>
      </c>
      <c r="AJ35" s="358">
        <f>IF(AJ$3="","",AJ31+AJ32+AJ33)</f>
        <v/>
      </c>
      <c r="AK35" s="358">
        <f>IF(AK$3="","",AK31+AK32+AK33)</f>
        <v/>
      </c>
      <c r="AL35" s="358">
        <f>IF(AL$3="","",AL31+AL32+AL33)</f>
        <v/>
      </c>
      <c r="AM35" s="358">
        <f>IF(AM$3="","",AM31+AM32+AM33)</f>
        <v/>
      </c>
      <c r="AN35" s="358">
        <f>IF(AN$3="","",AN31+AN32+AN33)</f>
        <v/>
      </c>
      <c r="AO35" s="358">
        <f>IF(AO$3="","",AO31+AO32+AO33)</f>
        <v/>
      </c>
      <c r="AP35" s="358">
        <f>IF(AP$3="","",AP31+AP32+AP33)</f>
        <v/>
      </c>
      <c r="AQ35" s="358">
        <f>IF(AQ$3="","",AQ31+AQ32+AQ33)</f>
        <v/>
      </c>
      <c r="AR35" s="358">
        <f>IF(AR$3="","",AR31+AR32+AR33)</f>
        <v/>
      </c>
      <c r="AS35" s="358">
        <f>IF(AS$3="","",AS31+AS32+AS33)</f>
        <v/>
      </c>
      <c r="AT35" s="358">
        <f>IF(AT$3="","",AT31+AT32+AT33)</f>
        <v/>
      </c>
      <c r="AU35" s="358">
        <f>IF(AU$3="","",AU31+AU32+AU33)</f>
        <v/>
      </c>
      <c r="AV35" s="358">
        <f>IF(AV$3="","",AV31+AV32+AV33)</f>
        <v/>
      </c>
      <c r="AW35" s="358">
        <f>IF(AW$3="","",AW31+AW32+AW33)</f>
        <v/>
      </c>
      <c r="AX35" s="358">
        <f>IF(AX$3="","",AX31+AX32+AX33)</f>
        <v/>
      </c>
      <c r="AY35" s="358">
        <f>IF(AY$3="","",AY31+AY32+AY33)</f>
        <v/>
      </c>
      <c r="AZ35" s="358">
        <f>IF(AZ$3="","",AZ31+AZ32+AZ33)</f>
        <v/>
      </c>
      <c r="BA35" s="358">
        <f>IF(BA$3="","",BA31+BA32+BA33)</f>
        <v/>
      </c>
      <c r="BB35" s="358">
        <f>IF(BB$3="","",BB31+BB32+BB33)</f>
        <v/>
      </c>
      <c r="BC35" s="358">
        <f>IF(BC$3="","",BC31+BC32+BC33)</f>
        <v/>
      </c>
      <c r="BD35" s="358">
        <f>IF(BD$3="","",BD31+BD32+BD33)</f>
        <v/>
      </c>
      <c r="BE35" s="358">
        <f>IF(BE$3="","",BE31+BE32+BE33)</f>
        <v/>
      </c>
      <c r="BF35" s="358">
        <f>IF(BF$3="","",BF31+BF32+BF33)</f>
        <v/>
      </c>
      <c r="BG35" s="358">
        <f>IF(BG$3="","",BG31+BG32+BG33)</f>
        <v/>
      </c>
      <c r="BH35" s="358">
        <f>IF(BH$3="","",BH31+BH32+BH33)</f>
        <v/>
      </c>
      <c r="BI35" s="358">
        <f>IF(BI$3="","",BI31+BI32+BI33)</f>
        <v/>
      </c>
      <c r="BJ35" s="358">
        <f>IF(BJ$3="","",BJ31+BJ32+BJ33)</f>
        <v/>
      </c>
      <c r="BK35" s="358">
        <f>IF(BK$3="","",BK31+BK32+BK33)</f>
        <v/>
      </c>
      <c r="BL35" s="358">
        <f>IF(BL$3="","",BL31+BL32+BL33)</f>
        <v/>
      </c>
      <c r="BM35" s="358">
        <f>IF(BM$3="","",BM31+BM32+BM33)</f>
        <v/>
      </c>
      <c r="BN35" s="358">
        <f>IF(BN$3="","",BN31+BN32+BN33)</f>
        <v/>
      </c>
      <c r="BO35" s="358">
        <f>IF(BO$3="","",BO31+BO32+BO33)</f>
        <v/>
      </c>
      <c r="BP35" s="358">
        <f>IF(BP$3="","",BP31+BP32+BP33)</f>
        <v/>
      </c>
      <c r="BQ35" s="358">
        <f>IF(BQ$3="","",BQ31+BQ32+BQ33)</f>
        <v/>
      </c>
      <c r="BR35" s="358">
        <f>IF(BR$3="","",BR31+BR32+BR33)</f>
        <v/>
      </c>
      <c r="BS35" s="358">
        <f>IF(BS$3="","",BS31+BS32+BS33)</f>
        <v/>
      </c>
      <c r="BT35" s="358">
        <f>IF(BT$3="","",BT31+BT32+BT33)</f>
        <v/>
      </c>
      <c r="BU35" s="358">
        <f>IF(BU$3="","",BU31+BU32+BU33)</f>
        <v/>
      </c>
      <c r="BV35" s="358">
        <f>IF(BV$3="","",BV31+BV32+BV33)</f>
        <v/>
      </c>
      <c r="BW35" s="358">
        <f>IF(BW$3="","",BW31+BW32+BW33)</f>
        <v/>
      </c>
      <c r="BX35" s="358">
        <f>IF(BX$3="","",BX31+BX32+BX33)</f>
        <v/>
      </c>
      <c r="BY35" s="358">
        <f>IF(BY$3="","",BY31+BY32+BY33)</f>
        <v/>
      </c>
      <c r="BZ35" s="358">
        <f>IF(BZ$3="","",BZ31+BZ32+BZ33)</f>
        <v/>
      </c>
      <c r="CA35" s="358">
        <f>IF(CA$3="","",CA31+CA32+CA33)</f>
        <v/>
      </c>
      <c r="CB35" s="358">
        <f>IF(CB$3="","",CB31+CB32+CB33)</f>
        <v/>
      </c>
      <c r="CC35" s="358">
        <f>IF(CC$3="","",CC31+CC32+CC33)</f>
        <v/>
      </c>
      <c r="CD35" s="358">
        <f>IF(CD$3="","",CD31+CD32+CD33)</f>
        <v/>
      </c>
      <c r="CE35" s="358">
        <f>IF(CE$3="","",CE31+CE32+CE33)</f>
        <v/>
      </c>
      <c r="CF35" s="358">
        <f>IF(CF$3="","",CF31+CF32+CF33)</f>
        <v/>
      </c>
      <c r="CG35" s="358">
        <f>IF(CG$3="","",CG31+CG32+CG33)</f>
        <v/>
      </c>
      <c r="CH35" s="358">
        <f>IF(CH$3="","",CH31+CH32+CH33)</f>
        <v/>
      </c>
      <c r="CI35" s="358">
        <f>IF(CI$3="","",CI31+CI32+CI33)</f>
        <v/>
      </c>
      <c r="CJ35" s="358">
        <f>IF(CJ$3="","",CJ31+CJ32+CJ33)</f>
        <v/>
      </c>
      <c r="CK35" s="358">
        <f>IF(CK$3="","",CK31+CK32+CK33)</f>
        <v/>
      </c>
      <c r="CL35" s="358">
        <f>IF(CL$3="","",CL31+CL32+CL33)</f>
        <v/>
      </c>
      <c r="CM35" s="358">
        <f>IF(CM$3="","",CM31+CM32+CM33)</f>
        <v/>
      </c>
      <c r="CN35" s="358">
        <f>IF(CN$3="","",CN31+CN32+CN33)</f>
        <v/>
      </c>
      <c r="CO35" s="358">
        <f>IF(CO$3="","",CO31+CO32+CO33)</f>
        <v/>
      </c>
      <c r="CP35" s="358">
        <f>IF(CP$3="","",CP31+CP32+CP33)</f>
        <v/>
      </c>
      <c r="CQ35" s="358">
        <f>IF(CQ$3="","",CQ31+CQ32+CQ33)</f>
        <v/>
      </c>
      <c r="CR35" s="358">
        <f>IF(CR$3="","",CR31+CR32+CR33)</f>
        <v/>
      </c>
      <c r="CS35" s="358">
        <f>IF(CS$3="","",CS31+CS32+CS33)</f>
        <v/>
      </c>
      <c r="CT35" s="358">
        <f>IF(CT$3="","",CT31+CT32+CT33)</f>
        <v/>
      </c>
      <c r="CU35" s="358">
        <f>IF(CU$3="","",CU31+CU32+CU33)</f>
        <v/>
      </c>
      <c r="CV35" s="358">
        <f>IF(CV$3="","",CV31+CV32+CV33)</f>
        <v/>
      </c>
      <c r="CW35" s="358">
        <f>IF(CW$3="","",CW31+CW32+CW33)</f>
        <v/>
      </c>
    </row>
    <row r="36" hidden="1" ht="16.5" customHeight="1" s="180">
      <c r="A36" s="239" t="inlineStr">
        <is>
          <t>投資積立年額(補助)</t>
        </is>
      </c>
      <c r="B36" s="359">
        <f>IF(B$3="","",SUM(入力データ!$C$101:$C$103,入力データ!$C$105)*12)</f>
        <v/>
      </c>
      <c r="C36" s="359">
        <f>IF(C$3="","",SUM(入力データ!$C$101:$C$103,入力データ!$C$105)*12)</f>
        <v/>
      </c>
      <c r="D36" s="359">
        <f>IF(D$3="","",SUM(入力データ!$C$101:$C$103,入力データ!$C$105)*12)</f>
        <v/>
      </c>
      <c r="E36" s="359">
        <f>IF(E$3="","",SUM(入力データ!$C$101:$C$103,入力データ!$C$105)*12)</f>
        <v/>
      </c>
      <c r="F36" s="359">
        <f>IF(F$3="","",SUM(入力データ!$C$101:$C$103,入力データ!$C$105)*12)</f>
        <v/>
      </c>
      <c r="G36" s="359">
        <f>IF(G$3="","",SUM(入力データ!$C$101:$C$103,入力データ!$C$105)*12)</f>
        <v/>
      </c>
      <c r="H36" s="359">
        <f>IF(H$3="","",SUM(入力データ!$C$101:$C$103,入力データ!$C$105)*12)</f>
        <v/>
      </c>
      <c r="I36" s="359">
        <f>IF(I$3="","",SUM(入力データ!$C$101:$C$103,入力データ!$C$105)*12)</f>
        <v/>
      </c>
      <c r="J36" s="359">
        <f>IF(J$3="","",SUM(入力データ!$C$101:$C$103,入力データ!$C$105)*12)</f>
        <v/>
      </c>
      <c r="K36" s="359">
        <f>IF(K$3="","",SUM(入力データ!$C$101:$C$103,入力データ!$C$105)*12)</f>
        <v/>
      </c>
      <c r="L36" s="359">
        <f>IF(L$3="","",SUM(入力データ!$C$101:$C$103,入力データ!$C$105)*12)</f>
        <v/>
      </c>
      <c r="M36" s="359">
        <f>IF(M$3="","",SUM(入力データ!$C$101:$C$103,入力データ!$C$105)*12)</f>
        <v/>
      </c>
      <c r="N36" s="359">
        <f>IF(N$3="","",SUM(入力データ!$C$101:$C$103,入力データ!$C$105)*12)</f>
        <v/>
      </c>
      <c r="O36" s="359">
        <f>IF(O$3="","",SUM(入力データ!$C$101:$C$103,入力データ!$C$105)*12)</f>
        <v/>
      </c>
      <c r="P36" s="359">
        <f>IF(P$3="","",SUM(入力データ!$C$101:$C$103,入力データ!$C$105)*12)</f>
        <v/>
      </c>
      <c r="Q36" s="359">
        <f>IF(Q$3="","",SUM(入力データ!$C$101:$C$103,入力データ!$C$105)*12)</f>
        <v/>
      </c>
      <c r="R36" s="359">
        <f>IF(R$3="","",SUM(入力データ!$C$101:$C$103,入力データ!$C$105)*12)</f>
        <v/>
      </c>
      <c r="S36" s="359">
        <f>IF(S$3="","",SUM(入力データ!$C$101:$C$103,入力データ!$C$105)*12)</f>
        <v/>
      </c>
      <c r="T36" s="359">
        <f>IF(T$3="","",SUM(入力データ!$C$101:$C$103,入力データ!$C$105)*12)</f>
        <v/>
      </c>
      <c r="U36" s="359">
        <f>IF(U$3="","",SUM(入力データ!$C$101:$C$103,入力データ!$C$105)*12)</f>
        <v/>
      </c>
      <c r="V36" s="359">
        <f>IF(V$3="","",SUM(入力データ!$C$101:$C$103,入力データ!$C$105)*12)</f>
        <v/>
      </c>
      <c r="W36" s="359">
        <f>IF(W$3="","",SUM(入力データ!$C$101:$C$103,入力データ!$C$105)*12)</f>
        <v/>
      </c>
      <c r="X36" s="359">
        <f>IF(X$3="","",SUM(入力データ!$C$101:$C$103,入力データ!$C$105)*12)</f>
        <v/>
      </c>
      <c r="Y36" s="359">
        <f>IF(Y$3="","",SUM(入力データ!$C$101:$C$103,入力データ!$C$105)*12)</f>
        <v/>
      </c>
      <c r="Z36" s="359">
        <f>IF(Z$3="","",SUM(入力データ!$C$101:$C$103,入力データ!$C$105)*12)</f>
        <v/>
      </c>
      <c r="AA36" s="359">
        <f>IF(AA$3="","",SUM(入力データ!$C$101:$C$103,入力データ!$C$105)*12)</f>
        <v/>
      </c>
      <c r="AB36" s="359">
        <f>IF(AB$3="","",SUM(入力データ!$C$101:$C$103,入力データ!$C$105)*12)</f>
        <v/>
      </c>
      <c r="AC36" s="359">
        <f>IF(AC$3="","",SUM(入力データ!$C$101:$C$103,入力データ!$C$105)*12)</f>
        <v/>
      </c>
      <c r="AD36" s="359">
        <f>IF(AD$3="","",SUM(入力データ!$C$101:$C$103,入力データ!$C$105)*12)</f>
        <v/>
      </c>
      <c r="AE36" s="359">
        <f>IF(AE$3="","",SUM(入力データ!$C$101:$C$103,入力データ!$C$105)*12)</f>
        <v/>
      </c>
      <c r="AF36" s="359">
        <f>IF(AF$3="","",SUM(入力データ!$C$101:$C$103,入力データ!$C$105)*12)</f>
        <v/>
      </c>
      <c r="AG36" s="359">
        <f>IF(AG$3="","",SUM(入力データ!$C$101:$C$103,入力データ!$C$105)*12)</f>
        <v/>
      </c>
      <c r="AH36" s="359">
        <f>IF(AH$3="","",SUM(入力データ!$C$101:$C$103,入力データ!$C$105)*12)</f>
        <v/>
      </c>
      <c r="AI36" s="359">
        <f>IF(AI$3="","",SUM(入力データ!$C$101:$C$103,入力データ!$C$105)*12)</f>
        <v/>
      </c>
      <c r="AJ36" s="359">
        <f>IF(AJ$3="","",SUM(入力データ!$C$101:$C$103,入力データ!$C$105)*12)</f>
        <v/>
      </c>
      <c r="AK36" s="359">
        <f>IF(AK$3="","",SUM(入力データ!$C$101:$C$103,入力データ!$C$105)*12)</f>
        <v/>
      </c>
      <c r="AL36" s="359">
        <f>IF(AL$3="","",SUM(入力データ!$C$101:$C$103,入力データ!$C$105)*12)</f>
        <v/>
      </c>
      <c r="AM36" s="359">
        <f>IF(AM$3="","",SUM(入力データ!$C$101:$C$103,入力データ!$C$105)*12)</f>
        <v/>
      </c>
      <c r="AN36" s="359">
        <f>IF(AN$3="","",SUM(入力データ!$C$101:$C$103,入力データ!$C$105)*12)</f>
        <v/>
      </c>
      <c r="AO36" s="359">
        <f>IF(AO$3="","",SUM(入力データ!$C$101:$C$103,入力データ!$C$105)*12)</f>
        <v/>
      </c>
      <c r="AP36" s="359">
        <f>IF(AP$3="","",SUM(入力データ!$C$101:$C$103,入力データ!$C$105)*12)</f>
        <v/>
      </c>
      <c r="AQ36" s="359">
        <f>IF(AQ$3="","",SUM(入力データ!$C$101:$C$103,入力データ!$C$105)*12)</f>
        <v/>
      </c>
      <c r="AR36" s="359">
        <f>IF(AR$3="","",SUM(入力データ!$C$101:$C$103,入力データ!$C$105)*12)</f>
        <v/>
      </c>
      <c r="AS36" s="359">
        <f>IF(AS$3="","",SUM(入力データ!$C$101:$C$103,入力データ!$C$105)*12)</f>
        <v/>
      </c>
      <c r="AT36" s="359">
        <f>IF(AT$3="","",SUM(入力データ!$C$101:$C$103,入力データ!$C$105)*12)</f>
        <v/>
      </c>
      <c r="AU36" s="359">
        <f>IF(AU$3="","",SUM(入力データ!$C$101:$C$103,入力データ!$C$105)*12)</f>
        <v/>
      </c>
      <c r="AV36" s="359">
        <f>IF(AV$3="","",SUM(入力データ!$C$101:$C$103,入力データ!$C$105)*12)</f>
        <v/>
      </c>
      <c r="AW36" s="359">
        <f>IF(AW$3="","",SUM(入力データ!$C$101:$C$103,入力データ!$C$105)*12)</f>
        <v/>
      </c>
      <c r="AX36" s="359">
        <f>IF(AX$3="","",SUM(入力データ!$C$101:$C$103,入力データ!$C$105)*12)</f>
        <v/>
      </c>
      <c r="AY36" s="359">
        <f>IF(AY$3="","",SUM(入力データ!$C$101:$C$103,入力データ!$C$105)*12)</f>
        <v/>
      </c>
      <c r="AZ36" s="359">
        <f>IF(AZ$3="","",SUM(入力データ!$C$101:$C$103,入力データ!$C$105)*12)</f>
        <v/>
      </c>
      <c r="BA36" s="359">
        <f>IF(BA$3="","",SUM(入力データ!$C$101:$C$103,入力データ!$C$105)*12)</f>
        <v/>
      </c>
      <c r="BB36" s="359">
        <f>IF(BB$3="","",SUM(入力データ!$C$101:$C$103,入力データ!$C$105)*12)</f>
        <v/>
      </c>
      <c r="BC36" s="359">
        <f>IF(BC$3="","",SUM(入力データ!$C$101:$C$103,入力データ!$C$105)*12)</f>
        <v/>
      </c>
      <c r="BD36" s="359">
        <f>IF(BD$3="","",SUM(入力データ!$C$101:$C$103,入力データ!$C$105)*12)</f>
        <v/>
      </c>
      <c r="BE36" s="359">
        <f>IF(BE$3="","",SUM(入力データ!$C$101:$C$103,入力データ!$C$105)*12)</f>
        <v/>
      </c>
      <c r="BF36" s="359">
        <f>IF(BF$3="","",SUM(入力データ!$C$101:$C$103,入力データ!$C$105)*12)</f>
        <v/>
      </c>
      <c r="BG36" s="359">
        <f>IF(BG$3="","",SUM(入力データ!$C$101:$C$103,入力データ!$C$105)*12)</f>
        <v/>
      </c>
      <c r="BH36" s="359">
        <f>IF(BH$3="","",SUM(入力データ!$C$101:$C$103,入力データ!$C$105)*12)</f>
        <v/>
      </c>
      <c r="BI36" s="359">
        <f>IF(BI$3="","",SUM(入力データ!$C$101:$C$103,入力データ!$C$105)*12)</f>
        <v/>
      </c>
      <c r="BJ36" s="359">
        <f>IF(BJ$3="","",SUM(入力データ!$C$101:$C$103,入力データ!$C$105)*12)</f>
        <v/>
      </c>
      <c r="BK36" s="359">
        <f>IF(BK$3="","",SUM(入力データ!$C$101:$C$103,入力データ!$C$105)*12)</f>
        <v/>
      </c>
      <c r="BL36" s="359">
        <f>IF(BL$3="","",SUM(入力データ!$C$101:$C$103,入力データ!$C$105)*12)</f>
        <v/>
      </c>
      <c r="BM36" s="359">
        <f>IF(BM$3="","",SUM(入力データ!$C$101:$C$103,入力データ!$C$105)*12)</f>
        <v/>
      </c>
      <c r="BN36" s="359">
        <f>IF(BN$3="","",SUM(入力データ!$C$101:$C$103,入力データ!$C$105)*12)</f>
        <v/>
      </c>
      <c r="BO36" s="359">
        <f>IF(BO$3="","",SUM(入力データ!$C$101:$C$103,入力データ!$C$105)*12)</f>
        <v/>
      </c>
      <c r="BP36" s="359">
        <f>IF(BP$3="","",SUM(入力データ!$C$101:$C$103,入力データ!$C$105)*12)</f>
        <v/>
      </c>
      <c r="BQ36" s="359">
        <f>IF(BQ$3="","",SUM(入力データ!$C$101:$C$103,入力データ!$C$105)*12)</f>
        <v/>
      </c>
      <c r="BR36" s="359">
        <f>IF(BR$3="","",SUM(入力データ!$C$101:$C$103,入力データ!$C$105)*12)</f>
        <v/>
      </c>
      <c r="BS36" s="359">
        <f>IF(BS$3="","",SUM(入力データ!$C$101:$C$103,入力データ!$C$105)*12)</f>
        <v/>
      </c>
      <c r="BT36" s="359">
        <f>IF(BT$3="","",SUM(入力データ!$C$101:$C$103,入力データ!$C$105)*12)</f>
        <v/>
      </c>
      <c r="BU36" s="359">
        <f>IF(BU$3="","",SUM(入力データ!$C$101:$C$103,入力データ!$C$105)*12)</f>
        <v/>
      </c>
      <c r="BV36" s="359">
        <f>IF(BV$3="","",SUM(入力データ!$C$101:$C$103,入力データ!$C$105)*12)</f>
        <v/>
      </c>
      <c r="BW36" s="359">
        <f>IF(BW$3="","",SUM(入力データ!$C$101:$C$103,入力データ!$C$105)*12)</f>
        <v/>
      </c>
      <c r="BX36" s="359">
        <f>IF(BX$3="","",SUM(入力データ!$C$101:$C$103,入力データ!$C$105)*12)</f>
        <v/>
      </c>
      <c r="BY36" s="359">
        <f>IF(BY$3="","",SUM(入力データ!$C$101:$C$103,入力データ!$C$105)*12)</f>
        <v/>
      </c>
      <c r="BZ36" s="359">
        <f>IF(BZ$3="","",SUM(入力データ!$C$101:$C$103,入力データ!$C$105)*12)</f>
        <v/>
      </c>
      <c r="CA36" s="359">
        <f>IF(CA$3="","",SUM(入力データ!$C$101:$C$103,入力データ!$C$105)*12)</f>
        <v/>
      </c>
      <c r="CB36" s="359">
        <f>IF(CB$3="","",SUM(入力データ!$C$101:$C$103,入力データ!$C$105)*12)</f>
        <v/>
      </c>
      <c r="CC36" s="359">
        <f>IF(CC$3="","",SUM(入力データ!$C$101:$C$103,入力データ!$C$105)*12)</f>
        <v/>
      </c>
      <c r="CD36" s="359">
        <f>IF(CD$3="","",SUM(入力データ!$C$101:$C$103,入力データ!$C$105)*12)</f>
        <v/>
      </c>
      <c r="CE36" s="359">
        <f>IF(CE$3="","",SUM(入力データ!$C$101:$C$103,入力データ!$C$105)*12)</f>
        <v/>
      </c>
      <c r="CF36" s="359">
        <f>IF(CF$3="","",SUM(入力データ!$C$101:$C$103,入力データ!$C$105)*12)</f>
        <v/>
      </c>
      <c r="CG36" s="359">
        <f>IF(CG$3="","",SUM(入力データ!$C$101:$C$103,入力データ!$C$105)*12)</f>
        <v/>
      </c>
      <c r="CH36" s="359">
        <f>IF(CH$3="","",SUM(入力データ!$C$101:$C$103,入力データ!$C$105)*12)</f>
        <v/>
      </c>
      <c r="CI36" s="359">
        <f>IF(CI$3="","",SUM(入力データ!$C$101:$C$103,入力データ!$C$105)*12)</f>
        <v/>
      </c>
      <c r="CJ36" s="359">
        <f>IF(CJ$3="","",SUM(入力データ!$C$101:$C$103,入力データ!$C$105)*12)</f>
        <v/>
      </c>
      <c r="CK36" s="359">
        <f>IF(CK$3="","",SUM(入力データ!$C$101:$C$103,入力データ!$C$105)*12)</f>
        <v/>
      </c>
      <c r="CL36" s="359">
        <f>IF(CL$3="","",SUM(入力データ!$C$101:$C$103,入力データ!$C$105)*12)</f>
        <v/>
      </c>
      <c r="CM36" s="359">
        <f>IF(CM$3="","",SUM(入力データ!$C$101:$C$103,入力データ!$C$105)*12)</f>
        <v/>
      </c>
      <c r="CN36" s="359">
        <f>IF(CN$3="","",SUM(入力データ!$C$101:$C$103,入力データ!$C$105)*12)</f>
        <v/>
      </c>
      <c r="CO36" s="359">
        <f>IF(CO$3="","",SUM(入力データ!$C$101:$C$103,入力データ!$C$105)*12)</f>
        <v/>
      </c>
      <c r="CP36" s="359">
        <f>IF(CP$3="","",SUM(入力データ!$C$101:$C$103,入力データ!$C$105)*12)</f>
        <v/>
      </c>
      <c r="CQ36" s="359">
        <f>IF(CQ$3="","",SUM(入力データ!$C$101:$C$103,入力データ!$C$105)*12)</f>
        <v/>
      </c>
      <c r="CR36" s="359">
        <f>IF(CR$3="","",SUM(入力データ!$C$101:$C$103,入力データ!$C$105)*12)</f>
        <v/>
      </c>
      <c r="CS36" s="359">
        <f>IF(CS$3="","",SUM(入力データ!$C$101:$C$103,入力データ!$C$105)*12)</f>
        <v/>
      </c>
      <c r="CT36" s="359">
        <f>IF(CT$3="","",SUM(入力データ!$C$101:$C$103,入力データ!$C$105)*12)</f>
        <v/>
      </c>
      <c r="CU36" s="359">
        <f>IF(CU$3="","",SUM(入力データ!$C$101:$C$103,入力データ!$C$105)*12)</f>
        <v/>
      </c>
      <c r="CV36" s="359">
        <f>IF(CV$3="","",SUM(入力データ!$C$101:$C$103,入力データ!$C$105)*12)</f>
        <v/>
      </c>
      <c r="CW36" s="359">
        <f>IF(CW$3="","",SUM(入力データ!$C$101:$C$103,入力データ!$C$105)*12)</f>
        <v/>
      </c>
    </row>
    <row r="37" hidden="1" ht="16.5" customHeight="1" s="180">
      <c r="A37" s="239" t="inlineStr">
        <is>
          <t>返戻金積立年額(補助)</t>
        </is>
      </c>
      <c r="B37" s="359">
        <f>IF(B$3="","",入力データ!$C$104*12)</f>
        <v/>
      </c>
      <c r="C37" s="359">
        <f>IF(C$3="","",入力データ!$C$104*12)</f>
        <v/>
      </c>
      <c r="D37" s="359">
        <f>IF(D$3="","",入力データ!$C$104*12)</f>
        <v/>
      </c>
      <c r="E37" s="359">
        <f>IF(E$3="","",入力データ!$C$104*12)</f>
        <v/>
      </c>
      <c r="F37" s="359">
        <f>IF(F$3="","",入力データ!$C$104*12)</f>
        <v/>
      </c>
      <c r="G37" s="359">
        <f>IF(G$3="","",入力データ!$C$104*12)</f>
        <v/>
      </c>
      <c r="H37" s="359">
        <f>IF(H$3="","",入力データ!$C$104*12)</f>
        <v/>
      </c>
      <c r="I37" s="359">
        <f>IF(I$3="","",入力データ!$C$104*12)</f>
        <v/>
      </c>
      <c r="J37" s="359">
        <f>IF(J$3="","",入力データ!$C$104*12)</f>
        <v/>
      </c>
      <c r="K37" s="359">
        <f>IF(K$3="","",入力データ!$C$104*12)</f>
        <v/>
      </c>
      <c r="L37" s="359">
        <f>IF(L$3="","",入力データ!$C$104*12)</f>
        <v/>
      </c>
      <c r="M37" s="359">
        <f>IF(M$3="","",入力データ!$C$104*12)</f>
        <v/>
      </c>
      <c r="N37" s="359">
        <f>IF(N$3="","",入力データ!$C$104*12)</f>
        <v/>
      </c>
      <c r="O37" s="359">
        <f>IF(O$3="","",入力データ!$C$104*12)</f>
        <v/>
      </c>
      <c r="P37" s="359">
        <f>IF(P$3="","",入力データ!$C$104*12)</f>
        <v/>
      </c>
      <c r="Q37" s="359">
        <f>IF(Q$3="","",入力データ!$C$104*12)</f>
        <v/>
      </c>
      <c r="R37" s="359">
        <f>IF(R$3="","",入力データ!$C$104*12)</f>
        <v/>
      </c>
      <c r="S37" s="359">
        <f>IF(S$3="","",入力データ!$C$104*12)</f>
        <v/>
      </c>
      <c r="T37" s="359">
        <f>IF(T$3="","",入力データ!$C$104*12)</f>
        <v/>
      </c>
      <c r="U37" s="359">
        <f>IF(U$3="","",入力データ!$C$104*12)</f>
        <v/>
      </c>
      <c r="V37" s="359">
        <f>IF(V$3="","",入力データ!$C$104*12)</f>
        <v/>
      </c>
      <c r="W37" s="359">
        <f>IF(W$3="","",入力データ!$C$104*12)</f>
        <v/>
      </c>
      <c r="X37" s="359">
        <f>IF(X$3="","",入力データ!$C$104*12)</f>
        <v/>
      </c>
      <c r="Y37" s="359">
        <f>IF(Y$3="","",入力データ!$C$104*12)</f>
        <v/>
      </c>
      <c r="Z37" s="359">
        <f>IF(Z$3="","",入力データ!$C$104*12)</f>
        <v/>
      </c>
      <c r="AA37" s="359">
        <f>IF(AA$3="","",入力データ!$C$104*12)</f>
        <v/>
      </c>
      <c r="AB37" s="359">
        <f>IF(AB$3="","",入力データ!$C$104*12)</f>
        <v/>
      </c>
      <c r="AC37" s="359">
        <f>IF(AC$3="","",入力データ!$C$104*12)</f>
        <v/>
      </c>
      <c r="AD37" s="359">
        <f>IF(AD$3="","",入力データ!$C$104*12)</f>
        <v/>
      </c>
      <c r="AE37" s="359">
        <f>IF(AE$3="","",入力データ!$C$104*12)</f>
        <v/>
      </c>
      <c r="AF37" s="359">
        <f>IF(AF$3="","",入力データ!$C$104*12)</f>
        <v/>
      </c>
      <c r="AG37" s="359">
        <f>IF(AG$3="","",入力データ!$C$104*12)</f>
        <v/>
      </c>
      <c r="AH37" s="359">
        <f>IF(AH$3="","",入力データ!$C$104*12)</f>
        <v/>
      </c>
      <c r="AI37" s="359">
        <f>IF(AI$3="","",入力データ!$C$104*12)</f>
        <v/>
      </c>
      <c r="AJ37" s="359">
        <f>IF(AJ$3="","",入力データ!$C$104*12)</f>
        <v/>
      </c>
      <c r="AK37" s="359">
        <f>IF(AK$3="","",入力データ!$C$104*12)</f>
        <v/>
      </c>
      <c r="AL37" s="359">
        <f>IF(AL$3="","",入力データ!$C$104*12)</f>
        <v/>
      </c>
      <c r="AM37" s="359">
        <f>IF(AM$3="","",入力データ!$C$104*12)</f>
        <v/>
      </c>
      <c r="AN37" s="359">
        <f>IF(AN$3="","",入力データ!$C$104*12)</f>
        <v/>
      </c>
      <c r="AO37" s="359">
        <f>IF(AO$3="","",入力データ!$C$104*12)</f>
        <v/>
      </c>
      <c r="AP37" s="359">
        <f>IF(AP$3="","",入力データ!$C$104*12)</f>
        <v/>
      </c>
      <c r="AQ37" s="359">
        <f>IF(AQ$3="","",入力データ!$C$104*12)</f>
        <v/>
      </c>
      <c r="AR37" s="359">
        <f>IF(AR$3="","",入力データ!$C$104*12)</f>
        <v/>
      </c>
      <c r="AS37" s="359">
        <f>IF(AS$3="","",入力データ!$C$104*12)</f>
        <v/>
      </c>
      <c r="AT37" s="359">
        <f>IF(AT$3="","",入力データ!$C$104*12)</f>
        <v/>
      </c>
      <c r="AU37" s="359">
        <f>IF(AU$3="","",入力データ!$C$104*12)</f>
        <v/>
      </c>
      <c r="AV37" s="359">
        <f>IF(AV$3="","",入力データ!$C$104*12)</f>
        <v/>
      </c>
      <c r="AW37" s="359">
        <f>IF(AW$3="","",入力データ!$C$104*12)</f>
        <v/>
      </c>
      <c r="AX37" s="359">
        <f>IF(AX$3="","",入力データ!$C$104*12)</f>
        <v/>
      </c>
      <c r="AY37" s="359">
        <f>IF(AY$3="","",入力データ!$C$104*12)</f>
        <v/>
      </c>
      <c r="AZ37" s="359">
        <f>IF(AZ$3="","",入力データ!$C$104*12)</f>
        <v/>
      </c>
      <c r="BA37" s="359">
        <f>IF(BA$3="","",入力データ!$C$104*12)</f>
        <v/>
      </c>
      <c r="BB37" s="359">
        <f>IF(BB$3="","",入力データ!$C$104*12)</f>
        <v/>
      </c>
      <c r="BC37" s="359">
        <f>IF(BC$3="","",入力データ!$C$104*12)</f>
        <v/>
      </c>
      <c r="BD37" s="359">
        <f>IF(BD$3="","",入力データ!$C$104*12)</f>
        <v/>
      </c>
      <c r="BE37" s="359">
        <f>IF(BE$3="","",入力データ!$C$104*12)</f>
        <v/>
      </c>
      <c r="BF37" s="359">
        <f>IF(BF$3="","",入力データ!$C$104*12)</f>
        <v/>
      </c>
      <c r="BG37" s="359">
        <f>IF(BG$3="","",入力データ!$C$104*12)</f>
        <v/>
      </c>
      <c r="BH37" s="359">
        <f>IF(BH$3="","",入力データ!$C$104*12)</f>
        <v/>
      </c>
      <c r="BI37" s="359">
        <f>IF(BI$3="","",入力データ!$C$104*12)</f>
        <v/>
      </c>
      <c r="BJ37" s="359">
        <f>IF(BJ$3="","",入力データ!$C$104*12)</f>
        <v/>
      </c>
      <c r="BK37" s="359">
        <f>IF(BK$3="","",入力データ!$C$104*12)</f>
        <v/>
      </c>
      <c r="BL37" s="359">
        <f>IF(BL$3="","",入力データ!$C$104*12)</f>
        <v/>
      </c>
      <c r="BM37" s="359">
        <f>IF(BM$3="","",入力データ!$C$104*12)</f>
        <v/>
      </c>
      <c r="BN37" s="359">
        <f>IF(BN$3="","",入力データ!$C$104*12)</f>
        <v/>
      </c>
      <c r="BO37" s="359">
        <f>IF(BO$3="","",入力データ!$C$104*12)</f>
        <v/>
      </c>
      <c r="BP37" s="359">
        <f>IF(BP$3="","",入力データ!$C$104*12)</f>
        <v/>
      </c>
      <c r="BQ37" s="359">
        <f>IF(BQ$3="","",入力データ!$C$104*12)</f>
        <v/>
      </c>
      <c r="BR37" s="359">
        <f>IF(BR$3="","",入力データ!$C$104*12)</f>
        <v/>
      </c>
      <c r="BS37" s="359">
        <f>IF(BS$3="","",入力データ!$C$104*12)</f>
        <v/>
      </c>
      <c r="BT37" s="359">
        <f>IF(BT$3="","",入力データ!$C$104*12)</f>
        <v/>
      </c>
      <c r="BU37" s="359">
        <f>IF(BU$3="","",入力データ!$C$104*12)</f>
        <v/>
      </c>
      <c r="BV37" s="359">
        <f>IF(BV$3="","",入力データ!$C$104*12)</f>
        <v/>
      </c>
      <c r="BW37" s="359">
        <f>IF(BW$3="","",入力データ!$C$104*12)</f>
        <v/>
      </c>
      <c r="BX37" s="359">
        <f>IF(BX$3="","",入力データ!$C$104*12)</f>
        <v/>
      </c>
      <c r="BY37" s="359">
        <f>IF(BY$3="","",入力データ!$C$104*12)</f>
        <v/>
      </c>
      <c r="BZ37" s="359">
        <f>IF(BZ$3="","",入力データ!$C$104*12)</f>
        <v/>
      </c>
      <c r="CA37" s="359">
        <f>IF(CA$3="","",入力データ!$C$104*12)</f>
        <v/>
      </c>
      <c r="CB37" s="359">
        <f>IF(CB$3="","",入力データ!$C$104*12)</f>
        <v/>
      </c>
      <c r="CC37" s="359">
        <f>IF(CC$3="","",入力データ!$C$104*12)</f>
        <v/>
      </c>
      <c r="CD37" s="359">
        <f>IF(CD$3="","",入力データ!$C$104*12)</f>
        <v/>
      </c>
      <c r="CE37" s="359">
        <f>IF(CE$3="","",入力データ!$C$104*12)</f>
        <v/>
      </c>
      <c r="CF37" s="359">
        <f>IF(CF$3="","",入力データ!$C$104*12)</f>
        <v/>
      </c>
      <c r="CG37" s="359">
        <f>IF(CG$3="","",入力データ!$C$104*12)</f>
        <v/>
      </c>
      <c r="CH37" s="359">
        <f>IF(CH$3="","",入力データ!$C$104*12)</f>
        <v/>
      </c>
      <c r="CI37" s="359">
        <f>IF(CI$3="","",入力データ!$C$104*12)</f>
        <v/>
      </c>
      <c r="CJ37" s="359">
        <f>IF(CJ$3="","",入力データ!$C$104*12)</f>
        <v/>
      </c>
      <c r="CK37" s="359">
        <f>IF(CK$3="","",入力データ!$C$104*12)</f>
        <v/>
      </c>
      <c r="CL37" s="359">
        <f>IF(CL$3="","",入力データ!$C$104*12)</f>
        <v/>
      </c>
      <c r="CM37" s="359">
        <f>IF(CM$3="","",入力データ!$C$104*12)</f>
        <v/>
      </c>
      <c r="CN37" s="359">
        <f>IF(CN$3="","",入力データ!$C$104*12)</f>
        <v/>
      </c>
      <c r="CO37" s="359">
        <f>IF(CO$3="","",入力データ!$C$104*12)</f>
        <v/>
      </c>
      <c r="CP37" s="359">
        <f>IF(CP$3="","",入力データ!$C$104*12)</f>
        <v/>
      </c>
      <c r="CQ37" s="359">
        <f>IF(CQ$3="","",入力データ!$C$104*12)</f>
        <v/>
      </c>
      <c r="CR37" s="359">
        <f>IF(CR$3="","",入力データ!$C$104*12)</f>
        <v/>
      </c>
      <c r="CS37" s="359">
        <f>IF(CS$3="","",入力データ!$C$104*12)</f>
        <v/>
      </c>
      <c r="CT37" s="359">
        <f>IF(CT$3="","",入力データ!$C$104*12)</f>
        <v/>
      </c>
      <c r="CU37" s="359">
        <f>IF(CU$3="","",入力データ!$C$104*12)</f>
        <v/>
      </c>
      <c r="CV37" s="359">
        <f>IF(CV$3="","",入力データ!$C$104*12)</f>
        <v/>
      </c>
      <c r="CW37" s="359">
        <f>IF(CW$3="","",入力データ!$C$104*12)</f>
        <v/>
      </c>
    </row>
    <row r="38" hidden="1" ht="16.5" customHeight="1" s="180">
      <c r="A38" s="239" t="inlineStr">
        <is>
          <t>預貯金前年差引前(補助)</t>
        </is>
      </c>
      <c r="B38" s="359">
        <f>IF(B$3="","",SUM(入力データ!$C$88:$C$89)+B30-B36-B37)</f>
        <v/>
      </c>
      <c r="C38" s="359">
        <f>IF(C$3="","",B31+C30-C36-C37)</f>
        <v/>
      </c>
      <c r="D38" s="359">
        <f>IF(D$3="","",C31+D30-D36-D37)</f>
        <v/>
      </c>
      <c r="E38" s="359">
        <f>IF(E$3="","",D31+E30-E36-E37)</f>
        <v/>
      </c>
      <c r="F38" s="359">
        <f>IF(F$3="","",E31+F30-F36-F37)</f>
        <v/>
      </c>
      <c r="G38" s="359">
        <f>IF(G$3="","",F31+G30-G36-G37)</f>
        <v/>
      </c>
      <c r="H38" s="359">
        <f>IF(H$3="","",G31+H30-H36-H37)</f>
        <v/>
      </c>
      <c r="I38" s="359">
        <f>IF(I$3="","",H31+I30-I36-I37)</f>
        <v/>
      </c>
      <c r="J38" s="359">
        <f>IF(J$3="","",I31+J30-J36-J37)</f>
        <v/>
      </c>
      <c r="K38" s="359">
        <f>IF(K$3="","",J31+K30-K36-K37)</f>
        <v/>
      </c>
      <c r="L38" s="359">
        <f>IF(L$3="","",K31+L30-L36-L37)</f>
        <v/>
      </c>
      <c r="M38" s="359">
        <f>IF(M$3="","",L31+M30-M36-M37)</f>
        <v/>
      </c>
      <c r="N38" s="359">
        <f>IF(N$3="","",M31+N30-N36-N37)</f>
        <v/>
      </c>
      <c r="O38" s="359">
        <f>IF(O$3="","",N31+O30-O36-O37)</f>
        <v/>
      </c>
      <c r="P38" s="359">
        <f>IF(P$3="","",O31+P30-P36-P37)</f>
        <v/>
      </c>
      <c r="Q38" s="359">
        <f>IF(Q$3="","",P31+Q30-Q36-Q37)</f>
        <v/>
      </c>
      <c r="R38" s="359">
        <f>IF(R$3="","",Q31+R30-R36-R37)</f>
        <v/>
      </c>
      <c r="S38" s="359">
        <f>IF(S$3="","",R31+S30-S36-S37)</f>
        <v/>
      </c>
      <c r="T38" s="359">
        <f>IF(T$3="","",S31+T30-T36-T37)</f>
        <v/>
      </c>
      <c r="U38" s="359">
        <f>IF(U$3="","",T31+U30-U36-U37)</f>
        <v/>
      </c>
      <c r="V38" s="359">
        <f>IF(V$3="","",U31+V30-V36-V37)</f>
        <v/>
      </c>
      <c r="W38" s="359">
        <f>IF(W$3="","",V31+W30-W36-W37)</f>
        <v/>
      </c>
      <c r="X38" s="359">
        <f>IF(X$3="","",W31+X30-X36-X37)</f>
        <v/>
      </c>
      <c r="Y38" s="359">
        <f>IF(Y$3="","",X31+Y30-Y36-Y37)</f>
        <v/>
      </c>
      <c r="Z38" s="359">
        <f>IF(Z$3="","",Y31+Z30-Z36-Z37)</f>
        <v/>
      </c>
      <c r="AA38" s="359">
        <f>IF(AA$3="","",Z31+AA30-AA36-AA37)</f>
        <v/>
      </c>
      <c r="AB38" s="359">
        <f>IF(AB$3="","",AA31+AB30-AB36-AB37)</f>
        <v/>
      </c>
      <c r="AC38" s="359">
        <f>IF(AC$3="","",AB31+AC30-AC36-AC37)</f>
        <v/>
      </c>
      <c r="AD38" s="359">
        <f>IF(AD$3="","",AC31+AD30-AD36-AD37)</f>
        <v/>
      </c>
      <c r="AE38" s="359">
        <f>IF(AE$3="","",AD31+AE30-AE36-AE37)</f>
        <v/>
      </c>
      <c r="AF38" s="359">
        <f>IF(AF$3="","",AE31+AF30-AF36-AF37)</f>
        <v/>
      </c>
      <c r="AG38" s="359">
        <f>IF(AG$3="","",AF31+AG30-AG36-AG37)</f>
        <v/>
      </c>
      <c r="AH38" s="359">
        <f>IF(AH$3="","",AG31+AH30-AH36-AH37)</f>
        <v/>
      </c>
      <c r="AI38" s="359">
        <f>IF(AI$3="","",AH31+AI30-AI36-AI37)</f>
        <v/>
      </c>
      <c r="AJ38" s="359">
        <f>IF(AJ$3="","",AI31+AJ30-AJ36-AJ37)</f>
        <v/>
      </c>
      <c r="AK38" s="359">
        <f>IF(AK$3="","",AJ31+AK30-AK36-AK37)</f>
        <v/>
      </c>
      <c r="AL38" s="359">
        <f>IF(AL$3="","",AK31+AL30-AL36-AL37)</f>
        <v/>
      </c>
      <c r="AM38" s="359">
        <f>IF(AM$3="","",AL31+AM30-AM36-AM37)</f>
        <v/>
      </c>
      <c r="AN38" s="359">
        <f>IF(AN$3="","",AM31+AN30-AN36-AN37)</f>
        <v/>
      </c>
      <c r="AO38" s="359">
        <f>IF(AO$3="","",AN31+AO30-AO36-AO37)</f>
        <v/>
      </c>
      <c r="AP38" s="359">
        <f>IF(AP$3="","",AO31+AP30-AP36-AP37)</f>
        <v/>
      </c>
      <c r="AQ38" s="359">
        <f>IF(AQ$3="","",AP31+AQ30-AQ36-AQ37)</f>
        <v/>
      </c>
      <c r="AR38" s="359">
        <f>IF(AR$3="","",AQ31+AR30-AR36-AR37)</f>
        <v/>
      </c>
      <c r="AS38" s="359">
        <f>IF(AS$3="","",AR31+AS30-AS36-AS37)</f>
        <v/>
      </c>
      <c r="AT38" s="359">
        <f>IF(AT$3="","",AS31+AT30-AT36-AT37)</f>
        <v/>
      </c>
      <c r="AU38" s="359">
        <f>IF(AU$3="","",AT31+AU30-AU36-AU37)</f>
        <v/>
      </c>
      <c r="AV38" s="359">
        <f>IF(AV$3="","",AU31+AV30-AV36-AV37)</f>
        <v/>
      </c>
      <c r="AW38" s="359">
        <f>IF(AW$3="","",AV31+AW30-AW36-AW37)</f>
        <v/>
      </c>
      <c r="AX38" s="359">
        <f>IF(AX$3="","",AW31+AX30-AX36-AX37)</f>
        <v/>
      </c>
      <c r="AY38" s="359">
        <f>IF(AY$3="","",AX31+AY30-AY36-AY37)</f>
        <v/>
      </c>
      <c r="AZ38" s="359">
        <f>IF(AZ$3="","",AY31+AZ30-AZ36-AZ37)</f>
        <v/>
      </c>
      <c r="BA38" s="359">
        <f>IF(BA$3="","",AZ31+BA30-BA36-BA37)</f>
        <v/>
      </c>
      <c r="BB38" s="359">
        <f>IF(BB$3="","",BA31+BB30-BB36-BB37)</f>
        <v/>
      </c>
      <c r="BC38" s="359">
        <f>IF(BC$3="","",BB31+BC30-BC36-BC37)</f>
        <v/>
      </c>
      <c r="BD38" s="359">
        <f>IF(BD$3="","",BC31+BD30-BD36-BD37)</f>
        <v/>
      </c>
      <c r="BE38" s="359">
        <f>IF(BE$3="","",BD31+BE30-BE36-BE37)</f>
        <v/>
      </c>
      <c r="BF38" s="359">
        <f>IF(BF$3="","",BE31+BF30-BF36-BF37)</f>
        <v/>
      </c>
      <c r="BG38" s="359">
        <f>IF(BG$3="","",BF31+BG30-BG36-BG37)</f>
        <v/>
      </c>
      <c r="BH38" s="359">
        <f>IF(BH$3="","",BG31+BH30-BH36-BH37)</f>
        <v/>
      </c>
      <c r="BI38" s="359">
        <f>IF(BI$3="","",BH31+BI30-BI36-BI37)</f>
        <v/>
      </c>
      <c r="BJ38" s="359">
        <f>IF(BJ$3="","",BI31+BJ30-BJ36-BJ37)</f>
        <v/>
      </c>
      <c r="BK38" s="359">
        <f>IF(BK$3="","",BJ31+BK30-BK36-BK37)</f>
        <v/>
      </c>
      <c r="BL38" s="359">
        <f>IF(BL$3="","",BK31+BL30-BL36-BL37)</f>
        <v/>
      </c>
      <c r="BM38" s="359">
        <f>IF(BM$3="","",BL31+BM30-BM36-BM37)</f>
        <v/>
      </c>
      <c r="BN38" s="359">
        <f>IF(BN$3="","",BM31+BN30-BN36-BN37)</f>
        <v/>
      </c>
      <c r="BO38" s="359">
        <f>IF(BO$3="","",BN31+BO30-BO36-BO37)</f>
        <v/>
      </c>
      <c r="BP38" s="359">
        <f>IF(BP$3="","",BO31+BP30-BP36-BP37)</f>
        <v/>
      </c>
      <c r="BQ38" s="359">
        <f>IF(BQ$3="","",BP31+BQ30-BQ36-BQ37)</f>
        <v/>
      </c>
      <c r="BR38" s="359">
        <f>IF(BR$3="","",BQ31+BR30-BR36-BR37)</f>
        <v/>
      </c>
      <c r="BS38" s="359">
        <f>IF(BS$3="","",BR31+BS30-BS36-BS37)</f>
        <v/>
      </c>
      <c r="BT38" s="359">
        <f>IF(BT$3="","",BS31+BT30-BT36-BT37)</f>
        <v/>
      </c>
      <c r="BU38" s="359">
        <f>IF(BU$3="","",BT31+BU30-BU36-BU37)</f>
        <v/>
      </c>
      <c r="BV38" s="359">
        <f>IF(BV$3="","",BU31+BV30-BV36-BV37)</f>
        <v/>
      </c>
      <c r="BW38" s="359">
        <f>IF(BW$3="","",BV31+BW30-BW36-BW37)</f>
        <v/>
      </c>
      <c r="BX38" s="359">
        <f>IF(BX$3="","",BW31+BX30-BX36-BX37)</f>
        <v/>
      </c>
      <c r="BY38" s="359">
        <f>IF(BY$3="","",BX31+BY30-BY36-BY37)</f>
        <v/>
      </c>
      <c r="BZ38" s="359">
        <f>IF(BZ$3="","",BY31+BZ30-BZ36-BZ37)</f>
        <v/>
      </c>
      <c r="CA38" s="359">
        <f>IF(CA$3="","",BZ31+CA30-CA36-CA37)</f>
        <v/>
      </c>
      <c r="CB38" s="359">
        <f>IF(CB$3="","",CA31+CB30-CB36-CB37)</f>
        <v/>
      </c>
      <c r="CC38" s="359">
        <f>IF(CC$3="","",CB31+CC30-CC36-CC37)</f>
        <v/>
      </c>
      <c r="CD38" s="359">
        <f>IF(CD$3="","",CC31+CD30-CD36-CD37)</f>
        <v/>
      </c>
      <c r="CE38" s="359">
        <f>IF(CE$3="","",CD31+CE30-CE36-CE37)</f>
        <v/>
      </c>
      <c r="CF38" s="359">
        <f>IF(CF$3="","",CE31+CF30-CF36-CF37)</f>
        <v/>
      </c>
      <c r="CG38" s="359">
        <f>IF(CG$3="","",CF31+CG30-CG36-CG37)</f>
        <v/>
      </c>
      <c r="CH38" s="359">
        <f>IF(CH$3="","",CG31+CH30-CH36-CH37)</f>
        <v/>
      </c>
      <c r="CI38" s="359">
        <f>IF(CI$3="","",CH31+CI30-CI36-CI37)</f>
        <v/>
      </c>
      <c r="CJ38" s="359">
        <f>IF(CJ$3="","",CI31+CJ30-CJ36-CJ37)</f>
        <v/>
      </c>
      <c r="CK38" s="359">
        <f>IF(CK$3="","",CJ31+CK30-CK36-CK37)</f>
        <v/>
      </c>
      <c r="CL38" s="359">
        <f>IF(CL$3="","",CK31+CL30-CL36-CL37)</f>
        <v/>
      </c>
      <c r="CM38" s="359">
        <f>IF(CM$3="","",CL31+CM30-CM36-CM37)</f>
        <v/>
      </c>
      <c r="CN38" s="359">
        <f>IF(CN$3="","",CM31+CN30-CN36-CN37)</f>
        <v/>
      </c>
      <c r="CO38" s="359">
        <f>IF(CO$3="","",CN31+CO30-CO36-CO37)</f>
        <v/>
      </c>
      <c r="CP38" s="359">
        <f>IF(CP$3="","",CO31+CP30-CP36-CP37)</f>
        <v/>
      </c>
      <c r="CQ38" s="359">
        <f>IF(CQ$3="","",CP31+CQ30-CQ36-CQ37)</f>
        <v/>
      </c>
      <c r="CR38" s="359">
        <f>IF(CR$3="","",CQ31+CR30-CR36-CR37)</f>
        <v/>
      </c>
      <c r="CS38" s="359">
        <f>IF(CS$3="","",CR31+CS30-CS36-CS37)</f>
        <v/>
      </c>
      <c r="CT38" s="359">
        <f>IF(CT$3="","",CS31+CT30-CT36-CT37)</f>
        <v/>
      </c>
      <c r="CU38" s="359">
        <f>IF(CU$3="","",CT31+CU30-CU36-CU37)</f>
        <v/>
      </c>
      <c r="CV38" s="359">
        <f>IF(CV$3="","",CU31+CV30-CV36-CV37)</f>
        <v/>
      </c>
      <c r="CW38" s="359">
        <f>IF(CW$3="","",CV31+CW30-CW36-CW37)</f>
        <v/>
      </c>
    </row>
    <row r="39" hidden="1" ht="16.5" customHeight="1" s="180">
      <c r="A39" s="239" t="inlineStr">
        <is>
          <t>投資取り崩し額(補助)</t>
        </is>
      </c>
      <c r="B39" s="359">
        <f>IF(B$3="","",MAX(0,-B38))</f>
        <v/>
      </c>
      <c r="C39" s="359">
        <f>IF(C$3="","",MAX(0,-C38))</f>
        <v/>
      </c>
      <c r="D39" s="359">
        <f>IF(D$3="","",MAX(0,-D38))</f>
        <v/>
      </c>
      <c r="E39" s="359">
        <f>IF(E$3="","",MAX(0,-E38))</f>
        <v/>
      </c>
      <c r="F39" s="359">
        <f>IF(F$3="","",MAX(0,-F38))</f>
        <v/>
      </c>
      <c r="G39" s="359">
        <f>IF(G$3="","",MAX(0,-G38))</f>
        <v/>
      </c>
      <c r="H39" s="359">
        <f>IF(H$3="","",MAX(0,-H38))</f>
        <v/>
      </c>
      <c r="I39" s="359">
        <f>IF(I$3="","",MAX(0,-I38))</f>
        <v/>
      </c>
      <c r="J39" s="359">
        <f>IF(J$3="","",MAX(0,-J38))</f>
        <v/>
      </c>
      <c r="K39" s="359">
        <f>IF(K$3="","",MAX(0,-K38))</f>
        <v/>
      </c>
      <c r="L39" s="359">
        <f>IF(L$3="","",MAX(0,-L38))</f>
        <v/>
      </c>
      <c r="M39" s="359">
        <f>IF(M$3="","",MAX(0,-M38))</f>
        <v/>
      </c>
      <c r="N39" s="359">
        <f>IF(N$3="","",MAX(0,-N38))</f>
        <v/>
      </c>
      <c r="O39" s="359">
        <f>IF(O$3="","",MAX(0,-O38))</f>
        <v/>
      </c>
      <c r="P39" s="359">
        <f>IF(P$3="","",MAX(0,-P38))</f>
        <v/>
      </c>
      <c r="Q39" s="359">
        <f>IF(Q$3="","",MAX(0,-Q38))</f>
        <v/>
      </c>
      <c r="R39" s="359">
        <f>IF(R$3="","",MAX(0,-R38))</f>
        <v/>
      </c>
      <c r="S39" s="359">
        <f>IF(S$3="","",MAX(0,-S38))</f>
        <v/>
      </c>
      <c r="T39" s="359">
        <f>IF(T$3="","",MAX(0,-T38))</f>
        <v/>
      </c>
      <c r="U39" s="359">
        <f>IF(U$3="","",MAX(0,-U38))</f>
        <v/>
      </c>
      <c r="V39" s="359">
        <f>IF(V$3="","",MAX(0,-V38))</f>
        <v/>
      </c>
      <c r="W39" s="359">
        <f>IF(W$3="","",MAX(0,-W38))</f>
        <v/>
      </c>
      <c r="X39" s="359">
        <f>IF(X$3="","",MAX(0,-X38))</f>
        <v/>
      </c>
      <c r="Y39" s="359">
        <f>IF(Y$3="","",MAX(0,-Y38))</f>
        <v/>
      </c>
      <c r="Z39" s="359">
        <f>IF(Z$3="","",MAX(0,-Z38))</f>
        <v/>
      </c>
      <c r="AA39" s="359">
        <f>IF(AA$3="","",MAX(0,-AA38))</f>
        <v/>
      </c>
      <c r="AB39" s="359">
        <f>IF(AB$3="","",MAX(0,-AB38))</f>
        <v/>
      </c>
      <c r="AC39" s="359">
        <f>IF(AC$3="","",MAX(0,-AC38))</f>
        <v/>
      </c>
      <c r="AD39" s="359">
        <f>IF(AD$3="","",MAX(0,-AD38))</f>
        <v/>
      </c>
      <c r="AE39" s="359">
        <f>IF(AE$3="","",MAX(0,-AE38))</f>
        <v/>
      </c>
      <c r="AF39" s="359">
        <f>IF(AF$3="","",MAX(0,-AF38))</f>
        <v/>
      </c>
      <c r="AG39" s="359">
        <f>IF(AG$3="","",MAX(0,-AG38))</f>
        <v/>
      </c>
      <c r="AH39" s="359">
        <f>IF(AH$3="","",MAX(0,-AH38))</f>
        <v/>
      </c>
      <c r="AI39" s="359">
        <f>IF(AI$3="","",MAX(0,-AI38))</f>
        <v/>
      </c>
      <c r="AJ39" s="359">
        <f>IF(AJ$3="","",MAX(0,-AJ38))</f>
        <v/>
      </c>
      <c r="AK39" s="359">
        <f>IF(AK$3="","",MAX(0,-AK38))</f>
        <v/>
      </c>
      <c r="AL39" s="359">
        <f>IF(AL$3="","",MAX(0,-AL38))</f>
        <v/>
      </c>
      <c r="AM39" s="359">
        <f>IF(AM$3="","",MAX(0,-AM38))</f>
        <v/>
      </c>
      <c r="AN39" s="359">
        <f>IF(AN$3="","",MAX(0,-AN38))</f>
        <v/>
      </c>
      <c r="AO39" s="359">
        <f>IF(AO$3="","",MAX(0,-AO38))</f>
        <v/>
      </c>
      <c r="AP39" s="359">
        <f>IF(AP$3="","",MAX(0,-AP38))</f>
        <v/>
      </c>
      <c r="AQ39" s="359">
        <f>IF(AQ$3="","",MAX(0,-AQ38))</f>
        <v/>
      </c>
      <c r="AR39" s="359">
        <f>IF(AR$3="","",MAX(0,-AR38))</f>
        <v/>
      </c>
      <c r="AS39" s="359">
        <f>IF(AS$3="","",MAX(0,-AS38))</f>
        <v/>
      </c>
      <c r="AT39" s="359">
        <f>IF(AT$3="","",MAX(0,-AT38))</f>
        <v/>
      </c>
      <c r="AU39" s="359">
        <f>IF(AU$3="","",MAX(0,-AU38))</f>
        <v/>
      </c>
      <c r="AV39" s="359">
        <f>IF(AV$3="","",MAX(0,-AV38))</f>
        <v/>
      </c>
      <c r="AW39" s="359">
        <f>IF(AW$3="","",MAX(0,-AW38))</f>
        <v/>
      </c>
      <c r="AX39" s="359">
        <f>IF(AX$3="","",MAX(0,-AX38))</f>
        <v/>
      </c>
      <c r="AY39" s="359">
        <f>IF(AY$3="","",MAX(0,-AY38))</f>
        <v/>
      </c>
      <c r="AZ39" s="359">
        <f>IF(AZ$3="","",MAX(0,-AZ38))</f>
        <v/>
      </c>
      <c r="BA39" s="359">
        <f>IF(BA$3="","",MAX(0,-BA38))</f>
        <v/>
      </c>
      <c r="BB39" s="359">
        <f>IF(BB$3="","",MAX(0,-BB38))</f>
        <v/>
      </c>
      <c r="BC39" s="359">
        <f>IF(BC$3="","",MAX(0,-BC38))</f>
        <v/>
      </c>
      <c r="BD39" s="359">
        <f>IF(BD$3="","",MAX(0,-BD38))</f>
        <v/>
      </c>
      <c r="BE39" s="359">
        <f>IF(BE$3="","",MAX(0,-BE38))</f>
        <v/>
      </c>
      <c r="BF39" s="359">
        <f>IF(BF$3="","",MAX(0,-BF38))</f>
        <v/>
      </c>
      <c r="BG39" s="359">
        <f>IF(BG$3="","",MAX(0,-BG38))</f>
        <v/>
      </c>
      <c r="BH39" s="359">
        <f>IF(BH$3="","",MAX(0,-BH38))</f>
        <v/>
      </c>
      <c r="BI39" s="359">
        <f>IF(BI$3="","",MAX(0,-BI38))</f>
        <v/>
      </c>
      <c r="BJ39" s="359">
        <f>IF(BJ$3="","",MAX(0,-BJ38))</f>
        <v/>
      </c>
      <c r="BK39" s="359">
        <f>IF(BK$3="","",MAX(0,-BK38))</f>
        <v/>
      </c>
      <c r="BL39" s="359">
        <f>IF(BL$3="","",MAX(0,-BL38))</f>
        <v/>
      </c>
      <c r="BM39" s="359">
        <f>IF(BM$3="","",MAX(0,-BM38))</f>
        <v/>
      </c>
      <c r="BN39" s="359">
        <f>IF(BN$3="","",MAX(0,-BN38))</f>
        <v/>
      </c>
      <c r="BO39" s="359">
        <f>IF(BO$3="","",MAX(0,-BO38))</f>
        <v/>
      </c>
      <c r="BP39" s="359">
        <f>IF(BP$3="","",MAX(0,-BP38))</f>
        <v/>
      </c>
      <c r="BQ39" s="359">
        <f>IF(BQ$3="","",MAX(0,-BQ38))</f>
        <v/>
      </c>
      <c r="BR39" s="359">
        <f>IF(BR$3="","",MAX(0,-BR38))</f>
        <v/>
      </c>
      <c r="BS39" s="359">
        <f>IF(BS$3="","",MAX(0,-BS38))</f>
        <v/>
      </c>
      <c r="BT39" s="359">
        <f>IF(BT$3="","",MAX(0,-BT38))</f>
        <v/>
      </c>
      <c r="BU39" s="359">
        <f>IF(BU$3="","",MAX(0,-BU38))</f>
        <v/>
      </c>
      <c r="BV39" s="359">
        <f>IF(BV$3="","",MAX(0,-BV38))</f>
        <v/>
      </c>
      <c r="BW39" s="359">
        <f>IF(BW$3="","",MAX(0,-BW38))</f>
        <v/>
      </c>
      <c r="BX39" s="359">
        <f>IF(BX$3="","",MAX(0,-BX38))</f>
        <v/>
      </c>
      <c r="BY39" s="359">
        <f>IF(BY$3="","",MAX(0,-BY38))</f>
        <v/>
      </c>
      <c r="BZ39" s="359">
        <f>IF(BZ$3="","",MAX(0,-BZ38))</f>
        <v/>
      </c>
      <c r="CA39" s="359">
        <f>IF(CA$3="","",MAX(0,-CA38))</f>
        <v/>
      </c>
      <c r="CB39" s="359">
        <f>IF(CB$3="","",MAX(0,-CB38))</f>
        <v/>
      </c>
      <c r="CC39" s="359">
        <f>IF(CC$3="","",MAX(0,-CC38))</f>
        <v/>
      </c>
      <c r="CD39" s="359">
        <f>IF(CD$3="","",MAX(0,-CD38))</f>
        <v/>
      </c>
      <c r="CE39" s="359">
        <f>IF(CE$3="","",MAX(0,-CE38))</f>
        <v/>
      </c>
      <c r="CF39" s="359">
        <f>IF(CF$3="","",MAX(0,-CF38))</f>
        <v/>
      </c>
      <c r="CG39" s="359">
        <f>IF(CG$3="","",MAX(0,-CG38))</f>
        <v/>
      </c>
      <c r="CH39" s="359">
        <f>IF(CH$3="","",MAX(0,-CH38))</f>
        <v/>
      </c>
      <c r="CI39" s="359">
        <f>IF(CI$3="","",MAX(0,-CI38))</f>
        <v/>
      </c>
      <c r="CJ39" s="359">
        <f>IF(CJ$3="","",MAX(0,-CJ38))</f>
        <v/>
      </c>
      <c r="CK39" s="359">
        <f>IF(CK$3="","",MAX(0,-CK38))</f>
        <v/>
      </c>
      <c r="CL39" s="359">
        <f>IF(CL$3="","",MAX(0,-CL38))</f>
        <v/>
      </c>
      <c r="CM39" s="359">
        <f>IF(CM$3="","",MAX(0,-CM38))</f>
        <v/>
      </c>
      <c r="CN39" s="359">
        <f>IF(CN$3="","",MAX(0,-CN38))</f>
        <v/>
      </c>
      <c r="CO39" s="359">
        <f>IF(CO$3="","",MAX(0,-CO38))</f>
        <v/>
      </c>
      <c r="CP39" s="359">
        <f>IF(CP$3="","",MAX(0,-CP38))</f>
        <v/>
      </c>
      <c r="CQ39" s="359">
        <f>IF(CQ$3="","",MAX(0,-CQ38))</f>
        <v/>
      </c>
      <c r="CR39" s="359">
        <f>IF(CR$3="","",MAX(0,-CR38))</f>
        <v/>
      </c>
      <c r="CS39" s="359">
        <f>IF(CS$3="","",MAX(0,-CS38))</f>
        <v/>
      </c>
      <c r="CT39" s="359">
        <f>IF(CT$3="","",MAX(0,-CT38))</f>
        <v/>
      </c>
      <c r="CU39" s="359">
        <f>IF(CU$3="","",MAX(0,-CU38))</f>
        <v/>
      </c>
      <c r="CV39" s="359">
        <f>IF(CV$3="","",MAX(0,-CV38))</f>
        <v/>
      </c>
      <c r="CW39" s="359">
        <f>IF(CW$3="","",MAX(0,-CW38))</f>
        <v/>
      </c>
    </row>
    <row r="40" hidden="1" ht="16.5" customHeight="1" s="180">
      <c r="A40" s="239" t="inlineStr">
        <is>
          <t>返戻金取り崩し額(補助)</t>
        </is>
      </c>
      <c r="B40" s="359">
        <f>IF(B$3="","",MAX(0,B39-((SUM(入力データ!$C$90:$C$92,入力データ!$C$94)*(1+前提条件!$C$60))+B36)))</f>
        <v/>
      </c>
      <c r="C40" s="359">
        <f>IF(C$3="","",MAX(0,C39-((B32*(1+前提条件!$C$60))+C36)))</f>
        <v/>
      </c>
      <c r="D40" s="359">
        <f>IF(D$3="","",MAX(0,D39-((C32*(1+前提条件!$C$60))+D36)))</f>
        <v/>
      </c>
      <c r="E40" s="359">
        <f>IF(E$3="","",MAX(0,E39-((D32*(1+前提条件!$C$60))+E36)))</f>
        <v/>
      </c>
      <c r="F40" s="359">
        <f>IF(F$3="","",MAX(0,F39-((E32*(1+前提条件!$C$60))+F36)))</f>
        <v/>
      </c>
      <c r="G40" s="359">
        <f>IF(G$3="","",MAX(0,G39-((F32*(1+前提条件!$C$60))+G36)))</f>
        <v/>
      </c>
      <c r="H40" s="359">
        <f>IF(H$3="","",MAX(0,H39-((G32*(1+前提条件!$C$60))+H36)))</f>
        <v/>
      </c>
      <c r="I40" s="359">
        <f>IF(I$3="","",MAX(0,I39-((H32*(1+前提条件!$C$60))+I36)))</f>
        <v/>
      </c>
      <c r="J40" s="359">
        <f>IF(J$3="","",MAX(0,J39-((I32*(1+前提条件!$C$60))+J36)))</f>
        <v/>
      </c>
      <c r="K40" s="359">
        <f>IF(K$3="","",MAX(0,K39-((J32*(1+前提条件!$C$60))+K36)))</f>
        <v/>
      </c>
      <c r="L40" s="359">
        <f>IF(L$3="","",MAX(0,L39-((K32*(1+前提条件!$C$60))+L36)))</f>
        <v/>
      </c>
      <c r="M40" s="359">
        <f>IF(M$3="","",MAX(0,M39-((L32*(1+前提条件!$C$60))+M36)))</f>
        <v/>
      </c>
      <c r="N40" s="359">
        <f>IF(N$3="","",MAX(0,N39-((M32*(1+前提条件!$C$60))+N36)))</f>
        <v/>
      </c>
      <c r="O40" s="359">
        <f>IF(O$3="","",MAX(0,O39-((N32*(1+前提条件!$C$60))+O36)))</f>
        <v/>
      </c>
      <c r="P40" s="359">
        <f>IF(P$3="","",MAX(0,P39-((O32*(1+前提条件!$C$60))+P36)))</f>
        <v/>
      </c>
      <c r="Q40" s="359">
        <f>IF(Q$3="","",MAX(0,Q39-((P32*(1+前提条件!$C$60))+Q36)))</f>
        <v/>
      </c>
      <c r="R40" s="359">
        <f>IF(R$3="","",MAX(0,R39-((Q32*(1+前提条件!$C$60))+R36)))</f>
        <v/>
      </c>
      <c r="S40" s="359">
        <f>IF(S$3="","",MAX(0,S39-((R32*(1+前提条件!$C$60))+S36)))</f>
        <v/>
      </c>
      <c r="T40" s="359">
        <f>IF(T$3="","",MAX(0,T39-((S32*(1+前提条件!$C$60))+T36)))</f>
        <v/>
      </c>
      <c r="U40" s="359">
        <f>IF(U$3="","",MAX(0,U39-((T32*(1+前提条件!$C$60))+U36)))</f>
        <v/>
      </c>
      <c r="V40" s="359">
        <f>IF(V$3="","",MAX(0,V39-((U32*(1+前提条件!$C$60))+V36)))</f>
        <v/>
      </c>
      <c r="W40" s="359">
        <f>IF(W$3="","",MAX(0,W39-((V32*(1+前提条件!$C$60))+W36)))</f>
        <v/>
      </c>
      <c r="X40" s="359">
        <f>IF(X$3="","",MAX(0,X39-((W32*(1+前提条件!$C$60))+X36)))</f>
        <v/>
      </c>
      <c r="Y40" s="359">
        <f>IF(Y$3="","",MAX(0,Y39-((X32*(1+前提条件!$C$60))+Y36)))</f>
        <v/>
      </c>
      <c r="Z40" s="359">
        <f>IF(Z$3="","",MAX(0,Z39-((Y32*(1+前提条件!$C$60))+Z36)))</f>
        <v/>
      </c>
      <c r="AA40" s="359">
        <f>IF(AA$3="","",MAX(0,AA39-((Z32*(1+前提条件!$C$60))+AA36)))</f>
        <v/>
      </c>
      <c r="AB40" s="359">
        <f>IF(AB$3="","",MAX(0,AB39-((AA32*(1+前提条件!$C$60))+AB36)))</f>
        <v/>
      </c>
      <c r="AC40" s="359">
        <f>IF(AC$3="","",MAX(0,AC39-((AB32*(1+前提条件!$C$60))+AC36)))</f>
        <v/>
      </c>
      <c r="AD40" s="359">
        <f>IF(AD$3="","",MAX(0,AD39-((AC32*(1+前提条件!$C$60))+AD36)))</f>
        <v/>
      </c>
      <c r="AE40" s="359">
        <f>IF(AE$3="","",MAX(0,AE39-((AD32*(1+前提条件!$C$60))+AE36)))</f>
        <v/>
      </c>
      <c r="AF40" s="359">
        <f>IF(AF$3="","",MAX(0,AF39-((AE32*(1+前提条件!$C$60))+AF36)))</f>
        <v/>
      </c>
      <c r="AG40" s="359">
        <f>IF(AG$3="","",MAX(0,AG39-((AF32*(1+前提条件!$C$60))+AG36)))</f>
        <v/>
      </c>
      <c r="AH40" s="359">
        <f>IF(AH$3="","",MAX(0,AH39-((AG32*(1+前提条件!$C$60))+AH36)))</f>
        <v/>
      </c>
      <c r="AI40" s="359">
        <f>IF(AI$3="","",MAX(0,AI39-((AH32*(1+前提条件!$C$60))+AI36)))</f>
        <v/>
      </c>
      <c r="AJ40" s="359">
        <f>IF(AJ$3="","",MAX(0,AJ39-((AI32*(1+前提条件!$C$60))+AJ36)))</f>
        <v/>
      </c>
      <c r="AK40" s="359">
        <f>IF(AK$3="","",MAX(0,AK39-((AJ32*(1+前提条件!$C$60))+AK36)))</f>
        <v/>
      </c>
      <c r="AL40" s="359">
        <f>IF(AL$3="","",MAX(0,AL39-((AK32*(1+前提条件!$C$60))+AL36)))</f>
        <v/>
      </c>
      <c r="AM40" s="359">
        <f>IF(AM$3="","",MAX(0,AM39-((AL32*(1+前提条件!$C$60))+AM36)))</f>
        <v/>
      </c>
      <c r="AN40" s="359">
        <f>IF(AN$3="","",MAX(0,AN39-((AM32*(1+前提条件!$C$60))+AN36)))</f>
        <v/>
      </c>
      <c r="AO40" s="359">
        <f>IF(AO$3="","",MAX(0,AO39-((AN32*(1+前提条件!$C$60))+AO36)))</f>
        <v/>
      </c>
      <c r="AP40" s="359">
        <f>IF(AP$3="","",MAX(0,AP39-((AO32*(1+前提条件!$C$60))+AP36)))</f>
        <v/>
      </c>
      <c r="AQ40" s="359">
        <f>IF(AQ$3="","",MAX(0,AQ39-((AP32*(1+前提条件!$C$60))+AQ36)))</f>
        <v/>
      </c>
      <c r="AR40" s="359">
        <f>IF(AR$3="","",MAX(0,AR39-((AQ32*(1+前提条件!$C$60))+AR36)))</f>
        <v/>
      </c>
      <c r="AS40" s="359">
        <f>IF(AS$3="","",MAX(0,AS39-((AR32*(1+前提条件!$C$60))+AS36)))</f>
        <v/>
      </c>
      <c r="AT40" s="359">
        <f>IF(AT$3="","",MAX(0,AT39-((AS32*(1+前提条件!$C$60))+AT36)))</f>
        <v/>
      </c>
      <c r="AU40" s="359">
        <f>IF(AU$3="","",MAX(0,AU39-((AT32*(1+前提条件!$C$60))+AU36)))</f>
        <v/>
      </c>
      <c r="AV40" s="359">
        <f>IF(AV$3="","",MAX(0,AV39-((AU32*(1+前提条件!$C$60))+AV36)))</f>
        <v/>
      </c>
      <c r="AW40" s="359">
        <f>IF(AW$3="","",MAX(0,AW39-((AV32*(1+前提条件!$C$60))+AW36)))</f>
        <v/>
      </c>
      <c r="AX40" s="359">
        <f>IF(AX$3="","",MAX(0,AX39-((AW32*(1+前提条件!$C$60))+AX36)))</f>
        <v/>
      </c>
      <c r="AY40" s="359">
        <f>IF(AY$3="","",MAX(0,AY39-((AX32*(1+前提条件!$C$60))+AY36)))</f>
        <v/>
      </c>
      <c r="AZ40" s="359">
        <f>IF(AZ$3="","",MAX(0,AZ39-((AY32*(1+前提条件!$C$60))+AZ36)))</f>
        <v/>
      </c>
      <c r="BA40" s="359">
        <f>IF(BA$3="","",MAX(0,BA39-((AZ32*(1+前提条件!$C$60))+BA36)))</f>
        <v/>
      </c>
      <c r="BB40" s="359">
        <f>IF(BB$3="","",MAX(0,BB39-((BA32*(1+前提条件!$C$60))+BB36)))</f>
        <v/>
      </c>
      <c r="BC40" s="359">
        <f>IF(BC$3="","",MAX(0,BC39-((BB32*(1+前提条件!$C$60))+BC36)))</f>
        <v/>
      </c>
      <c r="BD40" s="359">
        <f>IF(BD$3="","",MAX(0,BD39-((BC32*(1+前提条件!$C$60))+BD36)))</f>
        <v/>
      </c>
      <c r="BE40" s="359">
        <f>IF(BE$3="","",MAX(0,BE39-((BD32*(1+前提条件!$C$60))+BE36)))</f>
        <v/>
      </c>
      <c r="BF40" s="359">
        <f>IF(BF$3="","",MAX(0,BF39-((BE32*(1+前提条件!$C$60))+BF36)))</f>
        <v/>
      </c>
      <c r="BG40" s="359">
        <f>IF(BG$3="","",MAX(0,BG39-((BF32*(1+前提条件!$C$60))+BG36)))</f>
        <v/>
      </c>
      <c r="BH40" s="359">
        <f>IF(BH$3="","",MAX(0,BH39-((BG32*(1+前提条件!$C$60))+BH36)))</f>
        <v/>
      </c>
      <c r="BI40" s="359">
        <f>IF(BI$3="","",MAX(0,BI39-((BH32*(1+前提条件!$C$60))+BI36)))</f>
        <v/>
      </c>
      <c r="BJ40" s="359">
        <f>IF(BJ$3="","",MAX(0,BJ39-((BI32*(1+前提条件!$C$60))+BJ36)))</f>
        <v/>
      </c>
      <c r="BK40" s="359">
        <f>IF(BK$3="","",MAX(0,BK39-((BJ32*(1+前提条件!$C$60))+BK36)))</f>
        <v/>
      </c>
      <c r="BL40" s="359">
        <f>IF(BL$3="","",MAX(0,BL39-((BK32*(1+前提条件!$C$60))+BL36)))</f>
        <v/>
      </c>
      <c r="BM40" s="359">
        <f>IF(BM$3="","",MAX(0,BM39-((BL32*(1+前提条件!$C$60))+BM36)))</f>
        <v/>
      </c>
      <c r="BN40" s="359">
        <f>IF(BN$3="","",MAX(0,BN39-((BM32*(1+前提条件!$C$60))+BN36)))</f>
        <v/>
      </c>
      <c r="BO40" s="359">
        <f>IF(BO$3="","",MAX(0,BO39-((BN32*(1+前提条件!$C$60))+BO36)))</f>
        <v/>
      </c>
      <c r="BP40" s="359">
        <f>IF(BP$3="","",MAX(0,BP39-((BO32*(1+前提条件!$C$60))+BP36)))</f>
        <v/>
      </c>
      <c r="BQ40" s="359">
        <f>IF(BQ$3="","",MAX(0,BQ39-((BP32*(1+前提条件!$C$60))+BQ36)))</f>
        <v/>
      </c>
      <c r="BR40" s="359">
        <f>IF(BR$3="","",MAX(0,BR39-((BQ32*(1+前提条件!$C$60))+BR36)))</f>
        <v/>
      </c>
      <c r="BS40" s="359">
        <f>IF(BS$3="","",MAX(0,BS39-((BR32*(1+前提条件!$C$60))+BS36)))</f>
        <v/>
      </c>
      <c r="BT40" s="359">
        <f>IF(BT$3="","",MAX(0,BT39-((BS32*(1+前提条件!$C$60))+BT36)))</f>
        <v/>
      </c>
      <c r="BU40" s="359">
        <f>IF(BU$3="","",MAX(0,BU39-((BT32*(1+前提条件!$C$60))+BU36)))</f>
        <v/>
      </c>
      <c r="BV40" s="359">
        <f>IF(BV$3="","",MAX(0,BV39-((BU32*(1+前提条件!$C$60))+BV36)))</f>
        <v/>
      </c>
      <c r="BW40" s="359">
        <f>IF(BW$3="","",MAX(0,BW39-((BV32*(1+前提条件!$C$60))+BW36)))</f>
        <v/>
      </c>
      <c r="BX40" s="359">
        <f>IF(BX$3="","",MAX(0,BX39-((BW32*(1+前提条件!$C$60))+BX36)))</f>
        <v/>
      </c>
      <c r="BY40" s="359">
        <f>IF(BY$3="","",MAX(0,BY39-((BX32*(1+前提条件!$C$60))+BY36)))</f>
        <v/>
      </c>
      <c r="BZ40" s="359">
        <f>IF(BZ$3="","",MAX(0,BZ39-((BY32*(1+前提条件!$C$60))+BZ36)))</f>
        <v/>
      </c>
      <c r="CA40" s="359">
        <f>IF(CA$3="","",MAX(0,CA39-((BZ32*(1+前提条件!$C$60))+CA36)))</f>
        <v/>
      </c>
      <c r="CB40" s="359">
        <f>IF(CB$3="","",MAX(0,CB39-((CA32*(1+前提条件!$C$60))+CB36)))</f>
        <v/>
      </c>
      <c r="CC40" s="359">
        <f>IF(CC$3="","",MAX(0,CC39-((CB32*(1+前提条件!$C$60))+CC36)))</f>
        <v/>
      </c>
      <c r="CD40" s="359">
        <f>IF(CD$3="","",MAX(0,CD39-((CC32*(1+前提条件!$C$60))+CD36)))</f>
        <v/>
      </c>
      <c r="CE40" s="359">
        <f>IF(CE$3="","",MAX(0,CE39-((CD32*(1+前提条件!$C$60))+CE36)))</f>
        <v/>
      </c>
      <c r="CF40" s="359">
        <f>IF(CF$3="","",MAX(0,CF39-((CE32*(1+前提条件!$C$60))+CF36)))</f>
        <v/>
      </c>
      <c r="CG40" s="359">
        <f>IF(CG$3="","",MAX(0,CG39-((CF32*(1+前提条件!$C$60))+CG36)))</f>
        <v/>
      </c>
      <c r="CH40" s="359">
        <f>IF(CH$3="","",MAX(0,CH39-((CG32*(1+前提条件!$C$60))+CH36)))</f>
        <v/>
      </c>
      <c r="CI40" s="359">
        <f>IF(CI$3="","",MAX(0,CI39-((CH32*(1+前提条件!$C$60))+CI36)))</f>
        <v/>
      </c>
      <c r="CJ40" s="359">
        <f>IF(CJ$3="","",MAX(0,CJ39-((CI32*(1+前提条件!$C$60))+CJ36)))</f>
        <v/>
      </c>
      <c r="CK40" s="359">
        <f>IF(CK$3="","",MAX(0,CK39-((CJ32*(1+前提条件!$C$60))+CK36)))</f>
        <v/>
      </c>
      <c r="CL40" s="359">
        <f>IF(CL$3="","",MAX(0,CL39-((CK32*(1+前提条件!$C$60))+CL36)))</f>
        <v/>
      </c>
      <c r="CM40" s="359">
        <f>IF(CM$3="","",MAX(0,CM39-((CL32*(1+前提条件!$C$60))+CM36)))</f>
        <v/>
      </c>
      <c r="CN40" s="359">
        <f>IF(CN$3="","",MAX(0,CN39-((CM32*(1+前提条件!$C$60))+CN36)))</f>
        <v/>
      </c>
      <c r="CO40" s="359">
        <f>IF(CO$3="","",MAX(0,CO39-((CN32*(1+前提条件!$C$60))+CO36)))</f>
        <v/>
      </c>
      <c r="CP40" s="359">
        <f>IF(CP$3="","",MAX(0,CP39-((CO32*(1+前提条件!$C$60))+CP36)))</f>
        <v/>
      </c>
      <c r="CQ40" s="359">
        <f>IF(CQ$3="","",MAX(0,CQ39-((CP32*(1+前提条件!$C$60))+CQ36)))</f>
        <v/>
      </c>
      <c r="CR40" s="359">
        <f>IF(CR$3="","",MAX(0,CR39-((CQ32*(1+前提条件!$C$60))+CR36)))</f>
        <v/>
      </c>
      <c r="CS40" s="359">
        <f>IF(CS$3="","",MAX(0,CS39-((CR32*(1+前提条件!$C$60))+CS36)))</f>
        <v/>
      </c>
      <c r="CT40" s="359">
        <f>IF(CT$3="","",MAX(0,CT39-((CS32*(1+前提条件!$C$60))+CT36)))</f>
        <v/>
      </c>
      <c r="CU40" s="359">
        <f>IF(CU$3="","",MAX(0,CU39-((CT32*(1+前提条件!$C$60))+CU36)))</f>
        <v/>
      </c>
      <c r="CV40" s="359">
        <f>IF(CV$3="","",MAX(0,CV39-((CU32*(1+前提条件!$C$60))+CV36)))</f>
        <v/>
      </c>
      <c r="CW40" s="359">
        <f>IF(CW$3="","",MAX(0,CW39-((CV32*(1+前提条件!$C$60))+CW36)))</f>
        <v/>
      </c>
    </row>
    <row r="41" hidden="1" ht="16.5" customHeight="1" s="180">
      <c r="A41" s="239" t="inlineStr">
        <is>
          <t>年間住宅ローン元本返済(補助)</t>
        </is>
      </c>
      <c r="B41" s="359">
        <f>IF(B$3="","",IF(OR(入力データ!$C$57="あり",NOT(AND(B5&lt;&gt;"",B5&lt;=前提条件!$C$44,入力データ!$C$95&gt;0))),0,入力データ!$C$95/MAX(1,前提条件!$C$44-B5+1)))</f>
        <v/>
      </c>
      <c r="C41" s="359">
        <f>IF(C$3="","",IF(OR(入力データ!$C$57="あり",C5&gt;前提条件!$C$44),0,$B$41))</f>
        <v/>
      </c>
      <c r="D41" s="359">
        <f>IF(D$3="","",IF(OR(入力データ!$C$57="あり",D5&gt;前提条件!$C$44),0,$B$41))</f>
        <v/>
      </c>
      <c r="E41" s="359">
        <f>IF(E$3="","",IF(OR(入力データ!$C$57="あり",E5&gt;前提条件!$C$44),0,$B$41))</f>
        <v/>
      </c>
      <c r="F41" s="359">
        <f>IF(F$3="","",IF(OR(入力データ!$C$57="あり",F5&gt;前提条件!$C$44),0,$B$41))</f>
        <v/>
      </c>
      <c r="G41" s="359">
        <f>IF(G$3="","",IF(OR(入力データ!$C$57="あり",G5&gt;前提条件!$C$44),0,$B$41))</f>
        <v/>
      </c>
      <c r="H41" s="359">
        <f>IF(H$3="","",IF(OR(入力データ!$C$57="あり",H5&gt;前提条件!$C$44),0,$B$41))</f>
        <v/>
      </c>
      <c r="I41" s="359">
        <f>IF(I$3="","",IF(OR(入力データ!$C$57="あり",I5&gt;前提条件!$C$44),0,$B$41))</f>
        <v/>
      </c>
      <c r="J41" s="359">
        <f>IF(J$3="","",IF(OR(入力データ!$C$57="あり",J5&gt;前提条件!$C$44),0,$B$41))</f>
        <v/>
      </c>
      <c r="K41" s="359">
        <f>IF(K$3="","",IF(OR(入力データ!$C$57="あり",K5&gt;前提条件!$C$44),0,$B$41))</f>
        <v/>
      </c>
      <c r="L41" s="359">
        <f>IF(L$3="","",IF(OR(入力データ!$C$57="あり",L5&gt;前提条件!$C$44),0,$B$41))</f>
        <v/>
      </c>
      <c r="M41" s="359">
        <f>IF(M$3="","",IF(OR(入力データ!$C$57="あり",M5&gt;前提条件!$C$44),0,$B$41))</f>
        <v/>
      </c>
      <c r="N41" s="359">
        <f>IF(N$3="","",IF(OR(入力データ!$C$57="あり",N5&gt;前提条件!$C$44),0,$B$41))</f>
        <v/>
      </c>
      <c r="O41" s="359">
        <f>IF(O$3="","",IF(OR(入力データ!$C$57="あり",O5&gt;前提条件!$C$44),0,$B$41))</f>
        <v/>
      </c>
      <c r="P41" s="359">
        <f>IF(P$3="","",IF(OR(入力データ!$C$57="あり",P5&gt;前提条件!$C$44),0,$B$41))</f>
        <v/>
      </c>
      <c r="Q41" s="359">
        <f>IF(Q$3="","",IF(OR(入力データ!$C$57="あり",Q5&gt;前提条件!$C$44),0,$B$41))</f>
        <v/>
      </c>
      <c r="R41" s="359">
        <f>IF(R$3="","",IF(OR(入力データ!$C$57="あり",R5&gt;前提条件!$C$44),0,$B$41))</f>
        <v/>
      </c>
      <c r="S41" s="359">
        <f>IF(S$3="","",IF(OR(入力データ!$C$57="あり",S5&gt;前提条件!$C$44),0,$B$41))</f>
        <v/>
      </c>
      <c r="T41" s="359">
        <f>IF(T$3="","",IF(OR(入力データ!$C$57="あり",T5&gt;前提条件!$C$44),0,$B$41))</f>
        <v/>
      </c>
      <c r="U41" s="359">
        <f>IF(U$3="","",IF(OR(入力データ!$C$57="あり",U5&gt;前提条件!$C$44),0,$B$41))</f>
        <v/>
      </c>
      <c r="V41" s="359">
        <f>IF(V$3="","",IF(OR(入力データ!$C$57="あり",V5&gt;前提条件!$C$44),0,$B$41))</f>
        <v/>
      </c>
      <c r="W41" s="359">
        <f>IF(W$3="","",IF(OR(入力データ!$C$57="あり",W5&gt;前提条件!$C$44),0,$B$41))</f>
        <v/>
      </c>
      <c r="X41" s="359">
        <f>IF(X$3="","",IF(OR(入力データ!$C$57="あり",X5&gt;前提条件!$C$44),0,$B$41))</f>
        <v/>
      </c>
      <c r="Y41" s="359">
        <f>IF(Y$3="","",IF(OR(入力データ!$C$57="あり",Y5&gt;前提条件!$C$44),0,$B$41))</f>
        <v/>
      </c>
      <c r="Z41" s="359">
        <f>IF(Z$3="","",IF(OR(入力データ!$C$57="あり",Z5&gt;前提条件!$C$44),0,$B$41))</f>
        <v/>
      </c>
      <c r="AA41" s="359">
        <f>IF(AA$3="","",IF(OR(入力データ!$C$57="あり",AA5&gt;前提条件!$C$44),0,$B$41))</f>
        <v/>
      </c>
      <c r="AB41" s="359">
        <f>IF(AB$3="","",IF(OR(入力データ!$C$57="あり",AB5&gt;前提条件!$C$44),0,$B$41))</f>
        <v/>
      </c>
      <c r="AC41" s="359">
        <f>IF(AC$3="","",IF(OR(入力データ!$C$57="あり",AC5&gt;前提条件!$C$44),0,$B$41))</f>
        <v/>
      </c>
      <c r="AD41" s="359">
        <f>IF(AD$3="","",IF(OR(入力データ!$C$57="あり",AD5&gt;前提条件!$C$44),0,$B$41))</f>
        <v/>
      </c>
      <c r="AE41" s="359">
        <f>IF(AE$3="","",IF(OR(入力データ!$C$57="あり",AE5&gt;前提条件!$C$44),0,$B$41))</f>
        <v/>
      </c>
      <c r="AF41" s="359">
        <f>IF(AF$3="","",IF(OR(入力データ!$C$57="あり",AF5&gt;前提条件!$C$44),0,$B$41))</f>
        <v/>
      </c>
      <c r="AG41" s="359">
        <f>IF(AG$3="","",IF(OR(入力データ!$C$57="あり",AG5&gt;前提条件!$C$44),0,$B$41))</f>
        <v/>
      </c>
      <c r="AH41" s="359">
        <f>IF(AH$3="","",IF(OR(入力データ!$C$57="あり",AH5&gt;前提条件!$C$44),0,$B$41))</f>
        <v/>
      </c>
      <c r="AI41" s="359">
        <f>IF(AI$3="","",IF(OR(入力データ!$C$57="あり",AI5&gt;前提条件!$C$44),0,$B$41))</f>
        <v/>
      </c>
      <c r="AJ41" s="359">
        <f>IF(AJ$3="","",IF(OR(入力データ!$C$57="あり",AJ5&gt;前提条件!$C$44),0,$B$41))</f>
        <v/>
      </c>
      <c r="AK41" s="359">
        <f>IF(AK$3="","",IF(OR(入力データ!$C$57="あり",AK5&gt;前提条件!$C$44),0,$B$41))</f>
        <v/>
      </c>
      <c r="AL41" s="359">
        <f>IF(AL$3="","",IF(OR(入力データ!$C$57="あり",AL5&gt;前提条件!$C$44),0,$B$41))</f>
        <v/>
      </c>
      <c r="AM41" s="359">
        <f>IF(AM$3="","",IF(OR(入力データ!$C$57="あり",AM5&gt;前提条件!$C$44),0,$B$41))</f>
        <v/>
      </c>
      <c r="AN41" s="359">
        <f>IF(AN$3="","",IF(OR(入力データ!$C$57="あり",AN5&gt;前提条件!$C$44),0,$B$41))</f>
        <v/>
      </c>
      <c r="AO41" s="359">
        <f>IF(AO$3="","",IF(OR(入力データ!$C$57="あり",AO5&gt;前提条件!$C$44),0,$B$41))</f>
        <v/>
      </c>
      <c r="AP41" s="359">
        <f>IF(AP$3="","",IF(OR(入力データ!$C$57="あり",AP5&gt;前提条件!$C$44),0,$B$41))</f>
        <v/>
      </c>
      <c r="AQ41" s="359">
        <f>IF(AQ$3="","",IF(OR(入力データ!$C$57="あり",AQ5&gt;前提条件!$C$44),0,$B$41))</f>
        <v/>
      </c>
      <c r="AR41" s="359">
        <f>IF(AR$3="","",IF(OR(入力データ!$C$57="あり",AR5&gt;前提条件!$C$44),0,$B$41))</f>
        <v/>
      </c>
      <c r="AS41" s="359">
        <f>IF(AS$3="","",IF(OR(入力データ!$C$57="あり",AS5&gt;前提条件!$C$44),0,$B$41))</f>
        <v/>
      </c>
      <c r="AT41" s="359">
        <f>IF(AT$3="","",IF(OR(入力データ!$C$57="あり",AT5&gt;前提条件!$C$44),0,$B$41))</f>
        <v/>
      </c>
      <c r="AU41" s="359">
        <f>IF(AU$3="","",IF(OR(入力データ!$C$57="あり",AU5&gt;前提条件!$C$44),0,$B$41))</f>
        <v/>
      </c>
      <c r="AV41" s="359">
        <f>IF(AV$3="","",IF(OR(入力データ!$C$57="あり",AV5&gt;前提条件!$C$44),0,$B$41))</f>
        <v/>
      </c>
      <c r="AW41" s="359">
        <f>IF(AW$3="","",IF(OR(入力データ!$C$57="あり",AW5&gt;前提条件!$C$44),0,$B$41))</f>
        <v/>
      </c>
      <c r="AX41" s="359">
        <f>IF(AX$3="","",IF(OR(入力データ!$C$57="あり",AX5&gt;前提条件!$C$44),0,$B$41))</f>
        <v/>
      </c>
      <c r="AY41" s="359">
        <f>IF(AY$3="","",IF(OR(入力データ!$C$57="あり",AY5&gt;前提条件!$C$44),0,$B$41))</f>
        <v/>
      </c>
      <c r="AZ41" s="359">
        <f>IF(AZ$3="","",IF(OR(入力データ!$C$57="あり",AZ5&gt;前提条件!$C$44),0,$B$41))</f>
        <v/>
      </c>
      <c r="BA41" s="359">
        <f>IF(BA$3="","",IF(OR(入力データ!$C$57="あり",BA5&gt;前提条件!$C$44),0,$B$41))</f>
        <v/>
      </c>
      <c r="BB41" s="359">
        <f>IF(BB$3="","",IF(OR(入力データ!$C$57="あり",BB5&gt;前提条件!$C$44),0,$B$41))</f>
        <v/>
      </c>
      <c r="BC41" s="359">
        <f>IF(BC$3="","",IF(OR(入力データ!$C$57="あり",BC5&gt;前提条件!$C$44),0,$B$41))</f>
        <v/>
      </c>
      <c r="BD41" s="359">
        <f>IF(BD$3="","",IF(OR(入力データ!$C$57="あり",BD5&gt;前提条件!$C$44),0,$B$41))</f>
        <v/>
      </c>
      <c r="BE41" s="359">
        <f>IF(BE$3="","",IF(OR(入力データ!$C$57="あり",BE5&gt;前提条件!$C$44),0,$B$41))</f>
        <v/>
      </c>
      <c r="BF41" s="359">
        <f>IF(BF$3="","",IF(OR(入力データ!$C$57="あり",BF5&gt;前提条件!$C$44),0,$B$41))</f>
        <v/>
      </c>
      <c r="BG41" s="359">
        <f>IF(BG$3="","",IF(OR(入力データ!$C$57="あり",BG5&gt;前提条件!$C$44),0,$B$41))</f>
        <v/>
      </c>
      <c r="BH41" s="359">
        <f>IF(BH$3="","",IF(OR(入力データ!$C$57="あり",BH5&gt;前提条件!$C$44),0,$B$41))</f>
        <v/>
      </c>
      <c r="BI41" s="359">
        <f>IF(BI$3="","",IF(OR(入力データ!$C$57="あり",BI5&gt;前提条件!$C$44),0,$B$41))</f>
        <v/>
      </c>
      <c r="BJ41" s="359">
        <f>IF(BJ$3="","",IF(OR(入力データ!$C$57="あり",BJ5&gt;前提条件!$C$44),0,$B$41))</f>
        <v/>
      </c>
      <c r="BK41" s="359">
        <f>IF(BK$3="","",IF(OR(入力データ!$C$57="あり",BK5&gt;前提条件!$C$44),0,$B$41))</f>
        <v/>
      </c>
      <c r="BL41" s="359">
        <f>IF(BL$3="","",IF(OR(入力データ!$C$57="あり",BL5&gt;前提条件!$C$44),0,$B$41))</f>
        <v/>
      </c>
      <c r="BM41" s="359">
        <f>IF(BM$3="","",IF(OR(入力データ!$C$57="あり",BM5&gt;前提条件!$C$44),0,$B$41))</f>
        <v/>
      </c>
      <c r="BN41" s="359">
        <f>IF(BN$3="","",IF(OR(入力データ!$C$57="あり",BN5&gt;前提条件!$C$44),0,$B$41))</f>
        <v/>
      </c>
      <c r="BO41" s="359">
        <f>IF(BO$3="","",IF(OR(入力データ!$C$57="あり",BO5&gt;前提条件!$C$44),0,$B$41))</f>
        <v/>
      </c>
      <c r="BP41" s="359">
        <f>IF(BP$3="","",IF(OR(入力データ!$C$57="あり",BP5&gt;前提条件!$C$44),0,$B$41))</f>
        <v/>
      </c>
      <c r="BQ41" s="359">
        <f>IF(BQ$3="","",IF(OR(入力データ!$C$57="あり",BQ5&gt;前提条件!$C$44),0,$B$41))</f>
        <v/>
      </c>
      <c r="BR41" s="359">
        <f>IF(BR$3="","",IF(OR(入力データ!$C$57="あり",BR5&gt;前提条件!$C$44),0,$B$41))</f>
        <v/>
      </c>
      <c r="BS41" s="359">
        <f>IF(BS$3="","",IF(OR(入力データ!$C$57="あり",BS5&gt;前提条件!$C$44),0,$B$41))</f>
        <v/>
      </c>
      <c r="BT41" s="359">
        <f>IF(BT$3="","",IF(OR(入力データ!$C$57="あり",BT5&gt;前提条件!$C$44),0,$B$41))</f>
        <v/>
      </c>
      <c r="BU41" s="359">
        <f>IF(BU$3="","",IF(OR(入力データ!$C$57="あり",BU5&gt;前提条件!$C$44),0,$B$41))</f>
        <v/>
      </c>
      <c r="BV41" s="359">
        <f>IF(BV$3="","",IF(OR(入力データ!$C$57="あり",BV5&gt;前提条件!$C$44),0,$B$41))</f>
        <v/>
      </c>
      <c r="BW41" s="359">
        <f>IF(BW$3="","",IF(OR(入力データ!$C$57="あり",BW5&gt;前提条件!$C$44),0,$B$41))</f>
        <v/>
      </c>
      <c r="BX41" s="359">
        <f>IF(BX$3="","",IF(OR(入力データ!$C$57="あり",BX5&gt;前提条件!$C$44),0,$B$41))</f>
        <v/>
      </c>
      <c r="BY41" s="359">
        <f>IF(BY$3="","",IF(OR(入力データ!$C$57="あり",BY5&gt;前提条件!$C$44),0,$B$41))</f>
        <v/>
      </c>
      <c r="BZ41" s="359">
        <f>IF(BZ$3="","",IF(OR(入力データ!$C$57="あり",BZ5&gt;前提条件!$C$44),0,$B$41))</f>
        <v/>
      </c>
      <c r="CA41" s="359">
        <f>IF(CA$3="","",IF(OR(入力データ!$C$57="あり",CA5&gt;前提条件!$C$44),0,$B$41))</f>
        <v/>
      </c>
      <c r="CB41" s="359">
        <f>IF(CB$3="","",IF(OR(入力データ!$C$57="あり",CB5&gt;前提条件!$C$44),0,$B$41))</f>
        <v/>
      </c>
      <c r="CC41" s="359">
        <f>IF(CC$3="","",IF(OR(入力データ!$C$57="あり",CC5&gt;前提条件!$C$44),0,$B$41))</f>
        <v/>
      </c>
      <c r="CD41" s="359">
        <f>IF(CD$3="","",IF(OR(入力データ!$C$57="あり",CD5&gt;前提条件!$C$44),0,$B$41))</f>
        <v/>
      </c>
      <c r="CE41" s="359">
        <f>IF(CE$3="","",IF(OR(入力データ!$C$57="あり",CE5&gt;前提条件!$C$44),0,$B$41))</f>
        <v/>
      </c>
      <c r="CF41" s="359">
        <f>IF(CF$3="","",IF(OR(入力データ!$C$57="あり",CF5&gt;前提条件!$C$44),0,$B$41))</f>
        <v/>
      </c>
      <c r="CG41" s="359">
        <f>IF(CG$3="","",IF(OR(入力データ!$C$57="あり",CG5&gt;前提条件!$C$44),0,$B$41))</f>
        <v/>
      </c>
      <c r="CH41" s="359">
        <f>IF(CH$3="","",IF(OR(入力データ!$C$57="あり",CH5&gt;前提条件!$C$44),0,$B$41))</f>
        <v/>
      </c>
      <c r="CI41" s="359">
        <f>IF(CI$3="","",IF(OR(入力データ!$C$57="あり",CI5&gt;前提条件!$C$44),0,$B$41))</f>
        <v/>
      </c>
      <c r="CJ41" s="359">
        <f>IF(CJ$3="","",IF(OR(入力データ!$C$57="あり",CJ5&gt;前提条件!$C$44),0,$B$41))</f>
        <v/>
      </c>
      <c r="CK41" s="359">
        <f>IF(CK$3="","",IF(OR(入力データ!$C$57="あり",CK5&gt;前提条件!$C$44),0,$B$41))</f>
        <v/>
      </c>
      <c r="CL41" s="359">
        <f>IF(CL$3="","",IF(OR(入力データ!$C$57="あり",CL5&gt;前提条件!$C$44),0,$B$41))</f>
        <v/>
      </c>
      <c r="CM41" s="359">
        <f>IF(CM$3="","",IF(OR(入力データ!$C$57="あり",CM5&gt;前提条件!$C$44),0,$B$41))</f>
        <v/>
      </c>
      <c r="CN41" s="359">
        <f>IF(CN$3="","",IF(OR(入力データ!$C$57="あり",CN5&gt;前提条件!$C$44),0,$B$41))</f>
        <v/>
      </c>
      <c r="CO41" s="359">
        <f>IF(CO$3="","",IF(OR(入力データ!$C$57="あり",CO5&gt;前提条件!$C$44),0,$B$41))</f>
        <v/>
      </c>
      <c r="CP41" s="359">
        <f>IF(CP$3="","",IF(OR(入力データ!$C$57="あり",CP5&gt;前提条件!$C$44),0,$B$41))</f>
        <v/>
      </c>
      <c r="CQ41" s="359">
        <f>IF(CQ$3="","",IF(OR(入力データ!$C$57="あり",CQ5&gt;前提条件!$C$44),0,$B$41))</f>
        <v/>
      </c>
      <c r="CR41" s="359">
        <f>IF(CR$3="","",IF(OR(入力データ!$C$57="あり",CR5&gt;前提条件!$C$44),0,$B$41))</f>
        <v/>
      </c>
      <c r="CS41" s="359">
        <f>IF(CS$3="","",IF(OR(入力データ!$C$57="あり",CS5&gt;前提条件!$C$44),0,$B$41))</f>
        <v/>
      </c>
      <c r="CT41" s="359">
        <f>IF(CT$3="","",IF(OR(入力データ!$C$57="あり",CT5&gt;前提条件!$C$44),0,$B$41))</f>
        <v/>
      </c>
      <c r="CU41" s="359">
        <f>IF(CU$3="","",IF(OR(入力データ!$C$57="あり",CU5&gt;前提条件!$C$44),0,$B$41))</f>
        <v/>
      </c>
      <c r="CV41" s="359">
        <f>IF(CV$3="","",IF(OR(入力データ!$C$57="あり",CV5&gt;前提条件!$C$44),0,$B$41))</f>
        <v/>
      </c>
      <c r="CW41" s="359">
        <f>IF(CW$3="","",IF(OR(入力データ!$C$57="あり",CW5&gt;前提条件!$C$44),0,$B$41))</f>
        <v/>
      </c>
    </row>
    <row r="42" hidden="1" ht="16.5" customHeight="1" s="180">
      <c r="A42" s="239" t="inlineStr">
        <is>
          <t>老後期フラグ(補助)</t>
        </is>
      </c>
      <c r="B42" s="360">
        <f>IF(B$3="","",IF(AND(B4&gt;=入力データ!$C$111,B5&gt;=入力データ!$C$111),1,0))</f>
        <v/>
      </c>
      <c r="C42" s="360">
        <f>IF(C$3="","",IF(AND(C4&gt;=入力データ!$C$111,C5&gt;=入力データ!$C$111),1,0))</f>
        <v/>
      </c>
      <c r="D42" s="360">
        <f>IF(D$3="","",IF(AND(D4&gt;=入力データ!$C$111,D5&gt;=入力データ!$C$111),1,0))</f>
        <v/>
      </c>
      <c r="E42" s="360">
        <f>IF(E$3="","",IF(AND(E4&gt;=入力データ!$C$111,E5&gt;=入力データ!$C$111),1,0))</f>
        <v/>
      </c>
      <c r="F42" s="360">
        <f>IF(F$3="","",IF(AND(F4&gt;=入力データ!$C$111,F5&gt;=入力データ!$C$111),1,0))</f>
        <v/>
      </c>
      <c r="G42" s="360">
        <f>IF(G$3="","",IF(AND(G4&gt;=入力データ!$C$111,G5&gt;=入力データ!$C$111),1,0))</f>
        <v/>
      </c>
      <c r="H42" s="360">
        <f>IF(H$3="","",IF(AND(H4&gt;=入力データ!$C$111,H5&gt;=入力データ!$C$111),1,0))</f>
        <v/>
      </c>
      <c r="I42" s="360">
        <f>IF(I$3="","",IF(AND(I4&gt;=入力データ!$C$111,I5&gt;=入力データ!$C$111),1,0))</f>
        <v/>
      </c>
      <c r="J42" s="360">
        <f>IF(J$3="","",IF(AND(J4&gt;=入力データ!$C$111,J5&gt;=入力データ!$C$111),1,0))</f>
        <v/>
      </c>
      <c r="K42" s="360">
        <f>IF(K$3="","",IF(AND(K4&gt;=入力データ!$C$111,K5&gt;=入力データ!$C$111),1,0))</f>
        <v/>
      </c>
      <c r="L42" s="360">
        <f>IF(L$3="","",IF(AND(L4&gt;=入力データ!$C$111,L5&gt;=入力データ!$C$111),1,0))</f>
        <v/>
      </c>
      <c r="M42" s="360">
        <f>IF(M$3="","",IF(AND(M4&gt;=入力データ!$C$111,M5&gt;=入力データ!$C$111),1,0))</f>
        <v/>
      </c>
      <c r="N42" s="360">
        <f>IF(N$3="","",IF(AND(N4&gt;=入力データ!$C$111,N5&gt;=入力データ!$C$111),1,0))</f>
        <v/>
      </c>
      <c r="O42" s="360">
        <f>IF(O$3="","",IF(AND(O4&gt;=入力データ!$C$111,O5&gt;=入力データ!$C$111),1,0))</f>
        <v/>
      </c>
      <c r="P42" s="360">
        <f>IF(P$3="","",IF(AND(P4&gt;=入力データ!$C$111,P5&gt;=入力データ!$C$111),1,0))</f>
        <v/>
      </c>
      <c r="Q42" s="360">
        <f>IF(Q$3="","",IF(AND(Q4&gt;=入力データ!$C$111,Q5&gt;=入力データ!$C$111),1,0))</f>
        <v/>
      </c>
      <c r="R42" s="360">
        <f>IF(R$3="","",IF(AND(R4&gt;=入力データ!$C$111,R5&gt;=入力データ!$C$111),1,0))</f>
        <v/>
      </c>
      <c r="S42" s="360">
        <f>IF(S$3="","",IF(AND(S4&gt;=入力データ!$C$111,S5&gt;=入力データ!$C$111),1,0))</f>
        <v/>
      </c>
      <c r="T42" s="360">
        <f>IF(T$3="","",IF(AND(T4&gt;=入力データ!$C$111,T5&gt;=入力データ!$C$111),1,0))</f>
        <v/>
      </c>
      <c r="U42" s="360">
        <f>IF(U$3="","",IF(AND(U4&gt;=入力データ!$C$111,U5&gt;=入力データ!$C$111),1,0))</f>
        <v/>
      </c>
      <c r="V42" s="360">
        <f>IF(V$3="","",IF(AND(V4&gt;=入力データ!$C$111,V5&gt;=入力データ!$C$111),1,0))</f>
        <v/>
      </c>
      <c r="W42" s="360">
        <f>IF(W$3="","",IF(AND(W4&gt;=入力データ!$C$111,W5&gt;=入力データ!$C$111),1,0))</f>
        <v/>
      </c>
      <c r="X42" s="360">
        <f>IF(X$3="","",IF(AND(X4&gt;=入力データ!$C$111,X5&gt;=入力データ!$C$111),1,0))</f>
        <v/>
      </c>
      <c r="Y42" s="360">
        <f>IF(Y$3="","",IF(AND(Y4&gt;=入力データ!$C$111,Y5&gt;=入力データ!$C$111),1,0))</f>
        <v/>
      </c>
      <c r="Z42" s="360">
        <f>IF(Z$3="","",IF(AND(Z4&gt;=入力データ!$C$111,Z5&gt;=入力データ!$C$111),1,0))</f>
        <v/>
      </c>
      <c r="AA42" s="360">
        <f>IF(AA$3="","",IF(AND(AA4&gt;=入力データ!$C$111,AA5&gt;=入力データ!$C$111),1,0))</f>
        <v/>
      </c>
      <c r="AB42" s="360">
        <f>IF(AB$3="","",IF(AND(AB4&gt;=入力データ!$C$111,AB5&gt;=入力データ!$C$111),1,0))</f>
        <v/>
      </c>
      <c r="AC42" s="360">
        <f>IF(AC$3="","",IF(AND(AC4&gt;=入力データ!$C$111,AC5&gt;=入力データ!$C$111),1,0))</f>
        <v/>
      </c>
      <c r="AD42" s="360">
        <f>IF(AD$3="","",IF(AND(AD4&gt;=入力データ!$C$111,AD5&gt;=入力データ!$C$111),1,0))</f>
        <v/>
      </c>
      <c r="AE42" s="360">
        <f>IF(AE$3="","",IF(AND(AE4&gt;=入力データ!$C$111,AE5&gt;=入力データ!$C$111),1,0))</f>
        <v/>
      </c>
      <c r="AF42" s="360">
        <f>IF(AF$3="","",IF(AND(AF4&gt;=入力データ!$C$111,AF5&gt;=入力データ!$C$111),1,0))</f>
        <v/>
      </c>
      <c r="AG42" s="360">
        <f>IF(AG$3="","",IF(AND(AG4&gt;=入力データ!$C$111,AG5&gt;=入力データ!$C$111),1,0))</f>
        <v/>
      </c>
      <c r="AH42" s="360">
        <f>IF(AH$3="","",IF(AND(AH4&gt;=入力データ!$C$111,AH5&gt;=入力データ!$C$111),1,0))</f>
        <v/>
      </c>
      <c r="AI42" s="360">
        <f>IF(AI$3="","",IF(AND(AI4&gt;=入力データ!$C$111,AI5&gt;=入力データ!$C$111),1,0))</f>
        <v/>
      </c>
      <c r="AJ42" s="360">
        <f>IF(AJ$3="","",IF(AND(AJ4&gt;=入力データ!$C$111,AJ5&gt;=入力データ!$C$111),1,0))</f>
        <v/>
      </c>
      <c r="AK42" s="360">
        <f>IF(AK$3="","",IF(AND(AK4&gt;=入力データ!$C$111,AK5&gt;=入力データ!$C$111),1,0))</f>
        <v/>
      </c>
      <c r="AL42" s="360">
        <f>IF(AL$3="","",IF(AND(AL4&gt;=入力データ!$C$111,AL5&gt;=入力データ!$C$111),1,0))</f>
        <v/>
      </c>
      <c r="AM42" s="360">
        <f>IF(AM$3="","",IF(AND(AM4&gt;=入力データ!$C$111,AM5&gt;=入力データ!$C$111),1,0))</f>
        <v/>
      </c>
      <c r="AN42" s="360">
        <f>IF(AN$3="","",IF(AND(AN4&gt;=入力データ!$C$111,AN5&gt;=入力データ!$C$111),1,0))</f>
        <v/>
      </c>
      <c r="AO42" s="360">
        <f>IF(AO$3="","",IF(AND(AO4&gt;=入力データ!$C$111,AO5&gt;=入力データ!$C$111),1,0))</f>
        <v/>
      </c>
      <c r="AP42" s="360">
        <f>IF(AP$3="","",IF(AND(AP4&gt;=入力データ!$C$111,AP5&gt;=入力データ!$C$111),1,0))</f>
        <v/>
      </c>
      <c r="AQ42" s="360">
        <f>IF(AQ$3="","",IF(AND(AQ4&gt;=入力データ!$C$111,AQ5&gt;=入力データ!$C$111),1,0))</f>
        <v/>
      </c>
      <c r="AR42" s="360">
        <f>IF(AR$3="","",IF(AND(AR4&gt;=入力データ!$C$111,AR5&gt;=入力データ!$C$111),1,0))</f>
        <v/>
      </c>
      <c r="AS42" s="360">
        <f>IF(AS$3="","",IF(AND(AS4&gt;=入力データ!$C$111,AS5&gt;=入力データ!$C$111),1,0))</f>
        <v/>
      </c>
      <c r="AT42" s="360">
        <f>IF(AT$3="","",IF(AND(AT4&gt;=入力データ!$C$111,AT5&gt;=入力データ!$C$111),1,0))</f>
        <v/>
      </c>
      <c r="AU42" s="360">
        <f>IF(AU$3="","",IF(AND(AU4&gt;=入力データ!$C$111,AU5&gt;=入力データ!$C$111),1,0))</f>
        <v/>
      </c>
      <c r="AV42" s="360">
        <f>IF(AV$3="","",IF(AND(AV4&gt;=入力データ!$C$111,AV5&gt;=入力データ!$C$111),1,0))</f>
        <v/>
      </c>
      <c r="AW42" s="360">
        <f>IF(AW$3="","",IF(AND(AW4&gt;=入力データ!$C$111,AW5&gt;=入力データ!$C$111),1,0))</f>
        <v/>
      </c>
      <c r="AX42" s="360">
        <f>IF(AX$3="","",IF(AND(AX4&gt;=入力データ!$C$111,AX5&gt;=入力データ!$C$111),1,0))</f>
        <v/>
      </c>
      <c r="AY42" s="360">
        <f>IF(AY$3="","",IF(AND(AY4&gt;=入力データ!$C$111,AY5&gt;=入力データ!$C$111),1,0))</f>
        <v/>
      </c>
      <c r="AZ42" s="360">
        <f>IF(AZ$3="","",IF(AND(AZ4&gt;=入力データ!$C$111,AZ5&gt;=入力データ!$C$111),1,0))</f>
        <v/>
      </c>
      <c r="BA42" s="360">
        <f>IF(BA$3="","",IF(AND(BA4&gt;=入力データ!$C$111,BA5&gt;=入力データ!$C$111),1,0))</f>
        <v/>
      </c>
      <c r="BB42" s="360">
        <f>IF(BB$3="","",IF(AND(BB4&gt;=入力データ!$C$111,BB5&gt;=入力データ!$C$111),1,0))</f>
        <v/>
      </c>
      <c r="BC42" s="360">
        <f>IF(BC$3="","",IF(AND(BC4&gt;=入力データ!$C$111,BC5&gt;=入力データ!$C$111),1,0))</f>
        <v/>
      </c>
      <c r="BD42" s="360">
        <f>IF(BD$3="","",IF(AND(BD4&gt;=入力データ!$C$111,BD5&gt;=入力データ!$C$111),1,0))</f>
        <v/>
      </c>
      <c r="BE42" s="360">
        <f>IF(BE$3="","",IF(AND(BE4&gt;=入力データ!$C$111,BE5&gt;=入力データ!$C$111),1,0))</f>
        <v/>
      </c>
      <c r="BF42" s="360">
        <f>IF(BF$3="","",IF(AND(BF4&gt;=入力データ!$C$111,BF5&gt;=入力データ!$C$111),1,0))</f>
        <v/>
      </c>
      <c r="BG42" s="360">
        <f>IF(BG$3="","",IF(AND(BG4&gt;=入力データ!$C$111,BG5&gt;=入力データ!$C$111),1,0))</f>
        <v/>
      </c>
      <c r="BH42" s="360">
        <f>IF(BH$3="","",IF(AND(BH4&gt;=入力データ!$C$111,BH5&gt;=入力データ!$C$111),1,0))</f>
        <v/>
      </c>
      <c r="BI42" s="360">
        <f>IF(BI$3="","",IF(AND(BI4&gt;=入力データ!$C$111,BI5&gt;=入力データ!$C$111),1,0))</f>
        <v/>
      </c>
      <c r="BJ42" s="360">
        <f>IF(BJ$3="","",IF(AND(BJ4&gt;=入力データ!$C$111,BJ5&gt;=入力データ!$C$111),1,0))</f>
        <v/>
      </c>
      <c r="BK42" s="360">
        <f>IF(BK$3="","",IF(AND(BK4&gt;=入力データ!$C$111,BK5&gt;=入力データ!$C$111),1,0))</f>
        <v/>
      </c>
      <c r="BL42" s="360">
        <f>IF(BL$3="","",IF(AND(BL4&gt;=入力データ!$C$111,BL5&gt;=入力データ!$C$111),1,0))</f>
        <v/>
      </c>
      <c r="BM42" s="360">
        <f>IF(BM$3="","",IF(AND(BM4&gt;=入力データ!$C$111,BM5&gt;=入力データ!$C$111),1,0))</f>
        <v/>
      </c>
      <c r="BN42" s="360">
        <f>IF(BN$3="","",IF(AND(BN4&gt;=入力データ!$C$111,BN5&gt;=入力データ!$C$111),1,0))</f>
        <v/>
      </c>
      <c r="BO42" s="360">
        <f>IF(BO$3="","",IF(AND(BO4&gt;=入力データ!$C$111,BO5&gt;=入力データ!$C$111),1,0))</f>
        <v/>
      </c>
      <c r="BP42" s="360">
        <f>IF(BP$3="","",IF(AND(BP4&gt;=入力データ!$C$111,BP5&gt;=入力データ!$C$111),1,0))</f>
        <v/>
      </c>
      <c r="BQ42" s="360">
        <f>IF(BQ$3="","",IF(AND(BQ4&gt;=入力データ!$C$111,BQ5&gt;=入力データ!$C$111),1,0))</f>
        <v/>
      </c>
      <c r="BR42" s="360">
        <f>IF(BR$3="","",IF(AND(BR4&gt;=入力データ!$C$111,BR5&gt;=入力データ!$C$111),1,0))</f>
        <v/>
      </c>
      <c r="BS42" s="360">
        <f>IF(BS$3="","",IF(AND(BS4&gt;=入力データ!$C$111,BS5&gt;=入力データ!$C$111),1,0))</f>
        <v/>
      </c>
      <c r="BT42" s="360">
        <f>IF(BT$3="","",IF(AND(BT4&gt;=入力データ!$C$111,BT5&gt;=入力データ!$C$111),1,0))</f>
        <v/>
      </c>
      <c r="BU42" s="360">
        <f>IF(BU$3="","",IF(AND(BU4&gt;=入力データ!$C$111,BU5&gt;=入力データ!$C$111),1,0))</f>
        <v/>
      </c>
      <c r="BV42" s="360">
        <f>IF(BV$3="","",IF(AND(BV4&gt;=入力データ!$C$111,BV5&gt;=入力データ!$C$111),1,0))</f>
        <v/>
      </c>
      <c r="BW42" s="360">
        <f>IF(BW$3="","",IF(AND(BW4&gt;=入力データ!$C$111,BW5&gt;=入力データ!$C$111),1,0))</f>
        <v/>
      </c>
      <c r="BX42" s="360">
        <f>IF(BX$3="","",IF(AND(BX4&gt;=入力データ!$C$111,BX5&gt;=入力データ!$C$111),1,0))</f>
        <v/>
      </c>
      <c r="BY42" s="360">
        <f>IF(BY$3="","",IF(AND(BY4&gt;=入力データ!$C$111,BY5&gt;=入力データ!$C$111),1,0))</f>
        <v/>
      </c>
      <c r="BZ42" s="360">
        <f>IF(BZ$3="","",IF(AND(BZ4&gt;=入力データ!$C$111,BZ5&gt;=入力データ!$C$111),1,0))</f>
        <v/>
      </c>
      <c r="CA42" s="360">
        <f>IF(CA$3="","",IF(AND(CA4&gt;=入力データ!$C$111,CA5&gt;=入力データ!$C$111),1,0))</f>
        <v/>
      </c>
      <c r="CB42" s="360">
        <f>IF(CB$3="","",IF(AND(CB4&gt;=入力データ!$C$111,CB5&gt;=入力データ!$C$111),1,0))</f>
        <v/>
      </c>
      <c r="CC42" s="360">
        <f>IF(CC$3="","",IF(AND(CC4&gt;=入力データ!$C$111,CC5&gt;=入力データ!$C$111),1,0))</f>
        <v/>
      </c>
      <c r="CD42" s="360">
        <f>IF(CD$3="","",IF(AND(CD4&gt;=入力データ!$C$111,CD5&gt;=入力データ!$C$111),1,0))</f>
        <v/>
      </c>
      <c r="CE42" s="360">
        <f>IF(CE$3="","",IF(AND(CE4&gt;=入力データ!$C$111,CE5&gt;=入力データ!$C$111),1,0))</f>
        <v/>
      </c>
      <c r="CF42" s="360">
        <f>IF(CF$3="","",IF(AND(CF4&gt;=入力データ!$C$111,CF5&gt;=入力データ!$C$111),1,0))</f>
        <v/>
      </c>
      <c r="CG42" s="360">
        <f>IF(CG$3="","",IF(AND(CG4&gt;=入力データ!$C$111,CG5&gt;=入力データ!$C$111),1,0))</f>
        <v/>
      </c>
      <c r="CH42" s="360">
        <f>IF(CH$3="","",IF(AND(CH4&gt;=入力データ!$C$111,CH5&gt;=入力データ!$C$111),1,0))</f>
        <v/>
      </c>
      <c r="CI42" s="360">
        <f>IF(CI$3="","",IF(AND(CI4&gt;=入力データ!$C$111,CI5&gt;=入力データ!$C$111),1,0))</f>
        <v/>
      </c>
      <c r="CJ42" s="360">
        <f>IF(CJ$3="","",IF(AND(CJ4&gt;=入力データ!$C$111,CJ5&gt;=入力データ!$C$111),1,0))</f>
        <v/>
      </c>
      <c r="CK42" s="360">
        <f>IF(CK$3="","",IF(AND(CK4&gt;=入力データ!$C$111,CK5&gt;=入力データ!$C$111),1,0))</f>
        <v/>
      </c>
      <c r="CL42" s="360">
        <f>IF(CL$3="","",IF(AND(CL4&gt;=入力データ!$C$111,CL5&gt;=入力データ!$C$111),1,0))</f>
        <v/>
      </c>
      <c r="CM42" s="360">
        <f>IF(CM$3="","",IF(AND(CM4&gt;=入力データ!$C$111,CM5&gt;=入力データ!$C$111),1,0))</f>
        <v/>
      </c>
      <c r="CN42" s="360">
        <f>IF(CN$3="","",IF(AND(CN4&gt;=入力データ!$C$111,CN5&gt;=入力データ!$C$111),1,0))</f>
        <v/>
      </c>
      <c r="CO42" s="360">
        <f>IF(CO$3="","",IF(AND(CO4&gt;=入力データ!$C$111,CO5&gt;=入力データ!$C$111),1,0))</f>
        <v/>
      </c>
      <c r="CP42" s="360">
        <f>IF(CP$3="","",IF(AND(CP4&gt;=入力データ!$C$111,CP5&gt;=入力データ!$C$111),1,0))</f>
        <v/>
      </c>
      <c r="CQ42" s="360">
        <f>IF(CQ$3="","",IF(AND(CQ4&gt;=入力データ!$C$111,CQ5&gt;=入力データ!$C$111),1,0))</f>
        <v/>
      </c>
      <c r="CR42" s="360">
        <f>IF(CR$3="","",IF(AND(CR4&gt;=入力データ!$C$111,CR5&gt;=入力データ!$C$111),1,0))</f>
        <v/>
      </c>
      <c r="CS42" s="360">
        <f>IF(CS$3="","",IF(AND(CS4&gt;=入力データ!$C$111,CS5&gt;=入力データ!$C$111),1,0))</f>
        <v/>
      </c>
      <c r="CT42" s="360">
        <f>IF(CT$3="","",IF(AND(CT4&gt;=入力データ!$C$111,CT5&gt;=入力データ!$C$111),1,0))</f>
        <v/>
      </c>
      <c r="CU42" s="360">
        <f>IF(CU$3="","",IF(AND(CU4&gt;=入力データ!$C$111,CU5&gt;=入力データ!$C$111),1,0))</f>
        <v/>
      </c>
      <c r="CV42" s="360">
        <f>IF(CV$3="","",IF(AND(CV4&gt;=入力データ!$C$111,CV5&gt;=入力データ!$C$111),1,0))</f>
        <v/>
      </c>
      <c r="CW42" s="360">
        <f>IF(CW$3="","",IF(AND(CW4&gt;=入力データ!$C$111,CW5&gt;=入力データ!$C$111),1,0))</f>
        <v/>
      </c>
    </row>
    <row r="43" hidden="1" ht="16.5" customHeight="1" s="180">
      <c r="A43" s="239" t="inlineStr">
        <is>
          <t>老後不足額(補助)</t>
        </is>
      </c>
      <c r="B43" s="359">
        <f>IF(B$3="","",IF(B42=1,MAX(0,-B30),0))</f>
        <v/>
      </c>
      <c r="C43" s="359">
        <f>IF(C$3="","",IF(C42=1,MAX(0,-C30),0))</f>
        <v/>
      </c>
      <c r="D43" s="359">
        <f>IF(D$3="","",IF(D42=1,MAX(0,-D30),0))</f>
        <v/>
      </c>
      <c r="E43" s="359">
        <f>IF(E$3="","",IF(E42=1,MAX(0,-E30),0))</f>
        <v/>
      </c>
      <c r="F43" s="359">
        <f>IF(F$3="","",IF(F42=1,MAX(0,-F30),0))</f>
        <v/>
      </c>
      <c r="G43" s="359">
        <f>IF(G$3="","",IF(G42=1,MAX(0,-G30),0))</f>
        <v/>
      </c>
      <c r="H43" s="359">
        <f>IF(H$3="","",IF(H42=1,MAX(0,-H30),0))</f>
        <v/>
      </c>
      <c r="I43" s="359">
        <f>IF(I$3="","",IF(I42=1,MAX(0,-I30),0))</f>
        <v/>
      </c>
      <c r="J43" s="359">
        <f>IF(J$3="","",IF(J42=1,MAX(0,-J30),0))</f>
        <v/>
      </c>
      <c r="K43" s="359">
        <f>IF(K$3="","",IF(K42=1,MAX(0,-K30),0))</f>
        <v/>
      </c>
      <c r="L43" s="359">
        <f>IF(L$3="","",IF(L42=1,MAX(0,-L30),0))</f>
        <v/>
      </c>
      <c r="M43" s="359">
        <f>IF(M$3="","",IF(M42=1,MAX(0,-M30),0))</f>
        <v/>
      </c>
      <c r="N43" s="359">
        <f>IF(N$3="","",IF(N42=1,MAX(0,-N30),0))</f>
        <v/>
      </c>
      <c r="O43" s="359">
        <f>IF(O$3="","",IF(O42=1,MAX(0,-O30),0))</f>
        <v/>
      </c>
      <c r="P43" s="359">
        <f>IF(P$3="","",IF(P42=1,MAX(0,-P30),0))</f>
        <v/>
      </c>
      <c r="Q43" s="359">
        <f>IF(Q$3="","",IF(Q42=1,MAX(0,-Q30),0))</f>
        <v/>
      </c>
      <c r="R43" s="359">
        <f>IF(R$3="","",IF(R42=1,MAX(0,-R30),0))</f>
        <v/>
      </c>
      <c r="S43" s="359">
        <f>IF(S$3="","",IF(S42=1,MAX(0,-S30),0))</f>
        <v/>
      </c>
      <c r="T43" s="359">
        <f>IF(T$3="","",IF(T42=1,MAX(0,-T30),0))</f>
        <v/>
      </c>
      <c r="U43" s="359">
        <f>IF(U$3="","",IF(U42=1,MAX(0,-U30),0))</f>
        <v/>
      </c>
      <c r="V43" s="359">
        <f>IF(V$3="","",IF(V42=1,MAX(0,-V30),0))</f>
        <v/>
      </c>
      <c r="W43" s="359">
        <f>IF(W$3="","",IF(W42=1,MAX(0,-W30),0))</f>
        <v/>
      </c>
      <c r="X43" s="359">
        <f>IF(X$3="","",IF(X42=1,MAX(0,-X30),0))</f>
        <v/>
      </c>
      <c r="Y43" s="359">
        <f>IF(Y$3="","",IF(Y42=1,MAX(0,-Y30),0))</f>
        <v/>
      </c>
      <c r="Z43" s="359">
        <f>IF(Z$3="","",IF(Z42=1,MAX(0,-Z30),0))</f>
        <v/>
      </c>
      <c r="AA43" s="359">
        <f>IF(AA$3="","",IF(AA42=1,MAX(0,-AA30),0))</f>
        <v/>
      </c>
      <c r="AB43" s="359">
        <f>IF(AB$3="","",IF(AB42=1,MAX(0,-AB30),0))</f>
        <v/>
      </c>
      <c r="AC43" s="359">
        <f>IF(AC$3="","",IF(AC42=1,MAX(0,-AC30),0))</f>
        <v/>
      </c>
      <c r="AD43" s="359">
        <f>IF(AD$3="","",IF(AD42=1,MAX(0,-AD30),0))</f>
        <v/>
      </c>
      <c r="AE43" s="359">
        <f>IF(AE$3="","",IF(AE42=1,MAX(0,-AE30),0))</f>
        <v/>
      </c>
      <c r="AF43" s="359">
        <f>IF(AF$3="","",IF(AF42=1,MAX(0,-AF30),0))</f>
        <v/>
      </c>
      <c r="AG43" s="359">
        <f>IF(AG$3="","",IF(AG42=1,MAX(0,-AG30),0))</f>
        <v/>
      </c>
      <c r="AH43" s="359">
        <f>IF(AH$3="","",IF(AH42=1,MAX(0,-AH30),0))</f>
        <v/>
      </c>
      <c r="AI43" s="359">
        <f>IF(AI$3="","",IF(AI42=1,MAX(0,-AI30),0))</f>
        <v/>
      </c>
      <c r="AJ43" s="359">
        <f>IF(AJ$3="","",IF(AJ42=1,MAX(0,-AJ30),0))</f>
        <v/>
      </c>
      <c r="AK43" s="359">
        <f>IF(AK$3="","",IF(AK42=1,MAX(0,-AK30),0))</f>
        <v/>
      </c>
      <c r="AL43" s="359">
        <f>IF(AL$3="","",IF(AL42=1,MAX(0,-AL30),0))</f>
        <v/>
      </c>
      <c r="AM43" s="359">
        <f>IF(AM$3="","",IF(AM42=1,MAX(0,-AM30),0))</f>
        <v/>
      </c>
      <c r="AN43" s="359">
        <f>IF(AN$3="","",IF(AN42=1,MAX(0,-AN30),0))</f>
        <v/>
      </c>
      <c r="AO43" s="359">
        <f>IF(AO$3="","",IF(AO42=1,MAX(0,-AO30),0))</f>
        <v/>
      </c>
      <c r="AP43" s="359">
        <f>IF(AP$3="","",IF(AP42=1,MAX(0,-AP30),0))</f>
        <v/>
      </c>
      <c r="AQ43" s="359">
        <f>IF(AQ$3="","",IF(AQ42=1,MAX(0,-AQ30),0))</f>
        <v/>
      </c>
      <c r="AR43" s="359">
        <f>IF(AR$3="","",IF(AR42=1,MAX(0,-AR30),0))</f>
        <v/>
      </c>
      <c r="AS43" s="359">
        <f>IF(AS$3="","",IF(AS42=1,MAX(0,-AS30),0))</f>
        <v/>
      </c>
      <c r="AT43" s="359">
        <f>IF(AT$3="","",IF(AT42=1,MAX(0,-AT30),0))</f>
        <v/>
      </c>
      <c r="AU43" s="359">
        <f>IF(AU$3="","",IF(AU42=1,MAX(0,-AU30),0))</f>
        <v/>
      </c>
      <c r="AV43" s="359">
        <f>IF(AV$3="","",IF(AV42=1,MAX(0,-AV30),0))</f>
        <v/>
      </c>
      <c r="AW43" s="359">
        <f>IF(AW$3="","",IF(AW42=1,MAX(0,-AW30),0))</f>
        <v/>
      </c>
      <c r="AX43" s="359">
        <f>IF(AX$3="","",IF(AX42=1,MAX(0,-AX30),0))</f>
        <v/>
      </c>
      <c r="AY43" s="359">
        <f>IF(AY$3="","",IF(AY42=1,MAX(0,-AY30),0))</f>
        <v/>
      </c>
      <c r="AZ43" s="359">
        <f>IF(AZ$3="","",IF(AZ42=1,MAX(0,-AZ30),0))</f>
        <v/>
      </c>
      <c r="BA43" s="359">
        <f>IF(BA$3="","",IF(BA42=1,MAX(0,-BA30),0))</f>
        <v/>
      </c>
      <c r="BB43" s="359">
        <f>IF(BB$3="","",IF(BB42=1,MAX(0,-BB30),0))</f>
        <v/>
      </c>
      <c r="BC43" s="359">
        <f>IF(BC$3="","",IF(BC42=1,MAX(0,-BC30),0))</f>
        <v/>
      </c>
      <c r="BD43" s="359">
        <f>IF(BD$3="","",IF(BD42=1,MAX(0,-BD30),0))</f>
        <v/>
      </c>
      <c r="BE43" s="359">
        <f>IF(BE$3="","",IF(BE42=1,MAX(0,-BE30),0))</f>
        <v/>
      </c>
      <c r="BF43" s="359">
        <f>IF(BF$3="","",IF(BF42=1,MAX(0,-BF30),0))</f>
        <v/>
      </c>
      <c r="BG43" s="359">
        <f>IF(BG$3="","",IF(BG42=1,MAX(0,-BG30),0))</f>
        <v/>
      </c>
      <c r="BH43" s="359">
        <f>IF(BH$3="","",IF(BH42=1,MAX(0,-BH30),0))</f>
        <v/>
      </c>
      <c r="BI43" s="359">
        <f>IF(BI$3="","",IF(BI42=1,MAX(0,-BI30),0))</f>
        <v/>
      </c>
      <c r="BJ43" s="359">
        <f>IF(BJ$3="","",IF(BJ42=1,MAX(0,-BJ30),0))</f>
        <v/>
      </c>
      <c r="BK43" s="359">
        <f>IF(BK$3="","",IF(BK42=1,MAX(0,-BK30),0))</f>
        <v/>
      </c>
      <c r="BL43" s="359">
        <f>IF(BL$3="","",IF(BL42=1,MAX(0,-BL30),0))</f>
        <v/>
      </c>
      <c r="BM43" s="359">
        <f>IF(BM$3="","",IF(BM42=1,MAX(0,-BM30),0))</f>
        <v/>
      </c>
      <c r="BN43" s="359">
        <f>IF(BN$3="","",IF(BN42=1,MAX(0,-BN30),0))</f>
        <v/>
      </c>
      <c r="BO43" s="359">
        <f>IF(BO$3="","",IF(BO42=1,MAX(0,-BO30),0))</f>
        <v/>
      </c>
      <c r="BP43" s="359">
        <f>IF(BP$3="","",IF(BP42=1,MAX(0,-BP30),0))</f>
        <v/>
      </c>
      <c r="BQ43" s="359">
        <f>IF(BQ$3="","",IF(BQ42=1,MAX(0,-BQ30),0))</f>
        <v/>
      </c>
      <c r="BR43" s="359">
        <f>IF(BR$3="","",IF(BR42=1,MAX(0,-BR30),0))</f>
        <v/>
      </c>
      <c r="BS43" s="359">
        <f>IF(BS$3="","",IF(BS42=1,MAX(0,-BS30),0))</f>
        <v/>
      </c>
      <c r="BT43" s="359">
        <f>IF(BT$3="","",IF(BT42=1,MAX(0,-BT30),0))</f>
        <v/>
      </c>
      <c r="BU43" s="359">
        <f>IF(BU$3="","",IF(BU42=1,MAX(0,-BU30),0))</f>
        <v/>
      </c>
      <c r="BV43" s="359">
        <f>IF(BV$3="","",IF(BV42=1,MAX(0,-BV30),0))</f>
        <v/>
      </c>
      <c r="BW43" s="359">
        <f>IF(BW$3="","",IF(BW42=1,MAX(0,-BW30),0))</f>
        <v/>
      </c>
      <c r="BX43" s="359">
        <f>IF(BX$3="","",IF(BX42=1,MAX(0,-BX30),0))</f>
        <v/>
      </c>
      <c r="BY43" s="359">
        <f>IF(BY$3="","",IF(BY42=1,MAX(0,-BY30),0))</f>
        <v/>
      </c>
      <c r="BZ43" s="359">
        <f>IF(BZ$3="","",IF(BZ42=1,MAX(0,-BZ30),0))</f>
        <v/>
      </c>
      <c r="CA43" s="359">
        <f>IF(CA$3="","",IF(CA42=1,MAX(0,-CA30),0))</f>
        <v/>
      </c>
      <c r="CB43" s="359">
        <f>IF(CB$3="","",IF(CB42=1,MAX(0,-CB30),0))</f>
        <v/>
      </c>
      <c r="CC43" s="359">
        <f>IF(CC$3="","",IF(CC42=1,MAX(0,-CC30),0))</f>
        <v/>
      </c>
      <c r="CD43" s="359">
        <f>IF(CD$3="","",IF(CD42=1,MAX(0,-CD30),0))</f>
        <v/>
      </c>
      <c r="CE43" s="359">
        <f>IF(CE$3="","",IF(CE42=1,MAX(0,-CE30),0))</f>
        <v/>
      </c>
      <c r="CF43" s="359">
        <f>IF(CF$3="","",IF(CF42=1,MAX(0,-CF30),0))</f>
        <v/>
      </c>
      <c r="CG43" s="359">
        <f>IF(CG$3="","",IF(CG42=1,MAX(0,-CG30),0))</f>
        <v/>
      </c>
      <c r="CH43" s="359">
        <f>IF(CH$3="","",IF(CH42=1,MAX(0,-CH30),0))</f>
        <v/>
      </c>
      <c r="CI43" s="359">
        <f>IF(CI$3="","",IF(CI42=1,MAX(0,-CI30),0))</f>
        <v/>
      </c>
      <c r="CJ43" s="359">
        <f>IF(CJ$3="","",IF(CJ42=1,MAX(0,-CJ30),0))</f>
        <v/>
      </c>
      <c r="CK43" s="359">
        <f>IF(CK$3="","",IF(CK42=1,MAX(0,-CK30),0))</f>
        <v/>
      </c>
      <c r="CL43" s="359">
        <f>IF(CL$3="","",IF(CL42=1,MAX(0,-CL30),0))</f>
        <v/>
      </c>
      <c r="CM43" s="359">
        <f>IF(CM$3="","",IF(CM42=1,MAX(0,-CM30),0))</f>
        <v/>
      </c>
      <c r="CN43" s="359">
        <f>IF(CN$3="","",IF(CN42=1,MAX(0,-CN30),0))</f>
        <v/>
      </c>
      <c r="CO43" s="359">
        <f>IF(CO$3="","",IF(CO42=1,MAX(0,-CO30),0))</f>
        <v/>
      </c>
      <c r="CP43" s="359">
        <f>IF(CP$3="","",IF(CP42=1,MAX(0,-CP30),0))</f>
        <v/>
      </c>
      <c r="CQ43" s="359">
        <f>IF(CQ$3="","",IF(CQ42=1,MAX(0,-CQ30),0))</f>
        <v/>
      </c>
      <c r="CR43" s="359">
        <f>IF(CR$3="","",IF(CR42=1,MAX(0,-CR30),0))</f>
        <v/>
      </c>
      <c r="CS43" s="359">
        <f>IF(CS$3="","",IF(CS42=1,MAX(0,-CS30),0))</f>
        <v/>
      </c>
      <c r="CT43" s="359">
        <f>IF(CT$3="","",IF(CT42=1,MAX(0,-CT30),0))</f>
        <v/>
      </c>
      <c r="CU43" s="359">
        <f>IF(CU$3="","",IF(CU42=1,MAX(0,-CU30),0))</f>
        <v/>
      </c>
      <c r="CV43" s="359">
        <f>IF(CV$3="","",IF(CV42=1,MAX(0,-CV30),0))</f>
        <v/>
      </c>
      <c r="CW43" s="359">
        <f>IF(CW$3="","",IF(CW42=1,MAX(0,-CW30),0))</f>
        <v/>
      </c>
    </row>
    <row r="44" ht="15" customHeight="1" s="180">
      <c r="A44" s="241" t="inlineStr">
        <is>
          <t>保有資産合計（参考）</t>
        </is>
      </c>
      <c r="B44" s="361">
        <f>IF(B$3="","",B31+B32+B33)</f>
        <v/>
      </c>
      <c r="C44" s="361">
        <f>IF(C$3="","",C31+C32+C33)</f>
        <v/>
      </c>
      <c r="D44" s="361">
        <f>IF(D$3="","",D31+D32+D33)</f>
        <v/>
      </c>
      <c r="E44" s="361">
        <f>IF(E$3="","",E31+E32+E33)</f>
        <v/>
      </c>
      <c r="F44" s="361">
        <f>IF(F$3="","",F31+F32+F33)</f>
        <v/>
      </c>
      <c r="G44" s="361">
        <f>IF(G$3="","",G31+G32+G33)</f>
        <v/>
      </c>
      <c r="H44" s="361">
        <f>IF(H$3="","",H31+H32+H33)</f>
        <v/>
      </c>
      <c r="I44" s="361">
        <f>IF(I$3="","",I31+I32+I33)</f>
        <v/>
      </c>
      <c r="J44" s="361">
        <f>IF(J$3="","",J31+J32+J33)</f>
        <v/>
      </c>
      <c r="K44" s="361">
        <f>IF(K$3="","",K31+K32+K33)</f>
        <v/>
      </c>
      <c r="L44" s="361">
        <f>IF(L$3="","",L31+L32+L33)</f>
        <v/>
      </c>
      <c r="M44" s="361">
        <f>IF(M$3="","",M31+M32+M33)</f>
        <v/>
      </c>
      <c r="N44" s="361">
        <f>IF(N$3="","",N31+N32+N33)</f>
        <v/>
      </c>
      <c r="O44" s="361">
        <f>IF(O$3="","",O31+O32+O33)</f>
        <v/>
      </c>
      <c r="P44" s="361">
        <f>IF(P$3="","",P31+P32+P33)</f>
        <v/>
      </c>
      <c r="Q44" s="361">
        <f>IF(Q$3="","",Q31+Q32+Q33)</f>
        <v/>
      </c>
      <c r="R44" s="361">
        <f>IF(R$3="","",R31+R32+R33)</f>
        <v/>
      </c>
      <c r="S44" s="361">
        <f>IF(S$3="","",S31+S32+S33)</f>
        <v/>
      </c>
      <c r="T44" s="361">
        <f>IF(T$3="","",T31+T32+T33)</f>
        <v/>
      </c>
      <c r="U44" s="361">
        <f>IF(U$3="","",U31+U32+U33)</f>
        <v/>
      </c>
      <c r="V44" s="361">
        <f>IF(V$3="","",V31+V32+V33)</f>
        <v/>
      </c>
      <c r="W44" s="361">
        <f>IF(W$3="","",W31+W32+W33)</f>
        <v/>
      </c>
      <c r="X44" s="361">
        <f>IF(X$3="","",X31+X32+X33)</f>
        <v/>
      </c>
      <c r="Y44" s="361">
        <f>IF(Y$3="","",Y31+Y32+Y33)</f>
        <v/>
      </c>
      <c r="Z44" s="361">
        <f>IF(Z$3="","",Z31+Z32+Z33)</f>
        <v/>
      </c>
      <c r="AA44" s="361">
        <f>IF(AA$3="","",AA31+AA32+AA33)</f>
        <v/>
      </c>
      <c r="AB44" s="361">
        <f>IF(AB$3="","",AB31+AB32+AB33)</f>
        <v/>
      </c>
      <c r="AC44" s="361">
        <f>IF(AC$3="","",AC31+AC32+AC33)</f>
        <v/>
      </c>
      <c r="AD44" s="361">
        <f>IF(AD$3="","",AD31+AD32+AD33)</f>
        <v/>
      </c>
      <c r="AE44" s="361">
        <f>IF(AE$3="","",AE31+AE32+AE33)</f>
        <v/>
      </c>
      <c r="AF44" s="361">
        <f>IF(AF$3="","",AF31+AF32+AF33)</f>
        <v/>
      </c>
      <c r="AG44" s="361">
        <f>IF(AG$3="","",AG31+AG32+AG33)</f>
        <v/>
      </c>
      <c r="AH44" s="361">
        <f>IF(AH$3="","",AH31+AH32+AH33)</f>
        <v/>
      </c>
      <c r="AI44" s="361">
        <f>IF(AI$3="","",AI31+AI32+AI33)</f>
        <v/>
      </c>
      <c r="AJ44" s="361">
        <f>IF(AJ$3="","",AJ31+AJ32+AJ33)</f>
        <v/>
      </c>
      <c r="AK44" s="361">
        <f>IF(AK$3="","",AK31+AK32+AK33)</f>
        <v/>
      </c>
      <c r="AL44" s="361">
        <f>IF(AL$3="","",AL31+AL32+AL33)</f>
        <v/>
      </c>
      <c r="AM44" s="361">
        <f>IF(AM$3="","",AM31+AM32+AM33)</f>
        <v/>
      </c>
      <c r="AN44" s="361">
        <f>IF(AN$3="","",AN31+AN32+AN33)</f>
        <v/>
      </c>
      <c r="AO44" s="361">
        <f>IF(AO$3="","",AO31+AO32+AO33)</f>
        <v/>
      </c>
      <c r="AP44" s="361">
        <f>IF(AP$3="","",AP31+AP32+AP33)</f>
        <v/>
      </c>
      <c r="AQ44" s="361">
        <f>IF(AQ$3="","",AQ31+AQ32+AQ33)</f>
        <v/>
      </c>
      <c r="AR44" s="361">
        <f>IF(AR$3="","",AR31+AR32+AR33)</f>
        <v/>
      </c>
      <c r="AS44" s="361">
        <f>IF(AS$3="","",AS31+AS32+AS33)</f>
        <v/>
      </c>
      <c r="AT44" s="361">
        <f>IF(AT$3="","",AT31+AT32+AT33)</f>
        <v/>
      </c>
      <c r="AU44" s="361">
        <f>IF(AU$3="","",AU31+AU32+AU33)</f>
        <v/>
      </c>
      <c r="AV44" s="361">
        <f>IF(AV$3="","",AV31+AV32+AV33)</f>
        <v/>
      </c>
      <c r="AW44" s="361">
        <f>IF(AW$3="","",AW31+AW32+AW33)</f>
        <v/>
      </c>
      <c r="AX44" s="361">
        <f>IF(AX$3="","",AX31+AX32+AX33)</f>
        <v/>
      </c>
      <c r="AY44" s="361">
        <f>IF(AY$3="","",AY31+AY32+AY33)</f>
        <v/>
      </c>
      <c r="AZ44" s="361">
        <f>IF(AZ$3="","",AZ31+AZ32+AZ33)</f>
        <v/>
      </c>
      <c r="BA44" s="361">
        <f>IF(BA$3="","",BA31+BA32+BA33)</f>
        <v/>
      </c>
      <c r="BB44" s="361">
        <f>IF(BB$3="","",BB31+BB32+BB33)</f>
        <v/>
      </c>
      <c r="BC44" s="361">
        <f>IF(BC$3="","",BC31+BC32+BC33)</f>
        <v/>
      </c>
      <c r="BD44" s="361">
        <f>IF(BD$3="","",BD31+BD32+BD33)</f>
        <v/>
      </c>
      <c r="BE44" s="361">
        <f>IF(BE$3="","",BE31+BE32+BE33)</f>
        <v/>
      </c>
      <c r="BF44" s="361">
        <f>IF(BF$3="","",BF31+BF32+BF33)</f>
        <v/>
      </c>
      <c r="BG44" s="361">
        <f>IF(BG$3="","",BG31+BG32+BG33)</f>
        <v/>
      </c>
      <c r="BH44" s="361">
        <f>IF(BH$3="","",BH31+BH32+BH33)</f>
        <v/>
      </c>
      <c r="BI44" s="361">
        <f>IF(BI$3="","",BI31+BI32+BI33)</f>
        <v/>
      </c>
      <c r="BJ44" s="361">
        <f>IF(BJ$3="","",BJ31+BJ32+BJ33)</f>
        <v/>
      </c>
      <c r="BK44" s="361">
        <f>IF(BK$3="","",BK31+BK32+BK33)</f>
        <v/>
      </c>
      <c r="BL44" s="361">
        <f>IF(BL$3="","",BL31+BL32+BL33)</f>
        <v/>
      </c>
      <c r="BM44" s="361">
        <f>IF(BM$3="","",BM31+BM32+BM33)</f>
        <v/>
      </c>
      <c r="BN44" s="361">
        <f>IF(BN$3="","",BN31+BN32+BN33)</f>
        <v/>
      </c>
      <c r="BO44" s="361">
        <f>IF(BO$3="","",BO31+BO32+BO33)</f>
        <v/>
      </c>
      <c r="BP44" s="361">
        <f>IF(BP$3="","",BP31+BP32+BP33)</f>
        <v/>
      </c>
      <c r="BQ44" s="361">
        <f>IF(BQ$3="","",BQ31+BQ32+BQ33)</f>
        <v/>
      </c>
      <c r="BR44" s="361">
        <f>IF(BR$3="","",BR31+BR32+BR33)</f>
        <v/>
      </c>
      <c r="BS44" s="361">
        <f>IF(BS$3="","",BS31+BS32+BS33)</f>
        <v/>
      </c>
      <c r="BT44" s="361">
        <f>IF(BT$3="","",BT31+BT32+BT33)</f>
        <v/>
      </c>
      <c r="BU44" s="361">
        <f>IF(BU$3="","",BU31+BU32+BU33)</f>
        <v/>
      </c>
      <c r="BV44" s="361">
        <f>IF(BV$3="","",BV31+BV32+BV33)</f>
        <v/>
      </c>
      <c r="BW44" s="361">
        <f>IF(BW$3="","",BW31+BW32+BW33)</f>
        <v/>
      </c>
      <c r="BX44" s="361">
        <f>IF(BX$3="","",BX31+BX32+BX33)</f>
        <v/>
      </c>
      <c r="BY44" s="361">
        <f>IF(BY$3="","",BY31+BY32+BY33)</f>
        <v/>
      </c>
      <c r="BZ44" s="361">
        <f>IF(BZ$3="","",BZ31+BZ32+BZ33)</f>
        <v/>
      </c>
      <c r="CA44" s="361">
        <f>IF(CA$3="","",CA31+CA32+CA33)</f>
        <v/>
      </c>
      <c r="CB44" s="361">
        <f>IF(CB$3="","",CB31+CB32+CB33)</f>
        <v/>
      </c>
      <c r="CC44" s="361">
        <f>IF(CC$3="","",CC31+CC32+CC33)</f>
        <v/>
      </c>
      <c r="CD44" s="361">
        <f>IF(CD$3="","",CD31+CD32+CD33)</f>
        <v/>
      </c>
      <c r="CE44" s="361">
        <f>IF(CE$3="","",CE31+CE32+CE33)</f>
        <v/>
      </c>
      <c r="CF44" s="361">
        <f>IF(CF$3="","",CF31+CF32+CF33)</f>
        <v/>
      </c>
      <c r="CG44" s="361">
        <f>IF(CG$3="","",CG31+CG32+CG33)</f>
        <v/>
      </c>
      <c r="CH44" s="361">
        <f>IF(CH$3="","",CH31+CH32+CH33)</f>
        <v/>
      </c>
      <c r="CI44" s="361">
        <f>IF(CI$3="","",CI31+CI32+CI33)</f>
        <v/>
      </c>
      <c r="CJ44" s="361">
        <f>IF(CJ$3="","",CJ31+CJ32+CJ33)</f>
        <v/>
      </c>
      <c r="CK44" s="361">
        <f>IF(CK$3="","",CK31+CK32+CK33)</f>
        <v/>
      </c>
      <c r="CL44" s="361">
        <f>IF(CL$3="","",CL31+CL32+CL33)</f>
        <v/>
      </c>
      <c r="CM44" s="361">
        <f>IF(CM$3="","",CM31+CM32+CM33)</f>
        <v/>
      </c>
      <c r="CN44" s="361">
        <f>IF(CN$3="","",CN31+CN32+CN33)</f>
        <v/>
      </c>
      <c r="CO44" s="361">
        <f>IF(CO$3="","",CO31+CO32+CO33)</f>
        <v/>
      </c>
      <c r="CP44" s="361">
        <f>IF(CP$3="","",CP31+CP32+CP33)</f>
        <v/>
      </c>
      <c r="CQ44" s="361">
        <f>IF(CQ$3="","",CQ31+CQ32+CQ33)</f>
        <v/>
      </c>
      <c r="CR44" s="361">
        <f>IF(CR$3="","",CR31+CR32+CR33)</f>
        <v/>
      </c>
      <c r="CS44" s="361">
        <f>IF(CS$3="","",CS31+CS32+CS33)</f>
        <v/>
      </c>
      <c r="CT44" s="361">
        <f>IF(CT$3="","",CT31+CT32+CT33)</f>
        <v/>
      </c>
      <c r="CU44" s="361">
        <f>IF(CU$3="","",CU31+CU32+CU33)</f>
        <v/>
      </c>
      <c r="CV44" s="361">
        <f>IF(CV$3="","",CV31+CV32+CV33)</f>
        <v/>
      </c>
      <c r="CW44" s="361">
        <f>IF(CW$3="","",CW31+CW32+CW33)</f>
        <v/>
      </c>
    </row>
    <row r="45" ht="15" customHeight="1" s="180">
      <c r="A45" s="241" t="inlineStr">
        <is>
          <t>負債合計（参考）</t>
        </is>
      </c>
      <c r="B45" s="362">
        <f>IF(B$3="","",B34)</f>
        <v/>
      </c>
      <c r="C45" s="362">
        <f>IF(C$3="","",C34)</f>
        <v/>
      </c>
      <c r="D45" s="362">
        <f>IF(D$3="","",D34)</f>
        <v/>
      </c>
      <c r="E45" s="362">
        <f>IF(E$3="","",E34)</f>
        <v/>
      </c>
      <c r="F45" s="362">
        <f>IF(F$3="","",F34)</f>
        <v/>
      </c>
      <c r="G45" s="362">
        <f>IF(G$3="","",G34)</f>
        <v/>
      </c>
      <c r="H45" s="362">
        <f>IF(H$3="","",H34)</f>
        <v/>
      </c>
      <c r="I45" s="362">
        <f>IF(I$3="","",I34)</f>
        <v/>
      </c>
      <c r="J45" s="362">
        <f>IF(J$3="","",J34)</f>
        <v/>
      </c>
      <c r="K45" s="362">
        <f>IF(K$3="","",K34)</f>
        <v/>
      </c>
      <c r="L45" s="362">
        <f>IF(L$3="","",L34)</f>
        <v/>
      </c>
      <c r="M45" s="362">
        <f>IF(M$3="","",M34)</f>
        <v/>
      </c>
      <c r="N45" s="362">
        <f>IF(N$3="","",N34)</f>
        <v/>
      </c>
      <c r="O45" s="362">
        <f>IF(O$3="","",O34)</f>
        <v/>
      </c>
      <c r="P45" s="362">
        <f>IF(P$3="","",P34)</f>
        <v/>
      </c>
      <c r="Q45" s="362">
        <f>IF(Q$3="","",Q34)</f>
        <v/>
      </c>
      <c r="R45" s="362">
        <f>IF(R$3="","",R34)</f>
        <v/>
      </c>
      <c r="S45" s="362">
        <f>IF(S$3="","",S34)</f>
        <v/>
      </c>
      <c r="T45" s="362">
        <f>IF(T$3="","",T34)</f>
        <v/>
      </c>
      <c r="U45" s="362">
        <f>IF(U$3="","",U34)</f>
        <v/>
      </c>
      <c r="V45" s="362">
        <f>IF(V$3="","",V34)</f>
        <v/>
      </c>
      <c r="W45" s="362">
        <f>IF(W$3="","",W34)</f>
        <v/>
      </c>
      <c r="X45" s="362">
        <f>IF(X$3="","",X34)</f>
        <v/>
      </c>
      <c r="Y45" s="362">
        <f>IF(Y$3="","",Y34)</f>
        <v/>
      </c>
      <c r="Z45" s="362">
        <f>IF(Z$3="","",Z34)</f>
        <v/>
      </c>
      <c r="AA45" s="362">
        <f>IF(AA$3="","",AA34)</f>
        <v/>
      </c>
      <c r="AB45" s="362">
        <f>IF(AB$3="","",AB34)</f>
        <v/>
      </c>
      <c r="AC45" s="362">
        <f>IF(AC$3="","",AC34)</f>
        <v/>
      </c>
      <c r="AD45" s="362">
        <f>IF(AD$3="","",AD34)</f>
        <v/>
      </c>
      <c r="AE45" s="362">
        <f>IF(AE$3="","",AE34)</f>
        <v/>
      </c>
      <c r="AF45" s="362">
        <f>IF(AF$3="","",AF34)</f>
        <v/>
      </c>
      <c r="AG45" s="362">
        <f>IF(AG$3="","",AG34)</f>
        <v/>
      </c>
      <c r="AH45" s="362">
        <f>IF(AH$3="","",AH34)</f>
        <v/>
      </c>
      <c r="AI45" s="362">
        <f>IF(AI$3="","",AI34)</f>
        <v/>
      </c>
      <c r="AJ45" s="362">
        <f>IF(AJ$3="","",AJ34)</f>
        <v/>
      </c>
      <c r="AK45" s="362">
        <f>IF(AK$3="","",AK34)</f>
        <v/>
      </c>
      <c r="AL45" s="362">
        <f>IF(AL$3="","",AL34)</f>
        <v/>
      </c>
      <c r="AM45" s="362">
        <f>IF(AM$3="","",AM34)</f>
        <v/>
      </c>
      <c r="AN45" s="362">
        <f>IF(AN$3="","",AN34)</f>
        <v/>
      </c>
      <c r="AO45" s="362">
        <f>IF(AO$3="","",AO34)</f>
        <v/>
      </c>
      <c r="AP45" s="362">
        <f>IF(AP$3="","",AP34)</f>
        <v/>
      </c>
      <c r="AQ45" s="362">
        <f>IF(AQ$3="","",AQ34)</f>
        <v/>
      </c>
      <c r="AR45" s="362">
        <f>IF(AR$3="","",AR34)</f>
        <v/>
      </c>
      <c r="AS45" s="362">
        <f>IF(AS$3="","",AS34)</f>
        <v/>
      </c>
      <c r="AT45" s="362">
        <f>IF(AT$3="","",AT34)</f>
        <v/>
      </c>
      <c r="AU45" s="362">
        <f>IF(AU$3="","",AU34)</f>
        <v/>
      </c>
      <c r="AV45" s="362">
        <f>IF(AV$3="","",AV34)</f>
        <v/>
      </c>
      <c r="AW45" s="362">
        <f>IF(AW$3="","",AW34)</f>
        <v/>
      </c>
      <c r="AX45" s="362">
        <f>IF(AX$3="","",AX34)</f>
        <v/>
      </c>
      <c r="AY45" s="362">
        <f>IF(AY$3="","",AY34)</f>
        <v/>
      </c>
      <c r="AZ45" s="362">
        <f>IF(AZ$3="","",AZ34)</f>
        <v/>
      </c>
      <c r="BA45" s="362">
        <f>IF(BA$3="","",BA34)</f>
        <v/>
      </c>
      <c r="BB45" s="362">
        <f>IF(BB$3="","",BB34)</f>
        <v/>
      </c>
      <c r="BC45" s="362">
        <f>IF(BC$3="","",BC34)</f>
        <v/>
      </c>
      <c r="BD45" s="362">
        <f>IF(BD$3="","",BD34)</f>
        <v/>
      </c>
      <c r="BE45" s="362">
        <f>IF(BE$3="","",BE34)</f>
        <v/>
      </c>
      <c r="BF45" s="362">
        <f>IF(BF$3="","",BF34)</f>
        <v/>
      </c>
      <c r="BG45" s="362">
        <f>IF(BG$3="","",BG34)</f>
        <v/>
      </c>
      <c r="BH45" s="362">
        <f>IF(BH$3="","",BH34)</f>
        <v/>
      </c>
      <c r="BI45" s="362">
        <f>IF(BI$3="","",BI34)</f>
        <v/>
      </c>
      <c r="BJ45" s="362">
        <f>IF(BJ$3="","",BJ34)</f>
        <v/>
      </c>
      <c r="BK45" s="362">
        <f>IF(BK$3="","",BK34)</f>
        <v/>
      </c>
      <c r="BL45" s="362">
        <f>IF(BL$3="","",BL34)</f>
        <v/>
      </c>
      <c r="BM45" s="362">
        <f>IF(BM$3="","",BM34)</f>
        <v/>
      </c>
      <c r="BN45" s="362">
        <f>IF(BN$3="","",BN34)</f>
        <v/>
      </c>
      <c r="BO45" s="362">
        <f>IF(BO$3="","",BO34)</f>
        <v/>
      </c>
      <c r="BP45" s="362">
        <f>IF(BP$3="","",BP34)</f>
        <v/>
      </c>
      <c r="BQ45" s="361">
        <f>IF(BQ$3="","",BQ34)</f>
        <v/>
      </c>
      <c r="BR45" s="361">
        <f>IF(BR$3="","",BR34)</f>
        <v/>
      </c>
      <c r="BS45" s="361">
        <f>IF(BS$3="","",BS34)</f>
        <v/>
      </c>
      <c r="BT45" s="361">
        <f>IF(BT$3="","",BT34)</f>
        <v/>
      </c>
      <c r="BU45" s="361">
        <f>IF(BU$3="","",BU34)</f>
        <v/>
      </c>
      <c r="BV45" s="361">
        <f>IF(BV$3="","",BV34)</f>
        <v/>
      </c>
      <c r="BW45" s="361">
        <f>IF(BW$3="","",BW34)</f>
        <v/>
      </c>
      <c r="BX45" s="361">
        <f>IF(BX$3="","",BX34)</f>
        <v/>
      </c>
      <c r="BY45" s="361">
        <f>IF(BY$3="","",BY34)</f>
        <v/>
      </c>
      <c r="BZ45" s="361">
        <f>IF(BZ$3="","",BZ34)</f>
        <v/>
      </c>
      <c r="CA45" s="361">
        <f>IF(CA$3="","",CA34)</f>
        <v/>
      </c>
      <c r="CB45" s="361">
        <f>IF(CB$3="","",CB34)</f>
        <v/>
      </c>
      <c r="CC45" s="361">
        <f>IF(CC$3="","",CC34)</f>
        <v/>
      </c>
      <c r="CD45" s="361">
        <f>IF(CD$3="","",CD34)</f>
        <v/>
      </c>
      <c r="CE45" s="361">
        <f>IF(CE$3="","",CE34)</f>
        <v/>
      </c>
      <c r="CF45" s="361">
        <f>IF(CF$3="","",CF34)</f>
        <v/>
      </c>
      <c r="CG45" s="361">
        <f>IF(CG$3="","",CG34)</f>
        <v/>
      </c>
      <c r="CH45" s="361">
        <f>IF(CH$3="","",CH34)</f>
        <v/>
      </c>
      <c r="CI45" s="361">
        <f>IF(CI$3="","",CI34)</f>
        <v/>
      </c>
      <c r="CJ45" s="361">
        <f>IF(CJ$3="","",CJ34)</f>
        <v/>
      </c>
      <c r="CK45" s="361">
        <f>IF(CK$3="","",CK34)</f>
        <v/>
      </c>
      <c r="CL45" s="361">
        <f>IF(CL$3="","",CL34)</f>
        <v/>
      </c>
      <c r="CM45" s="361">
        <f>IF(CM$3="","",CM34)</f>
        <v/>
      </c>
      <c r="CN45" s="361">
        <f>IF(CN$3="","",CN34)</f>
        <v/>
      </c>
      <c r="CO45" s="361">
        <f>IF(CO$3="","",CO34)</f>
        <v/>
      </c>
      <c r="CP45" s="361">
        <f>IF(CP$3="","",CP34)</f>
        <v/>
      </c>
      <c r="CQ45" s="361">
        <f>IF(CQ$3="","",CQ34)</f>
        <v/>
      </c>
      <c r="CR45" s="361">
        <f>IF(CR$3="","",CR34)</f>
        <v/>
      </c>
      <c r="CS45" s="361">
        <f>IF(CS$3="","",CS34)</f>
        <v/>
      </c>
      <c r="CT45" s="361">
        <f>IF(CT$3="","",CT34)</f>
        <v/>
      </c>
      <c r="CU45" s="361">
        <f>IF(CU$3="","",CU34)</f>
        <v/>
      </c>
      <c r="CV45" s="361">
        <f>IF(CV$3="","",CV34)</f>
        <v/>
      </c>
      <c r="CW45" s="361">
        <f>IF(CW$3="","",CW34)</f>
        <v/>
      </c>
    </row>
    <row r="47" ht="24" customHeight="1" s="180">
      <c r="A47" s="363" t="inlineStr">
        <is>
          <t>※初版前提：奥様収入・奥様退職金・奥様年金を0、基本生活費圧縮、遺族年金・団信を反映。死亡保険金の受取額は未反映です。</t>
        </is>
      </c>
    </row>
  </sheetData>
  <mergeCells count="2">
    <mergeCell ref="A1:CW1"/>
    <mergeCell ref="A47:H4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CW4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4" customWidth="1" style="179" min="1" max="1"/>
    <col width="11" customWidth="1" style="179" min="2" max="101"/>
  </cols>
  <sheetData>
    <row r="1" ht="21" customHeight="1" s="180">
      <c r="A1" s="292" t="inlineStr">
        <is>
          <t>ライフプラン表（ご主人様働けない時）</t>
        </is>
      </c>
    </row>
    <row r="2" ht="15" customHeight="1" s="180">
      <c r="A2" s="214" t="inlineStr">
        <is>
          <t>試算終了年</t>
        </is>
      </c>
      <c r="B2" s="179">
        <f>MAX(IF(入力データ!$C$10&lt;&gt;"",YEAR(入力データ!$C$10)+100,0),IF(入力データ!$C$11&lt;&gt;"",YEAR(入力データ!$C$11)+100,0))</f>
        <v/>
      </c>
    </row>
    <row r="3" ht="15" customHeight="1" s="180">
      <c r="A3" s="215" t="inlineStr">
        <is>
          <t>年</t>
        </is>
      </c>
      <c r="B3" s="216">
        <f>IF(YEAR(入力データ!$C$5)&gt;$B$2,"",YEAR(入力データ!$C$5))</f>
        <v/>
      </c>
      <c r="C3" s="216">
        <f>IF(B3="","",IF(B3+1&gt;$B$2,"",B3+1))</f>
        <v/>
      </c>
      <c r="D3" s="216">
        <f>IF(C3="","",IF(C3+1&gt;$B$2,"",C3+1))</f>
        <v/>
      </c>
      <c r="E3" s="216">
        <f>IF(D3="","",IF(D3+1&gt;$B$2,"",D3+1))</f>
        <v/>
      </c>
      <c r="F3" s="216">
        <f>IF(E3="","",IF(E3+1&gt;$B$2,"",E3+1))</f>
        <v/>
      </c>
      <c r="G3" s="216">
        <f>IF(F3="","",IF(F3+1&gt;$B$2,"",F3+1))</f>
        <v/>
      </c>
      <c r="H3" s="216">
        <f>IF(G3="","",IF(G3+1&gt;$B$2,"",G3+1))</f>
        <v/>
      </c>
      <c r="I3" s="216">
        <f>IF(H3="","",IF(H3+1&gt;$B$2,"",H3+1))</f>
        <v/>
      </c>
      <c r="J3" s="216">
        <f>IF(I3="","",IF(I3+1&gt;$B$2,"",I3+1))</f>
        <v/>
      </c>
      <c r="K3" s="216">
        <f>IF(J3="","",IF(J3+1&gt;$B$2,"",J3+1))</f>
        <v/>
      </c>
      <c r="L3" s="216">
        <f>IF(K3="","",IF(K3+1&gt;$B$2,"",K3+1))</f>
        <v/>
      </c>
      <c r="M3" s="216">
        <f>IF(L3="","",IF(L3+1&gt;$B$2,"",L3+1))</f>
        <v/>
      </c>
      <c r="N3" s="216">
        <f>IF(M3="","",IF(M3+1&gt;$B$2,"",M3+1))</f>
        <v/>
      </c>
      <c r="O3" s="216">
        <f>IF(N3="","",IF(N3+1&gt;$B$2,"",N3+1))</f>
        <v/>
      </c>
      <c r="P3" s="216">
        <f>IF(O3="","",IF(O3+1&gt;$B$2,"",O3+1))</f>
        <v/>
      </c>
      <c r="Q3" s="216">
        <f>IF(P3="","",IF(P3+1&gt;$B$2,"",P3+1))</f>
        <v/>
      </c>
      <c r="R3" s="216">
        <f>IF(Q3="","",IF(Q3+1&gt;$B$2,"",Q3+1))</f>
        <v/>
      </c>
      <c r="S3" s="216">
        <f>IF(R3="","",IF(R3+1&gt;$B$2,"",R3+1))</f>
        <v/>
      </c>
      <c r="T3" s="216">
        <f>IF(S3="","",IF(S3+1&gt;$B$2,"",S3+1))</f>
        <v/>
      </c>
      <c r="U3" s="216">
        <f>IF(T3="","",IF(T3+1&gt;$B$2,"",T3+1))</f>
        <v/>
      </c>
      <c r="V3" s="216">
        <f>IF(U3="","",IF(U3+1&gt;$B$2,"",U3+1))</f>
        <v/>
      </c>
      <c r="W3" s="216">
        <f>IF(V3="","",IF(V3+1&gt;$B$2,"",V3+1))</f>
        <v/>
      </c>
      <c r="X3" s="216">
        <f>IF(W3="","",IF(W3+1&gt;$B$2,"",W3+1))</f>
        <v/>
      </c>
      <c r="Y3" s="216">
        <f>IF(X3="","",IF(X3+1&gt;$B$2,"",X3+1))</f>
        <v/>
      </c>
      <c r="Z3" s="216">
        <f>IF(Y3="","",IF(Y3+1&gt;$B$2,"",Y3+1))</f>
        <v/>
      </c>
      <c r="AA3" s="216">
        <f>IF(Z3="","",IF(Z3+1&gt;$B$2,"",Z3+1))</f>
        <v/>
      </c>
      <c r="AB3" s="216">
        <f>IF(AA3="","",IF(AA3+1&gt;$B$2,"",AA3+1))</f>
        <v/>
      </c>
      <c r="AC3" s="216">
        <f>IF(AB3="","",IF(AB3+1&gt;$B$2,"",AB3+1))</f>
        <v/>
      </c>
      <c r="AD3" s="216">
        <f>IF(AC3="","",IF(AC3+1&gt;$B$2,"",AC3+1))</f>
        <v/>
      </c>
      <c r="AE3" s="216">
        <f>IF(AD3="","",IF(AD3+1&gt;$B$2,"",AD3+1))</f>
        <v/>
      </c>
      <c r="AF3" s="216">
        <f>IF(AE3="","",IF(AE3+1&gt;$B$2,"",AE3+1))</f>
        <v/>
      </c>
      <c r="AG3" s="216">
        <f>IF(AF3="","",IF(AF3+1&gt;$B$2,"",AF3+1))</f>
        <v/>
      </c>
      <c r="AH3" s="216">
        <f>IF(AG3="","",IF(AG3+1&gt;$B$2,"",AG3+1))</f>
        <v/>
      </c>
      <c r="AI3" s="216">
        <f>IF(AH3="","",IF(AH3+1&gt;$B$2,"",AH3+1))</f>
        <v/>
      </c>
      <c r="AJ3" s="216">
        <f>IF(AI3="","",IF(AI3+1&gt;$B$2,"",AI3+1))</f>
        <v/>
      </c>
      <c r="AK3" s="216">
        <f>IF(AJ3="","",IF(AJ3+1&gt;$B$2,"",AJ3+1))</f>
        <v/>
      </c>
      <c r="AL3" s="216">
        <f>IF(AK3="","",IF(AK3+1&gt;$B$2,"",AK3+1))</f>
        <v/>
      </c>
      <c r="AM3" s="216">
        <f>IF(AL3="","",IF(AL3+1&gt;$B$2,"",AL3+1))</f>
        <v/>
      </c>
      <c r="AN3" s="216">
        <f>IF(AM3="","",IF(AM3+1&gt;$B$2,"",AM3+1))</f>
        <v/>
      </c>
      <c r="AO3" s="216">
        <f>IF(AN3="","",IF(AN3+1&gt;$B$2,"",AN3+1))</f>
        <v/>
      </c>
      <c r="AP3" s="216">
        <f>IF(AO3="","",IF(AO3+1&gt;$B$2,"",AO3+1))</f>
        <v/>
      </c>
      <c r="AQ3" s="216">
        <f>IF(AP3="","",IF(AP3+1&gt;$B$2,"",AP3+1))</f>
        <v/>
      </c>
      <c r="AR3" s="216">
        <f>IF(AQ3="","",IF(AQ3+1&gt;$B$2,"",AQ3+1))</f>
        <v/>
      </c>
      <c r="AS3" s="216">
        <f>IF(AR3="","",IF(AR3+1&gt;$B$2,"",AR3+1))</f>
        <v/>
      </c>
      <c r="AT3" s="216">
        <f>IF(AS3="","",IF(AS3+1&gt;$B$2,"",AS3+1))</f>
        <v/>
      </c>
      <c r="AU3" s="216">
        <f>IF(AT3="","",IF(AT3+1&gt;$B$2,"",AT3+1))</f>
        <v/>
      </c>
      <c r="AV3" s="216">
        <f>IF(AU3="","",IF(AU3+1&gt;$B$2,"",AU3+1))</f>
        <v/>
      </c>
      <c r="AW3" s="216">
        <f>IF(AV3="","",IF(AV3+1&gt;$B$2,"",AV3+1))</f>
        <v/>
      </c>
      <c r="AX3" s="216">
        <f>IF(AW3="","",IF(AW3+1&gt;$B$2,"",AW3+1))</f>
        <v/>
      </c>
      <c r="AY3" s="216">
        <f>IF(AX3="","",IF(AX3+1&gt;$B$2,"",AX3+1))</f>
        <v/>
      </c>
      <c r="AZ3" s="216">
        <f>IF(AY3="","",IF(AY3+1&gt;$B$2,"",AY3+1))</f>
        <v/>
      </c>
      <c r="BA3" s="216">
        <f>IF(AZ3="","",IF(AZ3+1&gt;$B$2,"",AZ3+1))</f>
        <v/>
      </c>
      <c r="BB3" s="216">
        <f>IF(BA3="","",IF(BA3+1&gt;$B$2,"",BA3+1))</f>
        <v/>
      </c>
      <c r="BC3" s="216">
        <f>IF(BB3="","",IF(BB3+1&gt;$B$2,"",BB3+1))</f>
        <v/>
      </c>
      <c r="BD3" s="216">
        <f>IF(BC3="","",IF(BC3+1&gt;$B$2,"",BC3+1))</f>
        <v/>
      </c>
      <c r="BE3" s="216">
        <f>IF(BD3="","",IF(BD3+1&gt;$B$2,"",BD3+1))</f>
        <v/>
      </c>
      <c r="BF3" s="216">
        <f>IF(BE3="","",IF(BE3+1&gt;$B$2,"",BE3+1))</f>
        <v/>
      </c>
      <c r="BG3" s="216">
        <f>IF(BF3="","",IF(BF3+1&gt;$B$2,"",BF3+1))</f>
        <v/>
      </c>
      <c r="BH3" s="216">
        <f>IF(BG3="","",IF(BG3+1&gt;$B$2,"",BG3+1))</f>
        <v/>
      </c>
      <c r="BI3" s="216">
        <f>IF(BH3="","",IF(BH3+1&gt;$B$2,"",BH3+1))</f>
        <v/>
      </c>
      <c r="BJ3" s="216">
        <f>IF(BI3="","",IF(BI3+1&gt;$B$2,"",BI3+1))</f>
        <v/>
      </c>
      <c r="BK3" s="216">
        <f>IF(BJ3="","",IF(BJ3+1&gt;$B$2,"",BJ3+1))</f>
        <v/>
      </c>
      <c r="BL3" s="216">
        <f>IF(BK3="","",IF(BK3+1&gt;$B$2,"",BK3+1))</f>
        <v/>
      </c>
      <c r="BM3" s="216">
        <f>IF(BL3="","",IF(BL3+1&gt;$B$2,"",BL3+1))</f>
        <v/>
      </c>
      <c r="BN3" s="216">
        <f>IF(BM3="","",IF(BM3+1&gt;$B$2,"",BM3+1))</f>
        <v/>
      </c>
      <c r="BO3" s="216">
        <f>IF(BN3="","",IF(BN3+1&gt;$B$2,"",BN3+1))</f>
        <v/>
      </c>
      <c r="BP3" s="216">
        <f>IF(BO3="","",IF(BO3+1&gt;$B$2,"",BO3+1))</f>
        <v/>
      </c>
      <c r="BQ3" s="216">
        <f>IF(BP3="","",IF(BP3+1&gt;$B$2,"",BP3+1))</f>
        <v/>
      </c>
      <c r="BR3" s="216">
        <f>IF(BQ3="","",IF(BQ3+1&gt;$B$2,"",BQ3+1))</f>
        <v/>
      </c>
      <c r="BS3" s="216">
        <f>IF(BR3="","",IF(BR3+1&gt;$B$2,"",BR3+1))</f>
        <v/>
      </c>
      <c r="BT3" s="216">
        <f>IF(BS3="","",IF(BS3+1&gt;$B$2,"",BS3+1))</f>
        <v/>
      </c>
      <c r="BU3" s="216">
        <f>IF(BT3="","",IF(BT3+1&gt;$B$2,"",BT3+1))</f>
        <v/>
      </c>
      <c r="BV3" s="216">
        <f>IF(BU3="","",IF(BU3+1&gt;$B$2,"",BU3+1))</f>
        <v/>
      </c>
      <c r="BW3" s="216">
        <f>IF(BV3="","",IF(BV3+1&gt;$B$2,"",BV3+1))</f>
        <v/>
      </c>
      <c r="BX3" s="216">
        <f>IF(BW3="","",IF(BW3+1&gt;$B$2,"",BW3+1))</f>
        <v/>
      </c>
      <c r="BY3" s="216">
        <f>IF(BX3="","",IF(BX3+1&gt;$B$2,"",BX3+1))</f>
        <v/>
      </c>
      <c r="BZ3" s="216">
        <f>IF(BY3="","",IF(BY3+1&gt;$B$2,"",BY3+1))</f>
        <v/>
      </c>
      <c r="CA3" s="216">
        <f>IF(BZ3="","",IF(BZ3+1&gt;$B$2,"",BZ3+1))</f>
        <v/>
      </c>
      <c r="CB3" s="216">
        <f>IF(CA3="","",IF(CA3+1&gt;$B$2,"",CA3+1))</f>
        <v/>
      </c>
      <c r="CC3" s="216">
        <f>IF(CB3="","",IF(CB3+1&gt;$B$2,"",CB3+1))</f>
        <v/>
      </c>
      <c r="CD3" s="216">
        <f>IF(CC3="","",IF(CC3+1&gt;$B$2,"",CC3+1))</f>
        <v/>
      </c>
      <c r="CE3" s="216">
        <f>IF(CD3="","",IF(CD3+1&gt;$B$2,"",CD3+1))</f>
        <v/>
      </c>
      <c r="CF3" s="216">
        <f>IF(CE3="","",IF(CE3+1&gt;$B$2,"",CE3+1))</f>
        <v/>
      </c>
      <c r="CG3" s="216">
        <f>IF(CF3="","",IF(CF3+1&gt;$B$2,"",CF3+1))</f>
        <v/>
      </c>
      <c r="CH3" s="216">
        <f>IF(CG3="","",IF(CG3+1&gt;$B$2,"",CG3+1))</f>
        <v/>
      </c>
      <c r="CI3" s="216">
        <f>IF(CH3="","",IF(CH3+1&gt;$B$2,"",CH3+1))</f>
        <v/>
      </c>
      <c r="CJ3" s="216">
        <f>IF(CI3="","",IF(CI3+1&gt;$B$2,"",CI3+1))</f>
        <v/>
      </c>
      <c r="CK3" s="216">
        <f>IF(CJ3="","",IF(CJ3+1&gt;$B$2,"",CJ3+1))</f>
        <v/>
      </c>
      <c r="CL3" s="216">
        <f>IF(CK3="","",IF(CK3+1&gt;$B$2,"",CK3+1))</f>
        <v/>
      </c>
      <c r="CM3" s="216">
        <f>IF(CL3="","",IF(CL3+1&gt;$B$2,"",CL3+1))</f>
        <v/>
      </c>
      <c r="CN3" s="216">
        <f>IF(CM3="","",IF(CM3+1&gt;$B$2,"",CM3+1))</f>
        <v/>
      </c>
      <c r="CO3" s="216">
        <f>IF(CN3="","",IF(CN3+1&gt;$B$2,"",CN3+1))</f>
        <v/>
      </c>
      <c r="CP3" s="216">
        <f>IF(CO3="","",IF(CO3+1&gt;$B$2,"",CO3+1))</f>
        <v/>
      </c>
      <c r="CQ3" s="216">
        <f>IF(CP3="","",IF(CP3+1&gt;$B$2,"",CP3+1))</f>
        <v/>
      </c>
      <c r="CR3" s="216">
        <f>IF(CQ3="","",IF(CQ3+1&gt;$B$2,"",CQ3+1))</f>
        <v/>
      </c>
      <c r="CS3" s="216">
        <f>IF(CR3="","",IF(CR3+1&gt;$B$2,"",CR3+1))</f>
        <v/>
      </c>
      <c r="CT3" s="216">
        <f>IF(CS3="","",IF(CS3+1&gt;$B$2,"",CS3+1))</f>
        <v/>
      </c>
      <c r="CU3" s="216">
        <f>IF(CT3="","",IF(CT3+1&gt;$B$2,"",CT3+1))</f>
        <v/>
      </c>
      <c r="CV3" s="216">
        <f>IF(CU3="","",IF(CU3+1&gt;$B$2,"",CU3+1))</f>
        <v/>
      </c>
      <c r="CW3" s="216">
        <f>IF(CV3="","",IF(CV3+1&gt;$B$2,"",CV3+1))</f>
        <v/>
      </c>
    </row>
    <row r="4" ht="15" customHeight="1" s="180">
      <c r="A4" s="217" t="inlineStr">
        <is>
          <t>ご主人様年齢</t>
        </is>
      </c>
      <c r="B4" s="218">
        <f>IF(B$3="","",IF(入力データ!$C$10="","",YEAR(DATE(B$3,12,31))-YEAR(入力データ!$C$10)-IF(DATE(B$3,12,31)&lt;DATE(B$3,MONTH(入力データ!$C$10),DAY(入力データ!$C$10)),1,0)))</f>
        <v/>
      </c>
      <c r="C4" s="218">
        <f>IF(C$3="","",IF(入力データ!$C$10="","",YEAR(DATE(C$3,12,31))-YEAR(入力データ!$C$10)-IF(DATE(C$3,12,31)&lt;DATE(C$3,MONTH(入力データ!$C$10),DAY(入力データ!$C$10)),1,0)))</f>
        <v/>
      </c>
      <c r="D4" s="218">
        <f>IF(D$3="","",IF(入力データ!$C$10="","",YEAR(DATE(D$3,12,31))-YEAR(入力データ!$C$10)-IF(DATE(D$3,12,31)&lt;DATE(D$3,MONTH(入力データ!$C$10),DAY(入力データ!$C$10)),1,0)))</f>
        <v/>
      </c>
      <c r="E4" s="218">
        <f>IF(E$3="","",IF(入力データ!$C$10="","",YEAR(DATE(E$3,12,31))-YEAR(入力データ!$C$10)-IF(DATE(E$3,12,31)&lt;DATE(E$3,MONTH(入力データ!$C$10),DAY(入力データ!$C$10)),1,0)))</f>
        <v/>
      </c>
      <c r="F4" s="218">
        <f>IF(F$3="","",IF(入力データ!$C$10="","",YEAR(DATE(F$3,12,31))-YEAR(入力データ!$C$10)-IF(DATE(F$3,12,31)&lt;DATE(F$3,MONTH(入力データ!$C$10),DAY(入力データ!$C$10)),1,0)))</f>
        <v/>
      </c>
      <c r="G4" s="218">
        <f>IF(G$3="","",IF(入力データ!$C$10="","",YEAR(DATE(G$3,12,31))-YEAR(入力データ!$C$10)-IF(DATE(G$3,12,31)&lt;DATE(G$3,MONTH(入力データ!$C$10),DAY(入力データ!$C$10)),1,0)))</f>
        <v/>
      </c>
      <c r="H4" s="218">
        <f>IF(H$3="","",IF(入力データ!$C$10="","",YEAR(DATE(H$3,12,31))-YEAR(入力データ!$C$10)-IF(DATE(H$3,12,31)&lt;DATE(H$3,MONTH(入力データ!$C$10),DAY(入力データ!$C$10)),1,0)))</f>
        <v/>
      </c>
      <c r="I4" s="218">
        <f>IF(I$3="","",IF(入力データ!$C$10="","",YEAR(DATE(I$3,12,31))-YEAR(入力データ!$C$10)-IF(DATE(I$3,12,31)&lt;DATE(I$3,MONTH(入力データ!$C$10),DAY(入力データ!$C$10)),1,0)))</f>
        <v/>
      </c>
      <c r="J4" s="218">
        <f>IF(J$3="","",IF(入力データ!$C$10="","",YEAR(DATE(J$3,12,31))-YEAR(入力データ!$C$10)-IF(DATE(J$3,12,31)&lt;DATE(J$3,MONTH(入力データ!$C$10),DAY(入力データ!$C$10)),1,0)))</f>
        <v/>
      </c>
      <c r="K4" s="218">
        <f>IF(K$3="","",IF(入力データ!$C$10="","",YEAR(DATE(K$3,12,31))-YEAR(入力データ!$C$10)-IF(DATE(K$3,12,31)&lt;DATE(K$3,MONTH(入力データ!$C$10),DAY(入力データ!$C$10)),1,0)))</f>
        <v/>
      </c>
      <c r="L4" s="218">
        <f>IF(L$3="","",IF(入力データ!$C$10="","",YEAR(DATE(L$3,12,31))-YEAR(入力データ!$C$10)-IF(DATE(L$3,12,31)&lt;DATE(L$3,MONTH(入力データ!$C$10),DAY(入力データ!$C$10)),1,0)))</f>
        <v/>
      </c>
      <c r="M4" s="218">
        <f>IF(M$3="","",IF(入力データ!$C$10="","",YEAR(DATE(M$3,12,31))-YEAR(入力データ!$C$10)-IF(DATE(M$3,12,31)&lt;DATE(M$3,MONTH(入力データ!$C$10),DAY(入力データ!$C$10)),1,0)))</f>
        <v/>
      </c>
      <c r="N4" s="218">
        <f>IF(N$3="","",IF(入力データ!$C$10="","",YEAR(DATE(N$3,12,31))-YEAR(入力データ!$C$10)-IF(DATE(N$3,12,31)&lt;DATE(N$3,MONTH(入力データ!$C$10),DAY(入力データ!$C$10)),1,0)))</f>
        <v/>
      </c>
      <c r="O4" s="218">
        <f>IF(O$3="","",IF(入力データ!$C$10="","",YEAR(DATE(O$3,12,31))-YEAR(入力データ!$C$10)-IF(DATE(O$3,12,31)&lt;DATE(O$3,MONTH(入力データ!$C$10),DAY(入力データ!$C$10)),1,0)))</f>
        <v/>
      </c>
      <c r="P4" s="218">
        <f>IF(P$3="","",IF(入力データ!$C$10="","",YEAR(DATE(P$3,12,31))-YEAR(入力データ!$C$10)-IF(DATE(P$3,12,31)&lt;DATE(P$3,MONTH(入力データ!$C$10),DAY(入力データ!$C$10)),1,0)))</f>
        <v/>
      </c>
      <c r="Q4" s="218">
        <f>IF(Q$3="","",IF(入力データ!$C$10="","",YEAR(DATE(Q$3,12,31))-YEAR(入力データ!$C$10)-IF(DATE(Q$3,12,31)&lt;DATE(Q$3,MONTH(入力データ!$C$10),DAY(入力データ!$C$10)),1,0)))</f>
        <v/>
      </c>
      <c r="R4" s="218">
        <f>IF(R$3="","",IF(入力データ!$C$10="","",YEAR(DATE(R$3,12,31))-YEAR(入力データ!$C$10)-IF(DATE(R$3,12,31)&lt;DATE(R$3,MONTH(入力データ!$C$10),DAY(入力データ!$C$10)),1,0)))</f>
        <v/>
      </c>
      <c r="S4" s="218">
        <f>IF(S$3="","",IF(入力データ!$C$10="","",YEAR(DATE(S$3,12,31))-YEAR(入力データ!$C$10)-IF(DATE(S$3,12,31)&lt;DATE(S$3,MONTH(入力データ!$C$10),DAY(入力データ!$C$10)),1,0)))</f>
        <v/>
      </c>
      <c r="T4" s="218">
        <f>IF(T$3="","",IF(入力データ!$C$10="","",YEAR(DATE(T$3,12,31))-YEAR(入力データ!$C$10)-IF(DATE(T$3,12,31)&lt;DATE(T$3,MONTH(入力データ!$C$10),DAY(入力データ!$C$10)),1,0)))</f>
        <v/>
      </c>
      <c r="U4" s="218">
        <f>IF(U$3="","",IF(入力データ!$C$10="","",YEAR(DATE(U$3,12,31))-YEAR(入力データ!$C$10)-IF(DATE(U$3,12,31)&lt;DATE(U$3,MONTH(入力データ!$C$10),DAY(入力データ!$C$10)),1,0)))</f>
        <v/>
      </c>
      <c r="V4" s="218">
        <f>IF(V$3="","",IF(入力データ!$C$10="","",YEAR(DATE(V$3,12,31))-YEAR(入力データ!$C$10)-IF(DATE(V$3,12,31)&lt;DATE(V$3,MONTH(入力データ!$C$10),DAY(入力データ!$C$10)),1,0)))</f>
        <v/>
      </c>
      <c r="W4" s="218">
        <f>IF(W$3="","",IF(入力データ!$C$10="","",YEAR(DATE(W$3,12,31))-YEAR(入力データ!$C$10)-IF(DATE(W$3,12,31)&lt;DATE(W$3,MONTH(入力データ!$C$10),DAY(入力データ!$C$10)),1,0)))</f>
        <v/>
      </c>
      <c r="X4" s="218">
        <f>IF(X$3="","",IF(入力データ!$C$10="","",YEAR(DATE(X$3,12,31))-YEAR(入力データ!$C$10)-IF(DATE(X$3,12,31)&lt;DATE(X$3,MONTH(入力データ!$C$10),DAY(入力データ!$C$10)),1,0)))</f>
        <v/>
      </c>
      <c r="Y4" s="218">
        <f>IF(Y$3="","",IF(入力データ!$C$10="","",YEAR(DATE(Y$3,12,31))-YEAR(入力データ!$C$10)-IF(DATE(Y$3,12,31)&lt;DATE(Y$3,MONTH(入力データ!$C$10),DAY(入力データ!$C$10)),1,0)))</f>
        <v/>
      </c>
      <c r="Z4" s="218">
        <f>IF(Z$3="","",IF(入力データ!$C$10="","",YEAR(DATE(Z$3,12,31))-YEAR(入力データ!$C$10)-IF(DATE(Z$3,12,31)&lt;DATE(Z$3,MONTH(入力データ!$C$10),DAY(入力データ!$C$10)),1,0)))</f>
        <v/>
      </c>
      <c r="AA4" s="218">
        <f>IF(AA$3="","",IF(入力データ!$C$10="","",YEAR(DATE(AA$3,12,31))-YEAR(入力データ!$C$10)-IF(DATE(AA$3,12,31)&lt;DATE(AA$3,MONTH(入力データ!$C$10),DAY(入力データ!$C$10)),1,0)))</f>
        <v/>
      </c>
      <c r="AB4" s="218">
        <f>IF(AB$3="","",IF(入力データ!$C$10="","",YEAR(DATE(AB$3,12,31))-YEAR(入力データ!$C$10)-IF(DATE(AB$3,12,31)&lt;DATE(AB$3,MONTH(入力データ!$C$10),DAY(入力データ!$C$10)),1,0)))</f>
        <v/>
      </c>
      <c r="AC4" s="218">
        <f>IF(AC$3="","",IF(入力データ!$C$10="","",YEAR(DATE(AC$3,12,31))-YEAR(入力データ!$C$10)-IF(DATE(AC$3,12,31)&lt;DATE(AC$3,MONTH(入力データ!$C$10),DAY(入力データ!$C$10)),1,0)))</f>
        <v/>
      </c>
      <c r="AD4" s="218">
        <f>IF(AD$3="","",IF(入力データ!$C$10="","",YEAR(DATE(AD$3,12,31))-YEAR(入力データ!$C$10)-IF(DATE(AD$3,12,31)&lt;DATE(AD$3,MONTH(入力データ!$C$10),DAY(入力データ!$C$10)),1,0)))</f>
        <v/>
      </c>
      <c r="AE4" s="218">
        <f>IF(AE$3="","",IF(入力データ!$C$10="","",YEAR(DATE(AE$3,12,31))-YEAR(入力データ!$C$10)-IF(DATE(AE$3,12,31)&lt;DATE(AE$3,MONTH(入力データ!$C$10),DAY(入力データ!$C$10)),1,0)))</f>
        <v/>
      </c>
      <c r="AF4" s="218">
        <f>IF(AF$3="","",IF(入力データ!$C$10="","",YEAR(DATE(AF$3,12,31))-YEAR(入力データ!$C$10)-IF(DATE(AF$3,12,31)&lt;DATE(AF$3,MONTH(入力データ!$C$10),DAY(入力データ!$C$10)),1,0)))</f>
        <v/>
      </c>
      <c r="AG4" s="218">
        <f>IF(AG$3="","",IF(入力データ!$C$10="","",YEAR(DATE(AG$3,12,31))-YEAR(入力データ!$C$10)-IF(DATE(AG$3,12,31)&lt;DATE(AG$3,MONTH(入力データ!$C$10),DAY(入力データ!$C$10)),1,0)))</f>
        <v/>
      </c>
      <c r="AH4" s="218">
        <f>IF(AH$3="","",IF(入力データ!$C$10="","",YEAR(DATE(AH$3,12,31))-YEAR(入力データ!$C$10)-IF(DATE(AH$3,12,31)&lt;DATE(AH$3,MONTH(入力データ!$C$10),DAY(入力データ!$C$10)),1,0)))</f>
        <v/>
      </c>
      <c r="AI4" s="218">
        <f>IF(AI$3="","",IF(入力データ!$C$10="","",YEAR(DATE(AI$3,12,31))-YEAR(入力データ!$C$10)-IF(DATE(AI$3,12,31)&lt;DATE(AI$3,MONTH(入力データ!$C$10),DAY(入力データ!$C$10)),1,0)))</f>
        <v/>
      </c>
      <c r="AJ4" s="218">
        <f>IF(AJ$3="","",IF(入力データ!$C$10="","",YEAR(DATE(AJ$3,12,31))-YEAR(入力データ!$C$10)-IF(DATE(AJ$3,12,31)&lt;DATE(AJ$3,MONTH(入力データ!$C$10),DAY(入力データ!$C$10)),1,0)))</f>
        <v/>
      </c>
      <c r="AK4" s="218">
        <f>IF(AK$3="","",IF(入力データ!$C$10="","",YEAR(DATE(AK$3,12,31))-YEAR(入力データ!$C$10)-IF(DATE(AK$3,12,31)&lt;DATE(AK$3,MONTH(入力データ!$C$10),DAY(入力データ!$C$10)),1,0)))</f>
        <v/>
      </c>
      <c r="AL4" s="218">
        <f>IF(AL$3="","",IF(入力データ!$C$10="","",YEAR(DATE(AL$3,12,31))-YEAR(入力データ!$C$10)-IF(DATE(AL$3,12,31)&lt;DATE(AL$3,MONTH(入力データ!$C$10),DAY(入力データ!$C$10)),1,0)))</f>
        <v/>
      </c>
      <c r="AM4" s="218">
        <f>IF(AM$3="","",IF(入力データ!$C$10="","",YEAR(DATE(AM$3,12,31))-YEAR(入力データ!$C$10)-IF(DATE(AM$3,12,31)&lt;DATE(AM$3,MONTH(入力データ!$C$10),DAY(入力データ!$C$10)),1,0)))</f>
        <v/>
      </c>
      <c r="AN4" s="218">
        <f>IF(AN$3="","",IF(入力データ!$C$10="","",YEAR(DATE(AN$3,12,31))-YEAR(入力データ!$C$10)-IF(DATE(AN$3,12,31)&lt;DATE(AN$3,MONTH(入力データ!$C$10),DAY(入力データ!$C$10)),1,0)))</f>
        <v/>
      </c>
      <c r="AO4" s="218">
        <f>IF(AO$3="","",IF(入力データ!$C$10="","",YEAR(DATE(AO$3,12,31))-YEAR(入力データ!$C$10)-IF(DATE(AO$3,12,31)&lt;DATE(AO$3,MONTH(入力データ!$C$10),DAY(入力データ!$C$10)),1,0)))</f>
        <v/>
      </c>
      <c r="AP4" s="218">
        <f>IF(AP$3="","",IF(入力データ!$C$10="","",YEAR(DATE(AP$3,12,31))-YEAR(入力データ!$C$10)-IF(DATE(AP$3,12,31)&lt;DATE(AP$3,MONTH(入力データ!$C$10),DAY(入力データ!$C$10)),1,0)))</f>
        <v/>
      </c>
      <c r="AQ4" s="218">
        <f>IF(AQ$3="","",IF(入力データ!$C$10="","",YEAR(DATE(AQ$3,12,31))-YEAR(入力データ!$C$10)-IF(DATE(AQ$3,12,31)&lt;DATE(AQ$3,MONTH(入力データ!$C$10),DAY(入力データ!$C$10)),1,0)))</f>
        <v/>
      </c>
      <c r="AR4" s="218">
        <f>IF(AR$3="","",IF(入力データ!$C$10="","",YEAR(DATE(AR$3,12,31))-YEAR(入力データ!$C$10)-IF(DATE(AR$3,12,31)&lt;DATE(AR$3,MONTH(入力データ!$C$10),DAY(入力データ!$C$10)),1,0)))</f>
        <v/>
      </c>
      <c r="AS4" s="218">
        <f>IF(AS$3="","",IF(入力データ!$C$10="","",YEAR(DATE(AS$3,12,31))-YEAR(入力データ!$C$10)-IF(DATE(AS$3,12,31)&lt;DATE(AS$3,MONTH(入力データ!$C$10),DAY(入力データ!$C$10)),1,0)))</f>
        <v/>
      </c>
      <c r="AT4" s="218">
        <f>IF(AT$3="","",IF(入力データ!$C$10="","",YEAR(DATE(AT$3,12,31))-YEAR(入力データ!$C$10)-IF(DATE(AT$3,12,31)&lt;DATE(AT$3,MONTH(入力データ!$C$10),DAY(入力データ!$C$10)),1,0)))</f>
        <v/>
      </c>
      <c r="AU4" s="218">
        <f>IF(AU$3="","",IF(入力データ!$C$10="","",YEAR(DATE(AU$3,12,31))-YEAR(入力データ!$C$10)-IF(DATE(AU$3,12,31)&lt;DATE(AU$3,MONTH(入力データ!$C$10),DAY(入力データ!$C$10)),1,0)))</f>
        <v/>
      </c>
      <c r="AV4" s="218">
        <f>IF(AV$3="","",IF(入力データ!$C$10="","",YEAR(DATE(AV$3,12,31))-YEAR(入力データ!$C$10)-IF(DATE(AV$3,12,31)&lt;DATE(AV$3,MONTH(入力データ!$C$10),DAY(入力データ!$C$10)),1,0)))</f>
        <v/>
      </c>
      <c r="AW4" s="218">
        <f>IF(AW$3="","",IF(入力データ!$C$10="","",YEAR(DATE(AW$3,12,31))-YEAR(入力データ!$C$10)-IF(DATE(AW$3,12,31)&lt;DATE(AW$3,MONTH(入力データ!$C$10),DAY(入力データ!$C$10)),1,0)))</f>
        <v/>
      </c>
      <c r="AX4" s="218">
        <f>IF(AX$3="","",IF(入力データ!$C$10="","",YEAR(DATE(AX$3,12,31))-YEAR(入力データ!$C$10)-IF(DATE(AX$3,12,31)&lt;DATE(AX$3,MONTH(入力データ!$C$10),DAY(入力データ!$C$10)),1,0)))</f>
        <v/>
      </c>
      <c r="AY4" s="218">
        <f>IF(AY$3="","",IF(入力データ!$C$10="","",YEAR(DATE(AY$3,12,31))-YEAR(入力データ!$C$10)-IF(DATE(AY$3,12,31)&lt;DATE(AY$3,MONTH(入力データ!$C$10),DAY(入力データ!$C$10)),1,0)))</f>
        <v/>
      </c>
      <c r="AZ4" s="218">
        <f>IF(AZ$3="","",IF(入力データ!$C$10="","",YEAR(DATE(AZ$3,12,31))-YEAR(入力データ!$C$10)-IF(DATE(AZ$3,12,31)&lt;DATE(AZ$3,MONTH(入力データ!$C$10),DAY(入力データ!$C$10)),1,0)))</f>
        <v/>
      </c>
      <c r="BA4" s="218">
        <f>IF(BA$3="","",IF(入力データ!$C$10="","",YEAR(DATE(BA$3,12,31))-YEAR(入力データ!$C$10)-IF(DATE(BA$3,12,31)&lt;DATE(BA$3,MONTH(入力データ!$C$10),DAY(入力データ!$C$10)),1,0)))</f>
        <v/>
      </c>
      <c r="BB4" s="218">
        <f>IF(BB$3="","",IF(入力データ!$C$10="","",YEAR(DATE(BB$3,12,31))-YEAR(入力データ!$C$10)-IF(DATE(BB$3,12,31)&lt;DATE(BB$3,MONTH(入力データ!$C$10),DAY(入力データ!$C$10)),1,0)))</f>
        <v/>
      </c>
      <c r="BC4" s="218">
        <f>IF(BC$3="","",IF(入力データ!$C$10="","",YEAR(DATE(BC$3,12,31))-YEAR(入力データ!$C$10)-IF(DATE(BC$3,12,31)&lt;DATE(BC$3,MONTH(入力データ!$C$10),DAY(入力データ!$C$10)),1,0)))</f>
        <v/>
      </c>
      <c r="BD4" s="218">
        <f>IF(BD$3="","",IF(入力データ!$C$10="","",YEAR(DATE(BD$3,12,31))-YEAR(入力データ!$C$10)-IF(DATE(BD$3,12,31)&lt;DATE(BD$3,MONTH(入力データ!$C$10),DAY(入力データ!$C$10)),1,0)))</f>
        <v/>
      </c>
      <c r="BE4" s="218">
        <f>IF(BE$3="","",IF(入力データ!$C$10="","",YEAR(DATE(BE$3,12,31))-YEAR(入力データ!$C$10)-IF(DATE(BE$3,12,31)&lt;DATE(BE$3,MONTH(入力データ!$C$10),DAY(入力データ!$C$10)),1,0)))</f>
        <v/>
      </c>
      <c r="BF4" s="218">
        <f>IF(BF$3="","",IF(入力データ!$C$10="","",YEAR(DATE(BF$3,12,31))-YEAR(入力データ!$C$10)-IF(DATE(BF$3,12,31)&lt;DATE(BF$3,MONTH(入力データ!$C$10),DAY(入力データ!$C$10)),1,0)))</f>
        <v/>
      </c>
      <c r="BG4" s="218">
        <f>IF(BG$3="","",IF(入力データ!$C$10="","",YEAR(DATE(BG$3,12,31))-YEAR(入力データ!$C$10)-IF(DATE(BG$3,12,31)&lt;DATE(BG$3,MONTH(入力データ!$C$10),DAY(入力データ!$C$10)),1,0)))</f>
        <v/>
      </c>
      <c r="BH4" s="218">
        <f>IF(BH$3="","",IF(入力データ!$C$10="","",YEAR(DATE(BH$3,12,31))-YEAR(入力データ!$C$10)-IF(DATE(BH$3,12,31)&lt;DATE(BH$3,MONTH(入力データ!$C$10),DAY(入力データ!$C$10)),1,0)))</f>
        <v/>
      </c>
      <c r="BI4" s="218">
        <f>IF(BI$3="","",IF(入力データ!$C$10="","",YEAR(DATE(BI$3,12,31))-YEAR(入力データ!$C$10)-IF(DATE(BI$3,12,31)&lt;DATE(BI$3,MONTH(入力データ!$C$10),DAY(入力データ!$C$10)),1,0)))</f>
        <v/>
      </c>
      <c r="BJ4" s="218">
        <f>IF(BJ$3="","",IF(入力データ!$C$10="","",YEAR(DATE(BJ$3,12,31))-YEAR(入力データ!$C$10)-IF(DATE(BJ$3,12,31)&lt;DATE(BJ$3,MONTH(入力データ!$C$10),DAY(入力データ!$C$10)),1,0)))</f>
        <v/>
      </c>
      <c r="BK4" s="218">
        <f>IF(BK$3="","",IF(入力データ!$C$10="","",YEAR(DATE(BK$3,12,31))-YEAR(入力データ!$C$10)-IF(DATE(BK$3,12,31)&lt;DATE(BK$3,MONTH(入力データ!$C$10),DAY(入力データ!$C$10)),1,0)))</f>
        <v/>
      </c>
      <c r="BL4" s="218">
        <f>IF(BL$3="","",IF(入力データ!$C$10="","",YEAR(DATE(BL$3,12,31))-YEAR(入力データ!$C$10)-IF(DATE(BL$3,12,31)&lt;DATE(BL$3,MONTH(入力データ!$C$10),DAY(入力データ!$C$10)),1,0)))</f>
        <v/>
      </c>
      <c r="BM4" s="218">
        <f>IF(BM$3="","",IF(入力データ!$C$10="","",YEAR(DATE(BM$3,12,31))-YEAR(入力データ!$C$10)-IF(DATE(BM$3,12,31)&lt;DATE(BM$3,MONTH(入力データ!$C$10),DAY(入力データ!$C$10)),1,0)))</f>
        <v/>
      </c>
      <c r="BN4" s="218">
        <f>IF(BN$3="","",IF(入力データ!$C$10="","",YEAR(DATE(BN$3,12,31))-YEAR(入力データ!$C$10)-IF(DATE(BN$3,12,31)&lt;DATE(BN$3,MONTH(入力データ!$C$10),DAY(入力データ!$C$10)),1,0)))</f>
        <v/>
      </c>
      <c r="BO4" s="218">
        <f>IF(BO$3="","",IF(入力データ!$C$10="","",YEAR(DATE(BO$3,12,31))-YEAR(入力データ!$C$10)-IF(DATE(BO$3,12,31)&lt;DATE(BO$3,MONTH(入力データ!$C$10),DAY(入力データ!$C$10)),1,0)))</f>
        <v/>
      </c>
      <c r="BP4" s="218">
        <f>IF(BP$3="","",IF(入力データ!$C$10="","",YEAR(DATE(BP$3,12,31))-YEAR(入力データ!$C$10)-IF(DATE(BP$3,12,31)&lt;DATE(BP$3,MONTH(入力データ!$C$10),DAY(入力データ!$C$10)),1,0)))</f>
        <v/>
      </c>
      <c r="BQ4" s="218">
        <f>IF(BQ$3="","",IF(入力データ!$C$10="","",YEAR(DATE(BQ$3,12,31))-YEAR(入力データ!$C$10)-IF(DATE(BQ$3,12,31)&lt;DATE(BQ$3,MONTH(入力データ!$C$10),DAY(入力データ!$C$10)),1,0)))</f>
        <v/>
      </c>
      <c r="BR4" s="218">
        <f>IF(BR$3="","",IF(入力データ!$C$10="","",YEAR(DATE(BR$3,12,31))-YEAR(入力データ!$C$10)-IF(DATE(BR$3,12,31)&lt;DATE(BR$3,MONTH(入力データ!$C$10),DAY(入力データ!$C$10)),1,0)))</f>
        <v/>
      </c>
      <c r="BS4" s="218">
        <f>IF(BS$3="","",IF(入力データ!$C$10="","",YEAR(DATE(BS$3,12,31))-YEAR(入力データ!$C$10)-IF(DATE(BS$3,12,31)&lt;DATE(BS$3,MONTH(入力データ!$C$10),DAY(入力データ!$C$10)),1,0)))</f>
        <v/>
      </c>
      <c r="BT4" s="218">
        <f>IF(BT$3="","",IF(入力データ!$C$10="","",YEAR(DATE(BT$3,12,31))-YEAR(入力データ!$C$10)-IF(DATE(BT$3,12,31)&lt;DATE(BT$3,MONTH(入力データ!$C$10),DAY(入力データ!$C$10)),1,0)))</f>
        <v/>
      </c>
      <c r="BU4" s="218">
        <f>IF(BU$3="","",IF(入力データ!$C$10="","",YEAR(DATE(BU$3,12,31))-YEAR(入力データ!$C$10)-IF(DATE(BU$3,12,31)&lt;DATE(BU$3,MONTH(入力データ!$C$10),DAY(入力データ!$C$10)),1,0)))</f>
        <v/>
      </c>
      <c r="BV4" s="218">
        <f>IF(BV$3="","",IF(入力データ!$C$10="","",YEAR(DATE(BV$3,12,31))-YEAR(入力データ!$C$10)-IF(DATE(BV$3,12,31)&lt;DATE(BV$3,MONTH(入力データ!$C$10),DAY(入力データ!$C$10)),1,0)))</f>
        <v/>
      </c>
      <c r="BW4" s="218">
        <f>IF(BW$3="","",IF(入力データ!$C$10="","",YEAR(DATE(BW$3,12,31))-YEAR(入力データ!$C$10)-IF(DATE(BW$3,12,31)&lt;DATE(BW$3,MONTH(入力データ!$C$10),DAY(入力データ!$C$10)),1,0)))</f>
        <v/>
      </c>
      <c r="BX4" s="218">
        <f>IF(BX$3="","",IF(入力データ!$C$10="","",YEAR(DATE(BX$3,12,31))-YEAR(入力データ!$C$10)-IF(DATE(BX$3,12,31)&lt;DATE(BX$3,MONTH(入力データ!$C$10),DAY(入力データ!$C$10)),1,0)))</f>
        <v/>
      </c>
      <c r="BY4" s="218">
        <f>IF(BY$3="","",IF(入力データ!$C$10="","",YEAR(DATE(BY$3,12,31))-YEAR(入力データ!$C$10)-IF(DATE(BY$3,12,31)&lt;DATE(BY$3,MONTH(入力データ!$C$10),DAY(入力データ!$C$10)),1,0)))</f>
        <v/>
      </c>
      <c r="BZ4" s="218">
        <f>IF(BZ$3="","",IF(入力データ!$C$10="","",YEAR(DATE(BZ$3,12,31))-YEAR(入力データ!$C$10)-IF(DATE(BZ$3,12,31)&lt;DATE(BZ$3,MONTH(入力データ!$C$10),DAY(入力データ!$C$10)),1,0)))</f>
        <v/>
      </c>
      <c r="CA4" s="218">
        <f>IF(CA$3="","",IF(入力データ!$C$10="","",YEAR(DATE(CA$3,12,31))-YEAR(入力データ!$C$10)-IF(DATE(CA$3,12,31)&lt;DATE(CA$3,MONTH(入力データ!$C$10),DAY(入力データ!$C$10)),1,0)))</f>
        <v/>
      </c>
      <c r="CB4" s="218">
        <f>IF(CB$3="","",IF(入力データ!$C$10="","",YEAR(DATE(CB$3,12,31))-YEAR(入力データ!$C$10)-IF(DATE(CB$3,12,31)&lt;DATE(CB$3,MONTH(入力データ!$C$10),DAY(入力データ!$C$10)),1,0)))</f>
        <v/>
      </c>
      <c r="CC4" s="218">
        <f>IF(CC$3="","",IF(入力データ!$C$10="","",YEAR(DATE(CC$3,12,31))-YEAR(入力データ!$C$10)-IF(DATE(CC$3,12,31)&lt;DATE(CC$3,MONTH(入力データ!$C$10),DAY(入力データ!$C$10)),1,0)))</f>
        <v/>
      </c>
      <c r="CD4" s="218">
        <f>IF(CD$3="","",IF(入力データ!$C$10="","",YEAR(DATE(CD$3,12,31))-YEAR(入力データ!$C$10)-IF(DATE(CD$3,12,31)&lt;DATE(CD$3,MONTH(入力データ!$C$10),DAY(入力データ!$C$10)),1,0)))</f>
        <v/>
      </c>
      <c r="CE4" s="218">
        <f>IF(CE$3="","",IF(入力データ!$C$10="","",YEAR(DATE(CE$3,12,31))-YEAR(入力データ!$C$10)-IF(DATE(CE$3,12,31)&lt;DATE(CE$3,MONTH(入力データ!$C$10),DAY(入力データ!$C$10)),1,0)))</f>
        <v/>
      </c>
      <c r="CF4" s="218">
        <f>IF(CF$3="","",IF(入力データ!$C$10="","",YEAR(DATE(CF$3,12,31))-YEAR(入力データ!$C$10)-IF(DATE(CF$3,12,31)&lt;DATE(CF$3,MONTH(入力データ!$C$10),DAY(入力データ!$C$10)),1,0)))</f>
        <v/>
      </c>
      <c r="CG4" s="218">
        <f>IF(CG$3="","",IF(入力データ!$C$10="","",YEAR(DATE(CG$3,12,31))-YEAR(入力データ!$C$10)-IF(DATE(CG$3,12,31)&lt;DATE(CG$3,MONTH(入力データ!$C$10),DAY(入力データ!$C$10)),1,0)))</f>
        <v/>
      </c>
      <c r="CH4" s="218">
        <f>IF(CH$3="","",IF(入力データ!$C$10="","",YEAR(DATE(CH$3,12,31))-YEAR(入力データ!$C$10)-IF(DATE(CH$3,12,31)&lt;DATE(CH$3,MONTH(入力データ!$C$10),DAY(入力データ!$C$10)),1,0)))</f>
        <v/>
      </c>
      <c r="CI4" s="218">
        <f>IF(CI$3="","",IF(入力データ!$C$10="","",YEAR(DATE(CI$3,12,31))-YEAR(入力データ!$C$10)-IF(DATE(CI$3,12,31)&lt;DATE(CI$3,MONTH(入力データ!$C$10),DAY(入力データ!$C$10)),1,0)))</f>
        <v/>
      </c>
      <c r="CJ4" s="218">
        <f>IF(CJ$3="","",IF(入力データ!$C$10="","",YEAR(DATE(CJ$3,12,31))-YEAR(入力データ!$C$10)-IF(DATE(CJ$3,12,31)&lt;DATE(CJ$3,MONTH(入力データ!$C$10),DAY(入力データ!$C$10)),1,0)))</f>
        <v/>
      </c>
      <c r="CK4" s="218">
        <f>IF(CK$3="","",IF(入力データ!$C$10="","",YEAR(DATE(CK$3,12,31))-YEAR(入力データ!$C$10)-IF(DATE(CK$3,12,31)&lt;DATE(CK$3,MONTH(入力データ!$C$10),DAY(入力データ!$C$10)),1,0)))</f>
        <v/>
      </c>
      <c r="CL4" s="218">
        <f>IF(CL$3="","",IF(入力データ!$C$10="","",YEAR(DATE(CL$3,12,31))-YEAR(入力データ!$C$10)-IF(DATE(CL$3,12,31)&lt;DATE(CL$3,MONTH(入力データ!$C$10),DAY(入力データ!$C$10)),1,0)))</f>
        <v/>
      </c>
      <c r="CM4" s="218">
        <f>IF(CM$3="","",IF(入力データ!$C$10="","",YEAR(DATE(CM$3,12,31))-YEAR(入力データ!$C$10)-IF(DATE(CM$3,12,31)&lt;DATE(CM$3,MONTH(入力データ!$C$10),DAY(入力データ!$C$10)),1,0)))</f>
        <v/>
      </c>
      <c r="CN4" s="218">
        <f>IF(CN$3="","",IF(入力データ!$C$10="","",YEAR(DATE(CN$3,12,31))-YEAR(入力データ!$C$10)-IF(DATE(CN$3,12,31)&lt;DATE(CN$3,MONTH(入力データ!$C$10),DAY(入力データ!$C$10)),1,0)))</f>
        <v/>
      </c>
      <c r="CO4" s="218">
        <f>IF(CO$3="","",IF(入力データ!$C$10="","",YEAR(DATE(CO$3,12,31))-YEAR(入力データ!$C$10)-IF(DATE(CO$3,12,31)&lt;DATE(CO$3,MONTH(入力データ!$C$10),DAY(入力データ!$C$10)),1,0)))</f>
        <v/>
      </c>
      <c r="CP4" s="218">
        <f>IF(CP$3="","",IF(入力データ!$C$10="","",YEAR(DATE(CP$3,12,31))-YEAR(入力データ!$C$10)-IF(DATE(CP$3,12,31)&lt;DATE(CP$3,MONTH(入力データ!$C$10),DAY(入力データ!$C$10)),1,0)))</f>
        <v/>
      </c>
      <c r="CQ4" s="218">
        <f>IF(CQ$3="","",IF(入力データ!$C$10="","",YEAR(DATE(CQ$3,12,31))-YEAR(入力データ!$C$10)-IF(DATE(CQ$3,12,31)&lt;DATE(CQ$3,MONTH(入力データ!$C$10),DAY(入力データ!$C$10)),1,0)))</f>
        <v/>
      </c>
      <c r="CR4" s="218">
        <f>IF(CR$3="","",IF(入力データ!$C$10="","",YEAR(DATE(CR$3,12,31))-YEAR(入力データ!$C$10)-IF(DATE(CR$3,12,31)&lt;DATE(CR$3,MONTH(入力データ!$C$10),DAY(入力データ!$C$10)),1,0)))</f>
        <v/>
      </c>
      <c r="CS4" s="218">
        <f>IF(CS$3="","",IF(入力データ!$C$10="","",YEAR(DATE(CS$3,12,31))-YEAR(入力データ!$C$10)-IF(DATE(CS$3,12,31)&lt;DATE(CS$3,MONTH(入力データ!$C$10),DAY(入力データ!$C$10)),1,0)))</f>
        <v/>
      </c>
      <c r="CT4" s="218">
        <f>IF(CT$3="","",IF(入力データ!$C$10="","",YEAR(DATE(CT$3,12,31))-YEAR(入力データ!$C$10)-IF(DATE(CT$3,12,31)&lt;DATE(CT$3,MONTH(入力データ!$C$10),DAY(入力データ!$C$10)),1,0)))</f>
        <v/>
      </c>
      <c r="CU4" s="218">
        <f>IF(CU$3="","",IF(入力データ!$C$10="","",YEAR(DATE(CU$3,12,31))-YEAR(入力データ!$C$10)-IF(DATE(CU$3,12,31)&lt;DATE(CU$3,MONTH(入力データ!$C$10),DAY(入力データ!$C$10)),1,0)))</f>
        <v/>
      </c>
      <c r="CV4" s="218">
        <f>IF(CV$3="","",IF(入力データ!$C$10="","",YEAR(DATE(CV$3,12,31))-YEAR(入力データ!$C$10)-IF(DATE(CV$3,12,31)&lt;DATE(CV$3,MONTH(入力データ!$C$10),DAY(入力データ!$C$10)),1,0)))</f>
        <v/>
      </c>
      <c r="CW4" s="218">
        <f>IF(CW$3="","",IF(入力データ!$C$10="","",YEAR(DATE(CW$3,12,31))-YEAR(入力データ!$C$10)-IF(DATE(CW$3,12,31)&lt;DATE(CW$3,MONTH(入力データ!$C$10),DAY(入力データ!$C$10)),1,0)))</f>
        <v/>
      </c>
    </row>
    <row r="5" ht="15" customHeight="1" s="180">
      <c r="A5" s="217" t="inlineStr">
        <is>
          <t>奥様年齢</t>
        </is>
      </c>
      <c r="B5" s="218">
        <f>IF(B$3="","",IF(入力データ!$C$11="","",YEAR(DATE(B$3,12,31))-YEAR(入力データ!$C$11)-IF(DATE(B$3,12,31)&lt;DATE(B$3,MONTH(入力データ!$C$11),DAY(入力データ!$C$11)),1,0)))</f>
        <v/>
      </c>
      <c r="C5" s="218">
        <f>IF(C$3="","",IF(入力データ!$C$11="","",YEAR(DATE(C$3,12,31))-YEAR(入力データ!$C$11)-IF(DATE(C$3,12,31)&lt;DATE(C$3,MONTH(入力データ!$C$11),DAY(入力データ!$C$11)),1,0)))</f>
        <v/>
      </c>
      <c r="D5" s="218">
        <f>IF(D$3="","",IF(入力データ!$C$11="","",YEAR(DATE(D$3,12,31))-YEAR(入力データ!$C$11)-IF(DATE(D$3,12,31)&lt;DATE(D$3,MONTH(入力データ!$C$11),DAY(入力データ!$C$11)),1,0)))</f>
        <v/>
      </c>
      <c r="E5" s="218">
        <f>IF(E$3="","",IF(入力データ!$C$11="","",YEAR(DATE(E$3,12,31))-YEAR(入力データ!$C$11)-IF(DATE(E$3,12,31)&lt;DATE(E$3,MONTH(入力データ!$C$11),DAY(入力データ!$C$11)),1,0)))</f>
        <v/>
      </c>
      <c r="F5" s="218">
        <f>IF(F$3="","",IF(入力データ!$C$11="","",YEAR(DATE(F$3,12,31))-YEAR(入力データ!$C$11)-IF(DATE(F$3,12,31)&lt;DATE(F$3,MONTH(入力データ!$C$11),DAY(入力データ!$C$11)),1,0)))</f>
        <v/>
      </c>
      <c r="G5" s="218">
        <f>IF(G$3="","",IF(入力データ!$C$11="","",YEAR(DATE(G$3,12,31))-YEAR(入力データ!$C$11)-IF(DATE(G$3,12,31)&lt;DATE(G$3,MONTH(入力データ!$C$11),DAY(入力データ!$C$11)),1,0)))</f>
        <v/>
      </c>
      <c r="H5" s="218">
        <f>IF(H$3="","",IF(入力データ!$C$11="","",YEAR(DATE(H$3,12,31))-YEAR(入力データ!$C$11)-IF(DATE(H$3,12,31)&lt;DATE(H$3,MONTH(入力データ!$C$11),DAY(入力データ!$C$11)),1,0)))</f>
        <v/>
      </c>
      <c r="I5" s="218">
        <f>IF(I$3="","",IF(入力データ!$C$11="","",YEAR(DATE(I$3,12,31))-YEAR(入力データ!$C$11)-IF(DATE(I$3,12,31)&lt;DATE(I$3,MONTH(入力データ!$C$11),DAY(入力データ!$C$11)),1,0)))</f>
        <v/>
      </c>
      <c r="J5" s="218">
        <f>IF(J$3="","",IF(入力データ!$C$11="","",YEAR(DATE(J$3,12,31))-YEAR(入力データ!$C$11)-IF(DATE(J$3,12,31)&lt;DATE(J$3,MONTH(入力データ!$C$11),DAY(入力データ!$C$11)),1,0)))</f>
        <v/>
      </c>
      <c r="K5" s="218">
        <f>IF(K$3="","",IF(入力データ!$C$11="","",YEAR(DATE(K$3,12,31))-YEAR(入力データ!$C$11)-IF(DATE(K$3,12,31)&lt;DATE(K$3,MONTH(入力データ!$C$11),DAY(入力データ!$C$11)),1,0)))</f>
        <v/>
      </c>
      <c r="L5" s="218">
        <f>IF(L$3="","",IF(入力データ!$C$11="","",YEAR(DATE(L$3,12,31))-YEAR(入力データ!$C$11)-IF(DATE(L$3,12,31)&lt;DATE(L$3,MONTH(入力データ!$C$11),DAY(入力データ!$C$11)),1,0)))</f>
        <v/>
      </c>
      <c r="M5" s="218">
        <f>IF(M$3="","",IF(入力データ!$C$11="","",YEAR(DATE(M$3,12,31))-YEAR(入力データ!$C$11)-IF(DATE(M$3,12,31)&lt;DATE(M$3,MONTH(入力データ!$C$11),DAY(入力データ!$C$11)),1,0)))</f>
        <v/>
      </c>
      <c r="N5" s="218">
        <f>IF(N$3="","",IF(入力データ!$C$11="","",YEAR(DATE(N$3,12,31))-YEAR(入力データ!$C$11)-IF(DATE(N$3,12,31)&lt;DATE(N$3,MONTH(入力データ!$C$11),DAY(入力データ!$C$11)),1,0)))</f>
        <v/>
      </c>
      <c r="O5" s="218">
        <f>IF(O$3="","",IF(入力データ!$C$11="","",YEAR(DATE(O$3,12,31))-YEAR(入力データ!$C$11)-IF(DATE(O$3,12,31)&lt;DATE(O$3,MONTH(入力データ!$C$11),DAY(入力データ!$C$11)),1,0)))</f>
        <v/>
      </c>
      <c r="P5" s="218">
        <f>IF(P$3="","",IF(入力データ!$C$11="","",YEAR(DATE(P$3,12,31))-YEAR(入力データ!$C$11)-IF(DATE(P$3,12,31)&lt;DATE(P$3,MONTH(入力データ!$C$11),DAY(入力データ!$C$11)),1,0)))</f>
        <v/>
      </c>
      <c r="Q5" s="218">
        <f>IF(Q$3="","",IF(入力データ!$C$11="","",YEAR(DATE(Q$3,12,31))-YEAR(入力データ!$C$11)-IF(DATE(Q$3,12,31)&lt;DATE(Q$3,MONTH(入力データ!$C$11),DAY(入力データ!$C$11)),1,0)))</f>
        <v/>
      </c>
      <c r="R5" s="218">
        <f>IF(R$3="","",IF(入力データ!$C$11="","",YEAR(DATE(R$3,12,31))-YEAR(入力データ!$C$11)-IF(DATE(R$3,12,31)&lt;DATE(R$3,MONTH(入力データ!$C$11),DAY(入力データ!$C$11)),1,0)))</f>
        <v/>
      </c>
      <c r="S5" s="218">
        <f>IF(S$3="","",IF(入力データ!$C$11="","",YEAR(DATE(S$3,12,31))-YEAR(入力データ!$C$11)-IF(DATE(S$3,12,31)&lt;DATE(S$3,MONTH(入力データ!$C$11),DAY(入力データ!$C$11)),1,0)))</f>
        <v/>
      </c>
      <c r="T5" s="218">
        <f>IF(T$3="","",IF(入力データ!$C$11="","",YEAR(DATE(T$3,12,31))-YEAR(入力データ!$C$11)-IF(DATE(T$3,12,31)&lt;DATE(T$3,MONTH(入力データ!$C$11),DAY(入力データ!$C$11)),1,0)))</f>
        <v/>
      </c>
      <c r="U5" s="218">
        <f>IF(U$3="","",IF(入力データ!$C$11="","",YEAR(DATE(U$3,12,31))-YEAR(入力データ!$C$11)-IF(DATE(U$3,12,31)&lt;DATE(U$3,MONTH(入力データ!$C$11),DAY(入力データ!$C$11)),1,0)))</f>
        <v/>
      </c>
      <c r="V5" s="218">
        <f>IF(V$3="","",IF(入力データ!$C$11="","",YEAR(DATE(V$3,12,31))-YEAR(入力データ!$C$11)-IF(DATE(V$3,12,31)&lt;DATE(V$3,MONTH(入力データ!$C$11),DAY(入力データ!$C$11)),1,0)))</f>
        <v/>
      </c>
      <c r="W5" s="218">
        <f>IF(W$3="","",IF(入力データ!$C$11="","",YEAR(DATE(W$3,12,31))-YEAR(入力データ!$C$11)-IF(DATE(W$3,12,31)&lt;DATE(W$3,MONTH(入力データ!$C$11),DAY(入力データ!$C$11)),1,0)))</f>
        <v/>
      </c>
      <c r="X5" s="218">
        <f>IF(X$3="","",IF(入力データ!$C$11="","",YEAR(DATE(X$3,12,31))-YEAR(入力データ!$C$11)-IF(DATE(X$3,12,31)&lt;DATE(X$3,MONTH(入力データ!$C$11),DAY(入力データ!$C$11)),1,0)))</f>
        <v/>
      </c>
      <c r="Y5" s="218">
        <f>IF(Y$3="","",IF(入力データ!$C$11="","",YEAR(DATE(Y$3,12,31))-YEAR(入力データ!$C$11)-IF(DATE(Y$3,12,31)&lt;DATE(Y$3,MONTH(入力データ!$C$11),DAY(入力データ!$C$11)),1,0)))</f>
        <v/>
      </c>
      <c r="Z5" s="218">
        <f>IF(Z$3="","",IF(入力データ!$C$11="","",YEAR(DATE(Z$3,12,31))-YEAR(入力データ!$C$11)-IF(DATE(Z$3,12,31)&lt;DATE(Z$3,MONTH(入力データ!$C$11),DAY(入力データ!$C$11)),1,0)))</f>
        <v/>
      </c>
      <c r="AA5" s="218">
        <f>IF(AA$3="","",IF(入力データ!$C$11="","",YEAR(DATE(AA$3,12,31))-YEAR(入力データ!$C$11)-IF(DATE(AA$3,12,31)&lt;DATE(AA$3,MONTH(入力データ!$C$11),DAY(入力データ!$C$11)),1,0)))</f>
        <v/>
      </c>
      <c r="AB5" s="218">
        <f>IF(AB$3="","",IF(入力データ!$C$11="","",YEAR(DATE(AB$3,12,31))-YEAR(入力データ!$C$11)-IF(DATE(AB$3,12,31)&lt;DATE(AB$3,MONTH(入力データ!$C$11),DAY(入力データ!$C$11)),1,0)))</f>
        <v/>
      </c>
      <c r="AC5" s="218">
        <f>IF(AC$3="","",IF(入力データ!$C$11="","",YEAR(DATE(AC$3,12,31))-YEAR(入力データ!$C$11)-IF(DATE(AC$3,12,31)&lt;DATE(AC$3,MONTH(入力データ!$C$11),DAY(入力データ!$C$11)),1,0)))</f>
        <v/>
      </c>
      <c r="AD5" s="218">
        <f>IF(AD$3="","",IF(入力データ!$C$11="","",YEAR(DATE(AD$3,12,31))-YEAR(入力データ!$C$11)-IF(DATE(AD$3,12,31)&lt;DATE(AD$3,MONTH(入力データ!$C$11),DAY(入力データ!$C$11)),1,0)))</f>
        <v/>
      </c>
      <c r="AE5" s="218">
        <f>IF(AE$3="","",IF(入力データ!$C$11="","",YEAR(DATE(AE$3,12,31))-YEAR(入力データ!$C$11)-IF(DATE(AE$3,12,31)&lt;DATE(AE$3,MONTH(入力データ!$C$11),DAY(入力データ!$C$11)),1,0)))</f>
        <v/>
      </c>
      <c r="AF5" s="218">
        <f>IF(AF$3="","",IF(入力データ!$C$11="","",YEAR(DATE(AF$3,12,31))-YEAR(入力データ!$C$11)-IF(DATE(AF$3,12,31)&lt;DATE(AF$3,MONTH(入力データ!$C$11),DAY(入力データ!$C$11)),1,0)))</f>
        <v/>
      </c>
      <c r="AG5" s="218">
        <f>IF(AG$3="","",IF(入力データ!$C$11="","",YEAR(DATE(AG$3,12,31))-YEAR(入力データ!$C$11)-IF(DATE(AG$3,12,31)&lt;DATE(AG$3,MONTH(入力データ!$C$11),DAY(入力データ!$C$11)),1,0)))</f>
        <v/>
      </c>
      <c r="AH5" s="218">
        <f>IF(AH$3="","",IF(入力データ!$C$11="","",YEAR(DATE(AH$3,12,31))-YEAR(入力データ!$C$11)-IF(DATE(AH$3,12,31)&lt;DATE(AH$3,MONTH(入力データ!$C$11),DAY(入力データ!$C$11)),1,0)))</f>
        <v/>
      </c>
      <c r="AI5" s="218">
        <f>IF(AI$3="","",IF(入力データ!$C$11="","",YEAR(DATE(AI$3,12,31))-YEAR(入力データ!$C$11)-IF(DATE(AI$3,12,31)&lt;DATE(AI$3,MONTH(入力データ!$C$11),DAY(入力データ!$C$11)),1,0)))</f>
        <v/>
      </c>
      <c r="AJ5" s="218">
        <f>IF(AJ$3="","",IF(入力データ!$C$11="","",YEAR(DATE(AJ$3,12,31))-YEAR(入力データ!$C$11)-IF(DATE(AJ$3,12,31)&lt;DATE(AJ$3,MONTH(入力データ!$C$11),DAY(入力データ!$C$11)),1,0)))</f>
        <v/>
      </c>
      <c r="AK5" s="218">
        <f>IF(AK$3="","",IF(入力データ!$C$11="","",YEAR(DATE(AK$3,12,31))-YEAR(入力データ!$C$11)-IF(DATE(AK$3,12,31)&lt;DATE(AK$3,MONTH(入力データ!$C$11),DAY(入力データ!$C$11)),1,0)))</f>
        <v/>
      </c>
      <c r="AL5" s="218">
        <f>IF(AL$3="","",IF(入力データ!$C$11="","",YEAR(DATE(AL$3,12,31))-YEAR(入力データ!$C$11)-IF(DATE(AL$3,12,31)&lt;DATE(AL$3,MONTH(入力データ!$C$11),DAY(入力データ!$C$11)),1,0)))</f>
        <v/>
      </c>
      <c r="AM5" s="218">
        <f>IF(AM$3="","",IF(入力データ!$C$11="","",YEAR(DATE(AM$3,12,31))-YEAR(入力データ!$C$11)-IF(DATE(AM$3,12,31)&lt;DATE(AM$3,MONTH(入力データ!$C$11),DAY(入力データ!$C$11)),1,0)))</f>
        <v/>
      </c>
      <c r="AN5" s="218">
        <f>IF(AN$3="","",IF(入力データ!$C$11="","",YEAR(DATE(AN$3,12,31))-YEAR(入力データ!$C$11)-IF(DATE(AN$3,12,31)&lt;DATE(AN$3,MONTH(入力データ!$C$11),DAY(入力データ!$C$11)),1,0)))</f>
        <v/>
      </c>
      <c r="AO5" s="218">
        <f>IF(AO$3="","",IF(入力データ!$C$11="","",YEAR(DATE(AO$3,12,31))-YEAR(入力データ!$C$11)-IF(DATE(AO$3,12,31)&lt;DATE(AO$3,MONTH(入力データ!$C$11),DAY(入力データ!$C$11)),1,0)))</f>
        <v/>
      </c>
      <c r="AP5" s="218">
        <f>IF(AP$3="","",IF(入力データ!$C$11="","",YEAR(DATE(AP$3,12,31))-YEAR(入力データ!$C$11)-IF(DATE(AP$3,12,31)&lt;DATE(AP$3,MONTH(入力データ!$C$11),DAY(入力データ!$C$11)),1,0)))</f>
        <v/>
      </c>
      <c r="AQ5" s="218">
        <f>IF(AQ$3="","",IF(入力データ!$C$11="","",YEAR(DATE(AQ$3,12,31))-YEAR(入力データ!$C$11)-IF(DATE(AQ$3,12,31)&lt;DATE(AQ$3,MONTH(入力データ!$C$11),DAY(入力データ!$C$11)),1,0)))</f>
        <v/>
      </c>
      <c r="AR5" s="218">
        <f>IF(AR$3="","",IF(入力データ!$C$11="","",YEAR(DATE(AR$3,12,31))-YEAR(入力データ!$C$11)-IF(DATE(AR$3,12,31)&lt;DATE(AR$3,MONTH(入力データ!$C$11),DAY(入力データ!$C$11)),1,0)))</f>
        <v/>
      </c>
      <c r="AS5" s="218">
        <f>IF(AS$3="","",IF(入力データ!$C$11="","",YEAR(DATE(AS$3,12,31))-YEAR(入力データ!$C$11)-IF(DATE(AS$3,12,31)&lt;DATE(AS$3,MONTH(入力データ!$C$11),DAY(入力データ!$C$11)),1,0)))</f>
        <v/>
      </c>
      <c r="AT5" s="218">
        <f>IF(AT$3="","",IF(入力データ!$C$11="","",YEAR(DATE(AT$3,12,31))-YEAR(入力データ!$C$11)-IF(DATE(AT$3,12,31)&lt;DATE(AT$3,MONTH(入力データ!$C$11),DAY(入力データ!$C$11)),1,0)))</f>
        <v/>
      </c>
      <c r="AU5" s="218">
        <f>IF(AU$3="","",IF(入力データ!$C$11="","",YEAR(DATE(AU$3,12,31))-YEAR(入力データ!$C$11)-IF(DATE(AU$3,12,31)&lt;DATE(AU$3,MONTH(入力データ!$C$11),DAY(入力データ!$C$11)),1,0)))</f>
        <v/>
      </c>
      <c r="AV5" s="218">
        <f>IF(AV$3="","",IF(入力データ!$C$11="","",YEAR(DATE(AV$3,12,31))-YEAR(入力データ!$C$11)-IF(DATE(AV$3,12,31)&lt;DATE(AV$3,MONTH(入力データ!$C$11),DAY(入力データ!$C$11)),1,0)))</f>
        <v/>
      </c>
      <c r="AW5" s="218">
        <f>IF(AW$3="","",IF(入力データ!$C$11="","",YEAR(DATE(AW$3,12,31))-YEAR(入力データ!$C$11)-IF(DATE(AW$3,12,31)&lt;DATE(AW$3,MONTH(入力データ!$C$11),DAY(入力データ!$C$11)),1,0)))</f>
        <v/>
      </c>
      <c r="AX5" s="218">
        <f>IF(AX$3="","",IF(入力データ!$C$11="","",YEAR(DATE(AX$3,12,31))-YEAR(入力データ!$C$11)-IF(DATE(AX$3,12,31)&lt;DATE(AX$3,MONTH(入力データ!$C$11),DAY(入力データ!$C$11)),1,0)))</f>
        <v/>
      </c>
      <c r="AY5" s="218">
        <f>IF(AY$3="","",IF(入力データ!$C$11="","",YEAR(DATE(AY$3,12,31))-YEAR(入力データ!$C$11)-IF(DATE(AY$3,12,31)&lt;DATE(AY$3,MONTH(入力データ!$C$11),DAY(入力データ!$C$11)),1,0)))</f>
        <v/>
      </c>
      <c r="AZ5" s="218">
        <f>IF(AZ$3="","",IF(入力データ!$C$11="","",YEAR(DATE(AZ$3,12,31))-YEAR(入力データ!$C$11)-IF(DATE(AZ$3,12,31)&lt;DATE(AZ$3,MONTH(入力データ!$C$11),DAY(入力データ!$C$11)),1,0)))</f>
        <v/>
      </c>
      <c r="BA5" s="218">
        <f>IF(BA$3="","",IF(入力データ!$C$11="","",YEAR(DATE(BA$3,12,31))-YEAR(入力データ!$C$11)-IF(DATE(BA$3,12,31)&lt;DATE(BA$3,MONTH(入力データ!$C$11),DAY(入力データ!$C$11)),1,0)))</f>
        <v/>
      </c>
      <c r="BB5" s="218">
        <f>IF(BB$3="","",IF(入力データ!$C$11="","",YEAR(DATE(BB$3,12,31))-YEAR(入力データ!$C$11)-IF(DATE(BB$3,12,31)&lt;DATE(BB$3,MONTH(入力データ!$C$11),DAY(入力データ!$C$11)),1,0)))</f>
        <v/>
      </c>
      <c r="BC5" s="218">
        <f>IF(BC$3="","",IF(入力データ!$C$11="","",YEAR(DATE(BC$3,12,31))-YEAR(入力データ!$C$11)-IF(DATE(BC$3,12,31)&lt;DATE(BC$3,MONTH(入力データ!$C$11),DAY(入力データ!$C$11)),1,0)))</f>
        <v/>
      </c>
      <c r="BD5" s="218">
        <f>IF(BD$3="","",IF(入力データ!$C$11="","",YEAR(DATE(BD$3,12,31))-YEAR(入力データ!$C$11)-IF(DATE(BD$3,12,31)&lt;DATE(BD$3,MONTH(入力データ!$C$11),DAY(入力データ!$C$11)),1,0)))</f>
        <v/>
      </c>
      <c r="BE5" s="218">
        <f>IF(BE$3="","",IF(入力データ!$C$11="","",YEAR(DATE(BE$3,12,31))-YEAR(入力データ!$C$11)-IF(DATE(BE$3,12,31)&lt;DATE(BE$3,MONTH(入力データ!$C$11),DAY(入力データ!$C$11)),1,0)))</f>
        <v/>
      </c>
      <c r="BF5" s="218">
        <f>IF(BF$3="","",IF(入力データ!$C$11="","",YEAR(DATE(BF$3,12,31))-YEAR(入力データ!$C$11)-IF(DATE(BF$3,12,31)&lt;DATE(BF$3,MONTH(入力データ!$C$11),DAY(入力データ!$C$11)),1,0)))</f>
        <v/>
      </c>
      <c r="BG5" s="218">
        <f>IF(BG$3="","",IF(入力データ!$C$11="","",YEAR(DATE(BG$3,12,31))-YEAR(入力データ!$C$11)-IF(DATE(BG$3,12,31)&lt;DATE(BG$3,MONTH(入力データ!$C$11),DAY(入力データ!$C$11)),1,0)))</f>
        <v/>
      </c>
      <c r="BH5" s="218">
        <f>IF(BH$3="","",IF(入力データ!$C$11="","",YEAR(DATE(BH$3,12,31))-YEAR(入力データ!$C$11)-IF(DATE(BH$3,12,31)&lt;DATE(BH$3,MONTH(入力データ!$C$11),DAY(入力データ!$C$11)),1,0)))</f>
        <v/>
      </c>
      <c r="BI5" s="218">
        <f>IF(BI$3="","",IF(入力データ!$C$11="","",YEAR(DATE(BI$3,12,31))-YEAR(入力データ!$C$11)-IF(DATE(BI$3,12,31)&lt;DATE(BI$3,MONTH(入力データ!$C$11),DAY(入力データ!$C$11)),1,0)))</f>
        <v/>
      </c>
      <c r="BJ5" s="218">
        <f>IF(BJ$3="","",IF(入力データ!$C$11="","",YEAR(DATE(BJ$3,12,31))-YEAR(入力データ!$C$11)-IF(DATE(BJ$3,12,31)&lt;DATE(BJ$3,MONTH(入力データ!$C$11),DAY(入力データ!$C$11)),1,0)))</f>
        <v/>
      </c>
      <c r="BK5" s="218">
        <f>IF(BK$3="","",IF(入力データ!$C$11="","",YEAR(DATE(BK$3,12,31))-YEAR(入力データ!$C$11)-IF(DATE(BK$3,12,31)&lt;DATE(BK$3,MONTH(入力データ!$C$11),DAY(入力データ!$C$11)),1,0)))</f>
        <v/>
      </c>
      <c r="BL5" s="218">
        <f>IF(BL$3="","",IF(入力データ!$C$11="","",YEAR(DATE(BL$3,12,31))-YEAR(入力データ!$C$11)-IF(DATE(BL$3,12,31)&lt;DATE(BL$3,MONTH(入力データ!$C$11),DAY(入力データ!$C$11)),1,0)))</f>
        <v/>
      </c>
      <c r="BM5" s="218">
        <f>IF(BM$3="","",IF(入力データ!$C$11="","",YEAR(DATE(BM$3,12,31))-YEAR(入力データ!$C$11)-IF(DATE(BM$3,12,31)&lt;DATE(BM$3,MONTH(入力データ!$C$11),DAY(入力データ!$C$11)),1,0)))</f>
        <v/>
      </c>
      <c r="BN5" s="218">
        <f>IF(BN$3="","",IF(入力データ!$C$11="","",YEAR(DATE(BN$3,12,31))-YEAR(入力データ!$C$11)-IF(DATE(BN$3,12,31)&lt;DATE(BN$3,MONTH(入力データ!$C$11),DAY(入力データ!$C$11)),1,0)))</f>
        <v/>
      </c>
      <c r="BO5" s="218">
        <f>IF(BO$3="","",IF(入力データ!$C$11="","",YEAR(DATE(BO$3,12,31))-YEAR(入力データ!$C$11)-IF(DATE(BO$3,12,31)&lt;DATE(BO$3,MONTH(入力データ!$C$11),DAY(入力データ!$C$11)),1,0)))</f>
        <v/>
      </c>
      <c r="BP5" s="218">
        <f>IF(BP$3="","",IF(入力データ!$C$11="","",YEAR(DATE(BP$3,12,31))-YEAR(入力データ!$C$11)-IF(DATE(BP$3,12,31)&lt;DATE(BP$3,MONTH(入力データ!$C$11),DAY(入力データ!$C$11)),1,0)))</f>
        <v/>
      </c>
      <c r="BQ5" s="218">
        <f>IF(BQ$3="","",IF(入力データ!$C$11="","",YEAR(DATE(BQ$3,12,31))-YEAR(入力データ!$C$11)-IF(DATE(BQ$3,12,31)&lt;DATE(BQ$3,MONTH(入力データ!$C$11),DAY(入力データ!$C$11)),1,0)))</f>
        <v/>
      </c>
      <c r="BR5" s="218">
        <f>IF(BR$3="","",IF(入力データ!$C$11="","",YEAR(DATE(BR$3,12,31))-YEAR(入力データ!$C$11)-IF(DATE(BR$3,12,31)&lt;DATE(BR$3,MONTH(入力データ!$C$11),DAY(入力データ!$C$11)),1,0)))</f>
        <v/>
      </c>
      <c r="BS5" s="218">
        <f>IF(BS$3="","",IF(入力データ!$C$11="","",YEAR(DATE(BS$3,12,31))-YEAR(入力データ!$C$11)-IF(DATE(BS$3,12,31)&lt;DATE(BS$3,MONTH(入力データ!$C$11),DAY(入力データ!$C$11)),1,0)))</f>
        <v/>
      </c>
      <c r="BT5" s="218">
        <f>IF(BT$3="","",IF(入力データ!$C$11="","",YEAR(DATE(BT$3,12,31))-YEAR(入力データ!$C$11)-IF(DATE(BT$3,12,31)&lt;DATE(BT$3,MONTH(入力データ!$C$11),DAY(入力データ!$C$11)),1,0)))</f>
        <v/>
      </c>
      <c r="BU5" s="218">
        <f>IF(BU$3="","",IF(入力データ!$C$11="","",YEAR(DATE(BU$3,12,31))-YEAR(入力データ!$C$11)-IF(DATE(BU$3,12,31)&lt;DATE(BU$3,MONTH(入力データ!$C$11),DAY(入力データ!$C$11)),1,0)))</f>
        <v/>
      </c>
      <c r="BV5" s="218">
        <f>IF(BV$3="","",IF(入力データ!$C$11="","",YEAR(DATE(BV$3,12,31))-YEAR(入力データ!$C$11)-IF(DATE(BV$3,12,31)&lt;DATE(BV$3,MONTH(入力データ!$C$11),DAY(入力データ!$C$11)),1,0)))</f>
        <v/>
      </c>
      <c r="BW5" s="218">
        <f>IF(BW$3="","",IF(入力データ!$C$11="","",YEAR(DATE(BW$3,12,31))-YEAR(入力データ!$C$11)-IF(DATE(BW$3,12,31)&lt;DATE(BW$3,MONTH(入力データ!$C$11),DAY(入力データ!$C$11)),1,0)))</f>
        <v/>
      </c>
      <c r="BX5" s="218">
        <f>IF(BX$3="","",IF(入力データ!$C$11="","",YEAR(DATE(BX$3,12,31))-YEAR(入力データ!$C$11)-IF(DATE(BX$3,12,31)&lt;DATE(BX$3,MONTH(入力データ!$C$11),DAY(入力データ!$C$11)),1,0)))</f>
        <v/>
      </c>
      <c r="BY5" s="218">
        <f>IF(BY$3="","",IF(入力データ!$C$11="","",YEAR(DATE(BY$3,12,31))-YEAR(入力データ!$C$11)-IF(DATE(BY$3,12,31)&lt;DATE(BY$3,MONTH(入力データ!$C$11),DAY(入力データ!$C$11)),1,0)))</f>
        <v/>
      </c>
      <c r="BZ5" s="218">
        <f>IF(BZ$3="","",IF(入力データ!$C$11="","",YEAR(DATE(BZ$3,12,31))-YEAR(入力データ!$C$11)-IF(DATE(BZ$3,12,31)&lt;DATE(BZ$3,MONTH(入力データ!$C$11),DAY(入力データ!$C$11)),1,0)))</f>
        <v/>
      </c>
      <c r="CA5" s="218">
        <f>IF(CA$3="","",IF(入力データ!$C$11="","",YEAR(DATE(CA$3,12,31))-YEAR(入力データ!$C$11)-IF(DATE(CA$3,12,31)&lt;DATE(CA$3,MONTH(入力データ!$C$11),DAY(入力データ!$C$11)),1,0)))</f>
        <v/>
      </c>
      <c r="CB5" s="218">
        <f>IF(CB$3="","",IF(入力データ!$C$11="","",YEAR(DATE(CB$3,12,31))-YEAR(入力データ!$C$11)-IF(DATE(CB$3,12,31)&lt;DATE(CB$3,MONTH(入力データ!$C$11),DAY(入力データ!$C$11)),1,0)))</f>
        <v/>
      </c>
      <c r="CC5" s="218">
        <f>IF(CC$3="","",IF(入力データ!$C$11="","",YEAR(DATE(CC$3,12,31))-YEAR(入力データ!$C$11)-IF(DATE(CC$3,12,31)&lt;DATE(CC$3,MONTH(入力データ!$C$11),DAY(入力データ!$C$11)),1,0)))</f>
        <v/>
      </c>
      <c r="CD5" s="218">
        <f>IF(CD$3="","",IF(入力データ!$C$11="","",YEAR(DATE(CD$3,12,31))-YEAR(入力データ!$C$11)-IF(DATE(CD$3,12,31)&lt;DATE(CD$3,MONTH(入力データ!$C$11),DAY(入力データ!$C$11)),1,0)))</f>
        <v/>
      </c>
      <c r="CE5" s="218">
        <f>IF(CE$3="","",IF(入力データ!$C$11="","",YEAR(DATE(CE$3,12,31))-YEAR(入力データ!$C$11)-IF(DATE(CE$3,12,31)&lt;DATE(CE$3,MONTH(入力データ!$C$11),DAY(入力データ!$C$11)),1,0)))</f>
        <v/>
      </c>
      <c r="CF5" s="218">
        <f>IF(CF$3="","",IF(入力データ!$C$11="","",YEAR(DATE(CF$3,12,31))-YEAR(入力データ!$C$11)-IF(DATE(CF$3,12,31)&lt;DATE(CF$3,MONTH(入力データ!$C$11),DAY(入力データ!$C$11)),1,0)))</f>
        <v/>
      </c>
      <c r="CG5" s="218">
        <f>IF(CG$3="","",IF(入力データ!$C$11="","",YEAR(DATE(CG$3,12,31))-YEAR(入力データ!$C$11)-IF(DATE(CG$3,12,31)&lt;DATE(CG$3,MONTH(入力データ!$C$11),DAY(入力データ!$C$11)),1,0)))</f>
        <v/>
      </c>
      <c r="CH5" s="218">
        <f>IF(CH$3="","",IF(入力データ!$C$11="","",YEAR(DATE(CH$3,12,31))-YEAR(入力データ!$C$11)-IF(DATE(CH$3,12,31)&lt;DATE(CH$3,MONTH(入力データ!$C$11),DAY(入力データ!$C$11)),1,0)))</f>
        <v/>
      </c>
      <c r="CI5" s="218">
        <f>IF(CI$3="","",IF(入力データ!$C$11="","",YEAR(DATE(CI$3,12,31))-YEAR(入力データ!$C$11)-IF(DATE(CI$3,12,31)&lt;DATE(CI$3,MONTH(入力データ!$C$11),DAY(入力データ!$C$11)),1,0)))</f>
        <v/>
      </c>
      <c r="CJ5" s="218">
        <f>IF(CJ$3="","",IF(入力データ!$C$11="","",YEAR(DATE(CJ$3,12,31))-YEAR(入力データ!$C$11)-IF(DATE(CJ$3,12,31)&lt;DATE(CJ$3,MONTH(入力データ!$C$11),DAY(入力データ!$C$11)),1,0)))</f>
        <v/>
      </c>
      <c r="CK5" s="218">
        <f>IF(CK$3="","",IF(入力データ!$C$11="","",YEAR(DATE(CK$3,12,31))-YEAR(入力データ!$C$11)-IF(DATE(CK$3,12,31)&lt;DATE(CK$3,MONTH(入力データ!$C$11),DAY(入力データ!$C$11)),1,0)))</f>
        <v/>
      </c>
      <c r="CL5" s="218">
        <f>IF(CL$3="","",IF(入力データ!$C$11="","",YEAR(DATE(CL$3,12,31))-YEAR(入力データ!$C$11)-IF(DATE(CL$3,12,31)&lt;DATE(CL$3,MONTH(入力データ!$C$11),DAY(入力データ!$C$11)),1,0)))</f>
        <v/>
      </c>
      <c r="CM5" s="218">
        <f>IF(CM$3="","",IF(入力データ!$C$11="","",YEAR(DATE(CM$3,12,31))-YEAR(入力データ!$C$11)-IF(DATE(CM$3,12,31)&lt;DATE(CM$3,MONTH(入力データ!$C$11),DAY(入力データ!$C$11)),1,0)))</f>
        <v/>
      </c>
      <c r="CN5" s="218">
        <f>IF(CN$3="","",IF(入力データ!$C$11="","",YEAR(DATE(CN$3,12,31))-YEAR(入力データ!$C$11)-IF(DATE(CN$3,12,31)&lt;DATE(CN$3,MONTH(入力データ!$C$11),DAY(入力データ!$C$11)),1,0)))</f>
        <v/>
      </c>
      <c r="CO5" s="218">
        <f>IF(CO$3="","",IF(入力データ!$C$11="","",YEAR(DATE(CO$3,12,31))-YEAR(入力データ!$C$11)-IF(DATE(CO$3,12,31)&lt;DATE(CO$3,MONTH(入力データ!$C$11),DAY(入力データ!$C$11)),1,0)))</f>
        <v/>
      </c>
      <c r="CP5" s="218">
        <f>IF(CP$3="","",IF(入力データ!$C$11="","",YEAR(DATE(CP$3,12,31))-YEAR(入力データ!$C$11)-IF(DATE(CP$3,12,31)&lt;DATE(CP$3,MONTH(入力データ!$C$11),DAY(入力データ!$C$11)),1,0)))</f>
        <v/>
      </c>
      <c r="CQ5" s="218">
        <f>IF(CQ$3="","",IF(入力データ!$C$11="","",YEAR(DATE(CQ$3,12,31))-YEAR(入力データ!$C$11)-IF(DATE(CQ$3,12,31)&lt;DATE(CQ$3,MONTH(入力データ!$C$11),DAY(入力データ!$C$11)),1,0)))</f>
        <v/>
      </c>
      <c r="CR5" s="218">
        <f>IF(CR$3="","",IF(入力データ!$C$11="","",YEAR(DATE(CR$3,12,31))-YEAR(入力データ!$C$11)-IF(DATE(CR$3,12,31)&lt;DATE(CR$3,MONTH(入力データ!$C$11),DAY(入力データ!$C$11)),1,0)))</f>
        <v/>
      </c>
      <c r="CS5" s="218">
        <f>IF(CS$3="","",IF(入力データ!$C$11="","",YEAR(DATE(CS$3,12,31))-YEAR(入力データ!$C$11)-IF(DATE(CS$3,12,31)&lt;DATE(CS$3,MONTH(入力データ!$C$11),DAY(入力データ!$C$11)),1,0)))</f>
        <v/>
      </c>
      <c r="CT5" s="218">
        <f>IF(CT$3="","",IF(入力データ!$C$11="","",YEAR(DATE(CT$3,12,31))-YEAR(入力データ!$C$11)-IF(DATE(CT$3,12,31)&lt;DATE(CT$3,MONTH(入力データ!$C$11),DAY(入力データ!$C$11)),1,0)))</f>
        <v/>
      </c>
      <c r="CU5" s="218">
        <f>IF(CU$3="","",IF(入力データ!$C$11="","",YEAR(DATE(CU$3,12,31))-YEAR(入力データ!$C$11)-IF(DATE(CU$3,12,31)&lt;DATE(CU$3,MONTH(入力データ!$C$11),DAY(入力データ!$C$11)),1,0)))</f>
        <v/>
      </c>
      <c r="CV5" s="218">
        <f>IF(CV$3="","",IF(入力データ!$C$11="","",YEAR(DATE(CV$3,12,31))-YEAR(入力データ!$C$11)-IF(DATE(CV$3,12,31)&lt;DATE(CV$3,MONTH(入力データ!$C$11),DAY(入力データ!$C$11)),1,0)))</f>
        <v/>
      </c>
      <c r="CW5" s="218">
        <f>IF(CW$3="","",IF(入力データ!$C$11="","",YEAR(DATE(CW$3,12,31))-YEAR(入力データ!$C$11)-IF(DATE(CW$3,12,31)&lt;DATE(CW$3,MONTH(入力データ!$C$11),DAY(入力データ!$C$11)),1,0)))</f>
        <v/>
      </c>
    </row>
    <row r="6" ht="16.5" customHeight="1" s="180">
      <c r="A6" s="217" t="inlineStr">
        <is>
          <t>子1年齢</t>
        </is>
      </c>
      <c r="B6" s="218">
        <f>IF(B$3="","",IF(入力データ!$C$19="","",YEAR(DATE(B$3,12,31))-YEAR(入力データ!$C$19)-IF(DATE(B$3,12,31)&lt;DATE(B$3,MONTH(入力データ!$C$19),DAY(入力データ!$C$19)),1,0)))</f>
        <v/>
      </c>
      <c r="C6" s="218">
        <f>IF(C$3="","",IF(入力データ!$C$19="","",YEAR(DATE(C$3,12,31))-YEAR(入力データ!$C$19)-IF(DATE(C$3,12,31)&lt;DATE(C$3,MONTH(入力データ!$C$19),DAY(入力データ!$C$19)),1,0)))</f>
        <v/>
      </c>
      <c r="D6" s="218">
        <f>IF(D$3="","",IF(入力データ!$C$19="","",YEAR(DATE(D$3,12,31))-YEAR(入力データ!$C$19)-IF(DATE(D$3,12,31)&lt;DATE(D$3,MONTH(入力データ!$C$19),DAY(入力データ!$C$19)),1,0)))</f>
        <v/>
      </c>
      <c r="E6" s="218">
        <f>IF(E$3="","",IF(入力データ!$C$19="","",YEAR(DATE(E$3,12,31))-YEAR(入力データ!$C$19)-IF(DATE(E$3,12,31)&lt;DATE(E$3,MONTH(入力データ!$C$19),DAY(入力データ!$C$19)),1,0)))</f>
        <v/>
      </c>
      <c r="F6" s="218">
        <f>IF(F$3="","",IF(入力データ!$C$19="","",YEAR(DATE(F$3,12,31))-YEAR(入力データ!$C$19)-IF(DATE(F$3,12,31)&lt;DATE(F$3,MONTH(入力データ!$C$19),DAY(入力データ!$C$19)),1,0)))</f>
        <v/>
      </c>
      <c r="G6" s="218">
        <f>IF(G$3="","",IF(入力データ!$C$19="","",YEAR(DATE(G$3,12,31))-YEAR(入力データ!$C$19)-IF(DATE(G$3,12,31)&lt;DATE(G$3,MONTH(入力データ!$C$19),DAY(入力データ!$C$19)),1,0)))</f>
        <v/>
      </c>
      <c r="H6" s="218">
        <f>IF(H$3="","",IF(入力データ!$C$19="","",YEAR(DATE(H$3,12,31))-YEAR(入力データ!$C$19)-IF(DATE(H$3,12,31)&lt;DATE(H$3,MONTH(入力データ!$C$19),DAY(入力データ!$C$19)),1,0)))</f>
        <v/>
      </c>
      <c r="I6" s="218">
        <f>IF(I$3="","",IF(入力データ!$C$19="","",YEAR(DATE(I$3,12,31))-YEAR(入力データ!$C$19)-IF(DATE(I$3,12,31)&lt;DATE(I$3,MONTH(入力データ!$C$19),DAY(入力データ!$C$19)),1,0)))</f>
        <v/>
      </c>
      <c r="J6" s="218">
        <f>IF(J$3="","",IF(入力データ!$C$19="","",YEAR(DATE(J$3,12,31))-YEAR(入力データ!$C$19)-IF(DATE(J$3,12,31)&lt;DATE(J$3,MONTH(入力データ!$C$19),DAY(入力データ!$C$19)),1,0)))</f>
        <v/>
      </c>
      <c r="K6" s="218">
        <f>IF(K$3="","",IF(入力データ!$C$19="","",YEAR(DATE(K$3,12,31))-YEAR(入力データ!$C$19)-IF(DATE(K$3,12,31)&lt;DATE(K$3,MONTH(入力データ!$C$19),DAY(入力データ!$C$19)),1,0)))</f>
        <v/>
      </c>
      <c r="L6" s="218">
        <f>IF(L$3="","",IF(入力データ!$C$19="","",YEAR(DATE(L$3,12,31))-YEAR(入力データ!$C$19)-IF(DATE(L$3,12,31)&lt;DATE(L$3,MONTH(入力データ!$C$19),DAY(入力データ!$C$19)),1,0)))</f>
        <v/>
      </c>
      <c r="M6" s="218">
        <f>IF(M$3="","",IF(入力データ!$C$19="","",YEAR(DATE(M$3,12,31))-YEAR(入力データ!$C$19)-IF(DATE(M$3,12,31)&lt;DATE(M$3,MONTH(入力データ!$C$19),DAY(入力データ!$C$19)),1,0)))</f>
        <v/>
      </c>
      <c r="N6" s="218">
        <f>IF(N$3="","",IF(入力データ!$C$19="","",YEAR(DATE(N$3,12,31))-YEAR(入力データ!$C$19)-IF(DATE(N$3,12,31)&lt;DATE(N$3,MONTH(入力データ!$C$19),DAY(入力データ!$C$19)),1,0)))</f>
        <v/>
      </c>
      <c r="O6" s="218">
        <f>IF(O$3="","",IF(入力データ!$C$19="","",YEAR(DATE(O$3,12,31))-YEAR(入力データ!$C$19)-IF(DATE(O$3,12,31)&lt;DATE(O$3,MONTH(入力データ!$C$19),DAY(入力データ!$C$19)),1,0)))</f>
        <v/>
      </c>
      <c r="P6" s="218">
        <f>IF(P$3="","",IF(入力データ!$C$19="","",YEAR(DATE(P$3,12,31))-YEAR(入力データ!$C$19)-IF(DATE(P$3,12,31)&lt;DATE(P$3,MONTH(入力データ!$C$19),DAY(入力データ!$C$19)),1,0)))</f>
        <v/>
      </c>
      <c r="Q6" s="218">
        <f>IF(Q$3="","",IF(入力データ!$C$19="","",YEAR(DATE(Q$3,12,31))-YEAR(入力データ!$C$19)-IF(DATE(Q$3,12,31)&lt;DATE(Q$3,MONTH(入力データ!$C$19),DAY(入力データ!$C$19)),1,0)))</f>
        <v/>
      </c>
      <c r="R6" s="218">
        <f>IF(R$3="","",IF(入力データ!$C$19="","",YEAR(DATE(R$3,12,31))-YEAR(入力データ!$C$19)-IF(DATE(R$3,12,31)&lt;DATE(R$3,MONTH(入力データ!$C$19),DAY(入力データ!$C$19)),1,0)))</f>
        <v/>
      </c>
      <c r="S6" s="218">
        <f>IF(S$3="","",IF(入力データ!$C$19="","",YEAR(DATE(S$3,12,31))-YEAR(入力データ!$C$19)-IF(DATE(S$3,12,31)&lt;DATE(S$3,MONTH(入力データ!$C$19),DAY(入力データ!$C$19)),1,0)))</f>
        <v/>
      </c>
      <c r="T6" s="218">
        <f>IF(T$3="","",IF(入力データ!$C$19="","",YEAR(DATE(T$3,12,31))-YEAR(入力データ!$C$19)-IF(DATE(T$3,12,31)&lt;DATE(T$3,MONTH(入力データ!$C$19),DAY(入力データ!$C$19)),1,0)))</f>
        <v/>
      </c>
      <c r="U6" s="218">
        <f>IF(U$3="","",IF(入力データ!$C$19="","",YEAR(DATE(U$3,12,31))-YEAR(入力データ!$C$19)-IF(DATE(U$3,12,31)&lt;DATE(U$3,MONTH(入力データ!$C$19),DAY(入力データ!$C$19)),1,0)))</f>
        <v/>
      </c>
      <c r="V6" s="218">
        <f>IF(V$3="","",IF(入力データ!$C$19="","",YEAR(DATE(V$3,12,31))-YEAR(入力データ!$C$19)-IF(DATE(V$3,12,31)&lt;DATE(V$3,MONTH(入力データ!$C$19),DAY(入力データ!$C$19)),1,0)))</f>
        <v/>
      </c>
      <c r="W6" s="218">
        <f>IF(W$3="","",IF(入力データ!$C$19="","",YEAR(DATE(W$3,12,31))-YEAR(入力データ!$C$19)-IF(DATE(W$3,12,31)&lt;DATE(W$3,MONTH(入力データ!$C$19),DAY(入力データ!$C$19)),1,0)))</f>
        <v/>
      </c>
      <c r="X6" s="218">
        <f>IF(X$3="","",IF(入力データ!$C$19="","",YEAR(DATE(X$3,12,31))-YEAR(入力データ!$C$19)-IF(DATE(X$3,12,31)&lt;DATE(X$3,MONTH(入力データ!$C$19),DAY(入力データ!$C$19)),1,0)))</f>
        <v/>
      </c>
      <c r="Y6" s="218">
        <f>IF(Y$3="","",IF(入力データ!$C$19="","",YEAR(DATE(Y$3,12,31))-YEAR(入力データ!$C$19)-IF(DATE(Y$3,12,31)&lt;DATE(Y$3,MONTH(入力データ!$C$19),DAY(入力データ!$C$19)),1,0)))</f>
        <v/>
      </c>
      <c r="Z6" s="218">
        <f>IF(Z$3="","",IF(入力データ!$C$19="","",YEAR(DATE(Z$3,12,31))-YEAR(入力データ!$C$19)-IF(DATE(Z$3,12,31)&lt;DATE(Z$3,MONTH(入力データ!$C$19),DAY(入力データ!$C$19)),1,0)))</f>
        <v/>
      </c>
      <c r="AA6" s="218">
        <f>IF(AA$3="","",IF(入力データ!$C$19="","",YEAR(DATE(AA$3,12,31))-YEAR(入力データ!$C$19)-IF(DATE(AA$3,12,31)&lt;DATE(AA$3,MONTH(入力データ!$C$19),DAY(入力データ!$C$19)),1,0)))</f>
        <v/>
      </c>
      <c r="AB6" s="218">
        <f>IF(AB$3="","",IF(入力データ!$C$19="","",YEAR(DATE(AB$3,12,31))-YEAR(入力データ!$C$19)-IF(DATE(AB$3,12,31)&lt;DATE(AB$3,MONTH(入力データ!$C$19),DAY(入力データ!$C$19)),1,0)))</f>
        <v/>
      </c>
      <c r="AC6" s="218">
        <f>IF(AC$3="","",IF(入力データ!$C$19="","",YEAR(DATE(AC$3,12,31))-YEAR(入力データ!$C$19)-IF(DATE(AC$3,12,31)&lt;DATE(AC$3,MONTH(入力データ!$C$19),DAY(入力データ!$C$19)),1,0)))</f>
        <v/>
      </c>
      <c r="AD6" s="218">
        <f>IF(AD$3="","",IF(入力データ!$C$19="","",YEAR(DATE(AD$3,12,31))-YEAR(入力データ!$C$19)-IF(DATE(AD$3,12,31)&lt;DATE(AD$3,MONTH(入力データ!$C$19),DAY(入力データ!$C$19)),1,0)))</f>
        <v/>
      </c>
      <c r="AE6" s="218">
        <f>IF(AE$3="","",IF(入力データ!$C$19="","",YEAR(DATE(AE$3,12,31))-YEAR(入力データ!$C$19)-IF(DATE(AE$3,12,31)&lt;DATE(AE$3,MONTH(入力データ!$C$19),DAY(入力データ!$C$19)),1,0)))</f>
        <v/>
      </c>
      <c r="AF6" s="218">
        <f>IF(AF$3="","",IF(入力データ!$C$19="","",YEAR(DATE(AF$3,12,31))-YEAR(入力データ!$C$19)-IF(DATE(AF$3,12,31)&lt;DATE(AF$3,MONTH(入力データ!$C$19),DAY(入力データ!$C$19)),1,0)))</f>
        <v/>
      </c>
      <c r="AG6" s="218">
        <f>IF(AG$3="","",IF(入力データ!$C$19="","",YEAR(DATE(AG$3,12,31))-YEAR(入力データ!$C$19)-IF(DATE(AG$3,12,31)&lt;DATE(AG$3,MONTH(入力データ!$C$19),DAY(入力データ!$C$19)),1,0)))</f>
        <v/>
      </c>
      <c r="AH6" s="218">
        <f>IF(AH$3="","",IF(入力データ!$C$19="","",YEAR(DATE(AH$3,12,31))-YEAR(入力データ!$C$19)-IF(DATE(AH$3,12,31)&lt;DATE(AH$3,MONTH(入力データ!$C$19),DAY(入力データ!$C$19)),1,0)))</f>
        <v/>
      </c>
      <c r="AI6" s="218">
        <f>IF(AI$3="","",IF(入力データ!$C$19="","",YEAR(DATE(AI$3,12,31))-YEAR(入力データ!$C$19)-IF(DATE(AI$3,12,31)&lt;DATE(AI$3,MONTH(入力データ!$C$19),DAY(入力データ!$C$19)),1,0)))</f>
        <v/>
      </c>
      <c r="AJ6" s="218">
        <f>IF(AJ$3="","",IF(入力データ!$C$19="","",YEAR(DATE(AJ$3,12,31))-YEAR(入力データ!$C$19)-IF(DATE(AJ$3,12,31)&lt;DATE(AJ$3,MONTH(入力データ!$C$19),DAY(入力データ!$C$19)),1,0)))</f>
        <v/>
      </c>
      <c r="AK6" s="218">
        <f>IF(AK$3="","",IF(入力データ!$C$19="","",YEAR(DATE(AK$3,12,31))-YEAR(入力データ!$C$19)-IF(DATE(AK$3,12,31)&lt;DATE(AK$3,MONTH(入力データ!$C$19),DAY(入力データ!$C$19)),1,0)))</f>
        <v/>
      </c>
      <c r="AL6" s="218">
        <f>IF(AL$3="","",IF(入力データ!$C$19="","",YEAR(DATE(AL$3,12,31))-YEAR(入力データ!$C$19)-IF(DATE(AL$3,12,31)&lt;DATE(AL$3,MONTH(入力データ!$C$19),DAY(入力データ!$C$19)),1,0)))</f>
        <v/>
      </c>
      <c r="AM6" s="218">
        <f>IF(AM$3="","",IF(入力データ!$C$19="","",YEAR(DATE(AM$3,12,31))-YEAR(入力データ!$C$19)-IF(DATE(AM$3,12,31)&lt;DATE(AM$3,MONTH(入力データ!$C$19),DAY(入力データ!$C$19)),1,0)))</f>
        <v/>
      </c>
      <c r="AN6" s="218">
        <f>IF(AN$3="","",IF(入力データ!$C$19="","",YEAR(DATE(AN$3,12,31))-YEAR(入力データ!$C$19)-IF(DATE(AN$3,12,31)&lt;DATE(AN$3,MONTH(入力データ!$C$19),DAY(入力データ!$C$19)),1,0)))</f>
        <v/>
      </c>
      <c r="AO6" s="218">
        <f>IF(AO$3="","",IF(入力データ!$C$19="","",YEAR(DATE(AO$3,12,31))-YEAR(入力データ!$C$19)-IF(DATE(AO$3,12,31)&lt;DATE(AO$3,MONTH(入力データ!$C$19),DAY(入力データ!$C$19)),1,0)))</f>
        <v/>
      </c>
      <c r="AP6" s="218">
        <f>IF(AP$3="","",IF(入力データ!$C$19="","",YEAR(DATE(AP$3,12,31))-YEAR(入力データ!$C$19)-IF(DATE(AP$3,12,31)&lt;DATE(AP$3,MONTH(入力データ!$C$19),DAY(入力データ!$C$19)),1,0)))</f>
        <v/>
      </c>
      <c r="AQ6" s="218">
        <f>IF(AQ$3="","",IF(入力データ!$C$19="","",YEAR(DATE(AQ$3,12,31))-YEAR(入力データ!$C$19)-IF(DATE(AQ$3,12,31)&lt;DATE(AQ$3,MONTH(入力データ!$C$19),DAY(入力データ!$C$19)),1,0)))</f>
        <v/>
      </c>
      <c r="AR6" s="218">
        <f>IF(AR$3="","",IF(入力データ!$C$19="","",YEAR(DATE(AR$3,12,31))-YEAR(入力データ!$C$19)-IF(DATE(AR$3,12,31)&lt;DATE(AR$3,MONTH(入力データ!$C$19),DAY(入力データ!$C$19)),1,0)))</f>
        <v/>
      </c>
      <c r="AS6" s="218">
        <f>IF(AS$3="","",IF(入力データ!$C$19="","",YEAR(DATE(AS$3,12,31))-YEAR(入力データ!$C$19)-IF(DATE(AS$3,12,31)&lt;DATE(AS$3,MONTH(入力データ!$C$19),DAY(入力データ!$C$19)),1,0)))</f>
        <v/>
      </c>
      <c r="AT6" s="218">
        <f>IF(AT$3="","",IF(入力データ!$C$19="","",YEAR(DATE(AT$3,12,31))-YEAR(入力データ!$C$19)-IF(DATE(AT$3,12,31)&lt;DATE(AT$3,MONTH(入力データ!$C$19),DAY(入力データ!$C$19)),1,0)))</f>
        <v/>
      </c>
      <c r="AU6" s="218">
        <f>IF(AU$3="","",IF(入力データ!$C$19="","",YEAR(DATE(AU$3,12,31))-YEAR(入力データ!$C$19)-IF(DATE(AU$3,12,31)&lt;DATE(AU$3,MONTH(入力データ!$C$19),DAY(入力データ!$C$19)),1,0)))</f>
        <v/>
      </c>
      <c r="AV6" s="218">
        <f>IF(AV$3="","",IF(入力データ!$C$19="","",YEAR(DATE(AV$3,12,31))-YEAR(入力データ!$C$19)-IF(DATE(AV$3,12,31)&lt;DATE(AV$3,MONTH(入力データ!$C$19),DAY(入力データ!$C$19)),1,0)))</f>
        <v/>
      </c>
      <c r="AW6" s="218">
        <f>IF(AW$3="","",IF(入力データ!$C$19="","",YEAR(DATE(AW$3,12,31))-YEAR(入力データ!$C$19)-IF(DATE(AW$3,12,31)&lt;DATE(AW$3,MONTH(入力データ!$C$19),DAY(入力データ!$C$19)),1,0)))</f>
        <v/>
      </c>
      <c r="AX6" s="218">
        <f>IF(AX$3="","",IF(入力データ!$C$19="","",YEAR(DATE(AX$3,12,31))-YEAR(入力データ!$C$19)-IF(DATE(AX$3,12,31)&lt;DATE(AX$3,MONTH(入力データ!$C$19),DAY(入力データ!$C$19)),1,0)))</f>
        <v/>
      </c>
      <c r="AY6" s="218">
        <f>IF(AY$3="","",IF(入力データ!$C$19="","",YEAR(DATE(AY$3,12,31))-YEAR(入力データ!$C$19)-IF(DATE(AY$3,12,31)&lt;DATE(AY$3,MONTH(入力データ!$C$19),DAY(入力データ!$C$19)),1,0)))</f>
        <v/>
      </c>
      <c r="AZ6" s="218">
        <f>IF(AZ$3="","",IF(入力データ!$C$19="","",YEAR(DATE(AZ$3,12,31))-YEAR(入力データ!$C$19)-IF(DATE(AZ$3,12,31)&lt;DATE(AZ$3,MONTH(入力データ!$C$19),DAY(入力データ!$C$19)),1,0)))</f>
        <v/>
      </c>
      <c r="BA6" s="218">
        <f>IF(BA$3="","",IF(入力データ!$C$19="","",YEAR(DATE(BA$3,12,31))-YEAR(入力データ!$C$19)-IF(DATE(BA$3,12,31)&lt;DATE(BA$3,MONTH(入力データ!$C$19),DAY(入力データ!$C$19)),1,0)))</f>
        <v/>
      </c>
      <c r="BB6" s="218">
        <f>IF(BB$3="","",IF(入力データ!$C$19="","",YEAR(DATE(BB$3,12,31))-YEAR(入力データ!$C$19)-IF(DATE(BB$3,12,31)&lt;DATE(BB$3,MONTH(入力データ!$C$19),DAY(入力データ!$C$19)),1,0)))</f>
        <v/>
      </c>
      <c r="BC6" s="218">
        <f>IF(BC$3="","",IF(入力データ!$C$19="","",YEAR(DATE(BC$3,12,31))-YEAR(入力データ!$C$19)-IF(DATE(BC$3,12,31)&lt;DATE(BC$3,MONTH(入力データ!$C$19),DAY(入力データ!$C$19)),1,0)))</f>
        <v/>
      </c>
      <c r="BD6" s="218">
        <f>IF(BD$3="","",IF(入力データ!$C$19="","",YEAR(DATE(BD$3,12,31))-YEAR(入力データ!$C$19)-IF(DATE(BD$3,12,31)&lt;DATE(BD$3,MONTH(入力データ!$C$19),DAY(入力データ!$C$19)),1,0)))</f>
        <v/>
      </c>
      <c r="BE6" s="218">
        <f>IF(BE$3="","",IF(入力データ!$C$19="","",YEAR(DATE(BE$3,12,31))-YEAR(入力データ!$C$19)-IF(DATE(BE$3,12,31)&lt;DATE(BE$3,MONTH(入力データ!$C$19),DAY(入力データ!$C$19)),1,0)))</f>
        <v/>
      </c>
      <c r="BF6" s="218">
        <f>IF(BF$3="","",IF(入力データ!$C$19="","",YEAR(DATE(BF$3,12,31))-YEAR(入力データ!$C$19)-IF(DATE(BF$3,12,31)&lt;DATE(BF$3,MONTH(入力データ!$C$19),DAY(入力データ!$C$19)),1,0)))</f>
        <v/>
      </c>
      <c r="BG6" s="218">
        <f>IF(BG$3="","",IF(入力データ!$C$19="","",YEAR(DATE(BG$3,12,31))-YEAR(入力データ!$C$19)-IF(DATE(BG$3,12,31)&lt;DATE(BG$3,MONTH(入力データ!$C$19),DAY(入力データ!$C$19)),1,0)))</f>
        <v/>
      </c>
      <c r="BH6" s="218">
        <f>IF(BH$3="","",IF(入力データ!$C$19="","",YEAR(DATE(BH$3,12,31))-YEAR(入力データ!$C$19)-IF(DATE(BH$3,12,31)&lt;DATE(BH$3,MONTH(入力データ!$C$19),DAY(入力データ!$C$19)),1,0)))</f>
        <v/>
      </c>
      <c r="BI6" s="218">
        <f>IF(BI$3="","",IF(入力データ!$C$19="","",YEAR(DATE(BI$3,12,31))-YEAR(入力データ!$C$19)-IF(DATE(BI$3,12,31)&lt;DATE(BI$3,MONTH(入力データ!$C$19),DAY(入力データ!$C$19)),1,0)))</f>
        <v/>
      </c>
      <c r="BJ6" s="218">
        <f>IF(BJ$3="","",IF(入力データ!$C$19="","",YEAR(DATE(BJ$3,12,31))-YEAR(入力データ!$C$19)-IF(DATE(BJ$3,12,31)&lt;DATE(BJ$3,MONTH(入力データ!$C$19),DAY(入力データ!$C$19)),1,0)))</f>
        <v/>
      </c>
      <c r="BK6" s="218">
        <f>IF(BK$3="","",IF(入力データ!$C$19="","",YEAR(DATE(BK$3,12,31))-YEAR(入力データ!$C$19)-IF(DATE(BK$3,12,31)&lt;DATE(BK$3,MONTH(入力データ!$C$19),DAY(入力データ!$C$19)),1,0)))</f>
        <v/>
      </c>
      <c r="BL6" s="218">
        <f>IF(BL$3="","",IF(入力データ!$C$19="","",YEAR(DATE(BL$3,12,31))-YEAR(入力データ!$C$19)-IF(DATE(BL$3,12,31)&lt;DATE(BL$3,MONTH(入力データ!$C$19),DAY(入力データ!$C$19)),1,0)))</f>
        <v/>
      </c>
      <c r="BM6" s="218">
        <f>IF(BM$3="","",IF(入力データ!$C$19="","",YEAR(DATE(BM$3,12,31))-YEAR(入力データ!$C$19)-IF(DATE(BM$3,12,31)&lt;DATE(BM$3,MONTH(入力データ!$C$19),DAY(入力データ!$C$19)),1,0)))</f>
        <v/>
      </c>
      <c r="BN6" s="218">
        <f>IF(BN$3="","",IF(入力データ!$C$19="","",YEAR(DATE(BN$3,12,31))-YEAR(入力データ!$C$19)-IF(DATE(BN$3,12,31)&lt;DATE(BN$3,MONTH(入力データ!$C$19),DAY(入力データ!$C$19)),1,0)))</f>
        <v/>
      </c>
      <c r="BO6" s="218">
        <f>IF(BO$3="","",IF(入力データ!$C$19="","",YEAR(DATE(BO$3,12,31))-YEAR(入力データ!$C$19)-IF(DATE(BO$3,12,31)&lt;DATE(BO$3,MONTH(入力データ!$C$19),DAY(入力データ!$C$19)),1,0)))</f>
        <v/>
      </c>
      <c r="BP6" s="218">
        <f>IF(BP$3="","",IF(入力データ!$C$19="","",YEAR(DATE(BP$3,12,31))-YEAR(入力データ!$C$19)-IF(DATE(BP$3,12,31)&lt;DATE(BP$3,MONTH(入力データ!$C$19),DAY(入力データ!$C$19)),1,0)))</f>
        <v/>
      </c>
      <c r="BQ6" s="218">
        <f>IF(BQ$3="","",IF(入力データ!$C$19="","",YEAR(DATE(BQ$3,12,31))-YEAR(入力データ!$C$19)-IF(DATE(BQ$3,12,31)&lt;DATE(BQ$3,MONTH(入力データ!$C$19),DAY(入力データ!$C$19)),1,0)))</f>
        <v/>
      </c>
      <c r="BR6" s="218">
        <f>IF(BR$3="","",IF(入力データ!$C$19="","",YEAR(DATE(BR$3,12,31))-YEAR(入力データ!$C$19)-IF(DATE(BR$3,12,31)&lt;DATE(BR$3,MONTH(入力データ!$C$19),DAY(入力データ!$C$19)),1,0)))</f>
        <v/>
      </c>
      <c r="BS6" s="218">
        <f>IF(BS$3="","",IF(入力データ!$C$19="","",YEAR(DATE(BS$3,12,31))-YEAR(入力データ!$C$19)-IF(DATE(BS$3,12,31)&lt;DATE(BS$3,MONTH(入力データ!$C$19),DAY(入力データ!$C$19)),1,0)))</f>
        <v/>
      </c>
      <c r="BT6" s="218">
        <f>IF(BT$3="","",IF(入力データ!$C$19="","",YEAR(DATE(BT$3,12,31))-YEAR(入力データ!$C$19)-IF(DATE(BT$3,12,31)&lt;DATE(BT$3,MONTH(入力データ!$C$19),DAY(入力データ!$C$19)),1,0)))</f>
        <v/>
      </c>
      <c r="BU6" s="218">
        <f>IF(BU$3="","",IF(入力データ!$C$19="","",YEAR(DATE(BU$3,12,31))-YEAR(入力データ!$C$19)-IF(DATE(BU$3,12,31)&lt;DATE(BU$3,MONTH(入力データ!$C$19),DAY(入力データ!$C$19)),1,0)))</f>
        <v/>
      </c>
      <c r="BV6" s="218">
        <f>IF(BV$3="","",IF(入力データ!$C$19="","",YEAR(DATE(BV$3,12,31))-YEAR(入力データ!$C$19)-IF(DATE(BV$3,12,31)&lt;DATE(BV$3,MONTH(入力データ!$C$19),DAY(入力データ!$C$19)),1,0)))</f>
        <v/>
      </c>
      <c r="BW6" s="218">
        <f>IF(BW$3="","",IF(入力データ!$C$19="","",YEAR(DATE(BW$3,12,31))-YEAR(入力データ!$C$19)-IF(DATE(BW$3,12,31)&lt;DATE(BW$3,MONTH(入力データ!$C$19),DAY(入力データ!$C$19)),1,0)))</f>
        <v/>
      </c>
      <c r="BX6" s="218">
        <f>IF(BX$3="","",IF(入力データ!$C$19="","",YEAR(DATE(BX$3,12,31))-YEAR(入力データ!$C$19)-IF(DATE(BX$3,12,31)&lt;DATE(BX$3,MONTH(入力データ!$C$19),DAY(入力データ!$C$19)),1,0)))</f>
        <v/>
      </c>
      <c r="BY6" s="218">
        <f>IF(BY$3="","",IF(入力データ!$C$19="","",YEAR(DATE(BY$3,12,31))-YEAR(入力データ!$C$19)-IF(DATE(BY$3,12,31)&lt;DATE(BY$3,MONTH(入力データ!$C$19),DAY(入力データ!$C$19)),1,0)))</f>
        <v/>
      </c>
      <c r="BZ6" s="218">
        <f>IF(BZ$3="","",IF(入力データ!$C$19="","",YEAR(DATE(BZ$3,12,31))-YEAR(入力データ!$C$19)-IF(DATE(BZ$3,12,31)&lt;DATE(BZ$3,MONTH(入力データ!$C$19),DAY(入力データ!$C$19)),1,0)))</f>
        <v/>
      </c>
      <c r="CA6" s="218">
        <f>IF(CA$3="","",IF(入力データ!$C$19="","",YEAR(DATE(CA$3,12,31))-YEAR(入力データ!$C$19)-IF(DATE(CA$3,12,31)&lt;DATE(CA$3,MONTH(入力データ!$C$19),DAY(入力データ!$C$19)),1,0)))</f>
        <v/>
      </c>
      <c r="CB6" s="218">
        <f>IF(CB$3="","",IF(入力データ!$C$19="","",YEAR(DATE(CB$3,12,31))-YEAR(入力データ!$C$19)-IF(DATE(CB$3,12,31)&lt;DATE(CB$3,MONTH(入力データ!$C$19),DAY(入力データ!$C$19)),1,0)))</f>
        <v/>
      </c>
      <c r="CC6" s="218">
        <f>IF(CC$3="","",IF(入力データ!$C$19="","",YEAR(DATE(CC$3,12,31))-YEAR(入力データ!$C$19)-IF(DATE(CC$3,12,31)&lt;DATE(CC$3,MONTH(入力データ!$C$19),DAY(入力データ!$C$19)),1,0)))</f>
        <v/>
      </c>
      <c r="CD6" s="218">
        <f>IF(CD$3="","",IF(入力データ!$C$19="","",YEAR(DATE(CD$3,12,31))-YEAR(入力データ!$C$19)-IF(DATE(CD$3,12,31)&lt;DATE(CD$3,MONTH(入力データ!$C$19),DAY(入力データ!$C$19)),1,0)))</f>
        <v/>
      </c>
      <c r="CE6" s="218">
        <f>IF(CE$3="","",IF(入力データ!$C$19="","",YEAR(DATE(CE$3,12,31))-YEAR(入力データ!$C$19)-IF(DATE(CE$3,12,31)&lt;DATE(CE$3,MONTH(入力データ!$C$19),DAY(入力データ!$C$19)),1,0)))</f>
        <v/>
      </c>
      <c r="CF6" s="218">
        <f>IF(CF$3="","",IF(入力データ!$C$19="","",YEAR(DATE(CF$3,12,31))-YEAR(入力データ!$C$19)-IF(DATE(CF$3,12,31)&lt;DATE(CF$3,MONTH(入力データ!$C$19),DAY(入力データ!$C$19)),1,0)))</f>
        <v/>
      </c>
      <c r="CG6" s="218">
        <f>IF(CG$3="","",IF(入力データ!$C$19="","",YEAR(DATE(CG$3,12,31))-YEAR(入力データ!$C$19)-IF(DATE(CG$3,12,31)&lt;DATE(CG$3,MONTH(入力データ!$C$19),DAY(入力データ!$C$19)),1,0)))</f>
        <v/>
      </c>
      <c r="CH6" s="218">
        <f>IF(CH$3="","",IF(入力データ!$C$19="","",YEAR(DATE(CH$3,12,31))-YEAR(入力データ!$C$19)-IF(DATE(CH$3,12,31)&lt;DATE(CH$3,MONTH(入力データ!$C$19),DAY(入力データ!$C$19)),1,0)))</f>
        <v/>
      </c>
      <c r="CI6" s="218">
        <f>IF(CI$3="","",IF(入力データ!$C$19="","",YEAR(DATE(CI$3,12,31))-YEAR(入力データ!$C$19)-IF(DATE(CI$3,12,31)&lt;DATE(CI$3,MONTH(入力データ!$C$19),DAY(入力データ!$C$19)),1,0)))</f>
        <v/>
      </c>
      <c r="CJ6" s="218">
        <f>IF(CJ$3="","",IF(入力データ!$C$19="","",YEAR(DATE(CJ$3,12,31))-YEAR(入力データ!$C$19)-IF(DATE(CJ$3,12,31)&lt;DATE(CJ$3,MONTH(入力データ!$C$19),DAY(入力データ!$C$19)),1,0)))</f>
        <v/>
      </c>
      <c r="CK6" s="218">
        <f>IF(CK$3="","",IF(入力データ!$C$19="","",YEAR(DATE(CK$3,12,31))-YEAR(入力データ!$C$19)-IF(DATE(CK$3,12,31)&lt;DATE(CK$3,MONTH(入力データ!$C$19),DAY(入力データ!$C$19)),1,0)))</f>
        <v/>
      </c>
      <c r="CL6" s="218">
        <f>IF(CL$3="","",IF(入力データ!$C$19="","",YEAR(DATE(CL$3,12,31))-YEAR(入力データ!$C$19)-IF(DATE(CL$3,12,31)&lt;DATE(CL$3,MONTH(入力データ!$C$19),DAY(入力データ!$C$19)),1,0)))</f>
        <v/>
      </c>
      <c r="CM6" s="218">
        <f>IF(CM$3="","",IF(入力データ!$C$19="","",YEAR(DATE(CM$3,12,31))-YEAR(入力データ!$C$19)-IF(DATE(CM$3,12,31)&lt;DATE(CM$3,MONTH(入力データ!$C$19),DAY(入力データ!$C$19)),1,0)))</f>
        <v/>
      </c>
      <c r="CN6" s="218">
        <f>IF(CN$3="","",IF(入力データ!$C$19="","",YEAR(DATE(CN$3,12,31))-YEAR(入力データ!$C$19)-IF(DATE(CN$3,12,31)&lt;DATE(CN$3,MONTH(入力データ!$C$19),DAY(入力データ!$C$19)),1,0)))</f>
        <v/>
      </c>
      <c r="CO6" s="218">
        <f>IF(CO$3="","",IF(入力データ!$C$19="","",YEAR(DATE(CO$3,12,31))-YEAR(入力データ!$C$19)-IF(DATE(CO$3,12,31)&lt;DATE(CO$3,MONTH(入力データ!$C$19),DAY(入力データ!$C$19)),1,0)))</f>
        <v/>
      </c>
      <c r="CP6" s="218">
        <f>IF(CP$3="","",IF(入力データ!$C$19="","",YEAR(DATE(CP$3,12,31))-YEAR(入力データ!$C$19)-IF(DATE(CP$3,12,31)&lt;DATE(CP$3,MONTH(入力データ!$C$19),DAY(入力データ!$C$19)),1,0)))</f>
        <v/>
      </c>
      <c r="CQ6" s="218">
        <f>IF(CQ$3="","",IF(入力データ!$C$19="","",YEAR(DATE(CQ$3,12,31))-YEAR(入力データ!$C$19)-IF(DATE(CQ$3,12,31)&lt;DATE(CQ$3,MONTH(入力データ!$C$19),DAY(入力データ!$C$19)),1,0)))</f>
        <v/>
      </c>
      <c r="CR6" s="218">
        <f>IF(CR$3="","",IF(入力データ!$C$19="","",YEAR(DATE(CR$3,12,31))-YEAR(入力データ!$C$19)-IF(DATE(CR$3,12,31)&lt;DATE(CR$3,MONTH(入力データ!$C$19),DAY(入力データ!$C$19)),1,0)))</f>
        <v/>
      </c>
      <c r="CS6" s="218">
        <f>IF(CS$3="","",IF(入力データ!$C$19="","",YEAR(DATE(CS$3,12,31))-YEAR(入力データ!$C$19)-IF(DATE(CS$3,12,31)&lt;DATE(CS$3,MONTH(入力データ!$C$19),DAY(入力データ!$C$19)),1,0)))</f>
        <v/>
      </c>
      <c r="CT6" s="218">
        <f>IF(CT$3="","",IF(入力データ!$C$19="","",YEAR(DATE(CT$3,12,31))-YEAR(入力データ!$C$19)-IF(DATE(CT$3,12,31)&lt;DATE(CT$3,MONTH(入力データ!$C$19),DAY(入力データ!$C$19)),1,0)))</f>
        <v/>
      </c>
      <c r="CU6" s="218">
        <f>IF(CU$3="","",IF(入力データ!$C$19="","",YEAR(DATE(CU$3,12,31))-YEAR(入力データ!$C$19)-IF(DATE(CU$3,12,31)&lt;DATE(CU$3,MONTH(入力データ!$C$19),DAY(入力データ!$C$19)),1,0)))</f>
        <v/>
      </c>
      <c r="CV6" s="218">
        <f>IF(CV$3="","",IF(入力データ!$C$19="","",YEAR(DATE(CV$3,12,31))-YEAR(入力データ!$C$19)-IF(DATE(CV$3,12,31)&lt;DATE(CV$3,MONTH(入力データ!$C$19),DAY(入力データ!$C$19)),1,0)))</f>
        <v/>
      </c>
      <c r="CW6" s="218">
        <f>IF(CW$3="","",IF(入力データ!$C$19="","",YEAR(DATE(CW$3,12,31))-YEAR(入力データ!$C$19)-IF(DATE(CW$3,12,31)&lt;DATE(CW$3,MONTH(入力データ!$C$19),DAY(入力データ!$C$19)),1,0)))</f>
        <v/>
      </c>
    </row>
    <row r="7" ht="16.5" customHeight="1" s="180">
      <c r="A7" s="217" t="inlineStr">
        <is>
          <t>子2年齢</t>
        </is>
      </c>
      <c r="B7" s="218">
        <f>IF(B$3="","",IF(入力データ!$C$21="","",YEAR(DATE(B$3,12,31))-YEAR(入力データ!$C$21)-IF(DATE(B$3,12,31)&lt;DATE(B$3,MONTH(入力データ!$C$21),DAY(入力データ!$C$21)),1,0)))</f>
        <v/>
      </c>
      <c r="C7" s="218">
        <f>IF(C$3="","",IF(入力データ!$C$21="","",YEAR(DATE(C$3,12,31))-YEAR(入力データ!$C$21)-IF(DATE(C$3,12,31)&lt;DATE(C$3,MONTH(入力データ!$C$21),DAY(入力データ!$C$21)),1,0)))</f>
        <v/>
      </c>
      <c r="D7" s="218">
        <f>IF(D$3="","",IF(入力データ!$C$21="","",YEAR(DATE(D$3,12,31))-YEAR(入力データ!$C$21)-IF(DATE(D$3,12,31)&lt;DATE(D$3,MONTH(入力データ!$C$21),DAY(入力データ!$C$21)),1,0)))</f>
        <v/>
      </c>
      <c r="E7" s="218">
        <f>IF(E$3="","",IF(入力データ!$C$21="","",YEAR(DATE(E$3,12,31))-YEAR(入力データ!$C$21)-IF(DATE(E$3,12,31)&lt;DATE(E$3,MONTH(入力データ!$C$21),DAY(入力データ!$C$21)),1,0)))</f>
        <v/>
      </c>
      <c r="F7" s="218">
        <f>IF(F$3="","",IF(入力データ!$C$21="","",YEAR(DATE(F$3,12,31))-YEAR(入力データ!$C$21)-IF(DATE(F$3,12,31)&lt;DATE(F$3,MONTH(入力データ!$C$21),DAY(入力データ!$C$21)),1,0)))</f>
        <v/>
      </c>
      <c r="G7" s="218">
        <f>IF(G$3="","",IF(入力データ!$C$21="","",YEAR(DATE(G$3,12,31))-YEAR(入力データ!$C$21)-IF(DATE(G$3,12,31)&lt;DATE(G$3,MONTH(入力データ!$C$21),DAY(入力データ!$C$21)),1,0)))</f>
        <v/>
      </c>
      <c r="H7" s="218">
        <f>IF(H$3="","",IF(入力データ!$C$21="","",YEAR(DATE(H$3,12,31))-YEAR(入力データ!$C$21)-IF(DATE(H$3,12,31)&lt;DATE(H$3,MONTH(入力データ!$C$21),DAY(入力データ!$C$21)),1,0)))</f>
        <v/>
      </c>
      <c r="I7" s="218">
        <f>IF(I$3="","",IF(入力データ!$C$21="","",YEAR(DATE(I$3,12,31))-YEAR(入力データ!$C$21)-IF(DATE(I$3,12,31)&lt;DATE(I$3,MONTH(入力データ!$C$21),DAY(入力データ!$C$21)),1,0)))</f>
        <v/>
      </c>
      <c r="J7" s="218">
        <f>IF(J$3="","",IF(入力データ!$C$21="","",YEAR(DATE(J$3,12,31))-YEAR(入力データ!$C$21)-IF(DATE(J$3,12,31)&lt;DATE(J$3,MONTH(入力データ!$C$21),DAY(入力データ!$C$21)),1,0)))</f>
        <v/>
      </c>
      <c r="K7" s="218">
        <f>IF(K$3="","",IF(入力データ!$C$21="","",YEAR(DATE(K$3,12,31))-YEAR(入力データ!$C$21)-IF(DATE(K$3,12,31)&lt;DATE(K$3,MONTH(入力データ!$C$21),DAY(入力データ!$C$21)),1,0)))</f>
        <v/>
      </c>
      <c r="L7" s="218">
        <f>IF(L$3="","",IF(入力データ!$C$21="","",YEAR(DATE(L$3,12,31))-YEAR(入力データ!$C$21)-IF(DATE(L$3,12,31)&lt;DATE(L$3,MONTH(入力データ!$C$21),DAY(入力データ!$C$21)),1,0)))</f>
        <v/>
      </c>
      <c r="M7" s="218">
        <f>IF(M$3="","",IF(入力データ!$C$21="","",YEAR(DATE(M$3,12,31))-YEAR(入力データ!$C$21)-IF(DATE(M$3,12,31)&lt;DATE(M$3,MONTH(入力データ!$C$21),DAY(入力データ!$C$21)),1,0)))</f>
        <v/>
      </c>
      <c r="N7" s="218">
        <f>IF(N$3="","",IF(入力データ!$C$21="","",YEAR(DATE(N$3,12,31))-YEAR(入力データ!$C$21)-IF(DATE(N$3,12,31)&lt;DATE(N$3,MONTH(入力データ!$C$21),DAY(入力データ!$C$21)),1,0)))</f>
        <v/>
      </c>
      <c r="O7" s="218">
        <f>IF(O$3="","",IF(入力データ!$C$21="","",YEAR(DATE(O$3,12,31))-YEAR(入力データ!$C$21)-IF(DATE(O$3,12,31)&lt;DATE(O$3,MONTH(入力データ!$C$21),DAY(入力データ!$C$21)),1,0)))</f>
        <v/>
      </c>
      <c r="P7" s="218">
        <f>IF(P$3="","",IF(入力データ!$C$21="","",YEAR(DATE(P$3,12,31))-YEAR(入力データ!$C$21)-IF(DATE(P$3,12,31)&lt;DATE(P$3,MONTH(入力データ!$C$21),DAY(入力データ!$C$21)),1,0)))</f>
        <v/>
      </c>
      <c r="Q7" s="218">
        <f>IF(Q$3="","",IF(入力データ!$C$21="","",YEAR(DATE(Q$3,12,31))-YEAR(入力データ!$C$21)-IF(DATE(Q$3,12,31)&lt;DATE(Q$3,MONTH(入力データ!$C$21),DAY(入力データ!$C$21)),1,0)))</f>
        <v/>
      </c>
      <c r="R7" s="218">
        <f>IF(R$3="","",IF(入力データ!$C$21="","",YEAR(DATE(R$3,12,31))-YEAR(入力データ!$C$21)-IF(DATE(R$3,12,31)&lt;DATE(R$3,MONTH(入力データ!$C$21),DAY(入力データ!$C$21)),1,0)))</f>
        <v/>
      </c>
      <c r="S7" s="218">
        <f>IF(S$3="","",IF(入力データ!$C$21="","",YEAR(DATE(S$3,12,31))-YEAR(入力データ!$C$21)-IF(DATE(S$3,12,31)&lt;DATE(S$3,MONTH(入力データ!$C$21),DAY(入力データ!$C$21)),1,0)))</f>
        <v/>
      </c>
      <c r="T7" s="218">
        <f>IF(T$3="","",IF(入力データ!$C$21="","",YEAR(DATE(T$3,12,31))-YEAR(入力データ!$C$21)-IF(DATE(T$3,12,31)&lt;DATE(T$3,MONTH(入力データ!$C$21),DAY(入力データ!$C$21)),1,0)))</f>
        <v/>
      </c>
      <c r="U7" s="218">
        <f>IF(U$3="","",IF(入力データ!$C$21="","",YEAR(DATE(U$3,12,31))-YEAR(入力データ!$C$21)-IF(DATE(U$3,12,31)&lt;DATE(U$3,MONTH(入力データ!$C$21),DAY(入力データ!$C$21)),1,0)))</f>
        <v/>
      </c>
      <c r="V7" s="218">
        <f>IF(V$3="","",IF(入力データ!$C$21="","",YEAR(DATE(V$3,12,31))-YEAR(入力データ!$C$21)-IF(DATE(V$3,12,31)&lt;DATE(V$3,MONTH(入力データ!$C$21),DAY(入力データ!$C$21)),1,0)))</f>
        <v/>
      </c>
      <c r="W7" s="218">
        <f>IF(W$3="","",IF(入力データ!$C$21="","",YEAR(DATE(W$3,12,31))-YEAR(入力データ!$C$21)-IF(DATE(W$3,12,31)&lt;DATE(W$3,MONTH(入力データ!$C$21),DAY(入力データ!$C$21)),1,0)))</f>
        <v/>
      </c>
      <c r="X7" s="218">
        <f>IF(X$3="","",IF(入力データ!$C$21="","",YEAR(DATE(X$3,12,31))-YEAR(入力データ!$C$21)-IF(DATE(X$3,12,31)&lt;DATE(X$3,MONTH(入力データ!$C$21),DAY(入力データ!$C$21)),1,0)))</f>
        <v/>
      </c>
      <c r="Y7" s="218">
        <f>IF(Y$3="","",IF(入力データ!$C$21="","",YEAR(DATE(Y$3,12,31))-YEAR(入力データ!$C$21)-IF(DATE(Y$3,12,31)&lt;DATE(Y$3,MONTH(入力データ!$C$21),DAY(入力データ!$C$21)),1,0)))</f>
        <v/>
      </c>
      <c r="Z7" s="218">
        <f>IF(Z$3="","",IF(入力データ!$C$21="","",YEAR(DATE(Z$3,12,31))-YEAR(入力データ!$C$21)-IF(DATE(Z$3,12,31)&lt;DATE(Z$3,MONTH(入力データ!$C$21),DAY(入力データ!$C$21)),1,0)))</f>
        <v/>
      </c>
      <c r="AA7" s="218">
        <f>IF(AA$3="","",IF(入力データ!$C$21="","",YEAR(DATE(AA$3,12,31))-YEAR(入力データ!$C$21)-IF(DATE(AA$3,12,31)&lt;DATE(AA$3,MONTH(入力データ!$C$21),DAY(入力データ!$C$21)),1,0)))</f>
        <v/>
      </c>
      <c r="AB7" s="218">
        <f>IF(AB$3="","",IF(入力データ!$C$21="","",YEAR(DATE(AB$3,12,31))-YEAR(入力データ!$C$21)-IF(DATE(AB$3,12,31)&lt;DATE(AB$3,MONTH(入力データ!$C$21),DAY(入力データ!$C$21)),1,0)))</f>
        <v/>
      </c>
      <c r="AC7" s="218">
        <f>IF(AC$3="","",IF(入力データ!$C$21="","",YEAR(DATE(AC$3,12,31))-YEAR(入力データ!$C$21)-IF(DATE(AC$3,12,31)&lt;DATE(AC$3,MONTH(入力データ!$C$21),DAY(入力データ!$C$21)),1,0)))</f>
        <v/>
      </c>
      <c r="AD7" s="218">
        <f>IF(AD$3="","",IF(入力データ!$C$21="","",YEAR(DATE(AD$3,12,31))-YEAR(入力データ!$C$21)-IF(DATE(AD$3,12,31)&lt;DATE(AD$3,MONTH(入力データ!$C$21),DAY(入力データ!$C$21)),1,0)))</f>
        <v/>
      </c>
      <c r="AE7" s="218">
        <f>IF(AE$3="","",IF(入力データ!$C$21="","",YEAR(DATE(AE$3,12,31))-YEAR(入力データ!$C$21)-IF(DATE(AE$3,12,31)&lt;DATE(AE$3,MONTH(入力データ!$C$21),DAY(入力データ!$C$21)),1,0)))</f>
        <v/>
      </c>
      <c r="AF7" s="218">
        <f>IF(AF$3="","",IF(入力データ!$C$21="","",YEAR(DATE(AF$3,12,31))-YEAR(入力データ!$C$21)-IF(DATE(AF$3,12,31)&lt;DATE(AF$3,MONTH(入力データ!$C$21),DAY(入力データ!$C$21)),1,0)))</f>
        <v/>
      </c>
      <c r="AG7" s="218">
        <f>IF(AG$3="","",IF(入力データ!$C$21="","",YEAR(DATE(AG$3,12,31))-YEAR(入力データ!$C$21)-IF(DATE(AG$3,12,31)&lt;DATE(AG$3,MONTH(入力データ!$C$21),DAY(入力データ!$C$21)),1,0)))</f>
        <v/>
      </c>
      <c r="AH7" s="218">
        <f>IF(AH$3="","",IF(入力データ!$C$21="","",YEAR(DATE(AH$3,12,31))-YEAR(入力データ!$C$21)-IF(DATE(AH$3,12,31)&lt;DATE(AH$3,MONTH(入力データ!$C$21),DAY(入力データ!$C$21)),1,0)))</f>
        <v/>
      </c>
      <c r="AI7" s="218">
        <f>IF(AI$3="","",IF(入力データ!$C$21="","",YEAR(DATE(AI$3,12,31))-YEAR(入力データ!$C$21)-IF(DATE(AI$3,12,31)&lt;DATE(AI$3,MONTH(入力データ!$C$21),DAY(入力データ!$C$21)),1,0)))</f>
        <v/>
      </c>
      <c r="AJ7" s="218">
        <f>IF(AJ$3="","",IF(入力データ!$C$21="","",YEAR(DATE(AJ$3,12,31))-YEAR(入力データ!$C$21)-IF(DATE(AJ$3,12,31)&lt;DATE(AJ$3,MONTH(入力データ!$C$21),DAY(入力データ!$C$21)),1,0)))</f>
        <v/>
      </c>
      <c r="AK7" s="218">
        <f>IF(AK$3="","",IF(入力データ!$C$21="","",YEAR(DATE(AK$3,12,31))-YEAR(入力データ!$C$21)-IF(DATE(AK$3,12,31)&lt;DATE(AK$3,MONTH(入力データ!$C$21),DAY(入力データ!$C$21)),1,0)))</f>
        <v/>
      </c>
      <c r="AL7" s="218">
        <f>IF(AL$3="","",IF(入力データ!$C$21="","",YEAR(DATE(AL$3,12,31))-YEAR(入力データ!$C$21)-IF(DATE(AL$3,12,31)&lt;DATE(AL$3,MONTH(入力データ!$C$21),DAY(入力データ!$C$21)),1,0)))</f>
        <v/>
      </c>
      <c r="AM7" s="218">
        <f>IF(AM$3="","",IF(入力データ!$C$21="","",YEAR(DATE(AM$3,12,31))-YEAR(入力データ!$C$21)-IF(DATE(AM$3,12,31)&lt;DATE(AM$3,MONTH(入力データ!$C$21),DAY(入力データ!$C$21)),1,0)))</f>
        <v/>
      </c>
      <c r="AN7" s="218">
        <f>IF(AN$3="","",IF(入力データ!$C$21="","",YEAR(DATE(AN$3,12,31))-YEAR(入力データ!$C$21)-IF(DATE(AN$3,12,31)&lt;DATE(AN$3,MONTH(入力データ!$C$21),DAY(入力データ!$C$21)),1,0)))</f>
        <v/>
      </c>
      <c r="AO7" s="218">
        <f>IF(AO$3="","",IF(入力データ!$C$21="","",YEAR(DATE(AO$3,12,31))-YEAR(入力データ!$C$21)-IF(DATE(AO$3,12,31)&lt;DATE(AO$3,MONTH(入力データ!$C$21),DAY(入力データ!$C$21)),1,0)))</f>
        <v/>
      </c>
      <c r="AP7" s="218">
        <f>IF(AP$3="","",IF(入力データ!$C$21="","",YEAR(DATE(AP$3,12,31))-YEAR(入力データ!$C$21)-IF(DATE(AP$3,12,31)&lt;DATE(AP$3,MONTH(入力データ!$C$21),DAY(入力データ!$C$21)),1,0)))</f>
        <v/>
      </c>
      <c r="AQ7" s="218">
        <f>IF(AQ$3="","",IF(入力データ!$C$21="","",YEAR(DATE(AQ$3,12,31))-YEAR(入力データ!$C$21)-IF(DATE(AQ$3,12,31)&lt;DATE(AQ$3,MONTH(入力データ!$C$21),DAY(入力データ!$C$21)),1,0)))</f>
        <v/>
      </c>
      <c r="AR7" s="218">
        <f>IF(AR$3="","",IF(入力データ!$C$21="","",YEAR(DATE(AR$3,12,31))-YEAR(入力データ!$C$21)-IF(DATE(AR$3,12,31)&lt;DATE(AR$3,MONTH(入力データ!$C$21),DAY(入力データ!$C$21)),1,0)))</f>
        <v/>
      </c>
      <c r="AS7" s="218">
        <f>IF(AS$3="","",IF(入力データ!$C$21="","",YEAR(DATE(AS$3,12,31))-YEAR(入力データ!$C$21)-IF(DATE(AS$3,12,31)&lt;DATE(AS$3,MONTH(入力データ!$C$21),DAY(入力データ!$C$21)),1,0)))</f>
        <v/>
      </c>
      <c r="AT7" s="218">
        <f>IF(AT$3="","",IF(入力データ!$C$21="","",YEAR(DATE(AT$3,12,31))-YEAR(入力データ!$C$21)-IF(DATE(AT$3,12,31)&lt;DATE(AT$3,MONTH(入力データ!$C$21),DAY(入力データ!$C$21)),1,0)))</f>
        <v/>
      </c>
      <c r="AU7" s="218">
        <f>IF(AU$3="","",IF(入力データ!$C$21="","",YEAR(DATE(AU$3,12,31))-YEAR(入力データ!$C$21)-IF(DATE(AU$3,12,31)&lt;DATE(AU$3,MONTH(入力データ!$C$21),DAY(入力データ!$C$21)),1,0)))</f>
        <v/>
      </c>
      <c r="AV7" s="218">
        <f>IF(AV$3="","",IF(入力データ!$C$21="","",YEAR(DATE(AV$3,12,31))-YEAR(入力データ!$C$21)-IF(DATE(AV$3,12,31)&lt;DATE(AV$3,MONTH(入力データ!$C$21),DAY(入力データ!$C$21)),1,0)))</f>
        <v/>
      </c>
      <c r="AW7" s="218">
        <f>IF(AW$3="","",IF(入力データ!$C$21="","",YEAR(DATE(AW$3,12,31))-YEAR(入力データ!$C$21)-IF(DATE(AW$3,12,31)&lt;DATE(AW$3,MONTH(入力データ!$C$21),DAY(入力データ!$C$21)),1,0)))</f>
        <v/>
      </c>
      <c r="AX7" s="218">
        <f>IF(AX$3="","",IF(入力データ!$C$21="","",YEAR(DATE(AX$3,12,31))-YEAR(入力データ!$C$21)-IF(DATE(AX$3,12,31)&lt;DATE(AX$3,MONTH(入力データ!$C$21),DAY(入力データ!$C$21)),1,0)))</f>
        <v/>
      </c>
      <c r="AY7" s="218">
        <f>IF(AY$3="","",IF(入力データ!$C$21="","",YEAR(DATE(AY$3,12,31))-YEAR(入力データ!$C$21)-IF(DATE(AY$3,12,31)&lt;DATE(AY$3,MONTH(入力データ!$C$21),DAY(入力データ!$C$21)),1,0)))</f>
        <v/>
      </c>
      <c r="AZ7" s="218">
        <f>IF(AZ$3="","",IF(入力データ!$C$21="","",YEAR(DATE(AZ$3,12,31))-YEAR(入力データ!$C$21)-IF(DATE(AZ$3,12,31)&lt;DATE(AZ$3,MONTH(入力データ!$C$21),DAY(入力データ!$C$21)),1,0)))</f>
        <v/>
      </c>
      <c r="BA7" s="218">
        <f>IF(BA$3="","",IF(入力データ!$C$21="","",YEAR(DATE(BA$3,12,31))-YEAR(入力データ!$C$21)-IF(DATE(BA$3,12,31)&lt;DATE(BA$3,MONTH(入力データ!$C$21),DAY(入力データ!$C$21)),1,0)))</f>
        <v/>
      </c>
      <c r="BB7" s="218">
        <f>IF(BB$3="","",IF(入力データ!$C$21="","",YEAR(DATE(BB$3,12,31))-YEAR(入力データ!$C$21)-IF(DATE(BB$3,12,31)&lt;DATE(BB$3,MONTH(入力データ!$C$21),DAY(入力データ!$C$21)),1,0)))</f>
        <v/>
      </c>
      <c r="BC7" s="218">
        <f>IF(BC$3="","",IF(入力データ!$C$21="","",YEAR(DATE(BC$3,12,31))-YEAR(入力データ!$C$21)-IF(DATE(BC$3,12,31)&lt;DATE(BC$3,MONTH(入力データ!$C$21),DAY(入力データ!$C$21)),1,0)))</f>
        <v/>
      </c>
      <c r="BD7" s="218">
        <f>IF(BD$3="","",IF(入力データ!$C$21="","",YEAR(DATE(BD$3,12,31))-YEAR(入力データ!$C$21)-IF(DATE(BD$3,12,31)&lt;DATE(BD$3,MONTH(入力データ!$C$21),DAY(入力データ!$C$21)),1,0)))</f>
        <v/>
      </c>
      <c r="BE7" s="218">
        <f>IF(BE$3="","",IF(入力データ!$C$21="","",YEAR(DATE(BE$3,12,31))-YEAR(入力データ!$C$21)-IF(DATE(BE$3,12,31)&lt;DATE(BE$3,MONTH(入力データ!$C$21),DAY(入力データ!$C$21)),1,0)))</f>
        <v/>
      </c>
      <c r="BF7" s="218">
        <f>IF(BF$3="","",IF(入力データ!$C$21="","",YEAR(DATE(BF$3,12,31))-YEAR(入力データ!$C$21)-IF(DATE(BF$3,12,31)&lt;DATE(BF$3,MONTH(入力データ!$C$21),DAY(入力データ!$C$21)),1,0)))</f>
        <v/>
      </c>
      <c r="BG7" s="218">
        <f>IF(BG$3="","",IF(入力データ!$C$21="","",YEAR(DATE(BG$3,12,31))-YEAR(入力データ!$C$21)-IF(DATE(BG$3,12,31)&lt;DATE(BG$3,MONTH(入力データ!$C$21),DAY(入力データ!$C$21)),1,0)))</f>
        <v/>
      </c>
      <c r="BH7" s="218">
        <f>IF(BH$3="","",IF(入力データ!$C$21="","",YEAR(DATE(BH$3,12,31))-YEAR(入力データ!$C$21)-IF(DATE(BH$3,12,31)&lt;DATE(BH$3,MONTH(入力データ!$C$21),DAY(入力データ!$C$21)),1,0)))</f>
        <v/>
      </c>
      <c r="BI7" s="218">
        <f>IF(BI$3="","",IF(入力データ!$C$21="","",YEAR(DATE(BI$3,12,31))-YEAR(入力データ!$C$21)-IF(DATE(BI$3,12,31)&lt;DATE(BI$3,MONTH(入力データ!$C$21),DAY(入力データ!$C$21)),1,0)))</f>
        <v/>
      </c>
      <c r="BJ7" s="218">
        <f>IF(BJ$3="","",IF(入力データ!$C$21="","",YEAR(DATE(BJ$3,12,31))-YEAR(入力データ!$C$21)-IF(DATE(BJ$3,12,31)&lt;DATE(BJ$3,MONTH(入力データ!$C$21),DAY(入力データ!$C$21)),1,0)))</f>
        <v/>
      </c>
      <c r="BK7" s="218">
        <f>IF(BK$3="","",IF(入力データ!$C$21="","",YEAR(DATE(BK$3,12,31))-YEAR(入力データ!$C$21)-IF(DATE(BK$3,12,31)&lt;DATE(BK$3,MONTH(入力データ!$C$21),DAY(入力データ!$C$21)),1,0)))</f>
        <v/>
      </c>
      <c r="BL7" s="218">
        <f>IF(BL$3="","",IF(入力データ!$C$21="","",YEAR(DATE(BL$3,12,31))-YEAR(入力データ!$C$21)-IF(DATE(BL$3,12,31)&lt;DATE(BL$3,MONTH(入力データ!$C$21),DAY(入力データ!$C$21)),1,0)))</f>
        <v/>
      </c>
      <c r="BM7" s="218">
        <f>IF(BM$3="","",IF(入力データ!$C$21="","",YEAR(DATE(BM$3,12,31))-YEAR(入力データ!$C$21)-IF(DATE(BM$3,12,31)&lt;DATE(BM$3,MONTH(入力データ!$C$21),DAY(入力データ!$C$21)),1,0)))</f>
        <v/>
      </c>
      <c r="BN7" s="218">
        <f>IF(BN$3="","",IF(入力データ!$C$21="","",YEAR(DATE(BN$3,12,31))-YEAR(入力データ!$C$21)-IF(DATE(BN$3,12,31)&lt;DATE(BN$3,MONTH(入力データ!$C$21),DAY(入力データ!$C$21)),1,0)))</f>
        <v/>
      </c>
      <c r="BO7" s="218">
        <f>IF(BO$3="","",IF(入力データ!$C$21="","",YEAR(DATE(BO$3,12,31))-YEAR(入力データ!$C$21)-IF(DATE(BO$3,12,31)&lt;DATE(BO$3,MONTH(入力データ!$C$21),DAY(入力データ!$C$21)),1,0)))</f>
        <v/>
      </c>
      <c r="BP7" s="218">
        <f>IF(BP$3="","",IF(入力データ!$C$21="","",YEAR(DATE(BP$3,12,31))-YEAR(入力データ!$C$21)-IF(DATE(BP$3,12,31)&lt;DATE(BP$3,MONTH(入力データ!$C$21),DAY(入力データ!$C$21)),1,0)))</f>
        <v/>
      </c>
      <c r="BQ7" s="218">
        <f>IF(BQ$3="","",IF(入力データ!$C$21="","",YEAR(DATE(BQ$3,12,31))-YEAR(入力データ!$C$21)-IF(DATE(BQ$3,12,31)&lt;DATE(BQ$3,MONTH(入力データ!$C$21),DAY(入力データ!$C$21)),1,0)))</f>
        <v/>
      </c>
      <c r="BR7" s="218">
        <f>IF(BR$3="","",IF(入力データ!$C$21="","",YEAR(DATE(BR$3,12,31))-YEAR(入力データ!$C$21)-IF(DATE(BR$3,12,31)&lt;DATE(BR$3,MONTH(入力データ!$C$21),DAY(入力データ!$C$21)),1,0)))</f>
        <v/>
      </c>
      <c r="BS7" s="218">
        <f>IF(BS$3="","",IF(入力データ!$C$21="","",YEAR(DATE(BS$3,12,31))-YEAR(入力データ!$C$21)-IF(DATE(BS$3,12,31)&lt;DATE(BS$3,MONTH(入力データ!$C$21),DAY(入力データ!$C$21)),1,0)))</f>
        <v/>
      </c>
      <c r="BT7" s="218">
        <f>IF(BT$3="","",IF(入力データ!$C$21="","",YEAR(DATE(BT$3,12,31))-YEAR(入力データ!$C$21)-IF(DATE(BT$3,12,31)&lt;DATE(BT$3,MONTH(入力データ!$C$21),DAY(入力データ!$C$21)),1,0)))</f>
        <v/>
      </c>
      <c r="BU7" s="218">
        <f>IF(BU$3="","",IF(入力データ!$C$21="","",YEAR(DATE(BU$3,12,31))-YEAR(入力データ!$C$21)-IF(DATE(BU$3,12,31)&lt;DATE(BU$3,MONTH(入力データ!$C$21),DAY(入力データ!$C$21)),1,0)))</f>
        <v/>
      </c>
      <c r="BV7" s="218">
        <f>IF(BV$3="","",IF(入力データ!$C$21="","",YEAR(DATE(BV$3,12,31))-YEAR(入力データ!$C$21)-IF(DATE(BV$3,12,31)&lt;DATE(BV$3,MONTH(入力データ!$C$21),DAY(入力データ!$C$21)),1,0)))</f>
        <v/>
      </c>
      <c r="BW7" s="218">
        <f>IF(BW$3="","",IF(入力データ!$C$21="","",YEAR(DATE(BW$3,12,31))-YEAR(入力データ!$C$21)-IF(DATE(BW$3,12,31)&lt;DATE(BW$3,MONTH(入力データ!$C$21),DAY(入力データ!$C$21)),1,0)))</f>
        <v/>
      </c>
      <c r="BX7" s="218">
        <f>IF(BX$3="","",IF(入力データ!$C$21="","",YEAR(DATE(BX$3,12,31))-YEAR(入力データ!$C$21)-IF(DATE(BX$3,12,31)&lt;DATE(BX$3,MONTH(入力データ!$C$21),DAY(入力データ!$C$21)),1,0)))</f>
        <v/>
      </c>
      <c r="BY7" s="218">
        <f>IF(BY$3="","",IF(入力データ!$C$21="","",YEAR(DATE(BY$3,12,31))-YEAR(入力データ!$C$21)-IF(DATE(BY$3,12,31)&lt;DATE(BY$3,MONTH(入力データ!$C$21),DAY(入力データ!$C$21)),1,0)))</f>
        <v/>
      </c>
      <c r="BZ7" s="218">
        <f>IF(BZ$3="","",IF(入力データ!$C$21="","",YEAR(DATE(BZ$3,12,31))-YEAR(入力データ!$C$21)-IF(DATE(BZ$3,12,31)&lt;DATE(BZ$3,MONTH(入力データ!$C$21),DAY(入力データ!$C$21)),1,0)))</f>
        <v/>
      </c>
      <c r="CA7" s="218">
        <f>IF(CA$3="","",IF(入力データ!$C$21="","",YEAR(DATE(CA$3,12,31))-YEAR(入力データ!$C$21)-IF(DATE(CA$3,12,31)&lt;DATE(CA$3,MONTH(入力データ!$C$21),DAY(入力データ!$C$21)),1,0)))</f>
        <v/>
      </c>
      <c r="CB7" s="218">
        <f>IF(CB$3="","",IF(入力データ!$C$21="","",YEAR(DATE(CB$3,12,31))-YEAR(入力データ!$C$21)-IF(DATE(CB$3,12,31)&lt;DATE(CB$3,MONTH(入力データ!$C$21),DAY(入力データ!$C$21)),1,0)))</f>
        <v/>
      </c>
      <c r="CC7" s="218">
        <f>IF(CC$3="","",IF(入力データ!$C$21="","",YEAR(DATE(CC$3,12,31))-YEAR(入力データ!$C$21)-IF(DATE(CC$3,12,31)&lt;DATE(CC$3,MONTH(入力データ!$C$21),DAY(入力データ!$C$21)),1,0)))</f>
        <v/>
      </c>
      <c r="CD7" s="218">
        <f>IF(CD$3="","",IF(入力データ!$C$21="","",YEAR(DATE(CD$3,12,31))-YEAR(入力データ!$C$21)-IF(DATE(CD$3,12,31)&lt;DATE(CD$3,MONTH(入力データ!$C$21),DAY(入力データ!$C$21)),1,0)))</f>
        <v/>
      </c>
      <c r="CE7" s="218">
        <f>IF(CE$3="","",IF(入力データ!$C$21="","",YEAR(DATE(CE$3,12,31))-YEAR(入力データ!$C$21)-IF(DATE(CE$3,12,31)&lt;DATE(CE$3,MONTH(入力データ!$C$21),DAY(入力データ!$C$21)),1,0)))</f>
        <v/>
      </c>
      <c r="CF7" s="218">
        <f>IF(CF$3="","",IF(入力データ!$C$21="","",YEAR(DATE(CF$3,12,31))-YEAR(入力データ!$C$21)-IF(DATE(CF$3,12,31)&lt;DATE(CF$3,MONTH(入力データ!$C$21),DAY(入力データ!$C$21)),1,0)))</f>
        <v/>
      </c>
      <c r="CG7" s="218">
        <f>IF(CG$3="","",IF(入力データ!$C$21="","",YEAR(DATE(CG$3,12,31))-YEAR(入力データ!$C$21)-IF(DATE(CG$3,12,31)&lt;DATE(CG$3,MONTH(入力データ!$C$21),DAY(入力データ!$C$21)),1,0)))</f>
        <v/>
      </c>
      <c r="CH7" s="218">
        <f>IF(CH$3="","",IF(入力データ!$C$21="","",YEAR(DATE(CH$3,12,31))-YEAR(入力データ!$C$21)-IF(DATE(CH$3,12,31)&lt;DATE(CH$3,MONTH(入力データ!$C$21),DAY(入力データ!$C$21)),1,0)))</f>
        <v/>
      </c>
      <c r="CI7" s="218">
        <f>IF(CI$3="","",IF(入力データ!$C$21="","",YEAR(DATE(CI$3,12,31))-YEAR(入力データ!$C$21)-IF(DATE(CI$3,12,31)&lt;DATE(CI$3,MONTH(入力データ!$C$21),DAY(入力データ!$C$21)),1,0)))</f>
        <v/>
      </c>
      <c r="CJ7" s="218">
        <f>IF(CJ$3="","",IF(入力データ!$C$21="","",YEAR(DATE(CJ$3,12,31))-YEAR(入力データ!$C$21)-IF(DATE(CJ$3,12,31)&lt;DATE(CJ$3,MONTH(入力データ!$C$21),DAY(入力データ!$C$21)),1,0)))</f>
        <v/>
      </c>
      <c r="CK7" s="218">
        <f>IF(CK$3="","",IF(入力データ!$C$21="","",YEAR(DATE(CK$3,12,31))-YEAR(入力データ!$C$21)-IF(DATE(CK$3,12,31)&lt;DATE(CK$3,MONTH(入力データ!$C$21),DAY(入力データ!$C$21)),1,0)))</f>
        <v/>
      </c>
      <c r="CL7" s="218">
        <f>IF(CL$3="","",IF(入力データ!$C$21="","",YEAR(DATE(CL$3,12,31))-YEAR(入力データ!$C$21)-IF(DATE(CL$3,12,31)&lt;DATE(CL$3,MONTH(入力データ!$C$21),DAY(入力データ!$C$21)),1,0)))</f>
        <v/>
      </c>
      <c r="CM7" s="218">
        <f>IF(CM$3="","",IF(入力データ!$C$21="","",YEAR(DATE(CM$3,12,31))-YEAR(入力データ!$C$21)-IF(DATE(CM$3,12,31)&lt;DATE(CM$3,MONTH(入力データ!$C$21),DAY(入力データ!$C$21)),1,0)))</f>
        <v/>
      </c>
      <c r="CN7" s="218">
        <f>IF(CN$3="","",IF(入力データ!$C$21="","",YEAR(DATE(CN$3,12,31))-YEAR(入力データ!$C$21)-IF(DATE(CN$3,12,31)&lt;DATE(CN$3,MONTH(入力データ!$C$21),DAY(入力データ!$C$21)),1,0)))</f>
        <v/>
      </c>
      <c r="CO7" s="218">
        <f>IF(CO$3="","",IF(入力データ!$C$21="","",YEAR(DATE(CO$3,12,31))-YEAR(入力データ!$C$21)-IF(DATE(CO$3,12,31)&lt;DATE(CO$3,MONTH(入力データ!$C$21),DAY(入力データ!$C$21)),1,0)))</f>
        <v/>
      </c>
      <c r="CP7" s="218">
        <f>IF(CP$3="","",IF(入力データ!$C$21="","",YEAR(DATE(CP$3,12,31))-YEAR(入力データ!$C$21)-IF(DATE(CP$3,12,31)&lt;DATE(CP$3,MONTH(入力データ!$C$21),DAY(入力データ!$C$21)),1,0)))</f>
        <v/>
      </c>
      <c r="CQ7" s="218">
        <f>IF(CQ$3="","",IF(入力データ!$C$21="","",YEAR(DATE(CQ$3,12,31))-YEAR(入力データ!$C$21)-IF(DATE(CQ$3,12,31)&lt;DATE(CQ$3,MONTH(入力データ!$C$21),DAY(入力データ!$C$21)),1,0)))</f>
        <v/>
      </c>
      <c r="CR7" s="218">
        <f>IF(CR$3="","",IF(入力データ!$C$21="","",YEAR(DATE(CR$3,12,31))-YEAR(入力データ!$C$21)-IF(DATE(CR$3,12,31)&lt;DATE(CR$3,MONTH(入力データ!$C$21),DAY(入力データ!$C$21)),1,0)))</f>
        <v/>
      </c>
      <c r="CS7" s="218">
        <f>IF(CS$3="","",IF(入力データ!$C$21="","",YEAR(DATE(CS$3,12,31))-YEAR(入力データ!$C$21)-IF(DATE(CS$3,12,31)&lt;DATE(CS$3,MONTH(入力データ!$C$21),DAY(入力データ!$C$21)),1,0)))</f>
        <v/>
      </c>
      <c r="CT7" s="218">
        <f>IF(CT$3="","",IF(入力データ!$C$21="","",YEAR(DATE(CT$3,12,31))-YEAR(入力データ!$C$21)-IF(DATE(CT$3,12,31)&lt;DATE(CT$3,MONTH(入力データ!$C$21),DAY(入力データ!$C$21)),1,0)))</f>
        <v/>
      </c>
      <c r="CU7" s="218">
        <f>IF(CU$3="","",IF(入力データ!$C$21="","",YEAR(DATE(CU$3,12,31))-YEAR(入力データ!$C$21)-IF(DATE(CU$3,12,31)&lt;DATE(CU$3,MONTH(入力データ!$C$21),DAY(入力データ!$C$21)),1,0)))</f>
        <v/>
      </c>
      <c r="CV7" s="218">
        <f>IF(CV$3="","",IF(入力データ!$C$21="","",YEAR(DATE(CV$3,12,31))-YEAR(入力データ!$C$21)-IF(DATE(CV$3,12,31)&lt;DATE(CV$3,MONTH(入力データ!$C$21),DAY(入力データ!$C$21)),1,0)))</f>
        <v/>
      </c>
      <c r="CW7" s="218">
        <f>IF(CW$3="","",IF(入力データ!$C$21="","",YEAR(DATE(CW$3,12,31))-YEAR(入力データ!$C$21)-IF(DATE(CW$3,12,31)&lt;DATE(CW$3,MONTH(入力データ!$C$21),DAY(入力データ!$C$21)),1,0)))</f>
        <v/>
      </c>
    </row>
    <row r="8" ht="16.5" customHeight="1" s="180">
      <c r="A8" s="217" t="inlineStr">
        <is>
          <t>子3年齢</t>
        </is>
      </c>
      <c r="B8" s="218">
        <f>IF(B$3="","",IF(情報入力!$C$23="","",YEAR(DATE(B$3,12,31))-YEAR(情報入力!$C$23)-IF(DATE(B$3,12,31)&lt;DATE(B$3,MONTH(情報入力!$C$23),DAY(情報入力!$C$23)),1,0)))</f>
        <v/>
      </c>
      <c r="C8" s="218">
        <f>IF(C$3="","",IF(情報入力!$C$23="","",YEAR(DATE(C$3,12,31))-YEAR(情報入力!$C$23)-IF(DATE(C$3,12,31)&lt;DATE(C$3,MONTH(情報入力!$C$23),DAY(情報入力!$C$23)),1,0)))</f>
        <v/>
      </c>
      <c r="D8" s="218">
        <f>IF(D$3="","",IF(情報入力!$C$23="","",YEAR(DATE(D$3,12,31))-YEAR(情報入力!$C$23)-IF(DATE(D$3,12,31)&lt;DATE(D$3,MONTH(情報入力!$C$23),DAY(情報入力!$C$23)),1,0)))</f>
        <v/>
      </c>
      <c r="E8" s="218">
        <f>IF(E$3="","",IF(情報入力!$C$23="","",YEAR(DATE(E$3,12,31))-YEAR(情報入力!$C$23)-IF(DATE(E$3,12,31)&lt;DATE(E$3,MONTH(情報入力!$C$23),DAY(情報入力!$C$23)),1,0)))</f>
        <v/>
      </c>
      <c r="F8" s="218">
        <f>IF(F$3="","",IF(情報入力!$C$23="","",YEAR(DATE(F$3,12,31))-YEAR(情報入力!$C$23)-IF(DATE(F$3,12,31)&lt;DATE(F$3,MONTH(情報入力!$C$23),DAY(情報入力!$C$23)),1,0)))</f>
        <v/>
      </c>
      <c r="G8" s="218">
        <f>IF(G$3="","",IF(情報入力!$C$23="","",YEAR(DATE(G$3,12,31))-YEAR(情報入力!$C$23)-IF(DATE(G$3,12,31)&lt;DATE(G$3,MONTH(情報入力!$C$23),DAY(情報入力!$C$23)),1,0)))</f>
        <v/>
      </c>
      <c r="H8" s="218">
        <f>IF(H$3="","",IF(情報入力!$C$23="","",YEAR(DATE(H$3,12,31))-YEAR(情報入力!$C$23)-IF(DATE(H$3,12,31)&lt;DATE(H$3,MONTH(情報入力!$C$23),DAY(情報入力!$C$23)),1,0)))</f>
        <v/>
      </c>
      <c r="I8" s="218">
        <f>IF(I$3="","",IF(情報入力!$C$23="","",YEAR(DATE(I$3,12,31))-YEAR(情報入力!$C$23)-IF(DATE(I$3,12,31)&lt;DATE(I$3,MONTH(情報入力!$C$23),DAY(情報入力!$C$23)),1,0)))</f>
        <v/>
      </c>
      <c r="J8" s="218">
        <f>IF(J$3="","",IF(情報入力!$C$23="","",YEAR(DATE(J$3,12,31))-YEAR(情報入力!$C$23)-IF(DATE(J$3,12,31)&lt;DATE(J$3,MONTH(情報入力!$C$23),DAY(情報入力!$C$23)),1,0)))</f>
        <v/>
      </c>
      <c r="K8" s="218">
        <f>IF(K$3="","",IF(情報入力!$C$23="","",YEAR(DATE(K$3,12,31))-YEAR(情報入力!$C$23)-IF(DATE(K$3,12,31)&lt;DATE(K$3,MONTH(情報入力!$C$23),DAY(情報入力!$C$23)),1,0)))</f>
        <v/>
      </c>
      <c r="L8" s="218">
        <f>IF(L$3="","",IF(情報入力!$C$23="","",YEAR(DATE(L$3,12,31))-YEAR(情報入力!$C$23)-IF(DATE(L$3,12,31)&lt;DATE(L$3,MONTH(情報入力!$C$23),DAY(情報入力!$C$23)),1,0)))</f>
        <v/>
      </c>
      <c r="M8" s="218">
        <f>IF(M$3="","",IF(情報入力!$C$23="","",YEAR(DATE(M$3,12,31))-YEAR(情報入力!$C$23)-IF(DATE(M$3,12,31)&lt;DATE(M$3,MONTH(情報入力!$C$23),DAY(情報入力!$C$23)),1,0)))</f>
        <v/>
      </c>
      <c r="N8" s="218">
        <f>IF(N$3="","",IF(情報入力!$C$23="","",YEAR(DATE(N$3,12,31))-YEAR(情報入力!$C$23)-IF(DATE(N$3,12,31)&lt;DATE(N$3,MONTH(情報入力!$C$23),DAY(情報入力!$C$23)),1,0)))</f>
        <v/>
      </c>
      <c r="O8" s="218">
        <f>IF(O$3="","",IF(情報入力!$C$23="","",YEAR(DATE(O$3,12,31))-YEAR(情報入力!$C$23)-IF(DATE(O$3,12,31)&lt;DATE(O$3,MONTH(情報入力!$C$23),DAY(情報入力!$C$23)),1,0)))</f>
        <v/>
      </c>
      <c r="P8" s="218">
        <f>IF(P$3="","",IF(情報入力!$C$23="","",YEAR(DATE(P$3,12,31))-YEAR(情報入力!$C$23)-IF(DATE(P$3,12,31)&lt;DATE(P$3,MONTH(情報入力!$C$23),DAY(情報入力!$C$23)),1,0)))</f>
        <v/>
      </c>
      <c r="Q8" s="218">
        <f>IF(Q$3="","",IF(情報入力!$C$23="","",YEAR(DATE(Q$3,12,31))-YEAR(情報入力!$C$23)-IF(DATE(Q$3,12,31)&lt;DATE(Q$3,MONTH(情報入力!$C$23),DAY(情報入力!$C$23)),1,0)))</f>
        <v/>
      </c>
      <c r="R8" s="218">
        <f>IF(R$3="","",IF(情報入力!$C$23="","",YEAR(DATE(R$3,12,31))-YEAR(情報入力!$C$23)-IF(DATE(R$3,12,31)&lt;DATE(R$3,MONTH(情報入力!$C$23),DAY(情報入力!$C$23)),1,0)))</f>
        <v/>
      </c>
      <c r="S8" s="218">
        <f>IF(S$3="","",IF(情報入力!$C$23="","",YEAR(DATE(S$3,12,31))-YEAR(情報入力!$C$23)-IF(DATE(S$3,12,31)&lt;DATE(S$3,MONTH(情報入力!$C$23),DAY(情報入力!$C$23)),1,0)))</f>
        <v/>
      </c>
      <c r="T8" s="218">
        <f>IF(T$3="","",IF(情報入力!$C$23="","",YEAR(DATE(T$3,12,31))-YEAR(情報入力!$C$23)-IF(DATE(T$3,12,31)&lt;DATE(T$3,MONTH(情報入力!$C$23),DAY(情報入力!$C$23)),1,0)))</f>
        <v/>
      </c>
      <c r="U8" s="218">
        <f>IF(U$3="","",IF(情報入力!$C$23="","",YEAR(DATE(U$3,12,31))-YEAR(情報入力!$C$23)-IF(DATE(U$3,12,31)&lt;DATE(U$3,MONTH(情報入力!$C$23),DAY(情報入力!$C$23)),1,0)))</f>
        <v/>
      </c>
      <c r="V8" s="218">
        <f>IF(V$3="","",IF(情報入力!$C$23="","",YEAR(DATE(V$3,12,31))-YEAR(情報入力!$C$23)-IF(DATE(V$3,12,31)&lt;DATE(V$3,MONTH(情報入力!$C$23),DAY(情報入力!$C$23)),1,0)))</f>
        <v/>
      </c>
      <c r="W8" s="218">
        <f>IF(W$3="","",IF(情報入力!$C$23="","",YEAR(DATE(W$3,12,31))-YEAR(情報入力!$C$23)-IF(DATE(W$3,12,31)&lt;DATE(W$3,MONTH(情報入力!$C$23),DAY(情報入力!$C$23)),1,0)))</f>
        <v/>
      </c>
      <c r="X8" s="218">
        <f>IF(X$3="","",IF(情報入力!$C$23="","",YEAR(DATE(X$3,12,31))-YEAR(情報入力!$C$23)-IF(DATE(X$3,12,31)&lt;DATE(X$3,MONTH(情報入力!$C$23),DAY(情報入力!$C$23)),1,0)))</f>
        <v/>
      </c>
      <c r="Y8" s="218">
        <f>IF(Y$3="","",IF(情報入力!$C$23="","",YEAR(DATE(Y$3,12,31))-YEAR(情報入力!$C$23)-IF(DATE(Y$3,12,31)&lt;DATE(Y$3,MONTH(情報入力!$C$23),DAY(情報入力!$C$23)),1,0)))</f>
        <v/>
      </c>
      <c r="Z8" s="218">
        <f>IF(Z$3="","",IF(情報入力!$C$23="","",YEAR(DATE(Z$3,12,31))-YEAR(情報入力!$C$23)-IF(DATE(Z$3,12,31)&lt;DATE(Z$3,MONTH(情報入力!$C$23),DAY(情報入力!$C$23)),1,0)))</f>
        <v/>
      </c>
      <c r="AA8" s="218">
        <f>IF(AA$3="","",IF(情報入力!$C$23="","",YEAR(DATE(AA$3,12,31))-YEAR(情報入力!$C$23)-IF(DATE(AA$3,12,31)&lt;DATE(AA$3,MONTH(情報入力!$C$23),DAY(情報入力!$C$23)),1,0)))</f>
        <v/>
      </c>
      <c r="AB8" s="218">
        <f>IF(AB$3="","",IF(情報入力!$C$23="","",YEAR(DATE(AB$3,12,31))-YEAR(情報入力!$C$23)-IF(DATE(AB$3,12,31)&lt;DATE(AB$3,MONTH(情報入力!$C$23),DAY(情報入力!$C$23)),1,0)))</f>
        <v/>
      </c>
      <c r="AC8" s="218">
        <f>IF(AC$3="","",IF(情報入力!$C$23="","",YEAR(DATE(AC$3,12,31))-YEAR(情報入力!$C$23)-IF(DATE(AC$3,12,31)&lt;DATE(AC$3,MONTH(情報入力!$C$23),DAY(情報入力!$C$23)),1,0)))</f>
        <v/>
      </c>
      <c r="AD8" s="218">
        <f>IF(AD$3="","",IF(情報入力!$C$23="","",YEAR(DATE(AD$3,12,31))-YEAR(情報入力!$C$23)-IF(DATE(AD$3,12,31)&lt;DATE(AD$3,MONTH(情報入力!$C$23),DAY(情報入力!$C$23)),1,0)))</f>
        <v/>
      </c>
      <c r="AE8" s="218">
        <f>IF(AE$3="","",IF(情報入力!$C$23="","",YEAR(DATE(AE$3,12,31))-YEAR(情報入力!$C$23)-IF(DATE(AE$3,12,31)&lt;DATE(AE$3,MONTH(情報入力!$C$23),DAY(情報入力!$C$23)),1,0)))</f>
        <v/>
      </c>
      <c r="AF8" s="218">
        <f>IF(AF$3="","",IF(情報入力!$C$23="","",YEAR(DATE(AF$3,12,31))-YEAR(情報入力!$C$23)-IF(DATE(AF$3,12,31)&lt;DATE(AF$3,MONTH(情報入力!$C$23),DAY(情報入力!$C$23)),1,0)))</f>
        <v/>
      </c>
      <c r="AG8" s="218">
        <f>IF(AG$3="","",IF(情報入力!$C$23="","",YEAR(DATE(AG$3,12,31))-YEAR(情報入力!$C$23)-IF(DATE(AG$3,12,31)&lt;DATE(AG$3,MONTH(情報入力!$C$23),DAY(情報入力!$C$23)),1,0)))</f>
        <v/>
      </c>
      <c r="AH8" s="218">
        <f>IF(AH$3="","",IF(情報入力!$C$23="","",YEAR(DATE(AH$3,12,31))-YEAR(情報入力!$C$23)-IF(DATE(AH$3,12,31)&lt;DATE(AH$3,MONTH(情報入力!$C$23),DAY(情報入力!$C$23)),1,0)))</f>
        <v/>
      </c>
      <c r="AI8" s="218">
        <f>IF(AI$3="","",IF(情報入力!$C$23="","",YEAR(DATE(AI$3,12,31))-YEAR(情報入力!$C$23)-IF(DATE(AI$3,12,31)&lt;DATE(AI$3,MONTH(情報入力!$C$23),DAY(情報入力!$C$23)),1,0)))</f>
        <v/>
      </c>
      <c r="AJ8" s="218">
        <f>IF(AJ$3="","",IF(情報入力!$C$23="","",YEAR(DATE(AJ$3,12,31))-YEAR(情報入力!$C$23)-IF(DATE(AJ$3,12,31)&lt;DATE(AJ$3,MONTH(情報入力!$C$23),DAY(情報入力!$C$23)),1,0)))</f>
        <v/>
      </c>
      <c r="AK8" s="218">
        <f>IF(AK$3="","",IF(情報入力!$C$23="","",YEAR(DATE(AK$3,12,31))-YEAR(情報入力!$C$23)-IF(DATE(AK$3,12,31)&lt;DATE(AK$3,MONTH(情報入力!$C$23),DAY(情報入力!$C$23)),1,0)))</f>
        <v/>
      </c>
      <c r="AL8" s="218">
        <f>IF(AL$3="","",IF(情報入力!$C$23="","",YEAR(DATE(AL$3,12,31))-YEAR(情報入力!$C$23)-IF(DATE(AL$3,12,31)&lt;DATE(AL$3,MONTH(情報入力!$C$23),DAY(情報入力!$C$23)),1,0)))</f>
        <v/>
      </c>
      <c r="AM8" s="218">
        <f>IF(AM$3="","",IF(情報入力!$C$23="","",YEAR(DATE(AM$3,12,31))-YEAR(情報入力!$C$23)-IF(DATE(AM$3,12,31)&lt;DATE(AM$3,MONTH(情報入力!$C$23),DAY(情報入力!$C$23)),1,0)))</f>
        <v/>
      </c>
      <c r="AN8" s="218">
        <f>IF(AN$3="","",IF(情報入力!$C$23="","",YEAR(DATE(AN$3,12,31))-YEAR(情報入力!$C$23)-IF(DATE(AN$3,12,31)&lt;DATE(AN$3,MONTH(情報入力!$C$23),DAY(情報入力!$C$23)),1,0)))</f>
        <v/>
      </c>
      <c r="AO8" s="218">
        <f>IF(AO$3="","",IF(情報入力!$C$23="","",YEAR(DATE(AO$3,12,31))-YEAR(情報入力!$C$23)-IF(DATE(AO$3,12,31)&lt;DATE(AO$3,MONTH(情報入力!$C$23),DAY(情報入力!$C$23)),1,0)))</f>
        <v/>
      </c>
      <c r="AP8" s="218">
        <f>IF(AP$3="","",IF(情報入力!$C$23="","",YEAR(DATE(AP$3,12,31))-YEAR(情報入力!$C$23)-IF(DATE(AP$3,12,31)&lt;DATE(AP$3,MONTH(情報入力!$C$23),DAY(情報入力!$C$23)),1,0)))</f>
        <v/>
      </c>
      <c r="AQ8" s="218">
        <f>IF(AQ$3="","",IF(情報入力!$C$23="","",YEAR(DATE(AQ$3,12,31))-YEAR(情報入力!$C$23)-IF(DATE(AQ$3,12,31)&lt;DATE(AQ$3,MONTH(情報入力!$C$23),DAY(情報入力!$C$23)),1,0)))</f>
        <v/>
      </c>
      <c r="AR8" s="218">
        <f>IF(AR$3="","",IF(情報入力!$C$23="","",YEAR(DATE(AR$3,12,31))-YEAR(情報入力!$C$23)-IF(DATE(AR$3,12,31)&lt;DATE(AR$3,MONTH(情報入力!$C$23),DAY(情報入力!$C$23)),1,0)))</f>
        <v/>
      </c>
      <c r="AS8" s="218">
        <f>IF(AS$3="","",IF(情報入力!$C$23="","",YEAR(DATE(AS$3,12,31))-YEAR(情報入力!$C$23)-IF(DATE(AS$3,12,31)&lt;DATE(AS$3,MONTH(情報入力!$C$23),DAY(情報入力!$C$23)),1,0)))</f>
        <v/>
      </c>
      <c r="AT8" s="218">
        <f>IF(AT$3="","",IF(情報入力!$C$23="","",YEAR(DATE(AT$3,12,31))-YEAR(情報入力!$C$23)-IF(DATE(AT$3,12,31)&lt;DATE(AT$3,MONTH(情報入力!$C$23),DAY(情報入力!$C$23)),1,0)))</f>
        <v/>
      </c>
      <c r="AU8" s="218">
        <f>IF(AU$3="","",IF(情報入力!$C$23="","",YEAR(DATE(AU$3,12,31))-YEAR(情報入力!$C$23)-IF(DATE(AU$3,12,31)&lt;DATE(AU$3,MONTH(情報入力!$C$23),DAY(情報入力!$C$23)),1,0)))</f>
        <v/>
      </c>
      <c r="AV8" s="218">
        <f>IF(AV$3="","",IF(情報入力!$C$23="","",YEAR(DATE(AV$3,12,31))-YEAR(情報入力!$C$23)-IF(DATE(AV$3,12,31)&lt;DATE(AV$3,MONTH(情報入力!$C$23),DAY(情報入力!$C$23)),1,0)))</f>
        <v/>
      </c>
      <c r="AW8" s="218">
        <f>IF(AW$3="","",IF(情報入力!$C$23="","",YEAR(DATE(AW$3,12,31))-YEAR(情報入力!$C$23)-IF(DATE(AW$3,12,31)&lt;DATE(AW$3,MONTH(情報入力!$C$23),DAY(情報入力!$C$23)),1,0)))</f>
        <v/>
      </c>
      <c r="AX8" s="218">
        <f>IF(AX$3="","",IF(情報入力!$C$23="","",YEAR(DATE(AX$3,12,31))-YEAR(情報入力!$C$23)-IF(DATE(AX$3,12,31)&lt;DATE(AX$3,MONTH(情報入力!$C$23),DAY(情報入力!$C$23)),1,0)))</f>
        <v/>
      </c>
      <c r="AY8" s="218">
        <f>IF(AY$3="","",IF(情報入力!$C$23="","",YEAR(DATE(AY$3,12,31))-YEAR(情報入力!$C$23)-IF(DATE(AY$3,12,31)&lt;DATE(AY$3,MONTH(情報入力!$C$23),DAY(情報入力!$C$23)),1,0)))</f>
        <v/>
      </c>
      <c r="AZ8" s="218">
        <f>IF(AZ$3="","",IF(情報入力!$C$23="","",YEAR(DATE(AZ$3,12,31))-YEAR(情報入力!$C$23)-IF(DATE(AZ$3,12,31)&lt;DATE(AZ$3,MONTH(情報入力!$C$23),DAY(情報入力!$C$23)),1,0)))</f>
        <v/>
      </c>
      <c r="BA8" s="218">
        <f>IF(BA$3="","",IF(情報入力!$C$23="","",YEAR(DATE(BA$3,12,31))-YEAR(情報入力!$C$23)-IF(DATE(BA$3,12,31)&lt;DATE(BA$3,MONTH(情報入力!$C$23),DAY(情報入力!$C$23)),1,0)))</f>
        <v/>
      </c>
      <c r="BB8" s="218">
        <f>IF(BB$3="","",IF(情報入力!$C$23="","",YEAR(DATE(BB$3,12,31))-YEAR(情報入力!$C$23)-IF(DATE(BB$3,12,31)&lt;DATE(BB$3,MONTH(情報入力!$C$23),DAY(情報入力!$C$23)),1,0)))</f>
        <v/>
      </c>
      <c r="BC8" s="218">
        <f>IF(BC$3="","",IF(情報入力!$C$23="","",YEAR(DATE(BC$3,12,31))-YEAR(情報入力!$C$23)-IF(DATE(BC$3,12,31)&lt;DATE(BC$3,MONTH(情報入力!$C$23),DAY(情報入力!$C$23)),1,0)))</f>
        <v/>
      </c>
      <c r="BD8" s="218">
        <f>IF(BD$3="","",IF(情報入力!$C$23="","",YEAR(DATE(BD$3,12,31))-YEAR(情報入力!$C$23)-IF(DATE(BD$3,12,31)&lt;DATE(BD$3,MONTH(情報入力!$C$23),DAY(情報入力!$C$23)),1,0)))</f>
        <v/>
      </c>
      <c r="BE8" s="218">
        <f>IF(BE$3="","",IF(情報入力!$C$23="","",YEAR(DATE(BE$3,12,31))-YEAR(情報入力!$C$23)-IF(DATE(BE$3,12,31)&lt;DATE(BE$3,MONTH(情報入力!$C$23),DAY(情報入力!$C$23)),1,0)))</f>
        <v/>
      </c>
      <c r="BF8" s="218">
        <f>IF(BF$3="","",IF(情報入力!$C$23="","",YEAR(DATE(BF$3,12,31))-YEAR(情報入力!$C$23)-IF(DATE(BF$3,12,31)&lt;DATE(BF$3,MONTH(情報入力!$C$23),DAY(情報入力!$C$23)),1,0)))</f>
        <v/>
      </c>
      <c r="BG8" s="218">
        <f>IF(BG$3="","",IF(情報入力!$C$23="","",YEAR(DATE(BG$3,12,31))-YEAR(情報入力!$C$23)-IF(DATE(BG$3,12,31)&lt;DATE(BG$3,MONTH(情報入力!$C$23),DAY(情報入力!$C$23)),1,0)))</f>
        <v/>
      </c>
      <c r="BH8" s="218">
        <f>IF(BH$3="","",IF(情報入力!$C$23="","",YEAR(DATE(BH$3,12,31))-YEAR(情報入力!$C$23)-IF(DATE(BH$3,12,31)&lt;DATE(BH$3,MONTH(情報入力!$C$23),DAY(情報入力!$C$23)),1,0)))</f>
        <v/>
      </c>
      <c r="BI8" s="218">
        <f>IF(BI$3="","",IF(情報入力!$C$23="","",YEAR(DATE(BI$3,12,31))-YEAR(情報入力!$C$23)-IF(DATE(BI$3,12,31)&lt;DATE(BI$3,MONTH(情報入力!$C$23),DAY(情報入力!$C$23)),1,0)))</f>
        <v/>
      </c>
      <c r="BJ8" s="218">
        <f>IF(BJ$3="","",IF(情報入力!$C$23="","",YEAR(DATE(BJ$3,12,31))-YEAR(情報入力!$C$23)-IF(DATE(BJ$3,12,31)&lt;DATE(BJ$3,MONTH(情報入力!$C$23),DAY(情報入力!$C$23)),1,0)))</f>
        <v/>
      </c>
      <c r="BK8" s="218">
        <f>IF(BK$3="","",IF(情報入力!$C$23="","",YEAR(DATE(BK$3,12,31))-YEAR(情報入力!$C$23)-IF(DATE(BK$3,12,31)&lt;DATE(BK$3,MONTH(情報入力!$C$23),DAY(情報入力!$C$23)),1,0)))</f>
        <v/>
      </c>
      <c r="BL8" s="218">
        <f>IF(BL$3="","",IF(情報入力!$C$23="","",YEAR(DATE(BL$3,12,31))-YEAR(情報入力!$C$23)-IF(DATE(BL$3,12,31)&lt;DATE(BL$3,MONTH(情報入力!$C$23),DAY(情報入力!$C$23)),1,0)))</f>
        <v/>
      </c>
      <c r="BM8" s="218">
        <f>IF(BM$3="","",IF(情報入力!$C$23="","",YEAR(DATE(BM$3,12,31))-YEAR(情報入力!$C$23)-IF(DATE(BM$3,12,31)&lt;DATE(BM$3,MONTH(情報入力!$C$23),DAY(情報入力!$C$23)),1,0)))</f>
        <v/>
      </c>
      <c r="BN8" s="218">
        <f>IF(BN$3="","",IF(情報入力!$C$23="","",YEAR(DATE(BN$3,12,31))-YEAR(情報入力!$C$23)-IF(DATE(BN$3,12,31)&lt;DATE(BN$3,MONTH(情報入力!$C$23),DAY(情報入力!$C$23)),1,0)))</f>
        <v/>
      </c>
      <c r="BO8" s="218">
        <f>IF(BO$3="","",IF(情報入力!$C$23="","",YEAR(DATE(BO$3,12,31))-YEAR(情報入力!$C$23)-IF(DATE(BO$3,12,31)&lt;DATE(BO$3,MONTH(情報入力!$C$23),DAY(情報入力!$C$23)),1,0)))</f>
        <v/>
      </c>
      <c r="BP8" s="218">
        <f>IF(BP$3="","",IF(情報入力!$C$23="","",YEAR(DATE(BP$3,12,31))-YEAR(情報入力!$C$23)-IF(DATE(BP$3,12,31)&lt;DATE(BP$3,MONTH(情報入力!$C$23),DAY(情報入力!$C$23)),1,0)))</f>
        <v/>
      </c>
      <c r="BQ8" s="218">
        <f>IF(BQ$3="","",IF(情報入力!$C$23="","",YEAR(DATE(BQ$3,12,31))-YEAR(情報入力!$C$23)-IF(DATE(BQ$3,12,31)&lt;DATE(BQ$3,MONTH(情報入力!$C$23),DAY(情報入力!$C$23)),1,0)))</f>
        <v/>
      </c>
      <c r="BR8" s="218">
        <f>IF(BR$3="","",IF(情報入力!$C$23="","",YEAR(DATE(BR$3,12,31))-YEAR(情報入力!$C$23)-IF(DATE(BR$3,12,31)&lt;DATE(BR$3,MONTH(情報入力!$C$23),DAY(情報入力!$C$23)),1,0)))</f>
        <v/>
      </c>
      <c r="BS8" s="218">
        <f>IF(BS$3="","",IF(情報入力!$C$23="","",YEAR(DATE(BS$3,12,31))-YEAR(情報入力!$C$23)-IF(DATE(BS$3,12,31)&lt;DATE(BS$3,MONTH(情報入力!$C$23),DAY(情報入力!$C$23)),1,0)))</f>
        <v/>
      </c>
      <c r="BT8" s="218">
        <f>IF(BT$3="","",IF(情報入力!$C$23="","",YEAR(DATE(BT$3,12,31))-YEAR(情報入力!$C$23)-IF(DATE(BT$3,12,31)&lt;DATE(BT$3,MONTH(情報入力!$C$23),DAY(情報入力!$C$23)),1,0)))</f>
        <v/>
      </c>
      <c r="BU8" s="218">
        <f>IF(BU$3="","",IF(情報入力!$C$23="","",YEAR(DATE(BU$3,12,31))-YEAR(情報入力!$C$23)-IF(DATE(BU$3,12,31)&lt;DATE(BU$3,MONTH(情報入力!$C$23),DAY(情報入力!$C$23)),1,0)))</f>
        <v/>
      </c>
      <c r="BV8" s="218">
        <f>IF(BV$3="","",IF(情報入力!$C$23="","",YEAR(DATE(BV$3,12,31))-YEAR(情報入力!$C$23)-IF(DATE(BV$3,12,31)&lt;DATE(BV$3,MONTH(情報入力!$C$23),DAY(情報入力!$C$23)),1,0)))</f>
        <v/>
      </c>
      <c r="BW8" s="218">
        <f>IF(BW$3="","",IF(情報入力!$C$23="","",YEAR(DATE(BW$3,12,31))-YEAR(情報入力!$C$23)-IF(DATE(BW$3,12,31)&lt;DATE(BW$3,MONTH(情報入力!$C$23),DAY(情報入力!$C$23)),1,0)))</f>
        <v/>
      </c>
      <c r="BX8" s="218">
        <f>IF(BX$3="","",IF(情報入力!$C$23="","",YEAR(DATE(BX$3,12,31))-YEAR(情報入力!$C$23)-IF(DATE(BX$3,12,31)&lt;DATE(BX$3,MONTH(情報入力!$C$23),DAY(情報入力!$C$23)),1,0)))</f>
        <v/>
      </c>
      <c r="BY8" s="218">
        <f>IF(BY$3="","",IF(情報入力!$C$23="","",YEAR(DATE(BY$3,12,31))-YEAR(情報入力!$C$23)-IF(DATE(BY$3,12,31)&lt;DATE(BY$3,MONTH(情報入力!$C$23),DAY(情報入力!$C$23)),1,0)))</f>
        <v/>
      </c>
      <c r="BZ8" s="218">
        <f>IF(BZ$3="","",IF(情報入力!$C$23="","",YEAR(DATE(BZ$3,12,31))-YEAR(情報入力!$C$23)-IF(DATE(BZ$3,12,31)&lt;DATE(BZ$3,MONTH(情報入力!$C$23),DAY(情報入力!$C$23)),1,0)))</f>
        <v/>
      </c>
      <c r="CA8" s="218">
        <f>IF(CA$3="","",IF(情報入力!$C$23="","",YEAR(DATE(CA$3,12,31))-YEAR(情報入力!$C$23)-IF(DATE(CA$3,12,31)&lt;DATE(CA$3,MONTH(情報入力!$C$23),DAY(情報入力!$C$23)),1,0)))</f>
        <v/>
      </c>
      <c r="CB8" s="218">
        <f>IF(CB$3="","",IF(情報入力!$C$23="","",YEAR(DATE(CB$3,12,31))-YEAR(情報入力!$C$23)-IF(DATE(CB$3,12,31)&lt;DATE(CB$3,MONTH(情報入力!$C$23),DAY(情報入力!$C$23)),1,0)))</f>
        <v/>
      </c>
      <c r="CC8" s="218">
        <f>IF(CC$3="","",IF(情報入力!$C$23="","",YEAR(DATE(CC$3,12,31))-YEAR(情報入力!$C$23)-IF(DATE(CC$3,12,31)&lt;DATE(CC$3,MONTH(情報入力!$C$23),DAY(情報入力!$C$23)),1,0)))</f>
        <v/>
      </c>
      <c r="CD8" s="218">
        <f>IF(CD$3="","",IF(情報入力!$C$23="","",YEAR(DATE(CD$3,12,31))-YEAR(情報入力!$C$23)-IF(DATE(CD$3,12,31)&lt;DATE(CD$3,MONTH(情報入力!$C$23),DAY(情報入力!$C$23)),1,0)))</f>
        <v/>
      </c>
      <c r="CE8" s="218">
        <f>IF(CE$3="","",IF(情報入力!$C$23="","",YEAR(DATE(CE$3,12,31))-YEAR(情報入力!$C$23)-IF(DATE(CE$3,12,31)&lt;DATE(CE$3,MONTH(情報入力!$C$23),DAY(情報入力!$C$23)),1,0)))</f>
        <v/>
      </c>
      <c r="CF8" s="218">
        <f>IF(CF$3="","",IF(情報入力!$C$23="","",YEAR(DATE(CF$3,12,31))-YEAR(情報入力!$C$23)-IF(DATE(CF$3,12,31)&lt;DATE(CF$3,MONTH(情報入力!$C$23),DAY(情報入力!$C$23)),1,0)))</f>
        <v/>
      </c>
      <c r="CG8" s="218">
        <f>IF(CG$3="","",IF(情報入力!$C$23="","",YEAR(DATE(CG$3,12,31))-YEAR(情報入力!$C$23)-IF(DATE(CG$3,12,31)&lt;DATE(CG$3,MONTH(情報入力!$C$23),DAY(情報入力!$C$23)),1,0)))</f>
        <v/>
      </c>
      <c r="CH8" s="218">
        <f>IF(CH$3="","",IF(情報入力!$C$23="","",YEAR(DATE(CH$3,12,31))-YEAR(情報入力!$C$23)-IF(DATE(CH$3,12,31)&lt;DATE(CH$3,MONTH(情報入力!$C$23),DAY(情報入力!$C$23)),1,0)))</f>
        <v/>
      </c>
      <c r="CI8" s="218">
        <f>IF(CI$3="","",IF(情報入力!$C$23="","",YEAR(DATE(CI$3,12,31))-YEAR(情報入力!$C$23)-IF(DATE(CI$3,12,31)&lt;DATE(CI$3,MONTH(情報入力!$C$23),DAY(情報入力!$C$23)),1,0)))</f>
        <v/>
      </c>
      <c r="CJ8" s="218">
        <f>IF(CJ$3="","",IF(情報入力!$C$23="","",YEAR(DATE(CJ$3,12,31))-YEAR(情報入力!$C$23)-IF(DATE(CJ$3,12,31)&lt;DATE(CJ$3,MONTH(情報入力!$C$23),DAY(情報入力!$C$23)),1,0)))</f>
        <v/>
      </c>
      <c r="CK8" s="218">
        <f>IF(CK$3="","",IF(情報入力!$C$23="","",YEAR(DATE(CK$3,12,31))-YEAR(情報入力!$C$23)-IF(DATE(CK$3,12,31)&lt;DATE(CK$3,MONTH(情報入力!$C$23),DAY(情報入力!$C$23)),1,0)))</f>
        <v/>
      </c>
      <c r="CL8" s="218">
        <f>IF(CL$3="","",IF(情報入力!$C$23="","",YEAR(DATE(CL$3,12,31))-YEAR(情報入力!$C$23)-IF(DATE(CL$3,12,31)&lt;DATE(CL$3,MONTH(情報入力!$C$23),DAY(情報入力!$C$23)),1,0)))</f>
        <v/>
      </c>
      <c r="CM8" s="218">
        <f>IF(CM$3="","",IF(情報入力!$C$23="","",YEAR(DATE(CM$3,12,31))-YEAR(情報入力!$C$23)-IF(DATE(CM$3,12,31)&lt;DATE(CM$3,MONTH(情報入力!$C$23),DAY(情報入力!$C$23)),1,0)))</f>
        <v/>
      </c>
      <c r="CN8" s="218">
        <f>IF(CN$3="","",IF(情報入力!$C$23="","",YEAR(DATE(CN$3,12,31))-YEAR(情報入力!$C$23)-IF(DATE(CN$3,12,31)&lt;DATE(CN$3,MONTH(情報入力!$C$23),DAY(情報入力!$C$23)),1,0)))</f>
        <v/>
      </c>
      <c r="CO8" s="218">
        <f>IF(CO$3="","",IF(情報入力!$C$23="","",YEAR(DATE(CO$3,12,31))-YEAR(情報入力!$C$23)-IF(DATE(CO$3,12,31)&lt;DATE(CO$3,MONTH(情報入力!$C$23),DAY(情報入力!$C$23)),1,0)))</f>
        <v/>
      </c>
      <c r="CP8" s="218">
        <f>IF(CP$3="","",IF(情報入力!$C$23="","",YEAR(DATE(CP$3,12,31))-YEAR(情報入力!$C$23)-IF(DATE(CP$3,12,31)&lt;DATE(CP$3,MONTH(情報入力!$C$23),DAY(情報入力!$C$23)),1,0)))</f>
        <v/>
      </c>
      <c r="CQ8" s="218">
        <f>IF(CQ$3="","",IF(情報入力!$C$23="","",YEAR(DATE(CQ$3,12,31))-YEAR(情報入力!$C$23)-IF(DATE(CQ$3,12,31)&lt;DATE(CQ$3,MONTH(情報入力!$C$23),DAY(情報入力!$C$23)),1,0)))</f>
        <v/>
      </c>
      <c r="CR8" s="218">
        <f>IF(CR$3="","",IF(情報入力!$C$23="","",YEAR(DATE(CR$3,12,31))-YEAR(情報入力!$C$23)-IF(DATE(CR$3,12,31)&lt;DATE(CR$3,MONTH(情報入力!$C$23),DAY(情報入力!$C$23)),1,0)))</f>
        <v/>
      </c>
      <c r="CS8" s="218">
        <f>IF(CS$3="","",IF(情報入力!$C$23="","",YEAR(DATE(CS$3,12,31))-YEAR(情報入力!$C$23)-IF(DATE(CS$3,12,31)&lt;DATE(CS$3,MONTH(情報入力!$C$23),DAY(情報入力!$C$23)),1,0)))</f>
        <v/>
      </c>
      <c r="CT8" s="218">
        <f>IF(CT$3="","",IF(情報入力!$C$23="","",YEAR(DATE(CT$3,12,31))-YEAR(情報入力!$C$23)-IF(DATE(CT$3,12,31)&lt;DATE(CT$3,MONTH(情報入力!$C$23),DAY(情報入力!$C$23)),1,0)))</f>
        <v/>
      </c>
      <c r="CU8" s="218">
        <f>IF(CU$3="","",IF(情報入力!$C$23="","",YEAR(DATE(CU$3,12,31))-YEAR(情報入力!$C$23)-IF(DATE(CU$3,12,31)&lt;DATE(CU$3,MONTH(情報入力!$C$23),DAY(情報入力!$C$23)),1,0)))</f>
        <v/>
      </c>
      <c r="CV8" s="218">
        <f>IF(CV$3="","",IF(情報入力!$C$23="","",YEAR(DATE(CV$3,12,31))-YEAR(情報入力!$C$23)-IF(DATE(CV$3,12,31)&lt;DATE(CV$3,MONTH(情報入力!$C$23),DAY(情報入力!$C$23)),1,0)))</f>
        <v/>
      </c>
      <c r="CW8" s="218">
        <f>IF(CW$3="","",IF(情報入力!$C$23="","",YEAR(DATE(CW$3,12,31))-YEAR(情報入力!$C$23)-IF(DATE(CW$3,12,31)&lt;DATE(CW$3,MONTH(情報入力!$C$23),DAY(情報入力!$C$23)),1,0)))</f>
        <v/>
      </c>
    </row>
    <row r="9" ht="15" customHeight="1" s="180">
      <c r="A9" s="205" t="inlineStr">
        <is>
          <t>家族年齢</t>
        </is>
      </c>
      <c r="B9" s="219" t="n"/>
      <c r="C9" s="219" t="n"/>
      <c r="D9" s="219" t="n"/>
      <c r="E9" s="219" t="n"/>
      <c r="F9" s="219" t="n"/>
      <c r="G9" s="219" t="n"/>
      <c r="H9" s="219" t="n"/>
      <c r="I9" s="219" t="n"/>
      <c r="J9" s="219" t="n"/>
      <c r="K9" s="219" t="n"/>
      <c r="L9" s="219" t="n"/>
      <c r="M9" s="219" t="n"/>
      <c r="N9" s="219" t="n"/>
      <c r="O9" s="219" t="n"/>
      <c r="P9" s="219" t="n"/>
      <c r="Q9" s="219" t="n"/>
      <c r="R9" s="219" t="n"/>
      <c r="S9" s="219" t="n"/>
      <c r="T9" s="219" t="n"/>
      <c r="U9" s="219" t="n"/>
      <c r="V9" s="219" t="n"/>
      <c r="W9" s="219" t="n"/>
      <c r="X9" s="219" t="n"/>
      <c r="Y9" s="219" t="n"/>
      <c r="Z9" s="219" t="n"/>
      <c r="AA9" s="219" t="n"/>
      <c r="AB9" s="219" t="n"/>
      <c r="AC9" s="219" t="n"/>
      <c r="AD9" s="219" t="n"/>
      <c r="AE9" s="219" t="n"/>
      <c r="AF9" s="219" t="n"/>
      <c r="AG9" s="219" t="n"/>
      <c r="AH9" s="219" t="n"/>
      <c r="AI9" s="219" t="n"/>
      <c r="AJ9" s="219" t="n"/>
      <c r="AK9" s="219" t="n"/>
      <c r="AL9" s="219" t="n"/>
      <c r="AM9" s="219" t="n"/>
      <c r="AN9" s="219" t="n"/>
      <c r="AO9" s="219" t="n"/>
      <c r="AP9" s="219" t="n"/>
      <c r="AQ9" s="219" t="n"/>
      <c r="AR9" s="219" t="n"/>
      <c r="AS9" s="219" t="n"/>
      <c r="AT9" s="219" t="n"/>
      <c r="AU9" s="219" t="n"/>
      <c r="AV9" s="219" t="n"/>
      <c r="AW9" s="219" t="n"/>
      <c r="AX9" s="219" t="n"/>
      <c r="AY9" s="219" t="n"/>
      <c r="AZ9" s="219" t="n"/>
      <c r="BA9" s="219" t="n"/>
      <c r="BB9" s="219" t="n"/>
      <c r="BC9" s="219" t="n"/>
      <c r="BD9" s="219" t="n"/>
      <c r="BE9" s="219" t="n"/>
      <c r="BF9" s="219" t="n"/>
      <c r="BG9" s="219" t="n"/>
      <c r="BH9" s="219" t="n"/>
      <c r="BI9" s="219" t="n"/>
      <c r="BJ9" s="219" t="n"/>
      <c r="BK9" s="219" t="n"/>
      <c r="BL9" s="219" t="n"/>
      <c r="BM9" s="219" t="n"/>
      <c r="BN9" s="219" t="n"/>
      <c r="BO9" s="219" t="n"/>
      <c r="BP9" s="219" t="n"/>
      <c r="BQ9" s="219" t="n"/>
      <c r="BR9" s="219" t="n"/>
      <c r="BS9" s="219" t="n"/>
      <c r="BT9" s="219" t="n"/>
      <c r="BU9" s="219" t="n"/>
      <c r="BV9" s="219" t="n"/>
      <c r="BW9" s="219" t="n"/>
      <c r="BX9" s="219" t="n"/>
      <c r="BY9" s="219" t="n"/>
      <c r="BZ9" s="219" t="n"/>
      <c r="CA9" s="219" t="n"/>
      <c r="CB9" s="219" t="n"/>
      <c r="CC9" s="219" t="n"/>
      <c r="CD9" s="219" t="n"/>
      <c r="CE9" s="219" t="n"/>
      <c r="CF9" s="219" t="n"/>
      <c r="CG9" s="219" t="n"/>
      <c r="CH9" s="219" t="n"/>
      <c r="CI9" s="219" t="n"/>
      <c r="CJ9" s="219" t="n"/>
      <c r="CK9" s="219" t="n"/>
      <c r="CL9" s="219" t="n"/>
      <c r="CM9" s="219" t="n"/>
      <c r="CN9" s="219" t="n"/>
      <c r="CO9" s="219" t="n"/>
      <c r="CP9" s="219" t="n"/>
      <c r="CQ9" s="219" t="n"/>
      <c r="CR9" s="219" t="n"/>
      <c r="CS9" s="219" t="n"/>
      <c r="CT9" s="219" t="n"/>
      <c r="CU9" s="219" t="n"/>
      <c r="CV9" s="219" t="n"/>
      <c r="CW9" s="219" t="n"/>
    </row>
    <row r="10" ht="15" customHeight="1" s="180">
      <c r="A10" s="220" t="inlineStr">
        <is>
          <t>ご主人様収入</t>
        </is>
      </c>
      <c r="B10" s="350">
        <f>IF(B$3="","",0)</f>
        <v/>
      </c>
      <c r="C10" s="350">
        <f>IF(C$3="","",0)</f>
        <v/>
      </c>
      <c r="D10" s="350">
        <f>IF(D$3="","",0)</f>
        <v/>
      </c>
      <c r="E10" s="350">
        <f>IF(E$3="","",0)</f>
        <v/>
      </c>
      <c r="F10" s="350">
        <f>IF(F$3="","",0)</f>
        <v/>
      </c>
      <c r="G10" s="350">
        <f>IF(G$3="","",0)</f>
        <v/>
      </c>
      <c r="H10" s="350">
        <f>IF(H$3="","",0)</f>
        <v/>
      </c>
      <c r="I10" s="350">
        <f>IF(I$3="","",0)</f>
        <v/>
      </c>
      <c r="J10" s="350">
        <f>IF(J$3="","",0)</f>
        <v/>
      </c>
      <c r="K10" s="350">
        <f>IF(K$3="","",0)</f>
        <v/>
      </c>
      <c r="L10" s="350">
        <f>IF(L$3="","",0)</f>
        <v/>
      </c>
      <c r="M10" s="350">
        <f>IF(M$3="","",0)</f>
        <v/>
      </c>
      <c r="N10" s="350">
        <f>IF(N$3="","",0)</f>
        <v/>
      </c>
      <c r="O10" s="350">
        <f>IF(O$3="","",0)</f>
        <v/>
      </c>
      <c r="P10" s="350">
        <f>IF(P$3="","",0)</f>
        <v/>
      </c>
      <c r="Q10" s="350">
        <f>IF(Q$3="","",0)</f>
        <v/>
      </c>
      <c r="R10" s="350">
        <f>IF(R$3="","",0)</f>
        <v/>
      </c>
      <c r="S10" s="350">
        <f>IF(S$3="","",0)</f>
        <v/>
      </c>
      <c r="T10" s="350">
        <f>IF(T$3="","",0)</f>
        <v/>
      </c>
      <c r="U10" s="350">
        <f>IF(U$3="","",0)</f>
        <v/>
      </c>
      <c r="V10" s="350">
        <f>IF(V$3="","",0)</f>
        <v/>
      </c>
      <c r="W10" s="350">
        <f>IF(W$3="","",0)</f>
        <v/>
      </c>
      <c r="X10" s="350">
        <f>IF(X$3="","",0)</f>
        <v/>
      </c>
      <c r="Y10" s="350">
        <f>IF(Y$3="","",0)</f>
        <v/>
      </c>
      <c r="Z10" s="350">
        <f>IF(Z$3="","",0)</f>
        <v/>
      </c>
      <c r="AA10" s="350">
        <f>IF(AA$3="","",0)</f>
        <v/>
      </c>
      <c r="AB10" s="350">
        <f>IF(AB$3="","",0)</f>
        <v/>
      </c>
      <c r="AC10" s="350">
        <f>IF(AC$3="","",0)</f>
        <v/>
      </c>
      <c r="AD10" s="350">
        <f>IF(AD$3="","",0)</f>
        <v/>
      </c>
      <c r="AE10" s="350">
        <f>IF(AE$3="","",0)</f>
        <v/>
      </c>
      <c r="AF10" s="350">
        <f>IF(AF$3="","",0)</f>
        <v/>
      </c>
      <c r="AG10" s="350">
        <f>IF(AG$3="","",0)</f>
        <v/>
      </c>
      <c r="AH10" s="350">
        <f>IF(AH$3="","",0)</f>
        <v/>
      </c>
      <c r="AI10" s="350">
        <f>IF(AI$3="","",0)</f>
        <v/>
      </c>
      <c r="AJ10" s="350">
        <f>IF(AJ$3="","",0)</f>
        <v/>
      </c>
      <c r="AK10" s="350">
        <f>IF(AK$3="","",0)</f>
        <v/>
      </c>
      <c r="AL10" s="350">
        <f>IF(AL$3="","",0)</f>
        <v/>
      </c>
      <c r="AM10" s="350">
        <f>IF(AM$3="","",0)</f>
        <v/>
      </c>
      <c r="AN10" s="350">
        <f>IF(AN$3="","",0)</f>
        <v/>
      </c>
      <c r="AO10" s="350">
        <f>IF(AO$3="","",0)</f>
        <v/>
      </c>
      <c r="AP10" s="350">
        <f>IF(AP$3="","",0)</f>
        <v/>
      </c>
      <c r="AQ10" s="350">
        <f>IF(AQ$3="","",0)</f>
        <v/>
      </c>
      <c r="AR10" s="350">
        <f>IF(AR$3="","",0)</f>
        <v/>
      </c>
      <c r="AS10" s="350">
        <f>IF(AS$3="","",0)</f>
        <v/>
      </c>
      <c r="AT10" s="350">
        <f>IF(AT$3="","",0)</f>
        <v/>
      </c>
      <c r="AU10" s="350">
        <f>IF(AU$3="","",0)</f>
        <v/>
      </c>
      <c r="AV10" s="350">
        <f>IF(AV$3="","",0)</f>
        <v/>
      </c>
      <c r="AW10" s="350">
        <f>IF(AW$3="","",0)</f>
        <v/>
      </c>
      <c r="AX10" s="350">
        <f>IF(AX$3="","",0)</f>
        <v/>
      </c>
      <c r="AY10" s="350">
        <f>IF(AY$3="","",0)</f>
        <v/>
      </c>
      <c r="AZ10" s="350">
        <f>IF(AZ$3="","",0)</f>
        <v/>
      </c>
      <c r="BA10" s="350">
        <f>IF(BA$3="","",0)</f>
        <v/>
      </c>
      <c r="BB10" s="350">
        <f>IF(BB$3="","",0)</f>
        <v/>
      </c>
      <c r="BC10" s="350">
        <f>IF(BC$3="","",0)</f>
        <v/>
      </c>
      <c r="BD10" s="350">
        <f>IF(BD$3="","",0)</f>
        <v/>
      </c>
      <c r="BE10" s="350">
        <f>IF(BE$3="","",0)</f>
        <v/>
      </c>
      <c r="BF10" s="350">
        <f>IF(BF$3="","",0)</f>
        <v/>
      </c>
      <c r="BG10" s="350">
        <f>IF(BG$3="","",0)</f>
        <v/>
      </c>
      <c r="BH10" s="350">
        <f>IF(BH$3="","",0)</f>
        <v/>
      </c>
      <c r="BI10" s="350">
        <f>IF(BI$3="","",0)</f>
        <v/>
      </c>
      <c r="BJ10" s="350">
        <f>IF(BJ$3="","",0)</f>
        <v/>
      </c>
      <c r="BK10" s="350">
        <f>IF(BK$3="","",0)</f>
        <v/>
      </c>
      <c r="BL10" s="350">
        <f>IF(BL$3="","",0)</f>
        <v/>
      </c>
      <c r="BM10" s="350">
        <f>IF(BM$3="","",0)</f>
        <v/>
      </c>
      <c r="BN10" s="350">
        <f>IF(BN$3="","",0)</f>
        <v/>
      </c>
      <c r="BO10" s="350">
        <f>IF(BO$3="","",0)</f>
        <v/>
      </c>
      <c r="BP10" s="350">
        <f>IF(BP$3="","",0)</f>
        <v/>
      </c>
      <c r="BQ10" s="350">
        <f>IF(BQ$3="","",0)</f>
        <v/>
      </c>
      <c r="BR10" s="350">
        <f>IF(BR$3="","",0)</f>
        <v/>
      </c>
      <c r="BS10" s="350">
        <f>IF(BS$3="","",0)</f>
        <v/>
      </c>
      <c r="BT10" s="350">
        <f>IF(BT$3="","",0)</f>
        <v/>
      </c>
      <c r="BU10" s="350">
        <f>IF(BU$3="","",0)</f>
        <v/>
      </c>
      <c r="BV10" s="350">
        <f>IF(BV$3="","",0)</f>
        <v/>
      </c>
      <c r="BW10" s="350">
        <f>IF(BW$3="","",0)</f>
        <v/>
      </c>
      <c r="BX10" s="350">
        <f>IF(BX$3="","",0)</f>
        <v/>
      </c>
      <c r="BY10" s="350">
        <f>IF(BY$3="","",0)</f>
        <v/>
      </c>
      <c r="BZ10" s="350">
        <f>IF(BZ$3="","",0)</f>
        <v/>
      </c>
      <c r="CA10" s="350">
        <f>IF(CA$3="","",0)</f>
        <v/>
      </c>
      <c r="CB10" s="350">
        <f>IF(CB$3="","",0)</f>
        <v/>
      </c>
      <c r="CC10" s="350">
        <f>IF(CC$3="","",0)</f>
        <v/>
      </c>
      <c r="CD10" s="350">
        <f>IF(CD$3="","",0)</f>
        <v/>
      </c>
      <c r="CE10" s="350">
        <f>IF(CE$3="","",0)</f>
        <v/>
      </c>
      <c r="CF10" s="350">
        <f>IF(CF$3="","",0)</f>
        <v/>
      </c>
      <c r="CG10" s="350">
        <f>IF(CG$3="","",0)</f>
        <v/>
      </c>
      <c r="CH10" s="350">
        <f>IF(CH$3="","",0)</f>
        <v/>
      </c>
      <c r="CI10" s="350">
        <f>IF(CI$3="","",0)</f>
        <v/>
      </c>
      <c r="CJ10" s="350">
        <f>IF(CJ$3="","",0)</f>
        <v/>
      </c>
      <c r="CK10" s="350">
        <f>IF(CK$3="","",0)</f>
        <v/>
      </c>
      <c r="CL10" s="350">
        <f>IF(CL$3="","",0)</f>
        <v/>
      </c>
      <c r="CM10" s="350">
        <f>IF(CM$3="","",0)</f>
        <v/>
      </c>
      <c r="CN10" s="350">
        <f>IF(CN$3="","",0)</f>
        <v/>
      </c>
      <c r="CO10" s="350">
        <f>IF(CO$3="","",0)</f>
        <v/>
      </c>
      <c r="CP10" s="350">
        <f>IF(CP$3="","",0)</f>
        <v/>
      </c>
      <c r="CQ10" s="350">
        <f>IF(CQ$3="","",0)</f>
        <v/>
      </c>
      <c r="CR10" s="350">
        <f>IF(CR$3="","",0)</f>
        <v/>
      </c>
      <c r="CS10" s="350">
        <f>IF(CS$3="","",0)</f>
        <v/>
      </c>
      <c r="CT10" s="350">
        <f>IF(CT$3="","",0)</f>
        <v/>
      </c>
      <c r="CU10" s="350">
        <f>IF(CU$3="","",0)</f>
        <v/>
      </c>
      <c r="CV10" s="350">
        <f>IF(CV$3="","",0)</f>
        <v/>
      </c>
      <c r="CW10" s="350">
        <f>IF(CW$3="","",0)</f>
        <v/>
      </c>
    </row>
    <row r="11" ht="15" customHeight="1" s="180">
      <c r="A11" s="220" t="inlineStr">
        <is>
          <t>奥様収入</t>
        </is>
      </c>
      <c r="B11" s="350">
        <f>IF(B$3="","",IF(B5&lt;入力データ!$C$110,((入力データ!$C$30*12)+IF(入力データ!$C$31="あり",入力データ!$C$33,0))*(1+前提条件!$C$6)^(B$3-$B$3),0))</f>
        <v/>
      </c>
      <c r="C11" s="350">
        <f>IF(C$3="","",IF(C5&lt;入力データ!$C$110,((入力データ!$C$30*12)+IF(入力データ!$C$31="あり",入力データ!$C$33,0))*(1+前提条件!$C$6)^(C$3-$B$3),0))</f>
        <v/>
      </c>
      <c r="D11" s="350">
        <f>IF(D$3="","",IF(D5&lt;入力データ!$C$110,((入力データ!$C$30*12)+IF(入力データ!$C$31="あり",入力データ!$C$33,0))*(1+前提条件!$C$6)^(D$3-$B$3),0))</f>
        <v/>
      </c>
      <c r="E11" s="350">
        <f>IF(E$3="","",IF(E5&lt;入力データ!$C$110,((入力データ!$C$30*12)+IF(入力データ!$C$31="あり",入力データ!$C$33,0))*(1+前提条件!$C$6)^(E$3-$B$3),0))</f>
        <v/>
      </c>
      <c r="F11" s="350">
        <f>IF(F$3="","",IF(F5&lt;入力データ!$C$110,((入力データ!$C$30*12)+IF(入力データ!$C$31="あり",入力データ!$C$33,0))*(1+前提条件!$C$6)^(F$3-$B$3),0))</f>
        <v/>
      </c>
      <c r="G11" s="350">
        <f>IF(G$3="","",IF(G5&lt;入力データ!$C$110,((入力データ!$C$30*12)+IF(入力データ!$C$31="あり",入力データ!$C$33,0))*(1+前提条件!$C$6)^(G$3-$B$3),0))</f>
        <v/>
      </c>
      <c r="H11" s="350">
        <f>IF(H$3="","",IF(H5&lt;入力データ!$C$110,((入力データ!$C$30*12)+IF(入力データ!$C$31="あり",入力データ!$C$33,0))*(1+前提条件!$C$6)^(H$3-$B$3),0))</f>
        <v/>
      </c>
      <c r="I11" s="350">
        <f>IF(I$3="","",IF(I5&lt;入力データ!$C$110,((入力データ!$C$30*12)+IF(入力データ!$C$31="あり",入力データ!$C$33,0))*(1+前提条件!$C$6)^(I$3-$B$3),0))</f>
        <v/>
      </c>
      <c r="J11" s="350">
        <f>IF(J$3="","",IF(J5&lt;入力データ!$C$110,((入力データ!$C$30*12)+IF(入力データ!$C$31="あり",入力データ!$C$33,0))*(1+前提条件!$C$6)^(J$3-$B$3),0))</f>
        <v/>
      </c>
      <c r="K11" s="350">
        <f>IF(K$3="","",IF(K5&lt;入力データ!$C$110,((入力データ!$C$30*12)+IF(入力データ!$C$31="あり",入力データ!$C$33,0))*(1+前提条件!$C$6)^(K$3-$B$3),0))</f>
        <v/>
      </c>
      <c r="L11" s="350">
        <f>IF(L$3="","",IF(L5&lt;入力データ!$C$110,((入力データ!$C$30*12)+IF(入力データ!$C$31="あり",入力データ!$C$33,0))*(1+前提条件!$C$6)^(L$3-$B$3),0))</f>
        <v/>
      </c>
      <c r="M11" s="350">
        <f>IF(M$3="","",IF(M5&lt;入力データ!$C$110,((入力データ!$C$30*12)+IF(入力データ!$C$31="あり",入力データ!$C$33,0))*(1+前提条件!$C$6)^(M$3-$B$3),0))</f>
        <v/>
      </c>
      <c r="N11" s="350">
        <f>IF(N$3="","",IF(N5&lt;入力データ!$C$110,((入力データ!$C$30*12)+IF(入力データ!$C$31="あり",入力データ!$C$33,0))*(1+前提条件!$C$6)^(N$3-$B$3),0))</f>
        <v/>
      </c>
      <c r="O11" s="350">
        <f>IF(O$3="","",IF(O5&lt;入力データ!$C$110,((入力データ!$C$30*12)+IF(入力データ!$C$31="あり",入力データ!$C$33,0))*(1+前提条件!$C$6)^(O$3-$B$3),0))</f>
        <v/>
      </c>
      <c r="P11" s="350">
        <f>IF(P$3="","",IF(P5&lt;入力データ!$C$110,((入力データ!$C$30*12)+IF(入力データ!$C$31="あり",入力データ!$C$33,0))*(1+前提条件!$C$6)^(P$3-$B$3),0))</f>
        <v/>
      </c>
      <c r="Q11" s="350">
        <f>IF(Q$3="","",IF(Q5&lt;入力データ!$C$110,((入力データ!$C$30*12)+IF(入力データ!$C$31="あり",入力データ!$C$33,0))*(1+前提条件!$C$6)^(Q$3-$B$3),0))</f>
        <v/>
      </c>
      <c r="R11" s="350">
        <f>IF(R$3="","",IF(R5&lt;入力データ!$C$110,((入力データ!$C$30*12)+IF(入力データ!$C$31="あり",入力データ!$C$33,0))*(1+前提条件!$C$6)^(R$3-$B$3),0))</f>
        <v/>
      </c>
      <c r="S11" s="350">
        <f>IF(S$3="","",IF(S5&lt;入力データ!$C$110,((入力データ!$C$30*12)+IF(入力データ!$C$31="あり",入力データ!$C$33,0))*(1+前提条件!$C$6)^(S$3-$B$3),0))</f>
        <v/>
      </c>
      <c r="T11" s="350">
        <f>IF(T$3="","",IF(T5&lt;入力データ!$C$110,((入力データ!$C$30*12)+IF(入力データ!$C$31="あり",入力データ!$C$33,0))*(1+前提条件!$C$6)^(T$3-$B$3),0))</f>
        <v/>
      </c>
      <c r="U11" s="350">
        <f>IF(U$3="","",IF(U5&lt;入力データ!$C$110,((入力データ!$C$30*12)+IF(入力データ!$C$31="あり",入力データ!$C$33,0))*(1+前提条件!$C$6)^(U$3-$B$3),0))</f>
        <v/>
      </c>
      <c r="V11" s="350">
        <f>IF(V$3="","",IF(V5&lt;入力データ!$C$110,((入力データ!$C$30*12)+IF(入力データ!$C$31="あり",入力データ!$C$33,0))*(1+前提条件!$C$6)^(V$3-$B$3),0))</f>
        <v/>
      </c>
      <c r="W11" s="350">
        <f>IF(W$3="","",IF(W5&lt;入力データ!$C$110,((入力データ!$C$30*12)+IF(入力データ!$C$31="あり",入力データ!$C$33,0))*(1+前提条件!$C$6)^(W$3-$B$3),0))</f>
        <v/>
      </c>
      <c r="X11" s="350">
        <f>IF(X$3="","",IF(X5&lt;入力データ!$C$110,((入力データ!$C$30*12)+IF(入力データ!$C$31="あり",入力データ!$C$33,0))*(1+前提条件!$C$6)^(X$3-$B$3),0))</f>
        <v/>
      </c>
      <c r="Y11" s="350">
        <f>IF(Y$3="","",IF(Y5&lt;入力データ!$C$110,((入力データ!$C$30*12)+IF(入力データ!$C$31="あり",入力データ!$C$33,0))*(1+前提条件!$C$6)^(Y$3-$B$3),0))</f>
        <v/>
      </c>
      <c r="Z11" s="350">
        <f>IF(Z$3="","",IF(Z5&lt;入力データ!$C$110,((入力データ!$C$30*12)+IF(入力データ!$C$31="あり",入力データ!$C$33,0))*(1+前提条件!$C$6)^(Z$3-$B$3),0))</f>
        <v/>
      </c>
      <c r="AA11" s="350">
        <f>IF(AA$3="","",IF(AA5&lt;入力データ!$C$110,((入力データ!$C$30*12)+IF(入力データ!$C$31="あり",入力データ!$C$33,0))*(1+前提条件!$C$6)^(AA$3-$B$3),0))</f>
        <v/>
      </c>
      <c r="AB11" s="350">
        <f>IF(AB$3="","",IF(AB5&lt;入力データ!$C$110,((入力データ!$C$30*12)+IF(入力データ!$C$31="あり",入力データ!$C$33,0))*(1+前提条件!$C$6)^(AB$3-$B$3),0))</f>
        <v/>
      </c>
      <c r="AC11" s="350">
        <f>IF(AC$3="","",IF(AC5&lt;入力データ!$C$110,((入力データ!$C$30*12)+IF(入力データ!$C$31="あり",入力データ!$C$33,0))*(1+前提条件!$C$6)^(AC$3-$B$3),0))</f>
        <v/>
      </c>
      <c r="AD11" s="350">
        <f>IF(AD$3="","",IF(AD5&lt;入力データ!$C$110,((入力データ!$C$30*12)+IF(入力データ!$C$31="あり",入力データ!$C$33,0))*(1+前提条件!$C$6)^(AD$3-$B$3),0))</f>
        <v/>
      </c>
      <c r="AE11" s="350">
        <f>IF(AE$3="","",IF(AE5&lt;入力データ!$C$110,((入力データ!$C$30*12)+IF(入力データ!$C$31="あり",入力データ!$C$33,0))*(1+前提条件!$C$6)^(AE$3-$B$3),0))</f>
        <v/>
      </c>
      <c r="AF11" s="350">
        <f>IF(AF$3="","",IF(AF5&lt;入力データ!$C$110,((入力データ!$C$30*12)+IF(入力データ!$C$31="あり",入力データ!$C$33,0))*(1+前提条件!$C$6)^(AF$3-$B$3),0))</f>
        <v/>
      </c>
      <c r="AG11" s="350">
        <f>IF(AG$3="","",IF(AG5&lt;入力データ!$C$110,((入力データ!$C$30*12)+IF(入力データ!$C$31="あり",入力データ!$C$33,0))*(1+前提条件!$C$6)^(AG$3-$B$3),0))</f>
        <v/>
      </c>
      <c r="AH11" s="350">
        <f>IF(AH$3="","",IF(AH5&lt;入力データ!$C$110,((入力データ!$C$30*12)+IF(入力データ!$C$31="あり",入力データ!$C$33,0))*(1+前提条件!$C$6)^(AH$3-$B$3),0))</f>
        <v/>
      </c>
      <c r="AI11" s="350">
        <f>IF(AI$3="","",IF(AI5&lt;入力データ!$C$110,((入力データ!$C$30*12)+IF(入力データ!$C$31="あり",入力データ!$C$33,0))*(1+前提条件!$C$6)^(AI$3-$B$3),0))</f>
        <v/>
      </c>
      <c r="AJ11" s="350">
        <f>IF(AJ$3="","",IF(AJ5&lt;入力データ!$C$110,((入力データ!$C$30*12)+IF(入力データ!$C$31="あり",入力データ!$C$33,0))*(1+前提条件!$C$6)^(AJ$3-$B$3),0))</f>
        <v/>
      </c>
      <c r="AK11" s="350">
        <f>IF(AK$3="","",IF(AK5&lt;入力データ!$C$110,((入力データ!$C$30*12)+IF(入力データ!$C$31="あり",入力データ!$C$33,0))*(1+前提条件!$C$6)^(AK$3-$B$3),0))</f>
        <v/>
      </c>
      <c r="AL11" s="350">
        <f>IF(AL$3="","",IF(AL5&lt;入力データ!$C$110,((入力データ!$C$30*12)+IF(入力データ!$C$31="あり",入力データ!$C$33,0))*(1+前提条件!$C$6)^(AL$3-$B$3),0))</f>
        <v/>
      </c>
      <c r="AM11" s="350">
        <f>IF(AM$3="","",IF(AM5&lt;入力データ!$C$110,((入力データ!$C$30*12)+IF(入力データ!$C$31="あり",入力データ!$C$33,0))*(1+前提条件!$C$6)^(AM$3-$B$3),0))</f>
        <v/>
      </c>
      <c r="AN11" s="350">
        <f>IF(AN$3="","",IF(AN5&lt;入力データ!$C$110,((入力データ!$C$30*12)+IF(入力データ!$C$31="あり",入力データ!$C$33,0))*(1+前提条件!$C$6)^(AN$3-$B$3),0))</f>
        <v/>
      </c>
      <c r="AO11" s="350">
        <f>IF(AO$3="","",IF(AO5&lt;入力データ!$C$110,((入力データ!$C$30*12)+IF(入力データ!$C$31="あり",入力データ!$C$33,0))*(1+前提条件!$C$6)^(AO$3-$B$3),0))</f>
        <v/>
      </c>
      <c r="AP11" s="350">
        <f>IF(AP$3="","",IF(AP5&lt;入力データ!$C$110,((入力データ!$C$30*12)+IF(入力データ!$C$31="あり",入力データ!$C$33,0))*(1+前提条件!$C$6)^(AP$3-$B$3),0))</f>
        <v/>
      </c>
      <c r="AQ11" s="350">
        <f>IF(AQ$3="","",IF(AQ5&lt;入力データ!$C$110,((入力データ!$C$30*12)+IF(入力データ!$C$31="あり",入力データ!$C$33,0))*(1+前提条件!$C$6)^(AQ$3-$B$3),0))</f>
        <v/>
      </c>
      <c r="AR11" s="350">
        <f>IF(AR$3="","",IF(AR5&lt;入力データ!$C$110,((入力データ!$C$30*12)+IF(入力データ!$C$31="あり",入力データ!$C$33,0))*(1+前提条件!$C$6)^(AR$3-$B$3),0))</f>
        <v/>
      </c>
      <c r="AS11" s="350">
        <f>IF(AS$3="","",IF(AS5&lt;入力データ!$C$110,((入力データ!$C$30*12)+IF(入力データ!$C$31="あり",入力データ!$C$33,0))*(1+前提条件!$C$6)^(AS$3-$B$3),0))</f>
        <v/>
      </c>
      <c r="AT11" s="350">
        <f>IF(AT$3="","",IF(AT5&lt;入力データ!$C$110,((入力データ!$C$30*12)+IF(入力データ!$C$31="あり",入力データ!$C$33,0))*(1+前提条件!$C$6)^(AT$3-$B$3),0))</f>
        <v/>
      </c>
      <c r="AU11" s="350">
        <f>IF(AU$3="","",IF(AU5&lt;入力データ!$C$110,((入力データ!$C$30*12)+IF(入力データ!$C$31="あり",入力データ!$C$33,0))*(1+前提条件!$C$6)^(AU$3-$B$3),0))</f>
        <v/>
      </c>
      <c r="AV11" s="350">
        <f>IF(AV$3="","",IF(AV5&lt;入力データ!$C$110,((入力データ!$C$30*12)+IF(入力データ!$C$31="あり",入力データ!$C$33,0))*(1+前提条件!$C$6)^(AV$3-$B$3),0))</f>
        <v/>
      </c>
      <c r="AW11" s="350">
        <f>IF(AW$3="","",IF(AW5&lt;入力データ!$C$110,((入力データ!$C$30*12)+IF(入力データ!$C$31="あり",入力データ!$C$33,0))*(1+前提条件!$C$6)^(AW$3-$B$3),0))</f>
        <v/>
      </c>
      <c r="AX11" s="350">
        <f>IF(AX$3="","",IF(AX5&lt;入力データ!$C$110,((入力データ!$C$30*12)+IF(入力データ!$C$31="あり",入力データ!$C$33,0))*(1+前提条件!$C$6)^(AX$3-$B$3),0))</f>
        <v/>
      </c>
      <c r="AY11" s="350">
        <f>IF(AY$3="","",IF(AY5&lt;入力データ!$C$110,((入力データ!$C$30*12)+IF(入力データ!$C$31="あり",入力データ!$C$33,0))*(1+前提条件!$C$6)^(AY$3-$B$3),0))</f>
        <v/>
      </c>
      <c r="AZ11" s="350">
        <f>IF(AZ$3="","",IF(AZ5&lt;入力データ!$C$110,((入力データ!$C$30*12)+IF(入力データ!$C$31="あり",入力データ!$C$33,0))*(1+前提条件!$C$6)^(AZ$3-$B$3),0))</f>
        <v/>
      </c>
      <c r="BA11" s="350">
        <f>IF(BA$3="","",IF(BA5&lt;入力データ!$C$110,((入力データ!$C$30*12)+IF(入力データ!$C$31="あり",入力データ!$C$33,0))*(1+前提条件!$C$6)^(BA$3-$B$3),0))</f>
        <v/>
      </c>
      <c r="BB11" s="350">
        <f>IF(BB$3="","",IF(BB5&lt;入力データ!$C$110,((入力データ!$C$30*12)+IF(入力データ!$C$31="あり",入力データ!$C$33,0))*(1+前提条件!$C$6)^(BB$3-$B$3),0))</f>
        <v/>
      </c>
      <c r="BC11" s="350">
        <f>IF(BC$3="","",IF(BC5&lt;入力データ!$C$110,((入力データ!$C$30*12)+IF(入力データ!$C$31="あり",入力データ!$C$33,0))*(1+前提条件!$C$6)^(BC$3-$B$3),0))</f>
        <v/>
      </c>
      <c r="BD11" s="350">
        <f>IF(BD$3="","",IF(BD5&lt;入力データ!$C$110,((入力データ!$C$30*12)+IF(入力データ!$C$31="あり",入力データ!$C$33,0))*(1+前提条件!$C$6)^(BD$3-$B$3),0))</f>
        <v/>
      </c>
      <c r="BE11" s="350">
        <f>IF(BE$3="","",IF(BE5&lt;入力データ!$C$110,((入力データ!$C$30*12)+IF(入力データ!$C$31="あり",入力データ!$C$33,0))*(1+前提条件!$C$6)^(BE$3-$B$3),0))</f>
        <v/>
      </c>
      <c r="BF11" s="350">
        <f>IF(BF$3="","",IF(BF5&lt;入力データ!$C$110,((入力データ!$C$30*12)+IF(入力データ!$C$31="あり",入力データ!$C$33,0))*(1+前提条件!$C$6)^(BF$3-$B$3),0))</f>
        <v/>
      </c>
      <c r="BG11" s="350">
        <f>IF(BG$3="","",IF(BG5&lt;入力データ!$C$110,((入力データ!$C$30*12)+IF(入力データ!$C$31="あり",入力データ!$C$33,0))*(1+前提条件!$C$6)^(BG$3-$B$3),0))</f>
        <v/>
      </c>
      <c r="BH11" s="350">
        <f>IF(BH$3="","",IF(BH5&lt;入力データ!$C$110,((入力データ!$C$30*12)+IF(入力データ!$C$31="あり",入力データ!$C$33,0))*(1+前提条件!$C$6)^(BH$3-$B$3),0))</f>
        <v/>
      </c>
      <c r="BI11" s="350">
        <f>IF(BI$3="","",IF(BI5&lt;入力データ!$C$110,((入力データ!$C$30*12)+IF(入力データ!$C$31="あり",入力データ!$C$33,0))*(1+前提条件!$C$6)^(BI$3-$B$3),0))</f>
        <v/>
      </c>
      <c r="BJ11" s="350">
        <f>IF(BJ$3="","",IF(BJ5&lt;入力データ!$C$110,((入力データ!$C$30*12)+IF(入力データ!$C$31="あり",入力データ!$C$33,0))*(1+前提条件!$C$6)^(BJ$3-$B$3),0))</f>
        <v/>
      </c>
      <c r="BK11" s="350">
        <f>IF(BK$3="","",IF(BK5&lt;入力データ!$C$110,((入力データ!$C$30*12)+IF(入力データ!$C$31="あり",入力データ!$C$33,0))*(1+前提条件!$C$6)^(BK$3-$B$3),0))</f>
        <v/>
      </c>
      <c r="BL11" s="350">
        <f>IF(BL$3="","",IF(BL5&lt;入力データ!$C$110,((入力データ!$C$30*12)+IF(入力データ!$C$31="あり",入力データ!$C$33,0))*(1+前提条件!$C$6)^(BL$3-$B$3),0))</f>
        <v/>
      </c>
      <c r="BM11" s="350">
        <f>IF(BM$3="","",IF(BM5&lt;入力データ!$C$110,((入力データ!$C$30*12)+IF(入力データ!$C$31="あり",入力データ!$C$33,0))*(1+前提条件!$C$6)^(BM$3-$B$3),0))</f>
        <v/>
      </c>
      <c r="BN11" s="350">
        <f>IF(BN$3="","",IF(BN5&lt;入力データ!$C$110,((入力データ!$C$30*12)+IF(入力データ!$C$31="あり",入力データ!$C$33,0))*(1+前提条件!$C$6)^(BN$3-$B$3),0))</f>
        <v/>
      </c>
      <c r="BO11" s="350">
        <f>IF(BO$3="","",IF(BO5&lt;入力データ!$C$110,((入力データ!$C$30*12)+IF(入力データ!$C$31="あり",入力データ!$C$33,0))*(1+前提条件!$C$6)^(BO$3-$B$3),0))</f>
        <v/>
      </c>
      <c r="BP11" s="350">
        <f>IF(BP$3="","",IF(BP5&lt;入力データ!$C$110,((入力データ!$C$30*12)+IF(入力データ!$C$31="あり",入力データ!$C$33,0))*(1+前提条件!$C$6)^(BP$3-$B$3),0))</f>
        <v/>
      </c>
      <c r="BQ11" s="350">
        <f>IF(BQ$3="","",IF(BQ5&lt;入力データ!$C$110,((入力データ!$C$30*12)+IF(入力データ!$C$31="あり",入力データ!$C$33,0))*(1+前提条件!$C$6)^(BQ$3-$B$3),0))</f>
        <v/>
      </c>
      <c r="BR11" s="350">
        <f>IF(BR$3="","",IF(BR5&lt;入力データ!$C$110,((入力データ!$C$30*12)+IF(入力データ!$C$31="あり",入力データ!$C$33,0))*(1+前提条件!$C$6)^(BR$3-$B$3),0))</f>
        <v/>
      </c>
      <c r="BS11" s="350">
        <f>IF(BS$3="","",IF(BS5&lt;入力データ!$C$110,((入力データ!$C$30*12)+IF(入力データ!$C$31="あり",入力データ!$C$33,0))*(1+前提条件!$C$6)^(BS$3-$B$3),0))</f>
        <v/>
      </c>
      <c r="BT11" s="350">
        <f>IF(BT$3="","",IF(BT5&lt;入力データ!$C$110,((入力データ!$C$30*12)+IF(入力データ!$C$31="あり",入力データ!$C$33,0))*(1+前提条件!$C$6)^(BT$3-$B$3),0))</f>
        <v/>
      </c>
      <c r="BU11" s="350">
        <f>IF(BU$3="","",IF(BU5&lt;入力データ!$C$110,((入力データ!$C$30*12)+IF(入力データ!$C$31="あり",入力データ!$C$33,0))*(1+前提条件!$C$6)^(BU$3-$B$3),0))</f>
        <v/>
      </c>
      <c r="BV11" s="350">
        <f>IF(BV$3="","",IF(BV5&lt;入力データ!$C$110,((入力データ!$C$30*12)+IF(入力データ!$C$31="あり",入力データ!$C$33,0))*(1+前提条件!$C$6)^(BV$3-$B$3),0))</f>
        <v/>
      </c>
      <c r="BW11" s="350">
        <f>IF(BW$3="","",IF(BW5&lt;入力データ!$C$110,((入力データ!$C$30*12)+IF(入力データ!$C$31="あり",入力データ!$C$33,0))*(1+前提条件!$C$6)^(BW$3-$B$3),0))</f>
        <v/>
      </c>
      <c r="BX11" s="350">
        <f>IF(BX$3="","",IF(BX5&lt;入力データ!$C$110,((入力データ!$C$30*12)+IF(入力データ!$C$31="あり",入力データ!$C$33,0))*(1+前提条件!$C$6)^(BX$3-$B$3),0))</f>
        <v/>
      </c>
      <c r="BY11" s="350">
        <f>IF(BY$3="","",IF(BY5&lt;入力データ!$C$110,((入力データ!$C$30*12)+IF(入力データ!$C$31="あり",入力データ!$C$33,0))*(1+前提条件!$C$6)^(BY$3-$B$3),0))</f>
        <v/>
      </c>
      <c r="BZ11" s="350">
        <f>IF(BZ$3="","",IF(BZ5&lt;入力データ!$C$110,((入力データ!$C$30*12)+IF(入力データ!$C$31="あり",入力データ!$C$33,0))*(1+前提条件!$C$6)^(BZ$3-$B$3),0))</f>
        <v/>
      </c>
      <c r="CA11" s="350">
        <f>IF(CA$3="","",IF(CA5&lt;入力データ!$C$110,((入力データ!$C$30*12)+IF(入力データ!$C$31="あり",入力データ!$C$33,0))*(1+前提条件!$C$6)^(CA$3-$B$3),0))</f>
        <v/>
      </c>
      <c r="CB11" s="350">
        <f>IF(CB$3="","",IF(CB5&lt;入力データ!$C$110,((入力データ!$C$30*12)+IF(入力データ!$C$31="あり",入力データ!$C$33,0))*(1+前提条件!$C$6)^(CB$3-$B$3),0))</f>
        <v/>
      </c>
      <c r="CC11" s="350">
        <f>IF(CC$3="","",IF(CC5&lt;入力データ!$C$110,((入力データ!$C$30*12)+IF(入力データ!$C$31="あり",入力データ!$C$33,0))*(1+前提条件!$C$6)^(CC$3-$B$3),0))</f>
        <v/>
      </c>
      <c r="CD11" s="350">
        <f>IF(CD$3="","",IF(CD5&lt;入力データ!$C$110,((入力データ!$C$30*12)+IF(入力データ!$C$31="あり",入力データ!$C$33,0))*(1+前提条件!$C$6)^(CD$3-$B$3),0))</f>
        <v/>
      </c>
      <c r="CE11" s="350">
        <f>IF(CE$3="","",IF(CE5&lt;入力データ!$C$110,((入力データ!$C$30*12)+IF(入力データ!$C$31="あり",入力データ!$C$33,0))*(1+前提条件!$C$6)^(CE$3-$B$3),0))</f>
        <v/>
      </c>
      <c r="CF11" s="350">
        <f>IF(CF$3="","",IF(CF5&lt;入力データ!$C$110,((入力データ!$C$30*12)+IF(入力データ!$C$31="あり",入力データ!$C$33,0))*(1+前提条件!$C$6)^(CF$3-$B$3),0))</f>
        <v/>
      </c>
      <c r="CG11" s="350">
        <f>IF(CG$3="","",IF(CG5&lt;入力データ!$C$110,((入力データ!$C$30*12)+IF(入力データ!$C$31="あり",入力データ!$C$33,0))*(1+前提条件!$C$6)^(CG$3-$B$3),0))</f>
        <v/>
      </c>
      <c r="CH11" s="350">
        <f>IF(CH$3="","",IF(CH5&lt;入力データ!$C$110,((入力データ!$C$30*12)+IF(入力データ!$C$31="あり",入力データ!$C$33,0))*(1+前提条件!$C$6)^(CH$3-$B$3),0))</f>
        <v/>
      </c>
      <c r="CI11" s="350">
        <f>IF(CI$3="","",IF(CI5&lt;入力データ!$C$110,((入力データ!$C$30*12)+IF(入力データ!$C$31="あり",入力データ!$C$33,0))*(1+前提条件!$C$6)^(CI$3-$B$3),0))</f>
        <v/>
      </c>
      <c r="CJ11" s="350">
        <f>IF(CJ$3="","",IF(CJ5&lt;入力データ!$C$110,((入力データ!$C$30*12)+IF(入力データ!$C$31="あり",入力データ!$C$33,0))*(1+前提条件!$C$6)^(CJ$3-$B$3),0))</f>
        <v/>
      </c>
      <c r="CK11" s="350">
        <f>IF(CK$3="","",IF(CK5&lt;入力データ!$C$110,((入力データ!$C$30*12)+IF(入力データ!$C$31="あり",入力データ!$C$33,0))*(1+前提条件!$C$6)^(CK$3-$B$3),0))</f>
        <v/>
      </c>
      <c r="CL11" s="350">
        <f>IF(CL$3="","",IF(CL5&lt;入力データ!$C$110,((入力データ!$C$30*12)+IF(入力データ!$C$31="あり",入力データ!$C$33,0))*(1+前提条件!$C$6)^(CL$3-$B$3),0))</f>
        <v/>
      </c>
      <c r="CM11" s="350">
        <f>IF(CM$3="","",IF(CM5&lt;入力データ!$C$110,((入力データ!$C$30*12)+IF(入力データ!$C$31="あり",入力データ!$C$33,0))*(1+前提条件!$C$6)^(CM$3-$B$3),0))</f>
        <v/>
      </c>
      <c r="CN11" s="350">
        <f>IF(CN$3="","",IF(CN5&lt;入力データ!$C$110,((入力データ!$C$30*12)+IF(入力データ!$C$31="あり",入力データ!$C$33,0))*(1+前提条件!$C$6)^(CN$3-$B$3),0))</f>
        <v/>
      </c>
      <c r="CO11" s="350">
        <f>IF(CO$3="","",IF(CO5&lt;入力データ!$C$110,((入力データ!$C$30*12)+IF(入力データ!$C$31="あり",入力データ!$C$33,0))*(1+前提条件!$C$6)^(CO$3-$B$3),0))</f>
        <v/>
      </c>
      <c r="CP11" s="350">
        <f>IF(CP$3="","",IF(CP5&lt;入力データ!$C$110,((入力データ!$C$30*12)+IF(入力データ!$C$31="あり",入力データ!$C$33,0))*(1+前提条件!$C$6)^(CP$3-$B$3),0))</f>
        <v/>
      </c>
      <c r="CQ11" s="350">
        <f>IF(CQ$3="","",IF(CQ5&lt;入力データ!$C$110,((入力データ!$C$30*12)+IF(入力データ!$C$31="あり",入力データ!$C$33,0))*(1+前提条件!$C$6)^(CQ$3-$B$3),0))</f>
        <v/>
      </c>
      <c r="CR11" s="350">
        <f>IF(CR$3="","",IF(CR5&lt;入力データ!$C$110,((入力データ!$C$30*12)+IF(入力データ!$C$31="あり",入力データ!$C$33,0))*(1+前提条件!$C$6)^(CR$3-$B$3),0))</f>
        <v/>
      </c>
      <c r="CS11" s="350">
        <f>IF(CS$3="","",IF(CS5&lt;入力データ!$C$110,((入力データ!$C$30*12)+IF(入力データ!$C$31="あり",入力データ!$C$33,0))*(1+前提条件!$C$6)^(CS$3-$B$3),0))</f>
        <v/>
      </c>
      <c r="CT11" s="350">
        <f>IF(CT$3="","",IF(CT5&lt;入力データ!$C$110,((入力データ!$C$30*12)+IF(入力データ!$C$31="あり",入力データ!$C$33,0))*(1+前提条件!$C$6)^(CT$3-$B$3),0))</f>
        <v/>
      </c>
      <c r="CU11" s="350">
        <f>IF(CU$3="","",IF(CU5&lt;入力データ!$C$110,((入力データ!$C$30*12)+IF(入力データ!$C$31="あり",入力データ!$C$33,0))*(1+前提条件!$C$6)^(CU$3-$B$3),0))</f>
        <v/>
      </c>
      <c r="CV11" s="350">
        <f>IF(CV$3="","",IF(CV5&lt;入力データ!$C$110,((入力データ!$C$30*12)+IF(入力データ!$C$31="あり",入力データ!$C$33,0))*(1+前提条件!$C$6)^(CV$3-$B$3),0))</f>
        <v/>
      </c>
      <c r="CW11" s="350">
        <f>IF(CW$3="","",IF(CW5&lt;入力データ!$C$110,((入力データ!$C$30*12)+IF(入力データ!$C$31="あり",入力データ!$C$33,0))*(1+前提条件!$C$6)^(CW$3-$B$3),0))</f>
        <v/>
      </c>
    </row>
    <row r="12" ht="15" customHeight="1" s="180">
      <c r="A12" s="220" t="inlineStr">
        <is>
          <t>児童手当</t>
        </is>
      </c>
      <c r="B12" s="350">
        <f>IF(B$3="","",IF(AND(B6&lt;&gt;"",B6&lt;=前提条件!$C$8),IF(1&gt;=3,30000,IF(B6&lt;3,15000,10000))*6,0)+IF(AND(B7&lt;&gt;"",B7&lt;=前提条件!$C$8),IF(2&gt;=3,30000,IF(B7&lt;3,15000,10000))*6,0)+IF(AND(B8&lt;&gt;"",B8&lt;=前提条件!$C$8),30000*6,0))</f>
        <v/>
      </c>
      <c r="C12" s="350">
        <f>IF(C$3="","",IF(AND(C6&lt;&gt;"",C6&lt;=前提条件!$C$8),IF(1&gt;=3,30000,IF(C6&lt;3,15000,10000))*6,0)+IF(AND(C7&lt;&gt;"",C7&lt;=前提条件!$C$8),IF(2&gt;=3,30000,IF(C7&lt;3,15000,10000))*6,0)+IF(AND(C8&lt;&gt;"",C8&lt;=前提条件!$C$8),30000*6,0))</f>
        <v/>
      </c>
      <c r="D12" s="350">
        <f>IF(D$3="","",IF(AND(D6&lt;&gt;"",D6&lt;=前提条件!$C$8),IF(1&gt;=3,30000,IF(D6&lt;3,15000,10000))*6,0)+IF(AND(D7&lt;&gt;"",D7&lt;=前提条件!$C$8),IF(2&gt;=3,30000,IF(D7&lt;3,15000,10000))*6,0)+IF(AND(D8&lt;&gt;"",D8&lt;=前提条件!$C$8),30000*6,0))</f>
        <v/>
      </c>
      <c r="E12" s="350">
        <f>IF(E$3="","",IF(AND(E6&lt;&gt;"",E6&lt;=前提条件!$C$8),IF(1&gt;=3,30000,IF(E6&lt;3,15000,10000))*6,0)+IF(AND(E7&lt;&gt;"",E7&lt;=前提条件!$C$8),IF(2&gt;=3,30000,IF(E7&lt;3,15000,10000))*6,0)+IF(AND(E8&lt;&gt;"",E8&lt;=前提条件!$C$8),30000*6,0))</f>
        <v/>
      </c>
      <c r="F12" s="350">
        <f>IF(F$3="","",IF(AND(F6&lt;&gt;"",F6&lt;=前提条件!$C$8),IF(1&gt;=3,30000,IF(F6&lt;3,15000,10000))*6,0)+IF(AND(F7&lt;&gt;"",F7&lt;=前提条件!$C$8),IF(2&gt;=3,30000,IF(F7&lt;3,15000,10000))*6,0)+IF(AND(F8&lt;&gt;"",F8&lt;=前提条件!$C$8),30000*6,0))</f>
        <v/>
      </c>
      <c r="G12" s="350">
        <f>IF(G$3="","",IF(AND(G6&lt;&gt;"",G6&lt;=前提条件!$C$8),IF(1&gt;=3,30000,IF(G6&lt;3,15000,10000))*6,0)+IF(AND(G7&lt;&gt;"",G7&lt;=前提条件!$C$8),IF(2&gt;=3,30000,IF(G7&lt;3,15000,10000))*6,0)+IF(AND(G8&lt;&gt;"",G8&lt;=前提条件!$C$8),30000*6,0))</f>
        <v/>
      </c>
      <c r="H12" s="350">
        <f>IF(H$3="","",IF(AND(H6&lt;&gt;"",H6&lt;=前提条件!$C$8),IF(1&gt;=3,30000,IF(H6&lt;3,15000,10000))*6,0)+IF(AND(H7&lt;&gt;"",H7&lt;=前提条件!$C$8),IF(2&gt;=3,30000,IF(H7&lt;3,15000,10000))*6,0)+IF(AND(H8&lt;&gt;"",H8&lt;=前提条件!$C$8),30000*6,0))</f>
        <v/>
      </c>
      <c r="I12" s="350">
        <f>IF(I$3="","",IF(AND(I6&lt;&gt;"",I6&lt;=前提条件!$C$8),IF(1&gt;=3,30000,IF(I6&lt;3,15000,10000))*6,0)+IF(AND(I7&lt;&gt;"",I7&lt;=前提条件!$C$8),IF(2&gt;=3,30000,IF(I7&lt;3,15000,10000))*6,0)+IF(AND(I8&lt;&gt;"",I8&lt;=前提条件!$C$8),30000*6,0))</f>
        <v/>
      </c>
      <c r="J12" s="350">
        <f>IF(J$3="","",IF(AND(J6&lt;&gt;"",J6&lt;=前提条件!$C$8),IF(1&gt;=3,30000,IF(J6&lt;3,15000,10000))*6,0)+IF(AND(J7&lt;&gt;"",J7&lt;=前提条件!$C$8),IF(2&gt;=3,30000,IF(J7&lt;3,15000,10000))*6,0)+IF(AND(J8&lt;&gt;"",J8&lt;=前提条件!$C$8),30000*6,0))</f>
        <v/>
      </c>
      <c r="K12" s="350">
        <f>IF(K$3="","",IF(AND(K6&lt;&gt;"",K6&lt;=前提条件!$C$8),IF(1&gt;=3,30000,IF(K6&lt;3,15000,10000))*6,0)+IF(AND(K7&lt;&gt;"",K7&lt;=前提条件!$C$8),IF(2&gt;=3,30000,IF(K7&lt;3,15000,10000))*6,0)+IF(AND(K8&lt;&gt;"",K8&lt;=前提条件!$C$8),30000*6,0))</f>
        <v/>
      </c>
      <c r="L12" s="350">
        <f>IF(L$3="","",IF(AND(L6&lt;&gt;"",L6&lt;=前提条件!$C$8),IF(1&gt;=3,30000,IF(L6&lt;3,15000,10000))*6,0)+IF(AND(L7&lt;&gt;"",L7&lt;=前提条件!$C$8),IF(2&gt;=3,30000,IF(L7&lt;3,15000,10000))*6,0)+IF(AND(L8&lt;&gt;"",L8&lt;=前提条件!$C$8),30000*6,0))</f>
        <v/>
      </c>
      <c r="M12" s="350">
        <f>IF(M$3="","",IF(AND(M6&lt;&gt;"",M6&lt;=前提条件!$C$8),IF(1&gt;=3,30000,IF(M6&lt;3,15000,10000))*6,0)+IF(AND(M7&lt;&gt;"",M7&lt;=前提条件!$C$8),IF(2&gt;=3,30000,IF(M7&lt;3,15000,10000))*6,0)+IF(AND(M8&lt;&gt;"",M8&lt;=前提条件!$C$8),30000*6,0))</f>
        <v/>
      </c>
      <c r="N12" s="350">
        <f>IF(N$3="","",IF(AND(N6&lt;&gt;"",N6&lt;=前提条件!$C$8),IF(1&gt;=3,30000,IF(N6&lt;3,15000,10000))*6,0)+IF(AND(N7&lt;&gt;"",N7&lt;=前提条件!$C$8),IF(2&gt;=3,30000,IF(N7&lt;3,15000,10000))*6,0)+IF(AND(N8&lt;&gt;"",N8&lt;=前提条件!$C$8),30000*6,0))</f>
        <v/>
      </c>
      <c r="O12" s="350">
        <f>IF(O$3="","",IF(AND(O6&lt;&gt;"",O6&lt;=前提条件!$C$8),IF(1&gt;=3,30000,IF(O6&lt;3,15000,10000))*6,0)+IF(AND(O7&lt;&gt;"",O7&lt;=前提条件!$C$8),IF(2&gt;=3,30000,IF(O7&lt;3,15000,10000))*6,0)+IF(AND(O8&lt;&gt;"",O8&lt;=前提条件!$C$8),30000*6,0))</f>
        <v/>
      </c>
      <c r="P12" s="350">
        <f>IF(P$3="","",IF(AND(P6&lt;&gt;"",P6&lt;=前提条件!$C$8),IF(1&gt;=3,30000,IF(P6&lt;3,15000,10000))*6,0)+IF(AND(P7&lt;&gt;"",P7&lt;=前提条件!$C$8),IF(2&gt;=3,30000,IF(P7&lt;3,15000,10000))*6,0)+IF(AND(P8&lt;&gt;"",P8&lt;=前提条件!$C$8),30000*6,0))</f>
        <v/>
      </c>
      <c r="Q12" s="350">
        <f>IF(Q$3="","",IF(AND(Q6&lt;&gt;"",Q6&lt;=前提条件!$C$8),IF(1&gt;=3,30000,IF(Q6&lt;3,15000,10000))*6,0)+IF(AND(Q7&lt;&gt;"",Q7&lt;=前提条件!$C$8),IF(2&gt;=3,30000,IF(Q7&lt;3,15000,10000))*6,0)+IF(AND(Q8&lt;&gt;"",Q8&lt;=前提条件!$C$8),30000*6,0))</f>
        <v/>
      </c>
      <c r="R12" s="350">
        <f>IF(R$3="","",IF(AND(R6&lt;&gt;"",R6&lt;=前提条件!$C$8),IF(1&gt;=3,30000,IF(R6&lt;3,15000,10000))*6,0)+IF(AND(R7&lt;&gt;"",R7&lt;=前提条件!$C$8),IF(2&gt;=3,30000,IF(R7&lt;3,15000,10000))*6,0)+IF(AND(R8&lt;&gt;"",R8&lt;=前提条件!$C$8),30000*6,0))</f>
        <v/>
      </c>
      <c r="S12" s="350">
        <f>IF(S$3="","",IF(AND(S6&lt;&gt;"",S6&lt;=前提条件!$C$8),IF(1&gt;=3,30000,IF(S6&lt;3,15000,10000))*6,0)+IF(AND(S7&lt;&gt;"",S7&lt;=前提条件!$C$8),IF(2&gt;=3,30000,IF(S7&lt;3,15000,10000))*6,0)+IF(AND(S8&lt;&gt;"",S8&lt;=前提条件!$C$8),30000*6,0))</f>
        <v/>
      </c>
      <c r="T12" s="350">
        <f>IF(T$3="","",IF(AND(T6&lt;&gt;"",T6&lt;=前提条件!$C$8),IF(1&gt;=3,30000,IF(T6&lt;3,15000,10000))*6,0)+IF(AND(T7&lt;&gt;"",T7&lt;=前提条件!$C$8),IF(2&gt;=3,30000,IF(T7&lt;3,15000,10000))*6,0)+IF(AND(T8&lt;&gt;"",T8&lt;=前提条件!$C$8),30000*6,0))</f>
        <v/>
      </c>
      <c r="U12" s="350">
        <f>IF(U$3="","",IF(AND(U6&lt;&gt;"",U6&lt;=前提条件!$C$8),IF(1&gt;=3,30000,IF(U6&lt;3,15000,10000))*6,0)+IF(AND(U7&lt;&gt;"",U7&lt;=前提条件!$C$8),IF(2&gt;=3,30000,IF(U7&lt;3,15000,10000))*6,0)+IF(AND(U8&lt;&gt;"",U8&lt;=前提条件!$C$8),30000*6,0))</f>
        <v/>
      </c>
      <c r="V12" s="350">
        <f>IF(V$3="","",IF(AND(V6&lt;&gt;"",V6&lt;=前提条件!$C$8),IF(1&gt;=3,30000,IF(V6&lt;3,15000,10000))*6,0)+IF(AND(V7&lt;&gt;"",V7&lt;=前提条件!$C$8),IF(2&gt;=3,30000,IF(V7&lt;3,15000,10000))*6,0)+IF(AND(V8&lt;&gt;"",V8&lt;=前提条件!$C$8),30000*6,0))</f>
        <v/>
      </c>
      <c r="W12" s="350">
        <f>IF(W$3="","",IF(AND(W6&lt;&gt;"",W6&lt;=前提条件!$C$8),IF(1&gt;=3,30000,IF(W6&lt;3,15000,10000))*6,0)+IF(AND(W7&lt;&gt;"",W7&lt;=前提条件!$C$8),IF(2&gt;=3,30000,IF(W7&lt;3,15000,10000))*6,0)+IF(AND(W8&lt;&gt;"",W8&lt;=前提条件!$C$8),30000*6,0))</f>
        <v/>
      </c>
      <c r="X12" s="350">
        <f>IF(X$3="","",IF(AND(X6&lt;&gt;"",X6&lt;=前提条件!$C$8),IF(1&gt;=3,30000,IF(X6&lt;3,15000,10000))*6,0)+IF(AND(X7&lt;&gt;"",X7&lt;=前提条件!$C$8),IF(2&gt;=3,30000,IF(X7&lt;3,15000,10000))*6,0)+IF(AND(X8&lt;&gt;"",X8&lt;=前提条件!$C$8),30000*6,0))</f>
        <v/>
      </c>
      <c r="Y12" s="350">
        <f>IF(Y$3="","",IF(AND(Y6&lt;&gt;"",Y6&lt;=前提条件!$C$8),IF(1&gt;=3,30000,IF(Y6&lt;3,15000,10000))*6,0)+IF(AND(Y7&lt;&gt;"",Y7&lt;=前提条件!$C$8),IF(2&gt;=3,30000,IF(Y7&lt;3,15000,10000))*6,0)+IF(AND(Y8&lt;&gt;"",Y8&lt;=前提条件!$C$8),30000*6,0))</f>
        <v/>
      </c>
      <c r="Z12" s="350">
        <f>IF(Z$3="","",IF(AND(Z6&lt;&gt;"",Z6&lt;=前提条件!$C$8),IF(1&gt;=3,30000,IF(Z6&lt;3,15000,10000))*6,0)+IF(AND(Z7&lt;&gt;"",Z7&lt;=前提条件!$C$8),IF(2&gt;=3,30000,IF(Z7&lt;3,15000,10000))*6,0)+IF(AND(Z8&lt;&gt;"",Z8&lt;=前提条件!$C$8),30000*6,0))</f>
        <v/>
      </c>
      <c r="AA12" s="350">
        <f>IF(AA$3="","",IF(AND(AA6&lt;&gt;"",AA6&lt;=前提条件!$C$8),IF(1&gt;=3,30000,IF(AA6&lt;3,15000,10000))*6,0)+IF(AND(AA7&lt;&gt;"",AA7&lt;=前提条件!$C$8),IF(2&gt;=3,30000,IF(AA7&lt;3,15000,10000))*6,0)+IF(AND(AA8&lt;&gt;"",AA8&lt;=前提条件!$C$8),30000*6,0))</f>
        <v/>
      </c>
      <c r="AB12" s="350">
        <f>IF(AB$3="","",IF(AND(AB6&lt;&gt;"",AB6&lt;=前提条件!$C$8),IF(1&gt;=3,30000,IF(AB6&lt;3,15000,10000))*6,0)+IF(AND(AB7&lt;&gt;"",AB7&lt;=前提条件!$C$8),IF(2&gt;=3,30000,IF(AB7&lt;3,15000,10000))*6,0)+IF(AND(AB8&lt;&gt;"",AB8&lt;=前提条件!$C$8),30000*6,0))</f>
        <v/>
      </c>
      <c r="AC12" s="350">
        <f>IF(AC$3="","",IF(AND(AC6&lt;&gt;"",AC6&lt;=前提条件!$C$8),IF(1&gt;=3,30000,IF(AC6&lt;3,15000,10000))*6,0)+IF(AND(AC7&lt;&gt;"",AC7&lt;=前提条件!$C$8),IF(2&gt;=3,30000,IF(AC7&lt;3,15000,10000))*6,0)+IF(AND(AC8&lt;&gt;"",AC8&lt;=前提条件!$C$8),30000*6,0))</f>
        <v/>
      </c>
      <c r="AD12" s="350">
        <f>IF(AD$3="","",IF(AND(AD6&lt;&gt;"",AD6&lt;=前提条件!$C$8),IF(1&gt;=3,30000,IF(AD6&lt;3,15000,10000))*6,0)+IF(AND(AD7&lt;&gt;"",AD7&lt;=前提条件!$C$8),IF(2&gt;=3,30000,IF(AD7&lt;3,15000,10000))*6,0)+IF(AND(AD8&lt;&gt;"",AD8&lt;=前提条件!$C$8),30000*6,0))</f>
        <v/>
      </c>
      <c r="AE12" s="350">
        <f>IF(AE$3="","",IF(AND(AE6&lt;&gt;"",AE6&lt;=前提条件!$C$8),IF(1&gt;=3,30000,IF(AE6&lt;3,15000,10000))*6,0)+IF(AND(AE7&lt;&gt;"",AE7&lt;=前提条件!$C$8),IF(2&gt;=3,30000,IF(AE7&lt;3,15000,10000))*6,0)+IF(AND(AE8&lt;&gt;"",AE8&lt;=前提条件!$C$8),30000*6,0))</f>
        <v/>
      </c>
      <c r="AF12" s="350">
        <f>IF(AF$3="","",IF(AND(AF6&lt;&gt;"",AF6&lt;=前提条件!$C$8),IF(1&gt;=3,30000,IF(AF6&lt;3,15000,10000))*6,0)+IF(AND(AF7&lt;&gt;"",AF7&lt;=前提条件!$C$8),IF(2&gt;=3,30000,IF(AF7&lt;3,15000,10000))*6,0)+IF(AND(AF8&lt;&gt;"",AF8&lt;=前提条件!$C$8),30000*6,0))</f>
        <v/>
      </c>
      <c r="AG12" s="350">
        <f>IF(AG$3="","",IF(AND(AG6&lt;&gt;"",AG6&lt;=前提条件!$C$8),IF(1&gt;=3,30000,IF(AG6&lt;3,15000,10000))*6,0)+IF(AND(AG7&lt;&gt;"",AG7&lt;=前提条件!$C$8),IF(2&gt;=3,30000,IF(AG7&lt;3,15000,10000))*6,0)+IF(AND(AG8&lt;&gt;"",AG8&lt;=前提条件!$C$8),30000*6,0))</f>
        <v/>
      </c>
      <c r="AH12" s="350">
        <f>IF(AH$3="","",IF(AND(AH6&lt;&gt;"",AH6&lt;=前提条件!$C$8),IF(1&gt;=3,30000,IF(AH6&lt;3,15000,10000))*6,0)+IF(AND(AH7&lt;&gt;"",AH7&lt;=前提条件!$C$8),IF(2&gt;=3,30000,IF(AH7&lt;3,15000,10000))*6,0)+IF(AND(AH8&lt;&gt;"",AH8&lt;=前提条件!$C$8),30000*6,0))</f>
        <v/>
      </c>
      <c r="AI12" s="350">
        <f>IF(AI$3="","",IF(AND(AI6&lt;&gt;"",AI6&lt;=前提条件!$C$8),IF(1&gt;=3,30000,IF(AI6&lt;3,15000,10000))*6,0)+IF(AND(AI7&lt;&gt;"",AI7&lt;=前提条件!$C$8),IF(2&gt;=3,30000,IF(AI7&lt;3,15000,10000))*6,0)+IF(AND(AI8&lt;&gt;"",AI8&lt;=前提条件!$C$8),30000*6,0))</f>
        <v/>
      </c>
      <c r="AJ12" s="350">
        <f>IF(AJ$3="","",IF(AND(AJ6&lt;&gt;"",AJ6&lt;=前提条件!$C$8),IF(1&gt;=3,30000,IF(AJ6&lt;3,15000,10000))*6,0)+IF(AND(AJ7&lt;&gt;"",AJ7&lt;=前提条件!$C$8),IF(2&gt;=3,30000,IF(AJ7&lt;3,15000,10000))*6,0)+IF(AND(AJ8&lt;&gt;"",AJ8&lt;=前提条件!$C$8),30000*6,0))</f>
        <v/>
      </c>
      <c r="AK12" s="350">
        <f>IF(AK$3="","",IF(AND(AK6&lt;&gt;"",AK6&lt;=前提条件!$C$8),IF(1&gt;=3,30000,IF(AK6&lt;3,15000,10000))*6,0)+IF(AND(AK7&lt;&gt;"",AK7&lt;=前提条件!$C$8),IF(2&gt;=3,30000,IF(AK7&lt;3,15000,10000))*6,0)+IF(AND(AK8&lt;&gt;"",AK8&lt;=前提条件!$C$8),30000*6,0))</f>
        <v/>
      </c>
      <c r="AL12" s="350">
        <f>IF(AL$3="","",IF(AND(AL6&lt;&gt;"",AL6&lt;=前提条件!$C$8),IF(1&gt;=3,30000,IF(AL6&lt;3,15000,10000))*6,0)+IF(AND(AL7&lt;&gt;"",AL7&lt;=前提条件!$C$8),IF(2&gt;=3,30000,IF(AL7&lt;3,15000,10000))*6,0)+IF(AND(AL8&lt;&gt;"",AL8&lt;=前提条件!$C$8),30000*6,0))</f>
        <v/>
      </c>
      <c r="AM12" s="350">
        <f>IF(AM$3="","",IF(AND(AM6&lt;&gt;"",AM6&lt;=前提条件!$C$8),IF(1&gt;=3,30000,IF(AM6&lt;3,15000,10000))*6,0)+IF(AND(AM7&lt;&gt;"",AM7&lt;=前提条件!$C$8),IF(2&gt;=3,30000,IF(AM7&lt;3,15000,10000))*6,0)+IF(AND(AM8&lt;&gt;"",AM8&lt;=前提条件!$C$8),30000*6,0))</f>
        <v/>
      </c>
      <c r="AN12" s="350">
        <f>IF(AN$3="","",IF(AND(AN6&lt;&gt;"",AN6&lt;=前提条件!$C$8),IF(1&gt;=3,30000,IF(AN6&lt;3,15000,10000))*6,0)+IF(AND(AN7&lt;&gt;"",AN7&lt;=前提条件!$C$8),IF(2&gt;=3,30000,IF(AN7&lt;3,15000,10000))*6,0)+IF(AND(AN8&lt;&gt;"",AN8&lt;=前提条件!$C$8),30000*6,0))</f>
        <v/>
      </c>
      <c r="AO12" s="350">
        <f>IF(AO$3="","",IF(AND(AO6&lt;&gt;"",AO6&lt;=前提条件!$C$8),IF(1&gt;=3,30000,IF(AO6&lt;3,15000,10000))*6,0)+IF(AND(AO7&lt;&gt;"",AO7&lt;=前提条件!$C$8),IF(2&gt;=3,30000,IF(AO7&lt;3,15000,10000))*6,0)+IF(AND(AO8&lt;&gt;"",AO8&lt;=前提条件!$C$8),30000*6,0))</f>
        <v/>
      </c>
      <c r="AP12" s="350">
        <f>IF(AP$3="","",IF(AND(AP6&lt;&gt;"",AP6&lt;=前提条件!$C$8),IF(1&gt;=3,30000,IF(AP6&lt;3,15000,10000))*6,0)+IF(AND(AP7&lt;&gt;"",AP7&lt;=前提条件!$C$8),IF(2&gt;=3,30000,IF(AP7&lt;3,15000,10000))*6,0)+IF(AND(AP8&lt;&gt;"",AP8&lt;=前提条件!$C$8),30000*6,0))</f>
        <v/>
      </c>
      <c r="AQ12" s="350">
        <f>IF(AQ$3="","",IF(AND(AQ6&lt;&gt;"",AQ6&lt;=前提条件!$C$8),IF(1&gt;=3,30000,IF(AQ6&lt;3,15000,10000))*6,0)+IF(AND(AQ7&lt;&gt;"",AQ7&lt;=前提条件!$C$8),IF(2&gt;=3,30000,IF(AQ7&lt;3,15000,10000))*6,0)+IF(AND(AQ8&lt;&gt;"",AQ8&lt;=前提条件!$C$8),30000*6,0))</f>
        <v/>
      </c>
      <c r="AR12" s="350">
        <f>IF(AR$3="","",IF(AND(AR6&lt;&gt;"",AR6&lt;=前提条件!$C$8),IF(1&gt;=3,30000,IF(AR6&lt;3,15000,10000))*6,0)+IF(AND(AR7&lt;&gt;"",AR7&lt;=前提条件!$C$8),IF(2&gt;=3,30000,IF(AR7&lt;3,15000,10000))*6,0)+IF(AND(AR8&lt;&gt;"",AR8&lt;=前提条件!$C$8),30000*6,0))</f>
        <v/>
      </c>
      <c r="AS12" s="350">
        <f>IF(AS$3="","",IF(AND(AS6&lt;&gt;"",AS6&lt;=前提条件!$C$8),IF(1&gt;=3,30000,IF(AS6&lt;3,15000,10000))*6,0)+IF(AND(AS7&lt;&gt;"",AS7&lt;=前提条件!$C$8),IF(2&gt;=3,30000,IF(AS7&lt;3,15000,10000))*6,0)+IF(AND(AS8&lt;&gt;"",AS8&lt;=前提条件!$C$8),30000*6,0))</f>
        <v/>
      </c>
      <c r="AT12" s="350">
        <f>IF(AT$3="","",IF(AND(AT6&lt;&gt;"",AT6&lt;=前提条件!$C$8),IF(1&gt;=3,30000,IF(AT6&lt;3,15000,10000))*6,0)+IF(AND(AT7&lt;&gt;"",AT7&lt;=前提条件!$C$8),IF(2&gt;=3,30000,IF(AT7&lt;3,15000,10000))*6,0)+IF(AND(AT8&lt;&gt;"",AT8&lt;=前提条件!$C$8),30000*6,0))</f>
        <v/>
      </c>
      <c r="AU12" s="350">
        <f>IF(AU$3="","",IF(AND(AU6&lt;&gt;"",AU6&lt;=前提条件!$C$8),IF(1&gt;=3,30000,IF(AU6&lt;3,15000,10000))*6,0)+IF(AND(AU7&lt;&gt;"",AU7&lt;=前提条件!$C$8),IF(2&gt;=3,30000,IF(AU7&lt;3,15000,10000))*6,0)+IF(AND(AU8&lt;&gt;"",AU8&lt;=前提条件!$C$8),30000*6,0))</f>
        <v/>
      </c>
      <c r="AV12" s="350">
        <f>IF(AV$3="","",IF(AND(AV6&lt;&gt;"",AV6&lt;=前提条件!$C$8),IF(1&gt;=3,30000,IF(AV6&lt;3,15000,10000))*6,0)+IF(AND(AV7&lt;&gt;"",AV7&lt;=前提条件!$C$8),IF(2&gt;=3,30000,IF(AV7&lt;3,15000,10000))*6,0)+IF(AND(AV8&lt;&gt;"",AV8&lt;=前提条件!$C$8),30000*6,0))</f>
        <v/>
      </c>
      <c r="AW12" s="350">
        <f>IF(AW$3="","",IF(AND(AW6&lt;&gt;"",AW6&lt;=前提条件!$C$8),IF(1&gt;=3,30000,IF(AW6&lt;3,15000,10000))*6,0)+IF(AND(AW7&lt;&gt;"",AW7&lt;=前提条件!$C$8),IF(2&gt;=3,30000,IF(AW7&lt;3,15000,10000))*6,0)+IF(AND(AW8&lt;&gt;"",AW8&lt;=前提条件!$C$8),30000*6,0))</f>
        <v/>
      </c>
      <c r="AX12" s="350">
        <f>IF(AX$3="","",IF(AND(AX6&lt;&gt;"",AX6&lt;=前提条件!$C$8),IF(1&gt;=3,30000,IF(AX6&lt;3,15000,10000))*6,0)+IF(AND(AX7&lt;&gt;"",AX7&lt;=前提条件!$C$8),IF(2&gt;=3,30000,IF(AX7&lt;3,15000,10000))*6,0)+IF(AND(AX8&lt;&gt;"",AX8&lt;=前提条件!$C$8),30000*6,0))</f>
        <v/>
      </c>
      <c r="AY12" s="350">
        <f>IF(AY$3="","",IF(AND(AY6&lt;&gt;"",AY6&lt;=前提条件!$C$8),IF(1&gt;=3,30000,IF(AY6&lt;3,15000,10000))*6,0)+IF(AND(AY7&lt;&gt;"",AY7&lt;=前提条件!$C$8),IF(2&gt;=3,30000,IF(AY7&lt;3,15000,10000))*6,0)+IF(AND(AY8&lt;&gt;"",AY8&lt;=前提条件!$C$8),30000*6,0))</f>
        <v/>
      </c>
      <c r="AZ12" s="350">
        <f>IF(AZ$3="","",IF(AND(AZ6&lt;&gt;"",AZ6&lt;=前提条件!$C$8),IF(1&gt;=3,30000,IF(AZ6&lt;3,15000,10000))*6,0)+IF(AND(AZ7&lt;&gt;"",AZ7&lt;=前提条件!$C$8),IF(2&gt;=3,30000,IF(AZ7&lt;3,15000,10000))*6,0)+IF(AND(AZ8&lt;&gt;"",AZ8&lt;=前提条件!$C$8),30000*6,0))</f>
        <v/>
      </c>
      <c r="BA12" s="350">
        <f>IF(BA$3="","",IF(AND(BA6&lt;&gt;"",BA6&lt;=前提条件!$C$8),IF(1&gt;=3,30000,IF(BA6&lt;3,15000,10000))*6,0)+IF(AND(BA7&lt;&gt;"",BA7&lt;=前提条件!$C$8),IF(2&gt;=3,30000,IF(BA7&lt;3,15000,10000))*6,0)+IF(AND(BA8&lt;&gt;"",BA8&lt;=前提条件!$C$8),30000*6,0))</f>
        <v/>
      </c>
      <c r="BB12" s="350">
        <f>IF(BB$3="","",IF(AND(BB6&lt;&gt;"",BB6&lt;=前提条件!$C$8),IF(1&gt;=3,30000,IF(BB6&lt;3,15000,10000))*6,0)+IF(AND(BB7&lt;&gt;"",BB7&lt;=前提条件!$C$8),IF(2&gt;=3,30000,IF(BB7&lt;3,15000,10000))*6,0)+IF(AND(BB8&lt;&gt;"",BB8&lt;=前提条件!$C$8),30000*6,0))</f>
        <v/>
      </c>
      <c r="BC12" s="350">
        <f>IF(BC$3="","",IF(AND(BC6&lt;&gt;"",BC6&lt;=前提条件!$C$8),IF(1&gt;=3,30000,IF(BC6&lt;3,15000,10000))*6,0)+IF(AND(BC7&lt;&gt;"",BC7&lt;=前提条件!$C$8),IF(2&gt;=3,30000,IF(BC7&lt;3,15000,10000))*6,0)+IF(AND(BC8&lt;&gt;"",BC8&lt;=前提条件!$C$8),30000*6,0))</f>
        <v/>
      </c>
      <c r="BD12" s="350">
        <f>IF(BD$3="","",IF(AND(BD6&lt;&gt;"",BD6&lt;=前提条件!$C$8),IF(1&gt;=3,30000,IF(BD6&lt;3,15000,10000))*6,0)+IF(AND(BD7&lt;&gt;"",BD7&lt;=前提条件!$C$8),IF(2&gt;=3,30000,IF(BD7&lt;3,15000,10000))*6,0)+IF(AND(BD8&lt;&gt;"",BD8&lt;=前提条件!$C$8),30000*6,0))</f>
        <v/>
      </c>
      <c r="BE12" s="350">
        <f>IF(BE$3="","",IF(AND(BE6&lt;&gt;"",BE6&lt;=前提条件!$C$8),IF(1&gt;=3,30000,IF(BE6&lt;3,15000,10000))*6,0)+IF(AND(BE7&lt;&gt;"",BE7&lt;=前提条件!$C$8),IF(2&gt;=3,30000,IF(BE7&lt;3,15000,10000))*6,0)+IF(AND(BE8&lt;&gt;"",BE8&lt;=前提条件!$C$8),30000*6,0))</f>
        <v/>
      </c>
      <c r="BF12" s="350">
        <f>IF(BF$3="","",IF(AND(BF6&lt;&gt;"",BF6&lt;=前提条件!$C$8),IF(1&gt;=3,30000,IF(BF6&lt;3,15000,10000))*6,0)+IF(AND(BF7&lt;&gt;"",BF7&lt;=前提条件!$C$8),IF(2&gt;=3,30000,IF(BF7&lt;3,15000,10000))*6,0)+IF(AND(BF8&lt;&gt;"",BF8&lt;=前提条件!$C$8),30000*6,0))</f>
        <v/>
      </c>
      <c r="BG12" s="350">
        <f>IF(BG$3="","",IF(AND(BG6&lt;&gt;"",BG6&lt;=前提条件!$C$8),IF(1&gt;=3,30000,IF(BG6&lt;3,15000,10000))*6,0)+IF(AND(BG7&lt;&gt;"",BG7&lt;=前提条件!$C$8),IF(2&gt;=3,30000,IF(BG7&lt;3,15000,10000))*6,0)+IF(AND(BG8&lt;&gt;"",BG8&lt;=前提条件!$C$8),30000*6,0))</f>
        <v/>
      </c>
      <c r="BH12" s="350">
        <f>IF(BH$3="","",IF(AND(BH6&lt;&gt;"",BH6&lt;=前提条件!$C$8),IF(1&gt;=3,30000,IF(BH6&lt;3,15000,10000))*6,0)+IF(AND(BH7&lt;&gt;"",BH7&lt;=前提条件!$C$8),IF(2&gt;=3,30000,IF(BH7&lt;3,15000,10000))*6,0)+IF(AND(BH8&lt;&gt;"",BH8&lt;=前提条件!$C$8),30000*6,0))</f>
        <v/>
      </c>
      <c r="BI12" s="350">
        <f>IF(BI$3="","",IF(AND(BI6&lt;&gt;"",BI6&lt;=前提条件!$C$8),IF(1&gt;=3,30000,IF(BI6&lt;3,15000,10000))*6,0)+IF(AND(BI7&lt;&gt;"",BI7&lt;=前提条件!$C$8),IF(2&gt;=3,30000,IF(BI7&lt;3,15000,10000))*6,0)+IF(AND(BI8&lt;&gt;"",BI8&lt;=前提条件!$C$8),30000*6,0))</f>
        <v/>
      </c>
      <c r="BJ12" s="350">
        <f>IF(BJ$3="","",IF(AND(BJ6&lt;&gt;"",BJ6&lt;=前提条件!$C$8),IF(1&gt;=3,30000,IF(BJ6&lt;3,15000,10000))*6,0)+IF(AND(BJ7&lt;&gt;"",BJ7&lt;=前提条件!$C$8),IF(2&gt;=3,30000,IF(BJ7&lt;3,15000,10000))*6,0)+IF(AND(BJ8&lt;&gt;"",BJ8&lt;=前提条件!$C$8),30000*6,0))</f>
        <v/>
      </c>
      <c r="BK12" s="350">
        <f>IF(BK$3="","",IF(AND(BK6&lt;&gt;"",BK6&lt;=前提条件!$C$8),IF(1&gt;=3,30000,IF(BK6&lt;3,15000,10000))*6,0)+IF(AND(BK7&lt;&gt;"",BK7&lt;=前提条件!$C$8),IF(2&gt;=3,30000,IF(BK7&lt;3,15000,10000))*6,0)+IF(AND(BK8&lt;&gt;"",BK8&lt;=前提条件!$C$8),30000*6,0))</f>
        <v/>
      </c>
      <c r="BL12" s="350">
        <f>IF(BL$3="","",IF(AND(BL6&lt;&gt;"",BL6&lt;=前提条件!$C$8),IF(1&gt;=3,30000,IF(BL6&lt;3,15000,10000))*6,0)+IF(AND(BL7&lt;&gt;"",BL7&lt;=前提条件!$C$8),IF(2&gt;=3,30000,IF(BL7&lt;3,15000,10000))*6,0)+IF(AND(BL8&lt;&gt;"",BL8&lt;=前提条件!$C$8),30000*6,0))</f>
        <v/>
      </c>
      <c r="BM12" s="350">
        <f>IF(BM$3="","",IF(AND(BM6&lt;&gt;"",BM6&lt;=前提条件!$C$8),IF(1&gt;=3,30000,IF(BM6&lt;3,15000,10000))*6,0)+IF(AND(BM7&lt;&gt;"",BM7&lt;=前提条件!$C$8),IF(2&gt;=3,30000,IF(BM7&lt;3,15000,10000))*6,0)+IF(AND(BM8&lt;&gt;"",BM8&lt;=前提条件!$C$8),30000*6,0))</f>
        <v/>
      </c>
      <c r="BN12" s="350">
        <f>IF(BN$3="","",IF(AND(BN6&lt;&gt;"",BN6&lt;=前提条件!$C$8),IF(1&gt;=3,30000,IF(BN6&lt;3,15000,10000))*6,0)+IF(AND(BN7&lt;&gt;"",BN7&lt;=前提条件!$C$8),IF(2&gt;=3,30000,IF(BN7&lt;3,15000,10000))*6,0)+IF(AND(BN8&lt;&gt;"",BN8&lt;=前提条件!$C$8),30000*6,0))</f>
        <v/>
      </c>
      <c r="BO12" s="350">
        <f>IF(BO$3="","",IF(AND(BO6&lt;&gt;"",BO6&lt;=前提条件!$C$8),IF(1&gt;=3,30000,IF(BO6&lt;3,15000,10000))*6,0)+IF(AND(BO7&lt;&gt;"",BO7&lt;=前提条件!$C$8),IF(2&gt;=3,30000,IF(BO7&lt;3,15000,10000))*6,0)+IF(AND(BO8&lt;&gt;"",BO8&lt;=前提条件!$C$8),30000*6,0))</f>
        <v/>
      </c>
      <c r="BP12" s="350">
        <f>IF(BP$3="","",IF(AND(BP6&lt;&gt;"",BP6&lt;=前提条件!$C$8),IF(1&gt;=3,30000,IF(BP6&lt;3,15000,10000))*6,0)+IF(AND(BP7&lt;&gt;"",BP7&lt;=前提条件!$C$8),IF(2&gt;=3,30000,IF(BP7&lt;3,15000,10000))*6,0)+IF(AND(BP8&lt;&gt;"",BP8&lt;=前提条件!$C$8),30000*6,0))</f>
        <v/>
      </c>
      <c r="BQ12" s="350">
        <f>IF(BQ$3="","",IF(AND(BQ6&lt;&gt;"",BQ6&lt;=前提条件!$C$8),IF(1&gt;=3,30000,IF(BQ6&lt;3,15000,10000))*6,0)+IF(AND(BQ7&lt;&gt;"",BQ7&lt;=前提条件!$C$8),IF(2&gt;=3,30000,IF(BQ7&lt;3,15000,10000))*6,0)+IF(AND(BQ8&lt;&gt;"",BQ8&lt;=前提条件!$C$8),30000*6,0))</f>
        <v/>
      </c>
      <c r="BR12" s="350">
        <f>IF(BR$3="","",IF(AND(BR6&lt;&gt;"",BR6&lt;=前提条件!$C$8),IF(1&gt;=3,30000,IF(BR6&lt;3,15000,10000))*6,0)+IF(AND(BR7&lt;&gt;"",BR7&lt;=前提条件!$C$8),IF(2&gt;=3,30000,IF(BR7&lt;3,15000,10000))*6,0)+IF(AND(BR8&lt;&gt;"",BR8&lt;=前提条件!$C$8),30000*6,0))</f>
        <v/>
      </c>
      <c r="BS12" s="350">
        <f>IF(BS$3="","",IF(AND(BS6&lt;&gt;"",BS6&lt;=前提条件!$C$8),IF(1&gt;=3,30000,IF(BS6&lt;3,15000,10000))*6,0)+IF(AND(BS7&lt;&gt;"",BS7&lt;=前提条件!$C$8),IF(2&gt;=3,30000,IF(BS7&lt;3,15000,10000))*6,0)+IF(AND(BS8&lt;&gt;"",BS8&lt;=前提条件!$C$8),30000*6,0))</f>
        <v/>
      </c>
      <c r="BT12" s="350">
        <f>IF(BT$3="","",IF(AND(BT6&lt;&gt;"",BT6&lt;=前提条件!$C$8),IF(1&gt;=3,30000,IF(BT6&lt;3,15000,10000))*6,0)+IF(AND(BT7&lt;&gt;"",BT7&lt;=前提条件!$C$8),IF(2&gt;=3,30000,IF(BT7&lt;3,15000,10000))*6,0)+IF(AND(BT8&lt;&gt;"",BT8&lt;=前提条件!$C$8),30000*6,0))</f>
        <v/>
      </c>
      <c r="BU12" s="350">
        <f>IF(BU$3="","",IF(AND(BU6&lt;&gt;"",BU6&lt;=前提条件!$C$8),IF(1&gt;=3,30000,IF(BU6&lt;3,15000,10000))*6,0)+IF(AND(BU7&lt;&gt;"",BU7&lt;=前提条件!$C$8),IF(2&gt;=3,30000,IF(BU7&lt;3,15000,10000))*6,0)+IF(AND(BU8&lt;&gt;"",BU8&lt;=前提条件!$C$8),30000*6,0))</f>
        <v/>
      </c>
      <c r="BV12" s="350">
        <f>IF(BV$3="","",IF(AND(BV6&lt;&gt;"",BV6&lt;=前提条件!$C$8),IF(1&gt;=3,30000,IF(BV6&lt;3,15000,10000))*6,0)+IF(AND(BV7&lt;&gt;"",BV7&lt;=前提条件!$C$8),IF(2&gt;=3,30000,IF(BV7&lt;3,15000,10000))*6,0)+IF(AND(BV8&lt;&gt;"",BV8&lt;=前提条件!$C$8),30000*6,0))</f>
        <v/>
      </c>
      <c r="BW12" s="350">
        <f>IF(BW$3="","",IF(AND(BW6&lt;&gt;"",BW6&lt;=前提条件!$C$8),IF(1&gt;=3,30000,IF(BW6&lt;3,15000,10000))*6,0)+IF(AND(BW7&lt;&gt;"",BW7&lt;=前提条件!$C$8),IF(2&gt;=3,30000,IF(BW7&lt;3,15000,10000))*6,0)+IF(AND(BW8&lt;&gt;"",BW8&lt;=前提条件!$C$8),30000*6,0))</f>
        <v/>
      </c>
      <c r="BX12" s="350">
        <f>IF(BX$3="","",IF(AND(BX6&lt;&gt;"",BX6&lt;=前提条件!$C$8),IF(1&gt;=3,30000,IF(BX6&lt;3,15000,10000))*6,0)+IF(AND(BX7&lt;&gt;"",BX7&lt;=前提条件!$C$8),IF(2&gt;=3,30000,IF(BX7&lt;3,15000,10000))*6,0)+IF(AND(BX8&lt;&gt;"",BX8&lt;=前提条件!$C$8),30000*6,0))</f>
        <v/>
      </c>
      <c r="BY12" s="350">
        <f>IF(BY$3="","",IF(AND(BY6&lt;&gt;"",BY6&lt;=前提条件!$C$8),IF(1&gt;=3,30000,IF(BY6&lt;3,15000,10000))*6,0)+IF(AND(BY7&lt;&gt;"",BY7&lt;=前提条件!$C$8),IF(2&gt;=3,30000,IF(BY7&lt;3,15000,10000))*6,0)+IF(AND(BY8&lt;&gt;"",BY8&lt;=前提条件!$C$8),30000*6,0))</f>
        <v/>
      </c>
      <c r="BZ12" s="350">
        <f>IF(BZ$3="","",IF(AND(BZ6&lt;&gt;"",BZ6&lt;=前提条件!$C$8),IF(1&gt;=3,30000,IF(BZ6&lt;3,15000,10000))*6,0)+IF(AND(BZ7&lt;&gt;"",BZ7&lt;=前提条件!$C$8),IF(2&gt;=3,30000,IF(BZ7&lt;3,15000,10000))*6,0)+IF(AND(BZ8&lt;&gt;"",BZ8&lt;=前提条件!$C$8),30000*6,0))</f>
        <v/>
      </c>
      <c r="CA12" s="350">
        <f>IF(CA$3="","",IF(AND(CA6&lt;&gt;"",CA6&lt;=前提条件!$C$8),IF(1&gt;=3,30000,IF(CA6&lt;3,15000,10000))*6,0)+IF(AND(CA7&lt;&gt;"",CA7&lt;=前提条件!$C$8),IF(2&gt;=3,30000,IF(CA7&lt;3,15000,10000))*6,0)+IF(AND(CA8&lt;&gt;"",CA8&lt;=前提条件!$C$8),30000*6,0))</f>
        <v/>
      </c>
      <c r="CB12" s="350">
        <f>IF(CB$3="","",IF(AND(CB6&lt;&gt;"",CB6&lt;=前提条件!$C$8),IF(1&gt;=3,30000,IF(CB6&lt;3,15000,10000))*6,0)+IF(AND(CB7&lt;&gt;"",CB7&lt;=前提条件!$C$8),IF(2&gt;=3,30000,IF(CB7&lt;3,15000,10000))*6,0)+IF(AND(CB8&lt;&gt;"",CB8&lt;=前提条件!$C$8),30000*6,0))</f>
        <v/>
      </c>
      <c r="CC12" s="350">
        <f>IF(CC$3="","",IF(AND(CC6&lt;&gt;"",CC6&lt;=前提条件!$C$8),IF(1&gt;=3,30000,IF(CC6&lt;3,15000,10000))*6,0)+IF(AND(CC7&lt;&gt;"",CC7&lt;=前提条件!$C$8),IF(2&gt;=3,30000,IF(CC7&lt;3,15000,10000))*6,0)+IF(AND(CC8&lt;&gt;"",CC8&lt;=前提条件!$C$8),30000*6,0))</f>
        <v/>
      </c>
      <c r="CD12" s="350">
        <f>IF(CD$3="","",IF(AND(CD6&lt;&gt;"",CD6&lt;=前提条件!$C$8),IF(1&gt;=3,30000,IF(CD6&lt;3,15000,10000))*6,0)+IF(AND(CD7&lt;&gt;"",CD7&lt;=前提条件!$C$8),IF(2&gt;=3,30000,IF(CD7&lt;3,15000,10000))*6,0)+IF(AND(CD8&lt;&gt;"",CD8&lt;=前提条件!$C$8),30000*6,0))</f>
        <v/>
      </c>
      <c r="CE12" s="350">
        <f>IF(CE$3="","",IF(AND(CE6&lt;&gt;"",CE6&lt;=前提条件!$C$8),IF(1&gt;=3,30000,IF(CE6&lt;3,15000,10000))*6,0)+IF(AND(CE7&lt;&gt;"",CE7&lt;=前提条件!$C$8),IF(2&gt;=3,30000,IF(CE7&lt;3,15000,10000))*6,0)+IF(AND(CE8&lt;&gt;"",CE8&lt;=前提条件!$C$8),30000*6,0))</f>
        <v/>
      </c>
      <c r="CF12" s="350">
        <f>IF(CF$3="","",IF(AND(CF6&lt;&gt;"",CF6&lt;=前提条件!$C$8),IF(1&gt;=3,30000,IF(CF6&lt;3,15000,10000))*6,0)+IF(AND(CF7&lt;&gt;"",CF7&lt;=前提条件!$C$8),IF(2&gt;=3,30000,IF(CF7&lt;3,15000,10000))*6,0)+IF(AND(CF8&lt;&gt;"",CF8&lt;=前提条件!$C$8),30000*6,0))</f>
        <v/>
      </c>
      <c r="CG12" s="350">
        <f>IF(CG$3="","",IF(AND(CG6&lt;&gt;"",CG6&lt;=前提条件!$C$8),IF(1&gt;=3,30000,IF(CG6&lt;3,15000,10000))*6,0)+IF(AND(CG7&lt;&gt;"",CG7&lt;=前提条件!$C$8),IF(2&gt;=3,30000,IF(CG7&lt;3,15000,10000))*6,0)+IF(AND(CG8&lt;&gt;"",CG8&lt;=前提条件!$C$8),30000*6,0))</f>
        <v/>
      </c>
      <c r="CH12" s="350">
        <f>IF(CH$3="","",IF(AND(CH6&lt;&gt;"",CH6&lt;=前提条件!$C$8),IF(1&gt;=3,30000,IF(CH6&lt;3,15000,10000))*6,0)+IF(AND(CH7&lt;&gt;"",CH7&lt;=前提条件!$C$8),IF(2&gt;=3,30000,IF(CH7&lt;3,15000,10000))*6,0)+IF(AND(CH8&lt;&gt;"",CH8&lt;=前提条件!$C$8),30000*6,0))</f>
        <v/>
      </c>
      <c r="CI12" s="350">
        <f>IF(CI$3="","",IF(AND(CI6&lt;&gt;"",CI6&lt;=前提条件!$C$8),IF(1&gt;=3,30000,IF(CI6&lt;3,15000,10000))*6,0)+IF(AND(CI7&lt;&gt;"",CI7&lt;=前提条件!$C$8),IF(2&gt;=3,30000,IF(CI7&lt;3,15000,10000))*6,0)+IF(AND(CI8&lt;&gt;"",CI8&lt;=前提条件!$C$8),30000*6,0))</f>
        <v/>
      </c>
      <c r="CJ12" s="350">
        <f>IF(CJ$3="","",IF(AND(CJ6&lt;&gt;"",CJ6&lt;=前提条件!$C$8),IF(1&gt;=3,30000,IF(CJ6&lt;3,15000,10000))*6,0)+IF(AND(CJ7&lt;&gt;"",CJ7&lt;=前提条件!$C$8),IF(2&gt;=3,30000,IF(CJ7&lt;3,15000,10000))*6,0)+IF(AND(CJ8&lt;&gt;"",CJ8&lt;=前提条件!$C$8),30000*6,0))</f>
        <v/>
      </c>
      <c r="CK12" s="350">
        <f>IF(CK$3="","",IF(AND(CK6&lt;&gt;"",CK6&lt;=前提条件!$C$8),IF(1&gt;=3,30000,IF(CK6&lt;3,15000,10000))*6,0)+IF(AND(CK7&lt;&gt;"",CK7&lt;=前提条件!$C$8),IF(2&gt;=3,30000,IF(CK7&lt;3,15000,10000))*6,0)+IF(AND(CK8&lt;&gt;"",CK8&lt;=前提条件!$C$8),30000*6,0))</f>
        <v/>
      </c>
      <c r="CL12" s="350">
        <f>IF(CL$3="","",IF(AND(CL6&lt;&gt;"",CL6&lt;=前提条件!$C$8),IF(1&gt;=3,30000,IF(CL6&lt;3,15000,10000))*6,0)+IF(AND(CL7&lt;&gt;"",CL7&lt;=前提条件!$C$8),IF(2&gt;=3,30000,IF(CL7&lt;3,15000,10000))*6,0)+IF(AND(CL8&lt;&gt;"",CL8&lt;=前提条件!$C$8),30000*6,0))</f>
        <v/>
      </c>
      <c r="CM12" s="350">
        <f>IF(CM$3="","",IF(AND(CM6&lt;&gt;"",CM6&lt;=前提条件!$C$8),IF(1&gt;=3,30000,IF(CM6&lt;3,15000,10000))*6,0)+IF(AND(CM7&lt;&gt;"",CM7&lt;=前提条件!$C$8),IF(2&gt;=3,30000,IF(CM7&lt;3,15000,10000))*6,0)+IF(AND(CM8&lt;&gt;"",CM8&lt;=前提条件!$C$8),30000*6,0))</f>
        <v/>
      </c>
      <c r="CN12" s="350">
        <f>IF(CN$3="","",IF(AND(CN6&lt;&gt;"",CN6&lt;=前提条件!$C$8),IF(1&gt;=3,30000,IF(CN6&lt;3,15000,10000))*6,0)+IF(AND(CN7&lt;&gt;"",CN7&lt;=前提条件!$C$8),IF(2&gt;=3,30000,IF(CN7&lt;3,15000,10000))*6,0)+IF(AND(CN8&lt;&gt;"",CN8&lt;=前提条件!$C$8),30000*6,0))</f>
        <v/>
      </c>
      <c r="CO12" s="350">
        <f>IF(CO$3="","",IF(AND(CO6&lt;&gt;"",CO6&lt;=前提条件!$C$8),IF(1&gt;=3,30000,IF(CO6&lt;3,15000,10000))*6,0)+IF(AND(CO7&lt;&gt;"",CO7&lt;=前提条件!$C$8),IF(2&gt;=3,30000,IF(CO7&lt;3,15000,10000))*6,0)+IF(AND(CO8&lt;&gt;"",CO8&lt;=前提条件!$C$8),30000*6,0))</f>
        <v/>
      </c>
      <c r="CP12" s="350">
        <f>IF(CP$3="","",IF(AND(CP6&lt;&gt;"",CP6&lt;=前提条件!$C$8),IF(1&gt;=3,30000,IF(CP6&lt;3,15000,10000))*6,0)+IF(AND(CP7&lt;&gt;"",CP7&lt;=前提条件!$C$8),IF(2&gt;=3,30000,IF(CP7&lt;3,15000,10000))*6,0)+IF(AND(CP8&lt;&gt;"",CP8&lt;=前提条件!$C$8),30000*6,0))</f>
        <v/>
      </c>
      <c r="CQ12" s="350">
        <f>IF(CQ$3="","",IF(AND(CQ6&lt;&gt;"",CQ6&lt;=前提条件!$C$8),IF(1&gt;=3,30000,IF(CQ6&lt;3,15000,10000))*6,0)+IF(AND(CQ7&lt;&gt;"",CQ7&lt;=前提条件!$C$8),IF(2&gt;=3,30000,IF(CQ7&lt;3,15000,10000))*6,0)+IF(AND(CQ8&lt;&gt;"",CQ8&lt;=前提条件!$C$8),30000*6,0))</f>
        <v/>
      </c>
      <c r="CR12" s="350">
        <f>IF(CR$3="","",IF(AND(CR6&lt;&gt;"",CR6&lt;=前提条件!$C$8),IF(1&gt;=3,30000,IF(CR6&lt;3,15000,10000))*6,0)+IF(AND(CR7&lt;&gt;"",CR7&lt;=前提条件!$C$8),IF(2&gt;=3,30000,IF(CR7&lt;3,15000,10000))*6,0)+IF(AND(CR8&lt;&gt;"",CR8&lt;=前提条件!$C$8),30000*6,0))</f>
        <v/>
      </c>
      <c r="CS12" s="350">
        <f>IF(CS$3="","",IF(AND(CS6&lt;&gt;"",CS6&lt;=前提条件!$C$8),IF(1&gt;=3,30000,IF(CS6&lt;3,15000,10000))*6,0)+IF(AND(CS7&lt;&gt;"",CS7&lt;=前提条件!$C$8),IF(2&gt;=3,30000,IF(CS7&lt;3,15000,10000))*6,0)+IF(AND(CS8&lt;&gt;"",CS8&lt;=前提条件!$C$8),30000*6,0))</f>
        <v/>
      </c>
      <c r="CT12" s="350">
        <f>IF(CT$3="","",IF(AND(CT6&lt;&gt;"",CT6&lt;=前提条件!$C$8),IF(1&gt;=3,30000,IF(CT6&lt;3,15000,10000))*6,0)+IF(AND(CT7&lt;&gt;"",CT7&lt;=前提条件!$C$8),IF(2&gt;=3,30000,IF(CT7&lt;3,15000,10000))*6,0)+IF(AND(CT8&lt;&gt;"",CT8&lt;=前提条件!$C$8),30000*6,0))</f>
        <v/>
      </c>
      <c r="CU12" s="350">
        <f>IF(CU$3="","",IF(AND(CU6&lt;&gt;"",CU6&lt;=前提条件!$C$8),IF(1&gt;=3,30000,IF(CU6&lt;3,15000,10000))*6,0)+IF(AND(CU7&lt;&gt;"",CU7&lt;=前提条件!$C$8),IF(2&gt;=3,30000,IF(CU7&lt;3,15000,10000))*6,0)+IF(AND(CU8&lt;&gt;"",CU8&lt;=前提条件!$C$8),30000*6,0))</f>
        <v/>
      </c>
      <c r="CV12" s="350">
        <f>IF(CV$3="","",IF(AND(CV6&lt;&gt;"",CV6&lt;=前提条件!$C$8),IF(1&gt;=3,30000,IF(CV6&lt;3,15000,10000))*6,0)+IF(AND(CV7&lt;&gt;"",CV7&lt;=前提条件!$C$8),IF(2&gt;=3,30000,IF(CV7&lt;3,15000,10000))*6,0)+IF(AND(CV8&lt;&gt;"",CV8&lt;=前提条件!$C$8),30000*6,0))</f>
        <v/>
      </c>
      <c r="CW12" s="350">
        <f>IF(CW$3="","",IF(AND(CW6&lt;&gt;"",CW6&lt;=前提条件!$C$8),入力データ!$C$34*6,0)+IF(AND(CW7&lt;&gt;"",CW7&lt;=前提条件!$C$8),入力データ!$C$34*6,0)+IF(AND(CW8&lt;&gt;"",CW8&lt;=前提条件!$C$8),入力データ!$C$34*6,0))</f>
        <v/>
      </c>
    </row>
    <row r="13" ht="15" customHeight="1" s="180">
      <c r="A13" s="220" t="inlineStr">
        <is>
          <t>その他収入</t>
        </is>
      </c>
      <c r="B13" s="350">
        <f>IF(B$3="","",入力データ!$C$35*12)</f>
        <v/>
      </c>
      <c r="C13" s="350">
        <f>IF(C$3="","",入力データ!$C$35*12)</f>
        <v/>
      </c>
      <c r="D13" s="350">
        <f>IF(D$3="","",入力データ!$C$35*12)</f>
        <v/>
      </c>
      <c r="E13" s="350">
        <f>IF(E$3="","",入力データ!$C$35*12)</f>
        <v/>
      </c>
      <c r="F13" s="350">
        <f>IF(F$3="","",入力データ!$C$35*12)</f>
        <v/>
      </c>
      <c r="G13" s="350">
        <f>IF(G$3="","",入力データ!$C$35*12)</f>
        <v/>
      </c>
      <c r="H13" s="350">
        <f>IF(H$3="","",入力データ!$C$35*12)</f>
        <v/>
      </c>
      <c r="I13" s="350">
        <f>IF(I$3="","",入力データ!$C$35*12)</f>
        <v/>
      </c>
      <c r="J13" s="350">
        <f>IF(J$3="","",入力データ!$C$35*12)</f>
        <v/>
      </c>
      <c r="K13" s="350">
        <f>IF(K$3="","",入力データ!$C$35*12)</f>
        <v/>
      </c>
      <c r="L13" s="350">
        <f>IF(L$3="","",入力データ!$C$35*12)</f>
        <v/>
      </c>
      <c r="M13" s="350">
        <f>IF(M$3="","",入力データ!$C$35*12)</f>
        <v/>
      </c>
      <c r="N13" s="350">
        <f>IF(N$3="","",入力データ!$C$35*12)</f>
        <v/>
      </c>
      <c r="O13" s="350">
        <f>IF(O$3="","",入力データ!$C$35*12)</f>
        <v/>
      </c>
      <c r="P13" s="350">
        <f>IF(P$3="","",入力データ!$C$35*12)</f>
        <v/>
      </c>
      <c r="Q13" s="350">
        <f>IF(Q$3="","",入力データ!$C$35*12)</f>
        <v/>
      </c>
      <c r="R13" s="350">
        <f>IF(R$3="","",入力データ!$C$35*12)</f>
        <v/>
      </c>
      <c r="S13" s="350">
        <f>IF(S$3="","",入力データ!$C$35*12)</f>
        <v/>
      </c>
      <c r="T13" s="350">
        <f>IF(T$3="","",入力データ!$C$35*12)</f>
        <v/>
      </c>
      <c r="U13" s="350">
        <f>IF(U$3="","",入力データ!$C$35*12)</f>
        <v/>
      </c>
      <c r="V13" s="350">
        <f>IF(V$3="","",入力データ!$C$35*12)</f>
        <v/>
      </c>
      <c r="W13" s="350">
        <f>IF(W$3="","",入力データ!$C$35*12)</f>
        <v/>
      </c>
      <c r="X13" s="350">
        <f>IF(X$3="","",入力データ!$C$35*12)</f>
        <v/>
      </c>
      <c r="Y13" s="350">
        <f>IF(Y$3="","",入力データ!$C$35*12)</f>
        <v/>
      </c>
      <c r="Z13" s="350">
        <f>IF(Z$3="","",入力データ!$C$35*12)</f>
        <v/>
      </c>
      <c r="AA13" s="350">
        <f>IF(AA$3="","",入力データ!$C$35*12)</f>
        <v/>
      </c>
      <c r="AB13" s="350">
        <f>IF(AB$3="","",入力データ!$C$35*12)</f>
        <v/>
      </c>
      <c r="AC13" s="350">
        <f>IF(AC$3="","",入力データ!$C$35*12)</f>
        <v/>
      </c>
      <c r="AD13" s="350">
        <f>IF(AD$3="","",入力データ!$C$35*12)</f>
        <v/>
      </c>
      <c r="AE13" s="350">
        <f>IF(AE$3="","",入力データ!$C$35*12)</f>
        <v/>
      </c>
      <c r="AF13" s="350">
        <f>IF(AF$3="","",入力データ!$C$35*12)</f>
        <v/>
      </c>
      <c r="AG13" s="350">
        <f>IF(AG$3="","",入力データ!$C$35*12)</f>
        <v/>
      </c>
      <c r="AH13" s="350">
        <f>IF(AH$3="","",入力データ!$C$35*12)</f>
        <v/>
      </c>
      <c r="AI13" s="350">
        <f>IF(AI$3="","",入力データ!$C$35*12)</f>
        <v/>
      </c>
      <c r="AJ13" s="350">
        <f>IF(AJ$3="","",入力データ!$C$35*12)</f>
        <v/>
      </c>
      <c r="AK13" s="350">
        <f>IF(AK$3="","",入力データ!$C$35*12)</f>
        <v/>
      </c>
      <c r="AL13" s="350">
        <f>IF(AL$3="","",入力データ!$C$35*12)</f>
        <v/>
      </c>
      <c r="AM13" s="350">
        <f>IF(AM$3="","",入力データ!$C$35*12)</f>
        <v/>
      </c>
      <c r="AN13" s="350">
        <f>IF(AN$3="","",入力データ!$C$35*12)</f>
        <v/>
      </c>
      <c r="AO13" s="350">
        <f>IF(AO$3="","",入力データ!$C$35*12)</f>
        <v/>
      </c>
      <c r="AP13" s="350">
        <f>IF(AP$3="","",入力データ!$C$35*12)</f>
        <v/>
      </c>
      <c r="AQ13" s="350">
        <f>IF(AQ$3="","",入力データ!$C$35*12)</f>
        <v/>
      </c>
      <c r="AR13" s="350">
        <f>IF(AR$3="","",入力データ!$C$35*12)</f>
        <v/>
      </c>
      <c r="AS13" s="350">
        <f>IF(AS$3="","",入力データ!$C$35*12)</f>
        <v/>
      </c>
      <c r="AT13" s="350">
        <f>IF(AT$3="","",入力データ!$C$35*12)</f>
        <v/>
      </c>
      <c r="AU13" s="350">
        <f>IF(AU$3="","",入力データ!$C$35*12)</f>
        <v/>
      </c>
      <c r="AV13" s="350">
        <f>IF(AV$3="","",入力データ!$C$35*12)</f>
        <v/>
      </c>
      <c r="AW13" s="350">
        <f>IF(AW$3="","",入力データ!$C$35*12)</f>
        <v/>
      </c>
      <c r="AX13" s="350">
        <f>IF(AX$3="","",入力データ!$C$35*12)</f>
        <v/>
      </c>
      <c r="AY13" s="350">
        <f>IF(AY$3="","",入力データ!$C$35*12)</f>
        <v/>
      </c>
      <c r="AZ13" s="350">
        <f>IF(AZ$3="","",入力データ!$C$35*12)</f>
        <v/>
      </c>
      <c r="BA13" s="350">
        <f>IF(BA$3="","",入力データ!$C$35*12)</f>
        <v/>
      </c>
      <c r="BB13" s="350">
        <f>IF(BB$3="","",入力データ!$C$35*12)</f>
        <v/>
      </c>
      <c r="BC13" s="350">
        <f>IF(BC$3="","",入力データ!$C$35*12)</f>
        <v/>
      </c>
      <c r="BD13" s="350">
        <f>IF(BD$3="","",入力データ!$C$35*12)</f>
        <v/>
      </c>
      <c r="BE13" s="350">
        <f>IF(BE$3="","",入力データ!$C$35*12)</f>
        <v/>
      </c>
      <c r="BF13" s="350">
        <f>IF(BF$3="","",入力データ!$C$35*12)</f>
        <v/>
      </c>
      <c r="BG13" s="350">
        <f>IF(BG$3="","",入力データ!$C$35*12)</f>
        <v/>
      </c>
      <c r="BH13" s="350">
        <f>IF(BH$3="","",入力データ!$C$35*12)</f>
        <v/>
      </c>
      <c r="BI13" s="350">
        <f>IF(BI$3="","",入力データ!$C$35*12)</f>
        <v/>
      </c>
      <c r="BJ13" s="350">
        <f>IF(BJ$3="","",入力データ!$C$35*12)</f>
        <v/>
      </c>
      <c r="BK13" s="350">
        <f>IF(BK$3="","",入力データ!$C$35*12)</f>
        <v/>
      </c>
      <c r="BL13" s="350">
        <f>IF(BL$3="","",入力データ!$C$35*12)</f>
        <v/>
      </c>
      <c r="BM13" s="350">
        <f>IF(BM$3="","",入力データ!$C$35*12)</f>
        <v/>
      </c>
      <c r="BN13" s="350">
        <f>IF(BN$3="","",入力データ!$C$35*12)</f>
        <v/>
      </c>
      <c r="BO13" s="350">
        <f>IF(BO$3="","",入力データ!$C$35*12)</f>
        <v/>
      </c>
      <c r="BP13" s="350">
        <f>IF(BP$3="","",入力データ!$C$35*12)</f>
        <v/>
      </c>
      <c r="BQ13" s="350">
        <f>IF(BQ$3="","",入力データ!$C$35*12)</f>
        <v/>
      </c>
      <c r="BR13" s="350">
        <f>IF(BR$3="","",入力データ!$C$35*12)</f>
        <v/>
      </c>
      <c r="BS13" s="350">
        <f>IF(BS$3="","",入力データ!$C$35*12)</f>
        <v/>
      </c>
      <c r="BT13" s="350">
        <f>IF(BT$3="","",入力データ!$C$35*12)</f>
        <v/>
      </c>
      <c r="BU13" s="350">
        <f>IF(BU$3="","",入力データ!$C$35*12)</f>
        <v/>
      </c>
      <c r="BV13" s="350">
        <f>IF(BV$3="","",入力データ!$C$35*12)</f>
        <v/>
      </c>
      <c r="BW13" s="350">
        <f>IF(BW$3="","",入力データ!$C$35*12)</f>
        <v/>
      </c>
      <c r="BX13" s="350">
        <f>IF(BX$3="","",入力データ!$C$35*12)</f>
        <v/>
      </c>
      <c r="BY13" s="350">
        <f>IF(BY$3="","",入力データ!$C$35*12)</f>
        <v/>
      </c>
      <c r="BZ13" s="350">
        <f>IF(BZ$3="","",入力データ!$C$35*12)</f>
        <v/>
      </c>
      <c r="CA13" s="350">
        <f>IF(CA$3="","",入力データ!$C$35*12)</f>
        <v/>
      </c>
      <c r="CB13" s="350">
        <f>IF(CB$3="","",入力データ!$C$35*12)</f>
        <v/>
      </c>
      <c r="CC13" s="350">
        <f>IF(CC$3="","",入力データ!$C$35*12)</f>
        <v/>
      </c>
      <c r="CD13" s="350">
        <f>IF(CD$3="","",入力データ!$C$35*12)</f>
        <v/>
      </c>
      <c r="CE13" s="350">
        <f>IF(CE$3="","",入力データ!$C$35*12)</f>
        <v/>
      </c>
      <c r="CF13" s="350">
        <f>IF(CF$3="","",入力データ!$C$35*12)</f>
        <v/>
      </c>
      <c r="CG13" s="350">
        <f>IF(CG$3="","",入力データ!$C$35*12)</f>
        <v/>
      </c>
      <c r="CH13" s="350">
        <f>IF(CH$3="","",入力データ!$C$35*12)</f>
        <v/>
      </c>
      <c r="CI13" s="350">
        <f>IF(CI$3="","",入力データ!$C$35*12)</f>
        <v/>
      </c>
      <c r="CJ13" s="350">
        <f>IF(CJ$3="","",入力データ!$C$35*12)</f>
        <v/>
      </c>
      <c r="CK13" s="350">
        <f>IF(CK$3="","",入力データ!$C$35*12)</f>
        <v/>
      </c>
      <c r="CL13" s="350">
        <f>IF(CL$3="","",入力データ!$C$35*12)</f>
        <v/>
      </c>
      <c r="CM13" s="350">
        <f>IF(CM$3="","",入力データ!$C$35*12)</f>
        <v/>
      </c>
      <c r="CN13" s="350">
        <f>IF(CN$3="","",入力データ!$C$35*12)</f>
        <v/>
      </c>
      <c r="CO13" s="350">
        <f>IF(CO$3="","",入力データ!$C$35*12)</f>
        <v/>
      </c>
      <c r="CP13" s="350">
        <f>IF(CP$3="","",入力データ!$C$35*12)</f>
        <v/>
      </c>
      <c r="CQ13" s="350">
        <f>IF(CQ$3="","",入力データ!$C$35*12)</f>
        <v/>
      </c>
      <c r="CR13" s="350">
        <f>IF(CR$3="","",入力データ!$C$35*12)</f>
        <v/>
      </c>
      <c r="CS13" s="350">
        <f>IF(CS$3="","",入力データ!$C$35*12)</f>
        <v/>
      </c>
      <c r="CT13" s="350">
        <f>IF(CT$3="","",入力データ!$C$35*12)</f>
        <v/>
      </c>
      <c r="CU13" s="350">
        <f>IF(CU$3="","",入力データ!$C$35*12)</f>
        <v/>
      </c>
      <c r="CV13" s="350">
        <f>IF(CV$3="","",入力データ!$C$35*12)</f>
        <v/>
      </c>
      <c r="CW13" s="350">
        <f>IF(CW$3="","",入力データ!$C$35*12)</f>
        <v/>
      </c>
    </row>
    <row r="14" ht="15" customHeight="1" s="180">
      <c r="A14" s="220" t="inlineStr">
        <is>
          <t>ご主人様退職金</t>
        </is>
      </c>
      <c r="B14" s="350">
        <f>IF(B$3="","",0)</f>
        <v/>
      </c>
      <c r="C14" s="350">
        <f>IF(C$3="","",0)</f>
        <v/>
      </c>
      <c r="D14" s="350">
        <f>IF(D$3="","",0)</f>
        <v/>
      </c>
      <c r="E14" s="350">
        <f>IF(E$3="","",0)</f>
        <v/>
      </c>
      <c r="F14" s="350">
        <f>IF(F$3="","",0)</f>
        <v/>
      </c>
      <c r="G14" s="350">
        <f>IF(G$3="","",0)</f>
        <v/>
      </c>
      <c r="H14" s="350">
        <f>IF(H$3="","",0)</f>
        <v/>
      </c>
      <c r="I14" s="350">
        <f>IF(I$3="","",0)</f>
        <v/>
      </c>
      <c r="J14" s="350">
        <f>IF(J$3="","",0)</f>
        <v/>
      </c>
      <c r="K14" s="350">
        <f>IF(K$3="","",0)</f>
        <v/>
      </c>
      <c r="L14" s="350">
        <f>IF(L$3="","",0)</f>
        <v/>
      </c>
      <c r="M14" s="350">
        <f>IF(M$3="","",0)</f>
        <v/>
      </c>
      <c r="N14" s="350">
        <f>IF(N$3="","",0)</f>
        <v/>
      </c>
      <c r="O14" s="350">
        <f>IF(O$3="","",0)</f>
        <v/>
      </c>
      <c r="P14" s="350">
        <f>IF(P$3="","",0)</f>
        <v/>
      </c>
      <c r="Q14" s="350">
        <f>IF(Q$3="","",0)</f>
        <v/>
      </c>
      <c r="R14" s="350">
        <f>IF(R$3="","",0)</f>
        <v/>
      </c>
      <c r="S14" s="350">
        <f>IF(S$3="","",0)</f>
        <v/>
      </c>
      <c r="T14" s="350">
        <f>IF(T$3="","",0)</f>
        <v/>
      </c>
      <c r="U14" s="350">
        <f>IF(U$3="","",0)</f>
        <v/>
      </c>
      <c r="V14" s="350">
        <f>IF(V$3="","",0)</f>
        <v/>
      </c>
      <c r="W14" s="350">
        <f>IF(W$3="","",0)</f>
        <v/>
      </c>
      <c r="X14" s="350">
        <f>IF(X$3="","",0)</f>
        <v/>
      </c>
      <c r="Y14" s="350">
        <f>IF(Y$3="","",0)</f>
        <v/>
      </c>
      <c r="Z14" s="350">
        <f>IF(Z$3="","",0)</f>
        <v/>
      </c>
      <c r="AA14" s="350">
        <f>IF(AA$3="","",0)</f>
        <v/>
      </c>
      <c r="AB14" s="350">
        <f>IF(AB$3="","",0)</f>
        <v/>
      </c>
      <c r="AC14" s="350">
        <f>IF(AC$3="","",0)</f>
        <v/>
      </c>
      <c r="AD14" s="350">
        <f>IF(AD$3="","",0)</f>
        <v/>
      </c>
      <c r="AE14" s="350">
        <f>IF(AE$3="","",0)</f>
        <v/>
      </c>
      <c r="AF14" s="350">
        <f>IF(AF$3="","",0)</f>
        <v/>
      </c>
      <c r="AG14" s="350">
        <f>IF(AG$3="","",0)</f>
        <v/>
      </c>
      <c r="AH14" s="350">
        <f>IF(AH$3="","",0)</f>
        <v/>
      </c>
      <c r="AI14" s="350">
        <f>IF(AI$3="","",0)</f>
        <v/>
      </c>
      <c r="AJ14" s="350">
        <f>IF(AJ$3="","",0)</f>
        <v/>
      </c>
      <c r="AK14" s="350">
        <f>IF(AK$3="","",0)</f>
        <v/>
      </c>
      <c r="AL14" s="350">
        <f>IF(AL$3="","",0)</f>
        <v/>
      </c>
      <c r="AM14" s="350">
        <f>IF(AM$3="","",0)</f>
        <v/>
      </c>
      <c r="AN14" s="350">
        <f>IF(AN$3="","",0)</f>
        <v/>
      </c>
      <c r="AO14" s="350">
        <f>IF(AO$3="","",0)</f>
        <v/>
      </c>
      <c r="AP14" s="350">
        <f>IF(AP$3="","",0)</f>
        <v/>
      </c>
      <c r="AQ14" s="350">
        <f>IF(AQ$3="","",0)</f>
        <v/>
      </c>
      <c r="AR14" s="350">
        <f>IF(AR$3="","",0)</f>
        <v/>
      </c>
      <c r="AS14" s="350">
        <f>IF(AS$3="","",0)</f>
        <v/>
      </c>
      <c r="AT14" s="350">
        <f>IF(AT$3="","",0)</f>
        <v/>
      </c>
      <c r="AU14" s="350">
        <f>IF(AU$3="","",0)</f>
        <v/>
      </c>
      <c r="AV14" s="350">
        <f>IF(AV$3="","",0)</f>
        <v/>
      </c>
      <c r="AW14" s="350">
        <f>IF(AW$3="","",0)</f>
        <v/>
      </c>
      <c r="AX14" s="350">
        <f>IF(AX$3="","",0)</f>
        <v/>
      </c>
      <c r="AY14" s="350">
        <f>IF(AY$3="","",0)</f>
        <v/>
      </c>
      <c r="AZ14" s="350">
        <f>IF(AZ$3="","",0)</f>
        <v/>
      </c>
      <c r="BA14" s="350">
        <f>IF(BA$3="","",0)</f>
        <v/>
      </c>
      <c r="BB14" s="350">
        <f>IF(BB$3="","",0)</f>
        <v/>
      </c>
      <c r="BC14" s="350">
        <f>IF(BC$3="","",0)</f>
        <v/>
      </c>
      <c r="BD14" s="350">
        <f>IF(BD$3="","",0)</f>
        <v/>
      </c>
      <c r="BE14" s="350">
        <f>IF(BE$3="","",0)</f>
        <v/>
      </c>
      <c r="BF14" s="350">
        <f>IF(BF$3="","",0)</f>
        <v/>
      </c>
      <c r="BG14" s="350">
        <f>IF(BG$3="","",0)</f>
        <v/>
      </c>
      <c r="BH14" s="350">
        <f>IF(BH$3="","",0)</f>
        <v/>
      </c>
      <c r="BI14" s="350">
        <f>IF(BI$3="","",0)</f>
        <v/>
      </c>
      <c r="BJ14" s="350">
        <f>IF(BJ$3="","",0)</f>
        <v/>
      </c>
      <c r="BK14" s="350">
        <f>IF(BK$3="","",0)</f>
        <v/>
      </c>
      <c r="BL14" s="350">
        <f>IF(BL$3="","",0)</f>
        <v/>
      </c>
      <c r="BM14" s="350">
        <f>IF(BM$3="","",0)</f>
        <v/>
      </c>
      <c r="BN14" s="350">
        <f>IF(BN$3="","",0)</f>
        <v/>
      </c>
      <c r="BO14" s="350">
        <f>IF(BO$3="","",0)</f>
        <v/>
      </c>
      <c r="BP14" s="350">
        <f>IF(BP$3="","",0)</f>
        <v/>
      </c>
      <c r="BQ14" s="350">
        <f>IF(BQ$3="","",0)</f>
        <v/>
      </c>
      <c r="BR14" s="350">
        <f>IF(BR$3="","",0)</f>
        <v/>
      </c>
      <c r="BS14" s="350">
        <f>IF(BS$3="","",0)</f>
        <v/>
      </c>
      <c r="BT14" s="350">
        <f>IF(BT$3="","",0)</f>
        <v/>
      </c>
      <c r="BU14" s="350">
        <f>IF(BU$3="","",0)</f>
        <v/>
      </c>
      <c r="BV14" s="350">
        <f>IF(BV$3="","",0)</f>
        <v/>
      </c>
      <c r="BW14" s="350">
        <f>IF(BW$3="","",0)</f>
        <v/>
      </c>
      <c r="BX14" s="350">
        <f>IF(BX$3="","",0)</f>
        <v/>
      </c>
      <c r="BY14" s="350">
        <f>IF(BY$3="","",0)</f>
        <v/>
      </c>
      <c r="BZ14" s="350">
        <f>IF(BZ$3="","",0)</f>
        <v/>
      </c>
      <c r="CA14" s="350">
        <f>IF(CA$3="","",0)</f>
        <v/>
      </c>
      <c r="CB14" s="350">
        <f>IF(CB$3="","",0)</f>
        <v/>
      </c>
      <c r="CC14" s="350">
        <f>IF(CC$3="","",0)</f>
        <v/>
      </c>
      <c r="CD14" s="350">
        <f>IF(CD$3="","",0)</f>
        <v/>
      </c>
      <c r="CE14" s="350">
        <f>IF(CE$3="","",0)</f>
        <v/>
      </c>
      <c r="CF14" s="350">
        <f>IF(CF$3="","",0)</f>
        <v/>
      </c>
      <c r="CG14" s="350">
        <f>IF(CG$3="","",0)</f>
        <v/>
      </c>
      <c r="CH14" s="350">
        <f>IF(CH$3="","",0)</f>
        <v/>
      </c>
      <c r="CI14" s="350">
        <f>IF(CI$3="","",0)</f>
        <v/>
      </c>
      <c r="CJ14" s="350">
        <f>IF(CJ$3="","",0)</f>
        <v/>
      </c>
      <c r="CK14" s="350">
        <f>IF(CK$3="","",0)</f>
        <v/>
      </c>
      <c r="CL14" s="350">
        <f>IF(CL$3="","",0)</f>
        <v/>
      </c>
      <c r="CM14" s="350">
        <f>IF(CM$3="","",0)</f>
        <v/>
      </c>
      <c r="CN14" s="350">
        <f>IF(CN$3="","",0)</f>
        <v/>
      </c>
      <c r="CO14" s="350">
        <f>IF(CO$3="","",0)</f>
        <v/>
      </c>
      <c r="CP14" s="350">
        <f>IF(CP$3="","",0)</f>
        <v/>
      </c>
      <c r="CQ14" s="350">
        <f>IF(CQ$3="","",0)</f>
        <v/>
      </c>
      <c r="CR14" s="350">
        <f>IF(CR$3="","",0)</f>
        <v/>
      </c>
      <c r="CS14" s="350">
        <f>IF(CS$3="","",0)</f>
        <v/>
      </c>
      <c r="CT14" s="350">
        <f>IF(CT$3="","",0)</f>
        <v/>
      </c>
      <c r="CU14" s="350">
        <f>IF(CU$3="","",0)</f>
        <v/>
      </c>
      <c r="CV14" s="350">
        <f>IF(CV$3="","",0)</f>
        <v/>
      </c>
      <c r="CW14" s="350">
        <f>IF(CW$3="","",0)</f>
        <v/>
      </c>
    </row>
    <row r="15" ht="15" customHeight="1" s="180">
      <c r="A15" s="220" t="inlineStr">
        <is>
          <t>奥様退職金</t>
        </is>
      </c>
      <c r="B15" s="350">
        <f>IF(B$3="","",IF(B5=入力データ!$C$110,入力データ!$C$37,0))</f>
        <v/>
      </c>
      <c r="C15" s="350">
        <f>IF(C$3="","",IF(C5=入力データ!$C$110,入力データ!$C$37,0))</f>
        <v/>
      </c>
      <c r="D15" s="350">
        <f>IF(D$3="","",IF(D5=入力データ!$C$110,入力データ!$C$37,0))</f>
        <v/>
      </c>
      <c r="E15" s="350">
        <f>IF(E$3="","",IF(E5=入力データ!$C$110,入力データ!$C$37,0))</f>
        <v/>
      </c>
      <c r="F15" s="350">
        <f>IF(F$3="","",IF(F5=入力データ!$C$110,入力データ!$C$37,0))</f>
        <v/>
      </c>
      <c r="G15" s="350">
        <f>IF(G$3="","",IF(G5=入力データ!$C$110,入力データ!$C$37,0))</f>
        <v/>
      </c>
      <c r="H15" s="350">
        <f>IF(H$3="","",IF(H5=入力データ!$C$110,入力データ!$C$37,0))</f>
        <v/>
      </c>
      <c r="I15" s="350">
        <f>IF(I$3="","",IF(I5=入力データ!$C$110,入力データ!$C$37,0))</f>
        <v/>
      </c>
      <c r="J15" s="350">
        <f>IF(J$3="","",IF(J5=入力データ!$C$110,入力データ!$C$37,0))</f>
        <v/>
      </c>
      <c r="K15" s="350">
        <f>IF(K$3="","",IF(K5=入力データ!$C$110,入力データ!$C$37,0))</f>
        <v/>
      </c>
      <c r="L15" s="350">
        <f>IF(L$3="","",IF(L5=入力データ!$C$110,入力データ!$C$37,0))</f>
        <v/>
      </c>
      <c r="M15" s="350">
        <f>IF(M$3="","",IF(M5=入力データ!$C$110,入力データ!$C$37,0))</f>
        <v/>
      </c>
      <c r="N15" s="350">
        <f>IF(N$3="","",IF(N5=入力データ!$C$110,入力データ!$C$37,0))</f>
        <v/>
      </c>
      <c r="O15" s="350">
        <f>IF(O$3="","",IF(O5=入力データ!$C$110,入力データ!$C$37,0))</f>
        <v/>
      </c>
      <c r="P15" s="350">
        <f>IF(P$3="","",IF(P5=入力データ!$C$110,入力データ!$C$37,0))</f>
        <v/>
      </c>
      <c r="Q15" s="350">
        <f>IF(Q$3="","",IF(Q5=入力データ!$C$110,入力データ!$C$37,0))</f>
        <v/>
      </c>
      <c r="R15" s="350">
        <f>IF(R$3="","",IF(R5=入力データ!$C$110,入力データ!$C$37,0))</f>
        <v/>
      </c>
      <c r="S15" s="350">
        <f>IF(S$3="","",IF(S5=入力データ!$C$110,入力データ!$C$37,0))</f>
        <v/>
      </c>
      <c r="T15" s="350">
        <f>IF(T$3="","",IF(T5=入力データ!$C$110,入力データ!$C$37,0))</f>
        <v/>
      </c>
      <c r="U15" s="350">
        <f>IF(U$3="","",IF(U5=入力データ!$C$110,入力データ!$C$37,0))</f>
        <v/>
      </c>
      <c r="V15" s="350">
        <f>IF(V$3="","",IF(V5=入力データ!$C$110,入力データ!$C$37,0))</f>
        <v/>
      </c>
      <c r="W15" s="350">
        <f>IF(W$3="","",IF(W5=入力データ!$C$110,入力データ!$C$37,0))</f>
        <v/>
      </c>
      <c r="X15" s="350">
        <f>IF(X$3="","",IF(X5=入力データ!$C$110,入力データ!$C$37,0))</f>
        <v/>
      </c>
      <c r="Y15" s="350">
        <f>IF(Y$3="","",IF(Y5=入力データ!$C$110,入力データ!$C$37,0))</f>
        <v/>
      </c>
      <c r="Z15" s="350">
        <f>IF(Z$3="","",IF(Z5=入力データ!$C$110,入力データ!$C$37,0))</f>
        <v/>
      </c>
      <c r="AA15" s="350">
        <f>IF(AA$3="","",IF(AA5=入力データ!$C$110,入力データ!$C$37,0))</f>
        <v/>
      </c>
      <c r="AB15" s="350">
        <f>IF(AB$3="","",IF(AB5=入力データ!$C$110,入力データ!$C$37,0))</f>
        <v/>
      </c>
      <c r="AC15" s="350">
        <f>IF(AC$3="","",IF(AC5=入力データ!$C$110,入力データ!$C$37,0))</f>
        <v/>
      </c>
      <c r="AD15" s="350">
        <f>IF(AD$3="","",IF(AD5=入力データ!$C$110,入力データ!$C$37,0))</f>
        <v/>
      </c>
      <c r="AE15" s="350">
        <f>IF(AE$3="","",IF(AE5=入力データ!$C$110,入力データ!$C$37,0))</f>
        <v/>
      </c>
      <c r="AF15" s="350">
        <f>IF(AF$3="","",IF(AF5=入力データ!$C$110,入力データ!$C$37,0))</f>
        <v/>
      </c>
      <c r="AG15" s="350">
        <f>IF(AG$3="","",IF(AG5=入力データ!$C$110,入力データ!$C$37,0))</f>
        <v/>
      </c>
      <c r="AH15" s="350">
        <f>IF(AH$3="","",IF(AH5=入力データ!$C$110,入力データ!$C$37,0))</f>
        <v/>
      </c>
      <c r="AI15" s="350">
        <f>IF(AI$3="","",IF(AI5=入力データ!$C$110,入力データ!$C$37,0))</f>
        <v/>
      </c>
      <c r="AJ15" s="350">
        <f>IF(AJ$3="","",IF(AJ5=入力データ!$C$110,入力データ!$C$37,0))</f>
        <v/>
      </c>
      <c r="AK15" s="350">
        <f>IF(AK$3="","",IF(AK5=入力データ!$C$110,入力データ!$C$37,0))</f>
        <v/>
      </c>
      <c r="AL15" s="350">
        <f>IF(AL$3="","",IF(AL5=入力データ!$C$110,入力データ!$C$37,0))</f>
        <v/>
      </c>
      <c r="AM15" s="350">
        <f>IF(AM$3="","",IF(AM5=入力データ!$C$110,入力データ!$C$37,0))</f>
        <v/>
      </c>
      <c r="AN15" s="350">
        <f>IF(AN$3="","",IF(AN5=入力データ!$C$110,入力データ!$C$37,0))</f>
        <v/>
      </c>
      <c r="AO15" s="350">
        <f>IF(AO$3="","",IF(AO5=入力データ!$C$110,入力データ!$C$37,0))</f>
        <v/>
      </c>
      <c r="AP15" s="350">
        <f>IF(AP$3="","",IF(AP5=入力データ!$C$110,入力データ!$C$37,0))</f>
        <v/>
      </c>
      <c r="AQ15" s="350">
        <f>IF(AQ$3="","",IF(AQ5=入力データ!$C$110,入力データ!$C$37,0))</f>
        <v/>
      </c>
      <c r="AR15" s="350">
        <f>IF(AR$3="","",IF(AR5=入力データ!$C$110,入力データ!$C$37,0))</f>
        <v/>
      </c>
      <c r="AS15" s="350">
        <f>IF(AS$3="","",IF(AS5=入力データ!$C$110,入力データ!$C$37,0))</f>
        <v/>
      </c>
      <c r="AT15" s="350">
        <f>IF(AT$3="","",IF(AT5=入力データ!$C$110,入力データ!$C$37,0))</f>
        <v/>
      </c>
      <c r="AU15" s="350">
        <f>IF(AU$3="","",IF(AU5=入力データ!$C$110,入力データ!$C$37,0))</f>
        <v/>
      </c>
      <c r="AV15" s="350">
        <f>IF(AV$3="","",IF(AV5=入力データ!$C$110,入力データ!$C$37,0))</f>
        <v/>
      </c>
      <c r="AW15" s="350">
        <f>IF(AW$3="","",IF(AW5=入力データ!$C$110,入力データ!$C$37,0))</f>
        <v/>
      </c>
      <c r="AX15" s="350">
        <f>IF(AX$3="","",IF(AX5=入力データ!$C$110,入力データ!$C$37,0))</f>
        <v/>
      </c>
      <c r="AY15" s="350">
        <f>IF(AY$3="","",IF(AY5=入力データ!$C$110,入力データ!$C$37,0))</f>
        <v/>
      </c>
      <c r="AZ15" s="350">
        <f>IF(AZ$3="","",IF(AZ5=入力データ!$C$110,入力データ!$C$37,0))</f>
        <v/>
      </c>
      <c r="BA15" s="350">
        <f>IF(BA$3="","",IF(BA5=入力データ!$C$110,入力データ!$C$37,0))</f>
        <v/>
      </c>
      <c r="BB15" s="350">
        <f>IF(BB$3="","",IF(BB5=入力データ!$C$110,入力データ!$C$37,0))</f>
        <v/>
      </c>
      <c r="BC15" s="350">
        <f>IF(BC$3="","",IF(BC5=入力データ!$C$110,入力データ!$C$37,0))</f>
        <v/>
      </c>
      <c r="BD15" s="350">
        <f>IF(BD$3="","",IF(BD5=入力データ!$C$110,入力データ!$C$37,0))</f>
        <v/>
      </c>
      <c r="BE15" s="350">
        <f>IF(BE$3="","",IF(BE5=入力データ!$C$110,入力データ!$C$37,0))</f>
        <v/>
      </c>
      <c r="BF15" s="350">
        <f>IF(BF$3="","",IF(BF5=入力データ!$C$110,入力データ!$C$37,0))</f>
        <v/>
      </c>
      <c r="BG15" s="350">
        <f>IF(BG$3="","",IF(BG5=入力データ!$C$110,入力データ!$C$37,0))</f>
        <v/>
      </c>
      <c r="BH15" s="350">
        <f>IF(BH$3="","",IF(BH5=入力データ!$C$110,入力データ!$C$37,0))</f>
        <v/>
      </c>
      <c r="BI15" s="350">
        <f>IF(BI$3="","",IF(BI5=入力データ!$C$110,入力データ!$C$37,0))</f>
        <v/>
      </c>
      <c r="BJ15" s="350">
        <f>IF(BJ$3="","",IF(BJ5=入力データ!$C$110,入力データ!$C$37,0))</f>
        <v/>
      </c>
      <c r="BK15" s="350">
        <f>IF(BK$3="","",IF(BK5=入力データ!$C$110,入力データ!$C$37,0))</f>
        <v/>
      </c>
      <c r="BL15" s="350">
        <f>IF(BL$3="","",IF(BL5=入力データ!$C$110,入力データ!$C$37,0))</f>
        <v/>
      </c>
      <c r="BM15" s="350">
        <f>IF(BM$3="","",IF(BM5=入力データ!$C$110,入力データ!$C$37,0))</f>
        <v/>
      </c>
      <c r="BN15" s="350">
        <f>IF(BN$3="","",IF(BN5=入力データ!$C$110,入力データ!$C$37,0))</f>
        <v/>
      </c>
      <c r="BO15" s="350">
        <f>IF(BO$3="","",IF(BO5=入力データ!$C$110,入力データ!$C$37,0))</f>
        <v/>
      </c>
      <c r="BP15" s="350">
        <f>IF(BP$3="","",IF(BP5=入力データ!$C$110,入力データ!$C$37,0))</f>
        <v/>
      </c>
      <c r="BQ15" s="350">
        <f>IF(BQ$3="","",IF(BQ5=入力データ!$C$110,入力データ!$C$37,0))</f>
        <v/>
      </c>
      <c r="BR15" s="350">
        <f>IF(BR$3="","",IF(BR5=入力データ!$C$110,入力データ!$C$37,0))</f>
        <v/>
      </c>
      <c r="BS15" s="350">
        <f>IF(BS$3="","",IF(BS5=入力データ!$C$110,入力データ!$C$37,0))</f>
        <v/>
      </c>
      <c r="BT15" s="350">
        <f>IF(BT$3="","",IF(BT5=入力データ!$C$110,入力データ!$C$37,0))</f>
        <v/>
      </c>
      <c r="BU15" s="350">
        <f>IF(BU$3="","",IF(BU5=入力データ!$C$110,入力データ!$C$37,0))</f>
        <v/>
      </c>
      <c r="BV15" s="350">
        <f>IF(BV$3="","",IF(BV5=入力データ!$C$110,入力データ!$C$37,0))</f>
        <v/>
      </c>
      <c r="BW15" s="350">
        <f>IF(BW$3="","",IF(BW5=入力データ!$C$110,入力データ!$C$37,0))</f>
        <v/>
      </c>
      <c r="BX15" s="350">
        <f>IF(BX$3="","",IF(BX5=入力データ!$C$110,入力データ!$C$37,0))</f>
        <v/>
      </c>
      <c r="BY15" s="350">
        <f>IF(BY$3="","",IF(BY5=入力データ!$C$110,入力データ!$C$37,0))</f>
        <v/>
      </c>
      <c r="BZ15" s="350">
        <f>IF(BZ$3="","",IF(BZ5=入力データ!$C$110,入力データ!$C$37,0))</f>
        <v/>
      </c>
      <c r="CA15" s="350">
        <f>IF(CA$3="","",IF(CA5=入力データ!$C$110,入力データ!$C$37,0))</f>
        <v/>
      </c>
      <c r="CB15" s="350">
        <f>IF(CB$3="","",IF(CB5=入力データ!$C$110,入力データ!$C$37,0))</f>
        <v/>
      </c>
      <c r="CC15" s="350">
        <f>IF(CC$3="","",IF(CC5=入力データ!$C$110,入力データ!$C$37,0))</f>
        <v/>
      </c>
      <c r="CD15" s="350">
        <f>IF(CD$3="","",IF(CD5=入力データ!$C$110,入力データ!$C$37,0))</f>
        <v/>
      </c>
      <c r="CE15" s="350">
        <f>IF(CE$3="","",IF(CE5=入力データ!$C$110,入力データ!$C$37,0))</f>
        <v/>
      </c>
      <c r="CF15" s="350">
        <f>IF(CF$3="","",IF(CF5=入力データ!$C$110,入力データ!$C$37,0))</f>
        <v/>
      </c>
      <c r="CG15" s="350">
        <f>IF(CG$3="","",IF(CG5=入力データ!$C$110,入力データ!$C$37,0))</f>
        <v/>
      </c>
      <c r="CH15" s="350">
        <f>IF(CH$3="","",IF(CH5=入力データ!$C$110,入力データ!$C$37,0))</f>
        <v/>
      </c>
      <c r="CI15" s="350">
        <f>IF(CI$3="","",IF(CI5=入力データ!$C$110,入力データ!$C$37,0))</f>
        <v/>
      </c>
      <c r="CJ15" s="350">
        <f>IF(CJ$3="","",IF(CJ5=入力データ!$C$110,入力データ!$C$37,0))</f>
        <v/>
      </c>
      <c r="CK15" s="350">
        <f>IF(CK$3="","",IF(CK5=入力データ!$C$110,入力データ!$C$37,0))</f>
        <v/>
      </c>
      <c r="CL15" s="350">
        <f>IF(CL$3="","",IF(CL5=入力データ!$C$110,入力データ!$C$37,0))</f>
        <v/>
      </c>
      <c r="CM15" s="350">
        <f>IF(CM$3="","",IF(CM5=入力データ!$C$110,入力データ!$C$37,0))</f>
        <v/>
      </c>
      <c r="CN15" s="350">
        <f>IF(CN$3="","",IF(CN5=入力データ!$C$110,入力データ!$C$37,0))</f>
        <v/>
      </c>
      <c r="CO15" s="350">
        <f>IF(CO$3="","",IF(CO5=入力データ!$C$110,入力データ!$C$37,0))</f>
        <v/>
      </c>
      <c r="CP15" s="350">
        <f>IF(CP$3="","",IF(CP5=入力データ!$C$110,入力データ!$C$37,0))</f>
        <v/>
      </c>
      <c r="CQ15" s="350">
        <f>IF(CQ$3="","",IF(CQ5=入力データ!$C$110,入力データ!$C$37,0))</f>
        <v/>
      </c>
      <c r="CR15" s="350">
        <f>IF(CR$3="","",IF(CR5=入力データ!$C$110,入力データ!$C$37,0))</f>
        <v/>
      </c>
      <c r="CS15" s="350">
        <f>IF(CS$3="","",IF(CS5=入力データ!$C$110,入力データ!$C$37,0))</f>
        <v/>
      </c>
      <c r="CT15" s="350">
        <f>IF(CT$3="","",IF(CT5=入力データ!$C$110,入力データ!$C$37,0))</f>
        <v/>
      </c>
      <c r="CU15" s="350">
        <f>IF(CU$3="","",IF(CU5=入力データ!$C$110,入力データ!$C$37,0))</f>
        <v/>
      </c>
      <c r="CV15" s="350">
        <f>IF(CV$3="","",IF(CV5=入力データ!$C$110,入力データ!$C$37,0))</f>
        <v/>
      </c>
      <c r="CW15" s="350">
        <f>IF(CW$3="","",IF(CW5=入力データ!$C$110,入力データ!$C$37,0))</f>
        <v/>
      </c>
    </row>
    <row r="16" ht="15" customHeight="1" s="180">
      <c r="A16" s="220" t="inlineStr">
        <is>
          <t>ご主人様年金収入</t>
        </is>
      </c>
      <c r="B16" s="350">
        <f>IF(B$3="","",IF(B4&gt;=前提条件!$C$37,前提条件!$C$39*12,0))</f>
        <v/>
      </c>
      <c r="C16" s="350">
        <f>IF(C$3="","",IF(C4&gt;=前提条件!$C$37,前提条件!$C$39*12,0))</f>
        <v/>
      </c>
      <c r="D16" s="350">
        <f>IF(D$3="","",IF(D4&gt;=前提条件!$C$37,前提条件!$C$39*12,0))</f>
        <v/>
      </c>
      <c r="E16" s="350">
        <f>IF(E$3="","",IF(E4&gt;=前提条件!$C$37,前提条件!$C$39*12,0))</f>
        <v/>
      </c>
      <c r="F16" s="350">
        <f>IF(F$3="","",IF(F4&gt;=前提条件!$C$37,前提条件!$C$39*12,0))</f>
        <v/>
      </c>
      <c r="G16" s="350">
        <f>IF(G$3="","",IF(G4&gt;=前提条件!$C$37,前提条件!$C$39*12,0))</f>
        <v/>
      </c>
      <c r="H16" s="350">
        <f>IF(H$3="","",IF(H4&gt;=前提条件!$C$37,前提条件!$C$39*12,0))</f>
        <v/>
      </c>
      <c r="I16" s="350">
        <f>IF(I$3="","",IF(I4&gt;=前提条件!$C$37,前提条件!$C$39*12,0))</f>
        <v/>
      </c>
      <c r="J16" s="350">
        <f>IF(J$3="","",IF(J4&gt;=前提条件!$C$37,前提条件!$C$39*12,0))</f>
        <v/>
      </c>
      <c r="K16" s="350">
        <f>IF(K$3="","",IF(K4&gt;=前提条件!$C$37,前提条件!$C$39*12,0))</f>
        <v/>
      </c>
      <c r="L16" s="350">
        <f>IF(L$3="","",IF(L4&gt;=前提条件!$C$37,前提条件!$C$39*12,0))</f>
        <v/>
      </c>
      <c r="M16" s="350">
        <f>IF(M$3="","",IF(M4&gt;=前提条件!$C$37,前提条件!$C$39*12,0))</f>
        <v/>
      </c>
      <c r="N16" s="350">
        <f>IF(N$3="","",IF(N4&gt;=前提条件!$C$37,前提条件!$C$39*12,0))</f>
        <v/>
      </c>
      <c r="O16" s="350">
        <f>IF(O$3="","",IF(O4&gt;=前提条件!$C$37,前提条件!$C$39*12,0))</f>
        <v/>
      </c>
      <c r="P16" s="350">
        <f>IF(P$3="","",IF(P4&gt;=前提条件!$C$37,前提条件!$C$39*12,0))</f>
        <v/>
      </c>
      <c r="Q16" s="350">
        <f>IF(Q$3="","",IF(Q4&gt;=前提条件!$C$37,前提条件!$C$39*12,0))</f>
        <v/>
      </c>
      <c r="R16" s="350">
        <f>IF(R$3="","",IF(R4&gt;=前提条件!$C$37,前提条件!$C$39*12,0))</f>
        <v/>
      </c>
      <c r="S16" s="350">
        <f>IF(S$3="","",IF(S4&gt;=前提条件!$C$37,前提条件!$C$39*12,0))</f>
        <v/>
      </c>
      <c r="T16" s="350">
        <f>IF(T$3="","",IF(T4&gt;=前提条件!$C$37,前提条件!$C$39*12,0))</f>
        <v/>
      </c>
      <c r="U16" s="350">
        <f>IF(U$3="","",IF(U4&gt;=前提条件!$C$37,前提条件!$C$39*12,0))</f>
        <v/>
      </c>
      <c r="V16" s="350">
        <f>IF(V$3="","",IF(V4&gt;=前提条件!$C$37,前提条件!$C$39*12,0))</f>
        <v/>
      </c>
      <c r="W16" s="350">
        <f>IF(W$3="","",IF(W4&gt;=前提条件!$C$37,前提条件!$C$39*12,0))</f>
        <v/>
      </c>
      <c r="X16" s="350">
        <f>IF(X$3="","",IF(X4&gt;=前提条件!$C$37,前提条件!$C$39*12,0))</f>
        <v/>
      </c>
      <c r="Y16" s="350">
        <f>IF(Y$3="","",IF(Y4&gt;=前提条件!$C$37,前提条件!$C$39*12,0))</f>
        <v/>
      </c>
      <c r="Z16" s="350">
        <f>IF(Z$3="","",IF(Z4&gt;=前提条件!$C$37,前提条件!$C$39*12,0))</f>
        <v/>
      </c>
      <c r="AA16" s="350">
        <f>IF(AA$3="","",IF(AA4&gt;=前提条件!$C$37,前提条件!$C$39*12,0))</f>
        <v/>
      </c>
      <c r="AB16" s="350">
        <f>IF(AB$3="","",IF(AB4&gt;=前提条件!$C$37,前提条件!$C$39*12,0))</f>
        <v/>
      </c>
      <c r="AC16" s="350">
        <f>IF(AC$3="","",IF(AC4&gt;=前提条件!$C$37,前提条件!$C$39*12,0))</f>
        <v/>
      </c>
      <c r="AD16" s="350">
        <f>IF(AD$3="","",IF(AD4&gt;=前提条件!$C$37,前提条件!$C$39*12,0))</f>
        <v/>
      </c>
      <c r="AE16" s="350">
        <f>IF(AE$3="","",IF(AE4&gt;=前提条件!$C$37,前提条件!$C$39*12,0))</f>
        <v/>
      </c>
      <c r="AF16" s="350">
        <f>IF(AF$3="","",IF(AF4&gt;=前提条件!$C$37,前提条件!$C$39*12,0))</f>
        <v/>
      </c>
      <c r="AG16" s="350">
        <f>IF(AG$3="","",IF(AG4&gt;=前提条件!$C$37,前提条件!$C$39*12,0))</f>
        <v/>
      </c>
      <c r="AH16" s="350">
        <f>IF(AH$3="","",IF(AH4&gt;=前提条件!$C$37,前提条件!$C$39*12,0))</f>
        <v/>
      </c>
      <c r="AI16" s="350">
        <f>IF(AI$3="","",IF(AI4&gt;=前提条件!$C$37,前提条件!$C$39*12,0))</f>
        <v/>
      </c>
      <c r="AJ16" s="350">
        <f>IF(AJ$3="","",IF(AJ4&gt;=前提条件!$C$37,前提条件!$C$39*12,0))</f>
        <v/>
      </c>
      <c r="AK16" s="350">
        <f>IF(AK$3="","",IF(AK4&gt;=前提条件!$C$37,前提条件!$C$39*12,0))</f>
        <v/>
      </c>
      <c r="AL16" s="350">
        <f>IF(AL$3="","",IF(AL4&gt;=前提条件!$C$37,前提条件!$C$39*12,0))</f>
        <v/>
      </c>
      <c r="AM16" s="350">
        <f>IF(AM$3="","",IF(AM4&gt;=前提条件!$C$37,前提条件!$C$39*12,0))</f>
        <v/>
      </c>
      <c r="AN16" s="350">
        <f>IF(AN$3="","",IF(AN4&gt;=前提条件!$C$37,前提条件!$C$39*12,0))</f>
        <v/>
      </c>
      <c r="AO16" s="350">
        <f>IF(AO$3="","",IF(AO4&gt;=前提条件!$C$37,前提条件!$C$39*12,0))</f>
        <v/>
      </c>
      <c r="AP16" s="350">
        <f>IF(AP$3="","",IF(AP4&gt;=前提条件!$C$37,前提条件!$C$39*12,0))</f>
        <v/>
      </c>
      <c r="AQ16" s="350">
        <f>IF(AQ$3="","",IF(AQ4&gt;=前提条件!$C$37,前提条件!$C$39*12,0))</f>
        <v/>
      </c>
      <c r="AR16" s="350">
        <f>IF(AR$3="","",IF(AR4&gt;=前提条件!$C$37,前提条件!$C$39*12,0))</f>
        <v/>
      </c>
      <c r="AS16" s="350">
        <f>IF(AS$3="","",IF(AS4&gt;=前提条件!$C$37,前提条件!$C$39*12,0))</f>
        <v/>
      </c>
      <c r="AT16" s="350">
        <f>IF(AT$3="","",IF(AT4&gt;=前提条件!$C$37,前提条件!$C$39*12,0))</f>
        <v/>
      </c>
      <c r="AU16" s="350">
        <f>IF(AU$3="","",IF(AU4&gt;=前提条件!$C$37,前提条件!$C$39*12,0))</f>
        <v/>
      </c>
      <c r="AV16" s="350">
        <f>IF(AV$3="","",IF(AV4&gt;=前提条件!$C$37,前提条件!$C$39*12,0))</f>
        <v/>
      </c>
      <c r="AW16" s="350">
        <f>IF(AW$3="","",IF(AW4&gt;=前提条件!$C$37,前提条件!$C$39*12,0))</f>
        <v/>
      </c>
      <c r="AX16" s="350">
        <f>IF(AX$3="","",IF(AX4&gt;=前提条件!$C$37,前提条件!$C$39*12,0))</f>
        <v/>
      </c>
      <c r="AY16" s="350">
        <f>IF(AY$3="","",IF(AY4&gt;=前提条件!$C$37,前提条件!$C$39*12,0))</f>
        <v/>
      </c>
      <c r="AZ16" s="350">
        <f>IF(AZ$3="","",IF(AZ4&gt;=前提条件!$C$37,前提条件!$C$39*12,0))</f>
        <v/>
      </c>
      <c r="BA16" s="350">
        <f>IF(BA$3="","",IF(BA4&gt;=前提条件!$C$37,前提条件!$C$39*12,0))</f>
        <v/>
      </c>
      <c r="BB16" s="350">
        <f>IF(BB$3="","",IF(BB4&gt;=前提条件!$C$37,前提条件!$C$39*12,0))</f>
        <v/>
      </c>
      <c r="BC16" s="350">
        <f>IF(BC$3="","",IF(BC4&gt;=前提条件!$C$37,前提条件!$C$39*12,0))</f>
        <v/>
      </c>
      <c r="BD16" s="350">
        <f>IF(BD$3="","",IF(BD4&gt;=前提条件!$C$37,前提条件!$C$39*12,0))</f>
        <v/>
      </c>
      <c r="BE16" s="350">
        <f>IF(BE$3="","",IF(BE4&gt;=前提条件!$C$37,前提条件!$C$39*12,0))</f>
        <v/>
      </c>
      <c r="BF16" s="350">
        <f>IF(BF$3="","",IF(BF4&gt;=前提条件!$C$37,前提条件!$C$39*12,0))</f>
        <v/>
      </c>
      <c r="BG16" s="350">
        <f>IF(BG$3="","",IF(BG4&gt;=前提条件!$C$37,前提条件!$C$39*12,0))</f>
        <v/>
      </c>
      <c r="BH16" s="350">
        <f>IF(BH$3="","",IF(BH4&gt;=前提条件!$C$37,前提条件!$C$39*12,0))</f>
        <v/>
      </c>
      <c r="BI16" s="350">
        <f>IF(BI$3="","",IF(BI4&gt;=前提条件!$C$37,前提条件!$C$39*12,0))</f>
        <v/>
      </c>
      <c r="BJ16" s="350">
        <f>IF(BJ$3="","",IF(BJ4&gt;=前提条件!$C$37,前提条件!$C$39*12,0))</f>
        <v/>
      </c>
      <c r="BK16" s="350">
        <f>IF(BK$3="","",IF(BK4&gt;=前提条件!$C$37,前提条件!$C$39*12,0))</f>
        <v/>
      </c>
      <c r="BL16" s="350">
        <f>IF(BL$3="","",IF(BL4&gt;=前提条件!$C$37,前提条件!$C$39*12,0))</f>
        <v/>
      </c>
      <c r="BM16" s="350">
        <f>IF(BM$3="","",IF(BM4&gt;=前提条件!$C$37,前提条件!$C$39*12,0))</f>
        <v/>
      </c>
      <c r="BN16" s="350">
        <f>IF(BN$3="","",IF(BN4&gt;=前提条件!$C$37,前提条件!$C$39*12,0))</f>
        <v/>
      </c>
      <c r="BO16" s="350">
        <f>IF(BO$3="","",IF(BO4&gt;=前提条件!$C$37,前提条件!$C$39*12,0))</f>
        <v/>
      </c>
      <c r="BP16" s="350">
        <f>IF(BP$3="","",IF(BP4&gt;=前提条件!$C$37,前提条件!$C$39*12,0))</f>
        <v/>
      </c>
      <c r="BQ16" s="350">
        <f>IF(BQ$3="","",IF(BQ4&gt;=前提条件!$C$37,前提条件!$C$39*12,0))</f>
        <v/>
      </c>
      <c r="BR16" s="350">
        <f>IF(BR$3="","",IF(BR4&gt;=前提条件!$C$37,前提条件!$C$39*12,0))</f>
        <v/>
      </c>
      <c r="BS16" s="350">
        <f>IF(BS$3="","",IF(BS4&gt;=前提条件!$C$37,前提条件!$C$39*12,0))</f>
        <v/>
      </c>
      <c r="BT16" s="350">
        <f>IF(BT$3="","",IF(BT4&gt;=前提条件!$C$37,前提条件!$C$39*12,0))</f>
        <v/>
      </c>
      <c r="BU16" s="350">
        <f>IF(BU$3="","",IF(BU4&gt;=前提条件!$C$37,前提条件!$C$39*12,0))</f>
        <v/>
      </c>
      <c r="BV16" s="350">
        <f>IF(BV$3="","",IF(BV4&gt;=前提条件!$C$37,前提条件!$C$39*12,0))</f>
        <v/>
      </c>
      <c r="BW16" s="350">
        <f>IF(BW$3="","",IF(BW4&gt;=前提条件!$C$37,前提条件!$C$39*12,0))</f>
        <v/>
      </c>
      <c r="BX16" s="350">
        <f>IF(BX$3="","",IF(BX4&gt;=前提条件!$C$37,前提条件!$C$39*12,0))</f>
        <v/>
      </c>
      <c r="BY16" s="350">
        <f>IF(BY$3="","",IF(BY4&gt;=前提条件!$C$37,前提条件!$C$39*12,0))</f>
        <v/>
      </c>
      <c r="BZ16" s="350">
        <f>IF(BZ$3="","",IF(BZ4&gt;=前提条件!$C$37,前提条件!$C$39*12,0))</f>
        <v/>
      </c>
      <c r="CA16" s="350">
        <f>IF(CA$3="","",IF(CA4&gt;=前提条件!$C$37,前提条件!$C$39*12,0))</f>
        <v/>
      </c>
      <c r="CB16" s="350">
        <f>IF(CB$3="","",IF(CB4&gt;=前提条件!$C$37,前提条件!$C$39*12,0))</f>
        <v/>
      </c>
      <c r="CC16" s="350">
        <f>IF(CC$3="","",IF(CC4&gt;=前提条件!$C$37,前提条件!$C$39*12,0))</f>
        <v/>
      </c>
      <c r="CD16" s="350">
        <f>IF(CD$3="","",IF(CD4&gt;=前提条件!$C$37,前提条件!$C$39*12,0))</f>
        <v/>
      </c>
      <c r="CE16" s="350">
        <f>IF(CE$3="","",IF(CE4&gt;=前提条件!$C$37,前提条件!$C$39*12,0))</f>
        <v/>
      </c>
      <c r="CF16" s="350">
        <f>IF(CF$3="","",IF(CF4&gt;=前提条件!$C$37,前提条件!$C$39*12,0))</f>
        <v/>
      </c>
      <c r="CG16" s="350">
        <f>IF(CG$3="","",IF(CG4&gt;=前提条件!$C$37,前提条件!$C$39*12,0))</f>
        <v/>
      </c>
      <c r="CH16" s="350">
        <f>IF(CH$3="","",IF(CH4&gt;=前提条件!$C$37,前提条件!$C$39*12,0))</f>
        <v/>
      </c>
      <c r="CI16" s="350">
        <f>IF(CI$3="","",IF(CI4&gt;=前提条件!$C$37,前提条件!$C$39*12,0))</f>
        <v/>
      </c>
      <c r="CJ16" s="350">
        <f>IF(CJ$3="","",IF(CJ4&gt;=前提条件!$C$37,前提条件!$C$39*12,0))</f>
        <v/>
      </c>
      <c r="CK16" s="350">
        <f>IF(CK$3="","",IF(CK4&gt;=前提条件!$C$37,前提条件!$C$39*12,0))</f>
        <v/>
      </c>
      <c r="CL16" s="350">
        <f>IF(CL$3="","",IF(CL4&gt;=前提条件!$C$37,前提条件!$C$39*12,0))</f>
        <v/>
      </c>
      <c r="CM16" s="350">
        <f>IF(CM$3="","",IF(CM4&gt;=前提条件!$C$37,前提条件!$C$39*12,0))</f>
        <v/>
      </c>
      <c r="CN16" s="350">
        <f>IF(CN$3="","",IF(CN4&gt;=前提条件!$C$37,前提条件!$C$39*12,0))</f>
        <v/>
      </c>
      <c r="CO16" s="350">
        <f>IF(CO$3="","",IF(CO4&gt;=前提条件!$C$37,前提条件!$C$39*12,0))</f>
        <v/>
      </c>
      <c r="CP16" s="350">
        <f>IF(CP$3="","",IF(CP4&gt;=前提条件!$C$37,前提条件!$C$39*12,0))</f>
        <v/>
      </c>
      <c r="CQ16" s="350">
        <f>IF(CQ$3="","",IF(CQ4&gt;=前提条件!$C$37,前提条件!$C$39*12,0))</f>
        <v/>
      </c>
      <c r="CR16" s="350">
        <f>IF(CR$3="","",IF(CR4&gt;=前提条件!$C$37,前提条件!$C$39*12,0))</f>
        <v/>
      </c>
      <c r="CS16" s="350">
        <f>IF(CS$3="","",IF(CS4&gt;=前提条件!$C$37,前提条件!$C$39*12,0))</f>
        <v/>
      </c>
      <c r="CT16" s="350">
        <f>IF(CT$3="","",IF(CT4&gt;=前提条件!$C$37,前提条件!$C$39*12,0))</f>
        <v/>
      </c>
      <c r="CU16" s="350">
        <f>IF(CU$3="","",IF(CU4&gt;=前提条件!$C$37,前提条件!$C$39*12,0))</f>
        <v/>
      </c>
      <c r="CV16" s="350">
        <f>IF(CV$3="","",IF(CV4&gt;=前提条件!$C$37,前提条件!$C$39*12,0))</f>
        <v/>
      </c>
      <c r="CW16" s="350">
        <f>IF(CW$3="","",IF(CW4&gt;=前提条件!$C$37,前提条件!$C$39*12,0))</f>
        <v/>
      </c>
    </row>
    <row r="17" ht="15" customHeight="1" s="180">
      <c r="A17" s="220" t="inlineStr">
        <is>
          <t>奥様年金収入</t>
        </is>
      </c>
      <c r="B17" s="350">
        <f>IF(B$3="","",IF(B5&gt;=前提条件!$C$38,前提条件!$C$40*12,0))</f>
        <v/>
      </c>
      <c r="C17" s="350">
        <f>IF(C$3="","",IF(C5&gt;=前提条件!$C$38,前提条件!$C$40*12,0))</f>
        <v/>
      </c>
      <c r="D17" s="350">
        <f>IF(D$3="","",IF(D5&gt;=前提条件!$C$38,前提条件!$C$40*12,0))</f>
        <v/>
      </c>
      <c r="E17" s="350">
        <f>IF(E$3="","",IF(E5&gt;=前提条件!$C$38,前提条件!$C$40*12,0))</f>
        <v/>
      </c>
      <c r="F17" s="350">
        <f>IF(F$3="","",IF(F5&gt;=前提条件!$C$38,前提条件!$C$40*12,0))</f>
        <v/>
      </c>
      <c r="G17" s="350">
        <f>IF(G$3="","",IF(G5&gt;=前提条件!$C$38,前提条件!$C$40*12,0))</f>
        <v/>
      </c>
      <c r="H17" s="350">
        <f>IF(H$3="","",IF(H5&gt;=前提条件!$C$38,前提条件!$C$40*12,0))</f>
        <v/>
      </c>
      <c r="I17" s="350">
        <f>IF(I$3="","",IF(I5&gt;=前提条件!$C$38,前提条件!$C$40*12,0))</f>
        <v/>
      </c>
      <c r="J17" s="350">
        <f>IF(J$3="","",IF(J5&gt;=前提条件!$C$38,前提条件!$C$40*12,0))</f>
        <v/>
      </c>
      <c r="K17" s="350">
        <f>IF(K$3="","",IF(K5&gt;=前提条件!$C$38,前提条件!$C$40*12,0))</f>
        <v/>
      </c>
      <c r="L17" s="350">
        <f>IF(L$3="","",IF(L5&gt;=前提条件!$C$38,前提条件!$C$40*12,0))</f>
        <v/>
      </c>
      <c r="M17" s="350">
        <f>IF(M$3="","",IF(M5&gt;=前提条件!$C$38,前提条件!$C$40*12,0))</f>
        <v/>
      </c>
      <c r="N17" s="350">
        <f>IF(N$3="","",IF(N5&gt;=前提条件!$C$38,前提条件!$C$40*12,0))</f>
        <v/>
      </c>
      <c r="O17" s="350">
        <f>IF(O$3="","",IF(O5&gt;=前提条件!$C$38,前提条件!$C$40*12,0))</f>
        <v/>
      </c>
      <c r="P17" s="350">
        <f>IF(P$3="","",IF(P5&gt;=前提条件!$C$38,前提条件!$C$40*12,0))</f>
        <v/>
      </c>
      <c r="Q17" s="350">
        <f>IF(Q$3="","",IF(Q5&gt;=前提条件!$C$38,前提条件!$C$40*12,0))</f>
        <v/>
      </c>
      <c r="R17" s="350">
        <f>IF(R$3="","",IF(R5&gt;=前提条件!$C$38,前提条件!$C$40*12,0))</f>
        <v/>
      </c>
      <c r="S17" s="350">
        <f>IF(S$3="","",IF(S5&gt;=前提条件!$C$38,前提条件!$C$40*12,0))</f>
        <v/>
      </c>
      <c r="T17" s="350">
        <f>IF(T$3="","",IF(T5&gt;=前提条件!$C$38,前提条件!$C$40*12,0))</f>
        <v/>
      </c>
      <c r="U17" s="350">
        <f>IF(U$3="","",IF(U5&gt;=前提条件!$C$38,前提条件!$C$40*12,0))</f>
        <v/>
      </c>
      <c r="V17" s="350">
        <f>IF(V$3="","",IF(V5&gt;=前提条件!$C$38,前提条件!$C$40*12,0))</f>
        <v/>
      </c>
      <c r="W17" s="350">
        <f>IF(W$3="","",IF(W5&gt;=前提条件!$C$38,前提条件!$C$40*12,0))</f>
        <v/>
      </c>
      <c r="X17" s="350">
        <f>IF(X$3="","",IF(X5&gt;=前提条件!$C$38,前提条件!$C$40*12,0))</f>
        <v/>
      </c>
      <c r="Y17" s="350">
        <f>IF(Y$3="","",IF(Y5&gt;=前提条件!$C$38,前提条件!$C$40*12,0))</f>
        <v/>
      </c>
      <c r="Z17" s="350">
        <f>IF(Z$3="","",IF(Z5&gt;=前提条件!$C$38,前提条件!$C$40*12,0))</f>
        <v/>
      </c>
      <c r="AA17" s="350">
        <f>IF(AA$3="","",IF(AA5&gt;=前提条件!$C$38,前提条件!$C$40*12,0))</f>
        <v/>
      </c>
      <c r="AB17" s="350">
        <f>IF(AB$3="","",IF(AB5&gt;=前提条件!$C$38,前提条件!$C$40*12,0))</f>
        <v/>
      </c>
      <c r="AC17" s="350">
        <f>IF(AC$3="","",IF(AC5&gt;=前提条件!$C$38,前提条件!$C$40*12,0))</f>
        <v/>
      </c>
      <c r="AD17" s="350">
        <f>IF(AD$3="","",IF(AD5&gt;=前提条件!$C$38,前提条件!$C$40*12,0))</f>
        <v/>
      </c>
      <c r="AE17" s="350">
        <f>IF(AE$3="","",IF(AE5&gt;=前提条件!$C$38,前提条件!$C$40*12,0))</f>
        <v/>
      </c>
      <c r="AF17" s="350">
        <f>IF(AF$3="","",IF(AF5&gt;=前提条件!$C$38,前提条件!$C$40*12,0))</f>
        <v/>
      </c>
      <c r="AG17" s="350">
        <f>IF(AG$3="","",IF(AG5&gt;=前提条件!$C$38,前提条件!$C$40*12,0))</f>
        <v/>
      </c>
      <c r="AH17" s="350">
        <f>IF(AH$3="","",IF(AH5&gt;=前提条件!$C$38,前提条件!$C$40*12,0))</f>
        <v/>
      </c>
      <c r="AI17" s="350">
        <f>IF(AI$3="","",IF(AI5&gt;=前提条件!$C$38,前提条件!$C$40*12,0))</f>
        <v/>
      </c>
      <c r="AJ17" s="350">
        <f>IF(AJ$3="","",IF(AJ5&gt;=前提条件!$C$38,前提条件!$C$40*12,0))</f>
        <v/>
      </c>
      <c r="AK17" s="350">
        <f>IF(AK$3="","",IF(AK5&gt;=前提条件!$C$38,前提条件!$C$40*12,0))</f>
        <v/>
      </c>
      <c r="AL17" s="350">
        <f>IF(AL$3="","",IF(AL5&gt;=前提条件!$C$38,前提条件!$C$40*12,0))</f>
        <v/>
      </c>
      <c r="AM17" s="350">
        <f>IF(AM$3="","",IF(AM5&gt;=前提条件!$C$38,前提条件!$C$40*12,0))</f>
        <v/>
      </c>
      <c r="AN17" s="350">
        <f>IF(AN$3="","",IF(AN5&gt;=前提条件!$C$38,前提条件!$C$40*12,0))</f>
        <v/>
      </c>
      <c r="AO17" s="350">
        <f>IF(AO$3="","",IF(AO5&gt;=前提条件!$C$38,前提条件!$C$40*12,0))</f>
        <v/>
      </c>
      <c r="AP17" s="350">
        <f>IF(AP$3="","",IF(AP5&gt;=前提条件!$C$38,前提条件!$C$40*12,0))</f>
        <v/>
      </c>
      <c r="AQ17" s="350">
        <f>IF(AQ$3="","",IF(AQ5&gt;=前提条件!$C$38,前提条件!$C$40*12,0))</f>
        <v/>
      </c>
      <c r="AR17" s="350">
        <f>IF(AR$3="","",IF(AR5&gt;=前提条件!$C$38,前提条件!$C$40*12,0))</f>
        <v/>
      </c>
      <c r="AS17" s="350">
        <f>IF(AS$3="","",IF(AS5&gt;=前提条件!$C$38,前提条件!$C$40*12,0))</f>
        <v/>
      </c>
      <c r="AT17" s="350">
        <f>IF(AT$3="","",IF(AT5&gt;=前提条件!$C$38,前提条件!$C$40*12,0))</f>
        <v/>
      </c>
      <c r="AU17" s="350">
        <f>IF(AU$3="","",IF(AU5&gt;=前提条件!$C$38,前提条件!$C$40*12,0))</f>
        <v/>
      </c>
      <c r="AV17" s="350">
        <f>IF(AV$3="","",IF(AV5&gt;=前提条件!$C$38,前提条件!$C$40*12,0))</f>
        <v/>
      </c>
      <c r="AW17" s="350">
        <f>IF(AW$3="","",IF(AW5&gt;=前提条件!$C$38,前提条件!$C$40*12,0))</f>
        <v/>
      </c>
      <c r="AX17" s="350">
        <f>IF(AX$3="","",IF(AX5&gt;=前提条件!$C$38,前提条件!$C$40*12,0))</f>
        <v/>
      </c>
      <c r="AY17" s="350">
        <f>IF(AY$3="","",IF(AY5&gt;=前提条件!$C$38,前提条件!$C$40*12,0))</f>
        <v/>
      </c>
      <c r="AZ17" s="350">
        <f>IF(AZ$3="","",IF(AZ5&gt;=前提条件!$C$38,前提条件!$C$40*12,0))</f>
        <v/>
      </c>
      <c r="BA17" s="350">
        <f>IF(BA$3="","",IF(BA5&gt;=前提条件!$C$38,前提条件!$C$40*12,0))</f>
        <v/>
      </c>
      <c r="BB17" s="350">
        <f>IF(BB$3="","",IF(BB5&gt;=前提条件!$C$38,前提条件!$C$40*12,0))</f>
        <v/>
      </c>
      <c r="BC17" s="350">
        <f>IF(BC$3="","",IF(BC5&gt;=前提条件!$C$38,前提条件!$C$40*12,0))</f>
        <v/>
      </c>
      <c r="BD17" s="350">
        <f>IF(BD$3="","",IF(BD5&gt;=前提条件!$C$38,前提条件!$C$40*12,0))</f>
        <v/>
      </c>
      <c r="BE17" s="350">
        <f>IF(BE$3="","",IF(BE5&gt;=前提条件!$C$38,前提条件!$C$40*12,0))</f>
        <v/>
      </c>
      <c r="BF17" s="350">
        <f>IF(BF$3="","",IF(BF5&gt;=前提条件!$C$38,前提条件!$C$40*12,0))</f>
        <v/>
      </c>
      <c r="BG17" s="350">
        <f>IF(BG$3="","",IF(BG5&gt;=前提条件!$C$38,前提条件!$C$40*12,0))</f>
        <v/>
      </c>
      <c r="BH17" s="350">
        <f>IF(BH$3="","",IF(BH5&gt;=前提条件!$C$38,前提条件!$C$40*12,0))</f>
        <v/>
      </c>
      <c r="BI17" s="350">
        <f>IF(BI$3="","",IF(BI5&gt;=前提条件!$C$38,前提条件!$C$40*12,0))</f>
        <v/>
      </c>
      <c r="BJ17" s="350">
        <f>IF(BJ$3="","",IF(BJ5&gt;=前提条件!$C$38,前提条件!$C$40*12,0))</f>
        <v/>
      </c>
      <c r="BK17" s="350">
        <f>IF(BK$3="","",IF(BK5&gt;=前提条件!$C$38,前提条件!$C$40*12,0))</f>
        <v/>
      </c>
      <c r="BL17" s="350">
        <f>IF(BL$3="","",IF(BL5&gt;=前提条件!$C$38,前提条件!$C$40*12,0))</f>
        <v/>
      </c>
      <c r="BM17" s="350">
        <f>IF(BM$3="","",IF(BM5&gt;=前提条件!$C$38,前提条件!$C$40*12,0))</f>
        <v/>
      </c>
      <c r="BN17" s="350">
        <f>IF(BN$3="","",IF(BN5&gt;=前提条件!$C$38,前提条件!$C$40*12,0))</f>
        <v/>
      </c>
      <c r="BO17" s="350">
        <f>IF(BO$3="","",IF(BO5&gt;=前提条件!$C$38,前提条件!$C$40*12,0))</f>
        <v/>
      </c>
      <c r="BP17" s="350">
        <f>IF(BP$3="","",IF(BP5&gt;=前提条件!$C$38,前提条件!$C$40*12,0))</f>
        <v/>
      </c>
      <c r="BQ17" s="350">
        <f>IF(BQ$3="","",IF(BQ5&gt;=前提条件!$C$38,前提条件!$C$40*12,0))</f>
        <v/>
      </c>
      <c r="BR17" s="350">
        <f>IF(BR$3="","",IF(BR5&gt;=前提条件!$C$38,前提条件!$C$40*12,0))</f>
        <v/>
      </c>
      <c r="BS17" s="350">
        <f>IF(BS$3="","",IF(BS5&gt;=前提条件!$C$38,前提条件!$C$40*12,0))</f>
        <v/>
      </c>
      <c r="BT17" s="350">
        <f>IF(BT$3="","",IF(BT5&gt;=前提条件!$C$38,前提条件!$C$40*12,0))</f>
        <v/>
      </c>
      <c r="BU17" s="350">
        <f>IF(BU$3="","",IF(BU5&gt;=前提条件!$C$38,前提条件!$C$40*12,0))</f>
        <v/>
      </c>
      <c r="BV17" s="350">
        <f>IF(BV$3="","",IF(BV5&gt;=前提条件!$C$38,前提条件!$C$40*12,0))</f>
        <v/>
      </c>
      <c r="BW17" s="350">
        <f>IF(BW$3="","",IF(BW5&gt;=前提条件!$C$38,前提条件!$C$40*12,0))</f>
        <v/>
      </c>
      <c r="BX17" s="350">
        <f>IF(BX$3="","",IF(BX5&gt;=前提条件!$C$38,前提条件!$C$40*12,0))</f>
        <v/>
      </c>
      <c r="BY17" s="350">
        <f>IF(BY$3="","",IF(BY5&gt;=前提条件!$C$38,前提条件!$C$40*12,0))</f>
        <v/>
      </c>
      <c r="BZ17" s="350">
        <f>IF(BZ$3="","",IF(BZ5&gt;=前提条件!$C$38,前提条件!$C$40*12,0))</f>
        <v/>
      </c>
      <c r="CA17" s="350">
        <f>IF(CA$3="","",IF(CA5&gt;=前提条件!$C$38,前提条件!$C$40*12,0))</f>
        <v/>
      </c>
      <c r="CB17" s="350">
        <f>IF(CB$3="","",IF(CB5&gt;=前提条件!$C$38,前提条件!$C$40*12,0))</f>
        <v/>
      </c>
      <c r="CC17" s="350">
        <f>IF(CC$3="","",IF(CC5&gt;=前提条件!$C$38,前提条件!$C$40*12,0))</f>
        <v/>
      </c>
      <c r="CD17" s="350">
        <f>IF(CD$3="","",IF(CD5&gt;=前提条件!$C$38,前提条件!$C$40*12,0))</f>
        <v/>
      </c>
      <c r="CE17" s="350">
        <f>IF(CE$3="","",IF(CE5&gt;=前提条件!$C$38,前提条件!$C$40*12,0))</f>
        <v/>
      </c>
      <c r="CF17" s="350">
        <f>IF(CF$3="","",IF(CF5&gt;=前提条件!$C$38,前提条件!$C$40*12,0))</f>
        <v/>
      </c>
      <c r="CG17" s="350">
        <f>IF(CG$3="","",IF(CG5&gt;=前提条件!$C$38,前提条件!$C$40*12,0))</f>
        <v/>
      </c>
      <c r="CH17" s="350">
        <f>IF(CH$3="","",IF(CH5&gt;=前提条件!$C$38,前提条件!$C$40*12,0))</f>
        <v/>
      </c>
      <c r="CI17" s="350">
        <f>IF(CI$3="","",IF(CI5&gt;=前提条件!$C$38,前提条件!$C$40*12,0))</f>
        <v/>
      </c>
      <c r="CJ17" s="350">
        <f>IF(CJ$3="","",IF(CJ5&gt;=前提条件!$C$38,前提条件!$C$40*12,0))</f>
        <v/>
      </c>
      <c r="CK17" s="350">
        <f>IF(CK$3="","",IF(CK5&gt;=前提条件!$C$38,前提条件!$C$40*12,0))</f>
        <v/>
      </c>
      <c r="CL17" s="350">
        <f>IF(CL$3="","",IF(CL5&gt;=前提条件!$C$38,前提条件!$C$40*12,0))</f>
        <v/>
      </c>
      <c r="CM17" s="350">
        <f>IF(CM$3="","",IF(CM5&gt;=前提条件!$C$38,前提条件!$C$40*12,0))</f>
        <v/>
      </c>
      <c r="CN17" s="350">
        <f>IF(CN$3="","",IF(CN5&gt;=前提条件!$C$38,前提条件!$C$40*12,0))</f>
        <v/>
      </c>
      <c r="CO17" s="350">
        <f>IF(CO$3="","",IF(CO5&gt;=前提条件!$C$38,前提条件!$C$40*12,0))</f>
        <v/>
      </c>
      <c r="CP17" s="350">
        <f>IF(CP$3="","",IF(CP5&gt;=前提条件!$C$38,前提条件!$C$40*12,0))</f>
        <v/>
      </c>
      <c r="CQ17" s="350">
        <f>IF(CQ$3="","",IF(CQ5&gt;=前提条件!$C$38,前提条件!$C$40*12,0))</f>
        <v/>
      </c>
      <c r="CR17" s="350">
        <f>IF(CR$3="","",IF(CR5&gt;=前提条件!$C$38,前提条件!$C$40*12,0))</f>
        <v/>
      </c>
      <c r="CS17" s="350">
        <f>IF(CS$3="","",IF(CS5&gt;=前提条件!$C$38,前提条件!$C$40*12,0))</f>
        <v/>
      </c>
      <c r="CT17" s="350">
        <f>IF(CT$3="","",IF(CT5&gt;=前提条件!$C$38,前提条件!$C$40*12,0))</f>
        <v/>
      </c>
      <c r="CU17" s="350">
        <f>IF(CU$3="","",IF(CU5&gt;=前提条件!$C$38,前提条件!$C$40*12,0))</f>
        <v/>
      </c>
      <c r="CV17" s="350">
        <f>IF(CV$3="","",IF(CV5&gt;=前提条件!$C$38,前提条件!$C$40*12,0))</f>
        <v/>
      </c>
      <c r="CW17" s="350">
        <f>IF(CW$3="","",IF(CW5&gt;=前提条件!$C$38,前提条件!$C$40*12,0))</f>
        <v/>
      </c>
    </row>
    <row r="18" ht="15" customHeight="1" s="180">
      <c r="A18" s="222" t="inlineStr">
        <is>
          <t>世帯収入合計</t>
        </is>
      </c>
      <c r="B18" s="351">
        <f>IF(B$3="","",SUM(B10:B17))</f>
        <v/>
      </c>
      <c r="C18" s="351">
        <f>IF(C$3="","",SUM(C10:C17))</f>
        <v/>
      </c>
      <c r="D18" s="351">
        <f>IF(D$3="","",SUM(D10:D17))</f>
        <v/>
      </c>
      <c r="E18" s="351">
        <f>IF(E$3="","",SUM(E10:E17))</f>
        <v/>
      </c>
      <c r="F18" s="351">
        <f>IF(F$3="","",SUM(F10:F17))</f>
        <v/>
      </c>
      <c r="G18" s="351">
        <f>IF(G$3="","",SUM(G10:G17))</f>
        <v/>
      </c>
      <c r="H18" s="351">
        <f>IF(H$3="","",SUM(H10:H17))</f>
        <v/>
      </c>
      <c r="I18" s="351">
        <f>IF(I$3="","",SUM(I10:I17))</f>
        <v/>
      </c>
      <c r="J18" s="351">
        <f>IF(J$3="","",SUM(J10:J17))</f>
        <v/>
      </c>
      <c r="K18" s="351">
        <f>IF(K$3="","",SUM(K10:K17))</f>
        <v/>
      </c>
      <c r="L18" s="351">
        <f>IF(L$3="","",SUM(L10:L17))</f>
        <v/>
      </c>
      <c r="M18" s="351">
        <f>IF(M$3="","",SUM(M10:M17))</f>
        <v/>
      </c>
      <c r="N18" s="351">
        <f>IF(N$3="","",SUM(N10:N17))</f>
        <v/>
      </c>
      <c r="O18" s="351">
        <f>IF(O$3="","",SUM(O10:O17))</f>
        <v/>
      </c>
      <c r="P18" s="351">
        <f>IF(P$3="","",SUM(P10:P17))</f>
        <v/>
      </c>
      <c r="Q18" s="351">
        <f>IF(Q$3="","",SUM(Q10:Q17))</f>
        <v/>
      </c>
      <c r="R18" s="351">
        <f>IF(R$3="","",SUM(R10:R17))</f>
        <v/>
      </c>
      <c r="S18" s="351">
        <f>IF(S$3="","",SUM(S10:S17))</f>
        <v/>
      </c>
      <c r="T18" s="351">
        <f>IF(T$3="","",SUM(T10:T17))</f>
        <v/>
      </c>
      <c r="U18" s="351">
        <f>IF(U$3="","",SUM(U10:U17))</f>
        <v/>
      </c>
      <c r="V18" s="351">
        <f>IF(V$3="","",SUM(V10:V17))</f>
        <v/>
      </c>
      <c r="W18" s="351">
        <f>IF(W$3="","",SUM(W10:W17))</f>
        <v/>
      </c>
      <c r="X18" s="351">
        <f>IF(X$3="","",SUM(X10:X17))</f>
        <v/>
      </c>
      <c r="Y18" s="351">
        <f>IF(Y$3="","",SUM(Y10:Y17))</f>
        <v/>
      </c>
      <c r="Z18" s="351">
        <f>IF(Z$3="","",SUM(Z10:Z17))</f>
        <v/>
      </c>
      <c r="AA18" s="351">
        <f>IF(AA$3="","",SUM(AA10:AA17))</f>
        <v/>
      </c>
      <c r="AB18" s="351">
        <f>IF(AB$3="","",SUM(AB10:AB17))</f>
        <v/>
      </c>
      <c r="AC18" s="351">
        <f>IF(AC$3="","",SUM(AC10:AC17))</f>
        <v/>
      </c>
      <c r="AD18" s="351">
        <f>IF(AD$3="","",SUM(AD10:AD17))</f>
        <v/>
      </c>
      <c r="AE18" s="351">
        <f>IF(AE$3="","",SUM(AE10:AE17))</f>
        <v/>
      </c>
      <c r="AF18" s="351">
        <f>IF(AF$3="","",SUM(AF10:AF17))</f>
        <v/>
      </c>
      <c r="AG18" s="351">
        <f>IF(AG$3="","",SUM(AG10:AG17))</f>
        <v/>
      </c>
      <c r="AH18" s="351">
        <f>IF(AH$3="","",SUM(AH10:AH17))</f>
        <v/>
      </c>
      <c r="AI18" s="351">
        <f>IF(AI$3="","",SUM(AI10:AI17))</f>
        <v/>
      </c>
      <c r="AJ18" s="351">
        <f>IF(AJ$3="","",SUM(AJ10:AJ17))</f>
        <v/>
      </c>
      <c r="AK18" s="351">
        <f>IF(AK$3="","",SUM(AK10:AK17))</f>
        <v/>
      </c>
      <c r="AL18" s="351">
        <f>IF(AL$3="","",SUM(AL10:AL17))</f>
        <v/>
      </c>
      <c r="AM18" s="351">
        <f>IF(AM$3="","",SUM(AM10:AM17))</f>
        <v/>
      </c>
      <c r="AN18" s="351">
        <f>IF(AN$3="","",SUM(AN10:AN17))</f>
        <v/>
      </c>
      <c r="AO18" s="351">
        <f>IF(AO$3="","",SUM(AO10:AO17))</f>
        <v/>
      </c>
      <c r="AP18" s="351">
        <f>IF(AP$3="","",SUM(AP10:AP17))</f>
        <v/>
      </c>
      <c r="AQ18" s="351">
        <f>IF(AQ$3="","",SUM(AQ10:AQ17))</f>
        <v/>
      </c>
      <c r="AR18" s="351">
        <f>IF(AR$3="","",SUM(AR10:AR17))</f>
        <v/>
      </c>
      <c r="AS18" s="351">
        <f>IF(AS$3="","",SUM(AS10:AS17))</f>
        <v/>
      </c>
      <c r="AT18" s="351">
        <f>IF(AT$3="","",SUM(AT10:AT17))</f>
        <v/>
      </c>
      <c r="AU18" s="351">
        <f>IF(AU$3="","",SUM(AU10:AU17))</f>
        <v/>
      </c>
      <c r="AV18" s="351">
        <f>IF(AV$3="","",SUM(AV10:AV17))</f>
        <v/>
      </c>
      <c r="AW18" s="351">
        <f>IF(AW$3="","",SUM(AW10:AW17))</f>
        <v/>
      </c>
      <c r="AX18" s="351">
        <f>IF(AX$3="","",SUM(AX10:AX17))</f>
        <v/>
      </c>
      <c r="AY18" s="351">
        <f>IF(AY$3="","",SUM(AY10:AY17))</f>
        <v/>
      </c>
      <c r="AZ18" s="351">
        <f>IF(AZ$3="","",SUM(AZ10:AZ17))</f>
        <v/>
      </c>
      <c r="BA18" s="351">
        <f>IF(BA$3="","",SUM(BA10:BA17))</f>
        <v/>
      </c>
      <c r="BB18" s="351">
        <f>IF(BB$3="","",SUM(BB10:BB17))</f>
        <v/>
      </c>
      <c r="BC18" s="351">
        <f>IF(BC$3="","",SUM(BC10:BC17))</f>
        <v/>
      </c>
      <c r="BD18" s="351">
        <f>IF(BD$3="","",SUM(BD10:BD17))</f>
        <v/>
      </c>
      <c r="BE18" s="351">
        <f>IF(BE$3="","",SUM(BE10:BE17))</f>
        <v/>
      </c>
      <c r="BF18" s="351">
        <f>IF(BF$3="","",SUM(BF10:BF17))</f>
        <v/>
      </c>
      <c r="BG18" s="351">
        <f>IF(BG$3="","",SUM(BG10:BG17))</f>
        <v/>
      </c>
      <c r="BH18" s="351">
        <f>IF(BH$3="","",SUM(BH10:BH17))</f>
        <v/>
      </c>
      <c r="BI18" s="351">
        <f>IF(BI$3="","",SUM(BI10:BI17))</f>
        <v/>
      </c>
      <c r="BJ18" s="351">
        <f>IF(BJ$3="","",SUM(BJ10:BJ17))</f>
        <v/>
      </c>
      <c r="BK18" s="351">
        <f>IF(BK$3="","",SUM(BK10:BK17))</f>
        <v/>
      </c>
      <c r="BL18" s="351">
        <f>IF(BL$3="","",SUM(BL10:BL17))</f>
        <v/>
      </c>
      <c r="BM18" s="351">
        <f>IF(BM$3="","",SUM(BM10:BM17))</f>
        <v/>
      </c>
      <c r="BN18" s="351">
        <f>IF(BN$3="","",SUM(BN10:BN17))</f>
        <v/>
      </c>
      <c r="BO18" s="351">
        <f>IF(BO$3="","",SUM(BO10:BO17))</f>
        <v/>
      </c>
      <c r="BP18" s="351">
        <f>IF(BP$3="","",SUM(BP10:BP17))</f>
        <v/>
      </c>
      <c r="BQ18" s="351">
        <f>IF(BQ$3="","",SUM(BQ10:BQ17))</f>
        <v/>
      </c>
      <c r="BR18" s="351">
        <f>IF(BR$3="","",SUM(BR10:BR17))</f>
        <v/>
      </c>
      <c r="BS18" s="351">
        <f>IF(BS$3="","",SUM(BS10:BS17))</f>
        <v/>
      </c>
      <c r="BT18" s="351">
        <f>IF(BT$3="","",SUM(BT10:BT17))</f>
        <v/>
      </c>
      <c r="BU18" s="351">
        <f>IF(BU$3="","",SUM(BU10:BU17))</f>
        <v/>
      </c>
      <c r="BV18" s="351">
        <f>IF(BV$3="","",SUM(BV10:BV17))</f>
        <v/>
      </c>
      <c r="BW18" s="351">
        <f>IF(BW$3="","",SUM(BW10:BW17))</f>
        <v/>
      </c>
      <c r="BX18" s="351">
        <f>IF(BX$3="","",SUM(BX10:BX17))</f>
        <v/>
      </c>
      <c r="BY18" s="351">
        <f>IF(BY$3="","",SUM(BY10:BY17))</f>
        <v/>
      </c>
      <c r="BZ18" s="351">
        <f>IF(BZ$3="","",SUM(BZ10:BZ17))</f>
        <v/>
      </c>
      <c r="CA18" s="351">
        <f>IF(CA$3="","",SUM(CA10:CA17))</f>
        <v/>
      </c>
      <c r="CB18" s="351">
        <f>IF(CB$3="","",SUM(CB10:CB17))</f>
        <v/>
      </c>
      <c r="CC18" s="351">
        <f>IF(CC$3="","",SUM(CC10:CC17))</f>
        <v/>
      </c>
      <c r="CD18" s="351">
        <f>IF(CD$3="","",SUM(CD10:CD17))</f>
        <v/>
      </c>
      <c r="CE18" s="351">
        <f>IF(CE$3="","",SUM(CE10:CE17))</f>
        <v/>
      </c>
      <c r="CF18" s="351">
        <f>IF(CF$3="","",SUM(CF10:CF17))</f>
        <v/>
      </c>
      <c r="CG18" s="351">
        <f>IF(CG$3="","",SUM(CG10:CG17))</f>
        <v/>
      </c>
      <c r="CH18" s="351">
        <f>IF(CH$3="","",SUM(CH10:CH17))</f>
        <v/>
      </c>
      <c r="CI18" s="351">
        <f>IF(CI$3="","",SUM(CI10:CI17))</f>
        <v/>
      </c>
      <c r="CJ18" s="351">
        <f>IF(CJ$3="","",SUM(CJ10:CJ17))</f>
        <v/>
      </c>
      <c r="CK18" s="351">
        <f>IF(CK$3="","",SUM(CK10:CK17))</f>
        <v/>
      </c>
      <c r="CL18" s="351">
        <f>IF(CL$3="","",SUM(CL10:CL17))</f>
        <v/>
      </c>
      <c r="CM18" s="351">
        <f>IF(CM$3="","",SUM(CM10:CM17))</f>
        <v/>
      </c>
      <c r="CN18" s="351">
        <f>IF(CN$3="","",SUM(CN10:CN17))</f>
        <v/>
      </c>
      <c r="CO18" s="351">
        <f>IF(CO$3="","",SUM(CO10:CO17))</f>
        <v/>
      </c>
      <c r="CP18" s="351">
        <f>IF(CP$3="","",SUM(CP10:CP17))</f>
        <v/>
      </c>
      <c r="CQ18" s="351">
        <f>IF(CQ$3="","",SUM(CQ10:CQ17))</f>
        <v/>
      </c>
      <c r="CR18" s="351">
        <f>IF(CR$3="","",SUM(CR10:CR17))</f>
        <v/>
      </c>
      <c r="CS18" s="351">
        <f>IF(CS$3="","",SUM(CS10:CS17))</f>
        <v/>
      </c>
      <c r="CT18" s="351">
        <f>IF(CT$3="","",SUM(CT10:CT17))</f>
        <v/>
      </c>
      <c r="CU18" s="351">
        <f>IF(CU$3="","",SUM(CU10:CU17))</f>
        <v/>
      </c>
      <c r="CV18" s="351">
        <f>IF(CV$3="","",SUM(CV10:CV17))</f>
        <v/>
      </c>
      <c r="CW18" s="351">
        <f>IF(CW$3="","",SUM(CW10:CW17))</f>
        <v/>
      </c>
    </row>
    <row r="19" ht="15" customHeight="1" s="180">
      <c r="A19" s="205" t="inlineStr">
        <is>
          <t>収入</t>
        </is>
      </c>
      <c r="B19" s="219" t="n"/>
      <c r="C19" s="219" t="n"/>
      <c r="D19" s="219" t="n"/>
      <c r="E19" s="219" t="n"/>
      <c r="F19" s="219" t="n"/>
      <c r="G19" s="219" t="n"/>
      <c r="H19" s="219" t="n"/>
      <c r="I19" s="219" t="n"/>
      <c r="J19" s="219" t="n"/>
      <c r="K19" s="219" t="n"/>
      <c r="L19" s="219" t="n"/>
      <c r="M19" s="219" t="n"/>
      <c r="N19" s="219" t="n"/>
      <c r="O19" s="219" t="n"/>
      <c r="P19" s="219" t="n"/>
      <c r="Q19" s="219" t="n"/>
      <c r="R19" s="219" t="n"/>
      <c r="S19" s="219" t="n"/>
      <c r="T19" s="219" t="n"/>
      <c r="U19" s="219" t="n"/>
      <c r="V19" s="219" t="n"/>
      <c r="W19" s="219" t="n"/>
      <c r="X19" s="219" t="n"/>
      <c r="Y19" s="219" t="n"/>
      <c r="Z19" s="219" t="n"/>
      <c r="AA19" s="219" t="n"/>
      <c r="AB19" s="219" t="n"/>
      <c r="AC19" s="219" t="n"/>
      <c r="AD19" s="219" t="n"/>
      <c r="AE19" s="219" t="n"/>
      <c r="AF19" s="219" t="n"/>
      <c r="AG19" s="219" t="n"/>
      <c r="AH19" s="219" t="n"/>
      <c r="AI19" s="219" t="n"/>
      <c r="AJ19" s="219" t="n"/>
      <c r="AK19" s="219" t="n"/>
      <c r="AL19" s="219" t="n"/>
      <c r="AM19" s="219" t="n"/>
      <c r="AN19" s="219" t="n"/>
      <c r="AO19" s="219" t="n"/>
      <c r="AP19" s="219" t="n"/>
      <c r="AQ19" s="219" t="n"/>
      <c r="AR19" s="219" t="n"/>
      <c r="AS19" s="219" t="n"/>
      <c r="AT19" s="219" t="n"/>
      <c r="AU19" s="219" t="n"/>
      <c r="AV19" s="219" t="n"/>
      <c r="AW19" s="219" t="n"/>
      <c r="AX19" s="219" t="n"/>
      <c r="AY19" s="219" t="n"/>
      <c r="AZ19" s="219" t="n"/>
      <c r="BA19" s="219" t="n"/>
      <c r="BB19" s="219" t="n"/>
      <c r="BC19" s="219" t="n"/>
      <c r="BD19" s="219" t="n"/>
      <c r="BE19" s="219" t="n"/>
      <c r="BF19" s="219" t="n"/>
      <c r="BG19" s="219" t="n"/>
      <c r="BH19" s="219" t="n"/>
      <c r="BI19" s="219" t="n"/>
      <c r="BJ19" s="219" t="n"/>
      <c r="BK19" s="219" t="n"/>
      <c r="BL19" s="219" t="n"/>
      <c r="BM19" s="219" t="n"/>
      <c r="BN19" s="219" t="n"/>
      <c r="BO19" s="219" t="n"/>
      <c r="BP19" s="219" t="n"/>
      <c r="BQ19" s="219" t="n"/>
      <c r="BR19" s="219" t="n"/>
      <c r="BS19" s="219" t="n"/>
      <c r="BT19" s="219" t="n"/>
      <c r="BU19" s="219" t="n"/>
      <c r="BV19" s="219" t="n"/>
      <c r="BW19" s="219" t="n"/>
      <c r="BX19" s="219" t="n"/>
      <c r="BY19" s="219" t="n"/>
      <c r="BZ19" s="219" t="n"/>
      <c r="CA19" s="219" t="n"/>
      <c r="CB19" s="219" t="n"/>
      <c r="CC19" s="219" t="n"/>
      <c r="CD19" s="219" t="n"/>
      <c r="CE19" s="219" t="n"/>
      <c r="CF19" s="219" t="n"/>
      <c r="CG19" s="219" t="n"/>
      <c r="CH19" s="219" t="n"/>
      <c r="CI19" s="219" t="n"/>
      <c r="CJ19" s="219" t="n"/>
      <c r="CK19" s="219" t="n"/>
      <c r="CL19" s="219" t="n"/>
      <c r="CM19" s="219" t="n"/>
      <c r="CN19" s="219" t="n"/>
      <c r="CO19" s="219" t="n"/>
      <c r="CP19" s="219" t="n"/>
      <c r="CQ19" s="219" t="n"/>
      <c r="CR19" s="219" t="n"/>
      <c r="CS19" s="219" t="n"/>
      <c r="CT19" s="219" t="n"/>
      <c r="CU19" s="219" t="n"/>
      <c r="CV19" s="219" t="n"/>
      <c r="CW19" s="219" t="n"/>
    </row>
    <row r="20" ht="15" customHeight="1" s="180">
      <c r="A20" s="224" t="inlineStr">
        <is>
          <t>基本生活費</t>
        </is>
      </c>
      <c r="B20" s="352">
        <f>IF(B$3="","",IF(MIN(B4,B5)&gt;=入力データ!$C$111,入力データ!$C$112*12*(1+前提条件!$C$14)^(B$3-$B$3),SUM(入力データ!$C$41:$C$52)*12*(1+前提条件!$C$12)^(B$3-$B$3)))</f>
        <v/>
      </c>
      <c r="C20" s="352">
        <f>IF(C$3="","",IF(MIN(C4,C5)&gt;=入力データ!$C$111,入力データ!$C$112*12*(1+前提条件!$C$14)^(C$3-$B$3),SUM(入力データ!$C$41:$C$52)*12*(1+前提条件!$C$12)^(C$3-$B$3)))</f>
        <v/>
      </c>
      <c r="D20" s="352">
        <f>IF(D$3="","",IF(MIN(D4,D5)&gt;=入力データ!$C$111,入力データ!$C$112*12*(1+前提条件!$C$14)^(D$3-$B$3),SUM(入力データ!$C$41:$C$52)*12*(1+前提条件!$C$12)^(D$3-$B$3)))</f>
        <v/>
      </c>
      <c r="E20" s="352">
        <f>IF(E$3="","",IF(MIN(E4,E5)&gt;=入力データ!$C$111,入力データ!$C$112*12*(1+前提条件!$C$14)^(E$3-$B$3),SUM(入力データ!$C$41:$C$52)*12*(1+前提条件!$C$12)^(E$3-$B$3)))</f>
        <v/>
      </c>
      <c r="F20" s="352">
        <f>IF(F$3="","",IF(MIN(F4,F5)&gt;=入力データ!$C$111,入力データ!$C$112*12*(1+前提条件!$C$14)^(F$3-$B$3),SUM(入力データ!$C$41:$C$52)*12*(1+前提条件!$C$12)^(F$3-$B$3)))</f>
        <v/>
      </c>
      <c r="G20" s="352">
        <f>IF(G$3="","",IF(MIN(G4,G5)&gt;=入力データ!$C$111,入力データ!$C$112*12*(1+前提条件!$C$14)^(G$3-$B$3),SUM(入力データ!$C$41:$C$52)*12*(1+前提条件!$C$12)^(G$3-$B$3)))</f>
        <v/>
      </c>
      <c r="H20" s="352">
        <f>IF(H$3="","",IF(MIN(H4,H5)&gt;=入力データ!$C$111,入力データ!$C$112*12*(1+前提条件!$C$14)^(H$3-$B$3),SUM(入力データ!$C$41:$C$52)*12*(1+前提条件!$C$12)^(H$3-$B$3)))</f>
        <v/>
      </c>
      <c r="I20" s="352">
        <f>IF(I$3="","",IF(MIN(I4,I5)&gt;=入力データ!$C$111,入力データ!$C$112*12*(1+前提条件!$C$14)^(I$3-$B$3),SUM(入力データ!$C$41:$C$52)*12*(1+前提条件!$C$12)^(I$3-$B$3)))</f>
        <v/>
      </c>
      <c r="J20" s="352">
        <f>IF(J$3="","",IF(MIN(J4,J5)&gt;=入力データ!$C$111,入力データ!$C$112*12*(1+前提条件!$C$14)^(J$3-$B$3),SUM(入力データ!$C$41:$C$52)*12*(1+前提条件!$C$12)^(J$3-$B$3)))</f>
        <v/>
      </c>
      <c r="K20" s="352">
        <f>IF(K$3="","",IF(MIN(K4,K5)&gt;=入力データ!$C$111,入力データ!$C$112*12*(1+前提条件!$C$14)^(K$3-$B$3),SUM(入力データ!$C$41:$C$52)*12*(1+前提条件!$C$12)^(K$3-$B$3)))</f>
        <v/>
      </c>
      <c r="L20" s="352">
        <f>IF(L$3="","",IF(MIN(L4,L5)&gt;=入力データ!$C$111,入力データ!$C$112*12*(1+前提条件!$C$14)^(L$3-$B$3),SUM(入力データ!$C$41:$C$52)*12*(1+前提条件!$C$12)^(L$3-$B$3)))</f>
        <v/>
      </c>
      <c r="M20" s="352">
        <f>IF(M$3="","",IF(MIN(M4,M5)&gt;=入力データ!$C$111,入力データ!$C$112*12*(1+前提条件!$C$14)^(M$3-$B$3),SUM(入力データ!$C$41:$C$52)*12*(1+前提条件!$C$12)^(M$3-$B$3)))</f>
        <v/>
      </c>
      <c r="N20" s="352">
        <f>IF(N$3="","",IF(MIN(N4,N5)&gt;=入力データ!$C$111,入力データ!$C$112*12*(1+前提条件!$C$14)^(N$3-$B$3),SUM(入力データ!$C$41:$C$52)*12*(1+前提条件!$C$12)^(N$3-$B$3)))</f>
        <v/>
      </c>
      <c r="O20" s="352">
        <f>IF(O$3="","",IF(MIN(O4,O5)&gt;=入力データ!$C$111,入力データ!$C$112*12*(1+前提条件!$C$14)^(O$3-$B$3),SUM(入力データ!$C$41:$C$52)*12*(1+前提条件!$C$12)^(O$3-$B$3)))</f>
        <v/>
      </c>
      <c r="P20" s="352">
        <f>IF(P$3="","",IF(MIN(P4,P5)&gt;=入力データ!$C$111,入力データ!$C$112*12*(1+前提条件!$C$14)^(P$3-$B$3),SUM(入力データ!$C$41:$C$52)*12*(1+前提条件!$C$12)^(P$3-$B$3)))</f>
        <v/>
      </c>
      <c r="Q20" s="352">
        <f>IF(Q$3="","",IF(MIN(Q4,Q5)&gt;=入力データ!$C$111,入力データ!$C$112*12*(1+前提条件!$C$14)^(Q$3-$B$3),SUM(入力データ!$C$41:$C$52)*12*(1+前提条件!$C$12)^(Q$3-$B$3)))</f>
        <v/>
      </c>
      <c r="R20" s="352">
        <f>IF(R$3="","",IF(MIN(R4,R5)&gt;=入力データ!$C$111,入力データ!$C$112*12*(1+前提条件!$C$14)^(R$3-$B$3),SUM(入力データ!$C$41:$C$52)*12*(1+前提条件!$C$12)^(R$3-$B$3)))</f>
        <v/>
      </c>
      <c r="S20" s="352">
        <f>IF(S$3="","",IF(MIN(S4,S5)&gt;=入力データ!$C$111,入力データ!$C$112*12*(1+前提条件!$C$14)^(S$3-$B$3),SUM(入力データ!$C$41:$C$52)*12*(1+前提条件!$C$12)^(S$3-$B$3)))</f>
        <v/>
      </c>
      <c r="T20" s="352">
        <f>IF(T$3="","",IF(MIN(T4,T5)&gt;=入力データ!$C$111,入力データ!$C$112*12*(1+前提条件!$C$14)^(T$3-$B$3),SUM(入力データ!$C$41:$C$52)*12*(1+前提条件!$C$12)^(T$3-$B$3)))</f>
        <v/>
      </c>
      <c r="U20" s="352">
        <f>IF(U$3="","",IF(MIN(U4,U5)&gt;=入力データ!$C$111,入力データ!$C$112*12*(1+前提条件!$C$14)^(U$3-$B$3),SUM(入力データ!$C$41:$C$52)*12*(1+前提条件!$C$12)^(U$3-$B$3)))</f>
        <v/>
      </c>
      <c r="V20" s="352">
        <f>IF(V$3="","",IF(MIN(V4,V5)&gt;=入力データ!$C$111,入力データ!$C$112*12*(1+前提条件!$C$14)^(V$3-$B$3),SUM(入力データ!$C$41:$C$52)*12*(1+前提条件!$C$12)^(V$3-$B$3)))</f>
        <v/>
      </c>
      <c r="W20" s="352">
        <f>IF(W$3="","",IF(MIN(W4,W5)&gt;=入力データ!$C$111,入力データ!$C$112*12*(1+前提条件!$C$14)^(W$3-$B$3),SUM(入力データ!$C$41:$C$52)*12*(1+前提条件!$C$12)^(W$3-$B$3)))</f>
        <v/>
      </c>
      <c r="X20" s="352">
        <f>IF(X$3="","",IF(MIN(X4,X5)&gt;=入力データ!$C$111,入力データ!$C$112*12*(1+前提条件!$C$14)^(X$3-$B$3),SUM(入力データ!$C$41:$C$52)*12*(1+前提条件!$C$12)^(X$3-$B$3)))</f>
        <v/>
      </c>
      <c r="Y20" s="352">
        <f>IF(Y$3="","",IF(MIN(Y4,Y5)&gt;=入力データ!$C$111,入力データ!$C$112*12*(1+前提条件!$C$14)^(Y$3-$B$3),SUM(入力データ!$C$41:$C$52)*12*(1+前提条件!$C$12)^(Y$3-$B$3)))</f>
        <v/>
      </c>
      <c r="Z20" s="352">
        <f>IF(Z$3="","",IF(MIN(Z4,Z5)&gt;=入力データ!$C$111,入力データ!$C$112*12*(1+前提条件!$C$14)^(Z$3-$B$3),SUM(入力データ!$C$41:$C$52)*12*(1+前提条件!$C$12)^(Z$3-$B$3)))</f>
        <v/>
      </c>
      <c r="AA20" s="352">
        <f>IF(AA$3="","",IF(MIN(AA4,AA5)&gt;=入力データ!$C$111,入力データ!$C$112*12*(1+前提条件!$C$14)^(AA$3-$B$3),SUM(入力データ!$C$41:$C$52)*12*(1+前提条件!$C$12)^(AA$3-$B$3)))</f>
        <v/>
      </c>
      <c r="AB20" s="352">
        <f>IF(AB$3="","",IF(MIN(AB4,AB5)&gt;=入力データ!$C$111,入力データ!$C$112*12*(1+前提条件!$C$14)^(AB$3-$B$3),SUM(入力データ!$C$41:$C$52)*12*(1+前提条件!$C$12)^(AB$3-$B$3)))</f>
        <v/>
      </c>
      <c r="AC20" s="352">
        <f>IF(AC$3="","",IF(MIN(AC4,AC5)&gt;=入力データ!$C$111,入力データ!$C$112*12*(1+前提条件!$C$14)^(AC$3-$B$3),SUM(入力データ!$C$41:$C$52)*12*(1+前提条件!$C$12)^(AC$3-$B$3)))</f>
        <v/>
      </c>
      <c r="AD20" s="352">
        <f>IF(AD$3="","",IF(MIN(AD4,AD5)&gt;=入力データ!$C$111,入力データ!$C$112*12*(1+前提条件!$C$14)^(AD$3-$B$3),SUM(入力データ!$C$41:$C$52)*12*(1+前提条件!$C$12)^(AD$3-$B$3)))</f>
        <v/>
      </c>
      <c r="AE20" s="352">
        <f>IF(AE$3="","",IF(MIN(AE4,AE5)&gt;=入力データ!$C$111,入力データ!$C$112*12*(1+前提条件!$C$14)^(AE$3-$B$3),SUM(入力データ!$C$41:$C$52)*12*(1+前提条件!$C$12)^(AE$3-$B$3)))</f>
        <v/>
      </c>
      <c r="AF20" s="352">
        <f>IF(AF$3="","",IF(MIN(AF4,AF5)&gt;=入力データ!$C$111,入力データ!$C$112*12*(1+前提条件!$C$14)^(AF$3-$B$3),SUM(入力データ!$C$41:$C$52)*12*(1+前提条件!$C$12)^(AF$3-$B$3)))</f>
        <v/>
      </c>
      <c r="AG20" s="352">
        <f>IF(AG$3="","",IF(MIN(AG4,AG5)&gt;=入力データ!$C$111,入力データ!$C$112*12*(1+前提条件!$C$14)^(AG$3-$B$3),SUM(入力データ!$C$41:$C$52)*12*(1+前提条件!$C$12)^(AG$3-$B$3)))</f>
        <v/>
      </c>
      <c r="AH20" s="352">
        <f>IF(AH$3="","",IF(MIN(AH4,AH5)&gt;=入力データ!$C$111,入力データ!$C$112*12*(1+前提条件!$C$14)^(AH$3-$B$3),SUM(入力データ!$C$41:$C$52)*12*(1+前提条件!$C$12)^(AH$3-$B$3)))</f>
        <v/>
      </c>
      <c r="AI20" s="352">
        <f>IF(AI$3="","",IF(MIN(AI4,AI5)&gt;=入力データ!$C$111,入力データ!$C$112*12*(1+前提条件!$C$14)^(AI$3-$B$3),SUM(入力データ!$C$41:$C$52)*12*(1+前提条件!$C$12)^(AI$3-$B$3)))</f>
        <v/>
      </c>
      <c r="AJ20" s="352">
        <f>IF(AJ$3="","",IF(MIN(AJ4,AJ5)&gt;=入力データ!$C$111,入力データ!$C$112*12*(1+前提条件!$C$14)^(AJ$3-$B$3),SUM(入力データ!$C$41:$C$52)*12*(1+前提条件!$C$12)^(AJ$3-$B$3)))</f>
        <v/>
      </c>
      <c r="AK20" s="352">
        <f>IF(AK$3="","",IF(MIN(AK4,AK5)&gt;=入力データ!$C$111,入力データ!$C$112*12*(1+前提条件!$C$14)^(AK$3-$B$3),SUM(入力データ!$C$41:$C$52)*12*(1+前提条件!$C$12)^(AK$3-$B$3)))</f>
        <v/>
      </c>
      <c r="AL20" s="352">
        <f>IF(AL$3="","",IF(MIN(AL4,AL5)&gt;=入力データ!$C$111,入力データ!$C$112*12*(1+前提条件!$C$14)^(AL$3-$B$3),SUM(入力データ!$C$41:$C$52)*12*(1+前提条件!$C$12)^(AL$3-$B$3)))</f>
        <v/>
      </c>
      <c r="AM20" s="352">
        <f>IF(AM$3="","",IF(MIN(AM4,AM5)&gt;=入力データ!$C$111,入力データ!$C$112*12*(1+前提条件!$C$14)^(AM$3-$B$3),SUM(入力データ!$C$41:$C$52)*12*(1+前提条件!$C$12)^(AM$3-$B$3)))</f>
        <v/>
      </c>
      <c r="AN20" s="352">
        <f>IF(AN$3="","",IF(MIN(AN4,AN5)&gt;=入力データ!$C$111,入力データ!$C$112*12*(1+前提条件!$C$14)^(AN$3-$B$3),SUM(入力データ!$C$41:$C$52)*12*(1+前提条件!$C$12)^(AN$3-$B$3)))</f>
        <v/>
      </c>
      <c r="AO20" s="352">
        <f>IF(AO$3="","",IF(MIN(AO4,AO5)&gt;=入力データ!$C$111,入力データ!$C$112*12*(1+前提条件!$C$14)^(AO$3-$B$3),SUM(入力データ!$C$41:$C$52)*12*(1+前提条件!$C$12)^(AO$3-$B$3)))</f>
        <v/>
      </c>
      <c r="AP20" s="352">
        <f>IF(AP$3="","",IF(MIN(AP4,AP5)&gt;=入力データ!$C$111,入力データ!$C$112*12*(1+前提条件!$C$14)^(AP$3-$B$3),SUM(入力データ!$C$41:$C$52)*12*(1+前提条件!$C$12)^(AP$3-$B$3)))</f>
        <v/>
      </c>
      <c r="AQ20" s="352">
        <f>IF(AQ$3="","",IF(MIN(AQ4,AQ5)&gt;=入力データ!$C$111,入力データ!$C$112*12*(1+前提条件!$C$14)^(AQ$3-$B$3),SUM(入力データ!$C$41:$C$52)*12*(1+前提条件!$C$12)^(AQ$3-$B$3)))</f>
        <v/>
      </c>
      <c r="AR20" s="352">
        <f>IF(AR$3="","",IF(MIN(AR4,AR5)&gt;=入力データ!$C$111,入力データ!$C$112*12*(1+前提条件!$C$14)^(AR$3-$B$3),SUM(入力データ!$C$41:$C$52)*12*(1+前提条件!$C$12)^(AR$3-$B$3)))</f>
        <v/>
      </c>
      <c r="AS20" s="352">
        <f>IF(AS$3="","",IF(MIN(AS4,AS5)&gt;=入力データ!$C$111,入力データ!$C$112*12*(1+前提条件!$C$14)^(AS$3-$B$3),SUM(入力データ!$C$41:$C$52)*12*(1+前提条件!$C$12)^(AS$3-$B$3)))</f>
        <v/>
      </c>
      <c r="AT20" s="352">
        <f>IF(AT$3="","",IF(MIN(AT4,AT5)&gt;=入力データ!$C$111,入力データ!$C$112*12*(1+前提条件!$C$14)^(AT$3-$B$3),SUM(入力データ!$C$41:$C$52)*12*(1+前提条件!$C$12)^(AT$3-$B$3)))</f>
        <v/>
      </c>
      <c r="AU20" s="352">
        <f>IF(AU$3="","",IF(MIN(AU4,AU5)&gt;=入力データ!$C$111,入力データ!$C$112*12*(1+前提条件!$C$14)^(AU$3-$B$3),SUM(入力データ!$C$41:$C$52)*12*(1+前提条件!$C$12)^(AU$3-$B$3)))</f>
        <v/>
      </c>
      <c r="AV20" s="352">
        <f>IF(AV$3="","",IF(MIN(AV4,AV5)&gt;=入力データ!$C$111,入力データ!$C$112*12*(1+前提条件!$C$14)^(AV$3-$B$3),SUM(入力データ!$C$41:$C$52)*12*(1+前提条件!$C$12)^(AV$3-$B$3)))</f>
        <v/>
      </c>
      <c r="AW20" s="352">
        <f>IF(AW$3="","",IF(MIN(AW4,AW5)&gt;=入力データ!$C$111,入力データ!$C$112*12*(1+前提条件!$C$14)^(AW$3-$B$3),SUM(入力データ!$C$41:$C$52)*12*(1+前提条件!$C$12)^(AW$3-$B$3)))</f>
        <v/>
      </c>
      <c r="AX20" s="352">
        <f>IF(AX$3="","",IF(MIN(AX4,AX5)&gt;=入力データ!$C$111,入力データ!$C$112*12*(1+前提条件!$C$14)^(AX$3-$B$3),SUM(入力データ!$C$41:$C$52)*12*(1+前提条件!$C$12)^(AX$3-$B$3)))</f>
        <v/>
      </c>
      <c r="AY20" s="352">
        <f>IF(AY$3="","",IF(MIN(AY4,AY5)&gt;=入力データ!$C$111,入力データ!$C$112*12*(1+前提条件!$C$14)^(AY$3-$B$3),SUM(入力データ!$C$41:$C$52)*12*(1+前提条件!$C$12)^(AY$3-$B$3)))</f>
        <v/>
      </c>
      <c r="AZ20" s="352">
        <f>IF(AZ$3="","",IF(MIN(AZ4,AZ5)&gt;=入力データ!$C$111,入力データ!$C$112*12*(1+前提条件!$C$14)^(AZ$3-$B$3),SUM(入力データ!$C$41:$C$52)*12*(1+前提条件!$C$12)^(AZ$3-$B$3)))</f>
        <v/>
      </c>
      <c r="BA20" s="352">
        <f>IF(BA$3="","",IF(MIN(BA4,BA5)&gt;=入力データ!$C$111,入力データ!$C$112*12*(1+前提条件!$C$14)^(BA$3-$B$3),SUM(入力データ!$C$41:$C$52)*12*(1+前提条件!$C$12)^(BA$3-$B$3)))</f>
        <v/>
      </c>
      <c r="BB20" s="352">
        <f>IF(BB$3="","",IF(MIN(BB4,BB5)&gt;=入力データ!$C$111,入力データ!$C$112*12*(1+前提条件!$C$14)^(BB$3-$B$3),SUM(入力データ!$C$41:$C$52)*12*(1+前提条件!$C$12)^(BB$3-$B$3)))</f>
        <v/>
      </c>
      <c r="BC20" s="352">
        <f>IF(BC$3="","",IF(MIN(BC4,BC5)&gt;=入力データ!$C$111,入力データ!$C$112*12*(1+前提条件!$C$14)^(BC$3-$B$3),SUM(入力データ!$C$41:$C$52)*12*(1+前提条件!$C$12)^(BC$3-$B$3)))</f>
        <v/>
      </c>
      <c r="BD20" s="352">
        <f>IF(BD$3="","",IF(MIN(BD4,BD5)&gt;=入力データ!$C$111,入力データ!$C$112*12*(1+前提条件!$C$14)^(BD$3-$B$3),SUM(入力データ!$C$41:$C$52)*12*(1+前提条件!$C$12)^(BD$3-$B$3)))</f>
        <v/>
      </c>
      <c r="BE20" s="352">
        <f>IF(BE$3="","",IF(MIN(BE4,BE5)&gt;=入力データ!$C$111,入力データ!$C$112*12*(1+前提条件!$C$14)^(BE$3-$B$3),SUM(入力データ!$C$41:$C$52)*12*(1+前提条件!$C$12)^(BE$3-$B$3)))</f>
        <v/>
      </c>
      <c r="BF20" s="352">
        <f>IF(BF$3="","",IF(MIN(BF4,BF5)&gt;=入力データ!$C$111,入力データ!$C$112*12*(1+前提条件!$C$14)^(BF$3-$B$3),SUM(入力データ!$C$41:$C$52)*12*(1+前提条件!$C$12)^(BF$3-$B$3)))</f>
        <v/>
      </c>
      <c r="BG20" s="352">
        <f>IF(BG$3="","",IF(MIN(BG4,BG5)&gt;=入力データ!$C$111,入力データ!$C$112*12*(1+前提条件!$C$14)^(BG$3-$B$3),SUM(入力データ!$C$41:$C$52)*12*(1+前提条件!$C$12)^(BG$3-$B$3)))</f>
        <v/>
      </c>
      <c r="BH20" s="352">
        <f>IF(BH$3="","",IF(MIN(BH4,BH5)&gt;=入力データ!$C$111,入力データ!$C$112*12*(1+前提条件!$C$14)^(BH$3-$B$3),SUM(入力データ!$C$41:$C$52)*12*(1+前提条件!$C$12)^(BH$3-$B$3)))</f>
        <v/>
      </c>
      <c r="BI20" s="352">
        <f>IF(BI$3="","",IF(MIN(BI4,BI5)&gt;=入力データ!$C$111,入力データ!$C$112*12*(1+前提条件!$C$14)^(BI$3-$B$3),SUM(入力データ!$C$41:$C$52)*12*(1+前提条件!$C$12)^(BI$3-$B$3)))</f>
        <v/>
      </c>
      <c r="BJ20" s="352">
        <f>IF(BJ$3="","",IF(MIN(BJ4,BJ5)&gt;=入力データ!$C$111,入力データ!$C$112*12*(1+前提条件!$C$14)^(BJ$3-$B$3),SUM(入力データ!$C$41:$C$52)*12*(1+前提条件!$C$12)^(BJ$3-$B$3)))</f>
        <v/>
      </c>
      <c r="BK20" s="352">
        <f>IF(BK$3="","",IF(MIN(BK4,BK5)&gt;=入力データ!$C$111,入力データ!$C$112*12*(1+前提条件!$C$14)^(BK$3-$B$3),SUM(入力データ!$C$41:$C$52)*12*(1+前提条件!$C$12)^(BK$3-$B$3)))</f>
        <v/>
      </c>
      <c r="BL20" s="352">
        <f>IF(BL$3="","",IF(MIN(BL4,BL5)&gt;=入力データ!$C$111,入力データ!$C$112*12*(1+前提条件!$C$14)^(BL$3-$B$3),SUM(入力データ!$C$41:$C$52)*12*(1+前提条件!$C$12)^(BL$3-$B$3)))</f>
        <v/>
      </c>
      <c r="BM20" s="352">
        <f>IF(BM$3="","",IF(MIN(BM4,BM5)&gt;=入力データ!$C$111,入力データ!$C$112*12*(1+前提条件!$C$14)^(BM$3-$B$3),SUM(入力データ!$C$41:$C$52)*12*(1+前提条件!$C$12)^(BM$3-$B$3)))</f>
        <v/>
      </c>
      <c r="BN20" s="352">
        <f>IF(BN$3="","",IF(MIN(BN4,BN5)&gt;=入力データ!$C$111,入力データ!$C$112*12*(1+前提条件!$C$14)^(BN$3-$B$3),SUM(入力データ!$C$41:$C$52)*12*(1+前提条件!$C$12)^(BN$3-$B$3)))</f>
        <v/>
      </c>
      <c r="BO20" s="352">
        <f>IF(BO$3="","",IF(MIN(BO4,BO5)&gt;=入力データ!$C$111,入力データ!$C$112*12*(1+前提条件!$C$14)^(BO$3-$B$3),SUM(入力データ!$C$41:$C$52)*12*(1+前提条件!$C$12)^(BO$3-$B$3)))</f>
        <v/>
      </c>
      <c r="BP20" s="352">
        <f>IF(BP$3="","",IF(MIN(BP4,BP5)&gt;=入力データ!$C$111,入力データ!$C$112*12*(1+前提条件!$C$14)^(BP$3-$B$3),SUM(入力データ!$C$41:$C$52)*12*(1+前提条件!$C$12)^(BP$3-$B$3)))</f>
        <v/>
      </c>
      <c r="BQ20" s="352">
        <f>IF(BQ$3="","",IF(MIN(BQ4,BQ5)&gt;=入力データ!$C$111,入力データ!$C$112*12*(1+前提条件!$C$14)^(BQ$3-$B$3),SUM(入力データ!$C$41:$C$52)*12*(1+前提条件!$C$12)^(BQ$3-$B$3)))</f>
        <v/>
      </c>
      <c r="BR20" s="352">
        <f>IF(BR$3="","",IF(MIN(BR4,BR5)&gt;=入力データ!$C$111,入力データ!$C$112*12*(1+前提条件!$C$14)^(BR$3-$B$3),SUM(入力データ!$C$41:$C$52)*12*(1+前提条件!$C$12)^(BR$3-$B$3)))</f>
        <v/>
      </c>
      <c r="BS20" s="352">
        <f>IF(BS$3="","",IF(MIN(BS4,BS5)&gt;=入力データ!$C$111,入力データ!$C$112*12*(1+前提条件!$C$14)^(BS$3-$B$3),SUM(入力データ!$C$41:$C$52)*12*(1+前提条件!$C$12)^(BS$3-$B$3)))</f>
        <v/>
      </c>
      <c r="BT20" s="352">
        <f>IF(BT$3="","",IF(MIN(BT4,BT5)&gt;=入力データ!$C$111,入力データ!$C$112*12*(1+前提条件!$C$14)^(BT$3-$B$3),SUM(入力データ!$C$41:$C$52)*12*(1+前提条件!$C$12)^(BT$3-$B$3)))</f>
        <v/>
      </c>
      <c r="BU20" s="352">
        <f>IF(BU$3="","",IF(MIN(BU4,BU5)&gt;=入力データ!$C$111,入力データ!$C$112*12*(1+前提条件!$C$14)^(BU$3-$B$3),SUM(入力データ!$C$41:$C$52)*12*(1+前提条件!$C$12)^(BU$3-$B$3)))</f>
        <v/>
      </c>
      <c r="BV20" s="352">
        <f>IF(BV$3="","",IF(MIN(BV4,BV5)&gt;=入力データ!$C$111,入力データ!$C$112*12*(1+前提条件!$C$14)^(BV$3-$B$3),SUM(入力データ!$C$41:$C$52)*12*(1+前提条件!$C$12)^(BV$3-$B$3)))</f>
        <v/>
      </c>
      <c r="BW20" s="352">
        <f>IF(BW$3="","",IF(MIN(BW4,BW5)&gt;=入力データ!$C$111,入力データ!$C$112*12*(1+前提条件!$C$14)^(BW$3-$B$3),SUM(入力データ!$C$41:$C$52)*12*(1+前提条件!$C$12)^(BW$3-$B$3)))</f>
        <v/>
      </c>
      <c r="BX20" s="352">
        <f>IF(BX$3="","",IF(MIN(BX4,BX5)&gt;=入力データ!$C$111,入力データ!$C$112*12*(1+前提条件!$C$14)^(BX$3-$B$3),SUM(入力データ!$C$41:$C$52)*12*(1+前提条件!$C$12)^(BX$3-$B$3)))</f>
        <v/>
      </c>
      <c r="BY20" s="352">
        <f>IF(BY$3="","",IF(MIN(BY4,BY5)&gt;=入力データ!$C$111,入力データ!$C$112*12*(1+前提条件!$C$14)^(BY$3-$B$3),SUM(入力データ!$C$41:$C$52)*12*(1+前提条件!$C$12)^(BY$3-$B$3)))</f>
        <v/>
      </c>
      <c r="BZ20" s="352">
        <f>IF(BZ$3="","",IF(MIN(BZ4,BZ5)&gt;=入力データ!$C$111,入力データ!$C$112*12*(1+前提条件!$C$14)^(BZ$3-$B$3),SUM(入力データ!$C$41:$C$52)*12*(1+前提条件!$C$12)^(BZ$3-$B$3)))</f>
        <v/>
      </c>
      <c r="CA20" s="352">
        <f>IF(CA$3="","",IF(MIN(CA4,CA5)&gt;=入力データ!$C$111,入力データ!$C$112*12*(1+前提条件!$C$14)^(CA$3-$B$3),SUM(入力データ!$C$41:$C$52)*12*(1+前提条件!$C$12)^(CA$3-$B$3)))</f>
        <v/>
      </c>
      <c r="CB20" s="352">
        <f>IF(CB$3="","",IF(MIN(CB4,CB5)&gt;=入力データ!$C$111,入力データ!$C$112*12*(1+前提条件!$C$14)^(CB$3-$B$3),SUM(入力データ!$C$41:$C$52)*12*(1+前提条件!$C$12)^(CB$3-$B$3)))</f>
        <v/>
      </c>
      <c r="CC20" s="352">
        <f>IF(CC$3="","",IF(MIN(CC4,CC5)&gt;=入力データ!$C$111,入力データ!$C$112*12*(1+前提条件!$C$14)^(CC$3-$B$3),SUM(入力データ!$C$41:$C$52)*12*(1+前提条件!$C$12)^(CC$3-$B$3)))</f>
        <v/>
      </c>
      <c r="CD20" s="352">
        <f>IF(CD$3="","",IF(MIN(CD4,CD5)&gt;=入力データ!$C$111,入力データ!$C$112*12*(1+前提条件!$C$14)^(CD$3-$B$3),SUM(入力データ!$C$41:$C$52)*12*(1+前提条件!$C$12)^(CD$3-$B$3)))</f>
        <v/>
      </c>
      <c r="CE20" s="352">
        <f>IF(CE$3="","",IF(MIN(CE4,CE5)&gt;=入力データ!$C$111,入力データ!$C$112*12*(1+前提条件!$C$14)^(CE$3-$B$3),SUM(入力データ!$C$41:$C$52)*12*(1+前提条件!$C$12)^(CE$3-$B$3)))</f>
        <v/>
      </c>
      <c r="CF20" s="352">
        <f>IF(CF$3="","",IF(MIN(CF4,CF5)&gt;=入力データ!$C$111,入力データ!$C$112*12*(1+前提条件!$C$14)^(CF$3-$B$3),SUM(入力データ!$C$41:$C$52)*12*(1+前提条件!$C$12)^(CF$3-$B$3)))</f>
        <v/>
      </c>
      <c r="CG20" s="352">
        <f>IF(CG$3="","",IF(MIN(CG4,CG5)&gt;=入力データ!$C$111,入力データ!$C$112*12*(1+前提条件!$C$14)^(CG$3-$B$3),SUM(入力データ!$C$41:$C$52)*12*(1+前提条件!$C$12)^(CG$3-$B$3)))</f>
        <v/>
      </c>
      <c r="CH20" s="352">
        <f>IF(CH$3="","",IF(MIN(CH4,CH5)&gt;=入力データ!$C$111,入力データ!$C$112*12*(1+前提条件!$C$14)^(CH$3-$B$3),SUM(入力データ!$C$41:$C$52)*12*(1+前提条件!$C$12)^(CH$3-$B$3)))</f>
        <v/>
      </c>
      <c r="CI20" s="352">
        <f>IF(CI$3="","",IF(MIN(CI4,CI5)&gt;=入力データ!$C$111,入力データ!$C$112*12*(1+前提条件!$C$14)^(CI$3-$B$3),SUM(入力データ!$C$41:$C$52)*12*(1+前提条件!$C$12)^(CI$3-$B$3)))</f>
        <v/>
      </c>
      <c r="CJ20" s="352">
        <f>IF(CJ$3="","",IF(MIN(CJ4,CJ5)&gt;=入力データ!$C$111,入力データ!$C$112*12*(1+前提条件!$C$14)^(CJ$3-$B$3),SUM(入力データ!$C$41:$C$52)*12*(1+前提条件!$C$12)^(CJ$3-$B$3)))</f>
        <v/>
      </c>
      <c r="CK20" s="352">
        <f>IF(CK$3="","",IF(MIN(CK4,CK5)&gt;=入力データ!$C$111,入力データ!$C$112*12*(1+前提条件!$C$14)^(CK$3-$B$3),SUM(入力データ!$C$41:$C$52)*12*(1+前提条件!$C$12)^(CK$3-$B$3)))</f>
        <v/>
      </c>
      <c r="CL20" s="352">
        <f>IF(CL$3="","",IF(MIN(CL4,CL5)&gt;=入力データ!$C$111,入力データ!$C$112*12*(1+前提条件!$C$14)^(CL$3-$B$3),SUM(入力データ!$C$41:$C$52)*12*(1+前提条件!$C$12)^(CL$3-$B$3)))</f>
        <v/>
      </c>
      <c r="CM20" s="352">
        <f>IF(CM$3="","",IF(MIN(CM4,CM5)&gt;=入力データ!$C$111,入力データ!$C$112*12*(1+前提条件!$C$14)^(CM$3-$B$3),SUM(入力データ!$C$41:$C$52)*12*(1+前提条件!$C$12)^(CM$3-$B$3)))</f>
        <v/>
      </c>
      <c r="CN20" s="352">
        <f>IF(CN$3="","",IF(MIN(CN4,CN5)&gt;=入力データ!$C$111,入力データ!$C$112*12*(1+前提条件!$C$14)^(CN$3-$B$3),SUM(入力データ!$C$41:$C$52)*12*(1+前提条件!$C$12)^(CN$3-$B$3)))</f>
        <v/>
      </c>
      <c r="CO20" s="352">
        <f>IF(CO$3="","",IF(MIN(CO4,CO5)&gt;=入力データ!$C$111,入力データ!$C$112*12*(1+前提条件!$C$14)^(CO$3-$B$3),SUM(入力データ!$C$41:$C$52)*12*(1+前提条件!$C$12)^(CO$3-$B$3)))</f>
        <v/>
      </c>
      <c r="CP20" s="352">
        <f>IF(CP$3="","",IF(MIN(CP4,CP5)&gt;=入力データ!$C$111,入力データ!$C$112*12*(1+前提条件!$C$14)^(CP$3-$B$3),SUM(入力データ!$C$41:$C$52)*12*(1+前提条件!$C$12)^(CP$3-$B$3)))</f>
        <v/>
      </c>
      <c r="CQ20" s="352">
        <f>IF(CQ$3="","",IF(MIN(CQ4,CQ5)&gt;=入力データ!$C$111,入力データ!$C$112*12*(1+前提条件!$C$14)^(CQ$3-$B$3),SUM(入力データ!$C$41:$C$52)*12*(1+前提条件!$C$12)^(CQ$3-$B$3)))</f>
        <v/>
      </c>
      <c r="CR20" s="352">
        <f>IF(CR$3="","",IF(MIN(CR4,CR5)&gt;=入力データ!$C$111,入力データ!$C$112*12*(1+前提条件!$C$14)^(CR$3-$B$3),SUM(入力データ!$C$41:$C$52)*12*(1+前提条件!$C$12)^(CR$3-$B$3)))</f>
        <v/>
      </c>
      <c r="CS20" s="352">
        <f>IF(CS$3="","",IF(MIN(CS4,CS5)&gt;=入力データ!$C$111,入力データ!$C$112*12*(1+前提条件!$C$14)^(CS$3-$B$3),SUM(入力データ!$C$41:$C$52)*12*(1+前提条件!$C$12)^(CS$3-$B$3)))</f>
        <v/>
      </c>
      <c r="CT20" s="352">
        <f>IF(CT$3="","",IF(MIN(CT4,CT5)&gt;=入力データ!$C$111,入力データ!$C$112*12*(1+前提条件!$C$14)^(CT$3-$B$3),SUM(入力データ!$C$41:$C$52)*12*(1+前提条件!$C$12)^(CT$3-$B$3)))</f>
        <v/>
      </c>
      <c r="CU20" s="352">
        <f>IF(CU$3="","",IF(MIN(CU4,CU5)&gt;=入力データ!$C$111,入力データ!$C$112*12*(1+前提条件!$C$14)^(CU$3-$B$3),SUM(入力データ!$C$41:$C$52)*12*(1+前提条件!$C$12)^(CU$3-$B$3)))</f>
        <v/>
      </c>
      <c r="CV20" s="352">
        <f>IF(CV$3="","",IF(MIN(CV4,CV5)&gt;=入力データ!$C$111,入力データ!$C$112*12*(1+前提条件!$C$14)^(CV$3-$B$3),SUM(入力データ!$C$41:$C$52)*12*(1+前提条件!$C$12)^(CV$3-$B$3)))</f>
        <v/>
      </c>
      <c r="CW20" s="352">
        <f>IF(CW$3="","",IF(MIN(CW4,CW5)&gt;=入力データ!$C$111,入力データ!$C$112*12*(1+前提条件!$C$14)^(CW$3-$B$3),SUM(入力データ!$C$41:$C$52)*12*(1+前提条件!$C$12)^(CW$3-$B$3)))</f>
        <v/>
      </c>
    </row>
    <row r="21" ht="15" customHeight="1" s="180">
      <c r="A21" s="224" t="inlineStr">
        <is>
          <t>住居費</t>
        </is>
      </c>
      <c r="B21" s="352">
        <f>IF(B$3="","",((IF(入力データ!$C$13="持ち家",IF(B4&lt;=前提条件!$C$44,入力データ!$C$53,0),入力データ!$C$53)+入力データ!$C$54+入力データ!$C$55+入力データ!$C$56)*12+IF(入力データ!$C$13="持ち家",入力データ!$C$83+前提条件!$C$47,入力データ!$C$84+前提条件!$C$48))*(1+前提条件!$C$15)^(B$3-$B$3))</f>
        <v/>
      </c>
      <c r="C21" s="352">
        <f>IF(C$3="","",((IF(入力データ!$C$13="持ち家",IF(C4&lt;=前提条件!$C$44,入力データ!$C$53,0),入力データ!$C$53)+入力データ!$C$54+入力データ!$C$55+入力データ!$C$56)*12+IF(入力データ!$C$13="持ち家",入力データ!$C$83+前提条件!$C$47,入力データ!$C$84+前提条件!$C$48))*(1+前提条件!$C$15)^(C$3-$B$3))</f>
        <v/>
      </c>
      <c r="D21" s="352">
        <f>IF(D$3="","",((IF(入力データ!$C$13="持ち家",IF(D4&lt;=前提条件!$C$44,入力データ!$C$53,0),入力データ!$C$53)+入力データ!$C$54+入力データ!$C$55+入力データ!$C$56)*12+IF(入力データ!$C$13="持ち家",入力データ!$C$83+前提条件!$C$47,入力データ!$C$84+前提条件!$C$48))*(1+前提条件!$C$15)^(D$3-$B$3))</f>
        <v/>
      </c>
      <c r="E21" s="352">
        <f>IF(E$3="","",((IF(入力データ!$C$13="持ち家",IF(E4&lt;=前提条件!$C$44,入力データ!$C$53,0),入力データ!$C$53)+入力データ!$C$54+入力データ!$C$55+入力データ!$C$56)*12+IF(入力データ!$C$13="持ち家",入力データ!$C$83+前提条件!$C$47,入力データ!$C$84+前提条件!$C$48))*(1+前提条件!$C$15)^(E$3-$B$3))</f>
        <v/>
      </c>
      <c r="F21" s="352">
        <f>IF(F$3="","",((IF(入力データ!$C$13="持ち家",IF(F4&lt;=前提条件!$C$44,入力データ!$C$53,0),入力データ!$C$53)+入力データ!$C$54+入力データ!$C$55+入力データ!$C$56)*12+IF(入力データ!$C$13="持ち家",入力データ!$C$83+前提条件!$C$47,入力データ!$C$84+前提条件!$C$48))*(1+前提条件!$C$15)^(F$3-$B$3))</f>
        <v/>
      </c>
      <c r="G21" s="352">
        <f>IF(G$3="","",((IF(入力データ!$C$13="持ち家",IF(G4&lt;=前提条件!$C$44,入力データ!$C$53,0),入力データ!$C$53)+入力データ!$C$54+入力データ!$C$55+入力データ!$C$56)*12+IF(入力データ!$C$13="持ち家",入力データ!$C$83+前提条件!$C$47,入力データ!$C$84+前提条件!$C$48))*(1+前提条件!$C$15)^(G$3-$B$3))</f>
        <v/>
      </c>
      <c r="H21" s="352">
        <f>IF(H$3="","",((IF(入力データ!$C$13="持ち家",IF(H4&lt;=前提条件!$C$44,入力データ!$C$53,0),入力データ!$C$53)+入力データ!$C$54+入力データ!$C$55+入力データ!$C$56)*12+IF(入力データ!$C$13="持ち家",入力データ!$C$83+前提条件!$C$47,入力データ!$C$84+前提条件!$C$48))*(1+前提条件!$C$15)^(H$3-$B$3))</f>
        <v/>
      </c>
      <c r="I21" s="352">
        <f>IF(I$3="","",((IF(入力データ!$C$13="持ち家",IF(I4&lt;=前提条件!$C$44,入力データ!$C$53,0),入力データ!$C$53)+入力データ!$C$54+入力データ!$C$55+入力データ!$C$56)*12+IF(入力データ!$C$13="持ち家",入力データ!$C$83+前提条件!$C$47,入力データ!$C$84+前提条件!$C$48))*(1+前提条件!$C$15)^(I$3-$B$3))</f>
        <v/>
      </c>
      <c r="J21" s="352">
        <f>IF(J$3="","",((IF(入力データ!$C$13="持ち家",IF(J4&lt;=前提条件!$C$44,入力データ!$C$53,0),入力データ!$C$53)+入力データ!$C$54+入力データ!$C$55+入力データ!$C$56)*12+IF(入力データ!$C$13="持ち家",入力データ!$C$83+前提条件!$C$47,入力データ!$C$84+前提条件!$C$48))*(1+前提条件!$C$15)^(J$3-$B$3))</f>
        <v/>
      </c>
      <c r="K21" s="352">
        <f>IF(K$3="","",((IF(入力データ!$C$13="持ち家",IF(K4&lt;=前提条件!$C$44,入力データ!$C$53,0),入力データ!$C$53)+入力データ!$C$54+入力データ!$C$55+入力データ!$C$56)*12+IF(入力データ!$C$13="持ち家",入力データ!$C$83+前提条件!$C$47,入力データ!$C$84+前提条件!$C$48))*(1+前提条件!$C$15)^(K$3-$B$3))</f>
        <v/>
      </c>
      <c r="L21" s="352">
        <f>IF(L$3="","",((IF(入力データ!$C$13="持ち家",IF(L4&lt;=前提条件!$C$44,入力データ!$C$53,0),入力データ!$C$53)+入力データ!$C$54+入力データ!$C$55+入力データ!$C$56)*12+IF(入力データ!$C$13="持ち家",入力データ!$C$83+前提条件!$C$47,入力データ!$C$84+前提条件!$C$48))*(1+前提条件!$C$15)^(L$3-$B$3))</f>
        <v/>
      </c>
      <c r="M21" s="352">
        <f>IF(M$3="","",((IF(入力データ!$C$13="持ち家",IF(M4&lt;=前提条件!$C$44,入力データ!$C$53,0),入力データ!$C$53)+入力データ!$C$54+入力データ!$C$55+入力データ!$C$56)*12+IF(入力データ!$C$13="持ち家",入力データ!$C$83+前提条件!$C$47,入力データ!$C$84+前提条件!$C$48))*(1+前提条件!$C$15)^(M$3-$B$3))</f>
        <v/>
      </c>
      <c r="N21" s="352">
        <f>IF(N$3="","",((IF(入力データ!$C$13="持ち家",IF(N4&lt;=前提条件!$C$44,入力データ!$C$53,0),入力データ!$C$53)+入力データ!$C$54+入力データ!$C$55+入力データ!$C$56)*12+IF(入力データ!$C$13="持ち家",入力データ!$C$83+前提条件!$C$47,入力データ!$C$84+前提条件!$C$48))*(1+前提条件!$C$15)^(N$3-$B$3))</f>
        <v/>
      </c>
      <c r="O21" s="352">
        <f>IF(O$3="","",((IF(入力データ!$C$13="持ち家",IF(O4&lt;=前提条件!$C$44,入力データ!$C$53,0),入力データ!$C$53)+入力データ!$C$54+入力データ!$C$55+入力データ!$C$56)*12+IF(入力データ!$C$13="持ち家",入力データ!$C$83+前提条件!$C$47,入力データ!$C$84+前提条件!$C$48))*(1+前提条件!$C$15)^(O$3-$B$3))</f>
        <v/>
      </c>
      <c r="P21" s="352">
        <f>IF(P$3="","",((IF(入力データ!$C$13="持ち家",IF(P4&lt;=前提条件!$C$44,入力データ!$C$53,0),入力データ!$C$53)+入力データ!$C$54+入力データ!$C$55+入力データ!$C$56)*12+IF(入力データ!$C$13="持ち家",入力データ!$C$83+前提条件!$C$47,入力データ!$C$84+前提条件!$C$48))*(1+前提条件!$C$15)^(P$3-$B$3))</f>
        <v/>
      </c>
      <c r="Q21" s="352">
        <f>IF(Q$3="","",((IF(入力データ!$C$13="持ち家",IF(Q4&lt;=前提条件!$C$44,入力データ!$C$53,0),入力データ!$C$53)+入力データ!$C$54+入力データ!$C$55+入力データ!$C$56)*12+IF(入力データ!$C$13="持ち家",入力データ!$C$83+前提条件!$C$47,入力データ!$C$84+前提条件!$C$48))*(1+前提条件!$C$15)^(Q$3-$B$3))</f>
        <v/>
      </c>
      <c r="R21" s="352">
        <f>IF(R$3="","",((IF(入力データ!$C$13="持ち家",IF(R4&lt;=前提条件!$C$44,入力データ!$C$53,0),入力データ!$C$53)+入力データ!$C$54+入力データ!$C$55+入力データ!$C$56)*12+IF(入力データ!$C$13="持ち家",入力データ!$C$83+前提条件!$C$47,入力データ!$C$84+前提条件!$C$48))*(1+前提条件!$C$15)^(R$3-$B$3))</f>
        <v/>
      </c>
      <c r="S21" s="352">
        <f>IF(S$3="","",((IF(入力データ!$C$13="持ち家",IF(S4&lt;=前提条件!$C$44,入力データ!$C$53,0),入力データ!$C$53)+入力データ!$C$54+入力データ!$C$55+入力データ!$C$56)*12+IF(入力データ!$C$13="持ち家",入力データ!$C$83+前提条件!$C$47,入力データ!$C$84+前提条件!$C$48))*(1+前提条件!$C$15)^(S$3-$B$3))</f>
        <v/>
      </c>
      <c r="T21" s="352">
        <f>IF(T$3="","",((IF(入力データ!$C$13="持ち家",IF(T4&lt;=前提条件!$C$44,入力データ!$C$53,0),入力データ!$C$53)+入力データ!$C$54+入力データ!$C$55+入力データ!$C$56)*12+IF(入力データ!$C$13="持ち家",入力データ!$C$83+前提条件!$C$47,入力データ!$C$84+前提条件!$C$48))*(1+前提条件!$C$15)^(T$3-$B$3))</f>
        <v/>
      </c>
      <c r="U21" s="352">
        <f>IF(U$3="","",((IF(入力データ!$C$13="持ち家",IF(U4&lt;=前提条件!$C$44,入力データ!$C$53,0),入力データ!$C$53)+入力データ!$C$54+入力データ!$C$55+入力データ!$C$56)*12+IF(入力データ!$C$13="持ち家",入力データ!$C$83+前提条件!$C$47,入力データ!$C$84+前提条件!$C$48))*(1+前提条件!$C$15)^(U$3-$B$3))</f>
        <v/>
      </c>
      <c r="V21" s="352">
        <f>IF(V$3="","",((IF(入力データ!$C$13="持ち家",IF(V4&lt;=前提条件!$C$44,入力データ!$C$53,0),入力データ!$C$53)+入力データ!$C$54+入力データ!$C$55+入力データ!$C$56)*12+IF(入力データ!$C$13="持ち家",入力データ!$C$83+前提条件!$C$47,入力データ!$C$84+前提条件!$C$48))*(1+前提条件!$C$15)^(V$3-$B$3))</f>
        <v/>
      </c>
      <c r="W21" s="352">
        <f>IF(W$3="","",((IF(入力データ!$C$13="持ち家",IF(W4&lt;=前提条件!$C$44,入力データ!$C$53,0),入力データ!$C$53)+入力データ!$C$54+入力データ!$C$55+入力データ!$C$56)*12+IF(入力データ!$C$13="持ち家",入力データ!$C$83+前提条件!$C$47,入力データ!$C$84+前提条件!$C$48))*(1+前提条件!$C$15)^(W$3-$B$3))</f>
        <v/>
      </c>
      <c r="X21" s="352">
        <f>IF(X$3="","",((IF(入力データ!$C$13="持ち家",IF(X4&lt;=前提条件!$C$44,入力データ!$C$53,0),入力データ!$C$53)+入力データ!$C$54+入力データ!$C$55+入力データ!$C$56)*12+IF(入力データ!$C$13="持ち家",入力データ!$C$83+前提条件!$C$47,入力データ!$C$84+前提条件!$C$48))*(1+前提条件!$C$15)^(X$3-$B$3))</f>
        <v/>
      </c>
      <c r="Y21" s="352">
        <f>IF(Y$3="","",((IF(入力データ!$C$13="持ち家",IF(Y4&lt;=前提条件!$C$44,入力データ!$C$53,0),入力データ!$C$53)+入力データ!$C$54+入力データ!$C$55+入力データ!$C$56)*12+IF(入力データ!$C$13="持ち家",入力データ!$C$83+前提条件!$C$47,入力データ!$C$84+前提条件!$C$48))*(1+前提条件!$C$15)^(Y$3-$B$3))</f>
        <v/>
      </c>
      <c r="Z21" s="352">
        <f>IF(Z$3="","",((IF(入力データ!$C$13="持ち家",IF(Z4&lt;=前提条件!$C$44,入力データ!$C$53,0),入力データ!$C$53)+入力データ!$C$54+入力データ!$C$55+入力データ!$C$56)*12+IF(入力データ!$C$13="持ち家",入力データ!$C$83+前提条件!$C$47,入力データ!$C$84+前提条件!$C$48))*(1+前提条件!$C$15)^(Z$3-$B$3))</f>
        <v/>
      </c>
      <c r="AA21" s="352">
        <f>IF(AA$3="","",((IF(入力データ!$C$13="持ち家",IF(AA4&lt;=前提条件!$C$44,入力データ!$C$53,0),入力データ!$C$53)+入力データ!$C$54+入力データ!$C$55+入力データ!$C$56)*12+IF(入力データ!$C$13="持ち家",入力データ!$C$83+前提条件!$C$47,入力データ!$C$84+前提条件!$C$48))*(1+前提条件!$C$15)^(AA$3-$B$3))</f>
        <v/>
      </c>
      <c r="AB21" s="352">
        <f>IF(AB$3="","",((IF(入力データ!$C$13="持ち家",IF(AB4&lt;=前提条件!$C$44,入力データ!$C$53,0),入力データ!$C$53)+入力データ!$C$54+入力データ!$C$55+入力データ!$C$56)*12+IF(入力データ!$C$13="持ち家",入力データ!$C$83+前提条件!$C$47,入力データ!$C$84+前提条件!$C$48))*(1+前提条件!$C$15)^(AB$3-$B$3))</f>
        <v/>
      </c>
      <c r="AC21" s="352">
        <f>IF(AC$3="","",((IF(入力データ!$C$13="持ち家",IF(AC4&lt;=前提条件!$C$44,入力データ!$C$53,0),入力データ!$C$53)+入力データ!$C$54+入力データ!$C$55+入力データ!$C$56)*12+IF(入力データ!$C$13="持ち家",入力データ!$C$83+前提条件!$C$47,入力データ!$C$84+前提条件!$C$48))*(1+前提条件!$C$15)^(AC$3-$B$3))</f>
        <v/>
      </c>
      <c r="AD21" s="352">
        <f>IF(AD$3="","",((IF(入力データ!$C$13="持ち家",IF(AD4&lt;=前提条件!$C$44,入力データ!$C$53,0),入力データ!$C$53)+入力データ!$C$54+入力データ!$C$55+入力データ!$C$56)*12+IF(入力データ!$C$13="持ち家",入力データ!$C$83+前提条件!$C$47,入力データ!$C$84+前提条件!$C$48))*(1+前提条件!$C$15)^(AD$3-$B$3))</f>
        <v/>
      </c>
      <c r="AE21" s="352">
        <f>IF(AE$3="","",((IF(入力データ!$C$13="持ち家",IF(AE4&lt;=前提条件!$C$44,入力データ!$C$53,0),入力データ!$C$53)+入力データ!$C$54+入力データ!$C$55+入力データ!$C$56)*12+IF(入力データ!$C$13="持ち家",入力データ!$C$83+前提条件!$C$47,入力データ!$C$84+前提条件!$C$48))*(1+前提条件!$C$15)^(AE$3-$B$3))</f>
        <v/>
      </c>
      <c r="AF21" s="352">
        <f>IF(AF$3="","",((IF(入力データ!$C$13="持ち家",IF(AF4&lt;=前提条件!$C$44,入力データ!$C$53,0),入力データ!$C$53)+入力データ!$C$54+入力データ!$C$55+入力データ!$C$56)*12+IF(入力データ!$C$13="持ち家",入力データ!$C$83+前提条件!$C$47,入力データ!$C$84+前提条件!$C$48))*(1+前提条件!$C$15)^(AF$3-$B$3))</f>
        <v/>
      </c>
      <c r="AG21" s="352">
        <f>IF(AG$3="","",((IF(入力データ!$C$13="持ち家",IF(AG4&lt;=前提条件!$C$44,入力データ!$C$53,0),入力データ!$C$53)+入力データ!$C$54+入力データ!$C$55+入力データ!$C$56)*12+IF(入力データ!$C$13="持ち家",入力データ!$C$83+前提条件!$C$47,入力データ!$C$84+前提条件!$C$48))*(1+前提条件!$C$15)^(AG$3-$B$3))</f>
        <v/>
      </c>
      <c r="AH21" s="352">
        <f>IF(AH$3="","",((IF(入力データ!$C$13="持ち家",IF(AH4&lt;=前提条件!$C$44,入力データ!$C$53,0),入力データ!$C$53)+入力データ!$C$54+入力データ!$C$55+入力データ!$C$56)*12+IF(入力データ!$C$13="持ち家",入力データ!$C$83+前提条件!$C$47,入力データ!$C$84+前提条件!$C$48))*(1+前提条件!$C$15)^(AH$3-$B$3))</f>
        <v/>
      </c>
      <c r="AI21" s="352">
        <f>IF(AI$3="","",((IF(入力データ!$C$13="持ち家",IF(AI4&lt;=前提条件!$C$44,入力データ!$C$53,0),入力データ!$C$53)+入力データ!$C$54+入力データ!$C$55+入力データ!$C$56)*12+IF(入力データ!$C$13="持ち家",入力データ!$C$83+前提条件!$C$47,入力データ!$C$84+前提条件!$C$48))*(1+前提条件!$C$15)^(AI$3-$B$3))</f>
        <v/>
      </c>
      <c r="AJ21" s="352">
        <f>IF(AJ$3="","",((IF(入力データ!$C$13="持ち家",IF(AJ4&lt;=前提条件!$C$44,入力データ!$C$53,0),入力データ!$C$53)+入力データ!$C$54+入力データ!$C$55+入力データ!$C$56)*12+IF(入力データ!$C$13="持ち家",入力データ!$C$83+前提条件!$C$47,入力データ!$C$84+前提条件!$C$48))*(1+前提条件!$C$15)^(AJ$3-$B$3))</f>
        <v/>
      </c>
      <c r="AK21" s="352">
        <f>IF(AK$3="","",((IF(入力データ!$C$13="持ち家",IF(AK4&lt;=前提条件!$C$44,入力データ!$C$53,0),入力データ!$C$53)+入力データ!$C$54+入力データ!$C$55+入力データ!$C$56)*12+IF(入力データ!$C$13="持ち家",入力データ!$C$83+前提条件!$C$47,入力データ!$C$84+前提条件!$C$48))*(1+前提条件!$C$15)^(AK$3-$B$3))</f>
        <v/>
      </c>
      <c r="AL21" s="352">
        <f>IF(AL$3="","",((IF(入力データ!$C$13="持ち家",IF(AL4&lt;=前提条件!$C$44,入力データ!$C$53,0),入力データ!$C$53)+入力データ!$C$54+入力データ!$C$55+入力データ!$C$56)*12+IF(入力データ!$C$13="持ち家",入力データ!$C$83+前提条件!$C$47,入力データ!$C$84+前提条件!$C$48))*(1+前提条件!$C$15)^(AL$3-$B$3))</f>
        <v/>
      </c>
      <c r="AM21" s="352">
        <f>IF(AM$3="","",((IF(入力データ!$C$13="持ち家",IF(AM4&lt;=前提条件!$C$44,入力データ!$C$53,0),入力データ!$C$53)+入力データ!$C$54+入力データ!$C$55+入力データ!$C$56)*12+IF(入力データ!$C$13="持ち家",入力データ!$C$83+前提条件!$C$47,入力データ!$C$84+前提条件!$C$48))*(1+前提条件!$C$15)^(AM$3-$B$3))</f>
        <v/>
      </c>
      <c r="AN21" s="352">
        <f>IF(AN$3="","",((IF(入力データ!$C$13="持ち家",IF(AN4&lt;=前提条件!$C$44,入力データ!$C$53,0),入力データ!$C$53)+入力データ!$C$54+入力データ!$C$55+入力データ!$C$56)*12+IF(入力データ!$C$13="持ち家",入力データ!$C$83+前提条件!$C$47,入力データ!$C$84+前提条件!$C$48))*(1+前提条件!$C$15)^(AN$3-$B$3))</f>
        <v/>
      </c>
      <c r="AO21" s="352">
        <f>IF(AO$3="","",((IF(入力データ!$C$13="持ち家",IF(AO4&lt;=前提条件!$C$44,入力データ!$C$53,0),入力データ!$C$53)+入力データ!$C$54+入力データ!$C$55+入力データ!$C$56)*12+IF(入力データ!$C$13="持ち家",入力データ!$C$83+前提条件!$C$47,入力データ!$C$84+前提条件!$C$48))*(1+前提条件!$C$15)^(AO$3-$B$3))</f>
        <v/>
      </c>
      <c r="AP21" s="352">
        <f>IF(AP$3="","",((IF(入力データ!$C$13="持ち家",IF(AP4&lt;=前提条件!$C$44,入力データ!$C$53,0),入力データ!$C$53)+入力データ!$C$54+入力データ!$C$55+入力データ!$C$56)*12+IF(入力データ!$C$13="持ち家",入力データ!$C$83+前提条件!$C$47,入力データ!$C$84+前提条件!$C$48))*(1+前提条件!$C$15)^(AP$3-$B$3))</f>
        <v/>
      </c>
      <c r="AQ21" s="352">
        <f>IF(AQ$3="","",((IF(入力データ!$C$13="持ち家",IF(AQ4&lt;=前提条件!$C$44,入力データ!$C$53,0),入力データ!$C$53)+入力データ!$C$54+入力データ!$C$55+入力データ!$C$56)*12+IF(入力データ!$C$13="持ち家",入力データ!$C$83+前提条件!$C$47,入力データ!$C$84+前提条件!$C$48))*(1+前提条件!$C$15)^(AQ$3-$B$3))</f>
        <v/>
      </c>
      <c r="AR21" s="352">
        <f>IF(AR$3="","",((IF(入力データ!$C$13="持ち家",IF(AR4&lt;=前提条件!$C$44,入力データ!$C$53,0),入力データ!$C$53)+入力データ!$C$54+入力データ!$C$55+入力データ!$C$56)*12+IF(入力データ!$C$13="持ち家",入力データ!$C$83+前提条件!$C$47,入力データ!$C$84+前提条件!$C$48))*(1+前提条件!$C$15)^(AR$3-$B$3))</f>
        <v/>
      </c>
      <c r="AS21" s="352">
        <f>IF(AS$3="","",((IF(入力データ!$C$13="持ち家",IF(AS4&lt;=前提条件!$C$44,入力データ!$C$53,0),入力データ!$C$53)+入力データ!$C$54+入力データ!$C$55+入力データ!$C$56)*12+IF(入力データ!$C$13="持ち家",入力データ!$C$83+前提条件!$C$47,入力データ!$C$84+前提条件!$C$48))*(1+前提条件!$C$15)^(AS$3-$B$3))</f>
        <v/>
      </c>
      <c r="AT21" s="352">
        <f>IF(AT$3="","",((IF(入力データ!$C$13="持ち家",IF(AT4&lt;=前提条件!$C$44,入力データ!$C$53,0),入力データ!$C$53)+入力データ!$C$54+入力データ!$C$55+入力データ!$C$56)*12+IF(入力データ!$C$13="持ち家",入力データ!$C$83+前提条件!$C$47,入力データ!$C$84+前提条件!$C$48))*(1+前提条件!$C$15)^(AT$3-$B$3))</f>
        <v/>
      </c>
      <c r="AU21" s="352">
        <f>IF(AU$3="","",((IF(入力データ!$C$13="持ち家",IF(AU4&lt;=前提条件!$C$44,入力データ!$C$53,0),入力データ!$C$53)+入力データ!$C$54+入力データ!$C$55+入力データ!$C$56)*12+IF(入力データ!$C$13="持ち家",入力データ!$C$83+前提条件!$C$47,入力データ!$C$84+前提条件!$C$48))*(1+前提条件!$C$15)^(AU$3-$B$3))</f>
        <v/>
      </c>
      <c r="AV21" s="352">
        <f>IF(AV$3="","",((IF(入力データ!$C$13="持ち家",IF(AV4&lt;=前提条件!$C$44,入力データ!$C$53,0),入力データ!$C$53)+入力データ!$C$54+入力データ!$C$55+入力データ!$C$56)*12+IF(入力データ!$C$13="持ち家",入力データ!$C$83+前提条件!$C$47,入力データ!$C$84+前提条件!$C$48))*(1+前提条件!$C$15)^(AV$3-$B$3))</f>
        <v/>
      </c>
      <c r="AW21" s="352">
        <f>IF(AW$3="","",((IF(入力データ!$C$13="持ち家",IF(AW4&lt;=前提条件!$C$44,入力データ!$C$53,0),入力データ!$C$53)+入力データ!$C$54+入力データ!$C$55+入力データ!$C$56)*12+IF(入力データ!$C$13="持ち家",入力データ!$C$83+前提条件!$C$47,入力データ!$C$84+前提条件!$C$48))*(1+前提条件!$C$15)^(AW$3-$B$3))</f>
        <v/>
      </c>
      <c r="AX21" s="352">
        <f>IF(AX$3="","",((IF(入力データ!$C$13="持ち家",IF(AX4&lt;=前提条件!$C$44,入力データ!$C$53,0),入力データ!$C$53)+入力データ!$C$54+入力データ!$C$55+入力データ!$C$56)*12+IF(入力データ!$C$13="持ち家",入力データ!$C$83+前提条件!$C$47,入力データ!$C$84+前提条件!$C$48))*(1+前提条件!$C$15)^(AX$3-$B$3))</f>
        <v/>
      </c>
      <c r="AY21" s="352">
        <f>IF(AY$3="","",((IF(入力データ!$C$13="持ち家",IF(AY4&lt;=前提条件!$C$44,入力データ!$C$53,0),入力データ!$C$53)+入力データ!$C$54+入力データ!$C$55+入力データ!$C$56)*12+IF(入力データ!$C$13="持ち家",入力データ!$C$83+前提条件!$C$47,入力データ!$C$84+前提条件!$C$48))*(1+前提条件!$C$15)^(AY$3-$B$3))</f>
        <v/>
      </c>
      <c r="AZ21" s="352">
        <f>IF(AZ$3="","",((IF(入力データ!$C$13="持ち家",IF(AZ4&lt;=前提条件!$C$44,入力データ!$C$53,0),入力データ!$C$53)+入力データ!$C$54+入力データ!$C$55+入力データ!$C$56)*12+IF(入力データ!$C$13="持ち家",入力データ!$C$83+前提条件!$C$47,入力データ!$C$84+前提条件!$C$48))*(1+前提条件!$C$15)^(AZ$3-$B$3))</f>
        <v/>
      </c>
      <c r="BA21" s="352">
        <f>IF(BA$3="","",((IF(入力データ!$C$13="持ち家",IF(BA4&lt;=前提条件!$C$44,入力データ!$C$53,0),入力データ!$C$53)+入力データ!$C$54+入力データ!$C$55+入力データ!$C$56)*12+IF(入力データ!$C$13="持ち家",入力データ!$C$83+前提条件!$C$47,入力データ!$C$84+前提条件!$C$48))*(1+前提条件!$C$15)^(BA$3-$B$3))</f>
        <v/>
      </c>
      <c r="BB21" s="352">
        <f>IF(BB$3="","",((IF(入力データ!$C$13="持ち家",IF(BB4&lt;=前提条件!$C$44,入力データ!$C$53,0),入力データ!$C$53)+入力データ!$C$54+入力データ!$C$55+入力データ!$C$56)*12+IF(入力データ!$C$13="持ち家",入力データ!$C$83+前提条件!$C$47,入力データ!$C$84+前提条件!$C$48))*(1+前提条件!$C$15)^(BB$3-$B$3))</f>
        <v/>
      </c>
      <c r="BC21" s="352">
        <f>IF(BC$3="","",((IF(入力データ!$C$13="持ち家",IF(BC4&lt;=前提条件!$C$44,入力データ!$C$53,0),入力データ!$C$53)+入力データ!$C$54+入力データ!$C$55+入力データ!$C$56)*12+IF(入力データ!$C$13="持ち家",入力データ!$C$83+前提条件!$C$47,入力データ!$C$84+前提条件!$C$48))*(1+前提条件!$C$15)^(BC$3-$B$3))</f>
        <v/>
      </c>
      <c r="BD21" s="352">
        <f>IF(BD$3="","",((IF(入力データ!$C$13="持ち家",IF(BD4&lt;=前提条件!$C$44,入力データ!$C$53,0),入力データ!$C$53)+入力データ!$C$54+入力データ!$C$55+入力データ!$C$56)*12+IF(入力データ!$C$13="持ち家",入力データ!$C$83+前提条件!$C$47,入力データ!$C$84+前提条件!$C$48))*(1+前提条件!$C$15)^(BD$3-$B$3))</f>
        <v/>
      </c>
      <c r="BE21" s="352">
        <f>IF(BE$3="","",((IF(入力データ!$C$13="持ち家",IF(BE4&lt;=前提条件!$C$44,入力データ!$C$53,0),入力データ!$C$53)+入力データ!$C$54+入力データ!$C$55+入力データ!$C$56)*12+IF(入力データ!$C$13="持ち家",入力データ!$C$83+前提条件!$C$47,入力データ!$C$84+前提条件!$C$48))*(1+前提条件!$C$15)^(BE$3-$B$3))</f>
        <v/>
      </c>
      <c r="BF21" s="352">
        <f>IF(BF$3="","",((IF(入力データ!$C$13="持ち家",IF(BF4&lt;=前提条件!$C$44,入力データ!$C$53,0),入力データ!$C$53)+入力データ!$C$54+入力データ!$C$55+入力データ!$C$56)*12+IF(入力データ!$C$13="持ち家",入力データ!$C$83+前提条件!$C$47,入力データ!$C$84+前提条件!$C$48))*(1+前提条件!$C$15)^(BF$3-$B$3))</f>
        <v/>
      </c>
      <c r="BG21" s="352">
        <f>IF(BG$3="","",((IF(入力データ!$C$13="持ち家",IF(BG4&lt;=前提条件!$C$44,入力データ!$C$53,0),入力データ!$C$53)+入力データ!$C$54+入力データ!$C$55+入力データ!$C$56)*12+IF(入力データ!$C$13="持ち家",入力データ!$C$83+前提条件!$C$47,入力データ!$C$84+前提条件!$C$48))*(1+前提条件!$C$15)^(BG$3-$B$3))</f>
        <v/>
      </c>
      <c r="BH21" s="352">
        <f>IF(BH$3="","",((IF(入力データ!$C$13="持ち家",IF(BH4&lt;=前提条件!$C$44,入力データ!$C$53,0),入力データ!$C$53)+入力データ!$C$54+入力データ!$C$55+入力データ!$C$56)*12+IF(入力データ!$C$13="持ち家",入力データ!$C$83+前提条件!$C$47,入力データ!$C$84+前提条件!$C$48))*(1+前提条件!$C$15)^(BH$3-$B$3))</f>
        <v/>
      </c>
      <c r="BI21" s="352">
        <f>IF(BI$3="","",((IF(入力データ!$C$13="持ち家",IF(BI4&lt;=前提条件!$C$44,入力データ!$C$53,0),入力データ!$C$53)+入力データ!$C$54+入力データ!$C$55+入力データ!$C$56)*12+IF(入力データ!$C$13="持ち家",入力データ!$C$83+前提条件!$C$47,入力データ!$C$84+前提条件!$C$48))*(1+前提条件!$C$15)^(BI$3-$B$3))</f>
        <v/>
      </c>
      <c r="BJ21" s="352">
        <f>IF(BJ$3="","",((IF(入力データ!$C$13="持ち家",IF(BJ4&lt;=前提条件!$C$44,入力データ!$C$53,0),入力データ!$C$53)+入力データ!$C$54+入力データ!$C$55+入力データ!$C$56)*12+IF(入力データ!$C$13="持ち家",入力データ!$C$83+前提条件!$C$47,入力データ!$C$84+前提条件!$C$48))*(1+前提条件!$C$15)^(BJ$3-$B$3))</f>
        <v/>
      </c>
      <c r="BK21" s="352">
        <f>IF(BK$3="","",((IF(入力データ!$C$13="持ち家",IF(BK4&lt;=前提条件!$C$44,入力データ!$C$53,0),入力データ!$C$53)+入力データ!$C$54+入力データ!$C$55+入力データ!$C$56)*12+IF(入力データ!$C$13="持ち家",入力データ!$C$83+前提条件!$C$47,入力データ!$C$84+前提条件!$C$48))*(1+前提条件!$C$15)^(BK$3-$B$3))</f>
        <v/>
      </c>
      <c r="BL21" s="352">
        <f>IF(BL$3="","",((IF(入力データ!$C$13="持ち家",IF(BL4&lt;=前提条件!$C$44,入力データ!$C$53,0),入力データ!$C$53)+入力データ!$C$54+入力データ!$C$55+入力データ!$C$56)*12+IF(入力データ!$C$13="持ち家",入力データ!$C$83+前提条件!$C$47,入力データ!$C$84+前提条件!$C$48))*(1+前提条件!$C$15)^(BL$3-$B$3))</f>
        <v/>
      </c>
      <c r="BM21" s="352">
        <f>IF(BM$3="","",((IF(入力データ!$C$13="持ち家",IF(BM4&lt;=前提条件!$C$44,入力データ!$C$53,0),入力データ!$C$53)+入力データ!$C$54+入力データ!$C$55+入力データ!$C$56)*12+IF(入力データ!$C$13="持ち家",入力データ!$C$83+前提条件!$C$47,入力データ!$C$84+前提条件!$C$48))*(1+前提条件!$C$15)^(BM$3-$B$3))</f>
        <v/>
      </c>
      <c r="BN21" s="352">
        <f>IF(BN$3="","",((IF(入力データ!$C$13="持ち家",IF(BN4&lt;=前提条件!$C$44,入力データ!$C$53,0),入力データ!$C$53)+入力データ!$C$54+入力データ!$C$55+入力データ!$C$56)*12+IF(入力データ!$C$13="持ち家",入力データ!$C$83+前提条件!$C$47,入力データ!$C$84+前提条件!$C$48))*(1+前提条件!$C$15)^(BN$3-$B$3))</f>
        <v/>
      </c>
      <c r="BO21" s="352">
        <f>IF(BO$3="","",((IF(入力データ!$C$13="持ち家",IF(BO4&lt;=前提条件!$C$44,入力データ!$C$53,0),入力データ!$C$53)+入力データ!$C$54+入力データ!$C$55+入力データ!$C$56)*12+IF(入力データ!$C$13="持ち家",入力データ!$C$83+前提条件!$C$47,入力データ!$C$84+前提条件!$C$48))*(1+前提条件!$C$15)^(BO$3-$B$3))</f>
        <v/>
      </c>
      <c r="BP21" s="352">
        <f>IF(BP$3="","",((IF(入力データ!$C$13="持ち家",IF(BP4&lt;=前提条件!$C$44,入力データ!$C$53,0),入力データ!$C$53)+入力データ!$C$54+入力データ!$C$55+入力データ!$C$56)*12+IF(入力データ!$C$13="持ち家",入力データ!$C$83+前提条件!$C$47,入力データ!$C$84+前提条件!$C$48))*(1+前提条件!$C$15)^(BP$3-$B$3))</f>
        <v/>
      </c>
      <c r="BQ21" s="352">
        <f>IF(BQ$3="","",((IF(入力データ!$C$13="持ち家",IF(BQ4&lt;=前提条件!$C$44,入力データ!$C$53,0),入力データ!$C$53)+入力データ!$C$54+入力データ!$C$55+入力データ!$C$56)*12+IF(入力データ!$C$13="持ち家",入力データ!$C$83+前提条件!$C$47,入力データ!$C$84+前提条件!$C$48))*(1+前提条件!$C$15)^(BQ$3-$B$3))</f>
        <v/>
      </c>
      <c r="BR21" s="352">
        <f>IF(BR$3="","",((IF(入力データ!$C$13="持ち家",IF(BR4&lt;=前提条件!$C$44,入力データ!$C$53,0),入力データ!$C$53)+入力データ!$C$54+入力データ!$C$55+入力データ!$C$56)*12+IF(入力データ!$C$13="持ち家",入力データ!$C$83+前提条件!$C$47,入力データ!$C$84+前提条件!$C$48))*(1+前提条件!$C$15)^(BR$3-$B$3))</f>
        <v/>
      </c>
      <c r="BS21" s="352">
        <f>IF(BS$3="","",((IF(入力データ!$C$13="持ち家",IF(BS4&lt;=前提条件!$C$44,入力データ!$C$53,0),入力データ!$C$53)+入力データ!$C$54+入力データ!$C$55+入力データ!$C$56)*12+IF(入力データ!$C$13="持ち家",入力データ!$C$83+前提条件!$C$47,入力データ!$C$84+前提条件!$C$48))*(1+前提条件!$C$15)^(BS$3-$B$3))</f>
        <v/>
      </c>
      <c r="BT21" s="352">
        <f>IF(BT$3="","",((IF(入力データ!$C$13="持ち家",IF(BT4&lt;=前提条件!$C$44,入力データ!$C$53,0),入力データ!$C$53)+入力データ!$C$54+入力データ!$C$55+入力データ!$C$56)*12+IF(入力データ!$C$13="持ち家",入力データ!$C$83+前提条件!$C$47,入力データ!$C$84+前提条件!$C$48))*(1+前提条件!$C$15)^(BT$3-$B$3))</f>
        <v/>
      </c>
      <c r="BU21" s="352">
        <f>IF(BU$3="","",((IF(入力データ!$C$13="持ち家",IF(BU4&lt;=前提条件!$C$44,入力データ!$C$53,0),入力データ!$C$53)+入力データ!$C$54+入力データ!$C$55+入力データ!$C$56)*12+IF(入力データ!$C$13="持ち家",入力データ!$C$83+前提条件!$C$47,入力データ!$C$84+前提条件!$C$48))*(1+前提条件!$C$15)^(BU$3-$B$3))</f>
        <v/>
      </c>
      <c r="BV21" s="352">
        <f>IF(BV$3="","",((IF(入力データ!$C$13="持ち家",IF(BV4&lt;=前提条件!$C$44,入力データ!$C$53,0),入力データ!$C$53)+入力データ!$C$54+入力データ!$C$55+入力データ!$C$56)*12+IF(入力データ!$C$13="持ち家",入力データ!$C$83+前提条件!$C$47,入力データ!$C$84+前提条件!$C$48))*(1+前提条件!$C$15)^(BV$3-$B$3))</f>
        <v/>
      </c>
      <c r="BW21" s="352">
        <f>IF(BW$3="","",((IF(入力データ!$C$13="持ち家",IF(BW4&lt;=前提条件!$C$44,入力データ!$C$53,0),入力データ!$C$53)+入力データ!$C$54+入力データ!$C$55+入力データ!$C$56)*12+IF(入力データ!$C$13="持ち家",入力データ!$C$83+前提条件!$C$47,入力データ!$C$84+前提条件!$C$48))*(1+前提条件!$C$15)^(BW$3-$B$3))</f>
        <v/>
      </c>
      <c r="BX21" s="352">
        <f>IF(BX$3="","",((IF(入力データ!$C$13="持ち家",IF(BX4&lt;=前提条件!$C$44,入力データ!$C$53,0),入力データ!$C$53)+入力データ!$C$54+入力データ!$C$55+入力データ!$C$56)*12+IF(入力データ!$C$13="持ち家",入力データ!$C$83+前提条件!$C$47,入力データ!$C$84+前提条件!$C$48))*(1+前提条件!$C$15)^(BX$3-$B$3))</f>
        <v/>
      </c>
      <c r="BY21" s="352">
        <f>IF(BY$3="","",((IF(入力データ!$C$13="持ち家",IF(BY4&lt;=前提条件!$C$44,入力データ!$C$53,0),入力データ!$C$53)+入力データ!$C$54+入力データ!$C$55+入力データ!$C$56)*12+IF(入力データ!$C$13="持ち家",入力データ!$C$83+前提条件!$C$47,入力データ!$C$84+前提条件!$C$48))*(1+前提条件!$C$15)^(BY$3-$B$3))</f>
        <v/>
      </c>
      <c r="BZ21" s="352">
        <f>IF(BZ$3="","",((IF(入力データ!$C$13="持ち家",IF(BZ4&lt;=前提条件!$C$44,入力データ!$C$53,0),入力データ!$C$53)+入力データ!$C$54+入力データ!$C$55+入力データ!$C$56)*12+IF(入力データ!$C$13="持ち家",入力データ!$C$83+前提条件!$C$47,入力データ!$C$84+前提条件!$C$48))*(1+前提条件!$C$15)^(BZ$3-$B$3))</f>
        <v/>
      </c>
      <c r="CA21" s="352">
        <f>IF(CA$3="","",((IF(入力データ!$C$13="持ち家",IF(CA4&lt;=前提条件!$C$44,入力データ!$C$53,0),入力データ!$C$53)+入力データ!$C$54+入力データ!$C$55+入力データ!$C$56)*12+IF(入力データ!$C$13="持ち家",入力データ!$C$83+前提条件!$C$47,入力データ!$C$84+前提条件!$C$48))*(1+前提条件!$C$15)^(CA$3-$B$3))</f>
        <v/>
      </c>
      <c r="CB21" s="352">
        <f>IF(CB$3="","",((IF(入力データ!$C$13="持ち家",IF(CB4&lt;=前提条件!$C$44,入力データ!$C$53,0),入力データ!$C$53)+入力データ!$C$54+入力データ!$C$55+入力データ!$C$56)*12+IF(入力データ!$C$13="持ち家",入力データ!$C$83+前提条件!$C$47,入力データ!$C$84+前提条件!$C$48))*(1+前提条件!$C$15)^(CB$3-$B$3))</f>
        <v/>
      </c>
      <c r="CC21" s="352">
        <f>IF(CC$3="","",((IF(入力データ!$C$13="持ち家",IF(CC4&lt;=前提条件!$C$44,入力データ!$C$53,0),入力データ!$C$53)+入力データ!$C$54+入力データ!$C$55+入力データ!$C$56)*12+IF(入力データ!$C$13="持ち家",入力データ!$C$83+前提条件!$C$47,入力データ!$C$84+前提条件!$C$48))*(1+前提条件!$C$15)^(CC$3-$B$3))</f>
        <v/>
      </c>
      <c r="CD21" s="352">
        <f>IF(CD$3="","",((IF(入力データ!$C$13="持ち家",IF(CD4&lt;=前提条件!$C$44,入力データ!$C$53,0),入力データ!$C$53)+入力データ!$C$54+入力データ!$C$55+入力データ!$C$56)*12+IF(入力データ!$C$13="持ち家",入力データ!$C$83+前提条件!$C$47,入力データ!$C$84+前提条件!$C$48))*(1+前提条件!$C$15)^(CD$3-$B$3))</f>
        <v/>
      </c>
      <c r="CE21" s="352">
        <f>IF(CE$3="","",((IF(入力データ!$C$13="持ち家",IF(CE4&lt;=前提条件!$C$44,入力データ!$C$53,0),入力データ!$C$53)+入力データ!$C$54+入力データ!$C$55+入力データ!$C$56)*12+IF(入力データ!$C$13="持ち家",入力データ!$C$83+前提条件!$C$47,入力データ!$C$84+前提条件!$C$48))*(1+前提条件!$C$15)^(CE$3-$B$3))</f>
        <v/>
      </c>
      <c r="CF21" s="352">
        <f>IF(CF$3="","",((IF(入力データ!$C$13="持ち家",IF(CF4&lt;=前提条件!$C$44,入力データ!$C$53,0),入力データ!$C$53)+入力データ!$C$54+入力データ!$C$55+入力データ!$C$56)*12+IF(入力データ!$C$13="持ち家",入力データ!$C$83+前提条件!$C$47,入力データ!$C$84+前提条件!$C$48))*(1+前提条件!$C$15)^(CF$3-$B$3))</f>
        <v/>
      </c>
      <c r="CG21" s="352">
        <f>IF(CG$3="","",((IF(入力データ!$C$13="持ち家",IF(CG4&lt;=前提条件!$C$44,入力データ!$C$53,0),入力データ!$C$53)+入力データ!$C$54+入力データ!$C$55+入力データ!$C$56)*12+IF(入力データ!$C$13="持ち家",入力データ!$C$83+前提条件!$C$47,入力データ!$C$84+前提条件!$C$48))*(1+前提条件!$C$15)^(CG$3-$B$3))</f>
        <v/>
      </c>
      <c r="CH21" s="352">
        <f>IF(CH$3="","",((IF(入力データ!$C$13="持ち家",IF(CH4&lt;=前提条件!$C$44,入力データ!$C$53,0),入力データ!$C$53)+入力データ!$C$54+入力データ!$C$55+入力データ!$C$56)*12+IF(入力データ!$C$13="持ち家",入力データ!$C$83+前提条件!$C$47,入力データ!$C$84+前提条件!$C$48))*(1+前提条件!$C$15)^(CH$3-$B$3))</f>
        <v/>
      </c>
      <c r="CI21" s="352">
        <f>IF(CI$3="","",((IF(入力データ!$C$13="持ち家",IF(CI4&lt;=前提条件!$C$44,入力データ!$C$53,0),入力データ!$C$53)+入力データ!$C$54+入力データ!$C$55+入力データ!$C$56)*12+IF(入力データ!$C$13="持ち家",入力データ!$C$83+前提条件!$C$47,入力データ!$C$84+前提条件!$C$48))*(1+前提条件!$C$15)^(CI$3-$B$3))</f>
        <v/>
      </c>
      <c r="CJ21" s="352">
        <f>IF(CJ$3="","",((IF(入力データ!$C$13="持ち家",IF(CJ4&lt;=前提条件!$C$44,入力データ!$C$53,0),入力データ!$C$53)+入力データ!$C$54+入力データ!$C$55+入力データ!$C$56)*12+IF(入力データ!$C$13="持ち家",入力データ!$C$83+前提条件!$C$47,入力データ!$C$84+前提条件!$C$48))*(1+前提条件!$C$15)^(CJ$3-$B$3))</f>
        <v/>
      </c>
      <c r="CK21" s="352">
        <f>IF(CK$3="","",((IF(入力データ!$C$13="持ち家",IF(CK4&lt;=前提条件!$C$44,入力データ!$C$53,0),入力データ!$C$53)+入力データ!$C$54+入力データ!$C$55+入力データ!$C$56)*12+IF(入力データ!$C$13="持ち家",入力データ!$C$83+前提条件!$C$47,入力データ!$C$84+前提条件!$C$48))*(1+前提条件!$C$15)^(CK$3-$B$3))</f>
        <v/>
      </c>
      <c r="CL21" s="352">
        <f>IF(CL$3="","",((IF(入力データ!$C$13="持ち家",IF(CL4&lt;=前提条件!$C$44,入力データ!$C$53,0),入力データ!$C$53)+入力データ!$C$54+入力データ!$C$55+入力データ!$C$56)*12+IF(入力データ!$C$13="持ち家",入力データ!$C$83+前提条件!$C$47,入力データ!$C$84+前提条件!$C$48))*(1+前提条件!$C$15)^(CL$3-$B$3))</f>
        <v/>
      </c>
      <c r="CM21" s="352">
        <f>IF(CM$3="","",((IF(入力データ!$C$13="持ち家",IF(CM4&lt;=前提条件!$C$44,入力データ!$C$53,0),入力データ!$C$53)+入力データ!$C$54+入力データ!$C$55+入力データ!$C$56)*12+IF(入力データ!$C$13="持ち家",入力データ!$C$83+前提条件!$C$47,入力データ!$C$84+前提条件!$C$48))*(1+前提条件!$C$15)^(CM$3-$B$3))</f>
        <v/>
      </c>
      <c r="CN21" s="352">
        <f>IF(CN$3="","",((IF(入力データ!$C$13="持ち家",IF(CN4&lt;=前提条件!$C$44,入力データ!$C$53,0),入力データ!$C$53)+入力データ!$C$54+入力データ!$C$55+入力データ!$C$56)*12+IF(入力データ!$C$13="持ち家",入力データ!$C$83+前提条件!$C$47,入力データ!$C$84+前提条件!$C$48))*(1+前提条件!$C$15)^(CN$3-$B$3))</f>
        <v/>
      </c>
      <c r="CO21" s="352">
        <f>IF(CO$3="","",((IF(入力データ!$C$13="持ち家",IF(CO4&lt;=前提条件!$C$44,入力データ!$C$53,0),入力データ!$C$53)+入力データ!$C$54+入力データ!$C$55+入力データ!$C$56)*12+IF(入力データ!$C$13="持ち家",入力データ!$C$83+前提条件!$C$47,入力データ!$C$84+前提条件!$C$48))*(1+前提条件!$C$15)^(CO$3-$B$3))</f>
        <v/>
      </c>
      <c r="CP21" s="352">
        <f>IF(CP$3="","",((IF(入力データ!$C$13="持ち家",IF(CP4&lt;=前提条件!$C$44,入力データ!$C$53,0),入力データ!$C$53)+入力データ!$C$54+入力データ!$C$55+入力データ!$C$56)*12+IF(入力データ!$C$13="持ち家",入力データ!$C$83+前提条件!$C$47,入力データ!$C$84+前提条件!$C$48))*(1+前提条件!$C$15)^(CP$3-$B$3))</f>
        <v/>
      </c>
      <c r="CQ21" s="352">
        <f>IF(CQ$3="","",((IF(入力データ!$C$13="持ち家",IF(CQ4&lt;=前提条件!$C$44,入力データ!$C$53,0),入力データ!$C$53)+入力データ!$C$54+入力データ!$C$55+入力データ!$C$56)*12+IF(入力データ!$C$13="持ち家",入力データ!$C$83+前提条件!$C$47,入力データ!$C$84+前提条件!$C$48))*(1+前提条件!$C$15)^(CQ$3-$B$3))</f>
        <v/>
      </c>
      <c r="CR21" s="352">
        <f>IF(CR$3="","",((IF(入力データ!$C$13="持ち家",IF(CR4&lt;=前提条件!$C$44,入力データ!$C$53,0),入力データ!$C$53)+入力データ!$C$54+入力データ!$C$55+入力データ!$C$56)*12+IF(入力データ!$C$13="持ち家",入力データ!$C$83+前提条件!$C$47,入力データ!$C$84+前提条件!$C$48))*(1+前提条件!$C$15)^(CR$3-$B$3))</f>
        <v/>
      </c>
      <c r="CS21" s="352">
        <f>IF(CS$3="","",((IF(入力データ!$C$13="持ち家",IF(CS4&lt;=前提条件!$C$44,入力データ!$C$53,0),入力データ!$C$53)+入力データ!$C$54+入力データ!$C$55+入力データ!$C$56)*12+IF(入力データ!$C$13="持ち家",入力データ!$C$83+前提条件!$C$47,入力データ!$C$84+前提条件!$C$48))*(1+前提条件!$C$15)^(CS$3-$B$3))</f>
        <v/>
      </c>
      <c r="CT21" s="352">
        <f>IF(CT$3="","",((IF(入力データ!$C$13="持ち家",IF(CT4&lt;=前提条件!$C$44,入力データ!$C$53,0),入力データ!$C$53)+入力データ!$C$54+入力データ!$C$55+入力データ!$C$56)*12+IF(入力データ!$C$13="持ち家",入力データ!$C$83+前提条件!$C$47,入力データ!$C$84+前提条件!$C$48))*(1+前提条件!$C$15)^(CT$3-$B$3))</f>
        <v/>
      </c>
      <c r="CU21" s="352">
        <f>IF(CU$3="","",((IF(入力データ!$C$13="持ち家",IF(CU4&lt;=前提条件!$C$44,入力データ!$C$53,0),入力データ!$C$53)+入力データ!$C$54+入力データ!$C$55+入力データ!$C$56)*12+IF(入力データ!$C$13="持ち家",入力データ!$C$83+前提条件!$C$47,入力データ!$C$84+前提条件!$C$48))*(1+前提条件!$C$15)^(CU$3-$B$3))</f>
        <v/>
      </c>
      <c r="CV21" s="352">
        <f>IF(CV$3="","",((IF(入力データ!$C$13="持ち家",IF(CV4&lt;=前提条件!$C$44,入力データ!$C$53,0),入力データ!$C$53)+入力データ!$C$54+入力データ!$C$55+入力データ!$C$56)*12+IF(入力データ!$C$13="持ち家",入力データ!$C$83+前提条件!$C$47,入力データ!$C$84+前提条件!$C$48))*(1+前提条件!$C$15)^(CV$3-$B$3))</f>
        <v/>
      </c>
      <c r="CW21" s="352">
        <f>IF(CW$3="","",((IF(入力データ!$C$13="持ち家",IF(CW4&lt;=前提条件!$C$44,入力データ!$C$53,0),入力データ!$C$53)+入力データ!$C$54+入力データ!$C$55+入力データ!$C$56)*12+IF(入力データ!$C$13="持ち家",入力データ!$C$83+前提条件!$C$47,入力データ!$C$84+前提条件!$C$48))*(1+前提条件!$C$15)^(CW$3-$B$3))</f>
        <v/>
      </c>
    </row>
    <row r="22" ht="15" customHeight="1" s="180">
      <c r="A22" s="224" t="inlineStr">
        <is>
          <t>終身系保険料</t>
        </is>
      </c>
      <c r="B22" s="352">
        <f>IF(B$3="","",SUMPRODUCT(--ISNUMBER(SEARCH("終身",入力データ!$F$5:$F$20)),--(IFERROR(YEAR(入力データ!$J$5:$J$20),0)&lt;=B$3),--(IFERROR(YEAR(入力データ!$K$5:$K$20),9999)&gt;=B$3),入力データ!$M$5:$M$20)*12)</f>
        <v/>
      </c>
      <c r="C22" s="352">
        <f>IF(C$3="","",SUMPRODUCT(--ISNUMBER(SEARCH("終身",入力データ!$F$5:$F$20)),--(IFERROR(YEAR(入力データ!$J$5:$J$20),0)&lt;=C$3),--(IFERROR(YEAR(入力データ!$K$5:$K$20),9999)&gt;=C$3),入力データ!$M$5:$M$20)*12)</f>
        <v/>
      </c>
      <c r="D22" s="352">
        <f>IF(D$3="","",SUMPRODUCT(--ISNUMBER(SEARCH("終身",入力データ!$F$5:$F$20)),--(IFERROR(YEAR(入力データ!$J$5:$J$20),0)&lt;=D$3),--(IFERROR(YEAR(入力データ!$K$5:$K$20),9999)&gt;=D$3),入力データ!$M$5:$M$20)*12)</f>
        <v/>
      </c>
      <c r="E22" s="352">
        <f>IF(E$3="","",SUMPRODUCT(--ISNUMBER(SEARCH("終身",入力データ!$F$5:$F$20)),--(IFERROR(YEAR(入力データ!$J$5:$J$20),0)&lt;=E$3),--(IFERROR(YEAR(入力データ!$K$5:$K$20),9999)&gt;=E$3),入力データ!$M$5:$M$20)*12)</f>
        <v/>
      </c>
      <c r="F22" s="352">
        <f>IF(F$3="","",SUMPRODUCT(--ISNUMBER(SEARCH("終身",入力データ!$F$5:$F$20)),--(IFERROR(YEAR(入力データ!$J$5:$J$20),0)&lt;=F$3),--(IFERROR(YEAR(入力データ!$K$5:$K$20),9999)&gt;=F$3),入力データ!$M$5:$M$20)*12)</f>
        <v/>
      </c>
      <c r="G22" s="352">
        <f>IF(G$3="","",SUMPRODUCT(--ISNUMBER(SEARCH("終身",入力データ!$F$5:$F$20)),--(IFERROR(YEAR(入力データ!$J$5:$J$20),0)&lt;=G$3),--(IFERROR(YEAR(入力データ!$K$5:$K$20),9999)&gt;=G$3),入力データ!$M$5:$M$20)*12)</f>
        <v/>
      </c>
      <c r="H22" s="352">
        <f>IF(H$3="","",SUMPRODUCT(--ISNUMBER(SEARCH("終身",入力データ!$F$5:$F$20)),--(IFERROR(YEAR(入力データ!$J$5:$J$20),0)&lt;=H$3),--(IFERROR(YEAR(入力データ!$K$5:$K$20),9999)&gt;=H$3),入力データ!$M$5:$M$20)*12)</f>
        <v/>
      </c>
      <c r="I22" s="352">
        <f>IF(I$3="","",SUMPRODUCT(--ISNUMBER(SEARCH("終身",入力データ!$F$5:$F$20)),--(IFERROR(YEAR(入力データ!$J$5:$J$20),0)&lt;=I$3),--(IFERROR(YEAR(入力データ!$K$5:$K$20),9999)&gt;=I$3),入力データ!$M$5:$M$20)*12)</f>
        <v/>
      </c>
      <c r="J22" s="352">
        <f>IF(J$3="","",SUMPRODUCT(--ISNUMBER(SEARCH("終身",入力データ!$F$5:$F$20)),--(IFERROR(YEAR(入力データ!$J$5:$J$20),0)&lt;=J$3),--(IFERROR(YEAR(入力データ!$K$5:$K$20),9999)&gt;=J$3),入力データ!$M$5:$M$20)*12)</f>
        <v/>
      </c>
      <c r="K22" s="352">
        <f>IF(K$3="","",SUMPRODUCT(--ISNUMBER(SEARCH("終身",入力データ!$F$5:$F$20)),--(IFERROR(YEAR(入力データ!$J$5:$J$20),0)&lt;=K$3),--(IFERROR(YEAR(入力データ!$K$5:$K$20),9999)&gt;=K$3),入力データ!$M$5:$M$20)*12)</f>
        <v/>
      </c>
      <c r="L22" s="352">
        <f>IF(L$3="","",SUMPRODUCT(--ISNUMBER(SEARCH("終身",入力データ!$F$5:$F$20)),--(IFERROR(YEAR(入力データ!$J$5:$J$20),0)&lt;=L$3),--(IFERROR(YEAR(入力データ!$K$5:$K$20),9999)&gt;=L$3),入力データ!$M$5:$M$20)*12)</f>
        <v/>
      </c>
      <c r="M22" s="352">
        <f>IF(M$3="","",SUMPRODUCT(--ISNUMBER(SEARCH("終身",入力データ!$F$5:$F$20)),--(IFERROR(YEAR(入力データ!$J$5:$J$20),0)&lt;=M$3),--(IFERROR(YEAR(入力データ!$K$5:$K$20),9999)&gt;=M$3),入力データ!$M$5:$M$20)*12)</f>
        <v/>
      </c>
      <c r="N22" s="352">
        <f>IF(N$3="","",SUMPRODUCT(--ISNUMBER(SEARCH("終身",入力データ!$F$5:$F$20)),--(IFERROR(YEAR(入力データ!$J$5:$J$20),0)&lt;=N$3),--(IFERROR(YEAR(入力データ!$K$5:$K$20),9999)&gt;=N$3),入力データ!$M$5:$M$20)*12)</f>
        <v/>
      </c>
      <c r="O22" s="352">
        <f>IF(O$3="","",SUMPRODUCT(--ISNUMBER(SEARCH("終身",入力データ!$F$5:$F$20)),--(IFERROR(YEAR(入力データ!$J$5:$J$20),0)&lt;=O$3),--(IFERROR(YEAR(入力データ!$K$5:$K$20),9999)&gt;=O$3),入力データ!$M$5:$M$20)*12)</f>
        <v/>
      </c>
      <c r="P22" s="352">
        <f>IF(P$3="","",SUMPRODUCT(--ISNUMBER(SEARCH("終身",入力データ!$F$5:$F$20)),--(IFERROR(YEAR(入力データ!$J$5:$J$20),0)&lt;=P$3),--(IFERROR(YEAR(入力データ!$K$5:$K$20),9999)&gt;=P$3),入力データ!$M$5:$M$20)*12)</f>
        <v/>
      </c>
      <c r="Q22" s="352">
        <f>IF(Q$3="","",SUMPRODUCT(--ISNUMBER(SEARCH("終身",入力データ!$F$5:$F$20)),--(IFERROR(YEAR(入力データ!$J$5:$J$20),0)&lt;=Q$3),--(IFERROR(YEAR(入力データ!$K$5:$K$20),9999)&gt;=Q$3),入力データ!$M$5:$M$20)*12)</f>
        <v/>
      </c>
      <c r="R22" s="352">
        <f>IF(R$3="","",SUMPRODUCT(--ISNUMBER(SEARCH("終身",入力データ!$F$5:$F$20)),--(IFERROR(YEAR(入力データ!$J$5:$J$20),0)&lt;=R$3),--(IFERROR(YEAR(入力データ!$K$5:$K$20),9999)&gt;=R$3),入力データ!$M$5:$M$20)*12)</f>
        <v/>
      </c>
      <c r="S22" s="352">
        <f>IF(S$3="","",SUMPRODUCT(--ISNUMBER(SEARCH("終身",入力データ!$F$5:$F$20)),--(IFERROR(YEAR(入力データ!$J$5:$J$20),0)&lt;=S$3),--(IFERROR(YEAR(入力データ!$K$5:$K$20),9999)&gt;=S$3),入力データ!$M$5:$M$20)*12)</f>
        <v/>
      </c>
      <c r="T22" s="352">
        <f>IF(T$3="","",SUMPRODUCT(--ISNUMBER(SEARCH("終身",入力データ!$F$5:$F$20)),--(IFERROR(YEAR(入力データ!$J$5:$J$20),0)&lt;=T$3),--(IFERROR(YEAR(入力データ!$K$5:$K$20),9999)&gt;=T$3),入力データ!$M$5:$M$20)*12)</f>
        <v/>
      </c>
      <c r="U22" s="352">
        <f>IF(U$3="","",SUMPRODUCT(--ISNUMBER(SEARCH("終身",入力データ!$F$5:$F$20)),--(IFERROR(YEAR(入力データ!$J$5:$J$20),0)&lt;=U$3),--(IFERROR(YEAR(入力データ!$K$5:$K$20),9999)&gt;=U$3),入力データ!$M$5:$M$20)*12)</f>
        <v/>
      </c>
      <c r="V22" s="352">
        <f>IF(V$3="","",SUMPRODUCT(--ISNUMBER(SEARCH("終身",入力データ!$F$5:$F$20)),--(IFERROR(YEAR(入力データ!$J$5:$J$20),0)&lt;=V$3),--(IFERROR(YEAR(入力データ!$K$5:$K$20),9999)&gt;=V$3),入力データ!$M$5:$M$20)*12)</f>
        <v/>
      </c>
      <c r="W22" s="352">
        <f>IF(W$3="","",SUMPRODUCT(--ISNUMBER(SEARCH("終身",入力データ!$F$5:$F$20)),--(IFERROR(YEAR(入力データ!$J$5:$J$20),0)&lt;=W$3),--(IFERROR(YEAR(入力データ!$K$5:$K$20),9999)&gt;=W$3),入力データ!$M$5:$M$20)*12)</f>
        <v/>
      </c>
      <c r="X22" s="352">
        <f>IF(X$3="","",SUMPRODUCT(--ISNUMBER(SEARCH("終身",入力データ!$F$5:$F$20)),--(IFERROR(YEAR(入力データ!$J$5:$J$20),0)&lt;=X$3),--(IFERROR(YEAR(入力データ!$K$5:$K$20),9999)&gt;=X$3),入力データ!$M$5:$M$20)*12)</f>
        <v/>
      </c>
      <c r="Y22" s="352">
        <f>IF(Y$3="","",SUMPRODUCT(--ISNUMBER(SEARCH("終身",入力データ!$F$5:$F$20)),--(IFERROR(YEAR(入力データ!$J$5:$J$20),0)&lt;=Y$3),--(IFERROR(YEAR(入力データ!$K$5:$K$20),9999)&gt;=Y$3),入力データ!$M$5:$M$20)*12)</f>
        <v/>
      </c>
      <c r="Z22" s="352">
        <f>IF(Z$3="","",SUMPRODUCT(--ISNUMBER(SEARCH("終身",入力データ!$F$5:$F$20)),--(IFERROR(YEAR(入力データ!$J$5:$J$20),0)&lt;=Z$3),--(IFERROR(YEAR(入力データ!$K$5:$K$20),9999)&gt;=Z$3),入力データ!$M$5:$M$20)*12)</f>
        <v/>
      </c>
      <c r="AA22" s="352">
        <f>IF(AA$3="","",SUMPRODUCT(--ISNUMBER(SEARCH("終身",入力データ!$F$5:$F$20)),--(IFERROR(YEAR(入力データ!$J$5:$J$20),0)&lt;=AA$3),--(IFERROR(YEAR(入力データ!$K$5:$K$20),9999)&gt;=AA$3),入力データ!$M$5:$M$20)*12)</f>
        <v/>
      </c>
      <c r="AB22" s="352">
        <f>IF(AB$3="","",SUMPRODUCT(--ISNUMBER(SEARCH("終身",入力データ!$F$5:$F$20)),--(IFERROR(YEAR(入力データ!$J$5:$J$20),0)&lt;=AB$3),--(IFERROR(YEAR(入力データ!$K$5:$K$20),9999)&gt;=AB$3),入力データ!$M$5:$M$20)*12)</f>
        <v/>
      </c>
      <c r="AC22" s="352">
        <f>IF(AC$3="","",SUMPRODUCT(--ISNUMBER(SEARCH("終身",入力データ!$F$5:$F$20)),--(IFERROR(YEAR(入力データ!$J$5:$J$20),0)&lt;=AC$3),--(IFERROR(YEAR(入力データ!$K$5:$K$20),9999)&gt;=AC$3),入力データ!$M$5:$M$20)*12)</f>
        <v/>
      </c>
      <c r="AD22" s="352">
        <f>IF(AD$3="","",SUMPRODUCT(--ISNUMBER(SEARCH("終身",入力データ!$F$5:$F$20)),--(IFERROR(YEAR(入力データ!$J$5:$J$20),0)&lt;=AD$3),--(IFERROR(YEAR(入力データ!$K$5:$K$20),9999)&gt;=AD$3),入力データ!$M$5:$M$20)*12)</f>
        <v/>
      </c>
      <c r="AE22" s="352">
        <f>IF(AE$3="","",SUMPRODUCT(--ISNUMBER(SEARCH("終身",入力データ!$F$5:$F$20)),--(IFERROR(YEAR(入力データ!$J$5:$J$20),0)&lt;=AE$3),--(IFERROR(YEAR(入力データ!$K$5:$K$20),9999)&gt;=AE$3),入力データ!$M$5:$M$20)*12)</f>
        <v/>
      </c>
      <c r="AF22" s="352">
        <f>IF(AF$3="","",SUMPRODUCT(--ISNUMBER(SEARCH("終身",入力データ!$F$5:$F$20)),--(IFERROR(YEAR(入力データ!$J$5:$J$20),0)&lt;=AF$3),--(IFERROR(YEAR(入力データ!$K$5:$K$20),9999)&gt;=AF$3),入力データ!$M$5:$M$20)*12)</f>
        <v/>
      </c>
      <c r="AG22" s="352">
        <f>IF(AG$3="","",SUMPRODUCT(--ISNUMBER(SEARCH("終身",入力データ!$F$5:$F$20)),--(IFERROR(YEAR(入力データ!$J$5:$J$20),0)&lt;=AG$3),--(IFERROR(YEAR(入力データ!$K$5:$K$20),9999)&gt;=AG$3),入力データ!$M$5:$M$20)*12)</f>
        <v/>
      </c>
      <c r="AH22" s="352">
        <f>IF(AH$3="","",SUMPRODUCT(--ISNUMBER(SEARCH("終身",入力データ!$F$5:$F$20)),--(IFERROR(YEAR(入力データ!$J$5:$J$20),0)&lt;=AH$3),--(IFERROR(YEAR(入力データ!$K$5:$K$20),9999)&gt;=AH$3),入力データ!$M$5:$M$20)*12)</f>
        <v/>
      </c>
      <c r="AI22" s="352">
        <f>IF(AI$3="","",SUMPRODUCT(--ISNUMBER(SEARCH("終身",入力データ!$F$5:$F$20)),--(IFERROR(YEAR(入力データ!$J$5:$J$20),0)&lt;=AI$3),--(IFERROR(YEAR(入力データ!$K$5:$K$20),9999)&gt;=AI$3),入力データ!$M$5:$M$20)*12)</f>
        <v/>
      </c>
      <c r="AJ22" s="352">
        <f>IF(AJ$3="","",SUMPRODUCT(--ISNUMBER(SEARCH("終身",入力データ!$F$5:$F$20)),--(IFERROR(YEAR(入力データ!$J$5:$J$20),0)&lt;=AJ$3),--(IFERROR(YEAR(入力データ!$K$5:$K$20),9999)&gt;=AJ$3),入力データ!$M$5:$M$20)*12)</f>
        <v/>
      </c>
      <c r="AK22" s="352">
        <f>IF(AK$3="","",SUMPRODUCT(--ISNUMBER(SEARCH("終身",入力データ!$F$5:$F$20)),--(IFERROR(YEAR(入力データ!$J$5:$J$20),0)&lt;=AK$3),--(IFERROR(YEAR(入力データ!$K$5:$K$20),9999)&gt;=AK$3),入力データ!$M$5:$M$20)*12)</f>
        <v/>
      </c>
      <c r="AL22" s="352">
        <f>IF(AL$3="","",SUMPRODUCT(--ISNUMBER(SEARCH("終身",入力データ!$F$5:$F$20)),--(IFERROR(YEAR(入力データ!$J$5:$J$20),0)&lt;=AL$3),--(IFERROR(YEAR(入力データ!$K$5:$K$20),9999)&gt;=AL$3),入力データ!$M$5:$M$20)*12)</f>
        <v/>
      </c>
      <c r="AM22" s="352">
        <f>IF(AM$3="","",SUMPRODUCT(--ISNUMBER(SEARCH("終身",入力データ!$F$5:$F$20)),--(IFERROR(YEAR(入力データ!$J$5:$J$20),0)&lt;=AM$3),--(IFERROR(YEAR(入力データ!$K$5:$K$20),9999)&gt;=AM$3),入力データ!$M$5:$M$20)*12)</f>
        <v/>
      </c>
      <c r="AN22" s="352">
        <f>IF(AN$3="","",SUMPRODUCT(--ISNUMBER(SEARCH("終身",入力データ!$F$5:$F$20)),--(IFERROR(YEAR(入力データ!$J$5:$J$20),0)&lt;=AN$3),--(IFERROR(YEAR(入力データ!$K$5:$K$20),9999)&gt;=AN$3),入力データ!$M$5:$M$20)*12)</f>
        <v/>
      </c>
      <c r="AO22" s="352">
        <f>IF(AO$3="","",SUMPRODUCT(--ISNUMBER(SEARCH("終身",入力データ!$F$5:$F$20)),--(IFERROR(YEAR(入力データ!$J$5:$J$20),0)&lt;=AO$3),--(IFERROR(YEAR(入力データ!$K$5:$K$20),9999)&gt;=AO$3),入力データ!$M$5:$M$20)*12)</f>
        <v/>
      </c>
      <c r="AP22" s="352">
        <f>IF(AP$3="","",SUMPRODUCT(--ISNUMBER(SEARCH("終身",入力データ!$F$5:$F$20)),--(IFERROR(YEAR(入力データ!$J$5:$J$20),0)&lt;=AP$3),--(IFERROR(YEAR(入力データ!$K$5:$K$20),9999)&gt;=AP$3),入力データ!$M$5:$M$20)*12)</f>
        <v/>
      </c>
      <c r="AQ22" s="352">
        <f>IF(AQ$3="","",SUMPRODUCT(--ISNUMBER(SEARCH("終身",入力データ!$F$5:$F$20)),--(IFERROR(YEAR(入力データ!$J$5:$J$20),0)&lt;=AQ$3),--(IFERROR(YEAR(入力データ!$K$5:$K$20),9999)&gt;=AQ$3),入力データ!$M$5:$M$20)*12)</f>
        <v/>
      </c>
      <c r="AR22" s="352">
        <f>IF(AR$3="","",SUMPRODUCT(--ISNUMBER(SEARCH("終身",入力データ!$F$5:$F$20)),--(IFERROR(YEAR(入力データ!$J$5:$J$20),0)&lt;=AR$3),--(IFERROR(YEAR(入力データ!$K$5:$K$20),9999)&gt;=AR$3),入力データ!$M$5:$M$20)*12)</f>
        <v/>
      </c>
      <c r="AS22" s="352">
        <f>IF(AS$3="","",SUMPRODUCT(--ISNUMBER(SEARCH("終身",入力データ!$F$5:$F$20)),--(IFERROR(YEAR(入力データ!$J$5:$J$20),0)&lt;=AS$3),--(IFERROR(YEAR(入力データ!$K$5:$K$20),9999)&gt;=AS$3),入力データ!$M$5:$M$20)*12)</f>
        <v/>
      </c>
      <c r="AT22" s="352">
        <f>IF(AT$3="","",SUMPRODUCT(--ISNUMBER(SEARCH("終身",入力データ!$F$5:$F$20)),--(IFERROR(YEAR(入力データ!$J$5:$J$20),0)&lt;=AT$3),--(IFERROR(YEAR(入力データ!$K$5:$K$20),9999)&gt;=AT$3),入力データ!$M$5:$M$20)*12)</f>
        <v/>
      </c>
      <c r="AU22" s="352">
        <f>IF(AU$3="","",SUMPRODUCT(--ISNUMBER(SEARCH("終身",入力データ!$F$5:$F$20)),--(IFERROR(YEAR(入力データ!$J$5:$J$20),0)&lt;=AU$3),--(IFERROR(YEAR(入力データ!$K$5:$K$20),9999)&gt;=AU$3),入力データ!$M$5:$M$20)*12)</f>
        <v/>
      </c>
      <c r="AV22" s="352">
        <f>IF(AV$3="","",SUMPRODUCT(--ISNUMBER(SEARCH("終身",入力データ!$F$5:$F$20)),--(IFERROR(YEAR(入力データ!$J$5:$J$20),0)&lt;=AV$3),--(IFERROR(YEAR(入力データ!$K$5:$K$20),9999)&gt;=AV$3),入力データ!$M$5:$M$20)*12)</f>
        <v/>
      </c>
      <c r="AW22" s="352">
        <f>IF(AW$3="","",SUMPRODUCT(--ISNUMBER(SEARCH("終身",入力データ!$F$5:$F$20)),--(IFERROR(YEAR(入力データ!$J$5:$J$20),0)&lt;=AW$3),--(IFERROR(YEAR(入力データ!$K$5:$K$20),9999)&gt;=AW$3),入力データ!$M$5:$M$20)*12)</f>
        <v/>
      </c>
      <c r="AX22" s="352">
        <f>IF(AX$3="","",SUMPRODUCT(--ISNUMBER(SEARCH("終身",入力データ!$F$5:$F$20)),--(IFERROR(YEAR(入力データ!$J$5:$J$20),0)&lt;=AX$3),--(IFERROR(YEAR(入力データ!$K$5:$K$20),9999)&gt;=AX$3),入力データ!$M$5:$M$20)*12)</f>
        <v/>
      </c>
      <c r="AY22" s="352">
        <f>IF(AY$3="","",SUMPRODUCT(--ISNUMBER(SEARCH("終身",入力データ!$F$5:$F$20)),--(IFERROR(YEAR(入力データ!$J$5:$J$20),0)&lt;=AY$3),--(IFERROR(YEAR(入力データ!$K$5:$K$20),9999)&gt;=AY$3),入力データ!$M$5:$M$20)*12)</f>
        <v/>
      </c>
      <c r="AZ22" s="352">
        <f>IF(AZ$3="","",SUMPRODUCT(--ISNUMBER(SEARCH("終身",入力データ!$F$5:$F$20)),--(IFERROR(YEAR(入力データ!$J$5:$J$20),0)&lt;=AZ$3),--(IFERROR(YEAR(入力データ!$K$5:$K$20),9999)&gt;=AZ$3),入力データ!$M$5:$M$20)*12)</f>
        <v/>
      </c>
      <c r="BA22" s="352">
        <f>IF(BA$3="","",SUMPRODUCT(--ISNUMBER(SEARCH("終身",入力データ!$F$5:$F$20)),--(IFERROR(YEAR(入力データ!$J$5:$J$20),0)&lt;=BA$3),--(IFERROR(YEAR(入力データ!$K$5:$K$20),9999)&gt;=BA$3),入力データ!$M$5:$M$20)*12)</f>
        <v/>
      </c>
      <c r="BB22" s="352">
        <f>IF(BB$3="","",SUMPRODUCT(--ISNUMBER(SEARCH("終身",入力データ!$F$5:$F$20)),--(IFERROR(YEAR(入力データ!$J$5:$J$20),0)&lt;=BB$3),--(IFERROR(YEAR(入力データ!$K$5:$K$20),9999)&gt;=BB$3),入力データ!$M$5:$M$20)*12)</f>
        <v/>
      </c>
      <c r="BC22" s="352">
        <f>IF(BC$3="","",SUMPRODUCT(--ISNUMBER(SEARCH("終身",入力データ!$F$5:$F$20)),--(IFERROR(YEAR(入力データ!$J$5:$J$20),0)&lt;=BC$3),--(IFERROR(YEAR(入力データ!$K$5:$K$20),9999)&gt;=BC$3),入力データ!$M$5:$M$20)*12)</f>
        <v/>
      </c>
      <c r="BD22" s="352">
        <f>IF(BD$3="","",SUMPRODUCT(--ISNUMBER(SEARCH("終身",入力データ!$F$5:$F$20)),--(IFERROR(YEAR(入力データ!$J$5:$J$20),0)&lt;=BD$3),--(IFERROR(YEAR(入力データ!$K$5:$K$20),9999)&gt;=BD$3),入力データ!$M$5:$M$20)*12)</f>
        <v/>
      </c>
      <c r="BE22" s="352">
        <f>IF(BE$3="","",SUMPRODUCT(--ISNUMBER(SEARCH("終身",入力データ!$F$5:$F$20)),--(IFERROR(YEAR(入力データ!$J$5:$J$20),0)&lt;=BE$3),--(IFERROR(YEAR(入力データ!$K$5:$K$20),9999)&gt;=BE$3),入力データ!$M$5:$M$20)*12)</f>
        <v/>
      </c>
      <c r="BF22" s="352">
        <f>IF(BF$3="","",SUMPRODUCT(--ISNUMBER(SEARCH("終身",入力データ!$F$5:$F$20)),--(IFERROR(YEAR(入力データ!$J$5:$J$20),0)&lt;=BF$3),--(IFERROR(YEAR(入力データ!$K$5:$K$20),9999)&gt;=BF$3),入力データ!$M$5:$M$20)*12)</f>
        <v/>
      </c>
      <c r="BG22" s="352">
        <f>IF(BG$3="","",SUMPRODUCT(--ISNUMBER(SEARCH("終身",入力データ!$F$5:$F$20)),--(IFERROR(YEAR(入力データ!$J$5:$J$20),0)&lt;=BG$3),--(IFERROR(YEAR(入力データ!$K$5:$K$20),9999)&gt;=BG$3),入力データ!$M$5:$M$20)*12)</f>
        <v/>
      </c>
      <c r="BH22" s="352">
        <f>IF(BH$3="","",SUMPRODUCT(--ISNUMBER(SEARCH("終身",入力データ!$F$5:$F$20)),--(IFERROR(YEAR(入力データ!$J$5:$J$20),0)&lt;=BH$3),--(IFERROR(YEAR(入力データ!$K$5:$K$20),9999)&gt;=BH$3),入力データ!$M$5:$M$20)*12)</f>
        <v/>
      </c>
      <c r="BI22" s="352">
        <f>IF(BI$3="","",SUMPRODUCT(--ISNUMBER(SEARCH("終身",入力データ!$F$5:$F$20)),--(IFERROR(YEAR(入力データ!$J$5:$J$20),0)&lt;=BI$3),--(IFERROR(YEAR(入力データ!$K$5:$K$20),9999)&gt;=BI$3),入力データ!$M$5:$M$20)*12)</f>
        <v/>
      </c>
      <c r="BJ22" s="352">
        <f>IF(BJ$3="","",SUMPRODUCT(--ISNUMBER(SEARCH("終身",入力データ!$F$5:$F$20)),--(IFERROR(YEAR(入力データ!$J$5:$J$20),0)&lt;=BJ$3),--(IFERROR(YEAR(入力データ!$K$5:$K$20),9999)&gt;=BJ$3),入力データ!$M$5:$M$20)*12)</f>
        <v/>
      </c>
      <c r="BK22" s="352">
        <f>IF(BK$3="","",SUMPRODUCT(--ISNUMBER(SEARCH("終身",入力データ!$F$5:$F$20)),--(IFERROR(YEAR(入力データ!$J$5:$J$20),0)&lt;=BK$3),--(IFERROR(YEAR(入力データ!$K$5:$K$20),9999)&gt;=BK$3),入力データ!$M$5:$M$20)*12)</f>
        <v/>
      </c>
      <c r="BL22" s="352">
        <f>IF(BL$3="","",SUMPRODUCT(--ISNUMBER(SEARCH("終身",入力データ!$F$5:$F$20)),--(IFERROR(YEAR(入力データ!$J$5:$J$20),0)&lt;=BL$3),--(IFERROR(YEAR(入力データ!$K$5:$K$20),9999)&gt;=BL$3),入力データ!$M$5:$M$20)*12)</f>
        <v/>
      </c>
      <c r="BM22" s="352">
        <f>IF(BM$3="","",SUMPRODUCT(--ISNUMBER(SEARCH("終身",入力データ!$F$5:$F$20)),--(IFERROR(YEAR(入力データ!$J$5:$J$20),0)&lt;=BM$3),--(IFERROR(YEAR(入力データ!$K$5:$K$20),9999)&gt;=BM$3),入力データ!$M$5:$M$20)*12)</f>
        <v/>
      </c>
      <c r="BN22" s="352">
        <f>IF(BN$3="","",SUMPRODUCT(--ISNUMBER(SEARCH("終身",入力データ!$F$5:$F$20)),--(IFERROR(YEAR(入力データ!$J$5:$J$20),0)&lt;=BN$3),--(IFERROR(YEAR(入力データ!$K$5:$K$20),9999)&gt;=BN$3),入力データ!$M$5:$M$20)*12)</f>
        <v/>
      </c>
      <c r="BO22" s="352">
        <f>IF(BO$3="","",SUMPRODUCT(--ISNUMBER(SEARCH("終身",入力データ!$F$5:$F$20)),--(IFERROR(YEAR(入力データ!$J$5:$J$20),0)&lt;=BO$3),--(IFERROR(YEAR(入力データ!$K$5:$K$20),9999)&gt;=BO$3),入力データ!$M$5:$M$20)*12)</f>
        <v/>
      </c>
      <c r="BP22" s="352">
        <f>IF(BP$3="","",SUMPRODUCT(--ISNUMBER(SEARCH("終身",入力データ!$F$5:$F$20)),--(IFERROR(YEAR(入力データ!$J$5:$J$20),0)&lt;=BP$3),--(IFERROR(YEAR(入力データ!$K$5:$K$20),9999)&gt;=BP$3),入力データ!$M$5:$M$20)*12)</f>
        <v/>
      </c>
      <c r="BQ22" s="352">
        <f>IF(BQ$3="","",SUMPRODUCT(--ISNUMBER(SEARCH("終身",入力データ!$F$5:$F$20)),--(IFERROR(YEAR(入力データ!$J$5:$J$20),0)&lt;=BQ$3),--(IFERROR(YEAR(入力データ!$K$5:$K$20),9999)&gt;=BQ$3),入力データ!$M$5:$M$20)*12)</f>
        <v/>
      </c>
      <c r="BR22" s="352">
        <f>IF(BR$3="","",SUMPRODUCT(--ISNUMBER(SEARCH("終身",入力データ!$F$5:$F$20)),--(IFERROR(YEAR(入力データ!$J$5:$J$20),0)&lt;=BR$3),--(IFERROR(YEAR(入力データ!$K$5:$K$20),9999)&gt;=BR$3),入力データ!$M$5:$M$20)*12)</f>
        <v/>
      </c>
      <c r="BS22" s="352">
        <f>IF(BS$3="","",SUMPRODUCT(--ISNUMBER(SEARCH("終身",入力データ!$F$5:$F$20)),--(IFERROR(YEAR(入力データ!$J$5:$J$20),0)&lt;=BS$3),--(IFERROR(YEAR(入力データ!$K$5:$K$20),9999)&gt;=BS$3),入力データ!$M$5:$M$20)*12)</f>
        <v/>
      </c>
      <c r="BT22" s="352">
        <f>IF(BT$3="","",SUMPRODUCT(--ISNUMBER(SEARCH("終身",入力データ!$F$5:$F$20)),--(IFERROR(YEAR(入力データ!$J$5:$J$20),0)&lt;=BT$3),--(IFERROR(YEAR(入力データ!$K$5:$K$20),9999)&gt;=BT$3),入力データ!$M$5:$M$20)*12)</f>
        <v/>
      </c>
      <c r="BU22" s="352">
        <f>IF(BU$3="","",SUMPRODUCT(--ISNUMBER(SEARCH("終身",入力データ!$F$5:$F$20)),--(IFERROR(YEAR(入力データ!$J$5:$J$20),0)&lt;=BU$3),--(IFERROR(YEAR(入力データ!$K$5:$K$20),9999)&gt;=BU$3),入力データ!$M$5:$M$20)*12)</f>
        <v/>
      </c>
      <c r="BV22" s="352">
        <f>IF(BV$3="","",SUMPRODUCT(--ISNUMBER(SEARCH("終身",入力データ!$F$5:$F$20)),--(IFERROR(YEAR(入力データ!$J$5:$J$20),0)&lt;=BV$3),--(IFERROR(YEAR(入力データ!$K$5:$K$20),9999)&gt;=BV$3),入力データ!$M$5:$M$20)*12)</f>
        <v/>
      </c>
      <c r="BW22" s="352">
        <f>IF(BW$3="","",SUMPRODUCT(--ISNUMBER(SEARCH("終身",入力データ!$F$5:$F$20)),--(IFERROR(YEAR(入力データ!$J$5:$J$20),0)&lt;=BW$3),--(IFERROR(YEAR(入力データ!$K$5:$K$20),9999)&gt;=BW$3),入力データ!$M$5:$M$20)*12)</f>
        <v/>
      </c>
      <c r="BX22" s="352">
        <f>IF(BX$3="","",SUMPRODUCT(--ISNUMBER(SEARCH("終身",入力データ!$F$5:$F$20)),--(IFERROR(YEAR(入力データ!$J$5:$J$20),0)&lt;=BX$3),--(IFERROR(YEAR(入力データ!$K$5:$K$20),9999)&gt;=BX$3),入力データ!$M$5:$M$20)*12)</f>
        <v/>
      </c>
      <c r="BY22" s="352">
        <f>IF(BY$3="","",SUMPRODUCT(--ISNUMBER(SEARCH("終身",入力データ!$F$5:$F$20)),--(IFERROR(YEAR(入力データ!$J$5:$J$20),0)&lt;=BY$3),--(IFERROR(YEAR(入力データ!$K$5:$K$20),9999)&gt;=BY$3),入力データ!$M$5:$M$20)*12)</f>
        <v/>
      </c>
      <c r="BZ22" s="352">
        <f>IF(BZ$3="","",SUMPRODUCT(--ISNUMBER(SEARCH("終身",入力データ!$F$5:$F$20)),--(IFERROR(YEAR(入力データ!$J$5:$J$20),0)&lt;=BZ$3),--(IFERROR(YEAR(入力データ!$K$5:$K$20),9999)&gt;=BZ$3),入力データ!$M$5:$M$20)*12)</f>
        <v/>
      </c>
      <c r="CA22" s="352">
        <f>IF(CA$3="","",SUMPRODUCT(--ISNUMBER(SEARCH("終身",入力データ!$F$5:$F$20)),--(IFERROR(YEAR(入力データ!$J$5:$J$20),0)&lt;=CA$3),--(IFERROR(YEAR(入力データ!$K$5:$K$20),9999)&gt;=CA$3),入力データ!$M$5:$M$20)*12)</f>
        <v/>
      </c>
      <c r="CB22" s="352">
        <f>IF(CB$3="","",SUMPRODUCT(--ISNUMBER(SEARCH("終身",入力データ!$F$5:$F$20)),--(IFERROR(YEAR(入力データ!$J$5:$J$20),0)&lt;=CB$3),--(IFERROR(YEAR(入力データ!$K$5:$K$20),9999)&gt;=CB$3),入力データ!$M$5:$M$20)*12)</f>
        <v/>
      </c>
      <c r="CC22" s="352">
        <f>IF(CC$3="","",SUMPRODUCT(--ISNUMBER(SEARCH("終身",入力データ!$F$5:$F$20)),--(IFERROR(YEAR(入力データ!$J$5:$J$20),0)&lt;=CC$3),--(IFERROR(YEAR(入力データ!$K$5:$K$20),9999)&gt;=CC$3),入力データ!$M$5:$M$20)*12)</f>
        <v/>
      </c>
      <c r="CD22" s="352">
        <f>IF(CD$3="","",SUMPRODUCT(--ISNUMBER(SEARCH("終身",入力データ!$F$5:$F$20)),--(IFERROR(YEAR(入力データ!$J$5:$J$20),0)&lt;=CD$3),--(IFERROR(YEAR(入力データ!$K$5:$K$20),9999)&gt;=CD$3),入力データ!$M$5:$M$20)*12)</f>
        <v/>
      </c>
      <c r="CE22" s="352">
        <f>IF(CE$3="","",SUMPRODUCT(--ISNUMBER(SEARCH("終身",入力データ!$F$5:$F$20)),--(IFERROR(YEAR(入力データ!$J$5:$J$20),0)&lt;=CE$3),--(IFERROR(YEAR(入力データ!$K$5:$K$20),9999)&gt;=CE$3),入力データ!$M$5:$M$20)*12)</f>
        <v/>
      </c>
      <c r="CF22" s="352">
        <f>IF(CF$3="","",SUMPRODUCT(--ISNUMBER(SEARCH("終身",入力データ!$F$5:$F$20)),--(IFERROR(YEAR(入力データ!$J$5:$J$20),0)&lt;=CF$3),--(IFERROR(YEAR(入力データ!$K$5:$K$20),9999)&gt;=CF$3),入力データ!$M$5:$M$20)*12)</f>
        <v/>
      </c>
      <c r="CG22" s="352">
        <f>IF(CG$3="","",SUMPRODUCT(--ISNUMBER(SEARCH("終身",入力データ!$F$5:$F$20)),--(IFERROR(YEAR(入力データ!$J$5:$J$20),0)&lt;=CG$3),--(IFERROR(YEAR(入力データ!$K$5:$K$20),9999)&gt;=CG$3),入力データ!$M$5:$M$20)*12)</f>
        <v/>
      </c>
      <c r="CH22" s="352">
        <f>IF(CH$3="","",SUMPRODUCT(--ISNUMBER(SEARCH("終身",入力データ!$F$5:$F$20)),--(IFERROR(YEAR(入力データ!$J$5:$J$20),0)&lt;=CH$3),--(IFERROR(YEAR(入力データ!$K$5:$K$20),9999)&gt;=CH$3),入力データ!$M$5:$M$20)*12)</f>
        <v/>
      </c>
      <c r="CI22" s="352">
        <f>IF(CI$3="","",SUMPRODUCT(--ISNUMBER(SEARCH("終身",入力データ!$F$5:$F$20)),--(IFERROR(YEAR(入力データ!$J$5:$J$20),0)&lt;=CI$3),--(IFERROR(YEAR(入力データ!$K$5:$K$20),9999)&gt;=CI$3),入力データ!$M$5:$M$20)*12)</f>
        <v/>
      </c>
      <c r="CJ22" s="352">
        <f>IF(CJ$3="","",SUMPRODUCT(--ISNUMBER(SEARCH("終身",入力データ!$F$5:$F$20)),--(IFERROR(YEAR(入力データ!$J$5:$J$20),0)&lt;=CJ$3),--(IFERROR(YEAR(入力データ!$K$5:$K$20),9999)&gt;=CJ$3),入力データ!$M$5:$M$20)*12)</f>
        <v/>
      </c>
      <c r="CK22" s="352">
        <f>IF(CK$3="","",SUMPRODUCT(--ISNUMBER(SEARCH("終身",入力データ!$F$5:$F$20)),--(IFERROR(YEAR(入力データ!$J$5:$J$20),0)&lt;=CK$3),--(IFERROR(YEAR(入力データ!$K$5:$K$20),9999)&gt;=CK$3),入力データ!$M$5:$M$20)*12)</f>
        <v/>
      </c>
      <c r="CL22" s="352">
        <f>IF(CL$3="","",SUMPRODUCT(--ISNUMBER(SEARCH("終身",入力データ!$F$5:$F$20)),--(IFERROR(YEAR(入力データ!$J$5:$J$20),0)&lt;=CL$3),--(IFERROR(YEAR(入力データ!$K$5:$K$20),9999)&gt;=CL$3),入力データ!$M$5:$M$20)*12)</f>
        <v/>
      </c>
      <c r="CM22" s="352">
        <f>IF(CM$3="","",SUMPRODUCT(--ISNUMBER(SEARCH("終身",入力データ!$F$5:$F$20)),--(IFERROR(YEAR(入力データ!$J$5:$J$20),0)&lt;=CM$3),--(IFERROR(YEAR(入力データ!$K$5:$K$20),9999)&gt;=CM$3),入力データ!$M$5:$M$20)*12)</f>
        <v/>
      </c>
      <c r="CN22" s="352">
        <f>IF(CN$3="","",SUMPRODUCT(--ISNUMBER(SEARCH("終身",入力データ!$F$5:$F$20)),--(IFERROR(YEAR(入力データ!$J$5:$J$20),0)&lt;=CN$3),--(IFERROR(YEAR(入力データ!$K$5:$K$20),9999)&gt;=CN$3),入力データ!$M$5:$M$20)*12)</f>
        <v/>
      </c>
      <c r="CO22" s="352">
        <f>IF(CO$3="","",SUMPRODUCT(--ISNUMBER(SEARCH("終身",入力データ!$F$5:$F$20)),--(IFERROR(YEAR(入力データ!$J$5:$J$20),0)&lt;=CO$3),--(IFERROR(YEAR(入力データ!$K$5:$K$20),9999)&gt;=CO$3),入力データ!$M$5:$M$20)*12)</f>
        <v/>
      </c>
      <c r="CP22" s="352">
        <f>IF(CP$3="","",SUMPRODUCT(--ISNUMBER(SEARCH("終身",入力データ!$F$5:$F$20)),--(IFERROR(YEAR(入力データ!$J$5:$J$20),0)&lt;=CP$3),--(IFERROR(YEAR(入力データ!$K$5:$K$20),9999)&gt;=CP$3),入力データ!$M$5:$M$20)*12)</f>
        <v/>
      </c>
      <c r="CQ22" s="352">
        <f>IF(CQ$3="","",SUMPRODUCT(--ISNUMBER(SEARCH("終身",入力データ!$F$5:$F$20)),--(IFERROR(YEAR(入力データ!$J$5:$J$20),0)&lt;=CQ$3),--(IFERROR(YEAR(入力データ!$K$5:$K$20),9999)&gt;=CQ$3),入力データ!$M$5:$M$20)*12)</f>
        <v/>
      </c>
      <c r="CR22" s="352">
        <f>IF(CR$3="","",SUMPRODUCT(--ISNUMBER(SEARCH("終身",入力データ!$F$5:$F$20)),--(IFERROR(YEAR(入力データ!$J$5:$J$20),0)&lt;=CR$3),--(IFERROR(YEAR(入力データ!$K$5:$K$20),9999)&gt;=CR$3),入力データ!$M$5:$M$20)*12)</f>
        <v/>
      </c>
      <c r="CS22" s="352">
        <f>IF(CS$3="","",SUMPRODUCT(--ISNUMBER(SEARCH("終身",入力データ!$F$5:$F$20)),--(IFERROR(YEAR(入力データ!$J$5:$J$20),0)&lt;=CS$3),--(IFERROR(YEAR(入力データ!$K$5:$K$20),9999)&gt;=CS$3),入力データ!$M$5:$M$20)*12)</f>
        <v/>
      </c>
      <c r="CT22" s="352">
        <f>IF(CT$3="","",SUMPRODUCT(--ISNUMBER(SEARCH("終身",入力データ!$F$5:$F$20)),--(IFERROR(YEAR(入力データ!$J$5:$J$20),0)&lt;=CT$3),--(IFERROR(YEAR(入力データ!$K$5:$K$20),9999)&gt;=CT$3),入力データ!$M$5:$M$20)*12)</f>
        <v/>
      </c>
      <c r="CU22" s="352">
        <f>IF(CU$3="","",SUMPRODUCT(--ISNUMBER(SEARCH("終身",入力データ!$F$5:$F$20)),--(IFERROR(YEAR(入力データ!$J$5:$J$20),0)&lt;=CU$3),--(IFERROR(YEAR(入力データ!$K$5:$K$20),9999)&gt;=CU$3),入力データ!$M$5:$M$20)*12)</f>
        <v/>
      </c>
      <c r="CV22" s="352">
        <f>IF(CV$3="","",SUMPRODUCT(--ISNUMBER(SEARCH("終身",入力データ!$F$5:$F$20)),--(IFERROR(YEAR(入力データ!$J$5:$J$20),0)&lt;=CV$3),--(IFERROR(YEAR(入力データ!$K$5:$K$20),9999)&gt;=CV$3),入力データ!$M$5:$M$20)*12)</f>
        <v/>
      </c>
      <c r="CW22" s="352">
        <f>IF(CW$3="","",SUMPRODUCT(--ISNUMBER(SEARCH("終身",入力データ!$F$5:$F$20)),--(IFERROR(YEAR(入力データ!$J$5:$J$20),0)&lt;=CW$3),--(IFERROR(YEAR(入力データ!$K$5:$K$20),9999)&gt;=CW$3),入力データ!$M$5:$M$20)*12)</f>
        <v/>
      </c>
    </row>
    <row r="23" ht="15" customHeight="1" s="180">
      <c r="A23" s="224" t="inlineStr">
        <is>
          <t>定期系保険料</t>
        </is>
      </c>
      <c r="B23" s="352">
        <f>IF(B$3="","",SUMPRODUCT(--ISERROR(SEARCH("終身",入力データ!$F$5:$F$20)),--(IFERROR(YEAR(入力データ!$J$5:$J$20),0)&lt;=B$3),--(IFERROR(YEAR(入力データ!$K$5:$K$20),9999)&gt;=B$3),入力データ!$M$5:$M$20)*12)</f>
        <v/>
      </c>
      <c r="C23" s="352">
        <f>IF(C$3="","",SUMPRODUCT(--ISERROR(SEARCH("終身",入力データ!$F$5:$F$20)),--(IFERROR(YEAR(入力データ!$J$5:$J$20),0)&lt;=C$3),--(IFERROR(YEAR(入力データ!$K$5:$K$20),9999)&gt;=C$3),入力データ!$M$5:$M$20)*12)</f>
        <v/>
      </c>
      <c r="D23" s="352">
        <f>IF(D$3="","",SUMPRODUCT(--ISERROR(SEARCH("終身",入力データ!$F$5:$F$20)),--(IFERROR(YEAR(入力データ!$J$5:$J$20),0)&lt;=D$3),--(IFERROR(YEAR(入力データ!$K$5:$K$20),9999)&gt;=D$3),入力データ!$M$5:$M$20)*12)</f>
        <v/>
      </c>
      <c r="E23" s="352">
        <f>IF(E$3="","",SUMPRODUCT(--ISERROR(SEARCH("終身",入力データ!$F$5:$F$20)),--(IFERROR(YEAR(入力データ!$J$5:$J$20),0)&lt;=E$3),--(IFERROR(YEAR(入力データ!$K$5:$K$20),9999)&gt;=E$3),入力データ!$M$5:$M$20)*12)</f>
        <v/>
      </c>
      <c r="F23" s="352">
        <f>IF(F$3="","",SUMPRODUCT(--ISERROR(SEARCH("終身",入力データ!$F$5:$F$20)),--(IFERROR(YEAR(入力データ!$J$5:$J$20),0)&lt;=F$3),--(IFERROR(YEAR(入力データ!$K$5:$K$20),9999)&gt;=F$3),入力データ!$M$5:$M$20)*12)</f>
        <v/>
      </c>
      <c r="G23" s="352">
        <f>IF(G$3="","",SUMPRODUCT(--ISERROR(SEARCH("終身",入力データ!$F$5:$F$20)),--(IFERROR(YEAR(入力データ!$J$5:$J$20),0)&lt;=G$3),--(IFERROR(YEAR(入力データ!$K$5:$K$20),9999)&gt;=G$3),入力データ!$M$5:$M$20)*12)</f>
        <v/>
      </c>
      <c r="H23" s="352">
        <f>IF(H$3="","",SUMPRODUCT(--ISERROR(SEARCH("終身",入力データ!$F$5:$F$20)),--(IFERROR(YEAR(入力データ!$J$5:$J$20),0)&lt;=H$3),--(IFERROR(YEAR(入力データ!$K$5:$K$20),9999)&gt;=H$3),入力データ!$M$5:$M$20)*12)</f>
        <v/>
      </c>
      <c r="I23" s="352">
        <f>IF(I$3="","",SUMPRODUCT(--ISERROR(SEARCH("終身",入力データ!$F$5:$F$20)),--(IFERROR(YEAR(入力データ!$J$5:$J$20),0)&lt;=I$3),--(IFERROR(YEAR(入力データ!$K$5:$K$20),9999)&gt;=I$3),入力データ!$M$5:$M$20)*12)</f>
        <v/>
      </c>
      <c r="J23" s="352">
        <f>IF(J$3="","",SUMPRODUCT(--ISERROR(SEARCH("終身",入力データ!$F$5:$F$20)),--(IFERROR(YEAR(入力データ!$J$5:$J$20),0)&lt;=J$3),--(IFERROR(YEAR(入力データ!$K$5:$K$20),9999)&gt;=J$3),入力データ!$M$5:$M$20)*12)</f>
        <v/>
      </c>
      <c r="K23" s="352">
        <f>IF(K$3="","",SUMPRODUCT(--ISERROR(SEARCH("終身",入力データ!$F$5:$F$20)),--(IFERROR(YEAR(入力データ!$J$5:$J$20),0)&lt;=K$3),--(IFERROR(YEAR(入力データ!$K$5:$K$20),9999)&gt;=K$3),入力データ!$M$5:$M$20)*12)</f>
        <v/>
      </c>
      <c r="L23" s="352">
        <f>IF(L$3="","",SUMPRODUCT(--ISERROR(SEARCH("終身",入力データ!$F$5:$F$20)),--(IFERROR(YEAR(入力データ!$J$5:$J$20),0)&lt;=L$3),--(IFERROR(YEAR(入力データ!$K$5:$K$20),9999)&gt;=L$3),入力データ!$M$5:$M$20)*12)</f>
        <v/>
      </c>
      <c r="M23" s="352">
        <f>IF(M$3="","",SUMPRODUCT(--ISERROR(SEARCH("終身",入力データ!$F$5:$F$20)),--(IFERROR(YEAR(入力データ!$J$5:$J$20),0)&lt;=M$3),--(IFERROR(YEAR(入力データ!$K$5:$K$20),9999)&gt;=M$3),入力データ!$M$5:$M$20)*12)</f>
        <v/>
      </c>
      <c r="N23" s="352">
        <f>IF(N$3="","",SUMPRODUCT(--ISERROR(SEARCH("終身",入力データ!$F$5:$F$20)),--(IFERROR(YEAR(入力データ!$J$5:$J$20),0)&lt;=N$3),--(IFERROR(YEAR(入力データ!$K$5:$K$20),9999)&gt;=N$3),入力データ!$M$5:$M$20)*12)</f>
        <v/>
      </c>
      <c r="O23" s="352">
        <f>IF(O$3="","",SUMPRODUCT(--ISERROR(SEARCH("終身",入力データ!$F$5:$F$20)),--(IFERROR(YEAR(入力データ!$J$5:$J$20),0)&lt;=O$3),--(IFERROR(YEAR(入力データ!$K$5:$K$20),9999)&gt;=O$3),入力データ!$M$5:$M$20)*12)</f>
        <v/>
      </c>
      <c r="P23" s="352">
        <f>IF(P$3="","",SUMPRODUCT(--ISERROR(SEARCH("終身",入力データ!$F$5:$F$20)),--(IFERROR(YEAR(入力データ!$J$5:$J$20),0)&lt;=P$3),--(IFERROR(YEAR(入力データ!$K$5:$K$20),9999)&gt;=P$3),入力データ!$M$5:$M$20)*12)</f>
        <v/>
      </c>
      <c r="Q23" s="352">
        <f>IF(Q$3="","",SUMPRODUCT(--ISERROR(SEARCH("終身",入力データ!$F$5:$F$20)),--(IFERROR(YEAR(入力データ!$J$5:$J$20),0)&lt;=Q$3),--(IFERROR(YEAR(入力データ!$K$5:$K$20),9999)&gt;=Q$3),入力データ!$M$5:$M$20)*12)</f>
        <v/>
      </c>
      <c r="R23" s="352">
        <f>IF(R$3="","",SUMPRODUCT(--ISERROR(SEARCH("終身",入力データ!$F$5:$F$20)),--(IFERROR(YEAR(入力データ!$J$5:$J$20),0)&lt;=R$3),--(IFERROR(YEAR(入力データ!$K$5:$K$20),9999)&gt;=R$3),入力データ!$M$5:$M$20)*12)</f>
        <v/>
      </c>
      <c r="S23" s="352">
        <f>IF(S$3="","",SUMPRODUCT(--ISERROR(SEARCH("終身",入力データ!$F$5:$F$20)),--(IFERROR(YEAR(入力データ!$J$5:$J$20),0)&lt;=S$3),--(IFERROR(YEAR(入力データ!$K$5:$K$20),9999)&gt;=S$3),入力データ!$M$5:$M$20)*12)</f>
        <v/>
      </c>
      <c r="T23" s="352">
        <f>IF(T$3="","",SUMPRODUCT(--ISERROR(SEARCH("終身",入力データ!$F$5:$F$20)),--(IFERROR(YEAR(入力データ!$J$5:$J$20),0)&lt;=T$3),--(IFERROR(YEAR(入力データ!$K$5:$K$20),9999)&gt;=T$3),入力データ!$M$5:$M$20)*12)</f>
        <v/>
      </c>
      <c r="U23" s="352">
        <f>IF(U$3="","",SUMPRODUCT(--ISERROR(SEARCH("終身",入力データ!$F$5:$F$20)),--(IFERROR(YEAR(入力データ!$J$5:$J$20),0)&lt;=U$3),--(IFERROR(YEAR(入力データ!$K$5:$K$20),9999)&gt;=U$3),入力データ!$M$5:$M$20)*12)</f>
        <v/>
      </c>
      <c r="V23" s="352">
        <f>IF(V$3="","",SUMPRODUCT(--ISERROR(SEARCH("終身",入力データ!$F$5:$F$20)),--(IFERROR(YEAR(入力データ!$J$5:$J$20),0)&lt;=V$3),--(IFERROR(YEAR(入力データ!$K$5:$K$20),9999)&gt;=V$3),入力データ!$M$5:$M$20)*12)</f>
        <v/>
      </c>
      <c r="W23" s="352">
        <f>IF(W$3="","",SUMPRODUCT(--ISERROR(SEARCH("終身",入力データ!$F$5:$F$20)),--(IFERROR(YEAR(入力データ!$J$5:$J$20),0)&lt;=W$3),--(IFERROR(YEAR(入力データ!$K$5:$K$20),9999)&gt;=W$3),入力データ!$M$5:$M$20)*12)</f>
        <v/>
      </c>
      <c r="X23" s="352">
        <f>IF(X$3="","",SUMPRODUCT(--ISERROR(SEARCH("終身",入力データ!$F$5:$F$20)),--(IFERROR(YEAR(入力データ!$J$5:$J$20),0)&lt;=X$3),--(IFERROR(YEAR(入力データ!$K$5:$K$20),9999)&gt;=X$3),入力データ!$M$5:$M$20)*12)</f>
        <v/>
      </c>
      <c r="Y23" s="352">
        <f>IF(Y$3="","",SUMPRODUCT(--ISERROR(SEARCH("終身",入力データ!$F$5:$F$20)),--(IFERROR(YEAR(入力データ!$J$5:$J$20),0)&lt;=Y$3),--(IFERROR(YEAR(入力データ!$K$5:$K$20),9999)&gt;=Y$3),入力データ!$M$5:$M$20)*12)</f>
        <v/>
      </c>
      <c r="Z23" s="352">
        <f>IF(Z$3="","",SUMPRODUCT(--ISERROR(SEARCH("終身",入力データ!$F$5:$F$20)),--(IFERROR(YEAR(入力データ!$J$5:$J$20),0)&lt;=Z$3),--(IFERROR(YEAR(入力データ!$K$5:$K$20),9999)&gt;=Z$3),入力データ!$M$5:$M$20)*12)</f>
        <v/>
      </c>
      <c r="AA23" s="352">
        <f>IF(AA$3="","",SUMPRODUCT(--ISERROR(SEARCH("終身",入力データ!$F$5:$F$20)),--(IFERROR(YEAR(入力データ!$J$5:$J$20),0)&lt;=AA$3),--(IFERROR(YEAR(入力データ!$K$5:$K$20),9999)&gt;=AA$3),入力データ!$M$5:$M$20)*12)</f>
        <v/>
      </c>
      <c r="AB23" s="352">
        <f>IF(AB$3="","",SUMPRODUCT(--ISERROR(SEARCH("終身",入力データ!$F$5:$F$20)),--(IFERROR(YEAR(入力データ!$J$5:$J$20),0)&lt;=AB$3),--(IFERROR(YEAR(入力データ!$K$5:$K$20),9999)&gt;=AB$3),入力データ!$M$5:$M$20)*12)</f>
        <v/>
      </c>
      <c r="AC23" s="352">
        <f>IF(AC$3="","",SUMPRODUCT(--ISERROR(SEARCH("終身",入力データ!$F$5:$F$20)),--(IFERROR(YEAR(入力データ!$J$5:$J$20),0)&lt;=AC$3),--(IFERROR(YEAR(入力データ!$K$5:$K$20),9999)&gt;=AC$3),入力データ!$M$5:$M$20)*12)</f>
        <v/>
      </c>
      <c r="AD23" s="352">
        <f>IF(AD$3="","",SUMPRODUCT(--ISERROR(SEARCH("終身",入力データ!$F$5:$F$20)),--(IFERROR(YEAR(入力データ!$J$5:$J$20),0)&lt;=AD$3),--(IFERROR(YEAR(入力データ!$K$5:$K$20),9999)&gt;=AD$3),入力データ!$M$5:$M$20)*12)</f>
        <v/>
      </c>
      <c r="AE23" s="352">
        <f>IF(AE$3="","",SUMPRODUCT(--ISERROR(SEARCH("終身",入力データ!$F$5:$F$20)),--(IFERROR(YEAR(入力データ!$J$5:$J$20),0)&lt;=AE$3),--(IFERROR(YEAR(入力データ!$K$5:$K$20),9999)&gt;=AE$3),入力データ!$M$5:$M$20)*12)</f>
        <v/>
      </c>
      <c r="AF23" s="352">
        <f>IF(AF$3="","",SUMPRODUCT(--ISERROR(SEARCH("終身",入力データ!$F$5:$F$20)),--(IFERROR(YEAR(入力データ!$J$5:$J$20),0)&lt;=AF$3),--(IFERROR(YEAR(入力データ!$K$5:$K$20),9999)&gt;=AF$3),入力データ!$M$5:$M$20)*12)</f>
        <v/>
      </c>
      <c r="AG23" s="352">
        <f>IF(AG$3="","",SUMPRODUCT(--ISERROR(SEARCH("終身",入力データ!$F$5:$F$20)),--(IFERROR(YEAR(入力データ!$J$5:$J$20),0)&lt;=AG$3),--(IFERROR(YEAR(入力データ!$K$5:$K$20),9999)&gt;=AG$3),入力データ!$M$5:$M$20)*12)</f>
        <v/>
      </c>
      <c r="AH23" s="352">
        <f>IF(AH$3="","",SUMPRODUCT(--ISERROR(SEARCH("終身",入力データ!$F$5:$F$20)),--(IFERROR(YEAR(入力データ!$J$5:$J$20),0)&lt;=AH$3),--(IFERROR(YEAR(入力データ!$K$5:$K$20),9999)&gt;=AH$3),入力データ!$M$5:$M$20)*12)</f>
        <v/>
      </c>
      <c r="AI23" s="352">
        <f>IF(AI$3="","",SUMPRODUCT(--ISERROR(SEARCH("終身",入力データ!$F$5:$F$20)),--(IFERROR(YEAR(入力データ!$J$5:$J$20),0)&lt;=AI$3),--(IFERROR(YEAR(入力データ!$K$5:$K$20),9999)&gt;=AI$3),入力データ!$M$5:$M$20)*12)</f>
        <v/>
      </c>
      <c r="AJ23" s="352">
        <f>IF(AJ$3="","",SUMPRODUCT(--ISERROR(SEARCH("終身",入力データ!$F$5:$F$20)),--(IFERROR(YEAR(入力データ!$J$5:$J$20),0)&lt;=AJ$3),--(IFERROR(YEAR(入力データ!$K$5:$K$20),9999)&gt;=AJ$3),入力データ!$M$5:$M$20)*12)</f>
        <v/>
      </c>
      <c r="AK23" s="352">
        <f>IF(AK$3="","",SUMPRODUCT(--ISERROR(SEARCH("終身",入力データ!$F$5:$F$20)),--(IFERROR(YEAR(入力データ!$J$5:$J$20),0)&lt;=AK$3),--(IFERROR(YEAR(入力データ!$K$5:$K$20),9999)&gt;=AK$3),入力データ!$M$5:$M$20)*12)</f>
        <v/>
      </c>
      <c r="AL23" s="352">
        <f>IF(AL$3="","",SUMPRODUCT(--ISERROR(SEARCH("終身",入力データ!$F$5:$F$20)),--(IFERROR(YEAR(入力データ!$J$5:$J$20),0)&lt;=AL$3),--(IFERROR(YEAR(入力データ!$K$5:$K$20),9999)&gt;=AL$3),入力データ!$M$5:$M$20)*12)</f>
        <v/>
      </c>
      <c r="AM23" s="352">
        <f>IF(AM$3="","",SUMPRODUCT(--ISERROR(SEARCH("終身",入力データ!$F$5:$F$20)),--(IFERROR(YEAR(入力データ!$J$5:$J$20),0)&lt;=AM$3),--(IFERROR(YEAR(入力データ!$K$5:$K$20),9999)&gt;=AM$3),入力データ!$M$5:$M$20)*12)</f>
        <v/>
      </c>
      <c r="AN23" s="352">
        <f>IF(AN$3="","",SUMPRODUCT(--ISERROR(SEARCH("終身",入力データ!$F$5:$F$20)),--(IFERROR(YEAR(入力データ!$J$5:$J$20),0)&lt;=AN$3),--(IFERROR(YEAR(入力データ!$K$5:$K$20),9999)&gt;=AN$3),入力データ!$M$5:$M$20)*12)</f>
        <v/>
      </c>
      <c r="AO23" s="352">
        <f>IF(AO$3="","",SUMPRODUCT(--ISERROR(SEARCH("終身",入力データ!$F$5:$F$20)),--(IFERROR(YEAR(入力データ!$J$5:$J$20),0)&lt;=AO$3),--(IFERROR(YEAR(入力データ!$K$5:$K$20),9999)&gt;=AO$3),入力データ!$M$5:$M$20)*12)</f>
        <v/>
      </c>
      <c r="AP23" s="352">
        <f>IF(AP$3="","",SUMPRODUCT(--ISERROR(SEARCH("終身",入力データ!$F$5:$F$20)),--(IFERROR(YEAR(入力データ!$J$5:$J$20),0)&lt;=AP$3),--(IFERROR(YEAR(入力データ!$K$5:$K$20),9999)&gt;=AP$3),入力データ!$M$5:$M$20)*12)</f>
        <v/>
      </c>
      <c r="AQ23" s="352">
        <f>IF(AQ$3="","",SUMPRODUCT(--ISERROR(SEARCH("終身",入力データ!$F$5:$F$20)),--(IFERROR(YEAR(入力データ!$J$5:$J$20),0)&lt;=AQ$3),--(IFERROR(YEAR(入力データ!$K$5:$K$20),9999)&gt;=AQ$3),入力データ!$M$5:$M$20)*12)</f>
        <v/>
      </c>
      <c r="AR23" s="352">
        <f>IF(AR$3="","",SUMPRODUCT(--ISERROR(SEARCH("終身",入力データ!$F$5:$F$20)),--(IFERROR(YEAR(入力データ!$J$5:$J$20),0)&lt;=AR$3),--(IFERROR(YEAR(入力データ!$K$5:$K$20),9999)&gt;=AR$3),入力データ!$M$5:$M$20)*12)</f>
        <v/>
      </c>
      <c r="AS23" s="352">
        <f>IF(AS$3="","",SUMPRODUCT(--ISERROR(SEARCH("終身",入力データ!$F$5:$F$20)),--(IFERROR(YEAR(入力データ!$J$5:$J$20),0)&lt;=AS$3),--(IFERROR(YEAR(入力データ!$K$5:$K$20),9999)&gt;=AS$3),入力データ!$M$5:$M$20)*12)</f>
        <v/>
      </c>
      <c r="AT23" s="352">
        <f>IF(AT$3="","",SUMPRODUCT(--ISERROR(SEARCH("終身",入力データ!$F$5:$F$20)),--(IFERROR(YEAR(入力データ!$J$5:$J$20),0)&lt;=AT$3),--(IFERROR(YEAR(入力データ!$K$5:$K$20),9999)&gt;=AT$3),入力データ!$M$5:$M$20)*12)</f>
        <v/>
      </c>
      <c r="AU23" s="352">
        <f>IF(AU$3="","",SUMPRODUCT(--ISERROR(SEARCH("終身",入力データ!$F$5:$F$20)),--(IFERROR(YEAR(入力データ!$J$5:$J$20),0)&lt;=AU$3),--(IFERROR(YEAR(入力データ!$K$5:$K$20),9999)&gt;=AU$3),入力データ!$M$5:$M$20)*12)</f>
        <v/>
      </c>
      <c r="AV23" s="352">
        <f>IF(AV$3="","",SUMPRODUCT(--ISERROR(SEARCH("終身",入力データ!$F$5:$F$20)),--(IFERROR(YEAR(入力データ!$J$5:$J$20),0)&lt;=AV$3),--(IFERROR(YEAR(入力データ!$K$5:$K$20),9999)&gt;=AV$3),入力データ!$M$5:$M$20)*12)</f>
        <v/>
      </c>
      <c r="AW23" s="352">
        <f>IF(AW$3="","",SUMPRODUCT(--ISERROR(SEARCH("終身",入力データ!$F$5:$F$20)),--(IFERROR(YEAR(入力データ!$J$5:$J$20),0)&lt;=AW$3),--(IFERROR(YEAR(入力データ!$K$5:$K$20),9999)&gt;=AW$3),入力データ!$M$5:$M$20)*12)</f>
        <v/>
      </c>
      <c r="AX23" s="352">
        <f>IF(AX$3="","",SUMPRODUCT(--ISERROR(SEARCH("終身",入力データ!$F$5:$F$20)),--(IFERROR(YEAR(入力データ!$J$5:$J$20),0)&lt;=AX$3),--(IFERROR(YEAR(入力データ!$K$5:$K$20),9999)&gt;=AX$3),入力データ!$M$5:$M$20)*12)</f>
        <v/>
      </c>
      <c r="AY23" s="352">
        <f>IF(AY$3="","",SUMPRODUCT(--ISERROR(SEARCH("終身",入力データ!$F$5:$F$20)),--(IFERROR(YEAR(入力データ!$J$5:$J$20),0)&lt;=AY$3),--(IFERROR(YEAR(入力データ!$K$5:$K$20),9999)&gt;=AY$3),入力データ!$M$5:$M$20)*12)</f>
        <v/>
      </c>
      <c r="AZ23" s="352">
        <f>IF(AZ$3="","",SUMPRODUCT(--ISERROR(SEARCH("終身",入力データ!$F$5:$F$20)),--(IFERROR(YEAR(入力データ!$J$5:$J$20),0)&lt;=AZ$3),--(IFERROR(YEAR(入力データ!$K$5:$K$20),9999)&gt;=AZ$3),入力データ!$M$5:$M$20)*12)</f>
        <v/>
      </c>
      <c r="BA23" s="352">
        <f>IF(BA$3="","",SUMPRODUCT(--ISERROR(SEARCH("終身",入力データ!$F$5:$F$20)),--(IFERROR(YEAR(入力データ!$J$5:$J$20),0)&lt;=BA$3),--(IFERROR(YEAR(入力データ!$K$5:$K$20),9999)&gt;=BA$3),入力データ!$M$5:$M$20)*12)</f>
        <v/>
      </c>
      <c r="BB23" s="352">
        <f>IF(BB$3="","",SUMPRODUCT(--ISERROR(SEARCH("終身",入力データ!$F$5:$F$20)),--(IFERROR(YEAR(入力データ!$J$5:$J$20),0)&lt;=BB$3),--(IFERROR(YEAR(入力データ!$K$5:$K$20),9999)&gt;=BB$3),入力データ!$M$5:$M$20)*12)</f>
        <v/>
      </c>
      <c r="BC23" s="352">
        <f>IF(BC$3="","",SUMPRODUCT(--ISERROR(SEARCH("終身",入力データ!$F$5:$F$20)),--(IFERROR(YEAR(入力データ!$J$5:$J$20),0)&lt;=BC$3),--(IFERROR(YEAR(入力データ!$K$5:$K$20),9999)&gt;=BC$3),入力データ!$M$5:$M$20)*12)</f>
        <v/>
      </c>
      <c r="BD23" s="352">
        <f>IF(BD$3="","",SUMPRODUCT(--ISERROR(SEARCH("終身",入力データ!$F$5:$F$20)),--(IFERROR(YEAR(入力データ!$J$5:$J$20),0)&lt;=BD$3),--(IFERROR(YEAR(入力データ!$K$5:$K$20),9999)&gt;=BD$3),入力データ!$M$5:$M$20)*12)</f>
        <v/>
      </c>
      <c r="BE23" s="352">
        <f>IF(BE$3="","",SUMPRODUCT(--ISERROR(SEARCH("終身",入力データ!$F$5:$F$20)),--(IFERROR(YEAR(入力データ!$J$5:$J$20),0)&lt;=BE$3),--(IFERROR(YEAR(入力データ!$K$5:$K$20),9999)&gt;=BE$3),入力データ!$M$5:$M$20)*12)</f>
        <v/>
      </c>
      <c r="BF23" s="352">
        <f>IF(BF$3="","",SUMPRODUCT(--ISERROR(SEARCH("終身",入力データ!$F$5:$F$20)),--(IFERROR(YEAR(入力データ!$J$5:$J$20),0)&lt;=BF$3),--(IFERROR(YEAR(入力データ!$K$5:$K$20),9999)&gt;=BF$3),入力データ!$M$5:$M$20)*12)</f>
        <v/>
      </c>
      <c r="BG23" s="352">
        <f>IF(BG$3="","",SUMPRODUCT(--ISERROR(SEARCH("終身",入力データ!$F$5:$F$20)),--(IFERROR(YEAR(入力データ!$J$5:$J$20),0)&lt;=BG$3),--(IFERROR(YEAR(入力データ!$K$5:$K$20),9999)&gt;=BG$3),入力データ!$M$5:$M$20)*12)</f>
        <v/>
      </c>
      <c r="BH23" s="352">
        <f>IF(BH$3="","",SUMPRODUCT(--ISERROR(SEARCH("終身",入力データ!$F$5:$F$20)),--(IFERROR(YEAR(入力データ!$J$5:$J$20),0)&lt;=BH$3),--(IFERROR(YEAR(入力データ!$K$5:$K$20),9999)&gt;=BH$3),入力データ!$M$5:$M$20)*12)</f>
        <v/>
      </c>
      <c r="BI23" s="352">
        <f>IF(BI$3="","",SUMPRODUCT(--ISERROR(SEARCH("終身",入力データ!$F$5:$F$20)),--(IFERROR(YEAR(入力データ!$J$5:$J$20),0)&lt;=BI$3),--(IFERROR(YEAR(入力データ!$K$5:$K$20),9999)&gt;=BI$3),入力データ!$M$5:$M$20)*12)</f>
        <v/>
      </c>
      <c r="BJ23" s="352">
        <f>IF(BJ$3="","",SUMPRODUCT(--ISERROR(SEARCH("終身",入力データ!$F$5:$F$20)),--(IFERROR(YEAR(入力データ!$J$5:$J$20),0)&lt;=BJ$3),--(IFERROR(YEAR(入力データ!$K$5:$K$20),9999)&gt;=BJ$3),入力データ!$M$5:$M$20)*12)</f>
        <v/>
      </c>
      <c r="BK23" s="352">
        <f>IF(BK$3="","",SUMPRODUCT(--ISERROR(SEARCH("終身",入力データ!$F$5:$F$20)),--(IFERROR(YEAR(入力データ!$J$5:$J$20),0)&lt;=BK$3),--(IFERROR(YEAR(入力データ!$K$5:$K$20),9999)&gt;=BK$3),入力データ!$M$5:$M$20)*12)</f>
        <v/>
      </c>
      <c r="BL23" s="352">
        <f>IF(BL$3="","",SUMPRODUCT(--ISERROR(SEARCH("終身",入力データ!$F$5:$F$20)),--(IFERROR(YEAR(入力データ!$J$5:$J$20),0)&lt;=BL$3),--(IFERROR(YEAR(入力データ!$K$5:$K$20),9999)&gt;=BL$3),入力データ!$M$5:$M$20)*12)</f>
        <v/>
      </c>
      <c r="BM23" s="352">
        <f>IF(BM$3="","",SUMPRODUCT(--ISERROR(SEARCH("終身",入力データ!$F$5:$F$20)),--(IFERROR(YEAR(入力データ!$J$5:$J$20),0)&lt;=BM$3),--(IFERROR(YEAR(入力データ!$K$5:$K$20),9999)&gt;=BM$3),入力データ!$M$5:$M$20)*12)</f>
        <v/>
      </c>
      <c r="BN23" s="352">
        <f>IF(BN$3="","",SUMPRODUCT(--ISERROR(SEARCH("終身",入力データ!$F$5:$F$20)),--(IFERROR(YEAR(入力データ!$J$5:$J$20),0)&lt;=BN$3),--(IFERROR(YEAR(入力データ!$K$5:$K$20),9999)&gt;=BN$3),入力データ!$M$5:$M$20)*12)</f>
        <v/>
      </c>
      <c r="BO23" s="352">
        <f>IF(BO$3="","",SUMPRODUCT(--ISERROR(SEARCH("終身",入力データ!$F$5:$F$20)),--(IFERROR(YEAR(入力データ!$J$5:$J$20),0)&lt;=BO$3),--(IFERROR(YEAR(入力データ!$K$5:$K$20),9999)&gt;=BO$3),入力データ!$M$5:$M$20)*12)</f>
        <v/>
      </c>
      <c r="BP23" s="352">
        <f>IF(BP$3="","",SUMPRODUCT(--ISERROR(SEARCH("終身",入力データ!$F$5:$F$20)),--(IFERROR(YEAR(入力データ!$J$5:$J$20),0)&lt;=BP$3),--(IFERROR(YEAR(入力データ!$K$5:$K$20),9999)&gt;=BP$3),入力データ!$M$5:$M$20)*12)</f>
        <v/>
      </c>
      <c r="BQ23" s="352">
        <f>IF(BQ$3="","",SUMPRODUCT(--ISERROR(SEARCH("終身",入力データ!$F$5:$F$20)),--(IFERROR(YEAR(入力データ!$J$5:$J$20),0)&lt;=BQ$3),--(IFERROR(YEAR(入力データ!$K$5:$K$20),9999)&gt;=BQ$3),入力データ!$M$5:$M$20)*12)</f>
        <v/>
      </c>
      <c r="BR23" s="352">
        <f>IF(BR$3="","",SUMPRODUCT(--ISERROR(SEARCH("終身",入力データ!$F$5:$F$20)),--(IFERROR(YEAR(入力データ!$J$5:$J$20),0)&lt;=BR$3),--(IFERROR(YEAR(入力データ!$K$5:$K$20),9999)&gt;=BR$3),入力データ!$M$5:$M$20)*12)</f>
        <v/>
      </c>
      <c r="BS23" s="352">
        <f>IF(BS$3="","",SUMPRODUCT(--ISERROR(SEARCH("終身",入力データ!$F$5:$F$20)),--(IFERROR(YEAR(入力データ!$J$5:$J$20),0)&lt;=BS$3),--(IFERROR(YEAR(入力データ!$K$5:$K$20),9999)&gt;=BS$3),入力データ!$M$5:$M$20)*12)</f>
        <v/>
      </c>
      <c r="BT23" s="352">
        <f>IF(BT$3="","",SUMPRODUCT(--ISERROR(SEARCH("終身",入力データ!$F$5:$F$20)),--(IFERROR(YEAR(入力データ!$J$5:$J$20),0)&lt;=BT$3),--(IFERROR(YEAR(入力データ!$K$5:$K$20),9999)&gt;=BT$3),入力データ!$M$5:$M$20)*12)</f>
        <v/>
      </c>
      <c r="BU23" s="352">
        <f>IF(BU$3="","",SUMPRODUCT(--ISERROR(SEARCH("終身",入力データ!$F$5:$F$20)),--(IFERROR(YEAR(入力データ!$J$5:$J$20),0)&lt;=BU$3),--(IFERROR(YEAR(入力データ!$K$5:$K$20),9999)&gt;=BU$3),入力データ!$M$5:$M$20)*12)</f>
        <v/>
      </c>
      <c r="BV23" s="352">
        <f>IF(BV$3="","",SUMPRODUCT(--ISERROR(SEARCH("終身",入力データ!$F$5:$F$20)),--(IFERROR(YEAR(入力データ!$J$5:$J$20),0)&lt;=BV$3),--(IFERROR(YEAR(入力データ!$K$5:$K$20),9999)&gt;=BV$3),入力データ!$M$5:$M$20)*12)</f>
        <v/>
      </c>
      <c r="BW23" s="352">
        <f>IF(BW$3="","",SUMPRODUCT(--ISERROR(SEARCH("終身",入力データ!$F$5:$F$20)),--(IFERROR(YEAR(入力データ!$J$5:$J$20),0)&lt;=BW$3),--(IFERROR(YEAR(入力データ!$K$5:$K$20),9999)&gt;=BW$3),入力データ!$M$5:$M$20)*12)</f>
        <v/>
      </c>
      <c r="BX23" s="352">
        <f>IF(BX$3="","",SUMPRODUCT(--ISERROR(SEARCH("終身",入力データ!$F$5:$F$20)),--(IFERROR(YEAR(入力データ!$J$5:$J$20),0)&lt;=BX$3),--(IFERROR(YEAR(入力データ!$K$5:$K$20),9999)&gt;=BX$3),入力データ!$M$5:$M$20)*12)</f>
        <v/>
      </c>
      <c r="BY23" s="352">
        <f>IF(BY$3="","",SUMPRODUCT(--ISERROR(SEARCH("終身",入力データ!$F$5:$F$20)),--(IFERROR(YEAR(入力データ!$J$5:$J$20),0)&lt;=BY$3),--(IFERROR(YEAR(入力データ!$K$5:$K$20),9999)&gt;=BY$3),入力データ!$M$5:$M$20)*12)</f>
        <v/>
      </c>
      <c r="BZ23" s="352">
        <f>IF(BZ$3="","",SUMPRODUCT(--ISERROR(SEARCH("終身",入力データ!$F$5:$F$20)),--(IFERROR(YEAR(入力データ!$J$5:$J$20),0)&lt;=BZ$3),--(IFERROR(YEAR(入力データ!$K$5:$K$20),9999)&gt;=BZ$3),入力データ!$M$5:$M$20)*12)</f>
        <v/>
      </c>
      <c r="CA23" s="352">
        <f>IF(CA$3="","",SUMPRODUCT(--ISERROR(SEARCH("終身",入力データ!$F$5:$F$20)),--(IFERROR(YEAR(入力データ!$J$5:$J$20),0)&lt;=CA$3),--(IFERROR(YEAR(入力データ!$K$5:$K$20),9999)&gt;=CA$3),入力データ!$M$5:$M$20)*12)</f>
        <v/>
      </c>
      <c r="CB23" s="352">
        <f>IF(CB$3="","",SUMPRODUCT(--ISERROR(SEARCH("終身",入力データ!$F$5:$F$20)),--(IFERROR(YEAR(入力データ!$J$5:$J$20),0)&lt;=CB$3),--(IFERROR(YEAR(入力データ!$K$5:$K$20),9999)&gt;=CB$3),入力データ!$M$5:$M$20)*12)</f>
        <v/>
      </c>
      <c r="CC23" s="352">
        <f>IF(CC$3="","",SUMPRODUCT(--ISERROR(SEARCH("終身",入力データ!$F$5:$F$20)),--(IFERROR(YEAR(入力データ!$J$5:$J$20),0)&lt;=CC$3),--(IFERROR(YEAR(入力データ!$K$5:$K$20),9999)&gt;=CC$3),入力データ!$M$5:$M$20)*12)</f>
        <v/>
      </c>
      <c r="CD23" s="352">
        <f>IF(CD$3="","",SUMPRODUCT(--ISERROR(SEARCH("終身",入力データ!$F$5:$F$20)),--(IFERROR(YEAR(入力データ!$J$5:$J$20),0)&lt;=CD$3),--(IFERROR(YEAR(入力データ!$K$5:$K$20),9999)&gt;=CD$3),入力データ!$M$5:$M$20)*12)</f>
        <v/>
      </c>
      <c r="CE23" s="352">
        <f>IF(CE$3="","",SUMPRODUCT(--ISERROR(SEARCH("終身",入力データ!$F$5:$F$20)),--(IFERROR(YEAR(入力データ!$J$5:$J$20),0)&lt;=CE$3),--(IFERROR(YEAR(入力データ!$K$5:$K$20),9999)&gt;=CE$3),入力データ!$M$5:$M$20)*12)</f>
        <v/>
      </c>
      <c r="CF23" s="352">
        <f>IF(CF$3="","",SUMPRODUCT(--ISERROR(SEARCH("終身",入力データ!$F$5:$F$20)),--(IFERROR(YEAR(入力データ!$J$5:$J$20),0)&lt;=CF$3),--(IFERROR(YEAR(入力データ!$K$5:$K$20),9999)&gt;=CF$3),入力データ!$M$5:$M$20)*12)</f>
        <v/>
      </c>
      <c r="CG23" s="352">
        <f>IF(CG$3="","",SUMPRODUCT(--ISERROR(SEARCH("終身",入力データ!$F$5:$F$20)),--(IFERROR(YEAR(入力データ!$J$5:$J$20),0)&lt;=CG$3),--(IFERROR(YEAR(入力データ!$K$5:$K$20),9999)&gt;=CG$3),入力データ!$M$5:$M$20)*12)</f>
        <v/>
      </c>
      <c r="CH23" s="352">
        <f>IF(CH$3="","",SUMPRODUCT(--ISERROR(SEARCH("終身",入力データ!$F$5:$F$20)),--(IFERROR(YEAR(入力データ!$J$5:$J$20),0)&lt;=CH$3),--(IFERROR(YEAR(入力データ!$K$5:$K$20),9999)&gt;=CH$3),入力データ!$M$5:$M$20)*12)</f>
        <v/>
      </c>
      <c r="CI23" s="352">
        <f>IF(CI$3="","",SUMPRODUCT(--ISERROR(SEARCH("終身",入力データ!$F$5:$F$20)),--(IFERROR(YEAR(入力データ!$J$5:$J$20),0)&lt;=CI$3),--(IFERROR(YEAR(入力データ!$K$5:$K$20),9999)&gt;=CI$3),入力データ!$M$5:$M$20)*12)</f>
        <v/>
      </c>
      <c r="CJ23" s="352">
        <f>IF(CJ$3="","",SUMPRODUCT(--ISERROR(SEARCH("終身",入力データ!$F$5:$F$20)),--(IFERROR(YEAR(入力データ!$J$5:$J$20),0)&lt;=CJ$3),--(IFERROR(YEAR(入力データ!$K$5:$K$20),9999)&gt;=CJ$3),入力データ!$M$5:$M$20)*12)</f>
        <v/>
      </c>
      <c r="CK23" s="352">
        <f>IF(CK$3="","",SUMPRODUCT(--ISERROR(SEARCH("終身",入力データ!$F$5:$F$20)),--(IFERROR(YEAR(入力データ!$J$5:$J$20),0)&lt;=CK$3),--(IFERROR(YEAR(入力データ!$K$5:$K$20),9999)&gt;=CK$3),入力データ!$M$5:$M$20)*12)</f>
        <v/>
      </c>
      <c r="CL23" s="352">
        <f>IF(CL$3="","",SUMPRODUCT(--ISERROR(SEARCH("終身",入力データ!$F$5:$F$20)),--(IFERROR(YEAR(入力データ!$J$5:$J$20),0)&lt;=CL$3),--(IFERROR(YEAR(入力データ!$K$5:$K$20),9999)&gt;=CL$3),入力データ!$M$5:$M$20)*12)</f>
        <v/>
      </c>
      <c r="CM23" s="352">
        <f>IF(CM$3="","",SUMPRODUCT(--ISERROR(SEARCH("終身",入力データ!$F$5:$F$20)),--(IFERROR(YEAR(入力データ!$J$5:$J$20),0)&lt;=CM$3),--(IFERROR(YEAR(入力データ!$K$5:$K$20),9999)&gt;=CM$3),入力データ!$M$5:$M$20)*12)</f>
        <v/>
      </c>
      <c r="CN23" s="352">
        <f>IF(CN$3="","",SUMPRODUCT(--ISERROR(SEARCH("終身",入力データ!$F$5:$F$20)),--(IFERROR(YEAR(入力データ!$J$5:$J$20),0)&lt;=CN$3),--(IFERROR(YEAR(入力データ!$K$5:$K$20),9999)&gt;=CN$3),入力データ!$M$5:$M$20)*12)</f>
        <v/>
      </c>
      <c r="CO23" s="352">
        <f>IF(CO$3="","",SUMPRODUCT(--ISERROR(SEARCH("終身",入力データ!$F$5:$F$20)),--(IFERROR(YEAR(入力データ!$J$5:$J$20),0)&lt;=CO$3),--(IFERROR(YEAR(入力データ!$K$5:$K$20),9999)&gt;=CO$3),入力データ!$M$5:$M$20)*12)</f>
        <v/>
      </c>
      <c r="CP23" s="352">
        <f>IF(CP$3="","",SUMPRODUCT(--ISERROR(SEARCH("終身",入力データ!$F$5:$F$20)),--(IFERROR(YEAR(入力データ!$J$5:$J$20),0)&lt;=CP$3),--(IFERROR(YEAR(入力データ!$K$5:$K$20),9999)&gt;=CP$3),入力データ!$M$5:$M$20)*12)</f>
        <v/>
      </c>
      <c r="CQ23" s="352">
        <f>IF(CQ$3="","",SUMPRODUCT(--ISERROR(SEARCH("終身",入力データ!$F$5:$F$20)),--(IFERROR(YEAR(入力データ!$J$5:$J$20),0)&lt;=CQ$3),--(IFERROR(YEAR(入力データ!$K$5:$K$20),9999)&gt;=CQ$3),入力データ!$M$5:$M$20)*12)</f>
        <v/>
      </c>
      <c r="CR23" s="352">
        <f>IF(CR$3="","",SUMPRODUCT(--ISERROR(SEARCH("終身",入力データ!$F$5:$F$20)),--(IFERROR(YEAR(入力データ!$J$5:$J$20),0)&lt;=CR$3),--(IFERROR(YEAR(入力データ!$K$5:$K$20),9999)&gt;=CR$3),入力データ!$M$5:$M$20)*12)</f>
        <v/>
      </c>
      <c r="CS23" s="352">
        <f>IF(CS$3="","",SUMPRODUCT(--ISERROR(SEARCH("終身",入力データ!$F$5:$F$20)),--(IFERROR(YEAR(入力データ!$J$5:$J$20),0)&lt;=CS$3),--(IFERROR(YEAR(入力データ!$K$5:$K$20),9999)&gt;=CS$3),入力データ!$M$5:$M$20)*12)</f>
        <v/>
      </c>
      <c r="CT23" s="352">
        <f>IF(CT$3="","",SUMPRODUCT(--ISERROR(SEARCH("終身",入力データ!$F$5:$F$20)),--(IFERROR(YEAR(入力データ!$J$5:$J$20),0)&lt;=CT$3),--(IFERROR(YEAR(入力データ!$K$5:$K$20),9999)&gt;=CT$3),入力データ!$M$5:$M$20)*12)</f>
        <v/>
      </c>
      <c r="CU23" s="352">
        <f>IF(CU$3="","",SUMPRODUCT(--ISERROR(SEARCH("終身",入力データ!$F$5:$F$20)),--(IFERROR(YEAR(入力データ!$J$5:$J$20),0)&lt;=CU$3),--(IFERROR(YEAR(入力データ!$K$5:$K$20),9999)&gt;=CU$3),入力データ!$M$5:$M$20)*12)</f>
        <v/>
      </c>
      <c r="CV23" s="352">
        <f>IF(CV$3="","",SUMPRODUCT(--ISERROR(SEARCH("終身",入力データ!$F$5:$F$20)),--(IFERROR(YEAR(入力データ!$J$5:$J$20),0)&lt;=CV$3),--(IFERROR(YEAR(入力データ!$K$5:$K$20),9999)&gt;=CV$3),入力データ!$M$5:$M$20)*12)</f>
        <v/>
      </c>
      <c r="CW23" s="352">
        <f>IF(CW$3="","",SUMPRODUCT(--ISERROR(SEARCH("終身",入力データ!$F$5:$F$20)),--(IFERROR(YEAR(入力データ!$J$5:$J$20),0)&lt;=CW$3),--(IFERROR(YEAR(入力データ!$K$5:$K$20),9999)&gt;=CW$3),入力データ!$M$5:$M$20)*12)</f>
        <v/>
      </c>
    </row>
    <row r="24" ht="15" customHeight="1" s="180">
      <c r="A24" s="224" t="inlineStr">
        <is>
          <t>教育費</t>
        </is>
      </c>
      <c r="B24" s="352">
        <f>IF(B$3="","",((SUM(入力データ!$C$58:$C$61)*12)+IF(B6="",0,IF(B6&lt;=5,IF(入力データ!$G$25="私立",前提条件!$C$22,前提条件!$C$21),IF(B6&lt;=11,IF(入力データ!$H$25="私立",前提条件!$C$24,前提条件!$C$23),IF(B6&lt;=14,IF(入力データ!$I$25="私立",前提条件!$C$26,前提条件!$C$25),IF(B6&lt;=17,IF(入力データ!$J$25="私立",前提条件!$C$28,前提条件!$C$27),IF(B6&lt;=21,IF(入力データ!$K$25="国公立",前提条件!$C$29,IF(入力データ!$K$25="私立理系",前提条件!$C$31,前提条件!$C$30))+IF(入力データ!$L$25="下宿",前提条件!$C$32,0)+IF(B6=18,前提条件!$C$33,0),0))))))+IF(B7="",0,IF(B7&lt;=5,IF(入力データ!$G$26="私立",前提条件!$C$22,前提条件!$C$21),IF(B7&lt;=11,IF(入力データ!$H$26="私立",前提条件!$C$24,前提条件!$C$23),IF(B7&lt;=14,IF(入力データ!$I$26="私立",前提条件!$C$26,前提条件!$C$25),IF(B7&lt;=17,IF(入力データ!$J$26="私立",前提条件!$C$28,前提条件!$C$27),IF(B7&lt;=21,IF(入力データ!$K$26="国公立",前提条件!$C$29,IF(入力データ!$K$26="私立理系",前提条件!$C$31,前提条件!$C$30))+IF(入力データ!$L$26="下宿",前提条件!$C$32,0)+IF(B7=18,前提条件!$C$33,0),0))))))+IF(B8="",0,IF(B8&lt;=5,IF(入力データ!$G$27="私立",前提条件!$C$22,前提条件!$C$21),IF(B8&lt;=11,IF(入力データ!$H$27="私立",前提条件!$C$24,前提条件!$C$23),IF(B8&lt;=14,IF(入力データ!$I$27="私立",前提条件!$C$26,前提条件!$C$25),IF(B8&lt;=17,IF(入力データ!$J$27="私立",前提条件!$C$28,前提条件!$C$27),IF(B8&lt;=21,IF(入力データ!$K$27="国公立",前提条件!$C$29,IF(入力データ!$K$27="私立理系",前提条件!$C$31,前提条件!$C$30))+IF(入力データ!$L$27="下宿",前提条件!$C$32,0)+IF(B8=18,前提条件!$C$33,0),0)))))))*(1+前提条件!$C$13)^(B$3-$B$3))</f>
        <v/>
      </c>
      <c r="C24" s="352">
        <f>IF(C$3="","",((SUM(入力データ!$C$58:$C$61)*12)+IF(C6="",0,IF(C6&lt;=5,IF(入力データ!$G$25="私立",前提条件!$C$22,前提条件!$C$21),IF(C6&lt;=11,IF(入力データ!$H$25="私立",前提条件!$C$24,前提条件!$C$23),IF(C6&lt;=14,IF(入力データ!$I$25="私立",前提条件!$C$26,前提条件!$C$25),IF(C6&lt;=17,IF(入力データ!$J$25="私立",前提条件!$C$28,前提条件!$C$27),IF(C6&lt;=21,IF(入力データ!$K$25="国公立",前提条件!$C$29,IF(入力データ!$K$25="私立理系",前提条件!$C$31,前提条件!$C$30))+IF(入力データ!$L$25="下宿",前提条件!$C$32,0)+IF(C6=18,前提条件!$C$33,0),0))))))+IF(C7="",0,IF(C7&lt;=5,IF(入力データ!$G$26="私立",前提条件!$C$22,前提条件!$C$21),IF(C7&lt;=11,IF(入力データ!$H$26="私立",前提条件!$C$24,前提条件!$C$23),IF(C7&lt;=14,IF(入力データ!$I$26="私立",前提条件!$C$26,前提条件!$C$25),IF(C7&lt;=17,IF(入力データ!$J$26="私立",前提条件!$C$28,前提条件!$C$27),IF(C7&lt;=21,IF(入力データ!$K$26="国公立",前提条件!$C$29,IF(入力データ!$K$26="私立理系",前提条件!$C$31,前提条件!$C$30))+IF(入力データ!$L$26="下宿",前提条件!$C$32,0)+IF(C7=18,前提条件!$C$33,0),0))))))+IF(C8="",0,IF(C8&lt;=5,IF(入力データ!$G$27="私立",前提条件!$C$22,前提条件!$C$21),IF(C8&lt;=11,IF(入力データ!$H$27="私立",前提条件!$C$24,前提条件!$C$23),IF(C8&lt;=14,IF(入力データ!$I$27="私立",前提条件!$C$26,前提条件!$C$25),IF(C8&lt;=17,IF(入力データ!$J$27="私立",前提条件!$C$28,前提条件!$C$27),IF(C8&lt;=21,IF(入力データ!$K$27="国公立",前提条件!$C$29,IF(入力データ!$K$27="私立理系",前提条件!$C$31,前提条件!$C$30))+IF(入力データ!$L$27="下宿",前提条件!$C$32,0)+IF(C8=18,前提条件!$C$33,0),0)))))))*(1+前提条件!$C$13)^(C$3-$B$3))</f>
        <v/>
      </c>
      <c r="D24" s="352">
        <f>IF(D$3="","",((SUM(入力データ!$C$58:$C$61)*12)+IF(D6="",0,IF(D6&lt;=5,IF(入力データ!$G$25="私立",前提条件!$C$22,前提条件!$C$21),IF(D6&lt;=11,IF(入力データ!$H$25="私立",前提条件!$C$24,前提条件!$C$23),IF(D6&lt;=14,IF(入力データ!$I$25="私立",前提条件!$C$26,前提条件!$C$25),IF(D6&lt;=17,IF(入力データ!$J$25="私立",前提条件!$C$28,前提条件!$C$27),IF(D6&lt;=21,IF(入力データ!$K$25="国公立",前提条件!$C$29,IF(入力データ!$K$25="私立理系",前提条件!$C$31,前提条件!$C$30))+IF(入力データ!$L$25="下宿",前提条件!$C$32,0)+IF(D6=18,前提条件!$C$33,0),0))))))+IF(D7="",0,IF(D7&lt;=5,IF(入力データ!$G$26="私立",前提条件!$C$22,前提条件!$C$21),IF(D7&lt;=11,IF(入力データ!$H$26="私立",前提条件!$C$24,前提条件!$C$23),IF(D7&lt;=14,IF(入力データ!$I$26="私立",前提条件!$C$26,前提条件!$C$25),IF(D7&lt;=17,IF(入力データ!$J$26="私立",前提条件!$C$28,前提条件!$C$27),IF(D7&lt;=21,IF(入力データ!$K$26="国公立",前提条件!$C$29,IF(入力データ!$K$26="私立理系",前提条件!$C$31,前提条件!$C$30))+IF(入力データ!$L$26="下宿",前提条件!$C$32,0)+IF(D7=18,前提条件!$C$33,0),0))))))+IF(D8="",0,IF(D8&lt;=5,IF(入力データ!$G$27="私立",前提条件!$C$22,前提条件!$C$21),IF(D8&lt;=11,IF(入力データ!$H$27="私立",前提条件!$C$24,前提条件!$C$23),IF(D8&lt;=14,IF(入力データ!$I$27="私立",前提条件!$C$26,前提条件!$C$25),IF(D8&lt;=17,IF(入力データ!$J$27="私立",前提条件!$C$28,前提条件!$C$27),IF(D8&lt;=21,IF(入力データ!$K$27="国公立",前提条件!$C$29,IF(入力データ!$K$27="私立理系",前提条件!$C$31,前提条件!$C$30))+IF(入力データ!$L$27="下宿",前提条件!$C$32,0)+IF(D8=18,前提条件!$C$33,0),0)))))))*(1+前提条件!$C$13)^(D$3-$B$3))</f>
        <v/>
      </c>
      <c r="E24" s="352">
        <f>IF(E$3="","",((SUM(入力データ!$C$58:$C$61)*12)+IF(E6="",0,IF(E6&lt;=5,IF(入力データ!$G$25="私立",前提条件!$C$22,前提条件!$C$21),IF(E6&lt;=11,IF(入力データ!$H$25="私立",前提条件!$C$24,前提条件!$C$23),IF(E6&lt;=14,IF(入力データ!$I$25="私立",前提条件!$C$26,前提条件!$C$25),IF(E6&lt;=17,IF(入力データ!$J$25="私立",前提条件!$C$28,前提条件!$C$27),IF(E6&lt;=21,IF(入力データ!$K$25="国公立",前提条件!$C$29,IF(入力データ!$K$25="私立理系",前提条件!$C$31,前提条件!$C$30))+IF(入力データ!$L$25="下宿",前提条件!$C$32,0)+IF(E6=18,前提条件!$C$33,0),0))))))+IF(E7="",0,IF(E7&lt;=5,IF(入力データ!$G$26="私立",前提条件!$C$22,前提条件!$C$21),IF(E7&lt;=11,IF(入力データ!$H$26="私立",前提条件!$C$24,前提条件!$C$23),IF(E7&lt;=14,IF(入力データ!$I$26="私立",前提条件!$C$26,前提条件!$C$25),IF(E7&lt;=17,IF(入力データ!$J$26="私立",前提条件!$C$28,前提条件!$C$27),IF(E7&lt;=21,IF(入力データ!$K$26="国公立",前提条件!$C$29,IF(入力データ!$K$26="私立理系",前提条件!$C$31,前提条件!$C$30))+IF(入力データ!$L$26="下宿",前提条件!$C$32,0)+IF(E7=18,前提条件!$C$33,0),0))))))+IF(E8="",0,IF(E8&lt;=5,IF(入力データ!$G$27="私立",前提条件!$C$22,前提条件!$C$21),IF(E8&lt;=11,IF(入力データ!$H$27="私立",前提条件!$C$24,前提条件!$C$23),IF(E8&lt;=14,IF(入力データ!$I$27="私立",前提条件!$C$26,前提条件!$C$25),IF(E8&lt;=17,IF(入力データ!$J$27="私立",前提条件!$C$28,前提条件!$C$27),IF(E8&lt;=21,IF(入力データ!$K$27="国公立",前提条件!$C$29,IF(入力データ!$K$27="私立理系",前提条件!$C$31,前提条件!$C$30))+IF(入力データ!$L$27="下宿",前提条件!$C$32,0)+IF(E8=18,前提条件!$C$33,0),0)))))))*(1+前提条件!$C$13)^(E$3-$B$3))</f>
        <v/>
      </c>
      <c r="F24" s="352">
        <f>IF(F$3="","",((SUM(入力データ!$C$58:$C$61)*12)+IF(F6="",0,IF(F6&lt;=5,IF(入力データ!$G$25="私立",前提条件!$C$22,前提条件!$C$21),IF(F6&lt;=11,IF(入力データ!$H$25="私立",前提条件!$C$24,前提条件!$C$23),IF(F6&lt;=14,IF(入力データ!$I$25="私立",前提条件!$C$26,前提条件!$C$25),IF(F6&lt;=17,IF(入力データ!$J$25="私立",前提条件!$C$28,前提条件!$C$27),IF(F6&lt;=21,IF(入力データ!$K$25="国公立",前提条件!$C$29,IF(入力データ!$K$25="私立理系",前提条件!$C$31,前提条件!$C$30))+IF(入力データ!$L$25="下宿",前提条件!$C$32,0)+IF(F6=18,前提条件!$C$33,0),0))))))+IF(F7="",0,IF(F7&lt;=5,IF(入力データ!$G$26="私立",前提条件!$C$22,前提条件!$C$21),IF(F7&lt;=11,IF(入力データ!$H$26="私立",前提条件!$C$24,前提条件!$C$23),IF(F7&lt;=14,IF(入力データ!$I$26="私立",前提条件!$C$26,前提条件!$C$25),IF(F7&lt;=17,IF(入力データ!$J$26="私立",前提条件!$C$28,前提条件!$C$27),IF(F7&lt;=21,IF(入力データ!$K$26="国公立",前提条件!$C$29,IF(入力データ!$K$26="私立理系",前提条件!$C$31,前提条件!$C$30))+IF(入力データ!$L$26="下宿",前提条件!$C$32,0)+IF(F7=18,前提条件!$C$33,0),0))))))+IF(F8="",0,IF(F8&lt;=5,IF(入力データ!$G$27="私立",前提条件!$C$22,前提条件!$C$21),IF(F8&lt;=11,IF(入力データ!$H$27="私立",前提条件!$C$24,前提条件!$C$23),IF(F8&lt;=14,IF(入力データ!$I$27="私立",前提条件!$C$26,前提条件!$C$25),IF(F8&lt;=17,IF(入力データ!$J$27="私立",前提条件!$C$28,前提条件!$C$27),IF(F8&lt;=21,IF(入力データ!$K$27="国公立",前提条件!$C$29,IF(入力データ!$K$27="私立理系",前提条件!$C$31,前提条件!$C$30))+IF(入力データ!$L$27="下宿",前提条件!$C$32,0)+IF(F8=18,前提条件!$C$33,0),0)))))))*(1+前提条件!$C$13)^(F$3-$B$3))</f>
        <v/>
      </c>
      <c r="G24" s="352">
        <f>IF(G$3="","",((SUM(入力データ!$C$58:$C$61)*12)+IF(G6="",0,IF(G6&lt;=5,IF(入力データ!$G$25="私立",前提条件!$C$22,前提条件!$C$21),IF(G6&lt;=11,IF(入力データ!$H$25="私立",前提条件!$C$24,前提条件!$C$23),IF(G6&lt;=14,IF(入力データ!$I$25="私立",前提条件!$C$26,前提条件!$C$25),IF(G6&lt;=17,IF(入力データ!$J$25="私立",前提条件!$C$28,前提条件!$C$27),IF(G6&lt;=21,IF(入力データ!$K$25="国公立",前提条件!$C$29,IF(入力データ!$K$25="私立理系",前提条件!$C$31,前提条件!$C$30))+IF(入力データ!$L$25="下宿",前提条件!$C$32,0)+IF(G6=18,前提条件!$C$33,0),0))))))+IF(G7="",0,IF(G7&lt;=5,IF(入力データ!$G$26="私立",前提条件!$C$22,前提条件!$C$21),IF(G7&lt;=11,IF(入力データ!$H$26="私立",前提条件!$C$24,前提条件!$C$23),IF(G7&lt;=14,IF(入力データ!$I$26="私立",前提条件!$C$26,前提条件!$C$25),IF(G7&lt;=17,IF(入力データ!$J$26="私立",前提条件!$C$28,前提条件!$C$27),IF(G7&lt;=21,IF(入力データ!$K$26="国公立",前提条件!$C$29,IF(入力データ!$K$26="私立理系",前提条件!$C$31,前提条件!$C$30))+IF(入力データ!$L$26="下宿",前提条件!$C$32,0)+IF(G7=18,前提条件!$C$33,0),0))))))+IF(G8="",0,IF(G8&lt;=5,IF(入力データ!$G$27="私立",前提条件!$C$22,前提条件!$C$21),IF(G8&lt;=11,IF(入力データ!$H$27="私立",前提条件!$C$24,前提条件!$C$23),IF(G8&lt;=14,IF(入力データ!$I$27="私立",前提条件!$C$26,前提条件!$C$25),IF(G8&lt;=17,IF(入力データ!$J$27="私立",前提条件!$C$28,前提条件!$C$27),IF(G8&lt;=21,IF(入力データ!$K$27="国公立",前提条件!$C$29,IF(入力データ!$K$27="私立理系",前提条件!$C$31,前提条件!$C$30))+IF(入力データ!$L$27="下宿",前提条件!$C$32,0)+IF(G8=18,前提条件!$C$33,0),0)))))))*(1+前提条件!$C$13)^(G$3-$B$3))</f>
        <v/>
      </c>
      <c r="H24" s="352">
        <f>IF(H$3="","",((SUM(入力データ!$C$58:$C$61)*12)+IF(H6="",0,IF(H6&lt;=5,IF(入力データ!$G$25="私立",前提条件!$C$22,前提条件!$C$21),IF(H6&lt;=11,IF(入力データ!$H$25="私立",前提条件!$C$24,前提条件!$C$23),IF(H6&lt;=14,IF(入力データ!$I$25="私立",前提条件!$C$26,前提条件!$C$25),IF(H6&lt;=17,IF(入力データ!$J$25="私立",前提条件!$C$28,前提条件!$C$27),IF(H6&lt;=21,IF(入力データ!$K$25="国公立",前提条件!$C$29,IF(入力データ!$K$25="私立理系",前提条件!$C$31,前提条件!$C$30))+IF(入力データ!$L$25="下宿",前提条件!$C$32,0)+IF(H6=18,前提条件!$C$33,0),0))))))+IF(H7="",0,IF(H7&lt;=5,IF(入力データ!$G$26="私立",前提条件!$C$22,前提条件!$C$21),IF(H7&lt;=11,IF(入力データ!$H$26="私立",前提条件!$C$24,前提条件!$C$23),IF(H7&lt;=14,IF(入力データ!$I$26="私立",前提条件!$C$26,前提条件!$C$25),IF(H7&lt;=17,IF(入力データ!$J$26="私立",前提条件!$C$28,前提条件!$C$27),IF(H7&lt;=21,IF(入力データ!$K$26="国公立",前提条件!$C$29,IF(入力データ!$K$26="私立理系",前提条件!$C$31,前提条件!$C$30))+IF(入力データ!$L$26="下宿",前提条件!$C$32,0)+IF(H7=18,前提条件!$C$33,0),0))))))+IF(H8="",0,IF(H8&lt;=5,IF(入力データ!$G$27="私立",前提条件!$C$22,前提条件!$C$21),IF(H8&lt;=11,IF(入力データ!$H$27="私立",前提条件!$C$24,前提条件!$C$23),IF(H8&lt;=14,IF(入力データ!$I$27="私立",前提条件!$C$26,前提条件!$C$25),IF(H8&lt;=17,IF(入力データ!$J$27="私立",前提条件!$C$28,前提条件!$C$27),IF(H8&lt;=21,IF(入力データ!$K$27="国公立",前提条件!$C$29,IF(入力データ!$K$27="私立理系",前提条件!$C$31,前提条件!$C$30))+IF(入力データ!$L$27="下宿",前提条件!$C$32,0)+IF(H8=18,前提条件!$C$33,0),0)))))))*(1+前提条件!$C$13)^(H$3-$B$3))</f>
        <v/>
      </c>
      <c r="I24" s="352">
        <f>IF(I$3="","",((SUM(入力データ!$C$58:$C$61)*12)+IF(I6="",0,IF(I6&lt;=5,IF(入力データ!$G$25="私立",前提条件!$C$22,前提条件!$C$21),IF(I6&lt;=11,IF(入力データ!$H$25="私立",前提条件!$C$24,前提条件!$C$23),IF(I6&lt;=14,IF(入力データ!$I$25="私立",前提条件!$C$26,前提条件!$C$25),IF(I6&lt;=17,IF(入力データ!$J$25="私立",前提条件!$C$28,前提条件!$C$27),IF(I6&lt;=21,IF(入力データ!$K$25="国公立",前提条件!$C$29,IF(入力データ!$K$25="私立理系",前提条件!$C$31,前提条件!$C$30))+IF(入力データ!$L$25="下宿",前提条件!$C$32,0)+IF(I6=18,前提条件!$C$33,0),0))))))+IF(I7="",0,IF(I7&lt;=5,IF(入力データ!$G$26="私立",前提条件!$C$22,前提条件!$C$21),IF(I7&lt;=11,IF(入力データ!$H$26="私立",前提条件!$C$24,前提条件!$C$23),IF(I7&lt;=14,IF(入力データ!$I$26="私立",前提条件!$C$26,前提条件!$C$25),IF(I7&lt;=17,IF(入力データ!$J$26="私立",前提条件!$C$28,前提条件!$C$27),IF(I7&lt;=21,IF(入力データ!$K$26="国公立",前提条件!$C$29,IF(入力データ!$K$26="私立理系",前提条件!$C$31,前提条件!$C$30))+IF(入力データ!$L$26="下宿",前提条件!$C$32,0)+IF(I7=18,前提条件!$C$33,0),0))))))+IF(I8="",0,IF(I8&lt;=5,IF(入力データ!$G$27="私立",前提条件!$C$22,前提条件!$C$21),IF(I8&lt;=11,IF(入力データ!$H$27="私立",前提条件!$C$24,前提条件!$C$23),IF(I8&lt;=14,IF(入力データ!$I$27="私立",前提条件!$C$26,前提条件!$C$25),IF(I8&lt;=17,IF(入力データ!$J$27="私立",前提条件!$C$28,前提条件!$C$27),IF(I8&lt;=21,IF(入力データ!$K$27="国公立",前提条件!$C$29,IF(入力データ!$K$27="私立理系",前提条件!$C$31,前提条件!$C$30))+IF(入力データ!$L$27="下宿",前提条件!$C$32,0)+IF(I8=18,前提条件!$C$33,0),0)))))))*(1+前提条件!$C$13)^(I$3-$B$3))</f>
        <v/>
      </c>
      <c r="J24" s="352">
        <f>IF(J$3="","",((SUM(入力データ!$C$58:$C$61)*12)+IF(J6="",0,IF(J6&lt;=5,IF(入力データ!$G$25="私立",前提条件!$C$22,前提条件!$C$21),IF(J6&lt;=11,IF(入力データ!$H$25="私立",前提条件!$C$24,前提条件!$C$23),IF(J6&lt;=14,IF(入力データ!$I$25="私立",前提条件!$C$26,前提条件!$C$25),IF(J6&lt;=17,IF(入力データ!$J$25="私立",前提条件!$C$28,前提条件!$C$27),IF(J6&lt;=21,IF(入力データ!$K$25="国公立",前提条件!$C$29,IF(入力データ!$K$25="私立理系",前提条件!$C$31,前提条件!$C$30))+IF(入力データ!$L$25="下宿",前提条件!$C$32,0)+IF(J6=18,前提条件!$C$33,0),0))))))+IF(J7="",0,IF(J7&lt;=5,IF(入力データ!$G$26="私立",前提条件!$C$22,前提条件!$C$21),IF(J7&lt;=11,IF(入力データ!$H$26="私立",前提条件!$C$24,前提条件!$C$23),IF(J7&lt;=14,IF(入力データ!$I$26="私立",前提条件!$C$26,前提条件!$C$25),IF(J7&lt;=17,IF(入力データ!$J$26="私立",前提条件!$C$28,前提条件!$C$27),IF(J7&lt;=21,IF(入力データ!$K$26="国公立",前提条件!$C$29,IF(入力データ!$K$26="私立理系",前提条件!$C$31,前提条件!$C$30))+IF(入力データ!$L$26="下宿",前提条件!$C$32,0)+IF(J7=18,前提条件!$C$33,0),0))))))+IF(J8="",0,IF(J8&lt;=5,IF(入力データ!$G$27="私立",前提条件!$C$22,前提条件!$C$21),IF(J8&lt;=11,IF(入力データ!$H$27="私立",前提条件!$C$24,前提条件!$C$23),IF(J8&lt;=14,IF(入力データ!$I$27="私立",前提条件!$C$26,前提条件!$C$25),IF(J8&lt;=17,IF(入力データ!$J$27="私立",前提条件!$C$28,前提条件!$C$27),IF(J8&lt;=21,IF(入力データ!$K$27="国公立",前提条件!$C$29,IF(入力データ!$K$27="私立理系",前提条件!$C$31,前提条件!$C$30))+IF(入力データ!$L$27="下宿",前提条件!$C$32,0)+IF(J8=18,前提条件!$C$33,0),0)))))))*(1+前提条件!$C$13)^(J$3-$B$3))</f>
        <v/>
      </c>
      <c r="K24" s="352">
        <f>IF(K$3="","",((SUM(入力データ!$C$58:$C$61)*12)+IF(K6="",0,IF(K6&lt;=5,IF(入力データ!$G$25="私立",前提条件!$C$22,前提条件!$C$21),IF(K6&lt;=11,IF(入力データ!$H$25="私立",前提条件!$C$24,前提条件!$C$23),IF(K6&lt;=14,IF(入力データ!$I$25="私立",前提条件!$C$26,前提条件!$C$25),IF(K6&lt;=17,IF(入力データ!$J$25="私立",前提条件!$C$28,前提条件!$C$27),IF(K6&lt;=21,IF(入力データ!$K$25="国公立",前提条件!$C$29,IF(入力データ!$K$25="私立理系",前提条件!$C$31,前提条件!$C$30))+IF(入力データ!$L$25="下宿",前提条件!$C$32,0)+IF(K6=18,前提条件!$C$33,0),0))))))+IF(K7="",0,IF(K7&lt;=5,IF(入力データ!$G$26="私立",前提条件!$C$22,前提条件!$C$21),IF(K7&lt;=11,IF(入力データ!$H$26="私立",前提条件!$C$24,前提条件!$C$23),IF(K7&lt;=14,IF(入力データ!$I$26="私立",前提条件!$C$26,前提条件!$C$25),IF(K7&lt;=17,IF(入力データ!$J$26="私立",前提条件!$C$28,前提条件!$C$27),IF(K7&lt;=21,IF(入力データ!$K$26="国公立",前提条件!$C$29,IF(入力データ!$K$26="私立理系",前提条件!$C$31,前提条件!$C$30))+IF(入力データ!$L$26="下宿",前提条件!$C$32,0)+IF(K7=18,前提条件!$C$33,0),0))))))+IF(K8="",0,IF(K8&lt;=5,IF(入力データ!$G$27="私立",前提条件!$C$22,前提条件!$C$21),IF(K8&lt;=11,IF(入力データ!$H$27="私立",前提条件!$C$24,前提条件!$C$23),IF(K8&lt;=14,IF(入力データ!$I$27="私立",前提条件!$C$26,前提条件!$C$25),IF(K8&lt;=17,IF(入力データ!$J$27="私立",前提条件!$C$28,前提条件!$C$27),IF(K8&lt;=21,IF(入力データ!$K$27="国公立",前提条件!$C$29,IF(入力データ!$K$27="私立理系",前提条件!$C$31,前提条件!$C$30))+IF(入力データ!$L$27="下宿",前提条件!$C$32,0)+IF(K8=18,前提条件!$C$33,0),0)))))))*(1+前提条件!$C$13)^(K$3-$B$3))</f>
        <v/>
      </c>
      <c r="L24" s="352">
        <f>IF(L$3="","",((SUM(入力データ!$C$58:$C$61)*12)+IF(L6="",0,IF(L6&lt;=5,IF(入力データ!$G$25="私立",前提条件!$C$22,前提条件!$C$21),IF(L6&lt;=11,IF(入力データ!$H$25="私立",前提条件!$C$24,前提条件!$C$23),IF(L6&lt;=14,IF(入力データ!$I$25="私立",前提条件!$C$26,前提条件!$C$25),IF(L6&lt;=17,IF(入力データ!$J$25="私立",前提条件!$C$28,前提条件!$C$27),IF(L6&lt;=21,IF(入力データ!$K$25="国公立",前提条件!$C$29,IF(入力データ!$K$25="私立理系",前提条件!$C$31,前提条件!$C$30))+IF(入力データ!$L$25="下宿",前提条件!$C$32,0)+IF(L6=18,前提条件!$C$33,0),0))))))+IF(L7="",0,IF(L7&lt;=5,IF(入力データ!$G$26="私立",前提条件!$C$22,前提条件!$C$21),IF(L7&lt;=11,IF(入力データ!$H$26="私立",前提条件!$C$24,前提条件!$C$23),IF(L7&lt;=14,IF(入力データ!$I$26="私立",前提条件!$C$26,前提条件!$C$25),IF(L7&lt;=17,IF(入力データ!$J$26="私立",前提条件!$C$28,前提条件!$C$27),IF(L7&lt;=21,IF(入力データ!$K$26="国公立",前提条件!$C$29,IF(入力データ!$K$26="私立理系",前提条件!$C$31,前提条件!$C$30))+IF(入力データ!$L$26="下宿",前提条件!$C$32,0)+IF(L7=18,前提条件!$C$33,0),0))))))+IF(L8="",0,IF(L8&lt;=5,IF(入力データ!$G$27="私立",前提条件!$C$22,前提条件!$C$21),IF(L8&lt;=11,IF(入力データ!$H$27="私立",前提条件!$C$24,前提条件!$C$23),IF(L8&lt;=14,IF(入力データ!$I$27="私立",前提条件!$C$26,前提条件!$C$25),IF(L8&lt;=17,IF(入力データ!$J$27="私立",前提条件!$C$28,前提条件!$C$27),IF(L8&lt;=21,IF(入力データ!$K$27="国公立",前提条件!$C$29,IF(入力データ!$K$27="私立理系",前提条件!$C$31,前提条件!$C$30))+IF(入力データ!$L$27="下宿",前提条件!$C$32,0)+IF(L8=18,前提条件!$C$33,0),0)))))))*(1+前提条件!$C$13)^(L$3-$B$3))</f>
        <v/>
      </c>
      <c r="M24" s="352">
        <f>IF(M$3="","",((SUM(入力データ!$C$58:$C$61)*12)+IF(M6="",0,IF(M6&lt;=5,IF(入力データ!$G$25="私立",前提条件!$C$22,前提条件!$C$21),IF(M6&lt;=11,IF(入力データ!$H$25="私立",前提条件!$C$24,前提条件!$C$23),IF(M6&lt;=14,IF(入力データ!$I$25="私立",前提条件!$C$26,前提条件!$C$25),IF(M6&lt;=17,IF(入力データ!$J$25="私立",前提条件!$C$28,前提条件!$C$27),IF(M6&lt;=21,IF(入力データ!$K$25="国公立",前提条件!$C$29,IF(入力データ!$K$25="私立理系",前提条件!$C$31,前提条件!$C$30))+IF(入力データ!$L$25="下宿",前提条件!$C$32,0)+IF(M6=18,前提条件!$C$33,0),0))))))+IF(M7="",0,IF(M7&lt;=5,IF(入力データ!$G$26="私立",前提条件!$C$22,前提条件!$C$21),IF(M7&lt;=11,IF(入力データ!$H$26="私立",前提条件!$C$24,前提条件!$C$23),IF(M7&lt;=14,IF(入力データ!$I$26="私立",前提条件!$C$26,前提条件!$C$25),IF(M7&lt;=17,IF(入力データ!$J$26="私立",前提条件!$C$28,前提条件!$C$27),IF(M7&lt;=21,IF(入力データ!$K$26="国公立",前提条件!$C$29,IF(入力データ!$K$26="私立理系",前提条件!$C$31,前提条件!$C$30))+IF(入力データ!$L$26="下宿",前提条件!$C$32,0)+IF(M7=18,前提条件!$C$33,0),0))))))+IF(M8="",0,IF(M8&lt;=5,IF(入力データ!$G$27="私立",前提条件!$C$22,前提条件!$C$21),IF(M8&lt;=11,IF(入力データ!$H$27="私立",前提条件!$C$24,前提条件!$C$23),IF(M8&lt;=14,IF(入力データ!$I$27="私立",前提条件!$C$26,前提条件!$C$25),IF(M8&lt;=17,IF(入力データ!$J$27="私立",前提条件!$C$28,前提条件!$C$27),IF(M8&lt;=21,IF(入力データ!$K$27="国公立",前提条件!$C$29,IF(入力データ!$K$27="私立理系",前提条件!$C$31,前提条件!$C$30))+IF(入力データ!$L$27="下宿",前提条件!$C$32,0)+IF(M8=18,前提条件!$C$33,0),0)))))))*(1+前提条件!$C$13)^(M$3-$B$3))</f>
        <v/>
      </c>
      <c r="N24" s="352">
        <f>IF(N$3="","",((SUM(入力データ!$C$58:$C$61)*12)+IF(N6="",0,IF(N6&lt;=5,IF(入力データ!$G$25="私立",前提条件!$C$22,前提条件!$C$21),IF(N6&lt;=11,IF(入力データ!$H$25="私立",前提条件!$C$24,前提条件!$C$23),IF(N6&lt;=14,IF(入力データ!$I$25="私立",前提条件!$C$26,前提条件!$C$25),IF(N6&lt;=17,IF(入力データ!$J$25="私立",前提条件!$C$28,前提条件!$C$27),IF(N6&lt;=21,IF(入力データ!$K$25="国公立",前提条件!$C$29,IF(入力データ!$K$25="私立理系",前提条件!$C$31,前提条件!$C$30))+IF(入力データ!$L$25="下宿",前提条件!$C$32,0)+IF(N6=18,前提条件!$C$33,0),0))))))+IF(N7="",0,IF(N7&lt;=5,IF(入力データ!$G$26="私立",前提条件!$C$22,前提条件!$C$21),IF(N7&lt;=11,IF(入力データ!$H$26="私立",前提条件!$C$24,前提条件!$C$23),IF(N7&lt;=14,IF(入力データ!$I$26="私立",前提条件!$C$26,前提条件!$C$25),IF(N7&lt;=17,IF(入力データ!$J$26="私立",前提条件!$C$28,前提条件!$C$27),IF(N7&lt;=21,IF(入力データ!$K$26="国公立",前提条件!$C$29,IF(入力データ!$K$26="私立理系",前提条件!$C$31,前提条件!$C$30))+IF(入力データ!$L$26="下宿",前提条件!$C$32,0)+IF(N7=18,前提条件!$C$33,0),0))))))+IF(N8="",0,IF(N8&lt;=5,IF(入力データ!$G$27="私立",前提条件!$C$22,前提条件!$C$21),IF(N8&lt;=11,IF(入力データ!$H$27="私立",前提条件!$C$24,前提条件!$C$23),IF(N8&lt;=14,IF(入力データ!$I$27="私立",前提条件!$C$26,前提条件!$C$25),IF(N8&lt;=17,IF(入力データ!$J$27="私立",前提条件!$C$28,前提条件!$C$27),IF(N8&lt;=21,IF(入力データ!$K$27="国公立",前提条件!$C$29,IF(入力データ!$K$27="私立理系",前提条件!$C$31,前提条件!$C$30))+IF(入力データ!$L$27="下宿",前提条件!$C$32,0)+IF(N8=18,前提条件!$C$33,0),0)))))))*(1+前提条件!$C$13)^(N$3-$B$3))</f>
        <v/>
      </c>
      <c r="O24" s="352">
        <f>IF(O$3="","",((SUM(入力データ!$C$58:$C$61)*12)+IF(O6="",0,IF(O6&lt;=5,IF(入力データ!$G$25="私立",前提条件!$C$22,前提条件!$C$21),IF(O6&lt;=11,IF(入力データ!$H$25="私立",前提条件!$C$24,前提条件!$C$23),IF(O6&lt;=14,IF(入力データ!$I$25="私立",前提条件!$C$26,前提条件!$C$25),IF(O6&lt;=17,IF(入力データ!$J$25="私立",前提条件!$C$28,前提条件!$C$27),IF(O6&lt;=21,IF(入力データ!$K$25="国公立",前提条件!$C$29,IF(入力データ!$K$25="私立理系",前提条件!$C$31,前提条件!$C$30))+IF(入力データ!$L$25="下宿",前提条件!$C$32,0)+IF(O6=18,前提条件!$C$33,0),0))))))+IF(O7="",0,IF(O7&lt;=5,IF(入力データ!$G$26="私立",前提条件!$C$22,前提条件!$C$21),IF(O7&lt;=11,IF(入力データ!$H$26="私立",前提条件!$C$24,前提条件!$C$23),IF(O7&lt;=14,IF(入力データ!$I$26="私立",前提条件!$C$26,前提条件!$C$25),IF(O7&lt;=17,IF(入力データ!$J$26="私立",前提条件!$C$28,前提条件!$C$27),IF(O7&lt;=21,IF(入力データ!$K$26="国公立",前提条件!$C$29,IF(入力データ!$K$26="私立理系",前提条件!$C$31,前提条件!$C$30))+IF(入力データ!$L$26="下宿",前提条件!$C$32,0)+IF(O7=18,前提条件!$C$33,0),0))))))+IF(O8="",0,IF(O8&lt;=5,IF(入力データ!$G$27="私立",前提条件!$C$22,前提条件!$C$21),IF(O8&lt;=11,IF(入力データ!$H$27="私立",前提条件!$C$24,前提条件!$C$23),IF(O8&lt;=14,IF(入力データ!$I$27="私立",前提条件!$C$26,前提条件!$C$25),IF(O8&lt;=17,IF(入力データ!$J$27="私立",前提条件!$C$28,前提条件!$C$27),IF(O8&lt;=21,IF(入力データ!$K$27="国公立",前提条件!$C$29,IF(入力データ!$K$27="私立理系",前提条件!$C$31,前提条件!$C$30))+IF(入力データ!$L$27="下宿",前提条件!$C$32,0)+IF(O8=18,前提条件!$C$33,0),0)))))))*(1+前提条件!$C$13)^(O$3-$B$3))</f>
        <v/>
      </c>
      <c r="P24" s="352">
        <f>IF(P$3="","",((SUM(入力データ!$C$58:$C$61)*12)+IF(P6="",0,IF(P6&lt;=5,IF(入力データ!$G$25="私立",前提条件!$C$22,前提条件!$C$21),IF(P6&lt;=11,IF(入力データ!$H$25="私立",前提条件!$C$24,前提条件!$C$23),IF(P6&lt;=14,IF(入力データ!$I$25="私立",前提条件!$C$26,前提条件!$C$25),IF(P6&lt;=17,IF(入力データ!$J$25="私立",前提条件!$C$28,前提条件!$C$27),IF(P6&lt;=21,IF(入力データ!$K$25="国公立",前提条件!$C$29,IF(入力データ!$K$25="私立理系",前提条件!$C$31,前提条件!$C$30))+IF(入力データ!$L$25="下宿",前提条件!$C$32,0)+IF(P6=18,前提条件!$C$33,0),0))))))+IF(P7="",0,IF(P7&lt;=5,IF(入力データ!$G$26="私立",前提条件!$C$22,前提条件!$C$21),IF(P7&lt;=11,IF(入力データ!$H$26="私立",前提条件!$C$24,前提条件!$C$23),IF(P7&lt;=14,IF(入力データ!$I$26="私立",前提条件!$C$26,前提条件!$C$25),IF(P7&lt;=17,IF(入力データ!$J$26="私立",前提条件!$C$28,前提条件!$C$27),IF(P7&lt;=21,IF(入力データ!$K$26="国公立",前提条件!$C$29,IF(入力データ!$K$26="私立理系",前提条件!$C$31,前提条件!$C$30))+IF(入力データ!$L$26="下宿",前提条件!$C$32,0)+IF(P7=18,前提条件!$C$33,0),0))))))+IF(P8="",0,IF(P8&lt;=5,IF(入力データ!$G$27="私立",前提条件!$C$22,前提条件!$C$21),IF(P8&lt;=11,IF(入力データ!$H$27="私立",前提条件!$C$24,前提条件!$C$23),IF(P8&lt;=14,IF(入力データ!$I$27="私立",前提条件!$C$26,前提条件!$C$25),IF(P8&lt;=17,IF(入力データ!$J$27="私立",前提条件!$C$28,前提条件!$C$27),IF(P8&lt;=21,IF(入力データ!$K$27="国公立",前提条件!$C$29,IF(入力データ!$K$27="私立理系",前提条件!$C$31,前提条件!$C$30))+IF(入力データ!$L$27="下宿",前提条件!$C$32,0)+IF(P8=18,前提条件!$C$33,0),0)))))))*(1+前提条件!$C$13)^(P$3-$B$3))</f>
        <v/>
      </c>
      <c r="Q24" s="352">
        <f>IF(Q$3="","",((SUM(入力データ!$C$58:$C$61)*12)+IF(Q6="",0,IF(Q6&lt;=5,IF(入力データ!$G$25="私立",前提条件!$C$22,前提条件!$C$21),IF(Q6&lt;=11,IF(入力データ!$H$25="私立",前提条件!$C$24,前提条件!$C$23),IF(Q6&lt;=14,IF(入力データ!$I$25="私立",前提条件!$C$26,前提条件!$C$25),IF(Q6&lt;=17,IF(入力データ!$J$25="私立",前提条件!$C$28,前提条件!$C$27),IF(Q6&lt;=21,IF(入力データ!$K$25="国公立",前提条件!$C$29,IF(入力データ!$K$25="私立理系",前提条件!$C$31,前提条件!$C$30))+IF(入力データ!$L$25="下宿",前提条件!$C$32,0)+IF(Q6=18,前提条件!$C$33,0),0))))))+IF(Q7="",0,IF(Q7&lt;=5,IF(入力データ!$G$26="私立",前提条件!$C$22,前提条件!$C$21),IF(Q7&lt;=11,IF(入力データ!$H$26="私立",前提条件!$C$24,前提条件!$C$23),IF(Q7&lt;=14,IF(入力データ!$I$26="私立",前提条件!$C$26,前提条件!$C$25),IF(Q7&lt;=17,IF(入力データ!$J$26="私立",前提条件!$C$28,前提条件!$C$27),IF(Q7&lt;=21,IF(入力データ!$K$26="国公立",前提条件!$C$29,IF(入力データ!$K$26="私立理系",前提条件!$C$31,前提条件!$C$30))+IF(入力データ!$L$26="下宿",前提条件!$C$32,0)+IF(Q7=18,前提条件!$C$33,0),0))))))+IF(Q8="",0,IF(Q8&lt;=5,IF(入力データ!$G$27="私立",前提条件!$C$22,前提条件!$C$21),IF(Q8&lt;=11,IF(入力データ!$H$27="私立",前提条件!$C$24,前提条件!$C$23),IF(Q8&lt;=14,IF(入力データ!$I$27="私立",前提条件!$C$26,前提条件!$C$25),IF(Q8&lt;=17,IF(入力データ!$J$27="私立",前提条件!$C$28,前提条件!$C$27),IF(Q8&lt;=21,IF(入力データ!$K$27="国公立",前提条件!$C$29,IF(入力データ!$K$27="私立理系",前提条件!$C$31,前提条件!$C$30))+IF(入力データ!$L$27="下宿",前提条件!$C$32,0)+IF(Q8=18,前提条件!$C$33,0),0)))))))*(1+前提条件!$C$13)^(Q$3-$B$3))</f>
        <v/>
      </c>
      <c r="R24" s="352">
        <f>IF(R$3="","",((SUM(入力データ!$C$58:$C$61)*12)+IF(R6="",0,IF(R6&lt;=5,IF(入力データ!$G$25="私立",前提条件!$C$22,前提条件!$C$21),IF(R6&lt;=11,IF(入力データ!$H$25="私立",前提条件!$C$24,前提条件!$C$23),IF(R6&lt;=14,IF(入力データ!$I$25="私立",前提条件!$C$26,前提条件!$C$25),IF(R6&lt;=17,IF(入力データ!$J$25="私立",前提条件!$C$28,前提条件!$C$27),IF(R6&lt;=21,IF(入力データ!$K$25="国公立",前提条件!$C$29,IF(入力データ!$K$25="私立理系",前提条件!$C$31,前提条件!$C$30))+IF(入力データ!$L$25="下宿",前提条件!$C$32,0)+IF(R6=18,前提条件!$C$33,0),0))))))+IF(R7="",0,IF(R7&lt;=5,IF(入力データ!$G$26="私立",前提条件!$C$22,前提条件!$C$21),IF(R7&lt;=11,IF(入力データ!$H$26="私立",前提条件!$C$24,前提条件!$C$23),IF(R7&lt;=14,IF(入力データ!$I$26="私立",前提条件!$C$26,前提条件!$C$25),IF(R7&lt;=17,IF(入力データ!$J$26="私立",前提条件!$C$28,前提条件!$C$27),IF(R7&lt;=21,IF(入力データ!$K$26="国公立",前提条件!$C$29,IF(入力データ!$K$26="私立理系",前提条件!$C$31,前提条件!$C$30))+IF(入力データ!$L$26="下宿",前提条件!$C$32,0)+IF(R7=18,前提条件!$C$33,0),0))))))+IF(R8="",0,IF(R8&lt;=5,IF(入力データ!$G$27="私立",前提条件!$C$22,前提条件!$C$21),IF(R8&lt;=11,IF(入力データ!$H$27="私立",前提条件!$C$24,前提条件!$C$23),IF(R8&lt;=14,IF(入力データ!$I$27="私立",前提条件!$C$26,前提条件!$C$25),IF(R8&lt;=17,IF(入力データ!$J$27="私立",前提条件!$C$28,前提条件!$C$27),IF(R8&lt;=21,IF(入力データ!$K$27="国公立",前提条件!$C$29,IF(入力データ!$K$27="私立理系",前提条件!$C$31,前提条件!$C$30))+IF(入力データ!$L$27="下宿",前提条件!$C$32,0)+IF(R8=18,前提条件!$C$33,0),0)))))))*(1+前提条件!$C$13)^(R$3-$B$3))</f>
        <v/>
      </c>
      <c r="S24" s="352">
        <f>IF(S$3="","",((SUM(入力データ!$C$58:$C$61)*12)+IF(S6="",0,IF(S6&lt;=5,IF(入力データ!$G$25="私立",前提条件!$C$22,前提条件!$C$21),IF(S6&lt;=11,IF(入力データ!$H$25="私立",前提条件!$C$24,前提条件!$C$23),IF(S6&lt;=14,IF(入力データ!$I$25="私立",前提条件!$C$26,前提条件!$C$25),IF(S6&lt;=17,IF(入力データ!$J$25="私立",前提条件!$C$28,前提条件!$C$27),IF(S6&lt;=21,IF(入力データ!$K$25="国公立",前提条件!$C$29,IF(入力データ!$K$25="私立理系",前提条件!$C$31,前提条件!$C$30))+IF(入力データ!$L$25="下宿",前提条件!$C$32,0)+IF(S6=18,前提条件!$C$33,0),0))))))+IF(S7="",0,IF(S7&lt;=5,IF(入力データ!$G$26="私立",前提条件!$C$22,前提条件!$C$21),IF(S7&lt;=11,IF(入力データ!$H$26="私立",前提条件!$C$24,前提条件!$C$23),IF(S7&lt;=14,IF(入力データ!$I$26="私立",前提条件!$C$26,前提条件!$C$25),IF(S7&lt;=17,IF(入力データ!$J$26="私立",前提条件!$C$28,前提条件!$C$27),IF(S7&lt;=21,IF(入力データ!$K$26="国公立",前提条件!$C$29,IF(入力データ!$K$26="私立理系",前提条件!$C$31,前提条件!$C$30))+IF(入力データ!$L$26="下宿",前提条件!$C$32,0)+IF(S7=18,前提条件!$C$33,0),0))))))+IF(S8="",0,IF(S8&lt;=5,IF(入力データ!$G$27="私立",前提条件!$C$22,前提条件!$C$21),IF(S8&lt;=11,IF(入力データ!$H$27="私立",前提条件!$C$24,前提条件!$C$23),IF(S8&lt;=14,IF(入力データ!$I$27="私立",前提条件!$C$26,前提条件!$C$25),IF(S8&lt;=17,IF(入力データ!$J$27="私立",前提条件!$C$28,前提条件!$C$27),IF(S8&lt;=21,IF(入力データ!$K$27="国公立",前提条件!$C$29,IF(入力データ!$K$27="私立理系",前提条件!$C$31,前提条件!$C$30))+IF(入力データ!$L$27="下宿",前提条件!$C$32,0)+IF(S8=18,前提条件!$C$33,0),0)))))))*(1+前提条件!$C$13)^(S$3-$B$3))</f>
        <v/>
      </c>
      <c r="T24" s="352">
        <f>IF(T$3="","",((SUM(入力データ!$C$58:$C$61)*12)+IF(T6="",0,IF(T6&lt;=5,IF(入力データ!$G$25="私立",前提条件!$C$22,前提条件!$C$21),IF(T6&lt;=11,IF(入力データ!$H$25="私立",前提条件!$C$24,前提条件!$C$23),IF(T6&lt;=14,IF(入力データ!$I$25="私立",前提条件!$C$26,前提条件!$C$25),IF(T6&lt;=17,IF(入力データ!$J$25="私立",前提条件!$C$28,前提条件!$C$27),IF(T6&lt;=21,IF(入力データ!$K$25="国公立",前提条件!$C$29,IF(入力データ!$K$25="私立理系",前提条件!$C$31,前提条件!$C$30))+IF(入力データ!$L$25="下宿",前提条件!$C$32,0)+IF(T6=18,前提条件!$C$33,0),0))))))+IF(T7="",0,IF(T7&lt;=5,IF(入力データ!$G$26="私立",前提条件!$C$22,前提条件!$C$21),IF(T7&lt;=11,IF(入力データ!$H$26="私立",前提条件!$C$24,前提条件!$C$23),IF(T7&lt;=14,IF(入力データ!$I$26="私立",前提条件!$C$26,前提条件!$C$25),IF(T7&lt;=17,IF(入力データ!$J$26="私立",前提条件!$C$28,前提条件!$C$27),IF(T7&lt;=21,IF(入力データ!$K$26="国公立",前提条件!$C$29,IF(入力データ!$K$26="私立理系",前提条件!$C$31,前提条件!$C$30))+IF(入力データ!$L$26="下宿",前提条件!$C$32,0)+IF(T7=18,前提条件!$C$33,0),0))))))+IF(T8="",0,IF(T8&lt;=5,IF(入力データ!$G$27="私立",前提条件!$C$22,前提条件!$C$21),IF(T8&lt;=11,IF(入力データ!$H$27="私立",前提条件!$C$24,前提条件!$C$23),IF(T8&lt;=14,IF(入力データ!$I$27="私立",前提条件!$C$26,前提条件!$C$25),IF(T8&lt;=17,IF(入力データ!$J$27="私立",前提条件!$C$28,前提条件!$C$27),IF(T8&lt;=21,IF(入力データ!$K$27="国公立",前提条件!$C$29,IF(入力データ!$K$27="私立理系",前提条件!$C$31,前提条件!$C$30))+IF(入力データ!$L$27="下宿",前提条件!$C$32,0)+IF(T8=18,前提条件!$C$33,0),0)))))))*(1+前提条件!$C$13)^(T$3-$B$3))</f>
        <v/>
      </c>
      <c r="U24" s="352">
        <f>IF(U$3="","",((SUM(入力データ!$C$58:$C$61)*12)+IF(U6="",0,IF(U6&lt;=5,IF(入力データ!$G$25="私立",前提条件!$C$22,前提条件!$C$21),IF(U6&lt;=11,IF(入力データ!$H$25="私立",前提条件!$C$24,前提条件!$C$23),IF(U6&lt;=14,IF(入力データ!$I$25="私立",前提条件!$C$26,前提条件!$C$25),IF(U6&lt;=17,IF(入力データ!$J$25="私立",前提条件!$C$28,前提条件!$C$27),IF(U6&lt;=21,IF(入力データ!$K$25="国公立",前提条件!$C$29,IF(入力データ!$K$25="私立理系",前提条件!$C$31,前提条件!$C$30))+IF(入力データ!$L$25="下宿",前提条件!$C$32,0)+IF(U6=18,前提条件!$C$33,0),0))))))+IF(U7="",0,IF(U7&lt;=5,IF(入力データ!$G$26="私立",前提条件!$C$22,前提条件!$C$21),IF(U7&lt;=11,IF(入力データ!$H$26="私立",前提条件!$C$24,前提条件!$C$23),IF(U7&lt;=14,IF(入力データ!$I$26="私立",前提条件!$C$26,前提条件!$C$25),IF(U7&lt;=17,IF(入力データ!$J$26="私立",前提条件!$C$28,前提条件!$C$27),IF(U7&lt;=21,IF(入力データ!$K$26="国公立",前提条件!$C$29,IF(入力データ!$K$26="私立理系",前提条件!$C$31,前提条件!$C$30))+IF(入力データ!$L$26="下宿",前提条件!$C$32,0)+IF(U7=18,前提条件!$C$33,0),0))))))+IF(U8="",0,IF(U8&lt;=5,IF(入力データ!$G$27="私立",前提条件!$C$22,前提条件!$C$21),IF(U8&lt;=11,IF(入力データ!$H$27="私立",前提条件!$C$24,前提条件!$C$23),IF(U8&lt;=14,IF(入力データ!$I$27="私立",前提条件!$C$26,前提条件!$C$25),IF(U8&lt;=17,IF(入力データ!$J$27="私立",前提条件!$C$28,前提条件!$C$27),IF(U8&lt;=21,IF(入力データ!$K$27="国公立",前提条件!$C$29,IF(入力データ!$K$27="私立理系",前提条件!$C$31,前提条件!$C$30))+IF(入力データ!$L$27="下宿",前提条件!$C$32,0)+IF(U8=18,前提条件!$C$33,0),0)))))))*(1+前提条件!$C$13)^(U$3-$B$3))</f>
        <v/>
      </c>
      <c r="V24" s="352">
        <f>IF(V$3="","",((SUM(入力データ!$C$58:$C$61)*12)+IF(V6="",0,IF(V6&lt;=5,IF(入力データ!$G$25="私立",前提条件!$C$22,前提条件!$C$21),IF(V6&lt;=11,IF(入力データ!$H$25="私立",前提条件!$C$24,前提条件!$C$23),IF(V6&lt;=14,IF(入力データ!$I$25="私立",前提条件!$C$26,前提条件!$C$25),IF(V6&lt;=17,IF(入力データ!$J$25="私立",前提条件!$C$28,前提条件!$C$27),IF(V6&lt;=21,IF(入力データ!$K$25="国公立",前提条件!$C$29,IF(入力データ!$K$25="私立理系",前提条件!$C$31,前提条件!$C$30))+IF(入力データ!$L$25="下宿",前提条件!$C$32,0)+IF(V6=18,前提条件!$C$33,0),0))))))+IF(V7="",0,IF(V7&lt;=5,IF(入力データ!$G$26="私立",前提条件!$C$22,前提条件!$C$21),IF(V7&lt;=11,IF(入力データ!$H$26="私立",前提条件!$C$24,前提条件!$C$23),IF(V7&lt;=14,IF(入力データ!$I$26="私立",前提条件!$C$26,前提条件!$C$25),IF(V7&lt;=17,IF(入力データ!$J$26="私立",前提条件!$C$28,前提条件!$C$27),IF(V7&lt;=21,IF(入力データ!$K$26="国公立",前提条件!$C$29,IF(入力データ!$K$26="私立理系",前提条件!$C$31,前提条件!$C$30))+IF(入力データ!$L$26="下宿",前提条件!$C$32,0)+IF(V7=18,前提条件!$C$33,0),0))))))+IF(V8="",0,IF(V8&lt;=5,IF(入力データ!$G$27="私立",前提条件!$C$22,前提条件!$C$21),IF(V8&lt;=11,IF(入力データ!$H$27="私立",前提条件!$C$24,前提条件!$C$23),IF(V8&lt;=14,IF(入力データ!$I$27="私立",前提条件!$C$26,前提条件!$C$25),IF(V8&lt;=17,IF(入力データ!$J$27="私立",前提条件!$C$28,前提条件!$C$27),IF(V8&lt;=21,IF(入力データ!$K$27="国公立",前提条件!$C$29,IF(入力データ!$K$27="私立理系",前提条件!$C$31,前提条件!$C$30))+IF(入力データ!$L$27="下宿",前提条件!$C$32,0)+IF(V8=18,前提条件!$C$33,0),0)))))))*(1+前提条件!$C$13)^(V$3-$B$3))</f>
        <v/>
      </c>
      <c r="W24" s="352">
        <f>IF(W$3="","",((SUM(入力データ!$C$58:$C$61)*12)+IF(W6="",0,IF(W6&lt;=5,IF(入力データ!$G$25="私立",前提条件!$C$22,前提条件!$C$21),IF(W6&lt;=11,IF(入力データ!$H$25="私立",前提条件!$C$24,前提条件!$C$23),IF(W6&lt;=14,IF(入力データ!$I$25="私立",前提条件!$C$26,前提条件!$C$25),IF(W6&lt;=17,IF(入力データ!$J$25="私立",前提条件!$C$28,前提条件!$C$27),IF(W6&lt;=21,IF(入力データ!$K$25="国公立",前提条件!$C$29,IF(入力データ!$K$25="私立理系",前提条件!$C$31,前提条件!$C$30))+IF(入力データ!$L$25="下宿",前提条件!$C$32,0)+IF(W6=18,前提条件!$C$33,0),0))))))+IF(W7="",0,IF(W7&lt;=5,IF(入力データ!$G$26="私立",前提条件!$C$22,前提条件!$C$21),IF(W7&lt;=11,IF(入力データ!$H$26="私立",前提条件!$C$24,前提条件!$C$23),IF(W7&lt;=14,IF(入力データ!$I$26="私立",前提条件!$C$26,前提条件!$C$25),IF(W7&lt;=17,IF(入力データ!$J$26="私立",前提条件!$C$28,前提条件!$C$27),IF(W7&lt;=21,IF(入力データ!$K$26="国公立",前提条件!$C$29,IF(入力データ!$K$26="私立理系",前提条件!$C$31,前提条件!$C$30))+IF(入力データ!$L$26="下宿",前提条件!$C$32,0)+IF(W7=18,前提条件!$C$33,0),0))))))+IF(W8="",0,IF(W8&lt;=5,IF(入力データ!$G$27="私立",前提条件!$C$22,前提条件!$C$21),IF(W8&lt;=11,IF(入力データ!$H$27="私立",前提条件!$C$24,前提条件!$C$23),IF(W8&lt;=14,IF(入力データ!$I$27="私立",前提条件!$C$26,前提条件!$C$25),IF(W8&lt;=17,IF(入力データ!$J$27="私立",前提条件!$C$28,前提条件!$C$27),IF(W8&lt;=21,IF(入力データ!$K$27="国公立",前提条件!$C$29,IF(入力データ!$K$27="私立理系",前提条件!$C$31,前提条件!$C$30))+IF(入力データ!$L$27="下宿",前提条件!$C$32,0)+IF(W8=18,前提条件!$C$33,0),0)))))))*(1+前提条件!$C$13)^(W$3-$B$3))</f>
        <v/>
      </c>
      <c r="X24" s="352">
        <f>IF(X$3="","",((SUM(入力データ!$C$58:$C$61)*12)+IF(X6="",0,IF(X6&lt;=5,IF(入力データ!$G$25="私立",前提条件!$C$22,前提条件!$C$21),IF(X6&lt;=11,IF(入力データ!$H$25="私立",前提条件!$C$24,前提条件!$C$23),IF(X6&lt;=14,IF(入力データ!$I$25="私立",前提条件!$C$26,前提条件!$C$25),IF(X6&lt;=17,IF(入力データ!$J$25="私立",前提条件!$C$28,前提条件!$C$27),IF(X6&lt;=21,IF(入力データ!$K$25="国公立",前提条件!$C$29,IF(入力データ!$K$25="私立理系",前提条件!$C$31,前提条件!$C$30))+IF(入力データ!$L$25="下宿",前提条件!$C$32,0)+IF(X6=18,前提条件!$C$33,0),0))))))+IF(X7="",0,IF(X7&lt;=5,IF(入力データ!$G$26="私立",前提条件!$C$22,前提条件!$C$21),IF(X7&lt;=11,IF(入力データ!$H$26="私立",前提条件!$C$24,前提条件!$C$23),IF(X7&lt;=14,IF(入力データ!$I$26="私立",前提条件!$C$26,前提条件!$C$25),IF(X7&lt;=17,IF(入力データ!$J$26="私立",前提条件!$C$28,前提条件!$C$27),IF(X7&lt;=21,IF(入力データ!$K$26="国公立",前提条件!$C$29,IF(入力データ!$K$26="私立理系",前提条件!$C$31,前提条件!$C$30))+IF(入力データ!$L$26="下宿",前提条件!$C$32,0)+IF(X7=18,前提条件!$C$33,0),0))))))+IF(X8="",0,IF(X8&lt;=5,IF(入力データ!$G$27="私立",前提条件!$C$22,前提条件!$C$21),IF(X8&lt;=11,IF(入力データ!$H$27="私立",前提条件!$C$24,前提条件!$C$23),IF(X8&lt;=14,IF(入力データ!$I$27="私立",前提条件!$C$26,前提条件!$C$25),IF(X8&lt;=17,IF(入力データ!$J$27="私立",前提条件!$C$28,前提条件!$C$27),IF(X8&lt;=21,IF(入力データ!$K$27="国公立",前提条件!$C$29,IF(入力データ!$K$27="私立理系",前提条件!$C$31,前提条件!$C$30))+IF(入力データ!$L$27="下宿",前提条件!$C$32,0)+IF(X8=18,前提条件!$C$33,0),0)))))))*(1+前提条件!$C$13)^(X$3-$B$3))</f>
        <v/>
      </c>
      <c r="Y24" s="352">
        <f>IF(Y$3="","",((SUM(入力データ!$C$58:$C$61)*12)+IF(Y6="",0,IF(Y6&lt;=5,IF(入力データ!$G$25="私立",前提条件!$C$22,前提条件!$C$21),IF(Y6&lt;=11,IF(入力データ!$H$25="私立",前提条件!$C$24,前提条件!$C$23),IF(Y6&lt;=14,IF(入力データ!$I$25="私立",前提条件!$C$26,前提条件!$C$25),IF(Y6&lt;=17,IF(入力データ!$J$25="私立",前提条件!$C$28,前提条件!$C$27),IF(Y6&lt;=21,IF(入力データ!$K$25="国公立",前提条件!$C$29,IF(入力データ!$K$25="私立理系",前提条件!$C$31,前提条件!$C$30))+IF(入力データ!$L$25="下宿",前提条件!$C$32,0)+IF(Y6=18,前提条件!$C$33,0),0))))))+IF(Y7="",0,IF(Y7&lt;=5,IF(入力データ!$G$26="私立",前提条件!$C$22,前提条件!$C$21),IF(Y7&lt;=11,IF(入力データ!$H$26="私立",前提条件!$C$24,前提条件!$C$23),IF(Y7&lt;=14,IF(入力データ!$I$26="私立",前提条件!$C$26,前提条件!$C$25),IF(Y7&lt;=17,IF(入力データ!$J$26="私立",前提条件!$C$28,前提条件!$C$27),IF(Y7&lt;=21,IF(入力データ!$K$26="国公立",前提条件!$C$29,IF(入力データ!$K$26="私立理系",前提条件!$C$31,前提条件!$C$30))+IF(入力データ!$L$26="下宿",前提条件!$C$32,0)+IF(Y7=18,前提条件!$C$33,0),0))))))+IF(Y8="",0,IF(Y8&lt;=5,IF(入力データ!$G$27="私立",前提条件!$C$22,前提条件!$C$21),IF(Y8&lt;=11,IF(入力データ!$H$27="私立",前提条件!$C$24,前提条件!$C$23),IF(Y8&lt;=14,IF(入力データ!$I$27="私立",前提条件!$C$26,前提条件!$C$25),IF(Y8&lt;=17,IF(入力データ!$J$27="私立",前提条件!$C$28,前提条件!$C$27),IF(Y8&lt;=21,IF(入力データ!$K$27="国公立",前提条件!$C$29,IF(入力データ!$K$27="私立理系",前提条件!$C$31,前提条件!$C$30))+IF(入力データ!$L$27="下宿",前提条件!$C$32,0)+IF(Y8=18,前提条件!$C$33,0),0)))))))*(1+前提条件!$C$13)^(Y$3-$B$3))</f>
        <v/>
      </c>
      <c r="Z24" s="352">
        <f>IF(Z$3="","",((SUM(入力データ!$C$58:$C$61)*12)+IF(Z6="",0,IF(Z6&lt;=5,IF(入力データ!$G$25="私立",前提条件!$C$22,前提条件!$C$21),IF(Z6&lt;=11,IF(入力データ!$H$25="私立",前提条件!$C$24,前提条件!$C$23),IF(Z6&lt;=14,IF(入力データ!$I$25="私立",前提条件!$C$26,前提条件!$C$25),IF(Z6&lt;=17,IF(入力データ!$J$25="私立",前提条件!$C$28,前提条件!$C$27),IF(Z6&lt;=21,IF(入力データ!$K$25="国公立",前提条件!$C$29,IF(入力データ!$K$25="私立理系",前提条件!$C$31,前提条件!$C$30))+IF(入力データ!$L$25="下宿",前提条件!$C$32,0)+IF(Z6=18,前提条件!$C$33,0),0))))))+IF(Z7="",0,IF(Z7&lt;=5,IF(入力データ!$G$26="私立",前提条件!$C$22,前提条件!$C$21),IF(Z7&lt;=11,IF(入力データ!$H$26="私立",前提条件!$C$24,前提条件!$C$23),IF(Z7&lt;=14,IF(入力データ!$I$26="私立",前提条件!$C$26,前提条件!$C$25),IF(Z7&lt;=17,IF(入力データ!$J$26="私立",前提条件!$C$28,前提条件!$C$27),IF(Z7&lt;=21,IF(入力データ!$K$26="国公立",前提条件!$C$29,IF(入力データ!$K$26="私立理系",前提条件!$C$31,前提条件!$C$30))+IF(入力データ!$L$26="下宿",前提条件!$C$32,0)+IF(Z7=18,前提条件!$C$33,0),0))))))+IF(Z8="",0,IF(Z8&lt;=5,IF(入力データ!$G$27="私立",前提条件!$C$22,前提条件!$C$21),IF(Z8&lt;=11,IF(入力データ!$H$27="私立",前提条件!$C$24,前提条件!$C$23),IF(Z8&lt;=14,IF(入力データ!$I$27="私立",前提条件!$C$26,前提条件!$C$25),IF(Z8&lt;=17,IF(入力データ!$J$27="私立",前提条件!$C$28,前提条件!$C$27),IF(Z8&lt;=21,IF(入力データ!$K$27="国公立",前提条件!$C$29,IF(入力データ!$K$27="私立理系",前提条件!$C$31,前提条件!$C$30))+IF(入力データ!$L$27="下宿",前提条件!$C$32,0)+IF(Z8=18,前提条件!$C$33,0),0)))))))*(1+前提条件!$C$13)^(Z$3-$B$3))</f>
        <v/>
      </c>
      <c r="AA24" s="352">
        <f>IF(AA$3="","",((SUM(入力データ!$C$58:$C$61)*12)+IF(AA6="",0,IF(AA6&lt;=5,IF(入力データ!$G$25="私立",前提条件!$C$22,前提条件!$C$21),IF(AA6&lt;=11,IF(入力データ!$H$25="私立",前提条件!$C$24,前提条件!$C$23),IF(AA6&lt;=14,IF(入力データ!$I$25="私立",前提条件!$C$26,前提条件!$C$25),IF(AA6&lt;=17,IF(入力データ!$J$25="私立",前提条件!$C$28,前提条件!$C$27),IF(AA6&lt;=21,IF(入力データ!$K$25="国公立",前提条件!$C$29,IF(入力データ!$K$25="私立理系",前提条件!$C$31,前提条件!$C$30))+IF(入力データ!$L$25="下宿",前提条件!$C$32,0)+IF(AA6=18,前提条件!$C$33,0),0))))))+IF(AA7="",0,IF(AA7&lt;=5,IF(入力データ!$G$26="私立",前提条件!$C$22,前提条件!$C$21),IF(AA7&lt;=11,IF(入力データ!$H$26="私立",前提条件!$C$24,前提条件!$C$23),IF(AA7&lt;=14,IF(入力データ!$I$26="私立",前提条件!$C$26,前提条件!$C$25),IF(AA7&lt;=17,IF(入力データ!$J$26="私立",前提条件!$C$28,前提条件!$C$27),IF(AA7&lt;=21,IF(入力データ!$K$26="国公立",前提条件!$C$29,IF(入力データ!$K$26="私立理系",前提条件!$C$31,前提条件!$C$30))+IF(入力データ!$L$26="下宿",前提条件!$C$32,0)+IF(AA7=18,前提条件!$C$33,0),0))))))+IF(AA8="",0,IF(AA8&lt;=5,IF(入力データ!$G$27="私立",前提条件!$C$22,前提条件!$C$21),IF(AA8&lt;=11,IF(入力データ!$H$27="私立",前提条件!$C$24,前提条件!$C$23),IF(AA8&lt;=14,IF(入力データ!$I$27="私立",前提条件!$C$26,前提条件!$C$25),IF(AA8&lt;=17,IF(入力データ!$J$27="私立",前提条件!$C$28,前提条件!$C$27),IF(AA8&lt;=21,IF(入力データ!$K$27="国公立",前提条件!$C$29,IF(入力データ!$K$27="私立理系",前提条件!$C$31,前提条件!$C$30))+IF(入力データ!$L$27="下宿",前提条件!$C$32,0)+IF(AA8=18,前提条件!$C$33,0),0)))))))*(1+前提条件!$C$13)^(AA$3-$B$3))</f>
        <v/>
      </c>
      <c r="AB24" s="352">
        <f>IF(AB$3="","",((SUM(入力データ!$C$58:$C$61)*12)+IF(AB6="",0,IF(AB6&lt;=5,IF(入力データ!$G$25="私立",前提条件!$C$22,前提条件!$C$21),IF(AB6&lt;=11,IF(入力データ!$H$25="私立",前提条件!$C$24,前提条件!$C$23),IF(AB6&lt;=14,IF(入力データ!$I$25="私立",前提条件!$C$26,前提条件!$C$25),IF(AB6&lt;=17,IF(入力データ!$J$25="私立",前提条件!$C$28,前提条件!$C$27),IF(AB6&lt;=21,IF(入力データ!$K$25="国公立",前提条件!$C$29,IF(入力データ!$K$25="私立理系",前提条件!$C$31,前提条件!$C$30))+IF(入力データ!$L$25="下宿",前提条件!$C$32,0)+IF(AB6=18,前提条件!$C$33,0),0))))))+IF(AB7="",0,IF(AB7&lt;=5,IF(入力データ!$G$26="私立",前提条件!$C$22,前提条件!$C$21),IF(AB7&lt;=11,IF(入力データ!$H$26="私立",前提条件!$C$24,前提条件!$C$23),IF(AB7&lt;=14,IF(入力データ!$I$26="私立",前提条件!$C$26,前提条件!$C$25),IF(AB7&lt;=17,IF(入力データ!$J$26="私立",前提条件!$C$28,前提条件!$C$27),IF(AB7&lt;=21,IF(入力データ!$K$26="国公立",前提条件!$C$29,IF(入力データ!$K$26="私立理系",前提条件!$C$31,前提条件!$C$30))+IF(入力データ!$L$26="下宿",前提条件!$C$32,0)+IF(AB7=18,前提条件!$C$33,0),0))))))+IF(AB8="",0,IF(AB8&lt;=5,IF(入力データ!$G$27="私立",前提条件!$C$22,前提条件!$C$21),IF(AB8&lt;=11,IF(入力データ!$H$27="私立",前提条件!$C$24,前提条件!$C$23),IF(AB8&lt;=14,IF(入力データ!$I$27="私立",前提条件!$C$26,前提条件!$C$25),IF(AB8&lt;=17,IF(入力データ!$J$27="私立",前提条件!$C$28,前提条件!$C$27),IF(AB8&lt;=21,IF(入力データ!$K$27="国公立",前提条件!$C$29,IF(入力データ!$K$27="私立理系",前提条件!$C$31,前提条件!$C$30))+IF(入力データ!$L$27="下宿",前提条件!$C$32,0)+IF(AB8=18,前提条件!$C$33,0),0)))))))*(1+前提条件!$C$13)^(AB$3-$B$3))</f>
        <v/>
      </c>
      <c r="AC24" s="352">
        <f>IF(AC$3="","",((SUM(入力データ!$C$58:$C$61)*12)+IF(AC6="",0,IF(AC6&lt;=5,IF(入力データ!$G$25="私立",前提条件!$C$22,前提条件!$C$21),IF(AC6&lt;=11,IF(入力データ!$H$25="私立",前提条件!$C$24,前提条件!$C$23),IF(AC6&lt;=14,IF(入力データ!$I$25="私立",前提条件!$C$26,前提条件!$C$25),IF(AC6&lt;=17,IF(入力データ!$J$25="私立",前提条件!$C$28,前提条件!$C$27),IF(AC6&lt;=21,IF(入力データ!$K$25="国公立",前提条件!$C$29,IF(入力データ!$K$25="私立理系",前提条件!$C$31,前提条件!$C$30))+IF(入力データ!$L$25="下宿",前提条件!$C$32,0)+IF(AC6=18,前提条件!$C$33,0),0))))))+IF(AC7="",0,IF(AC7&lt;=5,IF(入力データ!$G$26="私立",前提条件!$C$22,前提条件!$C$21),IF(AC7&lt;=11,IF(入力データ!$H$26="私立",前提条件!$C$24,前提条件!$C$23),IF(AC7&lt;=14,IF(入力データ!$I$26="私立",前提条件!$C$26,前提条件!$C$25),IF(AC7&lt;=17,IF(入力データ!$J$26="私立",前提条件!$C$28,前提条件!$C$27),IF(AC7&lt;=21,IF(入力データ!$K$26="国公立",前提条件!$C$29,IF(入力データ!$K$26="私立理系",前提条件!$C$31,前提条件!$C$30))+IF(入力データ!$L$26="下宿",前提条件!$C$32,0)+IF(AC7=18,前提条件!$C$33,0),0))))))+IF(AC8="",0,IF(AC8&lt;=5,IF(入力データ!$G$27="私立",前提条件!$C$22,前提条件!$C$21),IF(AC8&lt;=11,IF(入力データ!$H$27="私立",前提条件!$C$24,前提条件!$C$23),IF(AC8&lt;=14,IF(入力データ!$I$27="私立",前提条件!$C$26,前提条件!$C$25),IF(AC8&lt;=17,IF(入力データ!$J$27="私立",前提条件!$C$28,前提条件!$C$27),IF(AC8&lt;=21,IF(入力データ!$K$27="国公立",前提条件!$C$29,IF(入力データ!$K$27="私立理系",前提条件!$C$31,前提条件!$C$30))+IF(入力データ!$L$27="下宿",前提条件!$C$32,0)+IF(AC8=18,前提条件!$C$33,0),0)))))))*(1+前提条件!$C$13)^(AC$3-$B$3))</f>
        <v/>
      </c>
      <c r="AD24" s="352">
        <f>IF(AD$3="","",((SUM(入力データ!$C$58:$C$61)*12)+IF(AD6="",0,IF(AD6&lt;=5,IF(入力データ!$G$25="私立",前提条件!$C$22,前提条件!$C$21),IF(AD6&lt;=11,IF(入力データ!$H$25="私立",前提条件!$C$24,前提条件!$C$23),IF(AD6&lt;=14,IF(入力データ!$I$25="私立",前提条件!$C$26,前提条件!$C$25),IF(AD6&lt;=17,IF(入力データ!$J$25="私立",前提条件!$C$28,前提条件!$C$27),IF(AD6&lt;=21,IF(入力データ!$K$25="国公立",前提条件!$C$29,IF(入力データ!$K$25="私立理系",前提条件!$C$31,前提条件!$C$30))+IF(入力データ!$L$25="下宿",前提条件!$C$32,0)+IF(AD6=18,前提条件!$C$33,0),0))))))+IF(AD7="",0,IF(AD7&lt;=5,IF(入力データ!$G$26="私立",前提条件!$C$22,前提条件!$C$21),IF(AD7&lt;=11,IF(入力データ!$H$26="私立",前提条件!$C$24,前提条件!$C$23),IF(AD7&lt;=14,IF(入力データ!$I$26="私立",前提条件!$C$26,前提条件!$C$25),IF(AD7&lt;=17,IF(入力データ!$J$26="私立",前提条件!$C$28,前提条件!$C$27),IF(AD7&lt;=21,IF(入力データ!$K$26="国公立",前提条件!$C$29,IF(入力データ!$K$26="私立理系",前提条件!$C$31,前提条件!$C$30))+IF(入力データ!$L$26="下宿",前提条件!$C$32,0)+IF(AD7=18,前提条件!$C$33,0),0))))))+IF(AD8="",0,IF(AD8&lt;=5,IF(入力データ!$G$27="私立",前提条件!$C$22,前提条件!$C$21),IF(AD8&lt;=11,IF(入力データ!$H$27="私立",前提条件!$C$24,前提条件!$C$23),IF(AD8&lt;=14,IF(入力データ!$I$27="私立",前提条件!$C$26,前提条件!$C$25),IF(AD8&lt;=17,IF(入力データ!$J$27="私立",前提条件!$C$28,前提条件!$C$27),IF(AD8&lt;=21,IF(入力データ!$K$27="国公立",前提条件!$C$29,IF(入力データ!$K$27="私立理系",前提条件!$C$31,前提条件!$C$30))+IF(入力データ!$L$27="下宿",前提条件!$C$32,0)+IF(AD8=18,前提条件!$C$33,0),0)))))))*(1+前提条件!$C$13)^(AD$3-$B$3))</f>
        <v/>
      </c>
      <c r="AE24" s="352">
        <f>IF(AE$3="","",((SUM(入力データ!$C$58:$C$61)*12)+IF(AE6="",0,IF(AE6&lt;=5,IF(入力データ!$G$25="私立",前提条件!$C$22,前提条件!$C$21),IF(AE6&lt;=11,IF(入力データ!$H$25="私立",前提条件!$C$24,前提条件!$C$23),IF(AE6&lt;=14,IF(入力データ!$I$25="私立",前提条件!$C$26,前提条件!$C$25),IF(AE6&lt;=17,IF(入力データ!$J$25="私立",前提条件!$C$28,前提条件!$C$27),IF(AE6&lt;=21,IF(入力データ!$K$25="国公立",前提条件!$C$29,IF(入力データ!$K$25="私立理系",前提条件!$C$31,前提条件!$C$30))+IF(入力データ!$L$25="下宿",前提条件!$C$32,0)+IF(AE6=18,前提条件!$C$33,0),0))))))+IF(AE7="",0,IF(AE7&lt;=5,IF(入力データ!$G$26="私立",前提条件!$C$22,前提条件!$C$21),IF(AE7&lt;=11,IF(入力データ!$H$26="私立",前提条件!$C$24,前提条件!$C$23),IF(AE7&lt;=14,IF(入力データ!$I$26="私立",前提条件!$C$26,前提条件!$C$25),IF(AE7&lt;=17,IF(入力データ!$J$26="私立",前提条件!$C$28,前提条件!$C$27),IF(AE7&lt;=21,IF(入力データ!$K$26="国公立",前提条件!$C$29,IF(入力データ!$K$26="私立理系",前提条件!$C$31,前提条件!$C$30))+IF(入力データ!$L$26="下宿",前提条件!$C$32,0)+IF(AE7=18,前提条件!$C$33,0),0))))))+IF(AE8="",0,IF(AE8&lt;=5,IF(入力データ!$G$27="私立",前提条件!$C$22,前提条件!$C$21),IF(AE8&lt;=11,IF(入力データ!$H$27="私立",前提条件!$C$24,前提条件!$C$23),IF(AE8&lt;=14,IF(入力データ!$I$27="私立",前提条件!$C$26,前提条件!$C$25),IF(AE8&lt;=17,IF(入力データ!$J$27="私立",前提条件!$C$28,前提条件!$C$27),IF(AE8&lt;=21,IF(入力データ!$K$27="国公立",前提条件!$C$29,IF(入力データ!$K$27="私立理系",前提条件!$C$31,前提条件!$C$30))+IF(入力データ!$L$27="下宿",前提条件!$C$32,0)+IF(AE8=18,前提条件!$C$33,0),0)))))))*(1+前提条件!$C$13)^(AE$3-$B$3))</f>
        <v/>
      </c>
      <c r="AF24" s="352">
        <f>IF(AF$3="","",((SUM(入力データ!$C$58:$C$61)*12)+IF(AF6="",0,IF(AF6&lt;=5,IF(入力データ!$G$25="私立",前提条件!$C$22,前提条件!$C$21),IF(AF6&lt;=11,IF(入力データ!$H$25="私立",前提条件!$C$24,前提条件!$C$23),IF(AF6&lt;=14,IF(入力データ!$I$25="私立",前提条件!$C$26,前提条件!$C$25),IF(AF6&lt;=17,IF(入力データ!$J$25="私立",前提条件!$C$28,前提条件!$C$27),IF(AF6&lt;=21,IF(入力データ!$K$25="国公立",前提条件!$C$29,IF(入力データ!$K$25="私立理系",前提条件!$C$31,前提条件!$C$30))+IF(入力データ!$L$25="下宿",前提条件!$C$32,0)+IF(AF6=18,前提条件!$C$33,0),0))))))+IF(AF7="",0,IF(AF7&lt;=5,IF(入力データ!$G$26="私立",前提条件!$C$22,前提条件!$C$21),IF(AF7&lt;=11,IF(入力データ!$H$26="私立",前提条件!$C$24,前提条件!$C$23),IF(AF7&lt;=14,IF(入力データ!$I$26="私立",前提条件!$C$26,前提条件!$C$25),IF(AF7&lt;=17,IF(入力データ!$J$26="私立",前提条件!$C$28,前提条件!$C$27),IF(AF7&lt;=21,IF(入力データ!$K$26="国公立",前提条件!$C$29,IF(入力データ!$K$26="私立理系",前提条件!$C$31,前提条件!$C$30))+IF(入力データ!$L$26="下宿",前提条件!$C$32,0)+IF(AF7=18,前提条件!$C$33,0),0))))))+IF(AF8="",0,IF(AF8&lt;=5,IF(入力データ!$G$27="私立",前提条件!$C$22,前提条件!$C$21),IF(AF8&lt;=11,IF(入力データ!$H$27="私立",前提条件!$C$24,前提条件!$C$23),IF(AF8&lt;=14,IF(入力データ!$I$27="私立",前提条件!$C$26,前提条件!$C$25),IF(AF8&lt;=17,IF(入力データ!$J$27="私立",前提条件!$C$28,前提条件!$C$27),IF(AF8&lt;=21,IF(入力データ!$K$27="国公立",前提条件!$C$29,IF(入力データ!$K$27="私立理系",前提条件!$C$31,前提条件!$C$30))+IF(入力データ!$L$27="下宿",前提条件!$C$32,0)+IF(AF8=18,前提条件!$C$33,0),0)))))))*(1+前提条件!$C$13)^(AF$3-$B$3))</f>
        <v/>
      </c>
      <c r="AG24" s="352">
        <f>IF(AG$3="","",((SUM(入力データ!$C$58:$C$61)*12)+IF(AG6="",0,IF(AG6&lt;=5,IF(入力データ!$G$25="私立",前提条件!$C$22,前提条件!$C$21),IF(AG6&lt;=11,IF(入力データ!$H$25="私立",前提条件!$C$24,前提条件!$C$23),IF(AG6&lt;=14,IF(入力データ!$I$25="私立",前提条件!$C$26,前提条件!$C$25),IF(AG6&lt;=17,IF(入力データ!$J$25="私立",前提条件!$C$28,前提条件!$C$27),IF(AG6&lt;=21,IF(入力データ!$K$25="国公立",前提条件!$C$29,IF(入力データ!$K$25="私立理系",前提条件!$C$31,前提条件!$C$30))+IF(入力データ!$L$25="下宿",前提条件!$C$32,0)+IF(AG6=18,前提条件!$C$33,0),0))))))+IF(AG7="",0,IF(AG7&lt;=5,IF(入力データ!$G$26="私立",前提条件!$C$22,前提条件!$C$21),IF(AG7&lt;=11,IF(入力データ!$H$26="私立",前提条件!$C$24,前提条件!$C$23),IF(AG7&lt;=14,IF(入力データ!$I$26="私立",前提条件!$C$26,前提条件!$C$25),IF(AG7&lt;=17,IF(入力データ!$J$26="私立",前提条件!$C$28,前提条件!$C$27),IF(AG7&lt;=21,IF(入力データ!$K$26="国公立",前提条件!$C$29,IF(入力データ!$K$26="私立理系",前提条件!$C$31,前提条件!$C$30))+IF(入力データ!$L$26="下宿",前提条件!$C$32,0)+IF(AG7=18,前提条件!$C$33,0),0))))))+IF(AG8="",0,IF(AG8&lt;=5,IF(入力データ!$G$27="私立",前提条件!$C$22,前提条件!$C$21),IF(AG8&lt;=11,IF(入力データ!$H$27="私立",前提条件!$C$24,前提条件!$C$23),IF(AG8&lt;=14,IF(入力データ!$I$27="私立",前提条件!$C$26,前提条件!$C$25),IF(AG8&lt;=17,IF(入力データ!$J$27="私立",前提条件!$C$28,前提条件!$C$27),IF(AG8&lt;=21,IF(入力データ!$K$27="国公立",前提条件!$C$29,IF(入力データ!$K$27="私立理系",前提条件!$C$31,前提条件!$C$30))+IF(入力データ!$L$27="下宿",前提条件!$C$32,0)+IF(AG8=18,前提条件!$C$33,0),0)))))))*(1+前提条件!$C$13)^(AG$3-$B$3))</f>
        <v/>
      </c>
      <c r="AH24" s="352">
        <f>IF(AH$3="","",((SUM(入力データ!$C$58:$C$61)*12)+IF(AH6="",0,IF(AH6&lt;=5,IF(入力データ!$G$25="私立",前提条件!$C$22,前提条件!$C$21),IF(AH6&lt;=11,IF(入力データ!$H$25="私立",前提条件!$C$24,前提条件!$C$23),IF(AH6&lt;=14,IF(入力データ!$I$25="私立",前提条件!$C$26,前提条件!$C$25),IF(AH6&lt;=17,IF(入力データ!$J$25="私立",前提条件!$C$28,前提条件!$C$27),IF(AH6&lt;=21,IF(入力データ!$K$25="国公立",前提条件!$C$29,IF(入力データ!$K$25="私立理系",前提条件!$C$31,前提条件!$C$30))+IF(入力データ!$L$25="下宿",前提条件!$C$32,0)+IF(AH6=18,前提条件!$C$33,0),0))))))+IF(AH7="",0,IF(AH7&lt;=5,IF(入力データ!$G$26="私立",前提条件!$C$22,前提条件!$C$21),IF(AH7&lt;=11,IF(入力データ!$H$26="私立",前提条件!$C$24,前提条件!$C$23),IF(AH7&lt;=14,IF(入力データ!$I$26="私立",前提条件!$C$26,前提条件!$C$25),IF(AH7&lt;=17,IF(入力データ!$J$26="私立",前提条件!$C$28,前提条件!$C$27),IF(AH7&lt;=21,IF(入力データ!$K$26="国公立",前提条件!$C$29,IF(入力データ!$K$26="私立理系",前提条件!$C$31,前提条件!$C$30))+IF(入力データ!$L$26="下宿",前提条件!$C$32,0)+IF(AH7=18,前提条件!$C$33,0),0))))))+IF(AH8="",0,IF(AH8&lt;=5,IF(入力データ!$G$27="私立",前提条件!$C$22,前提条件!$C$21),IF(AH8&lt;=11,IF(入力データ!$H$27="私立",前提条件!$C$24,前提条件!$C$23),IF(AH8&lt;=14,IF(入力データ!$I$27="私立",前提条件!$C$26,前提条件!$C$25),IF(AH8&lt;=17,IF(入力データ!$J$27="私立",前提条件!$C$28,前提条件!$C$27),IF(AH8&lt;=21,IF(入力データ!$K$27="国公立",前提条件!$C$29,IF(入力データ!$K$27="私立理系",前提条件!$C$31,前提条件!$C$30))+IF(入力データ!$L$27="下宿",前提条件!$C$32,0)+IF(AH8=18,前提条件!$C$33,0),0)))))))*(1+前提条件!$C$13)^(AH$3-$B$3))</f>
        <v/>
      </c>
      <c r="AI24" s="352">
        <f>IF(AI$3="","",((SUM(入力データ!$C$58:$C$61)*12)+IF(AI6="",0,IF(AI6&lt;=5,IF(入力データ!$G$25="私立",前提条件!$C$22,前提条件!$C$21),IF(AI6&lt;=11,IF(入力データ!$H$25="私立",前提条件!$C$24,前提条件!$C$23),IF(AI6&lt;=14,IF(入力データ!$I$25="私立",前提条件!$C$26,前提条件!$C$25),IF(AI6&lt;=17,IF(入力データ!$J$25="私立",前提条件!$C$28,前提条件!$C$27),IF(AI6&lt;=21,IF(入力データ!$K$25="国公立",前提条件!$C$29,IF(入力データ!$K$25="私立理系",前提条件!$C$31,前提条件!$C$30))+IF(入力データ!$L$25="下宿",前提条件!$C$32,0)+IF(AI6=18,前提条件!$C$33,0),0))))))+IF(AI7="",0,IF(AI7&lt;=5,IF(入力データ!$G$26="私立",前提条件!$C$22,前提条件!$C$21),IF(AI7&lt;=11,IF(入力データ!$H$26="私立",前提条件!$C$24,前提条件!$C$23),IF(AI7&lt;=14,IF(入力データ!$I$26="私立",前提条件!$C$26,前提条件!$C$25),IF(AI7&lt;=17,IF(入力データ!$J$26="私立",前提条件!$C$28,前提条件!$C$27),IF(AI7&lt;=21,IF(入力データ!$K$26="国公立",前提条件!$C$29,IF(入力データ!$K$26="私立理系",前提条件!$C$31,前提条件!$C$30))+IF(入力データ!$L$26="下宿",前提条件!$C$32,0)+IF(AI7=18,前提条件!$C$33,0),0))))))+IF(AI8="",0,IF(AI8&lt;=5,IF(入力データ!$G$27="私立",前提条件!$C$22,前提条件!$C$21),IF(AI8&lt;=11,IF(入力データ!$H$27="私立",前提条件!$C$24,前提条件!$C$23),IF(AI8&lt;=14,IF(入力データ!$I$27="私立",前提条件!$C$26,前提条件!$C$25),IF(AI8&lt;=17,IF(入力データ!$J$27="私立",前提条件!$C$28,前提条件!$C$27),IF(AI8&lt;=21,IF(入力データ!$K$27="国公立",前提条件!$C$29,IF(入力データ!$K$27="私立理系",前提条件!$C$31,前提条件!$C$30))+IF(入力データ!$L$27="下宿",前提条件!$C$32,0)+IF(AI8=18,前提条件!$C$33,0),0)))))))*(1+前提条件!$C$13)^(AI$3-$B$3))</f>
        <v/>
      </c>
      <c r="AJ24" s="352">
        <f>IF(AJ$3="","",((SUM(入力データ!$C$58:$C$61)*12)+IF(AJ6="",0,IF(AJ6&lt;=5,IF(入力データ!$G$25="私立",前提条件!$C$22,前提条件!$C$21),IF(AJ6&lt;=11,IF(入力データ!$H$25="私立",前提条件!$C$24,前提条件!$C$23),IF(AJ6&lt;=14,IF(入力データ!$I$25="私立",前提条件!$C$26,前提条件!$C$25),IF(AJ6&lt;=17,IF(入力データ!$J$25="私立",前提条件!$C$28,前提条件!$C$27),IF(AJ6&lt;=21,IF(入力データ!$K$25="国公立",前提条件!$C$29,IF(入力データ!$K$25="私立理系",前提条件!$C$31,前提条件!$C$30))+IF(入力データ!$L$25="下宿",前提条件!$C$32,0)+IF(AJ6=18,前提条件!$C$33,0),0))))))+IF(AJ7="",0,IF(AJ7&lt;=5,IF(入力データ!$G$26="私立",前提条件!$C$22,前提条件!$C$21),IF(AJ7&lt;=11,IF(入力データ!$H$26="私立",前提条件!$C$24,前提条件!$C$23),IF(AJ7&lt;=14,IF(入力データ!$I$26="私立",前提条件!$C$26,前提条件!$C$25),IF(AJ7&lt;=17,IF(入力データ!$J$26="私立",前提条件!$C$28,前提条件!$C$27),IF(AJ7&lt;=21,IF(入力データ!$K$26="国公立",前提条件!$C$29,IF(入力データ!$K$26="私立理系",前提条件!$C$31,前提条件!$C$30))+IF(入力データ!$L$26="下宿",前提条件!$C$32,0)+IF(AJ7=18,前提条件!$C$33,0),0))))))+IF(AJ8="",0,IF(AJ8&lt;=5,IF(入力データ!$G$27="私立",前提条件!$C$22,前提条件!$C$21),IF(AJ8&lt;=11,IF(入力データ!$H$27="私立",前提条件!$C$24,前提条件!$C$23),IF(AJ8&lt;=14,IF(入力データ!$I$27="私立",前提条件!$C$26,前提条件!$C$25),IF(AJ8&lt;=17,IF(入力データ!$J$27="私立",前提条件!$C$28,前提条件!$C$27),IF(AJ8&lt;=21,IF(入力データ!$K$27="国公立",前提条件!$C$29,IF(入力データ!$K$27="私立理系",前提条件!$C$31,前提条件!$C$30))+IF(入力データ!$L$27="下宿",前提条件!$C$32,0)+IF(AJ8=18,前提条件!$C$33,0),0)))))))*(1+前提条件!$C$13)^(AJ$3-$B$3))</f>
        <v/>
      </c>
      <c r="AK24" s="352">
        <f>IF(AK$3="","",((SUM(入力データ!$C$58:$C$61)*12)+IF(AK6="",0,IF(AK6&lt;=5,IF(入力データ!$G$25="私立",前提条件!$C$22,前提条件!$C$21),IF(AK6&lt;=11,IF(入力データ!$H$25="私立",前提条件!$C$24,前提条件!$C$23),IF(AK6&lt;=14,IF(入力データ!$I$25="私立",前提条件!$C$26,前提条件!$C$25),IF(AK6&lt;=17,IF(入力データ!$J$25="私立",前提条件!$C$28,前提条件!$C$27),IF(AK6&lt;=21,IF(入力データ!$K$25="国公立",前提条件!$C$29,IF(入力データ!$K$25="私立理系",前提条件!$C$31,前提条件!$C$30))+IF(入力データ!$L$25="下宿",前提条件!$C$32,0)+IF(AK6=18,前提条件!$C$33,0),0))))))+IF(AK7="",0,IF(AK7&lt;=5,IF(入力データ!$G$26="私立",前提条件!$C$22,前提条件!$C$21),IF(AK7&lt;=11,IF(入力データ!$H$26="私立",前提条件!$C$24,前提条件!$C$23),IF(AK7&lt;=14,IF(入力データ!$I$26="私立",前提条件!$C$26,前提条件!$C$25),IF(AK7&lt;=17,IF(入力データ!$J$26="私立",前提条件!$C$28,前提条件!$C$27),IF(AK7&lt;=21,IF(入力データ!$K$26="国公立",前提条件!$C$29,IF(入力データ!$K$26="私立理系",前提条件!$C$31,前提条件!$C$30))+IF(入力データ!$L$26="下宿",前提条件!$C$32,0)+IF(AK7=18,前提条件!$C$33,0),0))))))+IF(AK8="",0,IF(AK8&lt;=5,IF(入力データ!$G$27="私立",前提条件!$C$22,前提条件!$C$21),IF(AK8&lt;=11,IF(入力データ!$H$27="私立",前提条件!$C$24,前提条件!$C$23),IF(AK8&lt;=14,IF(入力データ!$I$27="私立",前提条件!$C$26,前提条件!$C$25),IF(AK8&lt;=17,IF(入力データ!$J$27="私立",前提条件!$C$28,前提条件!$C$27),IF(AK8&lt;=21,IF(入力データ!$K$27="国公立",前提条件!$C$29,IF(入力データ!$K$27="私立理系",前提条件!$C$31,前提条件!$C$30))+IF(入力データ!$L$27="下宿",前提条件!$C$32,0)+IF(AK8=18,前提条件!$C$33,0),0)))))))*(1+前提条件!$C$13)^(AK$3-$B$3))</f>
        <v/>
      </c>
      <c r="AL24" s="352">
        <f>IF(AL$3="","",((SUM(入力データ!$C$58:$C$61)*12)+IF(AL6="",0,IF(AL6&lt;=5,IF(入力データ!$G$25="私立",前提条件!$C$22,前提条件!$C$21),IF(AL6&lt;=11,IF(入力データ!$H$25="私立",前提条件!$C$24,前提条件!$C$23),IF(AL6&lt;=14,IF(入力データ!$I$25="私立",前提条件!$C$26,前提条件!$C$25),IF(AL6&lt;=17,IF(入力データ!$J$25="私立",前提条件!$C$28,前提条件!$C$27),IF(AL6&lt;=21,IF(入力データ!$K$25="国公立",前提条件!$C$29,IF(入力データ!$K$25="私立理系",前提条件!$C$31,前提条件!$C$30))+IF(入力データ!$L$25="下宿",前提条件!$C$32,0)+IF(AL6=18,前提条件!$C$33,0),0))))))+IF(AL7="",0,IF(AL7&lt;=5,IF(入力データ!$G$26="私立",前提条件!$C$22,前提条件!$C$21),IF(AL7&lt;=11,IF(入力データ!$H$26="私立",前提条件!$C$24,前提条件!$C$23),IF(AL7&lt;=14,IF(入力データ!$I$26="私立",前提条件!$C$26,前提条件!$C$25),IF(AL7&lt;=17,IF(入力データ!$J$26="私立",前提条件!$C$28,前提条件!$C$27),IF(AL7&lt;=21,IF(入力データ!$K$26="国公立",前提条件!$C$29,IF(入力データ!$K$26="私立理系",前提条件!$C$31,前提条件!$C$30))+IF(入力データ!$L$26="下宿",前提条件!$C$32,0)+IF(AL7=18,前提条件!$C$33,0),0))))))+IF(AL8="",0,IF(AL8&lt;=5,IF(入力データ!$G$27="私立",前提条件!$C$22,前提条件!$C$21),IF(AL8&lt;=11,IF(入力データ!$H$27="私立",前提条件!$C$24,前提条件!$C$23),IF(AL8&lt;=14,IF(入力データ!$I$27="私立",前提条件!$C$26,前提条件!$C$25),IF(AL8&lt;=17,IF(入力データ!$J$27="私立",前提条件!$C$28,前提条件!$C$27),IF(AL8&lt;=21,IF(入力データ!$K$27="国公立",前提条件!$C$29,IF(入力データ!$K$27="私立理系",前提条件!$C$31,前提条件!$C$30))+IF(入力データ!$L$27="下宿",前提条件!$C$32,0)+IF(AL8=18,前提条件!$C$33,0),0)))))))*(1+前提条件!$C$13)^(AL$3-$B$3))</f>
        <v/>
      </c>
      <c r="AM24" s="352">
        <f>IF(AM$3="","",((SUM(入力データ!$C$58:$C$61)*12)+IF(AM6="",0,IF(AM6&lt;=5,IF(入力データ!$G$25="私立",前提条件!$C$22,前提条件!$C$21),IF(AM6&lt;=11,IF(入力データ!$H$25="私立",前提条件!$C$24,前提条件!$C$23),IF(AM6&lt;=14,IF(入力データ!$I$25="私立",前提条件!$C$26,前提条件!$C$25),IF(AM6&lt;=17,IF(入力データ!$J$25="私立",前提条件!$C$28,前提条件!$C$27),IF(AM6&lt;=21,IF(入力データ!$K$25="国公立",前提条件!$C$29,IF(入力データ!$K$25="私立理系",前提条件!$C$31,前提条件!$C$30))+IF(入力データ!$L$25="下宿",前提条件!$C$32,0)+IF(AM6=18,前提条件!$C$33,0),0))))))+IF(AM7="",0,IF(AM7&lt;=5,IF(入力データ!$G$26="私立",前提条件!$C$22,前提条件!$C$21),IF(AM7&lt;=11,IF(入力データ!$H$26="私立",前提条件!$C$24,前提条件!$C$23),IF(AM7&lt;=14,IF(入力データ!$I$26="私立",前提条件!$C$26,前提条件!$C$25),IF(AM7&lt;=17,IF(入力データ!$J$26="私立",前提条件!$C$28,前提条件!$C$27),IF(AM7&lt;=21,IF(入力データ!$K$26="国公立",前提条件!$C$29,IF(入力データ!$K$26="私立理系",前提条件!$C$31,前提条件!$C$30))+IF(入力データ!$L$26="下宿",前提条件!$C$32,0)+IF(AM7=18,前提条件!$C$33,0),0))))))+IF(AM8="",0,IF(AM8&lt;=5,IF(入力データ!$G$27="私立",前提条件!$C$22,前提条件!$C$21),IF(AM8&lt;=11,IF(入力データ!$H$27="私立",前提条件!$C$24,前提条件!$C$23),IF(AM8&lt;=14,IF(入力データ!$I$27="私立",前提条件!$C$26,前提条件!$C$25),IF(AM8&lt;=17,IF(入力データ!$J$27="私立",前提条件!$C$28,前提条件!$C$27),IF(AM8&lt;=21,IF(入力データ!$K$27="国公立",前提条件!$C$29,IF(入力データ!$K$27="私立理系",前提条件!$C$31,前提条件!$C$30))+IF(入力データ!$L$27="下宿",前提条件!$C$32,0)+IF(AM8=18,前提条件!$C$33,0),0)))))))*(1+前提条件!$C$13)^(AM$3-$B$3))</f>
        <v/>
      </c>
      <c r="AN24" s="352">
        <f>IF(AN$3="","",((SUM(入力データ!$C$58:$C$61)*12)+IF(AN6="",0,IF(AN6&lt;=5,IF(入力データ!$G$25="私立",前提条件!$C$22,前提条件!$C$21),IF(AN6&lt;=11,IF(入力データ!$H$25="私立",前提条件!$C$24,前提条件!$C$23),IF(AN6&lt;=14,IF(入力データ!$I$25="私立",前提条件!$C$26,前提条件!$C$25),IF(AN6&lt;=17,IF(入力データ!$J$25="私立",前提条件!$C$28,前提条件!$C$27),IF(AN6&lt;=21,IF(入力データ!$K$25="国公立",前提条件!$C$29,IF(入力データ!$K$25="私立理系",前提条件!$C$31,前提条件!$C$30))+IF(入力データ!$L$25="下宿",前提条件!$C$32,0)+IF(AN6=18,前提条件!$C$33,0),0))))))+IF(AN7="",0,IF(AN7&lt;=5,IF(入力データ!$G$26="私立",前提条件!$C$22,前提条件!$C$21),IF(AN7&lt;=11,IF(入力データ!$H$26="私立",前提条件!$C$24,前提条件!$C$23),IF(AN7&lt;=14,IF(入力データ!$I$26="私立",前提条件!$C$26,前提条件!$C$25),IF(AN7&lt;=17,IF(入力データ!$J$26="私立",前提条件!$C$28,前提条件!$C$27),IF(AN7&lt;=21,IF(入力データ!$K$26="国公立",前提条件!$C$29,IF(入力データ!$K$26="私立理系",前提条件!$C$31,前提条件!$C$30))+IF(入力データ!$L$26="下宿",前提条件!$C$32,0)+IF(AN7=18,前提条件!$C$33,0),0))))))+IF(AN8="",0,IF(AN8&lt;=5,IF(入力データ!$G$27="私立",前提条件!$C$22,前提条件!$C$21),IF(AN8&lt;=11,IF(入力データ!$H$27="私立",前提条件!$C$24,前提条件!$C$23),IF(AN8&lt;=14,IF(入力データ!$I$27="私立",前提条件!$C$26,前提条件!$C$25),IF(AN8&lt;=17,IF(入力データ!$J$27="私立",前提条件!$C$28,前提条件!$C$27),IF(AN8&lt;=21,IF(入力データ!$K$27="国公立",前提条件!$C$29,IF(入力データ!$K$27="私立理系",前提条件!$C$31,前提条件!$C$30))+IF(入力データ!$L$27="下宿",前提条件!$C$32,0)+IF(AN8=18,前提条件!$C$33,0),0)))))))*(1+前提条件!$C$13)^(AN$3-$B$3))</f>
        <v/>
      </c>
      <c r="AO24" s="352">
        <f>IF(AO$3="","",((SUM(入力データ!$C$58:$C$61)*12)+IF(AO6="",0,IF(AO6&lt;=5,IF(入力データ!$G$25="私立",前提条件!$C$22,前提条件!$C$21),IF(AO6&lt;=11,IF(入力データ!$H$25="私立",前提条件!$C$24,前提条件!$C$23),IF(AO6&lt;=14,IF(入力データ!$I$25="私立",前提条件!$C$26,前提条件!$C$25),IF(AO6&lt;=17,IF(入力データ!$J$25="私立",前提条件!$C$28,前提条件!$C$27),IF(AO6&lt;=21,IF(入力データ!$K$25="国公立",前提条件!$C$29,IF(入力データ!$K$25="私立理系",前提条件!$C$31,前提条件!$C$30))+IF(入力データ!$L$25="下宿",前提条件!$C$32,0)+IF(AO6=18,前提条件!$C$33,0),0))))))+IF(AO7="",0,IF(AO7&lt;=5,IF(入力データ!$G$26="私立",前提条件!$C$22,前提条件!$C$21),IF(AO7&lt;=11,IF(入力データ!$H$26="私立",前提条件!$C$24,前提条件!$C$23),IF(AO7&lt;=14,IF(入力データ!$I$26="私立",前提条件!$C$26,前提条件!$C$25),IF(AO7&lt;=17,IF(入力データ!$J$26="私立",前提条件!$C$28,前提条件!$C$27),IF(AO7&lt;=21,IF(入力データ!$K$26="国公立",前提条件!$C$29,IF(入力データ!$K$26="私立理系",前提条件!$C$31,前提条件!$C$30))+IF(入力データ!$L$26="下宿",前提条件!$C$32,0)+IF(AO7=18,前提条件!$C$33,0),0))))))+IF(AO8="",0,IF(AO8&lt;=5,IF(入力データ!$G$27="私立",前提条件!$C$22,前提条件!$C$21),IF(AO8&lt;=11,IF(入力データ!$H$27="私立",前提条件!$C$24,前提条件!$C$23),IF(AO8&lt;=14,IF(入力データ!$I$27="私立",前提条件!$C$26,前提条件!$C$25),IF(AO8&lt;=17,IF(入力データ!$J$27="私立",前提条件!$C$28,前提条件!$C$27),IF(AO8&lt;=21,IF(入力データ!$K$27="国公立",前提条件!$C$29,IF(入力データ!$K$27="私立理系",前提条件!$C$31,前提条件!$C$30))+IF(入力データ!$L$27="下宿",前提条件!$C$32,0)+IF(AO8=18,前提条件!$C$33,0),0)))))))*(1+前提条件!$C$13)^(AO$3-$B$3))</f>
        <v/>
      </c>
      <c r="AP24" s="352">
        <f>IF(AP$3="","",((SUM(入力データ!$C$58:$C$61)*12)+IF(AP6="",0,IF(AP6&lt;=5,IF(入力データ!$G$25="私立",前提条件!$C$22,前提条件!$C$21),IF(AP6&lt;=11,IF(入力データ!$H$25="私立",前提条件!$C$24,前提条件!$C$23),IF(AP6&lt;=14,IF(入力データ!$I$25="私立",前提条件!$C$26,前提条件!$C$25),IF(AP6&lt;=17,IF(入力データ!$J$25="私立",前提条件!$C$28,前提条件!$C$27),IF(AP6&lt;=21,IF(入力データ!$K$25="国公立",前提条件!$C$29,IF(入力データ!$K$25="私立理系",前提条件!$C$31,前提条件!$C$30))+IF(入力データ!$L$25="下宿",前提条件!$C$32,0)+IF(AP6=18,前提条件!$C$33,0),0))))))+IF(AP7="",0,IF(AP7&lt;=5,IF(入力データ!$G$26="私立",前提条件!$C$22,前提条件!$C$21),IF(AP7&lt;=11,IF(入力データ!$H$26="私立",前提条件!$C$24,前提条件!$C$23),IF(AP7&lt;=14,IF(入力データ!$I$26="私立",前提条件!$C$26,前提条件!$C$25),IF(AP7&lt;=17,IF(入力データ!$J$26="私立",前提条件!$C$28,前提条件!$C$27),IF(AP7&lt;=21,IF(入力データ!$K$26="国公立",前提条件!$C$29,IF(入力データ!$K$26="私立理系",前提条件!$C$31,前提条件!$C$30))+IF(入力データ!$L$26="下宿",前提条件!$C$32,0)+IF(AP7=18,前提条件!$C$33,0),0))))))+IF(AP8="",0,IF(AP8&lt;=5,IF(入力データ!$G$27="私立",前提条件!$C$22,前提条件!$C$21),IF(AP8&lt;=11,IF(入力データ!$H$27="私立",前提条件!$C$24,前提条件!$C$23),IF(AP8&lt;=14,IF(入力データ!$I$27="私立",前提条件!$C$26,前提条件!$C$25),IF(AP8&lt;=17,IF(入力データ!$J$27="私立",前提条件!$C$28,前提条件!$C$27),IF(AP8&lt;=21,IF(入力データ!$K$27="国公立",前提条件!$C$29,IF(入力データ!$K$27="私立理系",前提条件!$C$31,前提条件!$C$30))+IF(入力データ!$L$27="下宿",前提条件!$C$32,0)+IF(AP8=18,前提条件!$C$33,0),0)))))))*(1+前提条件!$C$13)^(AP$3-$B$3))</f>
        <v/>
      </c>
      <c r="AQ24" s="352">
        <f>IF(AQ$3="","",((SUM(入力データ!$C$58:$C$61)*12)+IF(AQ6="",0,IF(AQ6&lt;=5,IF(入力データ!$G$25="私立",前提条件!$C$22,前提条件!$C$21),IF(AQ6&lt;=11,IF(入力データ!$H$25="私立",前提条件!$C$24,前提条件!$C$23),IF(AQ6&lt;=14,IF(入力データ!$I$25="私立",前提条件!$C$26,前提条件!$C$25),IF(AQ6&lt;=17,IF(入力データ!$J$25="私立",前提条件!$C$28,前提条件!$C$27),IF(AQ6&lt;=21,IF(入力データ!$K$25="国公立",前提条件!$C$29,IF(入力データ!$K$25="私立理系",前提条件!$C$31,前提条件!$C$30))+IF(入力データ!$L$25="下宿",前提条件!$C$32,0)+IF(AQ6=18,前提条件!$C$33,0),0))))))+IF(AQ7="",0,IF(AQ7&lt;=5,IF(入力データ!$G$26="私立",前提条件!$C$22,前提条件!$C$21),IF(AQ7&lt;=11,IF(入力データ!$H$26="私立",前提条件!$C$24,前提条件!$C$23),IF(AQ7&lt;=14,IF(入力データ!$I$26="私立",前提条件!$C$26,前提条件!$C$25),IF(AQ7&lt;=17,IF(入力データ!$J$26="私立",前提条件!$C$28,前提条件!$C$27),IF(AQ7&lt;=21,IF(入力データ!$K$26="国公立",前提条件!$C$29,IF(入力データ!$K$26="私立理系",前提条件!$C$31,前提条件!$C$30))+IF(入力データ!$L$26="下宿",前提条件!$C$32,0)+IF(AQ7=18,前提条件!$C$33,0),0))))))+IF(AQ8="",0,IF(AQ8&lt;=5,IF(入力データ!$G$27="私立",前提条件!$C$22,前提条件!$C$21),IF(AQ8&lt;=11,IF(入力データ!$H$27="私立",前提条件!$C$24,前提条件!$C$23),IF(AQ8&lt;=14,IF(入力データ!$I$27="私立",前提条件!$C$26,前提条件!$C$25),IF(AQ8&lt;=17,IF(入力データ!$J$27="私立",前提条件!$C$28,前提条件!$C$27),IF(AQ8&lt;=21,IF(入力データ!$K$27="国公立",前提条件!$C$29,IF(入力データ!$K$27="私立理系",前提条件!$C$31,前提条件!$C$30))+IF(入力データ!$L$27="下宿",前提条件!$C$32,0)+IF(AQ8=18,前提条件!$C$33,0),0)))))))*(1+前提条件!$C$13)^(AQ$3-$B$3))</f>
        <v/>
      </c>
      <c r="AR24" s="352">
        <f>IF(AR$3="","",((SUM(入力データ!$C$58:$C$61)*12)+IF(AR6="",0,IF(AR6&lt;=5,IF(入力データ!$G$25="私立",前提条件!$C$22,前提条件!$C$21),IF(AR6&lt;=11,IF(入力データ!$H$25="私立",前提条件!$C$24,前提条件!$C$23),IF(AR6&lt;=14,IF(入力データ!$I$25="私立",前提条件!$C$26,前提条件!$C$25),IF(AR6&lt;=17,IF(入力データ!$J$25="私立",前提条件!$C$28,前提条件!$C$27),IF(AR6&lt;=21,IF(入力データ!$K$25="国公立",前提条件!$C$29,IF(入力データ!$K$25="私立理系",前提条件!$C$31,前提条件!$C$30))+IF(入力データ!$L$25="下宿",前提条件!$C$32,0)+IF(AR6=18,前提条件!$C$33,0),0))))))+IF(AR7="",0,IF(AR7&lt;=5,IF(入力データ!$G$26="私立",前提条件!$C$22,前提条件!$C$21),IF(AR7&lt;=11,IF(入力データ!$H$26="私立",前提条件!$C$24,前提条件!$C$23),IF(AR7&lt;=14,IF(入力データ!$I$26="私立",前提条件!$C$26,前提条件!$C$25),IF(AR7&lt;=17,IF(入力データ!$J$26="私立",前提条件!$C$28,前提条件!$C$27),IF(AR7&lt;=21,IF(入力データ!$K$26="国公立",前提条件!$C$29,IF(入力データ!$K$26="私立理系",前提条件!$C$31,前提条件!$C$30))+IF(入力データ!$L$26="下宿",前提条件!$C$32,0)+IF(AR7=18,前提条件!$C$33,0),0))))))+IF(AR8="",0,IF(AR8&lt;=5,IF(入力データ!$G$27="私立",前提条件!$C$22,前提条件!$C$21),IF(AR8&lt;=11,IF(入力データ!$H$27="私立",前提条件!$C$24,前提条件!$C$23),IF(AR8&lt;=14,IF(入力データ!$I$27="私立",前提条件!$C$26,前提条件!$C$25),IF(AR8&lt;=17,IF(入力データ!$J$27="私立",前提条件!$C$28,前提条件!$C$27),IF(AR8&lt;=21,IF(入力データ!$K$27="国公立",前提条件!$C$29,IF(入力データ!$K$27="私立理系",前提条件!$C$31,前提条件!$C$30))+IF(入力データ!$L$27="下宿",前提条件!$C$32,0)+IF(AR8=18,前提条件!$C$33,0),0)))))))*(1+前提条件!$C$13)^(AR$3-$B$3))</f>
        <v/>
      </c>
      <c r="AS24" s="352">
        <f>IF(AS$3="","",((SUM(入力データ!$C$58:$C$61)*12)+IF(AS6="",0,IF(AS6&lt;=5,IF(入力データ!$G$25="私立",前提条件!$C$22,前提条件!$C$21),IF(AS6&lt;=11,IF(入力データ!$H$25="私立",前提条件!$C$24,前提条件!$C$23),IF(AS6&lt;=14,IF(入力データ!$I$25="私立",前提条件!$C$26,前提条件!$C$25),IF(AS6&lt;=17,IF(入力データ!$J$25="私立",前提条件!$C$28,前提条件!$C$27),IF(AS6&lt;=21,IF(入力データ!$K$25="国公立",前提条件!$C$29,IF(入力データ!$K$25="私立理系",前提条件!$C$31,前提条件!$C$30))+IF(入力データ!$L$25="下宿",前提条件!$C$32,0)+IF(AS6=18,前提条件!$C$33,0),0))))))+IF(AS7="",0,IF(AS7&lt;=5,IF(入力データ!$G$26="私立",前提条件!$C$22,前提条件!$C$21),IF(AS7&lt;=11,IF(入力データ!$H$26="私立",前提条件!$C$24,前提条件!$C$23),IF(AS7&lt;=14,IF(入力データ!$I$26="私立",前提条件!$C$26,前提条件!$C$25),IF(AS7&lt;=17,IF(入力データ!$J$26="私立",前提条件!$C$28,前提条件!$C$27),IF(AS7&lt;=21,IF(入力データ!$K$26="国公立",前提条件!$C$29,IF(入力データ!$K$26="私立理系",前提条件!$C$31,前提条件!$C$30))+IF(入力データ!$L$26="下宿",前提条件!$C$32,0)+IF(AS7=18,前提条件!$C$33,0),0))))))+IF(AS8="",0,IF(AS8&lt;=5,IF(入力データ!$G$27="私立",前提条件!$C$22,前提条件!$C$21),IF(AS8&lt;=11,IF(入力データ!$H$27="私立",前提条件!$C$24,前提条件!$C$23),IF(AS8&lt;=14,IF(入力データ!$I$27="私立",前提条件!$C$26,前提条件!$C$25),IF(AS8&lt;=17,IF(入力データ!$J$27="私立",前提条件!$C$28,前提条件!$C$27),IF(AS8&lt;=21,IF(入力データ!$K$27="国公立",前提条件!$C$29,IF(入力データ!$K$27="私立理系",前提条件!$C$31,前提条件!$C$30))+IF(入力データ!$L$27="下宿",前提条件!$C$32,0)+IF(AS8=18,前提条件!$C$33,0),0)))))))*(1+前提条件!$C$13)^(AS$3-$B$3))</f>
        <v/>
      </c>
      <c r="AT24" s="352">
        <f>IF(AT$3="","",((SUM(入力データ!$C$58:$C$61)*12)+IF(AT6="",0,IF(AT6&lt;=5,IF(入力データ!$G$25="私立",前提条件!$C$22,前提条件!$C$21),IF(AT6&lt;=11,IF(入力データ!$H$25="私立",前提条件!$C$24,前提条件!$C$23),IF(AT6&lt;=14,IF(入力データ!$I$25="私立",前提条件!$C$26,前提条件!$C$25),IF(AT6&lt;=17,IF(入力データ!$J$25="私立",前提条件!$C$28,前提条件!$C$27),IF(AT6&lt;=21,IF(入力データ!$K$25="国公立",前提条件!$C$29,IF(入力データ!$K$25="私立理系",前提条件!$C$31,前提条件!$C$30))+IF(入力データ!$L$25="下宿",前提条件!$C$32,0)+IF(AT6=18,前提条件!$C$33,0),0))))))+IF(AT7="",0,IF(AT7&lt;=5,IF(入力データ!$G$26="私立",前提条件!$C$22,前提条件!$C$21),IF(AT7&lt;=11,IF(入力データ!$H$26="私立",前提条件!$C$24,前提条件!$C$23),IF(AT7&lt;=14,IF(入力データ!$I$26="私立",前提条件!$C$26,前提条件!$C$25),IF(AT7&lt;=17,IF(入力データ!$J$26="私立",前提条件!$C$28,前提条件!$C$27),IF(AT7&lt;=21,IF(入力データ!$K$26="国公立",前提条件!$C$29,IF(入力データ!$K$26="私立理系",前提条件!$C$31,前提条件!$C$30))+IF(入力データ!$L$26="下宿",前提条件!$C$32,0)+IF(AT7=18,前提条件!$C$33,0),0))))))+IF(AT8="",0,IF(AT8&lt;=5,IF(入力データ!$G$27="私立",前提条件!$C$22,前提条件!$C$21),IF(AT8&lt;=11,IF(入力データ!$H$27="私立",前提条件!$C$24,前提条件!$C$23),IF(AT8&lt;=14,IF(入力データ!$I$27="私立",前提条件!$C$26,前提条件!$C$25),IF(AT8&lt;=17,IF(入力データ!$J$27="私立",前提条件!$C$28,前提条件!$C$27),IF(AT8&lt;=21,IF(入力データ!$K$27="国公立",前提条件!$C$29,IF(入力データ!$K$27="私立理系",前提条件!$C$31,前提条件!$C$30))+IF(入力データ!$L$27="下宿",前提条件!$C$32,0)+IF(AT8=18,前提条件!$C$33,0),0)))))))*(1+前提条件!$C$13)^(AT$3-$B$3))</f>
        <v/>
      </c>
      <c r="AU24" s="352">
        <f>IF(AU$3="","",((SUM(入力データ!$C$58:$C$61)*12)+IF(AU6="",0,IF(AU6&lt;=5,IF(入力データ!$G$25="私立",前提条件!$C$22,前提条件!$C$21),IF(AU6&lt;=11,IF(入力データ!$H$25="私立",前提条件!$C$24,前提条件!$C$23),IF(AU6&lt;=14,IF(入力データ!$I$25="私立",前提条件!$C$26,前提条件!$C$25),IF(AU6&lt;=17,IF(入力データ!$J$25="私立",前提条件!$C$28,前提条件!$C$27),IF(AU6&lt;=21,IF(入力データ!$K$25="国公立",前提条件!$C$29,IF(入力データ!$K$25="私立理系",前提条件!$C$31,前提条件!$C$30))+IF(入力データ!$L$25="下宿",前提条件!$C$32,0)+IF(AU6=18,前提条件!$C$33,0),0))))))+IF(AU7="",0,IF(AU7&lt;=5,IF(入力データ!$G$26="私立",前提条件!$C$22,前提条件!$C$21),IF(AU7&lt;=11,IF(入力データ!$H$26="私立",前提条件!$C$24,前提条件!$C$23),IF(AU7&lt;=14,IF(入力データ!$I$26="私立",前提条件!$C$26,前提条件!$C$25),IF(AU7&lt;=17,IF(入力データ!$J$26="私立",前提条件!$C$28,前提条件!$C$27),IF(AU7&lt;=21,IF(入力データ!$K$26="国公立",前提条件!$C$29,IF(入力データ!$K$26="私立理系",前提条件!$C$31,前提条件!$C$30))+IF(入力データ!$L$26="下宿",前提条件!$C$32,0)+IF(AU7=18,前提条件!$C$33,0),0))))))+IF(AU8="",0,IF(AU8&lt;=5,IF(入力データ!$G$27="私立",前提条件!$C$22,前提条件!$C$21),IF(AU8&lt;=11,IF(入力データ!$H$27="私立",前提条件!$C$24,前提条件!$C$23),IF(AU8&lt;=14,IF(入力データ!$I$27="私立",前提条件!$C$26,前提条件!$C$25),IF(AU8&lt;=17,IF(入力データ!$J$27="私立",前提条件!$C$28,前提条件!$C$27),IF(AU8&lt;=21,IF(入力データ!$K$27="国公立",前提条件!$C$29,IF(入力データ!$K$27="私立理系",前提条件!$C$31,前提条件!$C$30))+IF(入力データ!$L$27="下宿",前提条件!$C$32,0)+IF(AU8=18,前提条件!$C$33,0),0)))))))*(1+前提条件!$C$13)^(AU$3-$B$3))</f>
        <v/>
      </c>
      <c r="AV24" s="352">
        <f>IF(AV$3="","",((SUM(入力データ!$C$58:$C$61)*12)+IF(AV6="",0,IF(AV6&lt;=5,IF(入力データ!$G$25="私立",前提条件!$C$22,前提条件!$C$21),IF(AV6&lt;=11,IF(入力データ!$H$25="私立",前提条件!$C$24,前提条件!$C$23),IF(AV6&lt;=14,IF(入力データ!$I$25="私立",前提条件!$C$26,前提条件!$C$25),IF(AV6&lt;=17,IF(入力データ!$J$25="私立",前提条件!$C$28,前提条件!$C$27),IF(AV6&lt;=21,IF(入力データ!$K$25="国公立",前提条件!$C$29,IF(入力データ!$K$25="私立理系",前提条件!$C$31,前提条件!$C$30))+IF(入力データ!$L$25="下宿",前提条件!$C$32,0)+IF(AV6=18,前提条件!$C$33,0),0))))))+IF(AV7="",0,IF(AV7&lt;=5,IF(入力データ!$G$26="私立",前提条件!$C$22,前提条件!$C$21),IF(AV7&lt;=11,IF(入力データ!$H$26="私立",前提条件!$C$24,前提条件!$C$23),IF(AV7&lt;=14,IF(入力データ!$I$26="私立",前提条件!$C$26,前提条件!$C$25),IF(AV7&lt;=17,IF(入力データ!$J$26="私立",前提条件!$C$28,前提条件!$C$27),IF(AV7&lt;=21,IF(入力データ!$K$26="国公立",前提条件!$C$29,IF(入力データ!$K$26="私立理系",前提条件!$C$31,前提条件!$C$30))+IF(入力データ!$L$26="下宿",前提条件!$C$32,0)+IF(AV7=18,前提条件!$C$33,0),0))))))+IF(AV8="",0,IF(AV8&lt;=5,IF(入力データ!$G$27="私立",前提条件!$C$22,前提条件!$C$21),IF(AV8&lt;=11,IF(入力データ!$H$27="私立",前提条件!$C$24,前提条件!$C$23),IF(AV8&lt;=14,IF(入力データ!$I$27="私立",前提条件!$C$26,前提条件!$C$25),IF(AV8&lt;=17,IF(入力データ!$J$27="私立",前提条件!$C$28,前提条件!$C$27),IF(AV8&lt;=21,IF(入力データ!$K$27="国公立",前提条件!$C$29,IF(入力データ!$K$27="私立理系",前提条件!$C$31,前提条件!$C$30))+IF(入力データ!$L$27="下宿",前提条件!$C$32,0)+IF(AV8=18,前提条件!$C$33,0),0)))))))*(1+前提条件!$C$13)^(AV$3-$B$3))</f>
        <v/>
      </c>
      <c r="AW24" s="352">
        <f>IF(AW$3="","",((SUM(入力データ!$C$58:$C$61)*12)+IF(AW6="",0,IF(AW6&lt;=5,IF(入力データ!$G$25="私立",前提条件!$C$22,前提条件!$C$21),IF(AW6&lt;=11,IF(入力データ!$H$25="私立",前提条件!$C$24,前提条件!$C$23),IF(AW6&lt;=14,IF(入力データ!$I$25="私立",前提条件!$C$26,前提条件!$C$25),IF(AW6&lt;=17,IF(入力データ!$J$25="私立",前提条件!$C$28,前提条件!$C$27),IF(AW6&lt;=21,IF(入力データ!$K$25="国公立",前提条件!$C$29,IF(入力データ!$K$25="私立理系",前提条件!$C$31,前提条件!$C$30))+IF(入力データ!$L$25="下宿",前提条件!$C$32,0)+IF(AW6=18,前提条件!$C$33,0),0))))))+IF(AW7="",0,IF(AW7&lt;=5,IF(入力データ!$G$26="私立",前提条件!$C$22,前提条件!$C$21),IF(AW7&lt;=11,IF(入力データ!$H$26="私立",前提条件!$C$24,前提条件!$C$23),IF(AW7&lt;=14,IF(入力データ!$I$26="私立",前提条件!$C$26,前提条件!$C$25),IF(AW7&lt;=17,IF(入力データ!$J$26="私立",前提条件!$C$28,前提条件!$C$27),IF(AW7&lt;=21,IF(入力データ!$K$26="国公立",前提条件!$C$29,IF(入力データ!$K$26="私立理系",前提条件!$C$31,前提条件!$C$30))+IF(入力データ!$L$26="下宿",前提条件!$C$32,0)+IF(AW7=18,前提条件!$C$33,0),0))))))+IF(AW8="",0,IF(AW8&lt;=5,IF(入力データ!$G$27="私立",前提条件!$C$22,前提条件!$C$21),IF(AW8&lt;=11,IF(入力データ!$H$27="私立",前提条件!$C$24,前提条件!$C$23),IF(AW8&lt;=14,IF(入力データ!$I$27="私立",前提条件!$C$26,前提条件!$C$25),IF(AW8&lt;=17,IF(入力データ!$J$27="私立",前提条件!$C$28,前提条件!$C$27),IF(AW8&lt;=21,IF(入力データ!$K$27="国公立",前提条件!$C$29,IF(入力データ!$K$27="私立理系",前提条件!$C$31,前提条件!$C$30))+IF(入力データ!$L$27="下宿",前提条件!$C$32,0)+IF(AW8=18,前提条件!$C$33,0),0)))))))*(1+前提条件!$C$13)^(AW$3-$B$3))</f>
        <v/>
      </c>
      <c r="AX24" s="352">
        <f>IF(AX$3="","",((SUM(入力データ!$C$58:$C$61)*12)+IF(AX6="",0,IF(AX6&lt;=5,IF(入力データ!$G$25="私立",前提条件!$C$22,前提条件!$C$21),IF(AX6&lt;=11,IF(入力データ!$H$25="私立",前提条件!$C$24,前提条件!$C$23),IF(AX6&lt;=14,IF(入力データ!$I$25="私立",前提条件!$C$26,前提条件!$C$25),IF(AX6&lt;=17,IF(入力データ!$J$25="私立",前提条件!$C$28,前提条件!$C$27),IF(AX6&lt;=21,IF(入力データ!$K$25="国公立",前提条件!$C$29,IF(入力データ!$K$25="私立理系",前提条件!$C$31,前提条件!$C$30))+IF(入力データ!$L$25="下宿",前提条件!$C$32,0)+IF(AX6=18,前提条件!$C$33,0),0))))))+IF(AX7="",0,IF(AX7&lt;=5,IF(入力データ!$G$26="私立",前提条件!$C$22,前提条件!$C$21),IF(AX7&lt;=11,IF(入力データ!$H$26="私立",前提条件!$C$24,前提条件!$C$23),IF(AX7&lt;=14,IF(入力データ!$I$26="私立",前提条件!$C$26,前提条件!$C$25),IF(AX7&lt;=17,IF(入力データ!$J$26="私立",前提条件!$C$28,前提条件!$C$27),IF(AX7&lt;=21,IF(入力データ!$K$26="国公立",前提条件!$C$29,IF(入力データ!$K$26="私立理系",前提条件!$C$31,前提条件!$C$30))+IF(入力データ!$L$26="下宿",前提条件!$C$32,0)+IF(AX7=18,前提条件!$C$33,0),0))))))+IF(AX8="",0,IF(AX8&lt;=5,IF(入力データ!$G$27="私立",前提条件!$C$22,前提条件!$C$21),IF(AX8&lt;=11,IF(入力データ!$H$27="私立",前提条件!$C$24,前提条件!$C$23),IF(AX8&lt;=14,IF(入力データ!$I$27="私立",前提条件!$C$26,前提条件!$C$25),IF(AX8&lt;=17,IF(入力データ!$J$27="私立",前提条件!$C$28,前提条件!$C$27),IF(AX8&lt;=21,IF(入力データ!$K$27="国公立",前提条件!$C$29,IF(入力データ!$K$27="私立理系",前提条件!$C$31,前提条件!$C$30))+IF(入力データ!$L$27="下宿",前提条件!$C$32,0)+IF(AX8=18,前提条件!$C$33,0),0)))))))*(1+前提条件!$C$13)^(AX$3-$B$3))</f>
        <v/>
      </c>
      <c r="AY24" s="352">
        <f>IF(AY$3="","",((SUM(入力データ!$C$58:$C$61)*12)+IF(AY6="",0,IF(AY6&lt;=5,IF(入力データ!$G$25="私立",前提条件!$C$22,前提条件!$C$21),IF(AY6&lt;=11,IF(入力データ!$H$25="私立",前提条件!$C$24,前提条件!$C$23),IF(AY6&lt;=14,IF(入力データ!$I$25="私立",前提条件!$C$26,前提条件!$C$25),IF(AY6&lt;=17,IF(入力データ!$J$25="私立",前提条件!$C$28,前提条件!$C$27),IF(AY6&lt;=21,IF(入力データ!$K$25="国公立",前提条件!$C$29,IF(入力データ!$K$25="私立理系",前提条件!$C$31,前提条件!$C$30))+IF(入力データ!$L$25="下宿",前提条件!$C$32,0)+IF(AY6=18,前提条件!$C$33,0),0))))))+IF(AY7="",0,IF(AY7&lt;=5,IF(入力データ!$G$26="私立",前提条件!$C$22,前提条件!$C$21),IF(AY7&lt;=11,IF(入力データ!$H$26="私立",前提条件!$C$24,前提条件!$C$23),IF(AY7&lt;=14,IF(入力データ!$I$26="私立",前提条件!$C$26,前提条件!$C$25),IF(AY7&lt;=17,IF(入力データ!$J$26="私立",前提条件!$C$28,前提条件!$C$27),IF(AY7&lt;=21,IF(入力データ!$K$26="国公立",前提条件!$C$29,IF(入力データ!$K$26="私立理系",前提条件!$C$31,前提条件!$C$30))+IF(入力データ!$L$26="下宿",前提条件!$C$32,0)+IF(AY7=18,前提条件!$C$33,0),0))))))+IF(AY8="",0,IF(AY8&lt;=5,IF(入力データ!$G$27="私立",前提条件!$C$22,前提条件!$C$21),IF(AY8&lt;=11,IF(入力データ!$H$27="私立",前提条件!$C$24,前提条件!$C$23),IF(AY8&lt;=14,IF(入力データ!$I$27="私立",前提条件!$C$26,前提条件!$C$25),IF(AY8&lt;=17,IF(入力データ!$J$27="私立",前提条件!$C$28,前提条件!$C$27),IF(AY8&lt;=21,IF(入力データ!$K$27="国公立",前提条件!$C$29,IF(入力データ!$K$27="私立理系",前提条件!$C$31,前提条件!$C$30))+IF(入力データ!$L$27="下宿",前提条件!$C$32,0)+IF(AY8=18,前提条件!$C$33,0),0)))))))*(1+前提条件!$C$13)^(AY$3-$B$3))</f>
        <v/>
      </c>
      <c r="AZ24" s="352">
        <f>IF(AZ$3="","",((SUM(入力データ!$C$58:$C$61)*12)+IF(AZ6="",0,IF(AZ6&lt;=5,IF(入力データ!$G$25="私立",前提条件!$C$22,前提条件!$C$21),IF(AZ6&lt;=11,IF(入力データ!$H$25="私立",前提条件!$C$24,前提条件!$C$23),IF(AZ6&lt;=14,IF(入力データ!$I$25="私立",前提条件!$C$26,前提条件!$C$25),IF(AZ6&lt;=17,IF(入力データ!$J$25="私立",前提条件!$C$28,前提条件!$C$27),IF(AZ6&lt;=21,IF(入力データ!$K$25="国公立",前提条件!$C$29,IF(入力データ!$K$25="私立理系",前提条件!$C$31,前提条件!$C$30))+IF(入力データ!$L$25="下宿",前提条件!$C$32,0)+IF(AZ6=18,前提条件!$C$33,0),0))))))+IF(AZ7="",0,IF(AZ7&lt;=5,IF(入力データ!$G$26="私立",前提条件!$C$22,前提条件!$C$21),IF(AZ7&lt;=11,IF(入力データ!$H$26="私立",前提条件!$C$24,前提条件!$C$23),IF(AZ7&lt;=14,IF(入力データ!$I$26="私立",前提条件!$C$26,前提条件!$C$25),IF(AZ7&lt;=17,IF(入力データ!$J$26="私立",前提条件!$C$28,前提条件!$C$27),IF(AZ7&lt;=21,IF(入力データ!$K$26="国公立",前提条件!$C$29,IF(入力データ!$K$26="私立理系",前提条件!$C$31,前提条件!$C$30))+IF(入力データ!$L$26="下宿",前提条件!$C$32,0)+IF(AZ7=18,前提条件!$C$33,0),0))))))+IF(AZ8="",0,IF(AZ8&lt;=5,IF(入力データ!$G$27="私立",前提条件!$C$22,前提条件!$C$21),IF(AZ8&lt;=11,IF(入力データ!$H$27="私立",前提条件!$C$24,前提条件!$C$23),IF(AZ8&lt;=14,IF(入力データ!$I$27="私立",前提条件!$C$26,前提条件!$C$25),IF(AZ8&lt;=17,IF(入力データ!$J$27="私立",前提条件!$C$28,前提条件!$C$27),IF(AZ8&lt;=21,IF(入力データ!$K$27="国公立",前提条件!$C$29,IF(入力データ!$K$27="私立理系",前提条件!$C$31,前提条件!$C$30))+IF(入力データ!$L$27="下宿",前提条件!$C$32,0)+IF(AZ8=18,前提条件!$C$33,0),0)))))))*(1+前提条件!$C$13)^(AZ$3-$B$3))</f>
        <v/>
      </c>
      <c r="BA24" s="352">
        <f>IF(BA$3="","",((SUM(入力データ!$C$58:$C$61)*12)+IF(BA6="",0,IF(BA6&lt;=5,IF(入力データ!$G$25="私立",前提条件!$C$22,前提条件!$C$21),IF(BA6&lt;=11,IF(入力データ!$H$25="私立",前提条件!$C$24,前提条件!$C$23),IF(BA6&lt;=14,IF(入力データ!$I$25="私立",前提条件!$C$26,前提条件!$C$25),IF(BA6&lt;=17,IF(入力データ!$J$25="私立",前提条件!$C$28,前提条件!$C$27),IF(BA6&lt;=21,IF(入力データ!$K$25="国公立",前提条件!$C$29,IF(入力データ!$K$25="私立理系",前提条件!$C$31,前提条件!$C$30))+IF(入力データ!$L$25="下宿",前提条件!$C$32,0)+IF(BA6=18,前提条件!$C$33,0),0))))))+IF(BA7="",0,IF(BA7&lt;=5,IF(入力データ!$G$26="私立",前提条件!$C$22,前提条件!$C$21),IF(BA7&lt;=11,IF(入力データ!$H$26="私立",前提条件!$C$24,前提条件!$C$23),IF(BA7&lt;=14,IF(入力データ!$I$26="私立",前提条件!$C$26,前提条件!$C$25),IF(BA7&lt;=17,IF(入力データ!$J$26="私立",前提条件!$C$28,前提条件!$C$27),IF(BA7&lt;=21,IF(入力データ!$K$26="国公立",前提条件!$C$29,IF(入力データ!$K$26="私立理系",前提条件!$C$31,前提条件!$C$30))+IF(入力データ!$L$26="下宿",前提条件!$C$32,0)+IF(BA7=18,前提条件!$C$33,0),0))))))+IF(BA8="",0,IF(BA8&lt;=5,IF(入力データ!$G$27="私立",前提条件!$C$22,前提条件!$C$21),IF(BA8&lt;=11,IF(入力データ!$H$27="私立",前提条件!$C$24,前提条件!$C$23),IF(BA8&lt;=14,IF(入力データ!$I$27="私立",前提条件!$C$26,前提条件!$C$25),IF(BA8&lt;=17,IF(入力データ!$J$27="私立",前提条件!$C$28,前提条件!$C$27),IF(BA8&lt;=21,IF(入力データ!$K$27="国公立",前提条件!$C$29,IF(入力データ!$K$27="私立理系",前提条件!$C$31,前提条件!$C$30))+IF(入力データ!$L$27="下宿",前提条件!$C$32,0)+IF(BA8=18,前提条件!$C$33,0),0)))))))*(1+前提条件!$C$13)^(BA$3-$B$3))</f>
        <v/>
      </c>
      <c r="BB24" s="352">
        <f>IF(BB$3="","",((SUM(入力データ!$C$58:$C$61)*12)+IF(BB6="",0,IF(BB6&lt;=5,IF(入力データ!$G$25="私立",前提条件!$C$22,前提条件!$C$21),IF(BB6&lt;=11,IF(入力データ!$H$25="私立",前提条件!$C$24,前提条件!$C$23),IF(BB6&lt;=14,IF(入力データ!$I$25="私立",前提条件!$C$26,前提条件!$C$25),IF(BB6&lt;=17,IF(入力データ!$J$25="私立",前提条件!$C$28,前提条件!$C$27),IF(BB6&lt;=21,IF(入力データ!$K$25="国公立",前提条件!$C$29,IF(入力データ!$K$25="私立理系",前提条件!$C$31,前提条件!$C$30))+IF(入力データ!$L$25="下宿",前提条件!$C$32,0)+IF(BB6=18,前提条件!$C$33,0),0))))))+IF(BB7="",0,IF(BB7&lt;=5,IF(入力データ!$G$26="私立",前提条件!$C$22,前提条件!$C$21),IF(BB7&lt;=11,IF(入力データ!$H$26="私立",前提条件!$C$24,前提条件!$C$23),IF(BB7&lt;=14,IF(入力データ!$I$26="私立",前提条件!$C$26,前提条件!$C$25),IF(BB7&lt;=17,IF(入力データ!$J$26="私立",前提条件!$C$28,前提条件!$C$27),IF(BB7&lt;=21,IF(入力データ!$K$26="国公立",前提条件!$C$29,IF(入力データ!$K$26="私立理系",前提条件!$C$31,前提条件!$C$30))+IF(入力データ!$L$26="下宿",前提条件!$C$32,0)+IF(BB7=18,前提条件!$C$33,0),0))))))+IF(BB8="",0,IF(BB8&lt;=5,IF(入力データ!$G$27="私立",前提条件!$C$22,前提条件!$C$21),IF(BB8&lt;=11,IF(入力データ!$H$27="私立",前提条件!$C$24,前提条件!$C$23),IF(BB8&lt;=14,IF(入力データ!$I$27="私立",前提条件!$C$26,前提条件!$C$25),IF(BB8&lt;=17,IF(入力データ!$J$27="私立",前提条件!$C$28,前提条件!$C$27),IF(BB8&lt;=21,IF(入力データ!$K$27="国公立",前提条件!$C$29,IF(入力データ!$K$27="私立理系",前提条件!$C$31,前提条件!$C$30))+IF(入力データ!$L$27="下宿",前提条件!$C$32,0)+IF(BB8=18,前提条件!$C$33,0),0)))))))*(1+前提条件!$C$13)^(BB$3-$B$3))</f>
        <v/>
      </c>
      <c r="BC24" s="352">
        <f>IF(BC$3="","",((SUM(入力データ!$C$58:$C$61)*12)+IF(BC6="",0,IF(BC6&lt;=5,IF(入力データ!$G$25="私立",前提条件!$C$22,前提条件!$C$21),IF(BC6&lt;=11,IF(入力データ!$H$25="私立",前提条件!$C$24,前提条件!$C$23),IF(BC6&lt;=14,IF(入力データ!$I$25="私立",前提条件!$C$26,前提条件!$C$25),IF(BC6&lt;=17,IF(入力データ!$J$25="私立",前提条件!$C$28,前提条件!$C$27),IF(BC6&lt;=21,IF(入力データ!$K$25="国公立",前提条件!$C$29,IF(入力データ!$K$25="私立理系",前提条件!$C$31,前提条件!$C$30))+IF(入力データ!$L$25="下宿",前提条件!$C$32,0)+IF(BC6=18,前提条件!$C$33,0),0))))))+IF(BC7="",0,IF(BC7&lt;=5,IF(入力データ!$G$26="私立",前提条件!$C$22,前提条件!$C$21),IF(BC7&lt;=11,IF(入力データ!$H$26="私立",前提条件!$C$24,前提条件!$C$23),IF(BC7&lt;=14,IF(入力データ!$I$26="私立",前提条件!$C$26,前提条件!$C$25),IF(BC7&lt;=17,IF(入力データ!$J$26="私立",前提条件!$C$28,前提条件!$C$27),IF(BC7&lt;=21,IF(入力データ!$K$26="国公立",前提条件!$C$29,IF(入力データ!$K$26="私立理系",前提条件!$C$31,前提条件!$C$30))+IF(入力データ!$L$26="下宿",前提条件!$C$32,0)+IF(BC7=18,前提条件!$C$33,0),0))))))+IF(BC8="",0,IF(BC8&lt;=5,IF(入力データ!$G$27="私立",前提条件!$C$22,前提条件!$C$21),IF(BC8&lt;=11,IF(入力データ!$H$27="私立",前提条件!$C$24,前提条件!$C$23),IF(BC8&lt;=14,IF(入力データ!$I$27="私立",前提条件!$C$26,前提条件!$C$25),IF(BC8&lt;=17,IF(入力データ!$J$27="私立",前提条件!$C$28,前提条件!$C$27),IF(BC8&lt;=21,IF(入力データ!$K$27="国公立",前提条件!$C$29,IF(入力データ!$K$27="私立理系",前提条件!$C$31,前提条件!$C$30))+IF(入力データ!$L$27="下宿",前提条件!$C$32,0)+IF(BC8=18,前提条件!$C$33,0),0)))))))*(1+前提条件!$C$13)^(BC$3-$B$3))</f>
        <v/>
      </c>
      <c r="BD24" s="352">
        <f>IF(BD$3="","",((SUM(入力データ!$C$58:$C$61)*12)+IF(BD6="",0,IF(BD6&lt;=5,IF(入力データ!$G$25="私立",前提条件!$C$22,前提条件!$C$21),IF(BD6&lt;=11,IF(入力データ!$H$25="私立",前提条件!$C$24,前提条件!$C$23),IF(BD6&lt;=14,IF(入力データ!$I$25="私立",前提条件!$C$26,前提条件!$C$25),IF(BD6&lt;=17,IF(入力データ!$J$25="私立",前提条件!$C$28,前提条件!$C$27),IF(BD6&lt;=21,IF(入力データ!$K$25="国公立",前提条件!$C$29,IF(入力データ!$K$25="私立理系",前提条件!$C$31,前提条件!$C$30))+IF(入力データ!$L$25="下宿",前提条件!$C$32,0)+IF(BD6=18,前提条件!$C$33,0),0))))))+IF(BD7="",0,IF(BD7&lt;=5,IF(入力データ!$G$26="私立",前提条件!$C$22,前提条件!$C$21),IF(BD7&lt;=11,IF(入力データ!$H$26="私立",前提条件!$C$24,前提条件!$C$23),IF(BD7&lt;=14,IF(入力データ!$I$26="私立",前提条件!$C$26,前提条件!$C$25),IF(BD7&lt;=17,IF(入力データ!$J$26="私立",前提条件!$C$28,前提条件!$C$27),IF(BD7&lt;=21,IF(入力データ!$K$26="国公立",前提条件!$C$29,IF(入力データ!$K$26="私立理系",前提条件!$C$31,前提条件!$C$30))+IF(入力データ!$L$26="下宿",前提条件!$C$32,0)+IF(BD7=18,前提条件!$C$33,0),0))))))+IF(BD8="",0,IF(BD8&lt;=5,IF(入力データ!$G$27="私立",前提条件!$C$22,前提条件!$C$21),IF(BD8&lt;=11,IF(入力データ!$H$27="私立",前提条件!$C$24,前提条件!$C$23),IF(BD8&lt;=14,IF(入力データ!$I$27="私立",前提条件!$C$26,前提条件!$C$25),IF(BD8&lt;=17,IF(入力データ!$J$27="私立",前提条件!$C$28,前提条件!$C$27),IF(BD8&lt;=21,IF(入力データ!$K$27="国公立",前提条件!$C$29,IF(入力データ!$K$27="私立理系",前提条件!$C$31,前提条件!$C$30))+IF(入力データ!$L$27="下宿",前提条件!$C$32,0)+IF(BD8=18,前提条件!$C$33,0),0)))))))*(1+前提条件!$C$13)^(BD$3-$B$3))</f>
        <v/>
      </c>
      <c r="BE24" s="352">
        <f>IF(BE$3="","",((SUM(入力データ!$C$58:$C$61)*12)+IF(BE6="",0,IF(BE6&lt;=5,IF(入力データ!$G$25="私立",前提条件!$C$22,前提条件!$C$21),IF(BE6&lt;=11,IF(入力データ!$H$25="私立",前提条件!$C$24,前提条件!$C$23),IF(BE6&lt;=14,IF(入力データ!$I$25="私立",前提条件!$C$26,前提条件!$C$25),IF(BE6&lt;=17,IF(入力データ!$J$25="私立",前提条件!$C$28,前提条件!$C$27),IF(BE6&lt;=21,IF(入力データ!$K$25="国公立",前提条件!$C$29,IF(入力データ!$K$25="私立理系",前提条件!$C$31,前提条件!$C$30))+IF(入力データ!$L$25="下宿",前提条件!$C$32,0)+IF(BE6=18,前提条件!$C$33,0),0))))))+IF(BE7="",0,IF(BE7&lt;=5,IF(入力データ!$G$26="私立",前提条件!$C$22,前提条件!$C$21),IF(BE7&lt;=11,IF(入力データ!$H$26="私立",前提条件!$C$24,前提条件!$C$23),IF(BE7&lt;=14,IF(入力データ!$I$26="私立",前提条件!$C$26,前提条件!$C$25),IF(BE7&lt;=17,IF(入力データ!$J$26="私立",前提条件!$C$28,前提条件!$C$27),IF(BE7&lt;=21,IF(入力データ!$K$26="国公立",前提条件!$C$29,IF(入力データ!$K$26="私立理系",前提条件!$C$31,前提条件!$C$30))+IF(入力データ!$L$26="下宿",前提条件!$C$32,0)+IF(BE7=18,前提条件!$C$33,0),0))))))+IF(BE8="",0,IF(BE8&lt;=5,IF(入力データ!$G$27="私立",前提条件!$C$22,前提条件!$C$21),IF(BE8&lt;=11,IF(入力データ!$H$27="私立",前提条件!$C$24,前提条件!$C$23),IF(BE8&lt;=14,IF(入力データ!$I$27="私立",前提条件!$C$26,前提条件!$C$25),IF(BE8&lt;=17,IF(入力データ!$J$27="私立",前提条件!$C$28,前提条件!$C$27),IF(BE8&lt;=21,IF(入力データ!$K$27="国公立",前提条件!$C$29,IF(入力データ!$K$27="私立理系",前提条件!$C$31,前提条件!$C$30))+IF(入力データ!$L$27="下宿",前提条件!$C$32,0)+IF(BE8=18,前提条件!$C$33,0),0)))))))*(1+前提条件!$C$13)^(BE$3-$B$3))</f>
        <v/>
      </c>
      <c r="BF24" s="352">
        <f>IF(BF$3="","",((SUM(入力データ!$C$58:$C$61)*12)+IF(BF6="",0,IF(BF6&lt;=5,IF(入力データ!$G$25="私立",前提条件!$C$22,前提条件!$C$21),IF(BF6&lt;=11,IF(入力データ!$H$25="私立",前提条件!$C$24,前提条件!$C$23),IF(BF6&lt;=14,IF(入力データ!$I$25="私立",前提条件!$C$26,前提条件!$C$25),IF(BF6&lt;=17,IF(入力データ!$J$25="私立",前提条件!$C$28,前提条件!$C$27),IF(BF6&lt;=21,IF(入力データ!$K$25="国公立",前提条件!$C$29,IF(入力データ!$K$25="私立理系",前提条件!$C$31,前提条件!$C$30))+IF(入力データ!$L$25="下宿",前提条件!$C$32,0)+IF(BF6=18,前提条件!$C$33,0),0))))))+IF(BF7="",0,IF(BF7&lt;=5,IF(入力データ!$G$26="私立",前提条件!$C$22,前提条件!$C$21),IF(BF7&lt;=11,IF(入力データ!$H$26="私立",前提条件!$C$24,前提条件!$C$23),IF(BF7&lt;=14,IF(入力データ!$I$26="私立",前提条件!$C$26,前提条件!$C$25),IF(BF7&lt;=17,IF(入力データ!$J$26="私立",前提条件!$C$28,前提条件!$C$27),IF(BF7&lt;=21,IF(入力データ!$K$26="国公立",前提条件!$C$29,IF(入力データ!$K$26="私立理系",前提条件!$C$31,前提条件!$C$30))+IF(入力データ!$L$26="下宿",前提条件!$C$32,0)+IF(BF7=18,前提条件!$C$33,0),0))))))+IF(BF8="",0,IF(BF8&lt;=5,IF(入力データ!$G$27="私立",前提条件!$C$22,前提条件!$C$21),IF(BF8&lt;=11,IF(入力データ!$H$27="私立",前提条件!$C$24,前提条件!$C$23),IF(BF8&lt;=14,IF(入力データ!$I$27="私立",前提条件!$C$26,前提条件!$C$25),IF(BF8&lt;=17,IF(入力データ!$J$27="私立",前提条件!$C$28,前提条件!$C$27),IF(BF8&lt;=21,IF(入力データ!$K$27="国公立",前提条件!$C$29,IF(入力データ!$K$27="私立理系",前提条件!$C$31,前提条件!$C$30))+IF(入力データ!$L$27="下宿",前提条件!$C$32,0)+IF(BF8=18,前提条件!$C$33,0),0)))))))*(1+前提条件!$C$13)^(BF$3-$B$3))</f>
        <v/>
      </c>
      <c r="BG24" s="352">
        <f>IF(BG$3="","",((SUM(入力データ!$C$58:$C$61)*12)+IF(BG6="",0,IF(BG6&lt;=5,IF(入力データ!$G$25="私立",前提条件!$C$22,前提条件!$C$21),IF(BG6&lt;=11,IF(入力データ!$H$25="私立",前提条件!$C$24,前提条件!$C$23),IF(BG6&lt;=14,IF(入力データ!$I$25="私立",前提条件!$C$26,前提条件!$C$25),IF(BG6&lt;=17,IF(入力データ!$J$25="私立",前提条件!$C$28,前提条件!$C$27),IF(BG6&lt;=21,IF(入力データ!$K$25="国公立",前提条件!$C$29,IF(入力データ!$K$25="私立理系",前提条件!$C$31,前提条件!$C$30))+IF(入力データ!$L$25="下宿",前提条件!$C$32,0)+IF(BG6=18,前提条件!$C$33,0),0))))))+IF(BG7="",0,IF(BG7&lt;=5,IF(入力データ!$G$26="私立",前提条件!$C$22,前提条件!$C$21),IF(BG7&lt;=11,IF(入力データ!$H$26="私立",前提条件!$C$24,前提条件!$C$23),IF(BG7&lt;=14,IF(入力データ!$I$26="私立",前提条件!$C$26,前提条件!$C$25),IF(BG7&lt;=17,IF(入力データ!$J$26="私立",前提条件!$C$28,前提条件!$C$27),IF(BG7&lt;=21,IF(入力データ!$K$26="国公立",前提条件!$C$29,IF(入力データ!$K$26="私立理系",前提条件!$C$31,前提条件!$C$30))+IF(入力データ!$L$26="下宿",前提条件!$C$32,0)+IF(BG7=18,前提条件!$C$33,0),0))))))+IF(BG8="",0,IF(BG8&lt;=5,IF(入力データ!$G$27="私立",前提条件!$C$22,前提条件!$C$21),IF(BG8&lt;=11,IF(入力データ!$H$27="私立",前提条件!$C$24,前提条件!$C$23),IF(BG8&lt;=14,IF(入力データ!$I$27="私立",前提条件!$C$26,前提条件!$C$25),IF(BG8&lt;=17,IF(入力データ!$J$27="私立",前提条件!$C$28,前提条件!$C$27),IF(BG8&lt;=21,IF(入力データ!$K$27="国公立",前提条件!$C$29,IF(入力データ!$K$27="私立理系",前提条件!$C$31,前提条件!$C$30))+IF(入力データ!$L$27="下宿",前提条件!$C$32,0)+IF(BG8=18,前提条件!$C$33,0),0)))))))*(1+前提条件!$C$13)^(BG$3-$B$3))</f>
        <v/>
      </c>
      <c r="BH24" s="352">
        <f>IF(BH$3="","",((SUM(入力データ!$C$58:$C$61)*12)+IF(BH6="",0,IF(BH6&lt;=5,IF(入力データ!$G$25="私立",前提条件!$C$22,前提条件!$C$21),IF(BH6&lt;=11,IF(入力データ!$H$25="私立",前提条件!$C$24,前提条件!$C$23),IF(BH6&lt;=14,IF(入力データ!$I$25="私立",前提条件!$C$26,前提条件!$C$25),IF(BH6&lt;=17,IF(入力データ!$J$25="私立",前提条件!$C$28,前提条件!$C$27),IF(BH6&lt;=21,IF(入力データ!$K$25="国公立",前提条件!$C$29,IF(入力データ!$K$25="私立理系",前提条件!$C$31,前提条件!$C$30))+IF(入力データ!$L$25="下宿",前提条件!$C$32,0)+IF(BH6=18,前提条件!$C$33,0),0))))))+IF(BH7="",0,IF(BH7&lt;=5,IF(入力データ!$G$26="私立",前提条件!$C$22,前提条件!$C$21),IF(BH7&lt;=11,IF(入力データ!$H$26="私立",前提条件!$C$24,前提条件!$C$23),IF(BH7&lt;=14,IF(入力データ!$I$26="私立",前提条件!$C$26,前提条件!$C$25),IF(BH7&lt;=17,IF(入力データ!$J$26="私立",前提条件!$C$28,前提条件!$C$27),IF(BH7&lt;=21,IF(入力データ!$K$26="国公立",前提条件!$C$29,IF(入力データ!$K$26="私立理系",前提条件!$C$31,前提条件!$C$30))+IF(入力データ!$L$26="下宿",前提条件!$C$32,0)+IF(BH7=18,前提条件!$C$33,0),0))))))+IF(BH8="",0,IF(BH8&lt;=5,IF(入力データ!$G$27="私立",前提条件!$C$22,前提条件!$C$21),IF(BH8&lt;=11,IF(入力データ!$H$27="私立",前提条件!$C$24,前提条件!$C$23),IF(BH8&lt;=14,IF(入力データ!$I$27="私立",前提条件!$C$26,前提条件!$C$25),IF(BH8&lt;=17,IF(入力データ!$J$27="私立",前提条件!$C$28,前提条件!$C$27),IF(BH8&lt;=21,IF(入力データ!$K$27="国公立",前提条件!$C$29,IF(入力データ!$K$27="私立理系",前提条件!$C$31,前提条件!$C$30))+IF(入力データ!$L$27="下宿",前提条件!$C$32,0)+IF(BH8=18,前提条件!$C$33,0),0)))))))*(1+前提条件!$C$13)^(BH$3-$B$3))</f>
        <v/>
      </c>
      <c r="BI24" s="352">
        <f>IF(BI$3="","",((SUM(入力データ!$C$58:$C$61)*12)+IF(BI6="",0,IF(BI6&lt;=5,IF(入力データ!$G$25="私立",前提条件!$C$22,前提条件!$C$21),IF(BI6&lt;=11,IF(入力データ!$H$25="私立",前提条件!$C$24,前提条件!$C$23),IF(BI6&lt;=14,IF(入力データ!$I$25="私立",前提条件!$C$26,前提条件!$C$25),IF(BI6&lt;=17,IF(入力データ!$J$25="私立",前提条件!$C$28,前提条件!$C$27),IF(BI6&lt;=21,IF(入力データ!$K$25="国公立",前提条件!$C$29,IF(入力データ!$K$25="私立理系",前提条件!$C$31,前提条件!$C$30))+IF(入力データ!$L$25="下宿",前提条件!$C$32,0)+IF(BI6=18,前提条件!$C$33,0),0))))))+IF(BI7="",0,IF(BI7&lt;=5,IF(入力データ!$G$26="私立",前提条件!$C$22,前提条件!$C$21),IF(BI7&lt;=11,IF(入力データ!$H$26="私立",前提条件!$C$24,前提条件!$C$23),IF(BI7&lt;=14,IF(入力データ!$I$26="私立",前提条件!$C$26,前提条件!$C$25),IF(BI7&lt;=17,IF(入力データ!$J$26="私立",前提条件!$C$28,前提条件!$C$27),IF(BI7&lt;=21,IF(入力データ!$K$26="国公立",前提条件!$C$29,IF(入力データ!$K$26="私立理系",前提条件!$C$31,前提条件!$C$30))+IF(入力データ!$L$26="下宿",前提条件!$C$32,0)+IF(BI7=18,前提条件!$C$33,0),0))))))+IF(BI8="",0,IF(BI8&lt;=5,IF(入力データ!$G$27="私立",前提条件!$C$22,前提条件!$C$21),IF(BI8&lt;=11,IF(入力データ!$H$27="私立",前提条件!$C$24,前提条件!$C$23),IF(BI8&lt;=14,IF(入力データ!$I$27="私立",前提条件!$C$26,前提条件!$C$25),IF(BI8&lt;=17,IF(入力データ!$J$27="私立",前提条件!$C$28,前提条件!$C$27),IF(BI8&lt;=21,IF(入力データ!$K$27="国公立",前提条件!$C$29,IF(入力データ!$K$27="私立理系",前提条件!$C$31,前提条件!$C$30))+IF(入力データ!$L$27="下宿",前提条件!$C$32,0)+IF(BI8=18,前提条件!$C$33,0),0)))))))*(1+前提条件!$C$13)^(BI$3-$B$3))</f>
        <v/>
      </c>
      <c r="BJ24" s="352">
        <f>IF(BJ$3="","",((SUM(入力データ!$C$58:$C$61)*12)+IF(BJ6="",0,IF(BJ6&lt;=5,IF(入力データ!$G$25="私立",前提条件!$C$22,前提条件!$C$21),IF(BJ6&lt;=11,IF(入力データ!$H$25="私立",前提条件!$C$24,前提条件!$C$23),IF(BJ6&lt;=14,IF(入力データ!$I$25="私立",前提条件!$C$26,前提条件!$C$25),IF(BJ6&lt;=17,IF(入力データ!$J$25="私立",前提条件!$C$28,前提条件!$C$27),IF(BJ6&lt;=21,IF(入力データ!$K$25="国公立",前提条件!$C$29,IF(入力データ!$K$25="私立理系",前提条件!$C$31,前提条件!$C$30))+IF(入力データ!$L$25="下宿",前提条件!$C$32,0)+IF(BJ6=18,前提条件!$C$33,0),0))))))+IF(BJ7="",0,IF(BJ7&lt;=5,IF(入力データ!$G$26="私立",前提条件!$C$22,前提条件!$C$21),IF(BJ7&lt;=11,IF(入力データ!$H$26="私立",前提条件!$C$24,前提条件!$C$23),IF(BJ7&lt;=14,IF(入力データ!$I$26="私立",前提条件!$C$26,前提条件!$C$25),IF(BJ7&lt;=17,IF(入力データ!$J$26="私立",前提条件!$C$28,前提条件!$C$27),IF(BJ7&lt;=21,IF(入力データ!$K$26="国公立",前提条件!$C$29,IF(入力データ!$K$26="私立理系",前提条件!$C$31,前提条件!$C$30))+IF(入力データ!$L$26="下宿",前提条件!$C$32,0)+IF(BJ7=18,前提条件!$C$33,0),0))))))+IF(BJ8="",0,IF(BJ8&lt;=5,IF(入力データ!$G$27="私立",前提条件!$C$22,前提条件!$C$21),IF(BJ8&lt;=11,IF(入力データ!$H$27="私立",前提条件!$C$24,前提条件!$C$23),IF(BJ8&lt;=14,IF(入力データ!$I$27="私立",前提条件!$C$26,前提条件!$C$25),IF(BJ8&lt;=17,IF(入力データ!$J$27="私立",前提条件!$C$28,前提条件!$C$27),IF(BJ8&lt;=21,IF(入力データ!$K$27="国公立",前提条件!$C$29,IF(入力データ!$K$27="私立理系",前提条件!$C$31,前提条件!$C$30))+IF(入力データ!$L$27="下宿",前提条件!$C$32,0)+IF(BJ8=18,前提条件!$C$33,0),0)))))))*(1+前提条件!$C$13)^(BJ$3-$B$3))</f>
        <v/>
      </c>
      <c r="BK24" s="352">
        <f>IF(BK$3="","",((SUM(入力データ!$C$58:$C$61)*12)+IF(BK6="",0,IF(BK6&lt;=5,IF(入力データ!$G$25="私立",前提条件!$C$22,前提条件!$C$21),IF(BK6&lt;=11,IF(入力データ!$H$25="私立",前提条件!$C$24,前提条件!$C$23),IF(BK6&lt;=14,IF(入力データ!$I$25="私立",前提条件!$C$26,前提条件!$C$25),IF(BK6&lt;=17,IF(入力データ!$J$25="私立",前提条件!$C$28,前提条件!$C$27),IF(BK6&lt;=21,IF(入力データ!$K$25="国公立",前提条件!$C$29,IF(入力データ!$K$25="私立理系",前提条件!$C$31,前提条件!$C$30))+IF(入力データ!$L$25="下宿",前提条件!$C$32,0)+IF(BK6=18,前提条件!$C$33,0),0))))))+IF(BK7="",0,IF(BK7&lt;=5,IF(入力データ!$G$26="私立",前提条件!$C$22,前提条件!$C$21),IF(BK7&lt;=11,IF(入力データ!$H$26="私立",前提条件!$C$24,前提条件!$C$23),IF(BK7&lt;=14,IF(入力データ!$I$26="私立",前提条件!$C$26,前提条件!$C$25),IF(BK7&lt;=17,IF(入力データ!$J$26="私立",前提条件!$C$28,前提条件!$C$27),IF(BK7&lt;=21,IF(入力データ!$K$26="国公立",前提条件!$C$29,IF(入力データ!$K$26="私立理系",前提条件!$C$31,前提条件!$C$30))+IF(入力データ!$L$26="下宿",前提条件!$C$32,0)+IF(BK7=18,前提条件!$C$33,0),0))))))+IF(BK8="",0,IF(BK8&lt;=5,IF(入力データ!$G$27="私立",前提条件!$C$22,前提条件!$C$21),IF(BK8&lt;=11,IF(入力データ!$H$27="私立",前提条件!$C$24,前提条件!$C$23),IF(BK8&lt;=14,IF(入力データ!$I$27="私立",前提条件!$C$26,前提条件!$C$25),IF(BK8&lt;=17,IF(入力データ!$J$27="私立",前提条件!$C$28,前提条件!$C$27),IF(BK8&lt;=21,IF(入力データ!$K$27="国公立",前提条件!$C$29,IF(入力データ!$K$27="私立理系",前提条件!$C$31,前提条件!$C$30))+IF(入力データ!$L$27="下宿",前提条件!$C$32,0)+IF(BK8=18,前提条件!$C$33,0),0)))))))*(1+前提条件!$C$13)^(BK$3-$B$3))</f>
        <v/>
      </c>
      <c r="BL24" s="352">
        <f>IF(BL$3="","",((SUM(入力データ!$C$58:$C$61)*12)+IF(BL6="",0,IF(BL6&lt;=5,IF(入力データ!$G$25="私立",前提条件!$C$22,前提条件!$C$21),IF(BL6&lt;=11,IF(入力データ!$H$25="私立",前提条件!$C$24,前提条件!$C$23),IF(BL6&lt;=14,IF(入力データ!$I$25="私立",前提条件!$C$26,前提条件!$C$25),IF(BL6&lt;=17,IF(入力データ!$J$25="私立",前提条件!$C$28,前提条件!$C$27),IF(BL6&lt;=21,IF(入力データ!$K$25="国公立",前提条件!$C$29,IF(入力データ!$K$25="私立理系",前提条件!$C$31,前提条件!$C$30))+IF(入力データ!$L$25="下宿",前提条件!$C$32,0)+IF(BL6=18,前提条件!$C$33,0),0))))))+IF(BL7="",0,IF(BL7&lt;=5,IF(入力データ!$G$26="私立",前提条件!$C$22,前提条件!$C$21),IF(BL7&lt;=11,IF(入力データ!$H$26="私立",前提条件!$C$24,前提条件!$C$23),IF(BL7&lt;=14,IF(入力データ!$I$26="私立",前提条件!$C$26,前提条件!$C$25),IF(BL7&lt;=17,IF(入力データ!$J$26="私立",前提条件!$C$28,前提条件!$C$27),IF(BL7&lt;=21,IF(入力データ!$K$26="国公立",前提条件!$C$29,IF(入力データ!$K$26="私立理系",前提条件!$C$31,前提条件!$C$30))+IF(入力データ!$L$26="下宿",前提条件!$C$32,0)+IF(BL7=18,前提条件!$C$33,0),0))))))+IF(BL8="",0,IF(BL8&lt;=5,IF(入力データ!$G$27="私立",前提条件!$C$22,前提条件!$C$21),IF(BL8&lt;=11,IF(入力データ!$H$27="私立",前提条件!$C$24,前提条件!$C$23),IF(BL8&lt;=14,IF(入力データ!$I$27="私立",前提条件!$C$26,前提条件!$C$25),IF(BL8&lt;=17,IF(入力データ!$J$27="私立",前提条件!$C$28,前提条件!$C$27),IF(BL8&lt;=21,IF(入力データ!$K$27="国公立",前提条件!$C$29,IF(入力データ!$K$27="私立理系",前提条件!$C$31,前提条件!$C$30))+IF(入力データ!$L$27="下宿",前提条件!$C$32,0)+IF(BL8=18,前提条件!$C$33,0),0)))))))*(1+前提条件!$C$13)^(BL$3-$B$3))</f>
        <v/>
      </c>
      <c r="BM24" s="352">
        <f>IF(BM$3="","",((SUM(入力データ!$C$58:$C$61)*12)+IF(BM6="",0,IF(BM6&lt;=5,IF(入力データ!$G$25="私立",前提条件!$C$22,前提条件!$C$21),IF(BM6&lt;=11,IF(入力データ!$H$25="私立",前提条件!$C$24,前提条件!$C$23),IF(BM6&lt;=14,IF(入力データ!$I$25="私立",前提条件!$C$26,前提条件!$C$25),IF(BM6&lt;=17,IF(入力データ!$J$25="私立",前提条件!$C$28,前提条件!$C$27),IF(BM6&lt;=21,IF(入力データ!$K$25="国公立",前提条件!$C$29,IF(入力データ!$K$25="私立理系",前提条件!$C$31,前提条件!$C$30))+IF(入力データ!$L$25="下宿",前提条件!$C$32,0)+IF(BM6=18,前提条件!$C$33,0),0))))))+IF(BM7="",0,IF(BM7&lt;=5,IF(入力データ!$G$26="私立",前提条件!$C$22,前提条件!$C$21),IF(BM7&lt;=11,IF(入力データ!$H$26="私立",前提条件!$C$24,前提条件!$C$23),IF(BM7&lt;=14,IF(入力データ!$I$26="私立",前提条件!$C$26,前提条件!$C$25),IF(BM7&lt;=17,IF(入力データ!$J$26="私立",前提条件!$C$28,前提条件!$C$27),IF(BM7&lt;=21,IF(入力データ!$K$26="国公立",前提条件!$C$29,IF(入力データ!$K$26="私立理系",前提条件!$C$31,前提条件!$C$30))+IF(入力データ!$L$26="下宿",前提条件!$C$32,0)+IF(BM7=18,前提条件!$C$33,0),0))))))+IF(BM8="",0,IF(BM8&lt;=5,IF(入力データ!$G$27="私立",前提条件!$C$22,前提条件!$C$21),IF(BM8&lt;=11,IF(入力データ!$H$27="私立",前提条件!$C$24,前提条件!$C$23),IF(BM8&lt;=14,IF(入力データ!$I$27="私立",前提条件!$C$26,前提条件!$C$25),IF(BM8&lt;=17,IF(入力データ!$J$27="私立",前提条件!$C$28,前提条件!$C$27),IF(BM8&lt;=21,IF(入力データ!$K$27="国公立",前提条件!$C$29,IF(入力データ!$K$27="私立理系",前提条件!$C$31,前提条件!$C$30))+IF(入力データ!$L$27="下宿",前提条件!$C$32,0)+IF(BM8=18,前提条件!$C$33,0),0)))))))*(1+前提条件!$C$13)^(BM$3-$B$3))</f>
        <v/>
      </c>
      <c r="BN24" s="352">
        <f>IF(BN$3="","",((SUM(入力データ!$C$58:$C$61)*12)+IF(BN6="",0,IF(BN6&lt;=5,IF(入力データ!$G$25="私立",前提条件!$C$22,前提条件!$C$21),IF(BN6&lt;=11,IF(入力データ!$H$25="私立",前提条件!$C$24,前提条件!$C$23),IF(BN6&lt;=14,IF(入力データ!$I$25="私立",前提条件!$C$26,前提条件!$C$25),IF(BN6&lt;=17,IF(入力データ!$J$25="私立",前提条件!$C$28,前提条件!$C$27),IF(BN6&lt;=21,IF(入力データ!$K$25="国公立",前提条件!$C$29,IF(入力データ!$K$25="私立理系",前提条件!$C$31,前提条件!$C$30))+IF(入力データ!$L$25="下宿",前提条件!$C$32,0)+IF(BN6=18,前提条件!$C$33,0),0))))))+IF(BN7="",0,IF(BN7&lt;=5,IF(入力データ!$G$26="私立",前提条件!$C$22,前提条件!$C$21),IF(BN7&lt;=11,IF(入力データ!$H$26="私立",前提条件!$C$24,前提条件!$C$23),IF(BN7&lt;=14,IF(入力データ!$I$26="私立",前提条件!$C$26,前提条件!$C$25),IF(BN7&lt;=17,IF(入力データ!$J$26="私立",前提条件!$C$28,前提条件!$C$27),IF(BN7&lt;=21,IF(入力データ!$K$26="国公立",前提条件!$C$29,IF(入力データ!$K$26="私立理系",前提条件!$C$31,前提条件!$C$30))+IF(入力データ!$L$26="下宿",前提条件!$C$32,0)+IF(BN7=18,前提条件!$C$33,0),0))))))+IF(BN8="",0,IF(BN8&lt;=5,IF(入力データ!$G$27="私立",前提条件!$C$22,前提条件!$C$21),IF(BN8&lt;=11,IF(入力データ!$H$27="私立",前提条件!$C$24,前提条件!$C$23),IF(BN8&lt;=14,IF(入力データ!$I$27="私立",前提条件!$C$26,前提条件!$C$25),IF(BN8&lt;=17,IF(入力データ!$J$27="私立",前提条件!$C$28,前提条件!$C$27),IF(BN8&lt;=21,IF(入力データ!$K$27="国公立",前提条件!$C$29,IF(入力データ!$K$27="私立理系",前提条件!$C$31,前提条件!$C$30))+IF(入力データ!$L$27="下宿",前提条件!$C$32,0)+IF(BN8=18,前提条件!$C$33,0),0)))))))*(1+前提条件!$C$13)^(BN$3-$B$3))</f>
        <v/>
      </c>
      <c r="BO24" s="352">
        <f>IF(BO$3="","",((SUM(入力データ!$C$58:$C$61)*12)+IF(BO6="",0,IF(BO6&lt;=5,IF(入力データ!$G$25="私立",前提条件!$C$22,前提条件!$C$21),IF(BO6&lt;=11,IF(入力データ!$H$25="私立",前提条件!$C$24,前提条件!$C$23),IF(BO6&lt;=14,IF(入力データ!$I$25="私立",前提条件!$C$26,前提条件!$C$25),IF(BO6&lt;=17,IF(入力データ!$J$25="私立",前提条件!$C$28,前提条件!$C$27),IF(BO6&lt;=21,IF(入力データ!$K$25="国公立",前提条件!$C$29,IF(入力データ!$K$25="私立理系",前提条件!$C$31,前提条件!$C$30))+IF(入力データ!$L$25="下宿",前提条件!$C$32,0)+IF(BO6=18,前提条件!$C$33,0),0))))))+IF(BO7="",0,IF(BO7&lt;=5,IF(入力データ!$G$26="私立",前提条件!$C$22,前提条件!$C$21),IF(BO7&lt;=11,IF(入力データ!$H$26="私立",前提条件!$C$24,前提条件!$C$23),IF(BO7&lt;=14,IF(入力データ!$I$26="私立",前提条件!$C$26,前提条件!$C$25),IF(BO7&lt;=17,IF(入力データ!$J$26="私立",前提条件!$C$28,前提条件!$C$27),IF(BO7&lt;=21,IF(入力データ!$K$26="国公立",前提条件!$C$29,IF(入力データ!$K$26="私立理系",前提条件!$C$31,前提条件!$C$30))+IF(入力データ!$L$26="下宿",前提条件!$C$32,0)+IF(BO7=18,前提条件!$C$33,0),0))))))+IF(BO8="",0,IF(BO8&lt;=5,IF(入力データ!$G$27="私立",前提条件!$C$22,前提条件!$C$21),IF(BO8&lt;=11,IF(入力データ!$H$27="私立",前提条件!$C$24,前提条件!$C$23),IF(BO8&lt;=14,IF(入力データ!$I$27="私立",前提条件!$C$26,前提条件!$C$25),IF(BO8&lt;=17,IF(入力データ!$J$27="私立",前提条件!$C$28,前提条件!$C$27),IF(BO8&lt;=21,IF(入力データ!$K$27="国公立",前提条件!$C$29,IF(入力データ!$K$27="私立理系",前提条件!$C$31,前提条件!$C$30))+IF(入力データ!$L$27="下宿",前提条件!$C$32,0)+IF(BO8=18,前提条件!$C$33,0),0)))))))*(1+前提条件!$C$13)^(BO$3-$B$3))</f>
        <v/>
      </c>
      <c r="BP24" s="352">
        <f>IF(BP$3="","",((SUM(入力データ!$C$58:$C$61)*12)+IF(BP6="",0,IF(BP6&lt;=5,IF(入力データ!$G$25="私立",前提条件!$C$22,前提条件!$C$21),IF(BP6&lt;=11,IF(入力データ!$H$25="私立",前提条件!$C$24,前提条件!$C$23),IF(BP6&lt;=14,IF(入力データ!$I$25="私立",前提条件!$C$26,前提条件!$C$25),IF(BP6&lt;=17,IF(入力データ!$J$25="私立",前提条件!$C$28,前提条件!$C$27),IF(BP6&lt;=21,IF(入力データ!$K$25="国公立",前提条件!$C$29,IF(入力データ!$K$25="私立理系",前提条件!$C$31,前提条件!$C$30))+IF(入力データ!$L$25="下宿",前提条件!$C$32,0)+IF(BP6=18,前提条件!$C$33,0),0))))))+IF(BP7="",0,IF(BP7&lt;=5,IF(入力データ!$G$26="私立",前提条件!$C$22,前提条件!$C$21),IF(BP7&lt;=11,IF(入力データ!$H$26="私立",前提条件!$C$24,前提条件!$C$23),IF(BP7&lt;=14,IF(入力データ!$I$26="私立",前提条件!$C$26,前提条件!$C$25),IF(BP7&lt;=17,IF(入力データ!$J$26="私立",前提条件!$C$28,前提条件!$C$27),IF(BP7&lt;=21,IF(入力データ!$K$26="国公立",前提条件!$C$29,IF(入力データ!$K$26="私立理系",前提条件!$C$31,前提条件!$C$30))+IF(入力データ!$L$26="下宿",前提条件!$C$32,0)+IF(BP7=18,前提条件!$C$33,0),0))))))+IF(BP8="",0,IF(BP8&lt;=5,IF(入力データ!$G$27="私立",前提条件!$C$22,前提条件!$C$21),IF(BP8&lt;=11,IF(入力データ!$H$27="私立",前提条件!$C$24,前提条件!$C$23),IF(BP8&lt;=14,IF(入力データ!$I$27="私立",前提条件!$C$26,前提条件!$C$25),IF(BP8&lt;=17,IF(入力データ!$J$27="私立",前提条件!$C$28,前提条件!$C$27),IF(BP8&lt;=21,IF(入力データ!$K$27="国公立",前提条件!$C$29,IF(入力データ!$K$27="私立理系",前提条件!$C$31,前提条件!$C$30))+IF(入力データ!$L$27="下宿",前提条件!$C$32,0)+IF(BP8=18,前提条件!$C$33,0),0)))))))*(1+前提条件!$C$13)^(BP$3-$B$3))</f>
        <v/>
      </c>
      <c r="BQ24" s="352">
        <f>IF(BQ$3="","",((SUM(入力データ!$C$58:$C$61)*12)+IF(BQ6="",0,IF(BQ6&lt;=5,IF(入力データ!$G$25="私立",前提条件!$C$22,前提条件!$C$21),IF(BQ6&lt;=11,IF(入力データ!$H$25="私立",前提条件!$C$24,前提条件!$C$23),IF(BQ6&lt;=14,IF(入力データ!$I$25="私立",前提条件!$C$26,前提条件!$C$25),IF(BQ6&lt;=17,IF(入力データ!$J$25="私立",前提条件!$C$28,前提条件!$C$27),IF(BQ6&lt;=21,IF(入力データ!$K$25="国公立",前提条件!$C$29,IF(入力データ!$K$25="私立理系",前提条件!$C$31,前提条件!$C$30))+IF(入力データ!$L$25="下宿",前提条件!$C$32,0)+IF(BQ6=18,前提条件!$C$33,0),0))))))+IF(BQ7="",0,IF(BQ7&lt;=5,IF(入力データ!$G$26="私立",前提条件!$C$22,前提条件!$C$21),IF(BQ7&lt;=11,IF(入力データ!$H$26="私立",前提条件!$C$24,前提条件!$C$23),IF(BQ7&lt;=14,IF(入力データ!$I$26="私立",前提条件!$C$26,前提条件!$C$25),IF(BQ7&lt;=17,IF(入力データ!$J$26="私立",前提条件!$C$28,前提条件!$C$27),IF(BQ7&lt;=21,IF(入力データ!$K$26="国公立",前提条件!$C$29,IF(入力データ!$K$26="私立理系",前提条件!$C$31,前提条件!$C$30))+IF(入力データ!$L$26="下宿",前提条件!$C$32,0)+IF(BQ7=18,前提条件!$C$33,0),0))))))+IF(BQ8="",0,IF(BQ8&lt;=5,IF(入力データ!$G$27="私立",前提条件!$C$22,前提条件!$C$21),IF(BQ8&lt;=11,IF(入力データ!$H$27="私立",前提条件!$C$24,前提条件!$C$23),IF(BQ8&lt;=14,IF(入力データ!$I$27="私立",前提条件!$C$26,前提条件!$C$25),IF(BQ8&lt;=17,IF(入力データ!$J$27="私立",前提条件!$C$28,前提条件!$C$27),IF(BQ8&lt;=21,IF(入力データ!$K$27="国公立",前提条件!$C$29,IF(入力データ!$K$27="私立理系",前提条件!$C$31,前提条件!$C$30))+IF(入力データ!$L$27="下宿",前提条件!$C$32,0)+IF(BQ8=18,前提条件!$C$33,0),0)))))))*(1+前提条件!$C$13)^(BQ$3-$B$3))</f>
        <v/>
      </c>
      <c r="BR24" s="352">
        <f>IF(BR$3="","",((SUM(入力データ!$C$58:$C$61)*12)+IF(BR6="",0,IF(BR6&lt;=5,IF(入力データ!$G$25="私立",前提条件!$C$22,前提条件!$C$21),IF(BR6&lt;=11,IF(入力データ!$H$25="私立",前提条件!$C$24,前提条件!$C$23),IF(BR6&lt;=14,IF(入力データ!$I$25="私立",前提条件!$C$26,前提条件!$C$25),IF(BR6&lt;=17,IF(入力データ!$J$25="私立",前提条件!$C$28,前提条件!$C$27),IF(BR6&lt;=21,IF(入力データ!$K$25="国公立",前提条件!$C$29,IF(入力データ!$K$25="私立理系",前提条件!$C$31,前提条件!$C$30))+IF(入力データ!$L$25="下宿",前提条件!$C$32,0)+IF(BR6=18,前提条件!$C$33,0),0))))))+IF(BR7="",0,IF(BR7&lt;=5,IF(入力データ!$G$26="私立",前提条件!$C$22,前提条件!$C$21),IF(BR7&lt;=11,IF(入力データ!$H$26="私立",前提条件!$C$24,前提条件!$C$23),IF(BR7&lt;=14,IF(入力データ!$I$26="私立",前提条件!$C$26,前提条件!$C$25),IF(BR7&lt;=17,IF(入力データ!$J$26="私立",前提条件!$C$28,前提条件!$C$27),IF(BR7&lt;=21,IF(入力データ!$K$26="国公立",前提条件!$C$29,IF(入力データ!$K$26="私立理系",前提条件!$C$31,前提条件!$C$30))+IF(入力データ!$L$26="下宿",前提条件!$C$32,0)+IF(BR7=18,前提条件!$C$33,0),0))))))+IF(BR8="",0,IF(BR8&lt;=5,IF(入力データ!$G$27="私立",前提条件!$C$22,前提条件!$C$21),IF(BR8&lt;=11,IF(入力データ!$H$27="私立",前提条件!$C$24,前提条件!$C$23),IF(BR8&lt;=14,IF(入力データ!$I$27="私立",前提条件!$C$26,前提条件!$C$25),IF(BR8&lt;=17,IF(入力データ!$J$27="私立",前提条件!$C$28,前提条件!$C$27),IF(BR8&lt;=21,IF(入力データ!$K$27="国公立",前提条件!$C$29,IF(入力データ!$K$27="私立理系",前提条件!$C$31,前提条件!$C$30))+IF(入力データ!$L$27="下宿",前提条件!$C$32,0)+IF(BR8=18,前提条件!$C$33,0),0)))))))*(1+前提条件!$C$13)^(BR$3-$B$3))</f>
        <v/>
      </c>
      <c r="BS24" s="352">
        <f>IF(BS$3="","",((SUM(入力データ!$C$58:$C$61)*12)+IF(BS6="",0,IF(BS6&lt;=5,IF(入力データ!$G$25="私立",前提条件!$C$22,前提条件!$C$21),IF(BS6&lt;=11,IF(入力データ!$H$25="私立",前提条件!$C$24,前提条件!$C$23),IF(BS6&lt;=14,IF(入力データ!$I$25="私立",前提条件!$C$26,前提条件!$C$25),IF(BS6&lt;=17,IF(入力データ!$J$25="私立",前提条件!$C$28,前提条件!$C$27),IF(BS6&lt;=21,IF(入力データ!$K$25="国公立",前提条件!$C$29,IF(入力データ!$K$25="私立理系",前提条件!$C$31,前提条件!$C$30))+IF(入力データ!$L$25="下宿",前提条件!$C$32,0)+IF(BS6=18,前提条件!$C$33,0),0))))))+IF(BS7="",0,IF(BS7&lt;=5,IF(入力データ!$G$26="私立",前提条件!$C$22,前提条件!$C$21),IF(BS7&lt;=11,IF(入力データ!$H$26="私立",前提条件!$C$24,前提条件!$C$23),IF(BS7&lt;=14,IF(入力データ!$I$26="私立",前提条件!$C$26,前提条件!$C$25),IF(BS7&lt;=17,IF(入力データ!$J$26="私立",前提条件!$C$28,前提条件!$C$27),IF(BS7&lt;=21,IF(入力データ!$K$26="国公立",前提条件!$C$29,IF(入力データ!$K$26="私立理系",前提条件!$C$31,前提条件!$C$30))+IF(入力データ!$L$26="下宿",前提条件!$C$32,0)+IF(BS7=18,前提条件!$C$33,0),0))))))+IF(BS8="",0,IF(BS8&lt;=5,IF(入力データ!$G$27="私立",前提条件!$C$22,前提条件!$C$21),IF(BS8&lt;=11,IF(入力データ!$H$27="私立",前提条件!$C$24,前提条件!$C$23),IF(BS8&lt;=14,IF(入力データ!$I$27="私立",前提条件!$C$26,前提条件!$C$25),IF(BS8&lt;=17,IF(入力データ!$J$27="私立",前提条件!$C$28,前提条件!$C$27),IF(BS8&lt;=21,IF(入力データ!$K$27="国公立",前提条件!$C$29,IF(入力データ!$K$27="私立理系",前提条件!$C$31,前提条件!$C$30))+IF(入力データ!$L$27="下宿",前提条件!$C$32,0)+IF(BS8=18,前提条件!$C$33,0),0)))))))*(1+前提条件!$C$13)^(BS$3-$B$3))</f>
        <v/>
      </c>
      <c r="BT24" s="352">
        <f>IF(BT$3="","",((SUM(入力データ!$C$58:$C$61)*12)+IF(BT6="",0,IF(BT6&lt;=5,IF(入力データ!$G$25="私立",前提条件!$C$22,前提条件!$C$21),IF(BT6&lt;=11,IF(入力データ!$H$25="私立",前提条件!$C$24,前提条件!$C$23),IF(BT6&lt;=14,IF(入力データ!$I$25="私立",前提条件!$C$26,前提条件!$C$25),IF(BT6&lt;=17,IF(入力データ!$J$25="私立",前提条件!$C$28,前提条件!$C$27),IF(BT6&lt;=21,IF(入力データ!$K$25="国公立",前提条件!$C$29,IF(入力データ!$K$25="私立理系",前提条件!$C$31,前提条件!$C$30))+IF(入力データ!$L$25="下宿",前提条件!$C$32,0)+IF(BT6=18,前提条件!$C$33,0),0))))))+IF(BT7="",0,IF(BT7&lt;=5,IF(入力データ!$G$26="私立",前提条件!$C$22,前提条件!$C$21),IF(BT7&lt;=11,IF(入力データ!$H$26="私立",前提条件!$C$24,前提条件!$C$23),IF(BT7&lt;=14,IF(入力データ!$I$26="私立",前提条件!$C$26,前提条件!$C$25),IF(BT7&lt;=17,IF(入力データ!$J$26="私立",前提条件!$C$28,前提条件!$C$27),IF(BT7&lt;=21,IF(入力データ!$K$26="国公立",前提条件!$C$29,IF(入力データ!$K$26="私立理系",前提条件!$C$31,前提条件!$C$30))+IF(入力データ!$L$26="下宿",前提条件!$C$32,0)+IF(BT7=18,前提条件!$C$33,0),0))))))+IF(BT8="",0,IF(BT8&lt;=5,IF(入力データ!$G$27="私立",前提条件!$C$22,前提条件!$C$21),IF(BT8&lt;=11,IF(入力データ!$H$27="私立",前提条件!$C$24,前提条件!$C$23),IF(BT8&lt;=14,IF(入力データ!$I$27="私立",前提条件!$C$26,前提条件!$C$25),IF(BT8&lt;=17,IF(入力データ!$J$27="私立",前提条件!$C$28,前提条件!$C$27),IF(BT8&lt;=21,IF(入力データ!$K$27="国公立",前提条件!$C$29,IF(入力データ!$K$27="私立理系",前提条件!$C$31,前提条件!$C$30))+IF(入力データ!$L$27="下宿",前提条件!$C$32,0)+IF(BT8=18,前提条件!$C$33,0),0)))))))*(1+前提条件!$C$13)^(BT$3-$B$3))</f>
        <v/>
      </c>
      <c r="BU24" s="352">
        <f>IF(BU$3="","",((SUM(入力データ!$C$58:$C$61)*12)+IF(BU6="",0,IF(BU6&lt;=5,IF(入力データ!$G$25="私立",前提条件!$C$22,前提条件!$C$21),IF(BU6&lt;=11,IF(入力データ!$H$25="私立",前提条件!$C$24,前提条件!$C$23),IF(BU6&lt;=14,IF(入力データ!$I$25="私立",前提条件!$C$26,前提条件!$C$25),IF(BU6&lt;=17,IF(入力データ!$J$25="私立",前提条件!$C$28,前提条件!$C$27),IF(BU6&lt;=21,IF(入力データ!$K$25="国公立",前提条件!$C$29,IF(入力データ!$K$25="私立理系",前提条件!$C$31,前提条件!$C$30))+IF(入力データ!$L$25="下宿",前提条件!$C$32,0)+IF(BU6=18,前提条件!$C$33,0),0))))))+IF(BU7="",0,IF(BU7&lt;=5,IF(入力データ!$G$26="私立",前提条件!$C$22,前提条件!$C$21),IF(BU7&lt;=11,IF(入力データ!$H$26="私立",前提条件!$C$24,前提条件!$C$23),IF(BU7&lt;=14,IF(入力データ!$I$26="私立",前提条件!$C$26,前提条件!$C$25),IF(BU7&lt;=17,IF(入力データ!$J$26="私立",前提条件!$C$28,前提条件!$C$27),IF(BU7&lt;=21,IF(入力データ!$K$26="国公立",前提条件!$C$29,IF(入力データ!$K$26="私立理系",前提条件!$C$31,前提条件!$C$30))+IF(入力データ!$L$26="下宿",前提条件!$C$32,0)+IF(BU7=18,前提条件!$C$33,0),0))))))+IF(BU8="",0,IF(BU8&lt;=5,IF(入力データ!$G$27="私立",前提条件!$C$22,前提条件!$C$21),IF(BU8&lt;=11,IF(入力データ!$H$27="私立",前提条件!$C$24,前提条件!$C$23),IF(BU8&lt;=14,IF(入力データ!$I$27="私立",前提条件!$C$26,前提条件!$C$25),IF(BU8&lt;=17,IF(入力データ!$J$27="私立",前提条件!$C$28,前提条件!$C$27),IF(BU8&lt;=21,IF(入力データ!$K$27="国公立",前提条件!$C$29,IF(入力データ!$K$27="私立理系",前提条件!$C$31,前提条件!$C$30))+IF(入力データ!$L$27="下宿",前提条件!$C$32,0)+IF(BU8=18,前提条件!$C$33,0),0)))))))*(1+前提条件!$C$13)^(BU$3-$B$3))</f>
        <v/>
      </c>
      <c r="BV24" s="352">
        <f>IF(BV$3="","",((SUM(入力データ!$C$58:$C$61)*12)+IF(BV6="",0,IF(BV6&lt;=5,IF(入力データ!$G$25="私立",前提条件!$C$22,前提条件!$C$21),IF(BV6&lt;=11,IF(入力データ!$H$25="私立",前提条件!$C$24,前提条件!$C$23),IF(BV6&lt;=14,IF(入力データ!$I$25="私立",前提条件!$C$26,前提条件!$C$25),IF(BV6&lt;=17,IF(入力データ!$J$25="私立",前提条件!$C$28,前提条件!$C$27),IF(BV6&lt;=21,IF(入力データ!$K$25="国公立",前提条件!$C$29,IF(入力データ!$K$25="私立理系",前提条件!$C$31,前提条件!$C$30))+IF(入力データ!$L$25="下宿",前提条件!$C$32,0)+IF(BV6=18,前提条件!$C$33,0),0))))))+IF(BV7="",0,IF(BV7&lt;=5,IF(入力データ!$G$26="私立",前提条件!$C$22,前提条件!$C$21),IF(BV7&lt;=11,IF(入力データ!$H$26="私立",前提条件!$C$24,前提条件!$C$23),IF(BV7&lt;=14,IF(入力データ!$I$26="私立",前提条件!$C$26,前提条件!$C$25),IF(BV7&lt;=17,IF(入力データ!$J$26="私立",前提条件!$C$28,前提条件!$C$27),IF(BV7&lt;=21,IF(入力データ!$K$26="国公立",前提条件!$C$29,IF(入力データ!$K$26="私立理系",前提条件!$C$31,前提条件!$C$30))+IF(入力データ!$L$26="下宿",前提条件!$C$32,0)+IF(BV7=18,前提条件!$C$33,0),0))))))+IF(BV8="",0,IF(BV8&lt;=5,IF(入力データ!$G$27="私立",前提条件!$C$22,前提条件!$C$21),IF(BV8&lt;=11,IF(入力データ!$H$27="私立",前提条件!$C$24,前提条件!$C$23),IF(BV8&lt;=14,IF(入力データ!$I$27="私立",前提条件!$C$26,前提条件!$C$25),IF(BV8&lt;=17,IF(入力データ!$J$27="私立",前提条件!$C$28,前提条件!$C$27),IF(BV8&lt;=21,IF(入力データ!$K$27="国公立",前提条件!$C$29,IF(入力データ!$K$27="私立理系",前提条件!$C$31,前提条件!$C$30))+IF(入力データ!$L$27="下宿",前提条件!$C$32,0)+IF(BV8=18,前提条件!$C$33,0),0)))))))*(1+前提条件!$C$13)^(BV$3-$B$3))</f>
        <v/>
      </c>
      <c r="BW24" s="352">
        <f>IF(BW$3="","",((SUM(入力データ!$C$58:$C$61)*12)+IF(BW6="",0,IF(BW6&lt;=5,IF(入力データ!$G$25="私立",前提条件!$C$22,前提条件!$C$21),IF(BW6&lt;=11,IF(入力データ!$H$25="私立",前提条件!$C$24,前提条件!$C$23),IF(BW6&lt;=14,IF(入力データ!$I$25="私立",前提条件!$C$26,前提条件!$C$25),IF(BW6&lt;=17,IF(入力データ!$J$25="私立",前提条件!$C$28,前提条件!$C$27),IF(BW6&lt;=21,IF(入力データ!$K$25="国公立",前提条件!$C$29,IF(入力データ!$K$25="私立理系",前提条件!$C$31,前提条件!$C$30))+IF(入力データ!$L$25="下宿",前提条件!$C$32,0)+IF(BW6=18,前提条件!$C$33,0),0))))))+IF(BW7="",0,IF(BW7&lt;=5,IF(入力データ!$G$26="私立",前提条件!$C$22,前提条件!$C$21),IF(BW7&lt;=11,IF(入力データ!$H$26="私立",前提条件!$C$24,前提条件!$C$23),IF(BW7&lt;=14,IF(入力データ!$I$26="私立",前提条件!$C$26,前提条件!$C$25),IF(BW7&lt;=17,IF(入力データ!$J$26="私立",前提条件!$C$28,前提条件!$C$27),IF(BW7&lt;=21,IF(入力データ!$K$26="国公立",前提条件!$C$29,IF(入力データ!$K$26="私立理系",前提条件!$C$31,前提条件!$C$30))+IF(入力データ!$L$26="下宿",前提条件!$C$32,0)+IF(BW7=18,前提条件!$C$33,0),0))))))+IF(BW8="",0,IF(BW8&lt;=5,IF(入力データ!$G$27="私立",前提条件!$C$22,前提条件!$C$21),IF(BW8&lt;=11,IF(入力データ!$H$27="私立",前提条件!$C$24,前提条件!$C$23),IF(BW8&lt;=14,IF(入力データ!$I$27="私立",前提条件!$C$26,前提条件!$C$25),IF(BW8&lt;=17,IF(入力データ!$J$27="私立",前提条件!$C$28,前提条件!$C$27),IF(BW8&lt;=21,IF(入力データ!$K$27="国公立",前提条件!$C$29,IF(入力データ!$K$27="私立理系",前提条件!$C$31,前提条件!$C$30))+IF(入力データ!$L$27="下宿",前提条件!$C$32,0)+IF(BW8=18,前提条件!$C$33,0),0)))))))*(1+前提条件!$C$13)^(BW$3-$B$3))</f>
        <v/>
      </c>
      <c r="BX24" s="352">
        <f>IF(BX$3="","",((SUM(入力データ!$C$58:$C$61)*12)+IF(BX6="",0,IF(BX6&lt;=5,IF(入力データ!$G$25="私立",前提条件!$C$22,前提条件!$C$21),IF(BX6&lt;=11,IF(入力データ!$H$25="私立",前提条件!$C$24,前提条件!$C$23),IF(BX6&lt;=14,IF(入力データ!$I$25="私立",前提条件!$C$26,前提条件!$C$25),IF(BX6&lt;=17,IF(入力データ!$J$25="私立",前提条件!$C$28,前提条件!$C$27),IF(BX6&lt;=21,IF(入力データ!$K$25="国公立",前提条件!$C$29,IF(入力データ!$K$25="私立理系",前提条件!$C$31,前提条件!$C$30))+IF(入力データ!$L$25="下宿",前提条件!$C$32,0)+IF(BX6=18,前提条件!$C$33,0),0))))))+IF(BX7="",0,IF(BX7&lt;=5,IF(入力データ!$G$26="私立",前提条件!$C$22,前提条件!$C$21),IF(BX7&lt;=11,IF(入力データ!$H$26="私立",前提条件!$C$24,前提条件!$C$23),IF(BX7&lt;=14,IF(入力データ!$I$26="私立",前提条件!$C$26,前提条件!$C$25),IF(BX7&lt;=17,IF(入力データ!$J$26="私立",前提条件!$C$28,前提条件!$C$27),IF(BX7&lt;=21,IF(入力データ!$K$26="国公立",前提条件!$C$29,IF(入力データ!$K$26="私立理系",前提条件!$C$31,前提条件!$C$30))+IF(入力データ!$L$26="下宿",前提条件!$C$32,0)+IF(BX7=18,前提条件!$C$33,0),0))))))+IF(BX8="",0,IF(BX8&lt;=5,IF(入力データ!$G$27="私立",前提条件!$C$22,前提条件!$C$21),IF(BX8&lt;=11,IF(入力データ!$H$27="私立",前提条件!$C$24,前提条件!$C$23),IF(BX8&lt;=14,IF(入力データ!$I$27="私立",前提条件!$C$26,前提条件!$C$25),IF(BX8&lt;=17,IF(入力データ!$J$27="私立",前提条件!$C$28,前提条件!$C$27),IF(BX8&lt;=21,IF(入力データ!$K$27="国公立",前提条件!$C$29,IF(入力データ!$K$27="私立理系",前提条件!$C$31,前提条件!$C$30))+IF(入力データ!$L$27="下宿",前提条件!$C$32,0)+IF(BX8=18,前提条件!$C$33,0),0)))))))*(1+前提条件!$C$13)^(BX$3-$B$3))</f>
        <v/>
      </c>
      <c r="BY24" s="352">
        <f>IF(BY$3="","",((SUM(入力データ!$C$58:$C$61)*12)+IF(BY6="",0,IF(BY6&lt;=5,IF(入力データ!$G$25="私立",前提条件!$C$22,前提条件!$C$21),IF(BY6&lt;=11,IF(入力データ!$H$25="私立",前提条件!$C$24,前提条件!$C$23),IF(BY6&lt;=14,IF(入力データ!$I$25="私立",前提条件!$C$26,前提条件!$C$25),IF(BY6&lt;=17,IF(入力データ!$J$25="私立",前提条件!$C$28,前提条件!$C$27),IF(BY6&lt;=21,IF(入力データ!$K$25="国公立",前提条件!$C$29,IF(入力データ!$K$25="私立理系",前提条件!$C$31,前提条件!$C$30))+IF(入力データ!$L$25="下宿",前提条件!$C$32,0)+IF(BY6=18,前提条件!$C$33,0),0))))))+IF(BY7="",0,IF(BY7&lt;=5,IF(入力データ!$G$26="私立",前提条件!$C$22,前提条件!$C$21),IF(BY7&lt;=11,IF(入力データ!$H$26="私立",前提条件!$C$24,前提条件!$C$23),IF(BY7&lt;=14,IF(入力データ!$I$26="私立",前提条件!$C$26,前提条件!$C$25),IF(BY7&lt;=17,IF(入力データ!$J$26="私立",前提条件!$C$28,前提条件!$C$27),IF(BY7&lt;=21,IF(入力データ!$K$26="国公立",前提条件!$C$29,IF(入力データ!$K$26="私立理系",前提条件!$C$31,前提条件!$C$30))+IF(入力データ!$L$26="下宿",前提条件!$C$32,0)+IF(BY7=18,前提条件!$C$33,0),0))))))+IF(BY8="",0,IF(BY8&lt;=5,IF(入力データ!$G$27="私立",前提条件!$C$22,前提条件!$C$21),IF(BY8&lt;=11,IF(入力データ!$H$27="私立",前提条件!$C$24,前提条件!$C$23),IF(BY8&lt;=14,IF(入力データ!$I$27="私立",前提条件!$C$26,前提条件!$C$25),IF(BY8&lt;=17,IF(入力データ!$J$27="私立",前提条件!$C$28,前提条件!$C$27),IF(BY8&lt;=21,IF(入力データ!$K$27="国公立",前提条件!$C$29,IF(入力データ!$K$27="私立理系",前提条件!$C$31,前提条件!$C$30))+IF(入力データ!$L$27="下宿",前提条件!$C$32,0)+IF(BY8=18,前提条件!$C$33,0),0)))))))*(1+前提条件!$C$13)^(BY$3-$B$3))</f>
        <v/>
      </c>
      <c r="BZ24" s="352">
        <f>IF(BZ$3="","",((SUM(入力データ!$C$58:$C$61)*12)+IF(BZ6="",0,IF(BZ6&lt;=5,IF(入力データ!$G$25="私立",前提条件!$C$22,前提条件!$C$21),IF(BZ6&lt;=11,IF(入力データ!$H$25="私立",前提条件!$C$24,前提条件!$C$23),IF(BZ6&lt;=14,IF(入力データ!$I$25="私立",前提条件!$C$26,前提条件!$C$25),IF(BZ6&lt;=17,IF(入力データ!$J$25="私立",前提条件!$C$28,前提条件!$C$27),IF(BZ6&lt;=21,IF(入力データ!$K$25="国公立",前提条件!$C$29,IF(入力データ!$K$25="私立理系",前提条件!$C$31,前提条件!$C$30))+IF(入力データ!$L$25="下宿",前提条件!$C$32,0)+IF(BZ6=18,前提条件!$C$33,0),0))))))+IF(BZ7="",0,IF(BZ7&lt;=5,IF(入力データ!$G$26="私立",前提条件!$C$22,前提条件!$C$21),IF(BZ7&lt;=11,IF(入力データ!$H$26="私立",前提条件!$C$24,前提条件!$C$23),IF(BZ7&lt;=14,IF(入力データ!$I$26="私立",前提条件!$C$26,前提条件!$C$25),IF(BZ7&lt;=17,IF(入力データ!$J$26="私立",前提条件!$C$28,前提条件!$C$27),IF(BZ7&lt;=21,IF(入力データ!$K$26="国公立",前提条件!$C$29,IF(入力データ!$K$26="私立理系",前提条件!$C$31,前提条件!$C$30))+IF(入力データ!$L$26="下宿",前提条件!$C$32,0)+IF(BZ7=18,前提条件!$C$33,0),0))))))+IF(BZ8="",0,IF(BZ8&lt;=5,IF(入力データ!$G$27="私立",前提条件!$C$22,前提条件!$C$21),IF(BZ8&lt;=11,IF(入力データ!$H$27="私立",前提条件!$C$24,前提条件!$C$23),IF(BZ8&lt;=14,IF(入力データ!$I$27="私立",前提条件!$C$26,前提条件!$C$25),IF(BZ8&lt;=17,IF(入力データ!$J$27="私立",前提条件!$C$28,前提条件!$C$27),IF(BZ8&lt;=21,IF(入力データ!$K$27="国公立",前提条件!$C$29,IF(入力データ!$K$27="私立理系",前提条件!$C$31,前提条件!$C$30))+IF(入力データ!$L$27="下宿",前提条件!$C$32,0)+IF(BZ8=18,前提条件!$C$33,0),0)))))))*(1+前提条件!$C$13)^(BZ$3-$B$3))</f>
        <v/>
      </c>
      <c r="CA24" s="352">
        <f>IF(CA$3="","",((SUM(入力データ!$C$58:$C$61)*12)+IF(CA6="",0,IF(CA6&lt;=5,IF(入力データ!$G$25="私立",前提条件!$C$22,前提条件!$C$21),IF(CA6&lt;=11,IF(入力データ!$H$25="私立",前提条件!$C$24,前提条件!$C$23),IF(CA6&lt;=14,IF(入力データ!$I$25="私立",前提条件!$C$26,前提条件!$C$25),IF(CA6&lt;=17,IF(入力データ!$J$25="私立",前提条件!$C$28,前提条件!$C$27),IF(CA6&lt;=21,IF(入力データ!$K$25="国公立",前提条件!$C$29,IF(入力データ!$K$25="私立理系",前提条件!$C$31,前提条件!$C$30))+IF(入力データ!$L$25="下宿",前提条件!$C$32,0)+IF(CA6=18,前提条件!$C$33,0),0))))))+IF(CA7="",0,IF(CA7&lt;=5,IF(入力データ!$G$26="私立",前提条件!$C$22,前提条件!$C$21),IF(CA7&lt;=11,IF(入力データ!$H$26="私立",前提条件!$C$24,前提条件!$C$23),IF(CA7&lt;=14,IF(入力データ!$I$26="私立",前提条件!$C$26,前提条件!$C$25),IF(CA7&lt;=17,IF(入力データ!$J$26="私立",前提条件!$C$28,前提条件!$C$27),IF(CA7&lt;=21,IF(入力データ!$K$26="国公立",前提条件!$C$29,IF(入力データ!$K$26="私立理系",前提条件!$C$31,前提条件!$C$30))+IF(入力データ!$L$26="下宿",前提条件!$C$32,0)+IF(CA7=18,前提条件!$C$33,0),0))))))+IF(CA8="",0,IF(CA8&lt;=5,IF(入力データ!$G$27="私立",前提条件!$C$22,前提条件!$C$21),IF(CA8&lt;=11,IF(入力データ!$H$27="私立",前提条件!$C$24,前提条件!$C$23),IF(CA8&lt;=14,IF(入力データ!$I$27="私立",前提条件!$C$26,前提条件!$C$25),IF(CA8&lt;=17,IF(入力データ!$J$27="私立",前提条件!$C$28,前提条件!$C$27),IF(CA8&lt;=21,IF(入力データ!$K$27="国公立",前提条件!$C$29,IF(入力データ!$K$27="私立理系",前提条件!$C$31,前提条件!$C$30))+IF(入力データ!$L$27="下宿",前提条件!$C$32,0)+IF(CA8=18,前提条件!$C$33,0),0)))))))*(1+前提条件!$C$13)^(CA$3-$B$3))</f>
        <v/>
      </c>
      <c r="CB24" s="352">
        <f>IF(CB$3="","",((SUM(入力データ!$C$58:$C$61)*12)+IF(CB6="",0,IF(CB6&lt;=5,IF(入力データ!$G$25="私立",前提条件!$C$22,前提条件!$C$21),IF(CB6&lt;=11,IF(入力データ!$H$25="私立",前提条件!$C$24,前提条件!$C$23),IF(CB6&lt;=14,IF(入力データ!$I$25="私立",前提条件!$C$26,前提条件!$C$25),IF(CB6&lt;=17,IF(入力データ!$J$25="私立",前提条件!$C$28,前提条件!$C$27),IF(CB6&lt;=21,IF(入力データ!$K$25="国公立",前提条件!$C$29,IF(入力データ!$K$25="私立理系",前提条件!$C$31,前提条件!$C$30))+IF(入力データ!$L$25="下宿",前提条件!$C$32,0)+IF(CB6=18,前提条件!$C$33,0),0))))))+IF(CB7="",0,IF(CB7&lt;=5,IF(入力データ!$G$26="私立",前提条件!$C$22,前提条件!$C$21),IF(CB7&lt;=11,IF(入力データ!$H$26="私立",前提条件!$C$24,前提条件!$C$23),IF(CB7&lt;=14,IF(入力データ!$I$26="私立",前提条件!$C$26,前提条件!$C$25),IF(CB7&lt;=17,IF(入力データ!$J$26="私立",前提条件!$C$28,前提条件!$C$27),IF(CB7&lt;=21,IF(入力データ!$K$26="国公立",前提条件!$C$29,IF(入力データ!$K$26="私立理系",前提条件!$C$31,前提条件!$C$30))+IF(入力データ!$L$26="下宿",前提条件!$C$32,0)+IF(CB7=18,前提条件!$C$33,0),0))))))+IF(CB8="",0,IF(CB8&lt;=5,IF(入力データ!$G$27="私立",前提条件!$C$22,前提条件!$C$21),IF(CB8&lt;=11,IF(入力データ!$H$27="私立",前提条件!$C$24,前提条件!$C$23),IF(CB8&lt;=14,IF(入力データ!$I$27="私立",前提条件!$C$26,前提条件!$C$25),IF(CB8&lt;=17,IF(入力データ!$J$27="私立",前提条件!$C$28,前提条件!$C$27),IF(CB8&lt;=21,IF(入力データ!$K$27="国公立",前提条件!$C$29,IF(入力データ!$K$27="私立理系",前提条件!$C$31,前提条件!$C$30))+IF(入力データ!$L$27="下宿",前提条件!$C$32,0)+IF(CB8=18,前提条件!$C$33,0),0)))))))*(1+前提条件!$C$13)^(CB$3-$B$3))</f>
        <v/>
      </c>
      <c r="CC24" s="352">
        <f>IF(CC$3="","",((SUM(入力データ!$C$58:$C$61)*12)+IF(CC6="",0,IF(CC6&lt;=5,IF(入力データ!$G$25="私立",前提条件!$C$22,前提条件!$C$21),IF(CC6&lt;=11,IF(入力データ!$H$25="私立",前提条件!$C$24,前提条件!$C$23),IF(CC6&lt;=14,IF(入力データ!$I$25="私立",前提条件!$C$26,前提条件!$C$25),IF(CC6&lt;=17,IF(入力データ!$J$25="私立",前提条件!$C$28,前提条件!$C$27),IF(CC6&lt;=21,IF(入力データ!$K$25="国公立",前提条件!$C$29,IF(入力データ!$K$25="私立理系",前提条件!$C$31,前提条件!$C$30))+IF(入力データ!$L$25="下宿",前提条件!$C$32,0)+IF(CC6=18,前提条件!$C$33,0),0))))))+IF(CC7="",0,IF(CC7&lt;=5,IF(入力データ!$G$26="私立",前提条件!$C$22,前提条件!$C$21),IF(CC7&lt;=11,IF(入力データ!$H$26="私立",前提条件!$C$24,前提条件!$C$23),IF(CC7&lt;=14,IF(入力データ!$I$26="私立",前提条件!$C$26,前提条件!$C$25),IF(CC7&lt;=17,IF(入力データ!$J$26="私立",前提条件!$C$28,前提条件!$C$27),IF(CC7&lt;=21,IF(入力データ!$K$26="国公立",前提条件!$C$29,IF(入力データ!$K$26="私立理系",前提条件!$C$31,前提条件!$C$30))+IF(入力データ!$L$26="下宿",前提条件!$C$32,0)+IF(CC7=18,前提条件!$C$33,0),0))))))+IF(CC8="",0,IF(CC8&lt;=5,IF(入力データ!$G$27="私立",前提条件!$C$22,前提条件!$C$21),IF(CC8&lt;=11,IF(入力データ!$H$27="私立",前提条件!$C$24,前提条件!$C$23),IF(CC8&lt;=14,IF(入力データ!$I$27="私立",前提条件!$C$26,前提条件!$C$25),IF(CC8&lt;=17,IF(入力データ!$J$27="私立",前提条件!$C$28,前提条件!$C$27),IF(CC8&lt;=21,IF(入力データ!$K$27="国公立",前提条件!$C$29,IF(入力データ!$K$27="私立理系",前提条件!$C$31,前提条件!$C$30))+IF(入力データ!$L$27="下宿",前提条件!$C$32,0)+IF(CC8=18,前提条件!$C$33,0),0)))))))*(1+前提条件!$C$13)^(CC$3-$B$3))</f>
        <v/>
      </c>
      <c r="CD24" s="352">
        <f>IF(CD$3="","",((SUM(入力データ!$C$58:$C$61)*12)+IF(CD6="",0,IF(CD6&lt;=5,IF(入力データ!$G$25="私立",前提条件!$C$22,前提条件!$C$21),IF(CD6&lt;=11,IF(入力データ!$H$25="私立",前提条件!$C$24,前提条件!$C$23),IF(CD6&lt;=14,IF(入力データ!$I$25="私立",前提条件!$C$26,前提条件!$C$25),IF(CD6&lt;=17,IF(入力データ!$J$25="私立",前提条件!$C$28,前提条件!$C$27),IF(CD6&lt;=21,IF(入力データ!$K$25="国公立",前提条件!$C$29,IF(入力データ!$K$25="私立理系",前提条件!$C$31,前提条件!$C$30))+IF(入力データ!$L$25="下宿",前提条件!$C$32,0)+IF(CD6=18,前提条件!$C$33,0),0))))))+IF(CD7="",0,IF(CD7&lt;=5,IF(入力データ!$G$26="私立",前提条件!$C$22,前提条件!$C$21),IF(CD7&lt;=11,IF(入力データ!$H$26="私立",前提条件!$C$24,前提条件!$C$23),IF(CD7&lt;=14,IF(入力データ!$I$26="私立",前提条件!$C$26,前提条件!$C$25),IF(CD7&lt;=17,IF(入力データ!$J$26="私立",前提条件!$C$28,前提条件!$C$27),IF(CD7&lt;=21,IF(入力データ!$K$26="国公立",前提条件!$C$29,IF(入力データ!$K$26="私立理系",前提条件!$C$31,前提条件!$C$30))+IF(入力データ!$L$26="下宿",前提条件!$C$32,0)+IF(CD7=18,前提条件!$C$33,0),0))))))+IF(CD8="",0,IF(CD8&lt;=5,IF(入力データ!$G$27="私立",前提条件!$C$22,前提条件!$C$21),IF(CD8&lt;=11,IF(入力データ!$H$27="私立",前提条件!$C$24,前提条件!$C$23),IF(CD8&lt;=14,IF(入力データ!$I$27="私立",前提条件!$C$26,前提条件!$C$25),IF(CD8&lt;=17,IF(入力データ!$J$27="私立",前提条件!$C$28,前提条件!$C$27),IF(CD8&lt;=21,IF(入力データ!$K$27="国公立",前提条件!$C$29,IF(入力データ!$K$27="私立理系",前提条件!$C$31,前提条件!$C$30))+IF(入力データ!$L$27="下宿",前提条件!$C$32,0)+IF(CD8=18,前提条件!$C$33,0),0)))))))*(1+前提条件!$C$13)^(CD$3-$B$3))</f>
        <v/>
      </c>
      <c r="CE24" s="352">
        <f>IF(CE$3="","",((SUM(入力データ!$C$58:$C$61)*12)+IF(CE6="",0,IF(CE6&lt;=5,IF(入力データ!$G$25="私立",前提条件!$C$22,前提条件!$C$21),IF(CE6&lt;=11,IF(入力データ!$H$25="私立",前提条件!$C$24,前提条件!$C$23),IF(CE6&lt;=14,IF(入力データ!$I$25="私立",前提条件!$C$26,前提条件!$C$25),IF(CE6&lt;=17,IF(入力データ!$J$25="私立",前提条件!$C$28,前提条件!$C$27),IF(CE6&lt;=21,IF(入力データ!$K$25="国公立",前提条件!$C$29,IF(入力データ!$K$25="私立理系",前提条件!$C$31,前提条件!$C$30))+IF(入力データ!$L$25="下宿",前提条件!$C$32,0)+IF(CE6=18,前提条件!$C$33,0),0))))))+IF(CE7="",0,IF(CE7&lt;=5,IF(入力データ!$G$26="私立",前提条件!$C$22,前提条件!$C$21),IF(CE7&lt;=11,IF(入力データ!$H$26="私立",前提条件!$C$24,前提条件!$C$23),IF(CE7&lt;=14,IF(入力データ!$I$26="私立",前提条件!$C$26,前提条件!$C$25),IF(CE7&lt;=17,IF(入力データ!$J$26="私立",前提条件!$C$28,前提条件!$C$27),IF(CE7&lt;=21,IF(入力データ!$K$26="国公立",前提条件!$C$29,IF(入力データ!$K$26="私立理系",前提条件!$C$31,前提条件!$C$30))+IF(入力データ!$L$26="下宿",前提条件!$C$32,0)+IF(CE7=18,前提条件!$C$33,0),0))))))+IF(CE8="",0,IF(CE8&lt;=5,IF(入力データ!$G$27="私立",前提条件!$C$22,前提条件!$C$21),IF(CE8&lt;=11,IF(入力データ!$H$27="私立",前提条件!$C$24,前提条件!$C$23),IF(CE8&lt;=14,IF(入力データ!$I$27="私立",前提条件!$C$26,前提条件!$C$25),IF(CE8&lt;=17,IF(入力データ!$J$27="私立",前提条件!$C$28,前提条件!$C$27),IF(CE8&lt;=21,IF(入力データ!$K$27="国公立",前提条件!$C$29,IF(入力データ!$K$27="私立理系",前提条件!$C$31,前提条件!$C$30))+IF(入力データ!$L$27="下宿",前提条件!$C$32,0)+IF(CE8=18,前提条件!$C$33,0),0)))))))*(1+前提条件!$C$13)^(CE$3-$B$3))</f>
        <v/>
      </c>
      <c r="CF24" s="352">
        <f>IF(CF$3="","",((SUM(入力データ!$C$58:$C$61)*12)+IF(CF6="",0,IF(CF6&lt;=5,IF(入力データ!$G$25="私立",前提条件!$C$22,前提条件!$C$21),IF(CF6&lt;=11,IF(入力データ!$H$25="私立",前提条件!$C$24,前提条件!$C$23),IF(CF6&lt;=14,IF(入力データ!$I$25="私立",前提条件!$C$26,前提条件!$C$25),IF(CF6&lt;=17,IF(入力データ!$J$25="私立",前提条件!$C$28,前提条件!$C$27),IF(CF6&lt;=21,IF(入力データ!$K$25="国公立",前提条件!$C$29,IF(入力データ!$K$25="私立理系",前提条件!$C$31,前提条件!$C$30))+IF(入力データ!$L$25="下宿",前提条件!$C$32,0)+IF(CF6=18,前提条件!$C$33,0),0))))))+IF(CF7="",0,IF(CF7&lt;=5,IF(入力データ!$G$26="私立",前提条件!$C$22,前提条件!$C$21),IF(CF7&lt;=11,IF(入力データ!$H$26="私立",前提条件!$C$24,前提条件!$C$23),IF(CF7&lt;=14,IF(入力データ!$I$26="私立",前提条件!$C$26,前提条件!$C$25),IF(CF7&lt;=17,IF(入力データ!$J$26="私立",前提条件!$C$28,前提条件!$C$27),IF(CF7&lt;=21,IF(入力データ!$K$26="国公立",前提条件!$C$29,IF(入力データ!$K$26="私立理系",前提条件!$C$31,前提条件!$C$30))+IF(入力データ!$L$26="下宿",前提条件!$C$32,0)+IF(CF7=18,前提条件!$C$33,0),0))))))+IF(CF8="",0,IF(CF8&lt;=5,IF(入力データ!$G$27="私立",前提条件!$C$22,前提条件!$C$21),IF(CF8&lt;=11,IF(入力データ!$H$27="私立",前提条件!$C$24,前提条件!$C$23),IF(CF8&lt;=14,IF(入力データ!$I$27="私立",前提条件!$C$26,前提条件!$C$25),IF(CF8&lt;=17,IF(入力データ!$J$27="私立",前提条件!$C$28,前提条件!$C$27),IF(CF8&lt;=21,IF(入力データ!$K$27="国公立",前提条件!$C$29,IF(入力データ!$K$27="私立理系",前提条件!$C$31,前提条件!$C$30))+IF(入力データ!$L$27="下宿",前提条件!$C$32,0)+IF(CF8=18,前提条件!$C$33,0),0)))))))*(1+前提条件!$C$13)^(CF$3-$B$3))</f>
        <v/>
      </c>
      <c r="CG24" s="352">
        <f>IF(CG$3="","",((SUM(入力データ!$C$58:$C$61)*12)+IF(CG6="",0,IF(CG6&lt;=5,IF(入力データ!$G$25="私立",前提条件!$C$22,前提条件!$C$21),IF(CG6&lt;=11,IF(入力データ!$H$25="私立",前提条件!$C$24,前提条件!$C$23),IF(CG6&lt;=14,IF(入力データ!$I$25="私立",前提条件!$C$26,前提条件!$C$25),IF(CG6&lt;=17,IF(入力データ!$J$25="私立",前提条件!$C$28,前提条件!$C$27),IF(CG6&lt;=21,IF(入力データ!$K$25="国公立",前提条件!$C$29,IF(入力データ!$K$25="私立理系",前提条件!$C$31,前提条件!$C$30))+IF(入力データ!$L$25="下宿",前提条件!$C$32,0)+IF(CG6=18,前提条件!$C$33,0),0))))))+IF(CG7="",0,IF(CG7&lt;=5,IF(入力データ!$G$26="私立",前提条件!$C$22,前提条件!$C$21),IF(CG7&lt;=11,IF(入力データ!$H$26="私立",前提条件!$C$24,前提条件!$C$23),IF(CG7&lt;=14,IF(入力データ!$I$26="私立",前提条件!$C$26,前提条件!$C$25),IF(CG7&lt;=17,IF(入力データ!$J$26="私立",前提条件!$C$28,前提条件!$C$27),IF(CG7&lt;=21,IF(入力データ!$K$26="国公立",前提条件!$C$29,IF(入力データ!$K$26="私立理系",前提条件!$C$31,前提条件!$C$30))+IF(入力データ!$L$26="下宿",前提条件!$C$32,0)+IF(CG7=18,前提条件!$C$33,0),0))))))+IF(CG8="",0,IF(CG8&lt;=5,IF(入力データ!$G$27="私立",前提条件!$C$22,前提条件!$C$21),IF(CG8&lt;=11,IF(入力データ!$H$27="私立",前提条件!$C$24,前提条件!$C$23),IF(CG8&lt;=14,IF(入力データ!$I$27="私立",前提条件!$C$26,前提条件!$C$25),IF(CG8&lt;=17,IF(入力データ!$J$27="私立",前提条件!$C$28,前提条件!$C$27),IF(CG8&lt;=21,IF(入力データ!$K$27="国公立",前提条件!$C$29,IF(入力データ!$K$27="私立理系",前提条件!$C$31,前提条件!$C$30))+IF(入力データ!$L$27="下宿",前提条件!$C$32,0)+IF(CG8=18,前提条件!$C$33,0),0)))))))*(1+前提条件!$C$13)^(CG$3-$B$3))</f>
        <v/>
      </c>
      <c r="CH24" s="352">
        <f>IF(CH$3="","",((SUM(入力データ!$C$58:$C$61)*12)+IF(CH6="",0,IF(CH6&lt;=5,IF(入力データ!$G$25="私立",前提条件!$C$22,前提条件!$C$21),IF(CH6&lt;=11,IF(入力データ!$H$25="私立",前提条件!$C$24,前提条件!$C$23),IF(CH6&lt;=14,IF(入力データ!$I$25="私立",前提条件!$C$26,前提条件!$C$25),IF(CH6&lt;=17,IF(入力データ!$J$25="私立",前提条件!$C$28,前提条件!$C$27),IF(CH6&lt;=21,IF(入力データ!$K$25="国公立",前提条件!$C$29,IF(入力データ!$K$25="私立理系",前提条件!$C$31,前提条件!$C$30))+IF(入力データ!$L$25="下宿",前提条件!$C$32,0)+IF(CH6=18,前提条件!$C$33,0),0))))))+IF(CH7="",0,IF(CH7&lt;=5,IF(入力データ!$G$26="私立",前提条件!$C$22,前提条件!$C$21),IF(CH7&lt;=11,IF(入力データ!$H$26="私立",前提条件!$C$24,前提条件!$C$23),IF(CH7&lt;=14,IF(入力データ!$I$26="私立",前提条件!$C$26,前提条件!$C$25),IF(CH7&lt;=17,IF(入力データ!$J$26="私立",前提条件!$C$28,前提条件!$C$27),IF(CH7&lt;=21,IF(入力データ!$K$26="国公立",前提条件!$C$29,IF(入力データ!$K$26="私立理系",前提条件!$C$31,前提条件!$C$30))+IF(入力データ!$L$26="下宿",前提条件!$C$32,0)+IF(CH7=18,前提条件!$C$33,0),0))))))+IF(CH8="",0,IF(CH8&lt;=5,IF(入力データ!$G$27="私立",前提条件!$C$22,前提条件!$C$21),IF(CH8&lt;=11,IF(入力データ!$H$27="私立",前提条件!$C$24,前提条件!$C$23),IF(CH8&lt;=14,IF(入力データ!$I$27="私立",前提条件!$C$26,前提条件!$C$25),IF(CH8&lt;=17,IF(入力データ!$J$27="私立",前提条件!$C$28,前提条件!$C$27),IF(CH8&lt;=21,IF(入力データ!$K$27="国公立",前提条件!$C$29,IF(入力データ!$K$27="私立理系",前提条件!$C$31,前提条件!$C$30))+IF(入力データ!$L$27="下宿",前提条件!$C$32,0)+IF(CH8=18,前提条件!$C$33,0),0)))))))*(1+前提条件!$C$13)^(CH$3-$B$3))</f>
        <v/>
      </c>
      <c r="CI24" s="352">
        <f>IF(CI$3="","",((SUM(入力データ!$C$58:$C$61)*12)+IF(CI6="",0,IF(CI6&lt;=5,IF(入力データ!$G$25="私立",前提条件!$C$22,前提条件!$C$21),IF(CI6&lt;=11,IF(入力データ!$H$25="私立",前提条件!$C$24,前提条件!$C$23),IF(CI6&lt;=14,IF(入力データ!$I$25="私立",前提条件!$C$26,前提条件!$C$25),IF(CI6&lt;=17,IF(入力データ!$J$25="私立",前提条件!$C$28,前提条件!$C$27),IF(CI6&lt;=21,IF(入力データ!$K$25="国公立",前提条件!$C$29,IF(入力データ!$K$25="私立理系",前提条件!$C$31,前提条件!$C$30))+IF(入力データ!$L$25="下宿",前提条件!$C$32,0)+IF(CI6=18,前提条件!$C$33,0),0))))))+IF(CI7="",0,IF(CI7&lt;=5,IF(入力データ!$G$26="私立",前提条件!$C$22,前提条件!$C$21),IF(CI7&lt;=11,IF(入力データ!$H$26="私立",前提条件!$C$24,前提条件!$C$23),IF(CI7&lt;=14,IF(入力データ!$I$26="私立",前提条件!$C$26,前提条件!$C$25),IF(CI7&lt;=17,IF(入力データ!$J$26="私立",前提条件!$C$28,前提条件!$C$27),IF(CI7&lt;=21,IF(入力データ!$K$26="国公立",前提条件!$C$29,IF(入力データ!$K$26="私立理系",前提条件!$C$31,前提条件!$C$30))+IF(入力データ!$L$26="下宿",前提条件!$C$32,0)+IF(CI7=18,前提条件!$C$33,0),0))))))+IF(CI8="",0,IF(CI8&lt;=5,IF(入力データ!$G$27="私立",前提条件!$C$22,前提条件!$C$21),IF(CI8&lt;=11,IF(入力データ!$H$27="私立",前提条件!$C$24,前提条件!$C$23),IF(CI8&lt;=14,IF(入力データ!$I$27="私立",前提条件!$C$26,前提条件!$C$25),IF(CI8&lt;=17,IF(入力データ!$J$27="私立",前提条件!$C$28,前提条件!$C$27),IF(CI8&lt;=21,IF(入力データ!$K$27="国公立",前提条件!$C$29,IF(入力データ!$K$27="私立理系",前提条件!$C$31,前提条件!$C$30))+IF(入力データ!$L$27="下宿",前提条件!$C$32,0)+IF(CI8=18,前提条件!$C$33,0),0)))))))*(1+前提条件!$C$13)^(CI$3-$B$3))</f>
        <v/>
      </c>
      <c r="CJ24" s="352">
        <f>IF(CJ$3="","",((SUM(入力データ!$C$58:$C$61)*12)+IF(CJ6="",0,IF(CJ6&lt;=5,IF(入力データ!$G$25="私立",前提条件!$C$22,前提条件!$C$21),IF(CJ6&lt;=11,IF(入力データ!$H$25="私立",前提条件!$C$24,前提条件!$C$23),IF(CJ6&lt;=14,IF(入力データ!$I$25="私立",前提条件!$C$26,前提条件!$C$25),IF(CJ6&lt;=17,IF(入力データ!$J$25="私立",前提条件!$C$28,前提条件!$C$27),IF(CJ6&lt;=21,IF(入力データ!$K$25="国公立",前提条件!$C$29,IF(入力データ!$K$25="私立理系",前提条件!$C$31,前提条件!$C$30))+IF(入力データ!$L$25="下宿",前提条件!$C$32,0)+IF(CJ6=18,前提条件!$C$33,0),0))))))+IF(CJ7="",0,IF(CJ7&lt;=5,IF(入力データ!$G$26="私立",前提条件!$C$22,前提条件!$C$21),IF(CJ7&lt;=11,IF(入力データ!$H$26="私立",前提条件!$C$24,前提条件!$C$23),IF(CJ7&lt;=14,IF(入力データ!$I$26="私立",前提条件!$C$26,前提条件!$C$25),IF(CJ7&lt;=17,IF(入力データ!$J$26="私立",前提条件!$C$28,前提条件!$C$27),IF(CJ7&lt;=21,IF(入力データ!$K$26="国公立",前提条件!$C$29,IF(入力データ!$K$26="私立理系",前提条件!$C$31,前提条件!$C$30))+IF(入力データ!$L$26="下宿",前提条件!$C$32,0)+IF(CJ7=18,前提条件!$C$33,0),0))))))+IF(CJ8="",0,IF(CJ8&lt;=5,IF(入力データ!$G$27="私立",前提条件!$C$22,前提条件!$C$21),IF(CJ8&lt;=11,IF(入力データ!$H$27="私立",前提条件!$C$24,前提条件!$C$23),IF(CJ8&lt;=14,IF(入力データ!$I$27="私立",前提条件!$C$26,前提条件!$C$25),IF(CJ8&lt;=17,IF(入力データ!$J$27="私立",前提条件!$C$28,前提条件!$C$27),IF(CJ8&lt;=21,IF(入力データ!$K$27="国公立",前提条件!$C$29,IF(入力データ!$K$27="私立理系",前提条件!$C$31,前提条件!$C$30))+IF(入力データ!$L$27="下宿",前提条件!$C$32,0)+IF(CJ8=18,前提条件!$C$33,0),0)))))))*(1+前提条件!$C$13)^(CJ$3-$B$3))</f>
        <v/>
      </c>
      <c r="CK24" s="352">
        <f>IF(CK$3="","",((SUM(入力データ!$C$58:$C$61)*12)+IF(CK6="",0,IF(CK6&lt;=5,IF(入力データ!$G$25="私立",前提条件!$C$22,前提条件!$C$21),IF(CK6&lt;=11,IF(入力データ!$H$25="私立",前提条件!$C$24,前提条件!$C$23),IF(CK6&lt;=14,IF(入力データ!$I$25="私立",前提条件!$C$26,前提条件!$C$25),IF(CK6&lt;=17,IF(入力データ!$J$25="私立",前提条件!$C$28,前提条件!$C$27),IF(CK6&lt;=21,IF(入力データ!$K$25="国公立",前提条件!$C$29,IF(入力データ!$K$25="私立理系",前提条件!$C$31,前提条件!$C$30))+IF(入力データ!$L$25="下宿",前提条件!$C$32,0)+IF(CK6=18,前提条件!$C$33,0),0))))))+IF(CK7="",0,IF(CK7&lt;=5,IF(入力データ!$G$26="私立",前提条件!$C$22,前提条件!$C$21),IF(CK7&lt;=11,IF(入力データ!$H$26="私立",前提条件!$C$24,前提条件!$C$23),IF(CK7&lt;=14,IF(入力データ!$I$26="私立",前提条件!$C$26,前提条件!$C$25),IF(CK7&lt;=17,IF(入力データ!$J$26="私立",前提条件!$C$28,前提条件!$C$27),IF(CK7&lt;=21,IF(入力データ!$K$26="国公立",前提条件!$C$29,IF(入力データ!$K$26="私立理系",前提条件!$C$31,前提条件!$C$30))+IF(入力データ!$L$26="下宿",前提条件!$C$32,0)+IF(CK7=18,前提条件!$C$33,0),0))))))+IF(CK8="",0,IF(CK8&lt;=5,IF(入力データ!$G$27="私立",前提条件!$C$22,前提条件!$C$21),IF(CK8&lt;=11,IF(入力データ!$H$27="私立",前提条件!$C$24,前提条件!$C$23),IF(CK8&lt;=14,IF(入力データ!$I$27="私立",前提条件!$C$26,前提条件!$C$25),IF(CK8&lt;=17,IF(入力データ!$J$27="私立",前提条件!$C$28,前提条件!$C$27),IF(CK8&lt;=21,IF(入力データ!$K$27="国公立",前提条件!$C$29,IF(入力データ!$K$27="私立理系",前提条件!$C$31,前提条件!$C$30))+IF(入力データ!$L$27="下宿",前提条件!$C$32,0)+IF(CK8=18,前提条件!$C$33,0),0)))))))*(1+前提条件!$C$13)^(CK$3-$B$3))</f>
        <v/>
      </c>
      <c r="CL24" s="352">
        <f>IF(CL$3="","",((SUM(入力データ!$C$58:$C$61)*12)+IF(CL6="",0,IF(CL6&lt;=5,IF(入力データ!$G$25="私立",前提条件!$C$22,前提条件!$C$21),IF(CL6&lt;=11,IF(入力データ!$H$25="私立",前提条件!$C$24,前提条件!$C$23),IF(CL6&lt;=14,IF(入力データ!$I$25="私立",前提条件!$C$26,前提条件!$C$25),IF(CL6&lt;=17,IF(入力データ!$J$25="私立",前提条件!$C$28,前提条件!$C$27),IF(CL6&lt;=21,IF(入力データ!$K$25="国公立",前提条件!$C$29,IF(入力データ!$K$25="私立理系",前提条件!$C$31,前提条件!$C$30))+IF(入力データ!$L$25="下宿",前提条件!$C$32,0)+IF(CL6=18,前提条件!$C$33,0),0))))))+IF(CL7="",0,IF(CL7&lt;=5,IF(入力データ!$G$26="私立",前提条件!$C$22,前提条件!$C$21),IF(CL7&lt;=11,IF(入力データ!$H$26="私立",前提条件!$C$24,前提条件!$C$23),IF(CL7&lt;=14,IF(入力データ!$I$26="私立",前提条件!$C$26,前提条件!$C$25),IF(CL7&lt;=17,IF(入力データ!$J$26="私立",前提条件!$C$28,前提条件!$C$27),IF(CL7&lt;=21,IF(入力データ!$K$26="国公立",前提条件!$C$29,IF(入力データ!$K$26="私立理系",前提条件!$C$31,前提条件!$C$30))+IF(入力データ!$L$26="下宿",前提条件!$C$32,0)+IF(CL7=18,前提条件!$C$33,0),0))))))+IF(CL8="",0,IF(CL8&lt;=5,IF(入力データ!$G$27="私立",前提条件!$C$22,前提条件!$C$21),IF(CL8&lt;=11,IF(入力データ!$H$27="私立",前提条件!$C$24,前提条件!$C$23),IF(CL8&lt;=14,IF(入力データ!$I$27="私立",前提条件!$C$26,前提条件!$C$25),IF(CL8&lt;=17,IF(入力データ!$J$27="私立",前提条件!$C$28,前提条件!$C$27),IF(CL8&lt;=21,IF(入力データ!$K$27="国公立",前提条件!$C$29,IF(入力データ!$K$27="私立理系",前提条件!$C$31,前提条件!$C$30))+IF(入力データ!$L$27="下宿",前提条件!$C$32,0)+IF(CL8=18,前提条件!$C$33,0),0)))))))*(1+前提条件!$C$13)^(CL$3-$B$3))</f>
        <v/>
      </c>
      <c r="CM24" s="352">
        <f>IF(CM$3="","",((SUM(入力データ!$C$58:$C$61)*12)+IF(CM6="",0,IF(CM6&lt;=5,IF(入力データ!$G$25="私立",前提条件!$C$22,前提条件!$C$21),IF(CM6&lt;=11,IF(入力データ!$H$25="私立",前提条件!$C$24,前提条件!$C$23),IF(CM6&lt;=14,IF(入力データ!$I$25="私立",前提条件!$C$26,前提条件!$C$25),IF(CM6&lt;=17,IF(入力データ!$J$25="私立",前提条件!$C$28,前提条件!$C$27),IF(CM6&lt;=21,IF(入力データ!$K$25="国公立",前提条件!$C$29,IF(入力データ!$K$25="私立理系",前提条件!$C$31,前提条件!$C$30))+IF(入力データ!$L$25="下宿",前提条件!$C$32,0)+IF(CM6=18,前提条件!$C$33,0),0))))))+IF(CM7="",0,IF(CM7&lt;=5,IF(入力データ!$G$26="私立",前提条件!$C$22,前提条件!$C$21),IF(CM7&lt;=11,IF(入力データ!$H$26="私立",前提条件!$C$24,前提条件!$C$23),IF(CM7&lt;=14,IF(入力データ!$I$26="私立",前提条件!$C$26,前提条件!$C$25),IF(CM7&lt;=17,IF(入力データ!$J$26="私立",前提条件!$C$28,前提条件!$C$27),IF(CM7&lt;=21,IF(入力データ!$K$26="国公立",前提条件!$C$29,IF(入力データ!$K$26="私立理系",前提条件!$C$31,前提条件!$C$30))+IF(入力データ!$L$26="下宿",前提条件!$C$32,0)+IF(CM7=18,前提条件!$C$33,0),0))))))+IF(CM8="",0,IF(CM8&lt;=5,IF(入力データ!$G$27="私立",前提条件!$C$22,前提条件!$C$21),IF(CM8&lt;=11,IF(入力データ!$H$27="私立",前提条件!$C$24,前提条件!$C$23),IF(CM8&lt;=14,IF(入力データ!$I$27="私立",前提条件!$C$26,前提条件!$C$25),IF(CM8&lt;=17,IF(入力データ!$J$27="私立",前提条件!$C$28,前提条件!$C$27),IF(CM8&lt;=21,IF(入力データ!$K$27="国公立",前提条件!$C$29,IF(入力データ!$K$27="私立理系",前提条件!$C$31,前提条件!$C$30))+IF(入力データ!$L$27="下宿",前提条件!$C$32,0)+IF(CM8=18,前提条件!$C$33,0),0)))))))*(1+前提条件!$C$13)^(CM$3-$B$3))</f>
        <v/>
      </c>
      <c r="CN24" s="352">
        <f>IF(CN$3="","",((SUM(入力データ!$C$58:$C$61)*12)+IF(CN6="",0,IF(CN6&lt;=5,IF(入力データ!$G$25="私立",前提条件!$C$22,前提条件!$C$21),IF(CN6&lt;=11,IF(入力データ!$H$25="私立",前提条件!$C$24,前提条件!$C$23),IF(CN6&lt;=14,IF(入力データ!$I$25="私立",前提条件!$C$26,前提条件!$C$25),IF(CN6&lt;=17,IF(入力データ!$J$25="私立",前提条件!$C$28,前提条件!$C$27),IF(CN6&lt;=21,IF(入力データ!$K$25="国公立",前提条件!$C$29,IF(入力データ!$K$25="私立理系",前提条件!$C$31,前提条件!$C$30))+IF(入力データ!$L$25="下宿",前提条件!$C$32,0)+IF(CN6=18,前提条件!$C$33,0),0))))))+IF(CN7="",0,IF(CN7&lt;=5,IF(入力データ!$G$26="私立",前提条件!$C$22,前提条件!$C$21),IF(CN7&lt;=11,IF(入力データ!$H$26="私立",前提条件!$C$24,前提条件!$C$23),IF(CN7&lt;=14,IF(入力データ!$I$26="私立",前提条件!$C$26,前提条件!$C$25),IF(CN7&lt;=17,IF(入力データ!$J$26="私立",前提条件!$C$28,前提条件!$C$27),IF(CN7&lt;=21,IF(入力データ!$K$26="国公立",前提条件!$C$29,IF(入力データ!$K$26="私立理系",前提条件!$C$31,前提条件!$C$30))+IF(入力データ!$L$26="下宿",前提条件!$C$32,0)+IF(CN7=18,前提条件!$C$33,0),0))))))+IF(CN8="",0,IF(CN8&lt;=5,IF(入力データ!$G$27="私立",前提条件!$C$22,前提条件!$C$21),IF(CN8&lt;=11,IF(入力データ!$H$27="私立",前提条件!$C$24,前提条件!$C$23),IF(CN8&lt;=14,IF(入力データ!$I$27="私立",前提条件!$C$26,前提条件!$C$25),IF(CN8&lt;=17,IF(入力データ!$J$27="私立",前提条件!$C$28,前提条件!$C$27),IF(CN8&lt;=21,IF(入力データ!$K$27="国公立",前提条件!$C$29,IF(入力データ!$K$27="私立理系",前提条件!$C$31,前提条件!$C$30))+IF(入力データ!$L$27="下宿",前提条件!$C$32,0)+IF(CN8=18,前提条件!$C$33,0),0)))))))*(1+前提条件!$C$13)^(CN$3-$B$3))</f>
        <v/>
      </c>
      <c r="CO24" s="352">
        <f>IF(CO$3="","",((SUM(入力データ!$C$58:$C$61)*12)+IF(CO6="",0,IF(CO6&lt;=5,IF(入力データ!$G$25="私立",前提条件!$C$22,前提条件!$C$21),IF(CO6&lt;=11,IF(入力データ!$H$25="私立",前提条件!$C$24,前提条件!$C$23),IF(CO6&lt;=14,IF(入力データ!$I$25="私立",前提条件!$C$26,前提条件!$C$25),IF(CO6&lt;=17,IF(入力データ!$J$25="私立",前提条件!$C$28,前提条件!$C$27),IF(CO6&lt;=21,IF(入力データ!$K$25="国公立",前提条件!$C$29,IF(入力データ!$K$25="私立理系",前提条件!$C$31,前提条件!$C$30))+IF(入力データ!$L$25="下宿",前提条件!$C$32,0)+IF(CO6=18,前提条件!$C$33,0),0))))))+IF(CO7="",0,IF(CO7&lt;=5,IF(入力データ!$G$26="私立",前提条件!$C$22,前提条件!$C$21),IF(CO7&lt;=11,IF(入力データ!$H$26="私立",前提条件!$C$24,前提条件!$C$23),IF(CO7&lt;=14,IF(入力データ!$I$26="私立",前提条件!$C$26,前提条件!$C$25),IF(CO7&lt;=17,IF(入力データ!$J$26="私立",前提条件!$C$28,前提条件!$C$27),IF(CO7&lt;=21,IF(入力データ!$K$26="国公立",前提条件!$C$29,IF(入力データ!$K$26="私立理系",前提条件!$C$31,前提条件!$C$30))+IF(入力データ!$L$26="下宿",前提条件!$C$32,0)+IF(CO7=18,前提条件!$C$33,0),0))))))+IF(CO8="",0,IF(CO8&lt;=5,IF(入力データ!$G$27="私立",前提条件!$C$22,前提条件!$C$21),IF(CO8&lt;=11,IF(入力データ!$H$27="私立",前提条件!$C$24,前提条件!$C$23),IF(CO8&lt;=14,IF(入力データ!$I$27="私立",前提条件!$C$26,前提条件!$C$25),IF(CO8&lt;=17,IF(入力データ!$J$27="私立",前提条件!$C$28,前提条件!$C$27),IF(CO8&lt;=21,IF(入力データ!$K$27="国公立",前提条件!$C$29,IF(入力データ!$K$27="私立理系",前提条件!$C$31,前提条件!$C$30))+IF(入力データ!$L$27="下宿",前提条件!$C$32,0)+IF(CO8=18,前提条件!$C$33,0),0)))))))*(1+前提条件!$C$13)^(CO$3-$B$3))</f>
        <v/>
      </c>
      <c r="CP24" s="352">
        <f>IF(CP$3="","",((SUM(入力データ!$C$58:$C$61)*12)+IF(CP6="",0,IF(CP6&lt;=5,IF(入力データ!$G$25="私立",前提条件!$C$22,前提条件!$C$21),IF(CP6&lt;=11,IF(入力データ!$H$25="私立",前提条件!$C$24,前提条件!$C$23),IF(CP6&lt;=14,IF(入力データ!$I$25="私立",前提条件!$C$26,前提条件!$C$25),IF(CP6&lt;=17,IF(入力データ!$J$25="私立",前提条件!$C$28,前提条件!$C$27),IF(CP6&lt;=21,IF(入力データ!$K$25="国公立",前提条件!$C$29,IF(入力データ!$K$25="私立理系",前提条件!$C$31,前提条件!$C$30))+IF(入力データ!$L$25="下宿",前提条件!$C$32,0)+IF(CP6=18,前提条件!$C$33,0),0))))))+IF(CP7="",0,IF(CP7&lt;=5,IF(入力データ!$G$26="私立",前提条件!$C$22,前提条件!$C$21),IF(CP7&lt;=11,IF(入力データ!$H$26="私立",前提条件!$C$24,前提条件!$C$23),IF(CP7&lt;=14,IF(入力データ!$I$26="私立",前提条件!$C$26,前提条件!$C$25),IF(CP7&lt;=17,IF(入力データ!$J$26="私立",前提条件!$C$28,前提条件!$C$27),IF(CP7&lt;=21,IF(入力データ!$K$26="国公立",前提条件!$C$29,IF(入力データ!$K$26="私立理系",前提条件!$C$31,前提条件!$C$30))+IF(入力データ!$L$26="下宿",前提条件!$C$32,0)+IF(CP7=18,前提条件!$C$33,0),0))))))+IF(CP8="",0,IF(CP8&lt;=5,IF(入力データ!$G$27="私立",前提条件!$C$22,前提条件!$C$21),IF(CP8&lt;=11,IF(入力データ!$H$27="私立",前提条件!$C$24,前提条件!$C$23),IF(CP8&lt;=14,IF(入力データ!$I$27="私立",前提条件!$C$26,前提条件!$C$25),IF(CP8&lt;=17,IF(入力データ!$J$27="私立",前提条件!$C$28,前提条件!$C$27),IF(CP8&lt;=21,IF(入力データ!$K$27="国公立",前提条件!$C$29,IF(入力データ!$K$27="私立理系",前提条件!$C$31,前提条件!$C$30))+IF(入力データ!$L$27="下宿",前提条件!$C$32,0)+IF(CP8=18,前提条件!$C$33,0),0)))))))*(1+前提条件!$C$13)^(CP$3-$B$3))</f>
        <v/>
      </c>
      <c r="CQ24" s="352">
        <f>IF(CQ$3="","",((SUM(入力データ!$C$58:$C$61)*12)+IF(CQ6="",0,IF(CQ6&lt;=5,IF(入力データ!$G$25="私立",前提条件!$C$22,前提条件!$C$21),IF(CQ6&lt;=11,IF(入力データ!$H$25="私立",前提条件!$C$24,前提条件!$C$23),IF(CQ6&lt;=14,IF(入力データ!$I$25="私立",前提条件!$C$26,前提条件!$C$25),IF(CQ6&lt;=17,IF(入力データ!$J$25="私立",前提条件!$C$28,前提条件!$C$27),IF(CQ6&lt;=21,IF(入力データ!$K$25="国公立",前提条件!$C$29,IF(入力データ!$K$25="私立理系",前提条件!$C$31,前提条件!$C$30))+IF(入力データ!$L$25="下宿",前提条件!$C$32,0)+IF(CQ6=18,前提条件!$C$33,0),0))))))+IF(CQ7="",0,IF(CQ7&lt;=5,IF(入力データ!$G$26="私立",前提条件!$C$22,前提条件!$C$21),IF(CQ7&lt;=11,IF(入力データ!$H$26="私立",前提条件!$C$24,前提条件!$C$23),IF(CQ7&lt;=14,IF(入力データ!$I$26="私立",前提条件!$C$26,前提条件!$C$25),IF(CQ7&lt;=17,IF(入力データ!$J$26="私立",前提条件!$C$28,前提条件!$C$27),IF(CQ7&lt;=21,IF(入力データ!$K$26="国公立",前提条件!$C$29,IF(入力データ!$K$26="私立理系",前提条件!$C$31,前提条件!$C$30))+IF(入力データ!$L$26="下宿",前提条件!$C$32,0)+IF(CQ7=18,前提条件!$C$33,0),0))))))+IF(CQ8="",0,IF(CQ8&lt;=5,IF(入力データ!$G$27="私立",前提条件!$C$22,前提条件!$C$21),IF(CQ8&lt;=11,IF(入力データ!$H$27="私立",前提条件!$C$24,前提条件!$C$23),IF(CQ8&lt;=14,IF(入力データ!$I$27="私立",前提条件!$C$26,前提条件!$C$25),IF(CQ8&lt;=17,IF(入力データ!$J$27="私立",前提条件!$C$28,前提条件!$C$27),IF(CQ8&lt;=21,IF(入力データ!$K$27="国公立",前提条件!$C$29,IF(入力データ!$K$27="私立理系",前提条件!$C$31,前提条件!$C$30))+IF(入力データ!$L$27="下宿",前提条件!$C$32,0)+IF(CQ8=18,前提条件!$C$33,0),0)))))))*(1+前提条件!$C$13)^(CQ$3-$B$3))</f>
        <v/>
      </c>
      <c r="CR24" s="352">
        <f>IF(CR$3="","",((SUM(入力データ!$C$58:$C$61)*12)+IF(CR6="",0,IF(CR6&lt;=5,IF(入力データ!$G$25="私立",前提条件!$C$22,前提条件!$C$21),IF(CR6&lt;=11,IF(入力データ!$H$25="私立",前提条件!$C$24,前提条件!$C$23),IF(CR6&lt;=14,IF(入力データ!$I$25="私立",前提条件!$C$26,前提条件!$C$25),IF(CR6&lt;=17,IF(入力データ!$J$25="私立",前提条件!$C$28,前提条件!$C$27),IF(CR6&lt;=21,IF(入力データ!$K$25="国公立",前提条件!$C$29,IF(入力データ!$K$25="私立理系",前提条件!$C$31,前提条件!$C$30))+IF(入力データ!$L$25="下宿",前提条件!$C$32,0)+IF(CR6=18,前提条件!$C$33,0),0))))))+IF(CR7="",0,IF(CR7&lt;=5,IF(入力データ!$G$26="私立",前提条件!$C$22,前提条件!$C$21),IF(CR7&lt;=11,IF(入力データ!$H$26="私立",前提条件!$C$24,前提条件!$C$23),IF(CR7&lt;=14,IF(入力データ!$I$26="私立",前提条件!$C$26,前提条件!$C$25),IF(CR7&lt;=17,IF(入力データ!$J$26="私立",前提条件!$C$28,前提条件!$C$27),IF(CR7&lt;=21,IF(入力データ!$K$26="国公立",前提条件!$C$29,IF(入力データ!$K$26="私立理系",前提条件!$C$31,前提条件!$C$30))+IF(入力データ!$L$26="下宿",前提条件!$C$32,0)+IF(CR7=18,前提条件!$C$33,0),0))))))+IF(CR8="",0,IF(CR8&lt;=5,IF(入力データ!$G$27="私立",前提条件!$C$22,前提条件!$C$21),IF(CR8&lt;=11,IF(入力データ!$H$27="私立",前提条件!$C$24,前提条件!$C$23),IF(CR8&lt;=14,IF(入力データ!$I$27="私立",前提条件!$C$26,前提条件!$C$25),IF(CR8&lt;=17,IF(入力データ!$J$27="私立",前提条件!$C$28,前提条件!$C$27),IF(CR8&lt;=21,IF(入力データ!$K$27="国公立",前提条件!$C$29,IF(入力データ!$K$27="私立理系",前提条件!$C$31,前提条件!$C$30))+IF(入力データ!$L$27="下宿",前提条件!$C$32,0)+IF(CR8=18,前提条件!$C$33,0),0)))))))*(1+前提条件!$C$13)^(CR$3-$B$3))</f>
        <v/>
      </c>
      <c r="CS24" s="352">
        <f>IF(CS$3="","",((SUM(入力データ!$C$58:$C$61)*12)+IF(CS6="",0,IF(CS6&lt;=5,IF(入力データ!$G$25="私立",前提条件!$C$22,前提条件!$C$21),IF(CS6&lt;=11,IF(入力データ!$H$25="私立",前提条件!$C$24,前提条件!$C$23),IF(CS6&lt;=14,IF(入力データ!$I$25="私立",前提条件!$C$26,前提条件!$C$25),IF(CS6&lt;=17,IF(入力データ!$J$25="私立",前提条件!$C$28,前提条件!$C$27),IF(CS6&lt;=21,IF(入力データ!$K$25="国公立",前提条件!$C$29,IF(入力データ!$K$25="私立理系",前提条件!$C$31,前提条件!$C$30))+IF(入力データ!$L$25="下宿",前提条件!$C$32,0)+IF(CS6=18,前提条件!$C$33,0),0))))))+IF(CS7="",0,IF(CS7&lt;=5,IF(入力データ!$G$26="私立",前提条件!$C$22,前提条件!$C$21),IF(CS7&lt;=11,IF(入力データ!$H$26="私立",前提条件!$C$24,前提条件!$C$23),IF(CS7&lt;=14,IF(入力データ!$I$26="私立",前提条件!$C$26,前提条件!$C$25),IF(CS7&lt;=17,IF(入力データ!$J$26="私立",前提条件!$C$28,前提条件!$C$27),IF(CS7&lt;=21,IF(入力データ!$K$26="国公立",前提条件!$C$29,IF(入力データ!$K$26="私立理系",前提条件!$C$31,前提条件!$C$30))+IF(入力データ!$L$26="下宿",前提条件!$C$32,0)+IF(CS7=18,前提条件!$C$33,0),0))))))+IF(CS8="",0,IF(CS8&lt;=5,IF(入力データ!$G$27="私立",前提条件!$C$22,前提条件!$C$21),IF(CS8&lt;=11,IF(入力データ!$H$27="私立",前提条件!$C$24,前提条件!$C$23),IF(CS8&lt;=14,IF(入力データ!$I$27="私立",前提条件!$C$26,前提条件!$C$25),IF(CS8&lt;=17,IF(入力データ!$J$27="私立",前提条件!$C$28,前提条件!$C$27),IF(CS8&lt;=21,IF(入力データ!$K$27="国公立",前提条件!$C$29,IF(入力データ!$K$27="私立理系",前提条件!$C$31,前提条件!$C$30))+IF(入力データ!$L$27="下宿",前提条件!$C$32,0)+IF(CS8=18,前提条件!$C$33,0),0)))))))*(1+前提条件!$C$13)^(CS$3-$B$3))</f>
        <v/>
      </c>
      <c r="CT24" s="352">
        <f>IF(CT$3="","",((SUM(入力データ!$C$58:$C$61)*12)+IF(CT6="",0,IF(CT6&lt;=5,IF(入力データ!$G$25="私立",前提条件!$C$22,前提条件!$C$21),IF(CT6&lt;=11,IF(入力データ!$H$25="私立",前提条件!$C$24,前提条件!$C$23),IF(CT6&lt;=14,IF(入力データ!$I$25="私立",前提条件!$C$26,前提条件!$C$25),IF(CT6&lt;=17,IF(入力データ!$J$25="私立",前提条件!$C$28,前提条件!$C$27),IF(CT6&lt;=21,IF(入力データ!$K$25="国公立",前提条件!$C$29,IF(入力データ!$K$25="私立理系",前提条件!$C$31,前提条件!$C$30))+IF(入力データ!$L$25="下宿",前提条件!$C$32,0)+IF(CT6=18,前提条件!$C$33,0),0))))))+IF(CT7="",0,IF(CT7&lt;=5,IF(入力データ!$G$26="私立",前提条件!$C$22,前提条件!$C$21),IF(CT7&lt;=11,IF(入力データ!$H$26="私立",前提条件!$C$24,前提条件!$C$23),IF(CT7&lt;=14,IF(入力データ!$I$26="私立",前提条件!$C$26,前提条件!$C$25),IF(CT7&lt;=17,IF(入力データ!$J$26="私立",前提条件!$C$28,前提条件!$C$27),IF(CT7&lt;=21,IF(入力データ!$K$26="国公立",前提条件!$C$29,IF(入力データ!$K$26="私立理系",前提条件!$C$31,前提条件!$C$30))+IF(入力データ!$L$26="下宿",前提条件!$C$32,0)+IF(CT7=18,前提条件!$C$33,0),0))))))+IF(CT8="",0,IF(CT8&lt;=5,IF(入力データ!$G$27="私立",前提条件!$C$22,前提条件!$C$21),IF(CT8&lt;=11,IF(入力データ!$H$27="私立",前提条件!$C$24,前提条件!$C$23),IF(CT8&lt;=14,IF(入力データ!$I$27="私立",前提条件!$C$26,前提条件!$C$25),IF(CT8&lt;=17,IF(入力データ!$J$27="私立",前提条件!$C$28,前提条件!$C$27),IF(CT8&lt;=21,IF(入力データ!$K$27="国公立",前提条件!$C$29,IF(入力データ!$K$27="私立理系",前提条件!$C$31,前提条件!$C$30))+IF(入力データ!$L$27="下宿",前提条件!$C$32,0)+IF(CT8=18,前提条件!$C$33,0),0)))))))*(1+前提条件!$C$13)^(CT$3-$B$3))</f>
        <v/>
      </c>
      <c r="CU24" s="352">
        <f>IF(CU$3="","",((SUM(入力データ!$C$58:$C$61)*12)+IF(CU6="",0,IF(CU6&lt;=5,IF(入力データ!$G$25="私立",前提条件!$C$22,前提条件!$C$21),IF(CU6&lt;=11,IF(入力データ!$H$25="私立",前提条件!$C$24,前提条件!$C$23),IF(CU6&lt;=14,IF(入力データ!$I$25="私立",前提条件!$C$26,前提条件!$C$25),IF(CU6&lt;=17,IF(入力データ!$J$25="私立",前提条件!$C$28,前提条件!$C$27),IF(CU6&lt;=21,IF(入力データ!$K$25="国公立",前提条件!$C$29,IF(入力データ!$K$25="私立理系",前提条件!$C$31,前提条件!$C$30))+IF(入力データ!$L$25="下宿",前提条件!$C$32,0)+IF(CU6=18,前提条件!$C$33,0),0))))))+IF(CU7="",0,IF(CU7&lt;=5,IF(入力データ!$G$26="私立",前提条件!$C$22,前提条件!$C$21),IF(CU7&lt;=11,IF(入力データ!$H$26="私立",前提条件!$C$24,前提条件!$C$23),IF(CU7&lt;=14,IF(入力データ!$I$26="私立",前提条件!$C$26,前提条件!$C$25),IF(CU7&lt;=17,IF(入力データ!$J$26="私立",前提条件!$C$28,前提条件!$C$27),IF(CU7&lt;=21,IF(入力データ!$K$26="国公立",前提条件!$C$29,IF(入力データ!$K$26="私立理系",前提条件!$C$31,前提条件!$C$30))+IF(入力データ!$L$26="下宿",前提条件!$C$32,0)+IF(CU7=18,前提条件!$C$33,0),0))))))+IF(CU8="",0,IF(CU8&lt;=5,IF(入力データ!$G$27="私立",前提条件!$C$22,前提条件!$C$21),IF(CU8&lt;=11,IF(入力データ!$H$27="私立",前提条件!$C$24,前提条件!$C$23),IF(CU8&lt;=14,IF(入力データ!$I$27="私立",前提条件!$C$26,前提条件!$C$25),IF(CU8&lt;=17,IF(入力データ!$J$27="私立",前提条件!$C$28,前提条件!$C$27),IF(CU8&lt;=21,IF(入力データ!$K$27="国公立",前提条件!$C$29,IF(入力データ!$K$27="私立理系",前提条件!$C$31,前提条件!$C$30))+IF(入力データ!$L$27="下宿",前提条件!$C$32,0)+IF(CU8=18,前提条件!$C$33,0),0)))))))*(1+前提条件!$C$13)^(CU$3-$B$3))</f>
        <v/>
      </c>
      <c r="CV24" s="352">
        <f>IF(CV$3="","",((SUM(入力データ!$C$58:$C$61)*12)+IF(CV6="",0,IF(CV6&lt;=5,IF(入力データ!$G$25="私立",前提条件!$C$22,前提条件!$C$21),IF(CV6&lt;=11,IF(入力データ!$H$25="私立",前提条件!$C$24,前提条件!$C$23),IF(CV6&lt;=14,IF(入力データ!$I$25="私立",前提条件!$C$26,前提条件!$C$25),IF(CV6&lt;=17,IF(入力データ!$J$25="私立",前提条件!$C$28,前提条件!$C$27),IF(CV6&lt;=21,IF(入力データ!$K$25="国公立",前提条件!$C$29,IF(入力データ!$K$25="私立理系",前提条件!$C$31,前提条件!$C$30))+IF(入力データ!$L$25="下宿",前提条件!$C$32,0)+IF(CV6=18,前提条件!$C$33,0),0))))))+IF(CV7="",0,IF(CV7&lt;=5,IF(入力データ!$G$26="私立",前提条件!$C$22,前提条件!$C$21),IF(CV7&lt;=11,IF(入力データ!$H$26="私立",前提条件!$C$24,前提条件!$C$23),IF(CV7&lt;=14,IF(入力データ!$I$26="私立",前提条件!$C$26,前提条件!$C$25),IF(CV7&lt;=17,IF(入力データ!$J$26="私立",前提条件!$C$28,前提条件!$C$27),IF(CV7&lt;=21,IF(入力データ!$K$26="国公立",前提条件!$C$29,IF(入力データ!$K$26="私立理系",前提条件!$C$31,前提条件!$C$30))+IF(入力データ!$L$26="下宿",前提条件!$C$32,0)+IF(CV7=18,前提条件!$C$33,0),0))))))+IF(CV8="",0,IF(CV8&lt;=5,IF(入力データ!$G$27="私立",前提条件!$C$22,前提条件!$C$21),IF(CV8&lt;=11,IF(入力データ!$H$27="私立",前提条件!$C$24,前提条件!$C$23),IF(CV8&lt;=14,IF(入力データ!$I$27="私立",前提条件!$C$26,前提条件!$C$25),IF(CV8&lt;=17,IF(入力データ!$J$27="私立",前提条件!$C$28,前提条件!$C$27),IF(CV8&lt;=21,IF(入力データ!$K$27="国公立",前提条件!$C$29,IF(入力データ!$K$27="私立理系",前提条件!$C$31,前提条件!$C$30))+IF(入力データ!$L$27="下宿",前提条件!$C$32,0)+IF(CV8=18,前提条件!$C$33,0),0)))))))*(1+前提条件!$C$13)^(CV$3-$B$3))</f>
        <v/>
      </c>
      <c r="CW24" s="352">
        <f>IF(CW$3="","",((SUM(入力データ!$C$58:$C$61)*12)+IF(CW6="",0,IF(CW6&lt;=5,IF(入力データ!$G$25="私立",前提条件!$C$22,前提条件!$C$21),IF(CW6&lt;=11,IF(入力データ!$H$25="私立",前提条件!$C$24,前提条件!$C$23),IF(CW6&lt;=14,IF(入力データ!$I$25="私立",前提条件!$C$26,前提条件!$C$25),IF(CW6&lt;=17,IF(入力データ!$J$25="私立",前提条件!$C$28,前提条件!$C$27),IF(CW6&lt;=21,IF(入力データ!$K$25="国公立",前提条件!$C$29,IF(入力データ!$K$25="私立理系",前提条件!$C$31,前提条件!$C$30))+IF(入力データ!$L$25="下宿",前提条件!$C$32,0)+IF(CW6=18,前提条件!$C$33,0),0))))))+IF(CW7="",0,IF(CW7&lt;=5,IF(入力データ!$G$26="私立",前提条件!$C$22,前提条件!$C$21),IF(CW7&lt;=11,IF(入力データ!$H$26="私立",前提条件!$C$24,前提条件!$C$23),IF(CW7&lt;=14,IF(入力データ!$I$26="私立",前提条件!$C$26,前提条件!$C$25),IF(CW7&lt;=17,IF(入力データ!$J$26="私立",前提条件!$C$28,前提条件!$C$27),IF(CW7&lt;=21,IF(入力データ!$K$26="国公立",前提条件!$C$29,IF(入力データ!$K$26="私立理系",前提条件!$C$31,前提条件!$C$30))+IF(入力データ!$L$26="下宿",前提条件!$C$32,0)+IF(CW7=18,前提条件!$C$33,0),0))))))+IF(CW8="",0,IF(CW8&lt;=5,IF(入力データ!$G$27="私立",前提条件!$C$22,前提条件!$C$21),IF(CW8&lt;=11,IF(入力データ!$H$27="私立",前提条件!$C$24,前提条件!$C$23),IF(CW8&lt;=14,IF(入力データ!$I$27="私立",前提条件!$C$26,前提条件!$C$25),IF(CW8&lt;=17,IF(入力データ!$J$27="私立",前提条件!$C$28,前提条件!$C$27),IF(CW8&lt;=21,IF(入力データ!$K$27="国公立",前提条件!$C$29,IF(入力データ!$K$27="私立理系",前提条件!$C$31,前提条件!$C$30))+IF(入力データ!$L$27="下宿",前提条件!$C$32,0)+IF(CW8=18,前提条件!$C$33,0),0)))))))*(1+前提条件!$C$13)^(CW$3-$B$3))</f>
        <v/>
      </c>
    </row>
    <row r="25" ht="15" customHeight="1" s="180">
      <c r="A25" s="224" t="inlineStr">
        <is>
          <t>車関連費</t>
        </is>
      </c>
      <c r="B25" s="352">
        <f>IF(B$3="","",SUM(入力データ!$C$66:$C$70)*12*(1+前提条件!$C$12)^(B$3-$B$3))</f>
        <v/>
      </c>
      <c r="C25" s="352">
        <f>IF(C$3="","",SUM(入力データ!$C$66:$C$70)*12*(1+前提条件!$C$12)^(C$3-$B$3))</f>
        <v/>
      </c>
      <c r="D25" s="352">
        <f>IF(D$3="","",SUM(入力データ!$C$66:$C$70)*12*(1+前提条件!$C$12)^(D$3-$B$3))</f>
        <v/>
      </c>
      <c r="E25" s="352">
        <f>IF(E$3="","",SUM(入力データ!$C$66:$C$70)*12*(1+前提条件!$C$12)^(E$3-$B$3))</f>
        <v/>
      </c>
      <c r="F25" s="352">
        <f>IF(F$3="","",SUM(入力データ!$C$66:$C$70)*12*(1+前提条件!$C$12)^(F$3-$B$3))</f>
        <v/>
      </c>
      <c r="G25" s="352">
        <f>IF(G$3="","",SUM(入力データ!$C$66:$C$70)*12*(1+前提条件!$C$12)^(G$3-$B$3))</f>
        <v/>
      </c>
      <c r="H25" s="352">
        <f>IF(H$3="","",SUM(入力データ!$C$66:$C$70)*12*(1+前提条件!$C$12)^(H$3-$B$3))</f>
        <v/>
      </c>
      <c r="I25" s="352">
        <f>IF(I$3="","",SUM(入力データ!$C$66:$C$70)*12*(1+前提条件!$C$12)^(I$3-$B$3))</f>
        <v/>
      </c>
      <c r="J25" s="352">
        <f>IF(J$3="","",SUM(入力データ!$C$66:$C$70)*12*(1+前提条件!$C$12)^(J$3-$B$3))</f>
        <v/>
      </c>
      <c r="K25" s="352">
        <f>IF(K$3="","",SUM(入力データ!$C$66:$C$70)*12*(1+前提条件!$C$12)^(K$3-$B$3))</f>
        <v/>
      </c>
      <c r="L25" s="352">
        <f>IF(L$3="","",SUM(入力データ!$C$66:$C$70)*12*(1+前提条件!$C$12)^(L$3-$B$3))</f>
        <v/>
      </c>
      <c r="M25" s="352">
        <f>IF(M$3="","",SUM(入力データ!$C$66:$C$70)*12*(1+前提条件!$C$12)^(M$3-$B$3))</f>
        <v/>
      </c>
      <c r="N25" s="352">
        <f>IF(N$3="","",SUM(入力データ!$C$66:$C$70)*12*(1+前提条件!$C$12)^(N$3-$B$3))</f>
        <v/>
      </c>
      <c r="O25" s="352">
        <f>IF(O$3="","",SUM(入力データ!$C$66:$C$70)*12*(1+前提条件!$C$12)^(O$3-$B$3))</f>
        <v/>
      </c>
      <c r="P25" s="352">
        <f>IF(P$3="","",SUM(入力データ!$C$66:$C$70)*12*(1+前提条件!$C$12)^(P$3-$B$3))</f>
        <v/>
      </c>
      <c r="Q25" s="352">
        <f>IF(Q$3="","",SUM(入力データ!$C$66:$C$70)*12*(1+前提条件!$C$12)^(Q$3-$B$3))</f>
        <v/>
      </c>
      <c r="R25" s="352">
        <f>IF(R$3="","",SUM(入力データ!$C$66:$C$70)*12*(1+前提条件!$C$12)^(R$3-$B$3))</f>
        <v/>
      </c>
      <c r="S25" s="352">
        <f>IF(S$3="","",SUM(入力データ!$C$66:$C$70)*12*(1+前提条件!$C$12)^(S$3-$B$3))</f>
        <v/>
      </c>
      <c r="T25" s="352">
        <f>IF(T$3="","",SUM(入力データ!$C$66:$C$70)*12*(1+前提条件!$C$12)^(T$3-$B$3))</f>
        <v/>
      </c>
      <c r="U25" s="352">
        <f>IF(U$3="","",SUM(入力データ!$C$66:$C$70)*12*(1+前提条件!$C$12)^(U$3-$B$3))</f>
        <v/>
      </c>
      <c r="V25" s="352">
        <f>IF(V$3="","",SUM(入力データ!$C$66:$C$70)*12*(1+前提条件!$C$12)^(V$3-$B$3))</f>
        <v/>
      </c>
      <c r="W25" s="352">
        <f>IF(W$3="","",SUM(入力データ!$C$66:$C$70)*12*(1+前提条件!$C$12)^(W$3-$B$3))</f>
        <v/>
      </c>
      <c r="X25" s="352">
        <f>IF(X$3="","",SUM(入力データ!$C$66:$C$70)*12*(1+前提条件!$C$12)^(X$3-$B$3))</f>
        <v/>
      </c>
      <c r="Y25" s="352">
        <f>IF(Y$3="","",SUM(入力データ!$C$66:$C$70)*12*(1+前提条件!$C$12)^(Y$3-$B$3))</f>
        <v/>
      </c>
      <c r="Z25" s="352">
        <f>IF(Z$3="","",SUM(入力データ!$C$66:$C$70)*12*(1+前提条件!$C$12)^(Z$3-$B$3))</f>
        <v/>
      </c>
      <c r="AA25" s="352">
        <f>IF(AA$3="","",SUM(入力データ!$C$66:$C$70)*12*(1+前提条件!$C$12)^(AA$3-$B$3))</f>
        <v/>
      </c>
      <c r="AB25" s="352">
        <f>IF(AB$3="","",SUM(入力データ!$C$66:$C$70)*12*(1+前提条件!$C$12)^(AB$3-$B$3))</f>
        <v/>
      </c>
      <c r="AC25" s="352">
        <f>IF(AC$3="","",SUM(入力データ!$C$66:$C$70)*12*(1+前提条件!$C$12)^(AC$3-$B$3))</f>
        <v/>
      </c>
      <c r="AD25" s="352">
        <f>IF(AD$3="","",SUM(入力データ!$C$66:$C$70)*12*(1+前提条件!$C$12)^(AD$3-$B$3))</f>
        <v/>
      </c>
      <c r="AE25" s="352">
        <f>IF(AE$3="","",SUM(入力データ!$C$66:$C$70)*12*(1+前提条件!$C$12)^(AE$3-$B$3))</f>
        <v/>
      </c>
      <c r="AF25" s="352">
        <f>IF(AF$3="","",SUM(入力データ!$C$66:$C$70)*12*(1+前提条件!$C$12)^(AF$3-$B$3))</f>
        <v/>
      </c>
      <c r="AG25" s="352">
        <f>IF(AG$3="","",SUM(入力データ!$C$66:$C$70)*12*(1+前提条件!$C$12)^(AG$3-$B$3))</f>
        <v/>
      </c>
      <c r="AH25" s="352">
        <f>IF(AH$3="","",SUM(入力データ!$C$66:$C$70)*12*(1+前提条件!$C$12)^(AH$3-$B$3))</f>
        <v/>
      </c>
      <c r="AI25" s="352">
        <f>IF(AI$3="","",SUM(入力データ!$C$66:$C$70)*12*(1+前提条件!$C$12)^(AI$3-$B$3))</f>
        <v/>
      </c>
      <c r="AJ25" s="352">
        <f>IF(AJ$3="","",SUM(入力データ!$C$66:$C$70)*12*(1+前提条件!$C$12)^(AJ$3-$B$3))</f>
        <v/>
      </c>
      <c r="AK25" s="352">
        <f>IF(AK$3="","",SUM(入力データ!$C$66:$C$70)*12*(1+前提条件!$C$12)^(AK$3-$B$3))</f>
        <v/>
      </c>
      <c r="AL25" s="352">
        <f>IF(AL$3="","",SUM(入力データ!$C$66:$C$70)*12*(1+前提条件!$C$12)^(AL$3-$B$3))</f>
        <v/>
      </c>
      <c r="AM25" s="352">
        <f>IF(AM$3="","",SUM(入力データ!$C$66:$C$70)*12*(1+前提条件!$C$12)^(AM$3-$B$3))</f>
        <v/>
      </c>
      <c r="AN25" s="352">
        <f>IF(AN$3="","",SUM(入力データ!$C$66:$C$70)*12*(1+前提条件!$C$12)^(AN$3-$B$3))</f>
        <v/>
      </c>
      <c r="AO25" s="352">
        <f>IF(AO$3="","",SUM(入力データ!$C$66:$C$70)*12*(1+前提条件!$C$12)^(AO$3-$B$3))</f>
        <v/>
      </c>
      <c r="AP25" s="352">
        <f>IF(AP$3="","",SUM(入力データ!$C$66:$C$70)*12*(1+前提条件!$C$12)^(AP$3-$B$3))</f>
        <v/>
      </c>
      <c r="AQ25" s="352">
        <f>IF(AQ$3="","",SUM(入力データ!$C$66:$C$70)*12*(1+前提条件!$C$12)^(AQ$3-$B$3))</f>
        <v/>
      </c>
      <c r="AR25" s="352">
        <f>IF(AR$3="","",SUM(入力データ!$C$66:$C$70)*12*(1+前提条件!$C$12)^(AR$3-$B$3))</f>
        <v/>
      </c>
      <c r="AS25" s="352">
        <f>IF(AS$3="","",SUM(入力データ!$C$66:$C$70)*12*(1+前提条件!$C$12)^(AS$3-$B$3))</f>
        <v/>
      </c>
      <c r="AT25" s="352">
        <f>IF(AT$3="","",SUM(入力データ!$C$66:$C$70)*12*(1+前提条件!$C$12)^(AT$3-$B$3))</f>
        <v/>
      </c>
      <c r="AU25" s="352">
        <f>IF(AU$3="","",SUM(入力データ!$C$66:$C$70)*12*(1+前提条件!$C$12)^(AU$3-$B$3))</f>
        <v/>
      </c>
      <c r="AV25" s="352">
        <f>IF(AV$3="","",SUM(入力データ!$C$66:$C$70)*12*(1+前提条件!$C$12)^(AV$3-$B$3))</f>
        <v/>
      </c>
      <c r="AW25" s="352">
        <f>IF(AW$3="","",SUM(入力データ!$C$66:$C$70)*12*(1+前提条件!$C$12)^(AW$3-$B$3))</f>
        <v/>
      </c>
      <c r="AX25" s="352">
        <f>IF(AX$3="","",SUM(入力データ!$C$66:$C$70)*12*(1+前提条件!$C$12)^(AX$3-$B$3))</f>
        <v/>
      </c>
      <c r="AY25" s="352">
        <f>IF(AY$3="","",SUM(入力データ!$C$66:$C$70)*12*(1+前提条件!$C$12)^(AY$3-$B$3))</f>
        <v/>
      </c>
      <c r="AZ25" s="352">
        <f>IF(AZ$3="","",SUM(入力データ!$C$66:$C$70)*12*(1+前提条件!$C$12)^(AZ$3-$B$3))</f>
        <v/>
      </c>
      <c r="BA25" s="352">
        <f>IF(BA$3="","",SUM(入力データ!$C$66:$C$70)*12*(1+前提条件!$C$12)^(BA$3-$B$3))</f>
        <v/>
      </c>
      <c r="BB25" s="352">
        <f>IF(BB$3="","",SUM(入力データ!$C$66:$C$70)*12*(1+前提条件!$C$12)^(BB$3-$B$3))</f>
        <v/>
      </c>
      <c r="BC25" s="352">
        <f>IF(BC$3="","",SUM(入力データ!$C$66:$C$70)*12*(1+前提条件!$C$12)^(BC$3-$B$3))</f>
        <v/>
      </c>
      <c r="BD25" s="352">
        <f>IF(BD$3="","",SUM(入力データ!$C$66:$C$70)*12*(1+前提条件!$C$12)^(BD$3-$B$3))</f>
        <v/>
      </c>
      <c r="BE25" s="352">
        <f>IF(BE$3="","",SUM(入力データ!$C$66:$C$70)*12*(1+前提条件!$C$12)^(BE$3-$B$3))</f>
        <v/>
      </c>
      <c r="BF25" s="352">
        <f>IF(BF$3="","",SUM(入力データ!$C$66:$C$70)*12*(1+前提条件!$C$12)^(BF$3-$B$3))</f>
        <v/>
      </c>
      <c r="BG25" s="352">
        <f>IF(BG$3="","",SUM(入力データ!$C$66:$C$70)*12*(1+前提条件!$C$12)^(BG$3-$B$3))</f>
        <v/>
      </c>
      <c r="BH25" s="352">
        <f>IF(BH$3="","",SUM(入力データ!$C$66:$C$70)*12*(1+前提条件!$C$12)^(BH$3-$B$3))</f>
        <v/>
      </c>
      <c r="BI25" s="352">
        <f>IF(BI$3="","",SUM(入力データ!$C$66:$C$70)*12*(1+前提条件!$C$12)^(BI$3-$B$3))</f>
        <v/>
      </c>
      <c r="BJ25" s="352">
        <f>IF(BJ$3="","",SUM(入力データ!$C$66:$C$70)*12*(1+前提条件!$C$12)^(BJ$3-$B$3))</f>
        <v/>
      </c>
      <c r="BK25" s="352">
        <f>IF(BK$3="","",SUM(入力データ!$C$66:$C$70)*12*(1+前提条件!$C$12)^(BK$3-$B$3))</f>
        <v/>
      </c>
      <c r="BL25" s="352">
        <f>IF(BL$3="","",SUM(入力データ!$C$66:$C$70)*12*(1+前提条件!$C$12)^(BL$3-$B$3))</f>
        <v/>
      </c>
      <c r="BM25" s="352">
        <f>IF(BM$3="","",SUM(入力データ!$C$66:$C$70)*12*(1+前提条件!$C$12)^(BM$3-$B$3))</f>
        <v/>
      </c>
      <c r="BN25" s="352">
        <f>IF(BN$3="","",SUM(入力データ!$C$66:$C$70)*12*(1+前提条件!$C$12)^(BN$3-$B$3))</f>
        <v/>
      </c>
      <c r="BO25" s="352">
        <f>IF(BO$3="","",SUM(入力データ!$C$66:$C$70)*12*(1+前提条件!$C$12)^(BO$3-$B$3))</f>
        <v/>
      </c>
      <c r="BP25" s="352">
        <f>IF(BP$3="","",SUM(入力データ!$C$66:$C$70)*12*(1+前提条件!$C$12)^(BP$3-$B$3))</f>
        <v/>
      </c>
      <c r="BQ25" s="352">
        <f>IF(BQ$3="","",SUM(入力データ!$C$66:$C$70)*12*(1+前提条件!$C$12)^(BQ$3-$B$3))</f>
        <v/>
      </c>
      <c r="BR25" s="352">
        <f>IF(BR$3="","",SUM(入力データ!$C$66:$C$70)*12*(1+前提条件!$C$12)^(BR$3-$B$3))</f>
        <v/>
      </c>
      <c r="BS25" s="352">
        <f>IF(BS$3="","",SUM(入力データ!$C$66:$C$70)*12*(1+前提条件!$C$12)^(BS$3-$B$3))</f>
        <v/>
      </c>
      <c r="BT25" s="352">
        <f>IF(BT$3="","",SUM(入力データ!$C$66:$C$70)*12*(1+前提条件!$C$12)^(BT$3-$B$3))</f>
        <v/>
      </c>
      <c r="BU25" s="352">
        <f>IF(BU$3="","",SUM(入力データ!$C$66:$C$70)*12*(1+前提条件!$C$12)^(BU$3-$B$3))</f>
        <v/>
      </c>
      <c r="BV25" s="352">
        <f>IF(BV$3="","",SUM(入力データ!$C$66:$C$70)*12*(1+前提条件!$C$12)^(BV$3-$B$3))</f>
        <v/>
      </c>
      <c r="BW25" s="352">
        <f>IF(BW$3="","",SUM(入力データ!$C$66:$C$70)*12*(1+前提条件!$C$12)^(BW$3-$B$3))</f>
        <v/>
      </c>
      <c r="BX25" s="352">
        <f>IF(BX$3="","",SUM(入力データ!$C$66:$C$70)*12*(1+前提条件!$C$12)^(BX$3-$B$3))</f>
        <v/>
      </c>
      <c r="BY25" s="352">
        <f>IF(BY$3="","",SUM(入力データ!$C$66:$C$70)*12*(1+前提条件!$C$12)^(BY$3-$B$3))</f>
        <v/>
      </c>
      <c r="BZ25" s="352">
        <f>IF(BZ$3="","",SUM(入力データ!$C$66:$C$70)*12*(1+前提条件!$C$12)^(BZ$3-$B$3))</f>
        <v/>
      </c>
      <c r="CA25" s="352">
        <f>IF(CA$3="","",SUM(入力データ!$C$66:$C$70)*12*(1+前提条件!$C$12)^(CA$3-$B$3))</f>
        <v/>
      </c>
      <c r="CB25" s="352">
        <f>IF(CB$3="","",SUM(入力データ!$C$66:$C$70)*12*(1+前提条件!$C$12)^(CB$3-$B$3))</f>
        <v/>
      </c>
      <c r="CC25" s="352">
        <f>IF(CC$3="","",SUM(入力データ!$C$66:$C$70)*12*(1+前提条件!$C$12)^(CC$3-$B$3))</f>
        <v/>
      </c>
      <c r="CD25" s="352">
        <f>IF(CD$3="","",SUM(入力データ!$C$66:$C$70)*12*(1+前提条件!$C$12)^(CD$3-$B$3))</f>
        <v/>
      </c>
      <c r="CE25" s="352">
        <f>IF(CE$3="","",SUM(入力データ!$C$66:$C$70)*12*(1+前提条件!$C$12)^(CE$3-$B$3))</f>
        <v/>
      </c>
      <c r="CF25" s="352">
        <f>IF(CF$3="","",SUM(入力データ!$C$66:$C$70)*12*(1+前提条件!$C$12)^(CF$3-$B$3))</f>
        <v/>
      </c>
      <c r="CG25" s="352">
        <f>IF(CG$3="","",SUM(入力データ!$C$66:$C$70)*12*(1+前提条件!$C$12)^(CG$3-$B$3))</f>
        <v/>
      </c>
      <c r="CH25" s="352">
        <f>IF(CH$3="","",SUM(入力データ!$C$66:$C$70)*12*(1+前提条件!$C$12)^(CH$3-$B$3))</f>
        <v/>
      </c>
      <c r="CI25" s="352">
        <f>IF(CI$3="","",SUM(入力データ!$C$66:$C$70)*12*(1+前提条件!$C$12)^(CI$3-$B$3))</f>
        <v/>
      </c>
      <c r="CJ25" s="352">
        <f>IF(CJ$3="","",SUM(入力データ!$C$66:$C$70)*12*(1+前提条件!$C$12)^(CJ$3-$B$3))</f>
        <v/>
      </c>
      <c r="CK25" s="352">
        <f>IF(CK$3="","",SUM(入力データ!$C$66:$C$70)*12*(1+前提条件!$C$12)^(CK$3-$B$3))</f>
        <v/>
      </c>
      <c r="CL25" s="352">
        <f>IF(CL$3="","",SUM(入力データ!$C$66:$C$70)*12*(1+前提条件!$C$12)^(CL$3-$B$3))</f>
        <v/>
      </c>
      <c r="CM25" s="352">
        <f>IF(CM$3="","",SUM(入力データ!$C$66:$C$70)*12*(1+前提条件!$C$12)^(CM$3-$B$3))</f>
        <v/>
      </c>
      <c r="CN25" s="352">
        <f>IF(CN$3="","",SUM(入力データ!$C$66:$C$70)*12*(1+前提条件!$C$12)^(CN$3-$B$3))</f>
        <v/>
      </c>
      <c r="CO25" s="352">
        <f>IF(CO$3="","",SUM(入力データ!$C$66:$C$70)*12*(1+前提条件!$C$12)^(CO$3-$B$3))</f>
        <v/>
      </c>
      <c r="CP25" s="352">
        <f>IF(CP$3="","",SUM(入力データ!$C$66:$C$70)*12*(1+前提条件!$C$12)^(CP$3-$B$3))</f>
        <v/>
      </c>
      <c r="CQ25" s="352">
        <f>IF(CQ$3="","",SUM(入力データ!$C$66:$C$70)*12*(1+前提条件!$C$12)^(CQ$3-$B$3))</f>
        <v/>
      </c>
      <c r="CR25" s="352">
        <f>IF(CR$3="","",SUM(入力データ!$C$66:$C$70)*12*(1+前提条件!$C$12)^(CR$3-$B$3))</f>
        <v/>
      </c>
      <c r="CS25" s="352">
        <f>IF(CS$3="","",SUM(入力データ!$C$66:$C$70)*12*(1+前提条件!$C$12)^(CS$3-$B$3))</f>
        <v/>
      </c>
      <c r="CT25" s="352">
        <f>IF(CT$3="","",SUM(入力データ!$C$66:$C$70)*12*(1+前提条件!$C$12)^(CT$3-$B$3))</f>
        <v/>
      </c>
      <c r="CU25" s="352">
        <f>IF(CU$3="","",SUM(入力データ!$C$66:$C$70)*12*(1+前提条件!$C$12)^(CU$3-$B$3))</f>
        <v/>
      </c>
      <c r="CV25" s="352">
        <f>IF(CV$3="","",SUM(入力データ!$C$66:$C$70)*12*(1+前提条件!$C$12)^(CV$3-$B$3))</f>
        <v/>
      </c>
      <c r="CW25" s="352">
        <f>IF(CW$3="","",SUM(入力データ!$C$66:$C$70)*12*(1+前提条件!$C$12)^(CW$3-$B$3))</f>
        <v/>
      </c>
    </row>
    <row r="26" ht="15" customHeight="1" s="180">
      <c r="A26" s="224" t="inlineStr">
        <is>
          <t>その他支出</t>
        </is>
      </c>
      <c r="B26" s="352">
        <f>IF(B$3="","",SUM(入力データ!$C$71:$C$74)*12*(1+前提条件!$C$12)^(B$3-$B$3))</f>
        <v/>
      </c>
      <c r="C26" s="352">
        <f>IF(C$3="","",SUM(入力データ!$C$71:$C$74)*12*(1+前提条件!$C$12)^(C$3-$B$3))</f>
        <v/>
      </c>
      <c r="D26" s="352">
        <f>IF(D$3="","",SUM(入力データ!$C$71:$C$74)*12*(1+前提条件!$C$12)^(D$3-$B$3))</f>
        <v/>
      </c>
      <c r="E26" s="352">
        <f>IF(E$3="","",SUM(入力データ!$C$71:$C$74)*12*(1+前提条件!$C$12)^(E$3-$B$3))</f>
        <v/>
      </c>
      <c r="F26" s="352">
        <f>IF(F$3="","",SUM(入力データ!$C$71:$C$74)*12*(1+前提条件!$C$12)^(F$3-$B$3))</f>
        <v/>
      </c>
      <c r="G26" s="352">
        <f>IF(G$3="","",SUM(入力データ!$C$71:$C$74)*12*(1+前提条件!$C$12)^(G$3-$B$3))</f>
        <v/>
      </c>
      <c r="H26" s="352">
        <f>IF(H$3="","",SUM(入力データ!$C$71:$C$74)*12*(1+前提条件!$C$12)^(H$3-$B$3))</f>
        <v/>
      </c>
      <c r="I26" s="352">
        <f>IF(I$3="","",SUM(入力データ!$C$71:$C$74)*12*(1+前提条件!$C$12)^(I$3-$B$3))</f>
        <v/>
      </c>
      <c r="J26" s="352">
        <f>IF(J$3="","",SUM(入力データ!$C$71:$C$74)*12*(1+前提条件!$C$12)^(J$3-$B$3))</f>
        <v/>
      </c>
      <c r="K26" s="352">
        <f>IF(K$3="","",SUM(入力データ!$C$71:$C$74)*12*(1+前提条件!$C$12)^(K$3-$B$3))</f>
        <v/>
      </c>
      <c r="L26" s="352">
        <f>IF(L$3="","",SUM(入力データ!$C$71:$C$74)*12*(1+前提条件!$C$12)^(L$3-$B$3))</f>
        <v/>
      </c>
      <c r="M26" s="352">
        <f>IF(M$3="","",SUM(入力データ!$C$71:$C$74)*12*(1+前提条件!$C$12)^(M$3-$B$3))</f>
        <v/>
      </c>
      <c r="N26" s="352">
        <f>IF(N$3="","",SUM(入力データ!$C$71:$C$74)*12*(1+前提条件!$C$12)^(N$3-$B$3))</f>
        <v/>
      </c>
      <c r="O26" s="352">
        <f>IF(O$3="","",SUM(入力データ!$C$71:$C$74)*12*(1+前提条件!$C$12)^(O$3-$B$3))</f>
        <v/>
      </c>
      <c r="P26" s="352">
        <f>IF(P$3="","",SUM(入力データ!$C$71:$C$74)*12*(1+前提条件!$C$12)^(P$3-$B$3))</f>
        <v/>
      </c>
      <c r="Q26" s="352">
        <f>IF(Q$3="","",SUM(入力データ!$C$71:$C$74)*12*(1+前提条件!$C$12)^(Q$3-$B$3))</f>
        <v/>
      </c>
      <c r="R26" s="352">
        <f>IF(R$3="","",SUM(入力データ!$C$71:$C$74)*12*(1+前提条件!$C$12)^(R$3-$B$3))</f>
        <v/>
      </c>
      <c r="S26" s="352">
        <f>IF(S$3="","",SUM(入力データ!$C$71:$C$74)*12*(1+前提条件!$C$12)^(S$3-$B$3))</f>
        <v/>
      </c>
      <c r="T26" s="352">
        <f>IF(T$3="","",SUM(入力データ!$C$71:$C$74)*12*(1+前提条件!$C$12)^(T$3-$B$3))</f>
        <v/>
      </c>
      <c r="U26" s="352">
        <f>IF(U$3="","",SUM(入力データ!$C$71:$C$74)*12*(1+前提条件!$C$12)^(U$3-$B$3))</f>
        <v/>
      </c>
      <c r="V26" s="352">
        <f>IF(V$3="","",SUM(入力データ!$C$71:$C$74)*12*(1+前提条件!$C$12)^(V$3-$B$3))</f>
        <v/>
      </c>
      <c r="W26" s="352">
        <f>IF(W$3="","",SUM(入力データ!$C$71:$C$74)*12*(1+前提条件!$C$12)^(W$3-$B$3))</f>
        <v/>
      </c>
      <c r="X26" s="352">
        <f>IF(X$3="","",SUM(入力データ!$C$71:$C$74)*12*(1+前提条件!$C$12)^(X$3-$B$3))</f>
        <v/>
      </c>
      <c r="Y26" s="352">
        <f>IF(Y$3="","",SUM(入力データ!$C$71:$C$74)*12*(1+前提条件!$C$12)^(Y$3-$B$3))</f>
        <v/>
      </c>
      <c r="Z26" s="352">
        <f>IF(Z$3="","",SUM(入力データ!$C$71:$C$74)*12*(1+前提条件!$C$12)^(Z$3-$B$3))</f>
        <v/>
      </c>
      <c r="AA26" s="352">
        <f>IF(AA$3="","",SUM(入力データ!$C$71:$C$74)*12*(1+前提条件!$C$12)^(AA$3-$B$3))</f>
        <v/>
      </c>
      <c r="AB26" s="352">
        <f>IF(AB$3="","",SUM(入力データ!$C$71:$C$74)*12*(1+前提条件!$C$12)^(AB$3-$B$3))</f>
        <v/>
      </c>
      <c r="AC26" s="352">
        <f>IF(AC$3="","",SUM(入力データ!$C$71:$C$74)*12*(1+前提条件!$C$12)^(AC$3-$B$3))</f>
        <v/>
      </c>
      <c r="AD26" s="352">
        <f>IF(AD$3="","",SUM(入力データ!$C$71:$C$74)*12*(1+前提条件!$C$12)^(AD$3-$B$3))</f>
        <v/>
      </c>
      <c r="AE26" s="352">
        <f>IF(AE$3="","",SUM(入力データ!$C$71:$C$74)*12*(1+前提条件!$C$12)^(AE$3-$B$3))</f>
        <v/>
      </c>
      <c r="AF26" s="352">
        <f>IF(AF$3="","",SUM(入力データ!$C$71:$C$74)*12*(1+前提条件!$C$12)^(AF$3-$B$3))</f>
        <v/>
      </c>
      <c r="AG26" s="352">
        <f>IF(AG$3="","",SUM(入力データ!$C$71:$C$74)*12*(1+前提条件!$C$12)^(AG$3-$B$3))</f>
        <v/>
      </c>
      <c r="AH26" s="352">
        <f>IF(AH$3="","",SUM(入力データ!$C$71:$C$74)*12*(1+前提条件!$C$12)^(AH$3-$B$3))</f>
        <v/>
      </c>
      <c r="AI26" s="352">
        <f>IF(AI$3="","",SUM(入力データ!$C$71:$C$74)*12*(1+前提条件!$C$12)^(AI$3-$B$3))</f>
        <v/>
      </c>
      <c r="AJ26" s="352">
        <f>IF(AJ$3="","",SUM(入力データ!$C$71:$C$74)*12*(1+前提条件!$C$12)^(AJ$3-$B$3))</f>
        <v/>
      </c>
      <c r="AK26" s="352">
        <f>IF(AK$3="","",SUM(入力データ!$C$71:$C$74)*12*(1+前提条件!$C$12)^(AK$3-$B$3))</f>
        <v/>
      </c>
      <c r="AL26" s="352">
        <f>IF(AL$3="","",SUM(入力データ!$C$71:$C$74)*12*(1+前提条件!$C$12)^(AL$3-$B$3))</f>
        <v/>
      </c>
      <c r="AM26" s="352">
        <f>IF(AM$3="","",SUM(入力データ!$C$71:$C$74)*12*(1+前提条件!$C$12)^(AM$3-$B$3))</f>
        <v/>
      </c>
      <c r="AN26" s="352">
        <f>IF(AN$3="","",SUM(入力データ!$C$71:$C$74)*12*(1+前提条件!$C$12)^(AN$3-$B$3))</f>
        <v/>
      </c>
      <c r="AO26" s="352">
        <f>IF(AO$3="","",SUM(入力データ!$C$71:$C$74)*12*(1+前提条件!$C$12)^(AO$3-$B$3))</f>
        <v/>
      </c>
      <c r="AP26" s="352">
        <f>IF(AP$3="","",SUM(入力データ!$C$71:$C$74)*12*(1+前提条件!$C$12)^(AP$3-$B$3))</f>
        <v/>
      </c>
      <c r="AQ26" s="352">
        <f>IF(AQ$3="","",SUM(入力データ!$C$71:$C$74)*12*(1+前提条件!$C$12)^(AQ$3-$B$3))</f>
        <v/>
      </c>
      <c r="AR26" s="352">
        <f>IF(AR$3="","",SUM(入力データ!$C$71:$C$74)*12*(1+前提条件!$C$12)^(AR$3-$B$3))</f>
        <v/>
      </c>
      <c r="AS26" s="352">
        <f>IF(AS$3="","",SUM(入力データ!$C$71:$C$74)*12*(1+前提条件!$C$12)^(AS$3-$B$3))</f>
        <v/>
      </c>
      <c r="AT26" s="352">
        <f>IF(AT$3="","",SUM(入力データ!$C$71:$C$74)*12*(1+前提条件!$C$12)^(AT$3-$B$3))</f>
        <v/>
      </c>
      <c r="AU26" s="352">
        <f>IF(AU$3="","",SUM(入力データ!$C$71:$C$74)*12*(1+前提条件!$C$12)^(AU$3-$B$3))</f>
        <v/>
      </c>
      <c r="AV26" s="352">
        <f>IF(AV$3="","",SUM(入力データ!$C$71:$C$74)*12*(1+前提条件!$C$12)^(AV$3-$B$3))</f>
        <v/>
      </c>
      <c r="AW26" s="352">
        <f>IF(AW$3="","",SUM(入力データ!$C$71:$C$74)*12*(1+前提条件!$C$12)^(AW$3-$B$3))</f>
        <v/>
      </c>
      <c r="AX26" s="352">
        <f>IF(AX$3="","",SUM(入力データ!$C$71:$C$74)*12*(1+前提条件!$C$12)^(AX$3-$B$3))</f>
        <v/>
      </c>
      <c r="AY26" s="352">
        <f>IF(AY$3="","",SUM(入力データ!$C$71:$C$74)*12*(1+前提条件!$C$12)^(AY$3-$B$3))</f>
        <v/>
      </c>
      <c r="AZ26" s="352">
        <f>IF(AZ$3="","",SUM(入力データ!$C$71:$C$74)*12*(1+前提条件!$C$12)^(AZ$3-$B$3))</f>
        <v/>
      </c>
      <c r="BA26" s="352">
        <f>IF(BA$3="","",SUM(入力データ!$C$71:$C$74)*12*(1+前提条件!$C$12)^(BA$3-$B$3))</f>
        <v/>
      </c>
      <c r="BB26" s="352">
        <f>IF(BB$3="","",SUM(入力データ!$C$71:$C$74)*12*(1+前提条件!$C$12)^(BB$3-$B$3))</f>
        <v/>
      </c>
      <c r="BC26" s="352">
        <f>IF(BC$3="","",SUM(入力データ!$C$71:$C$74)*12*(1+前提条件!$C$12)^(BC$3-$B$3))</f>
        <v/>
      </c>
      <c r="BD26" s="352">
        <f>IF(BD$3="","",SUM(入力データ!$C$71:$C$74)*12*(1+前提条件!$C$12)^(BD$3-$B$3))</f>
        <v/>
      </c>
      <c r="BE26" s="352">
        <f>IF(BE$3="","",SUM(入力データ!$C$71:$C$74)*12*(1+前提条件!$C$12)^(BE$3-$B$3))</f>
        <v/>
      </c>
      <c r="BF26" s="352">
        <f>IF(BF$3="","",SUM(入力データ!$C$71:$C$74)*12*(1+前提条件!$C$12)^(BF$3-$B$3))</f>
        <v/>
      </c>
      <c r="BG26" s="352">
        <f>IF(BG$3="","",SUM(入力データ!$C$71:$C$74)*12*(1+前提条件!$C$12)^(BG$3-$B$3))</f>
        <v/>
      </c>
      <c r="BH26" s="352">
        <f>IF(BH$3="","",SUM(入力データ!$C$71:$C$74)*12*(1+前提条件!$C$12)^(BH$3-$B$3))</f>
        <v/>
      </c>
      <c r="BI26" s="352">
        <f>IF(BI$3="","",SUM(入力データ!$C$71:$C$74)*12*(1+前提条件!$C$12)^(BI$3-$B$3))</f>
        <v/>
      </c>
      <c r="BJ26" s="352">
        <f>IF(BJ$3="","",SUM(入力データ!$C$71:$C$74)*12*(1+前提条件!$C$12)^(BJ$3-$B$3))</f>
        <v/>
      </c>
      <c r="BK26" s="352">
        <f>IF(BK$3="","",SUM(入力データ!$C$71:$C$74)*12*(1+前提条件!$C$12)^(BK$3-$B$3))</f>
        <v/>
      </c>
      <c r="BL26" s="352">
        <f>IF(BL$3="","",SUM(入力データ!$C$71:$C$74)*12*(1+前提条件!$C$12)^(BL$3-$B$3))</f>
        <v/>
      </c>
      <c r="BM26" s="352">
        <f>IF(BM$3="","",SUM(入力データ!$C$71:$C$74)*12*(1+前提条件!$C$12)^(BM$3-$B$3))</f>
        <v/>
      </c>
      <c r="BN26" s="352">
        <f>IF(BN$3="","",SUM(入力データ!$C$71:$C$74)*12*(1+前提条件!$C$12)^(BN$3-$B$3))</f>
        <v/>
      </c>
      <c r="BO26" s="352">
        <f>IF(BO$3="","",SUM(入力データ!$C$71:$C$74)*12*(1+前提条件!$C$12)^(BO$3-$B$3))</f>
        <v/>
      </c>
      <c r="BP26" s="352">
        <f>IF(BP$3="","",SUM(入力データ!$C$71:$C$74)*12*(1+前提条件!$C$12)^(BP$3-$B$3))</f>
        <v/>
      </c>
      <c r="BQ26" s="352">
        <f>IF(BQ$3="","",SUM(入力データ!$C$71:$C$74)*12*(1+前提条件!$C$12)^(BQ$3-$B$3))</f>
        <v/>
      </c>
      <c r="BR26" s="352">
        <f>IF(BR$3="","",SUM(入力データ!$C$71:$C$74)*12*(1+前提条件!$C$12)^(BR$3-$B$3))</f>
        <v/>
      </c>
      <c r="BS26" s="352">
        <f>IF(BS$3="","",SUM(入力データ!$C$71:$C$74)*12*(1+前提条件!$C$12)^(BS$3-$B$3))</f>
        <v/>
      </c>
      <c r="BT26" s="352">
        <f>IF(BT$3="","",SUM(入力データ!$C$71:$C$74)*12*(1+前提条件!$C$12)^(BT$3-$B$3))</f>
        <v/>
      </c>
      <c r="BU26" s="352">
        <f>IF(BU$3="","",SUM(入力データ!$C$71:$C$74)*12*(1+前提条件!$C$12)^(BU$3-$B$3))</f>
        <v/>
      </c>
      <c r="BV26" s="352">
        <f>IF(BV$3="","",SUM(入力データ!$C$71:$C$74)*12*(1+前提条件!$C$12)^(BV$3-$B$3))</f>
        <v/>
      </c>
      <c r="BW26" s="352">
        <f>IF(BW$3="","",SUM(入力データ!$C$71:$C$74)*12*(1+前提条件!$C$12)^(BW$3-$B$3))</f>
        <v/>
      </c>
      <c r="BX26" s="352">
        <f>IF(BX$3="","",SUM(入力データ!$C$71:$C$74)*12*(1+前提条件!$C$12)^(BX$3-$B$3))</f>
        <v/>
      </c>
      <c r="BY26" s="352">
        <f>IF(BY$3="","",SUM(入力データ!$C$71:$C$74)*12*(1+前提条件!$C$12)^(BY$3-$B$3))</f>
        <v/>
      </c>
      <c r="BZ26" s="352">
        <f>IF(BZ$3="","",SUM(入力データ!$C$71:$C$74)*12*(1+前提条件!$C$12)^(BZ$3-$B$3))</f>
        <v/>
      </c>
      <c r="CA26" s="352">
        <f>IF(CA$3="","",SUM(入力データ!$C$71:$C$74)*12*(1+前提条件!$C$12)^(CA$3-$B$3))</f>
        <v/>
      </c>
      <c r="CB26" s="352">
        <f>IF(CB$3="","",SUM(入力データ!$C$71:$C$74)*12*(1+前提条件!$C$12)^(CB$3-$B$3))</f>
        <v/>
      </c>
      <c r="CC26" s="352">
        <f>IF(CC$3="","",SUM(入力データ!$C$71:$C$74)*12*(1+前提条件!$C$12)^(CC$3-$B$3))</f>
        <v/>
      </c>
      <c r="CD26" s="352">
        <f>IF(CD$3="","",SUM(入力データ!$C$71:$C$74)*12*(1+前提条件!$C$12)^(CD$3-$B$3))</f>
        <v/>
      </c>
      <c r="CE26" s="352">
        <f>IF(CE$3="","",SUM(入力データ!$C$71:$C$74)*12*(1+前提条件!$C$12)^(CE$3-$B$3))</f>
        <v/>
      </c>
      <c r="CF26" s="352">
        <f>IF(CF$3="","",SUM(入力データ!$C$71:$C$74)*12*(1+前提条件!$C$12)^(CF$3-$B$3))</f>
        <v/>
      </c>
      <c r="CG26" s="352">
        <f>IF(CG$3="","",SUM(入力データ!$C$71:$C$74)*12*(1+前提条件!$C$12)^(CG$3-$B$3))</f>
        <v/>
      </c>
      <c r="CH26" s="352">
        <f>IF(CH$3="","",SUM(入力データ!$C$71:$C$74)*12*(1+前提条件!$C$12)^(CH$3-$B$3))</f>
        <v/>
      </c>
      <c r="CI26" s="352">
        <f>IF(CI$3="","",SUM(入力データ!$C$71:$C$74)*12*(1+前提条件!$C$12)^(CI$3-$B$3))</f>
        <v/>
      </c>
      <c r="CJ26" s="352">
        <f>IF(CJ$3="","",SUM(入力データ!$C$71:$C$74)*12*(1+前提条件!$C$12)^(CJ$3-$B$3))</f>
        <v/>
      </c>
      <c r="CK26" s="352">
        <f>IF(CK$3="","",SUM(入力データ!$C$71:$C$74)*12*(1+前提条件!$C$12)^(CK$3-$B$3))</f>
        <v/>
      </c>
      <c r="CL26" s="352">
        <f>IF(CL$3="","",SUM(入力データ!$C$71:$C$74)*12*(1+前提条件!$C$12)^(CL$3-$B$3))</f>
        <v/>
      </c>
      <c r="CM26" s="352">
        <f>IF(CM$3="","",SUM(入力データ!$C$71:$C$74)*12*(1+前提条件!$C$12)^(CM$3-$B$3))</f>
        <v/>
      </c>
      <c r="CN26" s="352">
        <f>IF(CN$3="","",SUM(入力データ!$C$71:$C$74)*12*(1+前提条件!$C$12)^(CN$3-$B$3))</f>
        <v/>
      </c>
      <c r="CO26" s="352">
        <f>IF(CO$3="","",SUM(入力データ!$C$71:$C$74)*12*(1+前提条件!$C$12)^(CO$3-$B$3))</f>
        <v/>
      </c>
      <c r="CP26" s="352">
        <f>IF(CP$3="","",SUM(入力データ!$C$71:$C$74)*12*(1+前提条件!$C$12)^(CP$3-$B$3))</f>
        <v/>
      </c>
      <c r="CQ26" s="352">
        <f>IF(CQ$3="","",SUM(入力データ!$C$71:$C$74)*12*(1+前提条件!$C$12)^(CQ$3-$B$3))</f>
        <v/>
      </c>
      <c r="CR26" s="352">
        <f>IF(CR$3="","",SUM(入力データ!$C$71:$C$74)*12*(1+前提条件!$C$12)^(CR$3-$B$3))</f>
        <v/>
      </c>
      <c r="CS26" s="352">
        <f>IF(CS$3="","",SUM(入力データ!$C$71:$C$74)*12*(1+前提条件!$C$12)^(CS$3-$B$3))</f>
        <v/>
      </c>
      <c r="CT26" s="352">
        <f>IF(CT$3="","",SUM(入力データ!$C$71:$C$74)*12*(1+前提条件!$C$12)^(CT$3-$B$3))</f>
        <v/>
      </c>
      <c r="CU26" s="352">
        <f>IF(CU$3="","",SUM(入力データ!$C$71:$C$74)*12*(1+前提条件!$C$12)^(CU$3-$B$3))</f>
        <v/>
      </c>
      <c r="CV26" s="352">
        <f>IF(CV$3="","",SUM(入力データ!$C$71:$C$74)*12*(1+前提条件!$C$12)^(CV$3-$B$3))</f>
        <v/>
      </c>
      <c r="CW26" s="352">
        <f>IF(CW$3="","",SUM(入力データ!$C$71:$C$74)*12*(1+前提条件!$C$12)^(CW$3-$B$3))</f>
        <v/>
      </c>
    </row>
    <row r="27" ht="15" customHeight="1" s="180">
      <c r="A27" s="224" t="inlineStr">
        <is>
          <t>一時支出</t>
        </is>
      </c>
      <c r="B27" s="352">
        <f>IF(B$3="","",SUM(入力データ!$C$78:$C$82))</f>
        <v/>
      </c>
      <c r="C27" s="352">
        <f>IF(C$3="","",SUM(入力データ!$C$78:$C$82))</f>
        <v/>
      </c>
      <c r="D27" s="352">
        <f>IF(D$3="","",SUM(入力データ!$C$78:$C$82))</f>
        <v/>
      </c>
      <c r="E27" s="352">
        <f>IF(E$3="","",SUM(入力データ!$C$78:$C$82))</f>
        <v/>
      </c>
      <c r="F27" s="352">
        <f>IF(F$3="","",SUM(入力データ!$C$78:$C$82))</f>
        <v/>
      </c>
      <c r="G27" s="352">
        <f>IF(G$3="","",SUM(入力データ!$C$78:$C$82))</f>
        <v/>
      </c>
      <c r="H27" s="352">
        <f>IF(H$3="","",SUM(入力データ!$C$78:$C$82))</f>
        <v/>
      </c>
      <c r="I27" s="352">
        <f>IF(I$3="","",SUM(入力データ!$C$78:$C$82))</f>
        <v/>
      </c>
      <c r="J27" s="352">
        <f>IF(J$3="","",SUM(入力データ!$C$78:$C$82))</f>
        <v/>
      </c>
      <c r="K27" s="352">
        <f>IF(K$3="","",SUM(入力データ!$C$78:$C$82))</f>
        <v/>
      </c>
      <c r="L27" s="352">
        <f>IF(L$3="","",SUM(入力データ!$C$78:$C$82))</f>
        <v/>
      </c>
      <c r="M27" s="352">
        <f>IF(M$3="","",SUM(入力データ!$C$78:$C$82))</f>
        <v/>
      </c>
      <c r="N27" s="352">
        <f>IF(N$3="","",SUM(入力データ!$C$78:$C$82))</f>
        <v/>
      </c>
      <c r="O27" s="352">
        <f>IF(O$3="","",SUM(入力データ!$C$78:$C$82))</f>
        <v/>
      </c>
      <c r="P27" s="352">
        <f>IF(P$3="","",SUM(入力データ!$C$78:$C$82))</f>
        <v/>
      </c>
      <c r="Q27" s="352">
        <f>IF(Q$3="","",SUM(入力データ!$C$78:$C$82))</f>
        <v/>
      </c>
      <c r="R27" s="352">
        <f>IF(R$3="","",SUM(入力データ!$C$78:$C$82))</f>
        <v/>
      </c>
      <c r="S27" s="352">
        <f>IF(S$3="","",SUM(入力データ!$C$78:$C$82))</f>
        <v/>
      </c>
      <c r="T27" s="352">
        <f>IF(T$3="","",SUM(入力データ!$C$78:$C$82))</f>
        <v/>
      </c>
      <c r="U27" s="352">
        <f>IF(U$3="","",SUM(入力データ!$C$78:$C$82))</f>
        <v/>
      </c>
      <c r="V27" s="352">
        <f>IF(V$3="","",SUM(入力データ!$C$78:$C$82))</f>
        <v/>
      </c>
      <c r="W27" s="352">
        <f>IF(W$3="","",SUM(入力データ!$C$78:$C$82))</f>
        <v/>
      </c>
      <c r="X27" s="352">
        <f>IF(X$3="","",SUM(入力データ!$C$78:$C$82))</f>
        <v/>
      </c>
      <c r="Y27" s="352">
        <f>IF(Y$3="","",SUM(入力データ!$C$78:$C$82))</f>
        <v/>
      </c>
      <c r="Z27" s="352">
        <f>IF(Z$3="","",SUM(入力データ!$C$78:$C$82))</f>
        <v/>
      </c>
      <c r="AA27" s="352">
        <f>IF(AA$3="","",SUM(入力データ!$C$78:$C$82))</f>
        <v/>
      </c>
      <c r="AB27" s="352">
        <f>IF(AB$3="","",SUM(入力データ!$C$78:$C$82))</f>
        <v/>
      </c>
      <c r="AC27" s="352">
        <f>IF(AC$3="","",SUM(入力データ!$C$78:$C$82))</f>
        <v/>
      </c>
      <c r="AD27" s="352">
        <f>IF(AD$3="","",SUM(入力データ!$C$78:$C$82))</f>
        <v/>
      </c>
      <c r="AE27" s="352">
        <f>IF(AE$3="","",SUM(入力データ!$C$78:$C$82))</f>
        <v/>
      </c>
      <c r="AF27" s="352">
        <f>IF(AF$3="","",SUM(入力データ!$C$78:$C$82))</f>
        <v/>
      </c>
      <c r="AG27" s="352">
        <f>IF(AG$3="","",SUM(入力データ!$C$78:$C$82))</f>
        <v/>
      </c>
      <c r="AH27" s="352">
        <f>IF(AH$3="","",SUM(入力データ!$C$78:$C$82))</f>
        <v/>
      </c>
      <c r="AI27" s="352">
        <f>IF(AI$3="","",SUM(入力データ!$C$78:$C$82))</f>
        <v/>
      </c>
      <c r="AJ27" s="352">
        <f>IF(AJ$3="","",SUM(入力データ!$C$78:$C$82))</f>
        <v/>
      </c>
      <c r="AK27" s="352">
        <f>IF(AK$3="","",SUM(入力データ!$C$78:$C$82))</f>
        <v/>
      </c>
      <c r="AL27" s="352">
        <f>IF(AL$3="","",SUM(入力データ!$C$78:$C$82))</f>
        <v/>
      </c>
      <c r="AM27" s="352">
        <f>IF(AM$3="","",SUM(入力データ!$C$78:$C$82))</f>
        <v/>
      </c>
      <c r="AN27" s="352">
        <f>IF(AN$3="","",SUM(入力データ!$C$78:$C$82))</f>
        <v/>
      </c>
      <c r="AO27" s="352">
        <f>IF(AO$3="","",SUM(入力データ!$C$78:$C$82))</f>
        <v/>
      </c>
      <c r="AP27" s="352">
        <f>IF(AP$3="","",SUM(入力データ!$C$78:$C$82))</f>
        <v/>
      </c>
      <c r="AQ27" s="352">
        <f>IF(AQ$3="","",SUM(入力データ!$C$78:$C$82))</f>
        <v/>
      </c>
      <c r="AR27" s="352">
        <f>IF(AR$3="","",SUM(入力データ!$C$78:$C$82))</f>
        <v/>
      </c>
      <c r="AS27" s="352">
        <f>IF(AS$3="","",SUM(入力データ!$C$78:$C$82))</f>
        <v/>
      </c>
      <c r="AT27" s="352">
        <f>IF(AT$3="","",SUM(入力データ!$C$78:$C$82))</f>
        <v/>
      </c>
      <c r="AU27" s="352">
        <f>IF(AU$3="","",SUM(入力データ!$C$78:$C$82))</f>
        <v/>
      </c>
      <c r="AV27" s="352">
        <f>IF(AV$3="","",SUM(入力データ!$C$78:$C$82))</f>
        <v/>
      </c>
      <c r="AW27" s="352">
        <f>IF(AW$3="","",SUM(入力データ!$C$78:$C$82))</f>
        <v/>
      </c>
      <c r="AX27" s="352">
        <f>IF(AX$3="","",SUM(入力データ!$C$78:$C$82))</f>
        <v/>
      </c>
      <c r="AY27" s="352">
        <f>IF(AY$3="","",SUM(入力データ!$C$78:$C$82))</f>
        <v/>
      </c>
      <c r="AZ27" s="352">
        <f>IF(AZ$3="","",SUM(入力データ!$C$78:$C$82))</f>
        <v/>
      </c>
      <c r="BA27" s="352">
        <f>IF(BA$3="","",SUM(入力データ!$C$78:$C$82))</f>
        <v/>
      </c>
      <c r="BB27" s="352">
        <f>IF(BB$3="","",SUM(入力データ!$C$78:$C$82))</f>
        <v/>
      </c>
      <c r="BC27" s="352">
        <f>IF(BC$3="","",SUM(入力データ!$C$78:$C$82))</f>
        <v/>
      </c>
      <c r="BD27" s="352">
        <f>IF(BD$3="","",SUM(入力データ!$C$78:$C$82))</f>
        <v/>
      </c>
      <c r="BE27" s="352">
        <f>IF(BE$3="","",SUM(入力データ!$C$78:$C$82))</f>
        <v/>
      </c>
      <c r="BF27" s="352">
        <f>IF(BF$3="","",SUM(入力データ!$C$78:$C$82))</f>
        <v/>
      </c>
      <c r="BG27" s="352">
        <f>IF(BG$3="","",SUM(入力データ!$C$78:$C$82))</f>
        <v/>
      </c>
      <c r="BH27" s="352">
        <f>IF(BH$3="","",SUM(入力データ!$C$78:$C$82))</f>
        <v/>
      </c>
      <c r="BI27" s="352">
        <f>IF(BI$3="","",SUM(入力データ!$C$78:$C$82))</f>
        <v/>
      </c>
      <c r="BJ27" s="352">
        <f>IF(BJ$3="","",SUM(入力データ!$C$78:$C$82))</f>
        <v/>
      </c>
      <c r="BK27" s="352">
        <f>IF(BK$3="","",SUM(入力データ!$C$78:$C$82))</f>
        <v/>
      </c>
      <c r="BL27" s="352">
        <f>IF(BL$3="","",SUM(入力データ!$C$78:$C$82))</f>
        <v/>
      </c>
      <c r="BM27" s="352">
        <f>IF(BM$3="","",SUM(入力データ!$C$78:$C$82))</f>
        <v/>
      </c>
      <c r="BN27" s="352">
        <f>IF(BN$3="","",SUM(入力データ!$C$78:$C$82))</f>
        <v/>
      </c>
      <c r="BO27" s="352">
        <f>IF(BO$3="","",SUM(入力データ!$C$78:$C$82))</f>
        <v/>
      </c>
      <c r="BP27" s="352">
        <f>IF(BP$3="","",SUM(入力データ!$C$78:$C$82))</f>
        <v/>
      </c>
      <c r="BQ27" s="352">
        <f>IF(BQ$3="","",SUM(入力データ!$C$78:$C$82))</f>
        <v/>
      </c>
      <c r="BR27" s="352">
        <f>IF(BR$3="","",SUM(入力データ!$C$78:$C$82))</f>
        <v/>
      </c>
      <c r="BS27" s="352">
        <f>IF(BS$3="","",SUM(入力データ!$C$78:$C$82))</f>
        <v/>
      </c>
      <c r="BT27" s="352">
        <f>IF(BT$3="","",SUM(入力データ!$C$78:$C$82))</f>
        <v/>
      </c>
      <c r="BU27" s="352">
        <f>IF(BU$3="","",SUM(入力データ!$C$78:$C$82))</f>
        <v/>
      </c>
      <c r="BV27" s="352">
        <f>IF(BV$3="","",SUM(入力データ!$C$78:$C$82))</f>
        <v/>
      </c>
      <c r="BW27" s="352">
        <f>IF(BW$3="","",SUM(入力データ!$C$78:$C$82))</f>
        <v/>
      </c>
      <c r="BX27" s="352">
        <f>IF(BX$3="","",SUM(入力データ!$C$78:$C$82))</f>
        <v/>
      </c>
      <c r="BY27" s="352">
        <f>IF(BY$3="","",SUM(入力データ!$C$78:$C$82))</f>
        <v/>
      </c>
      <c r="BZ27" s="352">
        <f>IF(BZ$3="","",SUM(入力データ!$C$78:$C$82))</f>
        <v/>
      </c>
      <c r="CA27" s="352">
        <f>IF(CA$3="","",SUM(入力データ!$C$78:$C$82))</f>
        <v/>
      </c>
      <c r="CB27" s="352">
        <f>IF(CB$3="","",SUM(入力データ!$C$78:$C$82))</f>
        <v/>
      </c>
      <c r="CC27" s="352">
        <f>IF(CC$3="","",SUM(入力データ!$C$78:$C$82))</f>
        <v/>
      </c>
      <c r="CD27" s="352">
        <f>IF(CD$3="","",SUM(入力データ!$C$78:$C$82))</f>
        <v/>
      </c>
      <c r="CE27" s="352">
        <f>IF(CE$3="","",SUM(入力データ!$C$78:$C$82))</f>
        <v/>
      </c>
      <c r="CF27" s="352">
        <f>IF(CF$3="","",SUM(入力データ!$C$78:$C$82))</f>
        <v/>
      </c>
      <c r="CG27" s="352">
        <f>IF(CG$3="","",SUM(入力データ!$C$78:$C$82))</f>
        <v/>
      </c>
      <c r="CH27" s="352">
        <f>IF(CH$3="","",SUM(入力データ!$C$78:$C$82))</f>
        <v/>
      </c>
      <c r="CI27" s="352">
        <f>IF(CI$3="","",SUM(入力データ!$C$78:$C$82))</f>
        <v/>
      </c>
      <c r="CJ27" s="352">
        <f>IF(CJ$3="","",SUM(入力データ!$C$78:$C$82))</f>
        <v/>
      </c>
      <c r="CK27" s="352">
        <f>IF(CK$3="","",SUM(入力データ!$C$78:$C$82))</f>
        <v/>
      </c>
      <c r="CL27" s="352">
        <f>IF(CL$3="","",SUM(入力データ!$C$78:$C$82))</f>
        <v/>
      </c>
      <c r="CM27" s="352">
        <f>IF(CM$3="","",SUM(入力データ!$C$78:$C$82))</f>
        <v/>
      </c>
      <c r="CN27" s="352">
        <f>IF(CN$3="","",SUM(入力データ!$C$78:$C$82))</f>
        <v/>
      </c>
      <c r="CO27" s="352">
        <f>IF(CO$3="","",SUM(入力データ!$C$78:$C$82))</f>
        <v/>
      </c>
      <c r="CP27" s="352">
        <f>IF(CP$3="","",SUM(入力データ!$C$78:$C$82))</f>
        <v/>
      </c>
      <c r="CQ27" s="352">
        <f>IF(CQ$3="","",SUM(入力データ!$C$78:$C$82))</f>
        <v/>
      </c>
      <c r="CR27" s="352">
        <f>IF(CR$3="","",SUM(入力データ!$C$78:$C$82))</f>
        <v/>
      </c>
      <c r="CS27" s="352">
        <f>IF(CS$3="","",SUM(入力データ!$C$78:$C$82))</f>
        <v/>
      </c>
      <c r="CT27" s="352">
        <f>IF(CT$3="","",SUM(入力データ!$C$78:$C$82))</f>
        <v/>
      </c>
      <c r="CU27" s="352">
        <f>IF(CU$3="","",SUM(入力データ!$C$78:$C$82))</f>
        <v/>
      </c>
      <c r="CV27" s="352">
        <f>IF(CV$3="","",SUM(入力データ!$C$78:$C$82))</f>
        <v/>
      </c>
      <c r="CW27" s="352">
        <f>IF(CW$3="","",SUM(入力データ!$C$78:$C$82))</f>
        <v/>
      </c>
    </row>
    <row r="28" ht="15" customHeight="1" s="180">
      <c r="A28" s="226" t="inlineStr">
        <is>
          <t>支出合計</t>
        </is>
      </c>
      <c r="B28" s="353">
        <f>IF(B$3="","",SUM(B20:B27))</f>
        <v/>
      </c>
      <c r="C28" s="353">
        <f>IF(C$3="","",SUM(C20:C27))</f>
        <v/>
      </c>
      <c r="D28" s="353">
        <f>IF(D$3="","",SUM(D20:D27))</f>
        <v/>
      </c>
      <c r="E28" s="353">
        <f>IF(E$3="","",SUM(E20:E27))</f>
        <v/>
      </c>
      <c r="F28" s="353">
        <f>IF(F$3="","",SUM(F20:F27))</f>
        <v/>
      </c>
      <c r="G28" s="353">
        <f>IF(G$3="","",SUM(G20:G27))</f>
        <v/>
      </c>
      <c r="H28" s="353">
        <f>IF(H$3="","",SUM(H20:H27))</f>
        <v/>
      </c>
      <c r="I28" s="353">
        <f>IF(I$3="","",SUM(I20:I27))</f>
        <v/>
      </c>
      <c r="J28" s="353">
        <f>IF(J$3="","",SUM(J20:J27))</f>
        <v/>
      </c>
      <c r="K28" s="353">
        <f>IF(K$3="","",SUM(K20:K27))</f>
        <v/>
      </c>
      <c r="L28" s="353">
        <f>IF(L$3="","",SUM(L20:L27))</f>
        <v/>
      </c>
      <c r="M28" s="353">
        <f>IF(M$3="","",SUM(M20:M27))</f>
        <v/>
      </c>
      <c r="N28" s="353">
        <f>IF(N$3="","",SUM(N20:N27))</f>
        <v/>
      </c>
      <c r="O28" s="353">
        <f>IF(O$3="","",SUM(O20:O27))</f>
        <v/>
      </c>
      <c r="P28" s="353">
        <f>IF(P$3="","",SUM(P20:P27))</f>
        <v/>
      </c>
      <c r="Q28" s="353">
        <f>IF(Q$3="","",SUM(Q20:Q27))</f>
        <v/>
      </c>
      <c r="R28" s="353">
        <f>IF(R$3="","",SUM(R20:R27))</f>
        <v/>
      </c>
      <c r="S28" s="353">
        <f>IF(S$3="","",SUM(S20:S27))</f>
        <v/>
      </c>
      <c r="T28" s="353">
        <f>IF(T$3="","",SUM(T20:T27))</f>
        <v/>
      </c>
      <c r="U28" s="353">
        <f>IF(U$3="","",SUM(U20:U27))</f>
        <v/>
      </c>
      <c r="V28" s="353">
        <f>IF(V$3="","",SUM(V20:V27))</f>
        <v/>
      </c>
      <c r="W28" s="353">
        <f>IF(W$3="","",SUM(W20:W27))</f>
        <v/>
      </c>
      <c r="X28" s="353">
        <f>IF(X$3="","",SUM(X20:X27))</f>
        <v/>
      </c>
      <c r="Y28" s="353">
        <f>IF(Y$3="","",SUM(Y20:Y27))</f>
        <v/>
      </c>
      <c r="Z28" s="353">
        <f>IF(Z$3="","",SUM(Z20:Z27))</f>
        <v/>
      </c>
      <c r="AA28" s="353">
        <f>IF(AA$3="","",SUM(AA20:AA27))</f>
        <v/>
      </c>
      <c r="AB28" s="353">
        <f>IF(AB$3="","",SUM(AB20:AB27))</f>
        <v/>
      </c>
      <c r="AC28" s="353">
        <f>IF(AC$3="","",SUM(AC20:AC27))</f>
        <v/>
      </c>
      <c r="AD28" s="353">
        <f>IF(AD$3="","",SUM(AD20:AD27))</f>
        <v/>
      </c>
      <c r="AE28" s="353">
        <f>IF(AE$3="","",SUM(AE20:AE27))</f>
        <v/>
      </c>
      <c r="AF28" s="353">
        <f>IF(AF$3="","",SUM(AF20:AF27))</f>
        <v/>
      </c>
      <c r="AG28" s="353">
        <f>IF(AG$3="","",SUM(AG20:AG27))</f>
        <v/>
      </c>
      <c r="AH28" s="353">
        <f>IF(AH$3="","",SUM(AH20:AH27))</f>
        <v/>
      </c>
      <c r="AI28" s="353">
        <f>IF(AI$3="","",SUM(AI20:AI27))</f>
        <v/>
      </c>
      <c r="AJ28" s="353">
        <f>IF(AJ$3="","",SUM(AJ20:AJ27))</f>
        <v/>
      </c>
      <c r="AK28" s="353">
        <f>IF(AK$3="","",SUM(AK20:AK27))</f>
        <v/>
      </c>
      <c r="AL28" s="353">
        <f>IF(AL$3="","",SUM(AL20:AL27))</f>
        <v/>
      </c>
      <c r="AM28" s="353">
        <f>IF(AM$3="","",SUM(AM20:AM27))</f>
        <v/>
      </c>
      <c r="AN28" s="353">
        <f>IF(AN$3="","",SUM(AN20:AN27))</f>
        <v/>
      </c>
      <c r="AO28" s="353">
        <f>IF(AO$3="","",SUM(AO20:AO27))</f>
        <v/>
      </c>
      <c r="AP28" s="353">
        <f>IF(AP$3="","",SUM(AP20:AP27))</f>
        <v/>
      </c>
      <c r="AQ28" s="353">
        <f>IF(AQ$3="","",SUM(AQ20:AQ27))</f>
        <v/>
      </c>
      <c r="AR28" s="353">
        <f>IF(AR$3="","",SUM(AR20:AR27))</f>
        <v/>
      </c>
      <c r="AS28" s="353">
        <f>IF(AS$3="","",SUM(AS20:AS27))</f>
        <v/>
      </c>
      <c r="AT28" s="353">
        <f>IF(AT$3="","",SUM(AT20:AT27))</f>
        <v/>
      </c>
      <c r="AU28" s="353">
        <f>IF(AU$3="","",SUM(AU20:AU27))</f>
        <v/>
      </c>
      <c r="AV28" s="353">
        <f>IF(AV$3="","",SUM(AV20:AV27))</f>
        <v/>
      </c>
      <c r="AW28" s="353">
        <f>IF(AW$3="","",SUM(AW20:AW27))</f>
        <v/>
      </c>
      <c r="AX28" s="353">
        <f>IF(AX$3="","",SUM(AX20:AX27))</f>
        <v/>
      </c>
      <c r="AY28" s="353">
        <f>IF(AY$3="","",SUM(AY20:AY27))</f>
        <v/>
      </c>
      <c r="AZ28" s="353">
        <f>IF(AZ$3="","",SUM(AZ20:AZ27))</f>
        <v/>
      </c>
      <c r="BA28" s="353">
        <f>IF(BA$3="","",SUM(BA20:BA27))</f>
        <v/>
      </c>
      <c r="BB28" s="353">
        <f>IF(BB$3="","",SUM(BB20:BB27))</f>
        <v/>
      </c>
      <c r="BC28" s="353">
        <f>IF(BC$3="","",SUM(BC20:BC27))</f>
        <v/>
      </c>
      <c r="BD28" s="353">
        <f>IF(BD$3="","",SUM(BD20:BD27))</f>
        <v/>
      </c>
      <c r="BE28" s="353">
        <f>IF(BE$3="","",SUM(BE20:BE27))</f>
        <v/>
      </c>
      <c r="BF28" s="353">
        <f>IF(BF$3="","",SUM(BF20:BF27))</f>
        <v/>
      </c>
      <c r="BG28" s="353">
        <f>IF(BG$3="","",SUM(BG20:BG27))</f>
        <v/>
      </c>
      <c r="BH28" s="353">
        <f>IF(BH$3="","",SUM(BH20:BH27))</f>
        <v/>
      </c>
      <c r="BI28" s="353">
        <f>IF(BI$3="","",SUM(BI20:BI27))</f>
        <v/>
      </c>
      <c r="BJ28" s="353">
        <f>IF(BJ$3="","",SUM(BJ20:BJ27))</f>
        <v/>
      </c>
      <c r="BK28" s="353">
        <f>IF(BK$3="","",SUM(BK20:BK27))</f>
        <v/>
      </c>
      <c r="BL28" s="353">
        <f>IF(BL$3="","",SUM(BL20:BL27))</f>
        <v/>
      </c>
      <c r="BM28" s="353">
        <f>IF(BM$3="","",SUM(BM20:BM27))</f>
        <v/>
      </c>
      <c r="BN28" s="353">
        <f>IF(BN$3="","",SUM(BN20:BN27))</f>
        <v/>
      </c>
      <c r="BO28" s="353">
        <f>IF(BO$3="","",SUM(BO20:BO27))</f>
        <v/>
      </c>
      <c r="BP28" s="353">
        <f>IF(BP$3="","",SUM(BP20:BP27))</f>
        <v/>
      </c>
      <c r="BQ28" s="353">
        <f>IF(BQ$3="","",SUM(BQ20:BQ27))</f>
        <v/>
      </c>
      <c r="BR28" s="353">
        <f>IF(BR$3="","",SUM(BR20:BR27))</f>
        <v/>
      </c>
      <c r="BS28" s="353">
        <f>IF(BS$3="","",SUM(BS20:BS27))</f>
        <v/>
      </c>
      <c r="BT28" s="353">
        <f>IF(BT$3="","",SUM(BT20:BT27))</f>
        <v/>
      </c>
      <c r="BU28" s="353">
        <f>IF(BU$3="","",SUM(BU20:BU27))</f>
        <v/>
      </c>
      <c r="BV28" s="353">
        <f>IF(BV$3="","",SUM(BV20:BV27))</f>
        <v/>
      </c>
      <c r="BW28" s="353">
        <f>IF(BW$3="","",SUM(BW20:BW27))</f>
        <v/>
      </c>
      <c r="BX28" s="353">
        <f>IF(BX$3="","",SUM(BX20:BX27))</f>
        <v/>
      </c>
      <c r="BY28" s="353">
        <f>IF(BY$3="","",SUM(BY20:BY27))</f>
        <v/>
      </c>
      <c r="BZ28" s="353">
        <f>IF(BZ$3="","",SUM(BZ20:BZ27))</f>
        <v/>
      </c>
      <c r="CA28" s="353">
        <f>IF(CA$3="","",SUM(CA20:CA27))</f>
        <v/>
      </c>
      <c r="CB28" s="353">
        <f>IF(CB$3="","",SUM(CB20:CB27))</f>
        <v/>
      </c>
      <c r="CC28" s="353">
        <f>IF(CC$3="","",SUM(CC20:CC27))</f>
        <v/>
      </c>
      <c r="CD28" s="353">
        <f>IF(CD$3="","",SUM(CD20:CD27))</f>
        <v/>
      </c>
      <c r="CE28" s="353">
        <f>IF(CE$3="","",SUM(CE20:CE27))</f>
        <v/>
      </c>
      <c r="CF28" s="353">
        <f>IF(CF$3="","",SUM(CF20:CF27))</f>
        <v/>
      </c>
      <c r="CG28" s="353">
        <f>IF(CG$3="","",SUM(CG20:CG27))</f>
        <v/>
      </c>
      <c r="CH28" s="353">
        <f>IF(CH$3="","",SUM(CH20:CH27))</f>
        <v/>
      </c>
      <c r="CI28" s="353">
        <f>IF(CI$3="","",SUM(CI20:CI27))</f>
        <v/>
      </c>
      <c r="CJ28" s="353">
        <f>IF(CJ$3="","",SUM(CJ20:CJ27))</f>
        <v/>
      </c>
      <c r="CK28" s="353">
        <f>IF(CK$3="","",SUM(CK20:CK27))</f>
        <v/>
      </c>
      <c r="CL28" s="353">
        <f>IF(CL$3="","",SUM(CL20:CL27))</f>
        <v/>
      </c>
      <c r="CM28" s="353">
        <f>IF(CM$3="","",SUM(CM20:CM27))</f>
        <v/>
      </c>
      <c r="CN28" s="353">
        <f>IF(CN$3="","",SUM(CN20:CN27))</f>
        <v/>
      </c>
      <c r="CO28" s="353">
        <f>IF(CO$3="","",SUM(CO20:CO27))</f>
        <v/>
      </c>
      <c r="CP28" s="353">
        <f>IF(CP$3="","",SUM(CP20:CP27))</f>
        <v/>
      </c>
      <c r="CQ28" s="353">
        <f>IF(CQ$3="","",SUM(CQ20:CQ27))</f>
        <v/>
      </c>
      <c r="CR28" s="353">
        <f>IF(CR$3="","",SUM(CR20:CR27))</f>
        <v/>
      </c>
      <c r="CS28" s="353">
        <f>IF(CS$3="","",SUM(CS20:CS27))</f>
        <v/>
      </c>
      <c r="CT28" s="353">
        <f>IF(CT$3="","",SUM(CT20:CT27))</f>
        <v/>
      </c>
      <c r="CU28" s="353">
        <f>IF(CU$3="","",SUM(CU20:CU27))</f>
        <v/>
      </c>
      <c r="CV28" s="353">
        <f>IF(CV$3="","",SUM(CV20:CV27))</f>
        <v/>
      </c>
      <c r="CW28" s="353">
        <f>IF(CW$3="","",SUM(CW20:CW27))</f>
        <v/>
      </c>
    </row>
    <row r="29" ht="15" customHeight="1" s="180">
      <c r="A29" s="205" t="inlineStr">
        <is>
          <t>収支・資産</t>
        </is>
      </c>
      <c r="B29" s="219" t="n"/>
      <c r="C29" s="219" t="n"/>
      <c r="D29" s="219" t="n"/>
      <c r="E29" s="219" t="n"/>
      <c r="F29" s="219" t="n"/>
      <c r="G29" s="219" t="n"/>
      <c r="H29" s="219" t="n"/>
      <c r="I29" s="219" t="n"/>
      <c r="J29" s="219" t="n"/>
      <c r="K29" s="219" t="n"/>
      <c r="L29" s="219" t="n"/>
      <c r="M29" s="219" t="n"/>
      <c r="N29" s="219" t="n"/>
      <c r="O29" s="219" t="n"/>
      <c r="P29" s="219" t="n"/>
      <c r="Q29" s="219" t="n"/>
      <c r="R29" s="219" t="n"/>
      <c r="S29" s="219" t="n"/>
      <c r="T29" s="219" t="n"/>
      <c r="U29" s="219" t="n"/>
      <c r="V29" s="219" t="n"/>
      <c r="W29" s="219" t="n"/>
      <c r="X29" s="219" t="n"/>
      <c r="Y29" s="219" t="n"/>
      <c r="Z29" s="219" t="n"/>
      <c r="AA29" s="219" t="n"/>
      <c r="AB29" s="219" t="n"/>
      <c r="AC29" s="219" t="n"/>
      <c r="AD29" s="219" t="n"/>
      <c r="AE29" s="219" t="n"/>
      <c r="AF29" s="219" t="n"/>
      <c r="AG29" s="219" t="n"/>
      <c r="AH29" s="219" t="n"/>
      <c r="AI29" s="219" t="n"/>
      <c r="AJ29" s="219" t="n"/>
      <c r="AK29" s="219" t="n"/>
      <c r="AL29" s="219" t="n"/>
      <c r="AM29" s="219" t="n"/>
      <c r="AN29" s="219" t="n"/>
      <c r="AO29" s="219" t="n"/>
      <c r="AP29" s="219" t="n"/>
      <c r="AQ29" s="219" t="n"/>
      <c r="AR29" s="219" t="n"/>
      <c r="AS29" s="219" t="n"/>
      <c r="AT29" s="219" t="n"/>
      <c r="AU29" s="219" t="n"/>
      <c r="AV29" s="219" t="n"/>
      <c r="AW29" s="219" t="n"/>
      <c r="AX29" s="219" t="n"/>
      <c r="AY29" s="219" t="n"/>
      <c r="AZ29" s="219" t="n"/>
      <c r="BA29" s="219" t="n"/>
      <c r="BB29" s="219" t="n"/>
      <c r="BC29" s="219" t="n"/>
      <c r="BD29" s="219" t="n"/>
      <c r="BE29" s="219" t="n"/>
      <c r="BF29" s="219" t="n"/>
      <c r="BG29" s="219" t="n"/>
      <c r="BH29" s="219" t="n"/>
      <c r="BI29" s="219" t="n"/>
      <c r="BJ29" s="219" t="n"/>
      <c r="BK29" s="219" t="n"/>
      <c r="BL29" s="219" t="n"/>
      <c r="BM29" s="219" t="n"/>
      <c r="BN29" s="219" t="n"/>
      <c r="BO29" s="219" t="n"/>
      <c r="BP29" s="219" t="n"/>
      <c r="BQ29" s="219" t="n"/>
      <c r="BR29" s="219" t="n"/>
      <c r="BS29" s="219" t="n"/>
      <c r="BT29" s="219" t="n"/>
      <c r="BU29" s="219" t="n"/>
      <c r="BV29" s="219" t="n"/>
      <c r="BW29" s="219" t="n"/>
      <c r="BX29" s="219" t="n"/>
      <c r="BY29" s="219" t="n"/>
      <c r="BZ29" s="219" t="n"/>
      <c r="CA29" s="219" t="n"/>
      <c r="CB29" s="219" t="n"/>
      <c r="CC29" s="219" t="n"/>
      <c r="CD29" s="219" t="n"/>
      <c r="CE29" s="219" t="n"/>
      <c r="CF29" s="219" t="n"/>
      <c r="CG29" s="219" t="n"/>
      <c r="CH29" s="219" t="n"/>
      <c r="CI29" s="219" t="n"/>
      <c r="CJ29" s="219" t="n"/>
      <c r="CK29" s="219" t="n"/>
      <c r="CL29" s="219" t="n"/>
      <c r="CM29" s="219" t="n"/>
      <c r="CN29" s="219" t="n"/>
      <c r="CO29" s="219" t="n"/>
      <c r="CP29" s="219" t="n"/>
      <c r="CQ29" s="219" t="n"/>
      <c r="CR29" s="219" t="n"/>
      <c r="CS29" s="219" t="n"/>
      <c r="CT29" s="219" t="n"/>
      <c r="CU29" s="219" t="n"/>
      <c r="CV29" s="219" t="n"/>
      <c r="CW29" s="219" t="n"/>
    </row>
    <row r="30" ht="21.75" customHeight="1" s="180">
      <c r="A30" s="229" t="inlineStr">
        <is>
          <t>年間収支</t>
        </is>
      </c>
      <c r="B30" s="354">
        <f>IF(B$3="","",B18-B28)</f>
        <v/>
      </c>
      <c r="C30" s="354">
        <f>IF(C$3="","",C18-C28)</f>
        <v/>
      </c>
      <c r="D30" s="354">
        <f>IF(D$3="","",D18-D28)</f>
        <v/>
      </c>
      <c r="E30" s="354">
        <f>IF(E$3="","",E18-E28)</f>
        <v/>
      </c>
      <c r="F30" s="354">
        <f>IF(F$3="","",F18-F28)</f>
        <v/>
      </c>
      <c r="G30" s="354">
        <f>IF(G$3="","",G18-G28)</f>
        <v/>
      </c>
      <c r="H30" s="354">
        <f>IF(H$3="","",H18-H28)</f>
        <v/>
      </c>
      <c r="I30" s="354">
        <f>IF(I$3="","",I18-I28)</f>
        <v/>
      </c>
      <c r="J30" s="354">
        <f>IF(J$3="","",J18-J28)</f>
        <v/>
      </c>
      <c r="K30" s="354">
        <f>IF(K$3="","",K18-K28)</f>
        <v/>
      </c>
      <c r="L30" s="354">
        <f>IF(L$3="","",L18-L28)</f>
        <v/>
      </c>
      <c r="M30" s="354">
        <f>IF(M$3="","",M18-M28)</f>
        <v/>
      </c>
      <c r="N30" s="354">
        <f>IF(N$3="","",N18-N28)</f>
        <v/>
      </c>
      <c r="O30" s="354">
        <f>IF(O$3="","",O18-O28)</f>
        <v/>
      </c>
      <c r="P30" s="354">
        <f>IF(P$3="","",P18-P28)</f>
        <v/>
      </c>
      <c r="Q30" s="354">
        <f>IF(Q$3="","",Q18-Q28)</f>
        <v/>
      </c>
      <c r="R30" s="354">
        <f>IF(R$3="","",R18-R28)</f>
        <v/>
      </c>
      <c r="S30" s="354">
        <f>IF(S$3="","",S18-S28)</f>
        <v/>
      </c>
      <c r="T30" s="354">
        <f>IF(T$3="","",T18-T28)</f>
        <v/>
      </c>
      <c r="U30" s="354">
        <f>IF(U$3="","",U18-U28)</f>
        <v/>
      </c>
      <c r="V30" s="354">
        <f>IF(V$3="","",V18-V28)</f>
        <v/>
      </c>
      <c r="W30" s="354">
        <f>IF(W$3="","",W18-W28)</f>
        <v/>
      </c>
      <c r="X30" s="354">
        <f>IF(X$3="","",X18-X28)</f>
        <v/>
      </c>
      <c r="Y30" s="354">
        <f>IF(Y$3="","",Y18-Y28)</f>
        <v/>
      </c>
      <c r="Z30" s="354">
        <f>IF(Z$3="","",Z18-Z28)</f>
        <v/>
      </c>
      <c r="AA30" s="354">
        <f>IF(AA$3="","",AA18-AA28)</f>
        <v/>
      </c>
      <c r="AB30" s="354">
        <f>IF(AB$3="","",AB18-AB28)</f>
        <v/>
      </c>
      <c r="AC30" s="354">
        <f>IF(AC$3="","",AC18-AC28)</f>
        <v/>
      </c>
      <c r="AD30" s="354">
        <f>IF(AD$3="","",AD18-AD28)</f>
        <v/>
      </c>
      <c r="AE30" s="354">
        <f>IF(AE$3="","",AE18-AE28)</f>
        <v/>
      </c>
      <c r="AF30" s="354">
        <f>IF(AF$3="","",AF18-AF28)</f>
        <v/>
      </c>
      <c r="AG30" s="354">
        <f>IF(AG$3="","",AG18-AG28)</f>
        <v/>
      </c>
      <c r="AH30" s="354">
        <f>IF(AH$3="","",AH18-AH28)</f>
        <v/>
      </c>
      <c r="AI30" s="354">
        <f>IF(AI$3="","",AI18-AI28)</f>
        <v/>
      </c>
      <c r="AJ30" s="354">
        <f>IF(AJ$3="","",AJ18-AJ28)</f>
        <v/>
      </c>
      <c r="AK30" s="354">
        <f>IF(AK$3="","",AK18-AK28)</f>
        <v/>
      </c>
      <c r="AL30" s="354">
        <f>IF(AL$3="","",AL18-AL28)</f>
        <v/>
      </c>
      <c r="AM30" s="354">
        <f>IF(AM$3="","",AM18-AM28)</f>
        <v/>
      </c>
      <c r="AN30" s="354">
        <f>IF(AN$3="","",AN18-AN28)</f>
        <v/>
      </c>
      <c r="AO30" s="354">
        <f>IF(AO$3="","",AO18-AO28)</f>
        <v/>
      </c>
      <c r="AP30" s="354">
        <f>IF(AP$3="","",AP18-AP28)</f>
        <v/>
      </c>
      <c r="AQ30" s="354">
        <f>IF(AQ$3="","",AQ18-AQ28)</f>
        <v/>
      </c>
      <c r="AR30" s="354">
        <f>IF(AR$3="","",AR18-AR28)</f>
        <v/>
      </c>
      <c r="AS30" s="354">
        <f>IF(AS$3="","",AS18-AS28)</f>
        <v/>
      </c>
      <c r="AT30" s="354">
        <f>IF(AT$3="","",AT18-AT28)</f>
        <v/>
      </c>
      <c r="AU30" s="354">
        <f>IF(AU$3="","",AU18-AU28)</f>
        <v/>
      </c>
      <c r="AV30" s="354">
        <f>IF(AV$3="","",AV18-AV28)</f>
        <v/>
      </c>
      <c r="AW30" s="354">
        <f>IF(AW$3="","",AW18-AW28)</f>
        <v/>
      </c>
      <c r="AX30" s="354">
        <f>IF(AX$3="","",AX18-AX28)</f>
        <v/>
      </c>
      <c r="AY30" s="354">
        <f>IF(AY$3="","",AY18-AY28)</f>
        <v/>
      </c>
      <c r="AZ30" s="354">
        <f>IF(AZ$3="","",AZ18-AZ28)</f>
        <v/>
      </c>
      <c r="BA30" s="354">
        <f>IF(BA$3="","",BA18-BA28)</f>
        <v/>
      </c>
      <c r="BB30" s="354">
        <f>IF(BB$3="","",BB18-BB28)</f>
        <v/>
      </c>
      <c r="BC30" s="354">
        <f>IF(BC$3="","",BC18-BC28)</f>
        <v/>
      </c>
      <c r="BD30" s="354">
        <f>IF(BD$3="","",BD18-BD28)</f>
        <v/>
      </c>
      <c r="BE30" s="354">
        <f>IF(BE$3="","",BE18-BE28)</f>
        <v/>
      </c>
      <c r="BF30" s="354">
        <f>IF(BF$3="","",BF18-BF28)</f>
        <v/>
      </c>
      <c r="BG30" s="354">
        <f>IF(BG$3="","",BG18-BG28)</f>
        <v/>
      </c>
      <c r="BH30" s="354">
        <f>IF(BH$3="","",BH18-BH28)</f>
        <v/>
      </c>
      <c r="BI30" s="354">
        <f>IF(BI$3="","",BI18-BI28)</f>
        <v/>
      </c>
      <c r="BJ30" s="354">
        <f>IF(BJ$3="","",BJ18-BJ28)</f>
        <v/>
      </c>
      <c r="BK30" s="354">
        <f>IF(BK$3="","",BK18-BK28)</f>
        <v/>
      </c>
      <c r="BL30" s="354">
        <f>IF(BL$3="","",BL18-BL28)</f>
        <v/>
      </c>
      <c r="BM30" s="354">
        <f>IF(BM$3="","",BM18-BM28)</f>
        <v/>
      </c>
      <c r="BN30" s="354">
        <f>IF(BN$3="","",BN18-BN28)</f>
        <v/>
      </c>
      <c r="BO30" s="354">
        <f>IF(BO$3="","",BO18-BO28)</f>
        <v/>
      </c>
      <c r="BP30" s="354">
        <f>IF(BP$3="","",BP18-BP28)</f>
        <v/>
      </c>
      <c r="BQ30" s="354">
        <f>IF(BQ$3="","",BQ18-BQ28)</f>
        <v/>
      </c>
      <c r="BR30" s="354">
        <f>IF(BR$3="","",BR18-BR28)</f>
        <v/>
      </c>
      <c r="BS30" s="354">
        <f>IF(BS$3="","",BS18-BS28)</f>
        <v/>
      </c>
      <c r="BT30" s="354">
        <f>IF(BT$3="","",BT18-BT28)</f>
        <v/>
      </c>
      <c r="BU30" s="354">
        <f>IF(BU$3="","",BU18-BU28)</f>
        <v/>
      </c>
      <c r="BV30" s="354">
        <f>IF(BV$3="","",BV18-BV28)</f>
        <v/>
      </c>
      <c r="BW30" s="354">
        <f>IF(BW$3="","",BW18-BW28)</f>
        <v/>
      </c>
      <c r="BX30" s="354">
        <f>IF(BX$3="","",BX18-BX28)</f>
        <v/>
      </c>
      <c r="BY30" s="354">
        <f>IF(BY$3="","",BY18-BY28)</f>
        <v/>
      </c>
      <c r="BZ30" s="354">
        <f>IF(BZ$3="","",BZ18-BZ28)</f>
        <v/>
      </c>
      <c r="CA30" s="354">
        <f>IF(CA$3="","",CA18-CA28)</f>
        <v/>
      </c>
      <c r="CB30" s="354">
        <f>IF(CB$3="","",CB18-CB28)</f>
        <v/>
      </c>
      <c r="CC30" s="354">
        <f>IF(CC$3="","",CC18-CC28)</f>
        <v/>
      </c>
      <c r="CD30" s="354">
        <f>IF(CD$3="","",CD18-CD28)</f>
        <v/>
      </c>
      <c r="CE30" s="354">
        <f>IF(CE$3="","",CE18-CE28)</f>
        <v/>
      </c>
      <c r="CF30" s="354">
        <f>IF(CF$3="","",CF18-CF28)</f>
        <v/>
      </c>
      <c r="CG30" s="354">
        <f>IF(CG$3="","",CG18-CG28)</f>
        <v/>
      </c>
      <c r="CH30" s="354">
        <f>IF(CH$3="","",CH18-CH28)</f>
        <v/>
      </c>
      <c r="CI30" s="354">
        <f>IF(CI$3="","",CI18-CI28)</f>
        <v/>
      </c>
      <c r="CJ30" s="354">
        <f>IF(CJ$3="","",CJ18-CJ28)</f>
        <v/>
      </c>
      <c r="CK30" s="354">
        <f>IF(CK$3="","",CK18-CK28)</f>
        <v/>
      </c>
      <c r="CL30" s="354">
        <f>IF(CL$3="","",CL18-CL28)</f>
        <v/>
      </c>
      <c r="CM30" s="354">
        <f>IF(CM$3="","",CM18-CM28)</f>
        <v/>
      </c>
      <c r="CN30" s="354">
        <f>IF(CN$3="","",CN18-CN28)</f>
        <v/>
      </c>
      <c r="CO30" s="354">
        <f>IF(CO$3="","",CO18-CO28)</f>
        <v/>
      </c>
      <c r="CP30" s="354">
        <f>IF(CP$3="","",CP18-CP28)</f>
        <v/>
      </c>
      <c r="CQ30" s="354">
        <f>IF(CQ$3="","",CQ18-CQ28)</f>
        <v/>
      </c>
      <c r="CR30" s="354">
        <f>IF(CR$3="","",CR18-CR28)</f>
        <v/>
      </c>
      <c r="CS30" s="354">
        <f>IF(CS$3="","",CS18-CS28)</f>
        <v/>
      </c>
      <c r="CT30" s="354">
        <f>IF(CT$3="","",CT18-CT28)</f>
        <v/>
      </c>
      <c r="CU30" s="354">
        <f>IF(CU$3="","",CU18-CU28)</f>
        <v/>
      </c>
      <c r="CV30" s="354">
        <f>IF(CV$3="","",CV18-CV28)</f>
        <v/>
      </c>
      <c r="CW30" s="354">
        <f>IF(CW$3="","",CW18-CW28)</f>
        <v/>
      </c>
    </row>
    <row r="31" ht="15" customHeight="1" s="180">
      <c r="A31" s="231" t="inlineStr">
        <is>
          <t>預貯金残高</t>
        </is>
      </c>
      <c r="B31" s="355">
        <f>IF(B$3="","",B38)</f>
        <v/>
      </c>
      <c r="C31" s="355">
        <f>IF(C$3="","",C38)</f>
        <v/>
      </c>
      <c r="D31" s="355">
        <f>IF(D$3="","",D38)</f>
        <v/>
      </c>
      <c r="E31" s="355">
        <f>IF(E$3="","",E38)</f>
        <v/>
      </c>
      <c r="F31" s="355">
        <f>IF(F$3="","",F38)</f>
        <v/>
      </c>
      <c r="G31" s="355">
        <f>IF(G$3="","",G38)</f>
        <v/>
      </c>
      <c r="H31" s="355">
        <f>IF(H$3="","",H38)</f>
        <v/>
      </c>
      <c r="I31" s="355">
        <f>IF(I$3="","",I38)</f>
        <v/>
      </c>
      <c r="J31" s="355">
        <f>IF(J$3="","",J38)</f>
        <v/>
      </c>
      <c r="K31" s="355">
        <f>IF(K$3="","",K38)</f>
        <v/>
      </c>
      <c r="L31" s="355">
        <f>IF(L$3="","",L38)</f>
        <v/>
      </c>
      <c r="M31" s="355">
        <f>IF(M$3="","",M38)</f>
        <v/>
      </c>
      <c r="N31" s="355">
        <f>IF(N$3="","",N38)</f>
        <v/>
      </c>
      <c r="O31" s="355">
        <f>IF(O$3="","",O38)</f>
        <v/>
      </c>
      <c r="P31" s="355">
        <f>IF(P$3="","",P38)</f>
        <v/>
      </c>
      <c r="Q31" s="355">
        <f>IF(Q$3="","",Q38)</f>
        <v/>
      </c>
      <c r="R31" s="355">
        <f>IF(R$3="","",R38)</f>
        <v/>
      </c>
      <c r="S31" s="355">
        <f>IF(S$3="","",S38)</f>
        <v/>
      </c>
      <c r="T31" s="355">
        <f>IF(T$3="","",T38)</f>
        <v/>
      </c>
      <c r="U31" s="355">
        <f>IF(U$3="","",U38)</f>
        <v/>
      </c>
      <c r="V31" s="355">
        <f>IF(V$3="","",V38)</f>
        <v/>
      </c>
      <c r="W31" s="355">
        <f>IF(W$3="","",W38)</f>
        <v/>
      </c>
      <c r="X31" s="355">
        <f>IF(X$3="","",X38)</f>
        <v/>
      </c>
      <c r="Y31" s="355">
        <f>IF(Y$3="","",Y38)</f>
        <v/>
      </c>
      <c r="Z31" s="355">
        <f>IF(Z$3="","",Z38)</f>
        <v/>
      </c>
      <c r="AA31" s="355">
        <f>IF(AA$3="","",AA38)</f>
        <v/>
      </c>
      <c r="AB31" s="355">
        <f>IF(AB$3="","",AB38)</f>
        <v/>
      </c>
      <c r="AC31" s="355">
        <f>IF(AC$3="","",AC38)</f>
        <v/>
      </c>
      <c r="AD31" s="355">
        <f>IF(AD$3="","",AD38)</f>
        <v/>
      </c>
      <c r="AE31" s="355">
        <f>IF(AE$3="","",AE38)</f>
        <v/>
      </c>
      <c r="AF31" s="355">
        <f>IF(AF$3="","",AF38)</f>
        <v/>
      </c>
      <c r="AG31" s="355">
        <f>IF(AG$3="","",AG38)</f>
        <v/>
      </c>
      <c r="AH31" s="355">
        <f>IF(AH$3="","",AH38)</f>
        <v/>
      </c>
      <c r="AI31" s="355">
        <f>IF(AI$3="","",AI38)</f>
        <v/>
      </c>
      <c r="AJ31" s="355">
        <f>IF(AJ$3="","",AJ38)</f>
        <v/>
      </c>
      <c r="AK31" s="355">
        <f>IF(AK$3="","",AK38)</f>
        <v/>
      </c>
      <c r="AL31" s="355">
        <f>IF(AL$3="","",AL38)</f>
        <v/>
      </c>
      <c r="AM31" s="355">
        <f>IF(AM$3="","",AM38)</f>
        <v/>
      </c>
      <c r="AN31" s="355">
        <f>IF(AN$3="","",AN38)</f>
        <v/>
      </c>
      <c r="AO31" s="355">
        <f>IF(AO$3="","",AO38)</f>
        <v/>
      </c>
      <c r="AP31" s="355">
        <f>IF(AP$3="","",AP38)</f>
        <v/>
      </c>
      <c r="AQ31" s="355">
        <f>IF(AQ$3="","",AQ38)</f>
        <v/>
      </c>
      <c r="AR31" s="355">
        <f>IF(AR$3="","",AR38)</f>
        <v/>
      </c>
      <c r="AS31" s="355">
        <f>IF(AS$3="","",AS38)</f>
        <v/>
      </c>
      <c r="AT31" s="355">
        <f>IF(AT$3="","",AT38)</f>
        <v/>
      </c>
      <c r="AU31" s="355">
        <f>IF(AU$3="","",AU38)</f>
        <v/>
      </c>
      <c r="AV31" s="355">
        <f>IF(AV$3="","",AV38)</f>
        <v/>
      </c>
      <c r="AW31" s="355">
        <f>IF(AW$3="","",AW38)</f>
        <v/>
      </c>
      <c r="AX31" s="355">
        <f>IF(AX$3="","",AX38)</f>
        <v/>
      </c>
      <c r="AY31" s="355">
        <f>IF(AY$3="","",AY38)</f>
        <v/>
      </c>
      <c r="AZ31" s="355">
        <f>IF(AZ$3="","",AZ38)</f>
        <v/>
      </c>
      <c r="BA31" s="355">
        <f>IF(BA$3="","",BA38)</f>
        <v/>
      </c>
      <c r="BB31" s="355">
        <f>IF(BB$3="","",BB38)</f>
        <v/>
      </c>
      <c r="BC31" s="355">
        <f>IF(BC$3="","",BC38)</f>
        <v/>
      </c>
      <c r="BD31" s="355">
        <f>IF(BD$3="","",BD38)</f>
        <v/>
      </c>
      <c r="BE31" s="355">
        <f>IF(BE$3="","",BE38)</f>
        <v/>
      </c>
      <c r="BF31" s="355">
        <f>IF(BF$3="","",BF38)</f>
        <v/>
      </c>
      <c r="BG31" s="355">
        <f>IF(BG$3="","",BG38)</f>
        <v/>
      </c>
      <c r="BH31" s="355">
        <f>IF(BH$3="","",BH38)</f>
        <v/>
      </c>
      <c r="BI31" s="355">
        <f>IF(BI$3="","",BI38)</f>
        <v/>
      </c>
      <c r="BJ31" s="355">
        <f>IF(BJ$3="","",BJ38)</f>
        <v/>
      </c>
      <c r="BK31" s="355">
        <f>IF(BK$3="","",BK38)</f>
        <v/>
      </c>
      <c r="BL31" s="355">
        <f>IF(BL$3="","",BL38)</f>
        <v/>
      </c>
      <c r="BM31" s="355">
        <f>IF(BM$3="","",BM38)</f>
        <v/>
      </c>
      <c r="BN31" s="355">
        <f>IF(BN$3="","",BN38)</f>
        <v/>
      </c>
      <c r="BO31" s="355">
        <f>IF(BO$3="","",BO38)</f>
        <v/>
      </c>
      <c r="BP31" s="355">
        <f>IF(BP$3="","",BP38)</f>
        <v/>
      </c>
      <c r="BQ31" s="355">
        <f>IF(BQ$3="","",BQ38)</f>
        <v/>
      </c>
      <c r="BR31" s="355">
        <f>IF(BR$3="","",BR38)</f>
        <v/>
      </c>
      <c r="BS31" s="355">
        <f>IF(BS$3="","",BS38)</f>
        <v/>
      </c>
      <c r="BT31" s="355">
        <f>IF(BT$3="","",BT38)</f>
        <v/>
      </c>
      <c r="BU31" s="355">
        <f>IF(BU$3="","",BU38)</f>
        <v/>
      </c>
      <c r="BV31" s="355">
        <f>IF(BV$3="","",BV38)</f>
        <v/>
      </c>
      <c r="BW31" s="355">
        <f>IF(BW$3="","",BW38)</f>
        <v/>
      </c>
      <c r="BX31" s="355">
        <f>IF(BX$3="","",BX38)</f>
        <v/>
      </c>
      <c r="BY31" s="355">
        <f>IF(BY$3="","",BY38)</f>
        <v/>
      </c>
      <c r="BZ31" s="355">
        <f>IF(BZ$3="","",BZ38)</f>
        <v/>
      </c>
      <c r="CA31" s="355">
        <f>IF(CA$3="","",CA38)</f>
        <v/>
      </c>
      <c r="CB31" s="355">
        <f>IF(CB$3="","",CB38)</f>
        <v/>
      </c>
      <c r="CC31" s="355">
        <f>IF(CC$3="","",CC38)</f>
        <v/>
      </c>
      <c r="CD31" s="355">
        <f>IF(CD$3="","",CD38)</f>
        <v/>
      </c>
      <c r="CE31" s="355">
        <f>IF(CE$3="","",CE38)</f>
        <v/>
      </c>
      <c r="CF31" s="355">
        <f>IF(CF$3="","",CF38)</f>
        <v/>
      </c>
      <c r="CG31" s="355">
        <f>IF(CG$3="","",CG38)</f>
        <v/>
      </c>
      <c r="CH31" s="355">
        <f>IF(CH$3="","",CH38)</f>
        <v/>
      </c>
      <c r="CI31" s="355">
        <f>IF(CI$3="","",CI38)</f>
        <v/>
      </c>
      <c r="CJ31" s="355">
        <f>IF(CJ$3="","",CJ38)</f>
        <v/>
      </c>
      <c r="CK31" s="355">
        <f>IF(CK$3="","",CK38)</f>
        <v/>
      </c>
      <c r="CL31" s="355">
        <f>IF(CL$3="","",CL38)</f>
        <v/>
      </c>
      <c r="CM31" s="355">
        <f>IF(CM$3="","",CM38)</f>
        <v/>
      </c>
      <c r="CN31" s="355">
        <f>IF(CN$3="","",CN38)</f>
        <v/>
      </c>
      <c r="CO31" s="355">
        <f>IF(CO$3="","",CO38)</f>
        <v/>
      </c>
      <c r="CP31" s="355">
        <f>IF(CP$3="","",CP38)</f>
        <v/>
      </c>
      <c r="CQ31" s="355">
        <f>IF(CQ$3="","",CQ38)</f>
        <v/>
      </c>
      <c r="CR31" s="355">
        <f>IF(CR$3="","",CR38)</f>
        <v/>
      </c>
      <c r="CS31" s="355">
        <f>IF(CS$3="","",CS38)</f>
        <v/>
      </c>
      <c r="CT31" s="355">
        <f>IF(CT$3="","",CT38)</f>
        <v/>
      </c>
      <c r="CU31" s="355">
        <f>IF(CU$3="","",CU38)</f>
        <v/>
      </c>
      <c r="CV31" s="355">
        <f>IF(CV$3="","",CV38)</f>
        <v/>
      </c>
      <c r="CW31" s="355">
        <f>IF(CW$3="","",CW38)</f>
        <v/>
      </c>
    </row>
    <row r="32" ht="15" customHeight="1" s="180">
      <c r="A32" s="233" t="inlineStr">
        <is>
          <t>投資資産残高</t>
        </is>
      </c>
      <c r="B32" s="356">
        <f>IF(B$3="","",((SUM(入力データ!$C$90:$C$92,入力データ!$C$94)*(1+前提条件!$C$60))+B36-B39))</f>
        <v/>
      </c>
      <c r="C32" s="356">
        <f>IF(C$3="","",((B32*(1+前提条件!$C$60))+C36-C39))</f>
        <v/>
      </c>
      <c r="D32" s="356">
        <f>IF(D$3="","",((C32*(1+前提条件!$C$60))+D36-D39))</f>
        <v/>
      </c>
      <c r="E32" s="356">
        <f>IF(E$3="","",((D32*(1+前提条件!$C$60))+E36-E39))</f>
        <v/>
      </c>
      <c r="F32" s="356">
        <f>IF(F$3="","",((E32*(1+前提条件!$C$60))+F36-F39))</f>
        <v/>
      </c>
      <c r="G32" s="356">
        <f>IF(G$3="","",((F32*(1+前提条件!$C$60))+G36-G39))</f>
        <v/>
      </c>
      <c r="H32" s="356">
        <f>IF(H$3="","",((G32*(1+前提条件!$C$60))+H36-H39))</f>
        <v/>
      </c>
      <c r="I32" s="356">
        <f>IF(I$3="","",((H32*(1+前提条件!$C$60))+I36-I39))</f>
        <v/>
      </c>
      <c r="J32" s="356">
        <f>IF(J$3="","",((I32*(1+前提条件!$C$60))+J36-J39))</f>
        <v/>
      </c>
      <c r="K32" s="356">
        <f>IF(K$3="","",((J32*(1+前提条件!$C$60))+K36-K39))</f>
        <v/>
      </c>
      <c r="L32" s="356">
        <f>IF(L$3="","",((K32*(1+前提条件!$C$60))+L36-L39))</f>
        <v/>
      </c>
      <c r="M32" s="356">
        <f>IF(M$3="","",((L32*(1+前提条件!$C$60))+M36-M39))</f>
        <v/>
      </c>
      <c r="N32" s="356">
        <f>IF(N$3="","",((M32*(1+前提条件!$C$60))+N36-N39))</f>
        <v/>
      </c>
      <c r="O32" s="356">
        <f>IF(O$3="","",((N32*(1+前提条件!$C$60))+O36-O39))</f>
        <v/>
      </c>
      <c r="P32" s="356">
        <f>IF(P$3="","",((O32*(1+前提条件!$C$60))+P36-P39))</f>
        <v/>
      </c>
      <c r="Q32" s="356">
        <f>IF(Q$3="","",((P32*(1+前提条件!$C$60))+Q36-Q39))</f>
        <v/>
      </c>
      <c r="R32" s="356">
        <f>IF(R$3="","",((Q32*(1+前提条件!$C$60))+R36-R39))</f>
        <v/>
      </c>
      <c r="S32" s="356">
        <f>IF(S$3="","",((R32*(1+前提条件!$C$60))+S36-S39))</f>
        <v/>
      </c>
      <c r="T32" s="356">
        <f>IF(T$3="","",((S32*(1+前提条件!$C$60))+T36-T39))</f>
        <v/>
      </c>
      <c r="U32" s="356">
        <f>IF(U$3="","",((T32*(1+前提条件!$C$60))+U36-U39))</f>
        <v/>
      </c>
      <c r="V32" s="356">
        <f>IF(V$3="","",((U32*(1+前提条件!$C$60))+V36-V39))</f>
        <v/>
      </c>
      <c r="W32" s="356">
        <f>IF(W$3="","",((V32*(1+前提条件!$C$60))+W36-W39))</f>
        <v/>
      </c>
      <c r="X32" s="356">
        <f>IF(X$3="","",((W32*(1+前提条件!$C$60))+X36-X39))</f>
        <v/>
      </c>
      <c r="Y32" s="356">
        <f>IF(Y$3="","",((X32*(1+前提条件!$C$60))+Y36-Y39))</f>
        <v/>
      </c>
      <c r="Z32" s="356">
        <f>IF(Z$3="","",((Y32*(1+前提条件!$C$60))+Z36-Z39))</f>
        <v/>
      </c>
      <c r="AA32" s="356">
        <f>IF(AA$3="","",((Z32*(1+前提条件!$C$60))+AA36-AA39))</f>
        <v/>
      </c>
      <c r="AB32" s="356">
        <f>IF(AB$3="","",((AA32*(1+前提条件!$C$60))+AB36-AB39))</f>
        <v/>
      </c>
      <c r="AC32" s="356">
        <f>IF(AC$3="","",((AB32*(1+前提条件!$C$60))+AC36-AC39))</f>
        <v/>
      </c>
      <c r="AD32" s="356">
        <f>IF(AD$3="","",((AC32*(1+前提条件!$C$60))+AD36-AD39))</f>
        <v/>
      </c>
      <c r="AE32" s="356">
        <f>IF(AE$3="","",((AD32*(1+前提条件!$C$60))+AE36-AE39))</f>
        <v/>
      </c>
      <c r="AF32" s="356">
        <f>IF(AF$3="","",((AE32*(1+前提条件!$C$60))+AF36-AF39))</f>
        <v/>
      </c>
      <c r="AG32" s="356">
        <f>IF(AG$3="","",((AF32*(1+前提条件!$C$60))+AG36-AG39))</f>
        <v/>
      </c>
      <c r="AH32" s="356">
        <f>IF(AH$3="","",((AG32*(1+前提条件!$C$60))+AH36-AH39))</f>
        <v/>
      </c>
      <c r="AI32" s="356">
        <f>IF(AI$3="","",((AH32*(1+前提条件!$C$60))+AI36-AI39))</f>
        <v/>
      </c>
      <c r="AJ32" s="356">
        <f>IF(AJ$3="","",((AI32*(1+前提条件!$C$60))+AJ36-AJ39))</f>
        <v/>
      </c>
      <c r="AK32" s="356">
        <f>IF(AK$3="","",((AJ32*(1+前提条件!$C$60))+AK36-AK39))</f>
        <v/>
      </c>
      <c r="AL32" s="356">
        <f>IF(AL$3="","",((AK32*(1+前提条件!$C$60))+AL36-AL39))</f>
        <v/>
      </c>
      <c r="AM32" s="356">
        <f>IF(AM$3="","",((AL32*(1+前提条件!$C$60))+AM36-AM39))</f>
        <v/>
      </c>
      <c r="AN32" s="356">
        <f>IF(AN$3="","",((AM32*(1+前提条件!$C$60))+AN36-AN39))</f>
        <v/>
      </c>
      <c r="AO32" s="356">
        <f>IF(AO$3="","",((AN32*(1+前提条件!$C$60))+AO36-AO39))</f>
        <v/>
      </c>
      <c r="AP32" s="356">
        <f>IF(AP$3="","",((AO32*(1+前提条件!$C$60))+AP36-AP39))</f>
        <v/>
      </c>
      <c r="AQ32" s="356">
        <f>IF(AQ$3="","",((AP32*(1+前提条件!$C$60))+AQ36-AQ39))</f>
        <v/>
      </c>
      <c r="AR32" s="356">
        <f>IF(AR$3="","",((AQ32*(1+前提条件!$C$60))+AR36-AR39))</f>
        <v/>
      </c>
      <c r="AS32" s="356">
        <f>IF(AS$3="","",((AR32*(1+前提条件!$C$60))+AS36-AS39))</f>
        <v/>
      </c>
      <c r="AT32" s="356">
        <f>IF(AT$3="","",((AS32*(1+前提条件!$C$60))+AT36-AT39))</f>
        <v/>
      </c>
      <c r="AU32" s="356">
        <f>IF(AU$3="","",((AT32*(1+前提条件!$C$60))+AU36-AU39))</f>
        <v/>
      </c>
      <c r="AV32" s="356">
        <f>IF(AV$3="","",((AU32*(1+前提条件!$C$60))+AV36-AV39))</f>
        <v/>
      </c>
      <c r="AW32" s="356">
        <f>IF(AW$3="","",((AV32*(1+前提条件!$C$60))+AW36-AW39))</f>
        <v/>
      </c>
      <c r="AX32" s="356">
        <f>IF(AX$3="","",((AW32*(1+前提条件!$C$60))+AX36-AX39))</f>
        <v/>
      </c>
      <c r="AY32" s="356">
        <f>IF(AY$3="","",((AX32*(1+前提条件!$C$60))+AY36-AY39))</f>
        <v/>
      </c>
      <c r="AZ32" s="356">
        <f>IF(AZ$3="","",((AY32*(1+前提条件!$C$60))+AZ36-AZ39))</f>
        <v/>
      </c>
      <c r="BA32" s="356">
        <f>IF(BA$3="","",((AZ32*(1+前提条件!$C$60))+BA36-BA39))</f>
        <v/>
      </c>
      <c r="BB32" s="356">
        <f>IF(BB$3="","",((BA32*(1+前提条件!$C$60))+BB36-BB39))</f>
        <v/>
      </c>
      <c r="BC32" s="356">
        <f>IF(BC$3="","",((BB32*(1+前提条件!$C$60))+BC36-BC39))</f>
        <v/>
      </c>
      <c r="BD32" s="356">
        <f>IF(BD$3="","",((BC32*(1+前提条件!$C$60))+BD36-BD39))</f>
        <v/>
      </c>
      <c r="BE32" s="356">
        <f>IF(BE$3="","",((BD32*(1+前提条件!$C$60))+BE36-BE39))</f>
        <v/>
      </c>
      <c r="BF32" s="356">
        <f>IF(BF$3="","",((BE32*(1+前提条件!$C$60))+BF36-BF39))</f>
        <v/>
      </c>
      <c r="BG32" s="356">
        <f>IF(BG$3="","",((BF32*(1+前提条件!$C$60))+BG36-BG39))</f>
        <v/>
      </c>
      <c r="BH32" s="356">
        <f>IF(BH$3="","",((BG32*(1+前提条件!$C$60))+BH36-BH39))</f>
        <v/>
      </c>
      <c r="BI32" s="356">
        <f>IF(BI$3="","",((BH32*(1+前提条件!$C$60))+BI36-BI39))</f>
        <v/>
      </c>
      <c r="BJ32" s="356">
        <f>IF(BJ$3="","",((BI32*(1+前提条件!$C$60))+BJ36-BJ39))</f>
        <v/>
      </c>
      <c r="BK32" s="356">
        <f>IF(BK$3="","",((BJ32*(1+前提条件!$C$60))+BK36-BK39))</f>
        <v/>
      </c>
      <c r="BL32" s="356">
        <f>IF(BL$3="","",((BK32*(1+前提条件!$C$60))+BL36-BL39))</f>
        <v/>
      </c>
      <c r="BM32" s="356">
        <f>IF(BM$3="","",((BL32*(1+前提条件!$C$60))+BM36-BM39))</f>
        <v/>
      </c>
      <c r="BN32" s="356">
        <f>IF(BN$3="","",((BM32*(1+前提条件!$C$60))+BN36-BN39))</f>
        <v/>
      </c>
      <c r="BO32" s="356">
        <f>IF(BO$3="","",((BN32*(1+前提条件!$C$60))+BO36-BO39))</f>
        <v/>
      </c>
      <c r="BP32" s="356">
        <f>IF(BP$3="","",((BO32*(1+前提条件!$C$60))+BP36-BP39))</f>
        <v/>
      </c>
      <c r="BQ32" s="356">
        <f>IF(BQ$3="","",((BP32*(1+前提条件!$C$60))+BQ36-BQ39))</f>
        <v/>
      </c>
      <c r="BR32" s="356">
        <f>IF(BR$3="","",((BQ32*(1+前提条件!$C$60))+BR36-BR39))</f>
        <v/>
      </c>
      <c r="BS32" s="356">
        <f>IF(BS$3="","",((BR32*(1+前提条件!$C$60))+BS36-BS39))</f>
        <v/>
      </c>
      <c r="BT32" s="356">
        <f>IF(BT$3="","",((BS32*(1+前提条件!$C$60))+BT36-BT39))</f>
        <v/>
      </c>
      <c r="BU32" s="356">
        <f>IF(BU$3="","",((BT32*(1+前提条件!$C$60))+BU36-BU39))</f>
        <v/>
      </c>
      <c r="BV32" s="356">
        <f>IF(BV$3="","",((BU32*(1+前提条件!$C$60))+BV36-BV39))</f>
        <v/>
      </c>
      <c r="BW32" s="356">
        <f>IF(BW$3="","",((BV32*(1+前提条件!$C$60))+BW36-BW39))</f>
        <v/>
      </c>
      <c r="BX32" s="356">
        <f>IF(BX$3="","",((BW32*(1+前提条件!$C$60))+BX36-BX39))</f>
        <v/>
      </c>
      <c r="BY32" s="356">
        <f>IF(BY$3="","",((BX32*(1+前提条件!$C$60))+BY36-BY39))</f>
        <v/>
      </c>
      <c r="BZ32" s="356">
        <f>IF(BZ$3="","",((BY32*(1+前提条件!$C$60))+BZ36-BZ39))</f>
        <v/>
      </c>
      <c r="CA32" s="356">
        <f>IF(CA$3="","",((BZ32*(1+前提条件!$C$60))+CA36-CA39))</f>
        <v/>
      </c>
      <c r="CB32" s="356">
        <f>IF(CB$3="","",((CA32*(1+前提条件!$C$60))+CB36-CB39))</f>
        <v/>
      </c>
      <c r="CC32" s="356">
        <f>IF(CC$3="","",((CB32*(1+前提条件!$C$60))+CC36-CC39))</f>
        <v/>
      </c>
      <c r="CD32" s="356">
        <f>IF(CD$3="","",((CC32*(1+前提条件!$C$60))+CD36-CD39))</f>
        <v/>
      </c>
      <c r="CE32" s="356">
        <f>IF(CE$3="","",((CD32*(1+前提条件!$C$60))+CE36-CE39))</f>
        <v/>
      </c>
      <c r="CF32" s="356">
        <f>IF(CF$3="","",((CE32*(1+前提条件!$C$60))+CF36-CF39))</f>
        <v/>
      </c>
      <c r="CG32" s="356">
        <f>IF(CG$3="","",((CF32*(1+前提条件!$C$60))+CG36-CG39))</f>
        <v/>
      </c>
      <c r="CH32" s="356">
        <f>IF(CH$3="","",((CG32*(1+前提条件!$C$60))+CH36-CH39))</f>
        <v/>
      </c>
      <c r="CI32" s="356">
        <f>IF(CI$3="","",((CH32*(1+前提条件!$C$60))+CI36-CI39))</f>
        <v/>
      </c>
      <c r="CJ32" s="356">
        <f>IF(CJ$3="","",((CI32*(1+前提条件!$C$60))+CJ36-CJ39))</f>
        <v/>
      </c>
      <c r="CK32" s="356">
        <f>IF(CK$3="","",((CJ32*(1+前提条件!$C$60))+CK36-CK39))</f>
        <v/>
      </c>
      <c r="CL32" s="356">
        <f>IF(CL$3="","",((CK32*(1+前提条件!$C$60))+CL36-CL39))</f>
        <v/>
      </c>
      <c r="CM32" s="356">
        <f>IF(CM$3="","",((CL32*(1+前提条件!$C$60))+CM36-CM39))</f>
        <v/>
      </c>
      <c r="CN32" s="356">
        <f>IF(CN$3="","",((CM32*(1+前提条件!$C$60))+CN36-CN39))</f>
        <v/>
      </c>
      <c r="CO32" s="356">
        <f>IF(CO$3="","",((CN32*(1+前提条件!$C$60))+CO36-CO39))</f>
        <v/>
      </c>
      <c r="CP32" s="356">
        <f>IF(CP$3="","",((CO32*(1+前提条件!$C$60))+CP36-CP39))</f>
        <v/>
      </c>
      <c r="CQ32" s="356">
        <f>IF(CQ$3="","",((CP32*(1+前提条件!$C$60))+CQ36-CQ39))</f>
        <v/>
      </c>
      <c r="CR32" s="356">
        <f>IF(CR$3="","",((CQ32*(1+前提条件!$C$60))+CR36-CR39))</f>
        <v/>
      </c>
      <c r="CS32" s="356">
        <f>IF(CS$3="","",((CR32*(1+前提条件!$C$60))+CS36-CS39))</f>
        <v/>
      </c>
      <c r="CT32" s="356">
        <f>IF(CT$3="","",((CS32*(1+前提条件!$C$60))+CT36-CT39))</f>
        <v/>
      </c>
      <c r="CU32" s="356">
        <f>IF(CU$3="","",((CT32*(1+前提条件!$C$60))+CU36-CU39))</f>
        <v/>
      </c>
      <c r="CV32" s="356">
        <f>IF(CV$3="","",((CU32*(1+前提条件!$C$60))+CV36-CV39))</f>
        <v/>
      </c>
      <c r="CW32" s="356">
        <f>IF(CW$3="","",((CV32*(1+前提条件!$C$60))+CW36-CW39))</f>
        <v/>
      </c>
    </row>
    <row r="33" ht="15" customHeight="1" s="180">
      <c r="A33" s="233" t="inlineStr">
        <is>
          <t>解約返戻金残高</t>
        </is>
      </c>
      <c r="B33" s="356">
        <f>IF(B$3="","",((入力データ!$C$93*(1+前提条件!$C$61))+B37-B40))</f>
        <v/>
      </c>
      <c r="C33" s="356">
        <f>IF(C$3="","",((B33*(1+前提条件!$C$61))+C37-C40))</f>
        <v/>
      </c>
      <c r="D33" s="356">
        <f>IF(D$3="","",((C33*(1+前提条件!$C$61))+D37-D40))</f>
        <v/>
      </c>
      <c r="E33" s="356">
        <f>IF(E$3="","",((D33*(1+前提条件!$C$61))+E37-E40))</f>
        <v/>
      </c>
      <c r="F33" s="356">
        <f>IF(F$3="","",((E33*(1+前提条件!$C$61))+F37-F40))</f>
        <v/>
      </c>
      <c r="G33" s="356">
        <f>IF(G$3="","",((F33*(1+前提条件!$C$61))+G37-G40))</f>
        <v/>
      </c>
      <c r="H33" s="356">
        <f>IF(H$3="","",((G33*(1+前提条件!$C$61))+H37-H40))</f>
        <v/>
      </c>
      <c r="I33" s="356">
        <f>IF(I$3="","",((H33*(1+前提条件!$C$61))+I37-I40))</f>
        <v/>
      </c>
      <c r="J33" s="356">
        <f>IF(J$3="","",((I33*(1+前提条件!$C$61))+J37-J40))</f>
        <v/>
      </c>
      <c r="K33" s="356">
        <f>IF(K$3="","",((J33*(1+前提条件!$C$61))+K37-K40))</f>
        <v/>
      </c>
      <c r="L33" s="356">
        <f>IF(L$3="","",((K33*(1+前提条件!$C$61))+L37-L40))</f>
        <v/>
      </c>
      <c r="M33" s="356">
        <f>IF(M$3="","",((L33*(1+前提条件!$C$61))+M37-M40))</f>
        <v/>
      </c>
      <c r="N33" s="356">
        <f>IF(N$3="","",((M33*(1+前提条件!$C$61))+N37-N40))</f>
        <v/>
      </c>
      <c r="O33" s="356">
        <f>IF(O$3="","",((N33*(1+前提条件!$C$61))+O37-O40))</f>
        <v/>
      </c>
      <c r="P33" s="356">
        <f>IF(P$3="","",((O33*(1+前提条件!$C$61))+P37-P40))</f>
        <v/>
      </c>
      <c r="Q33" s="356">
        <f>IF(Q$3="","",((P33*(1+前提条件!$C$61))+Q37-Q40))</f>
        <v/>
      </c>
      <c r="R33" s="356">
        <f>IF(R$3="","",((Q33*(1+前提条件!$C$61))+R37-R40))</f>
        <v/>
      </c>
      <c r="S33" s="356">
        <f>IF(S$3="","",((R33*(1+前提条件!$C$61))+S37-S40))</f>
        <v/>
      </c>
      <c r="T33" s="356">
        <f>IF(T$3="","",((S33*(1+前提条件!$C$61))+T37-T40))</f>
        <v/>
      </c>
      <c r="U33" s="356">
        <f>IF(U$3="","",((T33*(1+前提条件!$C$61))+U37-U40))</f>
        <v/>
      </c>
      <c r="V33" s="356">
        <f>IF(V$3="","",((U33*(1+前提条件!$C$61))+V37-V40))</f>
        <v/>
      </c>
      <c r="W33" s="356">
        <f>IF(W$3="","",((V33*(1+前提条件!$C$61))+W37-W40))</f>
        <v/>
      </c>
      <c r="X33" s="356">
        <f>IF(X$3="","",((W33*(1+前提条件!$C$61))+X37-X40))</f>
        <v/>
      </c>
      <c r="Y33" s="356">
        <f>IF(Y$3="","",((X33*(1+前提条件!$C$61))+Y37-Y40))</f>
        <v/>
      </c>
      <c r="Z33" s="356">
        <f>IF(Z$3="","",((Y33*(1+前提条件!$C$61))+Z37-Z40))</f>
        <v/>
      </c>
      <c r="AA33" s="356">
        <f>IF(AA$3="","",((Z33*(1+前提条件!$C$61))+AA37-AA40))</f>
        <v/>
      </c>
      <c r="AB33" s="356">
        <f>IF(AB$3="","",((AA33*(1+前提条件!$C$61))+AB37-AB40))</f>
        <v/>
      </c>
      <c r="AC33" s="356">
        <f>IF(AC$3="","",((AB33*(1+前提条件!$C$61))+AC37-AC40))</f>
        <v/>
      </c>
      <c r="AD33" s="356">
        <f>IF(AD$3="","",((AC33*(1+前提条件!$C$61))+AD37-AD40))</f>
        <v/>
      </c>
      <c r="AE33" s="356">
        <f>IF(AE$3="","",((AD33*(1+前提条件!$C$61))+AE37-AE40))</f>
        <v/>
      </c>
      <c r="AF33" s="356">
        <f>IF(AF$3="","",((AE33*(1+前提条件!$C$61))+AF37-AF40))</f>
        <v/>
      </c>
      <c r="AG33" s="356">
        <f>IF(AG$3="","",((AF33*(1+前提条件!$C$61))+AG37-AG40))</f>
        <v/>
      </c>
      <c r="AH33" s="356">
        <f>IF(AH$3="","",((AG33*(1+前提条件!$C$61))+AH37-AH40))</f>
        <v/>
      </c>
      <c r="AI33" s="356">
        <f>IF(AI$3="","",((AH33*(1+前提条件!$C$61))+AI37-AI40))</f>
        <v/>
      </c>
      <c r="AJ33" s="356">
        <f>IF(AJ$3="","",((AI33*(1+前提条件!$C$61))+AJ37-AJ40))</f>
        <v/>
      </c>
      <c r="AK33" s="356">
        <f>IF(AK$3="","",((AJ33*(1+前提条件!$C$61))+AK37-AK40))</f>
        <v/>
      </c>
      <c r="AL33" s="356">
        <f>IF(AL$3="","",((AK33*(1+前提条件!$C$61))+AL37-AL40))</f>
        <v/>
      </c>
      <c r="AM33" s="356">
        <f>IF(AM$3="","",((AL33*(1+前提条件!$C$61))+AM37-AM40))</f>
        <v/>
      </c>
      <c r="AN33" s="356">
        <f>IF(AN$3="","",((AM33*(1+前提条件!$C$61))+AN37-AN40))</f>
        <v/>
      </c>
      <c r="AO33" s="356">
        <f>IF(AO$3="","",((AN33*(1+前提条件!$C$61))+AO37-AO40))</f>
        <v/>
      </c>
      <c r="AP33" s="356">
        <f>IF(AP$3="","",((AO33*(1+前提条件!$C$61))+AP37-AP40))</f>
        <v/>
      </c>
      <c r="AQ33" s="356">
        <f>IF(AQ$3="","",((AP33*(1+前提条件!$C$61))+AQ37-AQ40))</f>
        <v/>
      </c>
      <c r="AR33" s="356">
        <f>IF(AR$3="","",((AQ33*(1+前提条件!$C$61))+AR37-AR40))</f>
        <v/>
      </c>
      <c r="AS33" s="356">
        <f>IF(AS$3="","",((AR33*(1+前提条件!$C$61))+AS37-AS40))</f>
        <v/>
      </c>
      <c r="AT33" s="356">
        <f>IF(AT$3="","",((AS33*(1+前提条件!$C$61))+AT37-AT40))</f>
        <v/>
      </c>
      <c r="AU33" s="356">
        <f>IF(AU$3="","",((AT33*(1+前提条件!$C$61))+AU37-AU40))</f>
        <v/>
      </c>
      <c r="AV33" s="356">
        <f>IF(AV$3="","",((AU33*(1+前提条件!$C$61))+AV37-AV40))</f>
        <v/>
      </c>
      <c r="AW33" s="356">
        <f>IF(AW$3="","",((AV33*(1+前提条件!$C$61))+AW37-AW40))</f>
        <v/>
      </c>
      <c r="AX33" s="356">
        <f>IF(AX$3="","",((AW33*(1+前提条件!$C$61))+AX37-AX40))</f>
        <v/>
      </c>
      <c r="AY33" s="356">
        <f>IF(AY$3="","",((AX33*(1+前提条件!$C$61))+AY37-AY40))</f>
        <v/>
      </c>
      <c r="AZ33" s="356">
        <f>IF(AZ$3="","",((AY33*(1+前提条件!$C$61))+AZ37-AZ40))</f>
        <v/>
      </c>
      <c r="BA33" s="356">
        <f>IF(BA$3="","",((AZ33*(1+前提条件!$C$61))+BA37-BA40))</f>
        <v/>
      </c>
      <c r="BB33" s="356">
        <f>IF(BB$3="","",((BA33*(1+前提条件!$C$61))+BB37-BB40))</f>
        <v/>
      </c>
      <c r="BC33" s="356">
        <f>IF(BC$3="","",((BB33*(1+前提条件!$C$61))+BC37-BC40))</f>
        <v/>
      </c>
      <c r="BD33" s="356">
        <f>IF(BD$3="","",((BC33*(1+前提条件!$C$61))+BD37-BD40))</f>
        <v/>
      </c>
      <c r="BE33" s="356">
        <f>IF(BE$3="","",((BD33*(1+前提条件!$C$61))+BE37-BE40))</f>
        <v/>
      </c>
      <c r="BF33" s="356">
        <f>IF(BF$3="","",((BE33*(1+前提条件!$C$61))+BF37-BF40))</f>
        <v/>
      </c>
      <c r="BG33" s="356">
        <f>IF(BG$3="","",((BF33*(1+前提条件!$C$61))+BG37-BG40))</f>
        <v/>
      </c>
      <c r="BH33" s="356">
        <f>IF(BH$3="","",((BG33*(1+前提条件!$C$61))+BH37-BH40))</f>
        <v/>
      </c>
      <c r="BI33" s="356">
        <f>IF(BI$3="","",((BH33*(1+前提条件!$C$61))+BI37-BI40))</f>
        <v/>
      </c>
      <c r="BJ33" s="356">
        <f>IF(BJ$3="","",((BI33*(1+前提条件!$C$61))+BJ37-BJ40))</f>
        <v/>
      </c>
      <c r="BK33" s="356">
        <f>IF(BK$3="","",((BJ33*(1+前提条件!$C$61))+BK37-BK40))</f>
        <v/>
      </c>
      <c r="BL33" s="356">
        <f>IF(BL$3="","",((BK33*(1+前提条件!$C$61))+BL37-BL40))</f>
        <v/>
      </c>
      <c r="BM33" s="356">
        <f>IF(BM$3="","",((BL33*(1+前提条件!$C$61))+BM37-BM40))</f>
        <v/>
      </c>
      <c r="BN33" s="356">
        <f>IF(BN$3="","",((BM33*(1+前提条件!$C$61))+BN37-BN40))</f>
        <v/>
      </c>
      <c r="BO33" s="356">
        <f>IF(BO$3="","",((BN33*(1+前提条件!$C$61))+BO37-BO40))</f>
        <v/>
      </c>
      <c r="BP33" s="356">
        <f>IF(BP$3="","",((BO33*(1+前提条件!$C$61))+BP37-BP40))</f>
        <v/>
      </c>
      <c r="BQ33" s="356">
        <f>IF(BQ$3="","",((BP33*(1+前提条件!$C$61))+BQ37-BQ40))</f>
        <v/>
      </c>
      <c r="BR33" s="356">
        <f>IF(BR$3="","",((BQ33*(1+前提条件!$C$61))+BR37-BR40))</f>
        <v/>
      </c>
      <c r="BS33" s="356">
        <f>IF(BS$3="","",((BR33*(1+前提条件!$C$61))+BS37-BS40))</f>
        <v/>
      </c>
      <c r="BT33" s="356">
        <f>IF(BT$3="","",((BS33*(1+前提条件!$C$61))+BT37-BT40))</f>
        <v/>
      </c>
      <c r="BU33" s="356">
        <f>IF(BU$3="","",((BT33*(1+前提条件!$C$61))+BU37-BU40))</f>
        <v/>
      </c>
      <c r="BV33" s="356">
        <f>IF(BV$3="","",((BU33*(1+前提条件!$C$61))+BV37-BV40))</f>
        <v/>
      </c>
      <c r="BW33" s="356">
        <f>IF(BW$3="","",((BV33*(1+前提条件!$C$61))+BW37-BW40))</f>
        <v/>
      </c>
      <c r="BX33" s="356">
        <f>IF(BX$3="","",((BW33*(1+前提条件!$C$61))+BX37-BX40))</f>
        <v/>
      </c>
      <c r="BY33" s="356">
        <f>IF(BY$3="","",((BX33*(1+前提条件!$C$61))+BY37-BY40))</f>
        <v/>
      </c>
      <c r="BZ33" s="356">
        <f>IF(BZ$3="","",((BY33*(1+前提条件!$C$61))+BZ37-BZ40))</f>
        <v/>
      </c>
      <c r="CA33" s="356">
        <f>IF(CA$3="","",((BZ33*(1+前提条件!$C$61))+CA37-CA40))</f>
        <v/>
      </c>
      <c r="CB33" s="356">
        <f>IF(CB$3="","",((CA33*(1+前提条件!$C$61))+CB37-CB40))</f>
        <v/>
      </c>
      <c r="CC33" s="356">
        <f>IF(CC$3="","",((CB33*(1+前提条件!$C$61))+CC37-CC40))</f>
        <v/>
      </c>
      <c r="CD33" s="356">
        <f>IF(CD$3="","",((CC33*(1+前提条件!$C$61))+CD37-CD40))</f>
        <v/>
      </c>
      <c r="CE33" s="356">
        <f>IF(CE$3="","",((CD33*(1+前提条件!$C$61))+CE37-CE40))</f>
        <v/>
      </c>
      <c r="CF33" s="356">
        <f>IF(CF$3="","",((CE33*(1+前提条件!$C$61))+CF37-CF40))</f>
        <v/>
      </c>
      <c r="CG33" s="356">
        <f>IF(CG$3="","",((CF33*(1+前提条件!$C$61))+CG37-CG40))</f>
        <v/>
      </c>
      <c r="CH33" s="356">
        <f>IF(CH$3="","",((CG33*(1+前提条件!$C$61))+CH37-CH40))</f>
        <v/>
      </c>
      <c r="CI33" s="356">
        <f>IF(CI$3="","",((CH33*(1+前提条件!$C$61))+CI37-CI40))</f>
        <v/>
      </c>
      <c r="CJ33" s="356">
        <f>IF(CJ$3="","",((CI33*(1+前提条件!$C$61))+CJ37-CJ40))</f>
        <v/>
      </c>
      <c r="CK33" s="356">
        <f>IF(CK$3="","",((CJ33*(1+前提条件!$C$61))+CK37-CK40))</f>
        <v/>
      </c>
      <c r="CL33" s="356">
        <f>IF(CL$3="","",((CK33*(1+前提条件!$C$61))+CL37-CL40))</f>
        <v/>
      </c>
      <c r="CM33" s="356">
        <f>IF(CM$3="","",((CL33*(1+前提条件!$C$61))+CM37-CM40))</f>
        <v/>
      </c>
      <c r="CN33" s="356">
        <f>IF(CN$3="","",((CM33*(1+前提条件!$C$61))+CN37-CN40))</f>
        <v/>
      </c>
      <c r="CO33" s="356">
        <f>IF(CO$3="","",((CN33*(1+前提条件!$C$61))+CO37-CO40))</f>
        <v/>
      </c>
      <c r="CP33" s="356">
        <f>IF(CP$3="","",((CO33*(1+前提条件!$C$61))+CP37-CP40))</f>
        <v/>
      </c>
      <c r="CQ33" s="356">
        <f>IF(CQ$3="","",((CP33*(1+前提条件!$C$61))+CQ37-CQ40))</f>
        <v/>
      </c>
      <c r="CR33" s="356">
        <f>IF(CR$3="","",((CQ33*(1+前提条件!$C$61))+CR37-CR40))</f>
        <v/>
      </c>
      <c r="CS33" s="356">
        <f>IF(CS$3="","",((CR33*(1+前提条件!$C$61))+CS37-CS40))</f>
        <v/>
      </c>
      <c r="CT33" s="356">
        <f>IF(CT$3="","",((CS33*(1+前提条件!$C$61))+CT37-CT40))</f>
        <v/>
      </c>
      <c r="CU33" s="356">
        <f>IF(CU$3="","",((CT33*(1+前提条件!$C$61))+CU37-CU40))</f>
        <v/>
      </c>
      <c r="CV33" s="356">
        <f>IF(CV$3="","",((CU33*(1+前提条件!$C$61))+CV37-CV40))</f>
        <v/>
      </c>
      <c r="CW33" s="356">
        <f>IF(CW$3="","",((CV33*(1+前提条件!$C$61))+CW37-CW40))</f>
        <v/>
      </c>
    </row>
    <row r="34" ht="15" customHeight="1" s="180">
      <c r="A34" s="235" t="inlineStr">
        <is>
          <t>住宅ローン残高</t>
        </is>
      </c>
      <c r="B34" s="357">
        <f>IF(B$3="","",MAX(入力データ!$C$95-B41,0))</f>
        <v/>
      </c>
      <c r="C34" s="357">
        <f>IF(C$3="","",MAX(B34-C41,0))</f>
        <v/>
      </c>
      <c r="D34" s="357">
        <f>IF(D$3="","",MAX(C34-D41,0))</f>
        <v/>
      </c>
      <c r="E34" s="357">
        <f>IF(E$3="","",MAX(D34-E41,0))</f>
        <v/>
      </c>
      <c r="F34" s="357">
        <f>IF(F$3="","",MAX(E34-F41,0))</f>
        <v/>
      </c>
      <c r="G34" s="357">
        <f>IF(G$3="","",MAX(F34-G41,0))</f>
        <v/>
      </c>
      <c r="H34" s="357">
        <f>IF(H$3="","",MAX(G34-H41,0))</f>
        <v/>
      </c>
      <c r="I34" s="357">
        <f>IF(I$3="","",MAX(H34-I41,0))</f>
        <v/>
      </c>
      <c r="J34" s="357">
        <f>IF(J$3="","",MAX(I34-J41,0))</f>
        <v/>
      </c>
      <c r="K34" s="357">
        <f>IF(K$3="","",MAX(J34-K41,0))</f>
        <v/>
      </c>
      <c r="L34" s="357">
        <f>IF(L$3="","",MAX(K34-L41,0))</f>
        <v/>
      </c>
      <c r="M34" s="357">
        <f>IF(M$3="","",MAX(L34-M41,0))</f>
        <v/>
      </c>
      <c r="N34" s="357">
        <f>IF(N$3="","",MAX(M34-N41,0))</f>
        <v/>
      </c>
      <c r="O34" s="357">
        <f>IF(O$3="","",MAX(N34-O41,0))</f>
        <v/>
      </c>
      <c r="P34" s="357">
        <f>IF(P$3="","",MAX(O34-P41,0))</f>
        <v/>
      </c>
      <c r="Q34" s="357">
        <f>IF(Q$3="","",MAX(P34-Q41,0))</f>
        <v/>
      </c>
      <c r="R34" s="357">
        <f>IF(R$3="","",MAX(Q34-R41,0))</f>
        <v/>
      </c>
      <c r="S34" s="357">
        <f>IF(S$3="","",MAX(R34-S41,0))</f>
        <v/>
      </c>
      <c r="T34" s="357">
        <f>IF(T$3="","",MAX(S34-T41,0))</f>
        <v/>
      </c>
      <c r="U34" s="357">
        <f>IF(U$3="","",MAX(T34-U41,0))</f>
        <v/>
      </c>
      <c r="V34" s="357">
        <f>IF(V$3="","",MAX(U34-V41,0))</f>
        <v/>
      </c>
      <c r="W34" s="357">
        <f>IF(W$3="","",MAX(V34-W41,0))</f>
        <v/>
      </c>
      <c r="X34" s="357">
        <f>IF(X$3="","",MAX(W34-X41,0))</f>
        <v/>
      </c>
      <c r="Y34" s="357">
        <f>IF(Y$3="","",MAX(X34-Y41,0))</f>
        <v/>
      </c>
      <c r="Z34" s="357">
        <f>IF(Z$3="","",MAX(Y34-Z41,0))</f>
        <v/>
      </c>
      <c r="AA34" s="357">
        <f>IF(AA$3="","",MAX(Z34-AA41,0))</f>
        <v/>
      </c>
      <c r="AB34" s="357">
        <f>IF(AB$3="","",MAX(AA34-AB41,0))</f>
        <v/>
      </c>
      <c r="AC34" s="357">
        <f>IF(AC$3="","",MAX(AB34-AC41,0))</f>
        <v/>
      </c>
      <c r="AD34" s="357">
        <f>IF(AD$3="","",MAX(AC34-AD41,0))</f>
        <v/>
      </c>
      <c r="AE34" s="357">
        <f>IF(AE$3="","",MAX(AD34-AE41,0))</f>
        <v/>
      </c>
      <c r="AF34" s="357">
        <f>IF(AF$3="","",MAX(AE34-AF41,0))</f>
        <v/>
      </c>
      <c r="AG34" s="357">
        <f>IF(AG$3="","",MAX(AF34-AG41,0))</f>
        <v/>
      </c>
      <c r="AH34" s="357">
        <f>IF(AH$3="","",MAX(AG34-AH41,0))</f>
        <v/>
      </c>
      <c r="AI34" s="357">
        <f>IF(AI$3="","",MAX(AH34-AI41,0))</f>
        <v/>
      </c>
      <c r="AJ34" s="357">
        <f>IF(AJ$3="","",MAX(AI34-AJ41,0))</f>
        <v/>
      </c>
      <c r="AK34" s="357">
        <f>IF(AK$3="","",MAX(AJ34-AK41,0))</f>
        <v/>
      </c>
      <c r="AL34" s="357">
        <f>IF(AL$3="","",MAX(AK34-AL41,0))</f>
        <v/>
      </c>
      <c r="AM34" s="357">
        <f>IF(AM$3="","",MAX(AL34-AM41,0))</f>
        <v/>
      </c>
      <c r="AN34" s="357">
        <f>IF(AN$3="","",MAX(AM34-AN41,0))</f>
        <v/>
      </c>
      <c r="AO34" s="357">
        <f>IF(AO$3="","",MAX(AN34-AO41,0))</f>
        <v/>
      </c>
      <c r="AP34" s="357">
        <f>IF(AP$3="","",MAX(AO34-AP41,0))</f>
        <v/>
      </c>
      <c r="AQ34" s="357">
        <f>IF(AQ$3="","",MAX(AP34-AQ41,0))</f>
        <v/>
      </c>
      <c r="AR34" s="357">
        <f>IF(AR$3="","",MAX(AQ34-AR41,0))</f>
        <v/>
      </c>
      <c r="AS34" s="357">
        <f>IF(AS$3="","",MAX(AR34-AS41,0))</f>
        <v/>
      </c>
      <c r="AT34" s="357">
        <f>IF(AT$3="","",MAX(AS34-AT41,0))</f>
        <v/>
      </c>
      <c r="AU34" s="357">
        <f>IF(AU$3="","",MAX(AT34-AU41,0))</f>
        <v/>
      </c>
      <c r="AV34" s="357">
        <f>IF(AV$3="","",MAX(AU34-AV41,0))</f>
        <v/>
      </c>
      <c r="AW34" s="357">
        <f>IF(AW$3="","",MAX(AV34-AW41,0))</f>
        <v/>
      </c>
      <c r="AX34" s="357">
        <f>IF(AX$3="","",MAX(AW34-AX41,0))</f>
        <v/>
      </c>
      <c r="AY34" s="357">
        <f>IF(AY$3="","",MAX(AX34-AY41,0))</f>
        <v/>
      </c>
      <c r="AZ34" s="357">
        <f>IF(AZ$3="","",MAX(AY34-AZ41,0))</f>
        <v/>
      </c>
      <c r="BA34" s="357">
        <f>IF(BA$3="","",MAX(AZ34-BA41,0))</f>
        <v/>
      </c>
      <c r="BB34" s="357">
        <f>IF(BB$3="","",MAX(BA34-BB41,0))</f>
        <v/>
      </c>
      <c r="BC34" s="357">
        <f>IF(BC$3="","",MAX(BB34-BC41,0))</f>
        <v/>
      </c>
      <c r="BD34" s="357">
        <f>IF(BD$3="","",MAX(BC34-BD41,0))</f>
        <v/>
      </c>
      <c r="BE34" s="357">
        <f>IF(BE$3="","",MAX(BD34-BE41,0))</f>
        <v/>
      </c>
      <c r="BF34" s="357">
        <f>IF(BF$3="","",MAX(BE34-BF41,0))</f>
        <v/>
      </c>
      <c r="BG34" s="357">
        <f>IF(BG$3="","",MAX(BF34-BG41,0))</f>
        <v/>
      </c>
      <c r="BH34" s="357">
        <f>IF(BH$3="","",MAX(BG34-BH41,0))</f>
        <v/>
      </c>
      <c r="BI34" s="357">
        <f>IF(BI$3="","",MAX(BH34-BI41,0))</f>
        <v/>
      </c>
      <c r="BJ34" s="357">
        <f>IF(BJ$3="","",MAX(BI34-BJ41,0))</f>
        <v/>
      </c>
      <c r="BK34" s="357">
        <f>IF(BK$3="","",MAX(BJ34-BK41,0))</f>
        <v/>
      </c>
      <c r="BL34" s="357">
        <f>IF(BL$3="","",MAX(BK34-BL41,0))</f>
        <v/>
      </c>
      <c r="BM34" s="357">
        <f>IF(BM$3="","",MAX(BL34-BM41,0))</f>
        <v/>
      </c>
      <c r="BN34" s="357">
        <f>IF(BN$3="","",MAX(BM34-BN41,0))</f>
        <v/>
      </c>
      <c r="BO34" s="357">
        <f>IF(BO$3="","",MAX(BN34-BO41,0))</f>
        <v/>
      </c>
      <c r="BP34" s="357">
        <f>IF(BP$3="","",MAX(BO34-BP41,0))</f>
        <v/>
      </c>
      <c r="BQ34" s="357">
        <f>IF(BQ$3="","",MAX(BP34-BQ41,0))</f>
        <v/>
      </c>
      <c r="BR34" s="357">
        <f>IF(BR$3="","",MAX(BQ34-BR41,0))</f>
        <v/>
      </c>
      <c r="BS34" s="357">
        <f>IF(BS$3="","",MAX(BR34-BS41,0))</f>
        <v/>
      </c>
      <c r="BT34" s="357">
        <f>IF(BT$3="","",MAX(BS34-BT41,0))</f>
        <v/>
      </c>
      <c r="BU34" s="357">
        <f>IF(BU$3="","",MAX(BT34-BU41,0))</f>
        <v/>
      </c>
      <c r="BV34" s="357">
        <f>IF(BV$3="","",MAX(BU34-BV41,0))</f>
        <v/>
      </c>
      <c r="BW34" s="357">
        <f>IF(BW$3="","",MAX(BV34-BW41,0))</f>
        <v/>
      </c>
      <c r="BX34" s="357">
        <f>IF(BX$3="","",MAX(BW34-BX41,0))</f>
        <v/>
      </c>
      <c r="BY34" s="357">
        <f>IF(BY$3="","",MAX(BX34-BY41,0))</f>
        <v/>
      </c>
      <c r="BZ34" s="357">
        <f>IF(BZ$3="","",MAX(BY34-BZ41,0))</f>
        <v/>
      </c>
      <c r="CA34" s="357">
        <f>IF(CA$3="","",MAX(BZ34-CA41,0))</f>
        <v/>
      </c>
      <c r="CB34" s="357">
        <f>IF(CB$3="","",MAX(CA34-CB41,0))</f>
        <v/>
      </c>
      <c r="CC34" s="357">
        <f>IF(CC$3="","",MAX(CB34-CC41,0))</f>
        <v/>
      </c>
      <c r="CD34" s="357">
        <f>IF(CD$3="","",MAX(CC34-CD41,0))</f>
        <v/>
      </c>
      <c r="CE34" s="357">
        <f>IF(CE$3="","",MAX(CD34-CE41,0))</f>
        <v/>
      </c>
      <c r="CF34" s="357">
        <f>IF(CF$3="","",MAX(CE34-CF41,0))</f>
        <v/>
      </c>
      <c r="CG34" s="357">
        <f>IF(CG$3="","",MAX(CF34-CG41,0))</f>
        <v/>
      </c>
      <c r="CH34" s="357">
        <f>IF(CH$3="","",MAX(CG34-CH41,0))</f>
        <v/>
      </c>
      <c r="CI34" s="357">
        <f>IF(CI$3="","",MAX(CH34-CI41,0))</f>
        <v/>
      </c>
      <c r="CJ34" s="357">
        <f>IF(CJ$3="","",MAX(CI34-CJ41,0))</f>
        <v/>
      </c>
      <c r="CK34" s="357">
        <f>IF(CK$3="","",MAX(CJ34-CK41,0))</f>
        <v/>
      </c>
      <c r="CL34" s="357">
        <f>IF(CL$3="","",MAX(CK34-CL41,0))</f>
        <v/>
      </c>
      <c r="CM34" s="357">
        <f>IF(CM$3="","",MAX(CL34-CM41,0))</f>
        <v/>
      </c>
      <c r="CN34" s="357">
        <f>IF(CN$3="","",MAX(CM34-CN41,0))</f>
        <v/>
      </c>
      <c r="CO34" s="357">
        <f>IF(CO$3="","",MAX(CN34-CO41,0))</f>
        <v/>
      </c>
      <c r="CP34" s="357">
        <f>IF(CP$3="","",MAX(CO34-CP41,0))</f>
        <v/>
      </c>
      <c r="CQ34" s="357">
        <f>IF(CQ$3="","",MAX(CP34-CQ41,0))</f>
        <v/>
      </c>
      <c r="CR34" s="357">
        <f>IF(CR$3="","",MAX(CQ34-CR41,0))</f>
        <v/>
      </c>
      <c r="CS34" s="357">
        <f>IF(CS$3="","",MAX(CR34-CS41,0))</f>
        <v/>
      </c>
      <c r="CT34" s="357">
        <f>IF(CT$3="","",MAX(CS34-CT41,0))</f>
        <v/>
      </c>
      <c r="CU34" s="357">
        <f>IF(CU$3="","",MAX(CT34-CU41,0))</f>
        <v/>
      </c>
      <c r="CV34" s="357">
        <f>IF(CV$3="","",MAX(CU34-CV41,0))</f>
        <v/>
      </c>
      <c r="CW34" s="357">
        <f>IF(CW$3="","",MAX(CV34-CW41,0))</f>
        <v/>
      </c>
    </row>
    <row r="35" ht="21.75" customHeight="1" s="180">
      <c r="A35" s="237" t="inlineStr">
        <is>
          <t>保有資産合計（ローン除く）</t>
        </is>
      </c>
      <c r="B35" s="358">
        <f>IF(B$3="","",B31+B32+B33)</f>
        <v/>
      </c>
      <c r="C35" s="358">
        <f>IF(C$3="","",C31+C32+C33)</f>
        <v/>
      </c>
      <c r="D35" s="358">
        <f>IF(D$3="","",D31+D32+D33)</f>
        <v/>
      </c>
      <c r="E35" s="358">
        <f>IF(E$3="","",E31+E32+E33)</f>
        <v/>
      </c>
      <c r="F35" s="358">
        <f>IF(F$3="","",F31+F32+F33)</f>
        <v/>
      </c>
      <c r="G35" s="358">
        <f>IF(G$3="","",G31+G32+G33)</f>
        <v/>
      </c>
      <c r="H35" s="358">
        <f>IF(H$3="","",H31+H32+H33)</f>
        <v/>
      </c>
      <c r="I35" s="358">
        <f>IF(I$3="","",I31+I32+I33)</f>
        <v/>
      </c>
      <c r="J35" s="358">
        <f>IF(J$3="","",J31+J32+J33)</f>
        <v/>
      </c>
      <c r="K35" s="358">
        <f>IF(K$3="","",K31+K32+K33)</f>
        <v/>
      </c>
      <c r="L35" s="358">
        <f>IF(L$3="","",L31+L32+L33)</f>
        <v/>
      </c>
      <c r="M35" s="358">
        <f>IF(M$3="","",M31+M32+M33)</f>
        <v/>
      </c>
      <c r="N35" s="358">
        <f>IF(N$3="","",N31+N32+N33)</f>
        <v/>
      </c>
      <c r="O35" s="358">
        <f>IF(O$3="","",O31+O32+O33)</f>
        <v/>
      </c>
      <c r="P35" s="358">
        <f>IF(P$3="","",P31+P32+P33)</f>
        <v/>
      </c>
      <c r="Q35" s="358">
        <f>IF(Q$3="","",Q31+Q32+Q33)</f>
        <v/>
      </c>
      <c r="R35" s="358">
        <f>IF(R$3="","",R31+R32+R33)</f>
        <v/>
      </c>
      <c r="S35" s="358">
        <f>IF(S$3="","",S31+S32+S33)</f>
        <v/>
      </c>
      <c r="T35" s="358">
        <f>IF(T$3="","",T31+T32+T33)</f>
        <v/>
      </c>
      <c r="U35" s="358">
        <f>IF(U$3="","",U31+U32+U33)</f>
        <v/>
      </c>
      <c r="V35" s="358">
        <f>IF(V$3="","",V31+V32+V33)</f>
        <v/>
      </c>
      <c r="W35" s="358">
        <f>IF(W$3="","",W31+W32+W33)</f>
        <v/>
      </c>
      <c r="X35" s="358">
        <f>IF(X$3="","",X31+X32+X33)</f>
        <v/>
      </c>
      <c r="Y35" s="358">
        <f>IF(Y$3="","",Y31+Y32+Y33)</f>
        <v/>
      </c>
      <c r="Z35" s="358">
        <f>IF(Z$3="","",Z31+Z32+Z33)</f>
        <v/>
      </c>
      <c r="AA35" s="358">
        <f>IF(AA$3="","",AA31+AA32+AA33)</f>
        <v/>
      </c>
      <c r="AB35" s="358">
        <f>IF(AB$3="","",AB31+AB32+AB33)</f>
        <v/>
      </c>
      <c r="AC35" s="358">
        <f>IF(AC$3="","",AC31+AC32+AC33)</f>
        <v/>
      </c>
      <c r="AD35" s="358">
        <f>IF(AD$3="","",AD31+AD32+AD33)</f>
        <v/>
      </c>
      <c r="AE35" s="358">
        <f>IF(AE$3="","",AE31+AE32+AE33)</f>
        <v/>
      </c>
      <c r="AF35" s="358">
        <f>IF(AF$3="","",AF31+AF32+AF33)</f>
        <v/>
      </c>
      <c r="AG35" s="358">
        <f>IF(AG$3="","",AG31+AG32+AG33)</f>
        <v/>
      </c>
      <c r="AH35" s="358">
        <f>IF(AH$3="","",AH31+AH32+AH33)</f>
        <v/>
      </c>
      <c r="AI35" s="358">
        <f>IF(AI$3="","",AI31+AI32+AI33)</f>
        <v/>
      </c>
      <c r="AJ35" s="358">
        <f>IF(AJ$3="","",AJ31+AJ32+AJ33)</f>
        <v/>
      </c>
      <c r="AK35" s="358">
        <f>IF(AK$3="","",AK31+AK32+AK33)</f>
        <v/>
      </c>
      <c r="AL35" s="358">
        <f>IF(AL$3="","",AL31+AL32+AL33)</f>
        <v/>
      </c>
      <c r="AM35" s="358">
        <f>IF(AM$3="","",AM31+AM32+AM33)</f>
        <v/>
      </c>
      <c r="AN35" s="358">
        <f>IF(AN$3="","",AN31+AN32+AN33)</f>
        <v/>
      </c>
      <c r="AO35" s="358">
        <f>IF(AO$3="","",AO31+AO32+AO33)</f>
        <v/>
      </c>
      <c r="AP35" s="358">
        <f>IF(AP$3="","",AP31+AP32+AP33)</f>
        <v/>
      </c>
      <c r="AQ35" s="358">
        <f>IF(AQ$3="","",AQ31+AQ32+AQ33)</f>
        <v/>
      </c>
      <c r="AR35" s="358">
        <f>IF(AR$3="","",AR31+AR32+AR33)</f>
        <v/>
      </c>
      <c r="AS35" s="358">
        <f>IF(AS$3="","",AS31+AS32+AS33)</f>
        <v/>
      </c>
      <c r="AT35" s="358">
        <f>IF(AT$3="","",AT31+AT32+AT33)</f>
        <v/>
      </c>
      <c r="AU35" s="358">
        <f>IF(AU$3="","",AU31+AU32+AU33)</f>
        <v/>
      </c>
      <c r="AV35" s="358">
        <f>IF(AV$3="","",AV31+AV32+AV33)</f>
        <v/>
      </c>
      <c r="AW35" s="358">
        <f>IF(AW$3="","",AW31+AW32+AW33)</f>
        <v/>
      </c>
      <c r="AX35" s="358">
        <f>IF(AX$3="","",AX31+AX32+AX33)</f>
        <v/>
      </c>
      <c r="AY35" s="358">
        <f>IF(AY$3="","",AY31+AY32+AY33)</f>
        <v/>
      </c>
      <c r="AZ35" s="358">
        <f>IF(AZ$3="","",AZ31+AZ32+AZ33)</f>
        <v/>
      </c>
      <c r="BA35" s="358">
        <f>IF(BA$3="","",BA31+BA32+BA33)</f>
        <v/>
      </c>
      <c r="BB35" s="358">
        <f>IF(BB$3="","",BB31+BB32+BB33)</f>
        <v/>
      </c>
      <c r="BC35" s="358">
        <f>IF(BC$3="","",BC31+BC32+BC33)</f>
        <v/>
      </c>
      <c r="BD35" s="358">
        <f>IF(BD$3="","",BD31+BD32+BD33)</f>
        <v/>
      </c>
      <c r="BE35" s="358">
        <f>IF(BE$3="","",BE31+BE32+BE33)</f>
        <v/>
      </c>
      <c r="BF35" s="358">
        <f>IF(BF$3="","",BF31+BF32+BF33)</f>
        <v/>
      </c>
      <c r="BG35" s="358">
        <f>IF(BG$3="","",BG31+BG32+BG33)</f>
        <v/>
      </c>
      <c r="BH35" s="358">
        <f>IF(BH$3="","",BH31+BH32+BH33)</f>
        <v/>
      </c>
      <c r="BI35" s="358">
        <f>IF(BI$3="","",BI31+BI32+BI33)</f>
        <v/>
      </c>
      <c r="BJ35" s="358">
        <f>IF(BJ$3="","",BJ31+BJ32+BJ33)</f>
        <v/>
      </c>
      <c r="BK35" s="358">
        <f>IF(BK$3="","",BK31+BK32+BK33)</f>
        <v/>
      </c>
      <c r="BL35" s="358">
        <f>IF(BL$3="","",BL31+BL32+BL33)</f>
        <v/>
      </c>
      <c r="BM35" s="358">
        <f>IF(BM$3="","",BM31+BM32+BM33)</f>
        <v/>
      </c>
      <c r="BN35" s="358">
        <f>IF(BN$3="","",BN31+BN32+BN33)</f>
        <v/>
      </c>
      <c r="BO35" s="358">
        <f>IF(BO$3="","",BO31+BO32+BO33)</f>
        <v/>
      </c>
      <c r="BP35" s="358">
        <f>IF(BP$3="","",BP31+BP32+BP33)</f>
        <v/>
      </c>
      <c r="BQ35" s="358">
        <f>IF(BQ$3="","",BQ31+BQ32+BQ33)</f>
        <v/>
      </c>
      <c r="BR35" s="358">
        <f>IF(BR$3="","",BR31+BR32+BR33)</f>
        <v/>
      </c>
      <c r="BS35" s="358">
        <f>IF(BS$3="","",BS31+BS32+BS33)</f>
        <v/>
      </c>
      <c r="BT35" s="358">
        <f>IF(BT$3="","",BT31+BT32+BT33)</f>
        <v/>
      </c>
      <c r="BU35" s="358">
        <f>IF(BU$3="","",BU31+BU32+BU33)</f>
        <v/>
      </c>
      <c r="BV35" s="358">
        <f>IF(BV$3="","",BV31+BV32+BV33)</f>
        <v/>
      </c>
      <c r="BW35" s="358">
        <f>IF(BW$3="","",BW31+BW32+BW33)</f>
        <v/>
      </c>
      <c r="BX35" s="358">
        <f>IF(BX$3="","",BX31+BX32+BX33)</f>
        <v/>
      </c>
      <c r="BY35" s="358">
        <f>IF(BY$3="","",BY31+BY32+BY33)</f>
        <v/>
      </c>
      <c r="BZ35" s="358">
        <f>IF(BZ$3="","",BZ31+BZ32+BZ33)</f>
        <v/>
      </c>
      <c r="CA35" s="358">
        <f>IF(CA$3="","",CA31+CA32+CA33)</f>
        <v/>
      </c>
      <c r="CB35" s="358">
        <f>IF(CB$3="","",CB31+CB32+CB33)</f>
        <v/>
      </c>
      <c r="CC35" s="358">
        <f>IF(CC$3="","",CC31+CC32+CC33)</f>
        <v/>
      </c>
      <c r="CD35" s="358">
        <f>IF(CD$3="","",CD31+CD32+CD33)</f>
        <v/>
      </c>
      <c r="CE35" s="358">
        <f>IF(CE$3="","",CE31+CE32+CE33)</f>
        <v/>
      </c>
      <c r="CF35" s="358">
        <f>IF(CF$3="","",CF31+CF32+CF33)</f>
        <v/>
      </c>
      <c r="CG35" s="358">
        <f>IF(CG$3="","",CG31+CG32+CG33)</f>
        <v/>
      </c>
      <c r="CH35" s="358">
        <f>IF(CH$3="","",CH31+CH32+CH33)</f>
        <v/>
      </c>
      <c r="CI35" s="358">
        <f>IF(CI$3="","",CI31+CI32+CI33)</f>
        <v/>
      </c>
      <c r="CJ35" s="358">
        <f>IF(CJ$3="","",CJ31+CJ32+CJ33)</f>
        <v/>
      </c>
      <c r="CK35" s="358">
        <f>IF(CK$3="","",CK31+CK32+CK33)</f>
        <v/>
      </c>
      <c r="CL35" s="358">
        <f>IF(CL$3="","",CL31+CL32+CL33)</f>
        <v/>
      </c>
      <c r="CM35" s="358">
        <f>IF(CM$3="","",CM31+CM32+CM33)</f>
        <v/>
      </c>
      <c r="CN35" s="358">
        <f>IF(CN$3="","",CN31+CN32+CN33)</f>
        <v/>
      </c>
      <c r="CO35" s="358">
        <f>IF(CO$3="","",CO31+CO32+CO33)</f>
        <v/>
      </c>
      <c r="CP35" s="358">
        <f>IF(CP$3="","",CP31+CP32+CP33)</f>
        <v/>
      </c>
      <c r="CQ35" s="358">
        <f>IF(CQ$3="","",CQ31+CQ32+CQ33)</f>
        <v/>
      </c>
      <c r="CR35" s="358">
        <f>IF(CR$3="","",CR31+CR32+CR33)</f>
        <v/>
      </c>
      <c r="CS35" s="358">
        <f>IF(CS$3="","",CS31+CS32+CS33)</f>
        <v/>
      </c>
      <c r="CT35" s="358">
        <f>IF(CT$3="","",CT31+CT32+CT33)</f>
        <v/>
      </c>
      <c r="CU35" s="358">
        <f>IF(CU$3="","",CU31+CU32+CU33)</f>
        <v/>
      </c>
      <c r="CV35" s="358">
        <f>IF(CV$3="","",CV31+CV32+CV33)</f>
        <v/>
      </c>
      <c r="CW35" s="358">
        <f>IF(CW$3="","",CW31+CW32+CW33)</f>
        <v/>
      </c>
    </row>
    <row r="36" hidden="1" ht="16.5" customHeight="1" s="180">
      <c r="A36" s="239" t="inlineStr">
        <is>
          <t>投資積立年額(補助)</t>
        </is>
      </c>
      <c r="B36" s="359">
        <f>IF(B$3="","",SUM(入力データ!$C$101:$C$103,入力データ!$C$105)*12)</f>
        <v/>
      </c>
      <c r="C36" s="359">
        <f>IF(C$3="","",SUM(入力データ!$C$101:$C$103,入力データ!$C$105)*12)</f>
        <v/>
      </c>
      <c r="D36" s="359">
        <f>IF(D$3="","",SUM(入力データ!$C$101:$C$103,入力データ!$C$105)*12)</f>
        <v/>
      </c>
      <c r="E36" s="359">
        <f>IF(E$3="","",SUM(入力データ!$C$101:$C$103,入力データ!$C$105)*12)</f>
        <v/>
      </c>
      <c r="F36" s="359">
        <f>IF(F$3="","",SUM(入力データ!$C$101:$C$103,入力データ!$C$105)*12)</f>
        <v/>
      </c>
      <c r="G36" s="359">
        <f>IF(G$3="","",SUM(入力データ!$C$101:$C$103,入力データ!$C$105)*12)</f>
        <v/>
      </c>
      <c r="H36" s="359">
        <f>IF(H$3="","",SUM(入力データ!$C$101:$C$103,入力データ!$C$105)*12)</f>
        <v/>
      </c>
      <c r="I36" s="359">
        <f>IF(I$3="","",SUM(入力データ!$C$101:$C$103,入力データ!$C$105)*12)</f>
        <v/>
      </c>
      <c r="J36" s="359">
        <f>IF(J$3="","",SUM(入力データ!$C$101:$C$103,入力データ!$C$105)*12)</f>
        <v/>
      </c>
      <c r="K36" s="359">
        <f>IF(K$3="","",SUM(入力データ!$C$101:$C$103,入力データ!$C$105)*12)</f>
        <v/>
      </c>
      <c r="L36" s="359">
        <f>IF(L$3="","",SUM(入力データ!$C$101:$C$103,入力データ!$C$105)*12)</f>
        <v/>
      </c>
      <c r="M36" s="359">
        <f>IF(M$3="","",SUM(入力データ!$C$101:$C$103,入力データ!$C$105)*12)</f>
        <v/>
      </c>
      <c r="N36" s="359">
        <f>IF(N$3="","",SUM(入力データ!$C$101:$C$103,入力データ!$C$105)*12)</f>
        <v/>
      </c>
      <c r="O36" s="359">
        <f>IF(O$3="","",SUM(入力データ!$C$101:$C$103,入力データ!$C$105)*12)</f>
        <v/>
      </c>
      <c r="P36" s="359">
        <f>IF(P$3="","",SUM(入力データ!$C$101:$C$103,入力データ!$C$105)*12)</f>
        <v/>
      </c>
      <c r="Q36" s="359">
        <f>IF(Q$3="","",SUM(入力データ!$C$101:$C$103,入力データ!$C$105)*12)</f>
        <v/>
      </c>
      <c r="R36" s="359">
        <f>IF(R$3="","",SUM(入力データ!$C$101:$C$103,入力データ!$C$105)*12)</f>
        <v/>
      </c>
      <c r="S36" s="359">
        <f>IF(S$3="","",SUM(入力データ!$C$101:$C$103,入力データ!$C$105)*12)</f>
        <v/>
      </c>
      <c r="T36" s="359">
        <f>IF(T$3="","",SUM(入力データ!$C$101:$C$103,入力データ!$C$105)*12)</f>
        <v/>
      </c>
      <c r="U36" s="359">
        <f>IF(U$3="","",SUM(入力データ!$C$101:$C$103,入力データ!$C$105)*12)</f>
        <v/>
      </c>
      <c r="V36" s="359">
        <f>IF(V$3="","",SUM(入力データ!$C$101:$C$103,入力データ!$C$105)*12)</f>
        <v/>
      </c>
      <c r="W36" s="359">
        <f>IF(W$3="","",SUM(入力データ!$C$101:$C$103,入力データ!$C$105)*12)</f>
        <v/>
      </c>
      <c r="X36" s="359">
        <f>IF(X$3="","",SUM(入力データ!$C$101:$C$103,入力データ!$C$105)*12)</f>
        <v/>
      </c>
      <c r="Y36" s="359">
        <f>IF(Y$3="","",SUM(入力データ!$C$101:$C$103,入力データ!$C$105)*12)</f>
        <v/>
      </c>
      <c r="Z36" s="359">
        <f>IF(Z$3="","",SUM(入力データ!$C$101:$C$103,入力データ!$C$105)*12)</f>
        <v/>
      </c>
      <c r="AA36" s="359">
        <f>IF(AA$3="","",SUM(入力データ!$C$101:$C$103,入力データ!$C$105)*12)</f>
        <v/>
      </c>
      <c r="AB36" s="359">
        <f>IF(AB$3="","",SUM(入力データ!$C$101:$C$103,入力データ!$C$105)*12)</f>
        <v/>
      </c>
      <c r="AC36" s="359">
        <f>IF(AC$3="","",SUM(入力データ!$C$101:$C$103,入力データ!$C$105)*12)</f>
        <v/>
      </c>
      <c r="AD36" s="359">
        <f>IF(AD$3="","",SUM(入力データ!$C$101:$C$103,入力データ!$C$105)*12)</f>
        <v/>
      </c>
      <c r="AE36" s="359">
        <f>IF(AE$3="","",SUM(入力データ!$C$101:$C$103,入力データ!$C$105)*12)</f>
        <v/>
      </c>
      <c r="AF36" s="359">
        <f>IF(AF$3="","",SUM(入力データ!$C$101:$C$103,入力データ!$C$105)*12)</f>
        <v/>
      </c>
      <c r="AG36" s="359">
        <f>IF(AG$3="","",SUM(入力データ!$C$101:$C$103,入力データ!$C$105)*12)</f>
        <v/>
      </c>
      <c r="AH36" s="359">
        <f>IF(AH$3="","",SUM(入力データ!$C$101:$C$103,入力データ!$C$105)*12)</f>
        <v/>
      </c>
      <c r="AI36" s="359">
        <f>IF(AI$3="","",SUM(入力データ!$C$101:$C$103,入力データ!$C$105)*12)</f>
        <v/>
      </c>
      <c r="AJ36" s="359">
        <f>IF(AJ$3="","",SUM(入力データ!$C$101:$C$103,入力データ!$C$105)*12)</f>
        <v/>
      </c>
      <c r="AK36" s="359">
        <f>IF(AK$3="","",SUM(入力データ!$C$101:$C$103,入力データ!$C$105)*12)</f>
        <v/>
      </c>
      <c r="AL36" s="359">
        <f>IF(AL$3="","",SUM(入力データ!$C$101:$C$103,入力データ!$C$105)*12)</f>
        <v/>
      </c>
      <c r="AM36" s="359">
        <f>IF(AM$3="","",SUM(入力データ!$C$101:$C$103,入力データ!$C$105)*12)</f>
        <v/>
      </c>
      <c r="AN36" s="359">
        <f>IF(AN$3="","",SUM(入力データ!$C$101:$C$103,入力データ!$C$105)*12)</f>
        <v/>
      </c>
      <c r="AO36" s="359">
        <f>IF(AO$3="","",SUM(入力データ!$C$101:$C$103,入力データ!$C$105)*12)</f>
        <v/>
      </c>
      <c r="AP36" s="359">
        <f>IF(AP$3="","",SUM(入力データ!$C$101:$C$103,入力データ!$C$105)*12)</f>
        <v/>
      </c>
      <c r="AQ36" s="359">
        <f>IF(AQ$3="","",SUM(入力データ!$C$101:$C$103,入力データ!$C$105)*12)</f>
        <v/>
      </c>
      <c r="AR36" s="359">
        <f>IF(AR$3="","",SUM(入力データ!$C$101:$C$103,入力データ!$C$105)*12)</f>
        <v/>
      </c>
      <c r="AS36" s="359">
        <f>IF(AS$3="","",SUM(入力データ!$C$101:$C$103,入力データ!$C$105)*12)</f>
        <v/>
      </c>
      <c r="AT36" s="359">
        <f>IF(AT$3="","",SUM(入力データ!$C$101:$C$103,入力データ!$C$105)*12)</f>
        <v/>
      </c>
      <c r="AU36" s="359">
        <f>IF(AU$3="","",SUM(入力データ!$C$101:$C$103,入力データ!$C$105)*12)</f>
        <v/>
      </c>
      <c r="AV36" s="359">
        <f>IF(AV$3="","",SUM(入力データ!$C$101:$C$103,入力データ!$C$105)*12)</f>
        <v/>
      </c>
      <c r="AW36" s="359">
        <f>IF(AW$3="","",SUM(入力データ!$C$101:$C$103,入力データ!$C$105)*12)</f>
        <v/>
      </c>
      <c r="AX36" s="359">
        <f>IF(AX$3="","",SUM(入力データ!$C$101:$C$103,入力データ!$C$105)*12)</f>
        <v/>
      </c>
      <c r="AY36" s="359">
        <f>IF(AY$3="","",SUM(入力データ!$C$101:$C$103,入力データ!$C$105)*12)</f>
        <v/>
      </c>
      <c r="AZ36" s="359">
        <f>IF(AZ$3="","",SUM(入力データ!$C$101:$C$103,入力データ!$C$105)*12)</f>
        <v/>
      </c>
      <c r="BA36" s="359">
        <f>IF(BA$3="","",SUM(入力データ!$C$101:$C$103,入力データ!$C$105)*12)</f>
        <v/>
      </c>
      <c r="BB36" s="359">
        <f>IF(BB$3="","",SUM(入力データ!$C$101:$C$103,入力データ!$C$105)*12)</f>
        <v/>
      </c>
      <c r="BC36" s="359">
        <f>IF(BC$3="","",SUM(入力データ!$C$101:$C$103,入力データ!$C$105)*12)</f>
        <v/>
      </c>
      <c r="BD36" s="359">
        <f>IF(BD$3="","",SUM(入力データ!$C$101:$C$103,入力データ!$C$105)*12)</f>
        <v/>
      </c>
      <c r="BE36" s="359">
        <f>IF(BE$3="","",SUM(入力データ!$C$101:$C$103,入力データ!$C$105)*12)</f>
        <v/>
      </c>
      <c r="BF36" s="359">
        <f>IF(BF$3="","",SUM(入力データ!$C$101:$C$103,入力データ!$C$105)*12)</f>
        <v/>
      </c>
      <c r="BG36" s="359">
        <f>IF(BG$3="","",SUM(入力データ!$C$101:$C$103,入力データ!$C$105)*12)</f>
        <v/>
      </c>
      <c r="BH36" s="359">
        <f>IF(BH$3="","",SUM(入力データ!$C$101:$C$103,入力データ!$C$105)*12)</f>
        <v/>
      </c>
      <c r="BI36" s="359">
        <f>IF(BI$3="","",SUM(入力データ!$C$101:$C$103,入力データ!$C$105)*12)</f>
        <v/>
      </c>
      <c r="BJ36" s="359">
        <f>IF(BJ$3="","",SUM(入力データ!$C$101:$C$103,入力データ!$C$105)*12)</f>
        <v/>
      </c>
      <c r="BK36" s="359">
        <f>IF(BK$3="","",SUM(入力データ!$C$101:$C$103,入力データ!$C$105)*12)</f>
        <v/>
      </c>
      <c r="BL36" s="359">
        <f>IF(BL$3="","",SUM(入力データ!$C$101:$C$103,入力データ!$C$105)*12)</f>
        <v/>
      </c>
      <c r="BM36" s="359">
        <f>IF(BM$3="","",SUM(入力データ!$C$101:$C$103,入力データ!$C$105)*12)</f>
        <v/>
      </c>
      <c r="BN36" s="359">
        <f>IF(BN$3="","",SUM(入力データ!$C$101:$C$103,入力データ!$C$105)*12)</f>
        <v/>
      </c>
      <c r="BO36" s="359">
        <f>IF(BO$3="","",SUM(入力データ!$C$101:$C$103,入力データ!$C$105)*12)</f>
        <v/>
      </c>
      <c r="BP36" s="359">
        <f>IF(BP$3="","",SUM(入力データ!$C$101:$C$103,入力データ!$C$105)*12)</f>
        <v/>
      </c>
      <c r="BQ36" s="359">
        <f>IF(BQ$3="","",SUM(入力データ!$C$101:$C$103,入力データ!$C$105)*12)</f>
        <v/>
      </c>
      <c r="BR36" s="359">
        <f>IF(BR$3="","",SUM(入力データ!$C$101:$C$103,入力データ!$C$105)*12)</f>
        <v/>
      </c>
      <c r="BS36" s="359">
        <f>IF(BS$3="","",SUM(入力データ!$C$101:$C$103,入力データ!$C$105)*12)</f>
        <v/>
      </c>
      <c r="BT36" s="359">
        <f>IF(BT$3="","",SUM(入力データ!$C$101:$C$103,入力データ!$C$105)*12)</f>
        <v/>
      </c>
      <c r="BU36" s="359">
        <f>IF(BU$3="","",SUM(入力データ!$C$101:$C$103,入力データ!$C$105)*12)</f>
        <v/>
      </c>
      <c r="BV36" s="359">
        <f>IF(BV$3="","",SUM(入力データ!$C$101:$C$103,入力データ!$C$105)*12)</f>
        <v/>
      </c>
      <c r="BW36" s="359">
        <f>IF(BW$3="","",SUM(入力データ!$C$101:$C$103,入力データ!$C$105)*12)</f>
        <v/>
      </c>
      <c r="BX36" s="359">
        <f>IF(BX$3="","",SUM(入力データ!$C$101:$C$103,入力データ!$C$105)*12)</f>
        <v/>
      </c>
      <c r="BY36" s="359">
        <f>IF(BY$3="","",SUM(入力データ!$C$101:$C$103,入力データ!$C$105)*12)</f>
        <v/>
      </c>
      <c r="BZ36" s="359">
        <f>IF(BZ$3="","",SUM(入力データ!$C$101:$C$103,入力データ!$C$105)*12)</f>
        <v/>
      </c>
      <c r="CA36" s="359">
        <f>IF(CA$3="","",SUM(入力データ!$C$101:$C$103,入力データ!$C$105)*12)</f>
        <v/>
      </c>
      <c r="CB36" s="359">
        <f>IF(CB$3="","",SUM(入力データ!$C$101:$C$103,入力データ!$C$105)*12)</f>
        <v/>
      </c>
      <c r="CC36" s="359">
        <f>IF(CC$3="","",SUM(入力データ!$C$101:$C$103,入力データ!$C$105)*12)</f>
        <v/>
      </c>
      <c r="CD36" s="359">
        <f>IF(CD$3="","",SUM(入力データ!$C$101:$C$103,入力データ!$C$105)*12)</f>
        <v/>
      </c>
      <c r="CE36" s="359">
        <f>IF(CE$3="","",SUM(入力データ!$C$101:$C$103,入力データ!$C$105)*12)</f>
        <v/>
      </c>
      <c r="CF36" s="359">
        <f>IF(CF$3="","",SUM(入力データ!$C$101:$C$103,入力データ!$C$105)*12)</f>
        <v/>
      </c>
      <c r="CG36" s="359">
        <f>IF(CG$3="","",SUM(入力データ!$C$101:$C$103,入力データ!$C$105)*12)</f>
        <v/>
      </c>
      <c r="CH36" s="359">
        <f>IF(CH$3="","",SUM(入力データ!$C$101:$C$103,入力データ!$C$105)*12)</f>
        <v/>
      </c>
      <c r="CI36" s="359">
        <f>IF(CI$3="","",SUM(入力データ!$C$101:$C$103,入力データ!$C$105)*12)</f>
        <v/>
      </c>
      <c r="CJ36" s="359">
        <f>IF(CJ$3="","",SUM(入力データ!$C$101:$C$103,入力データ!$C$105)*12)</f>
        <v/>
      </c>
      <c r="CK36" s="359">
        <f>IF(CK$3="","",SUM(入力データ!$C$101:$C$103,入力データ!$C$105)*12)</f>
        <v/>
      </c>
      <c r="CL36" s="359">
        <f>IF(CL$3="","",SUM(入力データ!$C$101:$C$103,入力データ!$C$105)*12)</f>
        <v/>
      </c>
      <c r="CM36" s="359">
        <f>IF(CM$3="","",SUM(入力データ!$C$101:$C$103,入力データ!$C$105)*12)</f>
        <v/>
      </c>
      <c r="CN36" s="359">
        <f>IF(CN$3="","",SUM(入力データ!$C$101:$C$103,入力データ!$C$105)*12)</f>
        <v/>
      </c>
      <c r="CO36" s="359">
        <f>IF(CO$3="","",SUM(入力データ!$C$101:$C$103,入力データ!$C$105)*12)</f>
        <v/>
      </c>
      <c r="CP36" s="359">
        <f>IF(CP$3="","",SUM(入力データ!$C$101:$C$103,入力データ!$C$105)*12)</f>
        <v/>
      </c>
      <c r="CQ36" s="359">
        <f>IF(CQ$3="","",SUM(入力データ!$C$101:$C$103,入力データ!$C$105)*12)</f>
        <v/>
      </c>
      <c r="CR36" s="359">
        <f>IF(CR$3="","",SUM(入力データ!$C$101:$C$103,入力データ!$C$105)*12)</f>
        <v/>
      </c>
      <c r="CS36" s="359">
        <f>IF(CS$3="","",SUM(入力データ!$C$101:$C$103,入力データ!$C$105)*12)</f>
        <v/>
      </c>
      <c r="CT36" s="359">
        <f>IF(CT$3="","",SUM(入力データ!$C$101:$C$103,入力データ!$C$105)*12)</f>
        <v/>
      </c>
      <c r="CU36" s="359">
        <f>IF(CU$3="","",SUM(入力データ!$C$101:$C$103,入力データ!$C$105)*12)</f>
        <v/>
      </c>
      <c r="CV36" s="359">
        <f>IF(CV$3="","",SUM(入力データ!$C$101:$C$103,入力データ!$C$105)*12)</f>
        <v/>
      </c>
      <c r="CW36" s="359">
        <f>IF(CW$3="","",SUM(入力データ!$C$101:$C$103,入力データ!$C$105)*12)</f>
        <v/>
      </c>
    </row>
    <row r="37" hidden="1" ht="16.5" customHeight="1" s="180">
      <c r="A37" s="239" t="inlineStr">
        <is>
          <t>返戻金積立年額(補助)</t>
        </is>
      </c>
      <c r="B37" s="359">
        <f>IF(B$3="","",入力データ!$C$104*12)</f>
        <v/>
      </c>
      <c r="C37" s="359">
        <f>IF(C$3="","",入力データ!$C$104*12)</f>
        <v/>
      </c>
      <c r="D37" s="359">
        <f>IF(D$3="","",入力データ!$C$104*12)</f>
        <v/>
      </c>
      <c r="E37" s="359">
        <f>IF(E$3="","",入力データ!$C$104*12)</f>
        <v/>
      </c>
      <c r="F37" s="359">
        <f>IF(F$3="","",入力データ!$C$104*12)</f>
        <v/>
      </c>
      <c r="G37" s="359">
        <f>IF(G$3="","",入力データ!$C$104*12)</f>
        <v/>
      </c>
      <c r="H37" s="359">
        <f>IF(H$3="","",入力データ!$C$104*12)</f>
        <v/>
      </c>
      <c r="I37" s="359">
        <f>IF(I$3="","",入力データ!$C$104*12)</f>
        <v/>
      </c>
      <c r="J37" s="359">
        <f>IF(J$3="","",入力データ!$C$104*12)</f>
        <v/>
      </c>
      <c r="K37" s="359">
        <f>IF(K$3="","",入力データ!$C$104*12)</f>
        <v/>
      </c>
      <c r="L37" s="359">
        <f>IF(L$3="","",入力データ!$C$104*12)</f>
        <v/>
      </c>
      <c r="M37" s="359">
        <f>IF(M$3="","",入力データ!$C$104*12)</f>
        <v/>
      </c>
      <c r="N37" s="359">
        <f>IF(N$3="","",入力データ!$C$104*12)</f>
        <v/>
      </c>
      <c r="O37" s="359">
        <f>IF(O$3="","",入力データ!$C$104*12)</f>
        <v/>
      </c>
      <c r="P37" s="359">
        <f>IF(P$3="","",入力データ!$C$104*12)</f>
        <v/>
      </c>
      <c r="Q37" s="359">
        <f>IF(Q$3="","",入力データ!$C$104*12)</f>
        <v/>
      </c>
      <c r="R37" s="359">
        <f>IF(R$3="","",入力データ!$C$104*12)</f>
        <v/>
      </c>
      <c r="S37" s="359">
        <f>IF(S$3="","",入力データ!$C$104*12)</f>
        <v/>
      </c>
      <c r="T37" s="359">
        <f>IF(T$3="","",入力データ!$C$104*12)</f>
        <v/>
      </c>
      <c r="U37" s="359">
        <f>IF(U$3="","",入力データ!$C$104*12)</f>
        <v/>
      </c>
      <c r="V37" s="359">
        <f>IF(V$3="","",入力データ!$C$104*12)</f>
        <v/>
      </c>
      <c r="W37" s="359">
        <f>IF(W$3="","",入力データ!$C$104*12)</f>
        <v/>
      </c>
      <c r="X37" s="359">
        <f>IF(X$3="","",入力データ!$C$104*12)</f>
        <v/>
      </c>
      <c r="Y37" s="359">
        <f>IF(Y$3="","",入力データ!$C$104*12)</f>
        <v/>
      </c>
      <c r="Z37" s="359">
        <f>IF(Z$3="","",入力データ!$C$104*12)</f>
        <v/>
      </c>
      <c r="AA37" s="359">
        <f>IF(AA$3="","",入力データ!$C$104*12)</f>
        <v/>
      </c>
      <c r="AB37" s="359">
        <f>IF(AB$3="","",入力データ!$C$104*12)</f>
        <v/>
      </c>
      <c r="AC37" s="359">
        <f>IF(AC$3="","",入力データ!$C$104*12)</f>
        <v/>
      </c>
      <c r="AD37" s="359">
        <f>IF(AD$3="","",入力データ!$C$104*12)</f>
        <v/>
      </c>
      <c r="AE37" s="359">
        <f>IF(AE$3="","",入力データ!$C$104*12)</f>
        <v/>
      </c>
      <c r="AF37" s="359">
        <f>IF(AF$3="","",入力データ!$C$104*12)</f>
        <v/>
      </c>
      <c r="AG37" s="359">
        <f>IF(AG$3="","",入力データ!$C$104*12)</f>
        <v/>
      </c>
      <c r="AH37" s="359">
        <f>IF(AH$3="","",入力データ!$C$104*12)</f>
        <v/>
      </c>
      <c r="AI37" s="359">
        <f>IF(AI$3="","",入力データ!$C$104*12)</f>
        <v/>
      </c>
      <c r="AJ37" s="359">
        <f>IF(AJ$3="","",入力データ!$C$104*12)</f>
        <v/>
      </c>
      <c r="AK37" s="359">
        <f>IF(AK$3="","",入力データ!$C$104*12)</f>
        <v/>
      </c>
      <c r="AL37" s="359">
        <f>IF(AL$3="","",入力データ!$C$104*12)</f>
        <v/>
      </c>
      <c r="AM37" s="359">
        <f>IF(AM$3="","",入力データ!$C$104*12)</f>
        <v/>
      </c>
      <c r="AN37" s="359">
        <f>IF(AN$3="","",入力データ!$C$104*12)</f>
        <v/>
      </c>
      <c r="AO37" s="359">
        <f>IF(AO$3="","",入力データ!$C$104*12)</f>
        <v/>
      </c>
      <c r="AP37" s="359">
        <f>IF(AP$3="","",入力データ!$C$104*12)</f>
        <v/>
      </c>
      <c r="AQ37" s="359">
        <f>IF(AQ$3="","",入力データ!$C$104*12)</f>
        <v/>
      </c>
      <c r="AR37" s="359">
        <f>IF(AR$3="","",入力データ!$C$104*12)</f>
        <v/>
      </c>
      <c r="AS37" s="359">
        <f>IF(AS$3="","",入力データ!$C$104*12)</f>
        <v/>
      </c>
      <c r="AT37" s="359">
        <f>IF(AT$3="","",入力データ!$C$104*12)</f>
        <v/>
      </c>
      <c r="AU37" s="359">
        <f>IF(AU$3="","",入力データ!$C$104*12)</f>
        <v/>
      </c>
      <c r="AV37" s="359">
        <f>IF(AV$3="","",入力データ!$C$104*12)</f>
        <v/>
      </c>
      <c r="AW37" s="359">
        <f>IF(AW$3="","",入力データ!$C$104*12)</f>
        <v/>
      </c>
      <c r="AX37" s="359">
        <f>IF(AX$3="","",入力データ!$C$104*12)</f>
        <v/>
      </c>
      <c r="AY37" s="359">
        <f>IF(AY$3="","",入力データ!$C$104*12)</f>
        <v/>
      </c>
      <c r="AZ37" s="359">
        <f>IF(AZ$3="","",入力データ!$C$104*12)</f>
        <v/>
      </c>
      <c r="BA37" s="359">
        <f>IF(BA$3="","",入力データ!$C$104*12)</f>
        <v/>
      </c>
      <c r="BB37" s="359">
        <f>IF(BB$3="","",入力データ!$C$104*12)</f>
        <v/>
      </c>
      <c r="BC37" s="359">
        <f>IF(BC$3="","",入力データ!$C$104*12)</f>
        <v/>
      </c>
      <c r="BD37" s="359">
        <f>IF(BD$3="","",入力データ!$C$104*12)</f>
        <v/>
      </c>
      <c r="BE37" s="359">
        <f>IF(BE$3="","",入力データ!$C$104*12)</f>
        <v/>
      </c>
      <c r="BF37" s="359">
        <f>IF(BF$3="","",入力データ!$C$104*12)</f>
        <v/>
      </c>
      <c r="BG37" s="359">
        <f>IF(BG$3="","",入力データ!$C$104*12)</f>
        <v/>
      </c>
      <c r="BH37" s="359">
        <f>IF(BH$3="","",入力データ!$C$104*12)</f>
        <v/>
      </c>
      <c r="BI37" s="359">
        <f>IF(BI$3="","",入力データ!$C$104*12)</f>
        <v/>
      </c>
      <c r="BJ37" s="359">
        <f>IF(BJ$3="","",入力データ!$C$104*12)</f>
        <v/>
      </c>
      <c r="BK37" s="359">
        <f>IF(BK$3="","",入力データ!$C$104*12)</f>
        <v/>
      </c>
      <c r="BL37" s="359">
        <f>IF(BL$3="","",入力データ!$C$104*12)</f>
        <v/>
      </c>
      <c r="BM37" s="359">
        <f>IF(BM$3="","",入力データ!$C$104*12)</f>
        <v/>
      </c>
      <c r="BN37" s="359">
        <f>IF(BN$3="","",入力データ!$C$104*12)</f>
        <v/>
      </c>
      <c r="BO37" s="359">
        <f>IF(BO$3="","",入力データ!$C$104*12)</f>
        <v/>
      </c>
      <c r="BP37" s="359">
        <f>IF(BP$3="","",入力データ!$C$104*12)</f>
        <v/>
      </c>
      <c r="BQ37" s="359">
        <f>IF(BQ$3="","",入力データ!$C$104*12)</f>
        <v/>
      </c>
      <c r="BR37" s="359">
        <f>IF(BR$3="","",入力データ!$C$104*12)</f>
        <v/>
      </c>
      <c r="BS37" s="359">
        <f>IF(BS$3="","",入力データ!$C$104*12)</f>
        <v/>
      </c>
      <c r="BT37" s="359">
        <f>IF(BT$3="","",入力データ!$C$104*12)</f>
        <v/>
      </c>
      <c r="BU37" s="359">
        <f>IF(BU$3="","",入力データ!$C$104*12)</f>
        <v/>
      </c>
      <c r="BV37" s="359">
        <f>IF(BV$3="","",入力データ!$C$104*12)</f>
        <v/>
      </c>
      <c r="BW37" s="359">
        <f>IF(BW$3="","",入力データ!$C$104*12)</f>
        <v/>
      </c>
      <c r="BX37" s="359">
        <f>IF(BX$3="","",入力データ!$C$104*12)</f>
        <v/>
      </c>
      <c r="BY37" s="359">
        <f>IF(BY$3="","",入力データ!$C$104*12)</f>
        <v/>
      </c>
      <c r="BZ37" s="359">
        <f>IF(BZ$3="","",入力データ!$C$104*12)</f>
        <v/>
      </c>
      <c r="CA37" s="359">
        <f>IF(CA$3="","",入力データ!$C$104*12)</f>
        <v/>
      </c>
      <c r="CB37" s="359">
        <f>IF(CB$3="","",入力データ!$C$104*12)</f>
        <v/>
      </c>
      <c r="CC37" s="359">
        <f>IF(CC$3="","",入力データ!$C$104*12)</f>
        <v/>
      </c>
      <c r="CD37" s="359">
        <f>IF(CD$3="","",入力データ!$C$104*12)</f>
        <v/>
      </c>
      <c r="CE37" s="359">
        <f>IF(CE$3="","",入力データ!$C$104*12)</f>
        <v/>
      </c>
      <c r="CF37" s="359">
        <f>IF(CF$3="","",入力データ!$C$104*12)</f>
        <v/>
      </c>
      <c r="CG37" s="359">
        <f>IF(CG$3="","",入力データ!$C$104*12)</f>
        <v/>
      </c>
      <c r="CH37" s="359">
        <f>IF(CH$3="","",入力データ!$C$104*12)</f>
        <v/>
      </c>
      <c r="CI37" s="359">
        <f>IF(CI$3="","",入力データ!$C$104*12)</f>
        <v/>
      </c>
      <c r="CJ37" s="359">
        <f>IF(CJ$3="","",入力データ!$C$104*12)</f>
        <v/>
      </c>
      <c r="CK37" s="359">
        <f>IF(CK$3="","",入力データ!$C$104*12)</f>
        <v/>
      </c>
      <c r="CL37" s="359">
        <f>IF(CL$3="","",入力データ!$C$104*12)</f>
        <v/>
      </c>
      <c r="CM37" s="359">
        <f>IF(CM$3="","",入力データ!$C$104*12)</f>
        <v/>
      </c>
      <c r="CN37" s="359">
        <f>IF(CN$3="","",入力データ!$C$104*12)</f>
        <v/>
      </c>
      <c r="CO37" s="359">
        <f>IF(CO$3="","",入力データ!$C$104*12)</f>
        <v/>
      </c>
      <c r="CP37" s="359">
        <f>IF(CP$3="","",入力データ!$C$104*12)</f>
        <v/>
      </c>
      <c r="CQ37" s="359">
        <f>IF(CQ$3="","",入力データ!$C$104*12)</f>
        <v/>
      </c>
      <c r="CR37" s="359">
        <f>IF(CR$3="","",入力データ!$C$104*12)</f>
        <v/>
      </c>
      <c r="CS37" s="359">
        <f>IF(CS$3="","",入力データ!$C$104*12)</f>
        <v/>
      </c>
      <c r="CT37" s="359">
        <f>IF(CT$3="","",入力データ!$C$104*12)</f>
        <v/>
      </c>
      <c r="CU37" s="359">
        <f>IF(CU$3="","",入力データ!$C$104*12)</f>
        <v/>
      </c>
      <c r="CV37" s="359">
        <f>IF(CV$3="","",入力データ!$C$104*12)</f>
        <v/>
      </c>
      <c r="CW37" s="359">
        <f>IF(CW$3="","",入力データ!$C$104*12)</f>
        <v/>
      </c>
    </row>
    <row r="38" hidden="1" ht="16.5" customHeight="1" s="180">
      <c r="A38" s="239" t="inlineStr">
        <is>
          <t>預貯金前年差引前(補助)</t>
        </is>
      </c>
      <c r="B38" s="359">
        <f>IF(B$3="","",SUM(入力データ!$C$88:$C$89)+B30-B36-B37)</f>
        <v/>
      </c>
      <c r="C38" s="359">
        <f>IF(C$3="","",B31+C30-C36-C37)</f>
        <v/>
      </c>
      <c r="D38" s="359">
        <f>IF(D$3="","",C31+D30-D36-D37)</f>
        <v/>
      </c>
      <c r="E38" s="359">
        <f>IF(E$3="","",D31+E30-E36-E37)</f>
        <v/>
      </c>
      <c r="F38" s="359">
        <f>IF(F$3="","",E31+F30-F36-F37)</f>
        <v/>
      </c>
      <c r="G38" s="359">
        <f>IF(G$3="","",F31+G30-G36-G37)</f>
        <v/>
      </c>
      <c r="H38" s="359">
        <f>IF(H$3="","",G31+H30-H36-H37)</f>
        <v/>
      </c>
      <c r="I38" s="359">
        <f>IF(I$3="","",H31+I30-I36-I37)</f>
        <v/>
      </c>
      <c r="J38" s="359">
        <f>IF(J$3="","",I31+J30-J36-J37)</f>
        <v/>
      </c>
      <c r="K38" s="359">
        <f>IF(K$3="","",J31+K30-K36-K37)</f>
        <v/>
      </c>
      <c r="L38" s="359">
        <f>IF(L$3="","",K31+L30-L36-L37)</f>
        <v/>
      </c>
      <c r="M38" s="359">
        <f>IF(M$3="","",L31+M30-M36-M37)</f>
        <v/>
      </c>
      <c r="N38" s="359">
        <f>IF(N$3="","",M31+N30-N36-N37)</f>
        <v/>
      </c>
      <c r="O38" s="359">
        <f>IF(O$3="","",N31+O30-O36-O37)</f>
        <v/>
      </c>
      <c r="P38" s="359">
        <f>IF(P$3="","",O31+P30-P36-P37)</f>
        <v/>
      </c>
      <c r="Q38" s="359">
        <f>IF(Q$3="","",P31+Q30-Q36-Q37)</f>
        <v/>
      </c>
      <c r="R38" s="359">
        <f>IF(R$3="","",Q31+R30-R36-R37)</f>
        <v/>
      </c>
      <c r="S38" s="359">
        <f>IF(S$3="","",R31+S30-S36-S37)</f>
        <v/>
      </c>
      <c r="T38" s="359">
        <f>IF(T$3="","",S31+T30-T36-T37)</f>
        <v/>
      </c>
      <c r="U38" s="359">
        <f>IF(U$3="","",T31+U30-U36-U37)</f>
        <v/>
      </c>
      <c r="V38" s="359">
        <f>IF(V$3="","",U31+V30-V36-V37)</f>
        <v/>
      </c>
      <c r="W38" s="359">
        <f>IF(W$3="","",V31+W30-W36-W37)</f>
        <v/>
      </c>
      <c r="X38" s="359">
        <f>IF(X$3="","",W31+X30-X36-X37)</f>
        <v/>
      </c>
      <c r="Y38" s="359">
        <f>IF(Y$3="","",X31+Y30-Y36-Y37)</f>
        <v/>
      </c>
      <c r="Z38" s="359">
        <f>IF(Z$3="","",Y31+Z30-Z36-Z37)</f>
        <v/>
      </c>
      <c r="AA38" s="359">
        <f>IF(AA$3="","",Z31+AA30-AA36-AA37)</f>
        <v/>
      </c>
      <c r="AB38" s="359">
        <f>IF(AB$3="","",AA31+AB30-AB36-AB37)</f>
        <v/>
      </c>
      <c r="AC38" s="359">
        <f>IF(AC$3="","",AB31+AC30-AC36-AC37)</f>
        <v/>
      </c>
      <c r="AD38" s="359">
        <f>IF(AD$3="","",AC31+AD30-AD36-AD37)</f>
        <v/>
      </c>
      <c r="AE38" s="359">
        <f>IF(AE$3="","",AD31+AE30-AE36-AE37)</f>
        <v/>
      </c>
      <c r="AF38" s="359">
        <f>IF(AF$3="","",AE31+AF30-AF36-AF37)</f>
        <v/>
      </c>
      <c r="AG38" s="359">
        <f>IF(AG$3="","",AF31+AG30-AG36-AG37)</f>
        <v/>
      </c>
      <c r="AH38" s="359">
        <f>IF(AH$3="","",AG31+AH30-AH36-AH37)</f>
        <v/>
      </c>
      <c r="AI38" s="359">
        <f>IF(AI$3="","",AH31+AI30-AI36-AI37)</f>
        <v/>
      </c>
      <c r="AJ38" s="359">
        <f>IF(AJ$3="","",AI31+AJ30-AJ36-AJ37)</f>
        <v/>
      </c>
      <c r="AK38" s="359">
        <f>IF(AK$3="","",AJ31+AK30-AK36-AK37)</f>
        <v/>
      </c>
      <c r="AL38" s="359">
        <f>IF(AL$3="","",AK31+AL30-AL36-AL37)</f>
        <v/>
      </c>
      <c r="AM38" s="359">
        <f>IF(AM$3="","",AL31+AM30-AM36-AM37)</f>
        <v/>
      </c>
      <c r="AN38" s="359">
        <f>IF(AN$3="","",AM31+AN30-AN36-AN37)</f>
        <v/>
      </c>
      <c r="AO38" s="359">
        <f>IF(AO$3="","",AN31+AO30-AO36-AO37)</f>
        <v/>
      </c>
      <c r="AP38" s="359">
        <f>IF(AP$3="","",AO31+AP30-AP36-AP37)</f>
        <v/>
      </c>
      <c r="AQ38" s="359">
        <f>IF(AQ$3="","",AP31+AQ30-AQ36-AQ37)</f>
        <v/>
      </c>
      <c r="AR38" s="359">
        <f>IF(AR$3="","",AQ31+AR30-AR36-AR37)</f>
        <v/>
      </c>
      <c r="AS38" s="359">
        <f>IF(AS$3="","",AR31+AS30-AS36-AS37)</f>
        <v/>
      </c>
      <c r="AT38" s="359">
        <f>IF(AT$3="","",AS31+AT30-AT36-AT37)</f>
        <v/>
      </c>
      <c r="AU38" s="359">
        <f>IF(AU$3="","",AT31+AU30-AU36-AU37)</f>
        <v/>
      </c>
      <c r="AV38" s="359">
        <f>IF(AV$3="","",AU31+AV30-AV36-AV37)</f>
        <v/>
      </c>
      <c r="AW38" s="359">
        <f>IF(AW$3="","",AV31+AW30-AW36-AW37)</f>
        <v/>
      </c>
      <c r="AX38" s="359">
        <f>IF(AX$3="","",AW31+AX30-AX36-AX37)</f>
        <v/>
      </c>
      <c r="AY38" s="359">
        <f>IF(AY$3="","",AX31+AY30-AY36-AY37)</f>
        <v/>
      </c>
      <c r="AZ38" s="359">
        <f>IF(AZ$3="","",AY31+AZ30-AZ36-AZ37)</f>
        <v/>
      </c>
      <c r="BA38" s="359">
        <f>IF(BA$3="","",AZ31+BA30-BA36-BA37)</f>
        <v/>
      </c>
      <c r="BB38" s="359">
        <f>IF(BB$3="","",BA31+BB30-BB36-BB37)</f>
        <v/>
      </c>
      <c r="BC38" s="359">
        <f>IF(BC$3="","",BB31+BC30-BC36-BC37)</f>
        <v/>
      </c>
      <c r="BD38" s="359">
        <f>IF(BD$3="","",BC31+BD30-BD36-BD37)</f>
        <v/>
      </c>
      <c r="BE38" s="359">
        <f>IF(BE$3="","",BD31+BE30-BE36-BE37)</f>
        <v/>
      </c>
      <c r="BF38" s="359">
        <f>IF(BF$3="","",BE31+BF30-BF36-BF37)</f>
        <v/>
      </c>
      <c r="BG38" s="359">
        <f>IF(BG$3="","",BF31+BG30-BG36-BG37)</f>
        <v/>
      </c>
      <c r="BH38" s="359">
        <f>IF(BH$3="","",BG31+BH30-BH36-BH37)</f>
        <v/>
      </c>
      <c r="BI38" s="359">
        <f>IF(BI$3="","",BH31+BI30-BI36-BI37)</f>
        <v/>
      </c>
      <c r="BJ38" s="359">
        <f>IF(BJ$3="","",BI31+BJ30-BJ36-BJ37)</f>
        <v/>
      </c>
      <c r="BK38" s="359">
        <f>IF(BK$3="","",BJ31+BK30-BK36-BK37)</f>
        <v/>
      </c>
      <c r="BL38" s="359">
        <f>IF(BL$3="","",BK31+BL30-BL36-BL37)</f>
        <v/>
      </c>
      <c r="BM38" s="359">
        <f>IF(BM$3="","",BL31+BM30-BM36-BM37)</f>
        <v/>
      </c>
      <c r="BN38" s="359">
        <f>IF(BN$3="","",BM31+BN30-BN36-BN37)</f>
        <v/>
      </c>
      <c r="BO38" s="359">
        <f>IF(BO$3="","",BN31+BO30-BO36-BO37)</f>
        <v/>
      </c>
      <c r="BP38" s="359">
        <f>IF(BP$3="","",BO31+BP30-BP36-BP37)</f>
        <v/>
      </c>
      <c r="BQ38" s="359">
        <f>IF(BQ$3="","",BP31+BQ30-BQ36-BQ37)</f>
        <v/>
      </c>
      <c r="BR38" s="359">
        <f>IF(BR$3="","",BQ31+BR30-BR36-BR37)</f>
        <v/>
      </c>
      <c r="BS38" s="359">
        <f>IF(BS$3="","",BR31+BS30-BS36-BS37)</f>
        <v/>
      </c>
      <c r="BT38" s="359">
        <f>IF(BT$3="","",BS31+BT30-BT36-BT37)</f>
        <v/>
      </c>
      <c r="BU38" s="359">
        <f>IF(BU$3="","",BT31+BU30-BU36-BU37)</f>
        <v/>
      </c>
      <c r="BV38" s="359">
        <f>IF(BV$3="","",BU31+BV30-BV36-BV37)</f>
        <v/>
      </c>
      <c r="BW38" s="359">
        <f>IF(BW$3="","",BV31+BW30-BW36-BW37)</f>
        <v/>
      </c>
      <c r="BX38" s="359">
        <f>IF(BX$3="","",BW31+BX30-BX36-BX37)</f>
        <v/>
      </c>
      <c r="BY38" s="359">
        <f>IF(BY$3="","",BX31+BY30-BY36-BY37)</f>
        <v/>
      </c>
      <c r="BZ38" s="359">
        <f>IF(BZ$3="","",BY31+BZ30-BZ36-BZ37)</f>
        <v/>
      </c>
      <c r="CA38" s="359">
        <f>IF(CA$3="","",BZ31+CA30-CA36-CA37)</f>
        <v/>
      </c>
      <c r="CB38" s="359">
        <f>IF(CB$3="","",CA31+CB30-CB36-CB37)</f>
        <v/>
      </c>
      <c r="CC38" s="359">
        <f>IF(CC$3="","",CB31+CC30-CC36-CC37)</f>
        <v/>
      </c>
      <c r="CD38" s="359">
        <f>IF(CD$3="","",CC31+CD30-CD36-CD37)</f>
        <v/>
      </c>
      <c r="CE38" s="359">
        <f>IF(CE$3="","",CD31+CE30-CE36-CE37)</f>
        <v/>
      </c>
      <c r="CF38" s="359">
        <f>IF(CF$3="","",CE31+CF30-CF36-CF37)</f>
        <v/>
      </c>
      <c r="CG38" s="359">
        <f>IF(CG$3="","",CF31+CG30-CG36-CG37)</f>
        <v/>
      </c>
      <c r="CH38" s="359">
        <f>IF(CH$3="","",CG31+CH30-CH36-CH37)</f>
        <v/>
      </c>
      <c r="CI38" s="359">
        <f>IF(CI$3="","",CH31+CI30-CI36-CI37)</f>
        <v/>
      </c>
      <c r="CJ38" s="359">
        <f>IF(CJ$3="","",CI31+CJ30-CJ36-CJ37)</f>
        <v/>
      </c>
      <c r="CK38" s="359">
        <f>IF(CK$3="","",CJ31+CK30-CK36-CK37)</f>
        <v/>
      </c>
      <c r="CL38" s="359">
        <f>IF(CL$3="","",CK31+CL30-CL36-CL37)</f>
        <v/>
      </c>
      <c r="CM38" s="359">
        <f>IF(CM$3="","",CL31+CM30-CM36-CM37)</f>
        <v/>
      </c>
      <c r="CN38" s="359">
        <f>IF(CN$3="","",CM31+CN30-CN36-CN37)</f>
        <v/>
      </c>
      <c r="CO38" s="359">
        <f>IF(CO$3="","",CN31+CO30-CO36-CO37)</f>
        <v/>
      </c>
      <c r="CP38" s="359">
        <f>IF(CP$3="","",CO31+CP30-CP36-CP37)</f>
        <v/>
      </c>
      <c r="CQ38" s="359">
        <f>IF(CQ$3="","",CP31+CQ30-CQ36-CQ37)</f>
        <v/>
      </c>
      <c r="CR38" s="359">
        <f>IF(CR$3="","",CQ31+CR30-CR36-CR37)</f>
        <v/>
      </c>
      <c r="CS38" s="359">
        <f>IF(CS$3="","",CR31+CS30-CS36-CS37)</f>
        <v/>
      </c>
      <c r="CT38" s="359">
        <f>IF(CT$3="","",CS31+CT30-CT36-CT37)</f>
        <v/>
      </c>
      <c r="CU38" s="359">
        <f>IF(CU$3="","",CT31+CU30-CU36-CU37)</f>
        <v/>
      </c>
      <c r="CV38" s="359">
        <f>IF(CV$3="","",CU31+CV30-CV36-CV37)</f>
        <v/>
      </c>
      <c r="CW38" s="359">
        <f>IF(CW$3="","",CV31+CW30-CW36-CW37)</f>
        <v/>
      </c>
    </row>
    <row r="39" hidden="1" ht="16.5" customHeight="1" s="180">
      <c r="A39" s="239" t="inlineStr">
        <is>
          <t>投資取り崩し額(補助)</t>
        </is>
      </c>
      <c r="B39" s="359">
        <f>IF(B$3="","",MAX(0,-B38))</f>
        <v/>
      </c>
      <c r="C39" s="359">
        <f>IF(C$3="","",MAX(0,-C38))</f>
        <v/>
      </c>
      <c r="D39" s="359">
        <f>IF(D$3="","",MAX(0,-D38))</f>
        <v/>
      </c>
      <c r="E39" s="359">
        <f>IF(E$3="","",MAX(0,-E38))</f>
        <v/>
      </c>
      <c r="F39" s="359">
        <f>IF(F$3="","",MAX(0,-F38))</f>
        <v/>
      </c>
      <c r="G39" s="359">
        <f>IF(G$3="","",MAX(0,-G38))</f>
        <v/>
      </c>
      <c r="H39" s="359">
        <f>IF(H$3="","",MAX(0,-H38))</f>
        <v/>
      </c>
      <c r="I39" s="359">
        <f>IF(I$3="","",MAX(0,-I38))</f>
        <v/>
      </c>
      <c r="J39" s="359">
        <f>IF(J$3="","",MAX(0,-J38))</f>
        <v/>
      </c>
      <c r="K39" s="359">
        <f>IF(K$3="","",MAX(0,-K38))</f>
        <v/>
      </c>
      <c r="L39" s="359">
        <f>IF(L$3="","",MAX(0,-L38))</f>
        <v/>
      </c>
      <c r="M39" s="359">
        <f>IF(M$3="","",MAX(0,-M38))</f>
        <v/>
      </c>
      <c r="N39" s="359">
        <f>IF(N$3="","",MAX(0,-N38))</f>
        <v/>
      </c>
      <c r="O39" s="359">
        <f>IF(O$3="","",MAX(0,-O38))</f>
        <v/>
      </c>
      <c r="P39" s="359">
        <f>IF(P$3="","",MAX(0,-P38))</f>
        <v/>
      </c>
      <c r="Q39" s="359">
        <f>IF(Q$3="","",MAX(0,-Q38))</f>
        <v/>
      </c>
      <c r="R39" s="359">
        <f>IF(R$3="","",MAX(0,-R38))</f>
        <v/>
      </c>
      <c r="S39" s="359">
        <f>IF(S$3="","",MAX(0,-S38))</f>
        <v/>
      </c>
      <c r="T39" s="359">
        <f>IF(T$3="","",MAX(0,-T38))</f>
        <v/>
      </c>
      <c r="U39" s="359">
        <f>IF(U$3="","",MAX(0,-U38))</f>
        <v/>
      </c>
      <c r="V39" s="359">
        <f>IF(V$3="","",MAX(0,-V38))</f>
        <v/>
      </c>
      <c r="W39" s="359">
        <f>IF(W$3="","",MAX(0,-W38))</f>
        <v/>
      </c>
      <c r="X39" s="359">
        <f>IF(X$3="","",MAX(0,-X38))</f>
        <v/>
      </c>
      <c r="Y39" s="359">
        <f>IF(Y$3="","",MAX(0,-Y38))</f>
        <v/>
      </c>
      <c r="Z39" s="359">
        <f>IF(Z$3="","",MAX(0,-Z38))</f>
        <v/>
      </c>
      <c r="AA39" s="359">
        <f>IF(AA$3="","",MAX(0,-AA38))</f>
        <v/>
      </c>
      <c r="AB39" s="359">
        <f>IF(AB$3="","",MAX(0,-AB38))</f>
        <v/>
      </c>
      <c r="AC39" s="359">
        <f>IF(AC$3="","",MAX(0,-AC38))</f>
        <v/>
      </c>
      <c r="AD39" s="359">
        <f>IF(AD$3="","",MAX(0,-AD38))</f>
        <v/>
      </c>
      <c r="AE39" s="359">
        <f>IF(AE$3="","",MAX(0,-AE38))</f>
        <v/>
      </c>
      <c r="AF39" s="359">
        <f>IF(AF$3="","",MAX(0,-AF38))</f>
        <v/>
      </c>
      <c r="AG39" s="359">
        <f>IF(AG$3="","",MAX(0,-AG38))</f>
        <v/>
      </c>
      <c r="AH39" s="359">
        <f>IF(AH$3="","",MAX(0,-AH38))</f>
        <v/>
      </c>
      <c r="AI39" s="359">
        <f>IF(AI$3="","",MAX(0,-AI38))</f>
        <v/>
      </c>
      <c r="AJ39" s="359">
        <f>IF(AJ$3="","",MAX(0,-AJ38))</f>
        <v/>
      </c>
      <c r="AK39" s="359">
        <f>IF(AK$3="","",MAX(0,-AK38))</f>
        <v/>
      </c>
      <c r="AL39" s="359">
        <f>IF(AL$3="","",MAX(0,-AL38))</f>
        <v/>
      </c>
      <c r="AM39" s="359">
        <f>IF(AM$3="","",MAX(0,-AM38))</f>
        <v/>
      </c>
      <c r="AN39" s="359">
        <f>IF(AN$3="","",MAX(0,-AN38))</f>
        <v/>
      </c>
      <c r="AO39" s="359">
        <f>IF(AO$3="","",MAX(0,-AO38))</f>
        <v/>
      </c>
      <c r="AP39" s="359">
        <f>IF(AP$3="","",MAX(0,-AP38))</f>
        <v/>
      </c>
      <c r="AQ39" s="359">
        <f>IF(AQ$3="","",MAX(0,-AQ38))</f>
        <v/>
      </c>
      <c r="AR39" s="359">
        <f>IF(AR$3="","",MAX(0,-AR38))</f>
        <v/>
      </c>
      <c r="AS39" s="359">
        <f>IF(AS$3="","",MAX(0,-AS38))</f>
        <v/>
      </c>
      <c r="AT39" s="359">
        <f>IF(AT$3="","",MAX(0,-AT38))</f>
        <v/>
      </c>
      <c r="AU39" s="359">
        <f>IF(AU$3="","",MAX(0,-AU38))</f>
        <v/>
      </c>
      <c r="AV39" s="359">
        <f>IF(AV$3="","",MAX(0,-AV38))</f>
        <v/>
      </c>
      <c r="AW39" s="359">
        <f>IF(AW$3="","",MAX(0,-AW38))</f>
        <v/>
      </c>
      <c r="AX39" s="359">
        <f>IF(AX$3="","",MAX(0,-AX38))</f>
        <v/>
      </c>
      <c r="AY39" s="359">
        <f>IF(AY$3="","",MAX(0,-AY38))</f>
        <v/>
      </c>
      <c r="AZ39" s="359">
        <f>IF(AZ$3="","",MAX(0,-AZ38))</f>
        <v/>
      </c>
      <c r="BA39" s="359">
        <f>IF(BA$3="","",MAX(0,-BA38))</f>
        <v/>
      </c>
      <c r="BB39" s="359">
        <f>IF(BB$3="","",MAX(0,-BB38))</f>
        <v/>
      </c>
      <c r="BC39" s="359">
        <f>IF(BC$3="","",MAX(0,-BC38))</f>
        <v/>
      </c>
      <c r="BD39" s="359">
        <f>IF(BD$3="","",MAX(0,-BD38))</f>
        <v/>
      </c>
      <c r="BE39" s="359">
        <f>IF(BE$3="","",MAX(0,-BE38))</f>
        <v/>
      </c>
      <c r="BF39" s="359">
        <f>IF(BF$3="","",MAX(0,-BF38))</f>
        <v/>
      </c>
      <c r="BG39" s="359">
        <f>IF(BG$3="","",MAX(0,-BG38))</f>
        <v/>
      </c>
      <c r="BH39" s="359">
        <f>IF(BH$3="","",MAX(0,-BH38))</f>
        <v/>
      </c>
      <c r="BI39" s="359">
        <f>IF(BI$3="","",MAX(0,-BI38))</f>
        <v/>
      </c>
      <c r="BJ39" s="359">
        <f>IF(BJ$3="","",MAX(0,-BJ38))</f>
        <v/>
      </c>
      <c r="BK39" s="359">
        <f>IF(BK$3="","",MAX(0,-BK38))</f>
        <v/>
      </c>
      <c r="BL39" s="359">
        <f>IF(BL$3="","",MAX(0,-BL38))</f>
        <v/>
      </c>
      <c r="BM39" s="359">
        <f>IF(BM$3="","",MAX(0,-BM38))</f>
        <v/>
      </c>
      <c r="BN39" s="359">
        <f>IF(BN$3="","",MAX(0,-BN38))</f>
        <v/>
      </c>
      <c r="BO39" s="359">
        <f>IF(BO$3="","",MAX(0,-BO38))</f>
        <v/>
      </c>
      <c r="BP39" s="359">
        <f>IF(BP$3="","",MAX(0,-BP38))</f>
        <v/>
      </c>
      <c r="BQ39" s="359">
        <f>IF(BQ$3="","",MAX(0,-BQ38))</f>
        <v/>
      </c>
      <c r="BR39" s="359">
        <f>IF(BR$3="","",MAX(0,-BR38))</f>
        <v/>
      </c>
      <c r="BS39" s="359">
        <f>IF(BS$3="","",MAX(0,-BS38))</f>
        <v/>
      </c>
      <c r="BT39" s="359">
        <f>IF(BT$3="","",MAX(0,-BT38))</f>
        <v/>
      </c>
      <c r="BU39" s="359">
        <f>IF(BU$3="","",MAX(0,-BU38))</f>
        <v/>
      </c>
      <c r="BV39" s="359">
        <f>IF(BV$3="","",MAX(0,-BV38))</f>
        <v/>
      </c>
      <c r="BW39" s="359">
        <f>IF(BW$3="","",MAX(0,-BW38))</f>
        <v/>
      </c>
      <c r="BX39" s="359">
        <f>IF(BX$3="","",MAX(0,-BX38))</f>
        <v/>
      </c>
      <c r="BY39" s="359">
        <f>IF(BY$3="","",MAX(0,-BY38))</f>
        <v/>
      </c>
      <c r="BZ39" s="359">
        <f>IF(BZ$3="","",MAX(0,-BZ38))</f>
        <v/>
      </c>
      <c r="CA39" s="359">
        <f>IF(CA$3="","",MAX(0,-CA38))</f>
        <v/>
      </c>
      <c r="CB39" s="359">
        <f>IF(CB$3="","",MAX(0,-CB38))</f>
        <v/>
      </c>
      <c r="CC39" s="359">
        <f>IF(CC$3="","",MAX(0,-CC38))</f>
        <v/>
      </c>
      <c r="CD39" s="359">
        <f>IF(CD$3="","",MAX(0,-CD38))</f>
        <v/>
      </c>
      <c r="CE39" s="359">
        <f>IF(CE$3="","",MAX(0,-CE38))</f>
        <v/>
      </c>
      <c r="CF39" s="359">
        <f>IF(CF$3="","",MAX(0,-CF38))</f>
        <v/>
      </c>
      <c r="CG39" s="359">
        <f>IF(CG$3="","",MAX(0,-CG38))</f>
        <v/>
      </c>
      <c r="CH39" s="359">
        <f>IF(CH$3="","",MAX(0,-CH38))</f>
        <v/>
      </c>
      <c r="CI39" s="359">
        <f>IF(CI$3="","",MAX(0,-CI38))</f>
        <v/>
      </c>
      <c r="CJ39" s="359">
        <f>IF(CJ$3="","",MAX(0,-CJ38))</f>
        <v/>
      </c>
      <c r="CK39" s="359">
        <f>IF(CK$3="","",MAX(0,-CK38))</f>
        <v/>
      </c>
      <c r="CL39" s="359">
        <f>IF(CL$3="","",MAX(0,-CL38))</f>
        <v/>
      </c>
      <c r="CM39" s="359">
        <f>IF(CM$3="","",MAX(0,-CM38))</f>
        <v/>
      </c>
      <c r="CN39" s="359">
        <f>IF(CN$3="","",MAX(0,-CN38))</f>
        <v/>
      </c>
      <c r="CO39" s="359">
        <f>IF(CO$3="","",MAX(0,-CO38))</f>
        <v/>
      </c>
      <c r="CP39" s="359">
        <f>IF(CP$3="","",MAX(0,-CP38))</f>
        <v/>
      </c>
      <c r="CQ39" s="359">
        <f>IF(CQ$3="","",MAX(0,-CQ38))</f>
        <v/>
      </c>
      <c r="CR39" s="359">
        <f>IF(CR$3="","",MAX(0,-CR38))</f>
        <v/>
      </c>
      <c r="CS39" s="359">
        <f>IF(CS$3="","",MAX(0,-CS38))</f>
        <v/>
      </c>
      <c r="CT39" s="359">
        <f>IF(CT$3="","",MAX(0,-CT38))</f>
        <v/>
      </c>
      <c r="CU39" s="359">
        <f>IF(CU$3="","",MAX(0,-CU38))</f>
        <v/>
      </c>
      <c r="CV39" s="359">
        <f>IF(CV$3="","",MAX(0,-CV38))</f>
        <v/>
      </c>
      <c r="CW39" s="359">
        <f>IF(CW$3="","",MAX(0,-CW38))</f>
        <v/>
      </c>
    </row>
    <row r="40" hidden="1" ht="16.5" customHeight="1" s="180">
      <c r="A40" s="239" t="inlineStr">
        <is>
          <t>返戻金取り崩し額(補助)</t>
        </is>
      </c>
      <c r="B40" s="359">
        <f>IF(B$3="","",MAX(0,B39-((SUM(入力データ!$C$90:$C$92,入力データ!$C$94)*(1+前提条件!$C$60))+B36)))</f>
        <v/>
      </c>
      <c r="C40" s="359">
        <f>IF(C$3="","",MAX(0,C39-((B32*(1+前提条件!$C$60))+C36)))</f>
        <v/>
      </c>
      <c r="D40" s="359">
        <f>IF(D$3="","",MAX(0,D39-((C32*(1+前提条件!$C$60))+D36)))</f>
        <v/>
      </c>
      <c r="E40" s="359">
        <f>IF(E$3="","",MAX(0,E39-((D32*(1+前提条件!$C$60))+E36)))</f>
        <v/>
      </c>
      <c r="F40" s="359">
        <f>IF(F$3="","",MAX(0,F39-((E32*(1+前提条件!$C$60))+F36)))</f>
        <v/>
      </c>
      <c r="G40" s="359">
        <f>IF(G$3="","",MAX(0,G39-((F32*(1+前提条件!$C$60))+G36)))</f>
        <v/>
      </c>
      <c r="H40" s="359">
        <f>IF(H$3="","",MAX(0,H39-((G32*(1+前提条件!$C$60))+H36)))</f>
        <v/>
      </c>
      <c r="I40" s="359">
        <f>IF(I$3="","",MAX(0,I39-((H32*(1+前提条件!$C$60))+I36)))</f>
        <v/>
      </c>
      <c r="J40" s="359">
        <f>IF(J$3="","",MAX(0,J39-((I32*(1+前提条件!$C$60))+J36)))</f>
        <v/>
      </c>
      <c r="K40" s="359">
        <f>IF(K$3="","",MAX(0,K39-((J32*(1+前提条件!$C$60))+K36)))</f>
        <v/>
      </c>
      <c r="L40" s="359">
        <f>IF(L$3="","",MAX(0,L39-((K32*(1+前提条件!$C$60))+L36)))</f>
        <v/>
      </c>
      <c r="M40" s="359">
        <f>IF(M$3="","",MAX(0,M39-((L32*(1+前提条件!$C$60))+M36)))</f>
        <v/>
      </c>
      <c r="N40" s="359">
        <f>IF(N$3="","",MAX(0,N39-((M32*(1+前提条件!$C$60))+N36)))</f>
        <v/>
      </c>
      <c r="O40" s="359">
        <f>IF(O$3="","",MAX(0,O39-((N32*(1+前提条件!$C$60))+O36)))</f>
        <v/>
      </c>
      <c r="P40" s="359">
        <f>IF(P$3="","",MAX(0,P39-((O32*(1+前提条件!$C$60))+P36)))</f>
        <v/>
      </c>
      <c r="Q40" s="359">
        <f>IF(Q$3="","",MAX(0,Q39-((P32*(1+前提条件!$C$60))+Q36)))</f>
        <v/>
      </c>
      <c r="R40" s="359">
        <f>IF(R$3="","",MAX(0,R39-((Q32*(1+前提条件!$C$60))+R36)))</f>
        <v/>
      </c>
      <c r="S40" s="359">
        <f>IF(S$3="","",MAX(0,S39-((R32*(1+前提条件!$C$60))+S36)))</f>
        <v/>
      </c>
      <c r="T40" s="359">
        <f>IF(T$3="","",MAX(0,T39-((S32*(1+前提条件!$C$60))+T36)))</f>
        <v/>
      </c>
      <c r="U40" s="359">
        <f>IF(U$3="","",MAX(0,U39-((T32*(1+前提条件!$C$60))+U36)))</f>
        <v/>
      </c>
      <c r="V40" s="359">
        <f>IF(V$3="","",MAX(0,V39-((U32*(1+前提条件!$C$60))+V36)))</f>
        <v/>
      </c>
      <c r="W40" s="359">
        <f>IF(W$3="","",MAX(0,W39-((V32*(1+前提条件!$C$60))+W36)))</f>
        <v/>
      </c>
      <c r="X40" s="359">
        <f>IF(X$3="","",MAX(0,X39-((W32*(1+前提条件!$C$60))+X36)))</f>
        <v/>
      </c>
      <c r="Y40" s="359">
        <f>IF(Y$3="","",MAX(0,Y39-((X32*(1+前提条件!$C$60))+Y36)))</f>
        <v/>
      </c>
      <c r="Z40" s="359">
        <f>IF(Z$3="","",MAX(0,Z39-((Y32*(1+前提条件!$C$60))+Z36)))</f>
        <v/>
      </c>
      <c r="AA40" s="359">
        <f>IF(AA$3="","",MAX(0,AA39-((Z32*(1+前提条件!$C$60))+AA36)))</f>
        <v/>
      </c>
      <c r="AB40" s="359">
        <f>IF(AB$3="","",MAX(0,AB39-((AA32*(1+前提条件!$C$60))+AB36)))</f>
        <v/>
      </c>
      <c r="AC40" s="359">
        <f>IF(AC$3="","",MAX(0,AC39-((AB32*(1+前提条件!$C$60))+AC36)))</f>
        <v/>
      </c>
      <c r="AD40" s="359">
        <f>IF(AD$3="","",MAX(0,AD39-((AC32*(1+前提条件!$C$60))+AD36)))</f>
        <v/>
      </c>
      <c r="AE40" s="359">
        <f>IF(AE$3="","",MAX(0,AE39-((AD32*(1+前提条件!$C$60))+AE36)))</f>
        <v/>
      </c>
      <c r="AF40" s="359">
        <f>IF(AF$3="","",MAX(0,AF39-((AE32*(1+前提条件!$C$60))+AF36)))</f>
        <v/>
      </c>
      <c r="AG40" s="359">
        <f>IF(AG$3="","",MAX(0,AG39-((AF32*(1+前提条件!$C$60))+AG36)))</f>
        <v/>
      </c>
      <c r="AH40" s="359">
        <f>IF(AH$3="","",MAX(0,AH39-((AG32*(1+前提条件!$C$60))+AH36)))</f>
        <v/>
      </c>
      <c r="AI40" s="359">
        <f>IF(AI$3="","",MAX(0,AI39-((AH32*(1+前提条件!$C$60))+AI36)))</f>
        <v/>
      </c>
      <c r="AJ40" s="359">
        <f>IF(AJ$3="","",MAX(0,AJ39-((AI32*(1+前提条件!$C$60))+AJ36)))</f>
        <v/>
      </c>
      <c r="AK40" s="359">
        <f>IF(AK$3="","",MAX(0,AK39-((AJ32*(1+前提条件!$C$60))+AK36)))</f>
        <v/>
      </c>
      <c r="AL40" s="359">
        <f>IF(AL$3="","",MAX(0,AL39-((AK32*(1+前提条件!$C$60))+AL36)))</f>
        <v/>
      </c>
      <c r="AM40" s="359">
        <f>IF(AM$3="","",MAX(0,AM39-((AL32*(1+前提条件!$C$60))+AM36)))</f>
        <v/>
      </c>
      <c r="AN40" s="359">
        <f>IF(AN$3="","",MAX(0,AN39-((AM32*(1+前提条件!$C$60))+AN36)))</f>
        <v/>
      </c>
      <c r="AO40" s="359">
        <f>IF(AO$3="","",MAX(0,AO39-((AN32*(1+前提条件!$C$60))+AO36)))</f>
        <v/>
      </c>
      <c r="AP40" s="359">
        <f>IF(AP$3="","",MAX(0,AP39-((AO32*(1+前提条件!$C$60))+AP36)))</f>
        <v/>
      </c>
      <c r="AQ40" s="359">
        <f>IF(AQ$3="","",MAX(0,AQ39-((AP32*(1+前提条件!$C$60))+AQ36)))</f>
        <v/>
      </c>
      <c r="AR40" s="359">
        <f>IF(AR$3="","",MAX(0,AR39-((AQ32*(1+前提条件!$C$60))+AR36)))</f>
        <v/>
      </c>
      <c r="AS40" s="359">
        <f>IF(AS$3="","",MAX(0,AS39-((AR32*(1+前提条件!$C$60))+AS36)))</f>
        <v/>
      </c>
      <c r="AT40" s="359">
        <f>IF(AT$3="","",MAX(0,AT39-((AS32*(1+前提条件!$C$60))+AT36)))</f>
        <v/>
      </c>
      <c r="AU40" s="359">
        <f>IF(AU$3="","",MAX(0,AU39-((AT32*(1+前提条件!$C$60))+AU36)))</f>
        <v/>
      </c>
      <c r="AV40" s="359">
        <f>IF(AV$3="","",MAX(0,AV39-((AU32*(1+前提条件!$C$60))+AV36)))</f>
        <v/>
      </c>
      <c r="AW40" s="359">
        <f>IF(AW$3="","",MAX(0,AW39-((AV32*(1+前提条件!$C$60))+AW36)))</f>
        <v/>
      </c>
      <c r="AX40" s="359">
        <f>IF(AX$3="","",MAX(0,AX39-((AW32*(1+前提条件!$C$60))+AX36)))</f>
        <v/>
      </c>
      <c r="AY40" s="359">
        <f>IF(AY$3="","",MAX(0,AY39-((AX32*(1+前提条件!$C$60))+AY36)))</f>
        <v/>
      </c>
      <c r="AZ40" s="359">
        <f>IF(AZ$3="","",MAX(0,AZ39-((AY32*(1+前提条件!$C$60))+AZ36)))</f>
        <v/>
      </c>
      <c r="BA40" s="359">
        <f>IF(BA$3="","",MAX(0,BA39-((AZ32*(1+前提条件!$C$60))+BA36)))</f>
        <v/>
      </c>
      <c r="BB40" s="359">
        <f>IF(BB$3="","",MAX(0,BB39-((BA32*(1+前提条件!$C$60))+BB36)))</f>
        <v/>
      </c>
      <c r="BC40" s="359">
        <f>IF(BC$3="","",MAX(0,BC39-((BB32*(1+前提条件!$C$60))+BC36)))</f>
        <v/>
      </c>
      <c r="BD40" s="359">
        <f>IF(BD$3="","",MAX(0,BD39-((BC32*(1+前提条件!$C$60))+BD36)))</f>
        <v/>
      </c>
      <c r="BE40" s="359">
        <f>IF(BE$3="","",MAX(0,BE39-((BD32*(1+前提条件!$C$60))+BE36)))</f>
        <v/>
      </c>
      <c r="BF40" s="359">
        <f>IF(BF$3="","",MAX(0,BF39-((BE32*(1+前提条件!$C$60))+BF36)))</f>
        <v/>
      </c>
      <c r="BG40" s="359">
        <f>IF(BG$3="","",MAX(0,BG39-((BF32*(1+前提条件!$C$60))+BG36)))</f>
        <v/>
      </c>
      <c r="BH40" s="359">
        <f>IF(BH$3="","",MAX(0,BH39-((BG32*(1+前提条件!$C$60))+BH36)))</f>
        <v/>
      </c>
      <c r="BI40" s="359">
        <f>IF(BI$3="","",MAX(0,BI39-((BH32*(1+前提条件!$C$60))+BI36)))</f>
        <v/>
      </c>
      <c r="BJ40" s="359">
        <f>IF(BJ$3="","",MAX(0,BJ39-((BI32*(1+前提条件!$C$60))+BJ36)))</f>
        <v/>
      </c>
      <c r="BK40" s="359">
        <f>IF(BK$3="","",MAX(0,BK39-((BJ32*(1+前提条件!$C$60))+BK36)))</f>
        <v/>
      </c>
      <c r="BL40" s="359">
        <f>IF(BL$3="","",MAX(0,BL39-((BK32*(1+前提条件!$C$60))+BL36)))</f>
        <v/>
      </c>
      <c r="BM40" s="359">
        <f>IF(BM$3="","",MAX(0,BM39-((BL32*(1+前提条件!$C$60))+BM36)))</f>
        <v/>
      </c>
      <c r="BN40" s="359">
        <f>IF(BN$3="","",MAX(0,BN39-((BM32*(1+前提条件!$C$60))+BN36)))</f>
        <v/>
      </c>
      <c r="BO40" s="359">
        <f>IF(BO$3="","",MAX(0,BO39-((BN32*(1+前提条件!$C$60))+BO36)))</f>
        <v/>
      </c>
      <c r="BP40" s="359">
        <f>IF(BP$3="","",MAX(0,BP39-((BO32*(1+前提条件!$C$60))+BP36)))</f>
        <v/>
      </c>
      <c r="BQ40" s="359">
        <f>IF(BQ$3="","",MAX(0,BQ39-((BP32*(1+前提条件!$C$60))+BQ36)))</f>
        <v/>
      </c>
      <c r="BR40" s="359">
        <f>IF(BR$3="","",MAX(0,BR39-((BQ32*(1+前提条件!$C$60))+BR36)))</f>
        <v/>
      </c>
      <c r="BS40" s="359">
        <f>IF(BS$3="","",MAX(0,BS39-((BR32*(1+前提条件!$C$60))+BS36)))</f>
        <v/>
      </c>
      <c r="BT40" s="359">
        <f>IF(BT$3="","",MAX(0,BT39-((BS32*(1+前提条件!$C$60))+BT36)))</f>
        <v/>
      </c>
      <c r="BU40" s="359">
        <f>IF(BU$3="","",MAX(0,BU39-((BT32*(1+前提条件!$C$60))+BU36)))</f>
        <v/>
      </c>
      <c r="BV40" s="359">
        <f>IF(BV$3="","",MAX(0,BV39-((BU32*(1+前提条件!$C$60))+BV36)))</f>
        <v/>
      </c>
      <c r="BW40" s="359">
        <f>IF(BW$3="","",MAX(0,BW39-((BV32*(1+前提条件!$C$60))+BW36)))</f>
        <v/>
      </c>
      <c r="BX40" s="359">
        <f>IF(BX$3="","",MAX(0,BX39-((BW32*(1+前提条件!$C$60))+BX36)))</f>
        <v/>
      </c>
      <c r="BY40" s="359">
        <f>IF(BY$3="","",MAX(0,BY39-((BX32*(1+前提条件!$C$60))+BY36)))</f>
        <v/>
      </c>
      <c r="BZ40" s="359">
        <f>IF(BZ$3="","",MAX(0,BZ39-((BY32*(1+前提条件!$C$60))+BZ36)))</f>
        <v/>
      </c>
      <c r="CA40" s="359">
        <f>IF(CA$3="","",MAX(0,CA39-((BZ32*(1+前提条件!$C$60))+CA36)))</f>
        <v/>
      </c>
      <c r="CB40" s="359">
        <f>IF(CB$3="","",MAX(0,CB39-((CA32*(1+前提条件!$C$60))+CB36)))</f>
        <v/>
      </c>
      <c r="CC40" s="359">
        <f>IF(CC$3="","",MAX(0,CC39-((CB32*(1+前提条件!$C$60))+CC36)))</f>
        <v/>
      </c>
      <c r="CD40" s="359">
        <f>IF(CD$3="","",MAX(0,CD39-((CC32*(1+前提条件!$C$60))+CD36)))</f>
        <v/>
      </c>
      <c r="CE40" s="359">
        <f>IF(CE$3="","",MAX(0,CE39-((CD32*(1+前提条件!$C$60))+CE36)))</f>
        <v/>
      </c>
      <c r="CF40" s="359">
        <f>IF(CF$3="","",MAX(0,CF39-((CE32*(1+前提条件!$C$60))+CF36)))</f>
        <v/>
      </c>
      <c r="CG40" s="359">
        <f>IF(CG$3="","",MAX(0,CG39-((CF32*(1+前提条件!$C$60))+CG36)))</f>
        <v/>
      </c>
      <c r="CH40" s="359">
        <f>IF(CH$3="","",MAX(0,CH39-((CG32*(1+前提条件!$C$60))+CH36)))</f>
        <v/>
      </c>
      <c r="CI40" s="359">
        <f>IF(CI$3="","",MAX(0,CI39-((CH32*(1+前提条件!$C$60))+CI36)))</f>
        <v/>
      </c>
      <c r="CJ40" s="359">
        <f>IF(CJ$3="","",MAX(0,CJ39-((CI32*(1+前提条件!$C$60))+CJ36)))</f>
        <v/>
      </c>
      <c r="CK40" s="359">
        <f>IF(CK$3="","",MAX(0,CK39-((CJ32*(1+前提条件!$C$60))+CK36)))</f>
        <v/>
      </c>
      <c r="CL40" s="359">
        <f>IF(CL$3="","",MAX(0,CL39-((CK32*(1+前提条件!$C$60))+CL36)))</f>
        <v/>
      </c>
      <c r="CM40" s="359">
        <f>IF(CM$3="","",MAX(0,CM39-((CL32*(1+前提条件!$C$60))+CM36)))</f>
        <v/>
      </c>
      <c r="CN40" s="359">
        <f>IF(CN$3="","",MAX(0,CN39-((CM32*(1+前提条件!$C$60))+CN36)))</f>
        <v/>
      </c>
      <c r="CO40" s="359">
        <f>IF(CO$3="","",MAX(0,CO39-((CN32*(1+前提条件!$C$60))+CO36)))</f>
        <v/>
      </c>
      <c r="CP40" s="359">
        <f>IF(CP$3="","",MAX(0,CP39-((CO32*(1+前提条件!$C$60))+CP36)))</f>
        <v/>
      </c>
      <c r="CQ40" s="359">
        <f>IF(CQ$3="","",MAX(0,CQ39-((CP32*(1+前提条件!$C$60))+CQ36)))</f>
        <v/>
      </c>
      <c r="CR40" s="359">
        <f>IF(CR$3="","",MAX(0,CR39-((CQ32*(1+前提条件!$C$60))+CR36)))</f>
        <v/>
      </c>
      <c r="CS40" s="359">
        <f>IF(CS$3="","",MAX(0,CS39-((CR32*(1+前提条件!$C$60))+CS36)))</f>
        <v/>
      </c>
      <c r="CT40" s="359">
        <f>IF(CT$3="","",MAX(0,CT39-((CS32*(1+前提条件!$C$60))+CT36)))</f>
        <v/>
      </c>
      <c r="CU40" s="359">
        <f>IF(CU$3="","",MAX(0,CU39-((CT32*(1+前提条件!$C$60))+CU36)))</f>
        <v/>
      </c>
      <c r="CV40" s="359">
        <f>IF(CV$3="","",MAX(0,CV39-((CU32*(1+前提条件!$C$60))+CV36)))</f>
        <v/>
      </c>
      <c r="CW40" s="359">
        <f>IF(CW$3="","",MAX(0,CW39-((CV32*(1+前提条件!$C$60))+CW36)))</f>
        <v/>
      </c>
    </row>
    <row r="41" hidden="1" ht="16.5" customHeight="1" s="180">
      <c r="A41" s="239" t="inlineStr">
        <is>
          <t>年間住宅ローン元本返済(補助)</t>
        </is>
      </c>
      <c r="B41" s="359">
        <f>IF(B$3="","",IF(AND(B4&lt;&gt;"",B4&lt;=前提条件!$C$44,入力データ!$C$95&gt;0),入力データ!$C$95/MAX(1,前提条件!$C$44-B4+1),0))</f>
        <v/>
      </c>
      <c r="C41" s="359">
        <f>IF(C$3="","",IF(AND(C4&lt;&gt;"",C4&lt;=前提条件!$C$44,入力データ!$C$95&gt;0),入力データ!$C$95/MAX(1,前提条件!$C$44-C4+1),0))</f>
        <v/>
      </c>
      <c r="D41" s="359">
        <f>IF(D$3="","",IF(AND(D4&lt;&gt;"",D4&lt;=前提条件!$C$44,入力データ!$C$95&gt;0),入力データ!$C$95/MAX(1,前提条件!$C$44-D4+1),0))</f>
        <v/>
      </c>
      <c r="E41" s="359">
        <f>IF(E$3="","",IF(AND(E4&lt;&gt;"",E4&lt;=前提条件!$C$44,入力データ!$C$95&gt;0),入力データ!$C$95/MAX(1,前提条件!$C$44-E4+1),0))</f>
        <v/>
      </c>
      <c r="F41" s="359">
        <f>IF(F$3="","",IF(AND(F4&lt;&gt;"",F4&lt;=前提条件!$C$44,入力データ!$C$95&gt;0),入力データ!$C$95/MAX(1,前提条件!$C$44-F4+1),0))</f>
        <v/>
      </c>
      <c r="G41" s="359">
        <f>IF(G$3="","",IF(AND(G4&lt;&gt;"",G4&lt;=前提条件!$C$44,入力データ!$C$95&gt;0),入力データ!$C$95/MAX(1,前提条件!$C$44-G4+1),0))</f>
        <v/>
      </c>
      <c r="H41" s="359">
        <f>IF(H$3="","",IF(AND(H4&lt;&gt;"",H4&lt;=前提条件!$C$44,入力データ!$C$95&gt;0),入力データ!$C$95/MAX(1,前提条件!$C$44-H4+1),0))</f>
        <v/>
      </c>
      <c r="I41" s="359">
        <f>IF(I$3="","",IF(AND(I4&lt;&gt;"",I4&lt;=前提条件!$C$44,入力データ!$C$95&gt;0),入力データ!$C$95/MAX(1,前提条件!$C$44-I4+1),0))</f>
        <v/>
      </c>
      <c r="J41" s="359">
        <f>IF(J$3="","",IF(AND(J4&lt;&gt;"",J4&lt;=前提条件!$C$44,入力データ!$C$95&gt;0),入力データ!$C$95/MAX(1,前提条件!$C$44-J4+1),0))</f>
        <v/>
      </c>
      <c r="K41" s="359">
        <f>IF(K$3="","",IF(AND(K4&lt;&gt;"",K4&lt;=前提条件!$C$44,入力データ!$C$95&gt;0),入力データ!$C$95/MAX(1,前提条件!$C$44-K4+1),0))</f>
        <v/>
      </c>
      <c r="L41" s="359">
        <f>IF(L$3="","",IF(AND(L4&lt;&gt;"",L4&lt;=前提条件!$C$44,入力データ!$C$95&gt;0),入力データ!$C$95/MAX(1,前提条件!$C$44-L4+1),0))</f>
        <v/>
      </c>
      <c r="M41" s="359">
        <f>IF(M$3="","",IF(AND(M4&lt;&gt;"",M4&lt;=前提条件!$C$44,入力データ!$C$95&gt;0),入力データ!$C$95/MAX(1,前提条件!$C$44-M4+1),0))</f>
        <v/>
      </c>
      <c r="N41" s="359">
        <f>IF(N$3="","",IF(AND(N4&lt;&gt;"",N4&lt;=前提条件!$C$44,入力データ!$C$95&gt;0),入力データ!$C$95/MAX(1,前提条件!$C$44-N4+1),0))</f>
        <v/>
      </c>
      <c r="O41" s="359">
        <f>IF(O$3="","",IF(AND(O4&lt;&gt;"",O4&lt;=前提条件!$C$44,入力データ!$C$95&gt;0),入力データ!$C$95/MAX(1,前提条件!$C$44-O4+1),0))</f>
        <v/>
      </c>
      <c r="P41" s="359">
        <f>IF(P$3="","",IF(AND(P4&lt;&gt;"",P4&lt;=前提条件!$C$44,入力データ!$C$95&gt;0),入力データ!$C$95/MAX(1,前提条件!$C$44-P4+1),0))</f>
        <v/>
      </c>
      <c r="Q41" s="359">
        <f>IF(Q$3="","",IF(AND(Q4&lt;&gt;"",Q4&lt;=前提条件!$C$44,入力データ!$C$95&gt;0),入力データ!$C$95/MAX(1,前提条件!$C$44-Q4+1),0))</f>
        <v/>
      </c>
      <c r="R41" s="359">
        <f>IF(R$3="","",IF(AND(R4&lt;&gt;"",R4&lt;=前提条件!$C$44,入力データ!$C$95&gt;0),入力データ!$C$95/MAX(1,前提条件!$C$44-R4+1),0))</f>
        <v/>
      </c>
      <c r="S41" s="359">
        <f>IF(S$3="","",IF(AND(S4&lt;&gt;"",S4&lt;=前提条件!$C$44,入力データ!$C$95&gt;0),入力データ!$C$95/MAX(1,前提条件!$C$44-S4+1),0))</f>
        <v/>
      </c>
      <c r="T41" s="359">
        <f>IF(T$3="","",IF(AND(T4&lt;&gt;"",T4&lt;=前提条件!$C$44,入力データ!$C$95&gt;0),入力データ!$C$95/MAX(1,前提条件!$C$44-T4+1),0))</f>
        <v/>
      </c>
      <c r="U41" s="359">
        <f>IF(U$3="","",IF(AND(U4&lt;&gt;"",U4&lt;=前提条件!$C$44,入力データ!$C$95&gt;0),入力データ!$C$95/MAX(1,前提条件!$C$44-U4+1),0))</f>
        <v/>
      </c>
      <c r="V41" s="359">
        <f>IF(V$3="","",IF(AND(V4&lt;&gt;"",V4&lt;=前提条件!$C$44,入力データ!$C$95&gt;0),入力データ!$C$95/MAX(1,前提条件!$C$44-V4+1),0))</f>
        <v/>
      </c>
      <c r="W41" s="359">
        <f>IF(W$3="","",IF(AND(W4&lt;&gt;"",W4&lt;=前提条件!$C$44,入力データ!$C$95&gt;0),入力データ!$C$95/MAX(1,前提条件!$C$44-W4+1),0))</f>
        <v/>
      </c>
      <c r="X41" s="359">
        <f>IF(X$3="","",IF(AND(X4&lt;&gt;"",X4&lt;=前提条件!$C$44,入力データ!$C$95&gt;0),入力データ!$C$95/MAX(1,前提条件!$C$44-X4+1),0))</f>
        <v/>
      </c>
      <c r="Y41" s="359">
        <f>IF(Y$3="","",IF(AND(Y4&lt;&gt;"",Y4&lt;=前提条件!$C$44,入力データ!$C$95&gt;0),入力データ!$C$95/MAX(1,前提条件!$C$44-Y4+1),0))</f>
        <v/>
      </c>
      <c r="Z41" s="359">
        <f>IF(Z$3="","",IF(AND(Z4&lt;&gt;"",Z4&lt;=前提条件!$C$44,入力データ!$C$95&gt;0),入力データ!$C$95/MAX(1,前提条件!$C$44-Z4+1),0))</f>
        <v/>
      </c>
      <c r="AA41" s="359">
        <f>IF(AA$3="","",IF(AND(AA4&lt;&gt;"",AA4&lt;=前提条件!$C$44,入力データ!$C$95&gt;0),入力データ!$C$95/MAX(1,前提条件!$C$44-AA4+1),0))</f>
        <v/>
      </c>
      <c r="AB41" s="359">
        <f>IF(AB$3="","",IF(AND(AB4&lt;&gt;"",AB4&lt;=前提条件!$C$44,入力データ!$C$95&gt;0),入力データ!$C$95/MAX(1,前提条件!$C$44-AB4+1),0))</f>
        <v/>
      </c>
      <c r="AC41" s="359">
        <f>IF(AC$3="","",IF(AND(AC4&lt;&gt;"",AC4&lt;=前提条件!$C$44,入力データ!$C$95&gt;0),入力データ!$C$95/MAX(1,前提条件!$C$44-AC4+1),0))</f>
        <v/>
      </c>
      <c r="AD41" s="359">
        <f>IF(AD$3="","",IF(AND(AD4&lt;&gt;"",AD4&lt;=前提条件!$C$44,入力データ!$C$95&gt;0),入力データ!$C$95/MAX(1,前提条件!$C$44-AD4+1),0))</f>
        <v/>
      </c>
      <c r="AE41" s="359">
        <f>IF(AE$3="","",IF(AND(AE4&lt;&gt;"",AE4&lt;=前提条件!$C$44,入力データ!$C$95&gt;0),入力データ!$C$95/MAX(1,前提条件!$C$44-AE4+1),0))</f>
        <v/>
      </c>
      <c r="AF41" s="359">
        <f>IF(AF$3="","",IF(AND(AF4&lt;&gt;"",AF4&lt;=前提条件!$C$44,入力データ!$C$95&gt;0),入力データ!$C$95/MAX(1,前提条件!$C$44-AF4+1),0))</f>
        <v/>
      </c>
      <c r="AG41" s="359">
        <f>IF(AG$3="","",IF(AND(AG4&lt;&gt;"",AG4&lt;=前提条件!$C$44,入力データ!$C$95&gt;0),入力データ!$C$95/MAX(1,前提条件!$C$44-AG4+1),0))</f>
        <v/>
      </c>
      <c r="AH41" s="359">
        <f>IF(AH$3="","",IF(AND(AH4&lt;&gt;"",AH4&lt;=前提条件!$C$44,入力データ!$C$95&gt;0),入力データ!$C$95/MAX(1,前提条件!$C$44-AH4+1),0))</f>
        <v/>
      </c>
      <c r="AI41" s="359">
        <f>IF(AI$3="","",IF(AND(AI4&lt;&gt;"",AI4&lt;=前提条件!$C$44,入力データ!$C$95&gt;0),入力データ!$C$95/MAX(1,前提条件!$C$44-AI4+1),0))</f>
        <v/>
      </c>
      <c r="AJ41" s="359">
        <f>IF(AJ$3="","",IF(AND(AJ4&lt;&gt;"",AJ4&lt;=前提条件!$C$44,入力データ!$C$95&gt;0),入力データ!$C$95/MAX(1,前提条件!$C$44-AJ4+1),0))</f>
        <v/>
      </c>
      <c r="AK41" s="359">
        <f>IF(AK$3="","",IF(AND(AK4&lt;&gt;"",AK4&lt;=前提条件!$C$44,入力データ!$C$95&gt;0),入力データ!$C$95/MAX(1,前提条件!$C$44-AK4+1),0))</f>
        <v/>
      </c>
      <c r="AL41" s="359">
        <f>IF(AL$3="","",IF(AND(AL4&lt;&gt;"",AL4&lt;=前提条件!$C$44,入力データ!$C$95&gt;0),入力データ!$C$95/MAX(1,前提条件!$C$44-AL4+1),0))</f>
        <v/>
      </c>
      <c r="AM41" s="359">
        <f>IF(AM$3="","",IF(AND(AM4&lt;&gt;"",AM4&lt;=前提条件!$C$44,入力データ!$C$95&gt;0),入力データ!$C$95/MAX(1,前提条件!$C$44-AM4+1),0))</f>
        <v/>
      </c>
      <c r="AN41" s="359">
        <f>IF(AN$3="","",IF(AND(AN4&lt;&gt;"",AN4&lt;=前提条件!$C$44,入力データ!$C$95&gt;0),入力データ!$C$95/MAX(1,前提条件!$C$44-AN4+1),0))</f>
        <v/>
      </c>
      <c r="AO41" s="359">
        <f>IF(AO$3="","",IF(AND(AO4&lt;&gt;"",AO4&lt;=前提条件!$C$44,入力データ!$C$95&gt;0),入力データ!$C$95/MAX(1,前提条件!$C$44-AO4+1),0))</f>
        <v/>
      </c>
      <c r="AP41" s="359">
        <f>IF(AP$3="","",IF(AND(AP4&lt;&gt;"",AP4&lt;=前提条件!$C$44,入力データ!$C$95&gt;0),入力データ!$C$95/MAX(1,前提条件!$C$44-AP4+1),0))</f>
        <v/>
      </c>
      <c r="AQ41" s="359">
        <f>IF(AQ$3="","",IF(AND(AQ4&lt;&gt;"",AQ4&lt;=前提条件!$C$44,入力データ!$C$95&gt;0),入力データ!$C$95/MAX(1,前提条件!$C$44-AQ4+1),0))</f>
        <v/>
      </c>
      <c r="AR41" s="359">
        <f>IF(AR$3="","",IF(AND(AR4&lt;&gt;"",AR4&lt;=前提条件!$C$44,入力データ!$C$95&gt;0),入力データ!$C$95/MAX(1,前提条件!$C$44-AR4+1),0))</f>
        <v/>
      </c>
      <c r="AS41" s="359">
        <f>IF(AS$3="","",IF(AND(AS4&lt;&gt;"",AS4&lt;=前提条件!$C$44,入力データ!$C$95&gt;0),入力データ!$C$95/MAX(1,前提条件!$C$44-AS4+1),0))</f>
        <v/>
      </c>
      <c r="AT41" s="359">
        <f>IF(AT$3="","",IF(AND(AT4&lt;&gt;"",AT4&lt;=前提条件!$C$44,入力データ!$C$95&gt;0),入力データ!$C$95/MAX(1,前提条件!$C$44-AT4+1),0))</f>
        <v/>
      </c>
      <c r="AU41" s="359">
        <f>IF(AU$3="","",IF(AND(AU4&lt;&gt;"",AU4&lt;=前提条件!$C$44,入力データ!$C$95&gt;0),入力データ!$C$95/MAX(1,前提条件!$C$44-AU4+1),0))</f>
        <v/>
      </c>
      <c r="AV41" s="359">
        <f>IF(AV$3="","",IF(AND(AV4&lt;&gt;"",AV4&lt;=前提条件!$C$44,入力データ!$C$95&gt;0),入力データ!$C$95/MAX(1,前提条件!$C$44-AV4+1),0))</f>
        <v/>
      </c>
      <c r="AW41" s="359">
        <f>IF(AW$3="","",IF(AND(AW4&lt;&gt;"",AW4&lt;=前提条件!$C$44,入力データ!$C$95&gt;0),入力データ!$C$95/MAX(1,前提条件!$C$44-AW4+1),0))</f>
        <v/>
      </c>
      <c r="AX41" s="359">
        <f>IF(AX$3="","",IF(AND(AX4&lt;&gt;"",AX4&lt;=前提条件!$C$44,入力データ!$C$95&gt;0),入力データ!$C$95/MAX(1,前提条件!$C$44-AX4+1),0))</f>
        <v/>
      </c>
      <c r="AY41" s="359">
        <f>IF(AY$3="","",IF(AND(AY4&lt;&gt;"",AY4&lt;=前提条件!$C$44,入力データ!$C$95&gt;0),入力データ!$C$95/MAX(1,前提条件!$C$44-AY4+1),0))</f>
        <v/>
      </c>
      <c r="AZ41" s="359">
        <f>IF(AZ$3="","",IF(AND(AZ4&lt;&gt;"",AZ4&lt;=前提条件!$C$44,入力データ!$C$95&gt;0),入力データ!$C$95/MAX(1,前提条件!$C$44-AZ4+1),0))</f>
        <v/>
      </c>
      <c r="BA41" s="359">
        <f>IF(BA$3="","",IF(AND(BA4&lt;&gt;"",BA4&lt;=前提条件!$C$44,入力データ!$C$95&gt;0),入力データ!$C$95/MAX(1,前提条件!$C$44-BA4+1),0))</f>
        <v/>
      </c>
      <c r="BB41" s="359">
        <f>IF(BB$3="","",IF(AND(BB4&lt;&gt;"",BB4&lt;=前提条件!$C$44,入力データ!$C$95&gt;0),入力データ!$C$95/MAX(1,前提条件!$C$44-BB4+1),0))</f>
        <v/>
      </c>
      <c r="BC41" s="359">
        <f>IF(BC$3="","",IF(AND(BC4&lt;&gt;"",BC4&lt;=前提条件!$C$44,入力データ!$C$95&gt;0),入力データ!$C$95/MAX(1,前提条件!$C$44-BC4+1),0))</f>
        <v/>
      </c>
      <c r="BD41" s="359">
        <f>IF(BD$3="","",IF(AND(BD4&lt;&gt;"",BD4&lt;=前提条件!$C$44,入力データ!$C$95&gt;0),入力データ!$C$95/MAX(1,前提条件!$C$44-BD4+1),0))</f>
        <v/>
      </c>
      <c r="BE41" s="359">
        <f>IF(BE$3="","",IF(AND(BE4&lt;&gt;"",BE4&lt;=前提条件!$C$44,入力データ!$C$95&gt;0),入力データ!$C$95/MAX(1,前提条件!$C$44-BE4+1),0))</f>
        <v/>
      </c>
      <c r="BF41" s="359">
        <f>IF(BF$3="","",IF(AND(BF4&lt;&gt;"",BF4&lt;=前提条件!$C$44,入力データ!$C$95&gt;0),入力データ!$C$95/MAX(1,前提条件!$C$44-BF4+1),0))</f>
        <v/>
      </c>
      <c r="BG41" s="359">
        <f>IF(BG$3="","",IF(AND(BG4&lt;&gt;"",BG4&lt;=前提条件!$C$44,入力データ!$C$95&gt;0),入力データ!$C$95/MAX(1,前提条件!$C$44-BG4+1),0))</f>
        <v/>
      </c>
      <c r="BH41" s="359">
        <f>IF(BH$3="","",IF(AND(BH4&lt;&gt;"",BH4&lt;=前提条件!$C$44,入力データ!$C$95&gt;0),入力データ!$C$95/MAX(1,前提条件!$C$44-BH4+1),0))</f>
        <v/>
      </c>
      <c r="BI41" s="359">
        <f>IF(BI$3="","",IF(AND(BI4&lt;&gt;"",BI4&lt;=前提条件!$C$44,入力データ!$C$95&gt;0),入力データ!$C$95/MAX(1,前提条件!$C$44-BI4+1),0))</f>
        <v/>
      </c>
      <c r="BJ41" s="359">
        <f>IF(BJ$3="","",IF(AND(BJ4&lt;&gt;"",BJ4&lt;=前提条件!$C$44,入力データ!$C$95&gt;0),入力データ!$C$95/MAX(1,前提条件!$C$44-BJ4+1),0))</f>
        <v/>
      </c>
      <c r="BK41" s="359">
        <f>IF(BK$3="","",IF(AND(BK4&lt;&gt;"",BK4&lt;=前提条件!$C$44,入力データ!$C$95&gt;0),入力データ!$C$95/MAX(1,前提条件!$C$44-BK4+1),0))</f>
        <v/>
      </c>
      <c r="BL41" s="359">
        <f>IF(BL$3="","",IF(AND(BL4&lt;&gt;"",BL4&lt;=前提条件!$C$44,入力データ!$C$95&gt;0),入力データ!$C$95/MAX(1,前提条件!$C$44-BL4+1),0))</f>
        <v/>
      </c>
      <c r="BM41" s="359">
        <f>IF(BM$3="","",IF(AND(BM4&lt;&gt;"",BM4&lt;=前提条件!$C$44,入力データ!$C$95&gt;0),入力データ!$C$95/MAX(1,前提条件!$C$44-BM4+1),0))</f>
        <v/>
      </c>
      <c r="BN41" s="359">
        <f>IF(BN$3="","",IF(AND(BN4&lt;&gt;"",BN4&lt;=前提条件!$C$44,入力データ!$C$95&gt;0),入力データ!$C$95/MAX(1,前提条件!$C$44-BN4+1),0))</f>
        <v/>
      </c>
      <c r="BO41" s="359">
        <f>IF(BO$3="","",IF(AND(BO4&lt;&gt;"",BO4&lt;=前提条件!$C$44,入力データ!$C$95&gt;0),入力データ!$C$95/MAX(1,前提条件!$C$44-BO4+1),0))</f>
        <v/>
      </c>
      <c r="BP41" s="359">
        <f>IF(BP$3="","",IF(AND(BP4&lt;&gt;"",BP4&lt;=前提条件!$C$44,入力データ!$C$95&gt;0),入力データ!$C$95/MAX(1,前提条件!$C$44-BP4+1),0))</f>
        <v/>
      </c>
      <c r="BQ41" s="359">
        <f>IF(BQ$3="","",IF(AND(BQ4&lt;&gt;"",BQ4&lt;=前提条件!$C$44,入力データ!$C$95&gt;0),入力データ!$C$95/MAX(1,前提条件!$C$44-BQ4+1),0))</f>
        <v/>
      </c>
      <c r="BR41" s="359">
        <f>IF(BR$3="","",IF(AND(BR4&lt;&gt;"",BR4&lt;=前提条件!$C$44,入力データ!$C$95&gt;0),入力データ!$C$95/MAX(1,前提条件!$C$44-BR4+1),0))</f>
        <v/>
      </c>
      <c r="BS41" s="359">
        <f>IF(BS$3="","",IF(AND(BS4&lt;&gt;"",BS4&lt;=前提条件!$C$44,入力データ!$C$95&gt;0),入力データ!$C$95/MAX(1,前提条件!$C$44-BS4+1),0))</f>
        <v/>
      </c>
      <c r="BT41" s="359">
        <f>IF(BT$3="","",IF(AND(BT4&lt;&gt;"",BT4&lt;=前提条件!$C$44,入力データ!$C$95&gt;0),入力データ!$C$95/MAX(1,前提条件!$C$44-BT4+1),0))</f>
        <v/>
      </c>
      <c r="BU41" s="359">
        <f>IF(BU$3="","",IF(AND(BU4&lt;&gt;"",BU4&lt;=前提条件!$C$44,入力データ!$C$95&gt;0),入力データ!$C$95/MAX(1,前提条件!$C$44-BU4+1),0))</f>
        <v/>
      </c>
      <c r="BV41" s="359">
        <f>IF(BV$3="","",IF(AND(BV4&lt;&gt;"",BV4&lt;=前提条件!$C$44,入力データ!$C$95&gt;0),入力データ!$C$95/MAX(1,前提条件!$C$44-BV4+1),0))</f>
        <v/>
      </c>
      <c r="BW41" s="359">
        <f>IF(BW$3="","",IF(AND(BW4&lt;&gt;"",BW4&lt;=前提条件!$C$44,入力データ!$C$95&gt;0),入力データ!$C$95/MAX(1,前提条件!$C$44-BW4+1),0))</f>
        <v/>
      </c>
      <c r="BX41" s="359">
        <f>IF(BX$3="","",IF(AND(BX4&lt;&gt;"",BX4&lt;=前提条件!$C$44,入力データ!$C$95&gt;0),入力データ!$C$95/MAX(1,前提条件!$C$44-BX4+1),0))</f>
        <v/>
      </c>
      <c r="BY41" s="359">
        <f>IF(BY$3="","",IF(AND(BY4&lt;&gt;"",BY4&lt;=前提条件!$C$44,入力データ!$C$95&gt;0),入力データ!$C$95/MAX(1,前提条件!$C$44-BY4+1),0))</f>
        <v/>
      </c>
      <c r="BZ41" s="359">
        <f>IF(BZ$3="","",IF(AND(BZ4&lt;&gt;"",BZ4&lt;=前提条件!$C$44,入力データ!$C$95&gt;0),入力データ!$C$95/MAX(1,前提条件!$C$44-BZ4+1),0))</f>
        <v/>
      </c>
      <c r="CA41" s="359">
        <f>IF(CA$3="","",IF(AND(CA4&lt;&gt;"",CA4&lt;=前提条件!$C$44,入力データ!$C$95&gt;0),入力データ!$C$95/MAX(1,前提条件!$C$44-CA4+1),0))</f>
        <v/>
      </c>
      <c r="CB41" s="359">
        <f>IF(CB$3="","",IF(AND(CB4&lt;&gt;"",CB4&lt;=前提条件!$C$44,入力データ!$C$95&gt;0),入力データ!$C$95/MAX(1,前提条件!$C$44-CB4+1),0))</f>
        <v/>
      </c>
      <c r="CC41" s="359">
        <f>IF(CC$3="","",IF(AND(CC4&lt;&gt;"",CC4&lt;=前提条件!$C$44,入力データ!$C$95&gt;0),入力データ!$C$95/MAX(1,前提条件!$C$44-CC4+1),0))</f>
        <v/>
      </c>
      <c r="CD41" s="359">
        <f>IF(CD$3="","",IF(AND(CD4&lt;&gt;"",CD4&lt;=前提条件!$C$44,入力データ!$C$95&gt;0),入力データ!$C$95/MAX(1,前提条件!$C$44-CD4+1),0))</f>
        <v/>
      </c>
      <c r="CE41" s="359">
        <f>IF(CE$3="","",IF(AND(CE4&lt;&gt;"",CE4&lt;=前提条件!$C$44,入力データ!$C$95&gt;0),入力データ!$C$95/MAX(1,前提条件!$C$44-CE4+1),0))</f>
        <v/>
      </c>
      <c r="CF41" s="359">
        <f>IF(CF$3="","",IF(AND(CF4&lt;&gt;"",CF4&lt;=前提条件!$C$44,入力データ!$C$95&gt;0),入力データ!$C$95/MAX(1,前提条件!$C$44-CF4+1),0))</f>
        <v/>
      </c>
      <c r="CG41" s="359">
        <f>IF(CG$3="","",IF(AND(CG4&lt;&gt;"",CG4&lt;=前提条件!$C$44,入力データ!$C$95&gt;0),入力データ!$C$95/MAX(1,前提条件!$C$44-CG4+1),0))</f>
        <v/>
      </c>
      <c r="CH41" s="359">
        <f>IF(CH$3="","",IF(AND(CH4&lt;&gt;"",CH4&lt;=前提条件!$C$44,入力データ!$C$95&gt;0),入力データ!$C$95/MAX(1,前提条件!$C$44-CH4+1),0))</f>
        <v/>
      </c>
      <c r="CI41" s="359">
        <f>IF(CI$3="","",IF(AND(CI4&lt;&gt;"",CI4&lt;=前提条件!$C$44,入力データ!$C$95&gt;0),入力データ!$C$95/MAX(1,前提条件!$C$44-CI4+1),0))</f>
        <v/>
      </c>
      <c r="CJ41" s="359">
        <f>IF(CJ$3="","",IF(AND(CJ4&lt;&gt;"",CJ4&lt;=前提条件!$C$44,入力データ!$C$95&gt;0),入力データ!$C$95/MAX(1,前提条件!$C$44-CJ4+1),0))</f>
        <v/>
      </c>
      <c r="CK41" s="359">
        <f>IF(CK$3="","",IF(AND(CK4&lt;&gt;"",CK4&lt;=前提条件!$C$44,入力データ!$C$95&gt;0),入力データ!$C$95/MAX(1,前提条件!$C$44-CK4+1),0))</f>
        <v/>
      </c>
      <c r="CL41" s="359">
        <f>IF(CL$3="","",IF(AND(CL4&lt;&gt;"",CL4&lt;=前提条件!$C$44,入力データ!$C$95&gt;0),入力データ!$C$95/MAX(1,前提条件!$C$44-CL4+1),0))</f>
        <v/>
      </c>
      <c r="CM41" s="359">
        <f>IF(CM$3="","",IF(AND(CM4&lt;&gt;"",CM4&lt;=前提条件!$C$44,入力データ!$C$95&gt;0),入力データ!$C$95/MAX(1,前提条件!$C$44-CM4+1),0))</f>
        <v/>
      </c>
      <c r="CN41" s="359">
        <f>IF(CN$3="","",IF(AND(CN4&lt;&gt;"",CN4&lt;=前提条件!$C$44,入力データ!$C$95&gt;0),入力データ!$C$95/MAX(1,前提条件!$C$44-CN4+1),0))</f>
        <v/>
      </c>
      <c r="CO41" s="359">
        <f>IF(CO$3="","",IF(AND(CO4&lt;&gt;"",CO4&lt;=前提条件!$C$44,入力データ!$C$95&gt;0),入力データ!$C$95/MAX(1,前提条件!$C$44-CO4+1),0))</f>
        <v/>
      </c>
      <c r="CP41" s="359">
        <f>IF(CP$3="","",IF(AND(CP4&lt;&gt;"",CP4&lt;=前提条件!$C$44,入力データ!$C$95&gt;0),入力データ!$C$95/MAX(1,前提条件!$C$44-CP4+1),0))</f>
        <v/>
      </c>
      <c r="CQ41" s="359">
        <f>IF(CQ$3="","",IF(AND(CQ4&lt;&gt;"",CQ4&lt;=前提条件!$C$44,入力データ!$C$95&gt;0),入力データ!$C$95/MAX(1,前提条件!$C$44-CQ4+1),0))</f>
        <v/>
      </c>
      <c r="CR41" s="359">
        <f>IF(CR$3="","",IF(AND(CR4&lt;&gt;"",CR4&lt;=前提条件!$C$44,入力データ!$C$95&gt;0),入力データ!$C$95/MAX(1,前提条件!$C$44-CR4+1),0))</f>
        <v/>
      </c>
      <c r="CS41" s="359">
        <f>IF(CS$3="","",IF(AND(CS4&lt;&gt;"",CS4&lt;=前提条件!$C$44,入力データ!$C$95&gt;0),入力データ!$C$95/MAX(1,前提条件!$C$44-CS4+1),0))</f>
        <v/>
      </c>
      <c r="CT41" s="359">
        <f>IF(CT$3="","",IF(AND(CT4&lt;&gt;"",CT4&lt;=前提条件!$C$44,入力データ!$C$95&gt;0),入力データ!$C$95/MAX(1,前提条件!$C$44-CT4+1),0))</f>
        <v/>
      </c>
      <c r="CU41" s="359">
        <f>IF(CU$3="","",IF(AND(CU4&lt;&gt;"",CU4&lt;=前提条件!$C$44,入力データ!$C$95&gt;0),入力データ!$C$95/MAX(1,前提条件!$C$44-CU4+1),0))</f>
        <v/>
      </c>
      <c r="CV41" s="359">
        <f>IF(CV$3="","",IF(AND(CV4&lt;&gt;"",CV4&lt;=前提条件!$C$44,入力データ!$C$95&gt;0),入力データ!$C$95/MAX(1,前提条件!$C$44-CV4+1),0))</f>
        <v/>
      </c>
      <c r="CW41" s="359">
        <f>IF(CW$3="","",IF(AND(CW4&lt;&gt;"",CW4&lt;=前提条件!$C$44,入力データ!$C$95&gt;0),入力データ!$C$95/MAX(1,前提条件!$C$44-CW4+1),0))</f>
        <v/>
      </c>
    </row>
    <row r="42" hidden="1" ht="16.5" customHeight="1" s="180">
      <c r="A42" s="239" t="inlineStr">
        <is>
          <t>老後期フラグ(補助)</t>
        </is>
      </c>
      <c r="B42" s="360">
        <f>IF(B$3="","",IF(AND(B4&gt;=入力データ!$C$111,B5&gt;=入力データ!$C$111),1,0))</f>
        <v/>
      </c>
      <c r="C42" s="360">
        <f>IF(C$3="","",IF(AND(C4&gt;=入力データ!$C$111,C5&gt;=入力データ!$C$111),1,0))</f>
        <v/>
      </c>
      <c r="D42" s="360">
        <f>IF(D$3="","",IF(AND(D4&gt;=入力データ!$C$111,D5&gt;=入力データ!$C$111),1,0))</f>
        <v/>
      </c>
      <c r="E42" s="360">
        <f>IF(E$3="","",IF(AND(E4&gt;=入力データ!$C$111,E5&gt;=入力データ!$C$111),1,0))</f>
        <v/>
      </c>
      <c r="F42" s="360">
        <f>IF(F$3="","",IF(AND(F4&gt;=入力データ!$C$111,F5&gt;=入力データ!$C$111),1,0))</f>
        <v/>
      </c>
      <c r="G42" s="360">
        <f>IF(G$3="","",IF(AND(G4&gt;=入力データ!$C$111,G5&gt;=入力データ!$C$111),1,0))</f>
        <v/>
      </c>
      <c r="H42" s="360">
        <f>IF(H$3="","",IF(AND(H4&gt;=入力データ!$C$111,H5&gt;=入力データ!$C$111),1,0))</f>
        <v/>
      </c>
      <c r="I42" s="360">
        <f>IF(I$3="","",IF(AND(I4&gt;=入力データ!$C$111,I5&gt;=入力データ!$C$111),1,0))</f>
        <v/>
      </c>
      <c r="J42" s="360">
        <f>IF(J$3="","",IF(AND(J4&gt;=入力データ!$C$111,J5&gt;=入力データ!$C$111),1,0))</f>
        <v/>
      </c>
      <c r="K42" s="360">
        <f>IF(K$3="","",IF(AND(K4&gt;=入力データ!$C$111,K5&gt;=入力データ!$C$111),1,0))</f>
        <v/>
      </c>
      <c r="L42" s="360">
        <f>IF(L$3="","",IF(AND(L4&gt;=入力データ!$C$111,L5&gt;=入力データ!$C$111),1,0))</f>
        <v/>
      </c>
      <c r="M42" s="360">
        <f>IF(M$3="","",IF(AND(M4&gt;=入力データ!$C$111,M5&gt;=入力データ!$C$111),1,0))</f>
        <v/>
      </c>
      <c r="N42" s="360">
        <f>IF(N$3="","",IF(AND(N4&gt;=入力データ!$C$111,N5&gt;=入力データ!$C$111),1,0))</f>
        <v/>
      </c>
      <c r="O42" s="360">
        <f>IF(O$3="","",IF(AND(O4&gt;=入力データ!$C$111,O5&gt;=入力データ!$C$111),1,0))</f>
        <v/>
      </c>
      <c r="P42" s="360">
        <f>IF(P$3="","",IF(AND(P4&gt;=入力データ!$C$111,P5&gt;=入力データ!$C$111),1,0))</f>
        <v/>
      </c>
      <c r="Q42" s="360">
        <f>IF(Q$3="","",IF(AND(Q4&gt;=入力データ!$C$111,Q5&gt;=入力データ!$C$111),1,0))</f>
        <v/>
      </c>
      <c r="R42" s="360">
        <f>IF(R$3="","",IF(AND(R4&gt;=入力データ!$C$111,R5&gt;=入力データ!$C$111),1,0))</f>
        <v/>
      </c>
      <c r="S42" s="360">
        <f>IF(S$3="","",IF(AND(S4&gt;=入力データ!$C$111,S5&gt;=入力データ!$C$111),1,0))</f>
        <v/>
      </c>
      <c r="T42" s="360">
        <f>IF(T$3="","",IF(AND(T4&gt;=入力データ!$C$111,T5&gt;=入力データ!$C$111),1,0))</f>
        <v/>
      </c>
      <c r="U42" s="360">
        <f>IF(U$3="","",IF(AND(U4&gt;=入力データ!$C$111,U5&gt;=入力データ!$C$111),1,0))</f>
        <v/>
      </c>
      <c r="V42" s="360">
        <f>IF(V$3="","",IF(AND(V4&gt;=入力データ!$C$111,V5&gt;=入力データ!$C$111),1,0))</f>
        <v/>
      </c>
      <c r="W42" s="360">
        <f>IF(W$3="","",IF(AND(W4&gt;=入力データ!$C$111,W5&gt;=入力データ!$C$111),1,0))</f>
        <v/>
      </c>
      <c r="X42" s="360">
        <f>IF(X$3="","",IF(AND(X4&gt;=入力データ!$C$111,X5&gt;=入力データ!$C$111),1,0))</f>
        <v/>
      </c>
      <c r="Y42" s="360">
        <f>IF(Y$3="","",IF(AND(Y4&gt;=入力データ!$C$111,Y5&gt;=入力データ!$C$111),1,0))</f>
        <v/>
      </c>
      <c r="Z42" s="360">
        <f>IF(Z$3="","",IF(AND(Z4&gt;=入力データ!$C$111,Z5&gt;=入力データ!$C$111),1,0))</f>
        <v/>
      </c>
      <c r="AA42" s="360">
        <f>IF(AA$3="","",IF(AND(AA4&gt;=入力データ!$C$111,AA5&gt;=入力データ!$C$111),1,0))</f>
        <v/>
      </c>
      <c r="AB42" s="360">
        <f>IF(AB$3="","",IF(AND(AB4&gt;=入力データ!$C$111,AB5&gt;=入力データ!$C$111),1,0))</f>
        <v/>
      </c>
      <c r="AC42" s="360">
        <f>IF(AC$3="","",IF(AND(AC4&gt;=入力データ!$C$111,AC5&gt;=入力データ!$C$111),1,0))</f>
        <v/>
      </c>
      <c r="AD42" s="360">
        <f>IF(AD$3="","",IF(AND(AD4&gt;=入力データ!$C$111,AD5&gt;=入力データ!$C$111),1,0))</f>
        <v/>
      </c>
      <c r="AE42" s="360">
        <f>IF(AE$3="","",IF(AND(AE4&gt;=入力データ!$C$111,AE5&gt;=入力データ!$C$111),1,0))</f>
        <v/>
      </c>
      <c r="AF42" s="360">
        <f>IF(AF$3="","",IF(AND(AF4&gt;=入力データ!$C$111,AF5&gt;=入力データ!$C$111),1,0))</f>
        <v/>
      </c>
      <c r="AG42" s="360">
        <f>IF(AG$3="","",IF(AND(AG4&gt;=入力データ!$C$111,AG5&gt;=入力データ!$C$111),1,0))</f>
        <v/>
      </c>
      <c r="AH42" s="360">
        <f>IF(AH$3="","",IF(AND(AH4&gt;=入力データ!$C$111,AH5&gt;=入力データ!$C$111),1,0))</f>
        <v/>
      </c>
      <c r="AI42" s="360">
        <f>IF(AI$3="","",IF(AND(AI4&gt;=入力データ!$C$111,AI5&gt;=入力データ!$C$111),1,0))</f>
        <v/>
      </c>
      <c r="AJ42" s="360">
        <f>IF(AJ$3="","",IF(AND(AJ4&gt;=入力データ!$C$111,AJ5&gt;=入力データ!$C$111),1,0))</f>
        <v/>
      </c>
      <c r="AK42" s="360">
        <f>IF(AK$3="","",IF(AND(AK4&gt;=入力データ!$C$111,AK5&gt;=入力データ!$C$111),1,0))</f>
        <v/>
      </c>
      <c r="AL42" s="360">
        <f>IF(AL$3="","",IF(AND(AL4&gt;=入力データ!$C$111,AL5&gt;=入力データ!$C$111),1,0))</f>
        <v/>
      </c>
      <c r="AM42" s="360">
        <f>IF(AM$3="","",IF(AND(AM4&gt;=入力データ!$C$111,AM5&gt;=入力データ!$C$111),1,0))</f>
        <v/>
      </c>
      <c r="AN42" s="360">
        <f>IF(AN$3="","",IF(AND(AN4&gt;=入力データ!$C$111,AN5&gt;=入力データ!$C$111),1,0))</f>
        <v/>
      </c>
      <c r="AO42" s="360">
        <f>IF(AO$3="","",IF(AND(AO4&gt;=入力データ!$C$111,AO5&gt;=入力データ!$C$111),1,0))</f>
        <v/>
      </c>
      <c r="AP42" s="360">
        <f>IF(AP$3="","",IF(AND(AP4&gt;=入力データ!$C$111,AP5&gt;=入力データ!$C$111),1,0))</f>
        <v/>
      </c>
      <c r="AQ42" s="360">
        <f>IF(AQ$3="","",IF(AND(AQ4&gt;=入力データ!$C$111,AQ5&gt;=入力データ!$C$111),1,0))</f>
        <v/>
      </c>
      <c r="AR42" s="360">
        <f>IF(AR$3="","",IF(AND(AR4&gt;=入力データ!$C$111,AR5&gt;=入力データ!$C$111),1,0))</f>
        <v/>
      </c>
      <c r="AS42" s="360">
        <f>IF(AS$3="","",IF(AND(AS4&gt;=入力データ!$C$111,AS5&gt;=入力データ!$C$111),1,0))</f>
        <v/>
      </c>
      <c r="AT42" s="360">
        <f>IF(AT$3="","",IF(AND(AT4&gt;=入力データ!$C$111,AT5&gt;=入力データ!$C$111),1,0))</f>
        <v/>
      </c>
      <c r="AU42" s="360">
        <f>IF(AU$3="","",IF(AND(AU4&gt;=入力データ!$C$111,AU5&gt;=入力データ!$C$111),1,0))</f>
        <v/>
      </c>
      <c r="AV42" s="360">
        <f>IF(AV$3="","",IF(AND(AV4&gt;=入力データ!$C$111,AV5&gt;=入力データ!$C$111),1,0))</f>
        <v/>
      </c>
      <c r="AW42" s="360">
        <f>IF(AW$3="","",IF(AND(AW4&gt;=入力データ!$C$111,AW5&gt;=入力データ!$C$111),1,0))</f>
        <v/>
      </c>
      <c r="AX42" s="360">
        <f>IF(AX$3="","",IF(AND(AX4&gt;=入力データ!$C$111,AX5&gt;=入力データ!$C$111),1,0))</f>
        <v/>
      </c>
      <c r="AY42" s="360">
        <f>IF(AY$3="","",IF(AND(AY4&gt;=入力データ!$C$111,AY5&gt;=入力データ!$C$111),1,0))</f>
        <v/>
      </c>
      <c r="AZ42" s="360">
        <f>IF(AZ$3="","",IF(AND(AZ4&gt;=入力データ!$C$111,AZ5&gt;=入力データ!$C$111),1,0))</f>
        <v/>
      </c>
      <c r="BA42" s="360">
        <f>IF(BA$3="","",IF(AND(BA4&gt;=入力データ!$C$111,BA5&gt;=入力データ!$C$111),1,0))</f>
        <v/>
      </c>
      <c r="BB42" s="360">
        <f>IF(BB$3="","",IF(AND(BB4&gt;=入力データ!$C$111,BB5&gt;=入力データ!$C$111),1,0))</f>
        <v/>
      </c>
      <c r="BC42" s="360">
        <f>IF(BC$3="","",IF(AND(BC4&gt;=入力データ!$C$111,BC5&gt;=入力データ!$C$111),1,0))</f>
        <v/>
      </c>
      <c r="BD42" s="360">
        <f>IF(BD$3="","",IF(AND(BD4&gt;=入力データ!$C$111,BD5&gt;=入力データ!$C$111),1,0))</f>
        <v/>
      </c>
      <c r="BE42" s="360">
        <f>IF(BE$3="","",IF(AND(BE4&gt;=入力データ!$C$111,BE5&gt;=入力データ!$C$111),1,0))</f>
        <v/>
      </c>
      <c r="BF42" s="360">
        <f>IF(BF$3="","",IF(AND(BF4&gt;=入力データ!$C$111,BF5&gt;=入力データ!$C$111),1,0))</f>
        <v/>
      </c>
      <c r="BG42" s="360">
        <f>IF(BG$3="","",IF(AND(BG4&gt;=入力データ!$C$111,BG5&gt;=入力データ!$C$111),1,0))</f>
        <v/>
      </c>
      <c r="BH42" s="360">
        <f>IF(BH$3="","",IF(AND(BH4&gt;=入力データ!$C$111,BH5&gt;=入力データ!$C$111),1,0))</f>
        <v/>
      </c>
      <c r="BI42" s="360">
        <f>IF(BI$3="","",IF(AND(BI4&gt;=入力データ!$C$111,BI5&gt;=入力データ!$C$111),1,0))</f>
        <v/>
      </c>
      <c r="BJ42" s="360">
        <f>IF(BJ$3="","",IF(AND(BJ4&gt;=入力データ!$C$111,BJ5&gt;=入力データ!$C$111),1,0))</f>
        <v/>
      </c>
      <c r="BK42" s="360">
        <f>IF(BK$3="","",IF(AND(BK4&gt;=入力データ!$C$111,BK5&gt;=入力データ!$C$111),1,0))</f>
        <v/>
      </c>
      <c r="BL42" s="360">
        <f>IF(BL$3="","",IF(AND(BL4&gt;=入力データ!$C$111,BL5&gt;=入力データ!$C$111),1,0))</f>
        <v/>
      </c>
      <c r="BM42" s="360">
        <f>IF(BM$3="","",IF(AND(BM4&gt;=入力データ!$C$111,BM5&gt;=入力データ!$C$111),1,0))</f>
        <v/>
      </c>
      <c r="BN42" s="360">
        <f>IF(BN$3="","",IF(AND(BN4&gt;=入力データ!$C$111,BN5&gt;=入力データ!$C$111),1,0))</f>
        <v/>
      </c>
      <c r="BO42" s="360">
        <f>IF(BO$3="","",IF(AND(BO4&gt;=入力データ!$C$111,BO5&gt;=入力データ!$C$111),1,0))</f>
        <v/>
      </c>
      <c r="BP42" s="360">
        <f>IF(BP$3="","",IF(AND(BP4&gt;=入力データ!$C$111,BP5&gt;=入力データ!$C$111),1,0))</f>
        <v/>
      </c>
      <c r="BQ42" s="360">
        <f>IF(BQ$3="","",IF(AND(BQ4&gt;=入力データ!$C$111,BQ5&gt;=入力データ!$C$111),1,0))</f>
        <v/>
      </c>
      <c r="BR42" s="360">
        <f>IF(BR$3="","",IF(AND(BR4&gt;=入力データ!$C$111,BR5&gt;=入力データ!$C$111),1,0))</f>
        <v/>
      </c>
      <c r="BS42" s="360">
        <f>IF(BS$3="","",IF(AND(BS4&gt;=入力データ!$C$111,BS5&gt;=入力データ!$C$111),1,0))</f>
        <v/>
      </c>
      <c r="BT42" s="360">
        <f>IF(BT$3="","",IF(AND(BT4&gt;=入力データ!$C$111,BT5&gt;=入力データ!$C$111),1,0))</f>
        <v/>
      </c>
      <c r="BU42" s="360">
        <f>IF(BU$3="","",IF(AND(BU4&gt;=入力データ!$C$111,BU5&gt;=入力データ!$C$111),1,0))</f>
        <v/>
      </c>
      <c r="BV42" s="360">
        <f>IF(BV$3="","",IF(AND(BV4&gt;=入力データ!$C$111,BV5&gt;=入力データ!$C$111),1,0))</f>
        <v/>
      </c>
      <c r="BW42" s="360">
        <f>IF(BW$3="","",IF(AND(BW4&gt;=入力データ!$C$111,BW5&gt;=入力データ!$C$111),1,0))</f>
        <v/>
      </c>
      <c r="BX42" s="360">
        <f>IF(BX$3="","",IF(AND(BX4&gt;=入力データ!$C$111,BX5&gt;=入力データ!$C$111),1,0))</f>
        <v/>
      </c>
      <c r="BY42" s="360">
        <f>IF(BY$3="","",IF(AND(BY4&gt;=入力データ!$C$111,BY5&gt;=入力データ!$C$111),1,0))</f>
        <v/>
      </c>
      <c r="BZ42" s="360">
        <f>IF(BZ$3="","",IF(AND(BZ4&gt;=入力データ!$C$111,BZ5&gt;=入力データ!$C$111),1,0))</f>
        <v/>
      </c>
      <c r="CA42" s="360">
        <f>IF(CA$3="","",IF(AND(CA4&gt;=入力データ!$C$111,CA5&gt;=入力データ!$C$111),1,0))</f>
        <v/>
      </c>
      <c r="CB42" s="360">
        <f>IF(CB$3="","",IF(AND(CB4&gt;=入力データ!$C$111,CB5&gt;=入力データ!$C$111),1,0))</f>
        <v/>
      </c>
      <c r="CC42" s="360">
        <f>IF(CC$3="","",IF(AND(CC4&gt;=入力データ!$C$111,CC5&gt;=入力データ!$C$111),1,0))</f>
        <v/>
      </c>
      <c r="CD42" s="360">
        <f>IF(CD$3="","",IF(AND(CD4&gt;=入力データ!$C$111,CD5&gt;=入力データ!$C$111),1,0))</f>
        <v/>
      </c>
      <c r="CE42" s="360">
        <f>IF(CE$3="","",IF(AND(CE4&gt;=入力データ!$C$111,CE5&gt;=入力データ!$C$111),1,0))</f>
        <v/>
      </c>
      <c r="CF42" s="360">
        <f>IF(CF$3="","",IF(AND(CF4&gt;=入力データ!$C$111,CF5&gt;=入力データ!$C$111),1,0))</f>
        <v/>
      </c>
      <c r="CG42" s="360">
        <f>IF(CG$3="","",IF(AND(CG4&gt;=入力データ!$C$111,CG5&gt;=入力データ!$C$111),1,0))</f>
        <v/>
      </c>
      <c r="CH42" s="360">
        <f>IF(CH$3="","",IF(AND(CH4&gt;=入力データ!$C$111,CH5&gt;=入力データ!$C$111),1,0))</f>
        <v/>
      </c>
      <c r="CI42" s="360">
        <f>IF(CI$3="","",IF(AND(CI4&gt;=入力データ!$C$111,CI5&gt;=入力データ!$C$111),1,0))</f>
        <v/>
      </c>
      <c r="CJ42" s="360">
        <f>IF(CJ$3="","",IF(AND(CJ4&gt;=入力データ!$C$111,CJ5&gt;=入力データ!$C$111),1,0))</f>
        <v/>
      </c>
      <c r="CK42" s="360">
        <f>IF(CK$3="","",IF(AND(CK4&gt;=入力データ!$C$111,CK5&gt;=入力データ!$C$111),1,0))</f>
        <v/>
      </c>
      <c r="CL42" s="360">
        <f>IF(CL$3="","",IF(AND(CL4&gt;=入力データ!$C$111,CL5&gt;=入力データ!$C$111),1,0))</f>
        <v/>
      </c>
      <c r="CM42" s="360">
        <f>IF(CM$3="","",IF(AND(CM4&gt;=入力データ!$C$111,CM5&gt;=入力データ!$C$111),1,0))</f>
        <v/>
      </c>
      <c r="CN42" s="360">
        <f>IF(CN$3="","",IF(AND(CN4&gt;=入力データ!$C$111,CN5&gt;=入力データ!$C$111),1,0))</f>
        <v/>
      </c>
      <c r="CO42" s="360">
        <f>IF(CO$3="","",IF(AND(CO4&gt;=入力データ!$C$111,CO5&gt;=入力データ!$C$111),1,0))</f>
        <v/>
      </c>
      <c r="CP42" s="360">
        <f>IF(CP$3="","",IF(AND(CP4&gt;=入力データ!$C$111,CP5&gt;=入力データ!$C$111),1,0))</f>
        <v/>
      </c>
      <c r="CQ42" s="360">
        <f>IF(CQ$3="","",IF(AND(CQ4&gt;=入力データ!$C$111,CQ5&gt;=入力データ!$C$111),1,0))</f>
        <v/>
      </c>
      <c r="CR42" s="360">
        <f>IF(CR$3="","",IF(AND(CR4&gt;=入力データ!$C$111,CR5&gt;=入力データ!$C$111),1,0))</f>
        <v/>
      </c>
      <c r="CS42" s="360">
        <f>IF(CS$3="","",IF(AND(CS4&gt;=入力データ!$C$111,CS5&gt;=入力データ!$C$111),1,0))</f>
        <v/>
      </c>
      <c r="CT42" s="360">
        <f>IF(CT$3="","",IF(AND(CT4&gt;=入力データ!$C$111,CT5&gt;=入力データ!$C$111),1,0))</f>
        <v/>
      </c>
      <c r="CU42" s="360">
        <f>IF(CU$3="","",IF(AND(CU4&gt;=入力データ!$C$111,CU5&gt;=入力データ!$C$111),1,0))</f>
        <v/>
      </c>
      <c r="CV42" s="360">
        <f>IF(CV$3="","",IF(AND(CV4&gt;=入力データ!$C$111,CV5&gt;=入力データ!$C$111),1,0))</f>
        <v/>
      </c>
      <c r="CW42" s="360">
        <f>IF(CW$3="","",IF(AND(CW4&gt;=入力データ!$C$111,CW5&gt;=入力データ!$C$111),1,0))</f>
        <v/>
      </c>
    </row>
    <row r="43" hidden="1" ht="16.5" customHeight="1" s="180">
      <c r="A43" s="239" t="inlineStr">
        <is>
          <t>老後不足額(補助)</t>
        </is>
      </c>
      <c r="B43" s="359">
        <f>IF(B$3="","",IF(B42=1,MAX(0,-B30),0))</f>
        <v/>
      </c>
      <c r="C43" s="359">
        <f>IF(C$3="","",IF(C42=1,MAX(0,-C30),0))</f>
        <v/>
      </c>
      <c r="D43" s="359">
        <f>IF(D$3="","",IF(D42=1,MAX(0,-D30),0))</f>
        <v/>
      </c>
      <c r="E43" s="359">
        <f>IF(E$3="","",IF(E42=1,MAX(0,-E30),0))</f>
        <v/>
      </c>
      <c r="F43" s="359">
        <f>IF(F$3="","",IF(F42=1,MAX(0,-F30),0))</f>
        <v/>
      </c>
      <c r="G43" s="359">
        <f>IF(G$3="","",IF(G42=1,MAX(0,-G30),0))</f>
        <v/>
      </c>
      <c r="H43" s="359">
        <f>IF(H$3="","",IF(H42=1,MAX(0,-H30),0))</f>
        <v/>
      </c>
      <c r="I43" s="359">
        <f>IF(I$3="","",IF(I42=1,MAX(0,-I30),0))</f>
        <v/>
      </c>
      <c r="J43" s="359">
        <f>IF(J$3="","",IF(J42=1,MAX(0,-J30),0))</f>
        <v/>
      </c>
      <c r="K43" s="359">
        <f>IF(K$3="","",IF(K42=1,MAX(0,-K30),0))</f>
        <v/>
      </c>
      <c r="L43" s="359">
        <f>IF(L$3="","",IF(L42=1,MAX(0,-L30),0))</f>
        <v/>
      </c>
      <c r="M43" s="359">
        <f>IF(M$3="","",IF(M42=1,MAX(0,-M30),0))</f>
        <v/>
      </c>
      <c r="N43" s="359">
        <f>IF(N$3="","",IF(N42=1,MAX(0,-N30),0))</f>
        <v/>
      </c>
      <c r="O43" s="359">
        <f>IF(O$3="","",IF(O42=1,MAX(0,-O30),0))</f>
        <v/>
      </c>
      <c r="P43" s="359">
        <f>IF(P$3="","",IF(P42=1,MAX(0,-P30),0))</f>
        <v/>
      </c>
      <c r="Q43" s="359">
        <f>IF(Q$3="","",IF(Q42=1,MAX(0,-Q30),0))</f>
        <v/>
      </c>
      <c r="R43" s="359">
        <f>IF(R$3="","",IF(R42=1,MAX(0,-R30),0))</f>
        <v/>
      </c>
      <c r="S43" s="359">
        <f>IF(S$3="","",IF(S42=1,MAX(0,-S30),0))</f>
        <v/>
      </c>
      <c r="T43" s="359">
        <f>IF(T$3="","",IF(T42=1,MAX(0,-T30),0))</f>
        <v/>
      </c>
      <c r="U43" s="359">
        <f>IF(U$3="","",IF(U42=1,MAX(0,-U30),0))</f>
        <v/>
      </c>
      <c r="V43" s="359">
        <f>IF(V$3="","",IF(V42=1,MAX(0,-V30),0))</f>
        <v/>
      </c>
      <c r="W43" s="359">
        <f>IF(W$3="","",IF(W42=1,MAX(0,-W30),0))</f>
        <v/>
      </c>
      <c r="X43" s="359">
        <f>IF(X$3="","",IF(X42=1,MAX(0,-X30),0))</f>
        <v/>
      </c>
      <c r="Y43" s="359">
        <f>IF(Y$3="","",IF(Y42=1,MAX(0,-Y30),0))</f>
        <v/>
      </c>
      <c r="Z43" s="359">
        <f>IF(Z$3="","",IF(Z42=1,MAX(0,-Z30),0))</f>
        <v/>
      </c>
      <c r="AA43" s="359">
        <f>IF(AA$3="","",IF(AA42=1,MAX(0,-AA30),0))</f>
        <v/>
      </c>
      <c r="AB43" s="359">
        <f>IF(AB$3="","",IF(AB42=1,MAX(0,-AB30),0))</f>
        <v/>
      </c>
      <c r="AC43" s="359">
        <f>IF(AC$3="","",IF(AC42=1,MAX(0,-AC30),0))</f>
        <v/>
      </c>
      <c r="AD43" s="359">
        <f>IF(AD$3="","",IF(AD42=1,MAX(0,-AD30),0))</f>
        <v/>
      </c>
      <c r="AE43" s="359">
        <f>IF(AE$3="","",IF(AE42=1,MAX(0,-AE30),0))</f>
        <v/>
      </c>
      <c r="AF43" s="359">
        <f>IF(AF$3="","",IF(AF42=1,MAX(0,-AF30),0))</f>
        <v/>
      </c>
      <c r="AG43" s="359">
        <f>IF(AG$3="","",IF(AG42=1,MAX(0,-AG30),0))</f>
        <v/>
      </c>
      <c r="AH43" s="359">
        <f>IF(AH$3="","",IF(AH42=1,MAX(0,-AH30),0))</f>
        <v/>
      </c>
      <c r="AI43" s="359">
        <f>IF(AI$3="","",IF(AI42=1,MAX(0,-AI30),0))</f>
        <v/>
      </c>
      <c r="AJ43" s="359">
        <f>IF(AJ$3="","",IF(AJ42=1,MAX(0,-AJ30),0))</f>
        <v/>
      </c>
      <c r="AK43" s="359">
        <f>IF(AK$3="","",IF(AK42=1,MAX(0,-AK30),0))</f>
        <v/>
      </c>
      <c r="AL43" s="359">
        <f>IF(AL$3="","",IF(AL42=1,MAX(0,-AL30),0))</f>
        <v/>
      </c>
      <c r="AM43" s="359">
        <f>IF(AM$3="","",IF(AM42=1,MAX(0,-AM30),0))</f>
        <v/>
      </c>
      <c r="AN43" s="359">
        <f>IF(AN$3="","",IF(AN42=1,MAX(0,-AN30),0))</f>
        <v/>
      </c>
      <c r="AO43" s="359">
        <f>IF(AO$3="","",IF(AO42=1,MAX(0,-AO30),0))</f>
        <v/>
      </c>
      <c r="AP43" s="359">
        <f>IF(AP$3="","",IF(AP42=1,MAX(0,-AP30),0))</f>
        <v/>
      </c>
      <c r="AQ43" s="359">
        <f>IF(AQ$3="","",IF(AQ42=1,MAX(0,-AQ30),0))</f>
        <v/>
      </c>
      <c r="AR43" s="359">
        <f>IF(AR$3="","",IF(AR42=1,MAX(0,-AR30),0))</f>
        <v/>
      </c>
      <c r="AS43" s="359">
        <f>IF(AS$3="","",IF(AS42=1,MAX(0,-AS30),0))</f>
        <v/>
      </c>
      <c r="AT43" s="359">
        <f>IF(AT$3="","",IF(AT42=1,MAX(0,-AT30),0))</f>
        <v/>
      </c>
      <c r="AU43" s="359">
        <f>IF(AU$3="","",IF(AU42=1,MAX(0,-AU30),0))</f>
        <v/>
      </c>
      <c r="AV43" s="359">
        <f>IF(AV$3="","",IF(AV42=1,MAX(0,-AV30),0))</f>
        <v/>
      </c>
      <c r="AW43" s="359">
        <f>IF(AW$3="","",IF(AW42=1,MAX(0,-AW30),0))</f>
        <v/>
      </c>
      <c r="AX43" s="359">
        <f>IF(AX$3="","",IF(AX42=1,MAX(0,-AX30),0))</f>
        <v/>
      </c>
      <c r="AY43" s="359">
        <f>IF(AY$3="","",IF(AY42=1,MAX(0,-AY30),0))</f>
        <v/>
      </c>
      <c r="AZ43" s="359">
        <f>IF(AZ$3="","",IF(AZ42=1,MAX(0,-AZ30),0))</f>
        <v/>
      </c>
      <c r="BA43" s="359">
        <f>IF(BA$3="","",IF(BA42=1,MAX(0,-BA30),0))</f>
        <v/>
      </c>
      <c r="BB43" s="359">
        <f>IF(BB$3="","",IF(BB42=1,MAX(0,-BB30),0))</f>
        <v/>
      </c>
      <c r="BC43" s="359">
        <f>IF(BC$3="","",IF(BC42=1,MAX(0,-BC30),0))</f>
        <v/>
      </c>
      <c r="BD43" s="359">
        <f>IF(BD$3="","",IF(BD42=1,MAX(0,-BD30),0))</f>
        <v/>
      </c>
      <c r="BE43" s="359">
        <f>IF(BE$3="","",IF(BE42=1,MAX(0,-BE30),0))</f>
        <v/>
      </c>
      <c r="BF43" s="359">
        <f>IF(BF$3="","",IF(BF42=1,MAX(0,-BF30),0))</f>
        <v/>
      </c>
      <c r="BG43" s="359">
        <f>IF(BG$3="","",IF(BG42=1,MAX(0,-BG30),0))</f>
        <v/>
      </c>
      <c r="BH43" s="359">
        <f>IF(BH$3="","",IF(BH42=1,MAX(0,-BH30),0))</f>
        <v/>
      </c>
      <c r="BI43" s="359">
        <f>IF(BI$3="","",IF(BI42=1,MAX(0,-BI30),0))</f>
        <v/>
      </c>
      <c r="BJ43" s="359">
        <f>IF(BJ$3="","",IF(BJ42=1,MAX(0,-BJ30),0))</f>
        <v/>
      </c>
      <c r="BK43" s="359">
        <f>IF(BK$3="","",IF(BK42=1,MAX(0,-BK30),0))</f>
        <v/>
      </c>
      <c r="BL43" s="359">
        <f>IF(BL$3="","",IF(BL42=1,MAX(0,-BL30),0))</f>
        <v/>
      </c>
      <c r="BM43" s="359">
        <f>IF(BM$3="","",IF(BM42=1,MAX(0,-BM30),0))</f>
        <v/>
      </c>
      <c r="BN43" s="359">
        <f>IF(BN$3="","",IF(BN42=1,MAX(0,-BN30),0))</f>
        <v/>
      </c>
      <c r="BO43" s="359">
        <f>IF(BO$3="","",IF(BO42=1,MAX(0,-BO30),0))</f>
        <v/>
      </c>
      <c r="BP43" s="359">
        <f>IF(BP$3="","",IF(BP42=1,MAX(0,-BP30),0))</f>
        <v/>
      </c>
      <c r="BQ43" s="359">
        <f>IF(BQ$3="","",IF(BQ42=1,MAX(0,-BQ30),0))</f>
        <v/>
      </c>
      <c r="BR43" s="359">
        <f>IF(BR$3="","",IF(BR42=1,MAX(0,-BR30),0))</f>
        <v/>
      </c>
      <c r="BS43" s="359">
        <f>IF(BS$3="","",IF(BS42=1,MAX(0,-BS30),0))</f>
        <v/>
      </c>
      <c r="BT43" s="359">
        <f>IF(BT$3="","",IF(BT42=1,MAX(0,-BT30),0))</f>
        <v/>
      </c>
      <c r="BU43" s="359">
        <f>IF(BU$3="","",IF(BU42=1,MAX(0,-BU30),0))</f>
        <v/>
      </c>
      <c r="BV43" s="359">
        <f>IF(BV$3="","",IF(BV42=1,MAX(0,-BV30),0))</f>
        <v/>
      </c>
      <c r="BW43" s="359">
        <f>IF(BW$3="","",IF(BW42=1,MAX(0,-BW30),0))</f>
        <v/>
      </c>
      <c r="BX43" s="359">
        <f>IF(BX$3="","",IF(BX42=1,MAX(0,-BX30),0))</f>
        <v/>
      </c>
      <c r="BY43" s="359">
        <f>IF(BY$3="","",IF(BY42=1,MAX(0,-BY30),0))</f>
        <v/>
      </c>
      <c r="BZ43" s="359">
        <f>IF(BZ$3="","",IF(BZ42=1,MAX(0,-BZ30),0))</f>
        <v/>
      </c>
      <c r="CA43" s="359">
        <f>IF(CA$3="","",IF(CA42=1,MAX(0,-CA30),0))</f>
        <v/>
      </c>
      <c r="CB43" s="359">
        <f>IF(CB$3="","",IF(CB42=1,MAX(0,-CB30),0))</f>
        <v/>
      </c>
      <c r="CC43" s="359">
        <f>IF(CC$3="","",IF(CC42=1,MAX(0,-CC30),0))</f>
        <v/>
      </c>
      <c r="CD43" s="359">
        <f>IF(CD$3="","",IF(CD42=1,MAX(0,-CD30),0))</f>
        <v/>
      </c>
      <c r="CE43" s="359">
        <f>IF(CE$3="","",IF(CE42=1,MAX(0,-CE30),0))</f>
        <v/>
      </c>
      <c r="CF43" s="359">
        <f>IF(CF$3="","",IF(CF42=1,MAX(0,-CF30),0))</f>
        <v/>
      </c>
      <c r="CG43" s="359">
        <f>IF(CG$3="","",IF(CG42=1,MAX(0,-CG30),0))</f>
        <v/>
      </c>
      <c r="CH43" s="359">
        <f>IF(CH$3="","",IF(CH42=1,MAX(0,-CH30),0))</f>
        <v/>
      </c>
      <c r="CI43" s="359">
        <f>IF(CI$3="","",IF(CI42=1,MAX(0,-CI30),0))</f>
        <v/>
      </c>
      <c r="CJ43" s="359">
        <f>IF(CJ$3="","",IF(CJ42=1,MAX(0,-CJ30),0))</f>
        <v/>
      </c>
      <c r="CK43" s="359">
        <f>IF(CK$3="","",IF(CK42=1,MAX(0,-CK30),0))</f>
        <v/>
      </c>
      <c r="CL43" s="359">
        <f>IF(CL$3="","",IF(CL42=1,MAX(0,-CL30),0))</f>
        <v/>
      </c>
      <c r="CM43" s="359">
        <f>IF(CM$3="","",IF(CM42=1,MAX(0,-CM30),0))</f>
        <v/>
      </c>
      <c r="CN43" s="359">
        <f>IF(CN$3="","",IF(CN42=1,MAX(0,-CN30),0))</f>
        <v/>
      </c>
      <c r="CO43" s="359">
        <f>IF(CO$3="","",IF(CO42=1,MAX(0,-CO30),0))</f>
        <v/>
      </c>
      <c r="CP43" s="359">
        <f>IF(CP$3="","",IF(CP42=1,MAX(0,-CP30),0))</f>
        <v/>
      </c>
      <c r="CQ43" s="359">
        <f>IF(CQ$3="","",IF(CQ42=1,MAX(0,-CQ30),0))</f>
        <v/>
      </c>
      <c r="CR43" s="359">
        <f>IF(CR$3="","",IF(CR42=1,MAX(0,-CR30),0))</f>
        <v/>
      </c>
      <c r="CS43" s="359">
        <f>IF(CS$3="","",IF(CS42=1,MAX(0,-CS30),0))</f>
        <v/>
      </c>
      <c r="CT43" s="359">
        <f>IF(CT$3="","",IF(CT42=1,MAX(0,-CT30),0))</f>
        <v/>
      </c>
      <c r="CU43" s="359">
        <f>IF(CU$3="","",IF(CU42=1,MAX(0,-CU30),0))</f>
        <v/>
      </c>
      <c r="CV43" s="359">
        <f>IF(CV$3="","",IF(CV42=1,MAX(0,-CV30),0))</f>
        <v/>
      </c>
      <c r="CW43" s="359">
        <f>IF(CW$3="","",IF(CW42=1,MAX(0,-CW30),0))</f>
        <v/>
      </c>
    </row>
    <row r="44" ht="15" customHeight="1" s="180">
      <c r="A44" s="241" t="inlineStr">
        <is>
          <t>保有資産合計（参考）</t>
        </is>
      </c>
      <c r="B44" s="361">
        <f>IF(B$3="","",B31+B32+B33)</f>
        <v/>
      </c>
      <c r="C44" s="361">
        <f>IF(C$3="","",C31+C32+C33)</f>
        <v/>
      </c>
      <c r="D44" s="361">
        <f>IF(D$3="","",D31+D32+D33)</f>
        <v/>
      </c>
      <c r="E44" s="361">
        <f>IF(E$3="","",E31+E32+E33)</f>
        <v/>
      </c>
      <c r="F44" s="361">
        <f>IF(F$3="","",F31+F32+F33)</f>
        <v/>
      </c>
      <c r="G44" s="361">
        <f>IF(G$3="","",G31+G32+G33)</f>
        <v/>
      </c>
      <c r="H44" s="361">
        <f>IF(H$3="","",H31+H32+H33)</f>
        <v/>
      </c>
      <c r="I44" s="361">
        <f>IF(I$3="","",I31+I32+I33)</f>
        <v/>
      </c>
      <c r="J44" s="361">
        <f>IF(J$3="","",J31+J32+J33)</f>
        <v/>
      </c>
      <c r="K44" s="361">
        <f>IF(K$3="","",K31+K32+K33)</f>
        <v/>
      </c>
      <c r="L44" s="361">
        <f>IF(L$3="","",L31+L32+L33)</f>
        <v/>
      </c>
      <c r="M44" s="361">
        <f>IF(M$3="","",M31+M32+M33)</f>
        <v/>
      </c>
      <c r="N44" s="361">
        <f>IF(N$3="","",N31+N32+N33)</f>
        <v/>
      </c>
      <c r="O44" s="361">
        <f>IF(O$3="","",O31+O32+O33)</f>
        <v/>
      </c>
      <c r="P44" s="361">
        <f>IF(P$3="","",P31+P32+P33)</f>
        <v/>
      </c>
      <c r="Q44" s="361">
        <f>IF(Q$3="","",Q31+Q32+Q33)</f>
        <v/>
      </c>
      <c r="R44" s="361">
        <f>IF(R$3="","",R31+R32+R33)</f>
        <v/>
      </c>
      <c r="S44" s="361">
        <f>IF(S$3="","",S31+S32+S33)</f>
        <v/>
      </c>
      <c r="T44" s="361">
        <f>IF(T$3="","",T31+T32+T33)</f>
        <v/>
      </c>
      <c r="U44" s="361">
        <f>IF(U$3="","",U31+U32+U33)</f>
        <v/>
      </c>
      <c r="V44" s="361">
        <f>IF(V$3="","",V31+V32+V33)</f>
        <v/>
      </c>
      <c r="W44" s="361">
        <f>IF(W$3="","",W31+W32+W33)</f>
        <v/>
      </c>
      <c r="X44" s="361">
        <f>IF(X$3="","",X31+X32+X33)</f>
        <v/>
      </c>
      <c r="Y44" s="361">
        <f>IF(Y$3="","",Y31+Y32+Y33)</f>
        <v/>
      </c>
      <c r="Z44" s="361">
        <f>IF(Z$3="","",Z31+Z32+Z33)</f>
        <v/>
      </c>
      <c r="AA44" s="361">
        <f>IF(AA$3="","",AA31+AA32+AA33)</f>
        <v/>
      </c>
      <c r="AB44" s="361">
        <f>IF(AB$3="","",AB31+AB32+AB33)</f>
        <v/>
      </c>
      <c r="AC44" s="361">
        <f>IF(AC$3="","",AC31+AC32+AC33)</f>
        <v/>
      </c>
      <c r="AD44" s="361">
        <f>IF(AD$3="","",AD31+AD32+AD33)</f>
        <v/>
      </c>
      <c r="AE44" s="361">
        <f>IF(AE$3="","",AE31+AE32+AE33)</f>
        <v/>
      </c>
      <c r="AF44" s="361">
        <f>IF(AF$3="","",AF31+AF32+AF33)</f>
        <v/>
      </c>
      <c r="AG44" s="361">
        <f>IF(AG$3="","",AG31+AG32+AG33)</f>
        <v/>
      </c>
      <c r="AH44" s="361">
        <f>IF(AH$3="","",AH31+AH32+AH33)</f>
        <v/>
      </c>
      <c r="AI44" s="361">
        <f>IF(AI$3="","",AI31+AI32+AI33)</f>
        <v/>
      </c>
      <c r="AJ44" s="361">
        <f>IF(AJ$3="","",AJ31+AJ32+AJ33)</f>
        <v/>
      </c>
      <c r="AK44" s="361">
        <f>IF(AK$3="","",AK31+AK32+AK33)</f>
        <v/>
      </c>
      <c r="AL44" s="361">
        <f>IF(AL$3="","",AL31+AL32+AL33)</f>
        <v/>
      </c>
      <c r="AM44" s="361">
        <f>IF(AM$3="","",AM31+AM32+AM33)</f>
        <v/>
      </c>
      <c r="AN44" s="361">
        <f>IF(AN$3="","",AN31+AN32+AN33)</f>
        <v/>
      </c>
      <c r="AO44" s="361">
        <f>IF(AO$3="","",AO31+AO32+AO33)</f>
        <v/>
      </c>
      <c r="AP44" s="361">
        <f>IF(AP$3="","",AP31+AP32+AP33)</f>
        <v/>
      </c>
      <c r="AQ44" s="361">
        <f>IF(AQ$3="","",AQ31+AQ32+AQ33)</f>
        <v/>
      </c>
      <c r="AR44" s="361">
        <f>IF(AR$3="","",AR31+AR32+AR33)</f>
        <v/>
      </c>
      <c r="AS44" s="361">
        <f>IF(AS$3="","",AS31+AS32+AS33)</f>
        <v/>
      </c>
      <c r="AT44" s="361">
        <f>IF(AT$3="","",AT31+AT32+AT33)</f>
        <v/>
      </c>
      <c r="AU44" s="361">
        <f>IF(AU$3="","",AU31+AU32+AU33)</f>
        <v/>
      </c>
      <c r="AV44" s="361">
        <f>IF(AV$3="","",AV31+AV32+AV33)</f>
        <v/>
      </c>
      <c r="AW44" s="361">
        <f>IF(AW$3="","",AW31+AW32+AW33)</f>
        <v/>
      </c>
      <c r="AX44" s="361">
        <f>IF(AX$3="","",AX31+AX32+AX33)</f>
        <v/>
      </c>
      <c r="AY44" s="361">
        <f>IF(AY$3="","",AY31+AY32+AY33)</f>
        <v/>
      </c>
      <c r="AZ44" s="361">
        <f>IF(AZ$3="","",AZ31+AZ32+AZ33)</f>
        <v/>
      </c>
      <c r="BA44" s="361">
        <f>IF(BA$3="","",BA31+BA32+BA33)</f>
        <v/>
      </c>
      <c r="BB44" s="361">
        <f>IF(BB$3="","",BB31+BB32+BB33)</f>
        <v/>
      </c>
      <c r="BC44" s="361">
        <f>IF(BC$3="","",BC31+BC32+BC33)</f>
        <v/>
      </c>
      <c r="BD44" s="361">
        <f>IF(BD$3="","",BD31+BD32+BD33)</f>
        <v/>
      </c>
      <c r="BE44" s="361">
        <f>IF(BE$3="","",BE31+BE32+BE33)</f>
        <v/>
      </c>
      <c r="BF44" s="361">
        <f>IF(BF$3="","",BF31+BF32+BF33)</f>
        <v/>
      </c>
      <c r="BG44" s="361">
        <f>IF(BG$3="","",BG31+BG32+BG33)</f>
        <v/>
      </c>
      <c r="BH44" s="361">
        <f>IF(BH$3="","",BH31+BH32+BH33)</f>
        <v/>
      </c>
      <c r="BI44" s="361">
        <f>IF(BI$3="","",BI31+BI32+BI33)</f>
        <v/>
      </c>
      <c r="BJ44" s="361">
        <f>IF(BJ$3="","",BJ31+BJ32+BJ33)</f>
        <v/>
      </c>
      <c r="BK44" s="361">
        <f>IF(BK$3="","",BK31+BK32+BK33)</f>
        <v/>
      </c>
      <c r="BL44" s="361">
        <f>IF(BL$3="","",BL31+BL32+BL33)</f>
        <v/>
      </c>
      <c r="BM44" s="361">
        <f>IF(BM$3="","",BM31+BM32+BM33)</f>
        <v/>
      </c>
      <c r="BN44" s="361">
        <f>IF(BN$3="","",BN31+BN32+BN33)</f>
        <v/>
      </c>
      <c r="BO44" s="361">
        <f>IF(BO$3="","",BO31+BO32+BO33)</f>
        <v/>
      </c>
      <c r="BP44" s="361">
        <f>IF(BP$3="","",BP31+BP32+BP33)</f>
        <v/>
      </c>
      <c r="BQ44" s="361">
        <f>IF(BQ$3="","",BQ31+BQ32+BQ33)</f>
        <v/>
      </c>
      <c r="BR44" s="361">
        <f>IF(BR$3="","",BR31+BR32+BR33)</f>
        <v/>
      </c>
      <c r="BS44" s="361">
        <f>IF(BS$3="","",BS31+BS32+BS33)</f>
        <v/>
      </c>
      <c r="BT44" s="361">
        <f>IF(BT$3="","",BT31+BT32+BT33)</f>
        <v/>
      </c>
      <c r="BU44" s="361">
        <f>IF(BU$3="","",BU31+BU32+BU33)</f>
        <v/>
      </c>
      <c r="BV44" s="361">
        <f>IF(BV$3="","",BV31+BV32+BV33)</f>
        <v/>
      </c>
      <c r="BW44" s="361">
        <f>IF(BW$3="","",BW31+BW32+BW33)</f>
        <v/>
      </c>
      <c r="BX44" s="361">
        <f>IF(BX$3="","",BX31+BX32+BX33)</f>
        <v/>
      </c>
      <c r="BY44" s="361">
        <f>IF(BY$3="","",BY31+BY32+BY33)</f>
        <v/>
      </c>
      <c r="BZ44" s="361">
        <f>IF(BZ$3="","",BZ31+BZ32+BZ33)</f>
        <v/>
      </c>
      <c r="CA44" s="361">
        <f>IF(CA$3="","",CA31+CA32+CA33)</f>
        <v/>
      </c>
      <c r="CB44" s="361">
        <f>IF(CB$3="","",CB31+CB32+CB33)</f>
        <v/>
      </c>
      <c r="CC44" s="361">
        <f>IF(CC$3="","",CC31+CC32+CC33)</f>
        <v/>
      </c>
      <c r="CD44" s="361">
        <f>IF(CD$3="","",CD31+CD32+CD33)</f>
        <v/>
      </c>
      <c r="CE44" s="361">
        <f>IF(CE$3="","",CE31+CE32+CE33)</f>
        <v/>
      </c>
      <c r="CF44" s="361">
        <f>IF(CF$3="","",CF31+CF32+CF33)</f>
        <v/>
      </c>
      <c r="CG44" s="361">
        <f>IF(CG$3="","",CG31+CG32+CG33)</f>
        <v/>
      </c>
      <c r="CH44" s="361">
        <f>IF(CH$3="","",CH31+CH32+CH33)</f>
        <v/>
      </c>
      <c r="CI44" s="361">
        <f>IF(CI$3="","",CI31+CI32+CI33)</f>
        <v/>
      </c>
      <c r="CJ44" s="361">
        <f>IF(CJ$3="","",CJ31+CJ32+CJ33)</f>
        <v/>
      </c>
      <c r="CK44" s="361">
        <f>IF(CK$3="","",CK31+CK32+CK33)</f>
        <v/>
      </c>
      <c r="CL44" s="361">
        <f>IF(CL$3="","",CL31+CL32+CL33)</f>
        <v/>
      </c>
      <c r="CM44" s="361">
        <f>IF(CM$3="","",CM31+CM32+CM33)</f>
        <v/>
      </c>
      <c r="CN44" s="361">
        <f>IF(CN$3="","",CN31+CN32+CN33)</f>
        <v/>
      </c>
      <c r="CO44" s="361">
        <f>IF(CO$3="","",CO31+CO32+CO33)</f>
        <v/>
      </c>
      <c r="CP44" s="361">
        <f>IF(CP$3="","",CP31+CP32+CP33)</f>
        <v/>
      </c>
      <c r="CQ44" s="361">
        <f>IF(CQ$3="","",CQ31+CQ32+CQ33)</f>
        <v/>
      </c>
      <c r="CR44" s="361">
        <f>IF(CR$3="","",CR31+CR32+CR33)</f>
        <v/>
      </c>
      <c r="CS44" s="361">
        <f>IF(CS$3="","",CS31+CS32+CS33)</f>
        <v/>
      </c>
      <c r="CT44" s="361">
        <f>IF(CT$3="","",CT31+CT32+CT33)</f>
        <v/>
      </c>
      <c r="CU44" s="361">
        <f>IF(CU$3="","",CU31+CU32+CU33)</f>
        <v/>
      </c>
      <c r="CV44" s="361">
        <f>IF(CV$3="","",CV31+CV32+CV33)</f>
        <v/>
      </c>
      <c r="CW44" s="361">
        <f>IF(CW$3="","",CW31+CW32+CW33)</f>
        <v/>
      </c>
    </row>
    <row r="45" ht="15" customHeight="1" s="180">
      <c r="A45" s="241" t="inlineStr">
        <is>
          <t>負債合計（参考）</t>
        </is>
      </c>
      <c r="B45" s="362">
        <f>IF(B$3="","",B34)</f>
        <v/>
      </c>
      <c r="C45" s="362">
        <f>IF(C$3="","",C34)</f>
        <v/>
      </c>
      <c r="D45" s="362">
        <f>IF(D$3="","",D34)</f>
        <v/>
      </c>
      <c r="E45" s="362">
        <f>IF(E$3="","",E34)</f>
        <v/>
      </c>
      <c r="F45" s="362">
        <f>IF(F$3="","",F34)</f>
        <v/>
      </c>
      <c r="G45" s="362">
        <f>IF(G$3="","",G34)</f>
        <v/>
      </c>
      <c r="H45" s="362">
        <f>IF(H$3="","",H34)</f>
        <v/>
      </c>
      <c r="I45" s="362">
        <f>IF(I$3="","",I34)</f>
        <v/>
      </c>
      <c r="J45" s="362">
        <f>IF(J$3="","",J34)</f>
        <v/>
      </c>
      <c r="K45" s="362">
        <f>IF(K$3="","",K34)</f>
        <v/>
      </c>
      <c r="L45" s="362">
        <f>IF(L$3="","",L34)</f>
        <v/>
      </c>
      <c r="M45" s="362">
        <f>IF(M$3="","",M34)</f>
        <v/>
      </c>
      <c r="N45" s="362">
        <f>IF(N$3="","",N34)</f>
        <v/>
      </c>
      <c r="O45" s="362">
        <f>IF(O$3="","",O34)</f>
        <v/>
      </c>
      <c r="P45" s="362">
        <f>IF(P$3="","",P34)</f>
        <v/>
      </c>
      <c r="Q45" s="362">
        <f>IF(Q$3="","",Q34)</f>
        <v/>
      </c>
      <c r="R45" s="362">
        <f>IF(R$3="","",R34)</f>
        <v/>
      </c>
      <c r="S45" s="362">
        <f>IF(S$3="","",S34)</f>
        <v/>
      </c>
      <c r="T45" s="362">
        <f>IF(T$3="","",T34)</f>
        <v/>
      </c>
      <c r="U45" s="362">
        <f>IF(U$3="","",U34)</f>
        <v/>
      </c>
      <c r="V45" s="362">
        <f>IF(V$3="","",V34)</f>
        <v/>
      </c>
      <c r="W45" s="362">
        <f>IF(W$3="","",W34)</f>
        <v/>
      </c>
      <c r="X45" s="362">
        <f>IF(X$3="","",X34)</f>
        <v/>
      </c>
      <c r="Y45" s="362">
        <f>IF(Y$3="","",Y34)</f>
        <v/>
      </c>
      <c r="Z45" s="362">
        <f>IF(Z$3="","",Z34)</f>
        <v/>
      </c>
      <c r="AA45" s="362">
        <f>IF(AA$3="","",AA34)</f>
        <v/>
      </c>
      <c r="AB45" s="362">
        <f>IF(AB$3="","",AB34)</f>
        <v/>
      </c>
      <c r="AC45" s="362">
        <f>IF(AC$3="","",AC34)</f>
        <v/>
      </c>
      <c r="AD45" s="362">
        <f>IF(AD$3="","",AD34)</f>
        <v/>
      </c>
      <c r="AE45" s="362">
        <f>IF(AE$3="","",AE34)</f>
        <v/>
      </c>
      <c r="AF45" s="362">
        <f>IF(AF$3="","",AF34)</f>
        <v/>
      </c>
      <c r="AG45" s="362">
        <f>IF(AG$3="","",AG34)</f>
        <v/>
      </c>
      <c r="AH45" s="362">
        <f>IF(AH$3="","",AH34)</f>
        <v/>
      </c>
      <c r="AI45" s="362">
        <f>IF(AI$3="","",AI34)</f>
        <v/>
      </c>
      <c r="AJ45" s="362">
        <f>IF(AJ$3="","",AJ34)</f>
        <v/>
      </c>
      <c r="AK45" s="362">
        <f>IF(AK$3="","",AK34)</f>
        <v/>
      </c>
      <c r="AL45" s="362">
        <f>IF(AL$3="","",AL34)</f>
        <v/>
      </c>
      <c r="AM45" s="362">
        <f>IF(AM$3="","",AM34)</f>
        <v/>
      </c>
      <c r="AN45" s="362">
        <f>IF(AN$3="","",AN34)</f>
        <v/>
      </c>
      <c r="AO45" s="362">
        <f>IF(AO$3="","",AO34)</f>
        <v/>
      </c>
      <c r="AP45" s="362">
        <f>IF(AP$3="","",AP34)</f>
        <v/>
      </c>
      <c r="AQ45" s="362">
        <f>IF(AQ$3="","",AQ34)</f>
        <v/>
      </c>
      <c r="AR45" s="362">
        <f>IF(AR$3="","",AR34)</f>
        <v/>
      </c>
      <c r="AS45" s="362">
        <f>IF(AS$3="","",AS34)</f>
        <v/>
      </c>
      <c r="AT45" s="362">
        <f>IF(AT$3="","",AT34)</f>
        <v/>
      </c>
      <c r="AU45" s="362">
        <f>IF(AU$3="","",AU34)</f>
        <v/>
      </c>
      <c r="AV45" s="362">
        <f>IF(AV$3="","",AV34)</f>
        <v/>
      </c>
      <c r="AW45" s="362">
        <f>IF(AW$3="","",AW34)</f>
        <v/>
      </c>
      <c r="AX45" s="362">
        <f>IF(AX$3="","",AX34)</f>
        <v/>
      </c>
      <c r="AY45" s="362">
        <f>IF(AY$3="","",AY34)</f>
        <v/>
      </c>
      <c r="AZ45" s="362">
        <f>IF(AZ$3="","",AZ34)</f>
        <v/>
      </c>
      <c r="BA45" s="362">
        <f>IF(BA$3="","",BA34)</f>
        <v/>
      </c>
      <c r="BB45" s="362">
        <f>IF(BB$3="","",BB34)</f>
        <v/>
      </c>
      <c r="BC45" s="362">
        <f>IF(BC$3="","",BC34)</f>
        <v/>
      </c>
      <c r="BD45" s="362">
        <f>IF(BD$3="","",BD34)</f>
        <v/>
      </c>
      <c r="BE45" s="362">
        <f>IF(BE$3="","",BE34)</f>
        <v/>
      </c>
      <c r="BF45" s="362">
        <f>IF(BF$3="","",BF34)</f>
        <v/>
      </c>
      <c r="BG45" s="362">
        <f>IF(BG$3="","",BG34)</f>
        <v/>
      </c>
      <c r="BH45" s="362">
        <f>IF(BH$3="","",BH34)</f>
        <v/>
      </c>
      <c r="BI45" s="362">
        <f>IF(BI$3="","",BI34)</f>
        <v/>
      </c>
      <c r="BJ45" s="362">
        <f>IF(BJ$3="","",BJ34)</f>
        <v/>
      </c>
      <c r="BK45" s="362">
        <f>IF(BK$3="","",BK34)</f>
        <v/>
      </c>
      <c r="BL45" s="362">
        <f>IF(BL$3="","",BL34)</f>
        <v/>
      </c>
      <c r="BM45" s="362">
        <f>IF(BM$3="","",BM34)</f>
        <v/>
      </c>
      <c r="BN45" s="362">
        <f>IF(BN$3="","",BN34)</f>
        <v/>
      </c>
      <c r="BO45" s="362">
        <f>IF(BO$3="","",BO34)</f>
        <v/>
      </c>
      <c r="BP45" s="362">
        <f>IF(BP$3="","",BP34)</f>
        <v/>
      </c>
      <c r="BQ45" s="361">
        <f>IF(BQ$3="","",BQ34)</f>
        <v/>
      </c>
      <c r="BR45" s="361">
        <f>IF(BR$3="","",BR34)</f>
        <v/>
      </c>
      <c r="BS45" s="361">
        <f>IF(BS$3="","",BS34)</f>
        <v/>
      </c>
      <c r="BT45" s="361">
        <f>IF(BT$3="","",BT34)</f>
        <v/>
      </c>
      <c r="BU45" s="361">
        <f>IF(BU$3="","",BU34)</f>
        <v/>
      </c>
      <c r="BV45" s="361">
        <f>IF(BV$3="","",BV34)</f>
        <v/>
      </c>
      <c r="BW45" s="361">
        <f>IF(BW$3="","",BW34)</f>
        <v/>
      </c>
      <c r="BX45" s="361">
        <f>IF(BX$3="","",BX34)</f>
        <v/>
      </c>
      <c r="BY45" s="361">
        <f>IF(BY$3="","",BY34)</f>
        <v/>
      </c>
      <c r="BZ45" s="361">
        <f>IF(BZ$3="","",BZ34)</f>
        <v/>
      </c>
      <c r="CA45" s="361">
        <f>IF(CA$3="","",CA34)</f>
        <v/>
      </c>
      <c r="CB45" s="361">
        <f>IF(CB$3="","",CB34)</f>
        <v/>
      </c>
      <c r="CC45" s="361">
        <f>IF(CC$3="","",CC34)</f>
        <v/>
      </c>
      <c r="CD45" s="361">
        <f>IF(CD$3="","",CD34)</f>
        <v/>
      </c>
      <c r="CE45" s="361">
        <f>IF(CE$3="","",CE34)</f>
        <v/>
      </c>
      <c r="CF45" s="361">
        <f>IF(CF$3="","",CF34)</f>
        <v/>
      </c>
      <c r="CG45" s="361">
        <f>IF(CG$3="","",CG34)</f>
        <v/>
      </c>
      <c r="CH45" s="361">
        <f>IF(CH$3="","",CH34)</f>
        <v/>
      </c>
      <c r="CI45" s="361">
        <f>IF(CI$3="","",CI34)</f>
        <v/>
      </c>
      <c r="CJ45" s="361">
        <f>IF(CJ$3="","",CJ34)</f>
        <v/>
      </c>
      <c r="CK45" s="361">
        <f>IF(CK$3="","",CK34)</f>
        <v/>
      </c>
      <c r="CL45" s="361">
        <f>IF(CL$3="","",CL34)</f>
        <v/>
      </c>
      <c r="CM45" s="361">
        <f>IF(CM$3="","",CM34)</f>
        <v/>
      </c>
      <c r="CN45" s="361">
        <f>IF(CN$3="","",CN34)</f>
        <v/>
      </c>
      <c r="CO45" s="361">
        <f>IF(CO$3="","",CO34)</f>
        <v/>
      </c>
      <c r="CP45" s="361">
        <f>IF(CP$3="","",CP34)</f>
        <v/>
      </c>
      <c r="CQ45" s="361">
        <f>IF(CQ$3="","",CQ34)</f>
        <v/>
      </c>
      <c r="CR45" s="361">
        <f>IF(CR$3="","",CR34)</f>
        <v/>
      </c>
      <c r="CS45" s="361">
        <f>IF(CS$3="","",CS34)</f>
        <v/>
      </c>
      <c r="CT45" s="361">
        <f>IF(CT$3="","",CT34)</f>
        <v/>
      </c>
      <c r="CU45" s="361">
        <f>IF(CU$3="","",CU34)</f>
        <v/>
      </c>
      <c r="CV45" s="361">
        <f>IF(CV$3="","",CV34)</f>
        <v/>
      </c>
      <c r="CW45" s="361">
        <f>IF(CW$3="","",CW34)</f>
        <v/>
      </c>
    </row>
  </sheetData>
  <mergeCells count="1">
    <mergeCell ref="A1:CW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CW4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4" customWidth="1" style="179" min="1" max="1"/>
    <col width="11" customWidth="1" style="179" min="2" max="101"/>
  </cols>
  <sheetData>
    <row r="1" ht="21" customHeight="1" s="180">
      <c r="A1" s="292" t="inlineStr">
        <is>
          <t>ライフプラン表（ご主人様働けない時・万円表示）</t>
        </is>
      </c>
    </row>
    <row r="2" ht="15" customHeight="1" s="180">
      <c r="A2" s="214" t="inlineStr">
        <is>
          <t>試算終了年</t>
        </is>
      </c>
      <c r="B2" s="179">
        <f>'CF表（ご主人様働けない時）'!B2</f>
        <v/>
      </c>
    </row>
    <row r="3" ht="15" customHeight="1" s="180">
      <c r="A3" s="215" t="inlineStr">
        <is>
          <t>年</t>
        </is>
      </c>
      <c r="B3" s="216">
        <f>IF('CF表（ご主人様働けない時）'!B3="","",'CF表（ご主人様働けない時）'!B3)</f>
        <v/>
      </c>
      <c r="C3" s="216">
        <f>IF('CF表（ご主人様働けない時）'!C3="","",'CF表（ご主人様働けない時）'!C3)</f>
        <v/>
      </c>
      <c r="D3" s="216">
        <f>IF('CF表（ご主人様働けない時）'!D3="","",'CF表（ご主人様働けない時）'!D3)</f>
        <v/>
      </c>
      <c r="E3" s="216">
        <f>IF('CF表（ご主人様働けない時）'!E3="","",'CF表（ご主人様働けない時）'!E3)</f>
        <v/>
      </c>
      <c r="F3" s="216">
        <f>IF('CF表（ご主人様働けない時）'!F3="","",'CF表（ご主人様働けない時）'!F3)</f>
        <v/>
      </c>
      <c r="G3" s="216">
        <f>IF('CF表（ご主人様働けない時）'!G3="","",'CF表（ご主人様働けない時）'!G3)</f>
        <v/>
      </c>
      <c r="H3" s="216">
        <f>IF('CF表（ご主人様働けない時）'!H3="","",'CF表（ご主人様働けない時）'!H3)</f>
        <v/>
      </c>
      <c r="I3" s="216">
        <f>IF('CF表（ご主人様働けない時）'!I3="","",'CF表（ご主人様働けない時）'!I3)</f>
        <v/>
      </c>
      <c r="J3" s="216">
        <f>IF('CF表（ご主人様働けない時）'!J3="","",'CF表（ご主人様働けない時）'!J3)</f>
        <v/>
      </c>
      <c r="K3" s="216">
        <f>IF('CF表（ご主人様働けない時）'!K3="","",'CF表（ご主人様働けない時）'!K3)</f>
        <v/>
      </c>
      <c r="L3" s="216">
        <f>IF('CF表（ご主人様働けない時）'!L3="","",'CF表（ご主人様働けない時）'!L3)</f>
        <v/>
      </c>
      <c r="M3" s="216">
        <f>IF('CF表（ご主人様働けない時）'!M3="","",'CF表（ご主人様働けない時）'!M3)</f>
        <v/>
      </c>
      <c r="N3" s="216">
        <f>IF('CF表（ご主人様働けない時）'!N3="","",'CF表（ご主人様働けない時）'!N3)</f>
        <v/>
      </c>
      <c r="O3" s="216">
        <f>IF('CF表（ご主人様働けない時）'!O3="","",'CF表（ご主人様働けない時）'!O3)</f>
        <v/>
      </c>
      <c r="P3" s="216">
        <f>IF('CF表（ご主人様働けない時）'!P3="","",'CF表（ご主人様働けない時）'!P3)</f>
        <v/>
      </c>
      <c r="Q3" s="216">
        <f>IF('CF表（ご主人様働けない時）'!Q3="","",'CF表（ご主人様働けない時）'!Q3)</f>
        <v/>
      </c>
      <c r="R3" s="216">
        <f>IF('CF表（ご主人様働けない時）'!R3="","",'CF表（ご主人様働けない時）'!R3)</f>
        <v/>
      </c>
      <c r="S3" s="216">
        <f>IF('CF表（ご主人様働けない時）'!S3="","",'CF表（ご主人様働けない時）'!S3)</f>
        <v/>
      </c>
      <c r="T3" s="216">
        <f>IF('CF表（ご主人様働けない時）'!T3="","",'CF表（ご主人様働けない時）'!T3)</f>
        <v/>
      </c>
      <c r="U3" s="216">
        <f>IF('CF表（ご主人様働けない時）'!U3="","",'CF表（ご主人様働けない時）'!U3)</f>
        <v/>
      </c>
      <c r="V3" s="216">
        <f>IF('CF表（ご主人様働けない時）'!V3="","",'CF表（ご主人様働けない時）'!V3)</f>
        <v/>
      </c>
      <c r="W3" s="216">
        <f>IF('CF表（ご主人様働けない時）'!W3="","",'CF表（ご主人様働けない時）'!W3)</f>
        <v/>
      </c>
      <c r="X3" s="216">
        <f>IF('CF表（ご主人様働けない時）'!X3="","",'CF表（ご主人様働けない時）'!X3)</f>
        <v/>
      </c>
      <c r="Y3" s="216">
        <f>IF('CF表（ご主人様働けない時）'!Y3="","",'CF表（ご主人様働けない時）'!Y3)</f>
        <v/>
      </c>
      <c r="Z3" s="216">
        <f>IF('CF表（ご主人様働けない時）'!Z3="","",'CF表（ご主人様働けない時）'!Z3)</f>
        <v/>
      </c>
      <c r="AA3" s="216">
        <f>IF('CF表（ご主人様働けない時）'!AA3="","",'CF表（ご主人様働けない時）'!AA3)</f>
        <v/>
      </c>
      <c r="AB3" s="216">
        <f>IF('CF表（ご主人様働けない時）'!AB3="","",'CF表（ご主人様働けない時）'!AB3)</f>
        <v/>
      </c>
      <c r="AC3" s="216">
        <f>IF('CF表（ご主人様働けない時）'!AC3="","",'CF表（ご主人様働けない時）'!AC3)</f>
        <v/>
      </c>
      <c r="AD3" s="216">
        <f>IF('CF表（ご主人様働けない時）'!AD3="","",'CF表（ご主人様働けない時）'!AD3)</f>
        <v/>
      </c>
      <c r="AE3" s="216">
        <f>IF('CF表（ご主人様働けない時）'!AE3="","",'CF表（ご主人様働けない時）'!AE3)</f>
        <v/>
      </c>
      <c r="AF3" s="216">
        <f>IF('CF表（ご主人様働けない時）'!AF3="","",'CF表（ご主人様働けない時）'!AF3)</f>
        <v/>
      </c>
      <c r="AG3" s="216">
        <f>IF('CF表（ご主人様働けない時）'!AG3="","",'CF表（ご主人様働けない時）'!AG3)</f>
        <v/>
      </c>
      <c r="AH3" s="216">
        <f>IF('CF表（ご主人様働けない時）'!AH3="","",'CF表（ご主人様働けない時）'!AH3)</f>
        <v/>
      </c>
      <c r="AI3" s="216">
        <f>IF('CF表（ご主人様働けない時）'!AI3="","",'CF表（ご主人様働けない時）'!AI3)</f>
        <v/>
      </c>
      <c r="AJ3" s="216">
        <f>IF('CF表（ご主人様働けない時）'!AJ3="","",'CF表（ご主人様働けない時）'!AJ3)</f>
        <v/>
      </c>
      <c r="AK3" s="216">
        <f>IF('CF表（ご主人様働けない時）'!AK3="","",'CF表（ご主人様働けない時）'!AK3)</f>
        <v/>
      </c>
      <c r="AL3" s="216">
        <f>IF('CF表（ご主人様働けない時）'!AL3="","",'CF表（ご主人様働けない時）'!AL3)</f>
        <v/>
      </c>
      <c r="AM3" s="216">
        <f>IF('CF表（ご主人様働けない時）'!AM3="","",'CF表（ご主人様働けない時）'!AM3)</f>
        <v/>
      </c>
      <c r="AN3" s="216">
        <f>IF('CF表（ご主人様働けない時）'!AN3="","",'CF表（ご主人様働けない時）'!AN3)</f>
        <v/>
      </c>
      <c r="AO3" s="216">
        <f>IF('CF表（ご主人様働けない時）'!AO3="","",'CF表（ご主人様働けない時）'!AO3)</f>
        <v/>
      </c>
      <c r="AP3" s="216">
        <f>IF('CF表（ご主人様働けない時）'!AP3="","",'CF表（ご主人様働けない時）'!AP3)</f>
        <v/>
      </c>
      <c r="AQ3" s="216">
        <f>IF('CF表（ご主人様働けない時）'!AQ3="","",'CF表（ご主人様働けない時）'!AQ3)</f>
        <v/>
      </c>
      <c r="AR3" s="216">
        <f>IF('CF表（ご主人様働けない時）'!AR3="","",'CF表（ご主人様働けない時）'!AR3)</f>
        <v/>
      </c>
      <c r="AS3" s="216">
        <f>IF('CF表（ご主人様働けない時）'!AS3="","",'CF表（ご主人様働けない時）'!AS3)</f>
        <v/>
      </c>
      <c r="AT3" s="216">
        <f>IF('CF表（ご主人様働けない時）'!AT3="","",'CF表（ご主人様働けない時）'!AT3)</f>
        <v/>
      </c>
      <c r="AU3" s="216">
        <f>IF('CF表（ご主人様働けない時）'!AU3="","",'CF表（ご主人様働けない時）'!AU3)</f>
        <v/>
      </c>
      <c r="AV3" s="216">
        <f>IF('CF表（ご主人様働けない時）'!AV3="","",'CF表（ご主人様働けない時）'!AV3)</f>
        <v/>
      </c>
      <c r="AW3" s="216">
        <f>IF('CF表（ご主人様働けない時）'!AW3="","",'CF表（ご主人様働けない時）'!AW3)</f>
        <v/>
      </c>
      <c r="AX3" s="216">
        <f>IF('CF表（ご主人様働けない時）'!AX3="","",'CF表（ご主人様働けない時）'!AX3)</f>
        <v/>
      </c>
      <c r="AY3" s="216">
        <f>IF('CF表（ご主人様働けない時）'!AY3="","",'CF表（ご主人様働けない時）'!AY3)</f>
        <v/>
      </c>
      <c r="AZ3" s="216">
        <f>IF('CF表（ご主人様働けない時）'!AZ3="","",'CF表（ご主人様働けない時）'!AZ3)</f>
        <v/>
      </c>
      <c r="BA3" s="216">
        <f>IF('CF表（ご主人様働けない時）'!BA3="","",'CF表（ご主人様働けない時）'!BA3)</f>
        <v/>
      </c>
      <c r="BB3" s="216">
        <f>IF('CF表（ご主人様働けない時）'!BB3="","",'CF表（ご主人様働けない時）'!BB3)</f>
        <v/>
      </c>
      <c r="BC3" s="216">
        <f>IF('CF表（ご主人様働けない時）'!BC3="","",'CF表（ご主人様働けない時）'!BC3)</f>
        <v/>
      </c>
      <c r="BD3" s="216">
        <f>IF('CF表（ご主人様働けない時）'!BD3="","",'CF表（ご主人様働けない時）'!BD3)</f>
        <v/>
      </c>
      <c r="BE3" s="216">
        <f>IF('CF表（ご主人様働けない時）'!BE3="","",'CF表（ご主人様働けない時）'!BE3)</f>
        <v/>
      </c>
      <c r="BF3" s="216">
        <f>IF('CF表（ご主人様働けない時）'!BF3="","",'CF表（ご主人様働けない時）'!BF3)</f>
        <v/>
      </c>
      <c r="BG3" s="216">
        <f>IF('CF表（ご主人様働けない時）'!BG3="","",'CF表（ご主人様働けない時）'!BG3)</f>
        <v/>
      </c>
      <c r="BH3" s="216">
        <f>IF('CF表（ご主人様働けない時）'!BH3="","",'CF表（ご主人様働けない時）'!BH3)</f>
        <v/>
      </c>
      <c r="BI3" s="216">
        <f>IF('CF表（ご主人様働けない時）'!BI3="","",'CF表（ご主人様働けない時）'!BI3)</f>
        <v/>
      </c>
      <c r="BJ3" s="216">
        <f>IF('CF表（ご主人様働けない時）'!BJ3="","",'CF表（ご主人様働けない時）'!BJ3)</f>
        <v/>
      </c>
      <c r="BK3" s="216">
        <f>IF('CF表（ご主人様働けない時）'!BK3="","",'CF表（ご主人様働けない時）'!BK3)</f>
        <v/>
      </c>
      <c r="BL3" s="216">
        <f>IF('CF表（ご主人様働けない時）'!BL3="","",'CF表（ご主人様働けない時）'!BL3)</f>
        <v/>
      </c>
      <c r="BM3" s="216">
        <f>IF('CF表（ご主人様働けない時）'!BM3="","",'CF表（ご主人様働けない時）'!BM3)</f>
        <v/>
      </c>
      <c r="BN3" s="216">
        <f>IF('CF表（ご主人様働けない時）'!BN3="","",'CF表（ご主人様働けない時）'!BN3)</f>
        <v/>
      </c>
      <c r="BO3" s="216">
        <f>IF('CF表（ご主人様働けない時）'!BO3="","",'CF表（ご主人様働けない時）'!BO3)</f>
        <v/>
      </c>
      <c r="BP3" s="216">
        <f>IF('CF表（ご主人様働けない時）'!BP3="","",'CF表（ご主人様働けない時）'!BP3)</f>
        <v/>
      </c>
      <c r="BQ3" s="216">
        <f>IF('CF表（ご主人様働けない時）'!BQ3="","",'CF表（ご主人様働けない時）'!BQ3)</f>
        <v/>
      </c>
      <c r="BR3" s="216">
        <f>IF('CF表（ご主人様働けない時）'!BR3="","",'CF表（ご主人様働けない時）'!BR3)</f>
        <v/>
      </c>
      <c r="BS3" s="216">
        <f>IF('CF表（ご主人様働けない時）'!BS3="","",'CF表（ご主人様働けない時）'!BS3)</f>
        <v/>
      </c>
      <c r="BT3" s="216">
        <f>IF('CF表（ご主人様働けない時）'!BT3="","",'CF表（ご主人様働けない時）'!BT3)</f>
        <v/>
      </c>
      <c r="BU3" s="216">
        <f>IF('CF表（ご主人様働けない時）'!BU3="","",'CF表（ご主人様働けない時）'!BU3)</f>
        <v/>
      </c>
      <c r="BV3" s="216">
        <f>IF('CF表（ご主人様働けない時）'!BV3="","",'CF表（ご主人様働けない時）'!BV3)</f>
        <v/>
      </c>
      <c r="BW3" s="216">
        <f>IF('CF表（ご主人様働けない時）'!BW3="","",'CF表（ご主人様働けない時）'!BW3)</f>
        <v/>
      </c>
      <c r="BX3" s="216">
        <f>IF('CF表（ご主人様働けない時）'!BX3="","",'CF表（ご主人様働けない時）'!BX3)</f>
        <v/>
      </c>
      <c r="BY3" s="216">
        <f>IF('CF表（ご主人様働けない時）'!BY3="","",'CF表（ご主人様働けない時）'!BY3)</f>
        <v/>
      </c>
      <c r="BZ3" s="216">
        <f>IF('CF表（ご主人様働けない時）'!BZ3="","",'CF表（ご主人様働けない時）'!BZ3)</f>
        <v/>
      </c>
      <c r="CA3" s="216">
        <f>IF('CF表（ご主人様働けない時）'!CA3="","",'CF表（ご主人様働けない時）'!CA3)</f>
        <v/>
      </c>
      <c r="CB3" s="216">
        <f>IF('CF表（ご主人様働けない時）'!CB3="","",'CF表（ご主人様働けない時）'!CB3)</f>
        <v/>
      </c>
      <c r="CC3" s="216">
        <f>IF('CF表（ご主人様働けない時）'!CC3="","",'CF表（ご主人様働けない時）'!CC3)</f>
        <v/>
      </c>
      <c r="CD3" s="216">
        <f>IF('CF表（ご主人様働けない時）'!CD3="","",'CF表（ご主人様働けない時）'!CD3)</f>
        <v/>
      </c>
      <c r="CE3" s="216">
        <f>IF('CF表（ご主人様働けない時）'!CE3="","",'CF表（ご主人様働けない時）'!CE3)</f>
        <v/>
      </c>
      <c r="CF3" s="216">
        <f>IF('CF表（ご主人様働けない時）'!CF3="","",'CF表（ご主人様働けない時）'!CF3)</f>
        <v/>
      </c>
      <c r="CG3" s="216">
        <f>IF('CF表（ご主人様働けない時）'!CG3="","",'CF表（ご主人様働けない時）'!CG3)</f>
        <v/>
      </c>
      <c r="CH3" s="216">
        <f>IF('CF表（ご主人様働けない時）'!CH3="","",'CF表（ご主人様働けない時）'!CH3)</f>
        <v/>
      </c>
      <c r="CI3" s="216">
        <f>IF('CF表（ご主人様働けない時）'!CI3="","",'CF表（ご主人様働けない時）'!CI3)</f>
        <v/>
      </c>
      <c r="CJ3" s="216">
        <f>IF('CF表（ご主人様働けない時）'!CJ3="","",'CF表（ご主人様働けない時）'!CJ3)</f>
        <v/>
      </c>
      <c r="CK3" s="216">
        <f>IF('CF表（ご主人様働けない時）'!CK3="","",'CF表（ご主人様働けない時）'!CK3)</f>
        <v/>
      </c>
      <c r="CL3" s="216">
        <f>IF('CF表（ご主人様働けない時）'!CL3="","",'CF表（ご主人様働けない時）'!CL3)</f>
        <v/>
      </c>
      <c r="CM3" s="216">
        <f>IF('CF表（ご主人様働けない時）'!CM3="","",'CF表（ご主人様働けない時）'!CM3)</f>
        <v/>
      </c>
      <c r="CN3" s="216">
        <f>IF('CF表（ご主人様働けない時）'!CN3="","",'CF表（ご主人様働けない時）'!CN3)</f>
        <v/>
      </c>
      <c r="CO3" s="216">
        <f>IF('CF表（ご主人様働けない時）'!CO3="","",'CF表（ご主人様働けない時）'!CO3)</f>
        <v/>
      </c>
      <c r="CP3" s="216">
        <f>IF('CF表（ご主人様働けない時）'!CP3="","",'CF表（ご主人様働けない時）'!CP3)</f>
        <v/>
      </c>
      <c r="CQ3" s="216">
        <f>IF('CF表（ご主人様働けない時）'!CQ3="","",'CF表（ご主人様働けない時）'!CQ3)</f>
        <v/>
      </c>
      <c r="CR3" s="216">
        <f>IF('CF表（ご主人様働けない時）'!CR3="","",'CF表（ご主人様働けない時）'!CR3)</f>
        <v/>
      </c>
      <c r="CS3" s="216">
        <f>IF('CF表（ご主人様働けない時）'!CS3="","",'CF表（ご主人様働けない時）'!CS3)</f>
        <v/>
      </c>
      <c r="CT3" s="216">
        <f>IF('CF表（ご主人様働けない時）'!CT3="","",'CF表（ご主人様働けない時）'!CT3)</f>
        <v/>
      </c>
      <c r="CU3" s="216">
        <f>IF('CF表（ご主人様働けない時）'!CU3="","",'CF表（ご主人様働けない時）'!CU3)</f>
        <v/>
      </c>
      <c r="CV3" s="216">
        <f>IF('CF表（ご主人様働けない時）'!CV3="","",'CF表（ご主人様働けない時）'!CV3)</f>
        <v/>
      </c>
      <c r="CW3" s="216">
        <f>IF('CF表（ご主人様働けない時）'!CW3="","",'CF表（ご主人様働けない時）'!CW3)</f>
        <v/>
      </c>
    </row>
    <row r="4" ht="15" customHeight="1" s="180">
      <c r="A4" s="217" t="inlineStr">
        <is>
          <t>ご主人様年齢</t>
        </is>
      </c>
      <c r="B4" s="218">
        <f>IF('CF表（ご主人様働けない時）'!B4="","",'CF表（ご主人様働けない時）'!B4)</f>
        <v/>
      </c>
      <c r="C4" s="218">
        <f>IF('CF表（ご主人様働けない時）'!C4="","",'CF表（ご主人様働けない時）'!C4)</f>
        <v/>
      </c>
      <c r="D4" s="218">
        <f>IF('CF表（ご主人様働けない時）'!D4="","",'CF表（ご主人様働けない時）'!D4)</f>
        <v/>
      </c>
      <c r="E4" s="218">
        <f>IF('CF表（ご主人様働けない時）'!E4="","",'CF表（ご主人様働けない時）'!E4)</f>
        <v/>
      </c>
      <c r="F4" s="218">
        <f>IF('CF表（ご主人様働けない時）'!F4="","",'CF表（ご主人様働けない時）'!F4)</f>
        <v/>
      </c>
      <c r="G4" s="218">
        <f>IF('CF表（ご主人様働けない時）'!G4="","",'CF表（ご主人様働けない時）'!G4)</f>
        <v/>
      </c>
      <c r="H4" s="218">
        <f>IF('CF表（ご主人様働けない時）'!H4="","",'CF表（ご主人様働けない時）'!H4)</f>
        <v/>
      </c>
      <c r="I4" s="218">
        <f>IF('CF表（ご主人様働けない時）'!I4="","",'CF表（ご主人様働けない時）'!I4)</f>
        <v/>
      </c>
      <c r="J4" s="218">
        <f>IF('CF表（ご主人様働けない時）'!J4="","",'CF表（ご主人様働けない時）'!J4)</f>
        <v/>
      </c>
      <c r="K4" s="218">
        <f>IF('CF表（ご主人様働けない時）'!K4="","",'CF表（ご主人様働けない時）'!K4)</f>
        <v/>
      </c>
      <c r="L4" s="218">
        <f>IF('CF表（ご主人様働けない時）'!L4="","",'CF表（ご主人様働けない時）'!L4)</f>
        <v/>
      </c>
      <c r="M4" s="218">
        <f>IF('CF表（ご主人様働けない時）'!M4="","",'CF表（ご主人様働けない時）'!M4)</f>
        <v/>
      </c>
      <c r="N4" s="218">
        <f>IF('CF表（ご主人様働けない時）'!N4="","",'CF表（ご主人様働けない時）'!N4)</f>
        <v/>
      </c>
      <c r="O4" s="218">
        <f>IF('CF表（ご主人様働けない時）'!O4="","",'CF表（ご主人様働けない時）'!O4)</f>
        <v/>
      </c>
      <c r="P4" s="218">
        <f>IF('CF表（ご主人様働けない時）'!P4="","",'CF表（ご主人様働けない時）'!P4)</f>
        <v/>
      </c>
      <c r="Q4" s="218">
        <f>IF('CF表（ご主人様働けない時）'!Q4="","",'CF表（ご主人様働けない時）'!Q4)</f>
        <v/>
      </c>
      <c r="R4" s="218">
        <f>IF('CF表（ご主人様働けない時）'!R4="","",'CF表（ご主人様働けない時）'!R4)</f>
        <v/>
      </c>
      <c r="S4" s="218">
        <f>IF('CF表（ご主人様働けない時）'!S4="","",'CF表（ご主人様働けない時）'!S4)</f>
        <v/>
      </c>
      <c r="T4" s="218">
        <f>IF('CF表（ご主人様働けない時）'!T4="","",'CF表（ご主人様働けない時）'!T4)</f>
        <v/>
      </c>
      <c r="U4" s="218">
        <f>IF('CF表（ご主人様働けない時）'!U4="","",'CF表（ご主人様働けない時）'!U4)</f>
        <v/>
      </c>
      <c r="V4" s="218">
        <f>IF('CF表（ご主人様働けない時）'!V4="","",'CF表（ご主人様働けない時）'!V4)</f>
        <v/>
      </c>
      <c r="W4" s="218">
        <f>IF('CF表（ご主人様働けない時）'!W4="","",'CF表（ご主人様働けない時）'!W4)</f>
        <v/>
      </c>
      <c r="X4" s="218">
        <f>IF('CF表（ご主人様働けない時）'!X4="","",'CF表（ご主人様働けない時）'!X4)</f>
        <v/>
      </c>
      <c r="Y4" s="218">
        <f>IF('CF表（ご主人様働けない時）'!Y4="","",'CF表（ご主人様働けない時）'!Y4)</f>
        <v/>
      </c>
      <c r="Z4" s="218">
        <f>IF('CF表（ご主人様働けない時）'!Z4="","",'CF表（ご主人様働けない時）'!Z4)</f>
        <v/>
      </c>
      <c r="AA4" s="218">
        <f>IF('CF表（ご主人様働けない時）'!AA4="","",'CF表（ご主人様働けない時）'!AA4)</f>
        <v/>
      </c>
      <c r="AB4" s="218">
        <f>IF('CF表（ご主人様働けない時）'!AB4="","",'CF表（ご主人様働けない時）'!AB4)</f>
        <v/>
      </c>
      <c r="AC4" s="218">
        <f>IF('CF表（ご主人様働けない時）'!AC4="","",'CF表（ご主人様働けない時）'!AC4)</f>
        <v/>
      </c>
      <c r="AD4" s="218">
        <f>IF('CF表（ご主人様働けない時）'!AD4="","",'CF表（ご主人様働けない時）'!AD4)</f>
        <v/>
      </c>
      <c r="AE4" s="218">
        <f>IF('CF表（ご主人様働けない時）'!AE4="","",'CF表（ご主人様働けない時）'!AE4)</f>
        <v/>
      </c>
      <c r="AF4" s="218">
        <f>IF('CF表（ご主人様働けない時）'!AF4="","",'CF表（ご主人様働けない時）'!AF4)</f>
        <v/>
      </c>
      <c r="AG4" s="218">
        <f>IF('CF表（ご主人様働けない時）'!AG4="","",'CF表（ご主人様働けない時）'!AG4)</f>
        <v/>
      </c>
      <c r="AH4" s="218">
        <f>IF('CF表（ご主人様働けない時）'!AH4="","",'CF表（ご主人様働けない時）'!AH4)</f>
        <v/>
      </c>
      <c r="AI4" s="218">
        <f>IF('CF表（ご主人様働けない時）'!AI4="","",'CF表（ご主人様働けない時）'!AI4)</f>
        <v/>
      </c>
      <c r="AJ4" s="218">
        <f>IF('CF表（ご主人様働けない時）'!AJ4="","",'CF表（ご主人様働けない時）'!AJ4)</f>
        <v/>
      </c>
      <c r="AK4" s="218">
        <f>IF('CF表（ご主人様働けない時）'!AK4="","",'CF表（ご主人様働けない時）'!AK4)</f>
        <v/>
      </c>
      <c r="AL4" s="218">
        <f>IF('CF表（ご主人様働けない時）'!AL4="","",'CF表（ご主人様働けない時）'!AL4)</f>
        <v/>
      </c>
      <c r="AM4" s="218">
        <f>IF('CF表（ご主人様働けない時）'!AM4="","",'CF表（ご主人様働けない時）'!AM4)</f>
        <v/>
      </c>
      <c r="AN4" s="218">
        <f>IF('CF表（ご主人様働けない時）'!AN4="","",'CF表（ご主人様働けない時）'!AN4)</f>
        <v/>
      </c>
      <c r="AO4" s="218">
        <f>IF('CF表（ご主人様働けない時）'!AO4="","",'CF表（ご主人様働けない時）'!AO4)</f>
        <v/>
      </c>
      <c r="AP4" s="218">
        <f>IF('CF表（ご主人様働けない時）'!AP4="","",'CF表（ご主人様働けない時）'!AP4)</f>
        <v/>
      </c>
      <c r="AQ4" s="218">
        <f>IF('CF表（ご主人様働けない時）'!AQ4="","",'CF表（ご主人様働けない時）'!AQ4)</f>
        <v/>
      </c>
      <c r="AR4" s="218">
        <f>IF('CF表（ご主人様働けない時）'!AR4="","",'CF表（ご主人様働けない時）'!AR4)</f>
        <v/>
      </c>
      <c r="AS4" s="218">
        <f>IF('CF表（ご主人様働けない時）'!AS4="","",'CF表（ご主人様働けない時）'!AS4)</f>
        <v/>
      </c>
      <c r="AT4" s="218">
        <f>IF('CF表（ご主人様働けない時）'!AT4="","",'CF表（ご主人様働けない時）'!AT4)</f>
        <v/>
      </c>
      <c r="AU4" s="218">
        <f>IF('CF表（ご主人様働けない時）'!AU4="","",'CF表（ご主人様働けない時）'!AU4)</f>
        <v/>
      </c>
      <c r="AV4" s="218">
        <f>IF('CF表（ご主人様働けない時）'!AV4="","",'CF表（ご主人様働けない時）'!AV4)</f>
        <v/>
      </c>
      <c r="AW4" s="218">
        <f>IF('CF表（ご主人様働けない時）'!AW4="","",'CF表（ご主人様働けない時）'!AW4)</f>
        <v/>
      </c>
      <c r="AX4" s="218">
        <f>IF('CF表（ご主人様働けない時）'!AX4="","",'CF表（ご主人様働けない時）'!AX4)</f>
        <v/>
      </c>
      <c r="AY4" s="218">
        <f>IF('CF表（ご主人様働けない時）'!AY4="","",'CF表（ご主人様働けない時）'!AY4)</f>
        <v/>
      </c>
      <c r="AZ4" s="218">
        <f>IF('CF表（ご主人様働けない時）'!AZ4="","",'CF表（ご主人様働けない時）'!AZ4)</f>
        <v/>
      </c>
      <c r="BA4" s="218">
        <f>IF('CF表（ご主人様働けない時）'!BA4="","",'CF表（ご主人様働けない時）'!BA4)</f>
        <v/>
      </c>
      <c r="BB4" s="218">
        <f>IF('CF表（ご主人様働けない時）'!BB4="","",'CF表（ご主人様働けない時）'!BB4)</f>
        <v/>
      </c>
      <c r="BC4" s="218">
        <f>IF('CF表（ご主人様働けない時）'!BC4="","",'CF表（ご主人様働けない時）'!BC4)</f>
        <v/>
      </c>
      <c r="BD4" s="218">
        <f>IF('CF表（ご主人様働けない時）'!BD4="","",'CF表（ご主人様働けない時）'!BD4)</f>
        <v/>
      </c>
      <c r="BE4" s="218">
        <f>IF('CF表（ご主人様働けない時）'!BE4="","",'CF表（ご主人様働けない時）'!BE4)</f>
        <v/>
      </c>
      <c r="BF4" s="218">
        <f>IF('CF表（ご主人様働けない時）'!BF4="","",'CF表（ご主人様働けない時）'!BF4)</f>
        <v/>
      </c>
      <c r="BG4" s="218">
        <f>IF('CF表（ご主人様働けない時）'!BG4="","",'CF表（ご主人様働けない時）'!BG4)</f>
        <v/>
      </c>
      <c r="BH4" s="218">
        <f>IF('CF表（ご主人様働けない時）'!BH4="","",'CF表（ご主人様働けない時）'!BH4)</f>
        <v/>
      </c>
      <c r="BI4" s="218">
        <f>IF('CF表（ご主人様働けない時）'!BI4="","",'CF表（ご主人様働けない時）'!BI4)</f>
        <v/>
      </c>
      <c r="BJ4" s="218">
        <f>IF('CF表（ご主人様働けない時）'!BJ4="","",'CF表（ご主人様働けない時）'!BJ4)</f>
        <v/>
      </c>
      <c r="BK4" s="218">
        <f>IF('CF表（ご主人様働けない時）'!BK4="","",'CF表（ご主人様働けない時）'!BK4)</f>
        <v/>
      </c>
      <c r="BL4" s="218">
        <f>IF('CF表（ご主人様働けない時）'!BL4="","",'CF表（ご主人様働けない時）'!BL4)</f>
        <v/>
      </c>
      <c r="BM4" s="218">
        <f>IF('CF表（ご主人様働けない時）'!BM4="","",'CF表（ご主人様働けない時）'!BM4)</f>
        <v/>
      </c>
      <c r="BN4" s="218">
        <f>IF('CF表（ご主人様働けない時）'!BN4="","",'CF表（ご主人様働けない時）'!BN4)</f>
        <v/>
      </c>
      <c r="BO4" s="218">
        <f>IF('CF表（ご主人様働けない時）'!BO4="","",'CF表（ご主人様働けない時）'!BO4)</f>
        <v/>
      </c>
      <c r="BP4" s="218">
        <f>IF('CF表（ご主人様働けない時）'!BP4="","",'CF表（ご主人様働けない時）'!BP4)</f>
        <v/>
      </c>
      <c r="BQ4" s="218">
        <f>IF('CF表（ご主人様働けない時）'!BQ4="","",'CF表（ご主人様働けない時）'!BQ4)</f>
        <v/>
      </c>
      <c r="BR4" s="218">
        <f>IF('CF表（ご主人様働けない時）'!BR4="","",'CF表（ご主人様働けない時）'!BR4)</f>
        <v/>
      </c>
      <c r="BS4" s="218">
        <f>IF('CF表（ご主人様働けない時）'!BS4="","",'CF表（ご主人様働けない時）'!BS4)</f>
        <v/>
      </c>
      <c r="BT4" s="218">
        <f>IF('CF表（ご主人様働けない時）'!BT4="","",'CF表（ご主人様働けない時）'!BT4)</f>
        <v/>
      </c>
      <c r="BU4" s="218">
        <f>IF('CF表（ご主人様働けない時）'!BU4="","",'CF表（ご主人様働けない時）'!BU4)</f>
        <v/>
      </c>
      <c r="BV4" s="218">
        <f>IF('CF表（ご主人様働けない時）'!BV4="","",'CF表（ご主人様働けない時）'!BV4)</f>
        <v/>
      </c>
      <c r="BW4" s="218">
        <f>IF('CF表（ご主人様働けない時）'!BW4="","",'CF表（ご主人様働けない時）'!BW4)</f>
        <v/>
      </c>
      <c r="BX4" s="218">
        <f>IF('CF表（ご主人様働けない時）'!BX4="","",'CF表（ご主人様働けない時）'!BX4)</f>
        <v/>
      </c>
      <c r="BY4" s="218">
        <f>IF('CF表（ご主人様働けない時）'!BY4="","",'CF表（ご主人様働けない時）'!BY4)</f>
        <v/>
      </c>
      <c r="BZ4" s="218">
        <f>IF('CF表（ご主人様働けない時）'!BZ4="","",'CF表（ご主人様働けない時）'!BZ4)</f>
        <v/>
      </c>
      <c r="CA4" s="218">
        <f>IF('CF表（ご主人様働けない時）'!CA4="","",'CF表（ご主人様働けない時）'!CA4)</f>
        <v/>
      </c>
      <c r="CB4" s="218">
        <f>IF('CF表（ご主人様働けない時）'!CB4="","",'CF表（ご主人様働けない時）'!CB4)</f>
        <v/>
      </c>
      <c r="CC4" s="218">
        <f>IF('CF表（ご主人様働けない時）'!CC4="","",'CF表（ご主人様働けない時）'!CC4)</f>
        <v/>
      </c>
      <c r="CD4" s="218">
        <f>IF('CF表（ご主人様働けない時）'!CD4="","",'CF表（ご主人様働けない時）'!CD4)</f>
        <v/>
      </c>
      <c r="CE4" s="218">
        <f>IF('CF表（ご主人様働けない時）'!CE4="","",'CF表（ご主人様働けない時）'!CE4)</f>
        <v/>
      </c>
      <c r="CF4" s="218">
        <f>IF('CF表（ご主人様働けない時）'!CF4="","",'CF表（ご主人様働けない時）'!CF4)</f>
        <v/>
      </c>
      <c r="CG4" s="218">
        <f>IF('CF表（ご主人様働けない時）'!CG4="","",'CF表（ご主人様働けない時）'!CG4)</f>
        <v/>
      </c>
      <c r="CH4" s="218">
        <f>IF('CF表（ご主人様働けない時）'!CH4="","",'CF表（ご主人様働けない時）'!CH4)</f>
        <v/>
      </c>
      <c r="CI4" s="218">
        <f>IF('CF表（ご主人様働けない時）'!CI4="","",'CF表（ご主人様働けない時）'!CI4)</f>
        <v/>
      </c>
      <c r="CJ4" s="218">
        <f>IF('CF表（ご主人様働けない時）'!CJ4="","",'CF表（ご主人様働けない時）'!CJ4)</f>
        <v/>
      </c>
      <c r="CK4" s="218">
        <f>IF('CF表（ご主人様働けない時）'!CK4="","",'CF表（ご主人様働けない時）'!CK4)</f>
        <v/>
      </c>
      <c r="CL4" s="218">
        <f>IF('CF表（ご主人様働けない時）'!CL4="","",'CF表（ご主人様働けない時）'!CL4)</f>
        <v/>
      </c>
      <c r="CM4" s="218">
        <f>IF('CF表（ご主人様働けない時）'!CM4="","",'CF表（ご主人様働けない時）'!CM4)</f>
        <v/>
      </c>
      <c r="CN4" s="218">
        <f>IF('CF表（ご主人様働けない時）'!CN4="","",'CF表（ご主人様働けない時）'!CN4)</f>
        <v/>
      </c>
      <c r="CO4" s="218">
        <f>IF('CF表（ご主人様働けない時）'!CO4="","",'CF表（ご主人様働けない時）'!CO4)</f>
        <v/>
      </c>
      <c r="CP4" s="218">
        <f>IF('CF表（ご主人様働けない時）'!CP4="","",'CF表（ご主人様働けない時）'!CP4)</f>
        <v/>
      </c>
      <c r="CQ4" s="218">
        <f>IF('CF表（ご主人様働けない時）'!CQ4="","",'CF表（ご主人様働けない時）'!CQ4)</f>
        <v/>
      </c>
      <c r="CR4" s="218">
        <f>IF('CF表（ご主人様働けない時）'!CR4="","",'CF表（ご主人様働けない時）'!CR4)</f>
        <v/>
      </c>
      <c r="CS4" s="218">
        <f>IF('CF表（ご主人様働けない時）'!CS4="","",'CF表（ご主人様働けない時）'!CS4)</f>
        <v/>
      </c>
      <c r="CT4" s="218">
        <f>IF('CF表（ご主人様働けない時）'!CT4="","",'CF表（ご主人様働けない時）'!CT4)</f>
        <v/>
      </c>
      <c r="CU4" s="218">
        <f>IF('CF表（ご主人様働けない時）'!CU4="","",'CF表（ご主人様働けない時）'!CU4)</f>
        <v/>
      </c>
      <c r="CV4" s="218">
        <f>IF('CF表（ご主人様働けない時）'!CV4="","",'CF表（ご主人様働けない時）'!CV4)</f>
        <v/>
      </c>
      <c r="CW4" s="218">
        <f>IF('CF表（ご主人様働けない時）'!CW4="","",'CF表（ご主人様働けない時）'!CW4)</f>
        <v/>
      </c>
    </row>
    <row r="5" ht="15" customHeight="1" s="180">
      <c r="A5" s="217" t="inlineStr">
        <is>
          <t>奥様年齢</t>
        </is>
      </c>
      <c r="B5" s="218">
        <f>IF('CF表（ご主人様働けない時）'!B5="","",'CF表（ご主人様働けない時）'!B5)</f>
        <v/>
      </c>
      <c r="C5" s="218">
        <f>IF('CF表（ご主人様働けない時）'!C5="","",'CF表（ご主人様働けない時）'!C5)</f>
        <v/>
      </c>
      <c r="D5" s="218">
        <f>IF('CF表（ご主人様働けない時）'!D5="","",'CF表（ご主人様働けない時）'!D5)</f>
        <v/>
      </c>
      <c r="E5" s="218">
        <f>IF('CF表（ご主人様働けない時）'!E5="","",'CF表（ご主人様働けない時）'!E5)</f>
        <v/>
      </c>
      <c r="F5" s="218">
        <f>IF('CF表（ご主人様働けない時）'!F5="","",'CF表（ご主人様働けない時）'!F5)</f>
        <v/>
      </c>
      <c r="G5" s="218">
        <f>IF('CF表（ご主人様働けない時）'!G5="","",'CF表（ご主人様働けない時）'!G5)</f>
        <v/>
      </c>
      <c r="H5" s="218">
        <f>IF('CF表（ご主人様働けない時）'!H5="","",'CF表（ご主人様働けない時）'!H5)</f>
        <v/>
      </c>
      <c r="I5" s="218">
        <f>IF('CF表（ご主人様働けない時）'!I5="","",'CF表（ご主人様働けない時）'!I5)</f>
        <v/>
      </c>
      <c r="J5" s="218">
        <f>IF('CF表（ご主人様働けない時）'!J5="","",'CF表（ご主人様働けない時）'!J5)</f>
        <v/>
      </c>
      <c r="K5" s="218">
        <f>IF('CF表（ご主人様働けない時）'!K5="","",'CF表（ご主人様働けない時）'!K5)</f>
        <v/>
      </c>
      <c r="L5" s="218">
        <f>IF('CF表（ご主人様働けない時）'!L5="","",'CF表（ご主人様働けない時）'!L5)</f>
        <v/>
      </c>
      <c r="M5" s="218">
        <f>IF('CF表（ご主人様働けない時）'!M5="","",'CF表（ご主人様働けない時）'!M5)</f>
        <v/>
      </c>
      <c r="N5" s="218">
        <f>IF('CF表（ご主人様働けない時）'!N5="","",'CF表（ご主人様働けない時）'!N5)</f>
        <v/>
      </c>
      <c r="O5" s="218">
        <f>IF('CF表（ご主人様働けない時）'!O5="","",'CF表（ご主人様働けない時）'!O5)</f>
        <v/>
      </c>
      <c r="P5" s="218">
        <f>IF('CF表（ご主人様働けない時）'!P5="","",'CF表（ご主人様働けない時）'!P5)</f>
        <v/>
      </c>
      <c r="Q5" s="218">
        <f>IF('CF表（ご主人様働けない時）'!Q5="","",'CF表（ご主人様働けない時）'!Q5)</f>
        <v/>
      </c>
      <c r="R5" s="218">
        <f>IF('CF表（ご主人様働けない時）'!R5="","",'CF表（ご主人様働けない時）'!R5)</f>
        <v/>
      </c>
      <c r="S5" s="218">
        <f>IF('CF表（ご主人様働けない時）'!S5="","",'CF表（ご主人様働けない時）'!S5)</f>
        <v/>
      </c>
      <c r="T5" s="218">
        <f>IF('CF表（ご主人様働けない時）'!T5="","",'CF表（ご主人様働けない時）'!T5)</f>
        <v/>
      </c>
      <c r="U5" s="218">
        <f>IF('CF表（ご主人様働けない時）'!U5="","",'CF表（ご主人様働けない時）'!U5)</f>
        <v/>
      </c>
      <c r="V5" s="218">
        <f>IF('CF表（ご主人様働けない時）'!V5="","",'CF表（ご主人様働けない時）'!V5)</f>
        <v/>
      </c>
      <c r="W5" s="218">
        <f>IF('CF表（ご主人様働けない時）'!W5="","",'CF表（ご主人様働けない時）'!W5)</f>
        <v/>
      </c>
      <c r="X5" s="218">
        <f>IF('CF表（ご主人様働けない時）'!X5="","",'CF表（ご主人様働けない時）'!X5)</f>
        <v/>
      </c>
      <c r="Y5" s="218">
        <f>IF('CF表（ご主人様働けない時）'!Y5="","",'CF表（ご主人様働けない時）'!Y5)</f>
        <v/>
      </c>
      <c r="Z5" s="218">
        <f>IF('CF表（ご主人様働けない時）'!Z5="","",'CF表（ご主人様働けない時）'!Z5)</f>
        <v/>
      </c>
      <c r="AA5" s="218">
        <f>IF('CF表（ご主人様働けない時）'!AA5="","",'CF表（ご主人様働けない時）'!AA5)</f>
        <v/>
      </c>
      <c r="AB5" s="218">
        <f>IF('CF表（ご主人様働けない時）'!AB5="","",'CF表（ご主人様働けない時）'!AB5)</f>
        <v/>
      </c>
      <c r="AC5" s="218">
        <f>IF('CF表（ご主人様働けない時）'!AC5="","",'CF表（ご主人様働けない時）'!AC5)</f>
        <v/>
      </c>
      <c r="AD5" s="218">
        <f>IF('CF表（ご主人様働けない時）'!AD5="","",'CF表（ご主人様働けない時）'!AD5)</f>
        <v/>
      </c>
      <c r="AE5" s="218">
        <f>IF('CF表（ご主人様働けない時）'!AE5="","",'CF表（ご主人様働けない時）'!AE5)</f>
        <v/>
      </c>
      <c r="AF5" s="218">
        <f>IF('CF表（ご主人様働けない時）'!AF5="","",'CF表（ご主人様働けない時）'!AF5)</f>
        <v/>
      </c>
      <c r="AG5" s="218">
        <f>IF('CF表（ご主人様働けない時）'!AG5="","",'CF表（ご主人様働けない時）'!AG5)</f>
        <v/>
      </c>
      <c r="AH5" s="218">
        <f>IF('CF表（ご主人様働けない時）'!AH5="","",'CF表（ご主人様働けない時）'!AH5)</f>
        <v/>
      </c>
      <c r="AI5" s="218">
        <f>IF('CF表（ご主人様働けない時）'!AI5="","",'CF表（ご主人様働けない時）'!AI5)</f>
        <v/>
      </c>
      <c r="AJ5" s="218">
        <f>IF('CF表（ご主人様働けない時）'!AJ5="","",'CF表（ご主人様働けない時）'!AJ5)</f>
        <v/>
      </c>
      <c r="AK5" s="218">
        <f>IF('CF表（ご主人様働けない時）'!AK5="","",'CF表（ご主人様働けない時）'!AK5)</f>
        <v/>
      </c>
      <c r="AL5" s="218">
        <f>IF('CF表（ご主人様働けない時）'!AL5="","",'CF表（ご主人様働けない時）'!AL5)</f>
        <v/>
      </c>
      <c r="AM5" s="218">
        <f>IF('CF表（ご主人様働けない時）'!AM5="","",'CF表（ご主人様働けない時）'!AM5)</f>
        <v/>
      </c>
      <c r="AN5" s="218">
        <f>IF('CF表（ご主人様働けない時）'!AN5="","",'CF表（ご主人様働けない時）'!AN5)</f>
        <v/>
      </c>
      <c r="AO5" s="218">
        <f>IF('CF表（ご主人様働けない時）'!AO5="","",'CF表（ご主人様働けない時）'!AO5)</f>
        <v/>
      </c>
      <c r="AP5" s="218">
        <f>IF('CF表（ご主人様働けない時）'!AP5="","",'CF表（ご主人様働けない時）'!AP5)</f>
        <v/>
      </c>
      <c r="AQ5" s="218">
        <f>IF('CF表（ご主人様働けない時）'!AQ5="","",'CF表（ご主人様働けない時）'!AQ5)</f>
        <v/>
      </c>
      <c r="AR5" s="218">
        <f>IF('CF表（ご主人様働けない時）'!AR5="","",'CF表（ご主人様働けない時）'!AR5)</f>
        <v/>
      </c>
      <c r="AS5" s="218">
        <f>IF('CF表（ご主人様働けない時）'!AS5="","",'CF表（ご主人様働けない時）'!AS5)</f>
        <v/>
      </c>
      <c r="AT5" s="218">
        <f>IF('CF表（ご主人様働けない時）'!AT5="","",'CF表（ご主人様働けない時）'!AT5)</f>
        <v/>
      </c>
      <c r="AU5" s="218">
        <f>IF('CF表（ご主人様働けない時）'!AU5="","",'CF表（ご主人様働けない時）'!AU5)</f>
        <v/>
      </c>
      <c r="AV5" s="218">
        <f>IF('CF表（ご主人様働けない時）'!AV5="","",'CF表（ご主人様働けない時）'!AV5)</f>
        <v/>
      </c>
      <c r="AW5" s="218">
        <f>IF('CF表（ご主人様働けない時）'!AW5="","",'CF表（ご主人様働けない時）'!AW5)</f>
        <v/>
      </c>
      <c r="AX5" s="218">
        <f>IF('CF表（ご主人様働けない時）'!AX5="","",'CF表（ご主人様働けない時）'!AX5)</f>
        <v/>
      </c>
      <c r="AY5" s="218">
        <f>IF('CF表（ご主人様働けない時）'!AY5="","",'CF表（ご主人様働けない時）'!AY5)</f>
        <v/>
      </c>
      <c r="AZ5" s="218">
        <f>IF('CF表（ご主人様働けない時）'!AZ5="","",'CF表（ご主人様働けない時）'!AZ5)</f>
        <v/>
      </c>
      <c r="BA5" s="218">
        <f>IF('CF表（ご主人様働けない時）'!BA5="","",'CF表（ご主人様働けない時）'!BA5)</f>
        <v/>
      </c>
      <c r="BB5" s="218">
        <f>IF('CF表（ご主人様働けない時）'!BB5="","",'CF表（ご主人様働けない時）'!BB5)</f>
        <v/>
      </c>
      <c r="BC5" s="218">
        <f>IF('CF表（ご主人様働けない時）'!BC5="","",'CF表（ご主人様働けない時）'!BC5)</f>
        <v/>
      </c>
      <c r="BD5" s="218">
        <f>IF('CF表（ご主人様働けない時）'!BD5="","",'CF表（ご主人様働けない時）'!BD5)</f>
        <v/>
      </c>
      <c r="BE5" s="218">
        <f>IF('CF表（ご主人様働けない時）'!BE5="","",'CF表（ご主人様働けない時）'!BE5)</f>
        <v/>
      </c>
      <c r="BF5" s="218">
        <f>IF('CF表（ご主人様働けない時）'!BF5="","",'CF表（ご主人様働けない時）'!BF5)</f>
        <v/>
      </c>
      <c r="BG5" s="218">
        <f>IF('CF表（ご主人様働けない時）'!BG5="","",'CF表（ご主人様働けない時）'!BG5)</f>
        <v/>
      </c>
      <c r="BH5" s="218">
        <f>IF('CF表（ご主人様働けない時）'!BH5="","",'CF表（ご主人様働けない時）'!BH5)</f>
        <v/>
      </c>
      <c r="BI5" s="218">
        <f>IF('CF表（ご主人様働けない時）'!BI5="","",'CF表（ご主人様働けない時）'!BI5)</f>
        <v/>
      </c>
      <c r="BJ5" s="218">
        <f>IF('CF表（ご主人様働けない時）'!BJ5="","",'CF表（ご主人様働けない時）'!BJ5)</f>
        <v/>
      </c>
      <c r="BK5" s="218">
        <f>IF('CF表（ご主人様働けない時）'!BK5="","",'CF表（ご主人様働けない時）'!BK5)</f>
        <v/>
      </c>
      <c r="BL5" s="218">
        <f>IF('CF表（ご主人様働けない時）'!BL5="","",'CF表（ご主人様働けない時）'!BL5)</f>
        <v/>
      </c>
      <c r="BM5" s="218">
        <f>IF('CF表（ご主人様働けない時）'!BM5="","",'CF表（ご主人様働けない時）'!BM5)</f>
        <v/>
      </c>
      <c r="BN5" s="218">
        <f>IF('CF表（ご主人様働けない時）'!BN5="","",'CF表（ご主人様働けない時）'!BN5)</f>
        <v/>
      </c>
      <c r="BO5" s="218">
        <f>IF('CF表（ご主人様働けない時）'!BO5="","",'CF表（ご主人様働けない時）'!BO5)</f>
        <v/>
      </c>
      <c r="BP5" s="218">
        <f>IF('CF表（ご主人様働けない時）'!BP5="","",'CF表（ご主人様働けない時）'!BP5)</f>
        <v/>
      </c>
      <c r="BQ5" s="218">
        <f>IF('CF表（ご主人様働けない時）'!BQ5="","",'CF表（ご主人様働けない時）'!BQ5)</f>
        <v/>
      </c>
      <c r="BR5" s="218">
        <f>IF('CF表（ご主人様働けない時）'!BR5="","",'CF表（ご主人様働けない時）'!BR5)</f>
        <v/>
      </c>
      <c r="BS5" s="218">
        <f>IF('CF表（ご主人様働けない時）'!BS5="","",'CF表（ご主人様働けない時）'!BS5)</f>
        <v/>
      </c>
      <c r="BT5" s="218">
        <f>IF('CF表（ご主人様働けない時）'!BT5="","",'CF表（ご主人様働けない時）'!BT5)</f>
        <v/>
      </c>
      <c r="BU5" s="218">
        <f>IF('CF表（ご主人様働けない時）'!BU5="","",'CF表（ご主人様働けない時）'!BU5)</f>
        <v/>
      </c>
      <c r="BV5" s="218">
        <f>IF('CF表（ご主人様働けない時）'!BV5="","",'CF表（ご主人様働けない時）'!BV5)</f>
        <v/>
      </c>
      <c r="BW5" s="218">
        <f>IF('CF表（ご主人様働けない時）'!BW5="","",'CF表（ご主人様働けない時）'!BW5)</f>
        <v/>
      </c>
      <c r="BX5" s="218">
        <f>IF('CF表（ご主人様働けない時）'!BX5="","",'CF表（ご主人様働けない時）'!BX5)</f>
        <v/>
      </c>
      <c r="BY5" s="218">
        <f>IF('CF表（ご主人様働けない時）'!BY5="","",'CF表（ご主人様働けない時）'!BY5)</f>
        <v/>
      </c>
      <c r="BZ5" s="218">
        <f>IF('CF表（ご主人様働けない時）'!BZ5="","",'CF表（ご主人様働けない時）'!BZ5)</f>
        <v/>
      </c>
      <c r="CA5" s="218">
        <f>IF('CF表（ご主人様働けない時）'!CA5="","",'CF表（ご主人様働けない時）'!CA5)</f>
        <v/>
      </c>
      <c r="CB5" s="218">
        <f>IF('CF表（ご主人様働けない時）'!CB5="","",'CF表（ご主人様働けない時）'!CB5)</f>
        <v/>
      </c>
      <c r="CC5" s="218">
        <f>IF('CF表（ご主人様働けない時）'!CC5="","",'CF表（ご主人様働けない時）'!CC5)</f>
        <v/>
      </c>
      <c r="CD5" s="218">
        <f>IF('CF表（ご主人様働けない時）'!CD5="","",'CF表（ご主人様働けない時）'!CD5)</f>
        <v/>
      </c>
      <c r="CE5" s="218">
        <f>IF('CF表（ご主人様働けない時）'!CE5="","",'CF表（ご主人様働けない時）'!CE5)</f>
        <v/>
      </c>
      <c r="CF5" s="218">
        <f>IF('CF表（ご主人様働けない時）'!CF5="","",'CF表（ご主人様働けない時）'!CF5)</f>
        <v/>
      </c>
      <c r="CG5" s="218">
        <f>IF('CF表（ご主人様働けない時）'!CG5="","",'CF表（ご主人様働けない時）'!CG5)</f>
        <v/>
      </c>
      <c r="CH5" s="218">
        <f>IF('CF表（ご主人様働けない時）'!CH5="","",'CF表（ご主人様働けない時）'!CH5)</f>
        <v/>
      </c>
      <c r="CI5" s="218">
        <f>IF('CF表（ご主人様働けない時）'!CI5="","",'CF表（ご主人様働けない時）'!CI5)</f>
        <v/>
      </c>
      <c r="CJ5" s="218">
        <f>IF('CF表（ご主人様働けない時）'!CJ5="","",'CF表（ご主人様働けない時）'!CJ5)</f>
        <v/>
      </c>
      <c r="CK5" s="218">
        <f>IF('CF表（ご主人様働けない時）'!CK5="","",'CF表（ご主人様働けない時）'!CK5)</f>
        <v/>
      </c>
      <c r="CL5" s="218">
        <f>IF('CF表（ご主人様働けない時）'!CL5="","",'CF表（ご主人様働けない時）'!CL5)</f>
        <v/>
      </c>
      <c r="CM5" s="218">
        <f>IF('CF表（ご主人様働けない時）'!CM5="","",'CF表（ご主人様働けない時）'!CM5)</f>
        <v/>
      </c>
      <c r="CN5" s="218">
        <f>IF('CF表（ご主人様働けない時）'!CN5="","",'CF表（ご主人様働けない時）'!CN5)</f>
        <v/>
      </c>
      <c r="CO5" s="218">
        <f>IF('CF表（ご主人様働けない時）'!CO5="","",'CF表（ご主人様働けない時）'!CO5)</f>
        <v/>
      </c>
      <c r="CP5" s="218">
        <f>IF('CF表（ご主人様働けない時）'!CP5="","",'CF表（ご主人様働けない時）'!CP5)</f>
        <v/>
      </c>
      <c r="CQ5" s="218">
        <f>IF('CF表（ご主人様働けない時）'!CQ5="","",'CF表（ご主人様働けない時）'!CQ5)</f>
        <v/>
      </c>
      <c r="CR5" s="218">
        <f>IF('CF表（ご主人様働けない時）'!CR5="","",'CF表（ご主人様働けない時）'!CR5)</f>
        <v/>
      </c>
      <c r="CS5" s="218">
        <f>IF('CF表（ご主人様働けない時）'!CS5="","",'CF表（ご主人様働けない時）'!CS5)</f>
        <v/>
      </c>
      <c r="CT5" s="218">
        <f>IF('CF表（ご主人様働けない時）'!CT5="","",'CF表（ご主人様働けない時）'!CT5)</f>
        <v/>
      </c>
      <c r="CU5" s="218">
        <f>IF('CF表（ご主人様働けない時）'!CU5="","",'CF表（ご主人様働けない時）'!CU5)</f>
        <v/>
      </c>
      <c r="CV5" s="218">
        <f>IF('CF表（ご主人様働けない時）'!CV5="","",'CF表（ご主人様働けない時）'!CV5)</f>
        <v/>
      </c>
      <c r="CW5" s="218">
        <f>IF('CF表（ご主人様働けない時）'!CW5="","",'CF表（ご主人様働けない時）'!CW5)</f>
        <v/>
      </c>
    </row>
    <row r="6" ht="16.5" customHeight="1" s="180">
      <c r="A6" s="217" t="inlineStr">
        <is>
          <t>子1年齢</t>
        </is>
      </c>
      <c r="B6" s="218">
        <f>IF('CF表（ご主人様働けない時）'!B6="","",'CF表（ご主人様働けない時）'!B6)</f>
        <v/>
      </c>
      <c r="C6" s="218">
        <f>IF('CF表（ご主人様働けない時）'!C6="","",'CF表（ご主人様働けない時）'!C6)</f>
        <v/>
      </c>
      <c r="D6" s="218">
        <f>IF('CF表（ご主人様働けない時）'!D6="","",'CF表（ご主人様働けない時）'!D6)</f>
        <v/>
      </c>
      <c r="E6" s="218">
        <f>IF('CF表（ご主人様働けない時）'!E6="","",'CF表（ご主人様働けない時）'!E6)</f>
        <v/>
      </c>
      <c r="F6" s="218">
        <f>IF('CF表（ご主人様働けない時）'!F6="","",'CF表（ご主人様働けない時）'!F6)</f>
        <v/>
      </c>
      <c r="G6" s="218">
        <f>IF('CF表（ご主人様働けない時）'!G6="","",'CF表（ご主人様働けない時）'!G6)</f>
        <v/>
      </c>
      <c r="H6" s="218">
        <f>IF('CF表（ご主人様働けない時）'!H6="","",'CF表（ご主人様働けない時）'!H6)</f>
        <v/>
      </c>
      <c r="I6" s="218">
        <f>IF('CF表（ご主人様働けない時）'!I6="","",'CF表（ご主人様働けない時）'!I6)</f>
        <v/>
      </c>
      <c r="J6" s="218">
        <f>IF('CF表（ご主人様働けない時）'!J6="","",'CF表（ご主人様働けない時）'!J6)</f>
        <v/>
      </c>
      <c r="K6" s="218">
        <f>IF('CF表（ご主人様働けない時）'!K6="","",'CF表（ご主人様働けない時）'!K6)</f>
        <v/>
      </c>
      <c r="L6" s="218">
        <f>IF('CF表（ご主人様働けない時）'!L6="","",'CF表（ご主人様働けない時）'!L6)</f>
        <v/>
      </c>
      <c r="M6" s="218">
        <f>IF('CF表（ご主人様働けない時）'!M6="","",'CF表（ご主人様働けない時）'!M6)</f>
        <v/>
      </c>
      <c r="N6" s="218">
        <f>IF('CF表（ご主人様働けない時）'!N6="","",'CF表（ご主人様働けない時）'!N6)</f>
        <v/>
      </c>
      <c r="O6" s="218">
        <f>IF('CF表（ご主人様働けない時）'!O6="","",'CF表（ご主人様働けない時）'!O6)</f>
        <v/>
      </c>
      <c r="P6" s="218">
        <f>IF('CF表（ご主人様働けない時）'!P6="","",'CF表（ご主人様働けない時）'!P6)</f>
        <v/>
      </c>
      <c r="Q6" s="218">
        <f>IF('CF表（ご主人様働けない時）'!Q6="","",'CF表（ご主人様働けない時）'!Q6)</f>
        <v/>
      </c>
      <c r="R6" s="218">
        <f>IF('CF表（ご主人様働けない時）'!R6="","",'CF表（ご主人様働けない時）'!R6)</f>
        <v/>
      </c>
      <c r="S6" s="218">
        <f>IF('CF表（ご主人様働けない時）'!S6="","",'CF表（ご主人様働けない時）'!S6)</f>
        <v/>
      </c>
      <c r="T6" s="218">
        <f>IF('CF表（ご主人様働けない時）'!T6="","",'CF表（ご主人様働けない時）'!T6)</f>
        <v/>
      </c>
      <c r="U6" s="218">
        <f>IF('CF表（ご主人様働けない時）'!U6="","",'CF表（ご主人様働けない時）'!U6)</f>
        <v/>
      </c>
      <c r="V6" s="218">
        <f>IF('CF表（ご主人様働けない時）'!V6="","",'CF表（ご主人様働けない時）'!V6)</f>
        <v/>
      </c>
      <c r="W6" s="218">
        <f>IF('CF表（ご主人様働けない時）'!W6="","",'CF表（ご主人様働けない時）'!W6)</f>
        <v/>
      </c>
      <c r="X6" s="218">
        <f>IF('CF表（ご主人様働けない時）'!X6="","",'CF表（ご主人様働けない時）'!X6)</f>
        <v/>
      </c>
      <c r="Y6" s="218">
        <f>IF('CF表（ご主人様働けない時）'!Y6="","",'CF表（ご主人様働けない時）'!Y6)</f>
        <v/>
      </c>
      <c r="Z6" s="218">
        <f>IF('CF表（ご主人様働けない時）'!Z6="","",'CF表（ご主人様働けない時）'!Z6)</f>
        <v/>
      </c>
      <c r="AA6" s="218">
        <f>IF('CF表（ご主人様働けない時）'!AA6="","",'CF表（ご主人様働けない時）'!AA6)</f>
        <v/>
      </c>
      <c r="AB6" s="218">
        <f>IF('CF表（ご主人様働けない時）'!AB6="","",'CF表（ご主人様働けない時）'!AB6)</f>
        <v/>
      </c>
      <c r="AC6" s="218">
        <f>IF('CF表（ご主人様働けない時）'!AC6="","",'CF表（ご主人様働けない時）'!AC6)</f>
        <v/>
      </c>
      <c r="AD6" s="218">
        <f>IF('CF表（ご主人様働けない時）'!AD6="","",'CF表（ご主人様働けない時）'!AD6)</f>
        <v/>
      </c>
      <c r="AE6" s="218">
        <f>IF('CF表（ご主人様働けない時）'!AE6="","",'CF表（ご主人様働けない時）'!AE6)</f>
        <v/>
      </c>
      <c r="AF6" s="218">
        <f>IF('CF表（ご主人様働けない時）'!AF6="","",'CF表（ご主人様働けない時）'!AF6)</f>
        <v/>
      </c>
      <c r="AG6" s="218">
        <f>IF('CF表（ご主人様働けない時）'!AG6="","",'CF表（ご主人様働けない時）'!AG6)</f>
        <v/>
      </c>
      <c r="AH6" s="218">
        <f>IF('CF表（ご主人様働けない時）'!AH6="","",'CF表（ご主人様働けない時）'!AH6)</f>
        <v/>
      </c>
      <c r="AI6" s="218">
        <f>IF('CF表（ご主人様働けない時）'!AI6="","",'CF表（ご主人様働けない時）'!AI6)</f>
        <v/>
      </c>
      <c r="AJ6" s="218">
        <f>IF('CF表（ご主人様働けない時）'!AJ6="","",'CF表（ご主人様働けない時）'!AJ6)</f>
        <v/>
      </c>
      <c r="AK6" s="218">
        <f>IF('CF表（ご主人様働けない時）'!AK6="","",'CF表（ご主人様働けない時）'!AK6)</f>
        <v/>
      </c>
      <c r="AL6" s="218">
        <f>IF('CF表（ご主人様働けない時）'!AL6="","",'CF表（ご主人様働けない時）'!AL6)</f>
        <v/>
      </c>
      <c r="AM6" s="218">
        <f>IF('CF表（ご主人様働けない時）'!AM6="","",'CF表（ご主人様働けない時）'!AM6)</f>
        <v/>
      </c>
      <c r="AN6" s="218">
        <f>IF('CF表（ご主人様働けない時）'!AN6="","",'CF表（ご主人様働けない時）'!AN6)</f>
        <v/>
      </c>
      <c r="AO6" s="218">
        <f>IF('CF表（ご主人様働けない時）'!AO6="","",'CF表（ご主人様働けない時）'!AO6)</f>
        <v/>
      </c>
      <c r="AP6" s="218">
        <f>IF('CF表（ご主人様働けない時）'!AP6="","",'CF表（ご主人様働けない時）'!AP6)</f>
        <v/>
      </c>
      <c r="AQ6" s="218">
        <f>IF('CF表（ご主人様働けない時）'!AQ6="","",'CF表（ご主人様働けない時）'!AQ6)</f>
        <v/>
      </c>
      <c r="AR6" s="218">
        <f>IF('CF表（ご主人様働けない時）'!AR6="","",'CF表（ご主人様働けない時）'!AR6)</f>
        <v/>
      </c>
      <c r="AS6" s="218">
        <f>IF('CF表（ご主人様働けない時）'!AS6="","",'CF表（ご主人様働けない時）'!AS6)</f>
        <v/>
      </c>
      <c r="AT6" s="218">
        <f>IF('CF表（ご主人様働けない時）'!AT6="","",'CF表（ご主人様働けない時）'!AT6)</f>
        <v/>
      </c>
      <c r="AU6" s="218">
        <f>IF('CF表（ご主人様働けない時）'!AU6="","",'CF表（ご主人様働けない時）'!AU6)</f>
        <v/>
      </c>
      <c r="AV6" s="218">
        <f>IF('CF表（ご主人様働けない時）'!AV6="","",'CF表（ご主人様働けない時）'!AV6)</f>
        <v/>
      </c>
      <c r="AW6" s="218">
        <f>IF('CF表（ご主人様働けない時）'!AW6="","",'CF表（ご主人様働けない時）'!AW6)</f>
        <v/>
      </c>
      <c r="AX6" s="218">
        <f>IF('CF表（ご主人様働けない時）'!AX6="","",'CF表（ご主人様働けない時）'!AX6)</f>
        <v/>
      </c>
      <c r="AY6" s="218">
        <f>IF('CF表（ご主人様働けない時）'!AY6="","",'CF表（ご主人様働けない時）'!AY6)</f>
        <v/>
      </c>
      <c r="AZ6" s="218">
        <f>IF('CF表（ご主人様働けない時）'!AZ6="","",'CF表（ご主人様働けない時）'!AZ6)</f>
        <v/>
      </c>
      <c r="BA6" s="218">
        <f>IF('CF表（ご主人様働けない時）'!BA6="","",'CF表（ご主人様働けない時）'!BA6)</f>
        <v/>
      </c>
      <c r="BB6" s="218">
        <f>IF('CF表（ご主人様働けない時）'!BB6="","",'CF表（ご主人様働けない時）'!BB6)</f>
        <v/>
      </c>
      <c r="BC6" s="218">
        <f>IF('CF表（ご主人様働けない時）'!BC6="","",'CF表（ご主人様働けない時）'!BC6)</f>
        <v/>
      </c>
      <c r="BD6" s="218">
        <f>IF('CF表（ご主人様働けない時）'!BD6="","",'CF表（ご主人様働けない時）'!BD6)</f>
        <v/>
      </c>
      <c r="BE6" s="218">
        <f>IF('CF表（ご主人様働けない時）'!BE6="","",'CF表（ご主人様働けない時）'!BE6)</f>
        <v/>
      </c>
      <c r="BF6" s="218">
        <f>IF('CF表（ご主人様働けない時）'!BF6="","",'CF表（ご主人様働けない時）'!BF6)</f>
        <v/>
      </c>
      <c r="BG6" s="218">
        <f>IF('CF表（ご主人様働けない時）'!BG6="","",'CF表（ご主人様働けない時）'!BG6)</f>
        <v/>
      </c>
      <c r="BH6" s="218">
        <f>IF('CF表（ご主人様働けない時）'!BH6="","",'CF表（ご主人様働けない時）'!BH6)</f>
        <v/>
      </c>
      <c r="BI6" s="218">
        <f>IF('CF表（ご主人様働けない時）'!BI6="","",'CF表（ご主人様働けない時）'!BI6)</f>
        <v/>
      </c>
      <c r="BJ6" s="218">
        <f>IF('CF表（ご主人様働けない時）'!BJ6="","",'CF表（ご主人様働けない時）'!BJ6)</f>
        <v/>
      </c>
      <c r="BK6" s="218">
        <f>IF('CF表（ご主人様働けない時）'!BK6="","",'CF表（ご主人様働けない時）'!BK6)</f>
        <v/>
      </c>
      <c r="BL6" s="218">
        <f>IF('CF表（ご主人様働けない時）'!BL6="","",'CF表（ご主人様働けない時）'!BL6)</f>
        <v/>
      </c>
      <c r="BM6" s="218">
        <f>IF('CF表（ご主人様働けない時）'!BM6="","",'CF表（ご主人様働けない時）'!BM6)</f>
        <v/>
      </c>
      <c r="BN6" s="218">
        <f>IF('CF表（ご主人様働けない時）'!BN6="","",'CF表（ご主人様働けない時）'!BN6)</f>
        <v/>
      </c>
      <c r="BO6" s="218">
        <f>IF('CF表（ご主人様働けない時）'!BO6="","",'CF表（ご主人様働けない時）'!BO6)</f>
        <v/>
      </c>
      <c r="BP6" s="218">
        <f>IF('CF表（ご主人様働けない時）'!BP6="","",'CF表（ご主人様働けない時）'!BP6)</f>
        <v/>
      </c>
      <c r="BQ6" s="218">
        <f>IF('CF表（ご主人様働けない時）'!BQ6="","",'CF表（ご主人様働けない時）'!BQ6)</f>
        <v/>
      </c>
      <c r="BR6" s="218">
        <f>IF('CF表（ご主人様働けない時）'!BR6="","",'CF表（ご主人様働けない時）'!BR6)</f>
        <v/>
      </c>
      <c r="BS6" s="218">
        <f>IF('CF表（ご主人様働けない時）'!BS6="","",'CF表（ご主人様働けない時）'!BS6)</f>
        <v/>
      </c>
      <c r="BT6" s="218">
        <f>IF('CF表（ご主人様働けない時）'!BT6="","",'CF表（ご主人様働けない時）'!BT6)</f>
        <v/>
      </c>
      <c r="BU6" s="218">
        <f>IF('CF表（ご主人様働けない時）'!BU6="","",'CF表（ご主人様働けない時）'!BU6)</f>
        <v/>
      </c>
      <c r="BV6" s="218">
        <f>IF('CF表（ご主人様働けない時）'!BV6="","",'CF表（ご主人様働けない時）'!BV6)</f>
        <v/>
      </c>
      <c r="BW6" s="218">
        <f>IF('CF表（ご主人様働けない時）'!BW6="","",'CF表（ご主人様働けない時）'!BW6)</f>
        <v/>
      </c>
      <c r="BX6" s="218">
        <f>IF('CF表（ご主人様働けない時）'!BX6="","",'CF表（ご主人様働けない時）'!BX6)</f>
        <v/>
      </c>
      <c r="BY6" s="218">
        <f>IF('CF表（ご主人様働けない時）'!BY6="","",'CF表（ご主人様働けない時）'!BY6)</f>
        <v/>
      </c>
      <c r="BZ6" s="218">
        <f>IF('CF表（ご主人様働けない時）'!BZ6="","",'CF表（ご主人様働けない時）'!BZ6)</f>
        <v/>
      </c>
      <c r="CA6" s="218">
        <f>IF('CF表（ご主人様働けない時）'!CA6="","",'CF表（ご主人様働けない時）'!CA6)</f>
        <v/>
      </c>
      <c r="CB6" s="218">
        <f>IF('CF表（ご主人様働けない時）'!CB6="","",'CF表（ご主人様働けない時）'!CB6)</f>
        <v/>
      </c>
      <c r="CC6" s="218">
        <f>IF('CF表（ご主人様働けない時）'!CC6="","",'CF表（ご主人様働けない時）'!CC6)</f>
        <v/>
      </c>
      <c r="CD6" s="218">
        <f>IF('CF表（ご主人様働けない時）'!CD6="","",'CF表（ご主人様働けない時）'!CD6)</f>
        <v/>
      </c>
      <c r="CE6" s="218">
        <f>IF('CF表（ご主人様働けない時）'!CE6="","",'CF表（ご主人様働けない時）'!CE6)</f>
        <v/>
      </c>
      <c r="CF6" s="218">
        <f>IF('CF表（ご主人様働けない時）'!CF6="","",'CF表（ご主人様働けない時）'!CF6)</f>
        <v/>
      </c>
      <c r="CG6" s="218">
        <f>IF('CF表（ご主人様働けない時）'!CG6="","",'CF表（ご主人様働けない時）'!CG6)</f>
        <v/>
      </c>
      <c r="CH6" s="218">
        <f>IF('CF表（ご主人様働けない時）'!CH6="","",'CF表（ご主人様働けない時）'!CH6)</f>
        <v/>
      </c>
      <c r="CI6" s="218">
        <f>IF('CF表（ご主人様働けない時）'!CI6="","",'CF表（ご主人様働けない時）'!CI6)</f>
        <v/>
      </c>
      <c r="CJ6" s="218">
        <f>IF('CF表（ご主人様働けない時）'!CJ6="","",'CF表（ご主人様働けない時）'!CJ6)</f>
        <v/>
      </c>
      <c r="CK6" s="218">
        <f>IF('CF表（ご主人様働けない時）'!CK6="","",'CF表（ご主人様働けない時）'!CK6)</f>
        <v/>
      </c>
      <c r="CL6" s="218">
        <f>IF('CF表（ご主人様働けない時）'!CL6="","",'CF表（ご主人様働けない時）'!CL6)</f>
        <v/>
      </c>
      <c r="CM6" s="218">
        <f>IF('CF表（ご主人様働けない時）'!CM6="","",'CF表（ご主人様働けない時）'!CM6)</f>
        <v/>
      </c>
      <c r="CN6" s="218">
        <f>IF('CF表（ご主人様働けない時）'!CN6="","",'CF表（ご主人様働けない時）'!CN6)</f>
        <v/>
      </c>
      <c r="CO6" s="218">
        <f>IF('CF表（ご主人様働けない時）'!CO6="","",'CF表（ご主人様働けない時）'!CO6)</f>
        <v/>
      </c>
      <c r="CP6" s="218">
        <f>IF('CF表（ご主人様働けない時）'!CP6="","",'CF表（ご主人様働けない時）'!CP6)</f>
        <v/>
      </c>
      <c r="CQ6" s="218">
        <f>IF('CF表（ご主人様働けない時）'!CQ6="","",'CF表（ご主人様働けない時）'!CQ6)</f>
        <v/>
      </c>
      <c r="CR6" s="218">
        <f>IF('CF表（ご主人様働けない時）'!CR6="","",'CF表（ご主人様働けない時）'!CR6)</f>
        <v/>
      </c>
      <c r="CS6" s="218">
        <f>IF('CF表（ご主人様働けない時）'!CS6="","",'CF表（ご主人様働けない時）'!CS6)</f>
        <v/>
      </c>
      <c r="CT6" s="218">
        <f>IF('CF表（ご主人様働けない時）'!CT6="","",'CF表（ご主人様働けない時）'!CT6)</f>
        <v/>
      </c>
      <c r="CU6" s="218">
        <f>IF('CF表（ご主人様働けない時）'!CU6="","",'CF表（ご主人様働けない時）'!CU6)</f>
        <v/>
      </c>
      <c r="CV6" s="218">
        <f>IF('CF表（ご主人様働けない時）'!CV6="","",'CF表（ご主人様働けない時）'!CV6)</f>
        <v/>
      </c>
      <c r="CW6" s="218">
        <f>IF('CF表（ご主人様働けない時）'!CW6="","",'CF表（ご主人様働けない時）'!CW6)</f>
        <v/>
      </c>
    </row>
    <row r="7" ht="16.5" customHeight="1" s="180">
      <c r="A7" s="217" t="inlineStr">
        <is>
          <t>子2年齢</t>
        </is>
      </c>
      <c r="B7" s="218">
        <f>IF('CF表（ご主人様働けない時）'!B7="","",'CF表（ご主人様働けない時）'!B7)</f>
        <v/>
      </c>
      <c r="C7" s="218">
        <f>IF('CF表（ご主人様働けない時）'!C7="","",'CF表（ご主人様働けない時）'!C7)</f>
        <v/>
      </c>
      <c r="D7" s="218">
        <f>IF('CF表（ご主人様働けない時）'!D7="","",'CF表（ご主人様働けない時）'!D7)</f>
        <v/>
      </c>
      <c r="E7" s="218">
        <f>IF('CF表（ご主人様働けない時）'!E7="","",'CF表（ご主人様働けない時）'!E7)</f>
        <v/>
      </c>
      <c r="F7" s="218">
        <f>IF('CF表（ご主人様働けない時）'!F7="","",'CF表（ご主人様働けない時）'!F7)</f>
        <v/>
      </c>
      <c r="G7" s="218">
        <f>IF('CF表（ご主人様働けない時）'!G7="","",'CF表（ご主人様働けない時）'!G7)</f>
        <v/>
      </c>
      <c r="H7" s="218">
        <f>IF('CF表（ご主人様働けない時）'!H7="","",'CF表（ご主人様働けない時）'!H7)</f>
        <v/>
      </c>
      <c r="I7" s="218">
        <f>IF('CF表（ご主人様働けない時）'!I7="","",'CF表（ご主人様働けない時）'!I7)</f>
        <v/>
      </c>
      <c r="J7" s="218">
        <f>IF('CF表（ご主人様働けない時）'!J7="","",'CF表（ご主人様働けない時）'!J7)</f>
        <v/>
      </c>
      <c r="K7" s="218">
        <f>IF('CF表（ご主人様働けない時）'!K7="","",'CF表（ご主人様働けない時）'!K7)</f>
        <v/>
      </c>
      <c r="L7" s="218">
        <f>IF('CF表（ご主人様働けない時）'!L7="","",'CF表（ご主人様働けない時）'!L7)</f>
        <v/>
      </c>
      <c r="M7" s="218">
        <f>IF('CF表（ご主人様働けない時）'!M7="","",'CF表（ご主人様働けない時）'!M7)</f>
        <v/>
      </c>
      <c r="N7" s="218">
        <f>IF('CF表（ご主人様働けない時）'!N7="","",'CF表（ご主人様働けない時）'!N7)</f>
        <v/>
      </c>
      <c r="O7" s="218">
        <f>IF('CF表（ご主人様働けない時）'!O7="","",'CF表（ご主人様働けない時）'!O7)</f>
        <v/>
      </c>
      <c r="P7" s="218">
        <f>IF('CF表（ご主人様働けない時）'!P7="","",'CF表（ご主人様働けない時）'!P7)</f>
        <v/>
      </c>
      <c r="Q7" s="218">
        <f>IF('CF表（ご主人様働けない時）'!Q7="","",'CF表（ご主人様働けない時）'!Q7)</f>
        <v/>
      </c>
      <c r="R7" s="218">
        <f>IF('CF表（ご主人様働けない時）'!R7="","",'CF表（ご主人様働けない時）'!R7)</f>
        <v/>
      </c>
      <c r="S7" s="218">
        <f>IF('CF表（ご主人様働けない時）'!S7="","",'CF表（ご主人様働けない時）'!S7)</f>
        <v/>
      </c>
      <c r="T7" s="218">
        <f>IF('CF表（ご主人様働けない時）'!T7="","",'CF表（ご主人様働けない時）'!T7)</f>
        <v/>
      </c>
      <c r="U7" s="218">
        <f>IF('CF表（ご主人様働けない時）'!U7="","",'CF表（ご主人様働けない時）'!U7)</f>
        <v/>
      </c>
      <c r="V7" s="218">
        <f>IF('CF表（ご主人様働けない時）'!V7="","",'CF表（ご主人様働けない時）'!V7)</f>
        <v/>
      </c>
      <c r="W7" s="218">
        <f>IF('CF表（ご主人様働けない時）'!W7="","",'CF表（ご主人様働けない時）'!W7)</f>
        <v/>
      </c>
      <c r="X7" s="218">
        <f>IF('CF表（ご主人様働けない時）'!X7="","",'CF表（ご主人様働けない時）'!X7)</f>
        <v/>
      </c>
      <c r="Y7" s="218">
        <f>IF('CF表（ご主人様働けない時）'!Y7="","",'CF表（ご主人様働けない時）'!Y7)</f>
        <v/>
      </c>
      <c r="Z7" s="218">
        <f>IF('CF表（ご主人様働けない時）'!Z7="","",'CF表（ご主人様働けない時）'!Z7)</f>
        <v/>
      </c>
      <c r="AA7" s="218">
        <f>IF('CF表（ご主人様働けない時）'!AA7="","",'CF表（ご主人様働けない時）'!AA7)</f>
        <v/>
      </c>
      <c r="AB7" s="218">
        <f>IF('CF表（ご主人様働けない時）'!AB7="","",'CF表（ご主人様働けない時）'!AB7)</f>
        <v/>
      </c>
      <c r="AC7" s="218">
        <f>IF('CF表（ご主人様働けない時）'!AC7="","",'CF表（ご主人様働けない時）'!AC7)</f>
        <v/>
      </c>
      <c r="AD7" s="218">
        <f>IF('CF表（ご主人様働けない時）'!AD7="","",'CF表（ご主人様働けない時）'!AD7)</f>
        <v/>
      </c>
      <c r="AE7" s="218">
        <f>IF('CF表（ご主人様働けない時）'!AE7="","",'CF表（ご主人様働けない時）'!AE7)</f>
        <v/>
      </c>
      <c r="AF7" s="218">
        <f>IF('CF表（ご主人様働けない時）'!AF7="","",'CF表（ご主人様働けない時）'!AF7)</f>
        <v/>
      </c>
      <c r="AG7" s="218">
        <f>IF('CF表（ご主人様働けない時）'!AG7="","",'CF表（ご主人様働けない時）'!AG7)</f>
        <v/>
      </c>
      <c r="AH7" s="218">
        <f>IF('CF表（ご主人様働けない時）'!AH7="","",'CF表（ご主人様働けない時）'!AH7)</f>
        <v/>
      </c>
      <c r="AI7" s="218">
        <f>IF('CF表（ご主人様働けない時）'!AI7="","",'CF表（ご主人様働けない時）'!AI7)</f>
        <v/>
      </c>
      <c r="AJ7" s="218">
        <f>IF('CF表（ご主人様働けない時）'!AJ7="","",'CF表（ご主人様働けない時）'!AJ7)</f>
        <v/>
      </c>
      <c r="AK7" s="218">
        <f>IF('CF表（ご主人様働けない時）'!AK7="","",'CF表（ご主人様働けない時）'!AK7)</f>
        <v/>
      </c>
      <c r="AL7" s="218">
        <f>IF('CF表（ご主人様働けない時）'!AL7="","",'CF表（ご主人様働けない時）'!AL7)</f>
        <v/>
      </c>
      <c r="AM7" s="218">
        <f>IF('CF表（ご主人様働けない時）'!AM7="","",'CF表（ご主人様働けない時）'!AM7)</f>
        <v/>
      </c>
      <c r="AN7" s="218">
        <f>IF('CF表（ご主人様働けない時）'!AN7="","",'CF表（ご主人様働けない時）'!AN7)</f>
        <v/>
      </c>
      <c r="AO7" s="218">
        <f>IF('CF表（ご主人様働けない時）'!AO7="","",'CF表（ご主人様働けない時）'!AO7)</f>
        <v/>
      </c>
      <c r="AP7" s="218">
        <f>IF('CF表（ご主人様働けない時）'!AP7="","",'CF表（ご主人様働けない時）'!AP7)</f>
        <v/>
      </c>
      <c r="AQ7" s="218">
        <f>IF('CF表（ご主人様働けない時）'!AQ7="","",'CF表（ご主人様働けない時）'!AQ7)</f>
        <v/>
      </c>
      <c r="AR7" s="218">
        <f>IF('CF表（ご主人様働けない時）'!AR7="","",'CF表（ご主人様働けない時）'!AR7)</f>
        <v/>
      </c>
      <c r="AS7" s="218">
        <f>IF('CF表（ご主人様働けない時）'!AS7="","",'CF表（ご主人様働けない時）'!AS7)</f>
        <v/>
      </c>
      <c r="AT7" s="218">
        <f>IF('CF表（ご主人様働けない時）'!AT7="","",'CF表（ご主人様働けない時）'!AT7)</f>
        <v/>
      </c>
      <c r="AU7" s="218">
        <f>IF('CF表（ご主人様働けない時）'!AU7="","",'CF表（ご主人様働けない時）'!AU7)</f>
        <v/>
      </c>
      <c r="AV7" s="218">
        <f>IF('CF表（ご主人様働けない時）'!AV7="","",'CF表（ご主人様働けない時）'!AV7)</f>
        <v/>
      </c>
      <c r="AW7" s="218">
        <f>IF('CF表（ご主人様働けない時）'!AW7="","",'CF表（ご主人様働けない時）'!AW7)</f>
        <v/>
      </c>
      <c r="AX7" s="218">
        <f>IF('CF表（ご主人様働けない時）'!AX7="","",'CF表（ご主人様働けない時）'!AX7)</f>
        <v/>
      </c>
      <c r="AY7" s="218">
        <f>IF('CF表（ご主人様働けない時）'!AY7="","",'CF表（ご主人様働けない時）'!AY7)</f>
        <v/>
      </c>
      <c r="AZ7" s="218">
        <f>IF('CF表（ご主人様働けない時）'!AZ7="","",'CF表（ご主人様働けない時）'!AZ7)</f>
        <v/>
      </c>
      <c r="BA7" s="218">
        <f>IF('CF表（ご主人様働けない時）'!BA7="","",'CF表（ご主人様働けない時）'!BA7)</f>
        <v/>
      </c>
      <c r="BB7" s="218">
        <f>IF('CF表（ご主人様働けない時）'!BB7="","",'CF表（ご主人様働けない時）'!BB7)</f>
        <v/>
      </c>
      <c r="BC7" s="218">
        <f>IF('CF表（ご主人様働けない時）'!BC7="","",'CF表（ご主人様働けない時）'!BC7)</f>
        <v/>
      </c>
      <c r="BD7" s="218">
        <f>IF('CF表（ご主人様働けない時）'!BD7="","",'CF表（ご主人様働けない時）'!BD7)</f>
        <v/>
      </c>
      <c r="BE7" s="218">
        <f>IF('CF表（ご主人様働けない時）'!BE7="","",'CF表（ご主人様働けない時）'!BE7)</f>
        <v/>
      </c>
      <c r="BF7" s="218">
        <f>IF('CF表（ご主人様働けない時）'!BF7="","",'CF表（ご主人様働けない時）'!BF7)</f>
        <v/>
      </c>
      <c r="BG7" s="218">
        <f>IF('CF表（ご主人様働けない時）'!BG7="","",'CF表（ご主人様働けない時）'!BG7)</f>
        <v/>
      </c>
      <c r="BH7" s="218">
        <f>IF('CF表（ご主人様働けない時）'!BH7="","",'CF表（ご主人様働けない時）'!BH7)</f>
        <v/>
      </c>
      <c r="BI7" s="218">
        <f>IF('CF表（ご主人様働けない時）'!BI7="","",'CF表（ご主人様働けない時）'!BI7)</f>
        <v/>
      </c>
      <c r="BJ7" s="218">
        <f>IF('CF表（ご主人様働けない時）'!BJ7="","",'CF表（ご主人様働けない時）'!BJ7)</f>
        <v/>
      </c>
      <c r="BK7" s="218">
        <f>IF('CF表（ご主人様働けない時）'!BK7="","",'CF表（ご主人様働けない時）'!BK7)</f>
        <v/>
      </c>
      <c r="BL7" s="218">
        <f>IF('CF表（ご主人様働けない時）'!BL7="","",'CF表（ご主人様働けない時）'!BL7)</f>
        <v/>
      </c>
      <c r="BM7" s="218">
        <f>IF('CF表（ご主人様働けない時）'!BM7="","",'CF表（ご主人様働けない時）'!BM7)</f>
        <v/>
      </c>
      <c r="BN7" s="218">
        <f>IF('CF表（ご主人様働けない時）'!BN7="","",'CF表（ご主人様働けない時）'!BN7)</f>
        <v/>
      </c>
      <c r="BO7" s="218">
        <f>IF('CF表（ご主人様働けない時）'!BO7="","",'CF表（ご主人様働けない時）'!BO7)</f>
        <v/>
      </c>
      <c r="BP7" s="218">
        <f>IF('CF表（ご主人様働けない時）'!BP7="","",'CF表（ご主人様働けない時）'!BP7)</f>
        <v/>
      </c>
      <c r="BQ7" s="218">
        <f>IF('CF表（ご主人様働けない時）'!BQ7="","",'CF表（ご主人様働けない時）'!BQ7)</f>
        <v/>
      </c>
      <c r="BR7" s="218">
        <f>IF('CF表（ご主人様働けない時）'!BR7="","",'CF表（ご主人様働けない時）'!BR7)</f>
        <v/>
      </c>
      <c r="BS7" s="218">
        <f>IF('CF表（ご主人様働けない時）'!BS7="","",'CF表（ご主人様働けない時）'!BS7)</f>
        <v/>
      </c>
      <c r="BT7" s="218">
        <f>IF('CF表（ご主人様働けない時）'!BT7="","",'CF表（ご主人様働けない時）'!BT7)</f>
        <v/>
      </c>
      <c r="BU7" s="218">
        <f>IF('CF表（ご主人様働けない時）'!BU7="","",'CF表（ご主人様働けない時）'!BU7)</f>
        <v/>
      </c>
      <c r="BV7" s="218">
        <f>IF('CF表（ご主人様働けない時）'!BV7="","",'CF表（ご主人様働けない時）'!BV7)</f>
        <v/>
      </c>
      <c r="BW7" s="218">
        <f>IF('CF表（ご主人様働けない時）'!BW7="","",'CF表（ご主人様働けない時）'!BW7)</f>
        <v/>
      </c>
      <c r="BX7" s="218">
        <f>IF('CF表（ご主人様働けない時）'!BX7="","",'CF表（ご主人様働けない時）'!BX7)</f>
        <v/>
      </c>
      <c r="BY7" s="218">
        <f>IF('CF表（ご主人様働けない時）'!BY7="","",'CF表（ご主人様働けない時）'!BY7)</f>
        <v/>
      </c>
      <c r="BZ7" s="218">
        <f>IF('CF表（ご主人様働けない時）'!BZ7="","",'CF表（ご主人様働けない時）'!BZ7)</f>
        <v/>
      </c>
      <c r="CA7" s="218">
        <f>IF('CF表（ご主人様働けない時）'!CA7="","",'CF表（ご主人様働けない時）'!CA7)</f>
        <v/>
      </c>
      <c r="CB7" s="218">
        <f>IF('CF表（ご主人様働けない時）'!CB7="","",'CF表（ご主人様働けない時）'!CB7)</f>
        <v/>
      </c>
      <c r="CC7" s="218">
        <f>IF('CF表（ご主人様働けない時）'!CC7="","",'CF表（ご主人様働けない時）'!CC7)</f>
        <v/>
      </c>
      <c r="CD7" s="218">
        <f>IF('CF表（ご主人様働けない時）'!CD7="","",'CF表（ご主人様働けない時）'!CD7)</f>
        <v/>
      </c>
      <c r="CE7" s="218">
        <f>IF('CF表（ご主人様働けない時）'!CE7="","",'CF表（ご主人様働けない時）'!CE7)</f>
        <v/>
      </c>
      <c r="CF7" s="218">
        <f>IF('CF表（ご主人様働けない時）'!CF7="","",'CF表（ご主人様働けない時）'!CF7)</f>
        <v/>
      </c>
      <c r="CG7" s="218">
        <f>IF('CF表（ご主人様働けない時）'!CG7="","",'CF表（ご主人様働けない時）'!CG7)</f>
        <v/>
      </c>
      <c r="CH7" s="218">
        <f>IF('CF表（ご主人様働けない時）'!CH7="","",'CF表（ご主人様働けない時）'!CH7)</f>
        <v/>
      </c>
      <c r="CI7" s="218">
        <f>IF('CF表（ご主人様働けない時）'!CI7="","",'CF表（ご主人様働けない時）'!CI7)</f>
        <v/>
      </c>
      <c r="CJ7" s="218">
        <f>IF('CF表（ご主人様働けない時）'!CJ7="","",'CF表（ご主人様働けない時）'!CJ7)</f>
        <v/>
      </c>
      <c r="CK7" s="218">
        <f>IF('CF表（ご主人様働けない時）'!CK7="","",'CF表（ご主人様働けない時）'!CK7)</f>
        <v/>
      </c>
      <c r="CL7" s="218">
        <f>IF('CF表（ご主人様働けない時）'!CL7="","",'CF表（ご主人様働けない時）'!CL7)</f>
        <v/>
      </c>
      <c r="CM7" s="218">
        <f>IF('CF表（ご主人様働けない時）'!CM7="","",'CF表（ご主人様働けない時）'!CM7)</f>
        <v/>
      </c>
      <c r="CN7" s="218">
        <f>IF('CF表（ご主人様働けない時）'!CN7="","",'CF表（ご主人様働けない時）'!CN7)</f>
        <v/>
      </c>
      <c r="CO7" s="218">
        <f>IF('CF表（ご主人様働けない時）'!CO7="","",'CF表（ご主人様働けない時）'!CO7)</f>
        <v/>
      </c>
      <c r="CP7" s="218">
        <f>IF('CF表（ご主人様働けない時）'!CP7="","",'CF表（ご主人様働けない時）'!CP7)</f>
        <v/>
      </c>
      <c r="CQ7" s="218">
        <f>IF('CF表（ご主人様働けない時）'!CQ7="","",'CF表（ご主人様働けない時）'!CQ7)</f>
        <v/>
      </c>
      <c r="CR7" s="218">
        <f>IF('CF表（ご主人様働けない時）'!CR7="","",'CF表（ご主人様働けない時）'!CR7)</f>
        <v/>
      </c>
      <c r="CS7" s="218">
        <f>IF('CF表（ご主人様働けない時）'!CS7="","",'CF表（ご主人様働けない時）'!CS7)</f>
        <v/>
      </c>
      <c r="CT7" s="218">
        <f>IF('CF表（ご主人様働けない時）'!CT7="","",'CF表（ご主人様働けない時）'!CT7)</f>
        <v/>
      </c>
      <c r="CU7" s="218">
        <f>IF('CF表（ご主人様働けない時）'!CU7="","",'CF表（ご主人様働けない時）'!CU7)</f>
        <v/>
      </c>
      <c r="CV7" s="218">
        <f>IF('CF表（ご主人様働けない時）'!CV7="","",'CF表（ご主人様働けない時）'!CV7)</f>
        <v/>
      </c>
      <c r="CW7" s="218">
        <f>IF('CF表（ご主人様働けない時）'!CW7="","",'CF表（ご主人様働けない時）'!CW7)</f>
        <v/>
      </c>
    </row>
    <row r="8" ht="16.5" customHeight="1" s="180">
      <c r="A8" s="217" t="inlineStr">
        <is>
          <t>子3年齢</t>
        </is>
      </c>
      <c r="B8" s="218">
        <f>IF('CF表（ご主人様働けない時）'!B8="","",'CF表（ご主人様働けない時）'!B8)</f>
        <v/>
      </c>
      <c r="C8" s="218">
        <f>IF('CF表（ご主人様働けない時）'!C8="","",'CF表（ご主人様働けない時）'!C8)</f>
        <v/>
      </c>
      <c r="D8" s="218">
        <f>IF('CF表（ご主人様働けない時）'!D8="","",'CF表（ご主人様働けない時）'!D8)</f>
        <v/>
      </c>
      <c r="E8" s="218">
        <f>IF('CF表（ご主人様働けない時）'!E8="","",'CF表（ご主人様働けない時）'!E8)</f>
        <v/>
      </c>
      <c r="F8" s="218">
        <f>IF('CF表（ご主人様働けない時）'!F8="","",'CF表（ご主人様働けない時）'!F8)</f>
        <v/>
      </c>
      <c r="G8" s="218">
        <f>IF('CF表（ご主人様働けない時）'!G8="","",'CF表（ご主人様働けない時）'!G8)</f>
        <v/>
      </c>
      <c r="H8" s="218">
        <f>IF('CF表（ご主人様働けない時）'!H8="","",'CF表（ご主人様働けない時）'!H8)</f>
        <v/>
      </c>
      <c r="I8" s="218">
        <f>IF('CF表（ご主人様働けない時）'!I8="","",'CF表（ご主人様働けない時）'!I8)</f>
        <v/>
      </c>
      <c r="J8" s="218">
        <f>IF('CF表（ご主人様働けない時）'!J8="","",'CF表（ご主人様働けない時）'!J8)</f>
        <v/>
      </c>
      <c r="K8" s="218">
        <f>IF('CF表（ご主人様働けない時）'!K8="","",'CF表（ご主人様働けない時）'!K8)</f>
        <v/>
      </c>
      <c r="L8" s="218">
        <f>IF('CF表（ご主人様働けない時）'!L8="","",'CF表（ご主人様働けない時）'!L8)</f>
        <v/>
      </c>
      <c r="M8" s="218">
        <f>IF('CF表（ご主人様働けない時）'!M8="","",'CF表（ご主人様働けない時）'!M8)</f>
        <v/>
      </c>
      <c r="N8" s="218">
        <f>IF('CF表（ご主人様働けない時）'!N8="","",'CF表（ご主人様働けない時）'!N8)</f>
        <v/>
      </c>
      <c r="O8" s="218">
        <f>IF('CF表（ご主人様働けない時）'!O8="","",'CF表（ご主人様働けない時）'!O8)</f>
        <v/>
      </c>
      <c r="P8" s="218">
        <f>IF('CF表（ご主人様働けない時）'!P8="","",'CF表（ご主人様働けない時）'!P8)</f>
        <v/>
      </c>
      <c r="Q8" s="218">
        <f>IF('CF表（ご主人様働けない時）'!Q8="","",'CF表（ご主人様働けない時）'!Q8)</f>
        <v/>
      </c>
      <c r="R8" s="218">
        <f>IF('CF表（ご主人様働けない時）'!R8="","",'CF表（ご主人様働けない時）'!R8)</f>
        <v/>
      </c>
      <c r="S8" s="218">
        <f>IF('CF表（ご主人様働けない時）'!S8="","",'CF表（ご主人様働けない時）'!S8)</f>
        <v/>
      </c>
      <c r="T8" s="218">
        <f>IF('CF表（ご主人様働けない時）'!T8="","",'CF表（ご主人様働けない時）'!T8)</f>
        <v/>
      </c>
      <c r="U8" s="218">
        <f>IF('CF表（ご主人様働けない時）'!U8="","",'CF表（ご主人様働けない時）'!U8)</f>
        <v/>
      </c>
      <c r="V8" s="218">
        <f>IF('CF表（ご主人様働けない時）'!V8="","",'CF表（ご主人様働けない時）'!V8)</f>
        <v/>
      </c>
      <c r="W8" s="218">
        <f>IF('CF表（ご主人様働けない時）'!W8="","",'CF表（ご主人様働けない時）'!W8)</f>
        <v/>
      </c>
      <c r="X8" s="218">
        <f>IF('CF表（ご主人様働けない時）'!X8="","",'CF表（ご主人様働けない時）'!X8)</f>
        <v/>
      </c>
      <c r="Y8" s="218">
        <f>IF('CF表（ご主人様働けない時）'!Y8="","",'CF表（ご主人様働けない時）'!Y8)</f>
        <v/>
      </c>
      <c r="Z8" s="218">
        <f>IF('CF表（ご主人様働けない時）'!Z8="","",'CF表（ご主人様働けない時）'!Z8)</f>
        <v/>
      </c>
      <c r="AA8" s="218">
        <f>IF('CF表（ご主人様働けない時）'!AA8="","",'CF表（ご主人様働けない時）'!AA8)</f>
        <v/>
      </c>
      <c r="AB8" s="218">
        <f>IF('CF表（ご主人様働けない時）'!AB8="","",'CF表（ご主人様働けない時）'!AB8)</f>
        <v/>
      </c>
      <c r="AC8" s="218">
        <f>IF('CF表（ご主人様働けない時）'!AC8="","",'CF表（ご主人様働けない時）'!AC8)</f>
        <v/>
      </c>
      <c r="AD8" s="218">
        <f>IF('CF表（ご主人様働けない時）'!AD8="","",'CF表（ご主人様働けない時）'!AD8)</f>
        <v/>
      </c>
      <c r="AE8" s="218">
        <f>IF('CF表（ご主人様働けない時）'!AE8="","",'CF表（ご主人様働けない時）'!AE8)</f>
        <v/>
      </c>
      <c r="AF8" s="218">
        <f>IF('CF表（ご主人様働けない時）'!AF8="","",'CF表（ご主人様働けない時）'!AF8)</f>
        <v/>
      </c>
      <c r="AG8" s="218">
        <f>IF('CF表（ご主人様働けない時）'!AG8="","",'CF表（ご主人様働けない時）'!AG8)</f>
        <v/>
      </c>
      <c r="AH8" s="218">
        <f>IF('CF表（ご主人様働けない時）'!AH8="","",'CF表（ご主人様働けない時）'!AH8)</f>
        <v/>
      </c>
      <c r="AI8" s="218">
        <f>IF('CF表（ご主人様働けない時）'!AI8="","",'CF表（ご主人様働けない時）'!AI8)</f>
        <v/>
      </c>
      <c r="AJ8" s="218">
        <f>IF('CF表（ご主人様働けない時）'!AJ8="","",'CF表（ご主人様働けない時）'!AJ8)</f>
        <v/>
      </c>
      <c r="AK8" s="218">
        <f>IF('CF表（ご主人様働けない時）'!AK8="","",'CF表（ご主人様働けない時）'!AK8)</f>
        <v/>
      </c>
      <c r="AL8" s="218">
        <f>IF('CF表（ご主人様働けない時）'!AL8="","",'CF表（ご主人様働けない時）'!AL8)</f>
        <v/>
      </c>
      <c r="AM8" s="218">
        <f>IF('CF表（ご主人様働けない時）'!AM8="","",'CF表（ご主人様働けない時）'!AM8)</f>
        <v/>
      </c>
      <c r="AN8" s="218">
        <f>IF('CF表（ご主人様働けない時）'!AN8="","",'CF表（ご主人様働けない時）'!AN8)</f>
        <v/>
      </c>
      <c r="AO8" s="218">
        <f>IF('CF表（ご主人様働けない時）'!AO8="","",'CF表（ご主人様働けない時）'!AO8)</f>
        <v/>
      </c>
      <c r="AP8" s="218">
        <f>IF('CF表（ご主人様働けない時）'!AP8="","",'CF表（ご主人様働けない時）'!AP8)</f>
        <v/>
      </c>
      <c r="AQ8" s="218">
        <f>IF('CF表（ご主人様働けない時）'!AQ8="","",'CF表（ご主人様働けない時）'!AQ8)</f>
        <v/>
      </c>
      <c r="AR8" s="218">
        <f>IF('CF表（ご主人様働けない時）'!AR8="","",'CF表（ご主人様働けない時）'!AR8)</f>
        <v/>
      </c>
      <c r="AS8" s="218">
        <f>IF('CF表（ご主人様働けない時）'!AS8="","",'CF表（ご主人様働けない時）'!AS8)</f>
        <v/>
      </c>
      <c r="AT8" s="218">
        <f>IF('CF表（ご主人様働けない時）'!AT8="","",'CF表（ご主人様働けない時）'!AT8)</f>
        <v/>
      </c>
      <c r="AU8" s="218">
        <f>IF('CF表（ご主人様働けない時）'!AU8="","",'CF表（ご主人様働けない時）'!AU8)</f>
        <v/>
      </c>
      <c r="AV8" s="218">
        <f>IF('CF表（ご主人様働けない時）'!AV8="","",'CF表（ご主人様働けない時）'!AV8)</f>
        <v/>
      </c>
      <c r="AW8" s="218">
        <f>IF('CF表（ご主人様働けない時）'!AW8="","",'CF表（ご主人様働けない時）'!AW8)</f>
        <v/>
      </c>
      <c r="AX8" s="218">
        <f>IF('CF表（ご主人様働けない時）'!AX8="","",'CF表（ご主人様働けない時）'!AX8)</f>
        <v/>
      </c>
      <c r="AY8" s="218">
        <f>IF('CF表（ご主人様働けない時）'!AY8="","",'CF表（ご主人様働けない時）'!AY8)</f>
        <v/>
      </c>
      <c r="AZ8" s="218">
        <f>IF('CF表（ご主人様働けない時）'!AZ8="","",'CF表（ご主人様働けない時）'!AZ8)</f>
        <v/>
      </c>
      <c r="BA8" s="218">
        <f>IF('CF表（ご主人様働けない時）'!BA8="","",'CF表（ご主人様働けない時）'!BA8)</f>
        <v/>
      </c>
      <c r="BB8" s="218">
        <f>IF('CF表（ご主人様働けない時）'!BB8="","",'CF表（ご主人様働けない時）'!BB8)</f>
        <v/>
      </c>
      <c r="BC8" s="218">
        <f>IF('CF表（ご主人様働けない時）'!BC8="","",'CF表（ご主人様働けない時）'!BC8)</f>
        <v/>
      </c>
      <c r="BD8" s="218">
        <f>IF('CF表（ご主人様働けない時）'!BD8="","",'CF表（ご主人様働けない時）'!BD8)</f>
        <v/>
      </c>
      <c r="BE8" s="218">
        <f>IF('CF表（ご主人様働けない時）'!BE8="","",'CF表（ご主人様働けない時）'!BE8)</f>
        <v/>
      </c>
      <c r="BF8" s="218">
        <f>IF('CF表（ご主人様働けない時）'!BF8="","",'CF表（ご主人様働けない時）'!BF8)</f>
        <v/>
      </c>
      <c r="BG8" s="218">
        <f>IF('CF表（ご主人様働けない時）'!BG8="","",'CF表（ご主人様働けない時）'!BG8)</f>
        <v/>
      </c>
      <c r="BH8" s="218">
        <f>IF('CF表（ご主人様働けない時）'!BH8="","",'CF表（ご主人様働けない時）'!BH8)</f>
        <v/>
      </c>
      <c r="BI8" s="218">
        <f>IF('CF表（ご主人様働けない時）'!BI8="","",'CF表（ご主人様働けない時）'!BI8)</f>
        <v/>
      </c>
      <c r="BJ8" s="218">
        <f>IF('CF表（ご主人様働けない時）'!BJ8="","",'CF表（ご主人様働けない時）'!BJ8)</f>
        <v/>
      </c>
      <c r="BK8" s="218">
        <f>IF('CF表（ご主人様働けない時）'!BK8="","",'CF表（ご主人様働けない時）'!BK8)</f>
        <v/>
      </c>
      <c r="BL8" s="218">
        <f>IF('CF表（ご主人様働けない時）'!BL8="","",'CF表（ご主人様働けない時）'!BL8)</f>
        <v/>
      </c>
      <c r="BM8" s="218">
        <f>IF('CF表（ご主人様働けない時）'!BM8="","",'CF表（ご主人様働けない時）'!BM8)</f>
        <v/>
      </c>
      <c r="BN8" s="218">
        <f>IF('CF表（ご主人様働けない時）'!BN8="","",'CF表（ご主人様働けない時）'!BN8)</f>
        <v/>
      </c>
      <c r="BO8" s="218">
        <f>IF('CF表（ご主人様働けない時）'!BO8="","",'CF表（ご主人様働けない時）'!BO8)</f>
        <v/>
      </c>
      <c r="BP8" s="218">
        <f>IF('CF表（ご主人様働けない時）'!BP8="","",'CF表（ご主人様働けない時）'!BP8)</f>
        <v/>
      </c>
      <c r="BQ8" s="218">
        <f>IF('CF表（ご主人様働けない時）'!BQ8="","",'CF表（ご主人様働けない時）'!BQ8)</f>
        <v/>
      </c>
      <c r="BR8" s="218">
        <f>IF('CF表（ご主人様働けない時）'!BR8="","",'CF表（ご主人様働けない時）'!BR8)</f>
        <v/>
      </c>
      <c r="BS8" s="218">
        <f>IF('CF表（ご主人様働けない時）'!BS8="","",'CF表（ご主人様働けない時）'!BS8)</f>
        <v/>
      </c>
      <c r="BT8" s="218">
        <f>IF('CF表（ご主人様働けない時）'!BT8="","",'CF表（ご主人様働けない時）'!BT8)</f>
        <v/>
      </c>
      <c r="BU8" s="218">
        <f>IF('CF表（ご主人様働けない時）'!BU8="","",'CF表（ご主人様働けない時）'!BU8)</f>
        <v/>
      </c>
      <c r="BV8" s="218">
        <f>IF('CF表（ご主人様働けない時）'!BV8="","",'CF表（ご主人様働けない時）'!BV8)</f>
        <v/>
      </c>
      <c r="BW8" s="218">
        <f>IF('CF表（ご主人様働けない時）'!BW8="","",'CF表（ご主人様働けない時）'!BW8)</f>
        <v/>
      </c>
      <c r="BX8" s="218">
        <f>IF('CF表（ご主人様働けない時）'!BX8="","",'CF表（ご主人様働けない時）'!BX8)</f>
        <v/>
      </c>
      <c r="BY8" s="218">
        <f>IF('CF表（ご主人様働けない時）'!BY8="","",'CF表（ご主人様働けない時）'!BY8)</f>
        <v/>
      </c>
      <c r="BZ8" s="218">
        <f>IF('CF表（ご主人様働けない時）'!BZ8="","",'CF表（ご主人様働けない時）'!BZ8)</f>
        <v/>
      </c>
      <c r="CA8" s="218">
        <f>IF('CF表（ご主人様働けない時）'!CA8="","",'CF表（ご主人様働けない時）'!CA8)</f>
        <v/>
      </c>
      <c r="CB8" s="218">
        <f>IF('CF表（ご主人様働けない時）'!CB8="","",'CF表（ご主人様働けない時）'!CB8)</f>
        <v/>
      </c>
      <c r="CC8" s="218">
        <f>IF('CF表（ご主人様働けない時）'!CC8="","",'CF表（ご主人様働けない時）'!CC8)</f>
        <v/>
      </c>
      <c r="CD8" s="218">
        <f>IF('CF表（ご主人様働けない時）'!CD8="","",'CF表（ご主人様働けない時）'!CD8)</f>
        <v/>
      </c>
      <c r="CE8" s="218">
        <f>IF('CF表（ご主人様働けない時）'!CE8="","",'CF表（ご主人様働けない時）'!CE8)</f>
        <v/>
      </c>
      <c r="CF8" s="218">
        <f>IF('CF表（ご主人様働けない時）'!CF8="","",'CF表（ご主人様働けない時）'!CF8)</f>
        <v/>
      </c>
      <c r="CG8" s="218">
        <f>IF('CF表（ご主人様働けない時）'!CG8="","",'CF表（ご主人様働けない時）'!CG8)</f>
        <v/>
      </c>
      <c r="CH8" s="218">
        <f>IF('CF表（ご主人様働けない時）'!CH8="","",'CF表（ご主人様働けない時）'!CH8)</f>
        <v/>
      </c>
      <c r="CI8" s="218">
        <f>IF('CF表（ご主人様働けない時）'!CI8="","",'CF表（ご主人様働けない時）'!CI8)</f>
        <v/>
      </c>
      <c r="CJ8" s="218">
        <f>IF('CF表（ご主人様働けない時）'!CJ8="","",'CF表（ご主人様働けない時）'!CJ8)</f>
        <v/>
      </c>
      <c r="CK8" s="218">
        <f>IF('CF表（ご主人様働けない時）'!CK8="","",'CF表（ご主人様働けない時）'!CK8)</f>
        <v/>
      </c>
      <c r="CL8" s="218">
        <f>IF('CF表（ご主人様働けない時）'!CL8="","",'CF表（ご主人様働けない時）'!CL8)</f>
        <v/>
      </c>
      <c r="CM8" s="218">
        <f>IF('CF表（ご主人様働けない時）'!CM8="","",'CF表（ご主人様働けない時）'!CM8)</f>
        <v/>
      </c>
      <c r="CN8" s="218">
        <f>IF('CF表（ご主人様働けない時）'!CN8="","",'CF表（ご主人様働けない時）'!CN8)</f>
        <v/>
      </c>
      <c r="CO8" s="218">
        <f>IF('CF表（ご主人様働けない時）'!CO8="","",'CF表（ご主人様働けない時）'!CO8)</f>
        <v/>
      </c>
      <c r="CP8" s="218">
        <f>IF('CF表（ご主人様働けない時）'!CP8="","",'CF表（ご主人様働けない時）'!CP8)</f>
        <v/>
      </c>
      <c r="CQ8" s="218">
        <f>IF('CF表（ご主人様働けない時）'!CQ8="","",'CF表（ご主人様働けない時）'!CQ8)</f>
        <v/>
      </c>
      <c r="CR8" s="218">
        <f>IF('CF表（ご主人様働けない時）'!CR8="","",'CF表（ご主人様働けない時）'!CR8)</f>
        <v/>
      </c>
      <c r="CS8" s="218">
        <f>IF('CF表（ご主人様働けない時）'!CS8="","",'CF表（ご主人様働けない時）'!CS8)</f>
        <v/>
      </c>
      <c r="CT8" s="218">
        <f>IF('CF表（ご主人様働けない時）'!CT8="","",'CF表（ご主人様働けない時）'!CT8)</f>
        <v/>
      </c>
      <c r="CU8" s="218">
        <f>IF('CF表（ご主人様働けない時）'!CU8="","",'CF表（ご主人様働けない時）'!CU8)</f>
        <v/>
      </c>
      <c r="CV8" s="218">
        <f>IF('CF表（ご主人様働けない時）'!CV8="","",'CF表（ご主人様働けない時）'!CV8)</f>
        <v/>
      </c>
      <c r="CW8" s="218">
        <f>IF('CF表（ご主人様働けない時）'!CW8="","",'CF表（ご主人様働けない時）'!CW8)</f>
        <v/>
      </c>
    </row>
    <row r="9" ht="15" customHeight="1" s="180">
      <c r="A9" s="205" t="inlineStr">
        <is>
          <t>家族年齢</t>
        </is>
      </c>
      <c r="B9" s="219" t="n"/>
      <c r="C9" s="219" t="n"/>
      <c r="D9" s="219" t="n"/>
      <c r="E9" s="219" t="n"/>
      <c r="F9" s="219" t="n"/>
      <c r="G9" s="219" t="n"/>
      <c r="H9" s="219" t="n"/>
      <c r="I9" s="219" t="n"/>
      <c r="J9" s="219" t="n"/>
      <c r="K9" s="219" t="n"/>
      <c r="L9" s="219" t="n"/>
      <c r="M9" s="219" t="n"/>
      <c r="N9" s="219" t="n"/>
      <c r="O9" s="219" t="n"/>
      <c r="P9" s="219" t="n"/>
      <c r="Q9" s="219" t="n"/>
      <c r="R9" s="219" t="n"/>
      <c r="S9" s="219" t="n"/>
      <c r="T9" s="219" t="n"/>
      <c r="U9" s="219" t="n"/>
      <c r="V9" s="219" t="n"/>
      <c r="W9" s="219" t="n"/>
      <c r="X9" s="219" t="n"/>
      <c r="Y9" s="219" t="n"/>
      <c r="Z9" s="219" t="n"/>
      <c r="AA9" s="219" t="n"/>
      <c r="AB9" s="219" t="n"/>
      <c r="AC9" s="219" t="n"/>
      <c r="AD9" s="219" t="n"/>
      <c r="AE9" s="219" t="n"/>
      <c r="AF9" s="219" t="n"/>
      <c r="AG9" s="219" t="n"/>
      <c r="AH9" s="219" t="n"/>
      <c r="AI9" s="219" t="n"/>
      <c r="AJ9" s="219" t="n"/>
      <c r="AK9" s="219" t="n"/>
      <c r="AL9" s="219" t="n"/>
      <c r="AM9" s="219" t="n"/>
      <c r="AN9" s="219" t="n"/>
      <c r="AO9" s="219" t="n"/>
      <c r="AP9" s="219" t="n"/>
      <c r="AQ9" s="219" t="n"/>
      <c r="AR9" s="219" t="n"/>
      <c r="AS9" s="219" t="n"/>
      <c r="AT9" s="219" t="n"/>
      <c r="AU9" s="219" t="n"/>
      <c r="AV9" s="219" t="n"/>
      <c r="AW9" s="219" t="n"/>
      <c r="AX9" s="219" t="n"/>
      <c r="AY9" s="219" t="n"/>
      <c r="AZ9" s="219" t="n"/>
      <c r="BA9" s="219" t="n"/>
      <c r="BB9" s="219" t="n"/>
      <c r="BC9" s="219" t="n"/>
      <c r="BD9" s="219" t="n"/>
      <c r="BE9" s="219" t="n"/>
      <c r="BF9" s="219" t="n"/>
      <c r="BG9" s="219" t="n"/>
      <c r="BH9" s="219" t="n"/>
      <c r="BI9" s="219" t="n"/>
      <c r="BJ9" s="219" t="n"/>
      <c r="BK9" s="219" t="n"/>
      <c r="BL9" s="219" t="n"/>
      <c r="BM9" s="219" t="n"/>
      <c r="BN9" s="219" t="n"/>
      <c r="BO9" s="219" t="n"/>
      <c r="BP9" s="219" t="n"/>
      <c r="BQ9" s="219" t="n"/>
      <c r="BR9" s="219" t="n"/>
      <c r="BS9" s="219" t="n"/>
      <c r="BT9" s="219" t="n"/>
      <c r="BU9" s="219" t="n"/>
      <c r="BV9" s="219" t="n"/>
      <c r="BW9" s="219" t="n"/>
      <c r="BX9" s="219" t="n"/>
      <c r="BY9" s="219" t="n"/>
      <c r="BZ9" s="219" t="n"/>
      <c r="CA9" s="219" t="n"/>
      <c r="CB9" s="219" t="n"/>
      <c r="CC9" s="219" t="n"/>
      <c r="CD9" s="219" t="n"/>
      <c r="CE9" s="219" t="n"/>
      <c r="CF9" s="219" t="n"/>
      <c r="CG9" s="219" t="n"/>
      <c r="CH9" s="219" t="n"/>
      <c r="CI9" s="219" t="n"/>
      <c r="CJ9" s="219" t="n"/>
      <c r="CK9" s="219" t="n"/>
      <c r="CL9" s="219" t="n"/>
      <c r="CM9" s="219" t="n"/>
      <c r="CN9" s="219" t="n"/>
      <c r="CO9" s="219" t="n"/>
      <c r="CP9" s="219" t="n"/>
      <c r="CQ9" s="219" t="n"/>
      <c r="CR9" s="219" t="n"/>
      <c r="CS9" s="219" t="n"/>
      <c r="CT9" s="219" t="n"/>
      <c r="CU9" s="219" t="n"/>
      <c r="CV9" s="219" t="n"/>
      <c r="CW9" s="219" t="n"/>
    </row>
    <row r="10" ht="15" customHeight="1" s="180">
      <c r="A10" s="220" t="inlineStr">
        <is>
          <t>ご主人様収入</t>
        </is>
      </c>
      <c r="B10" s="221">
        <f>IF('CF表（ご主人様働けない時）'!B$3="","",'CF表（ご主人様働けない時）'!B10/10000)</f>
        <v/>
      </c>
      <c r="C10" s="221">
        <f>IF('CF表（ご主人様働けない時）'!C$3="","",'CF表（ご主人様働けない時）'!C10/10000)</f>
        <v/>
      </c>
      <c r="D10" s="221">
        <f>IF('CF表（ご主人様働けない時）'!D$3="","",'CF表（ご主人様働けない時）'!D10/10000)</f>
        <v/>
      </c>
      <c r="E10" s="221">
        <f>IF('CF表（ご主人様働けない時）'!E$3="","",'CF表（ご主人様働けない時）'!E10/10000)</f>
        <v/>
      </c>
      <c r="F10" s="221">
        <f>IF('CF表（ご主人様働けない時）'!F$3="","",'CF表（ご主人様働けない時）'!F10/10000)</f>
        <v/>
      </c>
      <c r="G10" s="221">
        <f>IF('CF表（ご主人様働けない時）'!G$3="","",'CF表（ご主人様働けない時）'!G10/10000)</f>
        <v/>
      </c>
      <c r="H10" s="221">
        <f>IF('CF表（ご主人様働けない時）'!H$3="","",'CF表（ご主人様働けない時）'!H10/10000)</f>
        <v/>
      </c>
      <c r="I10" s="221">
        <f>IF('CF表（ご主人様働けない時）'!I$3="","",'CF表（ご主人様働けない時）'!I10/10000)</f>
        <v/>
      </c>
      <c r="J10" s="221">
        <f>IF('CF表（ご主人様働けない時）'!J$3="","",'CF表（ご主人様働けない時）'!J10/10000)</f>
        <v/>
      </c>
      <c r="K10" s="221">
        <f>IF('CF表（ご主人様働けない時）'!K$3="","",'CF表（ご主人様働けない時）'!K10/10000)</f>
        <v/>
      </c>
      <c r="L10" s="221">
        <f>IF('CF表（ご主人様働けない時）'!L$3="","",'CF表（ご主人様働けない時）'!L10/10000)</f>
        <v/>
      </c>
      <c r="M10" s="221">
        <f>IF('CF表（ご主人様働けない時）'!M$3="","",'CF表（ご主人様働けない時）'!M10/10000)</f>
        <v/>
      </c>
      <c r="N10" s="221">
        <f>IF('CF表（ご主人様働けない時）'!N$3="","",'CF表（ご主人様働けない時）'!N10/10000)</f>
        <v/>
      </c>
      <c r="O10" s="221">
        <f>IF('CF表（ご主人様働けない時）'!O$3="","",'CF表（ご主人様働けない時）'!O10/10000)</f>
        <v/>
      </c>
      <c r="P10" s="221">
        <f>IF('CF表（ご主人様働けない時）'!P$3="","",'CF表（ご主人様働けない時）'!P10/10000)</f>
        <v/>
      </c>
      <c r="Q10" s="221">
        <f>IF('CF表（ご主人様働けない時）'!Q$3="","",'CF表（ご主人様働けない時）'!Q10/10000)</f>
        <v/>
      </c>
      <c r="R10" s="221">
        <f>IF('CF表（ご主人様働けない時）'!R$3="","",'CF表（ご主人様働けない時）'!R10/10000)</f>
        <v/>
      </c>
      <c r="S10" s="221">
        <f>IF('CF表（ご主人様働けない時）'!S$3="","",'CF表（ご主人様働けない時）'!S10/10000)</f>
        <v/>
      </c>
      <c r="T10" s="221">
        <f>IF('CF表（ご主人様働けない時）'!T$3="","",'CF表（ご主人様働けない時）'!T10/10000)</f>
        <v/>
      </c>
      <c r="U10" s="221">
        <f>IF('CF表（ご主人様働けない時）'!U$3="","",'CF表（ご主人様働けない時）'!U10/10000)</f>
        <v/>
      </c>
      <c r="V10" s="221">
        <f>IF('CF表（ご主人様働けない時）'!V$3="","",'CF表（ご主人様働けない時）'!V10/10000)</f>
        <v/>
      </c>
      <c r="W10" s="221">
        <f>IF('CF表（ご主人様働けない時）'!W$3="","",'CF表（ご主人様働けない時）'!W10/10000)</f>
        <v/>
      </c>
      <c r="X10" s="221">
        <f>IF('CF表（ご主人様働けない時）'!X$3="","",'CF表（ご主人様働けない時）'!X10/10000)</f>
        <v/>
      </c>
      <c r="Y10" s="221">
        <f>IF('CF表（ご主人様働けない時）'!Y$3="","",'CF表（ご主人様働けない時）'!Y10/10000)</f>
        <v/>
      </c>
      <c r="Z10" s="221">
        <f>IF('CF表（ご主人様働けない時）'!Z$3="","",'CF表（ご主人様働けない時）'!Z10/10000)</f>
        <v/>
      </c>
      <c r="AA10" s="221">
        <f>IF('CF表（ご主人様働けない時）'!AA$3="","",'CF表（ご主人様働けない時）'!AA10/10000)</f>
        <v/>
      </c>
      <c r="AB10" s="221">
        <f>IF('CF表（ご主人様働けない時）'!AB$3="","",'CF表（ご主人様働けない時）'!AB10/10000)</f>
        <v/>
      </c>
      <c r="AC10" s="221">
        <f>IF('CF表（ご主人様働けない時）'!AC$3="","",'CF表（ご主人様働けない時）'!AC10/10000)</f>
        <v/>
      </c>
      <c r="AD10" s="221">
        <f>IF('CF表（ご主人様働けない時）'!AD$3="","",'CF表（ご主人様働けない時）'!AD10/10000)</f>
        <v/>
      </c>
      <c r="AE10" s="221">
        <f>IF('CF表（ご主人様働けない時）'!AE$3="","",'CF表（ご主人様働けない時）'!AE10/10000)</f>
        <v/>
      </c>
      <c r="AF10" s="221">
        <f>IF('CF表（ご主人様働けない時）'!AF$3="","",'CF表（ご主人様働けない時）'!AF10/10000)</f>
        <v/>
      </c>
      <c r="AG10" s="221">
        <f>IF('CF表（ご主人様働けない時）'!AG$3="","",'CF表（ご主人様働けない時）'!AG10/10000)</f>
        <v/>
      </c>
      <c r="AH10" s="221">
        <f>IF('CF表（ご主人様働けない時）'!AH$3="","",'CF表（ご主人様働けない時）'!AH10/10000)</f>
        <v/>
      </c>
      <c r="AI10" s="221">
        <f>IF('CF表（ご主人様働けない時）'!AI$3="","",'CF表（ご主人様働けない時）'!AI10/10000)</f>
        <v/>
      </c>
      <c r="AJ10" s="221">
        <f>IF('CF表（ご主人様働けない時）'!AJ$3="","",'CF表（ご主人様働けない時）'!AJ10/10000)</f>
        <v/>
      </c>
      <c r="AK10" s="221">
        <f>IF('CF表（ご主人様働けない時）'!AK$3="","",'CF表（ご主人様働けない時）'!AK10/10000)</f>
        <v/>
      </c>
      <c r="AL10" s="221">
        <f>IF('CF表（ご主人様働けない時）'!AL$3="","",'CF表（ご主人様働けない時）'!AL10/10000)</f>
        <v/>
      </c>
      <c r="AM10" s="221">
        <f>IF('CF表（ご主人様働けない時）'!AM$3="","",'CF表（ご主人様働けない時）'!AM10/10000)</f>
        <v/>
      </c>
      <c r="AN10" s="221">
        <f>IF('CF表（ご主人様働けない時）'!AN$3="","",'CF表（ご主人様働けない時）'!AN10/10000)</f>
        <v/>
      </c>
      <c r="AO10" s="221">
        <f>IF('CF表（ご主人様働けない時）'!AO$3="","",'CF表（ご主人様働けない時）'!AO10/10000)</f>
        <v/>
      </c>
      <c r="AP10" s="221">
        <f>IF('CF表（ご主人様働けない時）'!AP$3="","",'CF表（ご主人様働けない時）'!AP10/10000)</f>
        <v/>
      </c>
      <c r="AQ10" s="221">
        <f>IF('CF表（ご主人様働けない時）'!AQ$3="","",'CF表（ご主人様働けない時）'!AQ10/10000)</f>
        <v/>
      </c>
      <c r="AR10" s="221">
        <f>IF('CF表（ご主人様働けない時）'!AR$3="","",'CF表（ご主人様働けない時）'!AR10/10000)</f>
        <v/>
      </c>
      <c r="AS10" s="221">
        <f>IF('CF表（ご主人様働けない時）'!AS$3="","",'CF表（ご主人様働けない時）'!AS10/10000)</f>
        <v/>
      </c>
      <c r="AT10" s="221">
        <f>IF('CF表（ご主人様働けない時）'!AT$3="","",'CF表（ご主人様働けない時）'!AT10/10000)</f>
        <v/>
      </c>
      <c r="AU10" s="221">
        <f>IF('CF表（ご主人様働けない時）'!AU$3="","",'CF表（ご主人様働けない時）'!AU10/10000)</f>
        <v/>
      </c>
      <c r="AV10" s="221">
        <f>IF('CF表（ご主人様働けない時）'!AV$3="","",'CF表（ご主人様働けない時）'!AV10/10000)</f>
        <v/>
      </c>
      <c r="AW10" s="221">
        <f>IF('CF表（ご主人様働けない時）'!AW$3="","",'CF表（ご主人様働けない時）'!AW10/10000)</f>
        <v/>
      </c>
      <c r="AX10" s="221">
        <f>IF('CF表（ご主人様働けない時）'!AX$3="","",'CF表（ご主人様働けない時）'!AX10/10000)</f>
        <v/>
      </c>
      <c r="AY10" s="221">
        <f>IF('CF表（ご主人様働けない時）'!AY$3="","",'CF表（ご主人様働けない時）'!AY10/10000)</f>
        <v/>
      </c>
      <c r="AZ10" s="221">
        <f>IF('CF表（ご主人様働けない時）'!AZ$3="","",'CF表（ご主人様働けない時）'!AZ10/10000)</f>
        <v/>
      </c>
      <c r="BA10" s="221">
        <f>IF('CF表（ご主人様働けない時）'!BA$3="","",'CF表（ご主人様働けない時）'!BA10/10000)</f>
        <v/>
      </c>
      <c r="BB10" s="221">
        <f>IF('CF表（ご主人様働けない時）'!BB$3="","",'CF表（ご主人様働けない時）'!BB10/10000)</f>
        <v/>
      </c>
      <c r="BC10" s="221">
        <f>IF('CF表（ご主人様働けない時）'!BC$3="","",'CF表（ご主人様働けない時）'!BC10/10000)</f>
        <v/>
      </c>
      <c r="BD10" s="221">
        <f>IF('CF表（ご主人様働けない時）'!BD$3="","",'CF表（ご主人様働けない時）'!BD10/10000)</f>
        <v/>
      </c>
      <c r="BE10" s="221">
        <f>IF('CF表（ご主人様働けない時）'!BE$3="","",'CF表（ご主人様働けない時）'!BE10/10000)</f>
        <v/>
      </c>
      <c r="BF10" s="221">
        <f>IF('CF表（ご主人様働けない時）'!BF$3="","",'CF表（ご主人様働けない時）'!BF10/10000)</f>
        <v/>
      </c>
      <c r="BG10" s="221">
        <f>IF('CF表（ご主人様働けない時）'!BG$3="","",'CF表（ご主人様働けない時）'!BG10/10000)</f>
        <v/>
      </c>
      <c r="BH10" s="221">
        <f>IF('CF表（ご主人様働けない時）'!BH$3="","",'CF表（ご主人様働けない時）'!BH10/10000)</f>
        <v/>
      </c>
      <c r="BI10" s="221">
        <f>IF('CF表（ご主人様働けない時）'!BI$3="","",'CF表（ご主人様働けない時）'!BI10/10000)</f>
        <v/>
      </c>
      <c r="BJ10" s="221">
        <f>IF('CF表（ご主人様働けない時）'!BJ$3="","",'CF表（ご主人様働けない時）'!BJ10/10000)</f>
        <v/>
      </c>
      <c r="BK10" s="221">
        <f>IF('CF表（ご主人様働けない時）'!BK$3="","",'CF表（ご主人様働けない時）'!BK10/10000)</f>
        <v/>
      </c>
      <c r="BL10" s="221">
        <f>IF('CF表（ご主人様働けない時）'!BL$3="","",'CF表（ご主人様働けない時）'!BL10/10000)</f>
        <v/>
      </c>
      <c r="BM10" s="221">
        <f>IF('CF表（ご主人様働けない時）'!BM$3="","",'CF表（ご主人様働けない時）'!BM10/10000)</f>
        <v/>
      </c>
      <c r="BN10" s="221">
        <f>IF('CF表（ご主人様働けない時）'!BN$3="","",'CF表（ご主人様働けない時）'!BN10/10000)</f>
        <v/>
      </c>
      <c r="BO10" s="221">
        <f>IF('CF表（ご主人様働けない時）'!BO$3="","",'CF表（ご主人様働けない時）'!BO10/10000)</f>
        <v/>
      </c>
      <c r="BP10" s="221">
        <f>IF('CF表（ご主人様働けない時）'!BP$3="","",'CF表（ご主人様働けない時）'!BP10/10000)</f>
        <v/>
      </c>
      <c r="BQ10" s="221">
        <f>IF('CF表（ご主人様働けない時）'!BQ$3="","",'CF表（ご主人様働けない時）'!BQ10/10000)</f>
        <v/>
      </c>
      <c r="BR10" s="221">
        <f>IF('CF表（ご主人様働けない時）'!BR$3="","",'CF表（ご主人様働けない時）'!BR10/10000)</f>
        <v/>
      </c>
      <c r="BS10" s="221">
        <f>IF('CF表（ご主人様働けない時）'!BS$3="","",'CF表（ご主人様働けない時）'!BS10/10000)</f>
        <v/>
      </c>
      <c r="BT10" s="221">
        <f>IF('CF表（ご主人様働けない時）'!BT$3="","",'CF表（ご主人様働けない時）'!BT10/10000)</f>
        <v/>
      </c>
      <c r="BU10" s="221">
        <f>IF('CF表（ご主人様働けない時）'!BU$3="","",'CF表（ご主人様働けない時）'!BU10/10000)</f>
        <v/>
      </c>
      <c r="BV10" s="221">
        <f>IF('CF表（ご主人様働けない時）'!BV$3="","",'CF表（ご主人様働けない時）'!BV10/10000)</f>
        <v/>
      </c>
      <c r="BW10" s="221">
        <f>IF('CF表（ご主人様働けない時）'!BW$3="","",'CF表（ご主人様働けない時）'!BW10/10000)</f>
        <v/>
      </c>
      <c r="BX10" s="221">
        <f>IF('CF表（ご主人様働けない時）'!BX$3="","",'CF表（ご主人様働けない時）'!BX10/10000)</f>
        <v/>
      </c>
      <c r="BY10" s="221">
        <f>IF('CF表（ご主人様働けない時）'!BY$3="","",'CF表（ご主人様働けない時）'!BY10/10000)</f>
        <v/>
      </c>
      <c r="BZ10" s="221">
        <f>IF('CF表（ご主人様働けない時）'!BZ$3="","",'CF表（ご主人様働けない時）'!BZ10/10000)</f>
        <v/>
      </c>
      <c r="CA10" s="221">
        <f>IF('CF表（ご主人様働けない時）'!CA$3="","",'CF表（ご主人様働けない時）'!CA10/10000)</f>
        <v/>
      </c>
      <c r="CB10" s="221">
        <f>IF('CF表（ご主人様働けない時）'!CB$3="","",'CF表（ご主人様働けない時）'!CB10/10000)</f>
        <v/>
      </c>
      <c r="CC10" s="221">
        <f>IF('CF表（ご主人様働けない時）'!CC$3="","",'CF表（ご主人様働けない時）'!CC10/10000)</f>
        <v/>
      </c>
      <c r="CD10" s="221">
        <f>IF('CF表（ご主人様働けない時）'!CD$3="","",'CF表（ご主人様働けない時）'!CD10/10000)</f>
        <v/>
      </c>
      <c r="CE10" s="221">
        <f>IF('CF表（ご主人様働けない時）'!CE$3="","",'CF表（ご主人様働けない時）'!CE10/10000)</f>
        <v/>
      </c>
      <c r="CF10" s="221">
        <f>IF('CF表（ご主人様働けない時）'!CF$3="","",'CF表（ご主人様働けない時）'!CF10/10000)</f>
        <v/>
      </c>
      <c r="CG10" s="221">
        <f>IF('CF表（ご主人様働けない時）'!CG$3="","",'CF表（ご主人様働けない時）'!CG10/10000)</f>
        <v/>
      </c>
      <c r="CH10" s="221">
        <f>IF('CF表（ご主人様働けない時）'!CH$3="","",'CF表（ご主人様働けない時）'!CH10/10000)</f>
        <v/>
      </c>
      <c r="CI10" s="221">
        <f>IF('CF表（ご主人様働けない時）'!CI$3="","",'CF表（ご主人様働けない時）'!CI10/10000)</f>
        <v/>
      </c>
      <c r="CJ10" s="221">
        <f>IF('CF表（ご主人様働けない時）'!CJ$3="","",'CF表（ご主人様働けない時）'!CJ10/10000)</f>
        <v/>
      </c>
      <c r="CK10" s="221">
        <f>IF('CF表（ご主人様働けない時）'!CK$3="","",'CF表（ご主人様働けない時）'!CK10/10000)</f>
        <v/>
      </c>
      <c r="CL10" s="221">
        <f>IF('CF表（ご主人様働けない時）'!CL$3="","",'CF表（ご主人様働けない時）'!CL10/10000)</f>
        <v/>
      </c>
      <c r="CM10" s="221">
        <f>IF('CF表（ご主人様働けない時）'!CM$3="","",'CF表（ご主人様働けない時）'!CM10/10000)</f>
        <v/>
      </c>
      <c r="CN10" s="221">
        <f>IF('CF表（ご主人様働けない時）'!CN$3="","",'CF表（ご主人様働けない時）'!CN10/10000)</f>
        <v/>
      </c>
      <c r="CO10" s="221">
        <f>IF('CF表（ご主人様働けない時）'!CO$3="","",'CF表（ご主人様働けない時）'!CO10/10000)</f>
        <v/>
      </c>
      <c r="CP10" s="221">
        <f>IF('CF表（ご主人様働けない時）'!CP$3="","",'CF表（ご主人様働けない時）'!CP10/10000)</f>
        <v/>
      </c>
      <c r="CQ10" s="221">
        <f>IF('CF表（ご主人様働けない時）'!CQ$3="","",'CF表（ご主人様働けない時）'!CQ10/10000)</f>
        <v/>
      </c>
      <c r="CR10" s="221">
        <f>IF('CF表（ご主人様働けない時）'!CR$3="","",'CF表（ご主人様働けない時）'!CR10/10000)</f>
        <v/>
      </c>
      <c r="CS10" s="221">
        <f>IF('CF表（ご主人様働けない時）'!CS$3="","",'CF表（ご主人様働けない時）'!CS10/10000)</f>
        <v/>
      </c>
      <c r="CT10" s="221">
        <f>IF('CF表（ご主人様働けない時）'!CT$3="","",'CF表（ご主人様働けない時）'!CT10/10000)</f>
        <v/>
      </c>
      <c r="CU10" s="221">
        <f>IF('CF表（ご主人様働けない時）'!CU$3="","",'CF表（ご主人様働けない時）'!CU10/10000)</f>
        <v/>
      </c>
      <c r="CV10" s="221">
        <f>IF('CF表（ご主人様働けない時）'!CV$3="","",'CF表（ご主人様働けない時）'!CV10/10000)</f>
        <v/>
      </c>
      <c r="CW10" s="221">
        <f>IF('CF表（ご主人様働けない時）'!CW$3="","",'CF表（ご主人様働けない時）'!CW10/10000)</f>
        <v/>
      </c>
    </row>
    <row r="11" ht="15" customHeight="1" s="180">
      <c r="A11" s="220" t="inlineStr">
        <is>
          <t>奥様収入</t>
        </is>
      </c>
      <c r="B11" s="221">
        <f>IF('CF表（ご主人様働けない時）'!B$3="","",'CF表（ご主人様働けない時）'!B11/10000)</f>
        <v/>
      </c>
      <c r="C11" s="221">
        <f>IF('CF表（ご主人様働けない時）'!C$3="","",'CF表（ご主人様働けない時）'!C11/10000)</f>
        <v/>
      </c>
      <c r="D11" s="221">
        <f>IF('CF表（ご主人様働けない時）'!D$3="","",'CF表（ご主人様働けない時）'!D11/10000)</f>
        <v/>
      </c>
      <c r="E11" s="221">
        <f>IF('CF表（ご主人様働けない時）'!E$3="","",'CF表（ご主人様働けない時）'!E11/10000)</f>
        <v/>
      </c>
      <c r="F11" s="221">
        <f>IF('CF表（ご主人様働けない時）'!F$3="","",'CF表（ご主人様働けない時）'!F11/10000)</f>
        <v/>
      </c>
      <c r="G11" s="221">
        <f>IF('CF表（ご主人様働けない時）'!G$3="","",'CF表（ご主人様働けない時）'!G11/10000)</f>
        <v/>
      </c>
      <c r="H11" s="221">
        <f>IF('CF表（ご主人様働けない時）'!H$3="","",'CF表（ご主人様働けない時）'!H11/10000)</f>
        <v/>
      </c>
      <c r="I11" s="221">
        <f>IF('CF表（ご主人様働けない時）'!I$3="","",'CF表（ご主人様働けない時）'!I11/10000)</f>
        <v/>
      </c>
      <c r="J11" s="221">
        <f>IF('CF表（ご主人様働けない時）'!J$3="","",'CF表（ご主人様働けない時）'!J11/10000)</f>
        <v/>
      </c>
      <c r="K11" s="221">
        <f>IF('CF表（ご主人様働けない時）'!K$3="","",'CF表（ご主人様働けない時）'!K11/10000)</f>
        <v/>
      </c>
      <c r="L11" s="221">
        <f>IF('CF表（ご主人様働けない時）'!L$3="","",'CF表（ご主人様働けない時）'!L11/10000)</f>
        <v/>
      </c>
      <c r="M11" s="221">
        <f>IF('CF表（ご主人様働けない時）'!M$3="","",'CF表（ご主人様働けない時）'!M11/10000)</f>
        <v/>
      </c>
      <c r="N11" s="221">
        <f>IF('CF表（ご主人様働けない時）'!N$3="","",'CF表（ご主人様働けない時）'!N11/10000)</f>
        <v/>
      </c>
      <c r="O11" s="221">
        <f>IF('CF表（ご主人様働けない時）'!O$3="","",'CF表（ご主人様働けない時）'!O11/10000)</f>
        <v/>
      </c>
      <c r="P11" s="221">
        <f>IF('CF表（ご主人様働けない時）'!P$3="","",'CF表（ご主人様働けない時）'!P11/10000)</f>
        <v/>
      </c>
      <c r="Q11" s="221">
        <f>IF('CF表（ご主人様働けない時）'!Q$3="","",'CF表（ご主人様働けない時）'!Q11/10000)</f>
        <v/>
      </c>
      <c r="R11" s="221">
        <f>IF('CF表（ご主人様働けない時）'!R$3="","",'CF表（ご主人様働けない時）'!R11/10000)</f>
        <v/>
      </c>
      <c r="S11" s="221">
        <f>IF('CF表（ご主人様働けない時）'!S$3="","",'CF表（ご主人様働けない時）'!S11/10000)</f>
        <v/>
      </c>
      <c r="T11" s="221">
        <f>IF('CF表（ご主人様働けない時）'!T$3="","",'CF表（ご主人様働けない時）'!T11/10000)</f>
        <v/>
      </c>
      <c r="U11" s="221">
        <f>IF('CF表（ご主人様働けない時）'!U$3="","",'CF表（ご主人様働けない時）'!U11/10000)</f>
        <v/>
      </c>
      <c r="V11" s="221">
        <f>IF('CF表（ご主人様働けない時）'!V$3="","",'CF表（ご主人様働けない時）'!V11/10000)</f>
        <v/>
      </c>
      <c r="W11" s="221">
        <f>IF('CF表（ご主人様働けない時）'!W$3="","",'CF表（ご主人様働けない時）'!W11/10000)</f>
        <v/>
      </c>
      <c r="X11" s="221">
        <f>IF('CF表（ご主人様働けない時）'!X$3="","",'CF表（ご主人様働けない時）'!X11/10000)</f>
        <v/>
      </c>
      <c r="Y11" s="221">
        <f>IF('CF表（ご主人様働けない時）'!Y$3="","",'CF表（ご主人様働けない時）'!Y11/10000)</f>
        <v/>
      </c>
      <c r="Z11" s="221">
        <f>IF('CF表（ご主人様働けない時）'!Z$3="","",'CF表（ご主人様働けない時）'!Z11/10000)</f>
        <v/>
      </c>
      <c r="AA11" s="221">
        <f>IF('CF表（ご主人様働けない時）'!AA$3="","",'CF表（ご主人様働けない時）'!AA11/10000)</f>
        <v/>
      </c>
      <c r="AB11" s="221">
        <f>IF('CF表（ご主人様働けない時）'!AB$3="","",'CF表（ご主人様働けない時）'!AB11/10000)</f>
        <v/>
      </c>
      <c r="AC11" s="221">
        <f>IF('CF表（ご主人様働けない時）'!AC$3="","",'CF表（ご主人様働けない時）'!AC11/10000)</f>
        <v/>
      </c>
      <c r="AD11" s="221">
        <f>IF('CF表（ご主人様働けない時）'!AD$3="","",'CF表（ご主人様働けない時）'!AD11/10000)</f>
        <v/>
      </c>
      <c r="AE11" s="221">
        <f>IF('CF表（ご主人様働けない時）'!AE$3="","",'CF表（ご主人様働けない時）'!AE11/10000)</f>
        <v/>
      </c>
      <c r="AF11" s="221">
        <f>IF('CF表（ご主人様働けない時）'!AF$3="","",'CF表（ご主人様働けない時）'!AF11/10000)</f>
        <v/>
      </c>
      <c r="AG11" s="221">
        <f>IF('CF表（ご主人様働けない時）'!AG$3="","",'CF表（ご主人様働けない時）'!AG11/10000)</f>
        <v/>
      </c>
      <c r="AH11" s="221">
        <f>IF('CF表（ご主人様働けない時）'!AH$3="","",'CF表（ご主人様働けない時）'!AH11/10000)</f>
        <v/>
      </c>
      <c r="AI11" s="221">
        <f>IF('CF表（ご主人様働けない時）'!AI$3="","",'CF表（ご主人様働けない時）'!AI11/10000)</f>
        <v/>
      </c>
      <c r="AJ11" s="221">
        <f>IF('CF表（ご主人様働けない時）'!AJ$3="","",'CF表（ご主人様働けない時）'!AJ11/10000)</f>
        <v/>
      </c>
      <c r="AK11" s="221">
        <f>IF('CF表（ご主人様働けない時）'!AK$3="","",'CF表（ご主人様働けない時）'!AK11/10000)</f>
        <v/>
      </c>
      <c r="AL11" s="221">
        <f>IF('CF表（ご主人様働けない時）'!AL$3="","",'CF表（ご主人様働けない時）'!AL11/10000)</f>
        <v/>
      </c>
      <c r="AM11" s="221">
        <f>IF('CF表（ご主人様働けない時）'!AM$3="","",'CF表（ご主人様働けない時）'!AM11/10000)</f>
        <v/>
      </c>
      <c r="AN11" s="221">
        <f>IF('CF表（ご主人様働けない時）'!AN$3="","",'CF表（ご主人様働けない時）'!AN11/10000)</f>
        <v/>
      </c>
      <c r="AO11" s="221">
        <f>IF('CF表（ご主人様働けない時）'!AO$3="","",'CF表（ご主人様働けない時）'!AO11/10000)</f>
        <v/>
      </c>
      <c r="AP11" s="221">
        <f>IF('CF表（ご主人様働けない時）'!AP$3="","",'CF表（ご主人様働けない時）'!AP11/10000)</f>
        <v/>
      </c>
      <c r="AQ11" s="221">
        <f>IF('CF表（ご主人様働けない時）'!AQ$3="","",'CF表（ご主人様働けない時）'!AQ11/10000)</f>
        <v/>
      </c>
      <c r="AR11" s="221">
        <f>IF('CF表（ご主人様働けない時）'!AR$3="","",'CF表（ご主人様働けない時）'!AR11/10000)</f>
        <v/>
      </c>
      <c r="AS11" s="221">
        <f>IF('CF表（ご主人様働けない時）'!AS$3="","",'CF表（ご主人様働けない時）'!AS11/10000)</f>
        <v/>
      </c>
      <c r="AT11" s="221">
        <f>IF('CF表（ご主人様働けない時）'!AT$3="","",'CF表（ご主人様働けない時）'!AT11/10000)</f>
        <v/>
      </c>
      <c r="AU11" s="221">
        <f>IF('CF表（ご主人様働けない時）'!AU$3="","",'CF表（ご主人様働けない時）'!AU11/10000)</f>
        <v/>
      </c>
      <c r="AV11" s="221">
        <f>IF('CF表（ご主人様働けない時）'!AV$3="","",'CF表（ご主人様働けない時）'!AV11/10000)</f>
        <v/>
      </c>
      <c r="AW11" s="221">
        <f>IF('CF表（ご主人様働けない時）'!AW$3="","",'CF表（ご主人様働けない時）'!AW11/10000)</f>
        <v/>
      </c>
      <c r="AX11" s="221">
        <f>IF('CF表（ご主人様働けない時）'!AX$3="","",'CF表（ご主人様働けない時）'!AX11/10000)</f>
        <v/>
      </c>
      <c r="AY11" s="221">
        <f>IF('CF表（ご主人様働けない時）'!AY$3="","",'CF表（ご主人様働けない時）'!AY11/10000)</f>
        <v/>
      </c>
      <c r="AZ11" s="221">
        <f>IF('CF表（ご主人様働けない時）'!AZ$3="","",'CF表（ご主人様働けない時）'!AZ11/10000)</f>
        <v/>
      </c>
      <c r="BA11" s="221">
        <f>IF('CF表（ご主人様働けない時）'!BA$3="","",'CF表（ご主人様働けない時）'!BA11/10000)</f>
        <v/>
      </c>
      <c r="BB11" s="221">
        <f>IF('CF表（ご主人様働けない時）'!BB$3="","",'CF表（ご主人様働けない時）'!BB11/10000)</f>
        <v/>
      </c>
      <c r="BC11" s="221">
        <f>IF('CF表（ご主人様働けない時）'!BC$3="","",'CF表（ご主人様働けない時）'!BC11/10000)</f>
        <v/>
      </c>
      <c r="BD11" s="221">
        <f>IF('CF表（ご主人様働けない時）'!BD$3="","",'CF表（ご主人様働けない時）'!BD11/10000)</f>
        <v/>
      </c>
      <c r="BE11" s="221">
        <f>IF('CF表（ご主人様働けない時）'!BE$3="","",'CF表（ご主人様働けない時）'!BE11/10000)</f>
        <v/>
      </c>
      <c r="BF11" s="221">
        <f>IF('CF表（ご主人様働けない時）'!BF$3="","",'CF表（ご主人様働けない時）'!BF11/10000)</f>
        <v/>
      </c>
      <c r="BG11" s="221">
        <f>IF('CF表（ご主人様働けない時）'!BG$3="","",'CF表（ご主人様働けない時）'!BG11/10000)</f>
        <v/>
      </c>
      <c r="BH11" s="221">
        <f>IF('CF表（ご主人様働けない時）'!BH$3="","",'CF表（ご主人様働けない時）'!BH11/10000)</f>
        <v/>
      </c>
      <c r="BI11" s="221">
        <f>IF('CF表（ご主人様働けない時）'!BI$3="","",'CF表（ご主人様働けない時）'!BI11/10000)</f>
        <v/>
      </c>
      <c r="BJ11" s="221">
        <f>IF('CF表（ご主人様働けない時）'!BJ$3="","",'CF表（ご主人様働けない時）'!BJ11/10000)</f>
        <v/>
      </c>
      <c r="BK11" s="221">
        <f>IF('CF表（ご主人様働けない時）'!BK$3="","",'CF表（ご主人様働けない時）'!BK11/10000)</f>
        <v/>
      </c>
      <c r="BL11" s="221">
        <f>IF('CF表（ご主人様働けない時）'!BL$3="","",'CF表（ご主人様働けない時）'!BL11/10000)</f>
        <v/>
      </c>
      <c r="BM11" s="221">
        <f>IF('CF表（ご主人様働けない時）'!BM$3="","",'CF表（ご主人様働けない時）'!BM11/10000)</f>
        <v/>
      </c>
      <c r="BN11" s="221">
        <f>IF('CF表（ご主人様働けない時）'!BN$3="","",'CF表（ご主人様働けない時）'!BN11/10000)</f>
        <v/>
      </c>
      <c r="BO11" s="221">
        <f>IF('CF表（ご主人様働けない時）'!BO$3="","",'CF表（ご主人様働けない時）'!BO11/10000)</f>
        <v/>
      </c>
      <c r="BP11" s="221">
        <f>IF('CF表（ご主人様働けない時）'!BP$3="","",'CF表（ご主人様働けない時）'!BP11/10000)</f>
        <v/>
      </c>
      <c r="BQ11" s="221">
        <f>IF('CF表（ご主人様働けない時）'!BQ$3="","",'CF表（ご主人様働けない時）'!BQ11/10000)</f>
        <v/>
      </c>
      <c r="BR11" s="221">
        <f>IF('CF表（ご主人様働けない時）'!BR$3="","",'CF表（ご主人様働けない時）'!BR11/10000)</f>
        <v/>
      </c>
      <c r="BS11" s="221">
        <f>IF('CF表（ご主人様働けない時）'!BS$3="","",'CF表（ご主人様働けない時）'!BS11/10000)</f>
        <v/>
      </c>
      <c r="BT11" s="221">
        <f>IF('CF表（ご主人様働けない時）'!BT$3="","",'CF表（ご主人様働けない時）'!BT11/10000)</f>
        <v/>
      </c>
      <c r="BU11" s="221">
        <f>IF('CF表（ご主人様働けない時）'!BU$3="","",'CF表（ご主人様働けない時）'!BU11/10000)</f>
        <v/>
      </c>
      <c r="BV11" s="221">
        <f>IF('CF表（ご主人様働けない時）'!BV$3="","",'CF表（ご主人様働けない時）'!BV11/10000)</f>
        <v/>
      </c>
      <c r="BW11" s="221">
        <f>IF('CF表（ご主人様働けない時）'!BW$3="","",'CF表（ご主人様働けない時）'!BW11/10000)</f>
        <v/>
      </c>
      <c r="BX11" s="221">
        <f>IF('CF表（ご主人様働けない時）'!BX$3="","",'CF表（ご主人様働けない時）'!BX11/10000)</f>
        <v/>
      </c>
      <c r="BY11" s="221">
        <f>IF('CF表（ご主人様働けない時）'!BY$3="","",'CF表（ご主人様働けない時）'!BY11/10000)</f>
        <v/>
      </c>
      <c r="BZ11" s="221">
        <f>IF('CF表（ご主人様働けない時）'!BZ$3="","",'CF表（ご主人様働けない時）'!BZ11/10000)</f>
        <v/>
      </c>
      <c r="CA11" s="221">
        <f>IF('CF表（ご主人様働けない時）'!CA$3="","",'CF表（ご主人様働けない時）'!CA11/10000)</f>
        <v/>
      </c>
      <c r="CB11" s="221">
        <f>IF('CF表（ご主人様働けない時）'!CB$3="","",'CF表（ご主人様働けない時）'!CB11/10000)</f>
        <v/>
      </c>
      <c r="CC11" s="221">
        <f>IF('CF表（ご主人様働けない時）'!CC$3="","",'CF表（ご主人様働けない時）'!CC11/10000)</f>
        <v/>
      </c>
      <c r="CD11" s="221">
        <f>IF('CF表（ご主人様働けない時）'!CD$3="","",'CF表（ご主人様働けない時）'!CD11/10000)</f>
        <v/>
      </c>
      <c r="CE11" s="221">
        <f>IF('CF表（ご主人様働けない時）'!CE$3="","",'CF表（ご主人様働けない時）'!CE11/10000)</f>
        <v/>
      </c>
      <c r="CF11" s="221">
        <f>IF('CF表（ご主人様働けない時）'!CF$3="","",'CF表（ご主人様働けない時）'!CF11/10000)</f>
        <v/>
      </c>
      <c r="CG11" s="221">
        <f>IF('CF表（ご主人様働けない時）'!CG$3="","",'CF表（ご主人様働けない時）'!CG11/10000)</f>
        <v/>
      </c>
      <c r="CH11" s="221">
        <f>IF('CF表（ご主人様働けない時）'!CH$3="","",'CF表（ご主人様働けない時）'!CH11/10000)</f>
        <v/>
      </c>
      <c r="CI11" s="221">
        <f>IF('CF表（ご主人様働けない時）'!CI$3="","",'CF表（ご主人様働けない時）'!CI11/10000)</f>
        <v/>
      </c>
      <c r="CJ11" s="221">
        <f>IF('CF表（ご主人様働けない時）'!CJ$3="","",'CF表（ご主人様働けない時）'!CJ11/10000)</f>
        <v/>
      </c>
      <c r="CK11" s="221">
        <f>IF('CF表（ご主人様働けない時）'!CK$3="","",'CF表（ご主人様働けない時）'!CK11/10000)</f>
        <v/>
      </c>
      <c r="CL11" s="221">
        <f>IF('CF表（ご主人様働けない時）'!CL$3="","",'CF表（ご主人様働けない時）'!CL11/10000)</f>
        <v/>
      </c>
      <c r="CM11" s="221">
        <f>IF('CF表（ご主人様働けない時）'!CM$3="","",'CF表（ご主人様働けない時）'!CM11/10000)</f>
        <v/>
      </c>
      <c r="CN11" s="221">
        <f>IF('CF表（ご主人様働けない時）'!CN$3="","",'CF表（ご主人様働けない時）'!CN11/10000)</f>
        <v/>
      </c>
      <c r="CO11" s="221">
        <f>IF('CF表（ご主人様働けない時）'!CO$3="","",'CF表（ご主人様働けない時）'!CO11/10000)</f>
        <v/>
      </c>
      <c r="CP11" s="221">
        <f>IF('CF表（ご主人様働けない時）'!CP$3="","",'CF表（ご主人様働けない時）'!CP11/10000)</f>
        <v/>
      </c>
      <c r="CQ11" s="221">
        <f>IF('CF表（ご主人様働けない時）'!CQ$3="","",'CF表（ご主人様働けない時）'!CQ11/10000)</f>
        <v/>
      </c>
      <c r="CR11" s="221">
        <f>IF('CF表（ご主人様働けない時）'!CR$3="","",'CF表（ご主人様働けない時）'!CR11/10000)</f>
        <v/>
      </c>
      <c r="CS11" s="221">
        <f>IF('CF表（ご主人様働けない時）'!CS$3="","",'CF表（ご主人様働けない時）'!CS11/10000)</f>
        <v/>
      </c>
      <c r="CT11" s="221">
        <f>IF('CF表（ご主人様働けない時）'!CT$3="","",'CF表（ご主人様働けない時）'!CT11/10000)</f>
        <v/>
      </c>
      <c r="CU11" s="221">
        <f>IF('CF表（ご主人様働けない時）'!CU$3="","",'CF表（ご主人様働けない時）'!CU11/10000)</f>
        <v/>
      </c>
      <c r="CV11" s="221">
        <f>IF('CF表（ご主人様働けない時）'!CV$3="","",'CF表（ご主人様働けない時）'!CV11/10000)</f>
        <v/>
      </c>
      <c r="CW11" s="221">
        <f>IF('CF表（ご主人様働けない時）'!CW$3="","",'CF表（ご主人様働けない時）'!CW11/10000)</f>
        <v/>
      </c>
    </row>
    <row r="12" ht="15" customHeight="1" s="180">
      <c r="A12" s="220" t="inlineStr">
        <is>
          <t>児童手当</t>
        </is>
      </c>
      <c r="B12" s="221">
        <f>IF('CF表（ご主人様働けない時）'!B$3="","",'CF表（ご主人様働けない時）'!B12/10000)</f>
        <v/>
      </c>
      <c r="C12" s="221">
        <f>IF('CF表（ご主人様働けない時）'!C$3="","",'CF表（ご主人様働けない時）'!C12/10000)</f>
        <v/>
      </c>
      <c r="D12" s="221">
        <f>IF('CF表（ご主人様働けない時）'!D$3="","",'CF表（ご主人様働けない時）'!D12/10000)</f>
        <v/>
      </c>
      <c r="E12" s="221">
        <f>IF('CF表（ご主人様働けない時）'!E$3="","",'CF表（ご主人様働けない時）'!E12/10000)</f>
        <v/>
      </c>
      <c r="F12" s="221">
        <f>IF('CF表（ご主人様働けない時）'!F$3="","",'CF表（ご主人様働けない時）'!F12/10000)</f>
        <v/>
      </c>
      <c r="G12" s="221">
        <f>IF('CF表（ご主人様働けない時）'!G$3="","",'CF表（ご主人様働けない時）'!G12/10000)</f>
        <v/>
      </c>
      <c r="H12" s="221">
        <f>IF('CF表（ご主人様働けない時）'!H$3="","",'CF表（ご主人様働けない時）'!H12/10000)</f>
        <v/>
      </c>
      <c r="I12" s="221">
        <f>IF('CF表（ご主人様働けない時）'!I$3="","",'CF表（ご主人様働けない時）'!I12/10000)</f>
        <v/>
      </c>
      <c r="J12" s="221">
        <f>IF('CF表（ご主人様働けない時）'!J$3="","",'CF表（ご主人様働けない時）'!J12/10000)</f>
        <v/>
      </c>
      <c r="K12" s="221">
        <f>IF('CF表（ご主人様働けない時）'!K$3="","",'CF表（ご主人様働けない時）'!K12/10000)</f>
        <v/>
      </c>
      <c r="L12" s="221">
        <f>IF('CF表（ご主人様働けない時）'!L$3="","",'CF表（ご主人様働けない時）'!L12/10000)</f>
        <v/>
      </c>
      <c r="M12" s="221">
        <f>IF('CF表（ご主人様働けない時）'!M$3="","",'CF表（ご主人様働けない時）'!M12/10000)</f>
        <v/>
      </c>
      <c r="N12" s="221">
        <f>IF('CF表（ご主人様働けない時）'!N$3="","",'CF表（ご主人様働けない時）'!N12/10000)</f>
        <v/>
      </c>
      <c r="O12" s="221">
        <f>IF('CF表（ご主人様働けない時）'!O$3="","",'CF表（ご主人様働けない時）'!O12/10000)</f>
        <v/>
      </c>
      <c r="P12" s="221">
        <f>IF('CF表（ご主人様働けない時）'!P$3="","",'CF表（ご主人様働けない時）'!P12/10000)</f>
        <v/>
      </c>
      <c r="Q12" s="221">
        <f>IF('CF表（ご主人様働けない時）'!Q$3="","",'CF表（ご主人様働けない時）'!Q12/10000)</f>
        <v/>
      </c>
      <c r="R12" s="221">
        <f>IF('CF表（ご主人様働けない時）'!R$3="","",'CF表（ご主人様働けない時）'!R12/10000)</f>
        <v/>
      </c>
      <c r="S12" s="221">
        <f>IF('CF表（ご主人様働けない時）'!S$3="","",'CF表（ご主人様働けない時）'!S12/10000)</f>
        <v/>
      </c>
      <c r="T12" s="221">
        <f>IF('CF表（ご主人様働けない時）'!T$3="","",'CF表（ご主人様働けない時）'!T12/10000)</f>
        <v/>
      </c>
      <c r="U12" s="221">
        <f>IF('CF表（ご主人様働けない時）'!U$3="","",'CF表（ご主人様働けない時）'!U12/10000)</f>
        <v/>
      </c>
      <c r="V12" s="221">
        <f>IF('CF表（ご主人様働けない時）'!V$3="","",'CF表（ご主人様働けない時）'!V12/10000)</f>
        <v/>
      </c>
      <c r="W12" s="221">
        <f>IF('CF表（ご主人様働けない時）'!W$3="","",'CF表（ご主人様働けない時）'!W12/10000)</f>
        <v/>
      </c>
      <c r="X12" s="221">
        <f>IF('CF表（ご主人様働けない時）'!X$3="","",'CF表（ご主人様働けない時）'!X12/10000)</f>
        <v/>
      </c>
      <c r="Y12" s="221">
        <f>IF('CF表（ご主人様働けない時）'!Y$3="","",'CF表（ご主人様働けない時）'!Y12/10000)</f>
        <v/>
      </c>
      <c r="Z12" s="221">
        <f>IF('CF表（ご主人様働けない時）'!Z$3="","",'CF表（ご主人様働けない時）'!Z12/10000)</f>
        <v/>
      </c>
      <c r="AA12" s="221">
        <f>IF('CF表（ご主人様働けない時）'!AA$3="","",'CF表（ご主人様働けない時）'!AA12/10000)</f>
        <v/>
      </c>
      <c r="AB12" s="221">
        <f>IF('CF表（ご主人様働けない時）'!AB$3="","",'CF表（ご主人様働けない時）'!AB12/10000)</f>
        <v/>
      </c>
      <c r="AC12" s="221">
        <f>IF('CF表（ご主人様働けない時）'!AC$3="","",'CF表（ご主人様働けない時）'!AC12/10000)</f>
        <v/>
      </c>
      <c r="AD12" s="221">
        <f>IF('CF表（ご主人様働けない時）'!AD$3="","",'CF表（ご主人様働けない時）'!AD12/10000)</f>
        <v/>
      </c>
      <c r="AE12" s="221">
        <f>IF('CF表（ご主人様働けない時）'!AE$3="","",'CF表（ご主人様働けない時）'!AE12/10000)</f>
        <v/>
      </c>
      <c r="AF12" s="221">
        <f>IF('CF表（ご主人様働けない時）'!AF$3="","",'CF表（ご主人様働けない時）'!AF12/10000)</f>
        <v/>
      </c>
      <c r="AG12" s="221">
        <f>IF('CF表（ご主人様働けない時）'!AG$3="","",'CF表（ご主人様働けない時）'!AG12/10000)</f>
        <v/>
      </c>
      <c r="AH12" s="221">
        <f>IF('CF表（ご主人様働けない時）'!AH$3="","",'CF表（ご主人様働けない時）'!AH12/10000)</f>
        <v/>
      </c>
      <c r="AI12" s="221">
        <f>IF('CF表（ご主人様働けない時）'!AI$3="","",'CF表（ご主人様働けない時）'!AI12/10000)</f>
        <v/>
      </c>
      <c r="AJ12" s="221">
        <f>IF('CF表（ご主人様働けない時）'!AJ$3="","",'CF表（ご主人様働けない時）'!AJ12/10000)</f>
        <v/>
      </c>
      <c r="AK12" s="221">
        <f>IF('CF表（ご主人様働けない時）'!AK$3="","",'CF表（ご主人様働けない時）'!AK12/10000)</f>
        <v/>
      </c>
      <c r="AL12" s="221">
        <f>IF('CF表（ご主人様働けない時）'!AL$3="","",'CF表（ご主人様働けない時）'!AL12/10000)</f>
        <v/>
      </c>
      <c r="AM12" s="221">
        <f>IF('CF表（ご主人様働けない時）'!AM$3="","",'CF表（ご主人様働けない時）'!AM12/10000)</f>
        <v/>
      </c>
      <c r="AN12" s="221">
        <f>IF('CF表（ご主人様働けない時）'!AN$3="","",'CF表（ご主人様働けない時）'!AN12/10000)</f>
        <v/>
      </c>
      <c r="AO12" s="221">
        <f>IF('CF表（ご主人様働けない時）'!AO$3="","",'CF表（ご主人様働けない時）'!AO12/10000)</f>
        <v/>
      </c>
      <c r="AP12" s="221">
        <f>IF('CF表（ご主人様働けない時）'!AP$3="","",'CF表（ご主人様働けない時）'!AP12/10000)</f>
        <v/>
      </c>
      <c r="AQ12" s="221">
        <f>IF('CF表（ご主人様働けない時）'!AQ$3="","",'CF表（ご主人様働けない時）'!AQ12/10000)</f>
        <v/>
      </c>
      <c r="AR12" s="221">
        <f>IF('CF表（ご主人様働けない時）'!AR$3="","",'CF表（ご主人様働けない時）'!AR12/10000)</f>
        <v/>
      </c>
      <c r="AS12" s="221">
        <f>IF('CF表（ご主人様働けない時）'!AS$3="","",'CF表（ご主人様働けない時）'!AS12/10000)</f>
        <v/>
      </c>
      <c r="AT12" s="221">
        <f>IF('CF表（ご主人様働けない時）'!AT$3="","",'CF表（ご主人様働けない時）'!AT12/10000)</f>
        <v/>
      </c>
      <c r="AU12" s="221">
        <f>IF('CF表（ご主人様働けない時）'!AU$3="","",'CF表（ご主人様働けない時）'!AU12/10000)</f>
        <v/>
      </c>
      <c r="AV12" s="221">
        <f>IF('CF表（ご主人様働けない時）'!AV$3="","",'CF表（ご主人様働けない時）'!AV12/10000)</f>
        <v/>
      </c>
      <c r="AW12" s="221">
        <f>IF('CF表（ご主人様働けない時）'!AW$3="","",'CF表（ご主人様働けない時）'!AW12/10000)</f>
        <v/>
      </c>
      <c r="AX12" s="221">
        <f>IF('CF表（ご主人様働けない時）'!AX$3="","",'CF表（ご主人様働けない時）'!AX12/10000)</f>
        <v/>
      </c>
      <c r="AY12" s="221">
        <f>IF('CF表（ご主人様働けない時）'!AY$3="","",'CF表（ご主人様働けない時）'!AY12/10000)</f>
        <v/>
      </c>
      <c r="AZ12" s="221">
        <f>IF('CF表（ご主人様働けない時）'!AZ$3="","",'CF表（ご主人様働けない時）'!AZ12/10000)</f>
        <v/>
      </c>
      <c r="BA12" s="221">
        <f>IF('CF表（ご主人様働けない時）'!BA$3="","",'CF表（ご主人様働けない時）'!BA12/10000)</f>
        <v/>
      </c>
      <c r="BB12" s="221">
        <f>IF('CF表（ご主人様働けない時）'!BB$3="","",'CF表（ご主人様働けない時）'!BB12/10000)</f>
        <v/>
      </c>
      <c r="BC12" s="221">
        <f>IF('CF表（ご主人様働けない時）'!BC$3="","",'CF表（ご主人様働けない時）'!BC12/10000)</f>
        <v/>
      </c>
      <c r="BD12" s="221">
        <f>IF('CF表（ご主人様働けない時）'!BD$3="","",'CF表（ご主人様働けない時）'!BD12/10000)</f>
        <v/>
      </c>
      <c r="BE12" s="221">
        <f>IF('CF表（ご主人様働けない時）'!BE$3="","",'CF表（ご主人様働けない時）'!BE12/10000)</f>
        <v/>
      </c>
      <c r="BF12" s="221">
        <f>IF('CF表（ご主人様働けない時）'!BF$3="","",'CF表（ご主人様働けない時）'!BF12/10000)</f>
        <v/>
      </c>
      <c r="BG12" s="221">
        <f>IF('CF表（ご主人様働けない時）'!BG$3="","",'CF表（ご主人様働けない時）'!BG12/10000)</f>
        <v/>
      </c>
      <c r="BH12" s="221">
        <f>IF('CF表（ご主人様働けない時）'!BH$3="","",'CF表（ご主人様働けない時）'!BH12/10000)</f>
        <v/>
      </c>
      <c r="BI12" s="221">
        <f>IF('CF表（ご主人様働けない時）'!BI$3="","",'CF表（ご主人様働けない時）'!BI12/10000)</f>
        <v/>
      </c>
      <c r="BJ12" s="221">
        <f>IF('CF表（ご主人様働けない時）'!BJ$3="","",'CF表（ご主人様働けない時）'!BJ12/10000)</f>
        <v/>
      </c>
      <c r="BK12" s="221">
        <f>IF('CF表（ご主人様働けない時）'!BK$3="","",'CF表（ご主人様働けない時）'!BK12/10000)</f>
        <v/>
      </c>
      <c r="BL12" s="221">
        <f>IF('CF表（ご主人様働けない時）'!BL$3="","",'CF表（ご主人様働けない時）'!BL12/10000)</f>
        <v/>
      </c>
      <c r="BM12" s="221">
        <f>IF('CF表（ご主人様働けない時）'!BM$3="","",'CF表（ご主人様働けない時）'!BM12/10000)</f>
        <v/>
      </c>
      <c r="BN12" s="221">
        <f>IF('CF表（ご主人様働けない時）'!BN$3="","",'CF表（ご主人様働けない時）'!BN12/10000)</f>
        <v/>
      </c>
      <c r="BO12" s="221">
        <f>IF('CF表（ご主人様働けない時）'!BO$3="","",'CF表（ご主人様働けない時）'!BO12/10000)</f>
        <v/>
      </c>
      <c r="BP12" s="221">
        <f>IF('CF表（ご主人様働けない時）'!BP$3="","",'CF表（ご主人様働けない時）'!BP12/10000)</f>
        <v/>
      </c>
      <c r="BQ12" s="221">
        <f>IF('CF表（ご主人様働けない時）'!BQ$3="","",'CF表（ご主人様働けない時）'!BQ12/10000)</f>
        <v/>
      </c>
      <c r="BR12" s="221">
        <f>IF('CF表（ご主人様働けない時）'!BR$3="","",'CF表（ご主人様働けない時）'!BR12/10000)</f>
        <v/>
      </c>
      <c r="BS12" s="221">
        <f>IF('CF表（ご主人様働けない時）'!BS$3="","",'CF表（ご主人様働けない時）'!BS12/10000)</f>
        <v/>
      </c>
      <c r="BT12" s="221">
        <f>IF('CF表（ご主人様働けない時）'!BT$3="","",'CF表（ご主人様働けない時）'!BT12/10000)</f>
        <v/>
      </c>
      <c r="BU12" s="221">
        <f>IF('CF表（ご主人様働けない時）'!BU$3="","",'CF表（ご主人様働けない時）'!BU12/10000)</f>
        <v/>
      </c>
      <c r="BV12" s="221">
        <f>IF('CF表（ご主人様働けない時）'!BV$3="","",'CF表（ご主人様働けない時）'!BV12/10000)</f>
        <v/>
      </c>
      <c r="BW12" s="221">
        <f>IF('CF表（ご主人様働けない時）'!BW$3="","",'CF表（ご主人様働けない時）'!BW12/10000)</f>
        <v/>
      </c>
      <c r="BX12" s="221">
        <f>IF('CF表（ご主人様働けない時）'!BX$3="","",'CF表（ご主人様働けない時）'!BX12/10000)</f>
        <v/>
      </c>
      <c r="BY12" s="221">
        <f>IF('CF表（ご主人様働けない時）'!BY$3="","",'CF表（ご主人様働けない時）'!BY12/10000)</f>
        <v/>
      </c>
      <c r="BZ12" s="221">
        <f>IF('CF表（ご主人様働けない時）'!BZ$3="","",'CF表（ご主人様働けない時）'!BZ12/10000)</f>
        <v/>
      </c>
      <c r="CA12" s="221">
        <f>IF('CF表（ご主人様働けない時）'!CA$3="","",'CF表（ご主人様働けない時）'!CA12/10000)</f>
        <v/>
      </c>
      <c r="CB12" s="221">
        <f>IF('CF表（ご主人様働けない時）'!CB$3="","",'CF表（ご主人様働けない時）'!CB12/10000)</f>
        <v/>
      </c>
      <c r="CC12" s="221">
        <f>IF('CF表（ご主人様働けない時）'!CC$3="","",'CF表（ご主人様働けない時）'!CC12/10000)</f>
        <v/>
      </c>
      <c r="CD12" s="221">
        <f>IF('CF表（ご主人様働けない時）'!CD$3="","",'CF表（ご主人様働けない時）'!CD12/10000)</f>
        <v/>
      </c>
      <c r="CE12" s="221">
        <f>IF('CF表（ご主人様働けない時）'!CE$3="","",'CF表（ご主人様働けない時）'!CE12/10000)</f>
        <v/>
      </c>
      <c r="CF12" s="221">
        <f>IF('CF表（ご主人様働けない時）'!CF$3="","",'CF表（ご主人様働けない時）'!CF12/10000)</f>
        <v/>
      </c>
      <c r="CG12" s="221">
        <f>IF('CF表（ご主人様働けない時）'!CG$3="","",'CF表（ご主人様働けない時）'!CG12/10000)</f>
        <v/>
      </c>
      <c r="CH12" s="221">
        <f>IF('CF表（ご主人様働けない時）'!CH$3="","",'CF表（ご主人様働けない時）'!CH12/10000)</f>
        <v/>
      </c>
      <c r="CI12" s="221">
        <f>IF('CF表（ご主人様働けない時）'!CI$3="","",'CF表（ご主人様働けない時）'!CI12/10000)</f>
        <v/>
      </c>
      <c r="CJ12" s="221">
        <f>IF('CF表（ご主人様働けない時）'!CJ$3="","",'CF表（ご主人様働けない時）'!CJ12/10000)</f>
        <v/>
      </c>
      <c r="CK12" s="221">
        <f>IF('CF表（ご主人様働けない時）'!CK$3="","",'CF表（ご主人様働けない時）'!CK12/10000)</f>
        <v/>
      </c>
      <c r="CL12" s="221">
        <f>IF('CF表（ご主人様働けない時）'!CL$3="","",'CF表（ご主人様働けない時）'!CL12/10000)</f>
        <v/>
      </c>
      <c r="CM12" s="221">
        <f>IF('CF表（ご主人様働けない時）'!CM$3="","",'CF表（ご主人様働けない時）'!CM12/10000)</f>
        <v/>
      </c>
      <c r="CN12" s="221">
        <f>IF('CF表（ご主人様働けない時）'!CN$3="","",'CF表（ご主人様働けない時）'!CN12/10000)</f>
        <v/>
      </c>
      <c r="CO12" s="221">
        <f>IF('CF表（ご主人様働けない時）'!CO$3="","",'CF表（ご主人様働けない時）'!CO12/10000)</f>
        <v/>
      </c>
      <c r="CP12" s="221">
        <f>IF('CF表（ご主人様働けない時）'!CP$3="","",'CF表（ご主人様働けない時）'!CP12/10000)</f>
        <v/>
      </c>
      <c r="CQ12" s="221">
        <f>IF('CF表（ご主人様働けない時）'!CQ$3="","",'CF表（ご主人様働けない時）'!CQ12/10000)</f>
        <v/>
      </c>
      <c r="CR12" s="221">
        <f>IF('CF表（ご主人様働けない時）'!CR$3="","",'CF表（ご主人様働けない時）'!CR12/10000)</f>
        <v/>
      </c>
      <c r="CS12" s="221">
        <f>IF('CF表（ご主人様働けない時）'!CS$3="","",'CF表（ご主人様働けない時）'!CS12/10000)</f>
        <v/>
      </c>
      <c r="CT12" s="221">
        <f>IF('CF表（ご主人様働けない時）'!CT$3="","",'CF表（ご主人様働けない時）'!CT12/10000)</f>
        <v/>
      </c>
      <c r="CU12" s="221">
        <f>IF('CF表（ご主人様働けない時）'!CU$3="","",'CF表（ご主人様働けない時）'!CU12/10000)</f>
        <v/>
      </c>
      <c r="CV12" s="221">
        <f>IF('CF表（ご主人様働けない時）'!CV$3="","",'CF表（ご主人様働けない時）'!CV12/10000)</f>
        <v/>
      </c>
      <c r="CW12" s="221">
        <f>IF('CF表（ご主人様働けない時）'!CW$3="","",'CF表（ご主人様働けない時）'!CW12/10000)</f>
        <v/>
      </c>
    </row>
    <row r="13" ht="15" customHeight="1" s="180">
      <c r="A13" s="220" t="inlineStr">
        <is>
          <t>その他収入</t>
        </is>
      </c>
      <c r="B13" s="221">
        <f>IF('CF表（ご主人様働けない時）'!B$3="","",'CF表（ご主人様働けない時）'!B13/10000)</f>
        <v/>
      </c>
      <c r="C13" s="221">
        <f>IF('CF表（ご主人様働けない時）'!C$3="","",'CF表（ご主人様働けない時）'!C13/10000)</f>
        <v/>
      </c>
      <c r="D13" s="221">
        <f>IF('CF表（ご主人様働けない時）'!D$3="","",'CF表（ご主人様働けない時）'!D13/10000)</f>
        <v/>
      </c>
      <c r="E13" s="221">
        <f>IF('CF表（ご主人様働けない時）'!E$3="","",'CF表（ご主人様働けない時）'!E13/10000)</f>
        <v/>
      </c>
      <c r="F13" s="221">
        <f>IF('CF表（ご主人様働けない時）'!F$3="","",'CF表（ご主人様働けない時）'!F13/10000)</f>
        <v/>
      </c>
      <c r="G13" s="221">
        <f>IF('CF表（ご主人様働けない時）'!G$3="","",'CF表（ご主人様働けない時）'!G13/10000)</f>
        <v/>
      </c>
      <c r="H13" s="221">
        <f>IF('CF表（ご主人様働けない時）'!H$3="","",'CF表（ご主人様働けない時）'!H13/10000)</f>
        <v/>
      </c>
      <c r="I13" s="221">
        <f>IF('CF表（ご主人様働けない時）'!I$3="","",'CF表（ご主人様働けない時）'!I13/10000)</f>
        <v/>
      </c>
      <c r="J13" s="221">
        <f>IF('CF表（ご主人様働けない時）'!J$3="","",'CF表（ご主人様働けない時）'!J13/10000)</f>
        <v/>
      </c>
      <c r="K13" s="221">
        <f>IF('CF表（ご主人様働けない時）'!K$3="","",'CF表（ご主人様働けない時）'!K13/10000)</f>
        <v/>
      </c>
      <c r="L13" s="221">
        <f>IF('CF表（ご主人様働けない時）'!L$3="","",'CF表（ご主人様働けない時）'!L13/10000)</f>
        <v/>
      </c>
      <c r="M13" s="221">
        <f>IF('CF表（ご主人様働けない時）'!M$3="","",'CF表（ご主人様働けない時）'!M13/10000)</f>
        <v/>
      </c>
      <c r="N13" s="221">
        <f>IF('CF表（ご主人様働けない時）'!N$3="","",'CF表（ご主人様働けない時）'!N13/10000)</f>
        <v/>
      </c>
      <c r="O13" s="221">
        <f>IF('CF表（ご主人様働けない時）'!O$3="","",'CF表（ご主人様働けない時）'!O13/10000)</f>
        <v/>
      </c>
      <c r="P13" s="221">
        <f>IF('CF表（ご主人様働けない時）'!P$3="","",'CF表（ご主人様働けない時）'!P13/10000)</f>
        <v/>
      </c>
      <c r="Q13" s="221">
        <f>IF('CF表（ご主人様働けない時）'!Q$3="","",'CF表（ご主人様働けない時）'!Q13/10000)</f>
        <v/>
      </c>
      <c r="R13" s="221">
        <f>IF('CF表（ご主人様働けない時）'!R$3="","",'CF表（ご主人様働けない時）'!R13/10000)</f>
        <v/>
      </c>
      <c r="S13" s="221">
        <f>IF('CF表（ご主人様働けない時）'!S$3="","",'CF表（ご主人様働けない時）'!S13/10000)</f>
        <v/>
      </c>
      <c r="T13" s="221">
        <f>IF('CF表（ご主人様働けない時）'!T$3="","",'CF表（ご主人様働けない時）'!T13/10000)</f>
        <v/>
      </c>
      <c r="U13" s="221">
        <f>IF('CF表（ご主人様働けない時）'!U$3="","",'CF表（ご主人様働けない時）'!U13/10000)</f>
        <v/>
      </c>
      <c r="V13" s="221">
        <f>IF('CF表（ご主人様働けない時）'!V$3="","",'CF表（ご主人様働けない時）'!V13/10000)</f>
        <v/>
      </c>
      <c r="W13" s="221">
        <f>IF('CF表（ご主人様働けない時）'!W$3="","",'CF表（ご主人様働けない時）'!W13/10000)</f>
        <v/>
      </c>
      <c r="X13" s="221">
        <f>IF('CF表（ご主人様働けない時）'!X$3="","",'CF表（ご主人様働けない時）'!X13/10000)</f>
        <v/>
      </c>
      <c r="Y13" s="221">
        <f>IF('CF表（ご主人様働けない時）'!Y$3="","",'CF表（ご主人様働けない時）'!Y13/10000)</f>
        <v/>
      </c>
      <c r="Z13" s="221">
        <f>IF('CF表（ご主人様働けない時）'!Z$3="","",'CF表（ご主人様働けない時）'!Z13/10000)</f>
        <v/>
      </c>
      <c r="AA13" s="221">
        <f>IF('CF表（ご主人様働けない時）'!AA$3="","",'CF表（ご主人様働けない時）'!AA13/10000)</f>
        <v/>
      </c>
      <c r="AB13" s="221">
        <f>IF('CF表（ご主人様働けない時）'!AB$3="","",'CF表（ご主人様働けない時）'!AB13/10000)</f>
        <v/>
      </c>
      <c r="AC13" s="221">
        <f>IF('CF表（ご主人様働けない時）'!AC$3="","",'CF表（ご主人様働けない時）'!AC13/10000)</f>
        <v/>
      </c>
      <c r="AD13" s="221">
        <f>IF('CF表（ご主人様働けない時）'!AD$3="","",'CF表（ご主人様働けない時）'!AD13/10000)</f>
        <v/>
      </c>
      <c r="AE13" s="221">
        <f>IF('CF表（ご主人様働けない時）'!AE$3="","",'CF表（ご主人様働けない時）'!AE13/10000)</f>
        <v/>
      </c>
      <c r="AF13" s="221">
        <f>IF('CF表（ご主人様働けない時）'!AF$3="","",'CF表（ご主人様働けない時）'!AF13/10000)</f>
        <v/>
      </c>
      <c r="AG13" s="221">
        <f>IF('CF表（ご主人様働けない時）'!AG$3="","",'CF表（ご主人様働けない時）'!AG13/10000)</f>
        <v/>
      </c>
      <c r="AH13" s="221">
        <f>IF('CF表（ご主人様働けない時）'!AH$3="","",'CF表（ご主人様働けない時）'!AH13/10000)</f>
        <v/>
      </c>
      <c r="AI13" s="221">
        <f>IF('CF表（ご主人様働けない時）'!AI$3="","",'CF表（ご主人様働けない時）'!AI13/10000)</f>
        <v/>
      </c>
      <c r="AJ13" s="221">
        <f>IF('CF表（ご主人様働けない時）'!AJ$3="","",'CF表（ご主人様働けない時）'!AJ13/10000)</f>
        <v/>
      </c>
      <c r="AK13" s="221">
        <f>IF('CF表（ご主人様働けない時）'!AK$3="","",'CF表（ご主人様働けない時）'!AK13/10000)</f>
        <v/>
      </c>
      <c r="AL13" s="221">
        <f>IF('CF表（ご主人様働けない時）'!AL$3="","",'CF表（ご主人様働けない時）'!AL13/10000)</f>
        <v/>
      </c>
      <c r="AM13" s="221">
        <f>IF('CF表（ご主人様働けない時）'!AM$3="","",'CF表（ご主人様働けない時）'!AM13/10000)</f>
        <v/>
      </c>
      <c r="AN13" s="221">
        <f>IF('CF表（ご主人様働けない時）'!AN$3="","",'CF表（ご主人様働けない時）'!AN13/10000)</f>
        <v/>
      </c>
      <c r="AO13" s="221">
        <f>IF('CF表（ご主人様働けない時）'!AO$3="","",'CF表（ご主人様働けない時）'!AO13/10000)</f>
        <v/>
      </c>
      <c r="AP13" s="221">
        <f>IF('CF表（ご主人様働けない時）'!AP$3="","",'CF表（ご主人様働けない時）'!AP13/10000)</f>
        <v/>
      </c>
      <c r="AQ13" s="221">
        <f>IF('CF表（ご主人様働けない時）'!AQ$3="","",'CF表（ご主人様働けない時）'!AQ13/10000)</f>
        <v/>
      </c>
      <c r="AR13" s="221">
        <f>IF('CF表（ご主人様働けない時）'!AR$3="","",'CF表（ご主人様働けない時）'!AR13/10000)</f>
        <v/>
      </c>
      <c r="AS13" s="221">
        <f>IF('CF表（ご主人様働けない時）'!AS$3="","",'CF表（ご主人様働けない時）'!AS13/10000)</f>
        <v/>
      </c>
      <c r="AT13" s="221">
        <f>IF('CF表（ご主人様働けない時）'!AT$3="","",'CF表（ご主人様働けない時）'!AT13/10000)</f>
        <v/>
      </c>
      <c r="AU13" s="221">
        <f>IF('CF表（ご主人様働けない時）'!AU$3="","",'CF表（ご主人様働けない時）'!AU13/10000)</f>
        <v/>
      </c>
      <c r="AV13" s="221">
        <f>IF('CF表（ご主人様働けない時）'!AV$3="","",'CF表（ご主人様働けない時）'!AV13/10000)</f>
        <v/>
      </c>
      <c r="AW13" s="221">
        <f>IF('CF表（ご主人様働けない時）'!AW$3="","",'CF表（ご主人様働けない時）'!AW13/10000)</f>
        <v/>
      </c>
      <c r="AX13" s="221">
        <f>IF('CF表（ご主人様働けない時）'!AX$3="","",'CF表（ご主人様働けない時）'!AX13/10000)</f>
        <v/>
      </c>
      <c r="AY13" s="221">
        <f>IF('CF表（ご主人様働けない時）'!AY$3="","",'CF表（ご主人様働けない時）'!AY13/10000)</f>
        <v/>
      </c>
      <c r="AZ13" s="221">
        <f>IF('CF表（ご主人様働けない時）'!AZ$3="","",'CF表（ご主人様働けない時）'!AZ13/10000)</f>
        <v/>
      </c>
      <c r="BA13" s="221">
        <f>IF('CF表（ご主人様働けない時）'!BA$3="","",'CF表（ご主人様働けない時）'!BA13/10000)</f>
        <v/>
      </c>
      <c r="BB13" s="221">
        <f>IF('CF表（ご主人様働けない時）'!BB$3="","",'CF表（ご主人様働けない時）'!BB13/10000)</f>
        <v/>
      </c>
      <c r="BC13" s="221">
        <f>IF('CF表（ご主人様働けない時）'!BC$3="","",'CF表（ご主人様働けない時）'!BC13/10000)</f>
        <v/>
      </c>
      <c r="BD13" s="221">
        <f>IF('CF表（ご主人様働けない時）'!BD$3="","",'CF表（ご主人様働けない時）'!BD13/10000)</f>
        <v/>
      </c>
      <c r="BE13" s="221">
        <f>IF('CF表（ご主人様働けない時）'!BE$3="","",'CF表（ご主人様働けない時）'!BE13/10000)</f>
        <v/>
      </c>
      <c r="BF13" s="221">
        <f>IF('CF表（ご主人様働けない時）'!BF$3="","",'CF表（ご主人様働けない時）'!BF13/10000)</f>
        <v/>
      </c>
      <c r="BG13" s="221">
        <f>IF('CF表（ご主人様働けない時）'!BG$3="","",'CF表（ご主人様働けない時）'!BG13/10000)</f>
        <v/>
      </c>
      <c r="BH13" s="221">
        <f>IF('CF表（ご主人様働けない時）'!BH$3="","",'CF表（ご主人様働けない時）'!BH13/10000)</f>
        <v/>
      </c>
      <c r="BI13" s="221">
        <f>IF('CF表（ご主人様働けない時）'!BI$3="","",'CF表（ご主人様働けない時）'!BI13/10000)</f>
        <v/>
      </c>
      <c r="BJ13" s="221">
        <f>IF('CF表（ご主人様働けない時）'!BJ$3="","",'CF表（ご主人様働けない時）'!BJ13/10000)</f>
        <v/>
      </c>
      <c r="BK13" s="221">
        <f>IF('CF表（ご主人様働けない時）'!BK$3="","",'CF表（ご主人様働けない時）'!BK13/10000)</f>
        <v/>
      </c>
      <c r="BL13" s="221">
        <f>IF('CF表（ご主人様働けない時）'!BL$3="","",'CF表（ご主人様働けない時）'!BL13/10000)</f>
        <v/>
      </c>
      <c r="BM13" s="221">
        <f>IF('CF表（ご主人様働けない時）'!BM$3="","",'CF表（ご主人様働けない時）'!BM13/10000)</f>
        <v/>
      </c>
      <c r="BN13" s="221">
        <f>IF('CF表（ご主人様働けない時）'!BN$3="","",'CF表（ご主人様働けない時）'!BN13/10000)</f>
        <v/>
      </c>
      <c r="BO13" s="221">
        <f>IF('CF表（ご主人様働けない時）'!BO$3="","",'CF表（ご主人様働けない時）'!BO13/10000)</f>
        <v/>
      </c>
      <c r="BP13" s="221">
        <f>IF('CF表（ご主人様働けない時）'!BP$3="","",'CF表（ご主人様働けない時）'!BP13/10000)</f>
        <v/>
      </c>
      <c r="BQ13" s="221">
        <f>IF('CF表（ご主人様働けない時）'!BQ$3="","",'CF表（ご主人様働けない時）'!BQ13/10000)</f>
        <v/>
      </c>
      <c r="BR13" s="221">
        <f>IF('CF表（ご主人様働けない時）'!BR$3="","",'CF表（ご主人様働けない時）'!BR13/10000)</f>
        <v/>
      </c>
      <c r="BS13" s="221">
        <f>IF('CF表（ご主人様働けない時）'!BS$3="","",'CF表（ご主人様働けない時）'!BS13/10000)</f>
        <v/>
      </c>
      <c r="BT13" s="221">
        <f>IF('CF表（ご主人様働けない時）'!BT$3="","",'CF表（ご主人様働けない時）'!BT13/10000)</f>
        <v/>
      </c>
      <c r="BU13" s="221">
        <f>IF('CF表（ご主人様働けない時）'!BU$3="","",'CF表（ご主人様働けない時）'!BU13/10000)</f>
        <v/>
      </c>
      <c r="BV13" s="221">
        <f>IF('CF表（ご主人様働けない時）'!BV$3="","",'CF表（ご主人様働けない時）'!BV13/10000)</f>
        <v/>
      </c>
      <c r="BW13" s="221">
        <f>IF('CF表（ご主人様働けない時）'!BW$3="","",'CF表（ご主人様働けない時）'!BW13/10000)</f>
        <v/>
      </c>
      <c r="BX13" s="221">
        <f>IF('CF表（ご主人様働けない時）'!BX$3="","",'CF表（ご主人様働けない時）'!BX13/10000)</f>
        <v/>
      </c>
      <c r="BY13" s="221">
        <f>IF('CF表（ご主人様働けない時）'!BY$3="","",'CF表（ご主人様働けない時）'!BY13/10000)</f>
        <v/>
      </c>
      <c r="BZ13" s="221">
        <f>IF('CF表（ご主人様働けない時）'!BZ$3="","",'CF表（ご主人様働けない時）'!BZ13/10000)</f>
        <v/>
      </c>
      <c r="CA13" s="221">
        <f>IF('CF表（ご主人様働けない時）'!CA$3="","",'CF表（ご主人様働けない時）'!CA13/10000)</f>
        <v/>
      </c>
      <c r="CB13" s="221">
        <f>IF('CF表（ご主人様働けない時）'!CB$3="","",'CF表（ご主人様働けない時）'!CB13/10000)</f>
        <v/>
      </c>
      <c r="CC13" s="221">
        <f>IF('CF表（ご主人様働けない時）'!CC$3="","",'CF表（ご主人様働けない時）'!CC13/10000)</f>
        <v/>
      </c>
      <c r="CD13" s="221">
        <f>IF('CF表（ご主人様働けない時）'!CD$3="","",'CF表（ご主人様働けない時）'!CD13/10000)</f>
        <v/>
      </c>
      <c r="CE13" s="221">
        <f>IF('CF表（ご主人様働けない時）'!CE$3="","",'CF表（ご主人様働けない時）'!CE13/10000)</f>
        <v/>
      </c>
      <c r="CF13" s="221">
        <f>IF('CF表（ご主人様働けない時）'!CF$3="","",'CF表（ご主人様働けない時）'!CF13/10000)</f>
        <v/>
      </c>
      <c r="CG13" s="221">
        <f>IF('CF表（ご主人様働けない時）'!CG$3="","",'CF表（ご主人様働けない時）'!CG13/10000)</f>
        <v/>
      </c>
      <c r="CH13" s="221">
        <f>IF('CF表（ご主人様働けない時）'!CH$3="","",'CF表（ご主人様働けない時）'!CH13/10000)</f>
        <v/>
      </c>
      <c r="CI13" s="221">
        <f>IF('CF表（ご主人様働けない時）'!CI$3="","",'CF表（ご主人様働けない時）'!CI13/10000)</f>
        <v/>
      </c>
      <c r="CJ13" s="221">
        <f>IF('CF表（ご主人様働けない時）'!CJ$3="","",'CF表（ご主人様働けない時）'!CJ13/10000)</f>
        <v/>
      </c>
      <c r="CK13" s="221">
        <f>IF('CF表（ご主人様働けない時）'!CK$3="","",'CF表（ご主人様働けない時）'!CK13/10000)</f>
        <v/>
      </c>
      <c r="CL13" s="221">
        <f>IF('CF表（ご主人様働けない時）'!CL$3="","",'CF表（ご主人様働けない時）'!CL13/10000)</f>
        <v/>
      </c>
      <c r="CM13" s="221">
        <f>IF('CF表（ご主人様働けない時）'!CM$3="","",'CF表（ご主人様働けない時）'!CM13/10000)</f>
        <v/>
      </c>
      <c r="CN13" s="221">
        <f>IF('CF表（ご主人様働けない時）'!CN$3="","",'CF表（ご主人様働けない時）'!CN13/10000)</f>
        <v/>
      </c>
      <c r="CO13" s="221">
        <f>IF('CF表（ご主人様働けない時）'!CO$3="","",'CF表（ご主人様働けない時）'!CO13/10000)</f>
        <v/>
      </c>
      <c r="CP13" s="221">
        <f>IF('CF表（ご主人様働けない時）'!CP$3="","",'CF表（ご主人様働けない時）'!CP13/10000)</f>
        <v/>
      </c>
      <c r="CQ13" s="221">
        <f>IF('CF表（ご主人様働けない時）'!CQ$3="","",'CF表（ご主人様働けない時）'!CQ13/10000)</f>
        <v/>
      </c>
      <c r="CR13" s="221">
        <f>IF('CF表（ご主人様働けない時）'!CR$3="","",'CF表（ご主人様働けない時）'!CR13/10000)</f>
        <v/>
      </c>
      <c r="CS13" s="221">
        <f>IF('CF表（ご主人様働けない時）'!CS$3="","",'CF表（ご主人様働けない時）'!CS13/10000)</f>
        <v/>
      </c>
      <c r="CT13" s="221">
        <f>IF('CF表（ご主人様働けない時）'!CT$3="","",'CF表（ご主人様働けない時）'!CT13/10000)</f>
        <v/>
      </c>
      <c r="CU13" s="221">
        <f>IF('CF表（ご主人様働けない時）'!CU$3="","",'CF表（ご主人様働けない時）'!CU13/10000)</f>
        <v/>
      </c>
      <c r="CV13" s="221">
        <f>IF('CF表（ご主人様働けない時）'!CV$3="","",'CF表（ご主人様働けない時）'!CV13/10000)</f>
        <v/>
      </c>
      <c r="CW13" s="221">
        <f>IF('CF表（ご主人様働けない時）'!CW$3="","",'CF表（ご主人様働けない時）'!CW13/10000)</f>
        <v/>
      </c>
    </row>
    <row r="14" ht="15" customHeight="1" s="180">
      <c r="A14" s="220" t="inlineStr">
        <is>
          <t>ご主人様退職金</t>
        </is>
      </c>
      <c r="B14" s="221">
        <f>IF('CF表（ご主人様働けない時）'!B$3="","",'CF表（ご主人様働けない時）'!B14/10000)</f>
        <v/>
      </c>
      <c r="C14" s="221">
        <f>IF('CF表（ご主人様働けない時）'!C$3="","",'CF表（ご主人様働けない時）'!C14/10000)</f>
        <v/>
      </c>
      <c r="D14" s="221">
        <f>IF('CF表（ご主人様働けない時）'!D$3="","",'CF表（ご主人様働けない時）'!D14/10000)</f>
        <v/>
      </c>
      <c r="E14" s="221">
        <f>IF('CF表（ご主人様働けない時）'!E$3="","",'CF表（ご主人様働けない時）'!E14/10000)</f>
        <v/>
      </c>
      <c r="F14" s="221">
        <f>IF('CF表（ご主人様働けない時）'!F$3="","",'CF表（ご主人様働けない時）'!F14/10000)</f>
        <v/>
      </c>
      <c r="G14" s="221">
        <f>IF('CF表（ご主人様働けない時）'!G$3="","",'CF表（ご主人様働けない時）'!G14/10000)</f>
        <v/>
      </c>
      <c r="H14" s="221">
        <f>IF('CF表（ご主人様働けない時）'!H$3="","",'CF表（ご主人様働けない時）'!H14/10000)</f>
        <v/>
      </c>
      <c r="I14" s="221">
        <f>IF('CF表（ご主人様働けない時）'!I$3="","",'CF表（ご主人様働けない時）'!I14/10000)</f>
        <v/>
      </c>
      <c r="J14" s="221">
        <f>IF('CF表（ご主人様働けない時）'!J$3="","",'CF表（ご主人様働けない時）'!J14/10000)</f>
        <v/>
      </c>
      <c r="K14" s="221">
        <f>IF('CF表（ご主人様働けない時）'!K$3="","",'CF表（ご主人様働けない時）'!K14/10000)</f>
        <v/>
      </c>
      <c r="L14" s="221">
        <f>IF('CF表（ご主人様働けない時）'!L$3="","",'CF表（ご主人様働けない時）'!L14/10000)</f>
        <v/>
      </c>
      <c r="M14" s="221">
        <f>IF('CF表（ご主人様働けない時）'!M$3="","",'CF表（ご主人様働けない時）'!M14/10000)</f>
        <v/>
      </c>
      <c r="N14" s="221">
        <f>IF('CF表（ご主人様働けない時）'!N$3="","",'CF表（ご主人様働けない時）'!N14/10000)</f>
        <v/>
      </c>
      <c r="O14" s="221">
        <f>IF('CF表（ご主人様働けない時）'!O$3="","",'CF表（ご主人様働けない時）'!O14/10000)</f>
        <v/>
      </c>
      <c r="P14" s="221">
        <f>IF('CF表（ご主人様働けない時）'!P$3="","",'CF表（ご主人様働けない時）'!P14/10000)</f>
        <v/>
      </c>
      <c r="Q14" s="221">
        <f>IF('CF表（ご主人様働けない時）'!Q$3="","",'CF表（ご主人様働けない時）'!Q14/10000)</f>
        <v/>
      </c>
      <c r="R14" s="221">
        <f>IF('CF表（ご主人様働けない時）'!R$3="","",'CF表（ご主人様働けない時）'!R14/10000)</f>
        <v/>
      </c>
      <c r="S14" s="221">
        <f>IF('CF表（ご主人様働けない時）'!S$3="","",'CF表（ご主人様働けない時）'!S14/10000)</f>
        <v/>
      </c>
      <c r="T14" s="221">
        <f>IF('CF表（ご主人様働けない時）'!T$3="","",'CF表（ご主人様働けない時）'!T14/10000)</f>
        <v/>
      </c>
      <c r="U14" s="221">
        <f>IF('CF表（ご主人様働けない時）'!U$3="","",'CF表（ご主人様働けない時）'!U14/10000)</f>
        <v/>
      </c>
      <c r="V14" s="221">
        <f>IF('CF表（ご主人様働けない時）'!V$3="","",'CF表（ご主人様働けない時）'!V14/10000)</f>
        <v/>
      </c>
      <c r="W14" s="221">
        <f>IF('CF表（ご主人様働けない時）'!W$3="","",'CF表（ご主人様働けない時）'!W14/10000)</f>
        <v/>
      </c>
      <c r="X14" s="221">
        <f>IF('CF表（ご主人様働けない時）'!X$3="","",'CF表（ご主人様働けない時）'!X14/10000)</f>
        <v/>
      </c>
      <c r="Y14" s="221">
        <f>IF('CF表（ご主人様働けない時）'!Y$3="","",'CF表（ご主人様働けない時）'!Y14/10000)</f>
        <v/>
      </c>
      <c r="Z14" s="221">
        <f>IF('CF表（ご主人様働けない時）'!Z$3="","",'CF表（ご主人様働けない時）'!Z14/10000)</f>
        <v/>
      </c>
      <c r="AA14" s="221">
        <f>IF('CF表（ご主人様働けない時）'!AA$3="","",'CF表（ご主人様働けない時）'!AA14/10000)</f>
        <v/>
      </c>
      <c r="AB14" s="221">
        <f>IF('CF表（ご主人様働けない時）'!AB$3="","",'CF表（ご主人様働けない時）'!AB14/10000)</f>
        <v/>
      </c>
      <c r="AC14" s="221">
        <f>IF('CF表（ご主人様働けない時）'!AC$3="","",'CF表（ご主人様働けない時）'!AC14/10000)</f>
        <v/>
      </c>
      <c r="AD14" s="221">
        <f>IF('CF表（ご主人様働けない時）'!AD$3="","",'CF表（ご主人様働けない時）'!AD14/10000)</f>
        <v/>
      </c>
      <c r="AE14" s="221">
        <f>IF('CF表（ご主人様働けない時）'!AE$3="","",'CF表（ご主人様働けない時）'!AE14/10000)</f>
        <v/>
      </c>
      <c r="AF14" s="221">
        <f>IF('CF表（ご主人様働けない時）'!AF$3="","",'CF表（ご主人様働けない時）'!AF14/10000)</f>
        <v/>
      </c>
      <c r="AG14" s="221">
        <f>IF('CF表（ご主人様働けない時）'!AG$3="","",'CF表（ご主人様働けない時）'!AG14/10000)</f>
        <v/>
      </c>
      <c r="AH14" s="221">
        <f>IF('CF表（ご主人様働けない時）'!AH$3="","",'CF表（ご主人様働けない時）'!AH14/10000)</f>
        <v/>
      </c>
      <c r="AI14" s="221">
        <f>IF('CF表（ご主人様働けない時）'!AI$3="","",'CF表（ご主人様働けない時）'!AI14/10000)</f>
        <v/>
      </c>
      <c r="AJ14" s="221">
        <f>IF('CF表（ご主人様働けない時）'!AJ$3="","",'CF表（ご主人様働けない時）'!AJ14/10000)</f>
        <v/>
      </c>
      <c r="AK14" s="221">
        <f>IF('CF表（ご主人様働けない時）'!AK$3="","",'CF表（ご主人様働けない時）'!AK14/10000)</f>
        <v/>
      </c>
      <c r="AL14" s="221">
        <f>IF('CF表（ご主人様働けない時）'!AL$3="","",'CF表（ご主人様働けない時）'!AL14/10000)</f>
        <v/>
      </c>
      <c r="AM14" s="221">
        <f>IF('CF表（ご主人様働けない時）'!AM$3="","",'CF表（ご主人様働けない時）'!AM14/10000)</f>
        <v/>
      </c>
      <c r="AN14" s="221">
        <f>IF('CF表（ご主人様働けない時）'!AN$3="","",'CF表（ご主人様働けない時）'!AN14/10000)</f>
        <v/>
      </c>
      <c r="AO14" s="221">
        <f>IF('CF表（ご主人様働けない時）'!AO$3="","",'CF表（ご主人様働けない時）'!AO14/10000)</f>
        <v/>
      </c>
      <c r="AP14" s="221">
        <f>IF('CF表（ご主人様働けない時）'!AP$3="","",'CF表（ご主人様働けない時）'!AP14/10000)</f>
        <v/>
      </c>
      <c r="AQ14" s="221">
        <f>IF('CF表（ご主人様働けない時）'!AQ$3="","",'CF表（ご主人様働けない時）'!AQ14/10000)</f>
        <v/>
      </c>
      <c r="AR14" s="221">
        <f>IF('CF表（ご主人様働けない時）'!AR$3="","",'CF表（ご主人様働けない時）'!AR14/10000)</f>
        <v/>
      </c>
      <c r="AS14" s="221">
        <f>IF('CF表（ご主人様働けない時）'!AS$3="","",'CF表（ご主人様働けない時）'!AS14/10000)</f>
        <v/>
      </c>
      <c r="AT14" s="221">
        <f>IF('CF表（ご主人様働けない時）'!AT$3="","",'CF表（ご主人様働けない時）'!AT14/10000)</f>
        <v/>
      </c>
      <c r="AU14" s="221">
        <f>IF('CF表（ご主人様働けない時）'!AU$3="","",'CF表（ご主人様働けない時）'!AU14/10000)</f>
        <v/>
      </c>
      <c r="AV14" s="221">
        <f>IF('CF表（ご主人様働けない時）'!AV$3="","",'CF表（ご主人様働けない時）'!AV14/10000)</f>
        <v/>
      </c>
      <c r="AW14" s="221">
        <f>IF('CF表（ご主人様働けない時）'!AW$3="","",'CF表（ご主人様働けない時）'!AW14/10000)</f>
        <v/>
      </c>
      <c r="AX14" s="221">
        <f>IF('CF表（ご主人様働けない時）'!AX$3="","",'CF表（ご主人様働けない時）'!AX14/10000)</f>
        <v/>
      </c>
      <c r="AY14" s="221">
        <f>IF('CF表（ご主人様働けない時）'!AY$3="","",'CF表（ご主人様働けない時）'!AY14/10000)</f>
        <v/>
      </c>
      <c r="AZ14" s="221">
        <f>IF('CF表（ご主人様働けない時）'!AZ$3="","",'CF表（ご主人様働けない時）'!AZ14/10000)</f>
        <v/>
      </c>
      <c r="BA14" s="221">
        <f>IF('CF表（ご主人様働けない時）'!BA$3="","",'CF表（ご主人様働けない時）'!BA14/10000)</f>
        <v/>
      </c>
      <c r="BB14" s="221">
        <f>IF('CF表（ご主人様働けない時）'!BB$3="","",'CF表（ご主人様働けない時）'!BB14/10000)</f>
        <v/>
      </c>
      <c r="BC14" s="221">
        <f>IF('CF表（ご主人様働けない時）'!BC$3="","",'CF表（ご主人様働けない時）'!BC14/10000)</f>
        <v/>
      </c>
      <c r="BD14" s="221">
        <f>IF('CF表（ご主人様働けない時）'!BD$3="","",'CF表（ご主人様働けない時）'!BD14/10000)</f>
        <v/>
      </c>
      <c r="BE14" s="221">
        <f>IF('CF表（ご主人様働けない時）'!BE$3="","",'CF表（ご主人様働けない時）'!BE14/10000)</f>
        <v/>
      </c>
      <c r="BF14" s="221">
        <f>IF('CF表（ご主人様働けない時）'!BF$3="","",'CF表（ご主人様働けない時）'!BF14/10000)</f>
        <v/>
      </c>
      <c r="BG14" s="221">
        <f>IF('CF表（ご主人様働けない時）'!BG$3="","",'CF表（ご主人様働けない時）'!BG14/10000)</f>
        <v/>
      </c>
      <c r="BH14" s="221">
        <f>IF('CF表（ご主人様働けない時）'!BH$3="","",'CF表（ご主人様働けない時）'!BH14/10000)</f>
        <v/>
      </c>
      <c r="BI14" s="221">
        <f>IF('CF表（ご主人様働けない時）'!BI$3="","",'CF表（ご主人様働けない時）'!BI14/10000)</f>
        <v/>
      </c>
      <c r="BJ14" s="221">
        <f>IF('CF表（ご主人様働けない時）'!BJ$3="","",'CF表（ご主人様働けない時）'!BJ14/10000)</f>
        <v/>
      </c>
      <c r="BK14" s="221">
        <f>IF('CF表（ご主人様働けない時）'!BK$3="","",'CF表（ご主人様働けない時）'!BK14/10000)</f>
        <v/>
      </c>
      <c r="BL14" s="221">
        <f>IF('CF表（ご主人様働けない時）'!BL$3="","",'CF表（ご主人様働けない時）'!BL14/10000)</f>
        <v/>
      </c>
      <c r="BM14" s="221">
        <f>IF('CF表（ご主人様働けない時）'!BM$3="","",'CF表（ご主人様働けない時）'!BM14/10000)</f>
        <v/>
      </c>
      <c r="BN14" s="221">
        <f>IF('CF表（ご主人様働けない時）'!BN$3="","",'CF表（ご主人様働けない時）'!BN14/10000)</f>
        <v/>
      </c>
      <c r="BO14" s="221">
        <f>IF('CF表（ご主人様働けない時）'!BO$3="","",'CF表（ご主人様働けない時）'!BO14/10000)</f>
        <v/>
      </c>
      <c r="BP14" s="221">
        <f>IF('CF表（ご主人様働けない時）'!BP$3="","",'CF表（ご主人様働けない時）'!BP14/10000)</f>
        <v/>
      </c>
      <c r="BQ14" s="221">
        <f>IF('CF表（ご主人様働けない時）'!BQ$3="","",'CF表（ご主人様働けない時）'!BQ14/10000)</f>
        <v/>
      </c>
      <c r="BR14" s="221">
        <f>IF('CF表（ご主人様働けない時）'!BR$3="","",'CF表（ご主人様働けない時）'!BR14/10000)</f>
        <v/>
      </c>
      <c r="BS14" s="221">
        <f>IF('CF表（ご主人様働けない時）'!BS$3="","",'CF表（ご主人様働けない時）'!BS14/10000)</f>
        <v/>
      </c>
      <c r="BT14" s="221">
        <f>IF('CF表（ご主人様働けない時）'!BT$3="","",'CF表（ご主人様働けない時）'!BT14/10000)</f>
        <v/>
      </c>
      <c r="BU14" s="221">
        <f>IF('CF表（ご主人様働けない時）'!BU$3="","",'CF表（ご主人様働けない時）'!BU14/10000)</f>
        <v/>
      </c>
      <c r="BV14" s="221">
        <f>IF('CF表（ご主人様働けない時）'!BV$3="","",'CF表（ご主人様働けない時）'!BV14/10000)</f>
        <v/>
      </c>
      <c r="BW14" s="221">
        <f>IF('CF表（ご主人様働けない時）'!BW$3="","",'CF表（ご主人様働けない時）'!BW14/10000)</f>
        <v/>
      </c>
      <c r="BX14" s="221">
        <f>IF('CF表（ご主人様働けない時）'!BX$3="","",'CF表（ご主人様働けない時）'!BX14/10000)</f>
        <v/>
      </c>
      <c r="BY14" s="221">
        <f>IF('CF表（ご主人様働けない時）'!BY$3="","",'CF表（ご主人様働けない時）'!BY14/10000)</f>
        <v/>
      </c>
      <c r="BZ14" s="221">
        <f>IF('CF表（ご主人様働けない時）'!BZ$3="","",'CF表（ご主人様働けない時）'!BZ14/10000)</f>
        <v/>
      </c>
      <c r="CA14" s="221">
        <f>IF('CF表（ご主人様働けない時）'!CA$3="","",'CF表（ご主人様働けない時）'!CA14/10000)</f>
        <v/>
      </c>
      <c r="CB14" s="221">
        <f>IF('CF表（ご主人様働けない時）'!CB$3="","",'CF表（ご主人様働けない時）'!CB14/10000)</f>
        <v/>
      </c>
      <c r="CC14" s="221">
        <f>IF('CF表（ご主人様働けない時）'!CC$3="","",'CF表（ご主人様働けない時）'!CC14/10000)</f>
        <v/>
      </c>
      <c r="CD14" s="221">
        <f>IF('CF表（ご主人様働けない時）'!CD$3="","",'CF表（ご主人様働けない時）'!CD14/10000)</f>
        <v/>
      </c>
      <c r="CE14" s="221">
        <f>IF('CF表（ご主人様働けない時）'!CE$3="","",'CF表（ご主人様働けない時）'!CE14/10000)</f>
        <v/>
      </c>
      <c r="CF14" s="221">
        <f>IF('CF表（ご主人様働けない時）'!CF$3="","",'CF表（ご主人様働けない時）'!CF14/10000)</f>
        <v/>
      </c>
      <c r="CG14" s="221">
        <f>IF('CF表（ご主人様働けない時）'!CG$3="","",'CF表（ご主人様働けない時）'!CG14/10000)</f>
        <v/>
      </c>
      <c r="CH14" s="221">
        <f>IF('CF表（ご主人様働けない時）'!CH$3="","",'CF表（ご主人様働けない時）'!CH14/10000)</f>
        <v/>
      </c>
      <c r="CI14" s="221">
        <f>IF('CF表（ご主人様働けない時）'!CI$3="","",'CF表（ご主人様働けない時）'!CI14/10000)</f>
        <v/>
      </c>
      <c r="CJ14" s="221">
        <f>IF('CF表（ご主人様働けない時）'!CJ$3="","",'CF表（ご主人様働けない時）'!CJ14/10000)</f>
        <v/>
      </c>
      <c r="CK14" s="221">
        <f>IF('CF表（ご主人様働けない時）'!CK$3="","",'CF表（ご主人様働けない時）'!CK14/10000)</f>
        <v/>
      </c>
      <c r="CL14" s="221">
        <f>IF('CF表（ご主人様働けない時）'!CL$3="","",'CF表（ご主人様働けない時）'!CL14/10000)</f>
        <v/>
      </c>
      <c r="CM14" s="221">
        <f>IF('CF表（ご主人様働けない時）'!CM$3="","",'CF表（ご主人様働けない時）'!CM14/10000)</f>
        <v/>
      </c>
      <c r="CN14" s="221">
        <f>IF('CF表（ご主人様働けない時）'!CN$3="","",'CF表（ご主人様働けない時）'!CN14/10000)</f>
        <v/>
      </c>
      <c r="CO14" s="221">
        <f>IF('CF表（ご主人様働けない時）'!CO$3="","",'CF表（ご主人様働けない時）'!CO14/10000)</f>
        <v/>
      </c>
      <c r="CP14" s="221">
        <f>IF('CF表（ご主人様働けない時）'!CP$3="","",'CF表（ご主人様働けない時）'!CP14/10000)</f>
        <v/>
      </c>
      <c r="CQ14" s="221">
        <f>IF('CF表（ご主人様働けない時）'!CQ$3="","",'CF表（ご主人様働けない時）'!CQ14/10000)</f>
        <v/>
      </c>
      <c r="CR14" s="221">
        <f>IF('CF表（ご主人様働けない時）'!CR$3="","",'CF表（ご主人様働けない時）'!CR14/10000)</f>
        <v/>
      </c>
      <c r="CS14" s="221">
        <f>IF('CF表（ご主人様働けない時）'!CS$3="","",'CF表（ご主人様働けない時）'!CS14/10000)</f>
        <v/>
      </c>
      <c r="CT14" s="221">
        <f>IF('CF表（ご主人様働けない時）'!CT$3="","",'CF表（ご主人様働けない時）'!CT14/10000)</f>
        <v/>
      </c>
      <c r="CU14" s="221">
        <f>IF('CF表（ご主人様働けない時）'!CU$3="","",'CF表（ご主人様働けない時）'!CU14/10000)</f>
        <v/>
      </c>
      <c r="CV14" s="221">
        <f>IF('CF表（ご主人様働けない時）'!CV$3="","",'CF表（ご主人様働けない時）'!CV14/10000)</f>
        <v/>
      </c>
      <c r="CW14" s="221">
        <f>IF('CF表（ご主人様働けない時）'!CW$3="","",'CF表（ご主人様働けない時）'!CW14/10000)</f>
        <v/>
      </c>
    </row>
    <row r="15" ht="15" customHeight="1" s="180">
      <c r="A15" s="220" t="inlineStr">
        <is>
          <t>奥様退職金</t>
        </is>
      </c>
      <c r="B15" s="221">
        <f>IF('CF表（ご主人様働けない時）'!B$3="","",'CF表（ご主人様働けない時）'!B15/10000)</f>
        <v/>
      </c>
      <c r="C15" s="221">
        <f>IF('CF表（ご主人様働けない時）'!C$3="","",'CF表（ご主人様働けない時）'!C15/10000)</f>
        <v/>
      </c>
      <c r="D15" s="221">
        <f>IF('CF表（ご主人様働けない時）'!D$3="","",'CF表（ご主人様働けない時）'!D15/10000)</f>
        <v/>
      </c>
      <c r="E15" s="221">
        <f>IF('CF表（ご主人様働けない時）'!E$3="","",'CF表（ご主人様働けない時）'!E15/10000)</f>
        <v/>
      </c>
      <c r="F15" s="221">
        <f>IF('CF表（ご主人様働けない時）'!F$3="","",'CF表（ご主人様働けない時）'!F15/10000)</f>
        <v/>
      </c>
      <c r="G15" s="221">
        <f>IF('CF表（ご主人様働けない時）'!G$3="","",'CF表（ご主人様働けない時）'!G15/10000)</f>
        <v/>
      </c>
      <c r="H15" s="221">
        <f>IF('CF表（ご主人様働けない時）'!H$3="","",'CF表（ご主人様働けない時）'!H15/10000)</f>
        <v/>
      </c>
      <c r="I15" s="221">
        <f>IF('CF表（ご主人様働けない時）'!I$3="","",'CF表（ご主人様働けない時）'!I15/10000)</f>
        <v/>
      </c>
      <c r="J15" s="221">
        <f>IF('CF表（ご主人様働けない時）'!J$3="","",'CF表（ご主人様働けない時）'!J15/10000)</f>
        <v/>
      </c>
      <c r="K15" s="221">
        <f>IF('CF表（ご主人様働けない時）'!K$3="","",'CF表（ご主人様働けない時）'!K15/10000)</f>
        <v/>
      </c>
      <c r="L15" s="221">
        <f>IF('CF表（ご主人様働けない時）'!L$3="","",'CF表（ご主人様働けない時）'!L15/10000)</f>
        <v/>
      </c>
      <c r="M15" s="221">
        <f>IF('CF表（ご主人様働けない時）'!M$3="","",'CF表（ご主人様働けない時）'!M15/10000)</f>
        <v/>
      </c>
      <c r="N15" s="221">
        <f>IF('CF表（ご主人様働けない時）'!N$3="","",'CF表（ご主人様働けない時）'!N15/10000)</f>
        <v/>
      </c>
      <c r="O15" s="221">
        <f>IF('CF表（ご主人様働けない時）'!O$3="","",'CF表（ご主人様働けない時）'!O15/10000)</f>
        <v/>
      </c>
      <c r="P15" s="221">
        <f>IF('CF表（ご主人様働けない時）'!P$3="","",'CF表（ご主人様働けない時）'!P15/10000)</f>
        <v/>
      </c>
      <c r="Q15" s="221">
        <f>IF('CF表（ご主人様働けない時）'!Q$3="","",'CF表（ご主人様働けない時）'!Q15/10000)</f>
        <v/>
      </c>
      <c r="R15" s="221">
        <f>IF('CF表（ご主人様働けない時）'!R$3="","",'CF表（ご主人様働けない時）'!R15/10000)</f>
        <v/>
      </c>
      <c r="S15" s="221">
        <f>IF('CF表（ご主人様働けない時）'!S$3="","",'CF表（ご主人様働けない時）'!S15/10000)</f>
        <v/>
      </c>
      <c r="T15" s="221">
        <f>IF('CF表（ご主人様働けない時）'!T$3="","",'CF表（ご主人様働けない時）'!T15/10000)</f>
        <v/>
      </c>
      <c r="U15" s="221">
        <f>IF('CF表（ご主人様働けない時）'!U$3="","",'CF表（ご主人様働けない時）'!U15/10000)</f>
        <v/>
      </c>
      <c r="V15" s="221">
        <f>IF('CF表（ご主人様働けない時）'!V$3="","",'CF表（ご主人様働けない時）'!V15/10000)</f>
        <v/>
      </c>
      <c r="W15" s="221">
        <f>IF('CF表（ご主人様働けない時）'!W$3="","",'CF表（ご主人様働けない時）'!W15/10000)</f>
        <v/>
      </c>
      <c r="X15" s="221">
        <f>IF('CF表（ご主人様働けない時）'!X$3="","",'CF表（ご主人様働けない時）'!X15/10000)</f>
        <v/>
      </c>
      <c r="Y15" s="221">
        <f>IF('CF表（ご主人様働けない時）'!Y$3="","",'CF表（ご主人様働けない時）'!Y15/10000)</f>
        <v/>
      </c>
      <c r="Z15" s="221">
        <f>IF('CF表（ご主人様働けない時）'!Z$3="","",'CF表（ご主人様働けない時）'!Z15/10000)</f>
        <v/>
      </c>
      <c r="AA15" s="221">
        <f>IF('CF表（ご主人様働けない時）'!AA$3="","",'CF表（ご主人様働けない時）'!AA15/10000)</f>
        <v/>
      </c>
      <c r="AB15" s="221">
        <f>IF('CF表（ご主人様働けない時）'!AB$3="","",'CF表（ご主人様働けない時）'!AB15/10000)</f>
        <v/>
      </c>
      <c r="AC15" s="221">
        <f>IF('CF表（ご主人様働けない時）'!AC$3="","",'CF表（ご主人様働けない時）'!AC15/10000)</f>
        <v/>
      </c>
      <c r="AD15" s="221">
        <f>IF('CF表（ご主人様働けない時）'!AD$3="","",'CF表（ご主人様働けない時）'!AD15/10000)</f>
        <v/>
      </c>
      <c r="AE15" s="221">
        <f>IF('CF表（ご主人様働けない時）'!AE$3="","",'CF表（ご主人様働けない時）'!AE15/10000)</f>
        <v/>
      </c>
      <c r="AF15" s="221">
        <f>IF('CF表（ご主人様働けない時）'!AF$3="","",'CF表（ご主人様働けない時）'!AF15/10000)</f>
        <v/>
      </c>
      <c r="AG15" s="221">
        <f>IF('CF表（ご主人様働けない時）'!AG$3="","",'CF表（ご主人様働けない時）'!AG15/10000)</f>
        <v/>
      </c>
      <c r="AH15" s="221">
        <f>IF('CF表（ご主人様働けない時）'!AH$3="","",'CF表（ご主人様働けない時）'!AH15/10000)</f>
        <v/>
      </c>
      <c r="AI15" s="221">
        <f>IF('CF表（ご主人様働けない時）'!AI$3="","",'CF表（ご主人様働けない時）'!AI15/10000)</f>
        <v/>
      </c>
      <c r="AJ15" s="221">
        <f>IF('CF表（ご主人様働けない時）'!AJ$3="","",'CF表（ご主人様働けない時）'!AJ15/10000)</f>
        <v/>
      </c>
      <c r="AK15" s="221">
        <f>IF('CF表（ご主人様働けない時）'!AK$3="","",'CF表（ご主人様働けない時）'!AK15/10000)</f>
        <v/>
      </c>
      <c r="AL15" s="221">
        <f>IF('CF表（ご主人様働けない時）'!AL$3="","",'CF表（ご主人様働けない時）'!AL15/10000)</f>
        <v/>
      </c>
      <c r="AM15" s="221">
        <f>IF('CF表（ご主人様働けない時）'!AM$3="","",'CF表（ご主人様働けない時）'!AM15/10000)</f>
        <v/>
      </c>
      <c r="AN15" s="221">
        <f>IF('CF表（ご主人様働けない時）'!AN$3="","",'CF表（ご主人様働けない時）'!AN15/10000)</f>
        <v/>
      </c>
      <c r="AO15" s="221">
        <f>IF('CF表（ご主人様働けない時）'!AO$3="","",'CF表（ご主人様働けない時）'!AO15/10000)</f>
        <v/>
      </c>
      <c r="AP15" s="221">
        <f>IF('CF表（ご主人様働けない時）'!AP$3="","",'CF表（ご主人様働けない時）'!AP15/10000)</f>
        <v/>
      </c>
      <c r="AQ15" s="221">
        <f>IF('CF表（ご主人様働けない時）'!AQ$3="","",'CF表（ご主人様働けない時）'!AQ15/10000)</f>
        <v/>
      </c>
      <c r="AR15" s="221">
        <f>IF('CF表（ご主人様働けない時）'!AR$3="","",'CF表（ご主人様働けない時）'!AR15/10000)</f>
        <v/>
      </c>
      <c r="AS15" s="221">
        <f>IF('CF表（ご主人様働けない時）'!AS$3="","",'CF表（ご主人様働けない時）'!AS15/10000)</f>
        <v/>
      </c>
      <c r="AT15" s="221">
        <f>IF('CF表（ご主人様働けない時）'!AT$3="","",'CF表（ご主人様働けない時）'!AT15/10000)</f>
        <v/>
      </c>
      <c r="AU15" s="221">
        <f>IF('CF表（ご主人様働けない時）'!AU$3="","",'CF表（ご主人様働けない時）'!AU15/10000)</f>
        <v/>
      </c>
      <c r="AV15" s="221">
        <f>IF('CF表（ご主人様働けない時）'!AV$3="","",'CF表（ご主人様働けない時）'!AV15/10000)</f>
        <v/>
      </c>
      <c r="AW15" s="221">
        <f>IF('CF表（ご主人様働けない時）'!AW$3="","",'CF表（ご主人様働けない時）'!AW15/10000)</f>
        <v/>
      </c>
      <c r="AX15" s="221">
        <f>IF('CF表（ご主人様働けない時）'!AX$3="","",'CF表（ご主人様働けない時）'!AX15/10000)</f>
        <v/>
      </c>
      <c r="AY15" s="221">
        <f>IF('CF表（ご主人様働けない時）'!AY$3="","",'CF表（ご主人様働けない時）'!AY15/10000)</f>
        <v/>
      </c>
      <c r="AZ15" s="221">
        <f>IF('CF表（ご主人様働けない時）'!AZ$3="","",'CF表（ご主人様働けない時）'!AZ15/10000)</f>
        <v/>
      </c>
      <c r="BA15" s="221">
        <f>IF('CF表（ご主人様働けない時）'!BA$3="","",'CF表（ご主人様働けない時）'!BA15/10000)</f>
        <v/>
      </c>
      <c r="BB15" s="221">
        <f>IF('CF表（ご主人様働けない時）'!BB$3="","",'CF表（ご主人様働けない時）'!BB15/10000)</f>
        <v/>
      </c>
      <c r="BC15" s="221">
        <f>IF('CF表（ご主人様働けない時）'!BC$3="","",'CF表（ご主人様働けない時）'!BC15/10000)</f>
        <v/>
      </c>
      <c r="BD15" s="221">
        <f>IF('CF表（ご主人様働けない時）'!BD$3="","",'CF表（ご主人様働けない時）'!BD15/10000)</f>
        <v/>
      </c>
      <c r="BE15" s="221">
        <f>IF('CF表（ご主人様働けない時）'!BE$3="","",'CF表（ご主人様働けない時）'!BE15/10000)</f>
        <v/>
      </c>
      <c r="BF15" s="221">
        <f>IF('CF表（ご主人様働けない時）'!BF$3="","",'CF表（ご主人様働けない時）'!BF15/10000)</f>
        <v/>
      </c>
      <c r="BG15" s="221">
        <f>IF('CF表（ご主人様働けない時）'!BG$3="","",'CF表（ご主人様働けない時）'!BG15/10000)</f>
        <v/>
      </c>
      <c r="BH15" s="221">
        <f>IF('CF表（ご主人様働けない時）'!BH$3="","",'CF表（ご主人様働けない時）'!BH15/10000)</f>
        <v/>
      </c>
      <c r="BI15" s="221">
        <f>IF('CF表（ご主人様働けない時）'!BI$3="","",'CF表（ご主人様働けない時）'!BI15/10000)</f>
        <v/>
      </c>
      <c r="BJ15" s="221">
        <f>IF('CF表（ご主人様働けない時）'!BJ$3="","",'CF表（ご主人様働けない時）'!BJ15/10000)</f>
        <v/>
      </c>
      <c r="BK15" s="221">
        <f>IF('CF表（ご主人様働けない時）'!BK$3="","",'CF表（ご主人様働けない時）'!BK15/10000)</f>
        <v/>
      </c>
      <c r="BL15" s="221">
        <f>IF('CF表（ご主人様働けない時）'!BL$3="","",'CF表（ご主人様働けない時）'!BL15/10000)</f>
        <v/>
      </c>
      <c r="BM15" s="221">
        <f>IF('CF表（ご主人様働けない時）'!BM$3="","",'CF表（ご主人様働けない時）'!BM15/10000)</f>
        <v/>
      </c>
      <c r="BN15" s="221">
        <f>IF('CF表（ご主人様働けない時）'!BN$3="","",'CF表（ご主人様働けない時）'!BN15/10000)</f>
        <v/>
      </c>
      <c r="BO15" s="221">
        <f>IF('CF表（ご主人様働けない時）'!BO$3="","",'CF表（ご主人様働けない時）'!BO15/10000)</f>
        <v/>
      </c>
      <c r="BP15" s="221">
        <f>IF('CF表（ご主人様働けない時）'!BP$3="","",'CF表（ご主人様働けない時）'!BP15/10000)</f>
        <v/>
      </c>
      <c r="BQ15" s="221">
        <f>IF('CF表（ご主人様働けない時）'!BQ$3="","",'CF表（ご主人様働けない時）'!BQ15/10000)</f>
        <v/>
      </c>
      <c r="BR15" s="221">
        <f>IF('CF表（ご主人様働けない時）'!BR$3="","",'CF表（ご主人様働けない時）'!BR15/10000)</f>
        <v/>
      </c>
      <c r="BS15" s="221">
        <f>IF('CF表（ご主人様働けない時）'!BS$3="","",'CF表（ご主人様働けない時）'!BS15/10000)</f>
        <v/>
      </c>
      <c r="BT15" s="221">
        <f>IF('CF表（ご主人様働けない時）'!BT$3="","",'CF表（ご主人様働けない時）'!BT15/10000)</f>
        <v/>
      </c>
      <c r="BU15" s="221">
        <f>IF('CF表（ご主人様働けない時）'!BU$3="","",'CF表（ご主人様働けない時）'!BU15/10000)</f>
        <v/>
      </c>
      <c r="BV15" s="221">
        <f>IF('CF表（ご主人様働けない時）'!BV$3="","",'CF表（ご主人様働けない時）'!BV15/10000)</f>
        <v/>
      </c>
      <c r="BW15" s="221">
        <f>IF('CF表（ご主人様働けない時）'!BW$3="","",'CF表（ご主人様働けない時）'!BW15/10000)</f>
        <v/>
      </c>
      <c r="BX15" s="221">
        <f>IF('CF表（ご主人様働けない時）'!BX$3="","",'CF表（ご主人様働けない時）'!BX15/10000)</f>
        <v/>
      </c>
      <c r="BY15" s="221">
        <f>IF('CF表（ご主人様働けない時）'!BY$3="","",'CF表（ご主人様働けない時）'!BY15/10000)</f>
        <v/>
      </c>
      <c r="BZ15" s="221">
        <f>IF('CF表（ご主人様働けない時）'!BZ$3="","",'CF表（ご主人様働けない時）'!BZ15/10000)</f>
        <v/>
      </c>
      <c r="CA15" s="221">
        <f>IF('CF表（ご主人様働けない時）'!CA$3="","",'CF表（ご主人様働けない時）'!CA15/10000)</f>
        <v/>
      </c>
      <c r="CB15" s="221">
        <f>IF('CF表（ご主人様働けない時）'!CB$3="","",'CF表（ご主人様働けない時）'!CB15/10000)</f>
        <v/>
      </c>
      <c r="CC15" s="221">
        <f>IF('CF表（ご主人様働けない時）'!CC$3="","",'CF表（ご主人様働けない時）'!CC15/10000)</f>
        <v/>
      </c>
      <c r="CD15" s="221">
        <f>IF('CF表（ご主人様働けない時）'!CD$3="","",'CF表（ご主人様働けない時）'!CD15/10000)</f>
        <v/>
      </c>
      <c r="CE15" s="221">
        <f>IF('CF表（ご主人様働けない時）'!CE$3="","",'CF表（ご主人様働けない時）'!CE15/10000)</f>
        <v/>
      </c>
      <c r="CF15" s="221">
        <f>IF('CF表（ご主人様働けない時）'!CF$3="","",'CF表（ご主人様働けない時）'!CF15/10000)</f>
        <v/>
      </c>
      <c r="CG15" s="221">
        <f>IF('CF表（ご主人様働けない時）'!CG$3="","",'CF表（ご主人様働けない時）'!CG15/10000)</f>
        <v/>
      </c>
      <c r="CH15" s="221">
        <f>IF('CF表（ご主人様働けない時）'!CH$3="","",'CF表（ご主人様働けない時）'!CH15/10000)</f>
        <v/>
      </c>
      <c r="CI15" s="221">
        <f>IF('CF表（ご主人様働けない時）'!CI$3="","",'CF表（ご主人様働けない時）'!CI15/10000)</f>
        <v/>
      </c>
      <c r="CJ15" s="221">
        <f>IF('CF表（ご主人様働けない時）'!CJ$3="","",'CF表（ご主人様働けない時）'!CJ15/10000)</f>
        <v/>
      </c>
      <c r="CK15" s="221">
        <f>IF('CF表（ご主人様働けない時）'!CK$3="","",'CF表（ご主人様働けない時）'!CK15/10000)</f>
        <v/>
      </c>
      <c r="CL15" s="221">
        <f>IF('CF表（ご主人様働けない時）'!CL$3="","",'CF表（ご主人様働けない時）'!CL15/10000)</f>
        <v/>
      </c>
      <c r="CM15" s="221">
        <f>IF('CF表（ご主人様働けない時）'!CM$3="","",'CF表（ご主人様働けない時）'!CM15/10000)</f>
        <v/>
      </c>
      <c r="CN15" s="221">
        <f>IF('CF表（ご主人様働けない時）'!CN$3="","",'CF表（ご主人様働けない時）'!CN15/10000)</f>
        <v/>
      </c>
      <c r="CO15" s="221">
        <f>IF('CF表（ご主人様働けない時）'!CO$3="","",'CF表（ご主人様働けない時）'!CO15/10000)</f>
        <v/>
      </c>
      <c r="CP15" s="221">
        <f>IF('CF表（ご主人様働けない時）'!CP$3="","",'CF表（ご主人様働けない時）'!CP15/10000)</f>
        <v/>
      </c>
      <c r="CQ15" s="221">
        <f>IF('CF表（ご主人様働けない時）'!CQ$3="","",'CF表（ご主人様働けない時）'!CQ15/10000)</f>
        <v/>
      </c>
      <c r="CR15" s="221">
        <f>IF('CF表（ご主人様働けない時）'!CR$3="","",'CF表（ご主人様働けない時）'!CR15/10000)</f>
        <v/>
      </c>
      <c r="CS15" s="221">
        <f>IF('CF表（ご主人様働けない時）'!CS$3="","",'CF表（ご主人様働けない時）'!CS15/10000)</f>
        <v/>
      </c>
      <c r="CT15" s="221">
        <f>IF('CF表（ご主人様働けない時）'!CT$3="","",'CF表（ご主人様働けない時）'!CT15/10000)</f>
        <v/>
      </c>
      <c r="CU15" s="221">
        <f>IF('CF表（ご主人様働けない時）'!CU$3="","",'CF表（ご主人様働けない時）'!CU15/10000)</f>
        <v/>
      </c>
      <c r="CV15" s="221">
        <f>IF('CF表（ご主人様働けない時）'!CV$3="","",'CF表（ご主人様働けない時）'!CV15/10000)</f>
        <v/>
      </c>
      <c r="CW15" s="221">
        <f>IF('CF表（ご主人様働けない時）'!CW$3="","",'CF表（ご主人様働けない時）'!CW15/10000)</f>
        <v/>
      </c>
    </row>
    <row r="16" ht="15" customHeight="1" s="180">
      <c r="A16" s="220" t="inlineStr">
        <is>
          <t>ご主人様年金収入</t>
        </is>
      </c>
      <c r="B16" s="221">
        <f>IF('CF表（ご主人様働けない時）'!B$3="","",'CF表（ご主人様働けない時）'!B16/10000)</f>
        <v/>
      </c>
      <c r="C16" s="221">
        <f>IF('CF表（ご主人様働けない時）'!C$3="","",'CF表（ご主人様働けない時）'!C16/10000)</f>
        <v/>
      </c>
      <c r="D16" s="221">
        <f>IF('CF表（ご主人様働けない時）'!D$3="","",'CF表（ご主人様働けない時）'!D16/10000)</f>
        <v/>
      </c>
      <c r="E16" s="221">
        <f>IF('CF表（ご主人様働けない時）'!E$3="","",'CF表（ご主人様働けない時）'!E16/10000)</f>
        <v/>
      </c>
      <c r="F16" s="221">
        <f>IF('CF表（ご主人様働けない時）'!F$3="","",'CF表（ご主人様働けない時）'!F16/10000)</f>
        <v/>
      </c>
      <c r="G16" s="221">
        <f>IF('CF表（ご主人様働けない時）'!G$3="","",'CF表（ご主人様働けない時）'!G16/10000)</f>
        <v/>
      </c>
      <c r="H16" s="221">
        <f>IF('CF表（ご主人様働けない時）'!H$3="","",'CF表（ご主人様働けない時）'!H16/10000)</f>
        <v/>
      </c>
      <c r="I16" s="221">
        <f>IF('CF表（ご主人様働けない時）'!I$3="","",'CF表（ご主人様働けない時）'!I16/10000)</f>
        <v/>
      </c>
      <c r="J16" s="221">
        <f>IF('CF表（ご主人様働けない時）'!J$3="","",'CF表（ご主人様働けない時）'!J16/10000)</f>
        <v/>
      </c>
      <c r="K16" s="221">
        <f>IF('CF表（ご主人様働けない時）'!K$3="","",'CF表（ご主人様働けない時）'!K16/10000)</f>
        <v/>
      </c>
      <c r="L16" s="221">
        <f>IF('CF表（ご主人様働けない時）'!L$3="","",'CF表（ご主人様働けない時）'!L16/10000)</f>
        <v/>
      </c>
      <c r="M16" s="221">
        <f>IF('CF表（ご主人様働けない時）'!M$3="","",'CF表（ご主人様働けない時）'!M16/10000)</f>
        <v/>
      </c>
      <c r="N16" s="221">
        <f>IF('CF表（ご主人様働けない時）'!N$3="","",'CF表（ご主人様働けない時）'!N16/10000)</f>
        <v/>
      </c>
      <c r="O16" s="221">
        <f>IF('CF表（ご主人様働けない時）'!O$3="","",'CF表（ご主人様働けない時）'!O16/10000)</f>
        <v/>
      </c>
      <c r="P16" s="221">
        <f>IF('CF表（ご主人様働けない時）'!P$3="","",'CF表（ご主人様働けない時）'!P16/10000)</f>
        <v/>
      </c>
      <c r="Q16" s="221">
        <f>IF('CF表（ご主人様働けない時）'!Q$3="","",'CF表（ご主人様働けない時）'!Q16/10000)</f>
        <v/>
      </c>
      <c r="R16" s="221">
        <f>IF('CF表（ご主人様働けない時）'!R$3="","",'CF表（ご主人様働けない時）'!R16/10000)</f>
        <v/>
      </c>
      <c r="S16" s="221">
        <f>IF('CF表（ご主人様働けない時）'!S$3="","",'CF表（ご主人様働けない時）'!S16/10000)</f>
        <v/>
      </c>
      <c r="T16" s="221">
        <f>IF('CF表（ご主人様働けない時）'!T$3="","",'CF表（ご主人様働けない時）'!T16/10000)</f>
        <v/>
      </c>
      <c r="U16" s="221">
        <f>IF('CF表（ご主人様働けない時）'!U$3="","",'CF表（ご主人様働けない時）'!U16/10000)</f>
        <v/>
      </c>
      <c r="V16" s="221">
        <f>IF('CF表（ご主人様働けない時）'!V$3="","",'CF表（ご主人様働けない時）'!V16/10000)</f>
        <v/>
      </c>
      <c r="W16" s="221">
        <f>IF('CF表（ご主人様働けない時）'!W$3="","",'CF表（ご主人様働けない時）'!W16/10000)</f>
        <v/>
      </c>
      <c r="X16" s="221">
        <f>IF('CF表（ご主人様働けない時）'!X$3="","",'CF表（ご主人様働けない時）'!X16/10000)</f>
        <v/>
      </c>
      <c r="Y16" s="221">
        <f>IF('CF表（ご主人様働けない時）'!Y$3="","",'CF表（ご主人様働けない時）'!Y16/10000)</f>
        <v/>
      </c>
      <c r="Z16" s="221">
        <f>IF('CF表（ご主人様働けない時）'!Z$3="","",'CF表（ご主人様働けない時）'!Z16/10000)</f>
        <v/>
      </c>
      <c r="AA16" s="221">
        <f>IF('CF表（ご主人様働けない時）'!AA$3="","",'CF表（ご主人様働けない時）'!AA16/10000)</f>
        <v/>
      </c>
      <c r="AB16" s="221">
        <f>IF('CF表（ご主人様働けない時）'!AB$3="","",'CF表（ご主人様働けない時）'!AB16/10000)</f>
        <v/>
      </c>
      <c r="AC16" s="221">
        <f>IF('CF表（ご主人様働けない時）'!AC$3="","",'CF表（ご主人様働けない時）'!AC16/10000)</f>
        <v/>
      </c>
      <c r="AD16" s="221">
        <f>IF('CF表（ご主人様働けない時）'!AD$3="","",'CF表（ご主人様働けない時）'!AD16/10000)</f>
        <v/>
      </c>
      <c r="AE16" s="221">
        <f>IF('CF表（ご主人様働けない時）'!AE$3="","",'CF表（ご主人様働けない時）'!AE16/10000)</f>
        <v/>
      </c>
      <c r="AF16" s="221">
        <f>IF('CF表（ご主人様働けない時）'!AF$3="","",'CF表（ご主人様働けない時）'!AF16/10000)</f>
        <v/>
      </c>
      <c r="AG16" s="221">
        <f>IF('CF表（ご主人様働けない時）'!AG$3="","",'CF表（ご主人様働けない時）'!AG16/10000)</f>
        <v/>
      </c>
      <c r="AH16" s="221">
        <f>IF('CF表（ご主人様働けない時）'!AH$3="","",'CF表（ご主人様働けない時）'!AH16/10000)</f>
        <v/>
      </c>
      <c r="AI16" s="221">
        <f>IF('CF表（ご主人様働けない時）'!AI$3="","",'CF表（ご主人様働けない時）'!AI16/10000)</f>
        <v/>
      </c>
      <c r="AJ16" s="221">
        <f>IF('CF表（ご主人様働けない時）'!AJ$3="","",'CF表（ご主人様働けない時）'!AJ16/10000)</f>
        <v/>
      </c>
      <c r="AK16" s="221">
        <f>IF('CF表（ご主人様働けない時）'!AK$3="","",'CF表（ご主人様働けない時）'!AK16/10000)</f>
        <v/>
      </c>
      <c r="AL16" s="221">
        <f>IF('CF表（ご主人様働けない時）'!AL$3="","",'CF表（ご主人様働けない時）'!AL16/10000)</f>
        <v/>
      </c>
      <c r="AM16" s="221">
        <f>IF('CF表（ご主人様働けない時）'!AM$3="","",'CF表（ご主人様働けない時）'!AM16/10000)</f>
        <v/>
      </c>
      <c r="AN16" s="221">
        <f>IF('CF表（ご主人様働けない時）'!AN$3="","",'CF表（ご主人様働けない時）'!AN16/10000)</f>
        <v/>
      </c>
      <c r="AO16" s="221">
        <f>IF('CF表（ご主人様働けない時）'!AO$3="","",'CF表（ご主人様働けない時）'!AO16/10000)</f>
        <v/>
      </c>
      <c r="AP16" s="221">
        <f>IF('CF表（ご主人様働けない時）'!AP$3="","",'CF表（ご主人様働けない時）'!AP16/10000)</f>
        <v/>
      </c>
      <c r="AQ16" s="221">
        <f>IF('CF表（ご主人様働けない時）'!AQ$3="","",'CF表（ご主人様働けない時）'!AQ16/10000)</f>
        <v/>
      </c>
      <c r="AR16" s="221">
        <f>IF('CF表（ご主人様働けない時）'!AR$3="","",'CF表（ご主人様働けない時）'!AR16/10000)</f>
        <v/>
      </c>
      <c r="AS16" s="221">
        <f>IF('CF表（ご主人様働けない時）'!AS$3="","",'CF表（ご主人様働けない時）'!AS16/10000)</f>
        <v/>
      </c>
      <c r="AT16" s="221">
        <f>IF('CF表（ご主人様働けない時）'!AT$3="","",'CF表（ご主人様働けない時）'!AT16/10000)</f>
        <v/>
      </c>
      <c r="AU16" s="221">
        <f>IF('CF表（ご主人様働けない時）'!AU$3="","",'CF表（ご主人様働けない時）'!AU16/10000)</f>
        <v/>
      </c>
      <c r="AV16" s="221">
        <f>IF('CF表（ご主人様働けない時）'!AV$3="","",'CF表（ご主人様働けない時）'!AV16/10000)</f>
        <v/>
      </c>
      <c r="AW16" s="221">
        <f>IF('CF表（ご主人様働けない時）'!AW$3="","",'CF表（ご主人様働けない時）'!AW16/10000)</f>
        <v/>
      </c>
      <c r="AX16" s="221">
        <f>IF('CF表（ご主人様働けない時）'!AX$3="","",'CF表（ご主人様働けない時）'!AX16/10000)</f>
        <v/>
      </c>
      <c r="AY16" s="221">
        <f>IF('CF表（ご主人様働けない時）'!AY$3="","",'CF表（ご主人様働けない時）'!AY16/10000)</f>
        <v/>
      </c>
      <c r="AZ16" s="221">
        <f>IF('CF表（ご主人様働けない時）'!AZ$3="","",'CF表（ご主人様働けない時）'!AZ16/10000)</f>
        <v/>
      </c>
      <c r="BA16" s="221">
        <f>IF('CF表（ご主人様働けない時）'!BA$3="","",'CF表（ご主人様働けない時）'!BA16/10000)</f>
        <v/>
      </c>
      <c r="BB16" s="221">
        <f>IF('CF表（ご主人様働けない時）'!BB$3="","",'CF表（ご主人様働けない時）'!BB16/10000)</f>
        <v/>
      </c>
      <c r="BC16" s="221">
        <f>IF('CF表（ご主人様働けない時）'!BC$3="","",'CF表（ご主人様働けない時）'!BC16/10000)</f>
        <v/>
      </c>
      <c r="BD16" s="221">
        <f>IF('CF表（ご主人様働けない時）'!BD$3="","",'CF表（ご主人様働けない時）'!BD16/10000)</f>
        <v/>
      </c>
      <c r="BE16" s="221">
        <f>IF('CF表（ご主人様働けない時）'!BE$3="","",'CF表（ご主人様働けない時）'!BE16/10000)</f>
        <v/>
      </c>
      <c r="BF16" s="221">
        <f>IF('CF表（ご主人様働けない時）'!BF$3="","",'CF表（ご主人様働けない時）'!BF16/10000)</f>
        <v/>
      </c>
      <c r="BG16" s="221">
        <f>IF('CF表（ご主人様働けない時）'!BG$3="","",'CF表（ご主人様働けない時）'!BG16/10000)</f>
        <v/>
      </c>
      <c r="BH16" s="221">
        <f>IF('CF表（ご主人様働けない時）'!BH$3="","",'CF表（ご主人様働けない時）'!BH16/10000)</f>
        <v/>
      </c>
      <c r="BI16" s="221">
        <f>IF('CF表（ご主人様働けない時）'!BI$3="","",'CF表（ご主人様働けない時）'!BI16/10000)</f>
        <v/>
      </c>
      <c r="BJ16" s="221">
        <f>IF('CF表（ご主人様働けない時）'!BJ$3="","",'CF表（ご主人様働けない時）'!BJ16/10000)</f>
        <v/>
      </c>
      <c r="BK16" s="221">
        <f>IF('CF表（ご主人様働けない時）'!BK$3="","",'CF表（ご主人様働けない時）'!BK16/10000)</f>
        <v/>
      </c>
      <c r="BL16" s="221">
        <f>IF('CF表（ご主人様働けない時）'!BL$3="","",'CF表（ご主人様働けない時）'!BL16/10000)</f>
        <v/>
      </c>
      <c r="BM16" s="221">
        <f>IF('CF表（ご主人様働けない時）'!BM$3="","",'CF表（ご主人様働けない時）'!BM16/10000)</f>
        <v/>
      </c>
      <c r="BN16" s="221">
        <f>IF('CF表（ご主人様働けない時）'!BN$3="","",'CF表（ご主人様働けない時）'!BN16/10000)</f>
        <v/>
      </c>
      <c r="BO16" s="221">
        <f>IF('CF表（ご主人様働けない時）'!BO$3="","",'CF表（ご主人様働けない時）'!BO16/10000)</f>
        <v/>
      </c>
      <c r="BP16" s="221">
        <f>IF('CF表（ご主人様働けない時）'!BP$3="","",'CF表（ご主人様働けない時）'!BP16/10000)</f>
        <v/>
      </c>
      <c r="BQ16" s="221">
        <f>IF('CF表（ご主人様働けない時）'!BQ$3="","",'CF表（ご主人様働けない時）'!BQ16/10000)</f>
        <v/>
      </c>
      <c r="BR16" s="221">
        <f>IF('CF表（ご主人様働けない時）'!BR$3="","",'CF表（ご主人様働けない時）'!BR16/10000)</f>
        <v/>
      </c>
      <c r="BS16" s="221">
        <f>IF('CF表（ご主人様働けない時）'!BS$3="","",'CF表（ご主人様働けない時）'!BS16/10000)</f>
        <v/>
      </c>
      <c r="BT16" s="221">
        <f>IF('CF表（ご主人様働けない時）'!BT$3="","",'CF表（ご主人様働けない時）'!BT16/10000)</f>
        <v/>
      </c>
      <c r="BU16" s="221">
        <f>IF('CF表（ご主人様働けない時）'!BU$3="","",'CF表（ご主人様働けない時）'!BU16/10000)</f>
        <v/>
      </c>
      <c r="BV16" s="221">
        <f>IF('CF表（ご主人様働けない時）'!BV$3="","",'CF表（ご主人様働けない時）'!BV16/10000)</f>
        <v/>
      </c>
      <c r="BW16" s="221">
        <f>IF('CF表（ご主人様働けない時）'!BW$3="","",'CF表（ご主人様働けない時）'!BW16/10000)</f>
        <v/>
      </c>
      <c r="BX16" s="221">
        <f>IF('CF表（ご主人様働けない時）'!BX$3="","",'CF表（ご主人様働けない時）'!BX16/10000)</f>
        <v/>
      </c>
      <c r="BY16" s="221">
        <f>IF('CF表（ご主人様働けない時）'!BY$3="","",'CF表（ご主人様働けない時）'!BY16/10000)</f>
        <v/>
      </c>
      <c r="BZ16" s="221">
        <f>IF('CF表（ご主人様働けない時）'!BZ$3="","",'CF表（ご主人様働けない時）'!BZ16/10000)</f>
        <v/>
      </c>
      <c r="CA16" s="221">
        <f>IF('CF表（ご主人様働けない時）'!CA$3="","",'CF表（ご主人様働けない時）'!CA16/10000)</f>
        <v/>
      </c>
      <c r="CB16" s="221">
        <f>IF('CF表（ご主人様働けない時）'!CB$3="","",'CF表（ご主人様働けない時）'!CB16/10000)</f>
        <v/>
      </c>
      <c r="CC16" s="221">
        <f>IF('CF表（ご主人様働けない時）'!CC$3="","",'CF表（ご主人様働けない時）'!CC16/10000)</f>
        <v/>
      </c>
      <c r="CD16" s="221">
        <f>IF('CF表（ご主人様働けない時）'!CD$3="","",'CF表（ご主人様働けない時）'!CD16/10000)</f>
        <v/>
      </c>
      <c r="CE16" s="221">
        <f>IF('CF表（ご主人様働けない時）'!CE$3="","",'CF表（ご主人様働けない時）'!CE16/10000)</f>
        <v/>
      </c>
      <c r="CF16" s="221">
        <f>IF('CF表（ご主人様働けない時）'!CF$3="","",'CF表（ご主人様働けない時）'!CF16/10000)</f>
        <v/>
      </c>
      <c r="CG16" s="221">
        <f>IF('CF表（ご主人様働けない時）'!CG$3="","",'CF表（ご主人様働けない時）'!CG16/10000)</f>
        <v/>
      </c>
      <c r="CH16" s="221">
        <f>IF('CF表（ご主人様働けない時）'!CH$3="","",'CF表（ご主人様働けない時）'!CH16/10000)</f>
        <v/>
      </c>
      <c r="CI16" s="221">
        <f>IF('CF表（ご主人様働けない時）'!CI$3="","",'CF表（ご主人様働けない時）'!CI16/10000)</f>
        <v/>
      </c>
      <c r="CJ16" s="221">
        <f>IF('CF表（ご主人様働けない時）'!CJ$3="","",'CF表（ご主人様働けない時）'!CJ16/10000)</f>
        <v/>
      </c>
      <c r="CK16" s="221">
        <f>IF('CF表（ご主人様働けない時）'!CK$3="","",'CF表（ご主人様働けない時）'!CK16/10000)</f>
        <v/>
      </c>
      <c r="CL16" s="221">
        <f>IF('CF表（ご主人様働けない時）'!CL$3="","",'CF表（ご主人様働けない時）'!CL16/10000)</f>
        <v/>
      </c>
      <c r="CM16" s="221">
        <f>IF('CF表（ご主人様働けない時）'!CM$3="","",'CF表（ご主人様働けない時）'!CM16/10000)</f>
        <v/>
      </c>
      <c r="CN16" s="221">
        <f>IF('CF表（ご主人様働けない時）'!CN$3="","",'CF表（ご主人様働けない時）'!CN16/10000)</f>
        <v/>
      </c>
      <c r="CO16" s="221">
        <f>IF('CF表（ご主人様働けない時）'!CO$3="","",'CF表（ご主人様働けない時）'!CO16/10000)</f>
        <v/>
      </c>
      <c r="CP16" s="221">
        <f>IF('CF表（ご主人様働けない時）'!CP$3="","",'CF表（ご主人様働けない時）'!CP16/10000)</f>
        <v/>
      </c>
      <c r="CQ16" s="221">
        <f>IF('CF表（ご主人様働けない時）'!CQ$3="","",'CF表（ご主人様働けない時）'!CQ16/10000)</f>
        <v/>
      </c>
      <c r="CR16" s="221">
        <f>IF('CF表（ご主人様働けない時）'!CR$3="","",'CF表（ご主人様働けない時）'!CR16/10000)</f>
        <v/>
      </c>
      <c r="CS16" s="221">
        <f>IF('CF表（ご主人様働けない時）'!CS$3="","",'CF表（ご主人様働けない時）'!CS16/10000)</f>
        <v/>
      </c>
      <c r="CT16" s="221">
        <f>IF('CF表（ご主人様働けない時）'!CT$3="","",'CF表（ご主人様働けない時）'!CT16/10000)</f>
        <v/>
      </c>
      <c r="CU16" s="221">
        <f>IF('CF表（ご主人様働けない時）'!CU$3="","",'CF表（ご主人様働けない時）'!CU16/10000)</f>
        <v/>
      </c>
      <c r="CV16" s="221">
        <f>IF('CF表（ご主人様働けない時）'!CV$3="","",'CF表（ご主人様働けない時）'!CV16/10000)</f>
        <v/>
      </c>
      <c r="CW16" s="221">
        <f>IF('CF表（ご主人様働けない時）'!CW$3="","",'CF表（ご主人様働けない時）'!CW16/10000)</f>
        <v/>
      </c>
    </row>
    <row r="17" ht="15" customHeight="1" s="180">
      <c r="A17" s="220" t="inlineStr">
        <is>
          <t>奥様年金収入</t>
        </is>
      </c>
      <c r="B17" s="221">
        <f>IF('CF表（ご主人様働けない時）'!B$3="","",'CF表（ご主人様働けない時）'!B17/10000)</f>
        <v/>
      </c>
      <c r="C17" s="221">
        <f>IF('CF表（ご主人様働けない時）'!C$3="","",'CF表（ご主人様働けない時）'!C17/10000)</f>
        <v/>
      </c>
      <c r="D17" s="221">
        <f>IF('CF表（ご主人様働けない時）'!D$3="","",'CF表（ご主人様働けない時）'!D17/10000)</f>
        <v/>
      </c>
      <c r="E17" s="221">
        <f>IF('CF表（ご主人様働けない時）'!E$3="","",'CF表（ご主人様働けない時）'!E17/10000)</f>
        <v/>
      </c>
      <c r="F17" s="221">
        <f>IF('CF表（ご主人様働けない時）'!F$3="","",'CF表（ご主人様働けない時）'!F17/10000)</f>
        <v/>
      </c>
      <c r="G17" s="221">
        <f>IF('CF表（ご主人様働けない時）'!G$3="","",'CF表（ご主人様働けない時）'!G17/10000)</f>
        <v/>
      </c>
      <c r="H17" s="221">
        <f>IF('CF表（ご主人様働けない時）'!H$3="","",'CF表（ご主人様働けない時）'!H17/10000)</f>
        <v/>
      </c>
      <c r="I17" s="221">
        <f>IF('CF表（ご主人様働けない時）'!I$3="","",'CF表（ご主人様働けない時）'!I17/10000)</f>
        <v/>
      </c>
      <c r="J17" s="221">
        <f>IF('CF表（ご主人様働けない時）'!J$3="","",'CF表（ご主人様働けない時）'!J17/10000)</f>
        <v/>
      </c>
      <c r="K17" s="221">
        <f>IF('CF表（ご主人様働けない時）'!K$3="","",'CF表（ご主人様働けない時）'!K17/10000)</f>
        <v/>
      </c>
      <c r="L17" s="221">
        <f>IF('CF表（ご主人様働けない時）'!L$3="","",'CF表（ご主人様働けない時）'!L17/10000)</f>
        <v/>
      </c>
      <c r="M17" s="221">
        <f>IF('CF表（ご主人様働けない時）'!M$3="","",'CF表（ご主人様働けない時）'!M17/10000)</f>
        <v/>
      </c>
      <c r="N17" s="221">
        <f>IF('CF表（ご主人様働けない時）'!N$3="","",'CF表（ご主人様働けない時）'!N17/10000)</f>
        <v/>
      </c>
      <c r="O17" s="221">
        <f>IF('CF表（ご主人様働けない時）'!O$3="","",'CF表（ご主人様働けない時）'!O17/10000)</f>
        <v/>
      </c>
      <c r="P17" s="221">
        <f>IF('CF表（ご主人様働けない時）'!P$3="","",'CF表（ご主人様働けない時）'!P17/10000)</f>
        <v/>
      </c>
      <c r="Q17" s="221">
        <f>IF('CF表（ご主人様働けない時）'!Q$3="","",'CF表（ご主人様働けない時）'!Q17/10000)</f>
        <v/>
      </c>
      <c r="R17" s="221">
        <f>IF('CF表（ご主人様働けない時）'!R$3="","",'CF表（ご主人様働けない時）'!R17/10000)</f>
        <v/>
      </c>
      <c r="S17" s="221">
        <f>IF('CF表（ご主人様働けない時）'!S$3="","",'CF表（ご主人様働けない時）'!S17/10000)</f>
        <v/>
      </c>
      <c r="T17" s="221">
        <f>IF('CF表（ご主人様働けない時）'!T$3="","",'CF表（ご主人様働けない時）'!T17/10000)</f>
        <v/>
      </c>
      <c r="U17" s="221">
        <f>IF('CF表（ご主人様働けない時）'!U$3="","",'CF表（ご主人様働けない時）'!U17/10000)</f>
        <v/>
      </c>
      <c r="V17" s="221">
        <f>IF('CF表（ご主人様働けない時）'!V$3="","",'CF表（ご主人様働けない時）'!V17/10000)</f>
        <v/>
      </c>
      <c r="W17" s="221">
        <f>IF('CF表（ご主人様働けない時）'!W$3="","",'CF表（ご主人様働けない時）'!W17/10000)</f>
        <v/>
      </c>
      <c r="X17" s="221">
        <f>IF('CF表（ご主人様働けない時）'!X$3="","",'CF表（ご主人様働けない時）'!X17/10000)</f>
        <v/>
      </c>
      <c r="Y17" s="221">
        <f>IF('CF表（ご主人様働けない時）'!Y$3="","",'CF表（ご主人様働けない時）'!Y17/10000)</f>
        <v/>
      </c>
      <c r="Z17" s="221">
        <f>IF('CF表（ご主人様働けない時）'!Z$3="","",'CF表（ご主人様働けない時）'!Z17/10000)</f>
        <v/>
      </c>
      <c r="AA17" s="221">
        <f>IF('CF表（ご主人様働けない時）'!AA$3="","",'CF表（ご主人様働けない時）'!AA17/10000)</f>
        <v/>
      </c>
      <c r="AB17" s="221">
        <f>IF('CF表（ご主人様働けない時）'!AB$3="","",'CF表（ご主人様働けない時）'!AB17/10000)</f>
        <v/>
      </c>
      <c r="AC17" s="221">
        <f>IF('CF表（ご主人様働けない時）'!AC$3="","",'CF表（ご主人様働けない時）'!AC17/10000)</f>
        <v/>
      </c>
      <c r="AD17" s="221">
        <f>IF('CF表（ご主人様働けない時）'!AD$3="","",'CF表（ご主人様働けない時）'!AD17/10000)</f>
        <v/>
      </c>
      <c r="AE17" s="221">
        <f>IF('CF表（ご主人様働けない時）'!AE$3="","",'CF表（ご主人様働けない時）'!AE17/10000)</f>
        <v/>
      </c>
      <c r="AF17" s="221">
        <f>IF('CF表（ご主人様働けない時）'!AF$3="","",'CF表（ご主人様働けない時）'!AF17/10000)</f>
        <v/>
      </c>
      <c r="AG17" s="221">
        <f>IF('CF表（ご主人様働けない時）'!AG$3="","",'CF表（ご主人様働けない時）'!AG17/10000)</f>
        <v/>
      </c>
      <c r="AH17" s="221">
        <f>IF('CF表（ご主人様働けない時）'!AH$3="","",'CF表（ご主人様働けない時）'!AH17/10000)</f>
        <v/>
      </c>
      <c r="AI17" s="221">
        <f>IF('CF表（ご主人様働けない時）'!AI$3="","",'CF表（ご主人様働けない時）'!AI17/10000)</f>
        <v/>
      </c>
      <c r="AJ17" s="221">
        <f>IF('CF表（ご主人様働けない時）'!AJ$3="","",'CF表（ご主人様働けない時）'!AJ17/10000)</f>
        <v/>
      </c>
      <c r="AK17" s="221">
        <f>IF('CF表（ご主人様働けない時）'!AK$3="","",'CF表（ご主人様働けない時）'!AK17/10000)</f>
        <v/>
      </c>
      <c r="AL17" s="221">
        <f>IF('CF表（ご主人様働けない時）'!AL$3="","",'CF表（ご主人様働けない時）'!AL17/10000)</f>
        <v/>
      </c>
      <c r="AM17" s="221">
        <f>IF('CF表（ご主人様働けない時）'!AM$3="","",'CF表（ご主人様働けない時）'!AM17/10000)</f>
        <v/>
      </c>
      <c r="AN17" s="221">
        <f>IF('CF表（ご主人様働けない時）'!AN$3="","",'CF表（ご主人様働けない時）'!AN17/10000)</f>
        <v/>
      </c>
      <c r="AO17" s="221">
        <f>IF('CF表（ご主人様働けない時）'!AO$3="","",'CF表（ご主人様働けない時）'!AO17/10000)</f>
        <v/>
      </c>
      <c r="AP17" s="221">
        <f>IF('CF表（ご主人様働けない時）'!AP$3="","",'CF表（ご主人様働けない時）'!AP17/10000)</f>
        <v/>
      </c>
      <c r="AQ17" s="221">
        <f>IF('CF表（ご主人様働けない時）'!AQ$3="","",'CF表（ご主人様働けない時）'!AQ17/10000)</f>
        <v/>
      </c>
      <c r="AR17" s="221">
        <f>IF('CF表（ご主人様働けない時）'!AR$3="","",'CF表（ご主人様働けない時）'!AR17/10000)</f>
        <v/>
      </c>
      <c r="AS17" s="221">
        <f>IF('CF表（ご主人様働けない時）'!AS$3="","",'CF表（ご主人様働けない時）'!AS17/10000)</f>
        <v/>
      </c>
      <c r="AT17" s="221">
        <f>IF('CF表（ご主人様働けない時）'!AT$3="","",'CF表（ご主人様働けない時）'!AT17/10000)</f>
        <v/>
      </c>
      <c r="AU17" s="221">
        <f>IF('CF表（ご主人様働けない時）'!AU$3="","",'CF表（ご主人様働けない時）'!AU17/10000)</f>
        <v/>
      </c>
      <c r="AV17" s="221">
        <f>IF('CF表（ご主人様働けない時）'!AV$3="","",'CF表（ご主人様働けない時）'!AV17/10000)</f>
        <v/>
      </c>
      <c r="AW17" s="221">
        <f>IF('CF表（ご主人様働けない時）'!AW$3="","",'CF表（ご主人様働けない時）'!AW17/10000)</f>
        <v/>
      </c>
      <c r="AX17" s="221">
        <f>IF('CF表（ご主人様働けない時）'!AX$3="","",'CF表（ご主人様働けない時）'!AX17/10000)</f>
        <v/>
      </c>
      <c r="AY17" s="221">
        <f>IF('CF表（ご主人様働けない時）'!AY$3="","",'CF表（ご主人様働けない時）'!AY17/10000)</f>
        <v/>
      </c>
      <c r="AZ17" s="221">
        <f>IF('CF表（ご主人様働けない時）'!AZ$3="","",'CF表（ご主人様働けない時）'!AZ17/10000)</f>
        <v/>
      </c>
      <c r="BA17" s="221">
        <f>IF('CF表（ご主人様働けない時）'!BA$3="","",'CF表（ご主人様働けない時）'!BA17/10000)</f>
        <v/>
      </c>
      <c r="BB17" s="221">
        <f>IF('CF表（ご主人様働けない時）'!BB$3="","",'CF表（ご主人様働けない時）'!BB17/10000)</f>
        <v/>
      </c>
      <c r="BC17" s="221">
        <f>IF('CF表（ご主人様働けない時）'!BC$3="","",'CF表（ご主人様働けない時）'!BC17/10000)</f>
        <v/>
      </c>
      <c r="BD17" s="221">
        <f>IF('CF表（ご主人様働けない時）'!BD$3="","",'CF表（ご主人様働けない時）'!BD17/10000)</f>
        <v/>
      </c>
      <c r="BE17" s="221">
        <f>IF('CF表（ご主人様働けない時）'!BE$3="","",'CF表（ご主人様働けない時）'!BE17/10000)</f>
        <v/>
      </c>
      <c r="BF17" s="221">
        <f>IF('CF表（ご主人様働けない時）'!BF$3="","",'CF表（ご主人様働けない時）'!BF17/10000)</f>
        <v/>
      </c>
      <c r="BG17" s="221">
        <f>IF('CF表（ご主人様働けない時）'!BG$3="","",'CF表（ご主人様働けない時）'!BG17/10000)</f>
        <v/>
      </c>
      <c r="BH17" s="221">
        <f>IF('CF表（ご主人様働けない時）'!BH$3="","",'CF表（ご主人様働けない時）'!BH17/10000)</f>
        <v/>
      </c>
      <c r="BI17" s="221">
        <f>IF('CF表（ご主人様働けない時）'!BI$3="","",'CF表（ご主人様働けない時）'!BI17/10000)</f>
        <v/>
      </c>
      <c r="BJ17" s="221">
        <f>IF('CF表（ご主人様働けない時）'!BJ$3="","",'CF表（ご主人様働けない時）'!BJ17/10000)</f>
        <v/>
      </c>
      <c r="BK17" s="221">
        <f>IF('CF表（ご主人様働けない時）'!BK$3="","",'CF表（ご主人様働けない時）'!BK17/10000)</f>
        <v/>
      </c>
      <c r="BL17" s="221">
        <f>IF('CF表（ご主人様働けない時）'!BL$3="","",'CF表（ご主人様働けない時）'!BL17/10000)</f>
        <v/>
      </c>
      <c r="BM17" s="221">
        <f>IF('CF表（ご主人様働けない時）'!BM$3="","",'CF表（ご主人様働けない時）'!BM17/10000)</f>
        <v/>
      </c>
      <c r="BN17" s="221">
        <f>IF('CF表（ご主人様働けない時）'!BN$3="","",'CF表（ご主人様働けない時）'!BN17/10000)</f>
        <v/>
      </c>
      <c r="BO17" s="221">
        <f>IF('CF表（ご主人様働けない時）'!BO$3="","",'CF表（ご主人様働けない時）'!BO17/10000)</f>
        <v/>
      </c>
      <c r="BP17" s="221">
        <f>IF('CF表（ご主人様働けない時）'!BP$3="","",'CF表（ご主人様働けない時）'!BP17/10000)</f>
        <v/>
      </c>
      <c r="BQ17" s="221">
        <f>IF('CF表（ご主人様働けない時）'!BQ$3="","",'CF表（ご主人様働けない時）'!BQ17/10000)</f>
        <v/>
      </c>
      <c r="BR17" s="221">
        <f>IF('CF表（ご主人様働けない時）'!BR$3="","",'CF表（ご主人様働けない時）'!BR17/10000)</f>
        <v/>
      </c>
      <c r="BS17" s="221">
        <f>IF('CF表（ご主人様働けない時）'!BS$3="","",'CF表（ご主人様働けない時）'!BS17/10000)</f>
        <v/>
      </c>
      <c r="BT17" s="221">
        <f>IF('CF表（ご主人様働けない時）'!BT$3="","",'CF表（ご主人様働けない時）'!BT17/10000)</f>
        <v/>
      </c>
      <c r="BU17" s="221">
        <f>IF('CF表（ご主人様働けない時）'!BU$3="","",'CF表（ご主人様働けない時）'!BU17/10000)</f>
        <v/>
      </c>
      <c r="BV17" s="221">
        <f>IF('CF表（ご主人様働けない時）'!BV$3="","",'CF表（ご主人様働けない時）'!BV17/10000)</f>
        <v/>
      </c>
      <c r="BW17" s="221">
        <f>IF('CF表（ご主人様働けない時）'!BW$3="","",'CF表（ご主人様働けない時）'!BW17/10000)</f>
        <v/>
      </c>
      <c r="BX17" s="221">
        <f>IF('CF表（ご主人様働けない時）'!BX$3="","",'CF表（ご主人様働けない時）'!BX17/10000)</f>
        <v/>
      </c>
      <c r="BY17" s="221">
        <f>IF('CF表（ご主人様働けない時）'!BY$3="","",'CF表（ご主人様働けない時）'!BY17/10000)</f>
        <v/>
      </c>
      <c r="BZ17" s="221">
        <f>IF('CF表（ご主人様働けない時）'!BZ$3="","",'CF表（ご主人様働けない時）'!BZ17/10000)</f>
        <v/>
      </c>
      <c r="CA17" s="221">
        <f>IF('CF表（ご主人様働けない時）'!CA$3="","",'CF表（ご主人様働けない時）'!CA17/10000)</f>
        <v/>
      </c>
      <c r="CB17" s="221">
        <f>IF('CF表（ご主人様働けない時）'!CB$3="","",'CF表（ご主人様働けない時）'!CB17/10000)</f>
        <v/>
      </c>
      <c r="CC17" s="221">
        <f>IF('CF表（ご主人様働けない時）'!CC$3="","",'CF表（ご主人様働けない時）'!CC17/10000)</f>
        <v/>
      </c>
      <c r="CD17" s="221">
        <f>IF('CF表（ご主人様働けない時）'!CD$3="","",'CF表（ご主人様働けない時）'!CD17/10000)</f>
        <v/>
      </c>
      <c r="CE17" s="221">
        <f>IF('CF表（ご主人様働けない時）'!CE$3="","",'CF表（ご主人様働けない時）'!CE17/10000)</f>
        <v/>
      </c>
      <c r="CF17" s="221">
        <f>IF('CF表（ご主人様働けない時）'!CF$3="","",'CF表（ご主人様働けない時）'!CF17/10000)</f>
        <v/>
      </c>
      <c r="CG17" s="221">
        <f>IF('CF表（ご主人様働けない時）'!CG$3="","",'CF表（ご主人様働けない時）'!CG17/10000)</f>
        <v/>
      </c>
      <c r="CH17" s="221">
        <f>IF('CF表（ご主人様働けない時）'!CH$3="","",'CF表（ご主人様働けない時）'!CH17/10000)</f>
        <v/>
      </c>
      <c r="CI17" s="221">
        <f>IF('CF表（ご主人様働けない時）'!CI$3="","",'CF表（ご主人様働けない時）'!CI17/10000)</f>
        <v/>
      </c>
      <c r="CJ17" s="221">
        <f>IF('CF表（ご主人様働けない時）'!CJ$3="","",'CF表（ご主人様働けない時）'!CJ17/10000)</f>
        <v/>
      </c>
      <c r="CK17" s="221">
        <f>IF('CF表（ご主人様働けない時）'!CK$3="","",'CF表（ご主人様働けない時）'!CK17/10000)</f>
        <v/>
      </c>
      <c r="CL17" s="221">
        <f>IF('CF表（ご主人様働けない時）'!CL$3="","",'CF表（ご主人様働けない時）'!CL17/10000)</f>
        <v/>
      </c>
      <c r="CM17" s="221">
        <f>IF('CF表（ご主人様働けない時）'!CM$3="","",'CF表（ご主人様働けない時）'!CM17/10000)</f>
        <v/>
      </c>
      <c r="CN17" s="221">
        <f>IF('CF表（ご主人様働けない時）'!CN$3="","",'CF表（ご主人様働けない時）'!CN17/10000)</f>
        <v/>
      </c>
      <c r="CO17" s="221">
        <f>IF('CF表（ご主人様働けない時）'!CO$3="","",'CF表（ご主人様働けない時）'!CO17/10000)</f>
        <v/>
      </c>
      <c r="CP17" s="221">
        <f>IF('CF表（ご主人様働けない時）'!CP$3="","",'CF表（ご主人様働けない時）'!CP17/10000)</f>
        <v/>
      </c>
      <c r="CQ17" s="221">
        <f>IF('CF表（ご主人様働けない時）'!CQ$3="","",'CF表（ご主人様働けない時）'!CQ17/10000)</f>
        <v/>
      </c>
      <c r="CR17" s="221">
        <f>IF('CF表（ご主人様働けない時）'!CR$3="","",'CF表（ご主人様働けない時）'!CR17/10000)</f>
        <v/>
      </c>
      <c r="CS17" s="221">
        <f>IF('CF表（ご主人様働けない時）'!CS$3="","",'CF表（ご主人様働けない時）'!CS17/10000)</f>
        <v/>
      </c>
      <c r="CT17" s="221">
        <f>IF('CF表（ご主人様働けない時）'!CT$3="","",'CF表（ご主人様働けない時）'!CT17/10000)</f>
        <v/>
      </c>
      <c r="CU17" s="221">
        <f>IF('CF表（ご主人様働けない時）'!CU$3="","",'CF表（ご主人様働けない時）'!CU17/10000)</f>
        <v/>
      </c>
      <c r="CV17" s="221">
        <f>IF('CF表（ご主人様働けない時）'!CV$3="","",'CF表（ご主人様働けない時）'!CV17/10000)</f>
        <v/>
      </c>
      <c r="CW17" s="221">
        <f>IF('CF表（ご主人様働けない時）'!CW$3="","",'CF表（ご主人様働けない時）'!CW17/10000)</f>
        <v/>
      </c>
    </row>
    <row r="18" ht="15" customHeight="1" s="180">
      <c r="A18" s="222" t="inlineStr">
        <is>
          <t>世帯収入合計</t>
        </is>
      </c>
      <c r="B18" s="223">
        <f>IF('CF表（ご主人様働けない時）'!B$3="","",'CF表（ご主人様働けない時）'!B18/10000)</f>
        <v/>
      </c>
      <c r="C18" s="223">
        <f>IF('CF表（ご主人様働けない時）'!C$3="","",'CF表（ご主人様働けない時）'!C18/10000)</f>
        <v/>
      </c>
      <c r="D18" s="223">
        <f>IF('CF表（ご主人様働けない時）'!D$3="","",'CF表（ご主人様働けない時）'!D18/10000)</f>
        <v/>
      </c>
      <c r="E18" s="223">
        <f>IF('CF表（ご主人様働けない時）'!E$3="","",'CF表（ご主人様働けない時）'!E18/10000)</f>
        <v/>
      </c>
      <c r="F18" s="223">
        <f>IF('CF表（ご主人様働けない時）'!F$3="","",'CF表（ご主人様働けない時）'!F18/10000)</f>
        <v/>
      </c>
      <c r="G18" s="223">
        <f>IF('CF表（ご主人様働けない時）'!G$3="","",'CF表（ご主人様働けない時）'!G18/10000)</f>
        <v/>
      </c>
      <c r="H18" s="223">
        <f>IF('CF表（ご主人様働けない時）'!H$3="","",'CF表（ご主人様働けない時）'!H18/10000)</f>
        <v/>
      </c>
      <c r="I18" s="223">
        <f>IF('CF表（ご主人様働けない時）'!I$3="","",'CF表（ご主人様働けない時）'!I18/10000)</f>
        <v/>
      </c>
      <c r="J18" s="223">
        <f>IF('CF表（ご主人様働けない時）'!J$3="","",'CF表（ご主人様働けない時）'!J18/10000)</f>
        <v/>
      </c>
      <c r="K18" s="223">
        <f>IF('CF表（ご主人様働けない時）'!K$3="","",'CF表（ご主人様働けない時）'!K18/10000)</f>
        <v/>
      </c>
      <c r="L18" s="223">
        <f>IF('CF表（ご主人様働けない時）'!L$3="","",'CF表（ご主人様働けない時）'!L18/10000)</f>
        <v/>
      </c>
      <c r="M18" s="223">
        <f>IF('CF表（ご主人様働けない時）'!M$3="","",'CF表（ご主人様働けない時）'!M18/10000)</f>
        <v/>
      </c>
      <c r="N18" s="223">
        <f>IF('CF表（ご主人様働けない時）'!N$3="","",'CF表（ご主人様働けない時）'!N18/10000)</f>
        <v/>
      </c>
      <c r="O18" s="223">
        <f>IF('CF表（ご主人様働けない時）'!O$3="","",'CF表（ご主人様働けない時）'!O18/10000)</f>
        <v/>
      </c>
      <c r="P18" s="223">
        <f>IF('CF表（ご主人様働けない時）'!P$3="","",'CF表（ご主人様働けない時）'!P18/10000)</f>
        <v/>
      </c>
      <c r="Q18" s="223">
        <f>IF('CF表（ご主人様働けない時）'!Q$3="","",'CF表（ご主人様働けない時）'!Q18/10000)</f>
        <v/>
      </c>
      <c r="R18" s="223">
        <f>IF('CF表（ご主人様働けない時）'!R$3="","",'CF表（ご主人様働けない時）'!R18/10000)</f>
        <v/>
      </c>
      <c r="S18" s="223">
        <f>IF('CF表（ご主人様働けない時）'!S$3="","",'CF表（ご主人様働けない時）'!S18/10000)</f>
        <v/>
      </c>
      <c r="T18" s="223">
        <f>IF('CF表（ご主人様働けない時）'!T$3="","",'CF表（ご主人様働けない時）'!T18/10000)</f>
        <v/>
      </c>
      <c r="U18" s="223">
        <f>IF('CF表（ご主人様働けない時）'!U$3="","",'CF表（ご主人様働けない時）'!U18/10000)</f>
        <v/>
      </c>
      <c r="V18" s="223">
        <f>IF('CF表（ご主人様働けない時）'!V$3="","",'CF表（ご主人様働けない時）'!V18/10000)</f>
        <v/>
      </c>
      <c r="W18" s="223">
        <f>IF('CF表（ご主人様働けない時）'!W$3="","",'CF表（ご主人様働けない時）'!W18/10000)</f>
        <v/>
      </c>
      <c r="X18" s="223">
        <f>IF('CF表（ご主人様働けない時）'!X$3="","",'CF表（ご主人様働けない時）'!X18/10000)</f>
        <v/>
      </c>
      <c r="Y18" s="223">
        <f>IF('CF表（ご主人様働けない時）'!Y$3="","",'CF表（ご主人様働けない時）'!Y18/10000)</f>
        <v/>
      </c>
      <c r="Z18" s="223">
        <f>IF('CF表（ご主人様働けない時）'!Z$3="","",'CF表（ご主人様働けない時）'!Z18/10000)</f>
        <v/>
      </c>
      <c r="AA18" s="223">
        <f>IF('CF表（ご主人様働けない時）'!AA$3="","",'CF表（ご主人様働けない時）'!AA18/10000)</f>
        <v/>
      </c>
      <c r="AB18" s="223">
        <f>IF('CF表（ご主人様働けない時）'!AB$3="","",'CF表（ご主人様働けない時）'!AB18/10000)</f>
        <v/>
      </c>
      <c r="AC18" s="223">
        <f>IF('CF表（ご主人様働けない時）'!AC$3="","",'CF表（ご主人様働けない時）'!AC18/10000)</f>
        <v/>
      </c>
      <c r="AD18" s="223">
        <f>IF('CF表（ご主人様働けない時）'!AD$3="","",'CF表（ご主人様働けない時）'!AD18/10000)</f>
        <v/>
      </c>
      <c r="AE18" s="223">
        <f>IF('CF表（ご主人様働けない時）'!AE$3="","",'CF表（ご主人様働けない時）'!AE18/10000)</f>
        <v/>
      </c>
      <c r="AF18" s="223">
        <f>IF('CF表（ご主人様働けない時）'!AF$3="","",'CF表（ご主人様働けない時）'!AF18/10000)</f>
        <v/>
      </c>
      <c r="AG18" s="223">
        <f>IF('CF表（ご主人様働けない時）'!AG$3="","",'CF表（ご主人様働けない時）'!AG18/10000)</f>
        <v/>
      </c>
      <c r="AH18" s="223">
        <f>IF('CF表（ご主人様働けない時）'!AH$3="","",'CF表（ご主人様働けない時）'!AH18/10000)</f>
        <v/>
      </c>
      <c r="AI18" s="223">
        <f>IF('CF表（ご主人様働けない時）'!AI$3="","",'CF表（ご主人様働けない時）'!AI18/10000)</f>
        <v/>
      </c>
      <c r="AJ18" s="223">
        <f>IF('CF表（ご主人様働けない時）'!AJ$3="","",'CF表（ご主人様働けない時）'!AJ18/10000)</f>
        <v/>
      </c>
      <c r="AK18" s="223">
        <f>IF('CF表（ご主人様働けない時）'!AK$3="","",'CF表（ご主人様働けない時）'!AK18/10000)</f>
        <v/>
      </c>
      <c r="AL18" s="223">
        <f>IF('CF表（ご主人様働けない時）'!AL$3="","",'CF表（ご主人様働けない時）'!AL18/10000)</f>
        <v/>
      </c>
      <c r="AM18" s="223">
        <f>IF('CF表（ご主人様働けない時）'!AM$3="","",'CF表（ご主人様働けない時）'!AM18/10000)</f>
        <v/>
      </c>
      <c r="AN18" s="223">
        <f>IF('CF表（ご主人様働けない時）'!AN$3="","",'CF表（ご主人様働けない時）'!AN18/10000)</f>
        <v/>
      </c>
      <c r="AO18" s="223">
        <f>IF('CF表（ご主人様働けない時）'!AO$3="","",'CF表（ご主人様働けない時）'!AO18/10000)</f>
        <v/>
      </c>
      <c r="AP18" s="223">
        <f>IF('CF表（ご主人様働けない時）'!AP$3="","",'CF表（ご主人様働けない時）'!AP18/10000)</f>
        <v/>
      </c>
      <c r="AQ18" s="223">
        <f>IF('CF表（ご主人様働けない時）'!AQ$3="","",'CF表（ご主人様働けない時）'!AQ18/10000)</f>
        <v/>
      </c>
      <c r="AR18" s="223">
        <f>IF('CF表（ご主人様働けない時）'!AR$3="","",'CF表（ご主人様働けない時）'!AR18/10000)</f>
        <v/>
      </c>
      <c r="AS18" s="223">
        <f>IF('CF表（ご主人様働けない時）'!AS$3="","",'CF表（ご主人様働けない時）'!AS18/10000)</f>
        <v/>
      </c>
      <c r="AT18" s="223">
        <f>IF('CF表（ご主人様働けない時）'!AT$3="","",'CF表（ご主人様働けない時）'!AT18/10000)</f>
        <v/>
      </c>
      <c r="AU18" s="223">
        <f>IF('CF表（ご主人様働けない時）'!AU$3="","",'CF表（ご主人様働けない時）'!AU18/10000)</f>
        <v/>
      </c>
      <c r="AV18" s="223">
        <f>IF('CF表（ご主人様働けない時）'!AV$3="","",'CF表（ご主人様働けない時）'!AV18/10000)</f>
        <v/>
      </c>
      <c r="AW18" s="223">
        <f>IF('CF表（ご主人様働けない時）'!AW$3="","",'CF表（ご主人様働けない時）'!AW18/10000)</f>
        <v/>
      </c>
      <c r="AX18" s="223">
        <f>IF('CF表（ご主人様働けない時）'!AX$3="","",'CF表（ご主人様働けない時）'!AX18/10000)</f>
        <v/>
      </c>
      <c r="AY18" s="223">
        <f>IF('CF表（ご主人様働けない時）'!AY$3="","",'CF表（ご主人様働けない時）'!AY18/10000)</f>
        <v/>
      </c>
      <c r="AZ18" s="223">
        <f>IF('CF表（ご主人様働けない時）'!AZ$3="","",'CF表（ご主人様働けない時）'!AZ18/10000)</f>
        <v/>
      </c>
      <c r="BA18" s="223">
        <f>IF('CF表（ご主人様働けない時）'!BA$3="","",'CF表（ご主人様働けない時）'!BA18/10000)</f>
        <v/>
      </c>
      <c r="BB18" s="223">
        <f>IF('CF表（ご主人様働けない時）'!BB$3="","",'CF表（ご主人様働けない時）'!BB18/10000)</f>
        <v/>
      </c>
      <c r="BC18" s="223">
        <f>IF('CF表（ご主人様働けない時）'!BC$3="","",'CF表（ご主人様働けない時）'!BC18/10000)</f>
        <v/>
      </c>
      <c r="BD18" s="223">
        <f>IF('CF表（ご主人様働けない時）'!BD$3="","",'CF表（ご主人様働けない時）'!BD18/10000)</f>
        <v/>
      </c>
      <c r="BE18" s="223">
        <f>IF('CF表（ご主人様働けない時）'!BE$3="","",'CF表（ご主人様働けない時）'!BE18/10000)</f>
        <v/>
      </c>
      <c r="BF18" s="223">
        <f>IF('CF表（ご主人様働けない時）'!BF$3="","",'CF表（ご主人様働けない時）'!BF18/10000)</f>
        <v/>
      </c>
      <c r="BG18" s="223">
        <f>IF('CF表（ご主人様働けない時）'!BG$3="","",'CF表（ご主人様働けない時）'!BG18/10000)</f>
        <v/>
      </c>
      <c r="BH18" s="223">
        <f>IF('CF表（ご主人様働けない時）'!BH$3="","",'CF表（ご主人様働けない時）'!BH18/10000)</f>
        <v/>
      </c>
      <c r="BI18" s="223">
        <f>IF('CF表（ご主人様働けない時）'!BI$3="","",'CF表（ご主人様働けない時）'!BI18/10000)</f>
        <v/>
      </c>
      <c r="BJ18" s="223">
        <f>IF('CF表（ご主人様働けない時）'!BJ$3="","",'CF表（ご主人様働けない時）'!BJ18/10000)</f>
        <v/>
      </c>
      <c r="BK18" s="223">
        <f>IF('CF表（ご主人様働けない時）'!BK$3="","",'CF表（ご主人様働けない時）'!BK18/10000)</f>
        <v/>
      </c>
      <c r="BL18" s="223">
        <f>IF('CF表（ご主人様働けない時）'!BL$3="","",'CF表（ご主人様働けない時）'!BL18/10000)</f>
        <v/>
      </c>
      <c r="BM18" s="223">
        <f>IF('CF表（ご主人様働けない時）'!BM$3="","",'CF表（ご主人様働けない時）'!BM18/10000)</f>
        <v/>
      </c>
      <c r="BN18" s="223">
        <f>IF('CF表（ご主人様働けない時）'!BN$3="","",'CF表（ご主人様働けない時）'!BN18/10000)</f>
        <v/>
      </c>
      <c r="BO18" s="223">
        <f>IF('CF表（ご主人様働けない時）'!BO$3="","",'CF表（ご主人様働けない時）'!BO18/10000)</f>
        <v/>
      </c>
      <c r="BP18" s="223">
        <f>IF('CF表（ご主人様働けない時）'!BP$3="","",'CF表（ご主人様働けない時）'!BP18/10000)</f>
        <v/>
      </c>
      <c r="BQ18" s="223">
        <f>IF('CF表（ご主人様働けない時）'!BQ$3="","",'CF表（ご主人様働けない時）'!BQ18/10000)</f>
        <v/>
      </c>
      <c r="BR18" s="223">
        <f>IF('CF表（ご主人様働けない時）'!BR$3="","",'CF表（ご主人様働けない時）'!BR18/10000)</f>
        <v/>
      </c>
      <c r="BS18" s="223">
        <f>IF('CF表（ご主人様働けない時）'!BS$3="","",'CF表（ご主人様働けない時）'!BS18/10000)</f>
        <v/>
      </c>
      <c r="BT18" s="223">
        <f>IF('CF表（ご主人様働けない時）'!BT$3="","",'CF表（ご主人様働けない時）'!BT18/10000)</f>
        <v/>
      </c>
      <c r="BU18" s="223">
        <f>IF('CF表（ご主人様働けない時）'!BU$3="","",'CF表（ご主人様働けない時）'!BU18/10000)</f>
        <v/>
      </c>
      <c r="BV18" s="223">
        <f>IF('CF表（ご主人様働けない時）'!BV$3="","",'CF表（ご主人様働けない時）'!BV18/10000)</f>
        <v/>
      </c>
      <c r="BW18" s="223">
        <f>IF('CF表（ご主人様働けない時）'!BW$3="","",'CF表（ご主人様働けない時）'!BW18/10000)</f>
        <v/>
      </c>
      <c r="BX18" s="223">
        <f>IF('CF表（ご主人様働けない時）'!BX$3="","",'CF表（ご主人様働けない時）'!BX18/10000)</f>
        <v/>
      </c>
      <c r="BY18" s="223">
        <f>IF('CF表（ご主人様働けない時）'!BY$3="","",'CF表（ご主人様働けない時）'!BY18/10000)</f>
        <v/>
      </c>
      <c r="BZ18" s="223">
        <f>IF('CF表（ご主人様働けない時）'!BZ$3="","",'CF表（ご主人様働けない時）'!BZ18/10000)</f>
        <v/>
      </c>
      <c r="CA18" s="223">
        <f>IF('CF表（ご主人様働けない時）'!CA$3="","",'CF表（ご主人様働けない時）'!CA18/10000)</f>
        <v/>
      </c>
      <c r="CB18" s="223">
        <f>IF('CF表（ご主人様働けない時）'!CB$3="","",'CF表（ご主人様働けない時）'!CB18/10000)</f>
        <v/>
      </c>
      <c r="CC18" s="223">
        <f>IF('CF表（ご主人様働けない時）'!CC$3="","",'CF表（ご主人様働けない時）'!CC18/10000)</f>
        <v/>
      </c>
      <c r="CD18" s="223">
        <f>IF('CF表（ご主人様働けない時）'!CD$3="","",'CF表（ご主人様働けない時）'!CD18/10000)</f>
        <v/>
      </c>
      <c r="CE18" s="223">
        <f>IF('CF表（ご主人様働けない時）'!CE$3="","",'CF表（ご主人様働けない時）'!CE18/10000)</f>
        <v/>
      </c>
      <c r="CF18" s="223">
        <f>IF('CF表（ご主人様働けない時）'!CF$3="","",'CF表（ご主人様働けない時）'!CF18/10000)</f>
        <v/>
      </c>
      <c r="CG18" s="223">
        <f>IF('CF表（ご主人様働けない時）'!CG$3="","",'CF表（ご主人様働けない時）'!CG18/10000)</f>
        <v/>
      </c>
      <c r="CH18" s="223">
        <f>IF('CF表（ご主人様働けない時）'!CH$3="","",'CF表（ご主人様働けない時）'!CH18/10000)</f>
        <v/>
      </c>
      <c r="CI18" s="223">
        <f>IF('CF表（ご主人様働けない時）'!CI$3="","",'CF表（ご主人様働けない時）'!CI18/10000)</f>
        <v/>
      </c>
      <c r="CJ18" s="223">
        <f>IF('CF表（ご主人様働けない時）'!CJ$3="","",'CF表（ご主人様働けない時）'!CJ18/10000)</f>
        <v/>
      </c>
      <c r="CK18" s="223">
        <f>IF('CF表（ご主人様働けない時）'!CK$3="","",'CF表（ご主人様働けない時）'!CK18/10000)</f>
        <v/>
      </c>
      <c r="CL18" s="223">
        <f>IF('CF表（ご主人様働けない時）'!CL$3="","",'CF表（ご主人様働けない時）'!CL18/10000)</f>
        <v/>
      </c>
      <c r="CM18" s="223">
        <f>IF('CF表（ご主人様働けない時）'!CM$3="","",'CF表（ご主人様働けない時）'!CM18/10000)</f>
        <v/>
      </c>
      <c r="CN18" s="223">
        <f>IF('CF表（ご主人様働けない時）'!CN$3="","",'CF表（ご主人様働けない時）'!CN18/10000)</f>
        <v/>
      </c>
      <c r="CO18" s="223">
        <f>IF('CF表（ご主人様働けない時）'!CO$3="","",'CF表（ご主人様働けない時）'!CO18/10000)</f>
        <v/>
      </c>
      <c r="CP18" s="223">
        <f>IF('CF表（ご主人様働けない時）'!CP$3="","",'CF表（ご主人様働けない時）'!CP18/10000)</f>
        <v/>
      </c>
      <c r="CQ18" s="223">
        <f>IF('CF表（ご主人様働けない時）'!CQ$3="","",'CF表（ご主人様働けない時）'!CQ18/10000)</f>
        <v/>
      </c>
      <c r="CR18" s="223">
        <f>IF('CF表（ご主人様働けない時）'!CR$3="","",'CF表（ご主人様働けない時）'!CR18/10000)</f>
        <v/>
      </c>
      <c r="CS18" s="223">
        <f>IF('CF表（ご主人様働けない時）'!CS$3="","",'CF表（ご主人様働けない時）'!CS18/10000)</f>
        <v/>
      </c>
      <c r="CT18" s="223">
        <f>IF('CF表（ご主人様働けない時）'!CT$3="","",'CF表（ご主人様働けない時）'!CT18/10000)</f>
        <v/>
      </c>
      <c r="CU18" s="223">
        <f>IF('CF表（ご主人様働けない時）'!CU$3="","",'CF表（ご主人様働けない時）'!CU18/10000)</f>
        <v/>
      </c>
      <c r="CV18" s="223">
        <f>IF('CF表（ご主人様働けない時）'!CV$3="","",'CF表（ご主人様働けない時）'!CV18/10000)</f>
        <v/>
      </c>
      <c r="CW18" s="223">
        <f>IF('CF表（ご主人様働けない時）'!CW$3="","",'CF表（ご主人様働けない時）'!CW18/10000)</f>
        <v/>
      </c>
    </row>
    <row r="19" ht="15" customHeight="1" s="180">
      <c r="A19" s="205" t="inlineStr">
        <is>
          <t>収入</t>
        </is>
      </c>
      <c r="B19" s="219" t="n"/>
      <c r="C19" s="219" t="n"/>
      <c r="D19" s="219" t="n"/>
      <c r="E19" s="219" t="n"/>
      <c r="F19" s="219" t="n"/>
      <c r="G19" s="219" t="n"/>
      <c r="H19" s="219" t="n"/>
      <c r="I19" s="219" t="n"/>
      <c r="J19" s="219" t="n"/>
      <c r="K19" s="219" t="n"/>
      <c r="L19" s="219" t="n"/>
      <c r="M19" s="219" t="n"/>
      <c r="N19" s="219" t="n"/>
      <c r="O19" s="219" t="n"/>
      <c r="P19" s="219" t="n"/>
      <c r="Q19" s="219" t="n"/>
      <c r="R19" s="219" t="n"/>
      <c r="S19" s="219" t="n"/>
      <c r="T19" s="219" t="n"/>
      <c r="U19" s="219" t="n"/>
      <c r="V19" s="219" t="n"/>
      <c r="W19" s="219" t="n"/>
      <c r="X19" s="219" t="n"/>
      <c r="Y19" s="219" t="n"/>
      <c r="Z19" s="219" t="n"/>
      <c r="AA19" s="219" t="n"/>
      <c r="AB19" s="219" t="n"/>
      <c r="AC19" s="219" t="n"/>
      <c r="AD19" s="219" t="n"/>
      <c r="AE19" s="219" t="n"/>
      <c r="AF19" s="219" t="n"/>
      <c r="AG19" s="219" t="n"/>
      <c r="AH19" s="219" t="n"/>
      <c r="AI19" s="219" t="n"/>
      <c r="AJ19" s="219" t="n"/>
      <c r="AK19" s="219" t="n"/>
      <c r="AL19" s="219" t="n"/>
      <c r="AM19" s="219" t="n"/>
      <c r="AN19" s="219" t="n"/>
      <c r="AO19" s="219" t="n"/>
      <c r="AP19" s="219" t="n"/>
      <c r="AQ19" s="219" t="n"/>
      <c r="AR19" s="219" t="n"/>
      <c r="AS19" s="219" t="n"/>
      <c r="AT19" s="219" t="n"/>
      <c r="AU19" s="219" t="n"/>
      <c r="AV19" s="219" t="n"/>
      <c r="AW19" s="219" t="n"/>
      <c r="AX19" s="219" t="n"/>
      <c r="AY19" s="219" t="n"/>
      <c r="AZ19" s="219" t="n"/>
      <c r="BA19" s="219" t="n"/>
      <c r="BB19" s="219" t="n"/>
      <c r="BC19" s="219" t="n"/>
      <c r="BD19" s="219" t="n"/>
      <c r="BE19" s="219" t="n"/>
      <c r="BF19" s="219" t="n"/>
      <c r="BG19" s="219" t="n"/>
      <c r="BH19" s="219" t="n"/>
      <c r="BI19" s="219" t="n"/>
      <c r="BJ19" s="219" t="n"/>
      <c r="BK19" s="219" t="n"/>
      <c r="BL19" s="219" t="n"/>
      <c r="BM19" s="219" t="n"/>
      <c r="BN19" s="219" t="n"/>
      <c r="BO19" s="219" t="n"/>
      <c r="BP19" s="219" t="n"/>
      <c r="BQ19" s="219" t="n"/>
      <c r="BR19" s="219" t="n"/>
      <c r="BS19" s="219" t="n"/>
      <c r="BT19" s="219" t="n"/>
      <c r="BU19" s="219" t="n"/>
      <c r="BV19" s="219" t="n"/>
      <c r="BW19" s="219" t="n"/>
      <c r="BX19" s="219" t="n"/>
      <c r="BY19" s="219" t="n"/>
      <c r="BZ19" s="219" t="n"/>
      <c r="CA19" s="219" t="n"/>
      <c r="CB19" s="219" t="n"/>
      <c r="CC19" s="219" t="n"/>
      <c r="CD19" s="219" t="n"/>
      <c r="CE19" s="219" t="n"/>
      <c r="CF19" s="219" t="n"/>
      <c r="CG19" s="219" t="n"/>
      <c r="CH19" s="219" t="n"/>
      <c r="CI19" s="219" t="n"/>
      <c r="CJ19" s="219" t="n"/>
      <c r="CK19" s="219" t="n"/>
      <c r="CL19" s="219" t="n"/>
      <c r="CM19" s="219" t="n"/>
      <c r="CN19" s="219" t="n"/>
      <c r="CO19" s="219" t="n"/>
      <c r="CP19" s="219" t="n"/>
      <c r="CQ19" s="219" t="n"/>
      <c r="CR19" s="219" t="n"/>
      <c r="CS19" s="219" t="n"/>
      <c r="CT19" s="219" t="n"/>
      <c r="CU19" s="219" t="n"/>
      <c r="CV19" s="219" t="n"/>
      <c r="CW19" s="219" t="n"/>
    </row>
    <row r="20" ht="15" customHeight="1" s="180">
      <c r="A20" s="224" t="inlineStr">
        <is>
          <t>基本生活費</t>
        </is>
      </c>
      <c r="B20" s="225">
        <f>IF('CF表（ご主人様働けない時）'!B$3="","",'CF表（ご主人様働けない時）'!B20/10000)</f>
        <v/>
      </c>
      <c r="C20" s="225">
        <f>IF('CF表（ご主人様働けない時）'!C$3="","",'CF表（ご主人様働けない時）'!C20/10000)</f>
        <v/>
      </c>
      <c r="D20" s="225">
        <f>IF('CF表（ご主人様働けない時）'!D$3="","",'CF表（ご主人様働けない時）'!D20/10000)</f>
        <v/>
      </c>
      <c r="E20" s="225">
        <f>IF('CF表（ご主人様働けない時）'!E$3="","",'CF表（ご主人様働けない時）'!E20/10000)</f>
        <v/>
      </c>
      <c r="F20" s="225">
        <f>IF('CF表（ご主人様働けない時）'!F$3="","",'CF表（ご主人様働けない時）'!F20/10000)</f>
        <v/>
      </c>
      <c r="G20" s="225">
        <f>IF('CF表（ご主人様働けない時）'!G$3="","",'CF表（ご主人様働けない時）'!G20/10000)</f>
        <v/>
      </c>
      <c r="H20" s="225">
        <f>IF('CF表（ご主人様働けない時）'!H$3="","",'CF表（ご主人様働けない時）'!H20/10000)</f>
        <v/>
      </c>
      <c r="I20" s="225">
        <f>IF('CF表（ご主人様働けない時）'!I$3="","",'CF表（ご主人様働けない時）'!I20/10000)</f>
        <v/>
      </c>
      <c r="J20" s="225">
        <f>IF('CF表（ご主人様働けない時）'!J$3="","",'CF表（ご主人様働けない時）'!J20/10000)</f>
        <v/>
      </c>
      <c r="K20" s="225">
        <f>IF('CF表（ご主人様働けない時）'!K$3="","",'CF表（ご主人様働けない時）'!K20/10000)</f>
        <v/>
      </c>
      <c r="L20" s="225">
        <f>IF('CF表（ご主人様働けない時）'!L$3="","",'CF表（ご主人様働けない時）'!L20/10000)</f>
        <v/>
      </c>
      <c r="M20" s="225">
        <f>IF('CF表（ご主人様働けない時）'!M$3="","",'CF表（ご主人様働けない時）'!M20/10000)</f>
        <v/>
      </c>
      <c r="N20" s="225">
        <f>IF('CF表（ご主人様働けない時）'!N$3="","",'CF表（ご主人様働けない時）'!N20/10000)</f>
        <v/>
      </c>
      <c r="O20" s="225">
        <f>IF('CF表（ご主人様働けない時）'!O$3="","",'CF表（ご主人様働けない時）'!O20/10000)</f>
        <v/>
      </c>
      <c r="P20" s="225">
        <f>IF('CF表（ご主人様働けない時）'!P$3="","",'CF表（ご主人様働けない時）'!P20/10000)</f>
        <v/>
      </c>
      <c r="Q20" s="225">
        <f>IF('CF表（ご主人様働けない時）'!Q$3="","",'CF表（ご主人様働けない時）'!Q20/10000)</f>
        <v/>
      </c>
      <c r="R20" s="225">
        <f>IF('CF表（ご主人様働けない時）'!R$3="","",'CF表（ご主人様働けない時）'!R20/10000)</f>
        <v/>
      </c>
      <c r="S20" s="225">
        <f>IF('CF表（ご主人様働けない時）'!S$3="","",'CF表（ご主人様働けない時）'!S20/10000)</f>
        <v/>
      </c>
      <c r="T20" s="225">
        <f>IF('CF表（ご主人様働けない時）'!T$3="","",'CF表（ご主人様働けない時）'!T20/10000)</f>
        <v/>
      </c>
      <c r="U20" s="225">
        <f>IF('CF表（ご主人様働けない時）'!U$3="","",'CF表（ご主人様働けない時）'!U20/10000)</f>
        <v/>
      </c>
      <c r="V20" s="225">
        <f>IF('CF表（ご主人様働けない時）'!V$3="","",'CF表（ご主人様働けない時）'!V20/10000)</f>
        <v/>
      </c>
      <c r="W20" s="225">
        <f>IF('CF表（ご主人様働けない時）'!W$3="","",'CF表（ご主人様働けない時）'!W20/10000)</f>
        <v/>
      </c>
      <c r="X20" s="225">
        <f>IF('CF表（ご主人様働けない時）'!X$3="","",'CF表（ご主人様働けない時）'!X20/10000)</f>
        <v/>
      </c>
      <c r="Y20" s="225">
        <f>IF('CF表（ご主人様働けない時）'!Y$3="","",'CF表（ご主人様働けない時）'!Y20/10000)</f>
        <v/>
      </c>
      <c r="Z20" s="225">
        <f>IF('CF表（ご主人様働けない時）'!Z$3="","",'CF表（ご主人様働けない時）'!Z20/10000)</f>
        <v/>
      </c>
      <c r="AA20" s="225">
        <f>IF('CF表（ご主人様働けない時）'!AA$3="","",'CF表（ご主人様働けない時）'!AA20/10000)</f>
        <v/>
      </c>
      <c r="AB20" s="225">
        <f>IF('CF表（ご主人様働けない時）'!AB$3="","",'CF表（ご主人様働けない時）'!AB20/10000)</f>
        <v/>
      </c>
      <c r="AC20" s="225">
        <f>IF('CF表（ご主人様働けない時）'!AC$3="","",'CF表（ご主人様働けない時）'!AC20/10000)</f>
        <v/>
      </c>
      <c r="AD20" s="225">
        <f>IF('CF表（ご主人様働けない時）'!AD$3="","",'CF表（ご主人様働けない時）'!AD20/10000)</f>
        <v/>
      </c>
      <c r="AE20" s="225">
        <f>IF('CF表（ご主人様働けない時）'!AE$3="","",'CF表（ご主人様働けない時）'!AE20/10000)</f>
        <v/>
      </c>
      <c r="AF20" s="225">
        <f>IF('CF表（ご主人様働けない時）'!AF$3="","",'CF表（ご主人様働けない時）'!AF20/10000)</f>
        <v/>
      </c>
      <c r="AG20" s="225">
        <f>IF('CF表（ご主人様働けない時）'!AG$3="","",'CF表（ご主人様働けない時）'!AG20/10000)</f>
        <v/>
      </c>
      <c r="AH20" s="225">
        <f>IF('CF表（ご主人様働けない時）'!AH$3="","",'CF表（ご主人様働けない時）'!AH20/10000)</f>
        <v/>
      </c>
      <c r="AI20" s="225">
        <f>IF('CF表（ご主人様働けない時）'!AI$3="","",'CF表（ご主人様働けない時）'!AI20/10000)</f>
        <v/>
      </c>
      <c r="AJ20" s="225">
        <f>IF('CF表（ご主人様働けない時）'!AJ$3="","",'CF表（ご主人様働けない時）'!AJ20/10000)</f>
        <v/>
      </c>
      <c r="AK20" s="225">
        <f>IF('CF表（ご主人様働けない時）'!AK$3="","",'CF表（ご主人様働けない時）'!AK20/10000)</f>
        <v/>
      </c>
      <c r="AL20" s="225">
        <f>IF('CF表（ご主人様働けない時）'!AL$3="","",'CF表（ご主人様働けない時）'!AL20/10000)</f>
        <v/>
      </c>
      <c r="AM20" s="225">
        <f>IF('CF表（ご主人様働けない時）'!AM$3="","",'CF表（ご主人様働けない時）'!AM20/10000)</f>
        <v/>
      </c>
      <c r="AN20" s="225">
        <f>IF('CF表（ご主人様働けない時）'!AN$3="","",'CF表（ご主人様働けない時）'!AN20/10000)</f>
        <v/>
      </c>
      <c r="AO20" s="225">
        <f>IF('CF表（ご主人様働けない時）'!AO$3="","",'CF表（ご主人様働けない時）'!AO20/10000)</f>
        <v/>
      </c>
      <c r="AP20" s="225">
        <f>IF('CF表（ご主人様働けない時）'!AP$3="","",'CF表（ご主人様働けない時）'!AP20/10000)</f>
        <v/>
      </c>
      <c r="AQ20" s="225">
        <f>IF('CF表（ご主人様働けない時）'!AQ$3="","",'CF表（ご主人様働けない時）'!AQ20/10000)</f>
        <v/>
      </c>
      <c r="AR20" s="225">
        <f>IF('CF表（ご主人様働けない時）'!AR$3="","",'CF表（ご主人様働けない時）'!AR20/10000)</f>
        <v/>
      </c>
      <c r="AS20" s="225">
        <f>IF('CF表（ご主人様働けない時）'!AS$3="","",'CF表（ご主人様働けない時）'!AS20/10000)</f>
        <v/>
      </c>
      <c r="AT20" s="225">
        <f>IF('CF表（ご主人様働けない時）'!AT$3="","",'CF表（ご主人様働けない時）'!AT20/10000)</f>
        <v/>
      </c>
      <c r="AU20" s="225">
        <f>IF('CF表（ご主人様働けない時）'!AU$3="","",'CF表（ご主人様働けない時）'!AU20/10000)</f>
        <v/>
      </c>
      <c r="AV20" s="225">
        <f>IF('CF表（ご主人様働けない時）'!AV$3="","",'CF表（ご主人様働けない時）'!AV20/10000)</f>
        <v/>
      </c>
      <c r="AW20" s="225">
        <f>IF('CF表（ご主人様働けない時）'!AW$3="","",'CF表（ご主人様働けない時）'!AW20/10000)</f>
        <v/>
      </c>
      <c r="AX20" s="225">
        <f>IF('CF表（ご主人様働けない時）'!AX$3="","",'CF表（ご主人様働けない時）'!AX20/10000)</f>
        <v/>
      </c>
      <c r="AY20" s="225">
        <f>IF('CF表（ご主人様働けない時）'!AY$3="","",'CF表（ご主人様働けない時）'!AY20/10000)</f>
        <v/>
      </c>
      <c r="AZ20" s="225">
        <f>IF('CF表（ご主人様働けない時）'!AZ$3="","",'CF表（ご主人様働けない時）'!AZ20/10000)</f>
        <v/>
      </c>
      <c r="BA20" s="225">
        <f>IF('CF表（ご主人様働けない時）'!BA$3="","",'CF表（ご主人様働けない時）'!BA20/10000)</f>
        <v/>
      </c>
      <c r="BB20" s="225">
        <f>IF('CF表（ご主人様働けない時）'!BB$3="","",'CF表（ご主人様働けない時）'!BB20/10000)</f>
        <v/>
      </c>
      <c r="BC20" s="225">
        <f>IF('CF表（ご主人様働けない時）'!BC$3="","",'CF表（ご主人様働けない時）'!BC20/10000)</f>
        <v/>
      </c>
      <c r="BD20" s="225">
        <f>IF('CF表（ご主人様働けない時）'!BD$3="","",'CF表（ご主人様働けない時）'!BD20/10000)</f>
        <v/>
      </c>
      <c r="BE20" s="225">
        <f>IF('CF表（ご主人様働けない時）'!BE$3="","",'CF表（ご主人様働けない時）'!BE20/10000)</f>
        <v/>
      </c>
      <c r="BF20" s="225">
        <f>IF('CF表（ご主人様働けない時）'!BF$3="","",'CF表（ご主人様働けない時）'!BF20/10000)</f>
        <v/>
      </c>
      <c r="BG20" s="225">
        <f>IF('CF表（ご主人様働けない時）'!BG$3="","",'CF表（ご主人様働けない時）'!BG20/10000)</f>
        <v/>
      </c>
      <c r="BH20" s="225">
        <f>IF('CF表（ご主人様働けない時）'!BH$3="","",'CF表（ご主人様働けない時）'!BH20/10000)</f>
        <v/>
      </c>
      <c r="BI20" s="225">
        <f>IF('CF表（ご主人様働けない時）'!BI$3="","",'CF表（ご主人様働けない時）'!BI20/10000)</f>
        <v/>
      </c>
      <c r="BJ20" s="225">
        <f>IF('CF表（ご主人様働けない時）'!BJ$3="","",'CF表（ご主人様働けない時）'!BJ20/10000)</f>
        <v/>
      </c>
      <c r="BK20" s="225">
        <f>IF('CF表（ご主人様働けない時）'!BK$3="","",'CF表（ご主人様働けない時）'!BK20/10000)</f>
        <v/>
      </c>
      <c r="BL20" s="225">
        <f>IF('CF表（ご主人様働けない時）'!BL$3="","",'CF表（ご主人様働けない時）'!BL20/10000)</f>
        <v/>
      </c>
      <c r="BM20" s="225">
        <f>IF('CF表（ご主人様働けない時）'!BM$3="","",'CF表（ご主人様働けない時）'!BM20/10000)</f>
        <v/>
      </c>
      <c r="BN20" s="225">
        <f>IF('CF表（ご主人様働けない時）'!BN$3="","",'CF表（ご主人様働けない時）'!BN20/10000)</f>
        <v/>
      </c>
      <c r="BO20" s="225">
        <f>IF('CF表（ご主人様働けない時）'!BO$3="","",'CF表（ご主人様働けない時）'!BO20/10000)</f>
        <v/>
      </c>
      <c r="BP20" s="225">
        <f>IF('CF表（ご主人様働けない時）'!BP$3="","",'CF表（ご主人様働けない時）'!BP20/10000)</f>
        <v/>
      </c>
      <c r="BQ20" s="225">
        <f>IF('CF表（ご主人様働けない時）'!BQ$3="","",'CF表（ご主人様働けない時）'!BQ20/10000)</f>
        <v/>
      </c>
      <c r="BR20" s="225">
        <f>IF('CF表（ご主人様働けない時）'!BR$3="","",'CF表（ご主人様働けない時）'!BR20/10000)</f>
        <v/>
      </c>
      <c r="BS20" s="225">
        <f>IF('CF表（ご主人様働けない時）'!BS$3="","",'CF表（ご主人様働けない時）'!BS20/10000)</f>
        <v/>
      </c>
      <c r="BT20" s="225">
        <f>IF('CF表（ご主人様働けない時）'!BT$3="","",'CF表（ご主人様働けない時）'!BT20/10000)</f>
        <v/>
      </c>
      <c r="BU20" s="225">
        <f>IF('CF表（ご主人様働けない時）'!BU$3="","",'CF表（ご主人様働けない時）'!BU20/10000)</f>
        <v/>
      </c>
      <c r="BV20" s="225">
        <f>IF('CF表（ご主人様働けない時）'!BV$3="","",'CF表（ご主人様働けない時）'!BV20/10000)</f>
        <v/>
      </c>
      <c r="BW20" s="225">
        <f>IF('CF表（ご主人様働けない時）'!BW$3="","",'CF表（ご主人様働けない時）'!BW20/10000)</f>
        <v/>
      </c>
      <c r="BX20" s="225">
        <f>IF('CF表（ご主人様働けない時）'!BX$3="","",'CF表（ご主人様働けない時）'!BX20/10000)</f>
        <v/>
      </c>
      <c r="BY20" s="225">
        <f>IF('CF表（ご主人様働けない時）'!BY$3="","",'CF表（ご主人様働けない時）'!BY20/10000)</f>
        <v/>
      </c>
      <c r="BZ20" s="225">
        <f>IF('CF表（ご主人様働けない時）'!BZ$3="","",'CF表（ご主人様働けない時）'!BZ20/10000)</f>
        <v/>
      </c>
      <c r="CA20" s="225">
        <f>IF('CF表（ご主人様働けない時）'!CA$3="","",'CF表（ご主人様働けない時）'!CA20/10000)</f>
        <v/>
      </c>
      <c r="CB20" s="225">
        <f>IF('CF表（ご主人様働けない時）'!CB$3="","",'CF表（ご主人様働けない時）'!CB20/10000)</f>
        <v/>
      </c>
      <c r="CC20" s="225">
        <f>IF('CF表（ご主人様働けない時）'!CC$3="","",'CF表（ご主人様働けない時）'!CC20/10000)</f>
        <v/>
      </c>
      <c r="CD20" s="225">
        <f>IF('CF表（ご主人様働けない時）'!CD$3="","",'CF表（ご主人様働けない時）'!CD20/10000)</f>
        <v/>
      </c>
      <c r="CE20" s="225">
        <f>IF('CF表（ご主人様働けない時）'!CE$3="","",'CF表（ご主人様働けない時）'!CE20/10000)</f>
        <v/>
      </c>
      <c r="CF20" s="225">
        <f>IF('CF表（ご主人様働けない時）'!CF$3="","",'CF表（ご主人様働けない時）'!CF20/10000)</f>
        <v/>
      </c>
      <c r="CG20" s="225">
        <f>IF('CF表（ご主人様働けない時）'!CG$3="","",'CF表（ご主人様働けない時）'!CG20/10000)</f>
        <v/>
      </c>
      <c r="CH20" s="225">
        <f>IF('CF表（ご主人様働けない時）'!CH$3="","",'CF表（ご主人様働けない時）'!CH20/10000)</f>
        <v/>
      </c>
      <c r="CI20" s="225">
        <f>IF('CF表（ご主人様働けない時）'!CI$3="","",'CF表（ご主人様働けない時）'!CI20/10000)</f>
        <v/>
      </c>
      <c r="CJ20" s="225">
        <f>IF('CF表（ご主人様働けない時）'!CJ$3="","",'CF表（ご主人様働けない時）'!CJ20/10000)</f>
        <v/>
      </c>
      <c r="CK20" s="225">
        <f>IF('CF表（ご主人様働けない時）'!CK$3="","",'CF表（ご主人様働けない時）'!CK20/10000)</f>
        <v/>
      </c>
      <c r="CL20" s="225">
        <f>IF('CF表（ご主人様働けない時）'!CL$3="","",'CF表（ご主人様働けない時）'!CL20/10000)</f>
        <v/>
      </c>
      <c r="CM20" s="225">
        <f>IF('CF表（ご主人様働けない時）'!CM$3="","",'CF表（ご主人様働けない時）'!CM20/10000)</f>
        <v/>
      </c>
      <c r="CN20" s="225">
        <f>IF('CF表（ご主人様働けない時）'!CN$3="","",'CF表（ご主人様働けない時）'!CN20/10000)</f>
        <v/>
      </c>
      <c r="CO20" s="225">
        <f>IF('CF表（ご主人様働けない時）'!CO$3="","",'CF表（ご主人様働けない時）'!CO20/10000)</f>
        <v/>
      </c>
      <c r="CP20" s="225">
        <f>IF('CF表（ご主人様働けない時）'!CP$3="","",'CF表（ご主人様働けない時）'!CP20/10000)</f>
        <v/>
      </c>
      <c r="CQ20" s="225">
        <f>IF('CF表（ご主人様働けない時）'!CQ$3="","",'CF表（ご主人様働けない時）'!CQ20/10000)</f>
        <v/>
      </c>
      <c r="CR20" s="225">
        <f>IF('CF表（ご主人様働けない時）'!CR$3="","",'CF表（ご主人様働けない時）'!CR20/10000)</f>
        <v/>
      </c>
      <c r="CS20" s="225">
        <f>IF('CF表（ご主人様働けない時）'!CS$3="","",'CF表（ご主人様働けない時）'!CS20/10000)</f>
        <v/>
      </c>
      <c r="CT20" s="225">
        <f>IF('CF表（ご主人様働けない時）'!CT$3="","",'CF表（ご主人様働けない時）'!CT20/10000)</f>
        <v/>
      </c>
      <c r="CU20" s="225">
        <f>IF('CF表（ご主人様働けない時）'!CU$3="","",'CF表（ご主人様働けない時）'!CU20/10000)</f>
        <v/>
      </c>
      <c r="CV20" s="225">
        <f>IF('CF表（ご主人様働けない時）'!CV$3="","",'CF表（ご主人様働けない時）'!CV20/10000)</f>
        <v/>
      </c>
      <c r="CW20" s="225">
        <f>IF('CF表（ご主人様働けない時）'!CW$3="","",'CF表（ご主人様働けない時）'!CW20/10000)</f>
        <v/>
      </c>
    </row>
    <row r="21" ht="15" customHeight="1" s="180">
      <c r="A21" s="224" t="inlineStr">
        <is>
          <t>住居費</t>
        </is>
      </c>
      <c r="B21" s="225">
        <f>IF('CF表（ご主人様働けない時）'!B$3="","",'CF表（ご主人様働けない時）'!B21/10000)</f>
        <v/>
      </c>
      <c r="C21" s="225">
        <f>IF('CF表（ご主人様働けない時）'!C$3="","",'CF表（ご主人様働けない時）'!C21/10000)</f>
        <v/>
      </c>
      <c r="D21" s="225">
        <f>IF('CF表（ご主人様働けない時）'!D$3="","",'CF表（ご主人様働けない時）'!D21/10000)</f>
        <v/>
      </c>
      <c r="E21" s="225">
        <f>IF('CF表（ご主人様働けない時）'!E$3="","",'CF表（ご主人様働けない時）'!E21/10000)</f>
        <v/>
      </c>
      <c r="F21" s="225">
        <f>IF('CF表（ご主人様働けない時）'!F$3="","",'CF表（ご主人様働けない時）'!F21/10000)</f>
        <v/>
      </c>
      <c r="G21" s="225">
        <f>IF('CF表（ご主人様働けない時）'!G$3="","",'CF表（ご主人様働けない時）'!G21/10000)</f>
        <v/>
      </c>
      <c r="H21" s="225">
        <f>IF('CF表（ご主人様働けない時）'!H$3="","",'CF表（ご主人様働けない時）'!H21/10000)</f>
        <v/>
      </c>
      <c r="I21" s="225">
        <f>IF('CF表（ご主人様働けない時）'!I$3="","",'CF表（ご主人様働けない時）'!I21/10000)</f>
        <v/>
      </c>
      <c r="J21" s="225">
        <f>IF('CF表（ご主人様働けない時）'!J$3="","",'CF表（ご主人様働けない時）'!J21/10000)</f>
        <v/>
      </c>
      <c r="K21" s="225">
        <f>IF('CF表（ご主人様働けない時）'!K$3="","",'CF表（ご主人様働けない時）'!K21/10000)</f>
        <v/>
      </c>
      <c r="L21" s="225">
        <f>IF('CF表（ご主人様働けない時）'!L$3="","",'CF表（ご主人様働けない時）'!L21/10000)</f>
        <v/>
      </c>
      <c r="M21" s="225">
        <f>IF('CF表（ご主人様働けない時）'!M$3="","",'CF表（ご主人様働けない時）'!M21/10000)</f>
        <v/>
      </c>
      <c r="N21" s="225">
        <f>IF('CF表（ご主人様働けない時）'!N$3="","",'CF表（ご主人様働けない時）'!N21/10000)</f>
        <v/>
      </c>
      <c r="O21" s="225">
        <f>IF('CF表（ご主人様働けない時）'!O$3="","",'CF表（ご主人様働けない時）'!O21/10000)</f>
        <v/>
      </c>
      <c r="P21" s="225">
        <f>IF('CF表（ご主人様働けない時）'!P$3="","",'CF表（ご主人様働けない時）'!P21/10000)</f>
        <v/>
      </c>
      <c r="Q21" s="225">
        <f>IF('CF表（ご主人様働けない時）'!Q$3="","",'CF表（ご主人様働けない時）'!Q21/10000)</f>
        <v/>
      </c>
      <c r="R21" s="225">
        <f>IF('CF表（ご主人様働けない時）'!R$3="","",'CF表（ご主人様働けない時）'!R21/10000)</f>
        <v/>
      </c>
      <c r="S21" s="225">
        <f>IF('CF表（ご主人様働けない時）'!S$3="","",'CF表（ご主人様働けない時）'!S21/10000)</f>
        <v/>
      </c>
      <c r="T21" s="225">
        <f>IF('CF表（ご主人様働けない時）'!T$3="","",'CF表（ご主人様働けない時）'!T21/10000)</f>
        <v/>
      </c>
      <c r="U21" s="225">
        <f>IF('CF表（ご主人様働けない時）'!U$3="","",'CF表（ご主人様働けない時）'!U21/10000)</f>
        <v/>
      </c>
      <c r="V21" s="225">
        <f>IF('CF表（ご主人様働けない時）'!V$3="","",'CF表（ご主人様働けない時）'!V21/10000)</f>
        <v/>
      </c>
      <c r="W21" s="225">
        <f>IF('CF表（ご主人様働けない時）'!W$3="","",'CF表（ご主人様働けない時）'!W21/10000)</f>
        <v/>
      </c>
      <c r="X21" s="225">
        <f>IF('CF表（ご主人様働けない時）'!X$3="","",'CF表（ご主人様働けない時）'!X21/10000)</f>
        <v/>
      </c>
      <c r="Y21" s="225">
        <f>IF('CF表（ご主人様働けない時）'!Y$3="","",'CF表（ご主人様働けない時）'!Y21/10000)</f>
        <v/>
      </c>
      <c r="Z21" s="225">
        <f>IF('CF表（ご主人様働けない時）'!Z$3="","",'CF表（ご主人様働けない時）'!Z21/10000)</f>
        <v/>
      </c>
      <c r="AA21" s="225">
        <f>IF('CF表（ご主人様働けない時）'!AA$3="","",'CF表（ご主人様働けない時）'!AA21/10000)</f>
        <v/>
      </c>
      <c r="AB21" s="225">
        <f>IF('CF表（ご主人様働けない時）'!AB$3="","",'CF表（ご主人様働けない時）'!AB21/10000)</f>
        <v/>
      </c>
      <c r="AC21" s="225">
        <f>IF('CF表（ご主人様働けない時）'!AC$3="","",'CF表（ご主人様働けない時）'!AC21/10000)</f>
        <v/>
      </c>
      <c r="AD21" s="225">
        <f>IF('CF表（ご主人様働けない時）'!AD$3="","",'CF表（ご主人様働けない時）'!AD21/10000)</f>
        <v/>
      </c>
      <c r="AE21" s="225">
        <f>IF('CF表（ご主人様働けない時）'!AE$3="","",'CF表（ご主人様働けない時）'!AE21/10000)</f>
        <v/>
      </c>
      <c r="AF21" s="225">
        <f>IF('CF表（ご主人様働けない時）'!AF$3="","",'CF表（ご主人様働けない時）'!AF21/10000)</f>
        <v/>
      </c>
      <c r="AG21" s="225">
        <f>IF('CF表（ご主人様働けない時）'!AG$3="","",'CF表（ご主人様働けない時）'!AG21/10000)</f>
        <v/>
      </c>
      <c r="AH21" s="225">
        <f>IF('CF表（ご主人様働けない時）'!AH$3="","",'CF表（ご主人様働けない時）'!AH21/10000)</f>
        <v/>
      </c>
      <c r="AI21" s="225">
        <f>IF('CF表（ご主人様働けない時）'!AI$3="","",'CF表（ご主人様働けない時）'!AI21/10000)</f>
        <v/>
      </c>
      <c r="AJ21" s="225">
        <f>IF('CF表（ご主人様働けない時）'!AJ$3="","",'CF表（ご主人様働けない時）'!AJ21/10000)</f>
        <v/>
      </c>
      <c r="AK21" s="225">
        <f>IF('CF表（ご主人様働けない時）'!AK$3="","",'CF表（ご主人様働けない時）'!AK21/10000)</f>
        <v/>
      </c>
      <c r="AL21" s="225">
        <f>IF('CF表（ご主人様働けない時）'!AL$3="","",'CF表（ご主人様働けない時）'!AL21/10000)</f>
        <v/>
      </c>
      <c r="AM21" s="225">
        <f>IF('CF表（ご主人様働けない時）'!AM$3="","",'CF表（ご主人様働けない時）'!AM21/10000)</f>
        <v/>
      </c>
      <c r="AN21" s="225">
        <f>IF('CF表（ご主人様働けない時）'!AN$3="","",'CF表（ご主人様働けない時）'!AN21/10000)</f>
        <v/>
      </c>
      <c r="AO21" s="225">
        <f>IF('CF表（ご主人様働けない時）'!AO$3="","",'CF表（ご主人様働けない時）'!AO21/10000)</f>
        <v/>
      </c>
      <c r="AP21" s="225">
        <f>IF('CF表（ご主人様働けない時）'!AP$3="","",'CF表（ご主人様働けない時）'!AP21/10000)</f>
        <v/>
      </c>
      <c r="AQ21" s="225">
        <f>IF('CF表（ご主人様働けない時）'!AQ$3="","",'CF表（ご主人様働けない時）'!AQ21/10000)</f>
        <v/>
      </c>
      <c r="AR21" s="225">
        <f>IF('CF表（ご主人様働けない時）'!AR$3="","",'CF表（ご主人様働けない時）'!AR21/10000)</f>
        <v/>
      </c>
      <c r="AS21" s="225">
        <f>IF('CF表（ご主人様働けない時）'!AS$3="","",'CF表（ご主人様働けない時）'!AS21/10000)</f>
        <v/>
      </c>
      <c r="AT21" s="225">
        <f>IF('CF表（ご主人様働けない時）'!AT$3="","",'CF表（ご主人様働けない時）'!AT21/10000)</f>
        <v/>
      </c>
      <c r="AU21" s="225">
        <f>IF('CF表（ご主人様働けない時）'!AU$3="","",'CF表（ご主人様働けない時）'!AU21/10000)</f>
        <v/>
      </c>
      <c r="AV21" s="225">
        <f>IF('CF表（ご主人様働けない時）'!AV$3="","",'CF表（ご主人様働けない時）'!AV21/10000)</f>
        <v/>
      </c>
      <c r="AW21" s="225">
        <f>IF('CF表（ご主人様働けない時）'!AW$3="","",'CF表（ご主人様働けない時）'!AW21/10000)</f>
        <v/>
      </c>
      <c r="AX21" s="225">
        <f>IF('CF表（ご主人様働けない時）'!AX$3="","",'CF表（ご主人様働けない時）'!AX21/10000)</f>
        <v/>
      </c>
      <c r="AY21" s="225">
        <f>IF('CF表（ご主人様働けない時）'!AY$3="","",'CF表（ご主人様働けない時）'!AY21/10000)</f>
        <v/>
      </c>
      <c r="AZ21" s="225">
        <f>IF('CF表（ご主人様働けない時）'!AZ$3="","",'CF表（ご主人様働けない時）'!AZ21/10000)</f>
        <v/>
      </c>
      <c r="BA21" s="225">
        <f>IF('CF表（ご主人様働けない時）'!BA$3="","",'CF表（ご主人様働けない時）'!BA21/10000)</f>
        <v/>
      </c>
      <c r="BB21" s="225">
        <f>IF('CF表（ご主人様働けない時）'!BB$3="","",'CF表（ご主人様働けない時）'!BB21/10000)</f>
        <v/>
      </c>
      <c r="BC21" s="225">
        <f>IF('CF表（ご主人様働けない時）'!BC$3="","",'CF表（ご主人様働けない時）'!BC21/10000)</f>
        <v/>
      </c>
      <c r="BD21" s="225">
        <f>IF('CF表（ご主人様働けない時）'!BD$3="","",'CF表（ご主人様働けない時）'!BD21/10000)</f>
        <v/>
      </c>
      <c r="BE21" s="225">
        <f>IF('CF表（ご主人様働けない時）'!BE$3="","",'CF表（ご主人様働けない時）'!BE21/10000)</f>
        <v/>
      </c>
      <c r="BF21" s="225">
        <f>IF('CF表（ご主人様働けない時）'!BF$3="","",'CF表（ご主人様働けない時）'!BF21/10000)</f>
        <v/>
      </c>
      <c r="BG21" s="225">
        <f>IF('CF表（ご主人様働けない時）'!BG$3="","",'CF表（ご主人様働けない時）'!BG21/10000)</f>
        <v/>
      </c>
      <c r="BH21" s="225">
        <f>IF('CF表（ご主人様働けない時）'!BH$3="","",'CF表（ご主人様働けない時）'!BH21/10000)</f>
        <v/>
      </c>
      <c r="BI21" s="225">
        <f>IF('CF表（ご主人様働けない時）'!BI$3="","",'CF表（ご主人様働けない時）'!BI21/10000)</f>
        <v/>
      </c>
      <c r="BJ21" s="225">
        <f>IF('CF表（ご主人様働けない時）'!BJ$3="","",'CF表（ご主人様働けない時）'!BJ21/10000)</f>
        <v/>
      </c>
      <c r="BK21" s="225">
        <f>IF('CF表（ご主人様働けない時）'!BK$3="","",'CF表（ご主人様働けない時）'!BK21/10000)</f>
        <v/>
      </c>
      <c r="BL21" s="225">
        <f>IF('CF表（ご主人様働けない時）'!BL$3="","",'CF表（ご主人様働けない時）'!BL21/10000)</f>
        <v/>
      </c>
      <c r="BM21" s="225">
        <f>IF('CF表（ご主人様働けない時）'!BM$3="","",'CF表（ご主人様働けない時）'!BM21/10000)</f>
        <v/>
      </c>
      <c r="BN21" s="225">
        <f>IF('CF表（ご主人様働けない時）'!BN$3="","",'CF表（ご主人様働けない時）'!BN21/10000)</f>
        <v/>
      </c>
      <c r="BO21" s="225">
        <f>IF('CF表（ご主人様働けない時）'!BO$3="","",'CF表（ご主人様働けない時）'!BO21/10000)</f>
        <v/>
      </c>
      <c r="BP21" s="225">
        <f>IF('CF表（ご主人様働けない時）'!BP$3="","",'CF表（ご主人様働けない時）'!BP21/10000)</f>
        <v/>
      </c>
      <c r="BQ21" s="225">
        <f>IF('CF表（ご主人様働けない時）'!BQ$3="","",'CF表（ご主人様働けない時）'!BQ21/10000)</f>
        <v/>
      </c>
      <c r="BR21" s="225">
        <f>IF('CF表（ご主人様働けない時）'!BR$3="","",'CF表（ご主人様働けない時）'!BR21/10000)</f>
        <v/>
      </c>
      <c r="BS21" s="225">
        <f>IF('CF表（ご主人様働けない時）'!BS$3="","",'CF表（ご主人様働けない時）'!BS21/10000)</f>
        <v/>
      </c>
      <c r="BT21" s="225">
        <f>IF('CF表（ご主人様働けない時）'!BT$3="","",'CF表（ご主人様働けない時）'!BT21/10000)</f>
        <v/>
      </c>
      <c r="BU21" s="225">
        <f>IF('CF表（ご主人様働けない時）'!BU$3="","",'CF表（ご主人様働けない時）'!BU21/10000)</f>
        <v/>
      </c>
      <c r="BV21" s="225">
        <f>IF('CF表（ご主人様働けない時）'!BV$3="","",'CF表（ご主人様働けない時）'!BV21/10000)</f>
        <v/>
      </c>
      <c r="BW21" s="225">
        <f>IF('CF表（ご主人様働けない時）'!BW$3="","",'CF表（ご主人様働けない時）'!BW21/10000)</f>
        <v/>
      </c>
      <c r="BX21" s="225">
        <f>IF('CF表（ご主人様働けない時）'!BX$3="","",'CF表（ご主人様働けない時）'!BX21/10000)</f>
        <v/>
      </c>
      <c r="BY21" s="225">
        <f>IF('CF表（ご主人様働けない時）'!BY$3="","",'CF表（ご主人様働けない時）'!BY21/10000)</f>
        <v/>
      </c>
      <c r="BZ21" s="225">
        <f>IF('CF表（ご主人様働けない時）'!BZ$3="","",'CF表（ご主人様働けない時）'!BZ21/10000)</f>
        <v/>
      </c>
      <c r="CA21" s="225">
        <f>IF('CF表（ご主人様働けない時）'!CA$3="","",'CF表（ご主人様働けない時）'!CA21/10000)</f>
        <v/>
      </c>
      <c r="CB21" s="225">
        <f>IF('CF表（ご主人様働けない時）'!CB$3="","",'CF表（ご主人様働けない時）'!CB21/10000)</f>
        <v/>
      </c>
      <c r="CC21" s="225">
        <f>IF('CF表（ご主人様働けない時）'!CC$3="","",'CF表（ご主人様働けない時）'!CC21/10000)</f>
        <v/>
      </c>
      <c r="CD21" s="225">
        <f>IF('CF表（ご主人様働けない時）'!CD$3="","",'CF表（ご主人様働けない時）'!CD21/10000)</f>
        <v/>
      </c>
      <c r="CE21" s="225">
        <f>IF('CF表（ご主人様働けない時）'!CE$3="","",'CF表（ご主人様働けない時）'!CE21/10000)</f>
        <v/>
      </c>
      <c r="CF21" s="225">
        <f>IF('CF表（ご主人様働けない時）'!CF$3="","",'CF表（ご主人様働けない時）'!CF21/10000)</f>
        <v/>
      </c>
      <c r="CG21" s="225">
        <f>IF('CF表（ご主人様働けない時）'!CG$3="","",'CF表（ご主人様働けない時）'!CG21/10000)</f>
        <v/>
      </c>
      <c r="CH21" s="225">
        <f>IF('CF表（ご主人様働けない時）'!CH$3="","",'CF表（ご主人様働けない時）'!CH21/10000)</f>
        <v/>
      </c>
      <c r="CI21" s="225">
        <f>IF('CF表（ご主人様働けない時）'!CI$3="","",'CF表（ご主人様働けない時）'!CI21/10000)</f>
        <v/>
      </c>
      <c r="CJ21" s="225">
        <f>IF('CF表（ご主人様働けない時）'!CJ$3="","",'CF表（ご主人様働けない時）'!CJ21/10000)</f>
        <v/>
      </c>
      <c r="CK21" s="225">
        <f>IF('CF表（ご主人様働けない時）'!CK$3="","",'CF表（ご主人様働けない時）'!CK21/10000)</f>
        <v/>
      </c>
      <c r="CL21" s="225">
        <f>IF('CF表（ご主人様働けない時）'!CL$3="","",'CF表（ご主人様働けない時）'!CL21/10000)</f>
        <v/>
      </c>
      <c r="CM21" s="225">
        <f>IF('CF表（ご主人様働けない時）'!CM$3="","",'CF表（ご主人様働けない時）'!CM21/10000)</f>
        <v/>
      </c>
      <c r="CN21" s="225">
        <f>IF('CF表（ご主人様働けない時）'!CN$3="","",'CF表（ご主人様働けない時）'!CN21/10000)</f>
        <v/>
      </c>
      <c r="CO21" s="225">
        <f>IF('CF表（ご主人様働けない時）'!CO$3="","",'CF表（ご主人様働けない時）'!CO21/10000)</f>
        <v/>
      </c>
      <c r="CP21" s="225">
        <f>IF('CF表（ご主人様働けない時）'!CP$3="","",'CF表（ご主人様働けない時）'!CP21/10000)</f>
        <v/>
      </c>
      <c r="CQ21" s="225">
        <f>IF('CF表（ご主人様働けない時）'!CQ$3="","",'CF表（ご主人様働けない時）'!CQ21/10000)</f>
        <v/>
      </c>
      <c r="CR21" s="225">
        <f>IF('CF表（ご主人様働けない時）'!CR$3="","",'CF表（ご主人様働けない時）'!CR21/10000)</f>
        <v/>
      </c>
      <c r="CS21" s="225">
        <f>IF('CF表（ご主人様働けない時）'!CS$3="","",'CF表（ご主人様働けない時）'!CS21/10000)</f>
        <v/>
      </c>
      <c r="CT21" s="225">
        <f>IF('CF表（ご主人様働けない時）'!CT$3="","",'CF表（ご主人様働けない時）'!CT21/10000)</f>
        <v/>
      </c>
      <c r="CU21" s="225">
        <f>IF('CF表（ご主人様働けない時）'!CU$3="","",'CF表（ご主人様働けない時）'!CU21/10000)</f>
        <v/>
      </c>
      <c r="CV21" s="225">
        <f>IF('CF表（ご主人様働けない時）'!CV$3="","",'CF表（ご主人様働けない時）'!CV21/10000)</f>
        <v/>
      </c>
      <c r="CW21" s="225">
        <f>IF('CF表（ご主人様働けない時）'!CW$3="","",'CF表（ご主人様働けない時）'!CW21/10000)</f>
        <v/>
      </c>
    </row>
    <row r="22" ht="15" customHeight="1" s="180">
      <c r="A22" s="224" t="inlineStr">
        <is>
          <t>終身系保険料</t>
        </is>
      </c>
      <c r="B22" s="225">
        <f>IF('CF表（ご主人様働けない時）'!B$3="","",'CF表（ご主人様働けない時）'!B22/10000)</f>
        <v/>
      </c>
      <c r="C22" s="225">
        <f>IF('CF表（ご主人様働けない時）'!C$3="","",'CF表（ご主人様働けない時）'!C22/10000)</f>
        <v/>
      </c>
      <c r="D22" s="225">
        <f>IF('CF表（ご主人様働けない時）'!D$3="","",'CF表（ご主人様働けない時）'!D22/10000)</f>
        <v/>
      </c>
      <c r="E22" s="225">
        <f>IF('CF表（ご主人様働けない時）'!E$3="","",'CF表（ご主人様働けない時）'!E22/10000)</f>
        <v/>
      </c>
      <c r="F22" s="225">
        <f>IF('CF表（ご主人様働けない時）'!F$3="","",'CF表（ご主人様働けない時）'!F22/10000)</f>
        <v/>
      </c>
      <c r="G22" s="225">
        <f>IF('CF表（ご主人様働けない時）'!G$3="","",'CF表（ご主人様働けない時）'!G22/10000)</f>
        <v/>
      </c>
      <c r="H22" s="225">
        <f>IF('CF表（ご主人様働けない時）'!H$3="","",'CF表（ご主人様働けない時）'!H22/10000)</f>
        <v/>
      </c>
      <c r="I22" s="225">
        <f>IF('CF表（ご主人様働けない時）'!I$3="","",'CF表（ご主人様働けない時）'!I22/10000)</f>
        <v/>
      </c>
      <c r="J22" s="225">
        <f>IF('CF表（ご主人様働けない時）'!J$3="","",'CF表（ご主人様働けない時）'!J22/10000)</f>
        <v/>
      </c>
      <c r="K22" s="225">
        <f>IF('CF表（ご主人様働けない時）'!K$3="","",'CF表（ご主人様働けない時）'!K22/10000)</f>
        <v/>
      </c>
      <c r="L22" s="225">
        <f>IF('CF表（ご主人様働けない時）'!L$3="","",'CF表（ご主人様働けない時）'!L22/10000)</f>
        <v/>
      </c>
      <c r="M22" s="225">
        <f>IF('CF表（ご主人様働けない時）'!M$3="","",'CF表（ご主人様働けない時）'!M22/10000)</f>
        <v/>
      </c>
      <c r="N22" s="225">
        <f>IF('CF表（ご主人様働けない時）'!N$3="","",'CF表（ご主人様働けない時）'!N22/10000)</f>
        <v/>
      </c>
      <c r="O22" s="225">
        <f>IF('CF表（ご主人様働けない時）'!O$3="","",'CF表（ご主人様働けない時）'!O22/10000)</f>
        <v/>
      </c>
      <c r="P22" s="225">
        <f>IF('CF表（ご主人様働けない時）'!P$3="","",'CF表（ご主人様働けない時）'!P22/10000)</f>
        <v/>
      </c>
      <c r="Q22" s="225">
        <f>IF('CF表（ご主人様働けない時）'!Q$3="","",'CF表（ご主人様働けない時）'!Q22/10000)</f>
        <v/>
      </c>
      <c r="R22" s="225">
        <f>IF('CF表（ご主人様働けない時）'!R$3="","",'CF表（ご主人様働けない時）'!R22/10000)</f>
        <v/>
      </c>
      <c r="S22" s="225">
        <f>IF('CF表（ご主人様働けない時）'!S$3="","",'CF表（ご主人様働けない時）'!S22/10000)</f>
        <v/>
      </c>
      <c r="T22" s="225">
        <f>IF('CF表（ご主人様働けない時）'!T$3="","",'CF表（ご主人様働けない時）'!T22/10000)</f>
        <v/>
      </c>
      <c r="U22" s="225">
        <f>IF('CF表（ご主人様働けない時）'!U$3="","",'CF表（ご主人様働けない時）'!U22/10000)</f>
        <v/>
      </c>
      <c r="V22" s="225">
        <f>IF('CF表（ご主人様働けない時）'!V$3="","",'CF表（ご主人様働けない時）'!V22/10000)</f>
        <v/>
      </c>
      <c r="W22" s="225">
        <f>IF('CF表（ご主人様働けない時）'!W$3="","",'CF表（ご主人様働けない時）'!W22/10000)</f>
        <v/>
      </c>
      <c r="X22" s="225">
        <f>IF('CF表（ご主人様働けない時）'!X$3="","",'CF表（ご主人様働けない時）'!X22/10000)</f>
        <v/>
      </c>
      <c r="Y22" s="225">
        <f>IF('CF表（ご主人様働けない時）'!Y$3="","",'CF表（ご主人様働けない時）'!Y22/10000)</f>
        <v/>
      </c>
      <c r="Z22" s="225">
        <f>IF('CF表（ご主人様働けない時）'!Z$3="","",'CF表（ご主人様働けない時）'!Z22/10000)</f>
        <v/>
      </c>
      <c r="AA22" s="225">
        <f>IF('CF表（ご主人様働けない時）'!AA$3="","",'CF表（ご主人様働けない時）'!AA22/10000)</f>
        <v/>
      </c>
      <c r="AB22" s="225">
        <f>IF('CF表（ご主人様働けない時）'!AB$3="","",'CF表（ご主人様働けない時）'!AB22/10000)</f>
        <v/>
      </c>
      <c r="AC22" s="225">
        <f>IF('CF表（ご主人様働けない時）'!AC$3="","",'CF表（ご主人様働けない時）'!AC22/10000)</f>
        <v/>
      </c>
      <c r="AD22" s="225">
        <f>IF('CF表（ご主人様働けない時）'!AD$3="","",'CF表（ご主人様働けない時）'!AD22/10000)</f>
        <v/>
      </c>
      <c r="AE22" s="225">
        <f>IF('CF表（ご主人様働けない時）'!AE$3="","",'CF表（ご主人様働けない時）'!AE22/10000)</f>
        <v/>
      </c>
      <c r="AF22" s="225">
        <f>IF('CF表（ご主人様働けない時）'!AF$3="","",'CF表（ご主人様働けない時）'!AF22/10000)</f>
        <v/>
      </c>
      <c r="AG22" s="225">
        <f>IF('CF表（ご主人様働けない時）'!AG$3="","",'CF表（ご主人様働けない時）'!AG22/10000)</f>
        <v/>
      </c>
      <c r="AH22" s="225">
        <f>IF('CF表（ご主人様働けない時）'!AH$3="","",'CF表（ご主人様働けない時）'!AH22/10000)</f>
        <v/>
      </c>
      <c r="AI22" s="225">
        <f>IF('CF表（ご主人様働けない時）'!AI$3="","",'CF表（ご主人様働けない時）'!AI22/10000)</f>
        <v/>
      </c>
      <c r="AJ22" s="225">
        <f>IF('CF表（ご主人様働けない時）'!AJ$3="","",'CF表（ご主人様働けない時）'!AJ22/10000)</f>
        <v/>
      </c>
      <c r="AK22" s="225">
        <f>IF('CF表（ご主人様働けない時）'!AK$3="","",'CF表（ご主人様働けない時）'!AK22/10000)</f>
        <v/>
      </c>
      <c r="AL22" s="225">
        <f>IF('CF表（ご主人様働けない時）'!AL$3="","",'CF表（ご主人様働けない時）'!AL22/10000)</f>
        <v/>
      </c>
      <c r="AM22" s="225">
        <f>IF('CF表（ご主人様働けない時）'!AM$3="","",'CF表（ご主人様働けない時）'!AM22/10000)</f>
        <v/>
      </c>
      <c r="AN22" s="225">
        <f>IF('CF表（ご主人様働けない時）'!AN$3="","",'CF表（ご主人様働けない時）'!AN22/10000)</f>
        <v/>
      </c>
      <c r="AO22" s="225">
        <f>IF('CF表（ご主人様働けない時）'!AO$3="","",'CF表（ご主人様働けない時）'!AO22/10000)</f>
        <v/>
      </c>
      <c r="AP22" s="225">
        <f>IF('CF表（ご主人様働けない時）'!AP$3="","",'CF表（ご主人様働けない時）'!AP22/10000)</f>
        <v/>
      </c>
      <c r="AQ22" s="225">
        <f>IF('CF表（ご主人様働けない時）'!AQ$3="","",'CF表（ご主人様働けない時）'!AQ22/10000)</f>
        <v/>
      </c>
      <c r="AR22" s="225">
        <f>IF('CF表（ご主人様働けない時）'!AR$3="","",'CF表（ご主人様働けない時）'!AR22/10000)</f>
        <v/>
      </c>
      <c r="AS22" s="225">
        <f>IF('CF表（ご主人様働けない時）'!AS$3="","",'CF表（ご主人様働けない時）'!AS22/10000)</f>
        <v/>
      </c>
      <c r="AT22" s="225">
        <f>IF('CF表（ご主人様働けない時）'!AT$3="","",'CF表（ご主人様働けない時）'!AT22/10000)</f>
        <v/>
      </c>
      <c r="AU22" s="225">
        <f>IF('CF表（ご主人様働けない時）'!AU$3="","",'CF表（ご主人様働けない時）'!AU22/10000)</f>
        <v/>
      </c>
      <c r="AV22" s="225">
        <f>IF('CF表（ご主人様働けない時）'!AV$3="","",'CF表（ご主人様働けない時）'!AV22/10000)</f>
        <v/>
      </c>
      <c r="AW22" s="225">
        <f>IF('CF表（ご主人様働けない時）'!AW$3="","",'CF表（ご主人様働けない時）'!AW22/10000)</f>
        <v/>
      </c>
      <c r="AX22" s="225">
        <f>IF('CF表（ご主人様働けない時）'!AX$3="","",'CF表（ご主人様働けない時）'!AX22/10000)</f>
        <v/>
      </c>
      <c r="AY22" s="225">
        <f>IF('CF表（ご主人様働けない時）'!AY$3="","",'CF表（ご主人様働けない時）'!AY22/10000)</f>
        <v/>
      </c>
      <c r="AZ22" s="225">
        <f>IF('CF表（ご主人様働けない時）'!AZ$3="","",'CF表（ご主人様働けない時）'!AZ22/10000)</f>
        <v/>
      </c>
      <c r="BA22" s="225">
        <f>IF('CF表（ご主人様働けない時）'!BA$3="","",'CF表（ご主人様働けない時）'!BA22/10000)</f>
        <v/>
      </c>
      <c r="BB22" s="225">
        <f>IF('CF表（ご主人様働けない時）'!BB$3="","",'CF表（ご主人様働けない時）'!BB22/10000)</f>
        <v/>
      </c>
      <c r="BC22" s="225">
        <f>IF('CF表（ご主人様働けない時）'!BC$3="","",'CF表（ご主人様働けない時）'!BC22/10000)</f>
        <v/>
      </c>
      <c r="BD22" s="225">
        <f>IF('CF表（ご主人様働けない時）'!BD$3="","",'CF表（ご主人様働けない時）'!BD22/10000)</f>
        <v/>
      </c>
      <c r="BE22" s="225">
        <f>IF('CF表（ご主人様働けない時）'!BE$3="","",'CF表（ご主人様働けない時）'!BE22/10000)</f>
        <v/>
      </c>
      <c r="BF22" s="225">
        <f>IF('CF表（ご主人様働けない時）'!BF$3="","",'CF表（ご主人様働けない時）'!BF22/10000)</f>
        <v/>
      </c>
      <c r="BG22" s="225">
        <f>IF('CF表（ご主人様働けない時）'!BG$3="","",'CF表（ご主人様働けない時）'!BG22/10000)</f>
        <v/>
      </c>
      <c r="BH22" s="225">
        <f>IF('CF表（ご主人様働けない時）'!BH$3="","",'CF表（ご主人様働けない時）'!BH22/10000)</f>
        <v/>
      </c>
      <c r="BI22" s="225">
        <f>IF('CF表（ご主人様働けない時）'!BI$3="","",'CF表（ご主人様働けない時）'!BI22/10000)</f>
        <v/>
      </c>
      <c r="BJ22" s="225">
        <f>IF('CF表（ご主人様働けない時）'!BJ$3="","",'CF表（ご主人様働けない時）'!BJ22/10000)</f>
        <v/>
      </c>
      <c r="BK22" s="225">
        <f>IF('CF表（ご主人様働けない時）'!BK$3="","",'CF表（ご主人様働けない時）'!BK22/10000)</f>
        <v/>
      </c>
      <c r="BL22" s="225">
        <f>IF('CF表（ご主人様働けない時）'!BL$3="","",'CF表（ご主人様働けない時）'!BL22/10000)</f>
        <v/>
      </c>
      <c r="BM22" s="225">
        <f>IF('CF表（ご主人様働けない時）'!BM$3="","",'CF表（ご主人様働けない時）'!BM22/10000)</f>
        <v/>
      </c>
      <c r="BN22" s="225">
        <f>IF('CF表（ご主人様働けない時）'!BN$3="","",'CF表（ご主人様働けない時）'!BN22/10000)</f>
        <v/>
      </c>
      <c r="BO22" s="225">
        <f>IF('CF表（ご主人様働けない時）'!BO$3="","",'CF表（ご主人様働けない時）'!BO22/10000)</f>
        <v/>
      </c>
      <c r="BP22" s="225">
        <f>IF('CF表（ご主人様働けない時）'!BP$3="","",'CF表（ご主人様働けない時）'!BP22/10000)</f>
        <v/>
      </c>
      <c r="BQ22" s="225">
        <f>IF('CF表（ご主人様働けない時）'!BQ$3="","",'CF表（ご主人様働けない時）'!BQ22/10000)</f>
        <v/>
      </c>
      <c r="BR22" s="225">
        <f>IF('CF表（ご主人様働けない時）'!BR$3="","",'CF表（ご主人様働けない時）'!BR22/10000)</f>
        <v/>
      </c>
      <c r="BS22" s="225">
        <f>IF('CF表（ご主人様働けない時）'!BS$3="","",'CF表（ご主人様働けない時）'!BS22/10000)</f>
        <v/>
      </c>
      <c r="BT22" s="225">
        <f>IF('CF表（ご主人様働けない時）'!BT$3="","",'CF表（ご主人様働けない時）'!BT22/10000)</f>
        <v/>
      </c>
      <c r="BU22" s="225">
        <f>IF('CF表（ご主人様働けない時）'!BU$3="","",'CF表（ご主人様働けない時）'!BU22/10000)</f>
        <v/>
      </c>
      <c r="BV22" s="225">
        <f>IF('CF表（ご主人様働けない時）'!BV$3="","",'CF表（ご主人様働けない時）'!BV22/10000)</f>
        <v/>
      </c>
      <c r="BW22" s="225">
        <f>IF('CF表（ご主人様働けない時）'!BW$3="","",'CF表（ご主人様働けない時）'!BW22/10000)</f>
        <v/>
      </c>
      <c r="BX22" s="225">
        <f>IF('CF表（ご主人様働けない時）'!BX$3="","",'CF表（ご主人様働けない時）'!BX22/10000)</f>
        <v/>
      </c>
      <c r="BY22" s="225">
        <f>IF('CF表（ご主人様働けない時）'!BY$3="","",'CF表（ご主人様働けない時）'!BY22/10000)</f>
        <v/>
      </c>
      <c r="BZ22" s="225">
        <f>IF('CF表（ご主人様働けない時）'!BZ$3="","",'CF表（ご主人様働けない時）'!BZ22/10000)</f>
        <v/>
      </c>
      <c r="CA22" s="225">
        <f>IF('CF表（ご主人様働けない時）'!CA$3="","",'CF表（ご主人様働けない時）'!CA22/10000)</f>
        <v/>
      </c>
      <c r="CB22" s="225">
        <f>IF('CF表（ご主人様働けない時）'!CB$3="","",'CF表（ご主人様働けない時）'!CB22/10000)</f>
        <v/>
      </c>
      <c r="CC22" s="225">
        <f>IF('CF表（ご主人様働けない時）'!CC$3="","",'CF表（ご主人様働けない時）'!CC22/10000)</f>
        <v/>
      </c>
      <c r="CD22" s="225">
        <f>IF('CF表（ご主人様働けない時）'!CD$3="","",'CF表（ご主人様働けない時）'!CD22/10000)</f>
        <v/>
      </c>
      <c r="CE22" s="225">
        <f>IF('CF表（ご主人様働けない時）'!CE$3="","",'CF表（ご主人様働けない時）'!CE22/10000)</f>
        <v/>
      </c>
      <c r="CF22" s="225">
        <f>IF('CF表（ご主人様働けない時）'!CF$3="","",'CF表（ご主人様働けない時）'!CF22/10000)</f>
        <v/>
      </c>
      <c r="CG22" s="225">
        <f>IF('CF表（ご主人様働けない時）'!CG$3="","",'CF表（ご主人様働けない時）'!CG22/10000)</f>
        <v/>
      </c>
      <c r="CH22" s="225">
        <f>IF('CF表（ご主人様働けない時）'!CH$3="","",'CF表（ご主人様働けない時）'!CH22/10000)</f>
        <v/>
      </c>
      <c r="CI22" s="225">
        <f>IF('CF表（ご主人様働けない時）'!CI$3="","",'CF表（ご主人様働けない時）'!CI22/10000)</f>
        <v/>
      </c>
      <c r="CJ22" s="225">
        <f>IF('CF表（ご主人様働けない時）'!CJ$3="","",'CF表（ご主人様働けない時）'!CJ22/10000)</f>
        <v/>
      </c>
      <c r="CK22" s="225">
        <f>IF('CF表（ご主人様働けない時）'!CK$3="","",'CF表（ご主人様働けない時）'!CK22/10000)</f>
        <v/>
      </c>
      <c r="CL22" s="225">
        <f>IF('CF表（ご主人様働けない時）'!CL$3="","",'CF表（ご主人様働けない時）'!CL22/10000)</f>
        <v/>
      </c>
      <c r="CM22" s="225">
        <f>IF('CF表（ご主人様働けない時）'!CM$3="","",'CF表（ご主人様働けない時）'!CM22/10000)</f>
        <v/>
      </c>
      <c r="CN22" s="225">
        <f>IF('CF表（ご主人様働けない時）'!CN$3="","",'CF表（ご主人様働けない時）'!CN22/10000)</f>
        <v/>
      </c>
      <c r="CO22" s="225">
        <f>IF('CF表（ご主人様働けない時）'!CO$3="","",'CF表（ご主人様働けない時）'!CO22/10000)</f>
        <v/>
      </c>
      <c r="CP22" s="225">
        <f>IF('CF表（ご主人様働けない時）'!CP$3="","",'CF表（ご主人様働けない時）'!CP22/10000)</f>
        <v/>
      </c>
      <c r="CQ22" s="225">
        <f>IF('CF表（ご主人様働けない時）'!CQ$3="","",'CF表（ご主人様働けない時）'!CQ22/10000)</f>
        <v/>
      </c>
      <c r="CR22" s="225">
        <f>IF('CF表（ご主人様働けない時）'!CR$3="","",'CF表（ご主人様働けない時）'!CR22/10000)</f>
        <v/>
      </c>
      <c r="CS22" s="225">
        <f>IF('CF表（ご主人様働けない時）'!CS$3="","",'CF表（ご主人様働けない時）'!CS22/10000)</f>
        <v/>
      </c>
      <c r="CT22" s="225">
        <f>IF('CF表（ご主人様働けない時）'!CT$3="","",'CF表（ご主人様働けない時）'!CT22/10000)</f>
        <v/>
      </c>
      <c r="CU22" s="225">
        <f>IF('CF表（ご主人様働けない時）'!CU$3="","",'CF表（ご主人様働けない時）'!CU22/10000)</f>
        <v/>
      </c>
      <c r="CV22" s="225">
        <f>IF('CF表（ご主人様働けない時）'!CV$3="","",'CF表（ご主人様働けない時）'!CV22/10000)</f>
        <v/>
      </c>
      <c r="CW22" s="225">
        <f>IF('CF表（ご主人様働けない時）'!CW$3="","",'CF表（ご主人様働けない時）'!CW22/10000)</f>
        <v/>
      </c>
    </row>
    <row r="23" ht="15" customHeight="1" s="180">
      <c r="A23" s="224" t="inlineStr">
        <is>
          <t>定期系保険料</t>
        </is>
      </c>
      <c r="B23" s="225">
        <f>IF('CF表（ご主人様働けない時）'!B$3="","",'CF表（ご主人様働けない時）'!B23/10000)</f>
        <v/>
      </c>
      <c r="C23" s="225">
        <f>IF('CF表（ご主人様働けない時）'!C$3="","",'CF表（ご主人様働けない時）'!C23/10000)</f>
        <v/>
      </c>
      <c r="D23" s="225">
        <f>IF('CF表（ご主人様働けない時）'!D$3="","",'CF表（ご主人様働けない時）'!D23/10000)</f>
        <v/>
      </c>
      <c r="E23" s="225">
        <f>IF('CF表（ご主人様働けない時）'!E$3="","",'CF表（ご主人様働けない時）'!E23/10000)</f>
        <v/>
      </c>
      <c r="F23" s="225">
        <f>IF('CF表（ご主人様働けない時）'!F$3="","",'CF表（ご主人様働けない時）'!F23/10000)</f>
        <v/>
      </c>
      <c r="G23" s="225">
        <f>IF('CF表（ご主人様働けない時）'!G$3="","",'CF表（ご主人様働けない時）'!G23/10000)</f>
        <v/>
      </c>
      <c r="H23" s="225">
        <f>IF('CF表（ご主人様働けない時）'!H$3="","",'CF表（ご主人様働けない時）'!H23/10000)</f>
        <v/>
      </c>
      <c r="I23" s="225">
        <f>IF('CF表（ご主人様働けない時）'!I$3="","",'CF表（ご主人様働けない時）'!I23/10000)</f>
        <v/>
      </c>
      <c r="J23" s="225">
        <f>IF('CF表（ご主人様働けない時）'!J$3="","",'CF表（ご主人様働けない時）'!J23/10000)</f>
        <v/>
      </c>
      <c r="K23" s="225">
        <f>IF('CF表（ご主人様働けない時）'!K$3="","",'CF表（ご主人様働けない時）'!K23/10000)</f>
        <v/>
      </c>
      <c r="L23" s="225">
        <f>IF('CF表（ご主人様働けない時）'!L$3="","",'CF表（ご主人様働けない時）'!L23/10000)</f>
        <v/>
      </c>
      <c r="M23" s="225">
        <f>IF('CF表（ご主人様働けない時）'!M$3="","",'CF表（ご主人様働けない時）'!M23/10000)</f>
        <v/>
      </c>
      <c r="N23" s="225">
        <f>IF('CF表（ご主人様働けない時）'!N$3="","",'CF表（ご主人様働けない時）'!N23/10000)</f>
        <v/>
      </c>
      <c r="O23" s="225">
        <f>IF('CF表（ご主人様働けない時）'!O$3="","",'CF表（ご主人様働けない時）'!O23/10000)</f>
        <v/>
      </c>
      <c r="P23" s="225">
        <f>IF('CF表（ご主人様働けない時）'!P$3="","",'CF表（ご主人様働けない時）'!P23/10000)</f>
        <v/>
      </c>
      <c r="Q23" s="225">
        <f>IF('CF表（ご主人様働けない時）'!Q$3="","",'CF表（ご主人様働けない時）'!Q23/10000)</f>
        <v/>
      </c>
      <c r="R23" s="225">
        <f>IF('CF表（ご主人様働けない時）'!R$3="","",'CF表（ご主人様働けない時）'!R23/10000)</f>
        <v/>
      </c>
      <c r="S23" s="225">
        <f>IF('CF表（ご主人様働けない時）'!S$3="","",'CF表（ご主人様働けない時）'!S23/10000)</f>
        <v/>
      </c>
      <c r="T23" s="225">
        <f>IF('CF表（ご主人様働けない時）'!T$3="","",'CF表（ご主人様働けない時）'!T23/10000)</f>
        <v/>
      </c>
      <c r="U23" s="225">
        <f>IF('CF表（ご主人様働けない時）'!U$3="","",'CF表（ご主人様働けない時）'!U23/10000)</f>
        <v/>
      </c>
      <c r="V23" s="225">
        <f>IF('CF表（ご主人様働けない時）'!V$3="","",'CF表（ご主人様働けない時）'!V23/10000)</f>
        <v/>
      </c>
      <c r="W23" s="225">
        <f>IF('CF表（ご主人様働けない時）'!W$3="","",'CF表（ご主人様働けない時）'!W23/10000)</f>
        <v/>
      </c>
      <c r="X23" s="225">
        <f>IF('CF表（ご主人様働けない時）'!X$3="","",'CF表（ご主人様働けない時）'!X23/10000)</f>
        <v/>
      </c>
      <c r="Y23" s="225">
        <f>IF('CF表（ご主人様働けない時）'!Y$3="","",'CF表（ご主人様働けない時）'!Y23/10000)</f>
        <v/>
      </c>
      <c r="Z23" s="225">
        <f>IF('CF表（ご主人様働けない時）'!Z$3="","",'CF表（ご主人様働けない時）'!Z23/10000)</f>
        <v/>
      </c>
      <c r="AA23" s="225">
        <f>IF('CF表（ご主人様働けない時）'!AA$3="","",'CF表（ご主人様働けない時）'!AA23/10000)</f>
        <v/>
      </c>
      <c r="AB23" s="225">
        <f>IF('CF表（ご主人様働けない時）'!AB$3="","",'CF表（ご主人様働けない時）'!AB23/10000)</f>
        <v/>
      </c>
      <c r="AC23" s="225">
        <f>IF('CF表（ご主人様働けない時）'!AC$3="","",'CF表（ご主人様働けない時）'!AC23/10000)</f>
        <v/>
      </c>
      <c r="AD23" s="225">
        <f>IF('CF表（ご主人様働けない時）'!AD$3="","",'CF表（ご主人様働けない時）'!AD23/10000)</f>
        <v/>
      </c>
      <c r="AE23" s="225">
        <f>IF('CF表（ご主人様働けない時）'!AE$3="","",'CF表（ご主人様働けない時）'!AE23/10000)</f>
        <v/>
      </c>
      <c r="AF23" s="225">
        <f>IF('CF表（ご主人様働けない時）'!AF$3="","",'CF表（ご主人様働けない時）'!AF23/10000)</f>
        <v/>
      </c>
      <c r="AG23" s="225">
        <f>IF('CF表（ご主人様働けない時）'!AG$3="","",'CF表（ご主人様働けない時）'!AG23/10000)</f>
        <v/>
      </c>
      <c r="AH23" s="225">
        <f>IF('CF表（ご主人様働けない時）'!AH$3="","",'CF表（ご主人様働けない時）'!AH23/10000)</f>
        <v/>
      </c>
      <c r="AI23" s="225">
        <f>IF('CF表（ご主人様働けない時）'!AI$3="","",'CF表（ご主人様働けない時）'!AI23/10000)</f>
        <v/>
      </c>
      <c r="AJ23" s="225">
        <f>IF('CF表（ご主人様働けない時）'!AJ$3="","",'CF表（ご主人様働けない時）'!AJ23/10000)</f>
        <v/>
      </c>
      <c r="AK23" s="225">
        <f>IF('CF表（ご主人様働けない時）'!AK$3="","",'CF表（ご主人様働けない時）'!AK23/10000)</f>
        <v/>
      </c>
      <c r="AL23" s="225">
        <f>IF('CF表（ご主人様働けない時）'!AL$3="","",'CF表（ご主人様働けない時）'!AL23/10000)</f>
        <v/>
      </c>
      <c r="AM23" s="225">
        <f>IF('CF表（ご主人様働けない時）'!AM$3="","",'CF表（ご主人様働けない時）'!AM23/10000)</f>
        <v/>
      </c>
      <c r="AN23" s="225">
        <f>IF('CF表（ご主人様働けない時）'!AN$3="","",'CF表（ご主人様働けない時）'!AN23/10000)</f>
        <v/>
      </c>
      <c r="AO23" s="225">
        <f>IF('CF表（ご主人様働けない時）'!AO$3="","",'CF表（ご主人様働けない時）'!AO23/10000)</f>
        <v/>
      </c>
      <c r="AP23" s="225">
        <f>IF('CF表（ご主人様働けない時）'!AP$3="","",'CF表（ご主人様働けない時）'!AP23/10000)</f>
        <v/>
      </c>
      <c r="AQ23" s="225">
        <f>IF('CF表（ご主人様働けない時）'!AQ$3="","",'CF表（ご主人様働けない時）'!AQ23/10000)</f>
        <v/>
      </c>
      <c r="AR23" s="225">
        <f>IF('CF表（ご主人様働けない時）'!AR$3="","",'CF表（ご主人様働けない時）'!AR23/10000)</f>
        <v/>
      </c>
      <c r="AS23" s="225">
        <f>IF('CF表（ご主人様働けない時）'!AS$3="","",'CF表（ご主人様働けない時）'!AS23/10000)</f>
        <v/>
      </c>
      <c r="AT23" s="225">
        <f>IF('CF表（ご主人様働けない時）'!AT$3="","",'CF表（ご主人様働けない時）'!AT23/10000)</f>
        <v/>
      </c>
      <c r="AU23" s="225">
        <f>IF('CF表（ご主人様働けない時）'!AU$3="","",'CF表（ご主人様働けない時）'!AU23/10000)</f>
        <v/>
      </c>
      <c r="AV23" s="225">
        <f>IF('CF表（ご主人様働けない時）'!AV$3="","",'CF表（ご主人様働けない時）'!AV23/10000)</f>
        <v/>
      </c>
      <c r="AW23" s="225">
        <f>IF('CF表（ご主人様働けない時）'!AW$3="","",'CF表（ご主人様働けない時）'!AW23/10000)</f>
        <v/>
      </c>
      <c r="AX23" s="225">
        <f>IF('CF表（ご主人様働けない時）'!AX$3="","",'CF表（ご主人様働けない時）'!AX23/10000)</f>
        <v/>
      </c>
      <c r="AY23" s="225">
        <f>IF('CF表（ご主人様働けない時）'!AY$3="","",'CF表（ご主人様働けない時）'!AY23/10000)</f>
        <v/>
      </c>
      <c r="AZ23" s="225">
        <f>IF('CF表（ご主人様働けない時）'!AZ$3="","",'CF表（ご主人様働けない時）'!AZ23/10000)</f>
        <v/>
      </c>
      <c r="BA23" s="225">
        <f>IF('CF表（ご主人様働けない時）'!BA$3="","",'CF表（ご主人様働けない時）'!BA23/10000)</f>
        <v/>
      </c>
      <c r="BB23" s="225">
        <f>IF('CF表（ご主人様働けない時）'!BB$3="","",'CF表（ご主人様働けない時）'!BB23/10000)</f>
        <v/>
      </c>
      <c r="BC23" s="225">
        <f>IF('CF表（ご主人様働けない時）'!BC$3="","",'CF表（ご主人様働けない時）'!BC23/10000)</f>
        <v/>
      </c>
      <c r="BD23" s="225">
        <f>IF('CF表（ご主人様働けない時）'!BD$3="","",'CF表（ご主人様働けない時）'!BD23/10000)</f>
        <v/>
      </c>
      <c r="BE23" s="225">
        <f>IF('CF表（ご主人様働けない時）'!BE$3="","",'CF表（ご主人様働けない時）'!BE23/10000)</f>
        <v/>
      </c>
      <c r="BF23" s="225">
        <f>IF('CF表（ご主人様働けない時）'!BF$3="","",'CF表（ご主人様働けない時）'!BF23/10000)</f>
        <v/>
      </c>
      <c r="BG23" s="225">
        <f>IF('CF表（ご主人様働けない時）'!BG$3="","",'CF表（ご主人様働けない時）'!BG23/10000)</f>
        <v/>
      </c>
      <c r="BH23" s="225">
        <f>IF('CF表（ご主人様働けない時）'!BH$3="","",'CF表（ご主人様働けない時）'!BH23/10000)</f>
        <v/>
      </c>
      <c r="BI23" s="225">
        <f>IF('CF表（ご主人様働けない時）'!BI$3="","",'CF表（ご主人様働けない時）'!BI23/10000)</f>
        <v/>
      </c>
      <c r="BJ23" s="225">
        <f>IF('CF表（ご主人様働けない時）'!BJ$3="","",'CF表（ご主人様働けない時）'!BJ23/10000)</f>
        <v/>
      </c>
      <c r="BK23" s="225">
        <f>IF('CF表（ご主人様働けない時）'!BK$3="","",'CF表（ご主人様働けない時）'!BK23/10000)</f>
        <v/>
      </c>
      <c r="BL23" s="225">
        <f>IF('CF表（ご主人様働けない時）'!BL$3="","",'CF表（ご主人様働けない時）'!BL23/10000)</f>
        <v/>
      </c>
      <c r="BM23" s="225">
        <f>IF('CF表（ご主人様働けない時）'!BM$3="","",'CF表（ご主人様働けない時）'!BM23/10000)</f>
        <v/>
      </c>
      <c r="BN23" s="225">
        <f>IF('CF表（ご主人様働けない時）'!BN$3="","",'CF表（ご主人様働けない時）'!BN23/10000)</f>
        <v/>
      </c>
      <c r="BO23" s="225">
        <f>IF('CF表（ご主人様働けない時）'!BO$3="","",'CF表（ご主人様働けない時）'!BO23/10000)</f>
        <v/>
      </c>
      <c r="BP23" s="225">
        <f>IF('CF表（ご主人様働けない時）'!BP$3="","",'CF表（ご主人様働けない時）'!BP23/10000)</f>
        <v/>
      </c>
      <c r="BQ23" s="225">
        <f>IF('CF表（ご主人様働けない時）'!BQ$3="","",'CF表（ご主人様働けない時）'!BQ23/10000)</f>
        <v/>
      </c>
      <c r="BR23" s="225">
        <f>IF('CF表（ご主人様働けない時）'!BR$3="","",'CF表（ご主人様働けない時）'!BR23/10000)</f>
        <v/>
      </c>
      <c r="BS23" s="225">
        <f>IF('CF表（ご主人様働けない時）'!BS$3="","",'CF表（ご主人様働けない時）'!BS23/10000)</f>
        <v/>
      </c>
      <c r="BT23" s="225">
        <f>IF('CF表（ご主人様働けない時）'!BT$3="","",'CF表（ご主人様働けない時）'!BT23/10000)</f>
        <v/>
      </c>
      <c r="BU23" s="225">
        <f>IF('CF表（ご主人様働けない時）'!BU$3="","",'CF表（ご主人様働けない時）'!BU23/10000)</f>
        <v/>
      </c>
      <c r="BV23" s="225">
        <f>IF('CF表（ご主人様働けない時）'!BV$3="","",'CF表（ご主人様働けない時）'!BV23/10000)</f>
        <v/>
      </c>
      <c r="BW23" s="225">
        <f>IF('CF表（ご主人様働けない時）'!BW$3="","",'CF表（ご主人様働けない時）'!BW23/10000)</f>
        <v/>
      </c>
      <c r="BX23" s="225">
        <f>IF('CF表（ご主人様働けない時）'!BX$3="","",'CF表（ご主人様働けない時）'!BX23/10000)</f>
        <v/>
      </c>
      <c r="BY23" s="225">
        <f>IF('CF表（ご主人様働けない時）'!BY$3="","",'CF表（ご主人様働けない時）'!BY23/10000)</f>
        <v/>
      </c>
      <c r="BZ23" s="225">
        <f>IF('CF表（ご主人様働けない時）'!BZ$3="","",'CF表（ご主人様働けない時）'!BZ23/10000)</f>
        <v/>
      </c>
      <c r="CA23" s="225">
        <f>IF('CF表（ご主人様働けない時）'!CA$3="","",'CF表（ご主人様働けない時）'!CA23/10000)</f>
        <v/>
      </c>
      <c r="CB23" s="225">
        <f>IF('CF表（ご主人様働けない時）'!CB$3="","",'CF表（ご主人様働けない時）'!CB23/10000)</f>
        <v/>
      </c>
      <c r="CC23" s="225">
        <f>IF('CF表（ご主人様働けない時）'!CC$3="","",'CF表（ご主人様働けない時）'!CC23/10000)</f>
        <v/>
      </c>
      <c r="CD23" s="225">
        <f>IF('CF表（ご主人様働けない時）'!CD$3="","",'CF表（ご主人様働けない時）'!CD23/10000)</f>
        <v/>
      </c>
      <c r="CE23" s="225">
        <f>IF('CF表（ご主人様働けない時）'!CE$3="","",'CF表（ご主人様働けない時）'!CE23/10000)</f>
        <v/>
      </c>
      <c r="CF23" s="225">
        <f>IF('CF表（ご主人様働けない時）'!CF$3="","",'CF表（ご主人様働けない時）'!CF23/10000)</f>
        <v/>
      </c>
      <c r="CG23" s="225">
        <f>IF('CF表（ご主人様働けない時）'!CG$3="","",'CF表（ご主人様働けない時）'!CG23/10000)</f>
        <v/>
      </c>
      <c r="CH23" s="225">
        <f>IF('CF表（ご主人様働けない時）'!CH$3="","",'CF表（ご主人様働けない時）'!CH23/10000)</f>
        <v/>
      </c>
      <c r="CI23" s="225">
        <f>IF('CF表（ご主人様働けない時）'!CI$3="","",'CF表（ご主人様働けない時）'!CI23/10000)</f>
        <v/>
      </c>
      <c r="CJ23" s="225">
        <f>IF('CF表（ご主人様働けない時）'!CJ$3="","",'CF表（ご主人様働けない時）'!CJ23/10000)</f>
        <v/>
      </c>
      <c r="CK23" s="225">
        <f>IF('CF表（ご主人様働けない時）'!CK$3="","",'CF表（ご主人様働けない時）'!CK23/10000)</f>
        <v/>
      </c>
      <c r="CL23" s="225">
        <f>IF('CF表（ご主人様働けない時）'!CL$3="","",'CF表（ご主人様働けない時）'!CL23/10000)</f>
        <v/>
      </c>
      <c r="CM23" s="225">
        <f>IF('CF表（ご主人様働けない時）'!CM$3="","",'CF表（ご主人様働けない時）'!CM23/10000)</f>
        <v/>
      </c>
      <c r="CN23" s="225">
        <f>IF('CF表（ご主人様働けない時）'!CN$3="","",'CF表（ご主人様働けない時）'!CN23/10000)</f>
        <v/>
      </c>
      <c r="CO23" s="225">
        <f>IF('CF表（ご主人様働けない時）'!CO$3="","",'CF表（ご主人様働けない時）'!CO23/10000)</f>
        <v/>
      </c>
      <c r="CP23" s="225">
        <f>IF('CF表（ご主人様働けない時）'!CP$3="","",'CF表（ご主人様働けない時）'!CP23/10000)</f>
        <v/>
      </c>
      <c r="CQ23" s="225">
        <f>IF('CF表（ご主人様働けない時）'!CQ$3="","",'CF表（ご主人様働けない時）'!CQ23/10000)</f>
        <v/>
      </c>
      <c r="CR23" s="225">
        <f>IF('CF表（ご主人様働けない時）'!CR$3="","",'CF表（ご主人様働けない時）'!CR23/10000)</f>
        <v/>
      </c>
      <c r="CS23" s="225">
        <f>IF('CF表（ご主人様働けない時）'!CS$3="","",'CF表（ご主人様働けない時）'!CS23/10000)</f>
        <v/>
      </c>
      <c r="CT23" s="225">
        <f>IF('CF表（ご主人様働けない時）'!CT$3="","",'CF表（ご主人様働けない時）'!CT23/10000)</f>
        <v/>
      </c>
      <c r="CU23" s="225">
        <f>IF('CF表（ご主人様働けない時）'!CU$3="","",'CF表（ご主人様働けない時）'!CU23/10000)</f>
        <v/>
      </c>
      <c r="CV23" s="225">
        <f>IF('CF表（ご主人様働けない時）'!CV$3="","",'CF表（ご主人様働けない時）'!CV23/10000)</f>
        <v/>
      </c>
      <c r="CW23" s="225">
        <f>IF('CF表（ご主人様働けない時）'!CW$3="","",'CF表（ご主人様働けない時）'!CW23/10000)</f>
        <v/>
      </c>
    </row>
    <row r="24" ht="15" customHeight="1" s="180">
      <c r="A24" s="224" t="inlineStr">
        <is>
          <t>教育費</t>
        </is>
      </c>
      <c r="B24" s="225">
        <f>IF('CF表（ご主人様働けない時）'!B$3="","",'CF表（ご主人様働けない時）'!B24/10000)</f>
        <v/>
      </c>
      <c r="C24" s="225">
        <f>IF('CF表（ご主人様働けない時）'!C$3="","",'CF表（ご主人様働けない時）'!C24/10000)</f>
        <v/>
      </c>
      <c r="D24" s="225">
        <f>IF('CF表（ご主人様働けない時）'!D$3="","",'CF表（ご主人様働けない時）'!D24/10000)</f>
        <v/>
      </c>
      <c r="E24" s="225">
        <f>IF('CF表（ご主人様働けない時）'!E$3="","",'CF表（ご主人様働けない時）'!E24/10000)</f>
        <v/>
      </c>
      <c r="F24" s="225">
        <f>IF('CF表（ご主人様働けない時）'!F$3="","",'CF表（ご主人様働けない時）'!F24/10000)</f>
        <v/>
      </c>
      <c r="G24" s="225">
        <f>IF('CF表（ご主人様働けない時）'!G$3="","",'CF表（ご主人様働けない時）'!G24/10000)</f>
        <v/>
      </c>
      <c r="H24" s="225">
        <f>IF('CF表（ご主人様働けない時）'!H$3="","",'CF表（ご主人様働けない時）'!H24/10000)</f>
        <v/>
      </c>
      <c r="I24" s="225">
        <f>IF('CF表（ご主人様働けない時）'!I$3="","",'CF表（ご主人様働けない時）'!I24/10000)</f>
        <v/>
      </c>
      <c r="J24" s="225">
        <f>IF('CF表（ご主人様働けない時）'!J$3="","",'CF表（ご主人様働けない時）'!J24/10000)</f>
        <v/>
      </c>
      <c r="K24" s="225">
        <f>IF('CF表（ご主人様働けない時）'!K$3="","",'CF表（ご主人様働けない時）'!K24/10000)</f>
        <v/>
      </c>
      <c r="L24" s="225">
        <f>IF('CF表（ご主人様働けない時）'!L$3="","",'CF表（ご主人様働けない時）'!L24/10000)</f>
        <v/>
      </c>
      <c r="M24" s="225">
        <f>IF('CF表（ご主人様働けない時）'!M$3="","",'CF表（ご主人様働けない時）'!M24/10000)</f>
        <v/>
      </c>
      <c r="N24" s="225">
        <f>IF('CF表（ご主人様働けない時）'!N$3="","",'CF表（ご主人様働けない時）'!N24/10000)</f>
        <v/>
      </c>
      <c r="O24" s="225">
        <f>IF('CF表（ご主人様働けない時）'!O$3="","",'CF表（ご主人様働けない時）'!O24/10000)</f>
        <v/>
      </c>
      <c r="P24" s="225">
        <f>IF('CF表（ご主人様働けない時）'!P$3="","",'CF表（ご主人様働けない時）'!P24/10000)</f>
        <v/>
      </c>
      <c r="Q24" s="225">
        <f>IF('CF表（ご主人様働けない時）'!Q$3="","",'CF表（ご主人様働けない時）'!Q24/10000)</f>
        <v/>
      </c>
      <c r="R24" s="225">
        <f>IF('CF表（ご主人様働けない時）'!R$3="","",'CF表（ご主人様働けない時）'!R24/10000)</f>
        <v/>
      </c>
      <c r="S24" s="225">
        <f>IF('CF表（ご主人様働けない時）'!S$3="","",'CF表（ご主人様働けない時）'!S24/10000)</f>
        <v/>
      </c>
      <c r="T24" s="225">
        <f>IF('CF表（ご主人様働けない時）'!T$3="","",'CF表（ご主人様働けない時）'!T24/10000)</f>
        <v/>
      </c>
      <c r="U24" s="225">
        <f>IF('CF表（ご主人様働けない時）'!U$3="","",'CF表（ご主人様働けない時）'!U24/10000)</f>
        <v/>
      </c>
      <c r="V24" s="225">
        <f>IF('CF表（ご主人様働けない時）'!V$3="","",'CF表（ご主人様働けない時）'!V24/10000)</f>
        <v/>
      </c>
      <c r="W24" s="225">
        <f>IF('CF表（ご主人様働けない時）'!W$3="","",'CF表（ご主人様働けない時）'!W24/10000)</f>
        <v/>
      </c>
      <c r="X24" s="225">
        <f>IF('CF表（ご主人様働けない時）'!X$3="","",'CF表（ご主人様働けない時）'!X24/10000)</f>
        <v/>
      </c>
      <c r="Y24" s="225">
        <f>IF('CF表（ご主人様働けない時）'!Y$3="","",'CF表（ご主人様働けない時）'!Y24/10000)</f>
        <v/>
      </c>
      <c r="Z24" s="225">
        <f>IF('CF表（ご主人様働けない時）'!Z$3="","",'CF表（ご主人様働けない時）'!Z24/10000)</f>
        <v/>
      </c>
      <c r="AA24" s="225">
        <f>IF('CF表（ご主人様働けない時）'!AA$3="","",'CF表（ご主人様働けない時）'!AA24/10000)</f>
        <v/>
      </c>
      <c r="AB24" s="225">
        <f>IF('CF表（ご主人様働けない時）'!AB$3="","",'CF表（ご主人様働けない時）'!AB24/10000)</f>
        <v/>
      </c>
      <c r="AC24" s="225">
        <f>IF('CF表（ご主人様働けない時）'!AC$3="","",'CF表（ご主人様働けない時）'!AC24/10000)</f>
        <v/>
      </c>
      <c r="AD24" s="225">
        <f>IF('CF表（ご主人様働けない時）'!AD$3="","",'CF表（ご主人様働けない時）'!AD24/10000)</f>
        <v/>
      </c>
      <c r="AE24" s="225">
        <f>IF('CF表（ご主人様働けない時）'!AE$3="","",'CF表（ご主人様働けない時）'!AE24/10000)</f>
        <v/>
      </c>
      <c r="AF24" s="225">
        <f>IF('CF表（ご主人様働けない時）'!AF$3="","",'CF表（ご主人様働けない時）'!AF24/10000)</f>
        <v/>
      </c>
      <c r="AG24" s="225">
        <f>IF('CF表（ご主人様働けない時）'!AG$3="","",'CF表（ご主人様働けない時）'!AG24/10000)</f>
        <v/>
      </c>
      <c r="AH24" s="225">
        <f>IF('CF表（ご主人様働けない時）'!AH$3="","",'CF表（ご主人様働けない時）'!AH24/10000)</f>
        <v/>
      </c>
      <c r="AI24" s="225">
        <f>IF('CF表（ご主人様働けない時）'!AI$3="","",'CF表（ご主人様働けない時）'!AI24/10000)</f>
        <v/>
      </c>
      <c r="AJ24" s="225">
        <f>IF('CF表（ご主人様働けない時）'!AJ$3="","",'CF表（ご主人様働けない時）'!AJ24/10000)</f>
        <v/>
      </c>
      <c r="AK24" s="225">
        <f>IF('CF表（ご主人様働けない時）'!AK$3="","",'CF表（ご主人様働けない時）'!AK24/10000)</f>
        <v/>
      </c>
      <c r="AL24" s="225">
        <f>IF('CF表（ご主人様働けない時）'!AL$3="","",'CF表（ご主人様働けない時）'!AL24/10000)</f>
        <v/>
      </c>
      <c r="AM24" s="225">
        <f>IF('CF表（ご主人様働けない時）'!AM$3="","",'CF表（ご主人様働けない時）'!AM24/10000)</f>
        <v/>
      </c>
      <c r="AN24" s="225">
        <f>IF('CF表（ご主人様働けない時）'!AN$3="","",'CF表（ご主人様働けない時）'!AN24/10000)</f>
        <v/>
      </c>
      <c r="AO24" s="225">
        <f>IF('CF表（ご主人様働けない時）'!AO$3="","",'CF表（ご主人様働けない時）'!AO24/10000)</f>
        <v/>
      </c>
      <c r="AP24" s="225">
        <f>IF('CF表（ご主人様働けない時）'!AP$3="","",'CF表（ご主人様働けない時）'!AP24/10000)</f>
        <v/>
      </c>
      <c r="AQ24" s="225">
        <f>IF('CF表（ご主人様働けない時）'!AQ$3="","",'CF表（ご主人様働けない時）'!AQ24/10000)</f>
        <v/>
      </c>
      <c r="AR24" s="225">
        <f>IF('CF表（ご主人様働けない時）'!AR$3="","",'CF表（ご主人様働けない時）'!AR24/10000)</f>
        <v/>
      </c>
      <c r="AS24" s="225">
        <f>IF('CF表（ご主人様働けない時）'!AS$3="","",'CF表（ご主人様働けない時）'!AS24/10000)</f>
        <v/>
      </c>
      <c r="AT24" s="225">
        <f>IF('CF表（ご主人様働けない時）'!AT$3="","",'CF表（ご主人様働けない時）'!AT24/10000)</f>
        <v/>
      </c>
      <c r="AU24" s="225">
        <f>IF('CF表（ご主人様働けない時）'!AU$3="","",'CF表（ご主人様働けない時）'!AU24/10000)</f>
        <v/>
      </c>
      <c r="AV24" s="225">
        <f>IF('CF表（ご主人様働けない時）'!AV$3="","",'CF表（ご主人様働けない時）'!AV24/10000)</f>
        <v/>
      </c>
      <c r="AW24" s="225">
        <f>IF('CF表（ご主人様働けない時）'!AW$3="","",'CF表（ご主人様働けない時）'!AW24/10000)</f>
        <v/>
      </c>
      <c r="AX24" s="225">
        <f>IF('CF表（ご主人様働けない時）'!AX$3="","",'CF表（ご主人様働けない時）'!AX24/10000)</f>
        <v/>
      </c>
      <c r="AY24" s="225">
        <f>IF('CF表（ご主人様働けない時）'!AY$3="","",'CF表（ご主人様働けない時）'!AY24/10000)</f>
        <v/>
      </c>
      <c r="AZ24" s="225">
        <f>IF('CF表（ご主人様働けない時）'!AZ$3="","",'CF表（ご主人様働けない時）'!AZ24/10000)</f>
        <v/>
      </c>
      <c r="BA24" s="225">
        <f>IF('CF表（ご主人様働けない時）'!BA$3="","",'CF表（ご主人様働けない時）'!BA24/10000)</f>
        <v/>
      </c>
      <c r="BB24" s="225">
        <f>IF('CF表（ご主人様働けない時）'!BB$3="","",'CF表（ご主人様働けない時）'!BB24/10000)</f>
        <v/>
      </c>
      <c r="BC24" s="225">
        <f>IF('CF表（ご主人様働けない時）'!BC$3="","",'CF表（ご主人様働けない時）'!BC24/10000)</f>
        <v/>
      </c>
      <c r="BD24" s="225">
        <f>IF('CF表（ご主人様働けない時）'!BD$3="","",'CF表（ご主人様働けない時）'!BD24/10000)</f>
        <v/>
      </c>
      <c r="BE24" s="225">
        <f>IF('CF表（ご主人様働けない時）'!BE$3="","",'CF表（ご主人様働けない時）'!BE24/10000)</f>
        <v/>
      </c>
      <c r="BF24" s="225">
        <f>IF('CF表（ご主人様働けない時）'!BF$3="","",'CF表（ご主人様働けない時）'!BF24/10000)</f>
        <v/>
      </c>
      <c r="BG24" s="225">
        <f>IF('CF表（ご主人様働けない時）'!BG$3="","",'CF表（ご主人様働けない時）'!BG24/10000)</f>
        <v/>
      </c>
      <c r="BH24" s="225">
        <f>IF('CF表（ご主人様働けない時）'!BH$3="","",'CF表（ご主人様働けない時）'!BH24/10000)</f>
        <v/>
      </c>
      <c r="BI24" s="225">
        <f>IF('CF表（ご主人様働けない時）'!BI$3="","",'CF表（ご主人様働けない時）'!BI24/10000)</f>
        <v/>
      </c>
      <c r="BJ24" s="225">
        <f>IF('CF表（ご主人様働けない時）'!BJ$3="","",'CF表（ご主人様働けない時）'!BJ24/10000)</f>
        <v/>
      </c>
      <c r="BK24" s="225">
        <f>IF('CF表（ご主人様働けない時）'!BK$3="","",'CF表（ご主人様働けない時）'!BK24/10000)</f>
        <v/>
      </c>
      <c r="BL24" s="225">
        <f>IF('CF表（ご主人様働けない時）'!BL$3="","",'CF表（ご主人様働けない時）'!BL24/10000)</f>
        <v/>
      </c>
      <c r="BM24" s="225">
        <f>IF('CF表（ご主人様働けない時）'!BM$3="","",'CF表（ご主人様働けない時）'!BM24/10000)</f>
        <v/>
      </c>
      <c r="BN24" s="225">
        <f>IF('CF表（ご主人様働けない時）'!BN$3="","",'CF表（ご主人様働けない時）'!BN24/10000)</f>
        <v/>
      </c>
      <c r="BO24" s="225">
        <f>IF('CF表（ご主人様働けない時）'!BO$3="","",'CF表（ご主人様働けない時）'!BO24/10000)</f>
        <v/>
      </c>
      <c r="BP24" s="225">
        <f>IF('CF表（ご主人様働けない時）'!BP$3="","",'CF表（ご主人様働けない時）'!BP24/10000)</f>
        <v/>
      </c>
      <c r="BQ24" s="225">
        <f>IF('CF表（ご主人様働けない時）'!BQ$3="","",'CF表（ご主人様働けない時）'!BQ24/10000)</f>
        <v/>
      </c>
      <c r="BR24" s="225">
        <f>IF('CF表（ご主人様働けない時）'!BR$3="","",'CF表（ご主人様働けない時）'!BR24/10000)</f>
        <v/>
      </c>
      <c r="BS24" s="225">
        <f>IF('CF表（ご主人様働けない時）'!BS$3="","",'CF表（ご主人様働けない時）'!BS24/10000)</f>
        <v/>
      </c>
      <c r="BT24" s="225">
        <f>IF('CF表（ご主人様働けない時）'!BT$3="","",'CF表（ご主人様働けない時）'!BT24/10000)</f>
        <v/>
      </c>
      <c r="BU24" s="225">
        <f>IF('CF表（ご主人様働けない時）'!BU$3="","",'CF表（ご主人様働けない時）'!BU24/10000)</f>
        <v/>
      </c>
      <c r="BV24" s="225">
        <f>IF('CF表（ご主人様働けない時）'!BV$3="","",'CF表（ご主人様働けない時）'!BV24/10000)</f>
        <v/>
      </c>
      <c r="BW24" s="225">
        <f>IF('CF表（ご主人様働けない時）'!BW$3="","",'CF表（ご主人様働けない時）'!BW24/10000)</f>
        <v/>
      </c>
      <c r="BX24" s="225">
        <f>IF('CF表（ご主人様働けない時）'!BX$3="","",'CF表（ご主人様働けない時）'!BX24/10000)</f>
        <v/>
      </c>
      <c r="BY24" s="225">
        <f>IF('CF表（ご主人様働けない時）'!BY$3="","",'CF表（ご主人様働けない時）'!BY24/10000)</f>
        <v/>
      </c>
      <c r="BZ24" s="225">
        <f>IF('CF表（ご主人様働けない時）'!BZ$3="","",'CF表（ご主人様働けない時）'!BZ24/10000)</f>
        <v/>
      </c>
      <c r="CA24" s="225">
        <f>IF('CF表（ご主人様働けない時）'!CA$3="","",'CF表（ご主人様働けない時）'!CA24/10000)</f>
        <v/>
      </c>
      <c r="CB24" s="225">
        <f>IF('CF表（ご主人様働けない時）'!CB$3="","",'CF表（ご主人様働けない時）'!CB24/10000)</f>
        <v/>
      </c>
      <c r="CC24" s="225">
        <f>IF('CF表（ご主人様働けない時）'!CC$3="","",'CF表（ご主人様働けない時）'!CC24/10000)</f>
        <v/>
      </c>
      <c r="CD24" s="225">
        <f>IF('CF表（ご主人様働けない時）'!CD$3="","",'CF表（ご主人様働けない時）'!CD24/10000)</f>
        <v/>
      </c>
      <c r="CE24" s="225">
        <f>IF('CF表（ご主人様働けない時）'!CE$3="","",'CF表（ご主人様働けない時）'!CE24/10000)</f>
        <v/>
      </c>
      <c r="CF24" s="225">
        <f>IF('CF表（ご主人様働けない時）'!CF$3="","",'CF表（ご主人様働けない時）'!CF24/10000)</f>
        <v/>
      </c>
      <c r="CG24" s="225">
        <f>IF('CF表（ご主人様働けない時）'!CG$3="","",'CF表（ご主人様働けない時）'!CG24/10000)</f>
        <v/>
      </c>
      <c r="CH24" s="225">
        <f>IF('CF表（ご主人様働けない時）'!CH$3="","",'CF表（ご主人様働けない時）'!CH24/10000)</f>
        <v/>
      </c>
      <c r="CI24" s="225">
        <f>IF('CF表（ご主人様働けない時）'!CI$3="","",'CF表（ご主人様働けない時）'!CI24/10000)</f>
        <v/>
      </c>
      <c r="CJ24" s="225">
        <f>IF('CF表（ご主人様働けない時）'!CJ$3="","",'CF表（ご主人様働けない時）'!CJ24/10000)</f>
        <v/>
      </c>
      <c r="CK24" s="225">
        <f>IF('CF表（ご主人様働けない時）'!CK$3="","",'CF表（ご主人様働けない時）'!CK24/10000)</f>
        <v/>
      </c>
      <c r="CL24" s="225">
        <f>IF('CF表（ご主人様働けない時）'!CL$3="","",'CF表（ご主人様働けない時）'!CL24/10000)</f>
        <v/>
      </c>
      <c r="CM24" s="225">
        <f>IF('CF表（ご主人様働けない時）'!CM$3="","",'CF表（ご主人様働けない時）'!CM24/10000)</f>
        <v/>
      </c>
      <c r="CN24" s="225">
        <f>IF('CF表（ご主人様働けない時）'!CN$3="","",'CF表（ご主人様働けない時）'!CN24/10000)</f>
        <v/>
      </c>
      <c r="CO24" s="225">
        <f>IF('CF表（ご主人様働けない時）'!CO$3="","",'CF表（ご主人様働けない時）'!CO24/10000)</f>
        <v/>
      </c>
      <c r="CP24" s="225">
        <f>IF('CF表（ご主人様働けない時）'!CP$3="","",'CF表（ご主人様働けない時）'!CP24/10000)</f>
        <v/>
      </c>
      <c r="CQ24" s="225">
        <f>IF('CF表（ご主人様働けない時）'!CQ$3="","",'CF表（ご主人様働けない時）'!CQ24/10000)</f>
        <v/>
      </c>
      <c r="CR24" s="225">
        <f>IF('CF表（ご主人様働けない時）'!CR$3="","",'CF表（ご主人様働けない時）'!CR24/10000)</f>
        <v/>
      </c>
      <c r="CS24" s="225">
        <f>IF('CF表（ご主人様働けない時）'!CS$3="","",'CF表（ご主人様働けない時）'!CS24/10000)</f>
        <v/>
      </c>
      <c r="CT24" s="225">
        <f>IF('CF表（ご主人様働けない時）'!CT$3="","",'CF表（ご主人様働けない時）'!CT24/10000)</f>
        <v/>
      </c>
      <c r="CU24" s="225">
        <f>IF('CF表（ご主人様働けない時）'!CU$3="","",'CF表（ご主人様働けない時）'!CU24/10000)</f>
        <v/>
      </c>
      <c r="CV24" s="225">
        <f>IF('CF表（ご主人様働けない時）'!CV$3="","",'CF表（ご主人様働けない時）'!CV24/10000)</f>
        <v/>
      </c>
      <c r="CW24" s="225">
        <f>IF('CF表（ご主人様働けない時）'!CW$3="","",'CF表（ご主人様働けない時）'!CW24/10000)</f>
        <v/>
      </c>
    </row>
    <row r="25" ht="15" customHeight="1" s="180">
      <c r="A25" s="224" t="inlineStr">
        <is>
          <t>車関連費</t>
        </is>
      </c>
      <c r="B25" s="225">
        <f>IF('CF表（ご主人様働けない時）'!B$3="","",'CF表（ご主人様働けない時）'!B25/10000)</f>
        <v/>
      </c>
      <c r="C25" s="225">
        <f>IF('CF表（ご主人様働けない時）'!C$3="","",'CF表（ご主人様働けない時）'!C25/10000)</f>
        <v/>
      </c>
      <c r="D25" s="225">
        <f>IF('CF表（ご主人様働けない時）'!D$3="","",'CF表（ご主人様働けない時）'!D25/10000)</f>
        <v/>
      </c>
      <c r="E25" s="225">
        <f>IF('CF表（ご主人様働けない時）'!E$3="","",'CF表（ご主人様働けない時）'!E25/10000)</f>
        <v/>
      </c>
      <c r="F25" s="225">
        <f>IF('CF表（ご主人様働けない時）'!F$3="","",'CF表（ご主人様働けない時）'!F25/10000)</f>
        <v/>
      </c>
      <c r="G25" s="225">
        <f>IF('CF表（ご主人様働けない時）'!G$3="","",'CF表（ご主人様働けない時）'!G25/10000)</f>
        <v/>
      </c>
      <c r="H25" s="225">
        <f>IF('CF表（ご主人様働けない時）'!H$3="","",'CF表（ご主人様働けない時）'!H25/10000)</f>
        <v/>
      </c>
      <c r="I25" s="225">
        <f>IF('CF表（ご主人様働けない時）'!I$3="","",'CF表（ご主人様働けない時）'!I25/10000)</f>
        <v/>
      </c>
      <c r="J25" s="225">
        <f>IF('CF表（ご主人様働けない時）'!J$3="","",'CF表（ご主人様働けない時）'!J25/10000)</f>
        <v/>
      </c>
      <c r="K25" s="225">
        <f>IF('CF表（ご主人様働けない時）'!K$3="","",'CF表（ご主人様働けない時）'!K25/10000)</f>
        <v/>
      </c>
      <c r="L25" s="225">
        <f>IF('CF表（ご主人様働けない時）'!L$3="","",'CF表（ご主人様働けない時）'!L25/10000)</f>
        <v/>
      </c>
      <c r="M25" s="225">
        <f>IF('CF表（ご主人様働けない時）'!M$3="","",'CF表（ご主人様働けない時）'!M25/10000)</f>
        <v/>
      </c>
      <c r="N25" s="225">
        <f>IF('CF表（ご主人様働けない時）'!N$3="","",'CF表（ご主人様働けない時）'!N25/10000)</f>
        <v/>
      </c>
      <c r="O25" s="225">
        <f>IF('CF表（ご主人様働けない時）'!O$3="","",'CF表（ご主人様働けない時）'!O25/10000)</f>
        <v/>
      </c>
      <c r="P25" s="225">
        <f>IF('CF表（ご主人様働けない時）'!P$3="","",'CF表（ご主人様働けない時）'!P25/10000)</f>
        <v/>
      </c>
      <c r="Q25" s="225">
        <f>IF('CF表（ご主人様働けない時）'!Q$3="","",'CF表（ご主人様働けない時）'!Q25/10000)</f>
        <v/>
      </c>
      <c r="R25" s="225">
        <f>IF('CF表（ご主人様働けない時）'!R$3="","",'CF表（ご主人様働けない時）'!R25/10000)</f>
        <v/>
      </c>
      <c r="S25" s="225">
        <f>IF('CF表（ご主人様働けない時）'!S$3="","",'CF表（ご主人様働けない時）'!S25/10000)</f>
        <v/>
      </c>
      <c r="T25" s="225">
        <f>IF('CF表（ご主人様働けない時）'!T$3="","",'CF表（ご主人様働けない時）'!T25/10000)</f>
        <v/>
      </c>
      <c r="U25" s="225">
        <f>IF('CF表（ご主人様働けない時）'!U$3="","",'CF表（ご主人様働けない時）'!U25/10000)</f>
        <v/>
      </c>
      <c r="V25" s="225">
        <f>IF('CF表（ご主人様働けない時）'!V$3="","",'CF表（ご主人様働けない時）'!V25/10000)</f>
        <v/>
      </c>
      <c r="W25" s="225">
        <f>IF('CF表（ご主人様働けない時）'!W$3="","",'CF表（ご主人様働けない時）'!W25/10000)</f>
        <v/>
      </c>
      <c r="X25" s="225">
        <f>IF('CF表（ご主人様働けない時）'!X$3="","",'CF表（ご主人様働けない時）'!X25/10000)</f>
        <v/>
      </c>
      <c r="Y25" s="225">
        <f>IF('CF表（ご主人様働けない時）'!Y$3="","",'CF表（ご主人様働けない時）'!Y25/10000)</f>
        <v/>
      </c>
      <c r="Z25" s="225">
        <f>IF('CF表（ご主人様働けない時）'!Z$3="","",'CF表（ご主人様働けない時）'!Z25/10000)</f>
        <v/>
      </c>
      <c r="AA25" s="225">
        <f>IF('CF表（ご主人様働けない時）'!AA$3="","",'CF表（ご主人様働けない時）'!AA25/10000)</f>
        <v/>
      </c>
      <c r="AB25" s="225">
        <f>IF('CF表（ご主人様働けない時）'!AB$3="","",'CF表（ご主人様働けない時）'!AB25/10000)</f>
        <v/>
      </c>
      <c r="AC25" s="225">
        <f>IF('CF表（ご主人様働けない時）'!AC$3="","",'CF表（ご主人様働けない時）'!AC25/10000)</f>
        <v/>
      </c>
      <c r="AD25" s="225">
        <f>IF('CF表（ご主人様働けない時）'!AD$3="","",'CF表（ご主人様働けない時）'!AD25/10000)</f>
        <v/>
      </c>
      <c r="AE25" s="225">
        <f>IF('CF表（ご主人様働けない時）'!AE$3="","",'CF表（ご主人様働けない時）'!AE25/10000)</f>
        <v/>
      </c>
      <c r="AF25" s="225">
        <f>IF('CF表（ご主人様働けない時）'!AF$3="","",'CF表（ご主人様働けない時）'!AF25/10000)</f>
        <v/>
      </c>
      <c r="AG25" s="225">
        <f>IF('CF表（ご主人様働けない時）'!AG$3="","",'CF表（ご主人様働けない時）'!AG25/10000)</f>
        <v/>
      </c>
      <c r="AH25" s="225">
        <f>IF('CF表（ご主人様働けない時）'!AH$3="","",'CF表（ご主人様働けない時）'!AH25/10000)</f>
        <v/>
      </c>
      <c r="AI25" s="225">
        <f>IF('CF表（ご主人様働けない時）'!AI$3="","",'CF表（ご主人様働けない時）'!AI25/10000)</f>
        <v/>
      </c>
      <c r="AJ25" s="225">
        <f>IF('CF表（ご主人様働けない時）'!AJ$3="","",'CF表（ご主人様働けない時）'!AJ25/10000)</f>
        <v/>
      </c>
      <c r="AK25" s="225">
        <f>IF('CF表（ご主人様働けない時）'!AK$3="","",'CF表（ご主人様働けない時）'!AK25/10000)</f>
        <v/>
      </c>
      <c r="AL25" s="225">
        <f>IF('CF表（ご主人様働けない時）'!AL$3="","",'CF表（ご主人様働けない時）'!AL25/10000)</f>
        <v/>
      </c>
      <c r="AM25" s="225">
        <f>IF('CF表（ご主人様働けない時）'!AM$3="","",'CF表（ご主人様働けない時）'!AM25/10000)</f>
        <v/>
      </c>
      <c r="AN25" s="225">
        <f>IF('CF表（ご主人様働けない時）'!AN$3="","",'CF表（ご主人様働けない時）'!AN25/10000)</f>
        <v/>
      </c>
      <c r="AO25" s="225">
        <f>IF('CF表（ご主人様働けない時）'!AO$3="","",'CF表（ご主人様働けない時）'!AO25/10000)</f>
        <v/>
      </c>
      <c r="AP25" s="225">
        <f>IF('CF表（ご主人様働けない時）'!AP$3="","",'CF表（ご主人様働けない時）'!AP25/10000)</f>
        <v/>
      </c>
      <c r="AQ25" s="225">
        <f>IF('CF表（ご主人様働けない時）'!AQ$3="","",'CF表（ご主人様働けない時）'!AQ25/10000)</f>
        <v/>
      </c>
      <c r="AR25" s="225">
        <f>IF('CF表（ご主人様働けない時）'!AR$3="","",'CF表（ご主人様働けない時）'!AR25/10000)</f>
        <v/>
      </c>
      <c r="AS25" s="225">
        <f>IF('CF表（ご主人様働けない時）'!AS$3="","",'CF表（ご主人様働けない時）'!AS25/10000)</f>
        <v/>
      </c>
      <c r="AT25" s="225">
        <f>IF('CF表（ご主人様働けない時）'!AT$3="","",'CF表（ご主人様働けない時）'!AT25/10000)</f>
        <v/>
      </c>
      <c r="AU25" s="225">
        <f>IF('CF表（ご主人様働けない時）'!AU$3="","",'CF表（ご主人様働けない時）'!AU25/10000)</f>
        <v/>
      </c>
      <c r="AV25" s="225">
        <f>IF('CF表（ご主人様働けない時）'!AV$3="","",'CF表（ご主人様働けない時）'!AV25/10000)</f>
        <v/>
      </c>
      <c r="AW25" s="225">
        <f>IF('CF表（ご主人様働けない時）'!AW$3="","",'CF表（ご主人様働けない時）'!AW25/10000)</f>
        <v/>
      </c>
      <c r="AX25" s="225">
        <f>IF('CF表（ご主人様働けない時）'!AX$3="","",'CF表（ご主人様働けない時）'!AX25/10000)</f>
        <v/>
      </c>
      <c r="AY25" s="225">
        <f>IF('CF表（ご主人様働けない時）'!AY$3="","",'CF表（ご主人様働けない時）'!AY25/10000)</f>
        <v/>
      </c>
      <c r="AZ25" s="225">
        <f>IF('CF表（ご主人様働けない時）'!AZ$3="","",'CF表（ご主人様働けない時）'!AZ25/10000)</f>
        <v/>
      </c>
      <c r="BA25" s="225">
        <f>IF('CF表（ご主人様働けない時）'!BA$3="","",'CF表（ご主人様働けない時）'!BA25/10000)</f>
        <v/>
      </c>
      <c r="BB25" s="225">
        <f>IF('CF表（ご主人様働けない時）'!BB$3="","",'CF表（ご主人様働けない時）'!BB25/10000)</f>
        <v/>
      </c>
      <c r="BC25" s="225">
        <f>IF('CF表（ご主人様働けない時）'!BC$3="","",'CF表（ご主人様働けない時）'!BC25/10000)</f>
        <v/>
      </c>
      <c r="BD25" s="225">
        <f>IF('CF表（ご主人様働けない時）'!BD$3="","",'CF表（ご主人様働けない時）'!BD25/10000)</f>
        <v/>
      </c>
      <c r="BE25" s="225">
        <f>IF('CF表（ご主人様働けない時）'!BE$3="","",'CF表（ご主人様働けない時）'!BE25/10000)</f>
        <v/>
      </c>
      <c r="BF25" s="225">
        <f>IF('CF表（ご主人様働けない時）'!BF$3="","",'CF表（ご主人様働けない時）'!BF25/10000)</f>
        <v/>
      </c>
      <c r="BG25" s="225">
        <f>IF('CF表（ご主人様働けない時）'!BG$3="","",'CF表（ご主人様働けない時）'!BG25/10000)</f>
        <v/>
      </c>
      <c r="BH25" s="225">
        <f>IF('CF表（ご主人様働けない時）'!BH$3="","",'CF表（ご主人様働けない時）'!BH25/10000)</f>
        <v/>
      </c>
      <c r="BI25" s="225">
        <f>IF('CF表（ご主人様働けない時）'!BI$3="","",'CF表（ご主人様働けない時）'!BI25/10000)</f>
        <v/>
      </c>
      <c r="BJ25" s="225">
        <f>IF('CF表（ご主人様働けない時）'!BJ$3="","",'CF表（ご主人様働けない時）'!BJ25/10000)</f>
        <v/>
      </c>
      <c r="BK25" s="225">
        <f>IF('CF表（ご主人様働けない時）'!BK$3="","",'CF表（ご主人様働けない時）'!BK25/10000)</f>
        <v/>
      </c>
      <c r="BL25" s="225">
        <f>IF('CF表（ご主人様働けない時）'!BL$3="","",'CF表（ご主人様働けない時）'!BL25/10000)</f>
        <v/>
      </c>
      <c r="BM25" s="225">
        <f>IF('CF表（ご主人様働けない時）'!BM$3="","",'CF表（ご主人様働けない時）'!BM25/10000)</f>
        <v/>
      </c>
      <c r="BN25" s="225">
        <f>IF('CF表（ご主人様働けない時）'!BN$3="","",'CF表（ご主人様働けない時）'!BN25/10000)</f>
        <v/>
      </c>
      <c r="BO25" s="225">
        <f>IF('CF表（ご主人様働けない時）'!BO$3="","",'CF表（ご主人様働けない時）'!BO25/10000)</f>
        <v/>
      </c>
      <c r="BP25" s="225">
        <f>IF('CF表（ご主人様働けない時）'!BP$3="","",'CF表（ご主人様働けない時）'!BP25/10000)</f>
        <v/>
      </c>
      <c r="BQ25" s="225">
        <f>IF('CF表（ご主人様働けない時）'!BQ$3="","",'CF表（ご主人様働けない時）'!BQ25/10000)</f>
        <v/>
      </c>
      <c r="BR25" s="225">
        <f>IF('CF表（ご主人様働けない時）'!BR$3="","",'CF表（ご主人様働けない時）'!BR25/10000)</f>
        <v/>
      </c>
      <c r="BS25" s="225">
        <f>IF('CF表（ご主人様働けない時）'!BS$3="","",'CF表（ご主人様働けない時）'!BS25/10000)</f>
        <v/>
      </c>
      <c r="BT25" s="225">
        <f>IF('CF表（ご主人様働けない時）'!BT$3="","",'CF表（ご主人様働けない時）'!BT25/10000)</f>
        <v/>
      </c>
      <c r="BU25" s="225">
        <f>IF('CF表（ご主人様働けない時）'!BU$3="","",'CF表（ご主人様働けない時）'!BU25/10000)</f>
        <v/>
      </c>
      <c r="BV25" s="225">
        <f>IF('CF表（ご主人様働けない時）'!BV$3="","",'CF表（ご主人様働けない時）'!BV25/10000)</f>
        <v/>
      </c>
      <c r="BW25" s="225">
        <f>IF('CF表（ご主人様働けない時）'!BW$3="","",'CF表（ご主人様働けない時）'!BW25/10000)</f>
        <v/>
      </c>
      <c r="BX25" s="225">
        <f>IF('CF表（ご主人様働けない時）'!BX$3="","",'CF表（ご主人様働けない時）'!BX25/10000)</f>
        <v/>
      </c>
      <c r="BY25" s="225">
        <f>IF('CF表（ご主人様働けない時）'!BY$3="","",'CF表（ご主人様働けない時）'!BY25/10000)</f>
        <v/>
      </c>
      <c r="BZ25" s="225">
        <f>IF('CF表（ご主人様働けない時）'!BZ$3="","",'CF表（ご主人様働けない時）'!BZ25/10000)</f>
        <v/>
      </c>
      <c r="CA25" s="225">
        <f>IF('CF表（ご主人様働けない時）'!CA$3="","",'CF表（ご主人様働けない時）'!CA25/10000)</f>
        <v/>
      </c>
      <c r="CB25" s="225">
        <f>IF('CF表（ご主人様働けない時）'!CB$3="","",'CF表（ご主人様働けない時）'!CB25/10000)</f>
        <v/>
      </c>
      <c r="CC25" s="225">
        <f>IF('CF表（ご主人様働けない時）'!CC$3="","",'CF表（ご主人様働けない時）'!CC25/10000)</f>
        <v/>
      </c>
      <c r="CD25" s="225">
        <f>IF('CF表（ご主人様働けない時）'!CD$3="","",'CF表（ご主人様働けない時）'!CD25/10000)</f>
        <v/>
      </c>
      <c r="CE25" s="225">
        <f>IF('CF表（ご主人様働けない時）'!CE$3="","",'CF表（ご主人様働けない時）'!CE25/10000)</f>
        <v/>
      </c>
      <c r="CF25" s="225">
        <f>IF('CF表（ご主人様働けない時）'!CF$3="","",'CF表（ご主人様働けない時）'!CF25/10000)</f>
        <v/>
      </c>
      <c r="CG25" s="225">
        <f>IF('CF表（ご主人様働けない時）'!CG$3="","",'CF表（ご主人様働けない時）'!CG25/10000)</f>
        <v/>
      </c>
      <c r="CH25" s="225">
        <f>IF('CF表（ご主人様働けない時）'!CH$3="","",'CF表（ご主人様働けない時）'!CH25/10000)</f>
        <v/>
      </c>
      <c r="CI25" s="225">
        <f>IF('CF表（ご主人様働けない時）'!CI$3="","",'CF表（ご主人様働けない時）'!CI25/10000)</f>
        <v/>
      </c>
      <c r="CJ25" s="225">
        <f>IF('CF表（ご主人様働けない時）'!CJ$3="","",'CF表（ご主人様働けない時）'!CJ25/10000)</f>
        <v/>
      </c>
      <c r="CK25" s="225">
        <f>IF('CF表（ご主人様働けない時）'!CK$3="","",'CF表（ご主人様働けない時）'!CK25/10000)</f>
        <v/>
      </c>
      <c r="CL25" s="225">
        <f>IF('CF表（ご主人様働けない時）'!CL$3="","",'CF表（ご主人様働けない時）'!CL25/10000)</f>
        <v/>
      </c>
      <c r="CM25" s="225">
        <f>IF('CF表（ご主人様働けない時）'!CM$3="","",'CF表（ご主人様働けない時）'!CM25/10000)</f>
        <v/>
      </c>
      <c r="CN25" s="225">
        <f>IF('CF表（ご主人様働けない時）'!CN$3="","",'CF表（ご主人様働けない時）'!CN25/10000)</f>
        <v/>
      </c>
      <c r="CO25" s="225">
        <f>IF('CF表（ご主人様働けない時）'!CO$3="","",'CF表（ご主人様働けない時）'!CO25/10000)</f>
        <v/>
      </c>
      <c r="CP25" s="225">
        <f>IF('CF表（ご主人様働けない時）'!CP$3="","",'CF表（ご主人様働けない時）'!CP25/10000)</f>
        <v/>
      </c>
      <c r="CQ25" s="225">
        <f>IF('CF表（ご主人様働けない時）'!CQ$3="","",'CF表（ご主人様働けない時）'!CQ25/10000)</f>
        <v/>
      </c>
      <c r="CR25" s="225">
        <f>IF('CF表（ご主人様働けない時）'!CR$3="","",'CF表（ご主人様働けない時）'!CR25/10000)</f>
        <v/>
      </c>
      <c r="CS25" s="225">
        <f>IF('CF表（ご主人様働けない時）'!CS$3="","",'CF表（ご主人様働けない時）'!CS25/10000)</f>
        <v/>
      </c>
      <c r="CT25" s="225">
        <f>IF('CF表（ご主人様働けない時）'!CT$3="","",'CF表（ご主人様働けない時）'!CT25/10000)</f>
        <v/>
      </c>
      <c r="CU25" s="225">
        <f>IF('CF表（ご主人様働けない時）'!CU$3="","",'CF表（ご主人様働けない時）'!CU25/10000)</f>
        <v/>
      </c>
      <c r="CV25" s="225">
        <f>IF('CF表（ご主人様働けない時）'!CV$3="","",'CF表（ご主人様働けない時）'!CV25/10000)</f>
        <v/>
      </c>
      <c r="CW25" s="225">
        <f>IF('CF表（ご主人様働けない時）'!CW$3="","",'CF表（ご主人様働けない時）'!CW25/10000)</f>
        <v/>
      </c>
    </row>
    <row r="26" ht="15" customHeight="1" s="180">
      <c r="A26" s="224" t="inlineStr">
        <is>
          <t>その他支出</t>
        </is>
      </c>
      <c r="B26" s="225">
        <f>IF('CF表（ご主人様働けない時）'!B$3="","",'CF表（ご主人様働けない時）'!B26/10000)</f>
        <v/>
      </c>
      <c r="C26" s="225">
        <f>IF('CF表（ご主人様働けない時）'!C$3="","",'CF表（ご主人様働けない時）'!C26/10000)</f>
        <v/>
      </c>
      <c r="D26" s="225">
        <f>IF('CF表（ご主人様働けない時）'!D$3="","",'CF表（ご主人様働けない時）'!D26/10000)</f>
        <v/>
      </c>
      <c r="E26" s="225">
        <f>IF('CF表（ご主人様働けない時）'!E$3="","",'CF表（ご主人様働けない時）'!E26/10000)</f>
        <v/>
      </c>
      <c r="F26" s="225">
        <f>IF('CF表（ご主人様働けない時）'!F$3="","",'CF表（ご主人様働けない時）'!F26/10000)</f>
        <v/>
      </c>
      <c r="G26" s="225">
        <f>IF('CF表（ご主人様働けない時）'!G$3="","",'CF表（ご主人様働けない時）'!G26/10000)</f>
        <v/>
      </c>
      <c r="H26" s="225">
        <f>IF('CF表（ご主人様働けない時）'!H$3="","",'CF表（ご主人様働けない時）'!H26/10000)</f>
        <v/>
      </c>
      <c r="I26" s="225">
        <f>IF('CF表（ご主人様働けない時）'!I$3="","",'CF表（ご主人様働けない時）'!I26/10000)</f>
        <v/>
      </c>
      <c r="J26" s="225">
        <f>IF('CF表（ご主人様働けない時）'!J$3="","",'CF表（ご主人様働けない時）'!J26/10000)</f>
        <v/>
      </c>
      <c r="K26" s="225">
        <f>IF('CF表（ご主人様働けない時）'!K$3="","",'CF表（ご主人様働けない時）'!K26/10000)</f>
        <v/>
      </c>
      <c r="L26" s="225">
        <f>IF('CF表（ご主人様働けない時）'!L$3="","",'CF表（ご主人様働けない時）'!L26/10000)</f>
        <v/>
      </c>
      <c r="M26" s="225">
        <f>IF('CF表（ご主人様働けない時）'!M$3="","",'CF表（ご主人様働けない時）'!M26/10000)</f>
        <v/>
      </c>
      <c r="N26" s="225">
        <f>IF('CF表（ご主人様働けない時）'!N$3="","",'CF表（ご主人様働けない時）'!N26/10000)</f>
        <v/>
      </c>
      <c r="O26" s="225">
        <f>IF('CF表（ご主人様働けない時）'!O$3="","",'CF表（ご主人様働けない時）'!O26/10000)</f>
        <v/>
      </c>
      <c r="P26" s="225">
        <f>IF('CF表（ご主人様働けない時）'!P$3="","",'CF表（ご主人様働けない時）'!P26/10000)</f>
        <v/>
      </c>
      <c r="Q26" s="225">
        <f>IF('CF表（ご主人様働けない時）'!Q$3="","",'CF表（ご主人様働けない時）'!Q26/10000)</f>
        <v/>
      </c>
      <c r="R26" s="225">
        <f>IF('CF表（ご主人様働けない時）'!R$3="","",'CF表（ご主人様働けない時）'!R26/10000)</f>
        <v/>
      </c>
      <c r="S26" s="225">
        <f>IF('CF表（ご主人様働けない時）'!S$3="","",'CF表（ご主人様働けない時）'!S26/10000)</f>
        <v/>
      </c>
      <c r="T26" s="225">
        <f>IF('CF表（ご主人様働けない時）'!T$3="","",'CF表（ご主人様働けない時）'!T26/10000)</f>
        <v/>
      </c>
      <c r="U26" s="225">
        <f>IF('CF表（ご主人様働けない時）'!U$3="","",'CF表（ご主人様働けない時）'!U26/10000)</f>
        <v/>
      </c>
      <c r="V26" s="225">
        <f>IF('CF表（ご主人様働けない時）'!V$3="","",'CF表（ご主人様働けない時）'!V26/10000)</f>
        <v/>
      </c>
      <c r="W26" s="225">
        <f>IF('CF表（ご主人様働けない時）'!W$3="","",'CF表（ご主人様働けない時）'!W26/10000)</f>
        <v/>
      </c>
      <c r="X26" s="225">
        <f>IF('CF表（ご主人様働けない時）'!X$3="","",'CF表（ご主人様働けない時）'!X26/10000)</f>
        <v/>
      </c>
      <c r="Y26" s="225">
        <f>IF('CF表（ご主人様働けない時）'!Y$3="","",'CF表（ご主人様働けない時）'!Y26/10000)</f>
        <v/>
      </c>
      <c r="Z26" s="225">
        <f>IF('CF表（ご主人様働けない時）'!Z$3="","",'CF表（ご主人様働けない時）'!Z26/10000)</f>
        <v/>
      </c>
      <c r="AA26" s="225">
        <f>IF('CF表（ご主人様働けない時）'!AA$3="","",'CF表（ご主人様働けない時）'!AA26/10000)</f>
        <v/>
      </c>
      <c r="AB26" s="225">
        <f>IF('CF表（ご主人様働けない時）'!AB$3="","",'CF表（ご主人様働けない時）'!AB26/10000)</f>
        <v/>
      </c>
      <c r="AC26" s="225">
        <f>IF('CF表（ご主人様働けない時）'!AC$3="","",'CF表（ご主人様働けない時）'!AC26/10000)</f>
        <v/>
      </c>
      <c r="AD26" s="225">
        <f>IF('CF表（ご主人様働けない時）'!AD$3="","",'CF表（ご主人様働けない時）'!AD26/10000)</f>
        <v/>
      </c>
      <c r="AE26" s="225">
        <f>IF('CF表（ご主人様働けない時）'!AE$3="","",'CF表（ご主人様働けない時）'!AE26/10000)</f>
        <v/>
      </c>
      <c r="AF26" s="225">
        <f>IF('CF表（ご主人様働けない時）'!AF$3="","",'CF表（ご主人様働けない時）'!AF26/10000)</f>
        <v/>
      </c>
      <c r="AG26" s="225">
        <f>IF('CF表（ご主人様働けない時）'!AG$3="","",'CF表（ご主人様働けない時）'!AG26/10000)</f>
        <v/>
      </c>
      <c r="AH26" s="225">
        <f>IF('CF表（ご主人様働けない時）'!AH$3="","",'CF表（ご主人様働けない時）'!AH26/10000)</f>
        <v/>
      </c>
      <c r="AI26" s="225">
        <f>IF('CF表（ご主人様働けない時）'!AI$3="","",'CF表（ご主人様働けない時）'!AI26/10000)</f>
        <v/>
      </c>
      <c r="AJ26" s="225">
        <f>IF('CF表（ご主人様働けない時）'!AJ$3="","",'CF表（ご主人様働けない時）'!AJ26/10000)</f>
        <v/>
      </c>
      <c r="AK26" s="225">
        <f>IF('CF表（ご主人様働けない時）'!AK$3="","",'CF表（ご主人様働けない時）'!AK26/10000)</f>
        <v/>
      </c>
      <c r="AL26" s="225">
        <f>IF('CF表（ご主人様働けない時）'!AL$3="","",'CF表（ご主人様働けない時）'!AL26/10000)</f>
        <v/>
      </c>
      <c r="AM26" s="225">
        <f>IF('CF表（ご主人様働けない時）'!AM$3="","",'CF表（ご主人様働けない時）'!AM26/10000)</f>
        <v/>
      </c>
      <c r="AN26" s="225">
        <f>IF('CF表（ご主人様働けない時）'!AN$3="","",'CF表（ご主人様働けない時）'!AN26/10000)</f>
        <v/>
      </c>
      <c r="AO26" s="225">
        <f>IF('CF表（ご主人様働けない時）'!AO$3="","",'CF表（ご主人様働けない時）'!AO26/10000)</f>
        <v/>
      </c>
      <c r="AP26" s="225">
        <f>IF('CF表（ご主人様働けない時）'!AP$3="","",'CF表（ご主人様働けない時）'!AP26/10000)</f>
        <v/>
      </c>
      <c r="AQ26" s="225">
        <f>IF('CF表（ご主人様働けない時）'!AQ$3="","",'CF表（ご主人様働けない時）'!AQ26/10000)</f>
        <v/>
      </c>
      <c r="AR26" s="225">
        <f>IF('CF表（ご主人様働けない時）'!AR$3="","",'CF表（ご主人様働けない時）'!AR26/10000)</f>
        <v/>
      </c>
      <c r="AS26" s="225">
        <f>IF('CF表（ご主人様働けない時）'!AS$3="","",'CF表（ご主人様働けない時）'!AS26/10000)</f>
        <v/>
      </c>
      <c r="AT26" s="225">
        <f>IF('CF表（ご主人様働けない時）'!AT$3="","",'CF表（ご主人様働けない時）'!AT26/10000)</f>
        <v/>
      </c>
      <c r="AU26" s="225">
        <f>IF('CF表（ご主人様働けない時）'!AU$3="","",'CF表（ご主人様働けない時）'!AU26/10000)</f>
        <v/>
      </c>
      <c r="AV26" s="225">
        <f>IF('CF表（ご主人様働けない時）'!AV$3="","",'CF表（ご主人様働けない時）'!AV26/10000)</f>
        <v/>
      </c>
      <c r="AW26" s="225">
        <f>IF('CF表（ご主人様働けない時）'!AW$3="","",'CF表（ご主人様働けない時）'!AW26/10000)</f>
        <v/>
      </c>
      <c r="AX26" s="225">
        <f>IF('CF表（ご主人様働けない時）'!AX$3="","",'CF表（ご主人様働けない時）'!AX26/10000)</f>
        <v/>
      </c>
      <c r="AY26" s="225">
        <f>IF('CF表（ご主人様働けない時）'!AY$3="","",'CF表（ご主人様働けない時）'!AY26/10000)</f>
        <v/>
      </c>
      <c r="AZ26" s="225">
        <f>IF('CF表（ご主人様働けない時）'!AZ$3="","",'CF表（ご主人様働けない時）'!AZ26/10000)</f>
        <v/>
      </c>
      <c r="BA26" s="225">
        <f>IF('CF表（ご主人様働けない時）'!BA$3="","",'CF表（ご主人様働けない時）'!BA26/10000)</f>
        <v/>
      </c>
      <c r="BB26" s="225">
        <f>IF('CF表（ご主人様働けない時）'!BB$3="","",'CF表（ご主人様働けない時）'!BB26/10000)</f>
        <v/>
      </c>
      <c r="BC26" s="225">
        <f>IF('CF表（ご主人様働けない時）'!BC$3="","",'CF表（ご主人様働けない時）'!BC26/10000)</f>
        <v/>
      </c>
      <c r="BD26" s="225">
        <f>IF('CF表（ご主人様働けない時）'!BD$3="","",'CF表（ご主人様働けない時）'!BD26/10000)</f>
        <v/>
      </c>
      <c r="BE26" s="225">
        <f>IF('CF表（ご主人様働けない時）'!BE$3="","",'CF表（ご主人様働けない時）'!BE26/10000)</f>
        <v/>
      </c>
      <c r="BF26" s="225">
        <f>IF('CF表（ご主人様働けない時）'!BF$3="","",'CF表（ご主人様働けない時）'!BF26/10000)</f>
        <v/>
      </c>
      <c r="BG26" s="225">
        <f>IF('CF表（ご主人様働けない時）'!BG$3="","",'CF表（ご主人様働けない時）'!BG26/10000)</f>
        <v/>
      </c>
      <c r="BH26" s="225">
        <f>IF('CF表（ご主人様働けない時）'!BH$3="","",'CF表（ご主人様働けない時）'!BH26/10000)</f>
        <v/>
      </c>
      <c r="BI26" s="225">
        <f>IF('CF表（ご主人様働けない時）'!BI$3="","",'CF表（ご主人様働けない時）'!BI26/10000)</f>
        <v/>
      </c>
      <c r="BJ26" s="225">
        <f>IF('CF表（ご主人様働けない時）'!BJ$3="","",'CF表（ご主人様働けない時）'!BJ26/10000)</f>
        <v/>
      </c>
      <c r="BK26" s="225">
        <f>IF('CF表（ご主人様働けない時）'!BK$3="","",'CF表（ご主人様働けない時）'!BK26/10000)</f>
        <v/>
      </c>
      <c r="BL26" s="225">
        <f>IF('CF表（ご主人様働けない時）'!BL$3="","",'CF表（ご主人様働けない時）'!BL26/10000)</f>
        <v/>
      </c>
      <c r="BM26" s="225">
        <f>IF('CF表（ご主人様働けない時）'!BM$3="","",'CF表（ご主人様働けない時）'!BM26/10000)</f>
        <v/>
      </c>
      <c r="BN26" s="225">
        <f>IF('CF表（ご主人様働けない時）'!BN$3="","",'CF表（ご主人様働けない時）'!BN26/10000)</f>
        <v/>
      </c>
      <c r="BO26" s="225">
        <f>IF('CF表（ご主人様働けない時）'!BO$3="","",'CF表（ご主人様働けない時）'!BO26/10000)</f>
        <v/>
      </c>
      <c r="BP26" s="225">
        <f>IF('CF表（ご主人様働けない時）'!BP$3="","",'CF表（ご主人様働けない時）'!BP26/10000)</f>
        <v/>
      </c>
      <c r="BQ26" s="225">
        <f>IF('CF表（ご主人様働けない時）'!BQ$3="","",'CF表（ご主人様働けない時）'!BQ26/10000)</f>
        <v/>
      </c>
      <c r="BR26" s="225">
        <f>IF('CF表（ご主人様働けない時）'!BR$3="","",'CF表（ご主人様働けない時）'!BR26/10000)</f>
        <v/>
      </c>
      <c r="BS26" s="225">
        <f>IF('CF表（ご主人様働けない時）'!BS$3="","",'CF表（ご主人様働けない時）'!BS26/10000)</f>
        <v/>
      </c>
      <c r="BT26" s="225">
        <f>IF('CF表（ご主人様働けない時）'!BT$3="","",'CF表（ご主人様働けない時）'!BT26/10000)</f>
        <v/>
      </c>
      <c r="BU26" s="225">
        <f>IF('CF表（ご主人様働けない時）'!BU$3="","",'CF表（ご主人様働けない時）'!BU26/10000)</f>
        <v/>
      </c>
      <c r="BV26" s="225">
        <f>IF('CF表（ご主人様働けない時）'!BV$3="","",'CF表（ご主人様働けない時）'!BV26/10000)</f>
        <v/>
      </c>
      <c r="BW26" s="225">
        <f>IF('CF表（ご主人様働けない時）'!BW$3="","",'CF表（ご主人様働けない時）'!BW26/10000)</f>
        <v/>
      </c>
      <c r="BX26" s="225">
        <f>IF('CF表（ご主人様働けない時）'!BX$3="","",'CF表（ご主人様働けない時）'!BX26/10000)</f>
        <v/>
      </c>
      <c r="BY26" s="225">
        <f>IF('CF表（ご主人様働けない時）'!BY$3="","",'CF表（ご主人様働けない時）'!BY26/10000)</f>
        <v/>
      </c>
      <c r="BZ26" s="225">
        <f>IF('CF表（ご主人様働けない時）'!BZ$3="","",'CF表（ご主人様働けない時）'!BZ26/10000)</f>
        <v/>
      </c>
      <c r="CA26" s="225">
        <f>IF('CF表（ご主人様働けない時）'!CA$3="","",'CF表（ご主人様働けない時）'!CA26/10000)</f>
        <v/>
      </c>
      <c r="CB26" s="225">
        <f>IF('CF表（ご主人様働けない時）'!CB$3="","",'CF表（ご主人様働けない時）'!CB26/10000)</f>
        <v/>
      </c>
      <c r="CC26" s="225">
        <f>IF('CF表（ご主人様働けない時）'!CC$3="","",'CF表（ご主人様働けない時）'!CC26/10000)</f>
        <v/>
      </c>
      <c r="CD26" s="225">
        <f>IF('CF表（ご主人様働けない時）'!CD$3="","",'CF表（ご主人様働けない時）'!CD26/10000)</f>
        <v/>
      </c>
      <c r="CE26" s="225">
        <f>IF('CF表（ご主人様働けない時）'!CE$3="","",'CF表（ご主人様働けない時）'!CE26/10000)</f>
        <v/>
      </c>
      <c r="CF26" s="225">
        <f>IF('CF表（ご主人様働けない時）'!CF$3="","",'CF表（ご主人様働けない時）'!CF26/10000)</f>
        <v/>
      </c>
      <c r="CG26" s="225">
        <f>IF('CF表（ご主人様働けない時）'!CG$3="","",'CF表（ご主人様働けない時）'!CG26/10000)</f>
        <v/>
      </c>
      <c r="CH26" s="225">
        <f>IF('CF表（ご主人様働けない時）'!CH$3="","",'CF表（ご主人様働けない時）'!CH26/10000)</f>
        <v/>
      </c>
      <c r="CI26" s="225">
        <f>IF('CF表（ご主人様働けない時）'!CI$3="","",'CF表（ご主人様働けない時）'!CI26/10000)</f>
        <v/>
      </c>
      <c r="CJ26" s="225">
        <f>IF('CF表（ご主人様働けない時）'!CJ$3="","",'CF表（ご主人様働けない時）'!CJ26/10000)</f>
        <v/>
      </c>
      <c r="CK26" s="225">
        <f>IF('CF表（ご主人様働けない時）'!CK$3="","",'CF表（ご主人様働けない時）'!CK26/10000)</f>
        <v/>
      </c>
      <c r="CL26" s="225">
        <f>IF('CF表（ご主人様働けない時）'!CL$3="","",'CF表（ご主人様働けない時）'!CL26/10000)</f>
        <v/>
      </c>
      <c r="CM26" s="225">
        <f>IF('CF表（ご主人様働けない時）'!CM$3="","",'CF表（ご主人様働けない時）'!CM26/10000)</f>
        <v/>
      </c>
      <c r="CN26" s="225">
        <f>IF('CF表（ご主人様働けない時）'!CN$3="","",'CF表（ご主人様働けない時）'!CN26/10000)</f>
        <v/>
      </c>
      <c r="CO26" s="225">
        <f>IF('CF表（ご主人様働けない時）'!CO$3="","",'CF表（ご主人様働けない時）'!CO26/10000)</f>
        <v/>
      </c>
      <c r="CP26" s="225">
        <f>IF('CF表（ご主人様働けない時）'!CP$3="","",'CF表（ご主人様働けない時）'!CP26/10000)</f>
        <v/>
      </c>
      <c r="CQ26" s="225">
        <f>IF('CF表（ご主人様働けない時）'!CQ$3="","",'CF表（ご主人様働けない時）'!CQ26/10000)</f>
        <v/>
      </c>
      <c r="CR26" s="225">
        <f>IF('CF表（ご主人様働けない時）'!CR$3="","",'CF表（ご主人様働けない時）'!CR26/10000)</f>
        <v/>
      </c>
      <c r="CS26" s="225">
        <f>IF('CF表（ご主人様働けない時）'!CS$3="","",'CF表（ご主人様働けない時）'!CS26/10000)</f>
        <v/>
      </c>
      <c r="CT26" s="225">
        <f>IF('CF表（ご主人様働けない時）'!CT$3="","",'CF表（ご主人様働けない時）'!CT26/10000)</f>
        <v/>
      </c>
      <c r="CU26" s="225">
        <f>IF('CF表（ご主人様働けない時）'!CU$3="","",'CF表（ご主人様働けない時）'!CU26/10000)</f>
        <v/>
      </c>
      <c r="CV26" s="225">
        <f>IF('CF表（ご主人様働けない時）'!CV$3="","",'CF表（ご主人様働けない時）'!CV26/10000)</f>
        <v/>
      </c>
      <c r="CW26" s="225">
        <f>IF('CF表（ご主人様働けない時）'!CW$3="","",'CF表（ご主人様働けない時）'!CW26/10000)</f>
        <v/>
      </c>
    </row>
    <row r="27" ht="15" customHeight="1" s="180">
      <c r="A27" s="224" t="inlineStr">
        <is>
          <t>一時支出</t>
        </is>
      </c>
      <c r="B27" s="225">
        <f>IF('CF表（ご主人様働けない時）'!B$3="","",'CF表（ご主人様働けない時）'!B27/10000)</f>
        <v/>
      </c>
      <c r="C27" s="225">
        <f>IF('CF表（ご主人様働けない時）'!C$3="","",'CF表（ご主人様働けない時）'!C27/10000)</f>
        <v/>
      </c>
      <c r="D27" s="225">
        <f>IF('CF表（ご主人様働けない時）'!D$3="","",'CF表（ご主人様働けない時）'!D27/10000)</f>
        <v/>
      </c>
      <c r="E27" s="225">
        <f>IF('CF表（ご主人様働けない時）'!E$3="","",'CF表（ご主人様働けない時）'!E27/10000)</f>
        <v/>
      </c>
      <c r="F27" s="225">
        <f>IF('CF表（ご主人様働けない時）'!F$3="","",'CF表（ご主人様働けない時）'!F27/10000)</f>
        <v/>
      </c>
      <c r="G27" s="225">
        <f>IF('CF表（ご主人様働けない時）'!G$3="","",'CF表（ご主人様働けない時）'!G27/10000)</f>
        <v/>
      </c>
      <c r="H27" s="225">
        <f>IF('CF表（ご主人様働けない時）'!H$3="","",'CF表（ご主人様働けない時）'!H27/10000)</f>
        <v/>
      </c>
      <c r="I27" s="225">
        <f>IF('CF表（ご主人様働けない時）'!I$3="","",'CF表（ご主人様働けない時）'!I27/10000)</f>
        <v/>
      </c>
      <c r="J27" s="225">
        <f>IF('CF表（ご主人様働けない時）'!J$3="","",'CF表（ご主人様働けない時）'!J27/10000)</f>
        <v/>
      </c>
      <c r="K27" s="225">
        <f>IF('CF表（ご主人様働けない時）'!K$3="","",'CF表（ご主人様働けない時）'!K27/10000)</f>
        <v/>
      </c>
      <c r="L27" s="225">
        <f>IF('CF表（ご主人様働けない時）'!L$3="","",'CF表（ご主人様働けない時）'!L27/10000)</f>
        <v/>
      </c>
      <c r="M27" s="225">
        <f>IF('CF表（ご主人様働けない時）'!M$3="","",'CF表（ご主人様働けない時）'!M27/10000)</f>
        <v/>
      </c>
      <c r="N27" s="225">
        <f>IF('CF表（ご主人様働けない時）'!N$3="","",'CF表（ご主人様働けない時）'!N27/10000)</f>
        <v/>
      </c>
      <c r="O27" s="225">
        <f>IF('CF表（ご主人様働けない時）'!O$3="","",'CF表（ご主人様働けない時）'!O27/10000)</f>
        <v/>
      </c>
      <c r="P27" s="225">
        <f>IF('CF表（ご主人様働けない時）'!P$3="","",'CF表（ご主人様働けない時）'!P27/10000)</f>
        <v/>
      </c>
      <c r="Q27" s="225">
        <f>IF('CF表（ご主人様働けない時）'!Q$3="","",'CF表（ご主人様働けない時）'!Q27/10000)</f>
        <v/>
      </c>
      <c r="R27" s="225">
        <f>IF('CF表（ご主人様働けない時）'!R$3="","",'CF表（ご主人様働けない時）'!R27/10000)</f>
        <v/>
      </c>
      <c r="S27" s="225">
        <f>IF('CF表（ご主人様働けない時）'!S$3="","",'CF表（ご主人様働けない時）'!S27/10000)</f>
        <v/>
      </c>
      <c r="T27" s="225">
        <f>IF('CF表（ご主人様働けない時）'!T$3="","",'CF表（ご主人様働けない時）'!T27/10000)</f>
        <v/>
      </c>
      <c r="U27" s="225">
        <f>IF('CF表（ご主人様働けない時）'!U$3="","",'CF表（ご主人様働けない時）'!U27/10000)</f>
        <v/>
      </c>
      <c r="V27" s="225">
        <f>IF('CF表（ご主人様働けない時）'!V$3="","",'CF表（ご主人様働けない時）'!V27/10000)</f>
        <v/>
      </c>
      <c r="W27" s="225">
        <f>IF('CF表（ご主人様働けない時）'!W$3="","",'CF表（ご主人様働けない時）'!W27/10000)</f>
        <v/>
      </c>
      <c r="X27" s="225">
        <f>IF('CF表（ご主人様働けない時）'!X$3="","",'CF表（ご主人様働けない時）'!X27/10000)</f>
        <v/>
      </c>
      <c r="Y27" s="225">
        <f>IF('CF表（ご主人様働けない時）'!Y$3="","",'CF表（ご主人様働けない時）'!Y27/10000)</f>
        <v/>
      </c>
      <c r="Z27" s="225">
        <f>IF('CF表（ご主人様働けない時）'!Z$3="","",'CF表（ご主人様働けない時）'!Z27/10000)</f>
        <v/>
      </c>
      <c r="AA27" s="225">
        <f>IF('CF表（ご主人様働けない時）'!AA$3="","",'CF表（ご主人様働けない時）'!AA27/10000)</f>
        <v/>
      </c>
      <c r="AB27" s="225">
        <f>IF('CF表（ご主人様働けない時）'!AB$3="","",'CF表（ご主人様働けない時）'!AB27/10000)</f>
        <v/>
      </c>
      <c r="AC27" s="225">
        <f>IF('CF表（ご主人様働けない時）'!AC$3="","",'CF表（ご主人様働けない時）'!AC27/10000)</f>
        <v/>
      </c>
      <c r="AD27" s="225">
        <f>IF('CF表（ご主人様働けない時）'!AD$3="","",'CF表（ご主人様働けない時）'!AD27/10000)</f>
        <v/>
      </c>
      <c r="AE27" s="225">
        <f>IF('CF表（ご主人様働けない時）'!AE$3="","",'CF表（ご主人様働けない時）'!AE27/10000)</f>
        <v/>
      </c>
      <c r="AF27" s="225">
        <f>IF('CF表（ご主人様働けない時）'!AF$3="","",'CF表（ご主人様働けない時）'!AF27/10000)</f>
        <v/>
      </c>
      <c r="AG27" s="225">
        <f>IF('CF表（ご主人様働けない時）'!AG$3="","",'CF表（ご主人様働けない時）'!AG27/10000)</f>
        <v/>
      </c>
      <c r="AH27" s="225">
        <f>IF('CF表（ご主人様働けない時）'!AH$3="","",'CF表（ご主人様働けない時）'!AH27/10000)</f>
        <v/>
      </c>
      <c r="AI27" s="225">
        <f>IF('CF表（ご主人様働けない時）'!AI$3="","",'CF表（ご主人様働けない時）'!AI27/10000)</f>
        <v/>
      </c>
      <c r="AJ27" s="225">
        <f>IF('CF表（ご主人様働けない時）'!AJ$3="","",'CF表（ご主人様働けない時）'!AJ27/10000)</f>
        <v/>
      </c>
      <c r="AK27" s="225">
        <f>IF('CF表（ご主人様働けない時）'!AK$3="","",'CF表（ご主人様働けない時）'!AK27/10000)</f>
        <v/>
      </c>
      <c r="AL27" s="225">
        <f>IF('CF表（ご主人様働けない時）'!AL$3="","",'CF表（ご主人様働けない時）'!AL27/10000)</f>
        <v/>
      </c>
      <c r="AM27" s="225">
        <f>IF('CF表（ご主人様働けない時）'!AM$3="","",'CF表（ご主人様働けない時）'!AM27/10000)</f>
        <v/>
      </c>
      <c r="AN27" s="225">
        <f>IF('CF表（ご主人様働けない時）'!AN$3="","",'CF表（ご主人様働けない時）'!AN27/10000)</f>
        <v/>
      </c>
      <c r="AO27" s="225">
        <f>IF('CF表（ご主人様働けない時）'!AO$3="","",'CF表（ご主人様働けない時）'!AO27/10000)</f>
        <v/>
      </c>
      <c r="AP27" s="225">
        <f>IF('CF表（ご主人様働けない時）'!AP$3="","",'CF表（ご主人様働けない時）'!AP27/10000)</f>
        <v/>
      </c>
      <c r="AQ27" s="225">
        <f>IF('CF表（ご主人様働けない時）'!AQ$3="","",'CF表（ご主人様働けない時）'!AQ27/10000)</f>
        <v/>
      </c>
      <c r="AR27" s="225">
        <f>IF('CF表（ご主人様働けない時）'!AR$3="","",'CF表（ご主人様働けない時）'!AR27/10000)</f>
        <v/>
      </c>
      <c r="AS27" s="225">
        <f>IF('CF表（ご主人様働けない時）'!AS$3="","",'CF表（ご主人様働けない時）'!AS27/10000)</f>
        <v/>
      </c>
      <c r="AT27" s="225">
        <f>IF('CF表（ご主人様働けない時）'!AT$3="","",'CF表（ご主人様働けない時）'!AT27/10000)</f>
        <v/>
      </c>
      <c r="AU27" s="225">
        <f>IF('CF表（ご主人様働けない時）'!AU$3="","",'CF表（ご主人様働けない時）'!AU27/10000)</f>
        <v/>
      </c>
      <c r="AV27" s="225">
        <f>IF('CF表（ご主人様働けない時）'!AV$3="","",'CF表（ご主人様働けない時）'!AV27/10000)</f>
        <v/>
      </c>
      <c r="AW27" s="225">
        <f>IF('CF表（ご主人様働けない時）'!AW$3="","",'CF表（ご主人様働けない時）'!AW27/10000)</f>
        <v/>
      </c>
      <c r="AX27" s="225">
        <f>IF('CF表（ご主人様働けない時）'!AX$3="","",'CF表（ご主人様働けない時）'!AX27/10000)</f>
        <v/>
      </c>
      <c r="AY27" s="225">
        <f>IF('CF表（ご主人様働けない時）'!AY$3="","",'CF表（ご主人様働けない時）'!AY27/10000)</f>
        <v/>
      </c>
      <c r="AZ27" s="225">
        <f>IF('CF表（ご主人様働けない時）'!AZ$3="","",'CF表（ご主人様働けない時）'!AZ27/10000)</f>
        <v/>
      </c>
      <c r="BA27" s="225">
        <f>IF('CF表（ご主人様働けない時）'!BA$3="","",'CF表（ご主人様働けない時）'!BA27/10000)</f>
        <v/>
      </c>
      <c r="BB27" s="225">
        <f>IF('CF表（ご主人様働けない時）'!BB$3="","",'CF表（ご主人様働けない時）'!BB27/10000)</f>
        <v/>
      </c>
      <c r="BC27" s="225">
        <f>IF('CF表（ご主人様働けない時）'!BC$3="","",'CF表（ご主人様働けない時）'!BC27/10000)</f>
        <v/>
      </c>
      <c r="BD27" s="225">
        <f>IF('CF表（ご主人様働けない時）'!BD$3="","",'CF表（ご主人様働けない時）'!BD27/10000)</f>
        <v/>
      </c>
      <c r="BE27" s="225">
        <f>IF('CF表（ご主人様働けない時）'!BE$3="","",'CF表（ご主人様働けない時）'!BE27/10000)</f>
        <v/>
      </c>
      <c r="BF27" s="225">
        <f>IF('CF表（ご主人様働けない時）'!BF$3="","",'CF表（ご主人様働けない時）'!BF27/10000)</f>
        <v/>
      </c>
      <c r="BG27" s="225">
        <f>IF('CF表（ご主人様働けない時）'!BG$3="","",'CF表（ご主人様働けない時）'!BG27/10000)</f>
        <v/>
      </c>
      <c r="BH27" s="225">
        <f>IF('CF表（ご主人様働けない時）'!BH$3="","",'CF表（ご主人様働けない時）'!BH27/10000)</f>
        <v/>
      </c>
      <c r="BI27" s="225">
        <f>IF('CF表（ご主人様働けない時）'!BI$3="","",'CF表（ご主人様働けない時）'!BI27/10000)</f>
        <v/>
      </c>
      <c r="BJ27" s="225">
        <f>IF('CF表（ご主人様働けない時）'!BJ$3="","",'CF表（ご主人様働けない時）'!BJ27/10000)</f>
        <v/>
      </c>
      <c r="BK27" s="225">
        <f>IF('CF表（ご主人様働けない時）'!BK$3="","",'CF表（ご主人様働けない時）'!BK27/10000)</f>
        <v/>
      </c>
      <c r="BL27" s="225">
        <f>IF('CF表（ご主人様働けない時）'!BL$3="","",'CF表（ご主人様働けない時）'!BL27/10000)</f>
        <v/>
      </c>
      <c r="BM27" s="225">
        <f>IF('CF表（ご主人様働けない時）'!BM$3="","",'CF表（ご主人様働けない時）'!BM27/10000)</f>
        <v/>
      </c>
      <c r="BN27" s="225">
        <f>IF('CF表（ご主人様働けない時）'!BN$3="","",'CF表（ご主人様働けない時）'!BN27/10000)</f>
        <v/>
      </c>
      <c r="BO27" s="225">
        <f>IF('CF表（ご主人様働けない時）'!BO$3="","",'CF表（ご主人様働けない時）'!BO27/10000)</f>
        <v/>
      </c>
      <c r="BP27" s="225">
        <f>IF('CF表（ご主人様働けない時）'!BP$3="","",'CF表（ご主人様働けない時）'!BP27/10000)</f>
        <v/>
      </c>
      <c r="BQ27" s="225">
        <f>IF('CF表（ご主人様働けない時）'!BQ$3="","",'CF表（ご主人様働けない時）'!BQ27/10000)</f>
        <v/>
      </c>
      <c r="BR27" s="225">
        <f>IF('CF表（ご主人様働けない時）'!BR$3="","",'CF表（ご主人様働けない時）'!BR27/10000)</f>
        <v/>
      </c>
      <c r="BS27" s="225">
        <f>IF('CF表（ご主人様働けない時）'!BS$3="","",'CF表（ご主人様働けない時）'!BS27/10000)</f>
        <v/>
      </c>
      <c r="BT27" s="225">
        <f>IF('CF表（ご主人様働けない時）'!BT$3="","",'CF表（ご主人様働けない時）'!BT27/10000)</f>
        <v/>
      </c>
      <c r="BU27" s="225">
        <f>IF('CF表（ご主人様働けない時）'!BU$3="","",'CF表（ご主人様働けない時）'!BU27/10000)</f>
        <v/>
      </c>
      <c r="BV27" s="225">
        <f>IF('CF表（ご主人様働けない時）'!BV$3="","",'CF表（ご主人様働けない時）'!BV27/10000)</f>
        <v/>
      </c>
      <c r="BW27" s="225">
        <f>IF('CF表（ご主人様働けない時）'!BW$3="","",'CF表（ご主人様働けない時）'!BW27/10000)</f>
        <v/>
      </c>
      <c r="BX27" s="225">
        <f>IF('CF表（ご主人様働けない時）'!BX$3="","",'CF表（ご主人様働けない時）'!BX27/10000)</f>
        <v/>
      </c>
      <c r="BY27" s="225">
        <f>IF('CF表（ご主人様働けない時）'!BY$3="","",'CF表（ご主人様働けない時）'!BY27/10000)</f>
        <v/>
      </c>
      <c r="BZ27" s="225">
        <f>IF('CF表（ご主人様働けない時）'!BZ$3="","",'CF表（ご主人様働けない時）'!BZ27/10000)</f>
        <v/>
      </c>
      <c r="CA27" s="225">
        <f>IF('CF表（ご主人様働けない時）'!CA$3="","",'CF表（ご主人様働けない時）'!CA27/10000)</f>
        <v/>
      </c>
      <c r="CB27" s="225">
        <f>IF('CF表（ご主人様働けない時）'!CB$3="","",'CF表（ご主人様働けない時）'!CB27/10000)</f>
        <v/>
      </c>
      <c r="CC27" s="225">
        <f>IF('CF表（ご主人様働けない時）'!CC$3="","",'CF表（ご主人様働けない時）'!CC27/10000)</f>
        <v/>
      </c>
      <c r="CD27" s="225">
        <f>IF('CF表（ご主人様働けない時）'!CD$3="","",'CF表（ご主人様働けない時）'!CD27/10000)</f>
        <v/>
      </c>
      <c r="CE27" s="225">
        <f>IF('CF表（ご主人様働けない時）'!CE$3="","",'CF表（ご主人様働けない時）'!CE27/10000)</f>
        <v/>
      </c>
      <c r="CF27" s="225">
        <f>IF('CF表（ご主人様働けない時）'!CF$3="","",'CF表（ご主人様働けない時）'!CF27/10000)</f>
        <v/>
      </c>
      <c r="CG27" s="225">
        <f>IF('CF表（ご主人様働けない時）'!CG$3="","",'CF表（ご主人様働けない時）'!CG27/10000)</f>
        <v/>
      </c>
      <c r="CH27" s="225">
        <f>IF('CF表（ご主人様働けない時）'!CH$3="","",'CF表（ご主人様働けない時）'!CH27/10000)</f>
        <v/>
      </c>
      <c r="CI27" s="225">
        <f>IF('CF表（ご主人様働けない時）'!CI$3="","",'CF表（ご主人様働けない時）'!CI27/10000)</f>
        <v/>
      </c>
      <c r="CJ27" s="225">
        <f>IF('CF表（ご主人様働けない時）'!CJ$3="","",'CF表（ご主人様働けない時）'!CJ27/10000)</f>
        <v/>
      </c>
      <c r="CK27" s="225">
        <f>IF('CF表（ご主人様働けない時）'!CK$3="","",'CF表（ご主人様働けない時）'!CK27/10000)</f>
        <v/>
      </c>
      <c r="CL27" s="225">
        <f>IF('CF表（ご主人様働けない時）'!CL$3="","",'CF表（ご主人様働けない時）'!CL27/10000)</f>
        <v/>
      </c>
      <c r="CM27" s="225">
        <f>IF('CF表（ご主人様働けない時）'!CM$3="","",'CF表（ご主人様働けない時）'!CM27/10000)</f>
        <v/>
      </c>
      <c r="CN27" s="225">
        <f>IF('CF表（ご主人様働けない時）'!CN$3="","",'CF表（ご主人様働けない時）'!CN27/10000)</f>
        <v/>
      </c>
      <c r="CO27" s="225">
        <f>IF('CF表（ご主人様働けない時）'!CO$3="","",'CF表（ご主人様働けない時）'!CO27/10000)</f>
        <v/>
      </c>
      <c r="CP27" s="225">
        <f>IF('CF表（ご主人様働けない時）'!CP$3="","",'CF表（ご主人様働けない時）'!CP27/10000)</f>
        <v/>
      </c>
      <c r="CQ27" s="225">
        <f>IF('CF表（ご主人様働けない時）'!CQ$3="","",'CF表（ご主人様働けない時）'!CQ27/10000)</f>
        <v/>
      </c>
      <c r="CR27" s="225">
        <f>IF('CF表（ご主人様働けない時）'!CR$3="","",'CF表（ご主人様働けない時）'!CR27/10000)</f>
        <v/>
      </c>
      <c r="CS27" s="225">
        <f>IF('CF表（ご主人様働けない時）'!CS$3="","",'CF表（ご主人様働けない時）'!CS27/10000)</f>
        <v/>
      </c>
      <c r="CT27" s="225">
        <f>IF('CF表（ご主人様働けない時）'!CT$3="","",'CF表（ご主人様働けない時）'!CT27/10000)</f>
        <v/>
      </c>
      <c r="CU27" s="225">
        <f>IF('CF表（ご主人様働けない時）'!CU$3="","",'CF表（ご主人様働けない時）'!CU27/10000)</f>
        <v/>
      </c>
      <c r="CV27" s="225">
        <f>IF('CF表（ご主人様働けない時）'!CV$3="","",'CF表（ご主人様働けない時）'!CV27/10000)</f>
        <v/>
      </c>
      <c r="CW27" s="225">
        <f>IF('CF表（ご主人様働けない時）'!CW$3="","",'CF表（ご主人様働けない時）'!CW27/10000)</f>
        <v/>
      </c>
    </row>
    <row r="28" ht="15" customHeight="1" s="180">
      <c r="A28" s="226" t="inlineStr">
        <is>
          <t>支出合計</t>
        </is>
      </c>
      <c r="B28" s="227">
        <f>IF('CF表（ご主人様働けない時）'!B$3="","",'CF表（ご主人様働けない時）'!B28/10000)</f>
        <v/>
      </c>
      <c r="C28" s="227">
        <f>IF('CF表（ご主人様働けない時）'!C$3="","",'CF表（ご主人様働けない時）'!C28/10000)</f>
        <v/>
      </c>
      <c r="D28" s="227">
        <f>IF('CF表（ご主人様働けない時）'!D$3="","",'CF表（ご主人様働けない時）'!D28/10000)</f>
        <v/>
      </c>
      <c r="E28" s="227">
        <f>IF('CF表（ご主人様働けない時）'!E$3="","",'CF表（ご主人様働けない時）'!E28/10000)</f>
        <v/>
      </c>
      <c r="F28" s="227">
        <f>IF('CF表（ご主人様働けない時）'!F$3="","",'CF表（ご主人様働けない時）'!F28/10000)</f>
        <v/>
      </c>
      <c r="G28" s="227">
        <f>IF('CF表（ご主人様働けない時）'!G$3="","",'CF表（ご主人様働けない時）'!G28/10000)</f>
        <v/>
      </c>
      <c r="H28" s="227">
        <f>IF('CF表（ご主人様働けない時）'!H$3="","",'CF表（ご主人様働けない時）'!H28/10000)</f>
        <v/>
      </c>
      <c r="I28" s="227">
        <f>IF('CF表（ご主人様働けない時）'!I$3="","",'CF表（ご主人様働けない時）'!I28/10000)</f>
        <v/>
      </c>
      <c r="J28" s="227">
        <f>IF('CF表（ご主人様働けない時）'!J$3="","",'CF表（ご主人様働けない時）'!J28/10000)</f>
        <v/>
      </c>
      <c r="K28" s="227">
        <f>IF('CF表（ご主人様働けない時）'!K$3="","",'CF表（ご主人様働けない時）'!K28/10000)</f>
        <v/>
      </c>
      <c r="L28" s="227">
        <f>IF('CF表（ご主人様働けない時）'!L$3="","",'CF表（ご主人様働けない時）'!L28/10000)</f>
        <v/>
      </c>
      <c r="M28" s="227">
        <f>IF('CF表（ご主人様働けない時）'!M$3="","",'CF表（ご主人様働けない時）'!M28/10000)</f>
        <v/>
      </c>
      <c r="N28" s="227">
        <f>IF('CF表（ご主人様働けない時）'!N$3="","",'CF表（ご主人様働けない時）'!N28/10000)</f>
        <v/>
      </c>
      <c r="O28" s="227">
        <f>IF('CF表（ご主人様働けない時）'!O$3="","",'CF表（ご主人様働けない時）'!O28/10000)</f>
        <v/>
      </c>
      <c r="P28" s="227">
        <f>IF('CF表（ご主人様働けない時）'!P$3="","",'CF表（ご主人様働けない時）'!P28/10000)</f>
        <v/>
      </c>
      <c r="Q28" s="227">
        <f>IF('CF表（ご主人様働けない時）'!Q$3="","",'CF表（ご主人様働けない時）'!Q28/10000)</f>
        <v/>
      </c>
      <c r="R28" s="227">
        <f>IF('CF表（ご主人様働けない時）'!R$3="","",'CF表（ご主人様働けない時）'!R28/10000)</f>
        <v/>
      </c>
      <c r="S28" s="227">
        <f>IF('CF表（ご主人様働けない時）'!S$3="","",'CF表（ご主人様働けない時）'!S28/10000)</f>
        <v/>
      </c>
      <c r="T28" s="227">
        <f>IF('CF表（ご主人様働けない時）'!T$3="","",'CF表（ご主人様働けない時）'!T28/10000)</f>
        <v/>
      </c>
      <c r="U28" s="227">
        <f>IF('CF表（ご主人様働けない時）'!U$3="","",'CF表（ご主人様働けない時）'!U28/10000)</f>
        <v/>
      </c>
      <c r="V28" s="227">
        <f>IF('CF表（ご主人様働けない時）'!V$3="","",'CF表（ご主人様働けない時）'!V28/10000)</f>
        <v/>
      </c>
      <c r="W28" s="227">
        <f>IF('CF表（ご主人様働けない時）'!W$3="","",'CF表（ご主人様働けない時）'!W28/10000)</f>
        <v/>
      </c>
      <c r="X28" s="227">
        <f>IF('CF表（ご主人様働けない時）'!X$3="","",'CF表（ご主人様働けない時）'!X28/10000)</f>
        <v/>
      </c>
      <c r="Y28" s="227">
        <f>IF('CF表（ご主人様働けない時）'!Y$3="","",'CF表（ご主人様働けない時）'!Y28/10000)</f>
        <v/>
      </c>
      <c r="Z28" s="227">
        <f>IF('CF表（ご主人様働けない時）'!Z$3="","",'CF表（ご主人様働けない時）'!Z28/10000)</f>
        <v/>
      </c>
      <c r="AA28" s="227">
        <f>IF('CF表（ご主人様働けない時）'!AA$3="","",'CF表（ご主人様働けない時）'!AA28/10000)</f>
        <v/>
      </c>
      <c r="AB28" s="227">
        <f>IF('CF表（ご主人様働けない時）'!AB$3="","",'CF表（ご主人様働けない時）'!AB28/10000)</f>
        <v/>
      </c>
      <c r="AC28" s="227">
        <f>IF('CF表（ご主人様働けない時）'!AC$3="","",'CF表（ご主人様働けない時）'!AC28/10000)</f>
        <v/>
      </c>
      <c r="AD28" s="227">
        <f>IF('CF表（ご主人様働けない時）'!AD$3="","",'CF表（ご主人様働けない時）'!AD28/10000)</f>
        <v/>
      </c>
      <c r="AE28" s="227">
        <f>IF('CF表（ご主人様働けない時）'!AE$3="","",'CF表（ご主人様働けない時）'!AE28/10000)</f>
        <v/>
      </c>
      <c r="AF28" s="227">
        <f>IF('CF表（ご主人様働けない時）'!AF$3="","",'CF表（ご主人様働けない時）'!AF28/10000)</f>
        <v/>
      </c>
      <c r="AG28" s="227">
        <f>IF('CF表（ご主人様働けない時）'!AG$3="","",'CF表（ご主人様働けない時）'!AG28/10000)</f>
        <v/>
      </c>
      <c r="AH28" s="227">
        <f>IF('CF表（ご主人様働けない時）'!AH$3="","",'CF表（ご主人様働けない時）'!AH28/10000)</f>
        <v/>
      </c>
      <c r="AI28" s="227">
        <f>IF('CF表（ご主人様働けない時）'!AI$3="","",'CF表（ご主人様働けない時）'!AI28/10000)</f>
        <v/>
      </c>
      <c r="AJ28" s="227">
        <f>IF('CF表（ご主人様働けない時）'!AJ$3="","",'CF表（ご主人様働けない時）'!AJ28/10000)</f>
        <v/>
      </c>
      <c r="AK28" s="227">
        <f>IF('CF表（ご主人様働けない時）'!AK$3="","",'CF表（ご主人様働けない時）'!AK28/10000)</f>
        <v/>
      </c>
      <c r="AL28" s="227">
        <f>IF('CF表（ご主人様働けない時）'!AL$3="","",'CF表（ご主人様働けない時）'!AL28/10000)</f>
        <v/>
      </c>
      <c r="AM28" s="227">
        <f>IF('CF表（ご主人様働けない時）'!AM$3="","",'CF表（ご主人様働けない時）'!AM28/10000)</f>
        <v/>
      </c>
      <c r="AN28" s="227">
        <f>IF('CF表（ご主人様働けない時）'!AN$3="","",'CF表（ご主人様働けない時）'!AN28/10000)</f>
        <v/>
      </c>
      <c r="AO28" s="227">
        <f>IF('CF表（ご主人様働けない時）'!AO$3="","",'CF表（ご主人様働けない時）'!AO28/10000)</f>
        <v/>
      </c>
      <c r="AP28" s="227">
        <f>IF('CF表（ご主人様働けない時）'!AP$3="","",'CF表（ご主人様働けない時）'!AP28/10000)</f>
        <v/>
      </c>
      <c r="AQ28" s="227">
        <f>IF('CF表（ご主人様働けない時）'!AQ$3="","",'CF表（ご主人様働けない時）'!AQ28/10000)</f>
        <v/>
      </c>
      <c r="AR28" s="227">
        <f>IF('CF表（ご主人様働けない時）'!AR$3="","",'CF表（ご主人様働けない時）'!AR28/10000)</f>
        <v/>
      </c>
      <c r="AS28" s="227">
        <f>IF('CF表（ご主人様働けない時）'!AS$3="","",'CF表（ご主人様働けない時）'!AS28/10000)</f>
        <v/>
      </c>
      <c r="AT28" s="227">
        <f>IF('CF表（ご主人様働けない時）'!AT$3="","",'CF表（ご主人様働けない時）'!AT28/10000)</f>
        <v/>
      </c>
      <c r="AU28" s="227">
        <f>IF('CF表（ご主人様働けない時）'!AU$3="","",'CF表（ご主人様働けない時）'!AU28/10000)</f>
        <v/>
      </c>
      <c r="AV28" s="227">
        <f>IF('CF表（ご主人様働けない時）'!AV$3="","",'CF表（ご主人様働けない時）'!AV28/10000)</f>
        <v/>
      </c>
      <c r="AW28" s="227">
        <f>IF('CF表（ご主人様働けない時）'!AW$3="","",'CF表（ご主人様働けない時）'!AW28/10000)</f>
        <v/>
      </c>
      <c r="AX28" s="227">
        <f>IF('CF表（ご主人様働けない時）'!AX$3="","",'CF表（ご主人様働けない時）'!AX28/10000)</f>
        <v/>
      </c>
      <c r="AY28" s="227">
        <f>IF('CF表（ご主人様働けない時）'!AY$3="","",'CF表（ご主人様働けない時）'!AY28/10000)</f>
        <v/>
      </c>
      <c r="AZ28" s="227">
        <f>IF('CF表（ご主人様働けない時）'!AZ$3="","",'CF表（ご主人様働けない時）'!AZ28/10000)</f>
        <v/>
      </c>
      <c r="BA28" s="227">
        <f>IF('CF表（ご主人様働けない時）'!BA$3="","",'CF表（ご主人様働けない時）'!BA28/10000)</f>
        <v/>
      </c>
      <c r="BB28" s="227">
        <f>IF('CF表（ご主人様働けない時）'!BB$3="","",'CF表（ご主人様働けない時）'!BB28/10000)</f>
        <v/>
      </c>
      <c r="BC28" s="227">
        <f>IF('CF表（ご主人様働けない時）'!BC$3="","",'CF表（ご主人様働けない時）'!BC28/10000)</f>
        <v/>
      </c>
      <c r="BD28" s="227">
        <f>IF('CF表（ご主人様働けない時）'!BD$3="","",'CF表（ご主人様働けない時）'!BD28/10000)</f>
        <v/>
      </c>
      <c r="BE28" s="227">
        <f>IF('CF表（ご主人様働けない時）'!BE$3="","",'CF表（ご主人様働けない時）'!BE28/10000)</f>
        <v/>
      </c>
      <c r="BF28" s="227">
        <f>IF('CF表（ご主人様働けない時）'!BF$3="","",'CF表（ご主人様働けない時）'!BF28/10000)</f>
        <v/>
      </c>
      <c r="BG28" s="227">
        <f>IF('CF表（ご主人様働けない時）'!BG$3="","",'CF表（ご主人様働けない時）'!BG28/10000)</f>
        <v/>
      </c>
      <c r="BH28" s="227">
        <f>IF('CF表（ご主人様働けない時）'!BH$3="","",'CF表（ご主人様働けない時）'!BH28/10000)</f>
        <v/>
      </c>
      <c r="BI28" s="227">
        <f>IF('CF表（ご主人様働けない時）'!BI$3="","",'CF表（ご主人様働けない時）'!BI28/10000)</f>
        <v/>
      </c>
      <c r="BJ28" s="227">
        <f>IF('CF表（ご主人様働けない時）'!BJ$3="","",'CF表（ご主人様働けない時）'!BJ28/10000)</f>
        <v/>
      </c>
      <c r="BK28" s="227">
        <f>IF('CF表（ご主人様働けない時）'!BK$3="","",'CF表（ご主人様働けない時）'!BK28/10000)</f>
        <v/>
      </c>
      <c r="BL28" s="227">
        <f>IF('CF表（ご主人様働けない時）'!BL$3="","",'CF表（ご主人様働けない時）'!BL28/10000)</f>
        <v/>
      </c>
      <c r="BM28" s="227">
        <f>IF('CF表（ご主人様働けない時）'!BM$3="","",'CF表（ご主人様働けない時）'!BM28/10000)</f>
        <v/>
      </c>
      <c r="BN28" s="227">
        <f>IF('CF表（ご主人様働けない時）'!BN$3="","",'CF表（ご主人様働けない時）'!BN28/10000)</f>
        <v/>
      </c>
      <c r="BO28" s="227">
        <f>IF('CF表（ご主人様働けない時）'!BO$3="","",'CF表（ご主人様働けない時）'!BO28/10000)</f>
        <v/>
      </c>
      <c r="BP28" s="227">
        <f>IF('CF表（ご主人様働けない時）'!BP$3="","",'CF表（ご主人様働けない時）'!BP28/10000)</f>
        <v/>
      </c>
      <c r="BQ28" s="227">
        <f>IF('CF表（ご主人様働けない時）'!BQ$3="","",'CF表（ご主人様働けない時）'!BQ28/10000)</f>
        <v/>
      </c>
      <c r="BR28" s="227">
        <f>IF('CF表（ご主人様働けない時）'!BR$3="","",'CF表（ご主人様働けない時）'!BR28/10000)</f>
        <v/>
      </c>
      <c r="BS28" s="227">
        <f>IF('CF表（ご主人様働けない時）'!BS$3="","",'CF表（ご主人様働けない時）'!BS28/10000)</f>
        <v/>
      </c>
      <c r="BT28" s="227">
        <f>IF('CF表（ご主人様働けない時）'!BT$3="","",'CF表（ご主人様働けない時）'!BT28/10000)</f>
        <v/>
      </c>
      <c r="BU28" s="227">
        <f>IF('CF表（ご主人様働けない時）'!BU$3="","",'CF表（ご主人様働けない時）'!BU28/10000)</f>
        <v/>
      </c>
      <c r="BV28" s="227">
        <f>IF('CF表（ご主人様働けない時）'!BV$3="","",'CF表（ご主人様働けない時）'!BV28/10000)</f>
        <v/>
      </c>
      <c r="BW28" s="227">
        <f>IF('CF表（ご主人様働けない時）'!BW$3="","",'CF表（ご主人様働けない時）'!BW28/10000)</f>
        <v/>
      </c>
      <c r="BX28" s="227">
        <f>IF('CF表（ご主人様働けない時）'!BX$3="","",'CF表（ご主人様働けない時）'!BX28/10000)</f>
        <v/>
      </c>
      <c r="BY28" s="227">
        <f>IF('CF表（ご主人様働けない時）'!BY$3="","",'CF表（ご主人様働けない時）'!BY28/10000)</f>
        <v/>
      </c>
      <c r="BZ28" s="227">
        <f>IF('CF表（ご主人様働けない時）'!BZ$3="","",'CF表（ご主人様働けない時）'!BZ28/10000)</f>
        <v/>
      </c>
      <c r="CA28" s="227">
        <f>IF('CF表（ご主人様働けない時）'!CA$3="","",'CF表（ご主人様働けない時）'!CA28/10000)</f>
        <v/>
      </c>
      <c r="CB28" s="227">
        <f>IF('CF表（ご主人様働けない時）'!CB$3="","",'CF表（ご主人様働けない時）'!CB28/10000)</f>
        <v/>
      </c>
      <c r="CC28" s="227">
        <f>IF('CF表（ご主人様働けない時）'!CC$3="","",'CF表（ご主人様働けない時）'!CC28/10000)</f>
        <v/>
      </c>
      <c r="CD28" s="227">
        <f>IF('CF表（ご主人様働けない時）'!CD$3="","",'CF表（ご主人様働けない時）'!CD28/10000)</f>
        <v/>
      </c>
      <c r="CE28" s="227">
        <f>IF('CF表（ご主人様働けない時）'!CE$3="","",'CF表（ご主人様働けない時）'!CE28/10000)</f>
        <v/>
      </c>
      <c r="CF28" s="227">
        <f>IF('CF表（ご主人様働けない時）'!CF$3="","",'CF表（ご主人様働けない時）'!CF28/10000)</f>
        <v/>
      </c>
      <c r="CG28" s="227">
        <f>IF('CF表（ご主人様働けない時）'!CG$3="","",'CF表（ご主人様働けない時）'!CG28/10000)</f>
        <v/>
      </c>
      <c r="CH28" s="227">
        <f>IF('CF表（ご主人様働けない時）'!CH$3="","",'CF表（ご主人様働けない時）'!CH28/10000)</f>
        <v/>
      </c>
      <c r="CI28" s="227">
        <f>IF('CF表（ご主人様働けない時）'!CI$3="","",'CF表（ご主人様働けない時）'!CI28/10000)</f>
        <v/>
      </c>
      <c r="CJ28" s="227">
        <f>IF('CF表（ご主人様働けない時）'!CJ$3="","",'CF表（ご主人様働けない時）'!CJ28/10000)</f>
        <v/>
      </c>
      <c r="CK28" s="227">
        <f>IF('CF表（ご主人様働けない時）'!CK$3="","",'CF表（ご主人様働けない時）'!CK28/10000)</f>
        <v/>
      </c>
      <c r="CL28" s="227">
        <f>IF('CF表（ご主人様働けない時）'!CL$3="","",'CF表（ご主人様働けない時）'!CL28/10000)</f>
        <v/>
      </c>
      <c r="CM28" s="227">
        <f>IF('CF表（ご主人様働けない時）'!CM$3="","",'CF表（ご主人様働けない時）'!CM28/10000)</f>
        <v/>
      </c>
      <c r="CN28" s="227">
        <f>IF('CF表（ご主人様働けない時）'!CN$3="","",'CF表（ご主人様働けない時）'!CN28/10000)</f>
        <v/>
      </c>
      <c r="CO28" s="227">
        <f>IF('CF表（ご主人様働けない時）'!CO$3="","",'CF表（ご主人様働けない時）'!CO28/10000)</f>
        <v/>
      </c>
      <c r="CP28" s="227">
        <f>IF('CF表（ご主人様働けない時）'!CP$3="","",'CF表（ご主人様働けない時）'!CP28/10000)</f>
        <v/>
      </c>
      <c r="CQ28" s="227">
        <f>IF('CF表（ご主人様働けない時）'!CQ$3="","",'CF表（ご主人様働けない時）'!CQ28/10000)</f>
        <v/>
      </c>
      <c r="CR28" s="227">
        <f>IF('CF表（ご主人様働けない時）'!CR$3="","",'CF表（ご主人様働けない時）'!CR28/10000)</f>
        <v/>
      </c>
      <c r="CS28" s="227">
        <f>IF('CF表（ご主人様働けない時）'!CS$3="","",'CF表（ご主人様働けない時）'!CS28/10000)</f>
        <v/>
      </c>
      <c r="CT28" s="227">
        <f>IF('CF表（ご主人様働けない時）'!CT$3="","",'CF表（ご主人様働けない時）'!CT28/10000)</f>
        <v/>
      </c>
      <c r="CU28" s="227">
        <f>IF('CF表（ご主人様働けない時）'!CU$3="","",'CF表（ご主人様働けない時）'!CU28/10000)</f>
        <v/>
      </c>
      <c r="CV28" s="227">
        <f>IF('CF表（ご主人様働けない時）'!CV$3="","",'CF表（ご主人様働けない時）'!CV28/10000)</f>
        <v/>
      </c>
      <c r="CW28" s="227">
        <f>IF('CF表（ご主人様働けない時）'!CW$3="","",'CF表（ご主人様働けない時）'!CW28/10000)</f>
        <v/>
      </c>
    </row>
    <row r="29" ht="15" customHeight="1" s="180">
      <c r="A29" s="205" t="inlineStr">
        <is>
          <t>収支・資産</t>
        </is>
      </c>
      <c r="B29" s="228">
        <f>IF('CF表（ご主人様働けない時）'!B$3="","",'CF表（ご主人様働けない時）'!B29/10000)</f>
        <v/>
      </c>
      <c r="C29" s="228">
        <f>IF('CF表（ご主人様働けない時）'!C$3="","",'CF表（ご主人様働けない時）'!C29/10000)</f>
        <v/>
      </c>
      <c r="D29" s="228">
        <f>IF('CF表（ご主人様働けない時）'!D$3="","",'CF表（ご主人様働けない時）'!D29/10000)</f>
        <v/>
      </c>
      <c r="E29" s="228">
        <f>IF('CF表（ご主人様働けない時）'!E$3="","",'CF表（ご主人様働けない時）'!E29/10000)</f>
        <v/>
      </c>
      <c r="F29" s="228">
        <f>IF('CF表（ご主人様働けない時）'!F$3="","",'CF表（ご主人様働けない時）'!F29/10000)</f>
        <v/>
      </c>
      <c r="G29" s="228">
        <f>IF('CF表（ご主人様働けない時）'!G$3="","",'CF表（ご主人様働けない時）'!G29/10000)</f>
        <v/>
      </c>
      <c r="H29" s="228">
        <f>IF('CF表（ご主人様働けない時）'!H$3="","",'CF表（ご主人様働けない時）'!H29/10000)</f>
        <v/>
      </c>
      <c r="I29" s="228">
        <f>IF('CF表（ご主人様働けない時）'!I$3="","",'CF表（ご主人様働けない時）'!I29/10000)</f>
        <v/>
      </c>
      <c r="J29" s="228">
        <f>IF('CF表（ご主人様働けない時）'!J$3="","",'CF表（ご主人様働けない時）'!J29/10000)</f>
        <v/>
      </c>
      <c r="K29" s="228">
        <f>IF('CF表（ご主人様働けない時）'!K$3="","",'CF表（ご主人様働けない時）'!K29/10000)</f>
        <v/>
      </c>
      <c r="L29" s="228">
        <f>IF('CF表（ご主人様働けない時）'!L$3="","",'CF表（ご主人様働けない時）'!L29/10000)</f>
        <v/>
      </c>
      <c r="M29" s="228">
        <f>IF('CF表（ご主人様働けない時）'!M$3="","",'CF表（ご主人様働けない時）'!M29/10000)</f>
        <v/>
      </c>
      <c r="N29" s="228">
        <f>IF('CF表（ご主人様働けない時）'!N$3="","",'CF表（ご主人様働けない時）'!N29/10000)</f>
        <v/>
      </c>
      <c r="O29" s="228">
        <f>IF('CF表（ご主人様働けない時）'!O$3="","",'CF表（ご主人様働けない時）'!O29/10000)</f>
        <v/>
      </c>
      <c r="P29" s="228">
        <f>IF('CF表（ご主人様働けない時）'!P$3="","",'CF表（ご主人様働けない時）'!P29/10000)</f>
        <v/>
      </c>
      <c r="Q29" s="228">
        <f>IF('CF表（ご主人様働けない時）'!Q$3="","",'CF表（ご主人様働けない時）'!Q29/10000)</f>
        <v/>
      </c>
      <c r="R29" s="228">
        <f>IF('CF表（ご主人様働けない時）'!R$3="","",'CF表（ご主人様働けない時）'!R29/10000)</f>
        <v/>
      </c>
      <c r="S29" s="228">
        <f>IF('CF表（ご主人様働けない時）'!S$3="","",'CF表（ご主人様働けない時）'!S29/10000)</f>
        <v/>
      </c>
      <c r="T29" s="228">
        <f>IF('CF表（ご主人様働けない時）'!T$3="","",'CF表（ご主人様働けない時）'!T29/10000)</f>
        <v/>
      </c>
      <c r="U29" s="228">
        <f>IF('CF表（ご主人様働けない時）'!U$3="","",'CF表（ご主人様働けない時）'!U29/10000)</f>
        <v/>
      </c>
      <c r="V29" s="228">
        <f>IF('CF表（ご主人様働けない時）'!V$3="","",'CF表（ご主人様働けない時）'!V29/10000)</f>
        <v/>
      </c>
      <c r="W29" s="228">
        <f>IF('CF表（ご主人様働けない時）'!W$3="","",'CF表（ご主人様働けない時）'!W29/10000)</f>
        <v/>
      </c>
      <c r="X29" s="228">
        <f>IF('CF表（ご主人様働けない時）'!X$3="","",'CF表（ご主人様働けない時）'!X29/10000)</f>
        <v/>
      </c>
      <c r="Y29" s="228">
        <f>IF('CF表（ご主人様働けない時）'!Y$3="","",'CF表（ご主人様働けない時）'!Y29/10000)</f>
        <v/>
      </c>
      <c r="Z29" s="228">
        <f>IF('CF表（ご主人様働けない時）'!Z$3="","",'CF表（ご主人様働けない時）'!Z29/10000)</f>
        <v/>
      </c>
      <c r="AA29" s="228">
        <f>IF('CF表（ご主人様働けない時）'!AA$3="","",'CF表（ご主人様働けない時）'!AA29/10000)</f>
        <v/>
      </c>
      <c r="AB29" s="228">
        <f>IF('CF表（ご主人様働けない時）'!AB$3="","",'CF表（ご主人様働けない時）'!AB29/10000)</f>
        <v/>
      </c>
      <c r="AC29" s="228">
        <f>IF('CF表（ご主人様働けない時）'!AC$3="","",'CF表（ご主人様働けない時）'!AC29/10000)</f>
        <v/>
      </c>
      <c r="AD29" s="228">
        <f>IF('CF表（ご主人様働けない時）'!AD$3="","",'CF表（ご主人様働けない時）'!AD29/10000)</f>
        <v/>
      </c>
      <c r="AE29" s="228">
        <f>IF('CF表（ご主人様働けない時）'!AE$3="","",'CF表（ご主人様働けない時）'!AE29/10000)</f>
        <v/>
      </c>
      <c r="AF29" s="228">
        <f>IF('CF表（ご主人様働けない時）'!AF$3="","",'CF表（ご主人様働けない時）'!AF29/10000)</f>
        <v/>
      </c>
      <c r="AG29" s="228">
        <f>IF('CF表（ご主人様働けない時）'!AG$3="","",'CF表（ご主人様働けない時）'!AG29/10000)</f>
        <v/>
      </c>
      <c r="AH29" s="228">
        <f>IF('CF表（ご主人様働けない時）'!AH$3="","",'CF表（ご主人様働けない時）'!AH29/10000)</f>
        <v/>
      </c>
      <c r="AI29" s="228">
        <f>IF('CF表（ご主人様働けない時）'!AI$3="","",'CF表（ご主人様働けない時）'!AI29/10000)</f>
        <v/>
      </c>
      <c r="AJ29" s="228">
        <f>IF('CF表（ご主人様働けない時）'!AJ$3="","",'CF表（ご主人様働けない時）'!AJ29/10000)</f>
        <v/>
      </c>
      <c r="AK29" s="228">
        <f>IF('CF表（ご主人様働けない時）'!AK$3="","",'CF表（ご主人様働けない時）'!AK29/10000)</f>
        <v/>
      </c>
      <c r="AL29" s="228">
        <f>IF('CF表（ご主人様働けない時）'!AL$3="","",'CF表（ご主人様働けない時）'!AL29/10000)</f>
        <v/>
      </c>
      <c r="AM29" s="228">
        <f>IF('CF表（ご主人様働けない時）'!AM$3="","",'CF表（ご主人様働けない時）'!AM29/10000)</f>
        <v/>
      </c>
      <c r="AN29" s="228">
        <f>IF('CF表（ご主人様働けない時）'!AN$3="","",'CF表（ご主人様働けない時）'!AN29/10000)</f>
        <v/>
      </c>
      <c r="AO29" s="228">
        <f>IF('CF表（ご主人様働けない時）'!AO$3="","",'CF表（ご主人様働けない時）'!AO29/10000)</f>
        <v/>
      </c>
      <c r="AP29" s="228">
        <f>IF('CF表（ご主人様働けない時）'!AP$3="","",'CF表（ご主人様働けない時）'!AP29/10000)</f>
        <v/>
      </c>
      <c r="AQ29" s="228">
        <f>IF('CF表（ご主人様働けない時）'!AQ$3="","",'CF表（ご主人様働けない時）'!AQ29/10000)</f>
        <v/>
      </c>
      <c r="AR29" s="228">
        <f>IF('CF表（ご主人様働けない時）'!AR$3="","",'CF表（ご主人様働けない時）'!AR29/10000)</f>
        <v/>
      </c>
      <c r="AS29" s="228">
        <f>IF('CF表（ご主人様働けない時）'!AS$3="","",'CF表（ご主人様働けない時）'!AS29/10000)</f>
        <v/>
      </c>
      <c r="AT29" s="228">
        <f>IF('CF表（ご主人様働けない時）'!AT$3="","",'CF表（ご主人様働けない時）'!AT29/10000)</f>
        <v/>
      </c>
      <c r="AU29" s="228">
        <f>IF('CF表（ご主人様働けない時）'!AU$3="","",'CF表（ご主人様働けない時）'!AU29/10000)</f>
        <v/>
      </c>
      <c r="AV29" s="228">
        <f>IF('CF表（ご主人様働けない時）'!AV$3="","",'CF表（ご主人様働けない時）'!AV29/10000)</f>
        <v/>
      </c>
      <c r="AW29" s="228">
        <f>IF('CF表（ご主人様働けない時）'!AW$3="","",'CF表（ご主人様働けない時）'!AW29/10000)</f>
        <v/>
      </c>
      <c r="AX29" s="228">
        <f>IF('CF表（ご主人様働けない時）'!AX$3="","",'CF表（ご主人様働けない時）'!AX29/10000)</f>
        <v/>
      </c>
      <c r="AY29" s="228">
        <f>IF('CF表（ご主人様働けない時）'!AY$3="","",'CF表（ご主人様働けない時）'!AY29/10000)</f>
        <v/>
      </c>
      <c r="AZ29" s="228">
        <f>IF('CF表（ご主人様働けない時）'!AZ$3="","",'CF表（ご主人様働けない時）'!AZ29/10000)</f>
        <v/>
      </c>
      <c r="BA29" s="228">
        <f>IF('CF表（ご主人様働けない時）'!BA$3="","",'CF表（ご主人様働けない時）'!BA29/10000)</f>
        <v/>
      </c>
      <c r="BB29" s="228">
        <f>IF('CF表（ご主人様働けない時）'!BB$3="","",'CF表（ご主人様働けない時）'!BB29/10000)</f>
        <v/>
      </c>
      <c r="BC29" s="228">
        <f>IF('CF表（ご主人様働けない時）'!BC$3="","",'CF表（ご主人様働けない時）'!BC29/10000)</f>
        <v/>
      </c>
      <c r="BD29" s="228">
        <f>IF('CF表（ご主人様働けない時）'!BD$3="","",'CF表（ご主人様働けない時）'!BD29/10000)</f>
        <v/>
      </c>
      <c r="BE29" s="228">
        <f>IF('CF表（ご主人様働けない時）'!BE$3="","",'CF表（ご主人様働けない時）'!BE29/10000)</f>
        <v/>
      </c>
      <c r="BF29" s="228">
        <f>IF('CF表（ご主人様働けない時）'!BF$3="","",'CF表（ご主人様働けない時）'!BF29/10000)</f>
        <v/>
      </c>
      <c r="BG29" s="228">
        <f>IF('CF表（ご主人様働けない時）'!BG$3="","",'CF表（ご主人様働けない時）'!BG29/10000)</f>
        <v/>
      </c>
      <c r="BH29" s="228">
        <f>IF('CF表（ご主人様働けない時）'!BH$3="","",'CF表（ご主人様働けない時）'!BH29/10000)</f>
        <v/>
      </c>
      <c r="BI29" s="228">
        <f>IF('CF表（ご主人様働けない時）'!BI$3="","",'CF表（ご主人様働けない時）'!BI29/10000)</f>
        <v/>
      </c>
      <c r="BJ29" s="228">
        <f>IF('CF表（ご主人様働けない時）'!BJ$3="","",'CF表（ご主人様働けない時）'!BJ29/10000)</f>
        <v/>
      </c>
      <c r="BK29" s="228">
        <f>IF('CF表（ご主人様働けない時）'!BK$3="","",'CF表（ご主人様働けない時）'!BK29/10000)</f>
        <v/>
      </c>
      <c r="BL29" s="228">
        <f>IF('CF表（ご主人様働けない時）'!BL$3="","",'CF表（ご主人様働けない時）'!BL29/10000)</f>
        <v/>
      </c>
      <c r="BM29" s="228">
        <f>IF('CF表（ご主人様働けない時）'!BM$3="","",'CF表（ご主人様働けない時）'!BM29/10000)</f>
        <v/>
      </c>
      <c r="BN29" s="228">
        <f>IF('CF表（ご主人様働けない時）'!BN$3="","",'CF表（ご主人様働けない時）'!BN29/10000)</f>
        <v/>
      </c>
      <c r="BO29" s="228">
        <f>IF('CF表（ご主人様働けない時）'!BO$3="","",'CF表（ご主人様働けない時）'!BO29/10000)</f>
        <v/>
      </c>
      <c r="BP29" s="228">
        <f>IF('CF表（ご主人様働けない時）'!BP$3="","",'CF表（ご主人様働けない時）'!BP29/10000)</f>
        <v/>
      </c>
      <c r="BQ29" s="228">
        <f>IF('CF表（ご主人様働けない時）'!BQ$3="","",'CF表（ご主人様働けない時）'!BQ29/10000)</f>
        <v/>
      </c>
      <c r="BR29" s="228">
        <f>IF('CF表（ご主人様働けない時）'!BR$3="","",'CF表（ご主人様働けない時）'!BR29/10000)</f>
        <v/>
      </c>
      <c r="BS29" s="228">
        <f>IF('CF表（ご主人様働けない時）'!BS$3="","",'CF表（ご主人様働けない時）'!BS29/10000)</f>
        <v/>
      </c>
      <c r="BT29" s="228">
        <f>IF('CF表（ご主人様働けない時）'!BT$3="","",'CF表（ご主人様働けない時）'!BT29/10000)</f>
        <v/>
      </c>
      <c r="BU29" s="228">
        <f>IF('CF表（ご主人様働けない時）'!BU$3="","",'CF表（ご主人様働けない時）'!BU29/10000)</f>
        <v/>
      </c>
      <c r="BV29" s="228">
        <f>IF('CF表（ご主人様働けない時）'!BV$3="","",'CF表（ご主人様働けない時）'!BV29/10000)</f>
        <v/>
      </c>
      <c r="BW29" s="228">
        <f>IF('CF表（ご主人様働けない時）'!BW$3="","",'CF表（ご主人様働けない時）'!BW29/10000)</f>
        <v/>
      </c>
      <c r="BX29" s="228">
        <f>IF('CF表（ご主人様働けない時）'!BX$3="","",'CF表（ご主人様働けない時）'!BX29/10000)</f>
        <v/>
      </c>
      <c r="BY29" s="228">
        <f>IF('CF表（ご主人様働けない時）'!BY$3="","",'CF表（ご主人様働けない時）'!BY29/10000)</f>
        <v/>
      </c>
      <c r="BZ29" s="228">
        <f>IF('CF表（ご主人様働けない時）'!BZ$3="","",'CF表（ご主人様働けない時）'!BZ29/10000)</f>
        <v/>
      </c>
      <c r="CA29" s="228">
        <f>IF('CF表（ご主人様働けない時）'!CA$3="","",'CF表（ご主人様働けない時）'!CA29/10000)</f>
        <v/>
      </c>
      <c r="CB29" s="228">
        <f>IF('CF表（ご主人様働けない時）'!CB$3="","",'CF表（ご主人様働けない時）'!CB29/10000)</f>
        <v/>
      </c>
      <c r="CC29" s="228">
        <f>IF('CF表（ご主人様働けない時）'!CC$3="","",'CF表（ご主人様働けない時）'!CC29/10000)</f>
        <v/>
      </c>
      <c r="CD29" s="228">
        <f>IF('CF表（ご主人様働けない時）'!CD$3="","",'CF表（ご主人様働けない時）'!CD29/10000)</f>
        <v/>
      </c>
      <c r="CE29" s="228">
        <f>IF('CF表（ご主人様働けない時）'!CE$3="","",'CF表（ご主人様働けない時）'!CE29/10000)</f>
        <v/>
      </c>
      <c r="CF29" s="228">
        <f>IF('CF表（ご主人様働けない時）'!CF$3="","",'CF表（ご主人様働けない時）'!CF29/10000)</f>
        <v/>
      </c>
      <c r="CG29" s="228">
        <f>IF('CF表（ご主人様働けない時）'!CG$3="","",'CF表（ご主人様働けない時）'!CG29/10000)</f>
        <v/>
      </c>
      <c r="CH29" s="228">
        <f>IF('CF表（ご主人様働けない時）'!CH$3="","",'CF表（ご主人様働けない時）'!CH29/10000)</f>
        <v/>
      </c>
      <c r="CI29" s="228">
        <f>IF('CF表（ご主人様働けない時）'!CI$3="","",'CF表（ご主人様働けない時）'!CI29/10000)</f>
        <v/>
      </c>
      <c r="CJ29" s="228">
        <f>IF('CF表（ご主人様働けない時）'!CJ$3="","",'CF表（ご主人様働けない時）'!CJ29/10000)</f>
        <v/>
      </c>
      <c r="CK29" s="228">
        <f>IF('CF表（ご主人様働けない時）'!CK$3="","",'CF表（ご主人様働けない時）'!CK29/10000)</f>
        <v/>
      </c>
      <c r="CL29" s="228">
        <f>IF('CF表（ご主人様働けない時）'!CL$3="","",'CF表（ご主人様働けない時）'!CL29/10000)</f>
        <v/>
      </c>
      <c r="CM29" s="228">
        <f>IF('CF表（ご主人様働けない時）'!CM$3="","",'CF表（ご主人様働けない時）'!CM29/10000)</f>
        <v/>
      </c>
      <c r="CN29" s="228">
        <f>IF('CF表（ご主人様働けない時）'!CN$3="","",'CF表（ご主人様働けない時）'!CN29/10000)</f>
        <v/>
      </c>
      <c r="CO29" s="228">
        <f>IF('CF表（ご主人様働けない時）'!CO$3="","",'CF表（ご主人様働けない時）'!CO29/10000)</f>
        <v/>
      </c>
      <c r="CP29" s="228">
        <f>IF('CF表（ご主人様働けない時）'!CP$3="","",'CF表（ご主人様働けない時）'!CP29/10000)</f>
        <v/>
      </c>
      <c r="CQ29" s="228">
        <f>IF('CF表（ご主人様働けない時）'!CQ$3="","",'CF表（ご主人様働けない時）'!CQ29/10000)</f>
        <v/>
      </c>
      <c r="CR29" s="228">
        <f>IF('CF表（ご主人様働けない時）'!CR$3="","",'CF表（ご主人様働けない時）'!CR29/10000)</f>
        <v/>
      </c>
      <c r="CS29" s="228">
        <f>IF('CF表（ご主人様働けない時）'!CS$3="","",'CF表（ご主人様働けない時）'!CS29/10000)</f>
        <v/>
      </c>
      <c r="CT29" s="228">
        <f>IF('CF表（ご主人様働けない時）'!CT$3="","",'CF表（ご主人様働けない時）'!CT29/10000)</f>
        <v/>
      </c>
      <c r="CU29" s="228">
        <f>IF('CF表（ご主人様働けない時）'!CU$3="","",'CF表（ご主人様働けない時）'!CU29/10000)</f>
        <v/>
      </c>
      <c r="CV29" s="228">
        <f>IF('CF表（ご主人様働けない時）'!CV$3="","",'CF表（ご主人様働けない時）'!CV29/10000)</f>
        <v/>
      </c>
      <c r="CW29" s="228">
        <f>IF('CF表（ご主人様働けない時）'!CW$3="","",'CF表（ご主人様働けない時）'!CW29/10000)</f>
        <v/>
      </c>
    </row>
    <row r="30" ht="21.75" customHeight="1" s="180">
      <c r="A30" s="229" t="inlineStr">
        <is>
          <t>年間収支</t>
        </is>
      </c>
      <c r="B30" s="230">
        <f>IF('CF表（ご主人様働けない時）'!B$3="","",'CF表（ご主人様働けない時）'!B30/10000)</f>
        <v/>
      </c>
      <c r="C30" s="230">
        <f>IF('CF表（ご主人様働けない時）'!C$3="","",'CF表（ご主人様働けない時）'!C30/10000)</f>
        <v/>
      </c>
      <c r="D30" s="230">
        <f>IF('CF表（ご主人様働けない時）'!D$3="","",'CF表（ご主人様働けない時）'!D30/10000)</f>
        <v/>
      </c>
      <c r="E30" s="230">
        <f>IF('CF表（ご主人様働けない時）'!E$3="","",'CF表（ご主人様働けない時）'!E30/10000)</f>
        <v/>
      </c>
      <c r="F30" s="230">
        <f>IF('CF表（ご主人様働けない時）'!F$3="","",'CF表（ご主人様働けない時）'!F30/10000)</f>
        <v/>
      </c>
      <c r="G30" s="230">
        <f>IF('CF表（ご主人様働けない時）'!G$3="","",'CF表（ご主人様働けない時）'!G30/10000)</f>
        <v/>
      </c>
      <c r="H30" s="230">
        <f>IF('CF表（ご主人様働けない時）'!H$3="","",'CF表（ご主人様働けない時）'!H30/10000)</f>
        <v/>
      </c>
      <c r="I30" s="230">
        <f>IF('CF表（ご主人様働けない時）'!I$3="","",'CF表（ご主人様働けない時）'!I30/10000)</f>
        <v/>
      </c>
      <c r="J30" s="230">
        <f>IF('CF表（ご主人様働けない時）'!J$3="","",'CF表（ご主人様働けない時）'!J30/10000)</f>
        <v/>
      </c>
      <c r="K30" s="230">
        <f>IF('CF表（ご主人様働けない時）'!K$3="","",'CF表（ご主人様働けない時）'!K30/10000)</f>
        <v/>
      </c>
      <c r="L30" s="230">
        <f>IF('CF表（ご主人様働けない時）'!L$3="","",'CF表（ご主人様働けない時）'!L30/10000)</f>
        <v/>
      </c>
      <c r="M30" s="230">
        <f>IF('CF表（ご主人様働けない時）'!M$3="","",'CF表（ご主人様働けない時）'!M30/10000)</f>
        <v/>
      </c>
      <c r="N30" s="230">
        <f>IF('CF表（ご主人様働けない時）'!N$3="","",'CF表（ご主人様働けない時）'!N30/10000)</f>
        <v/>
      </c>
      <c r="O30" s="230">
        <f>IF('CF表（ご主人様働けない時）'!O$3="","",'CF表（ご主人様働けない時）'!O30/10000)</f>
        <v/>
      </c>
      <c r="P30" s="230">
        <f>IF('CF表（ご主人様働けない時）'!P$3="","",'CF表（ご主人様働けない時）'!P30/10000)</f>
        <v/>
      </c>
      <c r="Q30" s="230">
        <f>IF('CF表（ご主人様働けない時）'!Q$3="","",'CF表（ご主人様働けない時）'!Q30/10000)</f>
        <v/>
      </c>
      <c r="R30" s="230">
        <f>IF('CF表（ご主人様働けない時）'!R$3="","",'CF表（ご主人様働けない時）'!R30/10000)</f>
        <v/>
      </c>
      <c r="S30" s="230">
        <f>IF('CF表（ご主人様働けない時）'!S$3="","",'CF表（ご主人様働けない時）'!S30/10000)</f>
        <v/>
      </c>
      <c r="T30" s="230">
        <f>IF('CF表（ご主人様働けない時）'!T$3="","",'CF表（ご主人様働けない時）'!T30/10000)</f>
        <v/>
      </c>
      <c r="U30" s="230">
        <f>IF('CF表（ご主人様働けない時）'!U$3="","",'CF表（ご主人様働けない時）'!U30/10000)</f>
        <v/>
      </c>
      <c r="V30" s="230">
        <f>IF('CF表（ご主人様働けない時）'!V$3="","",'CF表（ご主人様働けない時）'!V30/10000)</f>
        <v/>
      </c>
      <c r="W30" s="230">
        <f>IF('CF表（ご主人様働けない時）'!W$3="","",'CF表（ご主人様働けない時）'!W30/10000)</f>
        <v/>
      </c>
      <c r="X30" s="230">
        <f>IF('CF表（ご主人様働けない時）'!X$3="","",'CF表（ご主人様働けない時）'!X30/10000)</f>
        <v/>
      </c>
      <c r="Y30" s="230">
        <f>IF('CF表（ご主人様働けない時）'!Y$3="","",'CF表（ご主人様働けない時）'!Y30/10000)</f>
        <v/>
      </c>
      <c r="Z30" s="230">
        <f>IF('CF表（ご主人様働けない時）'!Z$3="","",'CF表（ご主人様働けない時）'!Z30/10000)</f>
        <v/>
      </c>
      <c r="AA30" s="230">
        <f>IF('CF表（ご主人様働けない時）'!AA$3="","",'CF表（ご主人様働けない時）'!AA30/10000)</f>
        <v/>
      </c>
      <c r="AB30" s="230">
        <f>IF('CF表（ご主人様働けない時）'!AB$3="","",'CF表（ご主人様働けない時）'!AB30/10000)</f>
        <v/>
      </c>
      <c r="AC30" s="230">
        <f>IF('CF表（ご主人様働けない時）'!AC$3="","",'CF表（ご主人様働けない時）'!AC30/10000)</f>
        <v/>
      </c>
      <c r="AD30" s="230">
        <f>IF('CF表（ご主人様働けない時）'!AD$3="","",'CF表（ご主人様働けない時）'!AD30/10000)</f>
        <v/>
      </c>
      <c r="AE30" s="230">
        <f>IF('CF表（ご主人様働けない時）'!AE$3="","",'CF表（ご主人様働けない時）'!AE30/10000)</f>
        <v/>
      </c>
      <c r="AF30" s="230">
        <f>IF('CF表（ご主人様働けない時）'!AF$3="","",'CF表（ご主人様働けない時）'!AF30/10000)</f>
        <v/>
      </c>
      <c r="AG30" s="230">
        <f>IF('CF表（ご主人様働けない時）'!AG$3="","",'CF表（ご主人様働けない時）'!AG30/10000)</f>
        <v/>
      </c>
      <c r="AH30" s="230">
        <f>IF('CF表（ご主人様働けない時）'!AH$3="","",'CF表（ご主人様働けない時）'!AH30/10000)</f>
        <v/>
      </c>
      <c r="AI30" s="230">
        <f>IF('CF表（ご主人様働けない時）'!AI$3="","",'CF表（ご主人様働けない時）'!AI30/10000)</f>
        <v/>
      </c>
      <c r="AJ30" s="230">
        <f>IF('CF表（ご主人様働けない時）'!AJ$3="","",'CF表（ご主人様働けない時）'!AJ30/10000)</f>
        <v/>
      </c>
      <c r="AK30" s="230">
        <f>IF('CF表（ご主人様働けない時）'!AK$3="","",'CF表（ご主人様働けない時）'!AK30/10000)</f>
        <v/>
      </c>
      <c r="AL30" s="230">
        <f>IF('CF表（ご主人様働けない時）'!AL$3="","",'CF表（ご主人様働けない時）'!AL30/10000)</f>
        <v/>
      </c>
      <c r="AM30" s="230">
        <f>IF('CF表（ご主人様働けない時）'!AM$3="","",'CF表（ご主人様働けない時）'!AM30/10000)</f>
        <v/>
      </c>
      <c r="AN30" s="230">
        <f>IF('CF表（ご主人様働けない時）'!AN$3="","",'CF表（ご主人様働けない時）'!AN30/10000)</f>
        <v/>
      </c>
      <c r="AO30" s="230">
        <f>IF('CF表（ご主人様働けない時）'!AO$3="","",'CF表（ご主人様働けない時）'!AO30/10000)</f>
        <v/>
      </c>
      <c r="AP30" s="230">
        <f>IF('CF表（ご主人様働けない時）'!AP$3="","",'CF表（ご主人様働けない時）'!AP30/10000)</f>
        <v/>
      </c>
      <c r="AQ30" s="230">
        <f>IF('CF表（ご主人様働けない時）'!AQ$3="","",'CF表（ご主人様働けない時）'!AQ30/10000)</f>
        <v/>
      </c>
      <c r="AR30" s="230">
        <f>IF('CF表（ご主人様働けない時）'!AR$3="","",'CF表（ご主人様働けない時）'!AR30/10000)</f>
        <v/>
      </c>
      <c r="AS30" s="230">
        <f>IF('CF表（ご主人様働けない時）'!AS$3="","",'CF表（ご主人様働けない時）'!AS30/10000)</f>
        <v/>
      </c>
      <c r="AT30" s="230">
        <f>IF('CF表（ご主人様働けない時）'!AT$3="","",'CF表（ご主人様働けない時）'!AT30/10000)</f>
        <v/>
      </c>
      <c r="AU30" s="230">
        <f>IF('CF表（ご主人様働けない時）'!AU$3="","",'CF表（ご主人様働けない時）'!AU30/10000)</f>
        <v/>
      </c>
      <c r="AV30" s="230">
        <f>IF('CF表（ご主人様働けない時）'!AV$3="","",'CF表（ご主人様働けない時）'!AV30/10000)</f>
        <v/>
      </c>
      <c r="AW30" s="230">
        <f>IF('CF表（ご主人様働けない時）'!AW$3="","",'CF表（ご主人様働けない時）'!AW30/10000)</f>
        <v/>
      </c>
      <c r="AX30" s="230">
        <f>IF('CF表（ご主人様働けない時）'!AX$3="","",'CF表（ご主人様働けない時）'!AX30/10000)</f>
        <v/>
      </c>
      <c r="AY30" s="230">
        <f>IF('CF表（ご主人様働けない時）'!AY$3="","",'CF表（ご主人様働けない時）'!AY30/10000)</f>
        <v/>
      </c>
      <c r="AZ30" s="230">
        <f>IF('CF表（ご主人様働けない時）'!AZ$3="","",'CF表（ご主人様働けない時）'!AZ30/10000)</f>
        <v/>
      </c>
      <c r="BA30" s="230">
        <f>IF('CF表（ご主人様働けない時）'!BA$3="","",'CF表（ご主人様働けない時）'!BA30/10000)</f>
        <v/>
      </c>
      <c r="BB30" s="230">
        <f>IF('CF表（ご主人様働けない時）'!BB$3="","",'CF表（ご主人様働けない時）'!BB30/10000)</f>
        <v/>
      </c>
      <c r="BC30" s="230">
        <f>IF('CF表（ご主人様働けない時）'!BC$3="","",'CF表（ご主人様働けない時）'!BC30/10000)</f>
        <v/>
      </c>
      <c r="BD30" s="230">
        <f>IF('CF表（ご主人様働けない時）'!BD$3="","",'CF表（ご主人様働けない時）'!BD30/10000)</f>
        <v/>
      </c>
      <c r="BE30" s="230">
        <f>IF('CF表（ご主人様働けない時）'!BE$3="","",'CF表（ご主人様働けない時）'!BE30/10000)</f>
        <v/>
      </c>
      <c r="BF30" s="230">
        <f>IF('CF表（ご主人様働けない時）'!BF$3="","",'CF表（ご主人様働けない時）'!BF30/10000)</f>
        <v/>
      </c>
      <c r="BG30" s="230">
        <f>IF('CF表（ご主人様働けない時）'!BG$3="","",'CF表（ご主人様働けない時）'!BG30/10000)</f>
        <v/>
      </c>
      <c r="BH30" s="230">
        <f>IF('CF表（ご主人様働けない時）'!BH$3="","",'CF表（ご主人様働けない時）'!BH30/10000)</f>
        <v/>
      </c>
      <c r="BI30" s="230">
        <f>IF('CF表（ご主人様働けない時）'!BI$3="","",'CF表（ご主人様働けない時）'!BI30/10000)</f>
        <v/>
      </c>
      <c r="BJ30" s="230">
        <f>IF('CF表（ご主人様働けない時）'!BJ$3="","",'CF表（ご主人様働けない時）'!BJ30/10000)</f>
        <v/>
      </c>
      <c r="BK30" s="230">
        <f>IF('CF表（ご主人様働けない時）'!BK$3="","",'CF表（ご主人様働けない時）'!BK30/10000)</f>
        <v/>
      </c>
      <c r="BL30" s="230">
        <f>IF('CF表（ご主人様働けない時）'!BL$3="","",'CF表（ご主人様働けない時）'!BL30/10000)</f>
        <v/>
      </c>
      <c r="BM30" s="230">
        <f>IF('CF表（ご主人様働けない時）'!BM$3="","",'CF表（ご主人様働けない時）'!BM30/10000)</f>
        <v/>
      </c>
      <c r="BN30" s="230">
        <f>IF('CF表（ご主人様働けない時）'!BN$3="","",'CF表（ご主人様働けない時）'!BN30/10000)</f>
        <v/>
      </c>
      <c r="BO30" s="230">
        <f>IF('CF表（ご主人様働けない時）'!BO$3="","",'CF表（ご主人様働けない時）'!BO30/10000)</f>
        <v/>
      </c>
      <c r="BP30" s="230">
        <f>IF('CF表（ご主人様働けない時）'!BP$3="","",'CF表（ご主人様働けない時）'!BP30/10000)</f>
        <v/>
      </c>
      <c r="BQ30" s="230">
        <f>IF('CF表（ご主人様働けない時）'!BQ$3="","",'CF表（ご主人様働けない時）'!BQ30/10000)</f>
        <v/>
      </c>
      <c r="BR30" s="230">
        <f>IF('CF表（ご主人様働けない時）'!BR$3="","",'CF表（ご主人様働けない時）'!BR30/10000)</f>
        <v/>
      </c>
      <c r="BS30" s="230">
        <f>IF('CF表（ご主人様働けない時）'!BS$3="","",'CF表（ご主人様働けない時）'!BS30/10000)</f>
        <v/>
      </c>
      <c r="BT30" s="230">
        <f>IF('CF表（ご主人様働けない時）'!BT$3="","",'CF表（ご主人様働けない時）'!BT30/10000)</f>
        <v/>
      </c>
      <c r="BU30" s="230">
        <f>IF('CF表（ご主人様働けない時）'!BU$3="","",'CF表（ご主人様働けない時）'!BU30/10000)</f>
        <v/>
      </c>
      <c r="BV30" s="230">
        <f>IF('CF表（ご主人様働けない時）'!BV$3="","",'CF表（ご主人様働けない時）'!BV30/10000)</f>
        <v/>
      </c>
      <c r="BW30" s="230">
        <f>IF('CF表（ご主人様働けない時）'!BW$3="","",'CF表（ご主人様働けない時）'!BW30/10000)</f>
        <v/>
      </c>
      <c r="BX30" s="230">
        <f>IF('CF表（ご主人様働けない時）'!BX$3="","",'CF表（ご主人様働けない時）'!BX30/10000)</f>
        <v/>
      </c>
      <c r="BY30" s="230">
        <f>IF('CF表（ご主人様働けない時）'!BY$3="","",'CF表（ご主人様働けない時）'!BY30/10000)</f>
        <v/>
      </c>
      <c r="BZ30" s="230">
        <f>IF('CF表（ご主人様働けない時）'!BZ$3="","",'CF表（ご主人様働けない時）'!BZ30/10000)</f>
        <v/>
      </c>
      <c r="CA30" s="230">
        <f>IF('CF表（ご主人様働けない時）'!CA$3="","",'CF表（ご主人様働けない時）'!CA30/10000)</f>
        <v/>
      </c>
      <c r="CB30" s="230">
        <f>IF('CF表（ご主人様働けない時）'!CB$3="","",'CF表（ご主人様働けない時）'!CB30/10000)</f>
        <v/>
      </c>
      <c r="CC30" s="230">
        <f>IF('CF表（ご主人様働けない時）'!CC$3="","",'CF表（ご主人様働けない時）'!CC30/10000)</f>
        <v/>
      </c>
      <c r="CD30" s="230">
        <f>IF('CF表（ご主人様働けない時）'!CD$3="","",'CF表（ご主人様働けない時）'!CD30/10000)</f>
        <v/>
      </c>
      <c r="CE30" s="230">
        <f>IF('CF表（ご主人様働けない時）'!CE$3="","",'CF表（ご主人様働けない時）'!CE30/10000)</f>
        <v/>
      </c>
      <c r="CF30" s="230">
        <f>IF('CF表（ご主人様働けない時）'!CF$3="","",'CF表（ご主人様働けない時）'!CF30/10000)</f>
        <v/>
      </c>
      <c r="CG30" s="230">
        <f>IF('CF表（ご主人様働けない時）'!CG$3="","",'CF表（ご主人様働けない時）'!CG30/10000)</f>
        <v/>
      </c>
      <c r="CH30" s="230">
        <f>IF('CF表（ご主人様働けない時）'!CH$3="","",'CF表（ご主人様働けない時）'!CH30/10000)</f>
        <v/>
      </c>
      <c r="CI30" s="230">
        <f>IF('CF表（ご主人様働けない時）'!CI$3="","",'CF表（ご主人様働けない時）'!CI30/10000)</f>
        <v/>
      </c>
      <c r="CJ30" s="230">
        <f>IF('CF表（ご主人様働けない時）'!CJ$3="","",'CF表（ご主人様働けない時）'!CJ30/10000)</f>
        <v/>
      </c>
      <c r="CK30" s="230">
        <f>IF('CF表（ご主人様働けない時）'!CK$3="","",'CF表（ご主人様働けない時）'!CK30/10000)</f>
        <v/>
      </c>
      <c r="CL30" s="230">
        <f>IF('CF表（ご主人様働けない時）'!CL$3="","",'CF表（ご主人様働けない時）'!CL30/10000)</f>
        <v/>
      </c>
      <c r="CM30" s="230">
        <f>IF('CF表（ご主人様働けない時）'!CM$3="","",'CF表（ご主人様働けない時）'!CM30/10000)</f>
        <v/>
      </c>
      <c r="CN30" s="230">
        <f>IF('CF表（ご主人様働けない時）'!CN$3="","",'CF表（ご主人様働けない時）'!CN30/10000)</f>
        <v/>
      </c>
      <c r="CO30" s="230">
        <f>IF('CF表（ご主人様働けない時）'!CO$3="","",'CF表（ご主人様働けない時）'!CO30/10000)</f>
        <v/>
      </c>
      <c r="CP30" s="230">
        <f>IF('CF表（ご主人様働けない時）'!CP$3="","",'CF表（ご主人様働けない時）'!CP30/10000)</f>
        <v/>
      </c>
      <c r="CQ30" s="230">
        <f>IF('CF表（ご主人様働けない時）'!CQ$3="","",'CF表（ご主人様働けない時）'!CQ30/10000)</f>
        <v/>
      </c>
      <c r="CR30" s="230">
        <f>IF('CF表（ご主人様働けない時）'!CR$3="","",'CF表（ご主人様働けない時）'!CR30/10000)</f>
        <v/>
      </c>
      <c r="CS30" s="230">
        <f>IF('CF表（ご主人様働けない時）'!CS$3="","",'CF表（ご主人様働けない時）'!CS30/10000)</f>
        <v/>
      </c>
      <c r="CT30" s="230">
        <f>IF('CF表（ご主人様働けない時）'!CT$3="","",'CF表（ご主人様働けない時）'!CT30/10000)</f>
        <v/>
      </c>
      <c r="CU30" s="230">
        <f>IF('CF表（ご主人様働けない時）'!CU$3="","",'CF表（ご主人様働けない時）'!CU30/10000)</f>
        <v/>
      </c>
      <c r="CV30" s="230">
        <f>IF('CF表（ご主人様働けない時）'!CV$3="","",'CF表（ご主人様働けない時）'!CV30/10000)</f>
        <v/>
      </c>
      <c r="CW30" s="230">
        <f>IF('CF表（ご主人様働けない時）'!CW$3="","",'CF表（ご主人様働けない時）'!CW30/10000)</f>
        <v/>
      </c>
    </row>
    <row r="31" ht="15" customHeight="1" s="180">
      <c r="A31" s="231" t="inlineStr">
        <is>
          <t>預貯金残高</t>
        </is>
      </c>
      <c r="B31" s="232">
        <f>IF('CF表（ご主人様働けない時）'!B$3="","",'CF表（ご主人様働けない時）'!B31/10000)</f>
        <v/>
      </c>
      <c r="C31" s="232">
        <f>IF('CF表（ご主人様働けない時）'!C$3="","",'CF表（ご主人様働けない時）'!C31/10000)</f>
        <v/>
      </c>
      <c r="D31" s="232">
        <f>IF('CF表（ご主人様働けない時）'!D$3="","",'CF表（ご主人様働けない時）'!D31/10000)</f>
        <v/>
      </c>
      <c r="E31" s="232">
        <f>IF('CF表（ご主人様働けない時）'!E$3="","",'CF表（ご主人様働けない時）'!E31/10000)</f>
        <v/>
      </c>
      <c r="F31" s="232">
        <f>IF('CF表（ご主人様働けない時）'!F$3="","",'CF表（ご主人様働けない時）'!F31/10000)</f>
        <v/>
      </c>
      <c r="G31" s="232">
        <f>IF('CF表（ご主人様働けない時）'!G$3="","",'CF表（ご主人様働けない時）'!G31/10000)</f>
        <v/>
      </c>
      <c r="H31" s="232">
        <f>IF('CF表（ご主人様働けない時）'!H$3="","",'CF表（ご主人様働けない時）'!H31/10000)</f>
        <v/>
      </c>
      <c r="I31" s="232">
        <f>IF('CF表（ご主人様働けない時）'!I$3="","",'CF表（ご主人様働けない時）'!I31/10000)</f>
        <v/>
      </c>
      <c r="J31" s="232">
        <f>IF('CF表（ご主人様働けない時）'!J$3="","",'CF表（ご主人様働けない時）'!J31/10000)</f>
        <v/>
      </c>
      <c r="K31" s="232">
        <f>IF('CF表（ご主人様働けない時）'!K$3="","",'CF表（ご主人様働けない時）'!K31/10000)</f>
        <v/>
      </c>
      <c r="L31" s="232">
        <f>IF('CF表（ご主人様働けない時）'!L$3="","",'CF表（ご主人様働けない時）'!L31/10000)</f>
        <v/>
      </c>
      <c r="M31" s="232">
        <f>IF('CF表（ご主人様働けない時）'!M$3="","",'CF表（ご主人様働けない時）'!M31/10000)</f>
        <v/>
      </c>
      <c r="N31" s="232">
        <f>IF('CF表（ご主人様働けない時）'!N$3="","",'CF表（ご主人様働けない時）'!N31/10000)</f>
        <v/>
      </c>
      <c r="O31" s="232">
        <f>IF('CF表（ご主人様働けない時）'!O$3="","",'CF表（ご主人様働けない時）'!O31/10000)</f>
        <v/>
      </c>
      <c r="P31" s="232">
        <f>IF('CF表（ご主人様働けない時）'!P$3="","",'CF表（ご主人様働けない時）'!P31/10000)</f>
        <v/>
      </c>
      <c r="Q31" s="232">
        <f>IF('CF表（ご主人様働けない時）'!Q$3="","",'CF表（ご主人様働けない時）'!Q31/10000)</f>
        <v/>
      </c>
      <c r="R31" s="232">
        <f>IF('CF表（ご主人様働けない時）'!R$3="","",'CF表（ご主人様働けない時）'!R31/10000)</f>
        <v/>
      </c>
      <c r="S31" s="232">
        <f>IF('CF表（ご主人様働けない時）'!S$3="","",'CF表（ご主人様働けない時）'!S31/10000)</f>
        <v/>
      </c>
      <c r="T31" s="232">
        <f>IF('CF表（ご主人様働けない時）'!T$3="","",'CF表（ご主人様働けない時）'!T31/10000)</f>
        <v/>
      </c>
      <c r="U31" s="232">
        <f>IF('CF表（ご主人様働けない時）'!U$3="","",'CF表（ご主人様働けない時）'!U31/10000)</f>
        <v/>
      </c>
      <c r="V31" s="232">
        <f>IF('CF表（ご主人様働けない時）'!V$3="","",'CF表（ご主人様働けない時）'!V31/10000)</f>
        <v/>
      </c>
      <c r="W31" s="232">
        <f>IF('CF表（ご主人様働けない時）'!W$3="","",'CF表（ご主人様働けない時）'!W31/10000)</f>
        <v/>
      </c>
      <c r="X31" s="232">
        <f>IF('CF表（ご主人様働けない時）'!X$3="","",'CF表（ご主人様働けない時）'!X31/10000)</f>
        <v/>
      </c>
      <c r="Y31" s="232">
        <f>IF('CF表（ご主人様働けない時）'!Y$3="","",'CF表（ご主人様働けない時）'!Y31/10000)</f>
        <v/>
      </c>
      <c r="Z31" s="232">
        <f>IF('CF表（ご主人様働けない時）'!Z$3="","",'CF表（ご主人様働けない時）'!Z31/10000)</f>
        <v/>
      </c>
      <c r="AA31" s="232">
        <f>IF('CF表（ご主人様働けない時）'!AA$3="","",'CF表（ご主人様働けない時）'!AA31/10000)</f>
        <v/>
      </c>
      <c r="AB31" s="232">
        <f>IF('CF表（ご主人様働けない時）'!AB$3="","",'CF表（ご主人様働けない時）'!AB31/10000)</f>
        <v/>
      </c>
      <c r="AC31" s="232">
        <f>IF('CF表（ご主人様働けない時）'!AC$3="","",'CF表（ご主人様働けない時）'!AC31/10000)</f>
        <v/>
      </c>
      <c r="AD31" s="232">
        <f>IF('CF表（ご主人様働けない時）'!AD$3="","",'CF表（ご主人様働けない時）'!AD31/10000)</f>
        <v/>
      </c>
      <c r="AE31" s="232">
        <f>IF('CF表（ご主人様働けない時）'!AE$3="","",'CF表（ご主人様働けない時）'!AE31/10000)</f>
        <v/>
      </c>
      <c r="AF31" s="232">
        <f>IF('CF表（ご主人様働けない時）'!AF$3="","",'CF表（ご主人様働けない時）'!AF31/10000)</f>
        <v/>
      </c>
      <c r="AG31" s="232">
        <f>IF('CF表（ご主人様働けない時）'!AG$3="","",'CF表（ご主人様働けない時）'!AG31/10000)</f>
        <v/>
      </c>
      <c r="AH31" s="232">
        <f>IF('CF表（ご主人様働けない時）'!AH$3="","",'CF表（ご主人様働けない時）'!AH31/10000)</f>
        <v/>
      </c>
      <c r="AI31" s="232">
        <f>IF('CF表（ご主人様働けない時）'!AI$3="","",'CF表（ご主人様働けない時）'!AI31/10000)</f>
        <v/>
      </c>
      <c r="AJ31" s="232">
        <f>IF('CF表（ご主人様働けない時）'!AJ$3="","",'CF表（ご主人様働けない時）'!AJ31/10000)</f>
        <v/>
      </c>
      <c r="AK31" s="232">
        <f>IF('CF表（ご主人様働けない時）'!AK$3="","",'CF表（ご主人様働けない時）'!AK31/10000)</f>
        <v/>
      </c>
      <c r="AL31" s="232">
        <f>IF('CF表（ご主人様働けない時）'!AL$3="","",'CF表（ご主人様働けない時）'!AL31/10000)</f>
        <v/>
      </c>
      <c r="AM31" s="232">
        <f>IF('CF表（ご主人様働けない時）'!AM$3="","",'CF表（ご主人様働けない時）'!AM31/10000)</f>
        <v/>
      </c>
      <c r="AN31" s="232">
        <f>IF('CF表（ご主人様働けない時）'!AN$3="","",'CF表（ご主人様働けない時）'!AN31/10000)</f>
        <v/>
      </c>
      <c r="AO31" s="232">
        <f>IF('CF表（ご主人様働けない時）'!AO$3="","",'CF表（ご主人様働けない時）'!AO31/10000)</f>
        <v/>
      </c>
      <c r="AP31" s="232">
        <f>IF('CF表（ご主人様働けない時）'!AP$3="","",'CF表（ご主人様働けない時）'!AP31/10000)</f>
        <v/>
      </c>
      <c r="AQ31" s="232">
        <f>IF('CF表（ご主人様働けない時）'!AQ$3="","",'CF表（ご主人様働けない時）'!AQ31/10000)</f>
        <v/>
      </c>
      <c r="AR31" s="232">
        <f>IF('CF表（ご主人様働けない時）'!AR$3="","",'CF表（ご主人様働けない時）'!AR31/10000)</f>
        <v/>
      </c>
      <c r="AS31" s="232">
        <f>IF('CF表（ご主人様働けない時）'!AS$3="","",'CF表（ご主人様働けない時）'!AS31/10000)</f>
        <v/>
      </c>
      <c r="AT31" s="232">
        <f>IF('CF表（ご主人様働けない時）'!AT$3="","",'CF表（ご主人様働けない時）'!AT31/10000)</f>
        <v/>
      </c>
      <c r="AU31" s="232">
        <f>IF('CF表（ご主人様働けない時）'!AU$3="","",'CF表（ご主人様働けない時）'!AU31/10000)</f>
        <v/>
      </c>
      <c r="AV31" s="232">
        <f>IF('CF表（ご主人様働けない時）'!AV$3="","",'CF表（ご主人様働けない時）'!AV31/10000)</f>
        <v/>
      </c>
      <c r="AW31" s="232">
        <f>IF('CF表（ご主人様働けない時）'!AW$3="","",'CF表（ご主人様働けない時）'!AW31/10000)</f>
        <v/>
      </c>
      <c r="AX31" s="232">
        <f>IF('CF表（ご主人様働けない時）'!AX$3="","",'CF表（ご主人様働けない時）'!AX31/10000)</f>
        <v/>
      </c>
      <c r="AY31" s="232">
        <f>IF('CF表（ご主人様働けない時）'!AY$3="","",'CF表（ご主人様働けない時）'!AY31/10000)</f>
        <v/>
      </c>
      <c r="AZ31" s="232">
        <f>IF('CF表（ご主人様働けない時）'!AZ$3="","",'CF表（ご主人様働けない時）'!AZ31/10000)</f>
        <v/>
      </c>
      <c r="BA31" s="232">
        <f>IF('CF表（ご主人様働けない時）'!BA$3="","",'CF表（ご主人様働けない時）'!BA31/10000)</f>
        <v/>
      </c>
      <c r="BB31" s="232">
        <f>IF('CF表（ご主人様働けない時）'!BB$3="","",'CF表（ご主人様働けない時）'!BB31/10000)</f>
        <v/>
      </c>
      <c r="BC31" s="232">
        <f>IF('CF表（ご主人様働けない時）'!BC$3="","",'CF表（ご主人様働けない時）'!BC31/10000)</f>
        <v/>
      </c>
      <c r="BD31" s="232">
        <f>IF('CF表（ご主人様働けない時）'!BD$3="","",'CF表（ご主人様働けない時）'!BD31/10000)</f>
        <v/>
      </c>
      <c r="BE31" s="232">
        <f>IF('CF表（ご主人様働けない時）'!BE$3="","",'CF表（ご主人様働けない時）'!BE31/10000)</f>
        <v/>
      </c>
      <c r="BF31" s="232">
        <f>IF('CF表（ご主人様働けない時）'!BF$3="","",'CF表（ご主人様働けない時）'!BF31/10000)</f>
        <v/>
      </c>
      <c r="BG31" s="232">
        <f>IF('CF表（ご主人様働けない時）'!BG$3="","",'CF表（ご主人様働けない時）'!BG31/10000)</f>
        <v/>
      </c>
      <c r="BH31" s="232">
        <f>IF('CF表（ご主人様働けない時）'!BH$3="","",'CF表（ご主人様働けない時）'!BH31/10000)</f>
        <v/>
      </c>
      <c r="BI31" s="232">
        <f>IF('CF表（ご主人様働けない時）'!BI$3="","",'CF表（ご主人様働けない時）'!BI31/10000)</f>
        <v/>
      </c>
      <c r="BJ31" s="232">
        <f>IF('CF表（ご主人様働けない時）'!BJ$3="","",'CF表（ご主人様働けない時）'!BJ31/10000)</f>
        <v/>
      </c>
      <c r="BK31" s="232">
        <f>IF('CF表（ご主人様働けない時）'!BK$3="","",'CF表（ご主人様働けない時）'!BK31/10000)</f>
        <v/>
      </c>
      <c r="BL31" s="232">
        <f>IF('CF表（ご主人様働けない時）'!BL$3="","",'CF表（ご主人様働けない時）'!BL31/10000)</f>
        <v/>
      </c>
      <c r="BM31" s="232">
        <f>IF('CF表（ご主人様働けない時）'!BM$3="","",'CF表（ご主人様働けない時）'!BM31/10000)</f>
        <v/>
      </c>
      <c r="BN31" s="232">
        <f>IF('CF表（ご主人様働けない時）'!BN$3="","",'CF表（ご主人様働けない時）'!BN31/10000)</f>
        <v/>
      </c>
      <c r="BO31" s="232">
        <f>IF('CF表（ご主人様働けない時）'!BO$3="","",'CF表（ご主人様働けない時）'!BO31/10000)</f>
        <v/>
      </c>
      <c r="BP31" s="232">
        <f>IF('CF表（ご主人様働けない時）'!BP$3="","",'CF表（ご主人様働けない時）'!BP31/10000)</f>
        <v/>
      </c>
      <c r="BQ31" s="232">
        <f>IF('CF表（ご主人様働けない時）'!BQ$3="","",'CF表（ご主人様働けない時）'!BQ31/10000)</f>
        <v/>
      </c>
      <c r="BR31" s="232">
        <f>IF('CF表（ご主人様働けない時）'!BR$3="","",'CF表（ご主人様働けない時）'!BR31/10000)</f>
        <v/>
      </c>
      <c r="BS31" s="232">
        <f>IF('CF表（ご主人様働けない時）'!BS$3="","",'CF表（ご主人様働けない時）'!BS31/10000)</f>
        <v/>
      </c>
      <c r="BT31" s="232">
        <f>IF('CF表（ご主人様働けない時）'!BT$3="","",'CF表（ご主人様働けない時）'!BT31/10000)</f>
        <v/>
      </c>
      <c r="BU31" s="232">
        <f>IF('CF表（ご主人様働けない時）'!BU$3="","",'CF表（ご主人様働けない時）'!BU31/10000)</f>
        <v/>
      </c>
      <c r="BV31" s="232">
        <f>IF('CF表（ご主人様働けない時）'!BV$3="","",'CF表（ご主人様働けない時）'!BV31/10000)</f>
        <v/>
      </c>
      <c r="BW31" s="232">
        <f>IF('CF表（ご主人様働けない時）'!BW$3="","",'CF表（ご主人様働けない時）'!BW31/10000)</f>
        <v/>
      </c>
      <c r="BX31" s="232">
        <f>IF('CF表（ご主人様働けない時）'!BX$3="","",'CF表（ご主人様働けない時）'!BX31/10000)</f>
        <v/>
      </c>
      <c r="BY31" s="232">
        <f>IF('CF表（ご主人様働けない時）'!BY$3="","",'CF表（ご主人様働けない時）'!BY31/10000)</f>
        <v/>
      </c>
      <c r="BZ31" s="232">
        <f>IF('CF表（ご主人様働けない時）'!BZ$3="","",'CF表（ご主人様働けない時）'!BZ31/10000)</f>
        <v/>
      </c>
      <c r="CA31" s="232">
        <f>IF('CF表（ご主人様働けない時）'!CA$3="","",'CF表（ご主人様働けない時）'!CA31/10000)</f>
        <v/>
      </c>
      <c r="CB31" s="232">
        <f>IF('CF表（ご主人様働けない時）'!CB$3="","",'CF表（ご主人様働けない時）'!CB31/10000)</f>
        <v/>
      </c>
      <c r="CC31" s="232">
        <f>IF('CF表（ご主人様働けない時）'!CC$3="","",'CF表（ご主人様働けない時）'!CC31/10000)</f>
        <v/>
      </c>
      <c r="CD31" s="232">
        <f>IF('CF表（ご主人様働けない時）'!CD$3="","",'CF表（ご主人様働けない時）'!CD31/10000)</f>
        <v/>
      </c>
      <c r="CE31" s="232">
        <f>IF('CF表（ご主人様働けない時）'!CE$3="","",'CF表（ご主人様働けない時）'!CE31/10000)</f>
        <v/>
      </c>
      <c r="CF31" s="232">
        <f>IF('CF表（ご主人様働けない時）'!CF$3="","",'CF表（ご主人様働けない時）'!CF31/10000)</f>
        <v/>
      </c>
      <c r="CG31" s="232">
        <f>IF('CF表（ご主人様働けない時）'!CG$3="","",'CF表（ご主人様働けない時）'!CG31/10000)</f>
        <v/>
      </c>
      <c r="CH31" s="232">
        <f>IF('CF表（ご主人様働けない時）'!CH$3="","",'CF表（ご主人様働けない時）'!CH31/10000)</f>
        <v/>
      </c>
      <c r="CI31" s="232">
        <f>IF('CF表（ご主人様働けない時）'!CI$3="","",'CF表（ご主人様働けない時）'!CI31/10000)</f>
        <v/>
      </c>
      <c r="CJ31" s="232">
        <f>IF('CF表（ご主人様働けない時）'!CJ$3="","",'CF表（ご主人様働けない時）'!CJ31/10000)</f>
        <v/>
      </c>
      <c r="CK31" s="232">
        <f>IF('CF表（ご主人様働けない時）'!CK$3="","",'CF表（ご主人様働けない時）'!CK31/10000)</f>
        <v/>
      </c>
      <c r="CL31" s="232">
        <f>IF('CF表（ご主人様働けない時）'!CL$3="","",'CF表（ご主人様働けない時）'!CL31/10000)</f>
        <v/>
      </c>
      <c r="CM31" s="232">
        <f>IF('CF表（ご主人様働けない時）'!CM$3="","",'CF表（ご主人様働けない時）'!CM31/10000)</f>
        <v/>
      </c>
      <c r="CN31" s="232">
        <f>IF('CF表（ご主人様働けない時）'!CN$3="","",'CF表（ご主人様働けない時）'!CN31/10000)</f>
        <v/>
      </c>
      <c r="CO31" s="232">
        <f>IF('CF表（ご主人様働けない時）'!CO$3="","",'CF表（ご主人様働けない時）'!CO31/10000)</f>
        <v/>
      </c>
      <c r="CP31" s="232">
        <f>IF('CF表（ご主人様働けない時）'!CP$3="","",'CF表（ご主人様働けない時）'!CP31/10000)</f>
        <v/>
      </c>
      <c r="CQ31" s="232">
        <f>IF('CF表（ご主人様働けない時）'!CQ$3="","",'CF表（ご主人様働けない時）'!CQ31/10000)</f>
        <v/>
      </c>
      <c r="CR31" s="232">
        <f>IF('CF表（ご主人様働けない時）'!CR$3="","",'CF表（ご主人様働けない時）'!CR31/10000)</f>
        <v/>
      </c>
      <c r="CS31" s="232">
        <f>IF('CF表（ご主人様働けない時）'!CS$3="","",'CF表（ご主人様働けない時）'!CS31/10000)</f>
        <v/>
      </c>
      <c r="CT31" s="232">
        <f>IF('CF表（ご主人様働けない時）'!CT$3="","",'CF表（ご主人様働けない時）'!CT31/10000)</f>
        <v/>
      </c>
      <c r="CU31" s="232">
        <f>IF('CF表（ご主人様働けない時）'!CU$3="","",'CF表（ご主人様働けない時）'!CU31/10000)</f>
        <v/>
      </c>
      <c r="CV31" s="232">
        <f>IF('CF表（ご主人様働けない時）'!CV$3="","",'CF表（ご主人様働けない時）'!CV31/10000)</f>
        <v/>
      </c>
      <c r="CW31" s="232">
        <f>IF('CF表（ご主人様働けない時）'!CW$3="","",'CF表（ご主人様働けない時）'!CW31/10000)</f>
        <v/>
      </c>
    </row>
    <row r="32" ht="15" customHeight="1" s="180">
      <c r="A32" s="233" t="inlineStr">
        <is>
          <t>投資資産残高</t>
        </is>
      </c>
      <c r="B32" s="234">
        <f>IF('CF表（ご主人様働けない時）'!B$3="","",'CF表（ご主人様働けない時）'!B32/10000)</f>
        <v/>
      </c>
      <c r="C32" s="234">
        <f>IF('CF表（ご主人様働けない時）'!C$3="","",'CF表（ご主人様働けない時）'!C32/10000)</f>
        <v/>
      </c>
      <c r="D32" s="234">
        <f>IF('CF表（ご主人様働けない時）'!D$3="","",'CF表（ご主人様働けない時）'!D32/10000)</f>
        <v/>
      </c>
      <c r="E32" s="234">
        <f>IF('CF表（ご主人様働けない時）'!E$3="","",'CF表（ご主人様働けない時）'!E32/10000)</f>
        <v/>
      </c>
      <c r="F32" s="234">
        <f>IF('CF表（ご主人様働けない時）'!F$3="","",'CF表（ご主人様働けない時）'!F32/10000)</f>
        <v/>
      </c>
      <c r="G32" s="234">
        <f>IF('CF表（ご主人様働けない時）'!G$3="","",'CF表（ご主人様働けない時）'!G32/10000)</f>
        <v/>
      </c>
      <c r="H32" s="234">
        <f>IF('CF表（ご主人様働けない時）'!H$3="","",'CF表（ご主人様働けない時）'!H32/10000)</f>
        <v/>
      </c>
      <c r="I32" s="234">
        <f>IF('CF表（ご主人様働けない時）'!I$3="","",'CF表（ご主人様働けない時）'!I32/10000)</f>
        <v/>
      </c>
      <c r="J32" s="234">
        <f>IF('CF表（ご主人様働けない時）'!J$3="","",'CF表（ご主人様働けない時）'!J32/10000)</f>
        <v/>
      </c>
      <c r="K32" s="234">
        <f>IF('CF表（ご主人様働けない時）'!K$3="","",'CF表（ご主人様働けない時）'!K32/10000)</f>
        <v/>
      </c>
      <c r="L32" s="234">
        <f>IF('CF表（ご主人様働けない時）'!L$3="","",'CF表（ご主人様働けない時）'!L32/10000)</f>
        <v/>
      </c>
      <c r="M32" s="234">
        <f>IF('CF表（ご主人様働けない時）'!M$3="","",'CF表（ご主人様働けない時）'!M32/10000)</f>
        <v/>
      </c>
      <c r="N32" s="234">
        <f>IF('CF表（ご主人様働けない時）'!N$3="","",'CF表（ご主人様働けない時）'!N32/10000)</f>
        <v/>
      </c>
      <c r="O32" s="234">
        <f>IF('CF表（ご主人様働けない時）'!O$3="","",'CF表（ご主人様働けない時）'!O32/10000)</f>
        <v/>
      </c>
      <c r="P32" s="234">
        <f>IF('CF表（ご主人様働けない時）'!P$3="","",'CF表（ご主人様働けない時）'!P32/10000)</f>
        <v/>
      </c>
      <c r="Q32" s="234">
        <f>IF('CF表（ご主人様働けない時）'!Q$3="","",'CF表（ご主人様働けない時）'!Q32/10000)</f>
        <v/>
      </c>
      <c r="R32" s="234">
        <f>IF('CF表（ご主人様働けない時）'!R$3="","",'CF表（ご主人様働けない時）'!R32/10000)</f>
        <v/>
      </c>
      <c r="S32" s="234">
        <f>IF('CF表（ご主人様働けない時）'!S$3="","",'CF表（ご主人様働けない時）'!S32/10000)</f>
        <v/>
      </c>
      <c r="T32" s="234">
        <f>IF('CF表（ご主人様働けない時）'!T$3="","",'CF表（ご主人様働けない時）'!T32/10000)</f>
        <v/>
      </c>
      <c r="U32" s="234">
        <f>IF('CF表（ご主人様働けない時）'!U$3="","",'CF表（ご主人様働けない時）'!U32/10000)</f>
        <v/>
      </c>
      <c r="V32" s="234">
        <f>IF('CF表（ご主人様働けない時）'!V$3="","",'CF表（ご主人様働けない時）'!V32/10000)</f>
        <v/>
      </c>
      <c r="W32" s="234">
        <f>IF('CF表（ご主人様働けない時）'!W$3="","",'CF表（ご主人様働けない時）'!W32/10000)</f>
        <v/>
      </c>
      <c r="X32" s="234">
        <f>IF('CF表（ご主人様働けない時）'!X$3="","",'CF表（ご主人様働けない時）'!X32/10000)</f>
        <v/>
      </c>
      <c r="Y32" s="234">
        <f>IF('CF表（ご主人様働けない時）'!Y$3="","",'CF表（ご主人様働けない時）'!Y32/10000)</f>
        <v/>
      </c>
      <c r="Z32" s="234">
        <f>IF('CF表（ご主人様働けない時）'!Z$3="","",'CF表（ご主人様働けない時）'!Z32/10000)</f>
        <v/>
      </c>
      <c r="AA32" s="234">
        <f>IF('CF表（ご主人様働けない時）'!AA$3="","",'CF表（ご主人様働けない時）'!AA32/10000)</f>
        <v/>
      </c>
      <c r="AB32" s="234">
        <f>IF('CF表（ご主人様働けない時）'!AB$3="","",'CF表（ご主人様働けない時）'!AB32/10000)</f>
        <v/>
      </c>
      <c r="AC32" s="234">
        <f>IF('CF表（ご主人様働けない時）'!AC$3="","",'CF表（ご主人様働けない時）'!AC32/10000)</f>
        <v/>
      </c>
      <c r="AD32" s="234">
        <f>IF('CF表（ご主人様働けない時）'!AD$3="","",'CF表（ご主人様働けない時）'!AD32/10000)</f>
        <v/>
      </c>
      <c r="AE32" s="234">
        <f>IF('CF表（ご主人様働けない時）'!AE$3="","",'CF表（ご主人様働けない時）'!AE32/10000)</f>
        <v/>
      </c>
      <c r="AF32" s="234">
        <f>IF('CF表（ご主人様働けない時）'!AF$3="","",'CF表（ご主人様働けない時）'!AF32/10000)</f>
        <v/>
      </c>
      <c r="AG32" s="234">
        <f>IF('CF表（ご主人様働けない時）'!AG$3="","",'CF表（ご主人様働けない時）'!AG32/10000)</f>
        <v/>
      </c>
      <c r="AH32" s="234">
        <f>IF('CF表（ご主人様働けない時）'!AH$3="","",'CF表（ご主人様働けない時）'!AH32/10000)</f>
        <v/>
      </c>
      <c r="AI32" s="234">
        <f>IF('CF表（ご主人様働けない時）'!AI$3="","",'CF表（ご主人様働けない時）'!AI32/10000)</f>
        <v/>
      </c>
      <c r="AJ32" s="234">
        <f>IF('CF表（ご主人様働けない時）'!AJ$3="","",'CF表（ご主人様働けない時）'!AJ32/10000)</f>
        <v/>
      </c>
      <c r="AK32" s="234">
        <f>IF('CF表（ご主人様働けない時）'!AK$3="","",'CF表（ご主人様働けない時）'!AK32/10000)</f>
        <v/>
      </c>
      <c r="AL32" s="234">
        <f>IF('CF表（ご主人様働けない時）'!AL$3="","",'CF表（ご主人様働けない時）'!AL32/10000)</f>
        <v/>
      </c>
      <c r="AM32" s="234">
        <f>IF('CF表（ご主人様働けない時）'!AM$3="","",'CF表（ご主人様働けない時）'!AM32/10000)</f>
        <v/>
      </c>
      <c r="AN32" s="234">
        <f>IF('CF表（ご主人様働けない時）'!AN$3="","",'CF表（ご主人様働けない時）'!AN32/10000)</f>
        <v/>
      </c>
      <c r="AO32" s="234">
        <f>IF('CF表（ご主人様働けない時）'!AO$3="","",'CF表（ご主人様働けない時）'!AO32/10000)</f>
        <v/>
      </c>
      <c r="AP32" s="234">
        <f>IF('CF表（ご主人様働けない時）'!AP$3="","",'CF表（ご主人様働けない時）'!AP32/10000)</f>
        <v/>
      </c>
      <c r="AQ32" s="234">
        <f>IF('CF表（ご主人様働けない時）'!AQ$3="","",'CF表（ご主人様働けない時）'!AQ32/10000)</f>
        <v/>
      </c>
      <c r="AR32" s="234">
        <f>IF('CF表（ご主人様働けない時）'!AR$3="","",'CF表（ご主人様働けない時）'!AR32/10000)</f>
        <v/>
      </c>
      <c r="AS32" s="234">
        <f>IF('CF表（ご主人様働けない時）'!AS$3="","",'CF表（ご主人様働けない時）'!AS32/10000)</f>
        <v/>
      </c>
      <c r="AT32" s="234">
        <f>IF('CF表（ご主人様働けない時）'!AT$3="","",'CF表（ご主人様働けない時）'!AT32/10000)</f>
        <v/>
      </c>
      <c r="AU32" s="234">
        <f>IF('CF表（ご主人様働けない時）'!AU$3="","",'CF表（ご主人様働けない時）'!AU32/10000)</f>
        <v/>
      </c>
      <c r="AV32" s="234">
        <f>IF('CF表（ご主人様働けない時）'!AV$3="","",'CF表（ご主人様働けない時）'!AV32/10000)</f>
        <v/>
      </c>
      <c r="AW32" s="234">
        <f>IF('CF表（ご主人様働けない時）'!AW$3="","",'CF表（ご主人様働けない時）'!AW32/10000)</f>
        <v/>
      </c>
      <c r="AX32" s="234">
        <f>IF('CF表（ご主人様働けない時）'!AX$3="","",'CF表（ご主人様働けない時）'!AX32/10000)</f>
        <v/>
      </c>
      <c r="AY32" s="234">
        <f>IF('CF表（ご主人様働けない時）'!AY$3="","",'CF表（ご主人様働けない時）'!AY32/10000)</f>
        <v/>
      </c>
      <c r="AZ32" s="234">
        <f>IF('CF表（ご主人様働けない時）'!AZ$3="","",'CF表（ご主人様働けない時）'!AZ32/10000)</f>
        <v/>
      </c>
      <c r="BA32" s="234">
        <f>IF('CF表（ご主人様働けない時）'!BA$3="","",'CF表（ご主人様働けない時）'!BA32/10000)</f>
        <v/>
      </c>
      <c r="BB32" s="234">
        <f>IF('CF表（ご主人様働けない時）'!BB$3="","",'CF表（ご主人様働けない時）'!BB32/10000)</f>
        <v/>
      </c>
      <c r="BC32" s="234">
        <f>IF('CF表（ご主人様働けない時）'!BC$3="","",'CF表（ご主人様働けない時）'!BC32/10000)</f>
        <v/>
      </c>
      <c r="BD32" s="234">
        <f>IF('CF表（ご主人様働けない時）'!BD$3="","",'CF表（ご主人様働けない時）'!BD32/10000)</f>
        <v/>
      </c>
      <c r="BE32" s="234">
        <f>IF('CF表（ご主人様働けない時）'!BE$3="","",'CF表（ご主人様働けない時）'!BE32/10000)</f>
        <v/>
      </c>
      <c r="BF32" s="234">
        <f>IF('CF表（ご主人様働けない時）'!BF$3="","",'CF表（ご主人様働けない時）'!BF32/10000)</f>
        <v/>
      </c>
      <c r="BG32" s="234">
        <f>IF('CF表（ご主人様働けない時）'!BG$3="","",'CF表（ご主人様働けない時）'!BG32/10000)</f>
        <v/>
      </c>
      <c r="BH32" s="234">
        <f>IF('CF表（ご主人様働けない時）'!BH$3="","",'CF表（ご主人様働けない時）'!BH32/10000)</f>
        <v/>
      </c>
      <c r="BI32" s="234">
        <f>IF('CF表（ご主人様働けない時）'!BI$3="","",'CF表（ご主人様働けない時）'!BI32/10000)</f>
        <v/>
      </c>
      <c r="BJ32" s="234">
        <f>IF('CF表（ご主人様働けない時）'!BJ$3="","",'CF表（ご主人様働けない時）'!BJ32/10000)</f>
        <v/>
      </c>
      <c r="BK32" s="234">
        <f>IF('CF表（ご主人様働けない時）'!BK$3="","",'CF表（ご主人様働けない時）'!BK32/10000)</f>
        <v/>
      </c>
      <c r="BL32" s="234">
        <f>IF('CF表（ご主人様働けない時）'!BL$3="","",'CF表（ご主人様働けない時）'!BL32/10000)</f>
        <v/>
      </c>
      <c r="BM32" s="234">
        <f>IF('CF表（ご主人様働けない時）'!BM$3="","",'CF表（ご主人様働けない時）'!BM32/10000)</f>
        <v/>
      </c>
      <c r="BN32" s="234">
        <f>IF('CF表（ご主人様働けない時）'!BN$3="","",'CF表（ご主人様働けない時）'!BN32/10000)</f>
        <v/>
      </c>
      <c r="BO32" s="234">
        <f>IF('CF表（ご主人様働けない時）'!BO$3="","",'CF表（ご主人様働けない時）'!BO32/10000)</f>
        <v/>
      </c>
      <c r="BP32" s="234">
        <f>IF('CF表（ご主人様働けない時）'!BP$3="","",'CF表（ご主人様働けない時）'!BP32/10000)</f>
        <v/>
      </c>
      <c r="BQ32" s="234">
        <f>IF('CF表（ご主人様働けない時）'!BQ$3="","",'CF表（ご主人様働けない時）'!BQ32/10000)</f>
        <v/>
      </c>
      <c r="BR32" s="234">
        <f>IF('CF表（ご主人様働けない時）'!BR$3="","",'CF表（ご主人様働けない時）'!BR32/10000)</f>
        <v/>
      </c>
      <c r="BS32" s="234">
        <f>IF('CF表（ご主人様働けない時）'!BS$3="","",'CF表（ご主人様働けない時）'!BS32/10000)</f>
        <v/>
      </c>
      <c r="BT32" s="234">
        <f>IF('CF表（ご主人様働けない時）'!BT$3="","",'CF表（ご主人様働けない時）'!BT32/10000)</f>
        <v/>
      </c>
      <c r="BU32" s="234">
        <f>IF('CF表（ご主人様働けない時）'!BU$3="","",'CF表（ご主人様働けない時）'!BU32/10000)</f>
        <v/>
      </c>
      <c r="BV32" s="234">
        <f>IF('CF表（ご主人様働けない時）'!BV$3="","",'CF表（ご主人様働けない時）'!BV32/10000)</f>
        <v/>
      </c>
      <c r="BW32" s="234">
        <f>IF('CF表（ご主人様働けない時）'!BW$3="","",'CF表（ご主人様働けない時）'!BW32/10000)</f>
        <v/>
      </c>
      <c r="BX32" s="234">
        <f>IF('CF表（ご主人様働けない時）'!BX$3="","",'CF表（ご主人様働けない時）'!BX32/10000)</f>
        <v/>
      </c>
      <c r="BY32" s="234">
        <f>IF('CF表（ご主人様働けない時）'!BY$3="","",'CF表（ご主人様働けない時）'!BY32/10000)</f>
        <v/>
      </c>
      <c r="BZ32" s="234">
        <f>IF('CF表（ご主人様働けない時）'!BZ$3="","",'CF表（ご主人様働けない時）'!BZ32/10000)</f>
        <v/>
      </c>
      <c r="CA32" s="234">
        <f>IF('CF表（ご主人様働けない時）'!CA$3="","",'CF表（ご主人様働けない時）'!CA32/10000)</f>
        <v/>
      </c>
      <c r="CB32" s="234">
        <f>IF('CF表（ご主人様働けない時）'!CB$3="","",'CF表（ご主人様働けない時）'!CB32/10000)</f>
        <v/>
      </c>
      <c r="CC32" s="234">
        <f>IF('CF表（ご主人様働けない時）'!CC$3="","",'CF表（ご主人様働けない時）'!CC32/10000)</f>
        <v/>
      </c>
      <c r="CD32" s="234">
        <f>IF('CF表（ご主人様働けない時）'!CD$3="","",'CF表（ご主人様働けない時）'!CD32/10000)</f>
        <v/>
      </c>
      <c r="CE32" s="234">
        <f>IF('CF表（ご主人様働けない時）'!CE$3="","",'CF表（ご主人様働けない時）'!CE32/10000)</f>
        <v/>
      </c>
      <c r="CF32" s="234">
        <f>IF('CF表（ご主人様働けない時）'!CF$3="","",'CF表（ご主人様働けない時）'!CF32/10000)</f>
        <v/>
      </c>
      <c r="CG32" s="234">
        <f>IF('CF表（ご主人様働けない時）'!CG$3="","",'CF表（ご主人様働けない時）'!CG32/10000)</f>
        <v/>
      </c>
      <c r="CH32" s="234">
        <f>IF('CF表（ご主人様働けない時）'!CH$3="","",'CF表（ご主人様働けない時）'!CH32/10000)</f>
        <v/>
      </c>
      <c r="CI32" s="234">
        <f>IF('CF表（ご主人様働けない時）'!CI$3="","",'CF表（ご主人様働けない時）'!CI32/10000)</f>
        <v/>
      </c>
      <c r="CJ32" s="234">
        <f>IF('CF表（ご主人様働けない時）'!CJ$3="","",'CF表（ご主人様働けない時）'!CJ32/10000)</f>
        <v/>
      </c>
      <c r="CK32" s="234">
        <f>IF('CF表（ご主人様働けない時）'!CK$3="","",'CF表（ご主人様働けない時）'!CK32/10000)</f>
        <v/>
      </c>
      <c r="CL32" s="234">
        <f>IF('CF表（ご主人様働けない時）'!CL$3="","",'CF表（ご主人様働けない時）'!CL32/10000)</f>
        <v/>
      </c>
      <c r="CM32" s="234">
        <f>IF('CF表（ご主人様働けない時）'!CM$3="","",'CF表（ご主人様働けない時）'!CM32/10000)</f>
        <v/>
      </c>
      <c r="CN32" s="234">
        <f>IF('CF表（ご主人様働けない時）'!CN$3="","",'CF表（ご主人様働けない時）'!CN32/10000)</f>
        <v/>
      </c>
      <c r="CO32" s="234">
        <f>IF('CF表（ご主人様働けない時）'!CO$3="","",'CF表（ご主人様働けない時）'!CO32/10000)</f>
        <v/>
      </c>
      <c r="CP32" s="234">
        <f>IF('CF表（ご主人様働けない時）'!CP$3="","",'CF表（ご主人様働けない時）'!CP32/10000)</f>
        <v/>
      </c>
      <c r="CQ32" s="234">
        <f>IF('CF表（ご主人様働けない時）'!CQ$3="","",'CF表（ご主人様働けない時）'!CQ32/10000)</f>
        <v/>
      </c>
      <c r="CR32" s="234">
        <f>IF('CF表（ご主人様働けない時）'!CR$3="","",'CF表（ご主人様働けない時）'!CR32/10000)</f>
        <v/>
      </c>
      <c r="CS32" s="234">
        <f>IF('CF表（ご主人様働けない時）'!CS$3="","",'CF表（ご主人様働けない時）'!CS32/10000)</f>
        <v/>
      </c>
      <c r="CT32" s="234">
        <f>IF('CF表（ご主人様働けない時）'!CT$3="","",'CF表（ご主人様働けない時）'!CT32/10000)</f>
        <v/>
      </c>
      <c r="CU32" s="234">
        <f>IF('CF表（ご主人様働けない時）'!CU$3="","",'CF表（ご主人様働けない時）'!CU32/10000)</f>
        <v/>
      </c>
      <c r="CV32" s="234">
        <f>IF('CF表（ご主人様働けない時）'!CV$3="","",'CF表（ご主人様働けない時）'!CV32/10000)</f>
        <v/>
      </c>
      <c r="CW32" s="234">
        <f>IF('CF表（ご主人様働けない時）'!CW$3="","",'CF表（ご主人様働けない時）'!CW32/10000)</f>
        <v/>
      </c>
    </row>
    <row r="33" ht="15" customHeight="1" s="180">
      <c r="A33" s="233" t="inlineStr">
        <is>
          <t>解約返戻金残高</t>
        </is>
      </c>
      <c r="B33" s="234">
        <f>IF('CF表（ご主人様働けない時）'!B$3="","",'CF表（ご主人様働けない時）'!B33/10000)</f>
        <v/>
      </c>
      <c r="C33" s="234">
        <f>IF('CF表（ご主人様働けない時）'!C$3="","",'CF表（ご主人様働けない時）'!C33/10000)</f>
        <v/>
      </c>
      <c r="D33" s="234">
        <f>IF('CF表（ご主人様働けない時）'!D$3="","",'CF表（ご主人様働けない時）'!D33/10000)</f>
        <v/>
      </c>
      <c r="E33" s="234">
        <f>IF('CF表（ご主人様働けない時）'!E$3="","",'CF表（ご主人様働けない時）'!E33/10000)</f>
        <v/>
      </c>
      <c r="F33" s="234">
        <f>IF('CF表（ご主人様働けない時）'!F$3="","",'CF表（ご主人様働けない時）'!F33/10000)</f>
        <v/>
      </c>
      <c r="G33" s="234">
        <f>IF('CF表（ご主人様働けない時）'!G$3="","",'CF表（ご主人様働けない時）'!G33/10000)</f>
        <v/>
      </c>
      <c r="H33" s="234">
        <f>IF('CF表（ご主人様働けない時）'!H$3="","",'CF表（ご主人様働けない時）'!H33/10000)</f>
        <v/>
      </c>
      <c r="I33" s="234">
        <f>IF('CF表（ご主人様働けない時）'!I$3="","",'CF表（ご主人様働けない時）'!I33/10000)</f>
        <v/>
      </c>
      <c r="J33" s="234">
        <f>IF('CF表（ご主人様働けない時）'!J$3="","",'CF表（ご主人様働けない時）'!J33/10000)</f>
        <v/>
      </c>
      <c r="K33" s="234">
        <f>IF('CF表（ご主人様働けない時）'!K$3="","",'CF表（ご主人様働けない時）'!K33/10000)</f>
        <v/>
      </c>
      <c r="L33" s="234">
        <f>IF('CF表（ご主人様働けない時）'!L$3="","",'CF表（ご主人様働けない時）'!L33/10000)</f>
        <v/>
      </c>
      <c r="M33" s="234">
        <f>IF('CF表（ご主人様働けない時）'!M$3="","",'CF表（ご主人様働けない時）'!M33/10000)</f>
        <v/>
      </c>
      <c r="N33" s="234">
        <f>IF('CF表（ご主人様働けない時）'!N$3="","",'CF表（ご主人様働けない時）'!N33/10000)</f>
        <v/>
      </c>
      <c r="O33" s="234">
        <f>IF('CF表（ご主人様働けない時）'!O$3="","",'CF表（ご主人様働けない時）'!O33/10000)</f>
        <v/>
      </c>
      <c r="P33" s="234">
        <f>IF('CF表（ご主人様働けない時）'!P$3="","",'CF表（ご主人様働けない時）'!P33/10000)</f>
        <v/>
      </c>
      <c r="Q33" s="234">
        <f>IF('CF表（ご主人様働けない時）'!Q$3="","",'CF表（ご主人様働けない時）'!Q33/10000)</f>
        <v/>
      </c>
      <c r="R33" s="234">
        <f>IF('CF表（ご主人様働けない時）'!R$3="","",'CF表（ご主人様働けない時）'!R33/10000)</f>
        <v/>
      </c>
      <c r="S33" s="234">
        <f>IF('CF表（ご主人様働けない時）'!S$3="","",'CF表（ご主人様働けない時）'!S33/10000)</f>
        <v/>
      </c>
      <c r="T33" s="234">
        <f>IF('CF表（ご主人様働けない時）'!T$3="","",'CF表（ご主人様働けない時）'!T33/10000)</f>
        <v/>
      </c>
      <c r="U33" s="234">
        <f>IF('CF表（ご主人様働けない時）'!U$3="","",'CF表（ご主人様働けない時）'!U33/10000)</f>
        <v/>
      </c>
      <c r="V33" s="234">
        <f>IF('CF表（ご主人様働けない時）'!V$3="","",'CF表（ご主人様働けない時）'!V33/10000)</f>
        <v/>
      </c>
      <c r="W33" s="234">
        <f>IF('CF表（ご主人様働けない時）'!W$3="","",'CF表（ご主人様働けない時）'!W33/10000)</f>
        <v/>
      </c>
      <c r="X33" s="234">
        <f>IF('CF表（ご主人様働けない時）'!X$3="","",'CF表（ご主人様働けない時）'!X33/10000)</f>
        <v/>
      </c>
      <c r="Y33" s="234">
        <f>IF('CF表（ご主人様働けない時）'!Y$3="","",'CF表（ご主人様働けない時）'!Y33/10000)</f>
        <v/>
      </c>
      <c r="Z33" s="234">
        <f>IF('CF表（ご主人様働けない時）'!Z$3="","",'CF表（ご主人様働けない時）'!Z33/10000)</f>
        <v/>
      </c>
      <c r="AA33" s="234">
        <f>IF('CF表（ご主人様働けない時）'!AA$3="","",'CF表（ご主人様働けない時）'!AA33/10000)</f>
        <v/>
      </c>
      <c r="AB33" s="234">
        <f>IF('CF表（ご主人様働けない時）'!AB$3="","",'CF表（ご主人様働けない時）'!AB33/10000)</f>
        <v/>
      </c>
      <c r="AC33" s="234">
        <f>IF('CF表（ご主人様働けない時）'!AC$3="","",'CF表（ご主人様働けない時）'!AC33/10000)</f>
        <v/>
      </c>
      <c r="AD33" s="234">
        <f>IF('CF表（ご主人様働けない時）'!AD$3="","",'CF表（ご主人様働けない時）'!AD33/10000)</f>
        <v/>
      </c>
      <c r="AE33" s="234">
        <f>IF('CF表（ご主人様働けない時）'!AE$3="","",'CF表（ご主人様働けない時）'!AE33/10000)</f>
        <v/>
      </c>
      <c r="AF33" s="234">
        <f>IF('CF表（ご主人様働けない時）'!AF$3="","",'CF表（ご主人様働けない時）'!AF33/10000)</f>
        <v/>
      </c>
      <c r="AG33" s="234">
        <f>IF('CF表（ご主人様働けない時）'!AG$3="","",'CF表（ご主人様働けない時）'!AG33/10000)</f>
        <v/>
      </c>
      <c r="AH33" s="234">
        <f>IF('CF表（ご主人様働けない時）'!AH$3="","",'CF表（ご主人様働けない時）'!AH33/10000)</f>
        <v/>
      </c>
      <c r="AI33" s="234">
        <f>IF('CF表（ご主人様働けない時）'!AI$3="","",'CF表（ご主人様働けない時）'!AI33/10000)</f>
        <v/>
      </c>
      <c r="AJ33" s="234">
        <f>IF('CF表（ご主人様働けない時）'!AJ$3="","",'CF表（ご主人様働けない時）'!AJ33/10000)</f>
        <v/>
      </c>
      <c r="AK33" s="234">
        <f>IF('CF表（ご主人様働けない時）'!AK$3="","",'CF表（ご主人様働けない時）'!AK33/10000)</f>
        <v/>
      </c>
      <c r="AL33" s="234">
        <f>IF('CF表（ご主人様働けない時）'!AL$3="","",'CF表（ご主人様働けない時）'!AL33/10000)</f>
        <v/>
      </c>
      <c r="AM33" s="234">
        <f>IF('CF表（ご主人様働けない時）'!AM$3="","",'CF表（ご主人様働けない時）'!AM33/10000)</f>
        <v/>
      </c>
      <c r="AN33" s="234">
        <f>IF('CF表（ご主人様働けない時）'!AN$3="","",'CF表（ご主人様働けない時）'!AN33/10000)</f>
        <v/>
      </c>
      <c r="AO33" s="234">
        <f>IF('CF表（ご主人様働けない時）'!AO$3="","",'CF表（ご主人様働けない時）'!AO33/10000)</f>
        <v/>
      </c>
      <c r="AP33" s="234">
        <f>IF('CF表（ご主人様働けない時）'!AP$3="","",'CF表（ご主人様働けない時）'!AP33/10000)</f>
        <v/>
      </c>
      <c r="AQ33" s="234">
        <f>IF('CF表（ご主人様働けない時）'!AQ$3="","",'CF表（ご主人様働けない時）'!AQ33/10000)</f>
        <v/>
      </c>
      <c r="AR33" s="234">
        <f>IF('CF表（ご主人様働けない時）'!AR$3="","",'CF表（ご主人様働けない時）'!AR33/10000)</f>
        <v/>
      </c>
      <c r="AS33" s="234">
        <f>IF('CF表（ご主人様働けない時）'!AS$3="","",'CF表（ご主人様働けない時）'!AS33/10000)</f>
        <v/>
      </c>
      <c r="AT33" s="234">
        <f>IF('CF表（ご主人様働けない時）'!AT$3="","",'CF表（ご主人様働けない時）'!AT33/10000)</f>
        <v/>
      </c>
      <c r="AU33" s="234">
        <f>IF('CF表（ご主人様働けない時）'!AU$3="","",'CF表（ご主人様働けない時）'!AU33/10000)</f>
        <v/>
      </c>
      <c r="AV33" s="234">
        <f>IF('CF表（ご主人様働けない時）'!AV$3="","",'CF表（ご主人様働けない時）'!AV33/10000)</f>
        <v/>
      </c>
      <c r="AW33" s="234">
        <f>IF('CF表（ご主人様働けない時）'!AW$3="","",'CF表（ご主人様働けない時）'!AW33/10000)</f>
        <v/>
      </c>
      <c r="AX33" s="234">
        <f>IF('CF表（ご主人様働けない時）'!AX$3="","",'CF表（ご主人様働けない時）'!AX33/10000)</f>
        <v/>
      </c>
      <c r="AY33" s="234">
        <f>IF('CF表（ご主人様働けない時）'!AY$3="","",'CF表（ご主人様働けない時）'!AY33/10000)</f>
        <v/>
      </c>
      <c r="AZ33" s="234">
        <f>IF('CF表（ご主人様働けない時）'!AZ$3="","",'CF表（ご主人様働けない時）'!AZ33/10000)</f>
        <v/>
      </c>
      <c r="BA33" s="234">
        <f>IF('CF表（ご主人様働けない時）'!BA$3="","",'CF表（ご主人様働けない時）'!BA33/10000)</f>
        <v/>
      </c>
      <c r="BB33" s="234">
        <f>IF('CF表（ご主人様働けない時）'!BB$3="","",'CF表（ご主人様働けない時）'!BB33/10000)</f>
        <v/>
      </c>
      <c r="BC33" s="234">
        <f>IF('CF表（ご主人様働けない時）'!BC$3="","",'CF表（ご主人様働けない時）'!BC33/10000)</f>
        <v/>
      </c>
      <c r="BD33" s="234">
        <f>IF('CF表（ご主人様働けない時）'!BD$3="","",'CF表（ご主人様働けない時）'!BD33/10000)</f>
        <v/>
      </c>
      <c r="BE33" s="234">
        <f>IF('CF表（ご主人様働けない時）'!BE$3="","",'CF表（ご主人様働けない時）'!BE33/10000)</f>
        <v/>
      </c>
      <c r="BF33" s="234">
        <f>IF('CF表（ご主人様働けない時）'!BF$3="","",'CF表（ご主人様働けない時）'!BF33/10000)</f>
        <v/>
      </c>
      <c r="BG33" s="234">
        <f>IF('CF表（ご主人様働けない時）'!BG$3="","",'CF表（ご主人様働けない時）'!BG33/10000)</f>
        <v/>
      </c>
      <c r="BH33" s="234">
        <f>IF('CF表（ご主人様働けない時）'!BH$3="","",'CF表（ご主人様働けない時）'!BH33/10000)</f>
        <v/>
      </c>
      <c r="BI33" s="234">
        <f>IF('CF表（ご主人様働けない時）'!BI$3="","",'CF表（ご主人様働けない時）'!BI33/10000)</f>
        <v/>
      </c>
      <c r="BJ33" s="234">
        <f>IF('CF表（ご主人様働けない時）'!BJ$3="","",'CF表（ご主人様働けない時）'!BJ33/10000)</f>
        <v/>
      </c>
      <c r="BK33" s="234">
        <f>IF('CF表（ご主人様働けない時）'!BK$3="","",'CF表（ご主人様働けない時）'!BK33/10000)</f>
        <v/>
      </c>
      <c r="BL33" s="234">
        <f>IF('CF表（ご主人様働けない時）'!BL$3="","",'CF表（ご主人様働けない時）'!BL33/10000)</f>
        <v/>
      </c>
      <c r="BM33" s="234">
        <f>IF('CF表（ご主人様働けない時）'!BM$3="","",'CF表（ご主人様働けない時）'!BM33/10000)</f>
        <v/>
      </c>
      <c r="BN33" s="234">
        <f>IF('CF表（ご主人様働けない時）'!BN$3="","",'CF表（ご主人様働けない時）'!BN33/10000)</f>
        <v/>
      </c>
      <c r="BO33" s="234">
        <f>IF('CF表（ご主人様働けない時）'!BO$3="","",'CF表（ご主人様働けない時）'!BO33/10000)</f>
        <v/>
      </c>
      <c r="BP33" s="234">
        <f>IF('CF表（ご主人様働けない時）'!BP$3="","",'CF表（ご主人様働けない時）'!BP33/10000)</f>
        <v/>
      </c>
      <c r="BQ33" s="234">
        <f>IF('CF表（ご主人様働けない時）'!BQ$3="","",'CF表（ご主人様働けない時）'!BQ33/10000)</f>
        <v/>
      </c>
      <c r="BR33" s="234">
        <f>IF('CF表（ご主人様働けない時）'!BR$3="","",'CF表（ご主人様働けない時）'!BR33/10000)</f>
        <v/>
      </c>
      <c r="BS33" s="234">
        <f>IF('CF表（ご主人様働けない時）'!BS$3="","",'CF表（ご主人様働けない時）'!BS33/10000)</f>
        <v/>
      </c>
      <c r="BT33" s="234">
        <f>IF('CF表（ご主人様働けない時）'!BT$3="","",'CF表（ご主人様働けない時）'!BT33/10000)</f>
        <v/>
      </c>
      <c r="BU33" s="234">
        <f>IF('CF表（ご主人様働けない時）'!BU$3="","",'CF表（ご主人様働けない時）'!BU33/10000)</f>
        <v/>
      </c>
      <c r="BV33" s="234">
        <f>IF('CF表（ご主人様働けない時）'!BV$3="","",'CF表（ご主人様働けない時）'!BV33/10000)</f>
        <v/>
      </c>
      <c r="BW33" s="234">
        <f>IF('CF表（ご主人様働けない時）'!BW$3="","",'CF表（ご主人様働けない時）'!BW33/10000)</f>
        <v/>
      </c>
      <c r="BX33" s="234">
        <f>IF('CF表（ご主人様働けない時）'!BX$3="","",'CF表（ご主人様働けない時）'!BX33/10000)</f>
        <v/>
      </c>
      <c r="BY33" s="234">
        <f>IF('CF表（ご主人様働けない時）'!BY$3="","",'CF表（ご主人様働けない時）'!BY33/10000)</f>
        <v/>
      </c>
      <c r="BZ33" s="234">
        <f>IF('CF表（ご主人様働けない時）'!BZ$3="","",'CF表（ご主人様働けない時）'!BZ33/10000)</f>
        <v/>
      </c>
      <c r="CA33" s="234">
        <f>IF('CF表（ご主人様働けない時）'!CA$3="","",'CF表（ご主人様働けない時）'!CA33/10000)</f>
        <v/>
      </c>
      <c r="CB33" s="234">
        <f>IF('CF表（ご主人様働けない時）'!CB$3="","",'CF表（ご主人様働けない時）'!CB33/10000)</f>
        <v/>
      </c>
      <c r="CC33" s="234">
        <f>IF('CF表（ご主人様働けない時）'!CC$3="","",'CF表（ご主人様働けない時）'!CC33/10000)</f>
        <v/>
      </c>
      <c r="CD33" s="234">
        <f>IF('CF表（ご主人様働けない時）'!CD$3="","",'CF表（ご主人様働けない時）'!CD33/10000)</f>
        <v/>
      </c>
      <c r="CE33" s="234">
        <f>IF('CF表（ご主人様働けない時）'!CE$3="","",'CF表（ご主人様働けない時）'!CE33/10000)</f>
        <v/>
      </c>
      <c r="CF33" s="234">
        <f>IF('CF表（ご主人様働けない時）'!CF$3="","",'CF表（ご主人様働けない時）'!CF33/10000)</f>
        <v/>
      </c>
      <c r="CG33" s="234">
        <f>IF('CF表（ご主人様働けない時）'!CG$3="","",'CF表（ご主人様働けない時）'!CG33/10000)</f>
        <v/>
      </c>
      <c r="CH33" s="234">
        <f>IF('CF表（ご主人様働けない時）'!CH$3="","",'CF表（ご主人様働けない時）'!CH33/10000)</f>
        <v/>
      </c>
      <c r="CI33" s="234">
        <f>IF('CF表（ご主人様働けない時）'!CI$3="","",'CF表（ご主人様働けない時）'!CI33/10000)</f>
        <v/>
      </c>
      <c r="CJ33" s="234">
        <f>IF('CF表（ご主人様働けない時）'!CJ$3="","",'CF表（ご主人様働けない時）'!CJ33/10000)</f>
        <v/>
      </c>
      <c r="CK33" s="234">
        <f>IF('CF表（ご主人様働けない時）'!CK$3="","",'CF表（ご主人様働けない時）'!CK33/10000)</f>
        <v/>
      </c>
      <c r="CL33" s="234">
        <f>IF('CF表（ご主人様働けない時）'!CL$3="","",'CF表（ご主人様働けない時）'!CL33/10000)</f>
        <v/>
      </c>
      <c r="CM33" s="234">
        <f>IF('CF表（ご主人様働けない時）'!CM$3="","",'CF表（ご主人様働けない時）'!CM33/10000)</f>
        <v/>
      </c>
      <c r="CN33" s="234">
        <f>IF('CF表（ご主人様働けない時）'!CN$3="","",'CF表（ご主人様働けない時）'!CN33/10000)</f>
        <v/>
      </c>
      <c r="CO33" s="234">
        <f>IF('CF表（ご主人様働けない時）'!CO$3="","",'CF表（ご主人様働けない時）'!CO33/10000)</f>
        <v/>
      </c>
      <c r="CP33" s="234">
        <f>IF('CF表（ご主人様働けない時）'!CP$3="","",'CF表（ご主人様働けない時）'!CP33/10000)</f>
        <v/>
      </c>
      <c r="CQ33" s="234">
        <f>IF('CF表（ご主人様働けない時）'!CQ$3="","",'CF表（ご主人様働けない時）'!CQ33/10000)</f>
        <v/>
      </c>
      <c r="CR33" s="234">
        <f>IF('CF表（ご主人様働けない時）'!CR$3="","",'CF表（ご主人様働けない時）'!CR33/10000)</f>
        <v/>
      </c>
      <c r="CS33" s="234">
        <f>IF('CF表（ご主人様働けない時）'!CS$3="","",'CF表（ご主人様働けない時）'!CS33/10000)</f>
        <v/>
      </c>
      <c r="CT33" s="234">
        <f>IF('CF表（ご主人様働けない時）'!CT$3="","",'CF表（ご主人様働けない時）'!CT33/10000)</f>
        <v/>
      </c>
      <c r="CU33" s="234">
        <f>IF('CF表（ご主人様働けない時）'!CU$3="","",'CF表（ご主人様働けない時）'!CU33/10000)</f>
        <v/>
      </c>
      <c r="CV33" s="234">
        <f>IF('CF表（ご主人様働けない時）'!CV$3="","",'CF表（ご主人様働けない時）'!CV33/10000)</f>
        <v/>
      </c>
      <c r="CW33" s="234">
        <f>IF('CF表（ご主人様働けない時）'!CW$3="","",'CF表（ご主人様働けない時）'!CW33/10000)</f>
        <v/>
      </c>
    </row>
    <row r="34" ht="15" customHeight="1" s="180">
      <c r="A34" s="235" t="inlineStr">
        <is>
          <t>住宅ローン残高</t>
        </is>
      </c>
      <c r="B34" s="236">
        <f>IF('CF表（ご主人様働けない時）'!B$3="","",'CF表（ご主人様働けない時）'!B34/10000)</f>
        <v/>
      </c>
      <c r="C34" s="236">
        <f>IF('CF表（ご主人様働けない時）'!C$3="","",'CF表（ご主人様働けない時）'!C34/10000)</f>
        <v/>
      </c>
      <c r="D34" s="236">
        <f>IF('CF表（ご主人様働けない時）'!D$3="","",'CF表（ご主人様働けない時）'!D34/10000)</f>
        <v/>
      </c>
      <c r="E34" s="236">
        <f>IF('CF表（ご主人様働けない時）'!E$3="","",'CF表（ご主人様働けない時）'!E34/10000)</f>
        <v/>
      </c>
      <c r="F34" s="236">
        <f>IF('CF表（ご主人様働けない時）'!F$3="","",'CF表（ご主人様働けない時）'!F34/10000)</f>
        <v/>
      </c>
      <c r="G34" s="236">
        <f>IF('CF表（ご主人様働けない時）'!G$3="","",'CF表（ご主人様働けない時）'!G34/10000)</f>
        <v/>
      </c>
      <c r="H34" s="236">
        <f>IF('CF表（ご主人様働けない時）'!H$3="","",'CF表（ご主人様働けない時）'!H34/10000)</f>
        <v/>
      </c>
      <c r="I34" s="236">
        <f>IF('CF表（ご主人様働けない時）'!I$3="","",'CF表（ご主人様働けない時）'!I34/10000)</f>
        <v/>
      </c>
      <c r="J34" s="236">
        <f>IF('CF表（ご主人様働けない時）'!J$3="","",'CF表（ご主人様働けない時）'!J34/10000)</f>
        <v/>
      </c>
      <c r="K34" s="236">
        <f>IF('CF表（ご主人様働けない時）'!K$3="","",'CF表（ご主人様働けない時）'!K34/10000)</f>
        <v/>
      </c>
      <c r="L34" s="236">
        <f>IF('CF表（ご主人様働けない時）'!L$3="","",'CF表（ご主人様働けない時）'!L34/10000)</f>
        <v/>
      </c>
      <c r="M34" s="236">
        <f>IF('CF表（ご主人様働けない時）'!M$3="","",'CF表（ご主人様働けない時）'!M34/10000)</f>
        <v/>
      </c>
      <c r="N34" s="236">
        <f>IF('CF表（ご主人様働けない時）'!N$3="","",'CF表（ご主人様働けない時）'!N34/10000)</f>
        <v/>
      </c>
      <c r="O34" s="236">
        <f>IF('CF表（ご主人様働けない時）'!O$3="","",'CF表（ご主人様働けない時）'!O34/10000)</f>
        <v/>
      </c>
      <c r="P34" s="236">
        <f>IF('CF表（ご主人様働けない時）'!P$3="","",'CF表（ご主人様働けない時）'!P34/10000)</f>
        <v/>
      </c>
      <c r="Q34" s="236">
        <f>IF('CF表（ご主人様働けない時）'!Q$3="","",'CF表（ご主人様働けない時）'!Q34/10000)</f>
        <v/>
      </c>
      <c r="R34" s="236">
        <f>IF('CF表（ご主人様働けない時）'!R$3="","",'CF表（ご主人様働けない時）'!R34/10000)</f>
        <v/>
      </c>
      <c r="S34" s="236">
        <f>IF('CF表（ご主人様働けない時）'!S$3="","",'CF表（ご主人様働けない時）'!S34/10000)</f>
        <v/>
      </c>
      <c r="T34" s="236">
        <f>IF('CF表（ご主人様働けない時）'!T$3="","",'CF表（ご主人様働けない時）'!T34/10000)</f>
        <v/>
      </c>
      <c r="U34" s="236">
        <f>IF('CF表（ご主人様働けない時）'!U$3="","",'CF表（ご主人様働けない時）'!U34/10000)</f>
        <v/>
      </c>
      <c r="V34" s="236">
        <f>IF('CF表（ご主人様働けない時）'!V$3="","",'CF表（ご主人様働けない時）'!V34/10000)</f>
        <v/>
      </c>
      <c r="W34" s="236">
        <f>IF('CF表（ご主人様働けない時）'!W$3="","",'CF表（ご主人様働けない時）'!W34/10000)</f>
        <v/>
      </c>
      <c r="X34" s="236">
        <f>IF('CF表（ご主人様働けない時）'!X$3="","",'CF表（ご主人様働けない時）'!X34/10000)</f>
        <v/>
      </c>
      <c r="Y34" s="236">
        <f>IF('CF表（ご主人様働けない時）'!Y$3="","",'CF表（ご主人様働けない時）'!Y34/10000)</f>
        <v/>
      </c>
      <c r="Z34" s="236">
        <f>IF('CF表（ご主人様働けない時）'!Z$3="","",'CF表（ご主人様働けない時）'!Z34/10000)</f>
        <v/>
      </c>
      <c r="AA34" s="236">
        <f>IF('CF表（ご主人様働けない時）'!AA$3="","",'CF表（ご主人様働けない時）'!AA34/10000)</f>
        <v/>
      </c>
      <c r="AB34" s="236">
        <f>IF('CF表（ご主人様働けない時）'!AB$3="","",'CF表（ご主人様働けない時）'!AB34/10000)</f>
        <v/>
      </c>
      <c r="AC34" s="236">
        <f>IF('CF表（ご主人様働けない時）'!AC$3="","",'CF表（ご主人様働けない時）'!AC34/10000)</f>
        <v/>
      </c>
      <c r="AD34" s="236">
        <f>IF('CF表（ご主人様働けない時）'!AD$3="","",'CF表（ご主人様働けない時）'!AD34/10000)</f>
        <v/>
      </c>
      <c r="AE34" s="236">
        <f>IF('CF表（ご主人様働けない時）'!AE$3="","",'CF表（ご主人様働けない時）'!AE34/10000)</f>
        <v/>
      </c>
      <c r="AF34" s="236">
        <f>IF('CF表（ご主人様働けない時）'!AF$3="","",'CF表（ご主人様働けない時）'!AF34/10000)</f>
        <v/>
      </c>
      <c r="AG34" s="236">
        <f>IF('CF表（ご主人様働けない時）'!AG$3="","",'CF表（ご主人様働けない時）'!AG34/10000)</f>
        <v/>
      </c>
      <c r="AH34" s="236">
        <f>IF('CF表（ご主人様働けない時）'!AH$3="","",'CF表（ご主人様働けない時）'!AH34/10000)</f>
        <v/>
      </c>
      <c r="AI34" s="236">
        <f>IF('CF表（ご主人様働けない時）'!AI$3="","",'CF表（ご主人様働けない時）'!AI34/10000)</f>
        <v/>
      </c>
      <c r="AJ34" s="236">
        <f>IF('CF表（ご主人様働けない時）'!AJ$3="","",'CF表（ご主人様働けない時）'!AJ34/10000)</f>
        <v/>
      </c>
      <c r="AK34" s="236">
        <f>IF('CF表（ご主人様働けない時）'!AK$3="","",'CF表（ご主人様働けない時）'!AK34/10000)</f>
        <v/>
      </c>
      <c r="AL34" s="236">
        <f>IF('CF表（ご主人様働けない時）'!AL$3="","",'CF表（ご主人様働けない時）'!AL34/10000)</f>
        <v/>
      </c>
      <c r="AM34" s="236">
        <f>IF('CF表（ご主人様働けない時）'!AM$3="","",'CF表（ご主人様働けない時）'!AM34/10000)</f>
        <v/>
      </c>
      <c r="AN34" s="236">
        <f>IF('CF表（ご主人様働けない時）'!AN$3="","",'CF表（ご主人様働けない時）'!AN34/10000)</f>
        <v/>
      </c>
      <c r="AO34" s="236">
        <f>IF('CF表（ご主人様働けない時）'!AO$3="","",'CF表（ご主人様働けない時）'!AO34/10000)</f>
        <v/>
      </c>
      <c r="AP34" s="236">
        <f>IF('CF表（ご主人様働けない時）'!AP$3="","",'CF表（ご主人様働けない時）'!AP34/10000)</f>
        <v/>
      </c>
      <c r="AQ34" s="236">
        <f>IF('CF表（ご主人様働けない時）'!AQ$3="","",'CF表（ご主人様働けない時）'!AQ34/10000)</f>
        <v/>
      </c>
      <c r="AR34" s="236">
        <f>IF('CF表（ご主人様働けない時）'!AR$3="","",'CF表（ご主人様働けない時）'!AR34/10000)</f>
        <v/>
      </c>
      <c r="AS34" s="236">
        <f>IF('CF表（ご主人様働けない時）'!AS$3="","",'CF表（ご主人様働けない時）'!AS34/10000)</f>
        <v/>
      </c>
      <c r="AT34" s="236">
        <f>IF('CF表（ご主人様働けない時）'!AT$3="","",'CF表（ご主人様働けない時）'!AT34/10000)</f>
        <v/>
      </c>
      <c r="AU34" s="236">
        <f>IF('CF表（ご主人様働けない時）'!AU$3="","",'CF表（ご主人様働けない時）'!AU34/10000)</f>
        <v/>
      </c>
      <c r="AV34" s="236">
        <f>IF('CF表（ご主人様働けない時）'!AV$3="","",'CF表（ご主人様働けない時）'!AV34/10000)</f>
        <v/>
      </c>
      <c r="AW34" s="236">
        <f>IF('CF表（ご主人様働けない時）'!AW$3="","",'CF表（ご主人様働けない時）'!AW34/10000)</f>
        <v/>
      </c>
      <c r="AX34" s="236">
        <f>IF('CF表（ご主人様働けない時）'!AX$3="","",'CF表（ご主人様働けない時）'!AX34/10000)</f>
        <v/>
      </c>
      <c r="AY34" s="236">
        <f>IF('CF表（ご主人様働けない時）'!AY$3="","",'CF表（ご主人様働けない時）'!AY34/10000)</f>
        <v/>
      </c>
      <c r="AZ34" s="236">
        <f>IF('CF表（ご主人様働けない時）'!AZ$3="","",'CF表（ご主人様働けない時）'!AZ34/10000)</f>
        <v/>
      </c>
      <c r="BA34" s="236">
        <f>IF('CF表（ご主人様働けない時）'!BA$3="","",'CF表（ご主人様働けない時）'!BA34/10000)</f>
        <v/>
      </c>
      <c r="BB34" s="236">
        <f>IF('CF表（ご主人様働けない時）'!BB$3="","",'CF表（ご主人様働けない時）'!BB34/10000)</f>
        <v/>
      </c>
      <c r="BC34" s="236">
        <f>IF('CF表（ご主人様働けない時）'!BC$3="","",'CF表（ご主人様働けない時）'!BC34/10000)</f>
        <v/>
      </c>
      <c r="BD34" s="236">
        <f>IF('CF表（ご主人様働けない時）'!BD$3="","",'CF表（ご主人様働けない時）'!BD34/10000)</f>
        <v/>
      </c>
      <c r="BE34" s="236">
        <f>IF('CF表（ご主人様働けない時）'!BE$3="","",'CF表（ご主人様働けない時）'!BE34/10000)</f>
        <v/>
      </c>
      <c r="BF34" s="236">
        <f>IF('CF表（ご主人様働けない時）'!BF$3="","",'CF表（ご主人様働けない時）'!BF34/10000)</f>
        <v/>
      </c>
      <c r="BG34" s="236">
        <f>IF('CF表（ご主人様働けない時）'!BG$3="","",'CF表（ご主人様働けない時）'!BG34/10000)</f>
        <v/>
      </c>
      <c r="BH34" s="236">
        <f>IF('CF表（ご主人様働けない時）'!BH$3="","",'CF表（ご主人様働けない時）'!BH34/10000)</f>
        <v/>
      </c>
      <c r="BI34" s="236">
        <f>IF('CF表（ご主人様働けない時）'!BI$3="","",'CF表（ご主人様働けない時）'!BI34/10000)</f>
        <v/>
      </c>
      <c r="BJ34" s="236">
        <f>IF('CF表（ご主人様働けない時）'!BJ$3="","",'CF表（ご主人様働けない時）'!BJ34/10000)</f>
        <v/>
      </c>
      <c r="BK34" s="236">
        <f>IF('CF表（ご主人様働けない時）'!BK$3="","",'CF表（ご主人様働けない時）'!BK34/10000)</f>
        <v/>
      </c>
      <c r="BL34" s="236">
        <f>IF('CF表（ご主人様働けない時）'!BL$3="","",'CF表（ご主人様働けない時）'!BL34/10000)</f>
        <v/>
      </c>
      <c r="BM34" s="236">
        <f>IF('CF表（ご主人様働けない時）'!BM$3="","",'CF表（ご主人様働けない時）'!BM34/10000)</f>
        <v/>
      </c>
      <c r="BN34" s="236">
        <f>IF('CF表（ご主人様働けない時）'!BN$3="","",'CF表（ご主人様働けない時）'!BN34/10000)</f>
        <v/>
      </c>
      <c r="BO34" s="236">
        <f>IF('CF表（ご主人様働けない時）'!BO$3="","",'CF表（ご主人様働けない時）'!BO34/10000)</f>
        <v/>
      </c>
      <c r="BP34" s="236">
        <f>IF('CF表（ご主人様働けない時）'!BP$3="","",'CF表（ご主人様働けない時）'!BP34/10000)</f>
        <v/>
      </c>
      <c r="BQ34" s="236">
        <f>IF('CF表（ご主人様働けない時）'!BQ$3="","",'CF表（ご主人様働けない時）'!BQ34/10000)</f>
        <v/>
      </c>
      <c r="BR34" s="236">
        <f>IF('CF表（ご主人様働けない時）'!BR$3="","",'CF表（ご主人様働けない時）'!BR34/10000)</f>
        <v/>
      </c>
      <c r="BS34" s="236">
        <f>IF('CF表（ご主人様働けない時）'!BS$3="","",'CF表（ご主人様働けない時）'!BS34/10000)</f>
        <v/>
      </c>
      <c r="BT34" s="236">
        <f>IF('CF表（ご主人様働けない時）'!BT$3="","",'CF表（ご主人様働けない時）'!BT34/10000)</f>
        <v/>
      </c>
      <c r="BU34" s="236">
        <f>IF('CF表（ご主人様働けない時）'!BU$3="","",'CF表（ご主人様働けない時）'!BU34/10000)</f>
        <v/>
      </c>
      <c r="BV34" s="236">
        <f>IF('CF表（ご主人様働けない時）'!BV$3="","",'CF表（ご主人様働けない時）'!BV34/10000)</f>
        <v/>
      </c>
      <c r="BW34" s="236">
        <f>IF('CF表（ご主人様働けない時）'!BW$3="","",'CF表（ご主人様働けない時）'!BW34/10000)</f>
        <v/>
      </c>
      <c r="BX34" s="236">
        <f>IF('CF表（ご主人様働けない時）'!BX$3="","",'CF表（ご主人様働けない時）'!BX34/10000)</f>
        <v/>
      </c>
      <c r="BY34" s="236">
        <f>IF('CF表（ご主人様働けない時）'!BY$3="","",'CF表（ご主人様働けない時）'!BY34/10000)</f>
        <v/>
      </c>
      <c r="BZ34" s="236">
        <f>IF('CF表（ご主人様働けない時）'!BZ$3="","",'CF表（ご主人様働けない時）'!BZ34/10000)</f>
        <v/>
      </c>
      <c r="CA34" s="236">
        <f>IF('CF表（ご主人様働けない時）'!CA$3="","",'CF表（ご主人様働けない時）'!CA34/10000)</f>
        <v/>
      </c>
      <c r="CB34" s="236">
        <f>IF('CF表（ご主人様働けない時）'!CB$3="","",'CF表（ご主人様働けない時）'!CB34/10000)</f>
        <v/>
      </c>
      <c r="CC34" s="236">
        <f>IF('CF表（ご主人様働けない時）'!CC$3="","",'CF表（ご主人様働けない時）'!CC34/10000)</f>
        <v/>
      </c>
      <c r="CD34" s="236">
        <f>IF('CF表（ご主人様働けない時）'!CD$3="","",'CF表（ご主人様働けない時）'!CD34/10000)</f>
        <v/>
      </c>
      <c r="CE34" s="236">
        <f>IF('CF表（ご主人様働けない時）'!CE$3="","",'CF表（ご主人様働けない時）'!CE34/10000)</f>
        <v/>
      </c>
      <c r="CF34" s="236">
        <f>IF('CF表（ご主人様働けない時）'!CF$3="","",'CF表（ご主人様働けない時）'!CF34/10000)</f>
        <v/>
      </c>
      <c r="CG34" s="236">
        <f>IF('CF表（ご主人様働けない時）'!CG$3="","",'CF表（ご主人様働けない時）'!CG34/10000)</f>
        <v/>
      </c>
      <c r="CH34" s="236">
        <f>IF('CF表（ご主人様働けない時）'!CH$3="","",'CF表（ご主人様働けない時）'!CH34/10000)</f>
        <v/>
      </c>
      <c r="CI34" s="236">
        <f>IF('CF表（ご主人様働けない時）'!CI$3="","",'CF表（ご主人様働けない時）'!CI34/10000)</f>
        <v/>
      </c>
      <c r="CJ34" s="236">
        <f>IF('CF表（ご主人様働けない時）'!CJ$3="","",'CF表（ご主人様働けない時）'!CJ34/10000)</f>
        <v/>
      </c>
      <c r="CK34" s="236">
        <f>IF('CF表（ご主人様働けない時）'!CK$3="","",'CF表（ご主人様働けない時）'!CK34/10000)</f>
        <v/>
      </c>
      <c r="CL34" s="236">
        <f>IF('CF表（ご主人様働けない時）'!CL$3="","",'CF表（ご主人様働けない時）'!CL34/10000)</f>
        <v/>
      </c>
      <c r="CM34" s="236">
        <f>IF('CF表（ご主人様働けない時）'!CM$3="","",'CF表（ご主人様働けない時）'!CM34/10000)</f>
        <v/>
      </c>
      <c r="CN34" s="236">
        <f>IF('CF表（ご主人様働けない時）'!CN$3="","",'CF表（ご主人様働けない時）'!CN34/10000)</f>
        <v/>
      </c>
      <c r="CO34" s="236">
        <f>IF('CF表（ご主人様働けない時）'!CO$3="","",'CF表（ご主人様働けない時）'!CO34/10000)</f>
        <v/>
      </c>
      <c r="CP34" s="236">
        <f>IF('CF表（ご主人様働けない時）'!CP$3="","",'CF表（ご主人様働けない時）'!CP34/10000)</f>
        <v/>
      </c>
      <c r="CQ34" s="236">
        <f>IF('CF表（ご主人様働けない時）'!CQ$3="","",'CF表（ご主人様働けない時）'!CQ34/10000)</f>
        <v/>
      </c>
      <c r="CR34" s="236">
        <f>IF('CF表（ご主人様働けない時）'!CR$3="","",'CF表（ご主人様働けない時）'!CR34/10000)</f>
        <v/>
      </c>
      <c r="CS34" s="236">
        <f>IF('CF表（ご主人様働けない時）'!CS$3="","",'CF表（ご主人様働けない時）'!CS34/10000)</f>
        <v/>
      </c>
      <c r="CT34" s="236">
        <f>IF('CF表（ご主人様働けない時）'!CT$3="","",'CF表（ご主人様働けない時）'!CT34/10000)</f>
        <v/>
      </c>
      <c r="CU34" s="236">
        <f>IF('CF表（ご主人様働けない時）'!CU$3="","",'CF表（ご主人様働けない時）'!CU34/10000)</f>
        <v/>
      </c>
      <c r="CV34" s="236">
        <f>IF('CF表（ご主人様働けない時）'!CV$3="","",'CF表（ご主人様働けない時）'!CV34/10000)</f>
        <v/>
      </c>
      <c r="CW34" s="236">
        <f>IF('CF表（ご主人様働けない時）'!CW$3="","",'CF表（ご主人様働けない時）'!CW34/10000)</f>
        <v/>
      </c>
    </row>
    <row r="35" ht="21.75" customHeight="1" s="180">
      <c r="A35" s="237" t="inlineStr">
        <is>
          <t>保有資産合計（ローン除く）</t>
        </is>
      </c>
      <c r="B35" s="238">
        <f>IF('CF表（ご主人様働けない時）'!B$3="","",'CF表（ご主人様働けない時）'!B35/10000)</f>
        <v/>
      </c>
      <c r="C35" s="238">
        <f>IF('CF表（ご主人様働けない時）'!C$3="","",'CF表（ご主人様働けない時）'!C35/10000)</f>
        <v/>
      </c>
      <c r="D35" s="238">
        <f>IF('CF表（ご主人様働けない時）'!D$3="","",'CF表（ご主人様働けない時）'!D35/10000)</f>
        <v/>
      </c>
      <c r="E35" s="238">
        <f>IF('CF表（ご主人様働けない時）'!E$3="","",'CF表（ご主人様働けない時）'!E35/10000)</f>
        <v/>
      </c>
      <c r="F35" s="238">
        <f>IF('CF表（ご主人様働けない時）'!F$3="","",'CF表（ご主人様働けない時）'!F35/10000)</f>
        <v/>
      </c>
      <c r="G35" s="238">
        <f>IF('CF表（ご主人様働けない時）'!G$3="","",'CF表（ご主人様働けない時）'!G35/10000)</f>
        <v/>
      </c>
      <c r="H35" s="238">
        <f>IF('CF表（ご主人様働けない時）'!H$3="","",'CF表（ご主人様働けない時）'!H35/10000)</f>
        <v/>
      </c>
      <c r="I35" s="238">
        <f>IF('CF表（ご主人様働けない時）'!I$3="","",'CF表（ご主人様働けない時）'!I35/10000)</f>
        <v/>
      </c>
      <c r="J35" s="238">
        <f>IF('CF表（ご主人様働けない時）'!J$3="","",'CF表（ご主人様働けない時）'!J35/10000)</f>
        <v/>
      </c>
      <c r="K35" s="238">
        <f>IF('CF表（ご主人様働けない時）'!K$3="","",'CF表（ご主人様働けない時）'!K35/10000)</f>
        <v/>
      </c>
      <c r="L35" s="238">
        <f>IF('CF表（ご主人様働けない時）'!L$3="","",'CF表（ご主人様働けない時）'!L35/10000)</f>
        <v/>
      </c>
      <c r="M35" s="238">
        <f>IF('CF表（ご主人様働けない時）'!M$3="","",'CF表（ご主人様働けない時）'!M35/10000)</f>
        <v/>
      </c>
      <c r="N35" s="238">
        <f>IF('CF表（ご主人様働けない時）'!N$3="","",'CF表（ご主人様働けない時）'!N35/10000)</f>
        <v/>
      </c>
      <c r="O35" s="238">
        <f>IF('CF表（ご主人様働けない時）'!O$3="","",'CF表（ご主人様働けない時）'!O35/10000)</f>
        <v/>
      </c>
      <c r="P35" s="238">
        <f>IF('CF表（ご主人様働けない時）'!P$3="","",'CF表（ご主人様働けない時）'!P35/10000)</f>
        <v/>
      </c>
      <c r="Q35" s="238">
        <f>IF('CF表（ご主人様働けない時）'!Q$3="","",'CF表（ご主人様働けない時）'!Q35/10000)</f>
        <v/>
      </c>
      <c r="R35" s="238">
        <f>IF('CF表（ご主人様働けない時）'!R$3="","",'CF表（ご主人様働けない時）'!R35/10000)</f>
        <v/>
      </c>
      <c r="S35" s="238">
        <f>IF('CF表（ご主人様働けない時）'!S$3="","",'CF表（ご主人様働けない時）'!S35/10000)</f>
        <v/>
      </c>
      <c r="T35" s="238">
        <f>IF('CF表（ご主人様働けない時）'!T$3="","",'CF表（ご主人様働けない時）'!T35/10000)</f>
        <v/>
      </c>
      <c r="U35" s="238">
        <f>IF('CF表（ご主人様働けない時）'!U$3="","",'CF表（ご主人様働けない時）'!U35/10000)</f>
        <v/>
      </c>
      <c r="V35" s="238">
        <f>IF('CF表（ご主人様働けない時）'!V$3="","",'CF表（ご主人様働けない時）'!V35/10000)</f>
        <v/>
      </c>
      <c r="W35" s="238">
        <f>IF('CF表（ご主人様働けない時）'!W$3="","",'CF表（ご主人様働けない時）'!W35/10000)</f>
        <v/>
      </c>
      <c r="X35" s="238">
        <f>IF('CF表（ご主人様働けない時）'!X$3="","",'CF表（ご主人様働けない時）'!X35/10000)</f>
        <v/>
      </c>
      <c r="Y35" s="238">
        <f>IF('CF表（ご主人様働けない時）'!Y$3="","",'CF表（ご主人様働けない時）'!Y35/10000)</f>
        <v/>
      </c>
      <c r="Z35" s="238">
        <f>IF('CF表（ご主人様働けない時）'!Z$3="","",'CF表（ご主人様働けない時）'!Z35/10000)</f>
        <v/>
      </c>
      <c r="AA35" s="238">
        <f>IF('CF表（ご主人様働けない時）'!AA$3="","",'CF表（ご主人様働けない時）'!AA35/10000)</f>
        <v/>
      </c>
      <c r="AB35" s="238">
        <f>IF('CF表（ご主人様働けない時）'!AB$3="","",'CF表（ご主人様働けない時）'!AB35/10000)</f>
        <v/>
      </c>
      <c r="AC35" s="238">
        <f>IF('CF表（ご主人様働けない時）'!AC$3="","",'CF表（ご主人様働けない時）'!AC35/10000)</f>
        <v/>
      </c>
      <c r="AD35" s="238">
        <f>IF('CF表（ご主人様働けない時）'!AD$3="","",'CF表（ご主人様働けない時）'!AD35/10000)</f>
        <v/>
      </c>
      <c r="AE35" s="238">
        <f>IF('CF表（ご主人様働けない時）'!AE$3="","",'CF表（ご主人様働けない時）'!AE35/10000)</f>
        <v/>
      </c>
      <c r="AF35" s="238">
        <f>IF('CF表（ご主人様働けない時）'!AF$3="","",'CF表（ご主人様働けない時）'!AF35/10000)</f>
        <v/>
      </c>
      <c r="AG35" s="238">
        <f>IF('CF表（ご主人様働けない時）'!AG$3="","",'CF表（ご主人様働けない時）'!AG35/10000)</f>
        <v/>
      </c>
      <c r="AH35" s="238">
        <f>IF('CF表（ご主人様働けない時）'!AH$3="","",'CF表（ご主人様働けない時）'!AH35/10000)</f>
        <v/>
      </c>
      <c r="AI35" s="238">
        <f>IF('CF表（ご主人様働けない時）'!AI$3="","",'CF表（ご主人様働けない時）'!AI35/10000)</f>
        <v/>
      </c>
      <c r="AJ35" s="238">
        <f>IF('CF表（ご主人様働けない時）'!AJ$3="","",'CF表（ご主人様働けない時）'!AJ35/10000)</f>
        <v/>
      </c>
      <c r="AK35" s="238">
        <f>IF('CF表（ご主人様働けない時）'!AK$3="","",'CF表（ご主人様働けない時）'!AK35/10000)</f>
        <v/>
      </c>
      <c r="AL35" s="238">
        <f>IF('CF表（ご主人様働けない時）'!AL$3="","",'CF表（ご主人様働けない時）'!AL35/10000)</f>
        <v/>
      </c>
      <c r="AM35" s="238">
        <f>IF('CF表（ご主人様働けない時）'!AM$3="","",'CF表（ご主人様働けない時）'!AM35/10000)</f>
        <v/>
      </c>
      <c r="AN35" s="238">
        <f>IF('CF表（ご主人様働けない時）'!AN$3="","",'CF表（ご主人様働けない時）'!AN35/10000)</f>
        <v/>
      </c>
      <c r="AO35" s="238">
        <f>IF('CF表（ご主人様働けない時）'!AO$3="","",'CF表（ご主人様働けない時）'!AO35/10000)</f>
        <v/>
      </c>
      <c r="AP35" s="238">
        <f>IF('CF表（ご主人様働けない時）'!AP$3="","",'CF表（ご主人様働けない時）'!AP35/10000)</f>
        <v/>
      </c>
      <c r="AQ35" s="238">
        <f>IF('CF表（ご主人様働けない時）'!AQ$3="","",'CF表（ご主人様働けない時）'!AQ35/10000)</f>
        <v/>
      </c>
      <c r="AR35" s="238">
        <f>IF('CF表（ご主人様働けない時）'!AR$3="","",'CF表（ご主人様働けない時）'!AR35/10000)</f>
        <v/>
      </c>
      <c r="AS35" s="238">
        <f>IF('CF表（ご主人様働けない時）'!AS$3="","",'CF表（ご主人様働けない時）'!AS35/10000)</f>
        <v/>
      </c>
      <c r="AT35" s="238">
        <f>IF('CF表（ご主人様働けない時）'!AT$3="","",'CF表（ご主人様働けない時）'!AT35/10000)</f>
        <v/>
      </c>
      <c r="AU35" s="238">
        <f>IF('CF表（ご主人様働けない時）'!AU$3="","",'CF表（ご主人様働けない時）'!AU35/10000)</f>
        <v/>
      </c>
      <c r="AV35" s="238">
        <f>IF('CF表（ご主人様働けない時）'!AV$3="","",'CF表（ご主人様働けない時）'!AV35/10000)</f>
        <v/>
      </c>
      <c r="AW35" s="238">
        <f>IF('CF表（ご主人様働けない時）'!AW$3="","",'CF表（ご主人様働けない時）'!AW35/10000)</f>
        <v/>
      </c>
      <c r="AX35" s="238">
        <f>IF('CF表（ご主人様働けない時）'!AX$3="","",'CF表（ご主人様働けない時）'!AX35/10000)</f>
        <v/>
      </c>
      <c r="AY35" s="238">
        <f>IF('CF表（ご主人様働けない時）'!AY$3="","",'CF表（ご主人様働けない時）'!AY35/10000)</f>
        <v/>
      </c>
      <c r="AZ35" s="238">
        <f>IF('CF表（ご主人様働けない時）'!AZ$3="","",'CF表（ご主人様働けない時）'!AZ35/10000)</f>
        <v/>
      </c>
      <c r="BA35" s="238">
        <f>IF('CF表（ご主人様働けない時）'!BA$3="","",'CF表（ご主人様働けない時）'!BA35/10000)</f>
        <v/>
      </c>
      <c r="BB35" s="238">
        <f>IF('CF表（ご主人様働けない時）'!BB$3="","",'CF表（ご主人様働けない時）'!BB35/10000)</f>
        <v/>
      </c>
      <c r="BC35" s="238">
        <f>IF('CF表（ご主人様働けない時）'!BC$3="","",'CF表（ご主人様働けない時）'!BC35/10000)</f>
        <v/>
      </c>
      <c r="BD35" s="238">
        <f>IF('CF表（ご主人様働けない時）'!BD$3="","",'CF表（ご主人様働けない時）'!BD35/10000)</f>
        <v/>
      </c>
      <c r="BE35" s="238">
        <f>IF('CF表（ご主人様働けない時）'!BE$3="","",'CF表（ご主人様働けない時）'!BE35/10000)</f>
        <v/>
      </c>
      <c r="BF35" s="238">
        <f>IF('CF表（ご主人様働けない時）'!BF$3="","",'CF表（ご主人様働けない時）'!BF35/10000)</f>
        <v/>
      </c>
      <c r="BG35" s="238">
        <f>IF('CF表（ご主人様働けない時）'!BG$3="","",'CF表（ご主人様働けない時）'!BG35/10000)</f>
        <v/>
      </c>
      <c r="BH35" s="238">
        <f>IF('CF表（ご主人様働けない時）'!BH$3="","",'CF表（ご主人様働けない時）'!BH35/10000)</f>
        <v/>
      </c>
      <c r="BI35" s="238">
        <f>IF('CF表（ご主人様働けない時）'!BI$3="","",'CF表（ご主人様働けない時）'!BI35/10000)</f>
        <v/>
      </c>
      <c r="BJ35" s="238">
        <f>IF('CF表（ご主人様働けない時）'!BJ$3="","",'CF表（ご主人様働けない時）'!BJ35/10000)</f>
        <v/>
      </c>
      <c r="BK35" s="238">
        <f>IF('CF表（ご主人様働けない時）'!BK$3="","",'CF表（ご主人様働けない時）'!BK35/10000)</f>
        <v/>
      </c>
      <c r="BL35" s="238">
        <f>IF('CF表（ご主人様働けない時）'!BL$3="","",'CF表（ご主人様働けない時）'!BL35/10000)</f>
        <v/>
      </c>
      <c r="BM35" s="238">
        <f>IF('CF表（ご主人様働けない時）'!BM$3="","",'CF表（ご主人様働けない時）'!BM35/10000)</f>
        <v/>
      </c>
      <c r="BN35" s="238">
        <f>IF('CF表（ご主人様働けない時）'!BN$3="","",'CF表（ご主人様働けない時）'!BN35/10000)</f>
        <v/>
      </c>
      <c r="BO35" s="238">
        <f>IF('CF表（ご主人様働けない時）'!BO$3="","",'CF表（ご主人様働けない時）'!BO35/10000)</f>
        <v/>
      </c>
      <c r="BP35" s="238">
        <f>IF('CF表（ご主人様働けない時）'!BP$3="","",'CF表（ご主人様働けない時）'!BP35/10000)</f>
        <v/>
      </c>
      <c r="BQ35" s="238">
        <f>IF('CF表（ご主人様働けない時）'!BQ$3="","",'CF表（ご主人様働けない時）'!BQ35/10000)</f>
        <v/>
      </c>
      <c r="BR35" s="238">
        <f>IF('CF表（ご主人様働けない時）'!BR$3="","",'CF表（ご主人様働けない時）'!BR35/10000)</f>
        <v/>
      </c>
      <c r="BS35" s="238">
        <f>IF('CF表（ご主人様働けない時）'!BS$3="","",'CF表（ご主人様働けない時）'!BS35/10000)</f>
        <v/>
      </c>
      <c r="BT35" s="238">
        <f>IF('CF表（ご主人様働けない時）'!BT$3="","",'CF表（ご主人様働けない時）'!BT35/10000)</f>
        <v/>
      </c>
      <c r="BU35" s="238">
        <f>IF('CF表（ご主人様働けない時）'!BU$3="","",'CF表（ご主人様働けない時）'!BU35/10000)</f>
        <v/>
      </c>
      <c r="BV35" s="238">
        <f>IF('CF表（ご主人様働けない時）'!BV$3="","",'CF表（ご主人様働けない時）'!BV35/10000)</f>
        <v/>
      </c>
      <c r="BW35" s="238">
        <f>IF('CF表（ご主人様働けない時）'!BW$3="","",'CF表（ご主人様働けない時）'!BW35/10000)</f>
        <v/>
      </c>
      <c r="BX35" s="238">
        <f>IF('CF表（ご主人様働けない時）'!BX$3="","",'CF表（ご主人様働けない時）'!BX35/10000)</f>
        <v/>
      </c>
      <c r="BY35" s="238">
        <f>IF('CF表（ご主人様働けない時）'!BY$3="","",'CF表（ご主人様働けない時）'!BY35/10000)</f>
        <v/>
      </c>
      <c r="BZ35" s="238">
        <f>IF('CF表（ご主人様働けない時）'!BZ$3="","",'CF表（ご主人様働けない時）'!BZ35/10000)</f>
        <v/>
      </c>
      <c r="CA35" s="238">
        <f>IF('CF表（ご主人様働けない時）'!CA$3="","",'CF表（ご主人様働けない時）'!CA35/10000)</f>
        <v/>
      </c>
      <c r="CB35" s="238">
        <f>IF('CF表（ご主人様働けない時）'!CB$3="","",'CF表（ご主人様働けない時）'!CB35/10000)</f>
        <v/>
      </c>
      <c r="CC35" s="238">
        <f>IF('CF表（ご主人様働けない時）'!CC$3="","",'CF表（ご主人様働けない時）'!CC35/10000)</f>
        <v/>
      </c>
      <c r="CD35" s="238">
        <f>IF('CF表（ご主人様働けない時）'!CD$3="","",'CF表（ご主人様働けない時）'!CD35/10000)</f>
        <v/>
      </c>
      <c r="CE35" s="238">
        <f>IF('CF表（ご主人様働けない時）'!CE$3="","",'CF表（ご主人様働けない時）'!CE35/10000)</f>
        <v/>
      </c>
      <c r="CF35" s="238">
        <f>IF('CF表（ご主人様働けない時）'!CF$3="","",'CF表（ご主人様働けない時）'!CF35/10000)</f>
        <v/>
      </c>
      <c r="CG35" s="238">
        <f>IF('CF表（ご主人様働けない時）'!CG$3="","",'CF表（ご主人様働けない時）'!CG35/10000)</f>
        <v/>
      </c>
      <c r="CH35" s="238">
        <f>IF('CF表（ご主人様働けない時）'!CH$3="","",'CF表（ご主人様働けない時）'!CH35/10000)</f>
        <v/>
      </c>
      <c r="CI35" s="238">
        <f>IF('CF表（ご主人様働けない時）'!CI$3="","",'CF表（ご主人様働けない時）'!CI35/10000)</f>
        <v/>
      </c>
      <c r="CJ35" s="238">
        <f>IF('CF表（ご主人様働けない時）'!CJ$3="","",'CF表（ご主人様働けない時）'!CJ35/10000)</f>
        <v/>
      </c>
      <c r="CK35" s="238">
        <f>IF('CF表（ご主人様働けない時）'!CK$3="","",'CF表（ご主人様働けない時）'!CK35/10000)</f>
        <v/>
      </c>
      <c r="CL35" s="238">
        <f>IF('CF表（ご主人様働けない時）'!CL$3="","",'CF表（ご主人様働けない時）'!CL35/10000)</f>
        <v/>
      </c>
      <c r="CM35" s="238">
        <f>IF('CF表（ご主人様働けない時）'!CM$3="","",'CF表（ご主人様働けない時）'!CM35/10000)</f>
        <v/>
      </c>
      <c r="CN35" s="238">
        <f>IF('CF表（ご主人様働けない時）'!CN$3="","",'CF表（ご主人様働けない時）'!CN35/10000)</f>
        <v/>
      </c>
      <c r="CO35" s="238">
        <f>IF('CF表（ご主人様働けない時）'!CO$3="","",'CF表（ご主人様働けない時）'!CO35/10000)</f>
        <v/>
      </c>
      <c r="CP35" s="238">
        <f>IF('CF表（ご主人様働けない時）'!CP$3="","",'CF表（ご主人様働けない時）'!CP35/10000)</f>
        <v/>
      </c>
      <c r="CQ35" s="238">
        <f>IF('CF表（ご主人様働けない時）'!CQ$3="","",'CF表（ご主人様働けない時）'!CQ35/10000)</f>
        <v/>
      </c>
      <c r="CR35" s="238">
        <f>IF('CF表（ご主人様働けない時）'!CR$3="","",'CF表（ご主人様働けない時）'!CR35/10000)</f>
        <v/>
      </c>
      <c r="CS35" s="238">
        <f>IF('CF表（ご主人様働けない時）'!CS$3="","",'CF表（ご主人様働けない時）'!CS35/10000)</f>
        <v/>
      </c>
      <c r="CT35" s="238">
        <f>IF('CF表（ご主人様働けない時）'!CT$3="","",'CF表（ご主人様働けない時）'!CT35/10000)</f>
        <v/>
      </c>
      <c r="CU35" s="238">
        <f>IF('CF表（ご主人様働けない時）'!CU$3="","",'CF表（ご主人様働けない時）'!CU35/10000)</f>
        <v/>
      </c>
      <c r="CV35" s="238">
        <f>IF('CF表（ご主人様働けない時）'!CV$3="","",'CF表（ご主人様働けない時）'!CV35/10000)</f>
        <v/>
      </c>
      <c r="CW35" s="238">
        <f>IF('CF表（ご主人様働けない時）'!CW$3="","",'CF表（ご主人様働けない時）'!CW35/10000)</f>
        <v/>
      </c>
    </row>
    <row r="36" hidden="1" ht="16.5" customHeight="1" s="180">
      <c r="A36" s="239" t="inlineStr">
        <is>
          <t>投資積立年額(補助)</t>
        </is>
      </c>
      <c r="B36" s="240">
        <f>IF('CF表（ご主人様働けない時）'!B$3="","",'CF表（ご主人様働けない時）'!B36/10000)</f>
        <v/>
      </c>
      <c r="C36" s="240">
        <f>IF('CF表（ご主人様働けない時）'!C$3="","",'CF表（ご主人様働けない時）'!C36/10000)</f>
        <v/>
      </c>
      <c r="D36" s="240">
        <f>IF('CF表（ご主人様働けない時）'!D$3="","",'CF表（ご主人様働けない時）'!D36/10000)</f>
        <v/>
      </c>
      <c r="E36" s="240">
        <f>IF('CF表（ご主人様働けない時）'!E$3="","",'CF表（ご主人様働けない時）'!E36/10000)</f>
        <v/>
      </c>
      <c r="F36" s="240">
        <f>IF('CF表（ご主人様働けない時）'!F$3="","",'CF表（ご主人様働けない時）'!F36/10000)</f>
        <v/>
      </c>
      <c r="G36" s="240">
        <f>IF('CF表（ご主人様働けない時）'!G$3="","",'CF表（ご主人様働けない時）'!G36/10000)</f>
        <v/>
      </c>
      <c r="H36" s="240">
        <f>IF('CF表（ご主人様働けない時）'!H$3="","",'CF表（ご主人様働けない時）'!H36/10000)</f>
        <v/>
      </c>
      <c r="I36" s="240">
        <f>IF('CF表（ご主人様働けない時）'!I$3="","",'CF表（ご主人様働けない時）'!I36/10000)</f>
        <v/>
      </c>
      <c r="J36" s="240">
        <f>IF('CF表（ご主人様働けない時）'!J$3="","",'CF表（ご主人様働けない時）'!J36/10000)</f>
        <v/>
      </c>
      <c r="K36" s="240">
        <f>IF('CF表（ご主人様働けない時）'!K$3="","",'CF表（ご主人様働けない時）'!K36/10000)</f>
        <v/>
      </c>
      <c r="L36" s="240">
        <f>IF('CF表（ご主人様働けない時）'!L$3="","",'CF表（ご主人様働けない時）'!L36/10000)</f>
        <v/>
      </c>
      <c r="M36" s="240">
        <f>IF('CF表（ご主人様働けない時）'!M$3="","",'CF表（ご主人様働けない時）'!M36/10000)</f>
        <v/>
      </c>
      <c r="N36" s="240">
        <f>IF('CF表（ご主人様働けない時）'!N$3="","",'CF表（ご主人様働けない時）'!N36/10000)</f>
        <v/>
      </c>
      <c r="O36" s="240">
        <f>IF('CF表（ご主人様働けない時）'!O$3="","",'CF表（ご主人様働けない時）'!O36/10000)</f>
        <v/>
      </c>
      <c r="P36" s="240">
        <f>IF('CF表（ご主人様働けない時）'!P$3="","",'CF表（ご主人様働けない時）'!P36/10000)</f>
        <v/>
      </c>
      <c r="Q36" s="240">
        <f>IF('CF表（ご主人様働けない時）'!Q$3="","",'CF表（ご主人様働けない時）'!Q36/10000)</f>
        <v/>
      </c>
      <c r="R36" s="240">
        <f>IF('CF表（ご主人様働けない時）'!R$3="","",'CF表（ご主人様働けない時）'!R36/10000)</f>
        <v/>
      </c>
      <c r="S36" s="240">
        <f>IF('CF表（ご主人様働けない時）'!S$3="","",'CF表（ご主人様働けない時）'!S36/10000)</f>
        <v/>
      </c>
      <c r="T36" s="240">
        <f>IF('CF表（ご主人様働けない時）'!T$3="","",'CF表（ご主人様働けない時）'!T36/10000)</f>
        <v/>
      </c>
      <c r="U36" s="240">
        <f>IF('CF表（ご主人様働けない時）'!U$3="","",'CF表（ご主人様働けない時）'!U36/10000)</f>
        <v/>
      </c>
      <c r="V36" s="240">
        <f>IF('CF表（ご主人様働けない時）'!V$3="","",'CF表（ご主人様働けない時）'!V36/10000)</f>
        <v/>
      </c>
      <c r="W36" s="240">
        <f>IF('CF表（ご主人様働けない時）'!W$3="","",'CF表（ご主人様働けない時）'!W36/10000)</f>
        <v/>
      </c>
      <c r="X36" s="240">
        <f>IF('CF表（ご主人様働けない時）'!X$3="","",'CF表（ご主人様働けない時）'!X36/10000)</f>
        <v/>
      </c>
      <c r="Y36" s="240">
        <f>IF('CF表（ご主人様働けない時）'!Y$3="","",'CF表（ご主人様働けない時）'!Y36/10000)</f>
        <v/>
      </c>
      <c r="Z36" s="240">
        <f>IF('CF表（ご主人様働けない時）'!Z$3="","",'CF表（ご主人様働けない時）'!Z36/10000)</f>
        <v/>
      </c>
      <c r="AA36" s="240">
        <f>IF('CF表（ご主人様働けない時）'!AA$3="","",'CF表（ご主人様働けない時）'!AA36/10000)</f>
        <v/>
      </c>
      <c r="AB36" s="240">
        <f>IF('CF表（ご主人様働けない時）'!AB$3="","",'CF表（ご主人様働けない時）'!AB36/10000)</f>
        <v/>
      </c>
      <c r="AC36" s="240">
        <f>IF('CF表（ご主人様働けない時）'!AC$3="","",'CF表（ご主人様働けない時）'!AC36/10000)</f>
        <v/>
      </c>
      <c r="AD36" s="240">
        <f>IF('CF表（ご主人様働けない時）'!AD$3="","",'CF表（ご主人様働けない時）'!AD36/10000)</f>
        <v/>
      </c>
      <c r="AE36" s="240">
        <f>IF('CF表（ご主人様働けない時）'!AE$3="","",'CF表（ご主人様働けない時）'!AE36/10000)</f>
        <v/>
      </c>
      <c r="AF36" s="240">
        <f>IF('CF表（ご主人様働けない時）'!AF$3="","",'CF表（ご主人様働けない時）'!AF36/10000)</f>
        <v/>
      </c>
      <c r="AG36" s="240">
        <f>IF('CF表（ご主人様働けない時）'!AG$3="","",'CF表（ご主人様働けない時）'!AG36/10000)</f>
        <v/>
      </c>
      <c r="AH36" s="240">
        <f>IF('CF表（ご主人様働けない時）'!AH$3="","",'CF表（ご主人様働けない時）'!AH36/10000)</f>
        <v/>
      </c>
      <c r="AI36" s="240">
        <f>IF('CF表（ご主人様働けない時）'!AI$3="","",'CF表（ご主人様働けない時）'!AI36/10000)</f>
        <v/>
      </c>
      <c r="AJ36" s="240">
        <f>IF('CF表（ご主人様働けない時）'!AJ$3="","",'CF表（ご主人様働けない時）'!AJ36/10000)</f>
        <v/>
      </c>
      <c r="AK36" s="240">
        <f>IF('CF表（ご主人様働けない時）'!AK$3="","",'CF表（ご主人様働けない時）'!AK36/10000)</f>
        <v/>
      </c>
      <c r="AL36" s="240">
        <f>IF('CF表（ご主人様働けない時）'!AL$3="","",'CF表（ご主人様働けない時）'!AL36/10000)</f>
        <v/>
      </c>
      <c r="AM36" s="240">
        <f>IF('CF表（ご主人様働けない時）'!AM$3="","",'CF表（ご主人様働けない時）'!AM36/10000)</f>
        <v/>
      </c>
      <c r="AN36" s="240">
        <f>IF('CF表（ご主人様働けない時）'!AN$3="","",'CF表（ご主人様働けない時）'!AN36/10000)</f>
        <v/>
      </c>
      <c r="AO36" s="240">
        <f>IF('CF表（ご主人様働けない時）'!AO$3="","",'CF表（ご主人様働けない時）'!AO36/10000)</f>
        <v/>
      </c>
      <c r="AP36" s="240">
        <f>IF('CF表（ご主人様働けない時）'!AP$3="","",'CF表（ご主人様働けない時）'!AP36/10000)</f>
        <v/>
      </c>
      <c r="AQ36" s="240">
        <f>IF('CF表（ご主人様働けない時）'!AQ$3="","",'CF表（ご主人様働けない時）'!AQ36/10000)</f>
        <v/>
      </c>
      <c r="AR36" s="240">
        <f>IF('CF表（ご主人様働けない時）'!AR$3="","",'CF表（ご主人様働けない時）'!AR36/10000)</f>
        <v/>
      </c>
      <c r="AS36" s="240">
        <f>IF('CF表（ご主人様働けない時）'!AS$3="","",'CF表（ご主人様働けない時）'!AS36/10000)</f>
        <v/>
      </c>
      <c r="AT36" s="240">
        <f>IF('CF表（ご主人様働けない時）'!AT$3="","",'CF表（ご主人様働けない時）'!AT36/10000)</f>
        <v/>
      </c>
      <c r="AU36" s="240">
        <f>IF('CF表（ご主人様働けない時）'!AU$3="","",'CF表（ご主人様働けない時）'!AU36/10000)</f>
        <v/>
      </c>
      <c r="AV36" s="240">
        <f>IF('CF表（ご主人様働けない時）'!AV$3="","",'CF表（ご主人様働けない時）'!AV36/10000)</f>
        <v/>
      </c>
      <c r="AW36" s="240">
        <f>IF('CF表（ご主人様働けない時）'!AW$3="","",'CF表（ご主人様働けない時）'!AW36/10000)</f>
        <v/>
      </c>
      <c r="AX36" s="240">
        <f>IF('CF表（ご主人様働けない時）'!AX$3="","",'CF表（ご主人様働けない時）'!AX36/10000)</f>
        <v/>
      </c>
      <c r="AY36" s="240">
        <f>IF('CF表（ご主人様働けない時）'!AY$3="","",'CF表（ご主人様働けない時）'!AY36/10000)</f>
        <v/>
      </c>
      <c r="AZ36" s="240">
        <f>IF('CF表（ご主人様働けない時）'!AZ$3="","",'CF表（ご主人様働けない時）'!AZ36/10000)</f>
        <v/>
      </c>
      <c r="BA36" s="240">
        <f>IF('CF表（ご主人様働けない時）'!BA$3="","",'CF表（ご主人様働けない時）'!BA36/10000)</f>
        <v/>
      </c>
      <c r="BB36" s="240">
        <f>IF('CF表（ご主人様働けない時）'!BB$3="","",'CF表（ご主人様働けない時）'!BB36/10000)</f>
        <v/>
      </c>
      <c r="BC36" s="240">
        <f>IF('CF表（ご主人様働けない時）'!BC$3="","",'CF表（ご主人様働けない時）'!BC36/10000)</f>
        <v/>
      </c>
      <c r="BD36" s="240">
        <f>IF('CF表（ご主人様働けない時）'!BD$3="","",'CF表（ご主人様働けない時）'!BD36/10000)</f>
        <v/>
      </c>
      <c r="BE36" s="240">
        <f>IF('CF表（ご主人様働けない時）'!BE$3="","",'CF表（ご主人様働けない時）'!BE36/10000)</f>
        <v/>
      </c>
      <c r="BF36" s="240">
        <f>IF('CF表（ご主人様働けない時）'!BF$3="","",'CF表（ご主人様働けない時）'!BF36/10000)</f>
        <v/>
      </c>
      <c r="BG36" s="240">
        <f>IF('CF表（ご主人様働けない時）'!BG$3="","",'CF表（ご主人様働けない時）'!BG36/10000)</f>
        <v/>
      </c>
      <c r="BH36" s="240">
        <f>IF('CF表（ご主人様働けない時）'!BH$3="","",'CF表（ご主人様働けない時）'!BH36/10000)</f>
        <v/>
      </c>
      <c r="BI36" s="240">
        <f>IF('CF表（ご主人様働けない時）'!BI$3="","",'CF表（ご主人様働けない時）'!BI36/10000)</f>
        <v/>
      </c>
      <c r="BJ36" s="240">
        <f>IF('CF表（ご主人様働けない時）'!BJ$3="","",'CF表（ご主人様働けない時）'!BJ36/10000)</f>
        <v/>
      </c>
      <c r="BK36" s="240">
        <f>IF('CF表（ご主人様働けない時）'!BK$3="","",'CF表（ご主人様働けない時）'!BK36/10000)</f>
        <v/>
      </c>
      <c r="BL36" s="240">
        <f>IF('CF表（ご主人様働けない時）'!BL$3="","",'CF表（ご主人様働けない時）'!BL36/10000)</f>
        <v/>
      </c>
      <c r="BM36" s="240">
        <f>IF('CF表（ご主人様働けない時）'!BM$3="","",'CF表（ご主人様働けない時）'!BM36/10000)</f>
        <v/>
      </c>
      <c r="BN36" s="240">
        <f>IF('CF表（ご主人様働けない時）'!BN$3="","",'CF表（ご主人様働けない時）'!BN36/10000)</f>
        <v/>
      </c>
      <c r="BO36" s="240">
        <f>IF('CF表（ご主人様働けない時）'!BO$3="","",'CF表（ご主人様働けない時）'!BO36/10000)</f>
        <v/>
      </c>
      <c r="BP36" s="240">
        <f>IF('CF表（ご主人様働けない時）'!BP$3="","",'CF表（ご主人様働けない時）'!BP36/10000)</f>
        <v/>
      </c>
      <c r="BQ36" s="240">
        <f>IF('CF表（ご主人様働けない時）'!BQ$3="","",'CF表（ご主人様働けない時）'!BQ36/10000)</f>
        <v/>
      </c>
      <c r="BR36" s="240">
        <f>IF('CF表（ご主人様働けない時）'!BR$3="","",'CF表（ご主人様働けない時）'!BR36/10000)</f>
        <v/>
      </c>
      <c r="BS36" s="240">
        <f>IF('CF表（ご主人様働けない時）'!BS$3="","",'CF表（ご主人様働けない時）'!BS36/10000)</f>
        <v/>
      </c>
      <c r="BT36" s="240">
        <f>IF('CF表（ご主人様働けない時）'!BT$3="","",'CF表（ご主人様働けない時）'!BT36/10000)</f>
        <v/>
      </c>
      <c r="BU36" s="240">
        <f>IF('CF表（ご主人様働けない時）'!BU$3="","",'CF表（ご主人様働けない時）'!BU36/10000)</f>
        <v/>
      </c>
      <c r="BV36" s="240">
        <f>IF('CF表（ご主人様働けない時）'!BV$3="","",'CF表（ご主人様働けない時）'!BV36/10000)</f>
        <v/>
      </c>
      <c r="BW36" s="240">
        <f>IF('CF表（ご主人様働けない時）'!BW$3="","",'CF表（ご主人様働けない時）'!BW36/10000)</f>
        <v/>
      </c>
      <c r="BX36" s="240">
        <f>IF('CF表（ご主人様働けない時）'!BX$3="","",'CF表（ご主人様働けない時）'!BX36/10000)</f>
        <v/>
      </c>
      <c r="BY36" s="240">
        <f>IF('CF表（ご主人様働けない時）'!BY$3="","",'CF表（ご主人様働けない時）'!BY36/10000)</f>
        <v/>
      </c>
      <c r="BZ36" s="240">
        <f>IF('CF表（ご主人様働けない時）'!BZ$3="","",'CF表（ご主人様働けない時）'!BZ36/10000)</f>
        <v/>
      </c>
      <c r="CA36" s="240">
        <f>IF('CF表（ご主人様働けない時）'!CA$3="","",'CF表（ご主人様働けない時）'!CA36/10000)</f>
        <v/>
      </c>
      <c r="CB36" s="240">
        <f>IF('CF表（ご主人様働けない時）'!CB$3="","",'CF表（ご主人様働けない時）'!CB36/10000)</f>
        <v/>
      </c>
      <c r="CC36" s="240">
        <f>IF('CF表（ご主人様働けない時）'!CC$3="","",'CF表（ご主人様働けない時）'!CC36/10000)</f>
        <v/>
      </c>
      <c r="CD36" s="240">
        <f>IF('CF表（ご主人様働けない時）'!CD$3="","",'CF表（ご主人様働けない時）'!CD36/10000)</f>
        <v/>
      </c>
      <c r="CE36" s="240">
        <f>IF('CF表（ご主人様働けない時）'!CE$3="","",'CF表（ご主人様働けない時）'!CE36/10000)</f>
        <v/>
      </c>
      <c r="CF36" s="240">
        <f>IF('CF表（ご主人様働けない時）'!CF$3="","",'CF表（ご主人様働けない時）'!CF36/10000)</f>
        <v/>
      </c>
      <c r="CG36" s="240">
        <f>IF('CF表（ご主人様働けない時）'!CG$3="","",'CF表（ご主人様働けない時）'!CG36/10000)</f>
        <v/>
      </c>
      <c r="CH36" s="240">
        <f>IF('CF表（ご主人様働けない時）'!CH$3="","",'CF表（ご主人様働けない時）'!CH36/10000)</f>
        <v/>
      </c>
      <c r="CI36" s="240">
        <f>IF('CF表（ご主人様働けない時）'!CI$3="","",'CF表（ご主人様働けない時）'!CI36/10000)</f>
        <v/>
      </c>
      <c r="CJ36" s="240">
        <f>IF('CF表（ご主人様働けない時）'!CJ$3="","",'CF表（ご主人様働けない時）'!CJ36/10000)</f>
        <v/>
      </c>
      <c r="CK36" s="240">
        <f>IF('CF表（ご主人様働けない時）'!CK$3="","",'CF表（ご主人様働けない時）'!CK36/10000)</f>
        <v/>
      </c>
      <c r="CL36" s="240">
        <f>IF('CF表（ご主人様働けない時）'!CL$3="","",'CF表（ご主人様働けない時）'!CL36/10000)</f>
        <v/>
      </c>
      <c r="CM36" s="240">
        <f>IF('CF表（ご主人様働けない時）'!CM$3="","",'CF表（ご主人様働けない時）'!CM36/10000)</f>
        <v/>
      </c>
      <c r="CN36" s="240">
        <f>IF('CF表（ご主人様働けない時）'!CN$3="","",'CF表（ご主人様働けない時）'!CN36/10000)</f>
        <v/>
      </c>
      <c r="CO36" s="240">
        <f>IF('CF表（ご主人様働けない時）'!CO$3="","",'CF表（ご主人様働けない時）'!CO36/10000)</f>
        <v/>
      </c>
      <c r="CP36" s="240">
        <f>IF('CF表（ご主人様働けない時）'!CP$3="","",'CF表（ご主人様働けない時）'!CP36/10000)</f>
        <v/>
      </c>
      <c r="CQ36" s="240">
        <f>IF('CF表（ご主人様働けない時）'!CQ$3="","",'CF表（ご主人様働けない時）'!CQ36/10000)</f>
        <v/>
      </c>
      <c r="CR36" s="240">
        <f>IF('CF表（ご主人様働けない時）'!CR$3="","",'CF表（ご主人様働けない時）'!CR36/10000)</f>
        <v/>
      </c>
      <c r="CS36" s="240">
        <f>IF('CF表（ご主人様働けない時）'!CS$3="","",'CF表（ご主人様働けない時）'!CS36/10000)</f>
        <v/>
      </c>
      <c r="CT36" s="240">
        <f>IF('CF表（ご主人様働けない時）'!CT$3="","",'CF表（ご主人様働けない時）'!CT36/10000)</f>
        <v/>
      </c>
      <c r="CU36" s="240">
        <f>IF('CF表（ご主人様働けない時）'!CU$3="","",'CF表（ご主人様働けない時）'!CU36/10000)</f>
        <v/>
      </c>
      <c r="CV36" s="240">
        <f>IF('CF表（ご主人様働けない時）'!CV$3="","",'CF表（ご主人様働けない時）'!CV36/10000)</f>
        <v/>
      </c>
      <c r="CW36" s="240">
        <f>IF('CF表（ご主人様働けない時）'!CW$3="","",'CF表（ご主人様働けない時）'!CW36/10000)</f>
        <v/>
      </c>
    </row>
    <row r="37" hidden="1" ht="16.5" customHeight="1" s="180">
      <c r="A37" s="239" t="inlineStr">
        <is>
          <t>返戻金積立年額(補助)</t>
        </is>
      </c>
      <c r="B37" s="240">
        <f>IF('CF表（ご主人様働けない時）'!B$3="","",'CF表（ご主人様働けない時）'!B37/10000)</f>
        <v/>
      </c>
      <c r="C37" s="240">
        <f>IF('CF表（ご主人様働けない時）'!C$3="","",'CF表（ご主人様働けない時）'!C37/10000)</f>
        <v/>
      </c>
      <c r="D37" s="240">
        <f>IF('CF表（ご主人様働けない時）'!D$3="","",'CF表（ご主人様働けない時）'!D37/10000)</f>
        <v/>
      </c>
      <c r="E37" s="240">
        <f>IF('CF表（ご主人様働けない時）'!E$3="","",'CF表（ご主人様働けない時）'!E37/10000)</f>
        <v/>
      </c>
      <c r="F37" s="240">
        <f>IF('CF表（ご主人様働けない時）'!F$3="","",'CF表（ご主人様働けない時）'!F37/10000)</f>
        <v/>
      </c>
      <c r="G37" s="240">
        <f>IF('CF表（ご主人様働けない時）'!G$3="","",'CF表（ご主人様働けない時）'!G37/10000)</f>
        <v/>
      </c>
      <c r="H37" s="240">
        <f>IF('CF表（ご主人様働けない時）'!H$3="","",'CF表（ご主人様働けない時）'!H37/10000)</f>
        <v/>
      </c>
      <c r="I37" s="240">
        <f>IF('CF表（ご主人様働けない時）'!I$3="","",'CF表（ご主人様働けない時）'!I37/10000)</f>
        <v/>
      </c>
      <c r="J37" s="240">
        <f>IF('CF表（ご主人様働けない時）'!J$3="","",'CF表（ご主人様働けない時）'!J37/10000)</f>
        <v/>
      </c>
      <c r="K37" s="240">
        <f>IF('CF表（ご主人様働けない時）'!K$3="","",'CF表（ご主人様働けない時）'!K37/10000)</f>
        <v/>
      </c>
      <c r="L37" s="240">
        <f>IF('CF表（ご主人様働けない時）'!L$3="","",'CF表（ご主人様働けない時）'!L37/10000)</f>
        <v/>
      </c>
      <c r="M37" s="240">
        <f>IF('CF表（ご主人様働けない時）'!M$3="","",'CF表（ご主人様働けない時）'!M37/10000)</f>
        <v/>
      </c>
      <c r="N37" s="240">
        <f>IF('CF表（ご主人様働けない時）'!N$3="","",'CF表（ご主人様働けない時）'!N37/10000)</f>
        <v/>
      </c>
      <c r="O37" s="240">
        <f>IF('CF表（ご主人様働けない時）'!O$3="","",'CF表（ご主人様働けない時）'!O37/10000)</f>
        <v/>
      </c>
      <c r="P37" s="240">
        <f>IF('CF表（ご主人様働けない時）'!P$3="","",'CF表（ご主人様働けない時）'!P37/10000)</f>
        <v/>
      </c>
      <c r="Q37" s="240">
        <f>IF('CF表（ご主人様働けない時）'!Q$3="","",'CF表（ご主人様働けない時）'!Q37/10000)</f>
        <v/>
      </c>
      <c r="R37" s="240">
        <f>IF('CF表（ご主人様働けない時）'!R$3="","",'CF表（ご主人様働けない時）'!R37/10000)</f>
        <v/>
      </c>
      <c r="S37" s="240">
        <f>IF('CF表（ご主人様働けない時）'!S$3="","",'CF表（ご主人様働けない時）'!S37/10000)</f>
        <v/>
      </c>
      <c r="T37" s="240">
        <f>IF('CF表（ご主人様働けない時）'!T$3="","",'CF表（ご主人様働けない時）'!T37/10000)</f>
        <v/>
      </c>
      <c r="U37" s="240">
        <f>IF('CF表（ご主人様働けない時）'!U$3="","",'CF表（ご主人様働けない時）'!U37/10000)</f>
        <v/>
      </c>
      <c r="V37" s="240">
        <f>IF('CF表（ご主人様働けない時）'!V$3="","",'CF表（ご主人様働けない時）'!V37/10000)</f>
        <v/>
      </c>
      <c r="W37" s="240">
        <f>IF('CF表（ご主人様働けない時）'!W$3="","",'CF表（ご主人様働けない時）'!W37/10000)</f>
        <v/>
      </c>
      <c r="X37" s="240">
        <f>IF('CF表（ご主人様働けない時）'!X$3="","",'CF表（ご主人様働けない時）'!X37/10000)</f>
        <v/>
      </c>
      <c r="Y37" s="240">
        <f>IF('CF表（ご主人様働けない時）'!Y$3="","",'CF表（ご主人様働けない時）'!Y37/10000)</f>
        <v/>
      </c>
      <c r="Z37" s="240">
        <f>IF('CF表（ご主人様働けない時）'!Z$3="","",'CF表（ご主人様働けない時）'!Z37/10000)</f>
        <v/>
      </c>
      <c r="AA37" s="240">
        <f>IF('CF表（ご主人様働けない時）'!AA$3="","",'CF表（ご主人様働けない時）'!AA37/10000)</f>
        <v/>
      </c>
      <c r="AB37" s="240">
        <f>IF('CF表（ご主人様働けない時）'!AB$3="","",'CF表（ご主人様働けない時）'!AB37/10000)</f>
        <v/>
      </c>
      <c r="AC37" s="240">
        <f>IF('CF表（ご主人様働けない時）'!AC$3="","",'CF表（ご主人様働けない時）'!AC37/10000)</f>
        <v/>
      </c>
      <c r="AD37" s="240">
        <f>IF('CF表（ご主人様働けない時）'!AD$3="","",'CF表（ご主人様働けない時）'!AD37/10000)</f>
        <v/>
      </c>
      <c r="AE37" s="240">
        <f>IF('CF表（ご主人様働けない時）'!AE$3="","",'CF表（ご主人様働けない時）'!AE37/10000)</f>
        <v/>
      </c>
      <c r="AF37" s="240">
        <f>IF('CF表（ご主人様働けない時）'!AF$3="","",'CF表（ご主人様働けない時）'!AF37/10000)</f>
        <v/>
      </c>
      <c r="AG37" s="240">
        <f>IF('CF表（ご主人様働けない時）'!AG$3="","",'CF表（ご主人様働けない時）'!AG37/10000)</f>
        <v/>
      </c>
      <c r="AH37" s="240">
        <f>IF('CF表（ご主人様働けない時）'!AH$3="","",'CF表（ご主人様働けない時）'!AH37/10000)</f>
        <v/>
      </c>
      <c r="AI37" s="240">
        <f>IF('CF表（ご主人様働けない時）'!AI$3="","",'CF表（ご主人様働けない時）'!AI37/10000)</f>
        <v/>
      </c>
      <c r="AJ37" s="240">
        <f>IF('CF表（ご主人様働けない時）'!AJ$3="","",'CF表（ご主人様働けない時）'!AJ37/10000)</f>
        <v/>
      </c>
      <c r="AK37" s="240">
        <f>IF('CF表（ご主人様働けない時）'!AK$3="","",'CF表（ご主人様働けない時）'!AK37/10000)</f>
        <v/>
      </c>
      <c r="AL37" s="240">
        <f>IF('CF表（ご主人様働けない時）'!AL$3="","",'CF表（ご主人様働けない時）'!AL37/10000)</f>
        <v/>
      </c>
      <c r="AM37" s="240">
        <f>IF('CF表（ご主人様働けない時）'!AM$3="","",'CF表（ご主人様働けない時）'!AM37/10000)</f>
        <v/>
      </c>
      <c r="AN37" s="240">
        <f>IF('CF表（ご主人様働けない時）'!AN$3="","",'CF表（ご主人様働けない時）'!AN37/10000)</f>
        <v/>
      </c>
      <c r="AO37" s="240">
        <f>IF('CF表（ご主人様働けない時）'!AO$3="","",'CF表（ご主人様働けない時）'!AO37/10000)</f>
        <v/>
      </c>
      <c r="AP37" s="240">
        <f>IF('CF表（ご主人様働けない時）'!AP$3="","",'CF表（ご主人様働けない時）'!AP37/10000)</f>
        <v/>
      </c>
      <c r="AQ37" s="240">
        <f>IF('CF表（ご主人様働けない時）'!AQ$3="","",'CF表（ご主人様働けない時）'!AQ37/10000)</f>
        <v/>
      </c>
      <c r="AR37" s="240">
        <f>IF('CF表（ご主人様働けない時）'!AR$3="","",'CF表（ご主人様働けない時）'!AR37/10000)</f>
        <v/>
      </c>
      <c r="AS37" s="240">
        <f>IF('CF表（ご主人様働けない時）'!AS$3="","",'CF表（ご主人様働けない時）'!AS37/10000)</f>
        <v/>
      </c>
      <c r="AT37" s="240">
        <f>IF('CF表（ご主人様働けない時）'!AT$3="","",'CF表（ご主人様働けない時）'!AT37/10000)</f>
        <v/>
      </c>
      <c r="AU37" s="240">
        <f>IF('CF表（ご主人様働けない時）'!AU$3="","",'CF表（ご主人様働けない時）'!AU37/10000)</f>
        <v/>
      </c>
      <c r="AV37" s="240">
        <f>IF('CF表（ご主人様働けない時）'!AV$3="","",'CF表（ご主人様働けない時）'!AV37/10000)</f>
        <v/>
      </c>
      <c r="AW37" s="240">
        <f>IF('CF表（ご主人様働けない時）'!AW$3="","",'CF表（ご主人様働けない時）'!AW37/10000)</f>
        <v/>
      </c>
      <c r="AX37" s="240">
        <f>IF('CF表（ご主人様働けない時）'!AX$3="","",'CF表（ご主人様働けない時）'!AX37/10000)</f>
        <v/>
      </c>
      <c r="AY37" s="240">
        <f>IF('CF表（ご主人様働けない時）'!AY$3="","",'CF表（ご主人様働けない時）'!AY37/10000)</f>
        <v/>
      </c>
      <c r="AZ37" s="240">
        <f>IF('CF表（ご主人様働けない時）'!AZ$3="","",'CF表（ご主人様働けない時）'!AZ37/10000)</f>
        <v/>
      </c>
      <c r="BA37" s="240">
        <f>IF('CF表（ご主人様働けない時）'!BA$3="","",'CF表（ご主人様働けない時）'!BA37/10000)</f>
        <v/>
      </c>
      <c r="BB37" s="240">
        <f>IF('CF表（ご主人様働けない時）'!BB$3="","",'CF表（ご主人様働けない時）'!BB37/10000)</f>
        <v/>
      </c>
      <c r="BC37" s="240">
        <f>IF('CF表（ご主人様働けない時）'!BC$3="","",'CF表（ご主人様働けない時）'!BC37/10000)</f>
        <v/>
      </c>
      <c r="BD37" s="240">
        <f>IF('CF表（ご主人様働けない時）'!BD$3="","",'CF表（ご主人様働けない時）'!BD37/10000)</f>
        <v/>
      </c>
      <c r="BE37" s="240">
        <f>IF('CF表（ご主人様働けない時）'!BE$3="","",'CF表（ご主人様働けない時）'!BE37/10000)</f>
        <v/>
      </c>
      <c r="BF37" s="240">
        <f>IF('CF表（ご主人様働けない時）'!BF$3="","",'CF表（ご主人様働けない時）'!BF37/10000)</f>
        <v/>
      </c>
      <c r="BG37" s="240">
        <f>IF('CF表（ご主人様働けない時）'!BG$3="","",'CF表（ご主人様働けない時）'!BG37/10000)</f>
        <v/>
      </c>
      <c r="BH37" s="240">
        <f>IF('CF表（ご主人様働けない時）'!BH$3="","",'CF表（ご主人様働けない時）'!BH37/10000)</f>
        <v/>
      </c>
      <c r="BI37" s="240">
        <f>IF('CF表（ご主人様働けない時）'!BI$3="","",'CF表（ご主人様働けない時）'!BI37/10000)</f>
        <v/>
      </c>
      <c r="BJ37" s="240">
        <f>IF('CF表（ご主人様働けない時）'!BJ$3="","",'CF表（ご主人様働けない時）'!BJ37/10000)</f>
        <v/>
      </c>
      <c r="BK37" s="240">
        <f>IF('CF表（ご主人様働けない時）'!BK$3="","",'CF表（ご主人様働けない時）'!BK37/10000)</f>
        <v/>
      </c>
      <c r="BL37" s="240">
        <f>IF('CF表（ご主人様働けない時）'!BL$3="","",'CF表（ご主人様働けない時）'!BL37/10000)</f>
        <v/>
      </c>
      <c r="BM37" s="240">
        <f>IF('CF表（ご主人様働けない時）'!BM$3="","",'CF表（ご主人様働けない時）'!BM37/10000)</f>
        <v/>
      </c>
      <c r="BN37" s="240">
        <f>IF('CF表（ご主人様働けない時）'!BN$3="","",'CF表（ご主人様働けない時）'!BN37/10000)</f>
        <v/>
      </c>
      <c r="BO37" s="240">
        <f>IF('CF表（ご主人様働けない時）'!BO$3="","",'CF表（ご主人様働けない時）'!BO37/10000)</f>
        <v/>
      </c>
      <c r="BP37" s="240">
        <f>IF('CF表（ご主人様働けない時）'!BP$3="","",'CF表（ご主人様働けない時）'!BP37/10000)</f>
        <v/>
      </c>
      <c r="BQ37" s="240">
        <f>IF('CF表（ご主人様働けない時）'!BQ$3="","",'CF表（ご主人様働けない時）'!BQ37/10000)</f>
        <v/>
      </c>
      <c r="BR37" s="240">
        <f>IF('CF表（ご主人様働けない時）'!BR$3="","",'CF表（ご主人様働けない時）'!BR37/10000)</f>
        <v/>
      </c>
      <c r="BS37" s="240">
        <f>IF('CF表（ご主人様働けない時）'!BS$3="","",'CF表（ご主人様働けない時）'!BS37/10000)</f>
        <v/>
      </c>
      <c r="BT37" s="240">
        <f>IF('CF表（ご主人様働けない時）'!BT$3="","",'CF表（ご主人様働けない時）'!BT37/10000)</f>
        <v/>
      </c>
      <c r="BU37" s="240">
        <f>IF('CF表（ご主人様働けない時）'!BU$3="","",'CF表（ご主人様働けない時）'!BU37/10000)</f>
        <v/>
      </c>
      <c r="BV37" s="240">
        <f>IF('CF表（ご主人様働けない時）'!BV$3="","",'CF表（ご主人様働けない時）'!BV37/10000)</f>
        <v/>
      </c>
      <c r="BW37" s="240">
        <f>IF('CF表（ご主人様働けない時）'!BW$3="","",'CF表（ご主人様働けない時）'!BW37/10000)</f>
        <v/>
      </c>
      <c r="BX37" s="240">
        <f>IF('CF表（ご主人様働けない時）'!BX$3="","",'CF表（ご主人様働けない時）'!BX37/10000)</f>
        <v/>
      </c>
      <c r="BY37" s="240">
        <f>IF('CF表（ご主人様働けない時）'!BY$3="","",'CF表（ご主人様働けない時）'!BY37/10000)</f>
        <v/>
      </c>
      <c r="BZ37" s="240">
        <f>IF('CF表（ご主人様働けない時）'!BZ$3="","",'CF表（ご主人様働けない時）'!BZ37/10000)</f>
        <v/>
      </c>
      <c r="CA37" s="240">
        <f>IF('CF表（ご主人様働けない時）'!CA$3="","",'CF表（ご主人様働けない時）'!CA37/10000)</f>
        <v/>
      </c>
      <c r="CB37" s="240">
        <f>IF('CF表（ご主人様働けない時）'!CB$3="","",'CF表（ご主人様働けない時）'!CB37/10000)</f>
        <v/>
      </c>
      <c r="CC37" s="240">
        <f>IF('CF表（ご主人様働けない時）'!CC$3="","",'CF表（ご主人様働けない時）'!CC37/10000)</f>
        <v/>
      </c>
      <c r="CD37" s="240">
        <f>IF('CF表（ご主人様働けない時）'!CD$3="","",'CF表（ご主人様働けない時）'!CD37/10000)</f>
        <v/>
      </c>
      <c r="CE37" s="240">
        <f>IF('CF表（ご主人様働けない時）'!CE$3="","",'CF表（ご主人様働けない時）'!CE37/10000)</f>
        <v/>
      </c>
      <c r="CF37" s="240">
        <f>IF('CF表（ご主人様働けない時）'!CF$3="","",'CF表（ご主人様働けない時）'!CF37/10000)</f>
        <v/>
      </c>
      <c r="CG37" s="240">
        <f>IF('CF表（ご主人様働けない時）'!CG$3="","",'CF表（ご主人様働けない時）'!CG37/10000)</f>
        <v/>
      </c>
      <c r="CH37" s="240">
        <f>IF('CF表（ご主人様働けない時）'!CH$3="","",'CF表（ご主人様働けない時）'!CH37/10000)</f>
        <v/>
      </c>
      <c r="CI37" s="240">
        <f>IF('CF表（ご主人様働けない時）'!CI$3="","",'CF表（ご主人様働けない時）'!CI37/10000)</f>
        <v/>
      </c>
      <c r="CJ37" s="240">
        <f>IF('CF表（ご主人様働けない時）'!CJ$3="","",'CF表（ご主人様働けない時）'!CJ37/10000)</f>
        <v/>
      </c>
      <c r="CK37" s="240">
        <f>IF('CF表（ご主人様働けない時）'!CK$3="","",'CF表（ご主人様働けない時）'!CK37/10000)</f>
        <v/>
      </c>
      <c r="CL37" s="240">
        <f>IF('CF表（ご主人様働けない時）'!CL$3="","",'CF表（ご主人様働けない時）'!CL37/10000)</f>
        <v/>
      </c>
      <c r="CM37" s="240">
        <f>IF('CF表（ご主人様働けない時）'!CM$3="","",'CF表（ご主人様働けない時）'!CM37/10000)</f>
        <v/>
      </c>
      <c r="CN37" s="240">
        <f>IF('CF表（ご主人様働けない時）'!CN$3="","",'CF表（ご主人様働けない時）'!CN37/10000)</f>
        <v/>
      </c>
      <c r="CO37" s="240">
        <f>IF('CF表（ご主人様働けない時）'!CO$3="","",'CF表（ご主人様働けない時）'!CO37/10000)</f>
        <v/>
      </c>
      <c r="CP37" s="240">
        <f>IF('CF表（ご主人様働けない時）'!CP$3="","",'CF表（ご主人様働けない時）'!CP37/10000)</f>
        <v/>
      </c>
      <c r="CQ37" s="240">
        <f>IF('CF表（ご主人様働けない時）'!CQ$3="","",'CF表（ご主人様働けない時）'!CQ37/10000)</f>
        <v/>
      </c>
      <c r="CR37" s="240">
        <f>IF('CF表（ご主人様働けない時）'!CR$3="","",'CF表（ご主人様働けない時）'!CR37/10000)</f>
        <v/>
      </c>
      <c r="CS37" s="240">
        <f>IF('CF表（ご主人様働けない時）'!CS$3="","",'CF表（ご主人様働けない時）'!CS37/10000)</f>
        <v/>
      </c>
      <c r="CT37" s="240">
        <f>IF('CF表（ご主人様働けない時）'!CT$3="","",'CF表（ご主人様働けない時）'!CT37/10000)</f>
        <v/>
      </c>
      <c r="CU37" s="240">
        <f>IF('CF表（ご主人様働けない時）'!CU$3="","",'CF表（ご主人様働けない時）'!CU37/10000)</f>
        <v/>
      </c>
      <c r="CV37" s="240">
        <f>IF('CF表（ご主人様働けない時）'!CV$3="","",'CF表（ご主人様働けない時）'!CV37/10000)</f>
        <v/>
      </c>
      <c r="CW37" s="240">
        <f>IF('CF表（ご主人様働けない時）'!CW$3="","",'CF表（ご主人様働けない時）'!CW37/10000)</f>
        <v/>
      </c>
    </row>
    <row r="38" hidden="1" ht="16.5" customHeight="1" s="180">
      <c r="A38" s="239" t="inlineStr">
        <is>
          <t>預貯金前年差引前(補助)</t>
        </is>
      </c>
      <c r="B38" s="240">
        <f>IF('CF表（ご主人様働けない時）'!B$3="","",'CF表（ご主人様働けない時）'!B38/10000)</f>
        <v/>
      </c>
      <c r="C38" s="240">
        <f>IF('CF表（ご主人様働けない時）'!C$3="","",'CF表（ご主人様働けない時）'!C38/10000)</f>
        <v/>
      </c>
      <c r="D38" s="240">
        <f>IF('CF表（ご主人様働けない時）'!D$3="","",'CF表（ご主人様働けない時）'!D38/10000)</f>
        <v/>
      </c>
      <c r="E38" s="240">
        <f>IF('CF表（ご主人様働けない時）'!E$3="","",'CF表（ご主人様働けない時）'!E38/10000)</f>
        <v/>
      </c>
      <c r="F38" s="240">
        <f>IF('CF表（ご主人様働けない時）'!F$3="","",'CF表（ご主人様働けない時）'!F38/10000)</f>
        <v/>
      </c>
      <c r="G38" s="240">
        <f>IF('CF表（ご主人様働けない時）'!G$3="","",'CF表（ご主人様働けない時）'!G38/10000)</f>
        <v/>
      </c>
      <c r="H38" s="240">
        <f>IF('CF表（ご主人様働けない時）'!H$3="","",'CF表（ご主人様働けない時）'!H38/10000)</f>
        <v/>
      </c>
      <c r="I38" s="240">
        <f>IF('CF表（ご主人様働けない時）'!I$3="","",'CF表（ご主人様働けない時）'!I38/10000)</f>
        <v/>
      </c>
      <c r="J38" s="240">
        <f>IF('CF表（ご主人様働けない時）'!J$3="","",'CF表（ご主人様働けない時）'!J38/10000)</f>
        <v/>
      </c>
      <c r="K38" s="240">
        <f>IF('CF表（ご主人様働けない時）'!K$3="","",'CF表（ご主人様働けない時）'!K38/10000)</f>
        <v/>
      </c>
      <c r="L38" s="240">
        <f>IF('CF表（ご主人様働けない時）'!L$3="","",'CF表（ご主人様働けない時）'!L38/10000)</f>
        <v/>
      </c>
      <c r="M38" s="240">
        <f>IF('CF表（ご主人様働けない時）'!M$3="","",'CF表（ご主人様働けない時）'!M38/10000)</f>
        <v/>
      </c>
      <c r="N38" s="240">
        <f>IF('CF表（ご主人様働けない時）'!N$3="","",'CF表（ご主人様働けない時）'!N38/10000)</f>
        <v/>
      </c>
      <c r="O38" s="240">
        <f>IF('CF表（ご主人様働けない時）'!O$3="","",'CF表（ご主人様働けない時）'!O38/10000)</f>
        <v/>
      </c>
      <c r="P38" s="240">
        <f>IF('CF表（ご主人様働けない時）'!P$3="","",'CF表（ご主人様働けない時）'!P38/10000)</f>
        <v/>
      </c>
      <c r="Q38" s="240">
        <f>IF('CF表（ご主人様働けない時）'!Q$3="","",'CF表（ご主人様働けない時）'!Q38/10000)</f>
        <v/>
      </c>
      <c r="R38" s="240">
        <f>IF('CF表（ご主人様働けない時）'!R$3="","",'CF表（ご主人様働けない時）'!R38/10000)</f>
        <v/>
      </c>
      <c r="S38" s="240">
        <f>IF('CF表（ご主人様働けない時）'!S$3="","",'CF表（ご主人様働けない時）'!S38/10000)</f>
        <v/>
      </c>
      <c r="T38" s="240">
        <f>IF('CF表（ご主人様働けない時）'!T$3="","",'CF表（ご主人様働けない時）'!T38/10000)</f>
        <v/>
      </c>
      <c r="U38" s="240">
        <f>IF('CF表（ご主人様働けない時）'!U$3="","",'CF表（ご主人様働けない時）'!U38/10000)</f>
        <v/>
      </c>
      <c r="V38" s="240">
        <f>IF('CF表（ご主人様働けない時）'!V$3="","",'CF表（ご主人様働けない時）'!V38/10000)</f>
        <v/>
      </c>
      <c r="W38" s="240">
        <f>IF('CF表（ご主人様働けない時）'!W$3="","",'CF表（ご主人様働けない時）'!W38/10000)</f>
        <v/>
      </c>
      <c r="X38" s="240">
        <f>IF('CF表（ご主人様働けない時）'!X$3="","",'CF表（ご主人様働けない時）'!X38/10000)</f>
        <v/>
      </c>
      <c r="Y38" s="240">
        <f>IF('CF表（ご主人様働けない時）'!Y$3="","",'CF表（ご主人様働けない時）'!Y38/10000)</f>
        <v/>
      </c>
      <c r="Z38" s="240">
        <f>IF('CF表（ご主人様働けない時）'!Z$3="","",'CF表（ご主人様働けない時）'!Z38/10000)</f>
        <v/>
      </c>
      <c r="AA38" s="240">
        <f>IF('CF表（ご主人様働けない時）'!AA$3="","",'CF表（ご主人様働けない時）'!AA38/10000)</f>
        <v/>
      </c>
      <c r="AB38" s="240">
        <f>IF('CF表（ご主人様働けない時）'!AB$3="","",'CF表（ご主人様働けない時）'!AB38/10000)</f>
        <v/>
      </c>
      <c r="AC38" s="240">
        <f>IF('CF表（ご主人様働けない時）'!AC$3="","",'CF表（ご主人様働けない時）'!AC38/10000)</f>
        <v/>
      </c>
      <c r="AD38" s="240">
        <f>IF('CF表（ご主人様働けない時）'!AD$3="","",'CF表（ご主人様働けない時）'!AD38/10000)</f>
        <v/>
      </c>
      <c r="AE38" s="240">
        <f>IF('CF表（ご主人様働けない時）'!AE$3="","",'CF表（ご主人様働けない時）'!AE38/10000)</f>
        <v/>
      </c>
      <c r="AF38" s="240">
        <f>IF('CF表（ご主人様働けない時）'!AF$3="","",'CF表（ご主人様働けない時）'!AF38/10000)</f>
        <v/>
      </c>
      <c r="AG38" s="240">
        <f>IF('CF表（ご主人様働けない時）'!AG$3="","",'CF表（ご主人様働けない時）'!AG38/10000)</f>
        <v/>
      </c>
      <c r="AH38" s="240">
        <f>IF('CF表（ご主人様働けない時）'!AH$3="","",'CF表（ご主人様働けない時）'!AH38/10000)</f>
        <v/>
      </c>
      <c r="AI38" s="240">
        <f>IF('CF表（ご主人様働けない時）'!AI$3="","",'CF表（ご主人様働けない時）'!AI38/10000)</f>
        <v/>
      </c>
      <c r="AJ38" s="240">
        <f>IF('CF表（ご主人様働けない時）'!AJ$3="","",'CF表（ご主人様働けない時）'!AJ38/10000)</f>
        <v/>
      </c>
      <c r="AK38" s="240">
        <f>IF('CF表（ご主人様働けない時）'!AK$3="","",'CF表（ご主人様働けない時）'!AK38/10000)</f>
        <v/>
      </c>
      <c r="AL38" s="240">
        <f>IF('CF表（ご主人様働けない時）'!AL$3="","",'CF表（ご主人様働けない時）'!AL38/10000)</f>
        <v/>
      </c>
      <c r="AM38" s="240">
        <f>IF('CF表（ご主人様働けない時）'!AM$3="","",'CF表（ご主人様働けない時）'!AM38/10000)</f>
        <v/>
      </c>
      <c r="AN38" s="240">
        <f>IF('CF表（ご主人様働けない時）'!AN$3="","",'CF表（ご主人様働けない時）'!AN38/10000)</f>
        <v/>
      </c>
      <c r="AO38" s="240">
        <f>IF('CF表（ご主人様働けない時）'!AO$3="","",'CF表（ご主人様働けない時）'!AO38/10000)</f>
        <v/>
      </c>
      <c r="AP38" s="240">
        <f>IF('CF表（ご主人様働けない時）'!AP$3="","",'CF表（ご主人様働けない時）'!AP38/10000)</f>
        <v/>
      </c>
      <c r="AQ38" s="240">
        <f>IF('CF表（ご主人様働けない時）'!AQ$3="","",'CF表（ご主人様働けない時）'!AQ38/10000)</f>
        <v/>
      </c>
      <c r="AR38" s="240">
        <f>IF('CF表（ご主人様働けない時）'!AR$3="","",'CF表（ご主人様働けない時）'!AR38/10000)</f>
        <v/>
      </c>
      <c r="AS38" s="240">
        <f>IF('CF表（ご主人様働けない時）'!AS$3="","",'CF表（ご主人様働けない時）'!AS38/10000)</f>
        <v/>
      </c>
      <c r="AT38" s="240">
        <f>IF('CF表（ご主人様働けない時）'!AT$3="","",'CF表（ご主人様働けない時）'!AT38/10000)</f>
        <v/>
      </c>
      <c r="AU38" s="240">
        <f>IF('CF表（ご主人様働けない時）'!AU$3="","",'CF表（ご主人様働けない時）'!AU38/10000)</f>
        <v/>
      </c>
      <c r="AV38" s="240">
        <f>IF('CF表（ご主人様働けない時）'!AV$3="","",'CF表（ご主人様働けない時）'!AV38/10000)</f>
        <v/>
      </c>
      <c r="AW38" s="240">
        <f>IF('CF表（ご主人様働けない時）'!AW$3="","",'CF表（ご主人様働けない時）'!AW38/10000)</f>
        <v/>
      </c>
      <c r="AX38" s="240">
        <f>IF('CF表（ご主人様働けない時）'!AX$3="","",'CF表（ご主人様働けない時）'!AX38/10000)</f>
        <v/>
      </c>
      <c r="AY38" s="240">
        <f>IF('CF表（ご主人様働けない時）'!AY$3="","",'CF表（ご主人様働けない時）'!AY38/10000)</f>
        <v/>
      </c>
      <c r="AZ38" s="240">
        <f>IF('CF表（ご主人様働けない時）'!AZ$3="","",'CF表（ご主人様働けない時）'!AZ38/10000)</f>
        <v/>
      </c>
      <c r="BA38" s="240">
        <f>IF('CF表（ご主人様働けない時）'!BA$3="","",'CF表（ご主人様働けない時）'!BA38/10000)</f>
        <v/>
      </c>
      <c r="BB38" s="240">
        <f>IF('CF表（ご主人様働けない時）'!BB$3="","",'CF表（ご主人様働けない時）'!BB38/10000)</f>
        <v/>
      </c>
      <c r="BC38" s="240">
        <f>IF('CF表（ご主人様働けない時）'!BC$3="","",'CF表（ご主人様働けない時）'!BC38/10000)</f>
        <v/>
      </c>
      <c r="BD38" s="240">
        <f>IF('CF表（ご主人様働けない時）'!BD$3="","",'CF表（ご主人様働けない時）'!BD38/10000)</f>
        <v/>
      </c>
      <c r="BE38" s="240">
        <f>IF('CF表（ご主人様働けない時）'!BE$3="","",'CF表（ご主人様働けない時）'!BE38/10000)</f>
        <v/>
      </c>
      <c r="BF38" s="240">
        <f>IF('CF表（ご主人様働けない時）'!BF$3="","",'CF表（ご主人様働けない時）'!BF38/10000)</f>
        <v/>
      </c>
      <c r="BG38" s="240">
        <f>IF('CF表（ご主人様働けない時）'!BG$3="","",'CF表（ご主人様働けない時）'!BG38/10000)</f>
        <v/>
      </c>
      <c r="BH38" s="240">
        <f>IF('CF表（ご主人様働けない時）'!BH$3="","",'CF表（ご主人様働けない時）'!BH38/10000)</f>
        <v/>
      </c>
      <c r="BI38" s="240">
        <f>IF('CF表（ご主人様働けない時）'!BI$3="","",'CF表（ご主人様働けない時）'!BI38/10000)</f>
        <v/>
      </c>
      <c r="BJ38" s="240">
        <f>IF('CF表（ご主人様働けない時）'!BJ$3="","",'CF表（ご主人様働けない時）'!BJ38/10000)</f>
        <v/>
      </c>
      <c r="BK38" s="240">
        <f>IF('CF表（ご主人様働けない時）'!BK$3="","",'CF表（ご主人様働けない時）'!BK38/10000)</f>
        <v/>
      </c>
      <c r="BL38" s="240">
        <f>IF('CF表（ご主人様働けない時）'!BL$3="","",'CF表（ご主人様働けない時）'!BL38/10000)</f>
        <v/>
      </c>
      <c r="BM38" s="240">
        <f>IF('CF表（ご主人様働けない時）'!BM$3="","",'CF表（ご主人様働けない時）'!BM38/10000)</f>
        <v/>
      </c>
      <c r="BN38" s="240">
        <f>IF('CF表（ご主人様働けない時）'!BN$3="","",'CF表（ご主人様働けない時）'!BN38/10000)</f>
        <v/>
      </c>
      <c r="BO38" s="240">
        <f>IF('CF表（ご主人様働けない時）'!BO$3="","",'CF表（ご主人様働けない時）'!BO38/10000)</f>
        <v/>
      </c>
      <c r="BP38" s="240">
        <f>IF('CF表（ご主人様働けない時）'!BP$3="","",'CF表（ご主人様働けない時）'!BP38/10000)</f>
        <v/>
      </c>
      <c r="BQ38" s="240">
        <f>IF('CF表（ご主人様働けない時）'!BQ$3="","",'CF表（ご主人様働けない時）'!BQ38/10000)</f>
        <v/>
      </c>
      <c r="BR38" s="240">
        <f>IF('CF表（ご主人様働けない時）'!BR$3="","",'CF表（ご主人様働けない時）'!BR38/10000)</f>
        <v/>
      </c>
      <c r="BS38" s="240">
        <f>IF('CF表（ご主人様働けない時）'!BS$3="","",'CF表（ご主人様働けない時）'!BS38/10000)</f>
        <v/>
      </c>
      <c r="BT38" s="240">
        <f>IF('CF表（ご主人様働けない時）'!BT$3="","",'CF表（ご主人様働けない時）'!BT38/10000)</f>
        <v/>
      </c>
      <c r="BU38" s="240">
        <f>IF('CF表（ご主人様働けない時）'!BU$3="","",'CF表（ご主人様働けない時）'!BU38/10000)</f>
        <v/>
      </c>
      <c r="BV38" s="240">
        <f>IF('CF表（ご主人様働けない時）'!BV$3="","",'CF表（ご主人様働けない時）'!BV38/10000)</f>
        <v/>
      </c>
      <c r="BW38" s="240">
        <f>IF('CF表（ご主人様働けない時）'!BW$3="","",'CF表（ご主人様働けない時）'!BW38/10000)</f>
        <v/>
      </c>
      <c r="BX38" s="240">
        <f>IF('CF表（ご主人様働けない時）'!BX$3="","",'CF表（ご主人様働けない時）'!BX38/10000)</f>
        <v/>
      </c>
      <c r="BY38" s="240">
        <f>IF('CF表（ご主人様働けない時）'!BY$3="","",'CF表（ご主人様働けない時）'!BY38/10000)</f>
        <v/>
      </c>
      <c r="BZ38" s="240">
        <f>IF('CF表（ご主人様働けない時）'!BZ$3="","",'CF表（ご主人様働けない時）'!BZ38/10000)</f>
        <v/>
      </c>
      <c r="CA38" s="240">
        <f>IF('CF表（ご主人様働けない時）'!CA$3="","",'CF表（ご主人様働けない時）'!CA38/10000)</f>
        <v/>
      </c>
      <c r="CB38" s="240">
        <f>IF('CF表（ご主人様働けない時）'!CB$3="","",'CF表（ご主人様働けない時）'!CB38/10000)</f>
        <v/>
      </c>
      <c r="CC38" s="240">
        <f>IF('CF表（ご主人様働けない時）'!CC$3="","",'CF表（ご主人様働けない時）'!CC38/10000)</f>
        <v/>
      </c>
      <c r="CD38" s="240">
        <f>IF('CF表（ご主人様働けない時）'!CD$3="","",'CF表（ご主人様働けない時）'!CD38/10000)</f>
        <v/>
      </c>
      <c r="CE38" s="240">
        <f>IF('CF表（ご主人様働けない時）'!CE$3="","",'CF表（ご主人様働けない時）'!CE38/10000)</f>
        <v/>
      </c>
      <c r="CF38" s="240">
        <f>IF('CF表（ご主人様働けない時）'!CF$3="","",'CF表（ご主人様働けない時）'!CF38/10000)</f>
        <v/>
      </c>
      <c r="CG38" s="240">
        <f>IF('CF表（ご主人様働けない時）'!CG$3="","",'CF表（ご主人様働けない時）'!CG38/10000)</f>
        <v/>
      </c>
      <c r="CH38" s="240">
        <f>IF('CF表（ご主人様働けない時）'!CH$3="","",'CF表（ご主人様働けない時）'!CH38/10000)</f>
        <v/>
      </c>
      <c r="CI38" s="240">
        <f>IF('CF表（ご主人様働けない時）'!CI$3="","",'CF表（ご主人様働けない時）'!CI38/10000)</f>
        <v/>
      </c>
      <c r="CJ38" s="240">
        <f>IF('CF表（ご主人様働けない時）'!CJ$3="","",'CF表（ご主人様働けない時）'!CJ38/10000)</f>
        <v/>
      </c>
      <c r="CK38" s="240">
        <f>IF('CF表（ご主人様働けない時）'!CK$3="","",'CF表（ご主人様働けない時）'!CK38/10000)</f>
        <v/>
      </c>
      <c r="CL38" s="240">
        <f>IF('CF表（ご主人様働けない時）'!CL$3="","",'CF表（ご主人様働けない時）'!CL38/10000)</f>
        <v/>
      </c>
      <c r="CM38" s="240">
        <f>IF('CF表（ご主人様働けない時）'!CM$3="","",'CF表（ご主人様働けない時）'!CM38/10000)</f>
        <v/>
      </c>
      <c r="CN38" s="240">
        <f>IF('CF表（ご主人様働けない時）'!CN$3="","",'CF表（ご主人様働けない時）'!CN38/10000)</f>
        <v/>
      </c>
      <c r="CO38" s="240">
        <f>IF('CF表（ご主人様働けない時）'!CO$3="","",'CF表（ご主人様働けない時）'!CO38/10000)</f>
        <v/>
      </c>
      <c r="CP38" s="240">
        <f>IF('CF表（ご主人様働けない時）'!CP$3="","",'CF表（ご主人様働けない時）'!CP38/10000)</f>
        <v/>
      </c>
      <c r="CQ38" s="240">
        <f>IF('CF表（ご主人様働けない時）'!CQ$3="","",'CF表（ご主人様働けない時）'!CQ38/10000)</f>
        <v/>
      </c>
      <c r="CR38" s="240">
        <f>IF('CF表（ご主人様働けない時）'!CR$3="","",'CF表（ご主人様働けない時）'!CR38/10000)</f>
        <v/>
      </c>
      <c r="CS38" s="240">
        <f>IF('CF表（ご主人様働けない時）'!CS$3="","",'CF表（ご主人様働けない時）'!CS38/10000)</f>
        <v/>
      </c>
      <c r="CT38" s="240">
        <f>IF('CF表（ご主人様働けない時）'!CT$3="","",'CF表（ご主人様働けない時）'!CT38/10000)</f>
        <v/>
      </c>
      <c r="CU38" s="240">
        <f>IF('CF表（ご主人様働けない時）'!CU$3="","",'CF表（ご主人様働けない時）'!CU38/10000)</f>
        <v/>
      </c>
      <c r="CV38" s="240">
        <f>IF('CF表（ご主人様働けない時）'!CV$3="","",'CF表（ご主人様働けない時）'!CV38/10000)</f>
        <v/>
      </c>
      <c r="CW38" s="240">
        <f>IF('CF表（ご主人様働けない時）'!CW$3="","",'CF表（ご主人様働けない時）'!CW38/10000)</f>
        <v/>
      </c>
    </row>
    <row r="39" hidden="1" ht="16.5" customHeight="1" s="180">
      <c r="A39" s="239" t="inlineStr">
        <is>
          <t>投資取り崩し額(補助)</t>
        </is>
      </c>
      <c r="B39" s="240">
        <f>IF('CF表（ご主人様働けない時）'!B$3="","",'CF表（ご主人様働けない時）'!B39/10000)</f>
        <v/>
      </c>
      <c r="C39" s="240">
        <f>IF('CF表（ご主人様働けない時）'!C$3="","",'CF表（ご主人様働けない時）'!C39/10000)</f>
        <v/>
      </c>
      <c r="D39" s="240">
        <f>IF('CF表（ご主人様働けない時）'!D$3="","",'CF表（ご主人様働けない時）'!D39/10000)</f>
        <v/>
      </c>
      <c r="E39" s="240">
        <f>IF('CF表（ご主人様働けない時）'!E$3="","",'CF表（ご主人様働けない時）'!E39/10000)</f>
        <v/>
      </c>
      <c r="F39" s="240">
        <f>IF('CF表（ご主人様働けない時）'!F$3="","",'CF表（ご主人様働けない時）'!F39/10000)</f>
        <v/>
      </c>
      <c r="G39" s="240">
        <f>IF('CF表（ご主人様働けない時）'!G$3="","",'CF表（ご主人様働けない時）'!G39/10000)</f>
        <v/>
      </c>
      <c r="H39" s="240">
        <f>IF('CF表（ご主人様働けない時）'!H$3="","",'CF表（ご主人様働けない時）'!H39/10000)</f>
        <v/>
      </c>
      <c r="I39" s="240">
        <f>IF('CF表（ご主人様働けない時）'!I$3="","",'CF表（ご主人様働けない時）'!I39/10000)</f>
        <v/>
      </c>
      <c r="J39" s="240">
        <f>IF('CF表（ご主人様働けない時）'!J$3="","",'CF表（ご主人様働けない時）'!J39/10000)</f>
        <v/>
      </c>
      <c r="K39" s="240">
        <f>IF('CF表（ご主人様働けない時）'!K$3="","",'CF表（ご主人様働けない時）'!K39/10000)</f>
        <v/>
      </c>
      <c r="L39" s="240">
        <f>IF('CF表（ご主人様働けない時）'!L$3="","",'CF表（ご主人様働けない時）'!L39/10000)</f>
        <v/>
      </c>
      <c r="M39" s="240">
        <f>IF('CF表（ご主人様働けない時）'!M$3="","",'CF表（ご主人様働けない時）'!M39/10000)</f>
        <v/>
      </c>
      <c r="N39" s="240">
        <f>IF('CF表（ご主人様働けない時）'!N$3="","",'CF表（ご主人様働けない時）'!N39/10000)</f>
        <v/>
      </c>
      <c r="O39" s="240">
        <f>IF('CF表（ご主人様働けない時）'!O$3="","",'CF表（ご主人様働けない時）'!O39/10000)</f>
        <v/>
      </c>
      <c r="P39" s="240">
        <f>IF('CF表（ご主人様働けない時）'!P$3="","",'CF表（ご主人様働けない時）'!P39/10000)</f>
        <v/>
      </c>
      <c r="Q39" s="240">
        <f>IF('CF表（ご主人様働けない時）'!Q$3="","",'CF表（ご主人様働けない時）'!Q39/10000)</f>
        <v/>
      </c>
      <c r="R39" s="240">
        <f>IF('CF表（ご主人様働けない時）'!R$3="","",'CF表（ご主人様働けない時）'!R39/10000)</f>
        <v/>
      </c>
      <c r="S39" s="240">
        <f>IF('CF表（ご主人様働けない時）'!S$3="","",'CF表（ご主人様働けない時）'!S39/10000)</f>
        <v/>
      </c>
      <c r="T39" s="240">
        <f>IF('CF表（ご主人様働けない時）'!T$3="","",'CF表（ご主人様働けない時）'!T39/10000)</f>
        <v/>
      </c>
      <c r="U39" s="240">
        <f>IF('CF表（ご主人様働けない時）'!U$3="","",'CF表（ご主人様働けない時）'!U39/10000)</f>
        <v/>
      </c>
      <c r="V39" s="240">
        <f>IF('CF表（ご主人様働けない時）'!V$3="","",'CF表（ご主人様働けない時）'!V39/10000)</f>
        <v/>
      </c>
      <c r="W39" s="240">
        <f>IF('CF表（ご主人様働けない時）'!W$3="","",'CF表（ご主人様働けない時）'!W39/10000)</f>
        <v/>
      </c>
      <c r="X39" s="240">
        <f>IF('CF表（ご主人様働けない時）'!X$3="","",'CF表（ご主人様働けない時）'!X39/10000)</f>
        <v/>
      </c>
      <c r="Y39" s="240">
        <f>IF('CF表（ご主人様働けない時）'!Y$3="","",'CF表（ご主人様働けない時）'!Y39/10000)</f>
        <v/>
      </c>
      <c r="Z39" s="240">
        <f>IF('CF表（ご主人様働けない時）'!Z$3="","",'CF表（ご主人様働けない時）'!Z39/10000)</f>
        <v/>
      </c>
      <c r="AA39" s="240">
        <f>IF('CF表（ご主人様働けない時）'!AA$3="","",'CF表（ご主人様働けない時）'!AA39/10000)</f>
        <v/>
      </c>
      <c r="AB39" s="240">
        <f>IF('CF表（ご主人様働けない時）'!AB$3="","",'CF表（ご主人様働けない時）'!AB39/10000)</f>
        <v/>
      </c>
      <c r="AC39" s="240">
        <f>IF('CF表（ご主人様働けない時）'!AC$3="","",'CF表（ご主人様働けない時）'!AC39/10000)</f>
        <v/>
      </c>
      <c r="AD39" s="240">
        <f>IF('CF表（ご主人様働けない時）'!AD$3="","",'CF表（ご主人様働けない時）'!AD39/10000)</f>
        <v/>
      </c>
      <c r="AE39" s="240">
        <f>IF('CF表（ご主人様働けない時）'!AE$3="","",'CF表（ご主人様働けない時）'!AE39/10000)</f>
        <v/>
      </c>
      <c r="AF39" s="240">
        <f>IF('CF表（ご主人様働けない時）'!AF$3="","",'CF表（ご主人様働けない時）'!AF39/10000)</f>
        <v/>
      </c>
      <c r="AG39" s="240">
        <f>IF('CF表（ご主人様働けない時）'!AG$3="","",'CF表（ご主人様働けない時）'!AG39/10000)</f>
        <v/>
      </c>
      <c r="AH39" s="240">
        <f>IF('CF表（ご主人様働けない時）'!AH$3="","",'CF表（ご主人様働けない時）'!AH39/10000)</f>
        <v/>
      </c>
      <c r="AI39" s="240">
        <f>IF('CF表（ご主人様働けない時）'!AI$3="","",'CF表（ご主人様働けない時）'!AI39/10000)</f>
        <v/>
      </c>
      <c r="AJ39" s="240">
        <f>IF('CF表（ご主人様働けない時）'!AJ$3="","",'CF表（ご主人様働けない時）'!AJ39/10000)</f>
        <v/>
      </c>
      <c r="AK39" s="240">
        <f>IF('CF表（ご主人様働けない時）'!AK$3="","",'CF表（ご主人様働けない時）'!AK39/10000)</f>
        <v/>
      </c>
      <c r="AL39" s="240">
        <f>IF('CF表（ご主人様働けない時）'!AL$3="","",'CF表（ご主人様働けない時）'!AL39/10000)</f>
        <v/>
      </c>
      <c r="AM39" s="240">
        <f>IF('CF表（ご主人様働けない時）'!AM$3="","",'CF表（ご主人様働けない時）'!AM39/10000)</f>
        <v/>
      </c>
      <c r="AN39" s="240">
        <f>IF('CF表（ご主人様働けない時）'!AN$3="","",'CF表（ご主人様働けない時）'!AN39/10000)</f>
        <v/>
      </c>
      <c r="AO39" s="240">
        <f>IF('CF表（ご主人様働けない時）'!AO$3="","",'CF表（ご主人様働けない時）'!AO39/10000)</f>
        <v/>
      </c>
      <c r="AP39" s="240">
        <f>IF('CF表（ご主人様働けない時）'!AP$3="","",'CF表（ご主人様働けない時）'!AP39/10000)</f>
        <v/>
      </c>
      <c r="AQ39" s="240">
        <f>IF('CF表（ご主人様働けない時）'!AQ$3="","",'CF表（ご主人様働けない時）'!AQ39/10000)</f>
        <v/>
      </c>
      <c r="AR39" s="240">
        <f>IF('CF表（ご主人様働けない時）'!AR$3="","",'CF表（ご主人様働けない時）'!AR39/10000)</f>
        <v/>
      </c>
      <c r="AS39" s="240">
        <f>IF('CF表（ご主人様働けない時）'!AS$3="","",'CF表（ご主人様働けない時）'!AS39/10000)</f>
        <v/>
      </c>
      <c r="AT39" s="240">
        <f>IF('CF表（ご主人様働けない時）'!AT$3="","",'CF表（ご主人様働けない時）'!AT39/10000)</f>
        <v/>
      </c>
      <c r="AU39" s="240">
        <f>IF('CF表（ご主人様働けない時）'!AU$3="","",'CF表（ご主人様働けない時）'!AU39/10000)</f>
        <v/>
      </c>
      <c r="AV39" s="240">
        <f>IF('CF表（ご主人様働けない時）'!AV$3="","",'CF表（ご主人様働けない時）'!AV39/10000)</f>
        <v/>
      </c>
      <c r="AW39" s="240">
        <f>IF('CF表（ご主人様働けない時）'!AW$3="","",'CF表（ご主人様働けない時）'!AW39/10000)</f>
        <v/>
      </c>
      <c r="AX39" s="240">
        <f>IF('CF表（ご主人様働けない時）'!AX$3="","",'CF表（ご主人様働けない時）'!AX39/10000)</f>
        <v/>
      </c>
      <c r="AY39" s="240">
        <f>IF('CF表（ご主人様働けない時）'!AY$3="","",'CF表（ご主人様働けない時）'!AY39/10000)</f>
        <v/>
      </c>
      <c r="AZ39" s="240">
        <f>IF('CF表（ご主人様働けない時）'!AZ$3="","",'CF表（ご主人様働けない時）'!AZ39/10000)</f>
        <v/>
      </c>
      <c r="BA39" s="240">
        <f>IF('CF表（ご主人様働けない時）'!BA$3="","",'CF表（ご主人様働けない時）'!BA39/10000)</f>
        <v/>
      </c>
      <c r="BB39" s="240">
        <f>IF('CF表（ご主人様働けない時）'!BB$3="","",'CF表（ご主人様働けない時）'!BB39/10000)</f>
        <v/>
      </c>
      <c r="BC39" s="240">
        <f>IF('CF表（ご主人様働けない時）'!BC$3="","",'CF表（ご主人様働けない時）'!BC39/10000)</f>
        <v/>
      </c>
      <c r="BD39" s="240">
        <f>IF('CF表（ご主人様働けない時）'!BD$3="","",'CF表（ご主人様働けない時）'!BD39/10000)</f>
        <v/>
      </c>
      <c r="BE39" s="240">
        <f>IF('CF表（ご主人様働けない時）'!BE$3="","",'CF表（ご主人様働けない時）'!BE39/10000)</f>
        <v/>
      </c>
      <c r="BF39" s="240">
        <f>IF('CF表（ご主人様働けない時）'!BF$3="","",'CF表（ご主人様働けない時）'!BF39/10000)</f>
        <v/>
      </c>
      <c r="BG39" s="240">
        <f>IF('CF表（ご主人様働けない時）'!BG$3="","",'CF表（ご主人様働けない時）'!BG39/10000)</f>
        <v/>
      </c>
      <c r="BH39" s="240">
        <f>IF('CF表（ご主人様働けない時）'!BH$3="","",'CF表（ご主人様働けない時）'!BH39/10000)</f>
        <v/>
      </c>
      <c r="BI39" s="240">
        <f>IF('CF表（ご主人様働けない時）'!BI$3="","",'CF表（ご主人様働けない時）'!BI39/10000)</f>
        <v/>
      </c>
      <c r="BJ39" s="240">
        <f>IF('CF表（ご主人様働けない時）'!BJ$3="","",'CF表（ご主人様働けない時）'!BJ39/10000)</f>
        <v/>
      </c>
      <c r="BK39" s="240">
        <f>IF('CF表（ご主人様働けない時）'!BK$3="","",'CF表（ご主人様働けない時）'!BK39/10000)</f>
        <v/>
      </c>
      <c r="BL39" s="240">
        <f>IF('CF表（ご主人様働けない時）'!BL$3="","",'CF表（ご主人様働けない時）'!BL39/10000)</f>
        <v/>
      </c>
      <c r="BM39" s="240">
        <f>IF('CF表（ご主人様働けない時）'!BM$3="","",'CF表（ご主人様働けない時）'!BM39/10000)</f>
        <v/>
      </c>
      <c r="BN39" s="240">
        <f>IF('CF表（ご主人様働けない時）'!BN$3="","",'CF表（ご主人様働けない時）'!BN39/10000)</f>
        <v/>
      </c>
      <c r="BO39" s="240">
        <f>IF('CF表（ご主人様働けない時）'!BO$3="","",'CF表（ご主人様働けない時）'!BO39/10000)</f>
        <v/>
      </c>
      <c r="BP39" s="240">
        <f>IF('CF表（ご主人様働けない時）'!BP$3="","",'CF表（ご主人様働けない時）'!BP39/10000)</f>
        <v/>
      </c>
      <c r="BQ39" s="240">
        <f>IF('CF表（ご主人様働けない時）'!BQ$3="","",'CF表（ご主人様働けない時）'!BQ39/10000)</f>
        <v/>
      </c>
      <c r="BR39" s="240">
        <f>IF('CF表（ご主人様働けない時）'!BR$3="","",'CF表（ご主人様働けない時）'!BR39/10000)</f>
        <v/>
      </c>
      <c r="BS39" s="240">
        <f>IF('CF表（ご主人様働けない時）'!BS$3="","",'CF表（ご主人様働けない時）'!BS39/10000)</f>
        <v/>
      </c>
      <c r="BT39" s="240">
        <f>IF('CF表（ご主人様働けない時）'!BT$3="","",'CF表（ご主人様働けない時）'!BT39/10000)</f>
        <v/>
      </c>
      <c r="BU39" s="240">
        <f>IF('CF表（ご主人様働けない時）'!BU$3="","",'CF表（ご主人様働けない時）'!BU39/10000)</f>
        <v/>
      </c>
      <c r="BV39" s="240">
        <f>IF('CF表（ご主人様働けない時）'!BV$3="","",'CF表（ご主人様働けない時）'!BV39/10000)</f>
        <v/>
      </c>
      <c r="BW39" s="240">
        <f>IF('CF表（ご主人様働けない時）'!BW$3="","",'CF表（ご主人様働けない時）'!BW39/10000)</f>
        <v/>
      </c>
      <c r="BX39" s="240">
        <f>IF('CF表（ご主人様働けない時）'!BX$3="","",'CF表（ご主人様働けない時）'!BX39/10000)</f>
        <v/>
      </c>
      <c r="BY39" s="240">
        <f>IF('CF表（ご主人様働けない時）'!BY$3="","",'CF表（ご主人様働けない時）'!BY39/10000)</f>
        <v/>
      </c>
      <c r="BZ39" s="240">
        <f>IF('CF表（ご主人様働けない時）'!BZ$3="","",'CF表（ご主人様働けない時）'!BZ39/10000)</f>
        <v/>
      </c>
      <c r="CA39" s="240">
        <f>IF('CF表（ご主人様働けない時）'!CA$3="","",'CF表（ご主人様働けない時）'!CA39/10000)</f>
        <v/>
      </c>
      <c r="CB39" s="240">
        <f>IF('CF表（ご主人様働けない時）'!CB$3="","",'CF表（ご主人様働けない時）'!CB39/10000)</f>
        <v/>
      </c>
      <c r="CC39" s="240">
        <f>IF('CF表（ご主人様働けない時）'!CC$3="","",'CF表（ご主人様働けない時）'!CC39/10000)</f>
        <v/>
      </c>
      <c r="CD39" s="240">
        <f>IF('CF表（ご主人様働けない時）'!CD$3="","",'CF表（ご主人様働けない時）'!CD39/10000)</f>
        <v/>
      </c>
      <c r="CE39" s="240">
        <f>IF('CF表（ご主人様働けない時）'!CE$3="","",'CF表（ご主人様働けない時）'!CE39/10000)</f>
        <v/>
      </c>
      <c r="CF39" s="240">
        <f>IF('CF表（ご主人様働けない時）'!CF$3="","",'CF表（ご主人様働けない時）'!CF39/10000)</f>
        <v/>
      </c>
      <c r="CG39" s="240">
        <f>IF('CF表（ご主人様働けない時）'!CG$3="","",'CF表（ご主人様働けない時）'!CG39/10000)</f>
        <v/>
      </c>
      <c r="CH39" s="240">
        <f>IF('CF表（ご主人様働けない時）'!CH$3="","",'CF表（ご主人様働けない時）'!CH39/10000)</f>
        <v/>
      </c>
      <c r="CI39" s="240">
        <f>IF('CF表（ご主人様働けない時）'!CI$3="","",'CF表（ご主人様働けない時）'!CI39/10000)</f>
        <v/>
      </c>
      <c r="CJ39" s="240">
        <f>IF('CF表（ご主人様働けない時）'!CJ$3="","",'CF表（ご主人様働けない時）'!CJ39/10000)</f>
        <v/>
      </c>
      <c r="CK39" s="240">
        <f>IF('CF表（ご主人様働けない時）'!CK$3="","",'CF表（ご主人様働けない時）'!CK39/10000)</f>
        <v/>
      </c>
      <c r="CL39" s="240">
        <f>IF('CF表（ご主人様働けない時）'!CL$3="","",'CF表（ご主人様働けない時）'!CL39/10000)</f>
        <v/>
      </c>
      <c r="CM39" s="240">
        <f>IF('CF表（ご主人様働けない時）'!CM$3="","",'CF表（ご主人様働けない時）'!CM39/10000)</f>
        <v/>
      </c>
      <c r="CN39" s="240">
        <f>IF('CF表（ご主人様働けない時）'!CN$3="","",'CF表（ご主人様働けない時）'!CN39/10000)</f>
        <v/>
      </c>
      <c r="CO39" s="240">
        <f>IF('CF表（ご主人様働けない時）'!CO$3="","",'CF表（ご主人様働けない時）'!CO39/10000)</f>
        <v/>
      </c>
      <c r="CP39" s="240">
        <f>IF('CF表（ご主人様働けない時）'!CP$3="","",'CF表（ご主人様働けない時）'!CP39/10000)</f>
        <v/>
      </c>
      <c r="CQ39" s="240">
        <f>IF('CF表（ご主人様働けない時）'!CQ$3="","",'CF表（ご主人様働けない時）'!CQ39/10000)</f>
        <v/>
      </c>
      <c r="CR39" s="240">
        <f>IF('CF表（ご主人様働けない時）'!CR$3="","",'CF表（ご主人様働けない時）'!CR39/10000)</f>
        <v/>
      </c>
      <c r="CS39" s="240">
        <f>IF('CF表（ご主人様働けない時）'!CS$3="","",'CF表（ご主人様働けない時）'!CS39/10000)</f>
        <v/>
      </c>
      <c r="CT39" s="240">
        <f>IF('CF表（ご主人様働けない時）'!CT$3="","",'CF表（ご主人様働けない時）'!CT39/10000)</f>
        <v/>
      </c>
      <c r="CU39" s="240">
        <f>IF('CF表（ご主人様働けない時）'!CU$3="","",'CF表（ご主人様働けない時）'!CU39/10000)</f>
        <v/>
      </c>
      <c r="CV39" s="240">
        <f>IF('CF表（ご主人様働けない時）'!CV$3="","",'CF表（ご主人様働けない時）'!CV39/10000)</f>
        <v/>
      </c>
      <c r="CW39" s="240">
        <f>IF('CF表（ご主人様働けない時）'!CW$3="","",'CF表（ご主人様働けない時）'!CW39/10000)</f>
        <v/>
      </c>
    </row>
    <row r="40" hidden="1" ht="16.5" customHeight="1" s="180">
      <c r="A40" s="239" t="inlineStr">
        <is>
          <t>返戻金取り崩し額(補助)</t>
        </is>
      </c>
      <c r="B40" s="240">
        <f>IF('CF表（ご主人様働けない時）'!B$3="","",'CF表（ご主人様働けない時）'!B40/10000)</f>
        <v/>
      </c>
      <c r="C40" s="240">
        <f>IF('CF表（ご主人様働けない時）'!C$3="","",'CF表（ご主人様働けない時）'!C40/10000)</f>
        <v/>
      </c>
      <c r="D40" s="240">
        <f>IF('CF表（ご主人様働けない時）'!D$3="","",'CF表（ご主人様働けない時）'!D40/10000)</f>
        <v/>
      </c>
      <c r="E40" s="240">
        <f>IF('CF表（ご主人様働けない時）'!E$3="","",'CF表（ご主人様働けない時）'!E40/10000)</f>
        <v/>
      </c>
      <c r="F40" s="240">
        <f>IF('CF表（ご主人様働けない時）'!F$3="","",'CF表（ご主人様働けない時）'!F40/10000)</f>
        <v/>
      </c>
      <c r="G40" s="240">
        <f>IF('CF表（ご主人様働けない時）'!G$3="","",'CF表（ご主人様働けない時）'!G40/10000)</f>
        <v/>
      </c>
      <c r="H40" s="240">
        <f>IF('CF表（ご主人様働けない時）'!H$3="","",'CF表（ご主人様働けない時）'!H40/10000)</f>
        <v/>
      </c>
      <c r="I40" s="240">
        <f>IF('CF表（ご主人様働けない時）'!I$3="","",'CF表（ご主人様働けない時）'!I40/10000)</f>
        <v/>
      </c>
      <c r="J40" s="240">
        <f>IF('CF表（ご主人様働けない時）'!J$3="","",'CF表（ご主人様働けない時）'!J40/10000)</f>
        <v/>
      </c>
      <c r="K40" s="240">
        <f>IF('CF表（ご主人様働けない時）'!K$3="","",'CF表（ご主人様働けない時）'!K40/10000)</f>
        <v/>
      </c>
      <c r="L40" s="240">
        <f>IF('CF表（ご主人様働けない時）'!L$3="","",'CF表（ご主人様働けない時）'!L40/10000)</f>
        <v/>
      </c>
      <c r="M40" s="240">
        <f>IF('CF表（ご主人様働けない時）'!M$3="","",'CF表（ご主人様働けない時）'!M40/10000)</f>
        <v/>
      </c>
      <c r="N40" s="240">
        <f>IF('CF表（ご主人様働けない時）'!N$3="","",'CF表（ご主人様働けない時）'!N40/10000)</f>
        <v/>
      </c>
      <c r="O40" s="240">
        <f>IF('CF表（ご主人様働けない時）'!O$3="","",'CF表（ご主人様働けない時）'!O40/10000)</f>
        <v/>
      </c>
      <c r="P40" s="240">
        <f>IF('CF表（ご主人様働けない時）'!P$3="","",'CF表（ご主人様働けない時）'!P40/10000)</f>
        <v/>
      </c>
      <c r="Q40" s="240">
        <f>IF('CF表（ご主人様働けない時）'!Q$3="","",'CF表（ご主人様働けない時）'!Q40/10000)</f>
        <v/>
      </c>
      <c r="R40" s="240">
        <f>IF('CF表（ご主人様働けない時）'!R$3="","",'CF表（ご主人様働けない時）'!R40/10000)</f>
        <v/>
      </c>
      <c r="S40" s="240">
        <f>IF('CF表（ご主人様働けない時）'!S$3="","",'CF表（ご主人様働けない時）'!S40/10000)</f>
        <v/>
      </c>
      <c r="T40" s="240">
        <f>IF('CF表（ご主人様働けない時）'!T$3="","",'CF表（ご主人様働けない時）'!T40/10000)</f>
        <v/>
      </c>
      <c r="U40" s="240">
        <f>IF('CF表（ご主人様働けない時）'!U$3="","",'CF表（ご主人様働けない時）'!U40/10000)</f>
        <v/>
      </c>
      <c r="V40" s="240">
        <f>IF('CF表（ご主人様働けない時）'!V$3="","",'CF表（ご主人様働けない時）'!V40/10000)</f>
        <v/>
      </c>
      <c r="W40" s="240">
        <f>IF('CF表（ご主人様働けない時）'!W$3="","",'CF表（ご主人様働けない時）'!W40/10000)</f>
        <v/>
      </c>
      <c r="X40" s="240">
        <f>IF('CF表（ご主人様働けない時）'!X$3="","",'CF表（ご主人様働けない時）'!X40/10000)</f>
        <v/>
      </c>
      <c r="Y40" s="240">
        <f>IF('CF表（ご主人様働けない時）'!Y$3="","",'CF表（ご主人様働けない時）'!Y40/10000)</f>
        <v/>
      </c>
      <c r="Z40" s="240">
        <f>IF('CF表（ご主人様働けない時）'!Z$3="","",'CF表（ご主人様働けない時）'!Z40/10000)</f>
        <v/>
      </c>
      <c r="AA40" s="240">
        <f>IF('CF表（ご主人様働けない時）'!AA$3="","",'CF表（ご主人様働けない時）'!AA40/10000)</f>
        <v/>
      </c>
      <c r="AB40" s="240">
        <f>IF('CF表（ご主人様働けない時）'!AB$3="","",'CF表（ご主人様働けない時）'!AB40/10000)</f>
        <v/>
      </c>
      <c r="AC40" s="240">
        <f>IF('CF表（ご主人様働けない時）'!AC$3="","",'CF表（ご主人様働けない時）'!AC40/10000)</f>
        <v/>
      </c>
      <c r="AD40" s="240">
        <f>IF('CF表（ご主人様働けない時）'!AD$3="","",'CF表（ご主人様働けない時）'!AD40/10000)</f>
        <v/>
      </c>
      <c r="AE40" s="240">
        <f>IF('CF表（ご主人様働けない時）'!AE$3="","",'CF表（ご主人様働けない時）'!AE40/10000)</f>
        <v/>
      </c>
      <c r="AF40" s="240">
        <f>IF('CF表（ご主人様働けない時）'!AF$3="","",'CF表（ご主人様働けない時）'!AF40/10000)</f>
        <v/>
      </c>
      <c r="AG40" s="240">
        <f>IF('CF表（ご主人様働けない時）'!AG$3="","",'CF表（ご主人様働けない時）'!AG40/10000)</f>
        <v/>
      </c>
      <c r="AH40" s="240">
        <f>IF('CF表（ご主人様働けない時）'!AH$3="","",'CF表（ご主人様働けない時）'!AH40/10000)</f>
        <v/>
      </c>
      <c r="AI40" s="240">
        <f>IF('CF表（ご主人様働けない時）'!AI$3="","",'CF表（ご主人様働けない時）'!AI40/10000)</f>
        <v/>
      </c>
      <c r="AJ40" s="240">
        <f>IF('CF表（ご主人様働けない時）'!AJ$3="","",'CF表（ご主人様働けない時）'!AJ40/10000)</f>
        <v/>
      </c>
      <c r="AK40" s="240">
        <f>IF('CF表（ご主人様働けない時）'!AK$3="","",'CF表（ご主人様働けない時）'!AK40/10000)</f>
        <v/>
      </c>
      <c r="AL40" s="240">
        <f>IF('CF表（ご主人様働けない時）'!AL$3="","",'CF表（ご主人様働けない時）'!AL40/10000)</f>
        <v/>
      </c>
      <c r="AM40" s="240">
        <f>IF('CF表（ご主人様働けない時）'!AM$3="","",'CF表（ご主人様働けない時）'!AM40/10000)</f>
        <v/>
      </c>
      <c r="AN40" s="240">
        <f>IF('CF表（ご主人様働けない時）'!AN$3="","",'CF表（ご主人様働けない時）'!AN40/10000)</f>
        <v/>
      </c>
      <c r="AO40" s="240">
        <f>IF('CF表（ご主人様働けない時）'!AO$3="","",'CF表（ご主人様働けない時）'!AO40/10000)</f>
        <v/>
      </c>
      <c r="AP40" s="240">
        <f>IF('CF表（ご主人様働けない時）'!AP$3="","",'CF表（ご主人様働けない時）'!AP40/10000)</f>
        <v/>
      </c>
      <c r="AQ40" s="240">
        <f>IF('CF表（ご主人様働けない時）'!AQ$3="","",'CF表（ご主人様働けない時）'!AQ40/10000)</f>
        <v/>
      </c>
      <c r="AR40" s="240">
        <f>IF('CF表（ご主人様働けない時）'!AR$3="","",'CF表（ご主人様働けない時）'!AR40/10000)</f>
        <v/>
      </c>
      <c r="AS40" s="240">
        <f>IF('CF表（ご主人様働けない時）'!AS$3="","",'CF表（ご主人様働けない時）'!AS40/10000)</f>
        <v/>
      </c>
      <c r="AT40" s="240">
        <f>IF('CF表（ご主人様働けない時）'!AT$3="","",'CF表（ご主人様働けない時）'!AT40/10000)</f>
        <v/>
      </c>
      <c r="AU40" s="240">
        <f>IF('CF表（ご主人様働けない時）'!AU$3="","",'CF表（ご主人様働けない時）'!AU40/10000)</f>
        <v/>
      </c>
      <c r="AV40" s="240">
        <f>IF('CF表（ご主人様働けない時）'!AV$3="","",'CF表（ご主人様働けない時）'!AV40/10000)</f>
        <v/>
      </c>
      <c r="AW40" s="240">
        <f>IF('CF表（ご主人様働けない時）'!AW$3="","",'CF表（ご主人様働けない時）'!AW40/10000)</f>
        <v/>
      </c>
      <c r="AX40" s="240">
        <f>IF('CF表（ご主人様働けない時）'!AX$3="","",'CF表（ご主人様働けない時）'!AX40/10000)</f>
        <v/>
      </c>
      <c r="AY40" s="240">
        <f>IF('CF表（ご主人様働けない時）'!AY$3="","",'CF表（ご主人様働けない時）'!AY40/10000)</f>
        <v/>
      </c>
      <c r="AZ40" s="240">
        <f>IF('CF表（ご主人様働けない時）'!AZ$3="","",'CF表（ご主人様働けない時）'!AZ40/10000)</f>
        <v/>
      </c>
      <c r="BA40" s="240">
        <f>IF('CF表（ご主人様働けない時）'!BA$3="","",'CF表（ご主人様働けない時）'!BA40/10000)</f>
        <v/>
      </c>
      <c r="BB40" s="240">
        <f>IF('CF表（ご主人様働けない時）'!BB$3="","",'CF表（ご主人様働けない時）'!BB40/10000)</f>
        <v/>
      </c>
      <c r="BC40" s="240">
        <f>IF('CF表（ご主人様働けない時）'!BC$3="","",'CF表（ご主人様働けない時）'!BC40/10000)</f>
        <v/>
      </c>
      <c r="BD40" s="240">
        <f>IF('CF表（ご主人様働けない時）'!BD$3="","",'CF表（ご主人様働けない時）'!BD40/10000)</f>
        <v/>
      </c>
      <c r="BE40" s="240">
        <f>IF('CF表（ご主人様働けない時）'!BE$3="","",'CF表（ご主人様働けない時）'!BE40/10000)</f>
        <v/>
      </c>
      <c r="BF40" s="240">
        <f>IF('CF表（ご主人様働けない時）'!BF$3="","",'CF表（ご主人様働けない時）'!BF40/10000)</f>
        <v/>
      </c>
      <c r="BG40" s="240">
        <f>IF('CF表（ご主人様働けない時）'!BG$3="","",'CF表（ご主人様働けない時）'!BG40/10000)</f>
        <v/>
      </c>
      <c r="BH40" s="240">
        <f>IF('CF表（ご主人様働けない時）'!BH$3="","",'CF表（ご主人様働けない時）'!BH40/10000)</f>
        <v/>
      </c>
      <c r="BI40" s="240">
        <f>IF('CF表（ご主人様働けない時）'!BI$3="","",'CF表（ご主人様働けない時）'!BI40/10000)</f>
        <v/>
      </c>
      <c r="BJ40" s="240">
        <f>IF('CF表（ご主人様働けない時）'!BJ$3="","",'CF表（ご主人様働けない時）'!BJ40/10000)</f>
        <v/>
      </c>
      <c r="BK40" s="240">
        <f>IF('CF表（ご主人様働けない時）'!BK$3="","",'CF表（ご主人様働けない時）'!BK40/10000)</f>
        <v/>
      </c>
      <c r="BL40" s="240">
        <f>IF('CF表（ご主人様働けない時）'!BL$3="","",'CF表（ご主人様働けない時）'!BL40/10000)</f>
        <v/>
      </c>
      <c r="BM40" s="240">
        <f>IF('CF表（ご主人様働けない時）'!BM$3="","",'CF表（ご主人様働けない時）'!BM40/10000)</f>
        <v/>
      </c>
      <c r="BN40" s="240">
        <f>IF('CF表（ご主人様働けない時）'!BN$3="","",'CF表（ご主人様働けない時）'!BN40/10000)</f>
        <v/>
      </c>
      <c r="BO40" s="240">
        <f>IF('CF表（ご主人様働けない時）'!BO$3="","",'CF表（ご主人様働けない時）'!BO40/10000)</f>
        <v/>
      </c>
      <c r="BP40" s="240">
        <f>IF('CF表（ご主人様働けない時）'!BP$3="","",'CF表（ご主人様働けない時）'!BP40/10000)</f>
        <v/>
      </c>
      <c r="BQ40" s="240">
        <f>IF('CF表（ご主人様働けない時）'!BQ$3="","",'CF表（ご主人様働けない時）'!BQ40/10000)</f>
        <v/>
      </c>
      <c r="BR40" s="240">
        <f>IF('CF表（ご主人様働けない時）'!BR$3="","",'CF表（ご主人様働けない時）'!BR40/10000)</f>
        <v/>
      </c>
      <c r="BS40" s="240">
        <f>IF('CF表（ご主人様働けない時）'!BS$3="","",'CF表（ご主人様働けない時）'!BS40/10000)</f>
        <v/>
      </c>
      <c r="BT40" s="240">
        <f>IF('CF表（ご主人様働けない時）'!BT$3="","",'CF表（ご主人様働けない時）'!BT40/10000)</f>
        <v/>
      </c>
      <c r="BU40" s="240">
        <f>IF('CF表（ご主人様働けない時）'!BU$3="","",'CF表（ご主人様働けない時）'!BU40/10000)</f>
        <v/>
      </c>
      <c r="BV40" s="240">
        <f>IF('CF表（ご主人様働けない時）'!BV$3="","",'CF表（ご主人様働けない時）'!BV40/10000)</f>
        <v/>
      </c>
      <c r="BW40" s="240">
        <f>IF('CF表（ご主人様働けない時）'!BW$3="","",'CF表（ご主人様働けない時）'!BW40/10000)</f>
        <v/>
      </c>
      <c r="BX40" s="240">
        <f>IF('CF表（ご主人様働けない時）'!BX$3="","",'CF表（ご主人様働けない時）'!BX40/10000)</f>
        <v/>
      </c>
      <c r="BY40" s="240">
        <f>IF('CF表（ご主人様働けない時）'!BY$3="","",'CF表（ご主人様働けない時）'!BY40/10000)</f>
        <v/>
      </c>
      <c r="BZ40" s="240">
        <f>IF('CF表（ご主人様働けない時）'!BZ$3="","",'CF表（ご主人様働けない時）'!BZ40/10000)</f>
        <v/>
      </c>
      <c r="CA40" s="240">
        <f>IF('CF表（ご主人様働けない時）'!CA$3="","",'CF表（ご主人様働けない時）'!CA40/10000)</f>
        <v/>
      </c>
      <c r="CB40" s="240">
        <f>IF('CF表（ご主人様働けない時）'!CB$3="","",'CF表（ご主人様働けない時）'!CB40/10000)</f>
        <v/>
      </c>
      <c r="CC40" s="240">
        <f>IF('CF表（ご主人様働けない時）'!CC$3="","",'CF表（ご主人様働けない時）'!CC40/10000)</f>
        <v/>
      </c>
      <c r="CD40" s="240">
        <f>IF('CF表（ご主人様働けない時）'!CD$3="","",'CF表（ご主人様働けない時）'!CD40/10000)</f>
        <v/>
      </c>
      <c r="CE40" s="240">
        <f>IF('CF表（ご主人様働けない時）'!CE$3="","",'CF表（ご主人様働けない時）'!CE40/10000)</f>
        <v/>
      </c>
      <c r="CF40" s="240">
        <f>IF('CF表（ご主人様働けない時）'!CF$3="","",'CF表（ご主人様働けない時）'!CF40/10000)</f>
        <v/>
      </c>
      <c r="CG40" s="240">
        <f>IF('CF表（ご主人様働けない時）'!CG$3="","",'CF表（ご主人様働けない時）'!CG40/10000)</f>
        <v/>
      </c>
      <c r="CH40" s="240">
        <f>IF('CF表（ご主人様働けない時）'!CH$3="","",'CF表（ご主人様働けない時）'!CH40/10000)</f>
        <v/>
      </c>
      <c r="CI40" s="240">
        <f>IF('CF表（ご主人様働けない時）'!CI$3="","",'CF表（ご主人様働けない時）'!CI40/10000)</f>
        <v/>
      </c>
      <c r="CJ40" s="240">
        <f>IF('CF表（ご主人様働けない時）'!CJ$3="","",'CF表（ご主人様働けない時）'!CJ40/10000)</f>
        <v/>
      </c>
      <c r="CK40" s="240">
        <f>IF('CF表（ご主人様働けない時）'!CK$3="","",'CF表（ご主人様働けない時）'!CK40/10000)</f>
        <v/>
      </c>
      <c r="CL40" s="240">
        <f>IF('CF表（ご主人様働けない時）'!CL$3="","",'CF表（ご主人様働けない時）'!CL40/10000)</f>
        <v/>
      </c>
      <c r="CM40" s="240">
        <f>IF('CF表（ご主人様働けない時）'!CM$3="","",'CF表（ご主人様働けない時）'!CM40/10000)</f>
        <v/>
      </c>
      <c r="CN40" s="240">
        <f>IF('CF表（ご主人様働けない時）'!CN$3="","",'CF表（ご主人様働けない時）'!CN40/10000)</f>
        <v/>
      </c>
      <c r="CO40" s="240">
        <f>IF('CF表（ご主人様働けない時）'!CO$3="","",'CF表（ご主人様働けない時）'!CO40/10000)</f>
        <v/>
      </c>
      <c r="CP40" s="240">
        <f>IF('CF表（ご主人様働けない時）'!CP$3="","",'CF表（ご主人様働けない時）'!CP40/10000)</f>
        <v/>
      </c>
      <c r="CQ40" s="240">
        <f>IF('CF表（ご主人様働けない時）'!CQ$3="","",'CF表（ご主人様働けない時）'!CQ40/10000)</f>
        <v/>
      </c>
      <c r="CR40" s="240">
        <f>IF('CF表（ご主人様働けない時）'!CR$3="","",'CF表（ご主人様働けない時）'!CR40/10000)</f>
        <v/>
      </c>
      <c r="CS40" s="240">
        <f>IF('CF表（ご主人様働けない時）'!CS$3="","",'CF表（ご主人様働けない時）'!CS40/10000)</f>
        <v/>
      </c>
      <c r="CT40" s="240">
        <f>IF('CF表（ご主人様働けない時）'!CT$3="","",'CF表（ご主人様働けない時）'!CT40/10000)</f>
        <v/>
      </c>
      <c r="CU40" s="240">
        <f>IF('CF表（ご主人様働けない時）'!CU$3="","",'CF表（ご主人様働けない時）'!CU40/10000)</f>
        <v/>
      </c>
      <c r="CV40" s="240">
        <f>IF('CF表（ご主人様働けない時）'!CV$3="","",'CF表（ご主人様働けない時）'!CV40/10000)</f>
        <v/>
      </c>
      <c r="CW40" s="240">
        <f>IF('CF表（ご主人様働けない時）'!CW$3="","",'CF表（ご主人様働けない時）'!CW40/10000)</f>
        <v/>
      </c>
    </row>
    <row r="41" hidden="1" ht="16.5" customHeight="1" s="180">
      <c r="A41" s="239" t="inlineStr">
        <is>
          <t>年間住宅ローン元本返済(補助)</t>
        </is>
      </c>
      <c r="B41" s="240">
        <f>IF('CF表（ご主人様働けない時）'!B$3="","",'CF表（ご主人様働けない時）'!B41/10000)</f>
        <v/>
      </c>
      <c r="C41" s="240">
        <f>IF('CF表（ご主人様働けない時）'!C$3="","",'CF表（ご主人様働けない時）'!C41/10000)</f>
        <v/>
      </c>
      <c r="D41" s="240">
        <f>IF('CF表（ご主人様働けない時）'!D$3="","",'CF表（ご主人様働けない時）'!D41/10000)</f>
        <v/>
      </c>
      <c r="E41" s="240">
        <f>IF('CF表（ご主人様働けない時）'!E$3="","",'CF表（ご主人様働けない時）'!E41/10000)</f>
        <v/>
      </c>
      <c r="F41" s="240">
        <f>IF('CF表（ご主人様働けない時）'!F$3="","",'CF表（ご主人様働けない時）'!F41/10000)</f>
        <v/>
      </c>
      <c r="G41" s="240">
        <f>IF('CF表（ご主人様働けない時）'!G$3="","",'CF表（ご主人様働けない時）'!G41/10000)</f>
        <v/>
      </c>
      <c r="H41" s="240">
        <f>IF('CF表（ご主人様働けない時）'!H$3="","",'CF表（ご主人様働けない時）'!H41/10000)</f>
        <v/>
      </c>
      <c r="I41" s="240">
        <f>IF('CF表（ご主人様働けない時）'!I$3="","",'CF表（ご主人様働けない時）'!I41/10000)</f>
        <v/>
      </c>
      <c r="J41" s="240">
        <f>IF('CF表（ご主人様働けない時）'!J$3="","",'CF表（ご主人様働けない時）'!J41/10000)</f>
        <v/>
      </c>
      <c r="K41" s="240">
        <f>IF('CF表（ご主人様働けない時）'!K$3="","",'CF表（ご主人様働けない時）'!K41/10000)</f>
        <v/>
      </c>
      <c r="L41" s="240">
        <f>IF('CF表（ご主人様働けない時）'!L$3="","",'CF表（ご主人様働けない時）'!L41/10000)</f>
        <v/>
      </c>
      <c r="M41" s="240">
        <f>IF('CF表（ご主人様働けない時）'!M$3="","",'CF表（ご主人様働けない時）'!M41/10000)</f>
        <v/>
      </c>
      <c r="N41" s="240">
        <f>IF('CF表（ご主人様働けない時）'!N$3="","",'CF表（ご主人様働けない時）'!N41/10000)</f>
        <v/>
      </c>
      <c r="O41" s="240">
        <f>IF('CF表（ご主人様働けない時）'!O$3="","",'CF表（ご主人様働けない時）'!O41/10000)</f>
        <v/>
      </c>
      <c r="P41" s="240">
        <f>IF('CF表（ご主人様働けない時）'!P$3="","",'CF表（ご主人様働けない時）'!P41/10000)</f>
        <v/>
      </c>
      <c r="Q41" s="240">
        <f>IF('CF表（ご主人様働けない時）'!Q$3="","",'CF表（ご主人様働けない時）'!Q41/10000)</f>
        <v/>
      </c>
      <c r="R41" s="240">
        <f>IF('CF表（ご主人様働けない時）'!R$3="","",'CF表（ご主人様働けない時）'!R41/10000)</f>
        <v/>
      </c>
      <c r="S41" s="240">
        <f>IF('CF表（ご主人様働けない時）'!S$3="","",'CF表（ご主人様働けない時）'!S41/10000)</f>
        <v/>
      </c>
      <c r="T41" s="240">
        <f>IF('CF表（ご主人様働けない時）'!T$3="","",'CF表（ご主人様働けない時）'!T41/10000)</f>
        <v/>
      </c>
      <c r="U41" s="240">
        <f>IF('CF表（ご主人様働けない時）'!U$3="","",'CF表（ご主人様働けない時）'!U41/10000)</f>
        <v/>
      </c>
      <c r="V41" s="240">
        <f>IF('CF表（ご主人様働けない時）'!V$3="","",'CF表（ご主人様働けない時）'!V41/10000)</f>
        <v/>
      </c>
      <c r="W41" s="240">
        <f>IF('CF表（ご主人様働けない時）'!W$3="","",'CF表（ご主人様働けない時）'!W41/10000)</f>
        <v/>
      </c>
      <c r="X41" s="240">
        <f>IF('CF表（ご主人様働けない時）'!X$3="","",'CF表（ご主人様働けない時）'!X41/10000)</f>
        <v/>
      </c>
      <c r="Y41" s="240">
        <f>IF('CF表（ご主人様働けない時）'!Y$3="","",'CF表（ご主人様働けない時）'!Y41/10000)</f>
        <v/>
      </c>
      <c r="Z41" s="240">
        <f>IF('CF表（ご主人様働けない時）'!Z$3="","",'CF表（ご主人様働けない時）'!Z41/10000)</f>
        <v/>
      </c>
      <c r="AA41" s="240">
        <f>IF('CF表（ご主人様働けない時）'!AA$3="","",'CF表（ご主人様働けない時）'!AA41/10000)</f>
        <v/>
      </c>
      <c r="AB41" s="240">
        <f>IF('CF表（ご主人様働けない時）'!AB$3="","",'CF表（ご主人様働けない時）'!AB41/10000)</f>
        <v/>
      </c>
      <c r="AC41" s="240">
        <f>IF('CF表（ご主人様働けない時）'!AC$3="","",'CF表（ご主人様働けない時）'!AC41/10000)</f>
        <v/>
      </c>
      <c r="AD41" s="240">
        <f>IF('CF表（ご主人様働けない時）'!AD$3="","",'CF表（ご主人様働けない時）'!AD41/10000)</f>
        <v/>
      </c>
      <c r="AE41" s="240">
        <f>IF('CF表（ご主人様働けない時）'!AE$3="","",'CF表（ご主人様働けない時）'!AE41/10000)</f>
        <v/>
      </c>
      <c r="AF41" s="240">
        <f>IF('CF表（ご主人様働けない時）'!AF$3="","",'CF表（ご主人様働けない時）'!AF41/10000)</f>
        <v/>
      </c>
      <c r="AG41" s="240">
        <f>IF('CF表（ご主人様働けない時）'!AG$3="","",'CF表（ご主人様働けない時）'!AG41/10000)</f>
        <v/>
      </c>
      <c r="AH41" s="240">
        <f>IF('CF表（ご主人様働けない時）'!AH$3="","",'CF表（ご主人様働けない時）'!AH41/10000)</f>
        <v/>
      </c>
      <c r="AI41" s="240">
        <f>IF('CF表（ご主人様働けない時）'!AI$3="","",'CF表（ご主人様働けない時）'!AI41/10000)</f>
        <v/>
      </c>
      <c r="AJ41" s="240">
        <f>IF('CF表（ご主人様働けない時）'!AJ$3="","",'CF表（ご主人様働けない時）'!AJ41/10000)</f>
        <v/>
      </c>
      <c r="AK41" s="240">
        <f>IF('CF表（ご主人様働けない時）'!AK$3="","",'CF表（ご主人様働けない時）'!AK41/10000)</f>
        <v/>
      </c>
      <c r="AL41" s="240">
        <f>IF('CF表（ご主人様働けない時）'!AL$3="","",'CF表（ご主人様働けない時）'!AL41/10000)</f>
        <v/>
      </c>
      <c r="AM41" s="240">
        <f>IF('CF表（ご主人様働けない時）'!AM$3="","",'CF表（ご主人様働けない時）'!AM41/10000)</f>
        <v/>
      </c>
      <c r="AN41" s="240">
        <f>IF('CF表（ご主人様働けない時）'!AN$3="","",'CF表（ご主人様働けない時）'!AN41/10000)</f>
        <v/>
      </c>
      <c r="AO41" s="240">
        <f>IF('CF表（ご主人様働けない時）'!AO$3="","",'CF表（ご主人様働けない時）'!AO41/10000)</f>
        <v/>
      </c>
      <c r="AP41" s="240">
        <f>IF('CF表（ご主人様働けない時）'!AP$3="","",'CF表（ご主人様働けない時）'!AP41/10000)</f>
        <v/>
      </c>
      <c r="AQ41" s="240">
        <f>IF('CF表（ご主人様働けない時）'!AQ$3="","",'CF表（ご主人様働けない時）'!AQ41/10000)</f>
        <v/>
      </c>
      <c r="AR41" s="240">
        <f>IF('CF表（ご主人様働けない時）'!AR$3="","",'CF表（ご主人様働けない時）'!AR41/10000)</f>
        <v/>
      </c>
      <c r="AS41" s="240">
        <f>IF('CF表（ご主人様働けない時）'!AS$3="","",'CF表（ご主人様働けない時）'!AS41/10000)</f>
        <v/>
      </c>
      <c r="AT41" s="240">
        <f>IF('CF表（ご主人様働けない時）'!AT$3="","",'CF表（ご主人様働けない時）'!AT41/10000)</f>
        <v/>
      </c>
      <c r="AU41" s="240">
        <f>IF('CF表（ご主人様働けない時）'!AU$3="","",'CF表（ご主人様働けない時）'!AU41/10000)</f>
        <v/>
      </c>
      <c r="AV41" s="240">
        <f>IF('CF表（ご主人様働けない時）'!AV$3="","",'CF表（ご主人様働けない時）'!AV41/10000)</f>
        <v/>
      </c>
      <c r="AW41" s="240">
        <f>IF('CF表（ご主人様働けない時）'!AW$3="","",'CF表（ご主人様働けない時）'!AW41/10000)</f>
        <v/>
      </c>
      <c r="AX41" s="240">
        <f>IF('CF表（ご主人様働けない時）'!AX$3="","",'CF表（ご主人様働けない時）'!AX41/10000)</f>
        <v/>
      </c>
      <c r="AY41" s="240">
        <f>IF('CF表（ご主人様働けない時）'!AY$3="","",'CF表（ご主人様働けない時）'!AY41/10000)</f>
        <v/>
      </c>
      <c r="AZ41" s="240">
        <f>IF('CF表（ご主人様働けない時）'!AZ$3="","",'CF表（ご主人様働けない時）'!AZ41/10000)</f>
        <v/>
      </c>
      <c r="BA41" s="240">
        <f>IF('CF表（ご主人様働けない時）'!BA$3="","",'CF表（ご主人様働けない時）'!BA41/10000)</f>
        <v/>
      </c>
      <c r="BB41" s="240">
        <f>IF('CF表（ご主人様働けない時）'!BB$3="","",'CF表（ご主人様働けない時）'!BB41/10000)</f>
        <v/>
      </c>
      <c r="BC41" s="240">
        <f>IF('CF表（ご主人様働けない時）'!BC$3="","",'CF表（ご主人様働けない時）'!BC41/10000)</f>
        <v/>
      </c>
      <c r="BD41" s="240">
        <f>IF('CF表（ご主人様働けない時）'!BD$3="","",'CF表（ご主人様働けない時）'!BD41/10000)</f>
        <v/>
      </c>
      <c r="BE41" s="240">
        <f>IF('CF表（ご主人様働けない時）'!BE$3="","",'CF表（ご主人様働けない時）'!BE41/10000)</f>
        <v/>
      </c>
      <c r="BF41" s="240">
        <f>IF('CF表（ご主人様働けない時）'!BF$3="","",'CF表（ご主人様働けない時）'!BF41/10000)</f>
        <v/>
      </c>
      <c r="BG41" s="240">
        <f>IF('CF表（ご主人様働けない時）'!BG$3="","",'CF表（ご主人様働けない時）'!BG41/10000)</f>
        <v/>
      </c>
      <c r="BH41" s="240">
        <f>IF('CF表（ご主人様働けない時）'!BH$3="","",'CF表（ご主人様働けない時）'!BH41/10000)</f>
        <v/>
      </c>
      <c r="BI41" s="240">
        <f>IF('CF表（ご主人様働けない時）'!BI$3="","",'CF表（ご主人様働けない時）'!BI41/10000)</f>
        <v/>
      </c>
      <c r="BJ41" s="240">
        <f>IF('CF表（ご主人様働けない時）'!BJ$3="","",'CF表（ご主人様働けない時）'!BJ41/10000)</f>
        <v/>
      </c>
      <c r="BK41" s="240">
        <f>IF('CF表（ご主人様働けない時）'!BK$3="","",'CF表（ご主人様働けない時）'!BK41/10000)</f>
        <v/>
      </c>
      <c r="BL41" s="240">
        <f>IF('CF表（ご主人様働けない時）'!BL$3="","",'CF表（ご主人様働けない時）'!BL41/10000)</f>
        <v/>
      </c>
      <c r="BM41" s="240">
        <f>IF('CF表（ご主人様働けない時）'!BM$3="","",'CF表（ご主人様働けない時）'!BM41/10000)</f>
        <v/>
      </c>
      <c r="BN41" s="240">
        <f>IF('CF表（ご主人様働けない時）'!BN$3="","",'CF表（ご主人様働けない時）'!BN41/10000)</f>
        <v/>
      </c>
      <c r="BO41" s="240">
        <f>IF('CF表（ご主人様働けない時）'!BO$3="","",'CF表（ご主人様働けない時）'!BO41/10000)</f>
        <v/>
      </c>
      <c r="BP41" s="240">
        <f>IF('CF表（ご主人様働けない時）'!BP$3="","",'CF表（ご主人様働けない時）'!BP41/10000)</f>
        <v/>
      </c>
      <c r="BQ41" s="240">
        <f>IF('CF表（ご主人様働けない時）'!BQ$3="","",'CF表（ご主人様働けない時）'!BQ41/10000)</f>
        <v/>
      </c>
      <c r="BR41" s="240">
        <f>IF('CF表（ご主人様働けない時）'!BR$3="","",'CF表（ご主人様働けない時）'!BR41/10000)</f>
        <v/>
      </c>
      <c r="BS41" s="240">
        <f>IF('CF表（ご主人様働けない時）'!BS$3="","",'CF表（ご主人様働けない時）'!BS41/10000)</f>
        <v/>
      </c>
      <c r="BT41" s="240">
        <f>IF('CF表（ご主人様働けない時）'!BT$3="","",'CF表（ご主人様働けない時）'!BT41/10000)</f>
        <v/>
      </c>
      <c r="BU41" s="240">
        <f>IF('CF表（ご主人様働けない時）'!BU$3="","",'CF表（ご主人様働けない時）'!BU41/10000)</f>
        <v/>
      </c>
      <c r="BV41" s="240">
        <f>IF('CF表（ご主人様働けない時）'!BV$3="","",'CF表（ご主人様働けない時）'!BV41/10000)</f>
        <v/>
      </c>
      <c r="BW41" s="240">
        <f>IF('CF表（ご主人様働けない時）'!BW$3="","",'CF表（ご主人様働けない時）'!BW41/10000)</f>
        <v/>
      </c>
      <c r="BX41" s="240">
        <f>IF('CF表（ご主人様働けない時）'!BX$3="","",'CF表（ご主人様働けない時）'!BX41/10000)</f>
        <v/>
      </c>
      <c r="BY41" s="240">
        <f>IF('CF表（ご主人様働けない時）'!BY$3="","",'CF表（ご主人様働けない時）'!BY41/10000)</f>
        <v/>
      </c>
      <c r="BZ41" s="240">
        <f>IF('CF表（ご主人様働けない時）'!BZ$3="","",'CF表（ご主人様働けない時）'!BZ41/10000)</f>
        <v/>
      </c>
      <c r="CA41" s="240">
        <f>IF('CF表（ご主人様働けない時）'!CA$3="","",'CF表（ご主人様働けない時）'!CA41/10000)</f>
        <v/>
      </c>
      <c r="CB41" s="240">
        <f>IF('CF表（ご主人様働けない時）'!CB$3="","",'CF表（ご主人様働けない時）'!CB41/10000)</f>
        <v/>
      </c>
      <c r="CC41" s="240">
        <f>IF('CF表（ご主人様働けない時）'!CC$3="","",'CF表（ご主人様働けない時）'!CC41/10000)</f>
        <v/>
      </c>
      <c r="CD41" s="240">
        <f>IF('CF表（ご主人様働けない時）'!CD$3="","",'CF表（ご主人様働けない時）'!CD41/10000)</f>
        <v/>
      </c>
      <c r="CE41" s="240">
        <f>IF('CF表（ご主人様働けない時）'!CE$3="","",'CF表（ご主人様働けない時）'!CE41/10000)</f>
        <v/>
      </c>
      <c r="CF41" s="240">
        <f>IF('CF表（ご主人様働けない時）'!CF$3="","",'CF表（ご主人様働けない時）'!CF41/10000)</f>
        <v/>
      </c>
      <c r="CG41" s="240">
        <f>IF('CF表（ご主人様働けない時）'!CG$3="","",'CF表（ご主人様働けない時）'!CG41/10000)</f>
        <v/>
      </c>
      <c r="CH41" s="240">
        <f>IF('CF表（ご主人様働けない時）'!CH$3="","",'CF表（ご主人様働けない時）'!CH41/10000)</f>
        <v/>
      </c>
      <c r="CI41" s="240">
        <f>IF('CF表（ご主人様働けない時）'!CI$3="","",'CF表（ご主人様働けない時）'!CI41/10000)</f>
        <v/>
      </c>
      <c r="CJ41" s="240">
        <f>IF('CF表（ご主人様働けない時）'!CJ$3="","",'CF表（ご主人様働けない時）'!CJ41/10000)</f>
        <v/>
      </c>
      <c r="CK41" s="240">
        <f>IF('CF表（ご主人様働けない時）'!CK$3="","",'CF表（ご主人様働けない時）'!CK41/10000)</f>
        <v/>
      </c>
      <c r="CL41" s="240">
        <f>IF('CF表（ご主人様働けない時）'!CL$3="","",'CF表（ご主人様働けない時）'!CL41/10000)</f>
        <v/>
      </c>
      <c r="CM41" s="240">
        <f>IF('CF表（ご主人様働けない時）'!CM$3="","",'CF表（ご主人様働けない時）'!CM41/10000)</f>
        <v/>
      </c>
      <c r="CN41" s="240">
        <f>IF('CF表（ご主人様働けない時）'!CN$3="","",'CF表（ご主人様働けない時）'!CN41/10000)</f>
        <v/>
      </c>
      <c r="CO41" s="240">
        <f>IF('CF表（ご主人様働けない時）'!CO$3="","",'CF表（ご主人様働けない時）'!CO41/10000)</f>
        <v/>
      </c>
      <c r="CP41" s="240">
        <f>IF('CF表（ご主人様働けない時）'!CP$3="","",'CF表（ご主人様働けない時）'!CP41/10000)</f>
        <v/>
      </c>
      <c r="CQ41" s="240">
        <f>IF('CF表（ご主人様働けない時）'!CQ$3="","",'CF表（ご主人様働けない時）'!CQ41/10000)</f>
        <v/>
      </c>
      <c r="CR41" s="240">
        <f>IF('CF表（ご主人様働けない時）'!CR$3="","",'CF表（ご主人様働けない時）'!CR41/10000)</f>
        <v/>
      </c>
      <c r="CS41" s="240">
        <f>IF('CF表（ご主人様働けない時）'!CS$3="","",'CF表（ご主人様働けない時）'!CS41/10000)</f>
        <v/>
      </c>
      <c r="CT41" s="240">
        <f>IF('CF表（ご主人様働けない時）'!CT$3="","",'CF表（ご主人様働けない時）'!CT41/10000)</f>
        <v/>
      </c>
      <c r="CU41" s="240">
        <f>IF('CF表（ご主人様働けない時）'!CU$3="","",'CF表（ご主人様働けない時）'!CU41/10000)</f>
        <v/>
      </c>
      <c r="CV41" s="240">
        <f>IF('CF表（ご主人様働けない時）'!CV$3="","",'CF表（ご主人様働けない時）'!CV41/10000)</f>
        <v/>
      </c>
      <c r="CW41" s="240">
        <f>IF('CF表（ご主人様働けない時）'!CW$3="","",'CF表（ご主人様働けない時）'!CW41/10000)</f>
        <v/>
      </c>
    </row>
    <row r="42" hidden="1" ht="16.5" customHeight="1" s="180">
      <c r="A42" s="239" t="inlineStr">
        <is>
          <t>老後期フラグ(補助)</t>
        </is>
      </c>
      <c r="B42" s="240">
        <f>IF('CF表（ご主人様働けない時）'!B$3="","",'CF表（ご主人様働けない時）'!B42/10000)</f>
        <v/>
      </c>
      <c r="C42" s="240">
        <f>IF('CF表（ご主人様働けない時）'!C$3="","",'CF表（ご主人様働けない時）'!C42/10000)</f>
        <v/>
      </c>
      <c r="D42" s="240">
        <f>IF('CF表（ご主人様働けない時）'!D$3="","",'CF表（ご主人様働けない時）'!D42/10000)</f>
        <v/>
      </c>
      <c r="E42" s="240">
        <f>IF('CF表（ご主人様働けない時）'!E$3="","",'CF表（ご主人様働けない時）'!E42/10000)</f>
        <v/>
      </c>
      <c r="F42" s="240">
        <f>IF('CF表（ご主人様働けない時）'!F$3="","",'CF表（ご主人様働けない時）'!F42/10000)</f>
        <v/>
      </c>
      <c r="G42" s="240">
        <f>IF('CF表（ご主人様働けない時）'!G$3="","",'CF表（ご主人様働けない時）'!G42/10000)</f>
        <v/>
      </c>
      <c r="H42" s="240">
        <f>IF('CF表（ご主人様働けない時）'!H$3="","",'CF表（ご主人様働けない時）'!H42/10000)</f>
        <v/>
      </c>
      <c r="I42" s="240">
        <f>IF('CF表（ご主人様働けない時）'!I$3="","",'CF表（ご主人様働けない時）'!I42/10000)</f>
        <v/>
      </c>
      <c r="J42" s="240">
        <f>IF('CF表（ご主人様働けない時）'!J$3="","",'CF表（ご主人様働けない時）'!J42/10000)</f>
        <v/>
      </c>
      <c r="K42" s="240">
        <f>IF('CF表（ご主人様働けない時）'!K$3="","",'CF表（ご主人様働けない時）'!K42/10000)</f>
        <v/>
      </c>
      <c r="L42" s="240">
        <f>IF('CF表（ご主人様働けない時）'!L$3="","",'CF表（ご主人様働けない時）'!L42/10000)</f>
        <v/>
      </c>
      <c r="M42" s="240">
        <f>IF('CF表（ご主人様働けない時）'!M$3="","",'CF表（ご主人様働けない時）'!M42/10000)</f>
        <v/>
      </c>
      <c r="N42" s="240">
        <f>IF('CF表（ご主人様働けない時）'!N$3="","",'CF表（ご主人様働けない時）'!N42/10000)</f>
        <v/>
      </c>
      <c r="O42" s="240">
        <f>IF('CF表（ご主人様働けない時）'!O$3="","",'CF表（ご主人様働けない時）'!O42/10000)</f>
        <v/>
      </c>
      <c r="P42" s="240">
        <f>IF('CF表（ご主人様働けない時）'!P$3="","",'CF表（ご主人様働けない時）'!P42/10000)</f>
        <v/>
      </c>
      <c r="Q42" s="240">
        <f>IF('CF表（ご主人様働けない時）'!Q$3="","",'CF表（ご主人様働けない時）'!Q42/10000)</f>
        <v/>
      </c>
      <c r="R42" s="240">
        <f>IF('CF表（ご主人様働けない時）'!R$3="","",'CF表（ご主人様働けない時）'!R42/10000)</f>
        <v/>
      </c>
      <c r="S42" s="240">
        <f>IF('CF表（ご主人様働けない時）'!S$3="","",'CF表（ご主人様働けない時）'!S42/10000)</f>
        <v/>
      </c>
      <c r="T42" s="240">
        <f>IF('CF表（ご主人様働けない時）'!T$3="","",'CF表（ご主人様働けない時）'!T42/10000)</f>
        <v/>
      </c>
      <c r="U42" s="240">
        <f>IF('CF表（ご主人様働けない時）'!U$3="","",'CF表（ご主人様働けない時）'!U42/10000)</f>
        <v/>
      </c>
      <c r="V42" s="240">
        <f>IF('CF表（ご主人様働けない時）'!V$3="","",'CF表（ご主人様働けない時）'!V42/10000)</f>
        <v/>
      </c>
      <c r="W42" s="240">
        <f>IF('CF表（ご主人様働けない時）'!W$3="","",'CF表（ご主人様働けない時）'!W42/10000)</f>
        <v/>
      </c>
      <c r="X42" s="240">
        <f>IF('CF表（ご主人様働けない時）'!X$3="","",'CF表（ご主人様働けない時）'!X42/10000)</f>
        <v/>
      </c>
      <c r="Y42" s="240">
        <f>IF('CF表（ご主人様働けない時）'!Y$3="","",'CF表（ご主人様働けない時）'!Y42/10000)</f>
        <v/>
      </c>
      <c r="Z42" s="240">
        <f>IF('CF表（ご主人様働けない時）'!Z$3="","",'CF表（ご主人様働けない時）'!Z42/10000)</f>
        <v/>
      </c>
      <c r="AA42" s="240">
        <f>IF('CF表（ご主人様働けない時）'!AA$3="","",'CF表（ご主人様働けない時）'!AA42/10000)</f>
        <v/>
      </c>
      <c r="AB42" s="240">
        <f>IF('CF表（ご主人様働けない時）'!AB$3="","",'CF表（ご主人様働けない時）'!AB42/10000)</f>
        <v/>
      </c>
      <c r="AC42" s="240">
        <f>IF('CF表（ご主人様働けない時）'!AC$3="","",'CF表（ご主人様働けない時）'!AC42/10000)</f>
        <v/>
      </c>
      <c r="AD42" s="240">
        <f>IF('CF表（ご主人様働けない時）'!AD$3="","",'CF表（ご主人様働けない時）'!AD42/10000)</f>
        <v/>
      </c>
      <c r="AE42" s="240">
        <f>IF('CF表（ご主人様働けない時）'!AE$3="","",'CF表（ご主人様働けない時）'!AE42/10000)</f>
        <v/>
      </c>
      <c r="AF42" s="240">
        <f>IF('CF表（ご主人様働けない時）'!AF$3="","",'CF表（ご主人様働けない時）'!AF42/10000)</f>
        <v/>
      </c>
      <c r="AG42" s="240">
        <f>IF('CF表（ご主人様働けない時）'!AG$3="","",'CF表（ご主人様働けない時）'!AG42/10000)</f>
        <v/>
      </c>
      <c r="AH42" s="240">
        <f>IF('CF表（ご主人様働けない時）'!AH$3="","",'CF表（ご主人様働けない時）'!AH42/10000)</f>
        <v/>
      </c>
      <c r="AI42" s="240">
        <f>IF('CF表（ご主人様働けない時）'!AI$3="","",'CF表（ご主人様働けない時）'!AI42/10000)</f>
        <v/>
      </c>
      <c r="AJ42" s="240">
        <f>IF('CF表（ご主人様働けない時）'!AJ$3="","",'CF表（ご主人様働けない時）'!AJ42/10000)</f>
        <v/>
      </c>
      <c r="AK42" s="240">
        <f>IF('CF表（ご主人様働けない時）'!AK$3="","",'CF表（ご主人様働けない時）'!AK42/10000)</f>
        <v/>
      </c>
      <c r="AL42" s="240">
        <f>IF('CF表（ご主人様働けない時）'!AL$3="","",'CF表（ご主人様働けない時）'!AL42/10000)</f>
        <v/>
      </c>
      <c r="AM42" s="240">
        <f>IF('CF表（ご主人様働けない時）'!AM$3="","",'CF表（ご主人様働けない時）'!AM42/10000)</f>
        <v/>
      </c>
      <c r="AN42" s="240">
        <f>IF('CF表（ご主人様働けない時）'!AN$3="","",'CF表（ご主人様働けない時）'!AN42/10000)</f>
        <v/>
      </c>
      <c r="AO42" s="240">
        <f>IF('CF表（ご主人様働けない時）'!AO$3="","",'CF表（ご主人様働けない時）'!AO42/10000)</f>
        <v/>
      </c>
      <c r="AP42" s="240">
        <f>IF('CF表（ご主人様働けない時）'!AP$3="","",'CF表（ご主人様働けない時）'!AP42/10000)</f>
        <v/>
      </c>
      <c r="AQ42" s="240">
        <f>IF('CF表（ご主人様働けない時）'!AQ$3="","",'CF表（ご主人様働けない時）'!AQ42/10000)</f>
        <v/>
      </c>
      <c r="AR42" s="240">
        <f>IF('CF表（ご主人様働けない時）'!AR$3="","",'CF表（ご主人様働けない時）'!AR42/10000)</f>
        <v/>
      </c>
      <c r="AS42" s="240">
        <f>IF('CF表（ご主人様働けない時）'!AS$3="","",'CF表（ご主人様働けない時）'!AS42/10000)</f>
        <v/>
      </c>
      <c r="AT42" s="240">
        <f>IF('CF表（ご主人様働けない時）'!AT$3="","",'CF表（ご主人様働けない時）'!AT42/10000)</f>
        <v/>
      </c>
      <c r="AU42" s="240">
        <f>IF('CF表（ご主人様働けない時）'!AU$3="","",'CF表（ご主人様働けない時）'!AU42/10000)</f>
        <v/>
      </c>
      <c r="AV42" s="240">
        <f>IF('CF表（ご主人様働けない時）'!AV$3="","",'CF表（ご主人様働けない時）'!AV42/10000)</f>
        <v/>
      </c>
      <c r="AW42" s="240">
        <f>IF('CF表（ご主人様働けない時）'!AW$3="","",'CF表（ご主人様働けない時）'!AW42/10000)</f>
        <v/>
      </c>
      <c r="AX42" s="240">
        <f>IF('CF表（ご主人様働けない時）'!AX$3="","",'CF表（ご主人様働けない時）'!AX42/10000)</f>
        <v/>
      </c>
      <c r="AY42" s="240">
        <f>IF('CF表（ご主人様働けない時）'!AY$3="","",'CF表（ご主人様働けない時）'!AY42/10000)</f>
        <v/>
      </c>
      <c r="AZ42" s="240">
        <f>IF('CF表（ご主人様働けない時）'!AZ$3="","",'CF表（ご主人様働けない時）'!AZ42/10000)</f>
        <v/>
      </c>
      <c r="BA42" s="240">
        <f>IF('CF表（ご主人様働けない時）'!BA$3="","",'CF表（ご主人様働けない時）'!BA42/10000)</f>
        <v/>
      </c>
      <c r="BB42" s="240">
        <f>IF('CF表（ご主人様働けない時）'!BB$3="","",'CF表（ご主人様働けない時）'!BB42/10000)</f>
        <v/>
      </c>
      <c r="BC42" s="240">
        <f>IF('CF表（ご主人様働けない時）'!BC$3="","",'CF表（ご主人様働けない時）'!BC42/10000)</f>
        <v/>
      </c>
      <c r="BD42" s="240">
        <f>IF('CF表（ご主人様働けない時）'!BD$3="","",'CF表（ご主人様働けない時）'!BD42/10000)</f>
        <v/>
      </c>
      <c r="BE42" s="240">
        <f>IF('CF表（ご主人様働けない時）'!BE$3="","",'CF表（ご主人様働けない時）'!BE42/10000)</f>
        <v/>
      </c>
      <c r="BF42" s="240">
        <f>IF('CF表（ご主人様働けない時）'!BF$3="","",'CF表（ご主人様働けない時）'!BF42/10000)</f>
        <v/>
      </c>
      <c r="BG42" s="240">
        <f>IF('CF表（ご主人様働けない時）'!BG$3="","",'CF表（ご主人様働けない時）'!BG42/10000)</f>
        <v/>
      </c>
      <c r="BH42" s="240">
        <f>IF('CF表（ご主人様働けない時）'!BH$3="","",'CF表（ご主人様働けない時）'!BH42/10000)</f>
        <v/>
      </c>
      <c r="BI42" s="240">
        <f>IF('CF表（ご主人様働けない時）'!BI$3="","",'CF表（ご主人様働けない時）'!BI42/10000)</f>
        <v/>
      </c>
      <c r="BJ42" s="240">
        <f>IF('CF表（ご主人様働けない時）'!BJ$3="","",'CF表（ご主人様働けない時）'!BJ42/10000)</f>
        <v/>
      </c>
      <c r="BK42" s="240">
        <f>IF('CF表（ご主人様働けない時）'!BK$3="","",'CF表（ご主人様働けない時）'!BK42/10000)</f>
        <v/>
      </c>
      <c r="BL42" s="240">
        <f>IF('CF表（ご主人様働けない時）'!BL$3="","",'CF表（ご主人様働けない時）'!BL42/10000)</f>
        <v/>
      </c>
      <c r="BM42" s="240">
        <f>IF('CF表（ご主人様働けない時）'!BM$3="","",'CF表（ご主人様働けない時）'!BM42/10000)</f>
        <v/>
      </c>
      <c r="BN42" s="240">
        <f>IF('CF表（ご主人様働けない時）'!BN$3="","",'CF表（ご主人様働けない時）'!BN42/10000)</f>
        <v/>
      </c>
      <c r="BO42" s="240">
        <f>IF('CF表（ご主人様働けない時）'!BO$3="","",'CF表（ご主人様働けない時）'!BO42/10000)</f>
        <v/>
      </c>
      <c r="BP42" s="240">
        <f>IF('CF表（ご主人様働けない時）'!BP$3="","",'CF表（ご主人様働けない時）'!BP42/10000)</f>
        <v/>
      </c>
      <c r="BQ42" s="240">
        <f>IF('CF表（ご主人様働けない時）'!BQ$3="","",'CF表（ご主人様働けない時）'!BQ42/10000)</f>
        <v/>
      </c>
      <c r="BR42" s="240">
        <f>IF('CF表（ご主人様働けない時）'!BR$3="","",'CF表（ご主人様働けない時）'!BR42/10000)</f>
        <v/>
      </c>
      <c r="BS42" s="240">
        <f>IF('CF表（ご主人様働けない時）'!BS$3="","",'CF表（ご主人様働けない時）'!BS42/10000)</f>
        <v/>
      </c>
      <c r="BT42" s="240">
        <f>IF('CF表（ご主人様働けない時）'!BT$3="","",'CF表（ご主人様働けない時）'!BT42/10000)</f>
        <v/>
      </c>
      <c r="BU42" s="240">
        <f>IF('CF表（ご主人様働けない時）'!BU$3="","",'CF表（ご主人様働けない時）'!BU42/10000)</f>
        <v/>
      </c>
      <c r="BV42" s="240">
        <f>IF('CF表（ご主人様働けない時）'!BV$3="","",'CF表（ご主人様働けない時）'!BV42/10000)</f>
        <v/>
      </c>
      <c r="BW42" s="240">
        <f>IF('CF表（ご主人様働けない時）'!BW$3="","",'CF表（ご主人様働けない時）'!BW42/10000)</f>
        <v/>
      </c>
      <c r="BX42" s="240">
        <f>IF('CF表（ご主人様働けない時）'!BX$3="","",'CF表（ご主人様働けない時）'!BX42/10000)</f>
        <v/>
      </c>
      <c r="BY42" s="240">
        <f>IF('CF表（ご主人様働けない時）'!BY$3="","",'CF表（ご主人様働けない時）'!BY42/10000)</f>
        <v/>
      </c>
      <c r="BZ42" s="240">
        <f>IF('CF表（ご主人様働けない時）'!BZ$3="","",'CF表（ご主人様働けない時）'!BZ42/10000)</f>
        <v/>
      </c>
      <c r="CA42" s="240">
        <f>IF('CF表（ご主人様働けない時）'!CA$3="","",'CF表（ご主人様働けない時）'!CA42/10000)</f>
        <v/>
      </c>
      <c r="CB42" s="240">
        <f>IF('CF表（ご主人様働けない時）'!CB$3="","",'CF表（ご主人様働けない時）'!CB42/10000)</f>
        <v/>
      </c>
      <c r="CC42" s="240">
        <f>IF('CF表（ご主人様働けない時）'!CC$3="","",'CF表（ご主人様働けない時）'!CC42/10000)</f>
        <v/>
      </c>
      <c r="CD42" s="240">
        <f>IF('CF表（ご主人様働けない時）'!CD$3="","",'CF表（ご主人様働けない時）'!CD42/10000)</f>
        <v/>
      </c>
      <c r="CE42" s="240">
        <f>IF('CF表（ご主人様働けない時）'!CE$3="","",'CF表（ご主人様働けない時）'!CE42/10000)</f>
        <v/>
      </c>
      <c r="CF42" s="240">
        <f>IF('CF表（ご主人様働けない時）'!CF$3="","",'CF表（ご主人様働けない時）'!CF42/10000)</f>
        <v/>
      </c>
      <c r="CG42" s="240">
        <f>IF('CF表（ご主人様働けない時）'!CG$3="","",'CF表（ご主人様働けない時）'!CG42/10000)</f>
        <v/>
      </c>
      <c r="CH42" s="240">
        <f>IF('CF表（ご主人様働けない時）'!CH$3="","",'CF表（ご主人様働けない時）'!CH42/10000)</f>
        <v/>
      </c>
      <c r="CI42" s="240">
        <f>IF('CF表（ご主人様働けない時）'!CI$3="","",'CF表（ご主人様働けない時）'!CI42/10000)</f>
        <v/>
      </c>
      <c r="CJ42" s="240">
        <f>IF('CF表（ご主人様働けない時）'!CJ$3="","",'CF表（ご主人様働けない時）'!CJ42/10000)</f>
        <v/>
      </c>
      <c r="CK42" s="240">
        <f>IF('CF表（ご主人様働けない時）'!CK$3="","",'CF表（ご主人様働けない時）'!CK42/10000)</f>
        <v/>
      </c>
      <c r="CL42" s="240">
        <f>IF('CF表（ご主人様働けない時）'!CL$3="","",'CF表（ご主人様働けない時）'!CL42/10000)</f>
        <v/>
      </c>
      <c r="CM42" s="240">
        <f>IF('CF表（ご主人様働けない時）'!CM$3="","",'CF表（ご主人様働けない時）'!CM42/10000)</f>
        <v/>
      </c>
      <c r="CN42" s="240">
        <f>IF('CF表（ご主人様働けない時）'!CN$3="","",'CF表（ご主人様働けない時）'!CN42/10000)</f>
        <v/>
      </c>
      <c r="CO42" s="240">
        <f>IF('CF表（ご主人様働けない時）'!CO$3="","",'CF表（ご主人様働けない時）'!CO42/10000)</f>
        <v/>
      </c>
      <c r="CP42" s="240">
        <f>IF('CF表（ご主人様働けない時）'!CP$3="","",'CF表（ご主人様働けない時）'!CP42/10000)</f>
        <v/>
      </c>
      <c r="CQ42" s="240">
        <f>IF('CF表（ご主人様働けない時）'!CQ$3="","",'CF表（ご主人様働けない時）'!CQ42/10000)</f>
        <v/>
      </c>
      <c r="CR42" s="240">
        <f>IF('CF表（ご主人様働けない時）'!CR$3="","",'CF表（ご主人様働けない時）'!CR42/10000)</f>
        <v/>
      </c>
      <c r="CS42" s="240">
        <f>IF('CF表（ご主人様働けない時）'!CS$3="","",'CF表（ご主人様働けない時）'!CS42/10000)</f>
        <v/>
      </c>
      <c r="CT42" s="240">
        <f>IF('CF表（ご主人様働けない時）'!CT$3="","",'CF表（ご主人様働けない時）'!CT42/10000)</f>
        <v/>
      </c>
      <c r="CU42" s="240">
        <f>IF('CF表（ご主人様働けない時）'!CU$3="","",'CF表（ご主人様働けない時）'!CU42/10000)</f>
        <v/>
      </c>
      <c r="CV42" s="240">
        <f>IF('CF表（ご主人様働けない時）'!CV$3="","",'CF表（ご主人様働けない時）'!CV42/10000)</f>
        <v/>
      </c>
      <c r="CW42" s="240">
        <f>IF('CF表（ご主人様働けない時）'!CW$3="","",'CF表（ご主人様働けない時）'!CW42/10000)</f>
        <v/>
      </c>
    </row>
    <row r="43" hidden="1" ht="16.5" customHeight="1" s="180">
      <c r="A43" s="239" t="inlineStr">
        <is>
          <t>老後不足額(補助)</t>
        </is>
      </c>
      <c r="B43" s="240">
        <f>IF('CF表（ご主人様働けない時）'!B$3="","",'CF表（ご主人様働けない時）'!B43/10000)</f>
        <v/>
      </c>
      <c r="C43" s="240">
        <f>IF('CF表（ご主人様働けない時）'!C$3="","",'CF表（ご主人様働けない時）'!C43/10000)</f>
        <v/>
      </c>
      <c r="D43" s="240">
        <f>IF('CF表（ご主人様働けない時）'!D$3="","",'CF表（ご主人様働けない時）'!D43/10000)</f>
        <v/>
      </c>
      <c r="E43" s="240">
        <f>IF('CF表（ご主人様働けない時）'!E$3="","",'CF表（ご主人様働けない時）'!E43/10000)</f>
        <v/>
      </c>
      <c r="F43" s="240">
        <f>IF('CF表（ご主人様働けない時）'!F$3="","",'CF表（ご主人様働けない時）'!F43/10000)</f>
        <v/>
      </c>
      <c r="G43" s="240">
        <f>IF('CF表（ご主人様働けない時）'!G$3="","",'CF表（ご主人様働けない時）'!G43/10000)</f>
        <v/>
      </c>
      <c r="H43" s="240">
        <f>IF('CF表（ご主人様働けない時）'!H$3="","",'CF表（ご主人様働けない時）'!H43/10000)</f>
        <v/>
      </c>
      <c r="I43" s="240">
        <f>IF('CF表（ご主人様働けない時）'!I$3="","",'CF表（ご主人様働けない時）'!I43/10000)</f>
        <v/>
      </c>
      <c r="J43" s="240">
        <f>IF('CF表（ご主人様働けない時）'!J$3="","",'CF表（ご主人様働けない時）'!J43/10000)</f>
        <v/>
      </c>
      <c r="K43" s="240">
        <f>IF('CF表（ご主人様働けない時）'!K$3="","",'CF表（ご主人様働けない時）'!K43/10000)</f>
        <v/>
      </c>
      <c r="L43" s="240">
        <f>IF('CF表（ご主人様働けない時）'!L$3="","",'CF表（ご主人様働けない時）'!L43/10000)</f>
        <v/>
      </c>
      <c r="M43" s="240">
        <f>IF('CF表（ご主人様働けない時）'!M$3="","",'CF表（ご主人様働けない時）'!M43/10000)</f>
        <v/>
      </c>
      <c r="N43" s="240">
        <f>IF('CF表（ご主人様働けない時）'!N$3="","",'CF表（ご主人様働けない時）'!N43/10000)</f>
        <v/>
      </c>
      <c r="O43" s="240">
        <f>IF('CF表（ご主人様働けない時）'!O$3="","",'CF表（ご主人様働けない時）'!O43/10000)</f>
        <v/>
      </c>
      <c r="P43" s="240">
        <f>IF('CF表（ご主人様働けない時）'!P$3="","",'CF表（ご主人様働けない時）'!P43/10000)</f>
        <v/>
      </c>
      <c r="Q43" s="240">
        <f>IF('CF表（ご主人様働けない時）'!Q$3="","",'CF表（ご主人様働けない時）'!Q43/10000)</f>
        <v/>
      </c>
      <c r="R43" s="240">
        <f>IF('CF表（ご主人様働けない時）'!R$3="","",'CF表（ご主人様働けない時）'!R43/10000)</f>
        <v/>
      </c>
      <c r="S43" s="240">
        <f>IF('CF表（ご主人様働けない時）'!S$3="","",'CF表（ご主人様働けない時）'!S43/10000)</f>
        <v/>
      </c>
      <c r="T43" s="240">
        <f>IF('CF表（ご主人様働けない時）'!T$3="","",'CF表（ご主人様働けない時）'!T43/10000)</f>
        <v/>
      </c>
      <c r="U43" s="240">
        <f>IF('CF表（ご主人様働けない時）'!U$3="","",'CF表（ご主人様働けない時）'!U43/10000)</f>
        <v/>
      </c>
      <c r="V43" s="240">
        <f>IF('CF表（ご主人様働けない時）'!V$3="","",'CF表（ご主人様働けない時）'!V43/10000)</f>
        <v/>
      </c>
      <c r="W43" s="240">
        <f>IF('CF表（ご主人様働けない時）'!W$3="","",'CF表（ご主人様働けない時）'!W43/10000)</f>
        <v/>
      </c>
      <c r="X43" s="240">
        <f>IF('CF表（ご主人様働けない時）'!X$3="","",'CF表（ご主人様働けない時）'!X43/10000)</f>
        <v/>
      </c>
      <c r="Y43" s="240">
        <f>IF('CF表（ご主人様働けない時）'!Y$3="","",'CF表（ご主人様働けない時）'!Y43/10000)</f>
        <v/>
      </c>
      <c r="Z43" s="240">
        <f>IF('CF表（ご主人様働けない時）'!Z$3="","",'CF表（ご主人様働けない時）'!Z43/10000)</f>
        <v/>
      </c>
      <c r="AA43" s="240">
        <f>IF('CF表（ご主人様働けない時）'!AA$3="","",'CF表（ご主人様働けない時）'!AA43/10000)</f>
        <v/>
      </c>
      <c r="AB43" s="240">
        <f>IF('CF表（ご主人様働けない時）'!AB$3="","",'CF表（ご主人様働けない時）'!AB43/10000)</f>
        <v/>
      </c>
      <c r="AC43" s="240">
        <f>IF('CF表（ご主人様働けない時）'!AC$3="","",'CF表（ご主人様働けない時）'!AC43/10000)</f>
        <v/>
      </c>
      <c r="AD43" s="240">
        <f>IF('CF表（ご主人様働けない時）'!AD$3="","",'CF表（ご主人様働けない時）'!AD43/10000)</f>
        <v/>
      </c>
      <c r="AE43" s="240">
        <f>IF('CF表（ご主人様働けない時）'!AE$3="","",'CF表（ご主人様働けない時）'!AE43/10000)</f>
        <v/>
      </c>
      <c r="AF43" s="240">
        <f>IF('CF表（ご主人様働けない時）'!AF$3="","",'CF表（ご主人様働けない時）'!AF43/10000)</f>
        <v/>
      </c>
      <c r="AG43" s="240">
        <f>IF('CF表（ご主人様働けない時）'!AG$3="","",'CF表（ご主人様働けない時）'!AG43/10000)</f>
        <v/>
      </c>
      <c r="AH43" s="240">
        <f>IF('CF表（ご主人様働けない時）'!AH$3="","",'CF表（ご主人様働けない時）'!AH43/10000)</f>
        <v/>
      </c>
      <c r="AI43" s="240">
        <f>IF('CF表（ご主人様働けない時）'!AI$3="","",'CF表（ご主人様働けない時）'!AI43/10000)</f>
        <v/>
      </c>
      <c r="AJ43" s="240">
        <f>IF('CF表（ご主人様働けない時）'!AJ$3="","",'CF表（ご主人様働けない時）'!AJ43/10000)</f>
        <v/>
      </c>
      <c r="AK43" s="240">
        <f>IF('CF表（ご主人様働けない時）'!AK$3="","",'CF表（ご主人様働けない時）'!AK43/10000)</f>
        <v/>
      </c>
      <c r="AL43" s="240">
        <f>IF('CF表（ご主人様働けない時）'!AL$3="","",'CF表（ご主人様働けない時）'!AL43/10000)</f>
        <v/>
      </c>
      <c r="AM43" s="240">
        <f>IF('CF表（ご主人様働けない時）'!AM$3="","",'CF表（ご主人様働けない時）'!AM43/10000)</f>
        <v/>
      </c>
      <c r="AN43" s="240">
        <f>IF('CF表（ご主人様働けない時）'!AN$3="","",'CF表（ご主人様働けない時）'!AN43/10000)</f>
        <v/>
      </c>
      <c r="AO43" s="240">
        <f>IF('CF表（ご主人様働けない時）'!AO$3="","",'CF表（ご主人様働けない時）'!AO43/10000)</f>
        <v/>
      </c>
      <c r="AP43" s="240">
        <f>IF('CF表（ご主人様働けない時）'!AP$3="","",'CF表（ご主人様働けない時）'!AP43/10000)</f>
        <v/>
      </c>
      <c r="AQ43" s="240">
        <f>IF('CF表（ご主人様働けない時）'!AQ$3="","",'CF表（ご主人様働けない時）'!AQ43/10000)</f>
        <v/>
      </c>
      <c r="AR43" s="240">
        <f>IF('CF表（ご主人様働けない時）'!AR$3="","",'CF表（ご主人様働けない時）'!AR43/10000)</f>
        <v/>
      </c>
      <c r="AS43" s="240">
        <f>IF('CF表（ご主人様働けない時）'!AS$3="","",'CF表（ご主人様働けない時）'!AS43/10000)</f>
        <v/>
      </c>
      <c r="AT43" s="240">
        <f>IF('CF表（ご主人様働けない時）'!AT$3="","",'CF表（ご主人様働けない時）'!AT43/10000)</f>
        <v/>
      </c>
      <c r="AU43" s="240">
        <f>IF('CF表（ご主人様働けない時）'!AU$3="","",'CF表（ご主人様働けない時）'!AU43/10000)</f>
        <v/>
      </c>
      <c r="AV43" s="240">
        <f>IF('CF表（ご主人様働けない時）'!AV$3="","",'CF表（ご主人様働けない時）'!AV43/10000)</f>
        <v/>
      </c>
      <c r="AW43" s="240">
        <f>IF('CF表（ご主人様働けない時）'!AW$3="","",'CF表（ご主人様働けない時）'!AW43/10000)</f>
        <v/>
      </c>
      <c r="AX43" s="240">
        <f>IF('CF表（ご主人様働けない時）'!AX$3="","",'CF表（ご主人様働けない時）'!AX43/10000)</f>
        <v/>
      </c>
      <c r="AY43" s="240">
        <f>IF('CF表（ご主人様働けない時）'!AY$3="","",'CF表（ご主人様働けない時）'!AY43/10000)</f>
        <v/>
      </c>
      <c r="AZ43" s="240">
        <f>IF('CF表（ご主人様働けない時）'!AZ$3="","",'CF表（ご主人様働けない時）'!AZ43/10000)</f>
        <v/>
      </c>
      <c r="BA43" s="240">
        <f>IF('CF表（ご主人様働けない時）'!BA$3="","",'CF表（ご主人様働けない時）'!BA43/10000)</f>
        <v/>
      </c>
      <c r="BB43" s="240">
        <f>IF('CF表（ご主人様働けない時）'!BB$3="","",'CF表（ご主人様働けない時）'!BB43/10000)</f>
        <v/>
      </c>
      <c r="BC43" s="240">
        <f>IF('CF表（ご主人様働けない時）'!BC$3="","",'CF表（ご主人様働けない時）'!BC43/10000)</f>
        <v/>
      </c>
      <c r="BD43" s="240">
        <f>IF('CF表（ご主人様働けない時）'!BD$3="","",'CF表（ご主人様働けない時）'!BD43/10000)</f>
        <v/>
      </c>
      <c r="BE43" s="240">
        <f>IF('CF表（ご主人様働けない時）'!BE$3="","",'CF表（ご主人様働けない時）'!BE43/10000)</f>
        <v/>
      </c>
      <c r="BF43" s="240">
        <f>IF('CF表（ご主人様働けない時）'!BF$3="","",'CF表（ご主人様働けない時）'!BF43/10000)</f>
        <v/>
      </c>
      <c r="BG43" s="240">
        <f>IF('CF表（ご主人様働けない時）'!BG$3="","",'CF表（ご主人様働けない時）'!BG43/10000)</f>
        <v/>
      </c>
      <c r="BH43" s="240">
        <f>IF('CF表（ご主人様働けない時）'!BH$3="","",'CF表（ご主人様働けない時）'!BH43/10000)</f>
        <v/>
      </c>
      <c r="BI43" s="240">
        <f>IF('CF表（ご主人様働けない時）'!BI$3="","",'CF表（ご主人様働けない時）'!BI43/10000)</f>
        <v/>
      </c>
      <c r="BJ43" s="240">
        <f>IF('CF表（ご主人様働けない時）'!BJ$3="","",'CF表（ご主人様働けない時）'!BJ43/10000)</f>
        <v/>
      </c>
      <c r="BK43" s="240">
        <f>IF('CF表（ご主人様働けない時）'!BK$3="","",'CF表（ご主人様働けない時）'!BK43/10000)</f>
        <v/>
      </c>
      <c r="BL43" s="240">
        <f>IF('CF表（ご主人様働けない時）'!BL$3="","",'CF表（ご主人様働けない時）'!BL43/10000)</f>
        <v/>
      </c>
      <c r="BM43" s="240">
        <f>IF('CF表（ご主人様働けない時）'!BM$3="","",'CF表（ご主人様働けない時）'!BM43/10000)</f>
        <v/>
      </c>
      <c r="BN43" s="240">
        <f>IF('CF表（ご主人様働けない時）'!BN$3="","",'CF表（ご主人様働けない時）'!BN43/10000)</f>
        <v/>
      </c>
      <c r="BO43" s="240">
        <f>IF('CF表（ご主人様働けない時）'!BO$3="","",'CF表（ご主人様働けない時）'!BO43/10000)</f>
        <v/>
      </c>
      <c r="BP43" s="240">
        <f>IF('CF表（ご主人様働けない時）'!BP$3="","",'CF表（ご主人様働けない時）'!BP43/10000)</f>
        <v/>
      </c>
      <c r="BQ43" s="240">
        <f>IF('CF表（ご主人様働けない時）'!BQ$3="","",'CF表（ご主人様働けない時）'!BQ43/10000)</f>
        <v/>
      </c>
      <c r="BR43" s="240">
        <f>IF('CF表（ご主人様働けない時）'!BR$3="","",'CF表（ご主人様働けない時）'!BR43/10000)</f>
        <v/>
      </c>
      <c r="BS43" s="240">
        <f>IF('CF表（ご主人様働けない時）'!BS$3="","",'CF表（ご主人様働けない時）'!BS43/10000)</f>
        <v/>
      </c>
      <c r="BT43" s="240">
        <f>IF('CF表（ご主人様働けない時）'!BT$3="","",'CF表（ご主人様働けない時）'!BT43/10000)</f>
        <v/>
      </c>
      <c r="BU43" s="240">
        <f>IF('CF表（ご主人様働けない時）'!BU$3="","",'CF表（ご主人様働けない時）'!BU43/10000)</f>
        <v/>
      </c>
      <c r="BV43" s="240">
        <f>IF('CF表（ご主人様働けない時）'!BV$3="","",'CF表（ご主人様働けない時）'!BV43/10000)</f>
        <v/>
      </c>
      <c r="BW43" s="240">
        <f>IF('CF表（ご主人様働けない時）'!BW$3="","",'CF表（ご主人様働けない時）'!BW43/10000)</f>
        <v/>
      </c>
      <c r="BX43" s="240">
        <f>IF('CF表（ご主人様働けない時）'!BX$3="","",'CF表（ご主人様働けない時）'!BX43/10000)</f>
        <v/>
      </c>
      <c r="BY43" s="240">
        <f>IF('CF表（ご主人様働けない時）'!BY$3="","",'CF表（ご主人様働けない時）'!BY43/10000)</f>
        <v/>
      </c>
      <c r="BZ43" s="240">
        <f>IF('CF表（ご主人様働けない時）'!BZ$3="","",'CF表（ご主人様働けない時）'!BZ43/10000)</f>
        <v/>
      </c>
      <c r="CA43" s="240">
        <f>IF('CF表（ご主人様働けない時）'!CA$3="","",'CF表（ご主人様働けない時）'!CA43/10000)</f>
        <v/>
      </c>
      <c r="CB43" s="240">
        <f>IF('CF表（ご主人様働けない時）'!CB$3="","",'CF表（ご主人様働けない時）'!CB43/10000)</f>
        <v/>
      </c>
      <c r="CC43" s="240">
        <f>IF('CF表（ご主人様働けない時）'!CC$3="","",'CF表（ご主人様働けない時）'!CC43/10000)</f>
        <v/>
      </c>
      <c r="CD43" s="240">
        <f>IF('CF表（ご主人様働けない時）'!CD$3="","",'CF表（ご主人様働けない時）'!CD43/10000)</f>
        <v/>
      </c>
      <c r="CE43" s="240">
        <f>IF('CF表（ご主人様働けない時）'!CE$3="","",'CF表（ご主人様働けない時）'!CE43/10000)</f>
        <v/>
      </c>
      <c r="CF43" s="240">
        <f>IF('CF表（ご主人様働けない時）'!CF$3="","",'CF表（ご主人様働けない時）'!CF43/10000)</f>
        <v/>
      </c>
      <c r="CG43" s="240">
        <f>IF('CF表（ご主人様働けない時）'!CG$3="","",'CF表（ご主人様働けない時）'!CG43/10000)</f>
        <v/>
      </c>
      <c r="CH43" s="240">
        <f>IF('CF表（ご主人様働けない時）'!CH$3="","",'CF表（ご主人様働けない時）'!CH43/10000)</f>
        <v/>
      </c>
      <c r="CI43" s="240">
        <f>IF('CF表（ご主人様働けない時）'!CI$3="","",'CF表（ご主人様働けない時）'!CI43/10000)</f>
        <v/>
      </c>
      <c r="CJ43" s="240">
        <f>IF('CF表（ご主人様働けない時）'!CJ$3="","",'CF表（ご主人様働けない時）'!CJ43/10000)</f>
        <v/>
      </c>
      <c r="CK43" s="240">
        <f>IF('CF表（ご主人様働けない時）'!CK$3="","",'CF表（ご主人様働けない時）'!CK43/10000)</f>
        <v/>
      </c>
      <c r="CL43" s="240">
        <f>IF('CF表（ご主人様働けない時）'!CL$3="","",'CF表（ご主人様働けない時）'!CL43/10000)</f>
        <v/>
      </c>
      <c r="CM43" s="240">
        <f>IF('CF表（ご主人様働けない時）'!CM$3="","",'CF表（ご主人様働けない時）'!CM43/10000)</f>
        <v/>
      </c>
      <c r="CN43" s="240">
        <f>IF('CF表（ご主人様働けない時）'!CN$3="","",'CF表（ご主人様働けない時）'!CN43/10000)</f>
        <v/>
      </c>
      <c r="CO43" s="240">
        <f>IF('CF表（ご主人様働けない時）'!CO$3="","",'CF表（ご主人様働けない時）'!CO43/10000)</f>
        <v/>
      </c>
      <c r="CP43" s="240">
        <f>IF('CF表（ご主人様働けない時）'!CP$3="","",'CF表（ご主人様働けない時）'!CP43/10000)</f>
        <v/>
      </c>
      <c r="CQ43" s="240">
        <f>IF('CF表（ご主人様働けない時）'!CQ$3="","",'CF表（ご主人様働けない時）'!CQ43/10000)</f>
        <v/>
      </c>
      <c r="CR43" s="240">
        <f>IF('CF表（ご主人様働けない時）'!CR$3="","",'CF表（ご主人様働けない時）'!CR43/10000)</f>
        <v/>
      </c>
      <c r="CS43" s="240">
        <f>IF('CF表（ご主人様働けない時）'!CS$3="","",'CF表（ご主人様働けない時）'!CS43/10000)</f>
        <v/>
      </c>
      <c r="CT43" s="240">
        <f>IF('CF表（ご主人様働けない時）'!CT$3="","",'CF表（ご主人様働けない時）'!CT43/10000)</f>
        <v/>
      </c>
      <c r="CU43" s="240">
        <f>IF('CF表（ご主人様働けない時）'!CU$3="","",'CF表（ご主人様働けない時）'!CU43/10000)</f>
        <v/>
      </c>
      <c r="CV43" s="240">
        <f>IF('CF表（ご主人様働けない時）'!CV$3="","",'CF表（ご主人様働けない時）'!CV43/10000)</f>
        <v/>
      </c>
      <c r="CW43" s="240">
        <f>IF('CF表（ご主人様働けない時）'!CW$3="","",'CF表（ご主人様働けない時）'!CW43/10000)</f>
        <v/>
      </c>
    </row>
    <row r="44" ht="15" customHeight="1" s="180">
      <c r="A44" s="241" t="inlineStr">
        <is>
          <t>保有資産合計（参考）</t>
        </is>
      </c>
      <c r="B44" s="242">
        <f>IF('CF表（ご主人様働けない時）'!B$3="","",'CF表（ご主人様働けない時）'!B44/10000)</f>
        <v/>
      </c>
      <c r="C44" s="242">
        <f>IF('CF表（ご主人様働けない時）'!C$3="","",'CF表（ご主人様働けない時）'!C44/10000)</f>
        <v/>
      </c>
      <c r="D44" s="242">
        <f>IF('CF表（ご主人様働けない時）'!D$3="","",'CF表（ご主人様働けない時）'!D44/10000)</f>
        <v/>
      </c>
      <c r="E44" s="242">
        <f>IF('CF表（ご主人様働けない時）'!E$3="","",'CF表（ご主人様働けない時）'!E44/10000)</f>
        <v/>
      </c>
      <c r="F44" s="242">
        <f>IF('CF表（ご主人様働けない時）'!F$3="","",'CF表（ご主人様働けない時）'!F44/10000)</f>
        <v/>
      </c>
      <c r="G44" s="242">
        <f>IF('CF表（ご主人様働けない時）'!G$3="","",'CF表（ご主人様働けない時）'!G44/10000)</f>
        <v/>
      </c>
      <c r="H44" s="242">
        <f>IF('CF表（ご主人様働けない時）'!H$3="","",'CF表（ご主人様働けない時）'!H44/10000)</f>
        <v/>
      </c>
      <c r="I44" s="242">
        <f>IF('CF表（ご主人様働けない時）'!I$3="","",'CF表（ご主人様働けない時）'!I44/10000)</f>
        <v/>
      </c>
      <c r="J44" s="242">
        <f>IF('CF表（ご主人様働けない時）'!J$3="","",'CF表（ご主人様働けない時）'!J44/10000)</f>
        <v/>
      </c>
      <c r="K44" s="242">
        <f>IF('CF表（ご主人様働けない時）'!K$3="","",'CF表（ご主人様働けない時）'!K44/10000)</f>
        <v/>
      </c>
      <c r="L44" s="242">
        <f>IF('CF表（ご主人様働けない時）'!L$3="","",'CF表（ご主人様働けない時）'!L44/10000)</f>
        <v/>
      </c>
      <c r="M44" s="242">
        <f>IF('CF表（ご主人様働けない時）'!M$3="","",'CF表（ご主人様働けない時）'!M44/10000)</f>
        <v/>
      </c>
      <c r="N44" s="242">
        <f>IF('CF表（ご主人様働けない時）'!N$3="","",'CF表（ご主人様働けない時）'!N44/10000)</f>
        <v/>
      </c>
      <c r="O44" s="242">
        <f>IF('CF表（ご主人様働けない時）'!O$3="","",'CF表（ご主人様働けない時）'!O44/10000)</f>
        <v/>
      </c>
      <c r="P44" s="242">
        <f>IF('CF表（ご主人様働けない時）'!P$3="","",'CF表（ご主人様働けない時）'!P44/10000)</f>
        <v/>
      </c>
      <c r="Q44" s="242">
        <f>IF('CF表（ご主人様働けない時）'!Q$3="","",'CF表（ご主人様働けない時）'!Q44/10000)</f>
        <v/>
      </c>
      <c r="R44" s="242">
        <f>IF('CF表（ご主人様働けない時）'!R$3="","",'CF表（ご主人様働けない時）'!R44/10000)</f>
        <v/>
      </c>
      <c r="S44" s="242">
        <f>IF('CF表（ご主人様働けない時）'!S$3="","",'CF表（ご主人様働けない時）'!S44/10000)</f>
        <v/>
      </c>
      <c r="T44" s="242">
        <f>IF('CF表（ご主人様働けない時）'!T$3="","",'CF表（ご主人様働けない時）'!T44/10000)</f>
        <v/>
      </c>
      <c r="U44" s="242">
        <f>IF('CF表（ご主人様働けない時）'!U$3="","",'CF表（ご主人様働けない時）'!U44/10000)</f>
        <v/>
      </c>
      <c r="V44" s="242">
        <f>IF('CF表（ご主人様働けない時）'!V$3="","",'CF表（ご主人様働けない時）'!V44/10000)</f>
        <v/>
      </c>
      <c r="W44" s="242">
        <f>IF('CF表（ご主人様働けない時）'!W$3="","",'CF表（ご主人様働けない時）'!W44/10000)</f>
        <v/>
      </c>
      <c r="X44" s="242">
        <f>IF('CF表（ご主人様働けない時）'!X$3="","",'CF表（ご主人様働けない時）'!X44/10000)</f>
        <v/>
      </c>
      <c r="Y44" s="242">
        <f>IF('CF表（ご主人様働けない時）'!Y$3="","",'CF表（ご主人様働けない時）'!Y44/10000)</f>
        <v/>
      </c>
      <c r="Z44" s="242">
        <f>IF('CF表（ご主人様働けない時）'!Z$3="","",'CF表（ご主人様働けない時）'!Z44/10000)</f>
        <v/>
      </c>
      <c r="AA44" s="242">
        <f>IF('CF表（ご主人様働けない時）'!AA$3="","",'CF表（ご主人様働けない時）'!AA44/10000)</f>
        <v/>
      </c>
      <c r="AB44" s="242">
        <f>IF('CF表（ご主人様働けない時）'!AB$3="","",'CF表（ご主人様働けない時）'!AB44/10000)</f>
        <v/>
      </c>
      <c r="AC44" s="242">
        <f>IF('CF表（ご主人様働けない時）'!AC$3="","",'CF表（ご主人様働けない時）'!AC44/10000)</f>
        <v/>
      </c>
      <c r="AD44" s="242">
        <f>IF('CF表（ご主人様働けない時）'!AD$3="","",'CF表（ご主人様働けない時）'!AD44/10000)</f>
        <v/>
      </c>
      <c r="AE44" s="242">
        <f>IF('CF表（ご主人様働けない時）'!AE$3="","",'CF表（ご主人様働けない時）'!AE44/10000)</f>
        <v/>
      </c>
      <c r="AF44" s="242">
        <f>IF('CF表（ご主人様働けない時）'!AF$3="","",'CF表（ご主人様働けない時）'!AF44/10000)</f>
        <v/>
      </c>
      <c r="AG44" s="242">
        <f>IF('CF表（ご主人様働けない時）'!AG$3="","",'CF表（ご主人様働けない時）'!AG44/10000)</f>
        <v/>
      </c>
      <c r="AH44" s="242">
        <f>IF('CF表（ご主人様働けない時）'!AH$3="","",'CF表（ご主人様働けない時）'!AH44/10000)</f>
        <v/>
      </c>
      <c r="AI44" s="242">
        <f>IF('CF表（ご主人様働けない時）'!AI$3="","",'CF表（ご主人様働けない時）'!AI44/10000)</f>
        <v/>
      </c>
      <c r="AJ44" s="242">
        <f>IF('CF表（ご主人様働けない時）'!AJ$3="","",'CF表（ご主人様働けない時）'!AJ44/10000)</f>
        <v/>
      </c>
      <c r="AK44" s="242">
        <f>IF('CF表（ご主人様働けない時）'!AK$3="","",'CF表（ご主人様働けない時）'!AK44/10000)</f>
        <v/>
      </c>
      <c r="AL44" s="242">
        <f>IF('CF表（ご主人様働けない時）'!AL$3="","",'CF表（ご主人様働けない時）'!AL44/10000)</f>
        <v/>
      </c>
      <c r="AM44" s="242">
        <f>IF('CF表（ご主人様働けない時）'!AM$3="","",'CF表（ご主人様働けない時）'!AM44/10000)</f>
        <v/>
      </c>
      <c r="AN44" s="242">
        <f>IF('CF表（ご主人様働けない時）'!AN$3="","",'CF表（ご主人様働けない時）'!AN44/10000)</f>
        <v/>
      </c>
      <c r="AO44" s="242">
        <f>IF('CF表（ご主人様働けない時）'!AO$3="","",'CF表（ご主人様働けない時）'!AO44/10000)</f>
        <v/>
      </c>
      <c r="AP44" s="242">
        <f>IF('CF表（ご主人様働けない時）'!AP$3="","",'CF表（ご主人様働けない時）'!AP44/10000)</f>
        <v/>
      </c>
      <c r="AQ44" s="242">
        <f>IF('CF表（ご主人様働けない時）'!AQ$3="","",'CF表（ご主人様働けない時）'!AQ44/10000)</f>
        <v/>
      </c>
      <c r="AR44" s="242">
        <f>IF('CF表（ご主人様働けない時）'!AR$3="","",'CF表（ご主人様働けない時）'!AR44/10000)</f>
        <v/>
      </c>
      <c r="AS44" s="242">
        <f>IF('CF表（ご主人様働けない時）'!AS$3="","",'CF表（ご主人様働けない時）'!AS44/10000)</f>
        <v/>
      </c>
      <c r="AT44" s="242">
        <f>IF('CF表（ご主人様働けない時）'!AT$3="","",'CF表（ご主人様働けない時）'!AT44/10000)</f>
        <v/>
      </c>
      <c r="AU44" s="242">
        <f>IF('CF表（ご主人様働けない時）'!AU$3="","",'CF表（ご主人様働けない時）'!AU44/10000)</f>
        <v/>
      </c>
      <c r="AV44" s="242">
        <f>IF('CF表（ご主人様働けない時）'!AV$3="","",'CF表（ご主人様働けない時）'!AV44/10000)</f>
        <v/>
      </c>
      <c r="AW44" s="242">
        <f>IF('CF表（ご主人様働けない時）'!AW$3="","",'CF表（ご主人様働けない時）'!AW44/10000)</f>
        <v/>
      </c>
      <c r="AX44" s="242">
        <f>IF('CF表（ご主人様働けない時）'!AX$3="","",'CF表（ご主人様働けない時）'!AX44/10000)</f>
        <v/>
      </c>
      <c r="AY44" s="242">
        <f>IF('CF表（ご主人様働けない時）'!AY$3="","",'CF表（ご主人様働けない時）'!AY44/10000)</f>
        <v/>
      </c>
      <c r="AZ44" s="242">
        <f>IF('CF表（ご主人様働けない時）'!AZ$3="","",'CF表（ご主人様働けない時）'!AZ44/10000)</f>
        <v/>
      </c>
      <c r="BA44" s="242">
        <f>IF('CF表（ご主人様働けない時）'!BA$3="","",'CF表（ご主人様働けない時）'!BA44/10000)</f>
        <v/>
      </c>
      <c r="BB44" s="242">
        <f>IF('CF表（ご主人様働けない時）'!BB$3="","",'CF表（ご主人様働けない時）'!BB44/10000)</f>
        <v/>
      </c>
      <c r="BC44" s="242">
        <f>IF('CF表（ご主人様働けない時）'!BC$3="","",'CF表（ご主人様働けない時）'!BC44/10000)</f>
        <v/>
      </c>
      <c r="BD44" s="242">
        <f>IF('CF表（ご主人様働けない時）'!BD$3="","",'CF表（ご主人様働けない時）'!BD44/10000)</f>
        <v/>
      </c>
      <c r="BE44" s="242">
        <f>IF('CF表（ご主人様働けない時）'!BE$3="","",'CF表（ご主人様働けない時）'!BE44/10000)</f>
        <v/>
      </c>
      <c r="BF44" s="242">
        <f>IF('CF表（ご主人様働けない時）'!BF$3="","",'CF表（ご主人様働けない時）'!BF44/10000)</f>
        <v/>
      </c>
      <c r="BG44" s="242">
        <f>IF('CF表（ご主人様働けない時）'!BG$3="","",'CF表（ご主人様働けない時）'!BG44/10000)</f>
        <v/>
      </c>
      <c r="BH44" s="242">
        <f>IF('CF表（ご主人様働けない時）'!BH$3="","",'CF表（ご主人様働けない時）'!BH44/10000)</f>
        <v/>
      </c>
      <c r="BI44" s="242">
        <f>IF('CF表（ご主人様働けない時）'!BI$3="","",'CF表（ご主人様働けない時）'!BI44/10000)</f>
        <v/>
      </c>
      <c r="BJ44" s="242">
        <f>IF('CF表（ご主人様働けない時）'!BJ$3="","",'CF表（ご主人様働けない時）'!BJ44/10000)</f>
        <v/>
      </c>
      <c r="BK44" s="242">
        <f>IF('CF表（ご主人様働けない時）'!BK$3="","",'CF表（ご主人様働けない時）'!BK44/10000)</f>
        <v/>
      </c>
      <c r="BL44" s="242">
        <f>IF('CF表（ご主人様働けない時）'!BL$3="","",'CF表（ご主人様働けない時）'!BL44/10000)</f>
        <v/>
      </c>
      <c r="BM44" s="242">
        <f>IF('CF表（ご主人様働けない時）'!BM$3="","",'CF表（ご主人様働けない時）'!BM44/10000)</f>
        <v/>
      </c>
      <c r="BN44" s="242">
        <f>IF('CF表（ご主人様働けない時）'!BN$3="","",'CF表（ご主人様働けない時）'!BN44/10000)</f>
        <v/>
      </c>
      <c r="BO44" s="242">
        <f>IF('CF表（ご主人様働けない時）'!BO$3="","",'CF表（ご主人様働けない時）'!BO44/10000)</f>
        <v/>
      </c>
      <c r="BP44" s="242">
        <f>IF('CF表（ご主人様働けない時）'!BP$3="","",'CF表（ご主人様働けない時）'!BP44/10000)</f>
        <v/>
      </c>
      <c r="BQ44" s="242">
        <f>IF('CF表（ご主人様働けない時）'!BQ$3="","",'CF表（ご主人様働けない時）'!BQ44/10000)</f>
        <v/>
      </c>
      <c r="BR44" s="242">
        <f>IF('CF表（ご主人様働けない時）'!BR$3="","",'CF表（ご主人様働けない時）'!BR44/10000)</f>
        <v/>
      </c>
      <c r="BS44" s="242">
        <f>IF('CF表（ご主人様働けない時）'!BS$3="","",'CF表（ご主人様働けない時）'!BS44/10000)</f>
        <v/>
      </c>
      <c r="BT44" s="242">
        <f>IF('CF表（ご主人様働けない時）'!BT$3="","",'CF表（ご主人様働けない時）'!BT44/10000)</f>
        <v/>
      </c>
      <c r="BU44" s="242">
        <f>IF('CF表（ご主人様働けない時）'!BU$3="","",'CF表（ご主人様働けない時）'!BU44/10000)</f>
        <v/>
      </c>
      <c r="BV44" s="242">
        <f>IF('CF表（ご主人様働けない時）'!BV$3="","",'CF表（ご主人様働けない時）'!BV44/10000)</f>
        <v/>
      </c>
      <c r="BW44" s="242">
        <f>IF('CF表（ご主人様働けない時）'!BW$3="","",'CF表（ご主人様働けない時）'!BW44/10000)</f>
        <v/>
      </c>
      <c r="BX44" s="242">
        <f>IF('CF表（ご主人様働けない時）'!BX$3="","",'CF表（ご主人様働けない時）'!BX44/10000)</f>
        <v/>
      </c>
      <c r="BY44" s="242">
        <f>IF('CF表（ご主人様働けない時）'!BY$3="","",'CF表（ご主人様働けない時）'!BY44/10000)</f>
        <v/>
      </c>
      <c r="BZ44" s="242">
        <f>IF('CF表（ご主人様働けない時）'!BZ$3="","",'CF表（ご主人様働けない時）'!BZ44/10000)</f>
        <v/>
      </c>
      <c r="CA44" s="242">
        <f>IF('CF表（ご主人様働けない時）'!CA$3="","",'CF表（ご主人様働けない時）'!CA44/10000)</f>
        <v/>
      </c>
      <c r="CB44" s="242">
        <f>IF('CF表（ご主人様働けない時）'!CB$3="","",'CF表（ご主人様働けない時）'!CB44/10000)</f>
        <v/>
      </c>
      <c r="CC44" s="242">
        <f>IF('CF表（ご主人様働けない時）'!CC$3="","",'CF表（ご主人様働けない時）'!CC44/10000)</f>
        <v/>
      </c>
      <c r="CD44" s="242">
        <f>IF('CF表（ご主人様働けない時）'!CD$3="","",'CF表（ご主人様働けない時）'!CD44/10000)</f>
        <v/>
      </c>
      <c r="CE44" s="242">
        <f>IF('CF表（ご主人様働けない時）'!CE$3="","",'CF表（ご主人様働けない時）'!CE44/10000)</f>
        <v/>
      </c>
      <c r="CF44" s="242">
        <f>IF('CF表（ご主人様働けない時）'!CF$3="","",'CF表（ご主人様働けない時）'!CF44/10000)</f>
        <v/>
      </c>
      <c r="CG44" s="242">
        <f>IF('CF表（ご主人様働けない時）'!CG$3="","",'CF表（ご主人様働けない時）'!CG44/10000)</f>
        <v/>
      </c>
      <c r="CH44" s="242">
        <f>IF('CF表（ご主人様働けない時）'!CH$3="","",'CF表（ご主人様働けない時）'!CH44/10000)</f>
        <v/>
      </c>
      <c r="CI44" s="242">
        <f>IF('CF表（ご主人様働けない時）'!CI$3="","",'CF表（ご主人様働けない時）'!CI44/10000)</f>
        <v/>
      </c>
      <c r="CJ44" s="242">
        <f>IF('CF表（ご主人様働けない時）'!CJ$3="","",'CF表（ご主人様働けない時）'!CJ44/10000)</f>
        <v/>
      </c>
      <c r="CK44" s="242">
        <f>IF('CF表（ご主人様働けない時）'!CK$3="","",'CF表（ご主人様働けない時）'!CK44/10000)</f>
        <v/>
      </c>
      <c r="CL44" s="242">
        <f>IF('CF表（ご主人様働けない時）'!CL$3="","",'CF表（ご主人様働けない時）'!CL44/10000)</f>
        <v/>
      </c>
      <c r="CM44" s="242">
        <f>IF('CF表（ご主人様働けない時）'!CM$3="","",'CF表（ご主人様働けない時）'!CM44/10000)</f>
        <v/>
      </c>
      <c r="CN44" s="242">
        <f>IF('CF表（ご主人様働けない時）'!CN$3="","",'CF表（ご主人様働けない時）'!CN44/10000)</f>
        <v/>
      </c>
      <c r="CO44" s="242">
        <f>IF('CF表（ご主人様働けない時）'!CO$3="","",'CF表（ご主人様働けない時）'!CO44/10000)</f>
        <v/>
      </c>
      <c r="CP44" s="242">
        <f>IF('CF表（ご主人様働けない時）'!CP$3="","",'CF表（ご主人様働けない時）'!CP44/10000)</f>
        <v/>
      </c>
      <c r="CQ44" s="242">
        <f>IF('CF表（ご主人様働けない時）'!CQ$3="","",'CF表（ご主人様働けない時）'!CQ44/10000)</f>
        <v/>
      </c>
      <c r="CR44" s="242">
        <f>IF('CF表（ご主人様働けない時）'!CR$3="","",'CF表（ご主人様働けない時）'!CR44/10000)</f>
        <v/>
      </c>
      <c r="CS44" s="242">
        <f>IF('CF表（ご主人様働けない時）'!CS$3="","",'CF表（ご主人様働けない時）'!CS44/10000)</f>
        <v/>
      </c>
      <c r="CT44" s="242">
        <f>IF('CF表（ご主人様働けない時）'!CT$3="","",'CF表（ご主人様働けない時）'!CT44/10000)</f>
        <v/>
      </c>
      <c r="CU44" s="242">
        <f>IF('CF表（ご主人様働けない時）'!CU$3="","",'CF表（ご主人様働けない時）'!CU44/10000)</f>
        <v/>
      </c>
      <c r="CV44" s="242">
        <f>IF('CF表（ご主人様働けない時）'!CV$3="","",'CF表（ご主人様働けない時）'!CV44/10000)</f>
        <v/>
      </c>
      <c r="CW44" s="242">
        <f>IF('CF表（ご主人様働けない時）'!CW$3="","",'CF表（ご主人様働けない時）'!CW44/10000)</f>
        <v/>
      </c>
    </row>
    <row r="45" ht="15" customHeight="1" s="180">
      <c r="A45" s="241" t="inlineStr">
        <is>
          <t>負債合計（参考）</t>
        </is>
      </c>
      <c r="B45" s="242">
        <f>IF('CF表（ご主人様働けない時）'!B$3="","",'CF表（ご主人様働けない時）'!B45/10000)</f>
        <v/>
      </c>
      <c r="C45" s="242">
        <f>IF('CF表（ご主人様働けない時）'!C$3="","",'CF表（ご主人様働けない時）'!C45/10000)</f>
        <v/>
      </c>
      <c r="D45" s="242">
        <f>IF('CF表（ご主人様働けない時）'!D$3="","",'CF表（ご主人様働けない時）'!D45/10000)</f>
        <v/>
      </c>
      <c r="E45" s="242">
        <f>IF('CF表（ご主人様働けない時）'!E$3="","",'CF表（ご主人様働けない時）'!E45/10000)</f>
        <v/>
      </c>
      <c r="F45" s="242">
        <f>IF('CF表（ご主人様働けない時）'!F$3="","",'CF表（ご主人様働けない時）'!F45/10000)</f>
        <v/>
      </c>
      <c r="G45" s="242">
        <f>IF('CF表（ご主人様働けない時）'!G$3="","",'CF表（ご主人様働けない時）'!G45/10000)</f>
        <v/>
      </c>
      <c r="H45" s="242">
        <f>IF('CF表（ご主人様働けない時）'!H$3="","",'CF表（ご主人様働けない時）'!H45/10000)</f>
        <v/>
      </c>
      <c r="I45" s="242">
        <f>IF('CF表（ご主人様働けない時）'!I$3="","",'CF表（ご主人様働けない時）'!I45/10000)</f>
        <v/>
      </c>
      <c r="J45" s="242">
        <f>IF('CF表（ご主人様働けない時）'!J$3="","",'CF表（ご主人様働けない時）'!J45/10000)</f>
        <v/>
      </c>
      <c r="K45" s="242">
        <f>IF('CF表（ご主人様働けない時）'!K$3="","",'CF表（ご主人様働けない時）'!K45/10000)</f>
        <v/>
      </c>
      <c r="L45" s="242">
        <f>IF('CF表（ご主人様働けない時）'!L$3="","",'CF表（ご主人様働けない時）'!L45/10000)</f>
        <v/>
      </c>
      <c r="M45" s="242">
        <f>IF('CF表（ご主人様働けない時）'!M$3="","",'CF表（ご主人様働けない時）'!M45/10000)</f>
        <v/>
      </c>
      <c r="N45" s="242">
        <f>IF('CF表（ご主人様働けない時）'!N$3="","",'CF表（ご主人様働けない時）'!N45/10000)</f>
        <v/>
      </c>
      <c r="O45" s="242">
        <f>IF('CF表（ご主人様働けない時）'!O$3="","",'CF表（ご主人様働けない時）'!O45/10000)</f>
        <v/>
      </c>
      <c r="P45" s="242">
        <f>IF('CF表（ご主人様働けない時）'!P$3="","",'CF表（ご主人様働けない時）'!P45/10000)</f>
        <v/>
      </c>
      <c r="Q45" s="242">
        <f>IF('CF表（ご主人様働けない時）'!Q$3="","",'CF表（ご主人様働けない時）'!Q45/10000)</f>
        <v/>
      </c>
      <c r="R45" s="242">
        <f>IF('CF表（ご主人様働けない時）'!R$3="","",'CF表（ご主人様働けない時）'!R45/10000)</f>
        <v/>
      </c>
      <c r="S45" s="242">
        <f>IF('CF表（ご主人様働けない時）'!S$3="","",'CF表（ご主人様働けない時）'!S45/10000)</f>
        <v/>
      </c>
      <c r="T45" s="242">
        <f>IF('CF表（ご主人様働けない時）'!T$3="","",'CF表（ご主人様働けない時）'!T45/10000)</f>
        <v/>
      </c>
      <c r="U45" s="242">
        <f>IF('CF表（ご主人様働けない時）'!U$3="","",'CF表（ご主人様働けない時）'!U45/10000)</f>
        <v/>
      </c>
      <c r="V45" s="242">
        <f>IF('CF表（ご主人様働けない時）'!V$3="","",'CF表（ご主人様働けない時）'!V45/10000)</f>
        <v/>
      </c>
      <c r="W45" s="242">
        <f>IF('CF表（ご主人様働けない時）'!W$3="","",'CF表（ご主人様働けない時）'!W45/10000)</f>
        <v/>
      </c>
      <c r="X45" s="242">
        <f>IF('CF表（ご主人様働けない時）'!X$3="","",'CF表（ご主人様働けない時）'!X45/10000)</f>
        <v/>
      </c>
      <c r="Y45" s="242">
        <f>IF('CF表（ご主人様働けない時）'!Y$3="","",'CF表（ご主人様働けない時）'!Y45/10000)</f>
        <v/>
      </c>
      <c r="Z45" s="242">
        <f>IF('CF表（ご主人様働けない時）'!Z$3="","",'CF表（ご主人様働けない時）'!Z45/10000)</f>
        <v/>
      </c>
      <c r="AA45" s="242">
        <f>IF('CF表（ご主人様働けない時）'!AA$3="","",'CF表（ご主人様働けない時）'!AA45/10000)</f>
        <v/>
      </c>
      <c r="AB45" s="242">
        <f>IF('CF表（ご主人様働けない時）'!AB$3="","",'CF表（ご主人様働けない時）'!AB45/10000)</f>
        <v/>
      </c>
      <c r="AC45" s="242">
        <f>IF('CF表（ご主人様働けない時）'!AC$3="","",'CF表（ご主人様働けない時）'!AC45/10000)</f>
        <v/>
      </c>
      <c r="AD45" s="242">
        <f>IF('CF表（ご主人様働けない時）'!AD$3="","",'CF表（ご主人様働けない時）'!AD45/10000)</f>
        <v/>
      </c>
      <c r="AE45" s="242">
        <f>IF('CF表（ご主人様働けない時）'!AE$3="","",'CF表（ご主人様働けない時）'!AE45/10000)</f>
        <v/>
      </c>
      <c r="AF45" s="242">
        <f>IF('CF表（ご主人様働けない時）'!AF$3="","",'CF表（ご主人様働けない時）'!AF45/10000)</f>
        <v/>
      </c>
      <c r="AG45" s="242">
        <f>IF('CF表（ご主人様働けない時）'!AG$3="","",'CF表（ご主人様働けない時）'!AG45/10000)</f>
        <v/>
      </c>
      <c r="AH45" s="242">
        <f>IF('CF表（ご主人様働けない時）'!AH$3="","",'CF表（ご主人様働けない時）'!AH45/10000)</f>
        <v/>
      </c>
      <c r="AI45" s="242">
        <f>IF('CF表（ご主人様働けない時）'!AI$3="","",'CF表（ご主人様働けない時）'!AI45/10000)</f>
        <v/>
      </c>
      <c r="AJ45" s="242">
        <f>IF('CF表（ご主人様働けない時）'!AJ$3="","",'CF表（ご主人様働けない時）'!AJ45/10000)</f>
        <v/>
      </c>
      <c r="AK45" s="242">
        <f>IF('CF表（ご主人様働けない時）'!AK$3="","",'CF表（ご主人様働けない時）'!AK45/10000)</f>
        <v/>
      </c>
      <c r="AL45" s="242">
        <f>IF('CF表（ご主人様働けない時）'!AL$3="","",'CF表（ご主人様働けない時）'!AL45/10000)</f>
        <v/>
      </c>
      <c r="AM45" s="242">
        <f>IF('CF表（ご主人様働けない時）'!AM$3="","",'CF表（ご主人様働けない時）'!AM45/10000)</f>
        <v/>
      </c>
      <c r="AN45" s="242">
        <f>IF('CF表（ご主人様働けない時）'!AN$3="","",'CF表（ご主人様働けない時）'!AN45/10000)</f>
        <v/>
      </c>
      <c r="AO45" s="242">
        <f>IF('CF表（ご主人様働けない時）'!AO$3="","",'CF表（ご主人様働けない時）'!AO45/10000)</f>
        <v/>
      </c>
      <c r="AP45" s="242">
        <f>IF('CF表（ご主人様働けない時）'!AP$3="","",'CF表（ご主人様働けない時）'!AP45/10000)</f>
        <v/>
      </c>
      <c r="AQ45" s="242">
        <f>IF('CF表（ご主人様働けない時）'!AQ$3="","",'CF表（ご主人様働けない時）'!AQ45/10000)</f>
        <v/>
      </c>
      <c r="AR45" s="242">
        <f>IF('CF表（ご主人様働けない時）'!AR$3="","",'CF表（ご主人様働けない時）'!AR45/10000)</f>
        <v/>
      </c>
      <c r="AS45" s="242">
        <f>IF('CF表（ご主人様働けない時）'!AS$3="","",'CF表（ご主人様働けない時）'!AS45/10000)</f>
        <v/>
      </c>
      <c r="AT45" s="242">
        <f>IF('CF表（ご主人様働けない時）'!AT$3="","",'CF表（ご主人様働けない時）'!AT45/10000)</f>
        <v/>
      </c>
      <c r="AU45" s="242">
        <f>IF('CF表（ご主人様働けない時）'!AU$3="","",'CF表（ご主人様働けない時）'!AU45/10000)</f>
        <v/>
      </c>
      <c r="AV45" s="242">
        <f>IF('CF表（ご主人様働けない時）'!AV$3="","",'CF表（ご主人様働けない時）'!AV45/10000)</f>
        <v/>
      </c>
      <c r="AW45" s="242">
        <f>IF('CF表（ご主人様働けない時）'!AW$3="","",'CF表（ご主人様働けない時）'!AW45/10000)</f>
        <v/>
      </c>
      <c r="AX45" s="242">
        <f>IF('CF表（ご主人様働けない時）'!AX$3="","",'CF表（ご主人様働けない時）'!AX45/10000)</f>
        <v/>
      </c>
      <c r="AY45" s="242">
        <f>IF('CF表（ご主人様働けない時）'!AY$3="","",'CF表（ご主人様働けない時）'!AY45/10000)</f>
        <v/>
      </c>
      <c r="AZ45" s="242">
        <f>IF('CF表（ご主人様働けない時）'!AZ$3="","",'CF表（ご主人様働けない時）'!AZ45/10000)</f>
        <v/>
      </c>
      <c r="BA45" s="242">
        <f>IF('CF表（ご主人様働けない時）'!BA$3="","",'CF表（ご主人様働けない時）'!BA45/10000)</f>
        <v/>
      </c>
      <c r="BB45" s="242">
        <f>IF('CF表（ご主人様働けない時）'!BB$3="","",'CF表（ご主人様働けない時）'!BB45/10000)</f>
        <v/>
      </c>
      <c r="BC45" s="242">
        <f>IF('CF表（ご主人様働けない時）'!BC$3="","",'CF表（ご主人様働けない時）'!BC45/10000)</f>
        <v/>
      </c>
      <c r="BD45" s="242">
        <f>IF('CF表（ご主人様働けない時）'!BD$3="","",'CF表（ご主人様働けない時）'!BD45/10000)</f>
        <v/>
      </c>
      <c r="BE45" s="242">
        <f>IF('CF表（ご主人様働けない時）'!BE$3="","",'CF表（ご主人様働けない時）'!BE45/10000)</f>
        <v/>
      </c>
      <c r="BF45" s="242">
        <f>IF('CF表（ご主人様働けない時）'!BF$3="","",'CF表（ご主人様働けない時）'!BF45/10000)</f>
        <v/>
      </c>
      <c r="BG45" s="242">
        <f>IF('CF表（ご主人様働けない時）'!BG$3="","",'CF表（ご主人様働けない時）'!BG45/10000)</f>
        <v/>
      </c>
      <c r="BH45" s="242">
        <f>IF('CF表（ご主人様働けない時）'!BH$3="","",'CF表（ご主人様働けない時）'!BH45/10000)</f>
        <v/>
      </c>
      <c r="BI45" s="242">
        <f>IF('CF表（ご主人様働けない時）'!BI$3="","",'CF表（ご主人様働けない時）'!BI45/10000)</f>
        <v/>
      </c>
      <c r="BJ45" s="242">
        <f>IF('CF表（ご主人様働けない時）'!BJ$3="","",'CF表（ご主人様働けない時）'!BJ45/10000)</f>
        <v/>
      </c>
      <c r="BK45" s="242">
        <f>IF('CF表（ご主人様働けない時）'!BK$3="","",'CF表（ご主人様働けない時）'!BK45/10000)</f>
        <v/>
      </c>
      <c r="BL45" s="242">
        <f>IF('CF表（ご主人様働けない時）'!BL$3="","",'CF表（ご主人様働けない時）'!BL45/10000)</f>
        <v/>
      </c>
      <c r="BM45" s="242">
        <f>IF('CF表（ご主人様働けない時）'!BM$3="","",'CF表（ご主人様働けない時）'!BM45/10000)</f>
        <v/>
      </c>
      <c r="BN45" s="242">
        <f>IF('CF表（ご主人様働けない時）'!BN$3="","",'CF表（ご主人様働けない時）'!BN45/10000)</f>
        <v/>
      </c>
      <c r="BO45" s="242">
        <f>IF('CF表（ご主人様働けない時）'!BO$3="","",'CF表（ご主人様働けない時）'!BO45/10000)</f>
        <v/>
      </c>
      <c r="BP45" s="242">
        <f>IF('CF表（ご主人様働けない時）'!BP$3="","",'CF表（ご主人様働けない時）'!BP45/10000)</f>
        <v/>
      </c>
      <c r="BQ45" s="242">
        <f>IF('CF表（ご主人様働けない時）'!BQ$3="","",'CF表（ご主人様働けない時）'!BQ45/10000)</f>
        <v/>
      </c>
      <c r="BR45" s="242">
        <f>IF('CF表（ご主人様働けない時）'!BR$3="","",'CF表（ご主人様働けない時）'!BR45/10000)</f>
        <v/>
      </c>
      <c r="BS45" s="242">
        <f>IF('CF表（ご主人様働けない時）'!BS$3="","",'CF表（ご主人様働けない時）'!BS45/10000)</f>
        <v/>
      </c>
      <c r="BT45" s="242">
        <f>IF('CF表（ご主人様働けない時）'!BT$3="","",'CF表（ご主人様働けない時）'!BT45/10000)</f>
        <v/>
      </c>
      <c r="BU45" s="242">
        <f>IF('CF表（ご主人様働けない時）'!BU$3="","",'CF表（ご主人様働けない時）'!BU45/10000)</f>
        <v/>
      </c>
      <c r="BV45" s="242">
        <f>IF('CF表（ご主人様働けない時）'!BV$3="","",'CF表（ご主人様働けない時）'!BV45/10000)</f>
        <v/>
      </c>
      <c r="BW45" s="242">
        <f>IF('CF表（ご主人様働けない時）'!BW$3="","",'CF表（ご主人様働けない時）'!BW45/10000)</f>
        <v/>
      </c>
      <c r="BX45" s="242">
        <f>IF('CF表（ご主人様働けない時）'!BX$3="","",'CF表（ご主人様働けない時）'!BX45/10000)</f>
        <v/>
      </c>
      <c r="BY45" s="242">
        <f>IF('CF表（ご主人様働けない時）'!BY$3="","",'CF表（ご主人様働けない時）'!BY45/10000)</f>
        <v/>
      </c>
      <c r="BZ45" s="242">
        <f>IF('CF表（ご主人様働けない時）'!BZ$3="","",'CF表（ご主人様働けない時）'!BZ45/10000)</f>
        <v/>
      </c>
      <c r="CA45" s="242">
        <f>IF('CF表（ご主人様働けない時）'!CA$3="","",'CF表（ご主人様働けない時）'!CA45/10000)</f>
        <v/>
      </c>
      <c r="CB45" s="242">
        <f>IF('CF表（ご主人様働けない時）'!CB$3="","",'CF表（ご主人様働けない時）'!CB45/10000)</f>
        <v/>
      </c>
      <c r="CC45" s="242">
        <f>IF('CF表（ご主人様働けない時）'!CC$3="","",'CF表（ご主人様働けない時）'!CC45/10000)</f>
        <v/>
      </c>
      <c r="CD45" s="242">
        <f>IF('CF表（ご主人様働けない時）'!CD$3="","",'CF表（ご主人様働けない時）'!CD45/10000)</f>
        <v/>
      </c>
      <c r="CE45" s="242">
        <f>IF('CF表（ご主人様働けない時）'!CE$3="","",'CF表（ご主人様働けない時）'!CE45/10000)</f>
        <v/>
      </c>
      <c r="CF45" s="242">
        <f>IF('CF表（ご主人様働けない時）'!CF$3="","",'CF表（ご主人様働けない時）'!CF45/10000)</f>
        <v/>
      </c>
      <c r="CG45" s="242">
        <f>IF('CF表（ご主人様働けない時）'!CG$3="","",'CF表（ご主人様働けない時）'!CG45/10000)</f>
        <v/>
      </c>
      <c r="CH45" s="242">
        <f>IF('CF表（ご主人様働けない時）'!CH$3="","",'CF表（ご主人様働けない時）'!CH45/10000)</f>
        <v/>
      </c>
      <c r="CI45" s="242">
        <f>IF('CF表（ご主人様働けない時）'!CI$3="","",'CF表（ご主人様働けない時）'!CI45/10000)</f>
        <v/>
      </c>
      <c r="CJ45" s="242">
        <f>IF('CF表（ご主人様働けない時）'!CJ$3="","",'CF表（ご主人様働けない時）'!CJ45/10000)</f>
        <v/>
      </c>
      <c r="CK45" s="242">
        <f>IF('CF表（ご主人様働けない時）'!CK$3="","",'CF表（ご主人様働けない時）'!CK45/10000)</f>
        <v/>
      </c>
      <c r="CL45" s="242">
        <f>IF('CF表（ご主人様働けない時）'!CL$3="","",'CF表（ご主人様働けない時）'!CL45/10000)</f>
        <v/>
      </c>
      <c r="CM45" s="242">
        <f>IF('CF表（ご主人様働けない時）'!CM$3="","",'CF表（ご主人様働けない時）'!CM45/10000)</f>
        <v/>
      </c>
      <c r="CN45" s="242">
        <f>IF('CF表（ご主人様働けない時）'!CN$3="","",'CF表（ご主人様働けない時）'!CN45/10000)</f>
        <v/>
      </c>
      <c r="CO45" s="242">
        <f>IF('CF表（ご主人様働けない時）'!CO$3="","",'CF表（ご主人様働けない時）'!CO45/10000)</f>
        <v/>
      </c>
      <c r="CP45" s="242">
        <f>IF('CF表（ご主人様働けない時）'!CP$3="","",'CF表（ご主人様働けない時）'!CP45/10000)</f>
        <v/>
      </c>
      <c r="CQ45" s="242">
        <f>IF('CF表（ご主人様働けない時）'!CQ$3="","",'CF表（ご主人様働けない時）'!CQ45/10000)</f>
        <v/>
      </c>
      <c r="CR45" s="242">
        <f>IF('CF表（ご主人様働けない時）'!CR$3="","",'CF表（ご主人様働けない時）'!CR45/10000)</f>
        <v/>
      </c>
      <c r="CS45" s="242">
        <f>IF('CF表（ご主人様働けない時）'!CS$3="","",'CF表（ご主人様働けない時）'!CS45/10000)</f>
        <v/>
      </c>
      <c r="CT45" s="242">
        <f>IF('CF表（ご主人様働けない時）'!CT$3="","",'CF表（ご主人様働けない時）'!CT45/10000)</f>
        <v/>
      </c>
      <c r="CU45" s="242">
        <f>IF('CF表（ご主人様働けない時）'!CU$3="","",'CF表（ご主人様働けない時）'!CU45/10000)</f>
        <v/>
      </c>
      <c r="CV45" s="242">
        <f>IF('CF表（ご主人様働けない時）'!CV$3="","",'CF表（ご主人様働けない時）'!CV45/10000)</f>
        <v/>
      </c>
      <c r="CW45" s="242">
        <f>IF('CF表（ご主人様働けない時）'!CW$3="","",'CF表（ご主人様働けない時）'!CW45/10000)</f>
        <v/>
      </c>
    </row>
  </sheetData>
  <mergeCells count="1">
    <mergeCell ref="A1:CW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CW4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4" customWidth="1" style="179" min="1" max="1"/>
    <col width="11" customWidth="1" style="179" min="2" max="101"/>
  </cols>
  <sheetData>
    <row r="1" ht="21" customHeight="1" s="180">
      <c r="A1" s="292" t="inlineStr">
        <is>
          <t>ライフプラン表（奥様働けない時）</t>
        </is>
      </c>
    </row>
    <row r="2" ht="15" customHeight="1" s="180">
      <c r="A2" s="214" t="inlineStr">
        <is>
          <t>試算終了年</t>
        </is>
      </c>
      <c r="B2" s="179">
        <f>MAX(IF(入力データ!$C$10&lt;&gt;"",YEAR(入力データ!$C$10)+100,0),IF(入力データ!$C$11&lt;&gt;"",YEAR(入力データ!$C$11)+100,0))</f>
        <v/>
      </c>
    </row>
    <row r="3" ht="15" customHeight="1" s="180">
      <c r="A3" s="215" t="inlineStr">
        <is>
          <t>年</t>
        </is>
      </c>
      <c r="B3" s="216">
        <f>IF(YEAR(入力データ!$C$5)&gt;$B$2,"",YEAR(入力データ!$C$5))</f>
        <v/>
      </c>
      <c r="C3" s="216">
        <f>IF(B3="","",IF(B3+1&gt;$B$2,"",B3+1))</f>
        <v/>
      </c>
      <c r="D3" s="216">
        <f>IF(C3="","",IF(C3+1&gt;$B$2,"",C3+1))</f>
        <v/>
      </c>
      <c r="E3" s="216">
        <f>IF(D3="","",IF(D3+1&gt;$B$2,"",D3+1))</f>
        <v/>
      </c>
      <c r="F3" s="216">
        <f>IF(E3="","",IF(E3+1&gt;$B$2,"",E3+1))</f>
        <v/>
      </c>
      <c r="G3" s="216">
        <f>IF(F3="","",IF(F3+1&gt;$B$2,"",F3+1))</f>
        <v/>
      </c>
      <c r="H3" s="216">
        <f>IF(G3="","",IF(G3+1&gt;$B$2,"",G3+1))</f>
        <v/>
      </c>
      <c r="I3" s="216">
        <f>IF(H3="","",IF(H3+1&gt;$B$2,"",H3+1))</f>
        <v/>
      </c>
      <c r="J3" s="216">
        <f>IF(I3="","",IF(I3+1&gt;$B$2,"",I3+1))</f>
        <v/>
      </c>
      <c r="K3" s="216">
        <f>IF(J3="","",IF(J3+1&gt;$B$2,"",J3+1))</f>
        <v/>
      </c>
      <c r="L3" s="216">
        <f>IF(K3="","",IF(K3+1&gt;$B$2,"",K3+1))</f>
        <v/>
      </c>
      <c r="M3" s="216">
        <f>IF(L3="","",IF(L3+1&gt;$B$2,"",L3+1))</f>
        <v/>
      </c>
      <c r="N3" s="216">
        <f>IF(M3="","",IF(M3+1&gt;$B$2,"",M3+1))</f>
        <v/>
      </c>
      <c r="O3" s="216">
        <f>IF(N3="","",IF(N3+1&gt;$B$2,"",N3+1))</f>
        <v/>
      </c>
      <c r="P3" s="216">
        <f>IF(O3="","",IF(O3+1&gt;$B$2,"",O3+1))</f>
        <v/>
      </c>
      <c r="Q3" s="216">
        <f>IF(P3="","",IF(P3+1&gt;$B$2,"",P3+1))</f>
        <v/>
      </c>
      <c r="R3" s="216">
        <f>IF(Q3="","",IF(Q3+1&gt;$B$2,"",Q3+1))</f>
        <v/>
      </c>
      <c r="S3" s="216">
        <f>IF(R3="","",IF(R3+1&gt;$B$2,"",R3+1))</f>
        <v/>
      </c>
      <c r="T3" s="216">
        <f>IF(S3="","",IF(S3+1&gt;$B$2,"",S3+1))</f>
        <v/>
      </c>
      <c r="U3" s="216">
        <f>IF(T3="","",IF(T3+1&gt;$B$2,"",T3+1))</f>
        <v/>
      </c>
      <c r="V3" s="216">
        <f>IF(U3="","",IF(U3+1&gt;$B$2,"",U3+1))</f>
        <v/>
      </c>
      <c r="W3" s="216">
        <f>IF(V3="","",IF(V3+1&gt;$B$2,"",V3+1))</f>
        <v/>
      </c>
      <c r="X3" s="216">
        <f>IF(W3="","",IF(W3+1&gt;$B$2,"",W3+1))</f>
        <v/>
      </c>
      <c r="Y3" s="216">
        <f>IF(X3="","",IF(X3+1&gt;$B$2,"",X3+1))</f>
        <v/>
      </c>
      <c r="Z3" s="216">
        <f>IF(Y3="","",IF(Y3+1&gt;$B$2,"",Y3+1))</f>
        <v/>
      </c>
      <c r="AA3" s="216">
        <f>IF(Z3="","",IF(Z3+1&gt;$B$2,"",Z3+1))</f>
        <v/>
      </c>
      <c r="AB3" s="216">
        <f>IF(AA3="","",IF(AA3+1&gt;$B$2,"",AA3+1))</f>
        <v/>
      </c>
      <c r="AC3" s="216">
        <f>IF(AB3="","",IF(AB3+1&gt;$B$2,"",AB3+1))</f>
        <v/>
      </c>
      <c r="AD3" s="216">
        <f>IF(AC3="","",IF(AC3+1&gt;$B$2,"",AC3+1))</f>
        <v/>
      </c>
      <c r="AE3" s="216">
        <f>IF(AD3="","",IF(AD3+1&gt;$B$2,"",AD3+1))</f>
        <v/>
      </c>
      <c r="AF3" s="216">
        <f>IF(AE3="","",IF(AE3+1&gt;$B$2,"",AE3+1))</f>
        <v/>
      </c>
      <c r="AG3" s="216">
        <f>IF(AF3="","",IF(AF3+1&gt;$B$2,"",AF3+1))</f>
        <v/>
      </c>
      <c r="AH3" s="216">
        <f>IF(AG3="","",IF(AG3+1&gt;$B$2,"",AG3+1))</f>
        <v/>
      </c>
      <c r="AI3" s="216">
        <f>IF(AH3="","",IF(AH3+1&gt;$B$2,"",AH3+1))</f>
        <v/>
      </c>
      <c r="AJ3" s="216">
        <f>IF(AI3="","",IF(AI3+1&gt;$B$2,"",AI3+1))</f>
        <v/>
      </c>
      <c r="AK3" s="216">
        <f>IF(AJ3="","",IF(AJ3+1&gt;$B$2,"",AJ3+1))</f>
        <v/>
      </c>
      <c r="AL3" s="216">
        <f>IF(AK3="","",IF(AK3+1&gt;$B$2,"",AK3+1))</f>
        <v/>
      </c>
      <c r="AM3" s="216">
        <f>IF(AL3="","",IF(AL3+1&gt;$B$2,"",AL3+1))</f>
        <v/>
      </c>
      <c r="AN3" s="216">
        <f>IF(AM3="","",IF(AM3+1&gt;$B$2,"",AM3+1))</f>
        <v/>
      </c>
      <c r="AO3" s="216">
        <f>IF(AN3="","",IF(AN3+1&gt;$B$2,"",AN3+1))</f>
        <v/>
      </c>
      <c r="AP3" s="216">
        <f>IF(AO3="","",IF(AO3+1&gt;$B$2,"",AO3+1))</f>
        <v/>
      </c>
      <c r="AQ3" s="216">
        <f>IF(AP3="","",IF(AP3+1&gt;$B$2,"",AP3+1))</f>
        <v/>
      </c>
      <c r="AR3" s="216">
        <f>IF(AQ3="","",IF(AQ3+1&gt;$B$2,"",AQ3+1))</f>
        <v/>
      </c>
      <c r="AS3" s="216">
        <f>IF(AR3="","",IF(AR3+1&gt;$B$2,"",AR3+1))</f>
        <v/>
      </c>
      <c r="AT3" s="216">
        <f>IF(AS3="","",IF(AS3+1&gt;$B$2,"",AS3+1))</f>
        <v/>
      </c>
      <c r="AU3" s="216">
        <f>IF(AT3="","",IF(AT3+1&gt;$B$2,"",AT3+1))</f>
        <v/>
      </c>
      <c r="AV3" s="216">
        <f>IF(AU3="","",IF(AU3+1&gt;$B$2,"",AU3+1))</f>
        <v/>
      </c>
      <c r="AW3" s="216">
        <f>IF(AV3="","",IF(AV3+1&gt;$B$2,"",AV3+1))</f>
        <v/>
      </c>
      <c r="AX3" s="216">
        <f>IF(AW3="","",IF(AW3+1&gt;$B$2,"",AW3+1))</f>
        <v/>
      </c>
      <c r="AY3" s="216">
        <f>IF(AX3="","",IF(AX3+1&gt;$B$2,"",AX3+1))</f>
        <v/>
      </c>
      <c r="AZ3" s="216">
        <f>IF(AY3="","",IF(AY3+1&gt;$B$2,"",AY3+1))</f>
        <v/>
      </c>
      <c r="BA3" s="216">
        <f>IF(AZ3="","",IF(AZ3+1&gt;$B$2,"",AZ3+1))</f>
        <v/>
      </c>
      <c r="BB3" s="216">
        <f>IF(BA3="","",IF(BA3+1&gt;$B$2,"",BA3+1))</f>
        <v/>
      </c>
      <c r="BC3" s="216">
        <f>IF(BB3="","",IF(BB3+1&gt;$B$2,"",BB3+1))</f>
        <v/>
      </c>
      <c r="BD3" s="216">
        <f>IF(BC3="","",IF(BC3+1&gt;$B$2,"",BC3+1))</f>
        <v/>
      </c>
      <c r="BE3" s="216">
        <f>IF(BD3="","",IF(BD3+1&gt;$B$2,"",BD3+1))</f>
        <v/>
      </c>
      <c r="BF3" s="216">
        <f>IF(BE3="","",IF(BE3+1&gt;$B$2,"",BE3+1))</f>
        <v/>
      </c>
      <c r="BG3" s="216">
        <f>IF(BF3="","",IF(BF3+1&gt;$B$2,"",BF3+1))</f>
        <v/>
      </c>
      <c r="BH3" s="216">
        <f>IF(BG3="","",IF(BG3+1&gt;$B$2,"",BG3+1))</f>
        <v/>
      </c>
      <c r="BI3" s="216">
        <f>IF(BH3="","",IF(BH3+1&gt;$B$2,"",BH3+1))</f>
        <v/>
      </c>
      <c r="BJ3" s="216">
        <f>IF(BI3="","",IF(BI3+1&gt;$B$2,"",BI3+1))</f>
        <v/>
      </c>
      <c r="BK3" s="216">
        <f>IF(BJ3="","",IF(BJ3+1&gt;$B$2,"",BJ3+1))</f>
        <v/>
      </c>
      <c r="BL3" s="216">
        <f>IF(BK3="","",IF(BK3+1&gt;$B$2,"",BK3+1))</f>
        <v/>
      </c>
      <c r="BM3" s="216">
        <f>IF(BL3="","",IF(BL3+1&gt;$B$2,"",BL3+1))</f>
        <v/>
      </c>
      <c r="BN3" s="216">
        <f>IF(BM3="","",IF(BM3+1&gt;$B$2,"",BM3+1))</f>
        <v/>
      </c>
      <c r="BO3" s="216">
        <f>IF(BN3="","",IF(BN3+1&gt;$B$2,"",BN3+1))</f>
        <v/>
      </c>
      <c r="BP3" s="216">
        <f>IF(BO3="","",IF(BO3+1&gt;$B$2,"",BO3+1))</f>
        <v/>
      </c>
      <c r="BQ3" s="216">
        <f>IF(BP3="","",IF(BP3+1&gt;$B$2,"",BP3+1))</f>
        <v/>
      </c>
      <c r="BR3" s="216">
        <f>IF(BQ3="","",IF(BQ3+1&gt;$B$2,"",BQ3+1))</f>
        <v/>
      </c>
      <c r="BS3" s="216">
        <f>IF(BR3="","",IF(BR3+1&gt;$B$2,"",BR3+1))</f>
        <v/>
      </c>
      <c r="BT3" s="216">
        <f>IF(BS3="","",IF(BS3+1&gt;$B$2,"",BS3+1))</f>
        <v/>
      </c>
      <c r="BU3" s="216">
        <f>IF(BT3="","",IF(BT3+1&gt;$B$2,"",BT3+1))</f>
        <v/>
      </c>
      <c r="BV3" s="216">
        <f>IF(BU3="","",IF(BU3+1&gt;$B$2,"",BU3+1))</f>
        <v/>
      </c>
      <c r="BW3" s="216">
        <f>IF(BV3="","",IF(BV3+1&gt;$B$2,"",BV3+1))</f>
        <v/>
      </c>
      <c r="BX3" s="216">
        <f>IF(BW3="","",IF(BW3+1&gt;$B$2,"",BW3+1))</f>
        <v/>
      </c>
      <c r="BY3" s="216">
        <f>IF(BX3="","",IF(BX3+1&gt;$B$2,"",BX3+1))</f>
        <v/>
      </c>
      <c r="BZ3" s="216">
        <f>IF(BY3="","",IF(BY3+1&gt;$B$2,"",BY3+1))</f>
        <v/>
      </c>
      <c r="CA3" s="216">
        <f>IF(BZ3="","",IF(BZ3+1&gt;$B$2,"",BZ3+1))</f>
        <v/>
      </c>
      <c r="CB3" s="216">
        <f>IF(CA3="","",IF(CA3+1&gt;$B$2,"",CA3+1))</f>
        <v/>
      </c>
      <c r="CC3" s="216">
        <f>IF(CB3="","",IF(CB3+1&gt;$B$2,"",CB3+1))</f>
        <v/>
      </c>
      <c r="CD3" s="216">
        <f>IF(CC3="","",IF(CC3+1&gt;$B$2,"",CC3+1))</f>
        <v/>
      </c>
      <c r="CE3" s="216">
        <f>IF(CD3="","",IF(CD3+1&gt;$B$2,"",CD3+1))</f>
        <v/>
      </c>
      <c r="CF3" s="216">
        <f>IF(CE3="","",IF(CE3+1&gt;$B$2,"",CE3+1))</f>
        <v/>
      </c>
      <c r="CG3" s="216">
        <f>IF(CF3="","",IF(CF3+1&gt;$B$2,"",CF3+1))</f>
        <v/>
      </c>
      <c r="CH3" s="216">
        <f>IF(CG3="","",IF(CG3+1&gt;$B$2,"",CG3+1))</f>
        <v/>
      </c>
      <c r="CI3" s="216">
        <f>IF(CH3="","",IF(CH3+1&gt;$B$2,"",CH3+1))</f>
        <v/>
      </c>
      <c r="CJ3" s="216">
        <f>IF(CI3="","",IF(CI3+1&gt;$B$2,"",CI3+1))</f>
        <v/>
      </c>
      <c r="CK3" s="216">
        <f>IF(CJ3="","",IF(CJ3+1&gt;$B$2,"",CJ3+1))</f>
        <v/>
      </c>
      <c r="CL3" s="216">
        <f>IF(CK3="","",IF(CK3+1&gt;$B$2,"",CK3+1))</f>
        <v/>
      </c>
      <c r="CM3" s="216">
        <f>IF(CL3="","",IF(CL3+1&gt;$B$2,"",CL3+1))</f>
        <v/>
      </c>
      <c r="CN3" s="216">
        <f>IF(CM3="","",IF(CM3+1&gt;$B$2,"",CM3+1))</f>
        <v/>
      </c>
      <c r="CO3" s="216">
        <f>IF(CN3="","",IF(CN3+1&gt;$B$2,"",CN3+1))</f>
        <v/>
      </c>
      <c r="CP3" s="216">
        <f>IF(CO3="","",IF(CO3+1&gt;$B$2,"",CO3+1))</f>
        <v/>
      </c>
      <c r="CQ3" s="216">
        <f>IF(CP3="","",IF(CP3+1&gt;$B$2,"",CP3+1))</f>
        <v/>
      </c>
      <c r="CR3" s="216">
        <f>IF(CQ3="","",IF(CQ3+1&gt;$B$2,"",CQ3+1))</f>
        <v/>
      </c>
      <c r="CS3" s="216">
        <f>IF(CR3="","",IF(CR3+1&gt;$B$2,"",CR3+1))</f>
        <v/>
      </c>
      <c r="CT3" s="216">
        <f>IF(CS3="","",IF(CS3+1&gt;$B$2,"",CS3+1))</f>
        <v/>
      </c>
      <c r="CU3" s="216">
        <f>IF(CT3="","",IF(CT3+1&gt;$B$2,"",CT3+1))</f>
        <v/>
      </c>
      <c r="CV3" s="216">
        <f>IF(CU3="","",IF(CU3+1&gt;$B$2,"",CU3+1))</f>
        <v/>
      </c>
      <c r="CW3" s="216">
        <f>IF(CV3="","",IF(CV3+1&gt;$B$2,"",CV3+1))</f>
        <v/>
      </c>
    </row>
    <row r="4" ht="15" customHeight="1" s="180">
      <c r="A4" s="217" t="inlineStr">
        <is>
          <t>ご主人様年齢</t>
        </is>
      </c>
      <c r="B4" s="218">
        <f>IF(B$3="","",IF(入力データ!$C$10="","",YEAR(DATE(B$3,12,31))-YEAR(入力データ!$C$10)-IF(DATE(B$3,12,31)&lt;DATE(B$3,MONTH(入力データ!$C$10),DAY(入力データ!$C$10)),1,0)))</f>
        <v/>
      </c>
      <c r="C4" s="218">
        <f>IF(C$3="","",IF(入力データ!$C$10="","",YEAR(DATE(C$3,12,31))-YEAR(入力データ!$C$10)-IF(DATE(C$3,12,31)&lt;DATE(C$3,MONTH(入力データ!$C$10),DAY(入力データ!$C$10)),1,0)))</f>
        <v/>
      </c>
      <c r="D4" s="218">
        <f>IF(D$3="","",IF(入力データ!$C$10="","",YEAR(DATE(D$3,12,31))-YEAR(入力データ!$C$10)-IF(DATE(D$3,12,31)&lt;DATE(D$3,MONTH(入力データ!$C$10),DAY(入力データ!$C$10)),1,0)))</f>
        <v/>
      </c>
      <c r="E4" s="218">
        <f>IF(E$3="","",IF(入力データ!$C$10="","",YEAR(DATE(E$3,12,31))-YEAR(入力データ!$C$10)-IF(DATE(E$3,12,31)&lt;DATE(E$3,MONTH(入力データ!$C$10),DAY(入力データ!$C$10)),1,0)))</f>
        <v/>
      </c>
      <c r="F4" s="218">
        <f>IF(F$3="","",IF(入力データ!$C$10="","",YEAR(DATE(F$3,12,31))-YEAR(入力データ!$C$10)-IF(DATE(F$3,12,31)&lt;DATE(F$3,MONTH(入力データ!$C$10),DAY(入力データ!$C$10)),1,0)))</f>
        <v/>
      </c>
      <c r="G4" s="218">
        <f>IF(G$3="","",IF(入力データ!$C$10="","",YEAR(DATE(G$3,12,31))-YEAR(入力データ!$C$10)-IF(DATE(G$3,12,31)&lt;DATE(G$3,MONTH(入力データ!$C$10),DAY(入力データ!$C$10)),1,0)))</f>
        <v/>
      </c>
      <c r="H4" s="218">
        <f>IF(H$3="","",IF(入力データ!$C$10="","",YEAR(DATE(H$3,12,31))-YEAR(入力データ!$C$10)-IF(DATE(H$3,12,31)&lt;DATE(H$3,MONTH(入力データ!$C$10),DAY(入力データ!$C$10)),1,0)))</f>
        <v/>
      </c>
      <c r="I4" s="218">
        <f>IF(I$3="","",IF(入力データ!$C$10="","",YEAR(DATE(I$3,12,31))-YEAR(入力データ!$C$10)-IF(DATE(I$3,12,31)&lt;DATE(I$3,MONTH(入力データ!$C$10),DAY(入力データ!$C$10)),1,0)))</f>
        <v/>
      </c>
      <c r="J4" s="218">
        <f>IF(J$3="","",IF(入力データ!$C$10="","",YEAR(DATE(J$3,12,31))-YEAR(入力データ!$C$10)-IF(DATE(J$3,12,31)&lt;DATE(J$3,MONTH(入力データ!$C$10),DAY(入力データ!$C$10)),1,0)))</f>
        <v/>
      </c>
      <c r="K4" s="218">
        <f>IF(K$3="","",IF(入力データ!$C$10="","",YEAR(DATE(K$3,12,31))-YEAR(入力データ!$C$10)-IF(DATE(K$3,12,31)&lt;DATE(K$3,MONTH(入力データ!$C$10),DAY(入力データ!$C$10)),1,0)))</f>
        <v/>
      </c>
      <c r="L4" s="218">
        <f>IF(L$3="","",IF(入力データ!$C$10="","",YEAR(DATE(L$3,12,31))-YEAR(入力データ!$C$10)-IF(DATE(L$3,12,31)&lt;DATE(L$3,MONTH(入力データ!$C$10),DAY(入力データ!$C$10)),1,0)))</f>
        <v/>
      </c>
      <c r="M4" s="218">
        <f>IF(M$3="","",IF(入力データ!$C$10="","",YEAR(DATE(M$3,12,31))-YEAR(入力データ!$C$10)-IF(DATE(M$3,12,31)&lt;DATE(M$3,MONTH(入力データ!$C$10),DAY(入力データ!$C$10)),1,0)))</f>
        <v/>
      </c>
      <c r="N4" s="218">
        <f>IF(N$3="","",IF(入力データ!$C$10="","",YEAR(DATE(N$3,12,31))-YEAR(入力データ!$C$10)-IF(DATE(N$3,12,31)&lt;DATE(N$3,MONTH(入力データ!$C$10),DAY(入力データ!$C$10)),1,0)))</f>
        <v/>
      </c>
      <c r="O4" s="218">
        <f>IF(O$3="","",IF(入力データ!$C$10="","",YEAR(DATE(O$3,12,31))-YEAR(入力データ!$C$10)-IF(DATE(O$3,12,31)&lt;DATE(O$3,MONTH(入力データ!$C$10),DAY(入力データ!$C$10)),1,0)))</f>
        <v/>
      </c>
      <c r="P4" s="218">
        <f>IF(P$3="","",IF(入力データ!$C$10="","",YEAR(DATE(P$3,12,31))-YEAR(入力データ!$C$10)-IF(DATE(P$3,12,31)&lt;DATE(P$3,MONTH(入力データ!$C$10),DAY(入力データ!$C$10)),1,0)))</f>
        <v/>
      </c>
      <c r="Q4" s="218">
        <f>IF(Q$3="","",IF(入力データ!$C$10="","",YEAR(DATE(Q$3,12,31))-YEAR(入力データ!$C$10)-IF(DATE(Q$3,12,31)&lt;DATE(Q$3,MONTH(入力データ!$C$10),DAY(入力データ!$C$10)),1,0)))</f>
        <v/>
      </c>
      <c r="R4" s="218">
        <f>IF(R$3="","",IF(入力データ!$C$10="","",YEAR(DATE(R$3,12,31))-YEAR(入力データ!$C$10)-IF(DATE(R$3,12,31)&lt;DATE(R$3,MONTH(入力データ!$C$10),DAY(入力データ!$C$10)),1,0)))</f>
        <v/>
      </c>
      <c r="S4" s="218">
        <f>IF(S$3="","",IF(入力データ!$C$10="","",YEAR(DATE(S$3,12,31))-YEAR(入力データ!$C$10)-IF(DATE(S$3,12,31)&lt;DATE(S$3,MONTH(入力データ!$C$10),DAY(入力データ!$C$10)),1,0)))</f>
        <v/>
      </c>
      <c r="T4" s="218">
        <f>IF(T$3="","",IF(入力データ!$C$10="","",YEAR(DATE(T$3,12,31))-YEAR(入力データ!$C$10)-IF(DATE(T$3,12,31)&lt;DATE(T$3,MONTH(入力データ!$C$10),DAY(入力データ!$C$10)),1,0)))</f>
        <v/>
      </c>
      <c r="U4" s="218">
        <f>IF(U$3="","",IF(入力データ!$C$10="","",YEAR(DATE(U$3,12,31))-YEAR(入力データ!$C$10)-IF(DATE(U$3,12,31)&lt;DATE(U$3,MONTH(入力データ!$C$10),DAY(入力データ!$C$10)),1,0)))</f>
        <v/>
      </c>
      <c r="V4" s="218">
        <f>IF(V$3="","",IF(入力データ!$C$10="","",YEAR(DATE(V$3,12,31))-YEAR(入力データ!$C$10)-IF(DATE(V$3,12,31)&lt;DATE(V$3,MONTH(入力データ!$C$10),DAY(入力データ!$C$10)),1,0)))</f>
        <v/>
      </c>
      <c r="W4" s="218">
        <f>IF(W$3="","",IF(入力データ!$C$10="","",YEAR(DATE(W$3,12,31))-YEAR(入力データ!$C$10)-IF(DATE(W$3,12,31)&lt;DATE(W$3,MONTH(入力データ!$C$10),DAY(入力データ!$C$10)),1,0)))</f>
        <v/>
      </c>
      <c r="X4" s="218">
        <f>IF(X$3="","",IF(入力データ!$C$10="","",YEAR(DATE(X$3,12,31))-YEAR(入力データ!$C$10)-IF(DATE(X$3,12,31)&lt;DATE(X$3,MONTH(入力データ!$C$10),DAY(入力データ!$C$10)),1,0)))</f>
        <v/>
      </c>
      <c r="Y4" s="218">
        <f>IF(Y$3="","",IF(入力データ!$C$10="","",YEAR(DATE(Y$3,12,31))-YEAR(入力データ!$C$10)-IF(DATE(Y$3,12,31)&lt;DATE(Y$3,MONTH(入力データ!$C$10),DAY(入力データ!$C$10)),1,0)))</f>
        <v/>
      </c>
      <c r="Z4" s="218">
        <f>IF(Z$3="","",IF(入力データ!$C$10="","",YEAR(DATE(Z$3,12,31))-YEAR(入力データ!$C$10)-IF(DATE(Z$3,12,31)&lt;DATE(Z$3,MONTH(入力データ!$C$10),DAY(入力データ!$C$10)),1,0)))</f>
        <v/>
      </c>
      <c r="AA4" s="218">
        <f>IF(AA$3="","",IF(入力データ!$C$10="","",YEAR(DATE(AA$3,12,31))-YEAR(入力データ!$C$10)-IF(DATE(AA$3,12,31)&lt;DATE(AA$3,MONTH(入力データ!$C$10),DAY(入力データ!$C$10)),1,0)))</f>
        <v/>
      </c>
      <c r="AB4" s="218">
        <f>IF(AB$3="","",IF(入力データ!$C$10="","",YEAR(DATE(AB$3,12,31))-YEAR(入力データ!$C$10)-IF(DATE(AB$3,12,31)&lt;DATE(AB$3,MONTH(入力データ!$C$10),DAY(入力データ!$C$10)),1,0)))</f>
        <v/>
      </c>
      <c r="AC4" s="218">
        <f>IF(AC$3="","",IF(入力データ!$C$10="","",YEAR(DATE(AC$3,12,31))-YEAR(入力データ!$C$10)-IF(DATE(AC$3,12,31)&lt;DATE(AC$3,MONTH(入力データ!$C$10),DAY(入力データ!$C$10)),1,0)))</f>
        <v/>
      </c>
      <c r="AD4" s="218">
        <f>IF(AD$3="","",IF(入力データ!$C$10="","",YEAR(DATE(AD$3,12,31))-YEAR(入力データ!$C$10)-IF(DATE(AD$3,12,31)&lt;DATE(AD$3,MONTH(入力データ!$C$10),DAY(入力データ!$C$10)),1,0)))</f>
        <v/>
      </c>
      <c r="AE4" s="218">
        <f>IF(AE$3="","",IF(入力データ!$C$10="","",YEAR(DATE(AE$3,12,31))-YEAR(入力データ!$C$10)-IF(DATE(AE$3,12,31)&lt;DATE(AE$3,MONTH(入力データ!$C$10),DAY(入力データ!$C$10)),1,0)))</f>
        <v/>
      </c>
      <c r="AF4" s="218">
        <f>IF(AF$3="","",IF(入力データ!$C$10="","",YEAR(DATE(AF$3,12,31))-YEAR(入力データ!$C$10)-IF(DATE(AF$3,12,31)&lt;DATE(AF$3,MONTH(入力データ!$C$10),DAY(入力データ!$C$10)),1,0)))</f>
        <v/>
      </c>
      <c r="AG4" s="218">
        <f>IF(AG$3="","",IF(入力データ!$C$10="","",YEAR(DATE(AG$3,12,31))-YEAR(入力データ!$C$10)-IF(DATE(AG$3,12,31)&lt;DATE(AG$3,MONTH(入力データ!$C$10),DAY(入力データ!$C$10)),1,0)))</f>
        <v/>
      </c>
      <c r="AH4" s="218">
        <f>IF(AH$3="","",IF(入力データ!$C$10="","",YEAR(DATE(AH$3,12,31))-YEAR(入力データ!$C$10)-IF(DATE(AH$3,12,31)&lt;DATE(AH$3,MONTH(入力データ!$C$10),DAY(入力データ!$C$10)),1,0)))</f>
        <v/>
      </c>
      <c r="AI4" s="218">
        <f>IF(AI$3="","",IF(入力データ!$C$10="","",YEAR(DATE(AI$3,12,31))-YEAR(入力データ!$C$10)-IF(DATE(AI$3,12,31)&lt;DATE(AI$3,MONTH(入力データ!$C$10),DAY(入力データ!$C$10)),1,0)))</f>
        <v/>
      </c>
      <c r="AJ4" s="218">
        <f>IF(AJ$3="","",IF(入力データ!$C$10="","",YEAR(DATE(AJ$3,12,31))-YEAR(入力データ!$C$10)-IF(DATE(AJ$3,12,31)&lt;DATE(AJ$3,MONTH(入力データ!$C$10),DAY(入力データ!$C$10)),1,0)))</f>
        <v/>
      </c>
      <c r="AK4" s="218">
        <f>IF(AK$3="","",IF(入力データ!$C$10="","",YEAR(DATE(AK$3,12,31))-YEAR(入力データ!$C$10)-IF(DATE(AK$3,12,31)&lt;DATE(AK$3,MONTH(入力データ!$C$10),DAY(入力データ!$C$10)),1,0)))</f>
        <v/>
      </c>
      <c r="AL4" s="218">
        <f>IF(AL$3="","",IF(入力データ!$C$10="","",YEAR(DATE(AL$3,12,31))-YEAR(入力データ!$C$10)-IF(DATE(AL$3,12,31)&lt;DATE(AL$3,MONTH(入力データ!$C$10),DAY(入力データ!$C$10)),1,0)))</f>
        <v/>
      </c>
      <c r="AM4" s="218">
        <f>IF(AM$3="","",IF(入力データ!$C$10="","",YEAR(DATE(AM$3,12,31))-YEAR(入力データ!$C$10)-IF(DATE(AM$3,12,31)&lt;DATE(AM$3,MONTH(入力データ!$C$10),DAY(入力データ!$C$10)),1,0)))</f>
        <v/>
      </c>
      <c r="AN4" s="218">
        <f>IF(AN$3="","",IF(入力データ!$C$10="","",YEAR(DATE(AN$3,12,31))-YEAR(入力データ!$C$10)-IF(DATE(AN$3,12,31)&lt;DATE(AN$3,MONTH(入力データ!$C$10),DAY(入力データ!$C$10)),1,0)))</f>
        <v/>
      </c>
      <c r="AO4" s="218">
        <f>IF(AO$3="","",IF(入力データ!$C$10="","",YEAR(DATE(AO$3,12,31))-YEAR(入力データ!$C$10)-IF(DATE(AO$3,12,31)&lt;DATE(AO$3,MONTH(入力データ!$C$10),DAY(入力データ!$C$10)),1,0)))</f>
        <v/>
      </c>
      <c r="AP4" s="218">
        <f>IF(AP$3="","",IF(入力データ!$C$10="","",YEAR(DATE(AP$3,12,31))-YEAR(入力データ!$C$10)-IF(DATE(AP$3,12,31)&lt;DATE(AP$3,MONTH(入力データ!$C$10),DAY(入力データ!$C$10)),1,0)))</f>
        <v/>
      </c>
      <c r="AQ4" s="218">
        <f>IF(AQ$3="","",IF(入力データ!$C$10="","",YEAR(DATE(AQ$3,12,31))-YEAR(入力データ!$C$10)-IF(DATE(AQ$3,12,31)&lt;DATE(AQ$3,MONTH(入力データ!$C$10),DAY(入力データ!$C$10)),1,0)))</f>
        <v/>
      </c>
      <c r="AR4" s="218">
        <f>IF(AR$3="","",IF(入力データ!$C$10="","",YEAR(DATE(AR$3,12,31))-YEAR(入力データ!$C$10)-IF(DATE(AR$3,12,31)&lt;DATE(AR$3,MONTH(入力データ!$C$10),DAY(入力データ!$C$10)),1,0)))</f>
        <v/>
      </c>
      <c r="AS4" s="218">
        <f>IF(AS$3="","",IF(入力データ!$C$10="","",YEAR(DATE(AS$3,12,31))-YEAR(入力データ!$C$10)-IF(DATE(AS$3,12,31)&lt;DATE(AS$3,MONTH(入力データ!$C$10),DAY(入力データ!$C$10)),1,0)))</f>
        <v/>
      </c>
      <c r="AT4" s="218">
        <f>IF(AT$3="","",IF(入力データ!$C$10="","",YEAR(DATE(AT$3,12,31))-YEAR(入力データ!$C$10)-IF(DATE(AT$3,12,31)&lt;DATE(AT$3,MONTH(入力データ!$C$10),DAY(入力データ!$C$10)),1,0)))</f>
        <v/>
      </c>
      <c r="AU4" s="218">
        <f>IF(AU$3="","",IF(入力データ!$C$10="","",YEAR(DATE(AU$3,12,31))-YEAR(入力データ!$C$10)-IF(DATE(AU$3,12,31)&lt;DATE(AU$3,MONTH(入力データ!$C$10),DAY(入力データ!$C$10)),1,0)))</f>
        <v/>
      </c>
      <c r="AV4" s="218">
        <f>IF(AV$3="","",IF(入力データ!$C$10="","",YEAR(DATE(AV$3,12,31))-YEAR(入力データ!$C$10)-IF(DATE(AV$3,12,31)&lt;DATE(AV$3,MONTH(入力データ!$C$10),DAY(入力データ!$C$10)),1,0)))</f>
        <v/>
      </c>
      <c r="AW4" s="218">
        <f>IF(AW$3="","",IF(入力データ!$C$10="","",YEAR(DATE(AW$3,12,31))-YEAR(入力データ!$C$10)-IF(DATE(AW$3,12,31)&lt;DATE(AW$3,MONTH(入力データ!$C$10),DAY(入力データ!$C$10)),1,0)))</f>
        <v/>
      </c>
      <c r="AX4" s="218">
        <f>IF(AX$3="","",IF(入力データ!$C$10="","",YEAR(DATE(AX$3,12,31))-YEAR(入力データ!$C$10)-IF(DATE(AX$3,12,31)&lt;DATE(AX$3,MONTH(入力データ!$C$10),DAY(入力データ!$C$10)),1,0)))</f>
        <v/>
      </c>
      <c r="AY4" s="218">
        <f>IF(AY$3="","",IF(入力データ!$C$10="","",YEAR(DATE(AY$3,12,31))-YEAR(入力データ!$C$10)-IF(DATE(AY$3,12,31)&lt;DATE(AY$3,MONTH(入力データ!$C$10),DAY(入力データ!$C$10)),1,0)))</f>
        <v/>
      </c>
      <c r="AZ4" s="218">
        <f>IF(AZ$3="","",IF(入力データ!$C$10="","",YEAR(DATE(AZ$3,12,31))-YEAR(入力データ!$C$10)-IF(DATE(AZ$3,12,31)&lt;DATE(AZ$3,MONTH(入力データ!$C$10),DAY(入力データ!$C$10)),1,0)))</f>
        <v/>
      </c>
      <c r="BA4" s="218">
        <f>IF(BA$3="","",IF(入力データ!$C$10="","",YEAR(DATE(BA$3,12,31))-YEAR(入力データ!$C$10)-IF(DATE(BA$3,12,31)&lt;DATE(BA$3,MONTH(入力データ!$C$10),DAY(入力データ!$C$10)),1,0)))</f>
        <v/>
      </c>
      <c r="BB4" s="218">
        <f>IF(BB$3="","",IF(入力データ!$C$10="","",YEAR(DATE(BB$3,12,31))-YEAR(入力データ!$C$10)-IF(DATE(BB$3,12,31)&lt;DATE(BB$3,MONTH(入力データ!$C$10),DAY(入力データ!$C$10)),1,0)))</f>
        <v/>
      </c>
      <c r="BC4" s="218">
        <f>IF(BC$3="","",IF(入力データ!$C$10="","",YEAR(DATE(BC$3,12,31))-YEAR(入力データ!$C$10)-IF(DATE(BC$3,12,31)&lt;DATE(BC$3,MONTH(入力データ!$C$10),DAY(入力データ!$C$10)),1,0)))</f>
        <v/>
      </c>
      <c r="BD4" s="218">
        <f>IF(BD$3="","",IF(入力データ!$C$10="","",YEAR(DATE(BD$3,12,31))-YEAR(入力データ!$C$10)-IF(DATE(BD$3,12,31)&lt;DATE(BD$3,MONTH(入力データ!$C$10),DAY(入力データ!$C$10)),1,0)))</f>
        <v/>
      </c>
      <c r="BE4" s="218">
        <f>IF(BE$3="","",IF(入力データ!$C$10="","",YEAR(DATE(BE$3,12,31))-YEAR(入力データ!$C$10)-IF(DATE(BE$3,12,31)&lt;DATE(BE$3,MONTH(入力データ!$C$10),DAY(入力データ!$C$10)),1,0)))</f>
        <v/>
      </c>
      <c r="BF4" s="218">
        <f>IF(BF$3="","",IF(入力データ!$C$10="","",YEAR(DATE(BF$3,12,31))-YEAR(入力データ!$C$10)-IF(DATE(BF$3,12,31)&lt;DATE(BF$3,MONTH(入力データ!$C$10),DAY(入力データ!$C$10)),1,0)))</f>
        <v/>
      </c>
      <c r="BG4" s="218">
        <f>IF(BG$3="","",IF(入力データ!$C$10="","",YEAR(DATE(BG$3,12,31))-YEAR(入力データ!$C$10)-IF(DATE(BG$3,12,31)&lt;DATE(BG$3,MONTH(入力データ!$C$10),DAY(入力データ!$C$10)),1,0)))</f>
        <v/>
      </c>
      <c r="BH4" s="218">
        <f>IF(BH$3="","",IF(入力データ!$C$10="","",YEAR(DATE(BH$3,12,31))-YEAR(入力データ!$C$10)-IF(DATE(BH$3,12,31)&lt;DATE(BH$3,MONTH(入力データ!$C$10),DAY(入力データ!$C$10)),1,0)))</f>
        <v/>
      </c>
      <c r="BI4" s="218">
        <f>IF(BI$3="","",IF(入力データ!$C$10="","",YEAR(DATE(BI$3,12,31))-YEAR(入力データ!$C$10)-IF(DATE(BI$3,12,31)&lt;DATE(BI$3,MONTH(入力データ!$C$10),DAY(入力データ!$C$10)),1,0)))</f>
        <v/>
      </c>
      <c r="BJ4" s="218">
        <f>IF(BJ$3="","",IF(入力データ!$C$10="","",YEAR(DATE(BJ$3,12,31))-YEAR(入力データ!$C$10)-IF(DATE(BJ$3,12,31)&lt;DATE(BJ$3,MONTH(入力データ!$C$10),DAY(入力データ!$C$10)),1,0)))</f>
        <v/>
      </c>
      <c r="BK4" s="218">
        <f>IF(BK$3="","",IF(入力データ!$C$10="","",YEAR(DATE(BK$3,12,31))-YEAR(入力データ!$C$10)-IF(DATE(BK$3,12,31)&lt;DATE(BK$3,MONTH(入力データ!$C$10),DAY(入力データ!$C$10)),1,0)))</f>
        <v/>
      </c>
      <c r="BL4" s="218">
        <f>IF(BL$3="","",IF(入力データ!$C$10="","",YEAR(DATE(BL$3,12,31))-YEAR(入力データ!$C$10)-IF(DATE(BL$3,12,31)&lt;DATE(BL$3,MONTH(入力データ!$C$10),DAY(入力データ!$C$10)),1,0)))</f>
        <v/>
      </c>
      <c r="BM4" s="218">
        <f>IF(BM$3="","",IF(入力データ!$C$10="","",YEAR(DATE(BM$3,12,31))-YEAR(入力データ!$C$10)-IF(DATE(BM$3,12,31)&lt;DATE(BM$3,MONTH(入力データ!$C$10),DAY(入力データ!$C$10)),1,0)))</f>
        <v/>
      </c>
      <c r="BN4" s="218">
        <f>IF(BN$3="","",IF(入力データ!$C$10="","",YEAR(DATE(BN$3,12,31))-YEAR(入力データ!$C$10)-IF(DATE(BN$3,12,31)&lt;DATE(BN$3,MONTH(入力データ!$C$10),DAY(入力データ!$C$10)),1,0)))</f>
        <v/>
      </c>
      <c r="BO4" s="218">
        <f>IF(BO$3="","",IF(入力データ!$C$10="","",YEAR(DATE(BO$3,12,31))-YEAR(入力データ!$C$10)-IF(DATE(BO$3,12,31)&lt;DATE(BO$3,MONTH(入力データ!$C$10),DAY(入力データ!$C$10)),1,0)))</f>
        <v/>
      </c>
      <c r="BP4" s="218">
        <f>IF(BP$3="","",IF(入力データ!$C$10="","",YEAR(DATE(BP$3,12,31))-YEAR(入力データ!$C$10)-IF(DATE(BP$3,12,31)&lt;DATE(BP$3,MONTH(入力データ!$C$10),DAY(入力データ!$C$10)),1,0)))</f>
        <v/>
      </c>
      <c r="BQ4" s="218">
        <f>IF(BQ$3="","",IF(入力データ!$C$10="","",YEAR(DATE(BQ$3,12,31))-YEAR(入力データ!$C$10)-IF(DATE(BQ$3,12,31)&lt;DATE(BQ$3,MONTH(入力データ!$C$10),DAY(入力データ!$C$10)),1,0)))</f>
        <v/>
      </c>
      <c r="BR4" s="218">
        <f>IF(BR$3="","",IF(入力データ!$C$10="","",YEAR(DATE(BR$3,12,31))-YEAR(入力データ!$C$10)-IF(DATE(BR$3,12,31)&lt;DATE(BR$3,MONTH(入力データ!$C$10),DAY(入力データ!$C$10)),1,0)))</f>
        <v/>
      </c>
      <c r="BS4" s="218">
        <f>IF(BS$3="","",IF(入力データ!$C$10="","",YEAR(DATE(BS$3,12,31))-YEAR(入力データ!$C$10)-IF(DATE(BS$3,12,31)&lt;DATE(BS$3,MONTH(入力データ!$C$10),DAY(入力データ!$C$10)),1,0)))</f>
        <v/>
      </c>
      <c r="BT4" s="218">
        <f>IF(BT$3="","",IF(入力データ!$C$10="","",YEAR(DATE(BT$3,12,31))-YEAR(入力データ!$C$10)-IF(DATE(BT$3,12,31)&lt;DATE(BT$3,MONTH(入力データ!$C$10),DAY(入力データ!$C$10)),1,0)))</f>
        <v/>
      </c>
      <c r="BU4" s="218">
        <f>IF(BU$3="","",IF(入力データ!$C$10="","",YEAR(DATE(BU$3,12,31))-YEAR(入力データ!$C$10)-IF(DATE(BU$3,12,31)&lt;DATE(BU$3,MONTH(入力データ!$C$10),DAY(入力データ!$C$10)),1,0)))</f>
        <v/>
      </c>
      <c r="BV4" s="218">
        <f>IF(BV$3="","",IF(入力データ!$C$10="","",YEAR(DATE(BV$3,12,31))-YEAR(入力データ!$C$10)-IF(DATE(BV$3,12,31)&lt;DATE(BV$3,MONTH(入力データ!$C$10),DAY(入力データ!$C$10)),1,0)))</f>
        <v/>
      </c>
      <c r="BW4" s="218">
        <f>IF(BW$3="","",IF(入力データ!$C$10="","",YEAR(DATE(BW$3,12,31))-YEAR(入力データ!$C$10)-IF(DATE(BW$3,12,31)&lt;DATE(BW$3,MONTH(入力データ!$C$10),DAY(入力データ!$C$10)),1,0)))</f>
        <v/>
      </c>
      <c r="BX4" s="218">
        <f>IF(BX$3="","",IF(入力データ!$C$10="","",YEAR(DATE(BX$3,12,31))-YEAR(入力データ!$C$10)-IF(DATE(BX$3,12,31)&lt;DATE(BX$3,MONTH(入力データ!$C$10),DAY(入力データ!$C$10)),1,0)))</f>
        <v/>
      </c>
      <c r="BY4" s="218">
        <f>IF(BY$3="","",IF(入力データ!$C$10="","",YEAR(DATE(BY$3,12,31))-YEAR(入力データ!$C$10)-IF(DATE(BY$3,12,31)&lt;DATE(BY$3,MONTH(入力データ!$C$10),DAY(入力データ!$C$10)),1,0)))</f>
        <v/>
      </c>
      <c r="BZ4" s="218">
        <f>IF(BZ$3="","",IF(入力データ!$C$10="","",YEAR(DATE(BZ$3,12,31))-YEAR(入力データ!$C$10)-IF(DATE(BZ$3,12,31)&lt;DATE(BZ$3,MONTH(入力データ!$C$10),DAY(入力データ!$C$10)),1,0)))</f>
        <v/>
      </c>
      <c r="CA4" s="218">
        <f>IF(CA$3="","",IF(入力データ!$C$10="","",YEAR(DATE(CA$3,12,31))-YEAR(入力データ!$C$10)-IF(DATE(CA$3,12,31)&lt;DATE(CA$3,MONTH(入力データ!$C$10),DAY(入力データ!$C$10)),1,0)))</f>
        <v/>
      </c>
      <c r="CB4" s="218">
        <f>IF(CB$3="","",IF(入力データ!$C$10="","",YEAR(DATE(CB$3,12,31))-YEAR(入力データ!$C$10)-IF(DATE(CB$3,12,31)&lt;DATE(CB$3,MONTH(入力データ!$C$10),DAY(入力データ!$C$10)),1,0)))</f>
        <v/>
      </c>
      <c r="CC4" s="218">
        <f>IF(CC$3="","",IF(入力データ!$C$10="","",YEAR(DATE(CC$3,12,31))-YEAR(入力データ!$C$10)-IF(DATE(CC$3,12,31)&lt;DATE(CC$3,MONTH(入力データ!$C$10),DAY(入力データ!$C$10)),1,0)))</f>
        <v/>
      </c>
      <c r="CD4" s="218">
        <f>IF(CD$3="","",IF(入力データ!$C$10="","",YEAR(DATE(CD$3,12,31))-YEAR(入力データ!$C$10)-IF(DATE(CD$3,12,31)&lt;DATE(CD$3,MONTH(入力データ!$C$10),DAY(入力データ!$C$10)),1,0)))</f>
        <v/>
      </c>
      <c r="CE4" s="218">
        <f>IF(CE$3="","",IF(入力データ!$C$10="","",YEAR(DATE(CE$3,12,31))-YEAR(入力データ!$C$10)-IF(DATE(CE$3,12,31)&lt;DATE(CE$3,MONTH(入力データ!$C$10),DAY(入力データ!$C$10)),1,0)))</f>
        <v/>
      </c>
      <c r="CF4" s="218">
        <f>IF(CF$3="","",IF(入力データ!$C$10="","",YEAR(DATE(CF$3,12,31))-YEAR(入力データ!$C$10)-IF(DATE(CF$3,12,31)&lt;DATE(CF$3,MONTH(入力データ!$C$10),DAY(入力データ!$C$10)),1,0)))</f>
        <v/>
      </c>
      <c r="CG4" s="218">
        <f>IF(CG$3="","",IF(入力データ!$C$10="","",YEAR(DATE(CG$3,12,31))-YEAR(入力データ!$C$10)-IF(DATE(CG$3,12,31)&lt;DATE(CG$3,MONTH(入力データ!$C$10),DAY(入力データ!$C$10)),1,0)))</f>
        <v/>
      </c>
      <c r="CH4" s="218">
        <f>IF(CH$3="","",IF(入力データ!$C$10="","",YEAR(DATE(CH$3,12,31))-YEAR(入力データ!$C$10)-IF(DATE(CH$3,12,31)&lt;DATE(CH$3,MONTH(入力データ!$C$10),DAY(入力データ!$C$10)),1,0)))</f>
        <v/>
      </c>
      <c r="CI4" s="218">
        <f>IF(CI$3="","",IF(入力データ!$C$10="","",YEAR(DATE(CI$3,12,31))-YEAR(入力データ!$C$10)-IF(DATE(CI$3,12,31)&lt;DATE(CI$3,MONTH(入力データ!$C$10),DAY(入力データ!$C$10)),1,0)))</f>
        <v/>
      </c>
      <c r="CJ4" s="218">
        <f>IF(CJ$3="","",IF(入力データ!$C$10="","",YEAR(DATE(CJ$3,12,31))-YEAR(入力データ!$C$10)-IF(DATE(CJ$3,12,31)&lt;DATE(CJ$3,MONTH(入力データ!$C$10),DAY(入力データ!$C$10)),1,0)))</f>
        <v/>
      </c>
      <c r="CK4" s="218">
        <f>IF(CK$3="","",IF(入力データ!$C$10="","",YEAR(DATE(CK$3,12,31))-YEAR(入力データ!$C$10)-IF(DATE(CK$3,12,31)&lt;DATE(CK$3,MONTH(入力データ!$C$10),DAY(入力データ!$C$10)),1,0)))</f>
        <v/>
      </c>
      <c r="CL4" s="218">
        <f>IF(CL$3="","",IF(入力データ!$C$10="","",YEAR(DATE(CL$3,12,31))-YEAR(入力データ!$C$10)-IF(DATE(CL$3,12,31)&lt;DATE(CL$3,MONTH(入力データ!$C$10),DAY(入力データ!$C$10)),1,0)))</f>
        <v/>
      </c>
      <c r="CM4" s="218">
        <f>IF(CM$3="","",IF(入力データ!$C$10="","",YEAR(DATE(CM$3,12,31))-YEAR(入力データ!$C$10)-IF(DATE(CM$3,12,31)&lt;DATE(CM$3,MONTH(入力データ!$C$10),DAY(入力データ!$C$10)),1,0)))</f>
        <v/>
      </c>
      <c r="CN4" s="218">
        <f>IF(CN$3="","",IF(入力データ!$C$10="","",YEAR(DATE(CN$3,12,31))-YEAR(入力データ!$C$10)-IF(DATE(CN$3,12,31)&lt;DATE(CN$3,MONTH(入力データ!$C$10),DAY(入力データ!$C$10)),1,0)))</f>
        <v/>
      </c>
      <c r="CO4" s="218">
        <f>IF(CO$3="","",IF(入力データ!$C$10="","",YEAR(DATE(CO$3,12,31))-YEAR(入力データ!$C$10)-IF(DATE(CO$3,12,31)&lt;DATE(CO$3,MONTH(入力データ!$C$10),DAY(入力データ!$C$10)),1,0)))</f>
        <v/>
      </c>
      <c r="CP4" s="218">
        <f>IF(CP$3="","",IF(入力データ!$C$10="","",YEAR(DATE(CP$3,12,31))-YEAR(入力データ!$C$10)-IF(DATE(CP$3,12,31)&lt;DATE(CP$3,MONTH(入力データ!$C$10),DAY(入力データ!$C$10)),1,0)))</f>
        <v/>
      </c>
      <c r="CQ4" s="218">
        <f>IF(CQ$3="","",IF(入力データ!$C$10="","",YEAR(DATE(CQ$3,12,31))-YEAR(入力データ!$C$10)-IF(DATE(CQ$3,12,31)&lt;DATE(CQ$3,MONTH(入力データ!$C$10),DAY(入力データ!$C$10)),1,0)))</f>
        <v/>
      </c>
      <c r="CR4" s="218">
        <f>IF(CR$3="","",IF(入力データ!$C$10="","",YEAR(DATE(CR$3,12,31))-YEAR(入力データ!$C$10)-IF(DATE(CR$3,12,31)&lt;DATE(CR$3,MONTH(入力データ!$C$10),DAY(入力データ!$C$10)),1,0)))</f>
        <v/>
      </c>
      <c r="CS4" s="218">
        <f>IF(CS$3="","",IF(入力データ!$C$10="","",YEAR(DATE(CS$3,12,31))-YEAR(入力データ!$C$10)-IF(DATE(CS$3,12,31)&lt;DATE(CS$3,MONTH(入力データ!$C$10),DAY(入力データ!$C$10)),1,0)))</f>
        <v/>
      </c>
      <c r="CT4" s="218">
        <f>IF(CT$3="","",IF(入力データ!$C$10="","",YEAR(DATE(CT$3,12,31))-YEAR(入力データ!$C$10)-IF(DATE(CT$3,12,31)&lt;DATE(CT$3,MONTH(入力データ!$C$10),DAY(入力データ!$C$10)),1,0)))</f>
        <v/>
      </c>
      <c r="CU4" s="218">
        <f>IF(CU$3="","",IF(入力データ!$C$10="","",YEAR(DATE(CU$3,12,31))-YEAR(入力データ!$C$10)-IF(DATE(CU$3,12,31)&lt;DATE(CU$3,MONTH(入力データ!$C$10),DAY(入力データ!$C$10)),1,0)))</f>
        <v/>
      </c>
      <c r="CV4" s="218">
        <f>IF(CV$3="","",IF(入力データ!$C$10="","",YEAR(DATE(CV$3,12,31))-YEAR(入力データ!$C$10)-IF(DATE(CV$3,12,31)&lt;DATE(CV$3,MONTH(入力データ!$C$10),DAY(入力データ!$C$10)),1,0)))</f>
        <v/>
      </c>
      <c r="CW4" s="218">
        <f>IF(CW$3="","",IF(入力データ!$C$10="","",YEAR(DATE(CW$3,12,31))-YEAR(入力データ!$C$10)-IF(DATE(CW$3,12,31)&lt;DATE(CW$3,MONTH(入力データ!$C$10),DAY(入力データ!$C$10)),1,0)))</f>
        <v/>
      </c>
    </row>
    <row r="5" ht="15" customHeight="1" s="180">
      <c r="A5" s="217" t="inlineStr">
        <is>
          <t>奥様年齢</t>
        </is>
      </c>
      <c r="B5" s="218">
        <f>IF(B$3="","",IF(入力データ!$C$11="","",YEAR(DATE(B$3,12,31))-YEAR(入力データ!$C$11)-IF(DATE(B$3,12,31)&lt;DATE(B$3,MONTH(入力データ!$C$11),DAY(入力データ!$C$11)),1,0)))</f>
        <v/>
      </c>
      <c r="C5" s="218">
        <f>IF(C$3="","",IF(入力データ!$C$11="","",YEAR(DATE(C$3,12,31))-YEAR(入力データ!$C$11)-IF(DATE(C$3,12,31)&lt;DATE(C$3,MONTH(入力データ!$C$11),DAY(入力データ!$C$11)),1,0)))</f>
        <v/>
      </c>
      <c r="D5" s="218">
        <f>IF(D$3="","",IF(入力データ!$C$11="","",YEAR(DATE(D$3,12,31))-YEAR(入力データ!$C$11)-IF(DATE(D$3,12,31)&lt;DATE(D$3,MONTH(入力データ!$C$11),DAY(入力データ!$C$11)),1,0)))</f>
        <v/>
      </c>
      <c r="E5" s="218">
        <f>IF(E$3="","",IF(入力データ!$C$11="","",YEAR(DATE(E$3,12,31))-YEAR(入力データ!$C$11)-IF(DATE(E$3,12,31)&lt;DATE(E$3,MONTH(入力データ!$C$11),DAY(入力データ!$C$11)),1,0)))</f>
        <v/>
      </c>
      <c r="F5" s="218">
        <f>IF(F$3="","",IF(入力データ!$C$11="","",YEAR(DATE(F$3,12,31))-YEAR(入力データ!$C$11)-IF(DATE(F$3,12,31)&lt;DATE(F$3,MONTH(入力データ!$C$11),DAY(入力データ!$C$11)),1,0)))</f>
        <v/>
      </c>
      <c r="G5" s="218">
        <f>IF(G$3="","",IF(入力データ!$C$11="","",YEAR(DATE(G$3,12,31))-YEAR(入力データ!$C$11)-IF(DATE(G$3,12,31)&lt;DATE(G$3,MONTH(入力データ!$C$11),DAY(入力データ!$C$11)),1,0)))</f>
        <v/>
      </c>
      <c r="H5" s="218">
        <f>IF(H$3="","",IF(入力データ!$C$11="","",YEAR(DATE(H$3,12,31))-YEAR(入力データ!$C$11)-IF(DATE(H$3,12,31)&lt;DATE(H$3,MONTH(入力データ!$C$11),DAY(入力データ!$C$11)),1,0)))</f>
        <v/>
      </c>
      <c r="I5" s="218">
        <f>IF(I$3="","",IF(入力データ!$C$11="","",YEAR(DATE(I$3,12,31))-YEAR(入力データ!$C$11)-IF(DATE(I$3,12,31)&lt;DATE(I$3,MONTH(入力データ!$C$11),DAY(入力データ!$C$11)),1,0)))</f>
        <v/>
      </c>
      <c r="J5" s="218">
        <f>IF(J$3="","",IF(入力データ!$C$11="","",YEAR(DATE(J$3,12,31))-YEAR(入力データ!$C$11)-IF(DATE(J$3,12,31)&lt;DATE(J$3,MONTH(入力データ!$C$11),DAY(入力データ!$C$11)),1,0)))</f>
        <v/>
      </c>
      <c r="K5" s="218">
        <f>IF(K$3="","",IF(入力データ!$C$11="","",YEAR(DATE(K$3,12,31))-YEAR(入力データ!$C$11)-IF(DATE(K$3,12,31)&lt;DATE(K$3,MONTH(入力データ!$C$11),DAY(入力データ!$C$11)),1,0)))</f>
        <v/>
      </c>
      <c r="L5" s="218">
        <f>IF(L$3="","",IF(入力データ!$C$11="","",YEAR(DATE(L$3,12,31))-YEAR(入力データ!$C$11)-IF(DATE(L$3,12,31)&lt;DATE(L$3,MONTH(入力データ!$C$11),DAY(入力データ!$C$11)),1,0)))</f>
        <v/>
      </c>
      <c r="M5" s="218">
        <f>IF(M$3="","",IF(入力データ!$C$11="","",YEAR(DATE(M$3,12,31))-YEAR(入力データ!$C$11)-IF(DATE(M$3,12,31)&lt;DATE(M$3,MONTH(入力データ!$C$11),DAY(入力データ!$C$11)),1,0)))</f>
        <v/>
      </c>
      <c r="N5" s="218">
        <f>IF(N$3="","",IF(入力データ!$C$11="","",YEAR(DATE(N$3,12,31))-YEAR(入力データ!$C$11)-IF(DATE(N$3,12,31)&lt;DATE(N$3,MONTH(入力データ!$C$11),DAY(入力データ!$C$11)),1,0)))</f>
        <v/>
      </c>
      <c r="O5" s="218">
        <f>IF(O$3="","",IF(入力データ!$C$11="","",YEAR(DATE(O$3,12,31))-YEAR(入力データ!$C$11)-IF(DATE(O$3,12,31)&lt;DATE(O$3,MONTH(入力データ!$C$11),DAY(入力データ!$C$11)),1,0)))</f>
        <v/>
      </c>
      <c r="P5" s="218">
        <f>IF(P$3="","",IF(入力データ!$C$11="","",YEAR(DATE(P$3,12,31))-YEAR(入力データ!$C$11)-IF(DATE(P$3,12,31)&lt;DATE(P$3,MONTH(入力データ!$C$11),DAY(入力データ!$C$11)),1,0)))</f>
        <v/>
      </c>
      <c r="Q5" s="218">
        <f>IF(Q$3="","",IF(入力データ!$C$11="","",YEAR(DATE(Q$3,12,31))-YEAR(入力データ!$C$11)-IF(DATE(Q$3,12,31)&lt;DATE(Q$3,MONTH(入力データ!$C$11),DAY(入力データ!$C$11)),1,0)))</f>
        <v/>
      </c>
      <c r="R5" s="218">
        <f>IF(R$3="","",IF(入力データ!$C$11="","",YEAR(DATE(R$3,12,31))-YEAR(入力データ!$C$11)-IF(DATE(R$3,12,31)&lt;DATE(R$3,MONTH(入力データ!$C$11),DAY(入力データ!$C$11)),1,0)))</f>
        <v/>
      </c>
      <c r="S5" s="218">
        <f>IF(S$3="","",IF(入力データ!$C$11="","",YEAR(DATE(S$3,12,31))-YEAR(入力データ!$C$11)-IF(DATE(S$3,12,31)&lt;DATE(S$3,MONTH(入力データ!$C$11),DAY(入力データ!$C$11)),1,0)))</f>
        <v/>
      </c>
      <c r="T5" s="218">
        <f>IF(T$3="","",IF(入力データ!$C$11="","",YEAR(DATE(T$3,12,31))-YEAR(入力データ!$C$11)-IF(DATE(T$3,12,31)&lt;DATE(T$3,MONTH(入力データ!$C$11),DAY(入力データ!$C$11)),1,0)))</f>
        <v/>
      </c>
      <c r="U5" s="218">
        <f>IF(U$3="","",IF(入力データ!$C$11="","",YEAR(DATE(U$3,12,31))-YEAR(入力データ!$C$11)-IF(DATE(U$3,12,31)&lt;DATE(U$3,MONTH(入力データ!$C$11),DAY(入力データ!$C$11)),1,0)))</f>
        <v/>
      </c>
      <c r="V5" s="218">
        <f>IF(V$3="","",IF(入力データ!$C$11="","",YEAR(DATE(V$3,12,31))-YEAR(入力データ!$C$11)-IF(DATE(V$3,12,31)&lt;DATE(V$3,MONTH(入力データ!$C$11),DAY(入力データ!$C$11)),1,0)))</f>
        <v/>
      </c>
      <c r="W5" s="218">
        <f>IF(W$3="","",IF(入力データ!$C$11="","",YEAR(DATE(W$3,12,31))-YEAR(入力データ!$C$11)-IF(DATE(W$3,12,31)&lt;DATE(W$3,MONTH(入力データ!$C$11),DAY(入力データ!$C$11)),1,0)))</f>
        <v/>
      </c>
      <c r="X5" s="218">
        <f>IF(X$3="","",IF(入力データ!$C$11="","",YEAR(DATE(X$3,12,31))-YEAR(入力データ!$C$11)-IF(DATE(X$3,12,31)&lt;DATE(X$3,MONTH(入力データ!$C$11),DAY(入力データ!$C$11)),1,0)))</f>
        <v/>
      </c>
      <c r="Y5" s="218">
        <f>IF(Y$3="","",IF(入力データ!$C$11="","",YEAR(DATE(Y$3,12,31))-YEAR(入力データ!$C$11)-IF(DATE(Y$3,12,31)&lt;DATE(Y$3,MONTH(入力データ!$C$11),DAY(入力データ!$C$11)),1,0)))</f>
        <v/>
      </c>
      <c r="Z5" s="218">
        <f>IF(Z$3="","",IF(入力データ!$C$11="","",YEAR(DATE(Z$3,12,31))-YEAR(入力データ!$C$11)-IF(DATE(Z$3,12,31)&lt;DATE(Z$3,MONTH(入力データ!$C$11),DAY(入力データ!$C$11)),1,0)))</f>
        <v/>
      </c>
      <c r="AA5" s="218">
        <f>IF(AA$3="","",IF(入力データ!$C$11="","",YEAR(DATE(AA$3,12,31))-YEAR(入力データ!$C$11)-IF(DATE(AA$3,12,31)&lt;DATE(AA$3,MONTH(入力データ!$C$11),DAY(入力データ!$C$11)),1,0)))</f>
        <v/>
      </c>
      <c r="AB5" s="218">
        <f>IF(AB$3="","",IF(入力データ!$C$11="","",YEAR(DATE(AB$3,12,31))-YEAR(入力データ!$C$11)-IF(DATE(AB$3,12,31)&lt;DATE(AB$3,MONTH(入力データ!$C$11),DAY(入力データ!$C$11)),1,0)))</f>
        <v/>
      </c>
      <c r="AC5" s="218">
        <f>IF(AC$3="","",IF(入力データ!$C$11="","",YEAR(DATE(AC$3,12,31))-YEAR(入力データ!$C$11)-IF(DATE(AC$3,12,31)&lt;DATE(AC$3,MONTH(入力データ!$C$11),DAY(入力データ!$C$11)),1,0)))</f>
        <v/>
      </c>
      <c r="AD5" s="218">
        <f>IF(AD$3="","",IF(入力データ!$C$11="","",YEAR(DATE(AD$3,12,31))-YEAR(入力データ!$C$11)-IF(DATE(AD$3,12,31)&lt;DATE(AD$3,MONTH(入力データ!$C$11),DAY(入力データ!$C$11)),1,0)))</f>
        <v/>
      </c>
      <c r="AE5" s="218">
        <f>IF(AE$3="","",IF(入力データ!$C$11="","",YEAR(DATE(AE$3,12,31))-YEAR(入力データ!$C$11)-IF(DATE(AE$3,12,31)&lt;DATE(AE$3,MONTH(入力データ!$C$11),DAY(入力データ!$C$11)),1,0)))</f>
        <v/>
      </c>
      <c r="AF5" s="218">
        <f>IF(AF$3="","",IF(入力データ!$C$11="","",YEAR(DATE(AF$3,12,31))-YEAR(入力データ!$C$11)-IF(DATE(AF$3,12,31)&lt;DATE(AF$3,MONTH(入力データ!$C$11),DAY(入力データ!$C$11)),1,0)))</f>
        <v/>
      </c>
      <c r="AG5" s="218">
        <f>IF(AG$3="","",IF(入力データ!$C$11="","",YEAR(DATE(AG$3,12,31))-YEAR(入力データ!$C$11)-IF(DATE(AG$3,12,31)&lt;DATE(AG$3,MONTH(入力データ!$C$11),DAY(入力データ!$C$11)),1,0)))</f>
        <v/>
      </c>
      <c r="AH5" s="218">
        <f>IF(AH$3="","",IF(入力データ!$C$11="","",YEAR(DATE(AH$3,12,31))-YEAR(入力データ!$C$11)-IF(DATE(AH$3,12,31)&lt;DATE(AH$3,MONTH(入力データ!$C$11),DAY(入力データ!$C$11)),1,0)))</f>
        <v/>
      </c>
      <c r="AI5" s="218">
        <f>IF(AI$3="","",IF(入力データ!$C$11="","",YEAR(DATE(AI$3,12,31))-YEAR(入力データ!$C$11)-IF(DATE(AI$3,12,31)&lt;DATE(AI$3,MONTH(入力データ!$C$11),DAY(入力データ!$C$11)),1,0)))</f>
        <v/>
      </c>
      <c r="AJ5" s="218">
        <f>IF(AJ$3="","",IF(入力データ!$C$11="","",YEAR(DATE(AJ$3,12,31))-YEAR(入力データ!$C$11)-IF(DATE(AJ$3,12,31)&lt;DATE(AJ$3,MONTH(入力データ!$C$11),DAY(入力データ!$C$11)),1,0)))</f>
        <v/>
      </c>
      <c r="AK5" s="218">
        <f>IF(AK$3="","",IF(入力データ!$C$11="","",YEAR(DATE(AK$3,12,31))-YEAR(入力データ!$C$11)-IF(DATE(AK$3,12,31)&lt;DATE(AK$3,MONTH(入力データ!$C$11),DAY(入力データ!$C$11)),1,0)))</f>
        <v/>
      </c>
      <c r="AL5" s="218">
        <f>IF(AL$3="","",IF(入力データ!$C$11="","",YEAR(DATE(AL$3,12,31))-YEAR(入力データ!$C$11)-IF(DATE(AL$3,12,31)&lt;DATE(AL$3,MONTH(入力データ!$C$11),DAY(入力データ!$C$11)),1,0)))</f>
        <v/>
      </c>
      <c r="AM5" s="218">
        <f>IF(AM$3="","",IF(入力データ!$C$11="","",YEAR(DATE(AM$3,12,31))-YEAR(入力データ!$C$11)-IF(DATE(AM$3,12,31)&lt;DATE(AM$3,MONTH(入力データ!$C$11),DAY(入力データ!$C$11)),1,0)))</f>
        <v/>
      </c>
      <c r="AN5" s="218">
        <f>IF(AN$3="","",IF(入力データ!$C$11="","",YEAR(DATE(AN$3,12,31))-YEAR(入力データ!$C$11)-IF(DATE(AN$3,12,31)&lt;DATE(AN$3,MONTH(入力データ!$C$11),DAY(入力データ!$C$11)),1,0)))</f>
        <v/>
      </c>
      <c r="AO5" s="218">
        <f>IF(AO$3="","",IF(入力データ!$C$11="","",YEAR(DATE(AO$3,12,31))-YEAR(入力データ!$C$11)-IF(DATE(AO$3,12,31)&lt;DATE(AO$3,MONTH(入力データ!$C$11),DAY(入力データ!$C$11)),1,0)))</f>
        <v/>
      </c>
      <c r="AP5" s="218">
        <f>IF(AP$3="","",IF(入力データ!$C$11="","",YEAR(DATE(AP$3,12,31))-YEAR(入力データ!$C$11)-IF(DATE(AP$3,12,31)&lt;DATE(AP$3,MONTH(入力データ!$C$11),DAY(入力データ!$C$11)),1,0)))</f>
        <v/>
      </c>
      <c r="AQ5" s="218">
        <f>IF(AQ$3="","",IF(入力データ!$C$11="","",YEAR(DATE(AQ$3,12,31))-YEAR(入力データ!$C$11)-IF(DATE(AQ$3,12,31)&lt;DATE(AQ$3,MONTH(入力データ!$C$11),DAY(入力データ!$C$11)),1,0)))</f>
        <v/>
      </c>
      <c r="AR5" s="218">
        <f>IF(AR$3="","",IF(入力データ!$C$11="","",YEAR(DATE(AR$3,12,31))-YEAR(入力データ!$C$11)-IF(DATE(AR$3,12,31)&lt;DATE(AR$3,MONTH(入力データ!$C$11),DAY(入力データ!$C$11)),1,0)))</f>
        <v/>
      </c>
      <c r="AS5" s="218">
        <f>IF(AS$3="","",IF(入力データ!$C$11="","",YEAR(DATE(AS$3,12,31))-YEAR(入力データ!$C$11)-IF(DATE(AS$3,12,31)&lt;DATE(AS$3,MONTH(入力データ!$C$11),DAY(入力データ!$C$11)),1,0)))</f>
        <v/>
      </c>
      <c r="AT5" s="218">
        <f>IF(AT$3="","",IF(入力データ!$C$11="","",YEAR(DATE(AT$3,12,31))-YEAR(入力データ!$C$11)-IF(DATE(AT$3,12,31)&lt;DATE(AT$3,MONTH(入力データ!$C$11),DAY(入力データ!$C$11)),1,0)))</f>
        <v/>
      </c>
      <c r="AU5" s="218">
        <f>IF(AU$3="","",IF(入力データ!$C$11="","",YEAR(DATE(AU$3,12,31))-YEAR(入力データ!$C$11)-IF(DATE(AU$3,12,31)&lt;DATE(AU$3,MONTH(入力データ!$C$11),DAY(入力データ!$C$11)),1,0)))</f>
        <v/>
      </c>
      <c r="AV5" s="218">
        <f>IF(AV$3="","",IF(入力データ!$C$11="","",YEAR(DATE(AV$3,12,31))-YEAR(入力データ!$C$11)-IF(DATE(AV$3,12,31)&lt;DATE(AV$3,MONTH(入力データ!$C$11),DAY(入力データ!$C$11)),1,0)))</f>
        <v/>
      </c>
      <c r="AW5" s="218">
        <f>IF(AW$3="","",IF(入力データ!$C$11="","",YEAR(DATE(AW$3,12,31))-YEAR(入力データ!$C$11)-IF(DATE(AW$3,12,31)&lt;DATE(AW$3,MONTH(入力データ!$C$11),DAY(入力データ!$C$11)),1,0)))</f>
        <v/>
      </c>
      <c r="AX5" s="218">
        <f>IF(AX$3="","",IF(入力データ!$C$11="","",YEAR(DATE(AX$3,12,31))-YEAR(入力データ!$C$11)-IF(DATE(AX$3,12,31)&lt;DATE(AX$3,MONTH(入力データ!$C$11),DAY(入力データ!$C$11)),1,0)))</f>
        <v/>
      </c>
      <c r="AY5" s="218">
        <f>IF(AY$3="","",IF(入力データ!$C$11="","",YEAR(DATE(AY$3,12,31))-YEAR(入力データ!$C$11)-IF(DATE(AY$3,12,31)&lt;DATE(AY$3,MONTH(入力データ!$C$11),DAY(入力データ!$C$11)),1,0)))</f>
        <v/>
      </c>
      <c r="AZ5" s="218">
        <f>IF(AZ$3="","",IF(入力データ!$C$11="","",YEAR(DATE(AZ$3,12,31))-YEAR(入力データ!$C$11)-IF(DATE(AZ$3,12,31)&lt;DATE(AZ$3,MONTH(入力データ!$C$11),DAY(入力データ!$C$11)),1,0)))</f>
        <v/>
      </c>
      <c r="BA5" s="218">
        <f>IF(BA$3="","",IF(入力データ!$C$11="","",YEAR(DATE(BA$3,12,31))-YEAR(入力データ!$C$11)-IF(DATE(BA$3,12,31)&lt;DATE(BA$3,MONTH(入力データ!$C$11),DAY(入力データ!$C$11)),1,0)))</f>
        <v/>
      </c>
      <c r="BB5" s="218">
        <f>IF(BB$3="","",IF(入力データ!$C$11="","",YEAR(DATE(BB$3,12,31))-YEAR(入力データ!$C$11)-IF(DATE(BB$3,12,31)&lt;DATE(BB$3,MONTH(入力データ!$C$11),DAY(入力データ!$C$11)),1,0)))</f>
        <v/>
      </c>
      <c r="BC5" s="218">
        <f>IF(BC$3="","",IF(入力データ!$C$11="","",YEAR(DATE(BC$3,12,31))-YEAR(入力データ!$C$11)-IF(DATE(BC$3,12,31)&lt;DATE(BC$3,MONTH(入力データ!$C$11),DAY(入力データ!$C$11)),1,0)))</f>
        <v/>
      </c>
      <c r="BD5" s="218">
        <f>IF(BD$3="","",IF(入力データ!$C$11="","",YEAR(DATE(BD$3,12,31))-YEAR(入力データ!$C$11)-IF(DATE(BD$3,12,31)&lt;DATE(BD$3,MONTH(入力データ!$C$11),DAY(入力データ!$C$11)),1,0)))</f>
        <v/>
      </c>
      <c r="BE5" s="218">
        <f>IF(BE$3="","",IF(入力データ!$C$11="","",YEAR(DATE(BE$3,12,31))-YEAR(入力データ!$C$11)-IF(DATE(BE$3,12,31)&lt;DATE(BE$3,MONTH(入力データ!$C$11),DAY(入力データ!$C$11)),1,0)))</f>
        <v/>
      </c>
      <c r="BF5" s="218">
        <f>IF(BF$3="","",IF(入力データ!$C$11="","",YEAR(DATE(BF$3,12,31))-YEAR(入力データ!$C$11)-IF(DATE(BF$3,12,31)&lt;DATE(BF$3,MONTH(入力データ!$C$11),DAY(入力データ!$C$11)),1,0)))</f>
        <v/>
      </c>
      <c r="BG5" s="218">
        <f>IF(BG$3="","",IF(入力データ!$C$11="","",YEAR(DATE(BG$3,12,31))-YEAR(入力データ!$C$11)-IF(DATE(BG$3,12,31)&lt;DATE(BG$3,MONTH(入力データ!$C$11),DAY(入力データ!$C$11)),1,0)))</f>
        <v/>
      </c>
      <c r="BH5" s="218">
        <f>IF(BH$3="","",IF(入力データ!$C$11="","",YEAR(DATE(BH$3,12,31))-YEAR(入力データ!$C$11)-IF(DATE(BH$3,12,31)&lt;DATE(BH$3,MONTH(入力データ!$C$11),DAY(入力データ!$C$11)),1,0)))</f>
        <v/>
      </c>
      <c r="BI5" s="218">
        <f>IF(BI$3="","",IF(入力データ!$C$11="","",YEAR(DATE(BI$3,12,31))-YEAR(入力データ!$C$11)-IF(DATE(BI$3,12,31)&lt;DATE(BI$3,MONTH(入力データ!$C$11),DAY(入力データ!$C$11)),1,0)))</f>
        <v/>
      </c>
      <c r="BJ5" s="218">
        <f>IF(BJ$3="","",IF(入力データ!$C$11="","",YEAR(DATE(BJ$3,12,31))-YEAR(入力データ!$C$11)-IF(DATE(BJ$3,12,31)&lt;DATE(BJ$3,MONTH(入力データ!$C$11),DAY(入力データ!$C$11)),1,0)))</f>
        <v/>
      </c>
      <c r="BK5" s="218">
        <f>IF(BK$3="","",IF(入力データ!$C$11="","",YEAR(DATE(BK$3,12,31))-YEAR(入力データ!$C$11)-IF(DATE(BK$3,12,31)&lt;DATE(BK$3,MONTH(入力データ!$C$11),DAY(入力データ!$C$11)),1,0)))</f>
        <v/>
      </c>
      <c r="BL5" s="218">
        <f>IF(BL$3="","",IF(入力データ!$C$11="","",YEAR(DATE(BL$3,12,31))-YEAR(入力データ!$C$11)-IF(DATE(BL$3,12,31)&lt;DATE(BL$3,MONTH(入力データ!$C$11),DAY(入力データ!$C$11)),1,0)))</f>
        <v/>
      </c>
      <c r="BM5" s="218">
        <f>IF(BM$3="","",IF(入力データ!$C$11="","",YEAR(DATE(BM$3,12,31))-YEAR(入力データ!$C$11)-IF(DATE(BM$3,12,31)&lt;DATE(BM$3,MONTH(入力データ!$C$11),DAY(入力データ!$C$11)),1,0)))</f>
        <v/>
      </c>
      <c r="BN5" s="218">
        <f>IF(BN$3="","",IF(入力データ!$C$11="","",YEAR(DATE(BN$3,12,31))-YEAR(入力データ!$C$11)-IF(DATE(BN$3,12,31)&lt;DATE(BN$3,MONTH(入力データ!$C$11),DAY(入力データ!$C$11)),1,0)))</f>
        <v/>
      </c>
      <c r="BO5" s="218">
        <f>IF(BO$3="","",IF(入力データ!$C$11="","",YEAR(DATE(BO$3,12,31))-YEAR(入力データ!$C$11)-IF(DATE(BO$3,12,31)&lt;DATE(BO$3,MONTH(入力データ!$C$11),DAY(入力データ!$C$11)),1,0)))</f>
        <v/>
      </c>
      <c r="BP5" s="218">
        <f>IF(BP$3="","",IF(入力データ!$C$11="","",YEAR(DATE(BP$3,12,31))-YEAR(入力データ!$C$11)-IF(DATE(BP$3,12,31)&lt;DATE(BP$3,MONTH(入力データ!$C$11),DAY(入力データ!$C$11)),1,0)))</f>
        <v/>
      </c>
      <c r="BQ5" s="218">
        <f>IF(BQ$3="","",IF(入力データ!$C$11="","",YEAR(DATE(BQ$3,12,31))-YEAR(入力データ!$C$11)-IF(DATE(BQ$3,12,31)&lt;DATE(BQ$3,MONTH(入力データ!$C$11),DAY(入力データ!$C$11)),1,0)))</f>
        <v/>
      </c>
      <c r="BR5" s="218">
        <f>IF(BR$3="","",IF(入力データ!$C$11="","",YEAR(DATE(BR$3,12,31))-YEAR(入力データ!$C$11)-IF(DATE(BR$3,12,31)&lt;DATE(BR$3,MONTH(入力データ!$C$11),DAY(入力データ!$C$11)),1,0)))</f>
        <v/>
      </c>
      <c r="BS5" s="218">
        <f>IF(BS$3="","",IF(入力データ!$C$11="","",YEAR(DATE(BS$3,12,31))-YEAR(入力データ!$C$11)-IF(DATE(BS$3,12,31)&lt;DATE(BS$3,MONTH(入力データ!$C$11),DAY(入力データ!$C$11)),1,0)))</f>
        <v/>
      </c>
      <c r="BT5" s="218">
        <f>IF(BT$3="","",IF(入力データ!$C$11="","",YEAR(DATE(BT$3,12,31))-YEAR(入力データ!$C$11)-IF(DATE(BT$3,12,31)&lt;DATE(BT$3,MONTH(入力データ!$C$11),DAY(入力データ!$C$11)),1,0)))</f>
        <v/>
      </c>
      <c r="BU5" s="218">
        <f>IF(BU$3="","",IF(入力データ!$C$11="","",YEAR(DATE(BU$3,12,31))-YEAR(入力データ!$C$11)-IF(DATE(BU$3,12,31)&lt;DATE(BU$3,MONTH(入力データ!$C$11),DAY(入力データ!$C$11)),1,0)))</f>
        <v/>
      </c>
      <c r="BV5" s="218">
        <f>IF(BV$3="","",IF(入力データ!$C$11="","",YEAR(DATE(BV$3,12,31))-YEAR(入力データ!$C$11)-IF(DATE(BV$3,12,31)&lt;DATE(BV$3,MONTH(入力データ!$C$11),DAY(入力データ!$C$11)),1,0)))</f>
        <v/>
      </c>
      <c r="BW5" s="218">
        <f>IF(BW$3="","",IF(入力データ!$C$11="","",YEAR(DATE(BW$3,12,31))-YEAR(入力データ!$C$11)-IF(DATE(BW$3,12,31)&lt;DATE(BW$3,MONTH(入力データ!$C$11),DAY(入力データ!$C$11)),1,0)))</f>
        <v/>
      </c>
      <c r="BX5" s="218">
        <f>IF(BX$3="","",IF(入力データ!$C$11="","",YEAR(DATE(BX$3,12,31))-YEAR(入力データ!$C$11)-IF(DATE(BX$3,12,31)&lt;DATE(BX$3,MONTH(入力データ!$C$11),DAY(入力データ!$C$11)),1,0)))</f>
        <v/>
      </c>
      <c r="BY5" s="218">
        <f>IF(BY$3="","",IF(入力データ!$C$11="","",YEAR(DATE(BY$3,12,31))-YEAR(入力データ!$C$11)-IF(DATE(BY$3,12,31)&lt;DATE(BY$3,MONTH(入力データ!$C$11),DAY(入力データ!$C$11)),1,0)))</f>
        <v/>
      </c>
      <c r="BZ5" s="218">
        <f>IF(BZ$3="","",IF(入力データ!$C$11="","",YEAR(DATE(BZ$3,12,31))-YEAR(入力データ!$C$11)-IF(DATE(BZ$3,12,31)&lt;DATE(BZ$3,MONTH(入力データ!$C$11),DAY(入力データ!$C$11)),1,0)))</f>
        <v/>
      </c>
      <c r="CA5" s="218">
        <f>IF(CA$3="","",IF(入力データ!$C$11="","",YEAR(DATE(CA$3,12,31))-YEAR(入力データ!$C$11)-IF(DATE(CA$3,12,31)&lt;DATE(CA$3,MONTH(入力データ!$C$11),DAY(入力データ!$C$11)),1,0)))</f>
        <v/>
      </c>
      <c r="CB5" s="218">
        <f>IF(CB$3="","",IF(入力データ!$C$11="","",YEAR(DATE(CB$3,12,31))-YEAR(入力データ!$C$11)-IF(DATE(CB$3,12,31)&lt;DATE(CB$3,MONTH(入力データ!$C$11),DAY(入力データ!$C$11)),1,0)))</f>
        <v/>
      </c>
      <c r="CC5" s="218">
        <f>IF(CC$3="","",IF(入力データ!$C$11="","",YEAR(DATE(CC$3,12,31))-YEAR(入力データ!$C$11)-IF(DATE(CC$3,12,31)&lt;DATE(CC$3,MONTH(入力データ!$C$11),DAY(入力データ!$C$11)),1,0)))</f>
        <v/>
      </c>
      <c r="CD5" s="218">
        <f>IF(CD$3="","",IF(入力データ!$C$11="","",YEAR(DATE(CD$3,12,31))-YEAR(入力データ!$C$11)-IF(DATE(CD$3,12,31)&lt;DATE(CD$3,MONTH(入力データ!$C$11),DAY(入力データ!$C$11)),1,0)))</f>
        <v/>
      </c>
      <c r="CE5" s="218">
        <f>IF(CE$3="","",IF(入力データ!$C$11="","",YEAR(DATE(CE$3,12,31))-YEAR(入力データ!$C$11)-IF(DATE(CE$3,12,31)&lt;DATE(CE$3,MONTH(入力データ!$C$11),DAY(入力データ!$C$11)),1,0)))</f>
        <v/>
      </c>
      <c r="CF5" s="218">
        <f>IF(CF$3="","",IF(入力データ!$C$11="","",YEAR(DATE(CF$3,12,31))-YEAR(入力データ!$C$11)-IF(DATE(CF$3,12,31)&lt;DATE(CF$3,MONTH(入力データ!$C$11),DAY(入力データ!$C$11)),1,0)))</f>
        <v/>
      </c>
      <c r="CG5" s="218">
        <f>IF(CG$3="","",IF(入力データ!$C$11="","",YEAR(DATE(CG$3,12,31))-YEAR(入力データ!$C$11)-IF(DATE(CG$3,12,31)&lt;DATE(CG$3,MONTH(入力データ!$C$11),DAY(入力データ!$C$11)),1,0)))</f>
        <v/>
      </c>
      <c r="CH5" s="218">
        <f>IF(CH$3="","",IF(入力データ!$C$11="","",YEAR(DATE(CH$3,12,31))-YEAR(入力データ!$C$11)-IF(DATE(CH$3,12,31)&lt;DATE(CH$3,MONTH(入力データ!$C$11),DAY(入力データ!$C$11)),1,0)))</f>
        <v/>
      </c>
      <c r="CI5" s="218">
        <f>IF(CI$3="","",IF(入力データ!$C$11="","",YEAR(DATE(CI$3,12,31))-YEAR(入力データ!$C$11)-IF(DATE(CI$3,12,31)&lt;DATE(CI$3,MONTH(入力データ!$C$11),DAY(入力データ!$C$11)),1,0)))</f>
        <v/>
      </c>
      <c r="CJ5" s="218">
        <f>IF(CJ$3="","",IF(入力データ!$C$11="","",YEAR(DATE(CJ$3,12,31))-YEAR(入力データ!$C$11)-IF(DATE(CJ$3,12,31)&lt;DATE(CJ$3,MONTH(入力データ!$C$11),DAY(入力データ!$C$11)),1,0)))</f>
        <v/>
      </c>
      <c r="CK5" s="218">
        <f>IF(CK$3="","",IF(入力データ!$C$11="","",YEAR(DATE(CK$3,12,31))-YEAR(入力データ!$C$11)-IF(DATE(CK$3,12,31)&lt;DATE(CK$3,MONTH(入力データ!$C$11),DAY(入力データ!$C$11)),1,0)))</f>
        <v/>
      </c>
      <c r="CL5" s="218">
        <f>IF(CL$3="","",IF(入力データ!$C$11="","",YEAR(DATE(CL$3,12,31))-YEAR(入力データ!$C$11)-IF(DATE(CL$3,12,31)&lt;DATE(CL$3,MONTH(入力データ!$C$11),DAY(入力データ!$C$11)),1,0)))</f>
        <v/>
      </c>
      <c r="CM5" s="218">
        <f>IF(CM$3="","",IF(入力データ!$C$11="","",YEAR(DATE(CM$3,12,31))-YEAR(入力データ!$C$11)-IF(DATE(CM$3,12,31)&lt;DATE(CM$3,MONTH(入力データ!$C$11),DAY(入力データ!$C$11)),1,0)))</f>
        <v/>
      </c>
      <c r="CN5" s="218">
        <f>IF(CN$3="","",IF(入力データ!$C$11="","",YEAR(DATE(CN$3,12,31))-YEAR(入力データ!$C$11)-IF(DATE(CN$3,12,31)&lt;DATE(CN$3,MONTH(入力データ!$C$11),DAY(入力データ!$C$11)),1,0)))</f>
        <v/>
      </c>
      <c r="CO5" s="218">
        <f>IF(CO$3="","",IF(入力データ!$C$11="","",YEAR(DATE(CO$3,12,31))-YEAR(入力データ!$C$11)-IF(DATE(CO$3,12,31)&lt;DATE(CO$3,MONTH(入力データ!$C$11),DAY(入力データ!$C$11)),1,0)))</f>
        <v/>
      </c>
      <c r="CP5" s="218">
        <f>IF(CP$3="","",IF(入力データ!$C$11="","",YEAR(DATE(CP$3,12,31))-YEAR(入力データ!$C$11)-IF(DATE(CP$3,12,31)&lt;DATE(CP$3,MONTH(入力データ!$C$11),DAY(入力データ!$C$11)),1,0)))</f>
        <v/>
      </c>
      <c r="CQ5" s="218">
        <f>IF(CQ$3="","",IF(入力データ!$C$11="","",YEAR(DATE(CQ$3,12,31))-YEAR(入力データ!$C$11)-IF(DATE(CQ$3,12,31)&lt;DATE(CQ$3,MONTH(入力データ!$C$11),DAY(入力データ!$C$11)),1,0)))</f>
        <v/>
      </c>
      <c r="CR5" s="218">
        <f>IF(CR$3="","",IF(入力データ!$C$11="","",YEAR(DATE(CR$3,12,31))-YEAR(入力データ!$C$11)-IF(DATE(CR$3,12,31)&lt;DATE(CR$3,MONTH(入力データ!$C$11),DAY(入力データ!$C$11)),1,0)))</f>
        <v/>
      </c>
      <c r="CS5" s="218">
        <f>IF(CS$3="","",IF(入力データ!$C$11="","",YEAR(DATE(CS$3,12,31))-YEAR(入力データ!$C$11)-IF(DATE(CS$3,12,31)&lt;DATE(CS$3,MONTH(入力データ!$C$11),DAY(入力データ!$C$11)),1,0)))</f>
        <v/>
      </c>
      <c r="CT5" s="218">
        <f>IF(CT$3="","",IF(入力データ!$C$11="","",YEAR(DATE(CT$3,12,31))-YEAR(入力データ!$C$11)-IF(DATE(CT$3,12,31)&lt;DATE(CT$3,MONTH(入力データ!$C$11),DAY(入力データ!$C$11)),1,0)))</f>
        <v/>
      </c>
      <c r="CU5" s="218">
        <f>IF(CU$3="","",IF(入力データ!$C$11="","",YEAR(DATE(CU$3,12,31))-YEAR(入力データ!$C$11)-IF(DATE(CU$3,12,31)&lt;DATE(CU$3,MONTH(入力データ!$C$11),DAY(入力データ!$C$11)),1,0)))</f>
        <v/>
      </c>
      <c r="CV5" s="218">
        <f>IF(CV$3="","",IF(入力データ!$C$11="","",YEAR(DATE(CV$3,12,31))-YEAR(入力データ!$C$11)-IF(DATE(CV$3,12,31)&lt;DATE(CV$3,MONTH(入力データ!$C$11),DAY(入力データ!$C$11)),1,0)))</f>
        <v/>
      </c>
      <c r="CW5" s="218">
        <f>IF(CW$3="","",IF(入力データ!$C$11="","",YEAR(DATE(CW$3,12,31))-YEAR(入力データ!$C$11)-IF(DATE(CW$3,12,31)&lt;DATE(CW$3,MONTH(入力データ!$C$11),DAY(入力データ!$C$11)),1,0)))</f>
        <v/>
      </c>
    </row>
    <row r="6" ht="16.5" customHeight="1" s="180">
      <c r="A6" s="217" t="inlineStr">
        <is>
          <t>子1年齢</t>
        </is>
      </c>
      <c r="B6" s="218">
        <f>IF(B$3="","",IF(入力データ!$C$19="","",YEAR(DATE(B$3,12,31))-YEAR(入力データ!$C$19)-IF(DATE(B$3,12,31)&lt;DATE(B$3,MONTH(入力データ!$C$19),DAY(入力データ!$C$19)),1,0)))</f>
        <v/>
      </c>
      <c r="C6" s="218">
        <f>IF(C$3="","",IF(入力データ!$C$19="","",YEAR(DATE(C$3,12,31))-YEAR(入力データ!$C$19)-IF(DATE(C$3,12,31)&lt;DATE(C$3,MONTH(入力データ!$C$19),DAY(入力データ!$C$19)),1,0)))</f>
        <v/>
      </c>
      <c r="D6" s="218">
        <f>IF(D$3="","",IF(入力データ!$C$19="","",YEAR(DATE(D$3,12,31))-YEAR(入力データ!$C$19)-IF(DATE(D$3,12,31)&lt;DATE(D$3,MONTH(入力データ!$C$19),DAY(入力データ!$C$19)),1,0)))</f>
        <v/>
      </c>
      <c r="E6" s="218">
        <f>IF(E$3="","",IF(入力データ!$C$19="","",YEAR(DATE(E$3,12,31))-YEAR(入力データ!$C$19)-IF(DATE(E$3,12,31)&lt;DATE(E$3,MONTH(入力データ!$C$19),DAY(入力データ!$C$19)),1,0)))</f>
        <v/>
      </c>
      <c r="F6" s="218">
        <f>IF(F$3="","",IF(入力データ!$C$19="","",YEAR(DATE(F$3,12,31))-YEAR(入力データ!$C$19)-IF(DATE(F$3,12,31)&lt;DATE(F$3,MONTH(入力データ!$C$19),DAY(入力データ!$C$19)),1,0)))</f>
        <v/>
      </c>
      <c r="G6" s="218">
        <f>IF(G$3="","",IF(入力データ!$C$19="","",YEAR(DATE(G$3,12,31))-YEAR(入力データ!$C$19)-IF(DATE(G$3,12,31)&lt;DATE(G$3,MONTH(入力データ!$C$19),DAY(入力データ!$C$19)),1,0)))</f>
        <v/>
      </c>
      <c r="H6" s="218">
        <f>IF(H$3="","",IF(入力データ!$C$19="","",YEAR(DATE(H$3,12,31))-YEAR(入力データ!$C$19)-IF(DATE(H$3,12,31)&lt;DATE(H$3,MONTH(入力データ!$C$19),DAY(入力データ!$C$19)),1,0)))</f>
        <v/>
      </c>
      <c r="I6" s="218">
        <f>IF(I$3="","",IF(入力データ!$C$19="","",YEAR(DATE(I$3,12,31))-YEAR(入力データ!$C$19)-IF(DATE(I$3,12,31)&lt;DATE(I$3,MONTH(入力データ!$C$19),DAY(入力データ!$C$19)),1,0)))</f>
        <v/>
      </c>
      <c r="J6" s="218">
        <f>IF(J$3="","",IF(入力データ!$C$19="","",YEAR(DATE(J$3,12,31))-YEAR(入力データ!$C$19)-IF(DATE(J$3,12,31)&lt;DATE(J$3,MONTH(入力データ!$C$19),DAY(入力データ!$C$19)),1,0)))</f>
        <v/>
      </c>
      <c r="K6" s="218">
        <f>IF(K$3="","",IF(入力データ!$C$19="","",YEAR(DATE(K$3,12,31))-YEAR(入力データ!$C$19)-IF(DATE(K$3,12,31)&lt;DATE(K$3,MONTH(入力データ!$C$19),DAY(入力データ!$C$19)),1,0)))</f>
        <v/>
      </c>
      <c r="L6" s="218">
        <f>IF(L$3="","",IF(入力データ!$C$19="","",YEAR(DATE(L$3,12,31))-YEAR(入力データ!$C$19)-IF(DATE(L$3,12,31)&lt;DATE(L$3,MONTH(入力データ!$C$19),DAY(入力データ!$C$19)),1,0)))</f>
        <v/>
      </c>
      <c r="M6" s="218">
        <f>IF(M$3="","",IF(入力データ!$C$19="","",YEAR(DATE(M$3,12,31))-YEAR(入力データ!$C$19)-IF(DATE(M$3,12,31)&lt;DATE(M$3,MONTH(入力データ!$C$19),DAY(入力データ!$C$19)),1,0)))</f>
        <v/>
      </c>
      <c r="N6" s="218">
        <f>IF(N$3="","",IF(入力データ!$C$19="","",YEAR(DATE(N$3,12,31))-YEAR(入力データ!$C$19)-IF(DATE(N$3,12,31)&lt;DATE(N$3,MONTH(入力データ!$C$19),DAY(入力データ!$C$19)),1,0)))</f>
        <v/>
      </c>
      <c r="O6" s="218">
        <f>IF(O$3="","",IF(入力データ!$C$19="","",YEAR(DATE(O$3,12,31))-YEAR(入力データ!$C$19)-IF(DATE(O$3,12,31)&lt;DATE(O$3,MONTH(入力データ!$C$19),DAY(入力データ!$C$19)),1,0)))</f>
        <v/>
      </c>
      <c r="P6" s="218">
        <f>IF(P$3="","",IF(入力データ!$C$19="","",YEAR(DATE(P$3,12,31))-YEAR(入力データ!$C$19)-IF(DATE(P$3,12,31)&lt;DATE(P$3,MONTH(入力データ!$C$19),DAY(入力データ!$C$19)),1,0)))</f>
        <v/>
      </c>
      <c r="Q6" s="218">
        <f>IF(Q$3="","",IF(入力データ!$C$19="","",YEAR(DATE(Q$3,12,31))-YEAR(入力データ!$C$19)-IF(DATE(Q$3,12,31)&lt;DATE(Q$3,MONTH(入力データ!$C$19),DAY(入力データ!$C$19)),1,0)))</f>
        <v/>
      </c>
      <c r="R6" s="218">
        <f>IF(R$3="","",IF(入力データ!$C$19="","",YEAR(DATE(R$3,12,31))-YEAR(入力データ!$C$19)-IF(DATE(R$3,12,31)&lt;DATE(R$3,MONTH(入力データ!$C$19),DAY(入力データ!$C$19)),1,0)))</f>
        <v/>
      </c>
      <c r="S6" s="218">
        <f>IF(S$3="","",IF(入力データ!$C$19="","",YEAR(DATE(S$3,12,31))-YEAR(入力データ!$C$19)-IF(DATE(S$3,12,31)&lt;DATE(S$3,MONTH(入力データ!$C$19),DAY(入力データ!$C$19)),1,0)))</f>
        <v/>
      </c>
      <c r="T6" s="218">
        <f>IF(T$3="","",IF(入力データ!$C$19="","",YEAR(DATE(T$3,12,31))-YEAR(入力データ!$C$19)-IF(DATE(T$3,12,31)&lt;DATE(T$3,MONTH(入力データ!$C$19),DAY(入力データ!$C$19)),1,0)))</f>
        <v/>
      </c>
      <c r="U6" s="218">
        <f>IF(U$3="","",IF(入力データ!$C$19="","",YEAR(DATE(U$3,12,31))-YEAR(入力データ!$C$19)-IF(DATE(U$3,12,31)&lt;DATE(U$3,MONTH(入力データ!$C$19),DAY(入力データ!$C$19)),1,0)))</f>
        <v/>
      </c>
      <c r="V6" s="218">
        <f>IF(V$3="","",IF(入力データ!$C$19="","",YEAR(DATE(V$3,12,31))-YEAR(入力データ!$C$19)-IF(DATE(V$3,12,31)&lt;DATE(V$3,MONTH(入力データ!$C$19),DAY(入力データ!$C$19)),1,0)))</f>
        <v/>
      </c>
      <c r="W6" s="218">
        <f>IF(W$3="","",IF(入力データ!$C$19="","",YEAR(DATE(W$3,12,31))-YEAR(入力データ!$C$19)-IF(DATE(W$3,12,31)&lt;DATE(W$3,MONTH(入力データ!$C$19),DAY(入力データ!$C$19)),1,0)))</f>
        <v/>
      </c>
      <c r="X6" s="218">
        <f>IF(X$3="","",IF(入力データ!$C$19="","",YEAR(DATE(X$3,12,31))-YEAR(入力データ!$C$19)-IF(DATE(X$3,12,31)&lt;DATE(X$3,MONTH(入力データ!$C$19),DAY(入力データ!$C$19)),1,0)))</f>
        <v/>
      </c>
      <c r="Y6" s="218">
        <f>IF(Y$3="","",IF(入力データ!$C$19="","",YEAR(DATE(Y$3,12,31))-YEAR(入力データ!$C$19)-IF(DATE(Y$3,12,31)&lt;DATE(Y$3,MONTH(入力データ!$C$19),DAY(入力データ!$C$19)),1,0)))</f>
        <v/>
      </c>
      <c r="Z6" s="218">
        <f>IF(Z$3="","",IF(入力データ!$C$19="","",YEAR(DATE(Z$3,12,31))-YEAR(入力データ!$C$19)-IF(DATE(Z$3,12,31)&lt;DATE(Z$3,MONTH(入力データ!$C$19),DAY(入力データ!$C$19)),1,0)))</f>
        <v/>
      </c>
      <c r="AA6" s="218">
        <f>IF(AA$3="","",IF(入力データ!$C$19="","",YEAR(DATE(AA$3,12,31))-YEAR(入力データ!$C$19)-IF(DATE(AA$3,12,31)&lt;DATE(AA$3,MONTH(入力データ!$C$19),DAY(入力データ!$C$19)),1,0)))</f>
        <v/>
      </c>
      <c r="AB6" s="218">
        <f>IF(AB$3="","",IF(入力データ!$C$19="","",YEAR(DATE(AB$3,12,31))-YEAR(入力データ!$C$19)-IF(DATE(AB$3,12,31)&lt;DATE(AB$3,MONTH(入力データ!$C$19),DAY(入力データ!$C$19)),1,0)))</f>
        <v/>
      </c>
      <c r="AC6" s="218">
        <f>IF(AC$3="","",IF(入力データ!$C$19="","",YEAR(DATE(AC$3,12,31))-YEAR(入力データ!$C$19)-IF(DATE(AC$3,12,31)&lt;DATE(AC$3,MONTH(入力データ!$C$19),DAY(入力データ!$C$19)),1,0)))</f>
        <v/>
      </c>
      <c r="AD6" s="218">
        <f>IF(AD$3="","",IF(入力データ!$C$19="","",YEAR(DATE(AD$3,12,31))-YEAR(入力データ!$C$19)-IF(DATE(AD$3,12,31)&lt;DATE(AD$3,MONTH(入力データ!$C$19),DAY(入力データ!$C$19)),1,0)))</f>
        <v/>
      </c>
      <c r="AE6" s="218">
        <f>IF(AE$3="","",IF(入力データ!$C$19="","",YEAR(DATE(AE$3,12,31))-YEAR(入力データ!$C$19)-IF(DATE(AE$3,12,31)&lt;DATE(AE$3,MONTH(入力データ!$C$19),DAY(入力データ!$C$19)),1,0)))</f>
        <v/>
      </c>
      <c r="AF6" s="218">
        <f>IF(AF$3="","",IF(入力データ!$C$19="","",YEAR(DATE(AF$3,12,31))-YEAR(入力データ!$C$19)-IF(DATE(AF$3,12,31)&lt;DATE(AF$3,MONTH(入力データ!$C$19),DAY(入力データ!$C$19)),1,0)))</f>
        <v/>
      </c>
      <c r="AG6" s="218">
        <f>IF(AG$3="","",IF(入力データ!$C$19="","",YEAR(DATE(AG$3,12,31))-YEAR(入力データ!$C$19)-IF(DATE(AG$3,12,31)&lt;DATE(AG$3,MONTH(入力データ!$C$19),DAY(入力データ!$C$19)),1,0)))</f>
        <v/>
      </c>
      <c r="AH6" s="218">
        <f>IF(AH$3="","",IF(入力データ!$C$19="","",YEAR(DATE(AH$3,12,31))-YEAR(入力データ!$C$19)-IF(DATE(AH$3,12,31)&lt;DATE(AH$3,MONTH(入力データ!$C$19),DAY(入力データ!$C$19)),1,0)))</f>
        <v/>
      </c>
      <c r="AI6" s="218">
        <f>IF(AI$3="","",IF(入力データ!$C$19="","",YEAR(DATE(AI$3,12,31))-YEAR(入力データ!$C$19)-IF(DATE(AI$3,12,31)&lt;DATE(AI$3,MONTH(入力データ!$C$19),DAY(入力データ!$C$19)),1,0)))</f>
        <v/>
      </c>
      <c r="AJ6" s="218">
        <f>IF(AJ$3="","",IF(入力データ!$C$19="","",YEAR(DATE(AJ$3,12,31))-YEAR(入力データ!$C$19)-IF(DATE(AJ$3,12,31)&lt;DATE(AJ$3,MONTH(入力データ!$C$19),DAY(入力データ!$C$19)),1,0)))</f>
        <v/>
      </c>
      <c r="AK6" s="218">
        <f>IF(AK$3="","",IF(入力データ!$C$19="","",YEAR(DATE(AK$3,12,31))-YEAR(入力データ!$C$19)-IF(DATE(AK$3,12,31)&lt;DATE(AK$3,MONTH(入力データ!$C$19),DAY(入力データ!$C$19)),1,0)))</f>
        <v/>
      </c>
      <c r="AL6" s="218">
        <f>IF(AL$3="","",IF(入力データ!$C$19="","",YEAR(DATE(AL$3,12,31))-YEAR(入力データ!$C$19)-IF(DATE(AL$3,12,31)&lt;DATE(AL$3,MONTH(入力データ!$C$19),DAY(入力データ!$C$19)),1,0)))</f>
        <v/>
      </c>
      <c r="AM6" s="218">
        <f>IF(AM$3="","",IF(入力データ!$C$19="","",YEAR(DATE(AM$3,12,31))-YEAR(入力データ!$C$19)-IF(DATE(AM$3,12,31)&lt;DATE(AM$3,MONTH(入力データ!$C$19),DAY(入力データ!$C$19)),1,0)))</f>
        <v/>
      </c>
      <c r="AN6" s="218">
        <f>IF(AN$3="","",IF(入力データ!$C$19="","",YEAR(DATE(AN$3,12,31))-YEAR(入力データ!$C$19)-IF(DATE(AN$3,12,31)&lt;DATE(AN$3,MONTH(入力データ!$C$19),DAY(入力データ!$C$19)),1,0)))</f>
        <v/>
      </c>
      <c r="AO6" s="218">
        <f>IF(AO$3="","",IF(入力データ!$C$19="","",YEAR(DATE(AO$3,12,31))-YEAR(入力データ!$C$19)-IF(DATE(AO$3,12,31)&lt;DATE(AO$3,MONTH(入力データ!$C$19),DAY(入力データ!$C$19)),1,0)))</f>
        <v/>
      </c>
      <c r="AP6" s="218">
        <f>IF(AP$3="","",IF(入力データ!$C$19="","",YEAR(DATE(AP$3,12,31))-YEAR(入力データ!$C$19)-IF(DATE(AP$3,12,31)&lt;DATE(AP$3,MONTH(入力データ!$C$19),DAY(入力データ!$C$19)),1,0)))</f>
        <v/>
      </c>
      <c r="AQ6" s="218">
        <f>IF(AQ$3="","",IF(入力データ!$C$19="","",YEAR(DATE(AQ$3,12,31))-YEAR(入力データ!$C$19)-IF(DATE(AQ$3,12,31)&lt;DATE(AQ$3,MONTH(入力データ!$C$19),DAY(入力データ!$C$19)),1,0)))</f>
        <v/>
      </c>
      <c r="AR6" s="218">
        <f>IF(AR$3="","",IF(入力データ!$C$19="","",YEAR(DATE(AR$3,12,31))-YEAR(入力データ!$C$19)-IF(DATE(AR$3,12,31)&lt;DATE(AR$3,MONTH(入力データ!$C$19),DAY(入力データ!$C$19)),1,0)))</f>
        <v/>
      </c>
      <c r="AS6" s="218">
        <f>IF(AS$3="","",IF(入力データ!$C$19="","",YEAR(DATE(AS$3,12,31))-YEAR(入力データ!$C$19)-IF(DATE(AS$3,12,31)&lt;DATE(AS$3,MONTH(入力データ!$C$19),DAY(入力データ!$C$19)),1,0)))</f>
        <v/>
      </c>
      <c r="AT6" s="218">
        <f>IF(AT$3="","",IF(入力データ!$C$19="","",YEAR(DATE(AT$3,12,31))-YEAR(入力データ!$C$19)-IF(DATE(AT$3,12,31)&lt;DATE(AT$3,MONTH(入力データ!$C$19),DAY(入力データ!$C$19)),1,0)))</f>
        <v/>
      </c>
      <c r="AU6" s="218">
        <f>IF(AU$3="","",IF(入力データ!$C$19="","",YEAR(DATE(AU$3,12,31))-YEAR(入力データ!$C$19)-IF(DATE(AU$3,12,31)&lt;DATE(AU$3,MONTH(入力データ!$C$19),DAY(入力データ!$C$19)),1,0)))</f>
        <v/>
      </c>
      <c r="AV6" s="218">
        <f>IF(AV$3="","",IF(入力データ!$C$19="","",YEAR(DATE(AV$3,12,31))-YEAR(入力データ!$C$19)-IF(DATE(AV$3,12,31)&lt;DATE(AV$3,MONTH(入力データ!$C$19),DAY(入力データ!$C$19)),1,0)))</f>
        <v/>
      </c>
      <c r="AW6" s="218">
        <f>IF(AW$3="","",IF(入力データ!$C$19="","",YEAR(DATE(AW$3,12,31))-YEAR(入力データ!$C$19)-IF(DATE(AW$3,12,31)&lt;DATE(AW$3,MONTH(入力データ!$C$19),DAY(入力データ!$C$19)),1,0)))</f>
        <v/>
      </c>
      <c r="AX6" s="218">
        <f>IF(AX$3="","",IF(入力データ!$C$19="","",YEAR(DATE(AX$3,12,31))-YEAR(入力データ!$C$19)-IF(DATE(AX$3,12,31)&lt;DATE(AX$3,MONTH(入力データ!$C$19),DAY(入力データ!$C$19)),1,0)))</f>
        <v/>
      </c>
      <c r="AY6" s="218">
        <f>IF(AY$3="","",IF(入力データ!$C$19="","",YEAR(DATE(AY$3,12,31))-YEAR(入力データ!$C$19)-IF(DATE(AY$3,12,31)&lt;DATE(AY$3,MONTH(入力データ!$C$19),DAY(入力データ!$C$19)),1,0)))</f>
        <v/>
      </c>
      <c r="AZ6" s="218">
        <f>IF(AZ$3="","",IF(入力データ!$C$19="","",YEAR(DATE(AZ$3,12,31))-YEAR(入力データ!$C$19)-IF(DATE(AZ$3,12,31)&lt;DATE(AZ$3,MONTH(入力データ!$C$19),DAY(入力データ!$C$19)),1,0)))</f>
        <v/>
      </c>
      <c r="BA6" s="218">
        <f>IF(BA$3="","",IF(入力データ!$C$19="","",YEAR(DATE(BA$3,12,31))-YEAR(入力データ!$C$19)-IF(DATE(BA$3,12,31)&lt;DATE(BA$3,MONTH(入力データ!$C$19),DAY(入力データ!$C$19)),1,0)))</f>
        <v/>
      </c>
      <c r="BB6" s="218">
        <f>IF(BB$3="","",IF(入力データ!$C$19="","",YEAR(DATE(BB$3,12,31))-YEAR(入力データ!$C$19)-IF(DATE(BB$3,12,31)&lt;DATE(BB$3,MONTH(入力データ!$C$19),DAY(入力データ!$C$19)),1,0)))</f>
        <v/>
      </c>
      <c r="BC6" s="218">
        <f>IF(BC$3="","",IF(入力データ!$C$19="","",YEAR(DATE(BC$3,12,31))-YEAR(入力データ!$C$19)-IF(DATE(BC$3,12,31)&lt;DATE(BC$3,MONTH(入力データ!$C$19),DAY(入力データ!$C$19)),1,0)))</f>
        <v/>
      </c>
      <c r="BD6" s="218">
        <f>IF(BD$3="","",IF(入力データ!$C$19="","",YEAR(DATE(BD$3,12,31))-YEAR(入力データ!$C$19)-IF(DATE(BD$3,12,31)&lt;DATE(BD$3,MONTH(入力データ!$C$19),DAY(入力データ!$C$19)),1,0)))</f>
        <v/>
      </c>
      <c r="BE6" s="218">
        <f>IF(BE$3="","",IF(入力データ!$C$19="","",YEAR(DATE(BE$3,12,31))-YEAR(入力データ!$C$19)-IF(DATE(BE$3,12,31)&lt;DATE(BE$3,MONTH(入力データ!$C$19),DAY(入力データ!$C$19)),1,0)))</f>
        <v/>
      </c>
      <c r="BF6" s="218">
        <f>IF(BF$3="","",IF(入力データ!$C$19="","",YEAR(DATE(BF$3,12,31))-YEAR(入力データ!$C$19)-IF(DATE(BF$3,12,31)&lt;DATE(BF$3,MONTH(入力データ!$C$19),DAY(入力データ!$C$19)),1,0)))</f>
        <v/>
      </c>
      <c r="BG6" s="218">
        <f>IF(BG$3="","",IF(入力データ!$C$19="","",YEAR(DATE(BG$3,12,31))-YEAR(入力データ!$C$19)-IF(DATE(BG$3,12,31)&lt;DATE(BG$3,MONTH(入力データ!$C$19),DAY(入力データ!$C$19)),1,0)))</f>
        <v/>
      </c>
      <c r="BH6" s="218">
        <f>IF(BH$3="","",IF(入力データ!$C$19="","",YEAR(DATE(BH$3,12,31))-YEAR(入力データ!$C$19)-IF(DATE(BH$3,12,31)&lt;DATE(BH$3,MONTH(入力データ!$C$19),DAY(入力データ!$C$19)),1,0)))</f>
        <v/>
      </c>
      <c r="BI6" s="218">
        <f>IF(BI$3="","",IF(入力データ!$C$19="","",YEAR(DATE(BI$3,12,31))-YEAR(入力データ!$C$19)-IF(DATE(BI$3,12,31)&lt;DATE(BI$3,MONTH(入力データ!$C$19),DAY(入力データ!$C$19)),1,0)))</f>
        <v/>
      </c>
      <c r="BJ6" s="218">
        <f>IF(BJ$3="","",IF(入力データ!$C$19="","",YEAR(DATE(BJ$3,12,31))-YEAR(入力データ!$C$19)-IF(DATE(BJ$3,12,31)&lt;DATE(BJ$3,MONTH(入力データ!$C$19),DAY(入力データ!$C$19)),1,0)))</f>
        <v/>
      </c>
      <c r="BK6" s="218">
        <f>IF(BK$3="","",IF(入力データ!$C$19="","",YEAR(DATE(BK$3,12,31))-YEAR(入力データ!$C$19)-IF(DATE(BK$3,12,31)&lt;DATE(BK$3,MONTH(入力データ!$C$19),DAY(入力データ!$C$19)),1,0)))</f>
        <v/>
      </c>
      <c r="BL6" s="218">
        <f>IF(BL$3="","",IF(入力データ!$C$19="","",YEAR(DATE(BL$3,12,31))-YEAR(入力データ!$C$19)-IF(DATE(BL$3,12,31)&lt;DATE(BL$3,MONTH(入力データ!$C$19),DAY(入力データ!$C$19)),1,0)))</f>
        <v/>
      </c>
      <c r="BM6" s="218">
        <f>IF(BM$3="","",IF(入力データ!$C$19="","",YEAR(DATE(BM$3,12,31))-YEAR(入力データ!$C$19)-IF(DATE(BM$3,12,31)&lt;DATE(BM$3,MONTH(入力データ!$C$19),DAY(入力データ!$C$19)),1,0)))</f>
        <v/>
      </c>
      <c r="BN6" s="218">
        <f>IF(BN$3="","",IF(入力データ!$C$19="","",YEAR(DATE(BN$3,12,31))-YEAR(入力データ!$C$19)-IF(DATE(BN$3,12,31)&lt;DATE(BN$3,MONTH(入力データ!$C$19),DAY(入力データ!$C$19)),1,0)))</f>
        <v/>
      </c>
      <c r="BO6" s="218">
        <f>IF(BO$3="","",IF(入力データ!$C$19="","",YEAR(DATE(BO$3,12,31))-YEAR(入力データ!$C$19)-IF(DATE(BO$3,12,31)&lt;DATE(BO$3,MONTH(入力データ!$C$19),DAY(入力データ!$C$19)),1,0)))</f>
        <v/>
      </c>
      <c r="BP6" s="218">
        <f>IF(BP$3="","",IF(入力データ!$C$19="","",YEAR(DATE(BP$3,12,31))-YEAR(入力データ!$C$19)-IF(DATE(BP$3,12,31)&lt;DATE(BP$3,MONTH(入力データ!$C$19),DAY(入力データ!$C$19)),1,0)))</f>
        <v/>
      </c>
      <c r="BQ6" s="218">
        <f>IF(BQ$3="","",IF(入力データ!$C$19="","",YEAR(DATE(BQ$3,12,31))-YEAR(入力データ!$C$19)-IF(DATE(BQ$3,12,31)&lt;DATE(BQ$3,MONTH(入力データ!$C$19),DAY(入力データ!$C$19)),1,0)))</f>
        <v/>
      </c>
      <c r="BR6" s="218">
        <f>IF(BR$3="","",IF(入力データ!$C$19="","",YEAR(DATE(BR$3,12,31))-YEAR(入力データ!$C$19)-IF(DATE(BR$3,12,31)&lt;DATE(BR$3,MONTH(入力データ!$C$19),DAY(入力データ!$C$19)),1,0)))</f>
        <v/>
      </c>
      <c r="BS6" s="218">
        <f>IF(BS$3="","",IF(入力データ!$C$19="","",YEAR(DATE(BS$3,12,31))-YEAR(入力データ!$C$19)-IF(DATE(BS$3,12,31)&lt;DATE(BS$3,MONTH(入力データ!$C$19),DAY(入力データ!$C$19)),1,0)))</f>
        <v/>
      </c>
      <c r="BT6" s="218">
        <f>IF(BT$3="","",IF(入力データ!$C$19="","",YEAR(DATE(BT$3,12,31))-YEAR(入力データ!$C$19)-IF(DATE(BT$3,12,31)&lt;DATE(BT$3,MONTH(入力データ!$C$19),DAY(入力データ!$C$19)),1,0)))</f>
        <v/>
      </c>
      <c r="BU6" s="218">
        <f>IF(BU$3="","",IF(入力データ!$C$19="","",YEAR(DATE(BU$3,12,31))-YEAR(入力データ!$C$19)-IF(DATE(BU$3,12,31)&lt;DATE(BU$3,MONTH(入力データ!$C$19),DAY(入力データ!$C$19)),1,0)))</f>
        <v/>
      </c>
      <c r="BV6" s="218">
        <f>IF(BV$3="","",IF(入力データ!$C$19="","",YEAR(DATE(BV$3,12,31))-YEAR(入力データ!$C$19)-IF(DATE(BV$3,12,31)&lt;DATE(BV$3,MONTH(入力データ!$C$19),DAY(入力データ!$C$19)),1,0)))</f>
        <v/>
      </c>
      <c r="BW6" s="218">
        <f>IF(BW$3="","",IF(入力データ!$C$19="","",YEAR(DATE(BW$3,12,31))-YEAR(入力データ!$C$19)-IF(DATE(BW$3,12,31)&lt;DATE(BW$3,MONTH(入力データ!$C$19),DAY(入力データ!$C$19)),1,0)))</f>
        <v/>
      </c>
      <c r="BX6" s="218">
        <f>IF(BX$3="","",IF(入力データ!$C$19="","",YEAR(DATE(BX$3,12,31))-YEAR(入力データ!$C$19)-IF(DATE(BX$3,12,31)&lt;DATE(BX$3,MONTH(入力データ!$C$19),DAY(入力データ!$C$19)),1,0)))</f>
        <v/>
      </c>
      <c r="BY6" s="218">
        <f>IF(BY$3="","",IF(入力データ!$C$19="","",YEAR(DATE(BY$3,12,31))-YEAR(入力データ!$C$19)-IF(DATE(BY$3,12,31)&lt;DATE(BY$3,MONTH(入力データ!$C$19),DAY(入力データ!$C$19)),1,0)))</f>
        <v/>
      </c>
      <c r="BZ6" s="218">
        <f>IF(BZ$3="","",IF(入力データ!$C$19="","",YEAR(DATE(BZ$3,12,31))-YEAR(入力データ!$C$19)-IF(DATE(BZ$3,12,31)&lt;DATE(BZ$3,MONTH(入力データ!$C$19),DAY(入力データ!$C$19)),1,0)))</f>
        <v/>
      </c>
      <c r="CA6" s="218">
        <f>IF(CA$3="","",IF(入力データ!$C$19="","",YEAR(DATE(CA$3,12,31))-YEAR(入力データ!$C$19)-IF(DATE(CA$3,12,31)&lt;DATE(CA$3,MONTH(入力データ!$C$19),DAY(入力データ!$C$19)),1,0)))</f>
        <v/>
      </c>
      <c r="CB6" s="218">
        <f>IF(CB$3="","",IF(入力データ!$C$19="","",YEAR(DATE(CB$3,12,31))-YEAR(入力データ!$C$19)-IF(DATE(CB$3,12,31)&lt;DATE(CB$3,MONTH(入力データ!$C$19),DAY(入力データ!$C$19)),1,0)))</f>
        <v/>
      </c>
      <c r="CC6" s="218">
        <f>IF(CC$3="","",IF(入力データ!$C$19="","",YEAR(DATE(CC$3,12,31))-YEAR(入力データ!$C$19)-IF(DATE(CC$3,12,31)&lt;DATE(CC$3,MONTH(入力データ!$C$19),DAY(入力データ!$C$19)),1,0)))</f>
        <v/>
      </c>
      <c r="CD6" s="218">
        <f>IF(CD$3="","",IF(入力データ!$C$19="","",YEAR(DATE(CD$3,12,31))-YEAR(入力データ!$C$19)-IF(DATE(CD$3,12,31)&lt;DATE(CD$3,MONTH(入力データ!$C$19),DAY(入力データ!$C$19)),1,0)))</f>
        <v/>
      </c>
      <c r="CE6" s="218">
        <f>IF(CE$3="","",IF(入力データ!$C$19="","",YEAR(DATE(CE$3,12,31))-YEAR(入力データ!$C$19)-IF(DATE(CE$3,12,31)&lt;DATE(CE$3,MONTH(入力データ!$C$19),DAY(入力データ!$C$19)),1,0)))</f>
        <v/>
      </c>
      <c r="CF6" s="218">
        <f>IF(CF$3="","",IF(入力データ!$C$19="","",YEAR(DATE(CF$3,12,31))-YEAR(入力データ!$C$19)-IF(DATE(CF$3,12,31)&lt;DATE(CF$3,MONTH(入力データ!$C$19),DAY(入力データ!$C$19)),1,0)))</f>
        <v/>
      </c>
      <c r="CG6" s="218">
        <f>IF(CG$3="","",IF(入力データ!$C$19="","",YEAR(DATE(CG$3,12,31))-YEAR(入力データ!$C$19)-IF(DATE(CG$3,12,31)&lt;DATE(CG$3,MONTH(入力データ!$C$19),DAY(入力データ!$C$19)),1,0)))</f>
        <v/>
      </c>
      <c r="CH6" s="218">
        <f>IF(CH$3="","",IF(入力データ!$C$19="","",YEAR(DATE(CH$3,12,31))-YEAR(入力データ!$C$19)-IF(DATE(CH$3,12,31)&lt;DATE(CH$3,MONTH(入力データ!$C$19),DAY(入力データ!$C$19)),1,0)))</f>
        <v/>
      </c>
      <c r="CI6" s="218">
        <f>IF(CI$3="","",IF(入力データ!$C$19="","",YEAR(DATE(CI$3,12,31))-YEAR(入力データ!$C$19)-IF(DATE(CI$3,12,31)&lt;DATE(CI$3,MONTH(入力データ!$C$19),DAY(入力データ!$C$19)),1,0)))</f>
        <v/>
      </c>
      <c r="CJ6" s="218">
        <f>IF(CJ$3="","",IF(入力データ!$C$19="","",YEAR(DATE(CJ$3,12,31))-YEAR(入力データ!$C$19)-IF(DATE(CJ$3,12,31)&lt;DATE(CJ$3,MONTH(入力データ!$C$19),DAY(入力データ!$C$19)),1,0)))</f>
        <v/>
      </c>
      <c r="CK6" s="218">
        <f>IF(CK$3="","",IF(入力データ!$C$19="","",YEAR(DATE(CK$3,12,31))-YEAR(入力データ!$C$19)-IF(DATE(CK$3,12,31)&lt;DATE(CK$3,MONTH(入力データ!$C$19),DAY(入力データ!$C$19)),1,0)))</f>
        <v/>
      </c>
      <c r="CL6" s="218">
        <f>IF(CL$3="","",IF(入力データ!$C$19="","",YEAR(DATE(CL$3,12,31))-YEAR(入力データ!$C$19)-IF(DATE(CL$3,12,31)&lt;DATE(CL$3,MONTH(入力データ!$C$19),DAY(入力データ!$C$19)),1,0)))</f>
        <v/>
      </c>
      <c r="CM6" s="218">
        <f>IF(CM$3="","",IF(入力データ!$C$19="","",YEAR(DATE(CM$3,12,31))-YEAR(入力データ!$C$19)-IF(DATE(CM$3,12,31)&lt;DATE(CM$3,MONTH(入力データ!$C$19),DAY(入力データ!$C$19)),1,0)))</f>
        <v/>
      </c>
      <c r="CN6" s="218">
        <f>IF(CN$3="","",IF(入力データ!$C$19="","",YEAR(DATE(CN$3,12,31))-YEAR(入力データ!$C$19)-IF(DATE(CN$3,12,31)&lt;DATE(CN$3,MONTH(入力データ!$C$19),DAY(入力データ!$C$19)),1,0)))</f>
        <v/>
      </c>
      <c r="CO6" s="218">
        <f>IF(CO$3="","",IF(入力データ!$C$19="","",YEAR(DATE(CO$3,12,31))-YEAR(入力データ!$C$19)-IF(DATE(CO$3,12,31)&lt;DATE(CO$3,MONTH(入力データ!$C$19),DAY(入力データ!$C$19)),1,0)))</f>
        <v/>
      </c>
      <c r="CP6" s="218">
        <f>IF(CP$3="","",IF(入力データ!$C$19="","",YEAR(DATE(CP$3,12,31))-YEAR(入力データ!$C$19)-IF(DATE(CP$3,12,31)&lt;DATE(CP$3,MONTH(入力データ!$C$19),DAY(入力データ!$C$19)),1,0)))</f>
        <v/>
      </c>
      <c r="CQ6" s="218">
        <f>IF(CQ$3="","",IF(入力データ!$C$19="","",YEAR(DATE(CQ$3,12,31))-YEAR(入力データ!$C$19)-IF(DATE(CQ$3,12,31)&lt;DATE(CQ$3,MONTH(入力データ!$C$19),DAY(入力データ!$C$19)),1,0)))</f>
        <v/>
      </c>
      <c r="CR6" s="218">
        <f>IF(CR$3="","",IF(入力データ!$C$19="","",YEAR(DATE(CR$3,12,31))-YEAR(入力データ!$C$19)-IF(DATE(CR$3,12,31)&lt;DATE(CR$3,MONTH(入力データ!$C$19),DAY(入力データ!$C$19)),1,0)))</f>
        <v/>
      </c>
      <c r="CS6" s="218">
        <f>IF(CS$3="","",IF(入力データ!$C$19="","",YEAR(DATE(CS$3,12,31))-YEAR(入力データ!$C$19)-IF(DATE(CS$3,12,31)&lt;DATE(CS$3,MONTH(入力データ!$C$19),DAY(入力データ!$C$19)),1,0)))</f>
        <v/>
      </c>
      <c r="CT6" s="218">
        <f>IF(CT$3="","",IF(入力データ!$C$19="","",YEAR(DATE(CT$3,12,31))-YEAR(入力データ!$C$19)-IF(DATE(CT$3,12,31)&lt;DATE(CT$3,MONTH(入力データ!$C$19),DAY(入力データ!$C$19)),1,0)))</f>
        <v/>
      </c>
      <c r="CU6" s="218">
        <f>IF(CU$3="","",IF(入力データ!$C$19="","",YEAR(DATE(CU$3,12,31))-YEAR(入力データ!$C$19)-IF(DATE(CU$3,12,31)&lt;DATE(CU$3,MONTH(入力データ!$C$19),DAY(入力データ!$C$19)),1,0)))</f>
        <v/>
      </c>
      <c r="CV6" s="218">
        <f>IF(CV$3="","",IF(入力データ!$C$19="","",YEAR(DATE(CV$3,12,31))-YEAR(入力データ!$C$19)-IF(DATE(CV$3,12,31)&lt;DATE(CV$3,MONTH(入力データ!$C$19),DAY(入力データ!$C$19)),1,0)))</f>
        <v/>
      </c>
      <c r="CW6" s="218">
        <f>IF(CW$3="","",IF(入力データ!$C$19="","",YEAR(DATE(CW$3,12,31))-YEAR(入力データ!$C$19)-IF(DATE(CW$3,12,31)&lt;DATE(CW$3,MONTH(入力データ!$C$19),DAY(入力データ!$C$19)),1,0)))</f>
        <v/>
      </c>
    </row>
    <row r="7" ht="16.5" customHeight="1" s="180">
      <c r="A7" s="217" t="inlineStr">
        <is>
          <t>子2年齢</t>
        </is>
      </c>
      <c r="B7" s="218">
        <f>IF(B$3="","",IF(入力データ!$C$21="","",YEAR(DATE(B$3,12,31))-YEAR(入力データ!$C$21)-IF(DATE(B$3,12,31)&lt;DATE(B$3,MONTH(入力データ!$C$21),DAY(入力データ!$C$21)),1,0)))</f>
        <v/>
      </c>
      <c r="C7" s="218">
        <f>IF(C$3="","",IF(入力データ!$C$21="","",YEAR(DATE(C$3,12,31))-YEAR(入力データ!$C$21)-IF(DATE(C$3,12,31)&lt;DATE(C$3,MONTH(入力データ!$C$21),DAY(入力データ!$C$21)),1,0)))</f>
        <v/>
      </c>
      <c r="D7" s="218">
        <f>IF(D$3="","",IF(入力データ!$C$21="","",YEAR(DATE(D$3,12,31))-YEAR(入力データ!$C$21)-IF(DATE(D$3,12,31)&lt;DATE(D$3,MONTH(入力データ!$C$21),DAY(入力データ!$C$21)),1,0)))</f>
        <v/>
      </c>
      <c r="E7" s="218">
        <f>IF(E$3="","",IF(入力データ!$C$21="","",YEAR(DATE(E$3,12,31))-YEAR(入力データ!$C$21)-IF(DATE(E$3,12,31)&lt;DATE(E$3,MONTH(入力データ!$C$21),DAY(入力データ!$C$21)),1,0)))</f>
        <v/>
      </c>
      <c r="F7" s="218">
        <f>IF(F$3="","",IF(入力データ!$C$21="","",YEAR(DATE(F$3,12,31))-YEAR(入力データ!$C$21)-IF(DATE(F$3,12,31)&lt;DATE(F$3,MONTH(入力データ!$C$21),DAY(入力データ!$C$21)),1,0)))</f>
        <v/>
      </c>
      <c r="G7" s="218">
        <f>IF(G$3="","",IF(入力データ!$C$21="","",YEAR(DATE(G$3,12,31))-YEAR(入力データ!$C$21)-IF(DATE(G$3,12,31)&lt;DATE(G$3,MONTH(入力データ!$C$21),DAY(入力データ!$C$21)),1,0)))</f>
        <v/>
      </c>
      <c r="H7" s="218">
        <f>IF(H$3="","",IF(入力データ!$C$21="","",YEAR(DATE(H$3,12,31))-YEAR(入力データ!$C$21)-IF(DATE(H$3,12,31)&lt;DATE(H$3,MONTH(入力データ!$C$21),DAY(入力データ!$C$21)),1,0)))</f>
        <v/>
      </c>
      <c r="I7" s="218">
        <f>IF(I$3="","",IF(入力データ!$C$21="","",YEAR(DATE(I$3,12,31))-YEAR(入力データ!$C$21)-IF(DATE(I$3,12,31)&lt;DATE(I$3,MONTH(入力データ!$C$21),DAY(入力データ!$C$21)),1,0)))</f>
        <v/>
      </c>
      <c r="J7" s="218">
        <f>IF(J$3="","",IF(入力データ!$C$21="","",YEAR(DATE(J$3,12,31))-YEAR(入力データ!$C$21)-IF(DATE(J$3,12,31)&lt;DATE(J$3,MONTH(入力データ!$C$21),DAY(入力データ!$C$21)),1,0)))</f>
        <v/>
      </c>
      <c r="K7" s="218">
        <f>IF(K$3="","",IF(入力データ!$C$21="","",YEAR(DATE(K$3,12,31))-YEAR(入力データ!$C$21)-IF(DATE(K$3,12,31)&lt;DATE(K$3,MONTH(入力データ!$C$21),DAY(入力データ!$C$21)),1,0)))</f>
        <v/>
      </c>
      <c r="L7" s="218">
        <f>IF(L$3="","",IF(入力データ!$C$21="","",YEAR(DATE(L$3,12,31))-YEAR(入力データ!$C$21)-IF(DATE(L$3,12,31)&lt;DATE(L$3,MONTH(入力データ!$C$21),DAY(入力データ!$C$21)),1,0)))</f>
        <v/>
      </c>
      <c r="M7" s="218">
        <f>IF(M$3="","",IF(入力データ!$C$21="","",YEAR(DATE(M$3,12,31))-YEAR(入力データ!$C$21)-IF(DATE(M$3,12,31)&lt;DATE(M$3,MONTH(入力データ!$C$21),DAY(入力データ!$C$21)),1,0)))</f>
        <v/>
      </c>
      <c r="N7" s="218">
        <f>IF(N$3="","",IF(入力データ!$C$21="","",YEAR(DATE(N$3,12,31))-YEAR(入力データ!$C$21)-IF(DATE(N$3,12,31)&lt;DATE(N$3,MONTH(入力データ!$C$21),DAY(入力データ!$C$21)),1,0)))</f>
        <v/>
      </c>
      <c r="O7" s="218">
        <f>IF(O$3="","",IF(入力データ!$C$21="","",YEAR(DATE(O$3,12,31))-YEAR(入力データ!$C$21)-IF(DATE(O$3,12,31)&lt;DATE(O$3,MONTH(入力データ!$C$21),DAY(入力データ!$C$21)),1,0)))</f>
        <v/>
      </c>
      <c r="P7" s="218">
        <f>IF(P$3="","",IF(入力データ!$C$21="","",YEAR(DATE(P$3,12,31))-YEAR(入力データ!$C$21)-IF(DATE(P$3,12,31)&lt;DATE(P$3,MONTH(入力データ!$C$21),DAY(入力データ!$C$21)),1,0)))</f>
        <v/>
      </c>
      <c r="Q7" s="218">
        <f>IF(Q$3="","",IF(入力データ!$C$21="","",YEAR(DATE(Q$3,12,31))-YEAR(入力データ!$C$21)-IF(DATE(Q$3,12,31)&lt;DATE(Q$3,MONTH(入力データ!$C$21),DAY(入力データ!$C$21)),1,0)))</f>
        <v/>
      </c>
      <c r="R7" s="218">
        <f>IF(R$3="","",IF(入力データ!$C$21="","",YEAR(DATE(R$3,12,31))-YEAR(入力データ!$C$21)-IF(DATE(R$3,12,31)&lt;DATE(R$3,MONTH(入力データ!$C$21),DAY(入力データ!$C$21)),1,0)))</f>
        <v/>
      </c>
      <c r="S7" s="218">
        <f>IF(S$3="","",IF(入力データ!$C$21="","",YEAR(DATE(S$3,12,31))-YEAR(入力データ!$C$21)-IF(DATE(S$3,12,31)&lt;DATE(S$3,MONTH(入力データ!$C$21),DAY(入力データ!$C$21)),1,0)))</f>
        <v/>
      </c>
      <c r="T7" s="218">
        <f>IF(T$3="","",IF(入力データ!$C$21="","",YEAR(DATE(T$3,12,31))-YEAR(入力データ!$C$21)-IF(DATE(T$3,12,31)&lt;DATE(T$3,MONTH(入力データ!$C$21),DAY(入力データ!$C$21)),1,0)))</f>
        <v/>
      </c>
      <c r="U7" s="218">
        <f>IF(U$3="","",IF(入力データ!$C$21="","",YEAR(DATE(U$3,12,31))-YEAR(入力データ!$C$21)-IF(DATE(U$3,12,31)&lt;DATE(U$3,MONTH(入力データ!$C$21),DAY(入力データ!$C$21)),1,0)))</f>
        <v/>
      </c>
      <c r="V7" s="218">
        <f>IF(V$3="","",IF(入力データ!$C$21="","",YEAR(DATE(V$3,12,31))-YEAR(入力データ!$C$21)-IF(DATE(V$3,12,31)&lt;DATE(V$3,MONTH(入力データ!$C$21),DAY(入力データ!$C$21)),1,0)))</f>
        <v/>
      </c>
      <c r="W7" s="218">
        <f>IF(W$3="","",IF(入力データ!$C$21="","",YEAR(DATE(W$3,12,31))-YEAR(入力データ!$C$21)-IF(DATE(W$3,12,31)&lt;DATE(W$3,MONTH(入力データ!$C$21),DAY(入力データ!$C$21)),1,0)))</f>
        <v/>
      </c>
      <c r="X7" s="218">
        <f>IF(X$3="","",IF(入力データ!$C$21="","",YEAR(DATE(X$3,12,31))-YEAR(入力データ!$C$21)-IF(DATE(X$3,12,31)&lt;DATE(X$3,MONTH(入力データ!$C$21),DAY(入力データ!$C$21)),1,0)))</f>
        <v/>
      </c>
      <c r="Y7" s="218">
        <f>IF(Y$3="","",IF(入力データ!$C$21="","",YEAR(DATE(Y$3,12,31))-YEAR(入力データ!$C$21)-IF(DATE(Y$3,12,31)&lt;DATE(Y$3,MONTH(入力データ!$C$21),DAY(入力データ!$C$21)),1,0)))</f>
        <v/>
      </c>
      <c r="Z7" s="218">
        <f>IF(Z$3="","",IF(入力データ!$C$21="","",YEAR(DATE(Z$3,12,31))-YEAR(入力データ!$C$21)-IF(DATE(Z$3,12,31)&lt;DATE(Z$3,MONTH(入力データ!$C$21),DAY(入力データ!$C$21)),1,0)))</f>
        <v/>
      </c>
      <c r="AA7" s="218">
        <f>IF(AA$3="","",IF(入力データ!$C$21="","",YEAR(DATE(AA$3,12,31))-YEAR(入力データ!$C$21)-IF(DATE(AA$3,12,31)&lt;DATE(AA$3,MONTH(入力データ!$C$21),DAY(入力データ!$C$21)),1,0)))</f>
        <v/>
      </c>
      <c r="AB7" s="218">
        <f>IF(AB$3="","",IF(入力データ!$C$21="","",YEAR(DATE(AB$3,12,31))-YEAR(入力データ!$C$21)-IF(DATE(AB$3,12,31)&lt;DATE(AB$3,MONTH(入力データ!$C$21),DAY(入力データ!$C$21)),1,0)))</f>
        <v/>
      </c>
      <c r="AC7" s="218">
        <f>IF(AC$3="","",IF(入力データ!$C$21="","",YEAR(DATE(AC$3,12,31))-YEAR(入力データ!$C$21)-IF(DATE(AC$3,12,31)&lt;DATE(AC$3,MONTH(入力データ!$C$21),DAY(入力データ!$C$21)),1,0)))</f>
        <v/>
      </c>
      <c r="AD7" s="218">
        <f>IF(AD$3="","",IF(入力データ!$C$21="","",YEAR(DATE(AD$3,12,31))-YEAR(入力データ!$C$21)-IF(DATE(AD$3,12,31)&lt;DATE(AD$3,MONTH(入力データ!$C$21),DAY(入力データ!$C$21)),1,0)))</f>
        <v/>
      </c>
      <c r="AE7" s="218">
        <f>IF(AE$3="","",IF(入力データ!$C$21="","",YEAR(DATE(AE$3,12,31))-YEAR(入力データ!$C$21)-IF(DATE(AE$3,12,31)&lt;DATE(AE$3,MONTH(入力データ!$C$21),DAY(入力データ!$C$21)),1,0)))</f>
        <v/>
      </c>
      <c r="AF7" s="218">
        <f>IF(AF$3="","",IF(入力データ!$C$21="","",YEAR(DATE(AF$3,12,31))-YEAR(入力データ!$C$21)-IF(DATE(AF$3,12,31)&lt;DATE(AF$3,MONTH(入力データ!$C$21),DAY(入力データ!$C$21)),1,0)))</f>
        <v/>
      </c>
      <c r="AG7" s="218">
        <f>IF(AG$3="","",IF(入力データ!$C$21="","",YEAR(DATE(AG$3,12,31))-YEAR(入力データ!$C$21)-IF(DATE(AG$3,12,31)&lt;DATE(AG$3,MONTH(入力データ!$C$21),DAY(入力データ!$C$21)),1,0)))</f>
        <v/>
      </c>
      <c r="AH7" s="218">
        <f>IF(AH$3="","",IF(入力データ!$C$21="","",YEAR(DATE(AH$3,12,31))-YEAR(入力データ!$C$21)-IF(DATE(AH$3,12,31)&lt;DATE(AH$3,MONTH(入力データ!$C$21),DAY(入力データ!$C$21)),1,0)))</f>
        <v/>
      </c>
      <c r="AI7" s="218">
        <f>IF(AI$3="","",IF(入力データ!$C$21="","",YEAR(DATE(AI$3,12,31))-YEAR(入力データ!$C$21)-IF(DATE(AI$3,12,31)&lt;DATE(AI$3,MONTH(入力データ!$C$21),DAY(入力データ!$C$21)),1,0)))</f>
        <v/>
      </c>
      <c r="AJ7" s="218">
        <f>IF(AJ$3="","",IF(入力データ!$C$21="","",YEAR(DATE(AJ$3,12,31))-YEAR(入力データ!$C$21)-IF(DATE(AJ$3,12,31)&lt;DATE(AJ$3,MONTH(入力データ!$C$21),DAY(入力データ!$C$21)),1,0)))</f>
        <v/>
      </c>
      <c r="AK7" s="218">
        <f>IF(AK$3="","",IF(入力データ!$C$21="","",YEAR(DATE(AK$3,12,31))-YEAR(入力データ!$C$21)-IF(DATE(AK$3,12,31)&lt;DATE(AK$3,MONTH(入力データ!$C$21),DAY(入力データ!$C$21)),1,0)))</f>
        <v/>
      </c>
      <c r="AL7" s="218">
        <f>IF(AL$3="","",IF(入力データ!$C$21="","",YEAR(DATE(AL$3,12,31))-YEAR(入力データ!$C$21)-IF(DATE(AL$3,12,31)&lt;DATE(AL$3,MONTH(入力データ!$C$21),DAY(入力データ!$C$21)),1,0)))</f>
        <v/>
      </c>
      <c r="AM7" s="218">
        <f>IF(AM$3="","",IF(入力データ!$C$21="","",YEAR(DATE(AM$3,12,31))-YEAR(入力データ!$C$21)-IF(DATE(AM$3,12,31)&lt;DATE(AM$3,MONTH(入力データ!$C$21),DAY(入力データ!$C$21)),1,0)))</f>
        <v/>
      </c>
      <c r="AN7" s="218">
        <f>IF(AN$3="","",IF(入力データ!$C$21="","",YEAR(DATE(AN$3,12,31))-YEAR(入力データ!$C$21)-IF(DATE(AN$3,12,31)&lt;DATE(AN$3,MONTH(入力データ!$C$21),DAY(入力データ!$C$21)),1,0)))</f>
        <v/>
      </c>
      <c r="AO7" s="218">
        <f>IF(AO$3="","",IF(入力データ!$C$21="","",YEAR(DATE(AO$3,12,31))-YEAR(入力データ!$C$21)-IF(DATE(AO$3,12,31)&lt;DATE(AO$3,MONTH(入力データ!$C$21),DAY(入力データ!$C$21)),1,0)))</f>
        <v/>
      </c>
      <c r="AP7" s="218">
        <f>IF(AP$3="","",IF(入力データ!$C$21="","",YEAR(DATE(AP$3,12,31))-YEAR(入力データ!$C$21)-IF(DATE(AP$3,12,31)&lt;DATE(AP$3,MONTH(入力データ!$C$21),DAY(入力データ!$C$21)),1,0)))</f>
        <v/>
      </c>
      <c r="AQ7" s="218">
        <f>IF(AQ$3="","",IF(入力データ!$C$21="","",YEAR(DATE(AQ$3,12,31))-YEAR(入力データ!$C$21)-IF(DATE(AQ$3,12,31)&lt;DATE(AQ$3,MONTH(入力データ!$C$21),DAY(入力データ!$C$21)),1,0)))</f>
        <v/>
      </c>
      <c r="AR7" s="218">
        <f>IF(AR$3="","",IF(入力データ!$C$21="","",YEAR(DATE(AR$3,12,31))-YEAR(入力データ!$C$21)-IF(DATE(AR$3,12,31)&lt;DATE(AR$3,MONTH(入力データ!$C$21),DAY(入力データ!$C$21)),1,0)))</f>
        <v/>
      </c>
      <c r="AS7" s="218">
        <f>IF(AS$3="","",IF(入力データ!$C$21="","",YEAR(DATE(AS$3,12,31))-YEAR(入力データ!$C$21)-IF(DATE(AS$3,12,31)&lt;DATE(AS$3,MONTH(入力データ!$C$21),DAY(入力データ!$C$21)),1,0)))</f>
        <v/>
      </c>
      <c r="AT7" s="218">
        <f>IF(AT$3="","",IF(入力データ!$C$21="","",YEAR(DATE(AT$3,12,31))-YEAR(入力データ!$C$21)-IF(DATE(AT$3,12,31)&lt;DATE(AT$3,MONTH(入力データ!$C$21),DAY(入力データ!$C$21)),1,0)))</f>
        <v/>
      </c>
      <c r="AU7" s="218">
        <f>IF(AU$3="","",IF(入力データ!$C$21="","",YEAR(DATE(AU$3,12,31))-YEAR(入力データ!$C$21)-IF(DATE(AU$3,12,31)&lt;DATE(AU$3,MONTH(入力データ!$C$21),DAY(入力データ!$C$21)),1,0)))</f>
        <v/>
      </c>
      <c r="AV7" s="218">
        <f>IF(AV$3="","",IF(入力データ!$C$21="","",YEAR(DATE(AV$3,12,31))-YEAR(入力データ!$C$21)-IF(DATE(AV$3,12,31)&lt;DATE(AV$3,MONTH(入力データ!$C$21),DAY(入力データ!$C$21)),1,0)))</f>
        <v/>
      </c>
      <c r="AW7" s="218">
        <f>IF(AW$3="","",IF(入力データ!$C$21="","",YEAR(DATE(AW$3,12,31))-YEAR(入力データ!$C$21)-IF(DATE(AW$3,12,31)&lt;DATE(AW$3,MONTH(入力データ!$C$21),DAY(入力データ!$C$21)),1,0)))</f>
        <v/>
      </c>
      <c r="AX7" s="218">
        <f>IF(AX$3="","",IF(入力データ!$C$21="","",YEAR(DATE(AX$3,12,31))-YEAR(入力データ!$C$21)-IF(DATE(AX$3,12,31)&lt;DATE(AX$3,MONTH(入力データ!$C$21),DAY(入力データ!$C$21)),1,0)))</f>
        <v/>
      </c>
      <c r="AY7" s="218">
        <f>IF(AY$3="","",IF(入力データ!$C$21="","",YEAR(DATE(AY$3,12,31))-YEAR(入力データ!$C$21)-IF(DATE(AY$3,12,31)&lt;DATE(AY$3,MONTH(入力データ!$C$21),DAY(入力データ!$C$21)),1,0)))</f>
        <v/>
      </c>
      <c r="AZ7" s="218">
        <f>IF(AZ$3="","",IF(入力データ!$C$21="","",YEAR(DATE(AZ$3,12,31))-YEAR(入力データ!$C$21)-IF(DATE(AZ$3,12,31)&lt;DATE(AZ$3,MONTH(入力データ!$C$21),DAY(入力データ!$C$21)),1,0)))</f>
        <v/>
      </c>
      <c r="BA7" s="218">
        <f>IF(BA$3="","",IF(入力データ!$C$21="","",YEAR(DATE(BA$3,12,31))-YEAR(入力データ!$C$21)-IF(DATE(BA$3,12,31)&lt;DATE(BA$3,MONTH(入力データ!$C$21),DAY(入力データ!$C$21)),1,0)))</f>
        <v/>
      </c>
      <c r="BB7" s="218">
        <f>IF(BB$3="","",IF(入力データ!$C$21="","",YEAR(DATE(BB$3,12,31))-YEAR(入力データ!$C$21)-IF(DATE(BB$3,12,31)&lt;DATE(BB$3,MONTH(入力データ!$C$21),DAY(入力データ!$C$21)),1,0)))</f>
        <v/>
      </c>
      <c r="BC7" s="218">
        <f>IF(BC$3="","",IF(入力データ!$C$21="","",YEAR(DATE(BC$3,12,31))-YEAR(入力データ!$C$21)-IF(DATE(BC$3,12,31)&lt;DATE(BC$3,MONTH(入力データ!$C$21),DAY(入力データ!$C$21)),1,0)))</f>
        <v/>
      </c>
      <c r="BD7" s="218">
        <f>IF(BD$3="","",IF(入力データ!$C$21="","",YEAR(DATE(BD$3,12,31))-YEAR(入力データ!$C$21)-IF(DATE(BD$3,12,31)&lt;DATE(BD$3,MONTH(入力データ!$C$21),DAY(入力データ!$C$21)),1,0)))</f>
        <v/>
      </c>
      <c r="BE7" s="218">
        <f>IF(BE$3="","",IF(入力データ!$C$21="","",YEAR(DATE(BE$3,12,31))-YEAR(入力データ!$C$21)-IF(DATE(BE$3,12,31)&lt;DATE(BE$3,MONTH(入力データ!$C$21),DAY(入力データ!$C$21)),1,0)))</f>
        <v/>
      </c>
      <c r="BF7" s="218">
        <f>IF(BF$3="","",IF(入力データ!$C$21="","",YEAR(DATE(BF$3,12,31))-YEAR(入力データ!$C$21)-IF(DATE(BF$3,12,31)&lt;DATE(BF$3,MONTH(入力データ!$C$21),DAY(入力データ!$C$21)),1,0)))</f>
        <v/>
      </c>
      <c r="BG7" s="218">
        <f>IF(BG$3="","",IF(入力データ!$C$21="","",YEAR(DATE(BG$3,12,31))-YEAR(入力データ!$C$21)-IF(DATE(BG$3,12,31)&lt;DATE(BG$3,MONTH(入力データ!$C$21),DAY(入力データ!$C$21)),1,0)))</f>
        <v/>
      </c>
      <c r="BH7" s="218">
        <f>IF(BH$3="","",IF(入力データ!$C$21="","",YEAR(DATE(BH$3,12,31))-YEAR(入力データ!$C$21)-IF(DATE(BH$3,12,31)&lt;DATE(BH$3,MONTH(入力データ!$C$21),DAY(入力データ!$C$21)),1,0)))</f>
        <v/>
      </c>
      <c r="BI7" s="218">
        <f>IF(BI$3="","",IF(入力データ!$C$21="","",YEAR(DATE(BI$3,12,31))-YEAR(入力データ!$C$21)-IF(DATE(BI$3,12,31)&lt;DATE(BI$3,MONTH(入力データ!$C$21),DAY(入力データ!$C$21)),1,0)))</f>
        <v/>
      </c>
      <c r="BJ7" s="218">
        <f>IF(BJ$3="","",IF(入力データ!$C$21="","",YEAR(DATE(BJ$3,12,31))-YEAR(入力データ!$C$21)-IF(DATE(BJ$3,12,31)&lt;DATE(BJ$3,MONTH(入力データ!$C$21),DAY(入力データ!$C$21)),1,0)))</f>
        <v/>
      </c>
      <c r="BK7" s="218">
        <f>IF(BK$3="","",IF(入力データ!$C$21="","",YEAR(DATE(BK$3,12,31))-YEAR(入力データ!$C$21)-IF(DATE(BK$3,12,31)&lt;DATE(BK$3,MONTH(入力データ!$C$21),DAY(入力データ!$C$21)),1,0)))</f>
        <v/>
      </c>
      <c r="BL7" s="218">
        <f>IF(BL$3="","",IF(入力データ!$C$21="","",YEAR(DATE(BL$3,12,31))-YEAR(入力データ!$C$21)-IF(DATE(BL$3,12,31)&lt;DATE(BL$3,MONTH(入力データ!$C$21),DAY(入力データ!$C$21)),1,0)))</f>
        <v/>
      </c>
      <c r="BM7" s="218">
        <f>IF(BM$3="","",IF(入力データ!$C$21="","",YEAR(DATE(BM$3,12,31))-YEAR(入力データ!$C$21)-IF(DATE(BM$3,12,31)&lt;DATE(BM$3,MONTH(入力データ!$C$21),DAY(入力データ!$C$21)),1,0)))</f>
        <v/>
      </c>
      <c r="BN7" s="218">
        <f>IF(BN$3="","",IF(入力データ!$C$21="","",YEAR(DATE(BN$3,12,31))-YEAR(入力データ!$C$21)-IF(DATE(BN$3,12,31)&lt;DATE(BN$3,MONTH(入力データ!$C$21),DAY(入力データ!$C$21)),1,0)))</f>
        <v/>
      </c>
      <c r="BO7" s="218">
        <f>IF(BO$3="","",IF(入力データ!$C$21="","",YEAR(DATE(BO$3,12,31))-YEAR(入力データ!$C$21)-IF(DATE(BO$3,12,31)&lt;DATE(BO$3,MONTH(入力データ!$C$21),DAY(入力データ!$C$21)),1,0)))</f>
        <v/>
      </c>
      <c r="BP7" s="218">
        <f>IF(BP$3="","",IF(入力データ!$C$21="","",YEAR(DATE(BP$3,12,31))-YEAR(入力データ!$C$21)-IF(DATE(BP$3,12,31)&lt;DATE(BP$3,MONTH(入力データ!$C$21),DAY(入力データ!$C$21)),1,0)))</f>
        <v/>
      </c>
      <c r="BQ7" s="218">
        <f>IF(BQ$3="","",IF(入力データ!$C$21="","",YEAR(DATE(BQ$3,12,31))-YEAR(入力データ!$C$21)-IF(DATE(BQ$3,12,31)&lt;DATE(BQ$3,MONTH(入力データ!$C$21),DAY(入力データ!$C$21)),1,0)))</f>
        <v/>
      </c>
      <c r="BR7" s="218">
        <f>IF(BR$3="","",IF(入力データ!$C$21="","",YEAR(DATE(BR$3,12,31))-YEAR(入力データ!$C$21)-IF(DATE(BR$3,12,31)&lt;DATE(BR$3,MONTH(入力データ!$C$21),DAY(入力データ!$C$21)),1,0)))</f>
        <v/>
      </c>
      <c r="BS7" s="218">
        <f>IF(BS$3="","",IF(入力データ!$C$21="","",YEAR(DATE(BS$3,12,31))-YEAR(入力データ!$C$21)-IF(DATE(BS$3,12,31)&lt;DATE(BS$3,MONTH(入力データ!$C$21),DAY(入力データ!$C$21)),1,0)))</f>
        <v/>
      </c>
      <c r="BT7" s="218">
        <f>IF(BT$3="","",IF(入力データ!$C$21="","",YEAR(DATE(BT$3,12,31))-YEAR(入力データ!$C$21)-IF(DATE(BT$3,12,31)&lt;DATE(BT$3,MONTH(入力データ!$C$21),DAY(入力データ!$C$21)),1,0)))</f>
        <v/>
      </c>
      <c r="BU7" s="218">
        <f>IF(BU$3="","",IF(入力データ!$C$21="","",YEAR(DATE(BU$3,12,31))-YEAR(入力データ!$C$21)-IF(DATE(BU$3,12,31)&lt;DATE(BU$3,MONTH(入力データ!$C$21),DAY(入力データ!$C$21)),1,0)))</f>
        <v/>
      </c>
      <c r="BV7" s="218">
        <f>IF(BV$3="","",IF(入力データ!$C$21="","",YEAR(DATE(BV$3,12,31))-YEAR(入力データ!$C$21)-IF(DATE(BV$3,12,31)&lt;DATE(BV$3,MONTH(入力データ!$C$21),DAY(入力データ!$C$21)),1,0)))</f>
        <v/>
      </c>
      <c r="BW7" s="218">
        <f>IF(BW$3="","",IF(入力データ!$C$21="","",YEAR(DATE(BW$3,12,31))-YEAR(入力データ!$C$21)-IF(DATE(BW$3,12,31)&lt;DATE(BW$3,MONTH(入力データ!$C$21),DAY(入力データ!$C$21)),1,0)))</f>
        <v/>
      </c>
      <c r="BX7" s="218">
        <f>IF(BX$3="","",IF(入力データ!$C$21="","",YEAR(DATE(BX$3,12,31))-YEAR(入力データ!$C$21)-IF(DATE(BX$3,12,31)&lt;DATE(BX$3,MONTH(入力データ!$C$21),DAY(入力データ!$C$21)),1,0)))</f>
        <v/>
      </c>
      <c r="BY7" s="218">
        <f>IF(BY$3="","",IF(入力データ!$C$21="","",YEAR(DATE(BY$3,12,31))-YEAR(入力データ!$C$21)-IF(DATE(BY$3,12,31)&lt;DATE(BY$3,MONTH(入力データ!$C$21),DAY(入力データ!$C$21)),1,0)))</f>
        <v/>
      </c>
      <c r="BZ7" s="218">
        <f>IF(BZ$3="","",IF(入力データ!$C$21="","",YEAR(DATE(BZ$3,12,31))-YEAR(入力データ!$C$21)-IF(DATE(BZ$3,12,31)&lt;DATE(BZ$3,MONTH(入力データ!$C$21),DAY(入力データ!$C$21)),1,0)))</f>
        <v/>
      </c>
      <c r="CA7" s="218">
        <f>IF(CA$3="","",IF(入力データ!$C$21="","",YEAR(DATE(CA$3,12,31))-YEAR(入力データ!$C$21)-IF(DATE(CA$3,12,31)&lt;DATE(CA$3,MONTH(入力データ!$C$21),DAY(入力データ!$C$21)),1,0)))</f>
        <v/>
      </c>
      <c r="CB7" s="218">
        <f>IF(CB$3="","",IF(入力データ!$C$21="","",YEAR(DATE(CB$3,12,31))-YEAR(入力データ!$C$21)-IF(DATE(CB$3,12,31)&lt;DATE(CB$3,MONTH(入力データ!$C$21),DAY(入力データ!$C$21)),1,0)))</f>
        <v/>
      </c>
      <c r="CC7" s="218">
        <f>IF(CC$3="","",IF(入力データ!$C$21="","",YEAR(DATE(CC$3,12,31))-YEAR(入力データ!$C$21)-IF(DATE(CC$3,12,31)&lt;DATE(CC$3,MONTH(入力データ!$C$21),DAY(入力データ!$C$21)),1,0)))</f>
        <v/>
      </c>
      <c r="CD7" s="218">
        <f>IF(CD$3="","",IF(入力データ!$C$21="","",YEAR(DATE(CD$3,12,31))-YEAR(入力データ!$C$21)-IF(DATE(CD$3,12,31)&lt;DATE(CD$3,MONTH(入力データ!$C$21),DAY(入力データ!$C$21)),1,0)))</f>
        <v/>
      </c>
      <c r="CE7" s="218">
        <f>IF(CE$3="","",IF(入力データ!$C$21="","",YEAR(DATE(CE$3,12,31))-YEAR(入力データ!$C$21)-IF(DATE(CE$3,12,31)&lt;DATE(CE$3,MONTH(入力データ!$C$21),DAY(入力データ!$C$21)),1,0)))</f>
        <v/>
      </c>
      <c r="CF7" s="218">
        <f>IF(CF$3="","",IF(入力データ!$C$21="","",YEAR(DATE(CF$3,12,31))-YEAR(入力データ!$C$21)-IF(DATE(CF$3,12,31)&lt;DATE(CF$3,MONTH(入力データ!$C$21),DAY(入力データ!$C$21)),1,0)))</f>
        <v/>
      </c>
      <c r="CG7" s="218">
        <f>IF(CG$3="","",IF(入力データ!$C$21="","",YEAR(DATE(CG$3,12,31))-YEAR(入力データ!$C$21)-IF(DATE(CG$3,12,31)&lt;DATE(CG$3,MONTH(入力データ!$C$21),DAY(入力データ!$C$21)),1,0)))</f>
        <v/>
      </c>
      <c r="CH7" s="218">
        <f>IF(CH$3="","",IF(入力データ!$C$21="","",YEAR(DATE(CH$3,12,31))-YEAR(入力データ!$C$21)-IF(DATE(CH$3,12,31)&lt;DATE(CH$3,MONTH(入力データ!$C$21),DAY(入力データ!$C$21)),1,0)))</f>
        <v/>
      </c>
      <c r="CI7" s="218">
        <f>IF(CI$3="","",IF(入力データ!$C$21="","",YEAR(DATE(CI$3,12,31))-YEAR(入力データ!$C$21)-IF(DATE(CI$3,12,31)&lt;DATE(CI$3,MONTH(入力データ!$C$21),DAY(入力データ!$C$21)),1,0)))</f>
        <v/>
      </c>
      <c r="CJ7" s="218">
        <f>IF(CJ$3="","",IF(入力データ!$C$21="","",YEAR(DATE(CJ$3,12,31))-YEAR(入力データ!$C$21)-IF(DATE(CJ$3,12,31)&lt;DATE(CJ$3,MONTH(入力データ!$C$21),DAY(入力データ!$C$21)),1,0)))</f>
        <v/>
      </c>
      <c r="CK7" s="218">
        <f>IF(CK$3="","",IF(入力データ!$C$21="","",YEAR(DATE(CK$3,12,31))-YEAR(入力データ!$C$21)-IF(DATE(CK$3,12,31)&lt;DATE(CK$3,MONTH(入力データ!$C$21),DAY(入力データ!$C$21)),1,0)))</f>
        <v/>
      </c>
      <c r="CL7" s="218">
        <f>IF(CL$3="","",IF(入力データ!$C$21="","",YEAR(DATE(CL$3,12,31))-YEAR(入力データ!$C$21)-IF(DATE(CL$3,12,31)&lt;DATE(CL$3,MONTH(入力データ!$C$21),DAY(入力データ!$C$21)),1,0)))</f>
        <v/>
      </c>
      <c r="CM7" s="218">
        <f>IF(CM$3="","",IF(入力データ!$C$21="","",YEAR(DATE(CM$3,12,31))-YEAR(入力データ!$C$21)-IF(DATE(CM$3,12,31)&lt;DATE(CM$3,MONTH(入力データ!$C$21),DAY(入力データ!$C$21)),1,0)))</f>
        <v/>
      </c>
      <c r="CN7" s="218">
        <f>IF(CN$3="","",IF(入力データ!$C$21="","",YEAR(DATE(CN$3,12,31))-YEAR(入力データ!$C$21)-IF(DATE(CN$3,12,31)&lt;DATE(CN$3,MONTH(入力データ!$C$21),DAY(入力データ!$C$21)),1,0)))</f>
        <v/>
      </c>
      <c r="CO7" s="218">
        <f>IF(CO$3="","",IF(入力データ!$C$21="","",YEAR(DATE(CO$3,12,31))-YEAR(入力データ!$C$21)-IF(DATE(CO$3,12,31)&lt;DATE(CO$3,MONTH(入力データ!$C$21),DAY(入力データ!$C$21)),1,0)))</f>
        <v/>
      </c>
      <c r="CP7" s="218">
        <f>IF(CP$3="","",IF(入力データ!$C$21="","",YEAR(DATE(CP$3,12,31))-YEAR(入力データ!$C$21)-IF(DATE(CP$3,12,31)&lt;DATE(CP$3,MONTH(入力データ!$C$21),DAY(入力データ!$C$21)),1,0)))</f>
        <v/>
      </c>
      <c r="CQ7" s="218">
        <f>IF(CQ$3="","",IF(入力データ!$C$21="","",YEAR(DATE(CQ$3,12,31))-YEAR(入力データ!$C$21)-IF(DATE(CQ$3,12,31)&lt;DATE(CQ$3,MONTH(入力データ!$C$21),DAY(入力データ!$C$21)),1,0)))</f>
        <v/>
      </c>
      <c r="CR7" s="218">
        <f>IF(CR$3="","",IF(入力データ!$C$21="","",YEAR(DATE(CR$3,12,31))-YEAR(入力データ!$C$21)-IF(DATE(CR$3,12,31)&lt;DATE(CR$3,MONTH(入力データ!$C$21),DAY(入力データ!$C$21)),1,0)))</f>
        <v/>
      </c>
      <c r="CS7" s="218">
        <f>IF(CS$3="","",IF(入力データ!$C$21="","",YEAR(DATE(CS$3,12,31))-YEAR(入力データ!$C$21)-IF(DATE(CS$3,12,31)&lt;DATE(CS$3,MONTH(入力データ!$C$21),DAY(入力データ!$C$21)),1,0)))</f>
        <v/>
      </c>
      <c r="CT7" s="218">
        <f>IF(CT$3="","",IF(入力データ!$C$21="","",YEAR(DATE(CT$3,12,31))-YEAR(入力データ!$C$21)-IF(DATE(CT$3,12,31)&lt;DATE(CT$3,MONTH(入力データ!$C$21),DAY(入力データ!$C$21)),1,0)))</f>
        <v/>
      </c>
      <c r="CU7" s="218">
        <f>IF(CU$3="","",IF(入力データ!$C$21="","",YEAR(DATE(CU$3,12,31))-YEAR(入力データ!$C$21)-IF(DATE(CU$3,12,31)&lt;DATE(CU$3,MONTH(入力データ!$C$21),DAY(入力データ!$C$21)),1,0)))</f>
        <v/>
      </c>
      <c r="CV7" s="218">
        <f>IF(CV$3="","",IF(入力データ!$C$21="","",YEAR(DATE(CV$3,12,31))-YEAR(入力データ!$C$21)-IF(DATE(CV$3,12,31)&lt;DATE(CV$3,MONTH(入力データ!$C$21),DAY(入力データ!$C$21)),1,0)))</f>
        <v/>
      </c>
      <c r="CW7" s="218">
        <f>IF(CW$3="","",IF(入力データ!$C$21="","",YEAR(DATE(CW$3,12,31))-YEAR(入力データ!$C$21)-IF(DATE(CW$3,12,31)&lt;DATE(CW$3,MONTH(入力データ!$C$21),DAY(入力データ!$C$21)),1,0)))</f>
        <v/>
      </c>
    </row>
    <row r="8" ht="16.5" customHeight="1" s="180">
      <c r="A8" s="217" t="inlineStr">
        <is>
          <t>子3年齢</t>
        </is>
      </c>
      <c r="B8" s="218">
        <f>IF(B$3="","",IF(情報入力!$C$23="","",YEAR(DATE(B$3,12,31))-YEAR(情報入力!$C$23)-IF(DATE(B$3,12,31)&lt;DATE(B$3,MONTH(情報入力!$C$23),DAY(情報入力!$C$23)),1,0)))</f>
        <v/>
      </c>
      <c r="C8" s="218">
        <f>IF(C$3="","",IF(情報入力!$C$23="","",YEAR(DATE(C$3,12,31))-YEAR(情報入力!$C$23)-IF(DATE(C$3,12,31)&lt;DATE(C$3,MONTH(情報入力!$C$23),DAY(情報入力!$C$23)),1,0)))</f>
        <v/>
      </c>
      <c r="D8" s="218">
        <f>IF(D$3="","",IF(情報入力!$C$23="","",YEAR(DATE(D$3,12,31))-YEAR(情報入力!$C$23)-IF(DATE(D$3,12,31)&lt;DATE(D$3,MONTH(情報入力!$C$23),DAY(情報入力!$C$23)),1,0)))</f>
        <v/>
      </c>
      <c r="E8" s="218">
        <f>IF(E$3="","",IF(情報入力!$C$23="","",YEAR(DATE(E$3,12,31))-YEAR(情報入力!$C$23)-IF(DATE(E$3,12,31)&lt;DATE(E$3,MONTH(情報入力!$C$23),DAY(情報入力!$C$23)),1,0)))</f>
        <v/>
      </c>
      <c r="F8" s="218">
        <f>IF(F$3="","",IF(情報入力!$C$23="","",YEAR(DATE(F$3,12,31))-YEAR(情報入力!$C$23)-IF(DATE(F$3,12,31)&lt;DATE(F$3,MONTH(情報入力!$C$23),DAY(情報入力!$C$23)),1,0)))</f>
        <v/>
      </c>
      <c r="G8" s="218">
        <f>IF(G$3="","",IF(情報入力!$C$23="","",YEAR(DATE(G$3,12,31))-YEAR(情報入力!$C$23)-IF(DATE(G$3,12,31)&lt;DATE(G$3,MONTH(情報入力!$C$23),DAY(情報入力!$C$23)),1,0)))</f>
        <v/>
      </c>
      <c r="H8" s="218">
        <f>IF(H$3="","",IF(情報入力!$C$23="","",YEAR(DATE(H$3,12,31))-YEAR(情報入力!$C$23)-IF(DATE(H$3,12,31)&lt;DATE(H$3,MONTH(情報入力!$C$23),DAY(情報入力!$C$23)),1,0)))</f>
        <v/>
      </c>
      <c r="I8" s="218">
        <f>IF(I$3="","",IF(情報入力!$C$23="","",YEAR(DATE(I$3,12,31))-YEAR(情報入力!$C$23)-IF(DATE(I$3,12,31)&lt;DATE(I$3,MONTH(情報入力!$C$23),DAY(情報入力!$C$23)),1,0)))</f>
        <v/>
      </c>
      <c r="J8" s="218">
        <f>IF(J$3="","",IF(情報入力!$C$23="","",YEAR(DATE(J$3,12,31))-YEAR(情報入力!$C$23)-IF(DATE(J$3,12,31)&lt;DATE(J$3,MONTH(情報入力!$C$23),DAY(情報入力!$C$23)),1,0)))</f>
        <v/>
      </c>
      <c r="K8" s="218">
        <f>IF(K$3="","",IF(情報入力!$C$23="","",YEAR(DATE(K$3,12,31))-YEAR(情報入力!$C$23)-IF(DATE(K$3,12,31)&lt;DATE(K$3,MONTH(情報入力!$C$23),DAY(情報入力!$C$23)),1,0)))</f>
        <v/>
      </c>
      <c r="L8" s="218">
        <f>IF(L$3="","",IF(情報入力!$C$23="","",YEAR(DATE(L$3,12,31))-YEAR(情報入力!$C$23)-IF(DATE(L$3,12,31)&lt;DATE(L$3,MONTH(情報入力!$C$23),DAY(情報入力!$C$23)),1,0)))</f>
        <v/>
      </c>
      <c r="M8" s="218">
        <f>IF(M$3="","",IF(情報入力!$C$23="","",YEAR(DATE(M$3,12,31))-YEAR(情報入力!$C$23)-IF(DATE(M$3,12,31)&lt;DATE(M$3,MONTH(情報入力!$C$23),DAY(情報入力!$C$23)),1,0)))</f>
        <v/>
      </c>
      <c r="N8" s="218">
        <f>IF(N$3="","",IF(情報入力!$C$23="","",YEAR(DATE(N$3,12,31))-YEAR(情報入力!$C$23)-IF(DATE(N$3,12,31)&lt;DATE(N$3,MONTH(情報入力!$C$23),DAY(情報入力!$C$23)),1,0)))</f>
        <v/>
      </c>
      <c r="O8" s="218">
        <f>IF(O$3="","",IF(情報入力!$C$23="","",YEAR(DATE(O$3,12,31))-YEAR(情報入力!$C$23)-IF(DATE(O$3,12,31)&lt;DATE(O$3,MONTH(情報入力!$C$23),DAY(情報入力!$C$23)),1,0)))</f>
        <v/>
      </c>
      <c r="P8" s="218">
        <f>IF(P$3="","",IF(情報入力!$C$23="","",YEAR(DATE(P$3,12,31))-YEAR(情報入力!$C$23)-IF(DATE(P$3,12,31)&lt;DATE(P$3,MONTH(情報入力!$C$23),DAY(情報入力!$C$23)),1,0)))</f>
        <v/>
      </c>
      <c r="Q8" s="218">
        <f>IF(Q$3="","",IF(情報入力!$C$23="","",YEAR(DATE(Q$3,12,31))-YEAR(情報入力!$C$23)-IF(DATE(Q$3,12,31)&lt;DATE(Q$3,MONTH(情報入力!$C$23),DAY(情報入力!$C$23)),1,0)))</f>
        <v/>
      </c>
      <c r="R8" s="218">
        <f>IF(R$3="","",IF(情報入力!$C$23="","",YEAR(DATE(R$3,12,31))-YEAR(情報入力!$C$23)-IF(DATE(R$3,12,31)&lt;DATE(R$3,MONTH(情報入力!$C$23),DAY(情報入力!$C$23)),1,0)))</f>
        <v/>
      </c>
      <c r="S8" s="218">
        <f>IF(S$3="","",IF(情報入力!$C$23="","",YEAR(DATE(S$3,12,31))-YEAR(情報入力!$C$23)-IF(DATE(S$3,12,31)&lt;DATE(S$3,MONTH(情報入力!$C$23),DAY(情報入力!$C$23)),1,0)))</f>
        <v/>
      </c>
      <c r="T8" s="218">
        <f>IF(T$3="","",IF(情報入力!$C$23="","",YEAR(DATE(T$3,12,31))-YEAR(情報入力!$C$23)-IF(DATE(T$3,12,31)&lt;DATE(T$3,MONTH(情報入力!$C$23),DAY(情報入力!$C$23)),1,0)))</f>
        <v/>
      </c>
      <c r="U8" s="218">
        <f>IF(U$3="","",IF(情報入力!$C$23="","",YEAR(DATE(U$3,12,31))-YEAR(情報入力!$C$23)-IF(DATE(U$3,12,31)&lt;DATE(U$3,MONTH(情報入力!$C$23),DAY(情報入力!$C$23)),1,0)))</f>
        <v/>
      </c>
      <c r="V8" s="218">
        <f>IF(V$3="","",IF(情報入力!$C$23="","",YEAR(DATE(V$3,12,31))-YEAR(情報入力!$C$23)-IF(DATE(V$3,12,31)&lt;DATE(V$3,MONTH(情報入力!$C$23),DAY(情報入力!$C$23)),1,0)))</f>
        <v/>
      </c>
      <c r="W8" s="218">
        <f>IF(W$3="","",IF(情報入力!$C$23="","",YEAR(DATE(W$3,12,31))-YEAR(情報入力!$C$23)-IF(DATE(W$3,12,31)&lt;DATE(W$3,MONTH(情報入力!$C$23),DAY(情報入力!$C$23)),1,0)))</f>
        <v/>
      </c>
      <c r="X8" s="218">
        <f>IF(X$3="","",IF(情報入力!$C$23="","",YEAR(DATE(X$3,12,31))-YEAR(情報入力!$C$23)-IF(DATE(X$3,12,31)&lt;DATE(X$3,MONTH(情報入力!$C$23),DAY(情報入力!$C$23)),1,0)))</f>
        <v/>
      </c>
      <c r="Y8" s="218">
        <f>IF(Y$3="","",IF(情報入力!$C$23="","",YEAR(DATE(Y$3,12,31))-YEAR(情報入力!$C$23)-IF(DATE(Y$3,12,31)&lt;DATE(Y$3,MONTH(情報入力!$C$23),DAY(情報入力!$C$23)),1,0)))</f>
        <v/>
      </c>
      <c r="Z8" s="218">
        <f>IF(Z$3="","",IF(情報入力!$C$23="","",YEAR(DATE(Z$3,12,31))-YEAR(情報入力!$C$23)-IF(DATE(Z$3,12,31)&lt;DATE(Z$3,MONTH(情報入力!$C$23),DAY(情報入力!$C$23)),1,0)))</f>
        <v/>
      </c>
      <c r="AA8" s="218">
        <f>IF(AA$3="","",IF(情報入力!$C$23="","",YEAR(DATE(AA$3,12,31))-YEAR(情報入力!$C$23)-IF(DATE(AA$3,12,31)&lt;DATE(AA$3,MONTH(情報入力!$C$23),DAY(情報入力!$C$23)),1,0)))</f>
        <v/>
      </c>
      <c r="AB8" s="218">
        <f>IF(AB$3="","",IF(情報入力!$C$23="","",YEAR(DATE(AB$3,12,31))-YEAR(情報入力!$C$23)-IF(DATE(AB$3,12,31)&lt;DATE(AB$3,MONTH(情報入力!$C$23),DAY(情報入力!$C$23)),1,0)))</f>
        <v/>
      </c>
      <c r="AC8" s="218">
        <f>IF(AC$3="","",IF(情報入力!$C$23="","",YEAR(DATE(AC$3,12,31))-YEAR(情報入力!$C$23)-IF(DATE(AC$3,12,31)&lt;DATE(AC$3,MONTH(情報入力!$C$23),DAY(情報入力!$C$23)),1,0)))</f>
        <v/>
      </c>
      <c r="AD8" s="218">
        <f>IF(AD$3="","",IF(情報入力!$C$23="","",YEAR(DATE(AD$3,12,31))-YEAR(情報入力!$C$23)-IF(DATE(AD$3,12,31)&lt;DATE(AD$3,MONTH(情報入力!$C$23),DAY(情報入力!$C$23)),1,0)))</f>
        <v/>
      </c>
      <c r="AE8" s="218">
        <f>IF(AE$3="","",IF(情報入力!$C$23="","",YEAR(DATE(AE$3,12,31))-YEAR(情報入力!$C$23)-IF(DATE(AE$3,12,31)&lt;DATE(AE$3,MONTH(情報入力!$C$23),DAY(情報入力!$C$23)),1,0)))</f>
        <v/>
      </c>
      <c r="AF8" s="218">
        <f>IF(AF$3="","",IF(情報入力!$C$23="","",YEAR(DATE(AF$3,12,31))-YEAR(情報入力!$C$23)-IF(DATE(AF$3,12,31)&lt;DATE(AF$3,MONTH(情報入力!$C$23),DAY(情報入力!$C$23)),1,0)))</f>
        <v/>
      </c>
      <c r="AG8" s="218">
        <f>IF(AG$3="","",IF(情報入力!$C$23="","",YEAR(DATE(AG$3,12,31))-YEAR(情報入力!$C$23)-IF(DATE(AG$3,12,31)&lt;DATE(AG$3,MONTH(情報入力!$C$23),DAY(情報入力!$C$23)),1,0)))</f>
        <v/>
      </c>
      <c r="AH8" s="218">
        <f>IF(AH$3="","",IF(情報入力!$C$23="","",YEAR(DATE(AH$3,12,31))-YEAR(情報入力!$C$23)-IF(DATE(AH$3,12,31)&lt;DATE(AH$3,MONTH(情報入力!$C$23),DAY(情報入力!$C$23)),1,0)))</f>
        <v/>
      </c>
      <c r="AI8" s="218">
        <f>IF(AI$3="","",IF(情報入力!$C$23="","",YEAR(DATE(AI$3,12,31))-YEAR(情報入力!$C$23)-IF(DATE(AI$3,12,31)&lt;DATE(AI$3,MONTH(情報入力!$C$23),DAY(情報入力!$C$23)),1,0)))</f>
        <v/>
      </c>
      <c r="AJ8" s="218">
        <f>IF(AJ$3="","",IF(情報入力!$C$23="","",YEAR(DATE(AJ$3,12,31))-YEAR(情報入力!$C$23)-IF(DATE(AJ$3,12,31)&lt;DATE(AJ$3,MONTH(情報入力!$C$23),DAY(情報入力!$C$23)),1,0)))</f>
        <v/>
      </c>
      <c r="AK8" s="218">
        <f>IF(AK$3="","",IF(情報入力!$C$23="","",YEAR(DATE(AK$3,12,31))-YEAR(情報入力!$C$23)-IF(DATE(AK$3,12,31)&lt;DATE(AK$3,MONTH(情報入力!$C$23),DAY(情報入力!$C$23)),1,0)))</f>
        <v/>
      </c>
      <c r="AL8" s="218">
        <f>IF(AL$3="","",IF(情報入力!$C$23="","",YEAR(DATE(AL$3,12,31))-YEAR(情報入力!$C$23)-IF(DATE(AL$3,12,31)&lt;DATE(AL$3,MONTH(情報入力!$C$23),DAY(情報入力!$C$23)),1,0)))</f>
        <v/>
      </c>
      <c r="AM8" s="218">
        <f>IF(AM$3="","",IF(情報入力!$C$23="","",YEAR(DATE(AM$3,12,31))-YEAR(情報入力!$C$23)-IF(DATE(AM$3,12,31)&lt;DATE(AM$3,MONTH(情報入力!$C$23),DAY(情報入力!$C$23)),1,0)))</f>
        <v/>
      </c>
      <c r="AN8" s="218">
        <f>IF(AN$3="","",IF(情報入力!$C$23="","",YEAR(DATE(AN$3,12,31))-YEAR(情報入力!$C$23)-IF(DATE(AN$3,12,31)&lt;DATE(AN$3,MONTH(情報入力!$C$23),DAY(情報入力!$C$23)),1,0)))</f>
        <v/>
      </c>
      <c r="AO8" s="218">
        <f>IF(AO$3="","",IF(情報入力!$C$23="","",YEAR(DATE(AO$3,12,31))-YEAR(情報入力!$C$23)-IF(DATE(AO$3,12,31)&lt;DATE(AO$3,MONTH(情報入力!$C$23),DAY(情報入力!$C$23)),1,0)))</f>
        <v/>
      </c>
      <c r="AP8" s="218">
        <f>IF(AP$3="","",IF(情報入力!$C$23="","",YEAR(DATE(AP$3,12,31))-YEAR(情報入力!$C$23)-IF(DATE(AP$3,12,31)&lt;DATE(AP$3,MONTH(情報入力!$C$23),DAY(情報入力!$C$23)),1,0)))</f>
        <v/>
      </c>
      <c r="AQ8" s="218">
        <f>IF(AQ$3="","",IF(情報入力!$C$23="","",YEAR(DATE(AQ$3,12,31))-YEAR(情報入力!$C$23)-IF(DATE(AQ$3,12,31)&lt;DATE(AQ$3,MONTH(情報入力!$C$23),DAY(情報入力!$C$23)),1,0)))</f>
        <v/>
      </c>
      <c r="AR8" s="218">
        <f>IF(AR$3="","",IF(情報入力!$C$23="","",YEAR(DATE(AR$3,12,31))-YEAR(情報入力!$C$23)-IF(DATE(AR$3,12,31)&lt;DATE(AR$3,MONTH(情報入力!$C$23),DAY(情報入力!$C$23)),1,0)))</f>
        <v/>
      </c>
      <c r="AS8" s="218">
        <f>IF(AS$3="","",IF(情報入力!$C$23="","",YEAR(DATE(AS$3,12,31))-YEAR(情報入力!$C$23)-IF(DATE(AS$3,12,31)&lt;DATE(AS$3,MONTH(情報入力!$C$23),DAY(情報入力!$C$23)),1,0)))</f>
        <v/>
      </c>
      <c r="AT8" s="218">
        <f>IF(AT$3="","",IF(情報入力!$C$23="","",YEAR(DATE(AT$3,12,31))-YEAR(情報入力!$C$23)-IF(DATE(AT$3,12,31)&lt;DATE(AT$3,MONTH(情報入力!$C$23),DAY(情報入力!$C$23)),1,0)))</f>
        <v/>
      </c>
      <c r="AU8" s="218">
        <f>IF(AU$3="","",IF(情報入力!$C$23="","",YEAR(DATE(AU$3,12,31))-YEAR(情報入力!$C$23)-IF(DATE(AU$3,12,31)&lt;DATE(AU$3,MONTH(情報入力!$C$23),DAY(情報入力!$C$23)),1,0)))</f>
        <v/>
      </c>
      <c r="AV8" s="218">
        <f>IF(AV$3="","",IF(情報入力!$C$23="","",YEAR(DATE(AV$3,12,31))-YEAR(情報入力!$C$23)-IF(DATE(AV$3,12,31)&lt;DATE(AV$3,MONTH(情報入力!$C$23),DAY(情報入力!$C$23)),1,0)))</f>
        <v/>
      </c>
      <c r="AW8" s="218">
        <f>IF(AW$3="","",IF(情報入力!$C$23="","",YEAR(DATE(AW$3,12,31))-YEAR(情報入力!$C$23)-IF(DATE(AW$3,12,31)&lt;DATE(AW$3,MONTH(情報入力!$C$23),DAY(情報入力!$C$23)),1,0)))</f>
        <v/>
      </c>
      <c r="AX8" s="218">
        <f>IF(AX$3="","",IF(情報入力!$C$23="","",YEAR(DATE(AX$3,12,31))-YEAR(情報入力!$C$23)-IF(DATE(AX$3,12,31)&lt;DATE(AX$3,MONTH(情報入力!$C$23),DAY(情報入力!$C$23)),1,0)))</f>
        <v/>
      </c>
      <c r="AY8" s="218">
        <f>IF(AY$3="","",IF(情報入力!$C$23="","",YEAR(DATE(AY$3,12,31))-YEAR(情報入力!$C$23)-IF(DATE(AY$3,12,31)&lt;DATE(AY$3,MONTH(情報入力!$C$23),DAY(情報入力!$C$23)),1,0)))</f>
        <v/>
      </c>
      <c r="AZ8" s="218">
        <f>IF(AZ$3="","",IF(情報入力!$C$23="","",YEAR(DATE(AZ$3,12,31))-YEAR(情報入力!$C$23)-IF(DATE(AZ$3,12,31)&lt;DATE(AZ$3,MONTH(情報入力!$C$23),DAY(情報入力!$C$23)),1,0)))</f>
        <v/>
      </c>
      <c r="BA8" s="218">
        <f>IF(BA$3="","",IF(情報入力!$C$23="","",YEAR(DATE(BA$3,12,31))-YEAR(情報入力!$C$23)-IF(DATE(BA$3,12,31)&lt;DATE(BA$3,MONTH(情報入力!$C$23),DAY(情報入力!$C$23)),1,0)))</f>
        <v/>
      </c>
      <c r="BB8" s="218">
        <f>IF(BB$3="","",IF(情報入力!$C$23="","",YEAR(DATE(BB$3,12,31))-YEAR(情報入力!$C$23)-IF(DATE(BB$3,12,31)&lt;DATE(BB$3,MONTH(情報入力!$C$23),DAY(情報入力!$C$23)),1,0)))</f>
        <v/>
      </c>
      <c r="BC8" s="218">
        <f>IF(BC$3="","",IF(情報入力!$C$23="","",YEAR(DATE(BC$3,12,31))-YEAR(情報入力!$C$23)-IF(DATE(BC$3,12,31)&lt;DATE(BC$3,MONTH(情報入力!$C$23),DAY(情報入力!$C$23)),1,0)))</f>
        <v/>
      </c>
      <c r="BD8" s="218">
        <f>IF(BD$3="","",IF(情報入力!$C$23="","",YEAR(DATE(BD$3,12,31))-YEAR(情報入力!$C$23)-IF(DATE(BD$3,12,31)&lt;DATE(BD$3,MONTH(情報入力!$C$23),DAY(情報入力!$C$23)),1,0)))</f>
        <v/>
      </c>
      <c r="BE8" s="218">
        <f>IF(BE$3="","",IF(情報入力!$C$23="","",YEAR(DATE(BE$3,12,31))-YEAR(情報入力!$C$23)-IF(DATE(BE$3,12,31)&lt;DATE(BE$3,MONTH(情報入力!$C$23),DAY(情報入力!$C$23)),1,0)))</f>
        <v/>
      </c>
      <c r="BF8" s="218">
        <f>IF(BF$3="","",IF(情報入力!$C$23="","",YEAR(DATE(BF$3,12,31))-YEAR(情報入力!$C$23)-IF(DATE(BF$3,12,31)&lt;DATE(BF$3,MONTH(情報入力!$C$23),DAY(情報入力!$C$23)),1,0)))</f>
        <v/>
      </c>
      <c r="BG8" s="218">
        <f>IF(BG$3="","",IF(情報入力!$C$23="","",YEAR(DATE(BG$3,12,31))-YEAR(情報入力!$C$23)-IF(DATE(BG$3,12,31)&lt;DATE(BG$3,MONTH(情報入力!$C$23),DAY(情報入力!$C$23)),1,0)))</f>
        <v/>
      </c>
      <c r="BH8" s="218">
        <f>IF(BH$3="","",IF(情報入力!$C$23="","",YEAR(DATE(BH$3,12,31))-YEAR(情報入力!$C$23)-IF(DATE(BH$3,12,31)&lt;DATE(BH$3,MONTH(情報入力!$C$23),DAY(情報入力!$C$23)),1,0)))</f>
        <v/>
      </c>
      <c r="BI8" s="218">
        <f>IF(BI$3="","",IF(情報入力!$C$23="","",YEAR(DATE(BI$3,12,31))-YEAR(情報入力!$C$23)-IF(DATE(BI$3,12,31)&lt;DATE(BI$3,MONTH(情報入力!$C$23),DAY(情報入力!$C$23)),1,0)))</f>
        <v/>
      </c>
      <c r="BJ8" s="218">
        <f>IF(BJ$3="","",IF(情報入力!$C$23="","",YEAR(DATE(BJ$3,12,31))-YEAR(情報入力!$C$23)-IF(DATE(BJ$3,12,31)&lt;DATE(BJ$3,MONTH(情報入力!$C$23),DAY(情報入力!$C$23)),1,0)))</f>
        <v/>
      </c>
      <c r="BK8" s="218">
        <f>IF(BK$3="","",IF(情報入力!$C$23="","",YEAR(DATE(BK$3,12,31))-YEAR(情報入力!$C$23)-IF(DATE(BK$3,12,31)&lt;DATE(BK$3,MONTH(情報入力!$C$23),DAY(情報入力!$C$23)),1,0)))</f>
        <v/>
      </c>
      <c r="BL8" s="218">
        <f>IF(BL$3="","",IF(情報入力!$C$23="","",YEAR(DATE(BL$3,12,31))-YEAR(情報入力!$C$23)-IF(DATE(BL$3,12,31)&lt;DATE(BL$3,MONTH(情報入力!$C$23),DAY(情報入力!$C$23)),1,0)))</f>
        <v/>
      </c>
      <c r="BM8" s="218">
        <f>IF(BM$3="","",IF(情報入力!$C$23="","",YEAR(DATE(BM$3,12,31))-YEAR(情報入力!$C$23)-IF(DATE(BM$3,12,31)&lt;DATE(BM$3,MONTH(情報入力!$C$23),DAY(情報入力!$C$23)),1,0)))</f>
        <v/>
      </c>
      <c r="BN8" s="218">
        <f>IF(BN$3="","",IF(情報入力!$C$23="","",YEAR(DATE(BN$3,12,31))-YEAR(情報入力!$C$23)-IF(DATE(BN$3,12,31)&lt;DATE(BN$3,MONTH(情報入力!$C$23),DAY(情報入力!$C$23)),1,0)))</f>
        <v/>
      </c>
      <c r="BO8" s="218">
        <f>IF(BO$3="","",IF(情報入力!$C$23="","",YEAR(DATE(BO$3,12,31))-YEAR(情報入力!$C$23)-IF(DATE(BO$3,12,31)&lt;DATE(BO$3,MONTH(情報入力!$C$23),DAY(情報入力!$C$23)),1,0)))</f>
        <v/>
      </c>
      <c r="BP8" s="218">
        <f>IF(BP$3="","",IF(情報入力!$C$23="","",YEAR(DATE(BP$3,12,31))-YEAR(情報入力!$C$23)-IF(DATE(BP$3,12,31)&lt;DATE(BP$3,MONTH(情報入力!$C$23),DAY(情報入力!$C$23)),1,0)))</f>
        <v/>
      </c>
      <c r="BQ8" s="218">
        <f>IF(BQ$3="","",IF(情報入力!$C$23="","",YEAR(DATE(BQ$3,12,31))-YEAR(情報入力!$C$23)-IF(DATE(BQ$3,12,31)&lt;DATE(BQ$3,MONTH(情報入力!$C$23),DAY(情報入力!$C$23)),1,0)))</f>
        <v/>
      </c>
      <c r="BR8" s="218">
        <f>IF(BR$3="","",IF(情報入力!$C$23="","",YEAR(DATE(BR$3,12,31))-YEAR(情報入力!$C$23)-IF(DATE(BR$3,12,31)&lt;DATE(BR$3,MONTH(情報入力!$C$23),DAY(情報入力!$C$23)),1,0)))</f>
        <v/>
      </c>
      <c r="BS8" s="218">
        <f>IF(BS$3="","",IF(情報入力!$C$23="","",YEAR(DATE(BS$3,12,31))-YEAR(情報入力!$C$23)-IF(DATE(BS$3,12,31)&lt;DATE(BS$3,MONTH(情報入力!$C$23),DAY(情報入力!$C$23)),1,0)))</f>
        <v/>
      </c>
      <c r="BT8" s="218">
        <f>IF(BT$3="","",IF(情報入力!$C$23="","",YEAR(DATE(BT$3,12,31))-YEAR(情報入力!$C$23)-IF(DATE(BT$3,12,31)&lt;DATE(BT$3,MONTH(情報入力!$C$23),DAY(情報入力!$C$23)),1,0)))</f>
        <v/>
      </c>
      <c r="BU8" s="218">
        <f>IF(BU$3="","",IF(情報入力!$C$23="","",YEAR(DATE(BU$3,12,31))-YEAR(情報入力!$C$23)-IF(DATE(BU$3,12,31)&lt;DATE(BU$3,MONTH(情報入力!$C$23),DAY(情報入力!$C$23)),1,0)))</f>
        <v/>
      </c>
      <c r="BV8" s="218">
        <f>IF(BV$3="","",IF(情報入力!$C$23="","",YEAR(DATE(BV$3,12,31))-YEAR(情報入力!$C$23)-IF(DATE(BV$3,12,31)&lt;DATE(BV$3,MONTH(情報入力!$C$23),DAY(情報入力!$C$23)),1,0)))</f>
        <v/>
      </c>
      <c r="BW8" s="218">
        <f>IF(BW$3="","",IF(情報入力!$C$23="","",YEAR(DATE(BW$3,12,31))-YEAR(情報入力!$C$23)-IF(DATE(BW$3,12,31)&lt;DATE(BW$3,MONTH(情報入力!$C$23),DAY(情報入力!$C$23)),1,0)))</f>
        <v/>
      </c>
      <c r="BX8" s="218">
        <f>IF(BX$3="","",IF(情報入力!$C$23="","",YEAR(DATE(BX$3,12,31))-YEAR(情報入力!$C$23)-IF(DATE(BX$3,12,31)&lt;DATE(BX$3,MONTH(情報入力!$C$23),DAY(情報入力!$C$23)),1,0)))</f>
        <v/>
      </c>
      <c r="BY8" s="218">
        <f>IF(BY$3="","",IF(情報入力!$C$23="","",YEAR(DATE(BY$3,12,31))-YEAR(情報入力!$C$23)-IF(DATE(BY$3,12,31)&lt;DATE(BY$3,MONTH(情報入力!$C$23),DAY(情報入力!$C$23)),1,0)))</f>
        <v/>
      </c>
      <c r="BZ8" s="218">
        <f>IF(BZ$3="","",IF(情報入力!$C$23="","",YEAR(DATE(BZ$3,12,31))-YEAR(情報入力!$C$23)-IF(DATE(BZ$3,12,31)&lt;DATE(BZ$3,MONTH(情報入力!$C$23),DAY(情報入力!$C$23)),1,0)))</f>
        <v/>
      </c>
      <c r="CA8" s="218">
        <f>IF(CA$3="","",IF(情報入力!$C$23="","",YEAR(DATE(CA$3,12,31))-YEAR(情報入力!$C$23)-IF(DATE(CA$3,12,31)&lt;DATE(CA$3,MONTH(情報入力!$C$23),DAY(情報入力!$C$23)),1,0)))</f>
        <v/>
      </c>
      <c r="CB8" s="218">
        <f>IF(CB$3="","",IF(情報入力!$C$23="","",YEAR(DATE(CB$3,12,31))-YEAR(情報入力!$C$23)-IF(DATE(CB$3,12,31)&lt;DATE(CB$3,MONTH(情報入力!$C$23),DAY(情報入力!$C$23)),1,0)))</f>
        <v/>
      </c>
      <c r="CC8" s="218">
        <f>IF(CC$3="","",IF(情報入力!$C$23="","",YEAR(DATE(CC$3,12,31))-YEAR(情報入力!$C$23)-IF(DATE(CC$3,12,31)&lt;DATE(CC$3,MONTH(情報入力!$C$23),DAY(情報入力!$C$23)),1,0)))</f>
        <v/>
      </c>
      <c r="CD8" s="218">
        <f>IF(CD$3="","",IF(情報入力!$C$23="","",YEAR(DATE(CD$3,12,31))-YEAR(情報入力!$C$23)-IF(DATE(CD$3,12,31)&lt;DATE(CD$3,MONTH(情報入力!$C$23),DAY(情報入力!$C$23)),1,0)))</f>
        <v/>
      </c>
      <c r="CE8" s="218">
        <f>IF(CE$3="","",IF(情報入力!$C$23="","",YEAR(DATE(CE$3,12,31))-YEAR(情報入力!$C$23)-IF(DATE(CE$3,12,31)&lt;DATE(CE$3,MONTH(情報入力!$C$23),DAY(情報入力!$C$23)),1,0)))</f>
        <v/>
      </c>
      <c r="CF8" s="218">
        <f>IF(CF$3="","",IF(情報入力!$C$23="","",YEAR(DATE(CF$3,12,31))-YEAR(情報入力!$C$23)-IF(DATE(CF$3,12,31)&lt;DATE(CF$3,MONTH(情報入力!$C$23),DAY(情報入力!$C$23)),1,0)))</f>
        <v/>
      </c>
      <c r="CG8" s="218">
        <f>IF(CG$3="","",IF(情報入力!$C$23="","",YEAR(DATE(CG$3,12,31))-YEAR(情報入力!$C$23)-IF(DATE(CG$3,12,31)&lt;DATE(CG$3,MONTH(情報入力!$C$23),DAY(情報入力!$C$23)),1,0)))</f>
        <v/>
      </c>
      <c r="CH8" s="218">
        <f>IF(CH$3="","",IF(情報入力!$C$23="","",YEAR(DATE(CH$3,12,31))-YEAR(情報入力!$C$23)-IF(DATE(CH$3,12,31)&lt;DATE(CH$3,MONTH(情報入力!$C$23),DAY(情報入力!$C$23)),1,0)))</f>
        <v/>
      </c>
      <c r="CI8" s="218">
        <f>IF(CI$3="","",IF(情報入力!$C$23="","",YEAR(DATE(CI$3,12,31))-YEAR(情報入力!$C$23)-IF(DATE(CI$3,12,31)&lt;DATE(CI$3,MONTH(情報入力!$C$23),DAY(情報入力!$C$23)),1,0)))</f>
        <v/>
      </c>
      <c r="CJ8" s="218">
        <f>IF(CJ$3="","",IF(情報入力!$C$23="","",YEAR(DATE(CJ$3,12,31))-YEAR(情報入力!$C$23)-IF(DATE(CJ$3,12,31)&lt;DATE(CJ$3,MONTH(情報入力!$C$23),DAY(情報入力!$C$23)),1,0)))</f>
        <v/>
      </c>
      <c r="CK8" s="218">
        <f>IF(CK$3="","",IF(情報入力!$C$23="","",YEAR(DATE(CK$3,12,31))-YEAR(情報入力!$C$23)-IF(DATE(CK$3,12,31)&lt;DATE(CK$3,MONTH(情報入力!$C$23),DAY(情報入力!$C$23)),1,0)))</f>
        <v/>
      </c>
      <c r="CL8" s="218">
        <f>IF(CL$3="","",IF(情報入力!$C$23="","",YEAR(DATE(CL$3,12,31))-YEAR(情報入力!$C$23)-IF(DATE(CL$3,12,31)&lt;DATE(CL$3,MONTH(情報入力!$C$23),DAY(情報入力!$C$23)),1,0)))</f>
        <v/>
      </c>
      <c r="CM8" s="218">
        <f>IF(CM$3="","",IF(情報入力!$C$23="","",YEAR(DATE(CM$3,12,31))-YEAR(情報入力!$C$23)-IF(DATE(CM$3,12,31)&lt;DATE(CM$3,MONTH(情報入力!$C$23),DAY(情報入力!$C$23)),1,0)))</f>
        <v/>
      </c>
      <c r="CN8" s="218">
        <f>IF(CN$3="","",IF(情報入力!$C$23="","",YEAR(DATE(CN$3,12,31))-YEAR(情報入力!$C$23)-IF(DATE(CN$3,12,31)&lt;DATE(CN$3,MONTH(情報入力!$C$23),DAY(情報入力!$C$23)),1,0)))</f>
        <v/>
      </c>
      <c r="CO8" s="218">
        <f>IF(CO$3="","",IF(情報入力!$C$23="","",YEAR(DATE(CO$3,12,31))-YEAR(情報入力!$C$23)-IF(DATE(CO$3,12,31)&lt;DATE(CO$3,MONTH(情報入力!$C$23),DAY(情報入力!$C$23)),1,0)))</f>
        <v/>
      </c>
      <c r="CP8" s="218">
        <f>IF(CP$3="","",IF(情報入力!$C$23="","",YEAR(DATE(CP$3,12,31))-YEAR(情報入力!$C$23)-IF(DATE(CP$3,12,31)&lt;DATE(CP$3,MONTH(情報入力!$C$23),DAY(情報入力!$C$23)),1,0)))</f>
        <v/>
      </c>
      <c r="CQ8" s="218">
        <f>IF(CQ$3="","",IF(情報入力!$C$23="","",YEAR(DATE(CQ$3,12,31))-YEAR(情報入力!$C$23)-IF(DATE(CQ$3,12,31)&lt;DATE(CQ$3,MONTH(情報入力!$C$23),DAY(情報入力!$C$23)),1,0)))</f>
        <v/>
      </c>
      <c r="CR8" s="218">
        <f>IF(CR$3="","",IF(情報入力!$C$23="","",YEAR(DATE(CR$3,12,31))-YEAR(情報入力!$C$23)-IF(DATE(CR$3,12,31)&lt;DATE(CR$3,MONTH(情報入力!$C$23),DAY(情報入力!$C$23)),1,0)))</f>
        <v/>
      </c>
      <c r="CS8" s="218">
        <f>IF(CS$3="","",IF(情報入力!$C$23="","",YEAR(DATE(CS$3,12,31))-YEAR(情報入力!$C$23)-IF(DATE(CS$3,12,31)&lt;DATE(CS$3,MONTH(情報入力!$C$23),DAY(情報入力!$C$23)),1,0)))</f>
        <v/>
      </c>
      <c r="CT8" s="218">
        <f>IF(CT$3="","",IF(情報入力!$C$23="","",YEAR(DATE(CT$3,12,31))-YEAR(情報入力!$C$23)-IF(DATE(CT$3,12,31)&lt;DATE(CT$3,MONTH(情報入力!$C$23),DAY(情報入力!$C$23)),1,0)))</f>
        <v/>
      </c>
      <c r="CU8" s="218">
        <f>IF(CU$3="","",IF(情報入力!$C$23="","",YEAR(DATE(CU$3,12,31))-YEAR(情報入力!$C$23)-IF(DATE(CU$3,12,31)&lt;DATE(CU$3,MONTH(情報入力!$C$23),DAY(情報入力!$C$23)),1,0)))</f>
        <v/>
      </c>
      <c r="CV8" s="218">
        <f>IF(CV$3="","",IF(情報入力!$C$23="","",YEAR(DATE(CV$3,12,31))-YEAR(情報入力!$C$23)-IF(DATE(CV$3,12,31)&lt;DATE(CV$3,MONTH(情報入力!$C$23),DAY(情報入力!$C$23)),1,0)))</f>
        <v/>
      </c>
      <c r="CW8" s="218">
        <f>IF(CW$3="","",IF(情報入力!$C$23="","",YEAR(DATE(CW$3,12,31))-YEAR(情報入力!$C$23)-IF(DATE(CW$3,12,31)&lt;DATE(CW$3,MONTH(情報入力!$C$23),DAY(情報入力!$C$23)),1,0)))</f>
        <v/>
      </c>
    </row>
    <row r="9" ht="15" customHeight="1" s="180">
      <c r="A9" s="205" t="inlineStr">
        <is>
          <t>家族年齢</t>
        </is>
      </c>
      <c r="B9" s="219" t="n"/>
      <c r="C9" s="219" t="n"/>
      <c r="D9" s="219" t="n"/>
      <c r="E9" s="219" t="n"/>
      <c r="F9" s="219" t="n"/>
      <c r="G9" s="219" t="n"/>
      <c r="H9" s="219" t="n"/>
      <c r="I9" s="219" t="n"/>
      <c r="J9" s="219" t="n"/>
      <c r="K9" s="219" t="n"/>
      <c r="L9" s="219" t="n"/>
      <c r="M9" s="219" t="n"/>
      <c r="N9" s="219" t="n"/>
      <c r="O9" s="219" t="n"/>
      <c r="P9" s="219" t="n"/>
      <c r="Q9" s="219" t="n"/>
      <c r="R9" s="219" t="n"/>
      <c r="S9" s="219" t="n"/>
      <c r="T9" s="219" t="n"/>
      <c r="U9" s="219" t="n"/>
      <c r="V9" s="219" t="n"/>
      <c r="W9" s="219" t="n"/>
      <c r="X9" s="219" t="n"/>
      <c r="Y9" s="219" t="n"/>
      <c r="Z9" s="219" t="n"/>
      <c r="AA9" s="219" t="n"/>
      <c r="AB9" s="219" t="n"/>
      <c r="AC9" s="219" t="n"/>
      <c r="AD9" s="219" t="n"/>
      <c r="AE9" s="219" t="n"/>
      <c r="AF9" s="219" t="n"/>
      <c r="AG9" s="219" t="n"/>
      <c r="AH9" s="219" t="n"/>
      <c r="AI9" s="219" t="n"/>
      <c r="AJ9" s="219" t="n"/>
      <c r="AK9" s="219" t="n"/>
      <c r="AL9" s="219" t="n"/>
      <c r="AM9" s="219" t="n"/>
      <c r="AN9" s="219" t="n"/>
      <c r="AO9" s="219" t="n"/>
      <c r="AP9" s="219" t="n"/>
      <c r="AQ9" s="219" t="n"/>
      <c r="AR9" s="219" t="n"/>
      <c r="AS9" s="219" t="n"/>
      <c r="AT9" s="219" t="n"/>
      <c r="AU9" s="219" t="n"/>
      <c r="AV9" s="219" t="n"/>
      <c r="AW9" s="219" t="n"/>
      <c r="AX9" s="219" t="n"/>
      <c r="AY9" s="219" t="n"/>
      <c r="AZ9" s="219" t="n"/>
      <c r="BA9" s="219" t="n"/>
      <c r="BB9" s="219" t="n"/>
      <c r="BC9" s="219" t="n"/>
      <c r="BD9" s="219" t="n"/>
      <c r="BE9" s="219" t="n"/>
      <c r="BF9" s="219" t="n"/>
      <c r="BG9" s="219" t="n"/>
      <c r="BH9" s="219" t="n"/>
      <c r="BI9" s="219" t="n"/>
      <c r="BJ9" s="219" t="n"/>
      <c r="BK9" s="219" t="n"/>
      <c r="BL9" s="219" t="n"/>
      <c r="BM9" s="219" t="n"/>
      <c r="BN9" s="219" t="n"/>
      <c r="BO9" s="219" t="n"/>
      <c r="BP9" s="219" t="n"/>
      <c r="BQ9" s="219" t="n"/>
      <c r="BR9" s="219" t="n"/>
      <c r="BS9" s="219" t="n"/>
      <c r="BT9" s="219" t="n"/>
      <c r="BU9" s="219" t="n"/>
      <c r="BV9" s="219" t="n"/>
      <c r="BW9" s="219" t="n"/>
      <c r="BX9" s="219" t="n"/>
      <c r="BY9" s="219" t="n"/>
      <c r="BZ9" s="219" t="n"/>
      <c r="CA9" s="219" t="n"/>
      <c r="CB9" s="219" t="n"/>
      <c r="CC9" s="219" t="n"/>
      <c r="CD9" s="219" t="n"/>
      <c r="CE9" s="219" t="n"/>
      <c r="CF9" s="219" t="n"/>
      <c r="CG9" s="219" t="n"/>
      <c r="CH9" s="219" t="n"/>
      <c r="CI9" s="219" t="n"/>
      <c r="CJ9" s="219" t="n"/>
      <c r="CK9" s="219" t="n"/>
      <c r="CL9" s="219" t="n"/>
      <c r="CM9" s="219" t="n"/>
      <c r="CN9" s="219" t="n"/>
      <c r="CO9" s="219" t="n"/>
      <c r="CP9" s="219" t="n"/>
      <c r="CQ9" s="219" t="n"/>
      <c r="CR9" s="219" t="n"/>
      <c r="CS9" s="219" t="n"/>
      <c r="CT9" s="219" t="n"/>
      <c r="CU9" s="219" t="n"/>
      <c r="CV9" s="219" t="n"/>
      <c r="CW9" s="219" t="n"/>
    </row>
    <row r="10" ht="15" customHeight="1" s="180">
      <c r="A10" s="220" t="inlineStr">
        <is>
          <t>ご主人様収入</t>
        </is>
      </c>
      <c r="B10" s="350">
        <f>IF(B$3="","",IF(B4&lt;入力データ!$C$109,((入力データ!$C$29*12)+IF(入力データ!$C$31="あり",入力データ!$C$32,0))*(1+前提条件!$C$5)^(B$3-$B$3),0))</f>
        <v/>
      </c>
      <c r="C10" s="350">
        <f>IF(C$3="","",IF(C4&lt;入力データ!$C$109,((入力データ!$C$29*12)+IF(入力データ!$C$31="あり",入力データ!$C$32,0))*(1+前提条件!$C$5)^(C$3-$B$3),0))</f>
        <v/>
      </c>
      <c r="D10" s="350">
        <f>IF(D$3="","",IF(D4&lt;入力データ!$C$109,((入力データ!$C$29*12)+IF(入力データ!$C$31="あり",入力データ!$C$32,0))*(1+前提条件!$C$5)^(D$3-$B$3),0))</f>
        <v/>
      </c>
      <c r="E10" s="350">
        <f>IF(E$3="","",IF(E4&lt;入力データ!$C$109,((入力データ!$C$29*12)+IF(入力データ!$C$31="あり",入力データ!$C$32,0))*(1+前提条件!$C$5)^(E$3-$B$3),0))</f>
        <v/>
      </c>
      <c r="F10" s="350">
        <f>IF(F$3="","",IF(F4&lt;入力データ!$C$109,((入力データ!$C$29*12)+IF(入力データ!$C$31="あり",入力データ!$C$32,0))*(1+前提条件!$C$5)^(F$3-$B$3),0))</f>
        <v/>
      </c>
      <c r="G10" s="350">
        <f>IF(G$3="","",IF(G4&lt;入力データ!$C$109,((入力データ!$C$29*12)+IF(入力データ!$C$31="あり",入力データ!$C$32,0))*(1+前提条件!$C$5)^(G$3-$B$3),0))</f>
        <v/>
      </c>
      <c r="H10" s="350">
        <f>IF(H$3="","",IF(H4&lt;入力データ!$C$109,((入力データ!$C$29*12)+IF(入力データ!$C$31="あり",入力データ!$C$32,0))*(1+前提条件!$C$5)^(H$3-$B$3),0))</f>
        <v/>
      </c>
      <c r="I10" s="350">
        <f>IF(I$3="","",IF(I4&lt;入力データ!$C$109,((入力データ!$C$29*12)+IF(入力データ!$C$31="あり",入力データ!$C$32,0))*(1+前提条件!$C$5)^(I$3-$B$3),0))</f>
        <v/>
      </c>
      <c r="J10" s="350">
        <f>IF(J$3="","",IF(J4&lt;入力データ!$C$109,((入力データ!$C$29*12)+IF(入力データ!$C$31="あり",入力データ!$C$32,0))*(1+前提条件!$C$5)^(J$3-$B$3),0))</f>
        <v/>
      </c>
      <c r="K10" s="350">
        <f>IF(K$3="","",IF(K4&lt;入力データ!$C$109,((入力データ!$C$29*12)+IF(入力データ!$C$31="あり",入力データ!$C$32,0))*(1+前提条件!$C$5)^(K$3-$B$3),0))</f>
        <v/>
      </c>
      <c r="L10" s="350">
        <f>IF(L$3="","",IF(L4&lt;入力データ!$C$109,((入力データ!$C$29*12)+IF(入力データ!$C$31="あり",入力データ!$C$32,0))*(1+前提条件!$C$5)^(L$3-$B$3),0))</f>
        <v/>
      </c>
      <c r="M10" s="350">
        <f>IF(M$3="","",IF(M4&lt;入力データ!$C$109,((入力データ!$C$29*12)+IF(入力データ!$C$31="あり",入力データ!$C$32,0))*(1+前提条件!$C$5)^(M$3-$B$3),0))</f>
        <v/>
      </c>
      <c r="N10" s="350">
        <f>IF(N$3="","",IF(N4&lt;入力データ!$C$109,((入力データ!$C$29*12)+IF(入力データ!$C$31="あり",入力データ!$C$32,0))*(1+前提条件!$C$5)^(N$3-$B$3),0))</f>
        <v/>
      </c>
      <c r="O10" s="350">
        <f>IF(O$3="","",IF(O4&lt;入力データ!$C$109,((入力データ!$C$29*12)+IF(入力データ!$C$31="あり",入力データ!$C$32,0))*(1+前提条件!$C$5)^(O$3-$B$3),0))</f>
        <v/>
      </c>
      <c r="P10" s="350">
        <f>IF(P$3="","",IF(P4&lt;入力データ!$C$109,((入力データ!$C$29*12)+IF(入力データ!$C$31="あり",入力データ!$C$32,0))*(1+前提条件!$C$5)^(P$3-$B$3),0))</f>
        <v/>
      </c>
      <c r="Q10" s="350">
        <f>IF(Q$3="","",IF(Q4&lt;入力データ!$C$109,((入力データ!$C$29*12)+IF(入力データ!$C$31="あり",入力データ!$C$32,0))*(1+前提条件!$C$5)^(Q$3-$B$3),0))</f>
        <v/>
      </c>
      <c r="R10" s="350">
        <f>IF(R$3="","",IF(R4&lt;入力データ!$C$109,((入力データ!$C$29*12)+IF(入力データ!$C$31="あり",入力データ!$C$32,0))*(1+前提条件!$C$5)^(R$3-$B$3),0))</f>
        <v/>
      </c>
      <c r="S10" s="350">
        <f>IF(S$3="","",IF(S4&lt;入力データ!$C$109,((入力データ!$C$29*12)+IF(入力データ!$C$31="あり",入力データ!$C$32,0))*(1+前提条件!$C$5)^(S$3-$B$3),0))</f>
        <v/>
      </c>
      <c r="T10" s="350">
        <f>IF(T$3="","",IF(T4&lt;入力データ!$C$109,((入力データ!$C$29*12)+IF(入力データ!$C$31="あり",入力データ!$C$32,0))*(1+前提条件!$C$5)^(T$3-$B$3),0))</f>
        <v/>
      </c>
      <c r="U10" s="350">
        <f>IF(U$3="","",IF(U4&lt;入力データ!$C$109,((入力データ!$C$29*12)+IF(入力データ!$C$31="あり",入力データ!$C$32,0))*(1+前提条件!$C$5)^(U$3-$B$3),0))</f>
        <v/>
      </c>
      <c r="V10" s="350">
        <f>IF(V$3="","",IF(V4&lt;入力データ!$C$109,((入力データ!$C$29*12)+IF(入力データ!$C$31="あり",入力データ!$C$32,0))*(1+前提条件!$C$5)^(V$3-$B$3),0))</f>
        <v/>
      </c>
      <c r="W10" s="350">
        <f>IF(W$3="","",IF(W4&lt;入力データ!$C$109,((入力データ!$C$29*12)+IF(入力データ!$C$31="あり",入力データ!$C$32,0))*(1+前提条件!$C$5)^(W$3-$B$3),0))</f>
        <v/>
      </c>
      <c r="X10" s="350">
        <f>IF(X$3="","",IF(X4&lt;入力データ!$C$109,((入力データ!$C$29*12)+IF(入力データ!$C$31="あり",入力データ!$C$32,0))*(1+前提条件!$C$5)^(X$3-$B$3),0))</f>
        <v/>
      </c>
      <c r="Y10" s="350">
        <f>IF(Y$3="","",IF(Y4&lt;入力データ!$C$109,((入力データ!$C$29*12)+IF(入力データ!$C$31="あり",入力データ!$C$32,0))*(1+前提条件!$C$5)^(Y$3-$B$3),0))</f>
        <v/>
      </c>
      <c r="Z10" s="350">
        <f>IF(Z$3="","",IF(Z4&lt;入力データ!$C$109,((入力データ!$C$29*12)+IF(入力データ!$C$31="あり",入力データ!$C$32,0))*(1+前提条件!$C$5)^(Z$3-$B$3),0))</f>
        <v/>
      </c>
      <c r="AA10" s="350">
        <f>IF(AA$3="","",IF(AA4&lt;入力データ!$C$109,((入力データ!$C$29*12)+IF(入力データ!$C$31="あり",入力データ!$C$32,0))*(1+前提条件!$C$5)^(AA$3-$B$3),0))</f>
        <v/>
      </c>
      <c r="AB10" s="350">
        <f>IF(AB$3="","",IF(AB4&lt;入力データ!$C$109,((入力データ!$C$29*12)+IF(入力データ!$C$31="あり",入力データ!$C$32,0))*(1+前提条件!$C$5)^(AB$3-$B$3),0))</f>
        <v/>
      </c>
      <c r="AC10" s="350">
        <f>IF(AC$3="","",IF(AC4&lt;入力データ!$C$109,((入力データ!$C$29*12)+IF(入力データ!$C$31="あり",入力データ!$C$32,0))*(1+前提条件!$C$5)^(AC$3-$B$3),0))</f>
        <v/>
      </c>
      <c r="AD10" s="350">
        <f>IF(AD$3="","",IF(AD4&lt;入力データ!$C$109,((入力データ!$C$29*12)+IF(入力データ!$C$31="あり",入力データ!$C$32,0))*(1+前提条件!$C$5)^(AD$3-$B$3),0))</f>
        <v/>
      </c>
      <c r="AE10" s="350">
        <f>IF(AE$3="","",IF(AE4&lt;入力データ!$C$109,((入力データ!$C$29*12)+IF(入力データ!$C$31="あり",入力データ!$C$32,0))*(1+前提条件!$C$5)^(AE$3-$B$3),0))</f>
        <v/>
      </c>
      <c r="AF10" s="350">
        <f>IF(AF$3="","",IF(AF4&lt;入力データ!$C$109,((入力データ!$C$29*12)+IF(入力データ!$C$31="あり",入力データ!$C$32,0))*(1+前提条件!$C$5)^(AF$3-$B$3),0))</f>
        <v/>
      </c>
      <c r="AG10" s="350">
        <f>IF(AG$3="","",IF(AG4&lt;入力データ!$C$109,((入力データ!$C$29*12)+IF(入力データ!$C$31="あり",入力データ!$C$32,0))*(1+前提条件!$C$5)^(AG$3-$B$3),0))</f>
        <v/>
      </c>
      <c r="AH10" s="350">
        <f>IF(AH$3="","",IF(AH4&lt;入力データ!$C$109,((入力データ!$C$29*12)+IF(入力データ!$C$31="あり",入力データ!$C$32,0))*(1+前提条件!$C$5)^(AH$3-$B$3),0))</f>
        <v/>
      </c>
      <c r="AI10" s="350">
        <f>IF(AI$3="","",IF(AI4&lt;入力データ!$C$109,((入力データ!$C$29*12)+IF(入力データ!$C$31="あり",入力データ!$C$32,0))*(1+前提条件!$C$5)^(AI$3-$B$3),0))</f>
        <v/>
      </c>
      <c r="AJ10" s="350">
        <f>IF(AJ$3="","",IF(AJ4&lt;入力データ!$C$109,((入力データ!$C$29*12)+IF(入力データ!$C$31="あり",入力データ!$C$32,0))*(1+前提条件!$C$5)^(AJ$3-$B$3),0))</f>
        <v/>
      </c>
      <c r="AK10" s="350">
        <f>IF(AK$3="","",IF(AK4&lt;入力データ!$C$109,((入力データ!$C$29*12)+IF(入力データ!$C$31="あり",入力データ!$C$32,0))*(1+前提条件!$C$5)^(AK$3-$B$3),0))</f>
        <v/>
      </c>
      <c r="AL10" s="350">
        <f>IF(AL$3="","",IF(AL4&lt;入力データ!$C$109,((入力データ!$C$29*12)+IF(入力データ!$C$31="あり",入力データ!$C$32,0))*(1+前提条件!$C$5)^(AL$3-$B$3),0))</f>
        <v/>
      </c>
      <c r="AM10" s="350">
        <f>IF(AM$3="","",IF(AM4&lt;入力データ!$C$109,((入力データ!$C$29*12)+IF(入力データ!$C$31="あり",入力データ!$C$32,0))*(1+前提条件!$C$5)^(AM$3-$B$3),0))</f>
        <v/>
      </c>
      <c r="AN10" s="350">
        <f>IF(AN$3="","",IF(AN4&lt;入力データ!$C$109,((入力データ!$C$29*12)+IF(入力データ!$C$31="あり",入力データ!$C$32,0))*(1+前提条件!$C$5)^(AN$3-$B$3),0))</f>
        <v/>
      </c>
      <c r="AO10" s="350">
        <f>IF(AO$3="","",IF(AO4&lt;入力データ!$C$109,((入力データ!$C$29*12)+IF(入力データ!$C$31="あり",入力データ!$C$32,0))*(1+前提条件!$C$5)^(AO$3-$B$3),0))</f>
        <v/>
      </c>
      <c r="AP10" s="350">
        <f>IF(AP$3="","",IF(AP4&lt;入力データ!$C$109,((入力データ!$C$29*12)+IF(入力データ!$C$31="あり",入力データ!$C$32,0))*(1+前提条件!$C$5)^(AP$3-$B$3),0))</f>
        <v/>
      </c>
      <c r="AQ10" s="350">
        <f>IF(AQ$3="","",IF(AQ4&lt;入力データ!$C$109,((入力データ!$C$29*12)+IF(入力データ!$C$31="あり",入力データ!$C$32,0))*(1+前提条件!$C$5)^(AQ$3-$B$3),0))</f>
        <v/>
      </c>
      <c r="AR10" s="350">
        <f>IF(AR$3="","",IF(AR4&lt;入力データ!$C$109,((入力データ!$C$29*12)+IF(入力データ!$C$31="あり",入力データ!$C$32,0))*(1+前提条件!$C$5)^(AR$3-$B$3),0))</f>
        <v/>
      </c>
      <c r="AS10" s="350">
        <f>IF(AS$3="","",IF(AS4&lt;入力データ!$C$109,((入力データ!$C$29*12)+IF(入力データ!$C$31="あり",入力データ!$C$32,0))*(1+前提条件!$C$5)^(AS$3-$B$3),0))</f>
        <v/>
      </c>
      <c r="AT10" s="350">
        <f>IF(AT$3="","",IF(AT4&lt;入力データ!$C$109,((入力データ!$C$29*12)+IF(入力データ!$C$31="あり",入力データ!$C$32,0))*(1+前提条件!$C$5)^(AT$3-$B$3),0))</f>
        <v/>
      </c>
      <c r="AU10" s="350">
        <f>IF(AU$3="","",IF(AU4&lt;入力データ!$C$109,((入力データ!$C$29*12)+IF(入力データ!$C$31="あり",入力データ!$C$32,0))*(1+前提条件!$C$5)^(AU$3-$B$3),0))</f>
        <v/>
      </c>
      <c r="AV10" s="350">
        <f>IF(AV$3="","",IF(AV4&lt;入力データ!$C$109,((入力データ!$C$29*12)+IF(入力データ!$C$31="あり",入力データ!$C$32,0))*(1+前提条件!$C$5)^(AV$3-$B$3),0))</f>
        <v/>
      </c>
      <c r="AW10" s="350">
        <f>IF(AW$3="","",IF(AW4&lt;入力データ!$C$109,((入力データ!$C$29*12)+IF(入力データ!$C$31="あり",入力データ!$C$32,0))*(1+前提条件!$C$5)^(AW$3-$B$3),0))</f>
        <v/>
      </c>
      <c r="AX10" s="350">
        <f>IF(AX$3="","",IF(AX4&lt;入力データ!$C$109,((入力データ!$C$29*12)+IF(入力データ!$C$31="あり",入力データ!$C$32,0))*(1+前提条件!$C$5)^(AX$3-$B$3),0))</f>
        <v/>
      </c>
      <c r="AY10" s="350">
        <f>IF(AY$3="","",IF(AY4&lt;入力データ!$C$109,((入力データ!$C$29*12)+IF(入力データ!$C$31="あり",入力データ!$C$32,0))*(1+前提条件!$C$5)^(AY$3-$B$3),0))</f>
        <v/>
      </c>
      <c r="AZ10" s="350">
        <f>IF(AZ$3="","",IF(AZ4&lt;入力データ!$C$109,((入力データ!$C$29*12)+IF(入力データ!$C$31="あり",入力データ!$C$32,0))*(1+前提条件!$C$5)^(AZ$3-$B$3),0))</f>
        <v/>
      </c>
      <c r="BA10" s="350">
        <f>IF(BA$3="","",IF(BA4&lt;入力データ!$C$109,((入力データ!$C$29*12)+IF(入力データ!$C$31="あり",入力データ!$C$32,0))*(1+前提条件!$C$5)^(BA$3-$B$3),0))</f>
        <v/>
      </c>
      <c r="BB10" s="350">
        <f>IF(BB$3="","",IF(BB4&lt;入力データ!$C$109,((入力データ!$C$29*12)+IF(入力データ!$C$31="あり",入力データ!$C$32,0))*(1+前提条件!$C$5)^(BB$3-$B$3),0))</f>
        <v/>
      </c>
      <c r="BC10" s="350">
        <f>IF(BC$3="","",IF(BC4&lt;入力データ!$C$109,((入力データ!$C$29*12)+IF(入力データ!$C$31="あり",入力データ!$C$32,0))*(1+前提条件!$C$5)^(BC$3-$B$3),0))</f>
        <v/>
      </c>
      <c r="BD10" s="350">
        <f>IF(BD$3="","",IF(BD4&lt;入力データ!$C$109,((入力データ!$C$29*12)+IF(入力データ!$C$31="あり",入力データ!$C$32,0))*(1+前提条件!$C$5)^(BD$3-$B$3),0))</f>
        <v/>
      </c>
      <c r="BE10" s="350">
        <f>IF(BE$3="","",IF(BE4&lt;入力データ!$C$109,((入力データ!$C$29*12)+IF(入力データ!$C$31="あり",入力データ!$C$32,0))*(1+前提条件!$C$5)^(BE$3-$B$3),0))</f>
        <v/>
      </c>
      <c r="BF10" s="350">
        <f>IF(BF$3="","",IF(BF4&lt;入力データ!$C$109,((入力データ!$C$29*12)+IF(入力データ!$C$31="あり",入力データ!$C$32,0))*(1+前提条件!$C$5)^(BF$3-$B$3),0))</f>
        <v/>
      </c>
      <c r="BG10" s="350">
        <f>IF(BG$3="","",IF(BG4&lt;入力データ!$C$109,((入力データ!$C$29*12)+IF(入力データ!$C$31="あり",入力データ!$C$32,0))*(1+前提条件!$C$5)^(BG$3-$B$3),0))</f>
        <v/>
      </c>
      <c r="BH10" s="350">
        <f>IF(BH$3="","",IF(BH4&lt;入力データ!$C$109,((入力データ!$C$29*12)+IF(入力データ!$C$31="あり",入力データ!$C$32,0))*(1+前提条件!$C$5)^(BH$3-$B$3),0))</f>
        <v/>
      </c>
      <c r="BI10" s="350">
        <f>IF(BI$3="","",IF(BI4&lt;入力データ!$C$109,((入力データ!$C$29*12)+IF(入力データ!$C$31="あり",入力データ!$C$32,0))*(1+前提条件!$C$5)^(BI$3-$B$3),0))</f>
        <v/>
      </c>
      <c r="BJ10" s="350">
        <f>IF(BJ$3="","",IF(BJ4&lt;入力データ!$C$109,((入力データ!$C$29*12)+IF(入力データ!$C$31="あり",入力データ!$C$32,0))*(1+前提条件!$C$5)^(BJ$3-$B$3),0))</f>
        <v/>
      </c>
      <c r="BK10" s="350">
        <f>IF(BK$3="","",IF(BK4&lt;入力データ!$C$109,((入力データ!$C$29*12)+IF(入力データ!$C$31="あり",入力データ!$C$32,0))*(1+前提条件!$C$5)^(BK$3-$B$3),0))</f>
        <v/>
      </c>
      <c r="BL10" s="350">
        <f>IF(BL$3="","",IF(BL4&lt;入力データ!$C$109,((入力データ!$C$29*12)+IF(入力データ!$C$31="あり",入力データ!$C$32,0))*(1+前提条件!$C$5)^(BL$3-$B$3),0))</f>
        <v/>
      </c>
      <c r="BM10" s="350">
        <f>IF(BM$3="","",IF(BM4&lt;入力データ!$C$109,((入力データ!$C$29*12)+IF(入力データ!$C$31="あり",入力データ!$C$32,0))*(1+前提条件!$C$5)^(BM$3-$B$3),0))</f>
        <v/>
      </c>
      <c r="BN10" s="350">
        <f>IF(BN$3="","",IF(BN4&lt;入力データ!$C$109,((入力データ!$C$29*12)+IF(入力データ!$C$31="あり",入力データ!$C$32,0))*(1+前提条件!$C$5)^(BN$3-$B$3),0))</f>
        <v/>
      </c>
      <c r="BO10" s="350">
        <f>IF(BO$3="","",IF(BO4&lt;入力データ!$C$109,((入力データ!$C$29*12)+IF(入力データ!$C$31="あり",入力データ!$C$32,0))*(1+前提条件!$C$5)^(BO$3-$B$3),0))</f>
        <v/>
      </c>
      <c r="BP10" s="350">
        <f>IF(BP$3="","",IF(BP4&lt;入力データ!$C$109,((入力データ!$C$29*12)+IF(入力データ!$C$31="あり",入力データ!$C$32,0))*(1+前提条件!$C$5)^(BP$3-$B$3),0))</f>
        <v/>
      </c>
      <c r="BQ10" s="350">
        <f>IF(BQ$3="","",IF(BQ4&lt;入力データ!$C$109,((入力データ!$C$29*12)+IF(入力データ!$C$31="あり",入力データ!$C$32,0))*(1+前提条件!$C$5)^(BQ$3-$B$3),0))</f>
        <v/>
      </c>
      <c r="BR10" s="350">
        <f>IF(BR$3="","",IF(BR4&lt;入力データ!$C$109,((入力データ!$C$29*12)+IF(入力データ!$C$31="あり",入力データ!$C$32,0))*(1+前提条件!$C$5)^(BR$3-$B$3),0))</f>
        <v/>
      </c>
      <c r="BS10" s="350">
        <f>IF(BS$3="","",IF(BS4&lt;入力データ!$C$109,((入力データ!$C$29*12)+IF(入力データ!$C$31="あり",入力データ!$C$32,0))*(1+前提条件!$C$5)^(BS$3-$B$3),0))</f>
        <v/>
      </c>
      <c r="BT10" s="350">
        <f>IF(BT$3="","",IF(BT4&lt;入力データ!$C$109,((入力データ!$C$29*12)+IF(入力データ!$C$31="あり",入力データ!$C$32,0))*(1+前提条件!$C$5)^(BT$3-$B$3),0))</f>
        <v/>
      </c>
      <c r="BU10" s="350">
        <f>IF(BU$3="","",IF(BU4&lt;入力データ!$C$109,((入力データ!$C$29*12)+IF(入力データ!$C$31="あり",入力データ!$C$32,0))*(1+前提条件!$C$5)^(BU$3-$B$3),0))</f>
        <v/>
      </c>
      <c r="BV10" s="350">
        <f>IF(BV$3="","",IF(BV4&lt;入力データ!$C$109,((入力データ!$C$29*12)+IF(入力データ!$C$31="あり",入力データ!$C$32,0))*(1+前提条件!$C$5)^(BV$3-$B$3),0))</f>
        <v/>
      </c>
      <c r="BW10" s="350">
        <f>IF(BW$3="","",IF(BW4&lt;入力データ!$C$109,((入力データ!$C$29*12)+IF(入力データ!$C$31="あり",入力データ!$C$32,0))*(1+前提条件!$C$5)^(BW$3-$B$3),0))</f>
        <v/>
      </c>
      <c r="BX10" s="350">
        <f>IF(BX$3="","",IF(BX4&lt;入力データ!$C$109,((入力データ!$C$29*12)+IF(入力データ!$C$31="あり",入力データ!$C$32,0))*(1+前提条件!$C$5)^(BX$3-$B$3),0))</f>
        <v/>
      </c>
      <c r="BY10" s="350">
        <f>IF(BY$3="","",IF(BY4&lt;入力データ!$C$109,((入力データ!$C$29*12)+IF(入力データ!$C$31="あり",入力データ!$C$32,0))*(1+前提条件!$C$5)^(BY$3-$B$3),0))</f>
        <v/>
      </c>
      <c r="BZ10" s="350">
        <f>IF(BZ$3="","",IF(BZ4&lt;入力データ!$C$109,((入力データ!$C$29*12)+IF(入力データ!$C$31="あり",入力データ!$C$32,0))*(1+前提条件!$C$5)^(BZ$3-$B$3),0))</f>
        <v/>
      </c>
      <c r="CA10" s="350">
        <f>IF(CA$3="","",IF(CA4&lt;入力データ!$C$109,((入力データ!$C$29*12)+IF(入力データ!$C$31="あり",入力データ!$C$32,0))*(1+前提条件!$C$5)^(CA$3-$B$3),0))</f>
        <v/>
      </c>
      <c r="CB10" s="350">
        <f>IF(CB$3="","",IF(CB4&lt;入力データ!$C$109,((入力データ!$C$29*12)+IF(入力データ!$C$31="あり",入力データ!$C$32,0))*(1+前提条件!$C$5)^(CB$3-$B$3),0))</f>
        <v/>
      </c>
      <c r="CC10" s="350">
        <f>IF(CC$3="","",IF(CC4&lt;入力データ!$C$109,((入力データ!$C$29*12)+IF(入力データ!$C$31="あり",入力データ!$C$32,0))*(1+前提条件!$C$5)^(CC$3-$B$3),0))</f>
        <v/>
      </c>
      <c r="CD10" s="350">
        <f>IF(CD$3="","",IF(CD4&lt;入力データ!$C$109,((入力データ!$C$29*12)+IF(入力データ!$C$31="あり",入力データ!$C$32,0))*(1+前提条件!$C$5)^(CD$3-$B$3),0))</f>
        <v/>
      </c>
      <c r="CE10" s="350">
        <f>IF(CE$3="","",IF(CE4&lt;入力データ!$C$109,((入力データ!$C$29*12)+IF(入力データ!$C$31="あり",入力データ!$C$32,0))*(1+前提条件!$C$5)^(CE$3-$B$3),0))</f>
        <v/>
      </c>
      <c r="CF10" s="350">
        <f>IF(CF$3="","",IF(CF4&lt;入力データ!$C$109,((入力データ!$C$29*12)+IF(入力データ!$C$31="あり",入力データ!$C$32,0))*(1+前提条件!$C$5)^(CF$3-$B$3),0))</f>
        <v/>
      </c>
      <c r="CG10" s="350">
        <f>IF(CG$3="","",IF(CG4&lt;入力データ!$C$109,((入力データ!$C$29*12)+IF(入力データ!$C$31="あり",入力データ!$C$32,0))*(1+前提条件!$C$5)^(CG$3-$B$3),0))</f>
        <v/>
      </c>
      <c r="CH10" s="350">
        <f>IF(CH$3="","",IF(CH4&lt;入力データ!$C$109,((入力データ!$C$29*12)+IF(入力データ!$C$31="あり",入力データ!$C$32,0))*(1+前提条件!$C$5)^(CH$3-$B$3),0))</f>
        <v/>
      </c>
      <c r="CI10" s="350">
        <f>IF(CI$3="","",IF(CI4&lt;入力データ!$C$109,((入力データ!$C$29*12)+IF(入力データ!$C$31="あり",入力データ!$C$32,0))*(1+前提条件!$C$5)^(CI$3-$B$3),0))</f>
        <v/>
      </c>
      <c r="CJ10" s="350">
        <f>IF(CJ$3="","",IF(CJ4&lt;入力データ!$C$109,((入力データ!$C$29*12)+IF(入力データ!$C$31="あり",入力データ!$C$32,0))*(1+前提条件!$C$5)^(CJ$3-$B$3),0))</f>
        <v/>
      </c>
      <c r="CK10" s="350">
        <f>IF(CK$3="","",IF(CK4&lt;入力データ!$C$109,((入力データ!$C$29*12)+IF(入力データ!$C$31="あり",入力データ!$C$32,0))*(1+前提条件!$C$5)^(CK$3-$B$3),0))</f>
        <v/>
      </c>
      <c r="CL10" s="350">
        <f>IF(CL$3="","",IF(CL4&lt;入力データ!$C$109,((入力データ!$C$29*12)+IF(入力データ!$C$31="あり",入力データ!$C$32,0))*(1+前提条件!$C$5)^(CL$3-$B$3),0))</f>
        <v/>
      </c>
      <c r="CM10" s="350">
        <f>IF(CM$3="","",IF(CM4&lt;入力データ!$C$109,((入力データ!$C$29*12)+IF(入力データ!$C$31="あり",入力データ!$C$32,0))*(1+前提条件!$C$5)^(CM$3-$B$3),0))</f>
        <v/>
      </c>
      <c r="CN10" s="350">
        <f>IF(CN$3="","",IF(CN4&lt;入力データ!$C$109,((入力データ!$C$29*12)+IF(入力データ!$C$31="あり",入力データ!$C$32,0))*(1+前提条件!$C$5)^(CN$3-$B$3),0))</f>
        <v/>
      </c>
      <c r="CO10" s="350">
        <f>IF(CO$3="","",IF(CO4&lt;入力データ!$C$109,((入力データ!$C$29*12)+IF(入力データ!$C$31="あり",入力データ!$C$32,0))*(1+前提条件!$C$5)^(CO$3-$B$3),0))</f>
        <v/>
      </c>
      <c r="CP10" s="350">
        <f>IF(CP$3="","",IF(CP4&lt;入力データ!$C$109,((入力データ!$C$29*12)+IF(入力データ!$C$31="あり",入力データ!$C$32,0))*(1+前提条件!$C$5)^(CP$3-$B$3),0))</f>
        <v/>
      </c>
      <c r="CQ10" s="350">
        <f>IF(CQ$3="","",IF(CQ4&lt;入力データ!$C$109,((入力データ!$C$29*12)+IF(入力データ!$C$31="あり",入力データ!$C$32,0))*(1+前提条件!$C$5)^(CQ$3-$B$3),0))</f>
        <v/>
      </c>
      <c r="CR10" s="350">
        <f>IF(CR$3="","",IF(CR4&lt;入力データ!$C$109,((入力データ!$C$29*12)+IF(入力データ!$C$31="あり",入力データ!$C$32,0))*(1+前提条件!$C$5)^(CR$3-$B$3),0))</f>
        <v/>
      </c>
      <c r="CS10" s="350">
        <f>IF(CS$3="","",IF(CS4&lt;入力データ!$C$109,((入力データ!$C$29*12)+IF(入力データ!$C$31="あり",入力データ!$C$32,0))*(1+前提条件!$C$5)^(CS$3-$B$3),0))</f>
        <v/>
      </c>
      <c r="CT10" s="350">
        <f>IF(CT$3="","",IF(CT4&lt;入力データ!$C$109,((入力データ!$C$29*12)+IF(入力データ!$C$31="あり",入力データ!$C$32,0))*(1+前提条件!$C$5)^(CT$3-$B$3),0))</f>
        <v/>
      </c>
      <c r="CU10" s="350">
        <f>IF(CU$3="","",IF(CU4&lt;入力データ!$C$109,((入力データ!$C$29*12)+IF(入力データ!$C$31="あり",入力データ!$C$32,0))*(1+前提条件!$C$5)^(CU$3-$B$3),0))</f>
        <v/>
      </c>
      <c r="CV10" s="350">
        <f>IF(CV$3="","",IF(CV4&lt;入力データ!$C$109,((入力データ!$C$29*12)+IF(入力データ!$C$31="あり",入力データ!$C$32,0))*(1+前提条件!$C$5)^(CV$3-$B$3),0))</f>
        <v/>
      </c>
      <c r="CW10" s="350">
        <f>IF(CW$3="","",IF(CW4&lt;入力データ!$C$109,((入力データ!$C$29*12)+IF(入力データ!$C$31="あり",入力データ!$C$32,0))*(1+前提条件!$C$5)^(CW$3-$B$3),0))</f>
        <v/>
      </c>
    </row>
    <row r="11" ht="15" customHeight="1" s="180">
      <c r="A11" s="220" t="inlineStr">
        <is>
          <t>奥様収入</t>
        </is>
      </c>
      <c r="B11" s="350">
        <f>IF(B$3="","",0)</f>
        <v/>
      </c>
      <c r="C11" s="350">
        <f>IF(C$3="","",0)</f>
        <v/>
      </c>
      <c r="D11" s="350">
        <f>IF(D$3="","",0)</f>
        <v/>
      </c>
      <c r="E11" s="350">
        <f>IF(E$3="","",0)</f>
        <v/>
      </c>
      <c r="F11" s="350">
        <f>IF(F$3="","",0)</f>
        <v/>
      </c>
      <c r="G11" s="350">
        <f>IF(G$3="","",0)</f>
        <v/>
      </c>
      <c r="H11" s="350">
        <f>IF(H$3="","",0)</f>
        <v/>
      </c>
      <c r="I11" s="350">
        <f>IF(I$3="","",0)</f>
        <v/>
      </c>
      <c r="J11" s="350">
        <f>IF(J$3="","",0)</f>
        <v/>
      </c>
      <c r="K11" s="350">
        <f>IF(K$3="","",0)</f>
        <v/>
      </c>
      <c r="L11" s="350">
        <f>IF(L$3="","",0)</f>
        <v/>
      </c>
      <c r="M11" s="350">
        <f>IF(M$3="","",0)</f>
        <v/>
      </c>
      <c r="N11" s="350">
        <f>IF(N$3="","",0)</f>
        <v/>
      </c>
      <c r="O11" s="350">
        <f>IF(O$3="","",0)</f>
        <v/>
      </c>
      <c r="P11" s="350">
        <f>IF(P$3="","",0)</f>
        <v/>
      </c>
      <c r="Q11" s="350">
        <f>IF(Q$3="","",0)</f>
        <v/>
      </c>
      <c r="R11" s="350">
        <f>IF(R$3="","",0)</f>
        <v/>
      </c>
      <c r="S11" s="350">
        <f>IF(S$3="","",0)</f>
        <v/>
      </c>
      <c r="T11" s="350">
        <f>IF(T$3="","",0)</f>
        <v/>
      </c>
      <c r="U11" s="350">
        <f>IF(U$3="","",0)</f>
        <v/>
      </c>
      <c r="V11" s="350">
        <f>IF(V$3="","",0)</f>
        <v/>
      </c>
      <c r="W11" s="350">
        <f>IF(W$3="","",0)</f>
        <v/>
      </c>
      <c r="X11" s="350">
        <f>IF(X$3="","",0)</f>
        <v/>
      </c>
      <c r="Y11" s="350">
        <f>IF(Y$3="","",0)</f>
        <v/>
      </c>
      <c r="Z11" s="350">
        <f>IF(Z$3="","",0)</f>
        <v/>
      </c>
      <c r="AA11" s="350">
        <f>IF(AA$3="","",0)</f>
        <v/>
      </c>
      <c r="AB11" s="350">
        <f>IF(AB$3="","",0)</f>
        <v/>
      </c>
      <c r="AC11" s="350">
        <f>IF(AC$3="","",0)</f>
        <v/>
      </c>
      <c r="AD11" s="350">
        <f>IF(AD$3="","",0)</f>
        <v/>
      </c>
      <c r="AE11" s="350">
        <f>IF(AE$3="","",0)</f>
        <v/>
      </c>
      <c r="AF11" s="350">
        <f>IF(AF$3="","",0)</f>
        <v/>
      </c>
      <c r="AG11" s="350">
        <f>IF(AG$3="","",0)</f>
        <v/>
      </c>
      <c r="AH11" s="350">
        <f>IF(AH$3="","",0)</f>
        <v/>
      </c>
      <c r="AI11" s="350">
        <f>IF(AI$3="","",0)</f>
        <v/>
      </c>
      <c r="AJ11" s="350">
        <f>IF(AJ$3="","",0)</f>
        <v/>
      </c>
      <c r="AK11" s="350">
        <f>IF(AK$3="","",0)</f>
        <v/>
      </c>
      <c r="AL11" s="350">
        <f>IF(AL$3="","",0)</f>
        <v/>
      </c>
      <c r="AM11" s="350">
        <f>IF(AM$3="","",0)</f>
        <v/>
      </c>
      <c r="AN11" s="350">
        <f>IF(AN$3="","",0)</f>
        <v/>
      </c>
      <c r="AO11" s="350">
        <f>IF(AO$3="","",0)</f>
        <v/>
      </c>
      <c r="AP11" s="350">
        <f>IF(AP$3="","",0)</f>
        <v/>
      </c>
      <c r="AQ11" s="350">
        <f>IF(AQ$3="","",0)</f>
        <v/>
      </c>
      <c r="AR11" s="350">
        <f>IF(AR$3="","",0)</f>
        <v/>
      </c>
      <c r="AS11" s="350">
        <f>IF(AS$3="","",0)</f>
        <v/>
      </c>
      <c r="AT11" s="350">
        <f>IF(AT$3="","",0)</f>
        <v/>
      </c>
      <c r="AU11" s="350">
        <f>IF(AU$3="","",0)</f>
        <v/>
      </c>
      <c r="AV11" s="350">
        <f>IF(AV$3="","",0)</f>
        <v/>
      </c>
      <c r="AW11" s="350">
        <f>IF(AW$3="","",0)</f>
        <v/>
      </c>
      <c r="AX11" s="350">
        <f>IF(AX$3="","",0)</f>
        <v/>
      </c>
      <c r="AY11" s="350">
        <f>IF(AY$3="","",0)</f>
        <v/>
      </c>
      <c r="AZ11" s="350">
        <f>IF(AZ$3="","",0)</f>
        <v/>
      </c>
      <c r="BA11" s="350">
        <f>IF(BA$3="","",0)</f>
        <v/>
      </c>
      <c r="BB11" s="350">
        <f>IF(BB$3="","",0)</f>
        <v/>
      </c>
      <c r="BC11" s="350">
        <f>IF(BC$3="","",0)</f>
        <v/>
      </c>
      <c r="BD11" s="350">
        <f>IF(BD$3="","",0)</f>
        <v/>
      </c>
      <c r="BE11" s="350">
        <f>IF(BE$3="","",0)</f>
        <v/>
      </c>
      <c r="BF11" s="350">
        <f>IF(BF$3="","",0)</f>
        <v/>
      </c>
      <c r="BG11" s="350">
        <f>IF(BG$3="","",0)</f>
        <v/>
      </c>
      <c r="BH11" s="350">
        <f>IF(BH$3="","",0)</f>
        <v/>
      </c>
      <c r="BI11" s="350">
        <f>IF(BI$3="","",0)</f>
        <v/>
      </c>
      <c r="BJ11" s="350">
        <f>IF(BJ$3="","",0)</f>
        <v/>
      </c>
      <c r="BK11" s="350">
        <f>IF(BK$3="","",0)</f>
        <v/>
      </c>
      <c r="BL11" s="350">
        <f>IF(BL$3="","",0)</f>
        <v/>
      </c>
      <c r="BM11" s="350">
        <f>IF(BM$3="","",0)</f>
        <v/>
      </c>
      <c r="BN11" s="350">
        <f>IF(BN$3="","",0)</f>
        <v/>
      </c>
      <c r="BO11" s="350">
        <f>IF(BO$3="","",0)</f>
        <v/>
      </c>
      <c r="BP11" s="350">
        <f>IF(BP$3="","",0)</f>
        <v/>
      </c>
      <c r="BQ11" s="350">
        <f>IF(BQ$3="","",0)</f>
        <v/>
      </c>
      <c r="BR11" s="350">
        <f>IF(BR$3="","",0)</f>
        <v/>
      </c>
      <c r="BS11" s="350">
        <f>IF(BS$3="","",0)</f>
        <v/>
      </c>
      <c r="BT11" s="350">
        <f>IF(BT$3="","",0)</f>
        <v/>
      </c>
      <c r="BU11" s="350">
        <f>IF(BU$3="","",0)</f>
        <v/>
      </c>
      <c r="BV11" s="350">
        <f>IF(BV$3="","",0)</f>
        <v/>
      </c>
      <c r="BW11" s="350">
        <f>IF(BW$3="","",0)</f>
        <v/>
      </c>
      <c r="BX11" s="350">
        <f>IF(BX$3="","",0)</f>
        <v/>
      </c>
      <c r="BY11" s="350">
        <f>IF(BY$3="","",0)</f>
        <v/>
      </c>
      <c r="BZ11" s="350">
        <f>IF(BZ$3="","",0)</f>
        <v/>
      </c>
      <c r="CA11" s="350">
        <f>IF(CA$3="","",0)</f>
        <v/>
      </c>
      <c r="CB11" s="350">
        <f>IF(CB$3="","",0)</f>
        <v/>
      </c>
      <c r="CC11" s="350">
        <f>IF(CC$3="","",0)</f>
        <v/>
      </c>
      <c r="CD11" s="350">
        <f>IF(CD$3="","",0)</f>
        <v/>
      </c>
      <c r="CE11" s="350">
        <f>IF(CE$3="","",0)</f>
        <v/>
      </c>
      <c r="CF11" s="350">
        <f>IF(CF$3="","",0)</f>
        <v/>
      </c>
      <c r="CG11" s="350">
        <f>IF(CG$3="","",0)</f>
        <v/>
      </c>
      <c r="CH11" s="350">
        <f>IF(CH$3="","",0)</f>
        <v/>
      </c>
      <c r="CI11" s="350">
        <f>IF(CI$3="","",0)</f>
        <v/>
      </c>
      <c r="CJ11" s="350">
        <f>IF(CJ$3="","",0)</f>
        <v/>
      </c>
      <c r="CK11" s="350">
        <f>IF(CK$3="","",0)</f>
        <v/>
      </c>
      <c r="CL11" s="350">
        <f>IF(CL$3="","",0)</f>
        <v/>
      </c>
      <c r="CM11" s="350">
        <f>IF(CM$3="","",0)</f>
        <v/>
      </c>
      <c r="CN11" s="350">
        <f>IF(CN$3="","",0)</f>
        <v/>
      </c>
      <c r="CO11" s="350">
        <f>IF(CO$3="","",0)</f>
        <v/>
      </c>
      <c r="CP11" s="350">
        <f>IF(CP$3="","",0)</f>
        <v/>
      </c>
      <c r="CQ11" s="350">
        <f>IF(CQ$3="","",0)</f>
        <v/>
      </c>
      <c r="CR11" s="350">
        <f>IF(CR$3="","",0)</f>
        <v/>
      </c>
      <c r="CS11" s="350">
        <f>IF(CS$3="","",0)</f>
        <v/>
      </c>
      <c r="CT11" s="350">
        <f>IF(CT$3="","",0)</f>
        <v/>
      </c>
      <c r="CU11" s="350">
        <f>IF(CU$3="","",0)</f>
        <v/>
      </c>
      <c r="CV11" s="350">
        <f>IF(CV$3="","",0)</f>
        <v/>
      </c>
      <c r="CW11" s="350">
        <f>IF(CW$3="","",0)</f>
        <v/>
      </c>
    </row>
    <row r="12" ht="15" customHeight="1" s="180">
      <c r="A12" s="220" t="inlineStr">
        <is>
          <t>児童手当</t>
        </is>
      </c>
      <c r="B12" s="350">
        <f>IF(B$3="","",IF(AND(B6&lt;&gt;"",B6&lt;=前提条件!$C$8),IF(1&gt;=3,30000,IF(B6&lt;3,15000,10000))*6,0)+IF(AND(B7&lt;&gt;"",B7&lt;=前提条件!$C$8),IF(2&gt;=3,30000,IF(B7&lt;3,15000,10000))*6,0)+IF(AND(B8&lt;&gt;"",B8&lt;=前提条件!$C$8),30000*6,0))</f>
        <v/>
      </c>
      <c r="C12" s="350">
        <f>IF(C$3="","",IF(AND(C6&lt;&gt;"",C6&lt;=前提条件!$C$8),IF(1&gt;=3,30000,IF(C6&lt;3,15000,10000))*6,0)+IF(AND(C7&lt;&gt;"",C7&lt;=前提条件!$C$8),IF(2&gt;=3,30000,IF(C7&lt;3,15000,10000))*6,0)+IF(AND(C8&lt;&gt;"",C8&lt;=前提条件!$C$8),30000*6,0))</f>
        <v/>
      </c>
      <c r="D12" s="350">
        <f>IF(D$3="","",IF(AND(D6&lt;&gt;"",D6&lt;=前提条件!$C$8),IF(1&gt;=3,30000,IF(D6&lt;3,15000,10000))*6,0)+IF(AND(D7&lt;&gt;"",D7&lt;=前提条件!$C$8),IF(2&gt;=3,30000,IF(D7&lt;3,15000,10000))*6,0)+IF(AND(D8&lt;&gt;"",D8&lt;=前提条件!$C$8),30000*6,0))</f>
        <v/>
      </c>
      <c r="E12" s="350">
        <f>IF(E$3="","",IF(AND(E6&lt;&gt;"",E6&lt;=前提条件!$C$8),IF(1&gt;=3,30000,IF(E6&lt;3,15000,10000))*6,0)+IF(AND(E7&lt;&gt;"",E7&lt;=前提条件!$C$8),IF(2&gt;=3,30000,IF(E7&lt;3,15000,10000))*6,0)+IF(AND(E8&lt;&gt;"",E8&lt;=前提条件!$C$8),30000*6,0))</f>
        <v/>
      </c>
      <c r="F12" s="350">
        <f>IF(F$3="","",IF(AND(F6&lt;&gt;"",F6&lt;=前提条件!$C$8),IF(1&gt;=3,30000,IF(F6&lt;3,15000,10000))*6,0)+IF(AND(F7&lt;&gt;"",F7&lt;=前提条件!$C$8),IF(2&gt;=3,30000,IF(F7&lt;3,15000,10000))*6,0)+IF(AND(F8&lt;&gt;"",F8&lt;=前提条件!$C$8),30000*6,0))</f>
        <v/>
      </c>
      <c r="G12" s="350">
        <f>IF(G$3="","",IF(AND(G6&lt;&gt;"",G6&lt;=前提条件!$C$8),IF(1&gt;=3,30000,IF(G6&lt;3,15000,10000))*6,0)+IF(AND(G7&lt;&gt;"",G7&lt;=前提条件!$C$8),IF(2&gt;=3,30000,IF(G7&lt;3,15000,10000))*6,0)+IF(AND(G8&lt;&gt;"",G8&lt;=前提条件!$C$8),30000*6,0))</f>
        <v/>
      </c>
      <c r="H12" s="350">
        <f>IF(H$3="","",IF(AND(H6&lt;&gt;"",H6&lt;=前提条件!$C$8),IF(1&gt;=3,30000,IF(H6&lt;3,15000,10000))*6,0)+IF(AND(H7&lt;&gt;"",H7&lt;=前提条件!$C$8),IF(2&gt;=3,30000,IF(H7&lt;3,15000,10000))*6,0)+IF(AND(H8&lt;&gt;"",H8&lt;=前提条件!$C$8),30000*6,0))</f>
        <v/>
      </c>
      <c r="I12" s="350">
        <f>IF(I$3="","",IF(AND(I6&lt;&gt;"",I6&lt;=前提条件!$C$8),IF(1&gt;=3,30000,IF(I6&lt;3,15000,10000))*6,0)+IF(AND(I7&lt;&gt;"",I7&lt;=前提条件!$C$8),IF(2&gt;=3,30000,IF(I7&lt;3,15000,10000))*6,0)+IF(AND(I8&lt;&gt;"",I8&lt;=前提条件!$C$8),30000*6,0))</f>
        <v/>
      </c>
      <c r="J12" s="350">
        <f>IF(J$3="","",IF(AND(J6&lt;&gt;"",J6&lt;=前提条件!$C$8),IF(1&gt;=3,30000,IF(J6&lt;3,15000,10000))*6,0)+IF(AND(J7&lt;&gt;"",J7&lt;=前提条件!$C$8),IF(2&gt;=3,30000,IF(J7&lt;3,15000,10000))*6,0)+IF(AND(J8&lt;&gt;"",J8&lt;=前提条件!$C$8),30000*6,0))</f>
        <v/>
      </c>
      <c r="K12" s="350">
        <f>IF(K$3="","",IF(AND(K6&lt;&gt;"",K6&lt;=前提条件!$C$8),IF(1&gt;=3,30000,IF(K6&lt;3,15000,10000))*6,0)+IF(AND(K7&lt;&gt;"",K7&lt;=前提条件!$C$8),IF(2&gt;=3,30000,IF(K7&lt;3,15000,10000))*6,0)+IF(AND(K8&lt;&gt;"",K8&lt;=前提条件!$C$8),30000*6,0))</f>
        <v/>
      </c>
      <c r="L12" s="350">
        <f>IF(L$3="","",IF(AND(L6&lt;&gt;"",L6&lt;=前提条件!$C$8),IF(1&gt;=3,30000,IF(L6&lt;3,15000,10000))*6,0)+IF(AND(L7&lt;&gt;"",L7&lt;=前提条件!$C$8),IF(2&gt;=3,30000,IF(L7&lt;3,15000,10000))*6,0)+IF(AND(L8&lt;&gt;"",L8&lt;=前提条件!$C$8),30000*6,0))</f>
        <v/>
      </c>
      <c r="M12" s="350">
        <f>IF(M$3="","",IF(AND(M6&lt;&gt;"",M6&lt;=前提条件!$C$8),IF(1&gt;=3,30000,IF(M6&lt;3,15000,10000))*6,0)+IF(AND(M7&lt;&gt;"",M7&lt;=前提条件!$C$8),IF(2&gt;=3,30000,IF(M7&lt;3,15000,10000))*6,0)+IF(AND(M8&lt;&gt;"",M8&lt;=前提条件!$C$8),30000*6,0))</f>
        <v/>
      </c>
      <c r="N12" s="350">
        <f>IF(N$3="","",IF(AND(N6&lt;&gt;"",N6&lt;=前提条件!$C$8),IF(1&gt;=3,30000,IF(N6&lt;3,15000,10000))*6,0)+IF(AND(N7&lt;&gt;"",N7&lt;=前提条件!$C$8),IF(2&gt;=3,30000,IF(N7&lt;3,15000,10000))*6,0)+IF(AND(N8&lt;&gt;"",N8&lt;=前提条件!$C$8),30000*6,0))</f>
        <v/>
      </c>
      <c r="O12" s="350">
        <f>IF(O$3="","",IF(AND(O6&lt;&gt;"",O6&lt;=前提条件!$C$8),IF(1&gt;=3,30000,IF(O6&lt;3,15000,10000))*6,0)+IF(AND(O7&lt;&gt;"",O7&lt;=前提条件!$C$8),IF(2&gt;=3,30000,IF(O7&lt;3,15000,10000))*6,0)+IF(AND(O8&lt;&gt;"",O8&lt;=前提条件!$C$8),30000*6,0))</f>
        <v/>
      </c>
      <c r="P12" s="350">
        <f>IF(P$3="","",IF(AND(P6&lt;&gt;"",P6&lt;=前提条件!$C$8),IF(1&gt;=3,30000,IF(P6&lt;3,15000,10000))*6,0)+IF(AND(P7&lt;&gt;"",P7&lt;=前提条件!$C$8),IF(2&gt;=3,30000,IF(P7&lt;3,15000,10000))*6,0)+IF(AND(P8&lt;&gt;"",P8&lt;=前提条件!$C$8),30000*6,0))</f>
        <v/>
      </c>
      <c r="Q12" s="350">
        <f>IF(Q$3="","",IF(AND(Q6&lt;&gt;"",Q6&lt;=前提条件!$C$8),IF(1&gt;=3,30000,IF(Q6&lt;3,15000,10000))*6,0)+IF(AND(Q7&lt;&gt;"",Q7&lt;=前提条件!$C$8),IF(2&gt;=3,30000,IF(Q7&lt;3,15000,10000))*6,0)+IF(AND(Q8&lt;&gt;"",Q8&lt;=前提条件!$C$8),30000*6,0))</f>
        <v/>
      </c>
      <c r="R12" s="350">
        <f>IF(R$3="","",IF(AND(R6&lt;&gt;"",R6&lt;=前提条件!$C$8),IF(1&gt;=3,30000,IF(R6&lt;3,15000,10000))*6,0)+IF(AND(R7&lt;&gt;"",R7&lt;=前提条件!$C$8),IF(2&gt;=3,30000,IF(R7&lt;3,15000,10000))*6,0)+IF(AND(R8&lt;&gt;"",R8&lt;=前提条件!$C$8),30000*6,0))</f>
        <v/>
      </c>
      <c r="S12" s="350">
        <f>IF(S$3="","",IF(AND(S6&lt;&gt;"",S6&lt;=前提条件!$C$8),IF(1&gt;=3,30000,IF(S6&lt;3,15000,10000))*6,0)+IF(AND(S7&lt;&gt;"",S7&lt;=前提条件!$C$8),IF(2&gt;=3,30000,IF(S7&lt;3,15000,10000))*6,0)+IF(AND(S8&lt;&gt;"",S8&lt;=前提条件!$C$8),30000*6,0))</f>
        <v/>
      </c>
      <c r="T12" s="350">
        <f>IF(T$3="","",IF(AND(T6&lt;&gt;"",T6&lt;=前提条件!$C$8),IF(1&gt;=3,30000,IF(T6&lt;3,15000,10000))*6,0)+IF(AND(T7&lt;&gt;"",T7&lt;=前提条件!$C$8),IF(2&gt;=3,30000,IF(T7&lt;3,15000,10000))*6,0)+IF(AND(T8&lt;&gt;"",T8&lt;=前提条件!$C$8),30000*6,0))</f>
        <v/>
      </c>
      <c r="U12" s="350">
        <f>IF(U$3="","",IF(AND(U6&lt;&gt;"",U6&lt;=前提条件!$C$8),IF(1&gt;=3,30000,IF(U6&lt;3,15000,10000))*6,0)+IF(AND(U7&lt;&gt;"",U7&lt;=前提条件!$C$8),IF(2&gt;=3,30000,IF(U7&lt;3,15000,10000))*6,0)+IF(AND(U8&lt;&gt;"",U8&lt;=前提条件!$C$8),30000*6,0))</f>
        <v/>
      </c>
      <c r="V12" s="350">
        <f>IF(V$3="","",IF(AND(V6&lt;&gt;"",V6&lt;=前提条件!$C$8),IF(1&gt;=3,30000,IF(V6&lt;3,15000,10000))*6,0)+IF(AND(V7&lt;&gt;"",V7&lt;=前提条件!$C$8),IF(2&gt;=3,30000,IF(V7&lt;3,15000,10000))*6,0)+IF(AND(V8&lt;&gt;"",V8&lt;=前提条件!$C$8),30000*6,0))</f>
        <v/>
      </c>
      <c r="W12" s="350">
        <f>IF(W$3="","",IF(AND(W6&lt;&gt;"",W6&lt;=前提条件!$C$8),IF(1&gt;=3,30000,IF(W6&lt;3,15000,10000))*6,0)+IF(AND(W7&lt;&gt;"",W7&lt;=前提条件!$C$8),IF(2&gt;=3,30000,IF(W7&lt;3,15000,10000))*6,0)+IF(AND(W8&lt;&gt;"",W8&lt;=前提条件!$C$8),30000*6,0))</f>
        <v/>
      </c>
      <c r="X12" s="350">
        <f>IF(X$3="","",IF(AND(X6&lt;&gt;"",X6&lt;=前提条件!$C$8),IF(1&gt;=3,30000,IF(X6&lt;3,15000,10000))*6,0)+IF(AND(X7&lt;&gt;"",X7&lt;=前提条件!$C$8),IF(2&gt;=3,30000,IF(X7&lt;3,15000,10000))*6,0)+IF(AND(X8&lt;&gt;"",X8&lt;=前提条件!$C$8),30000*6,0))</f>
        <v/>
      </c>
      <c r="Y12" s="350">
        <f>IF(Y$3="","",IF(AND(Y6&lt;&gt;"",Y6&lt;=前提条件!$C$8),IF(1&gt;=3,30000,IF(Y6&lt;3,15000,10000))*6,0)+IF(AND(Y7&lt;&gt;"",Y7&lt;=前提条件!$C$8),IF(2&gt;=3,30000,IF(Y7&lt;3,15000,10000))*6,0)+IF(AND(Y8&lt;&gt;"",Y8&lt;=前提条件!$C$8),30000*6,0))</f>
        <v/>
      </c>
      <c r="Z12" s="350">
        <f>IF(Z$3="","",IF(AND(Z6&lt;&gt;"",Z6&lt;=前提条件!$C$8),IF(1&gt;=3,30000,IF(Z6&lt;3,15000,10000))*6,0)+IF(AND(Z7&lt;&gt;"",Z7&lt;=前提条件!$C$8),IF(2&gt;=3,30000,IF(Z7&lt;3,15000,10000))*6,0)+IF(AND(Z8&lt;&gt;"",Z8&lt;=前提条件!$C$8),30000*6,0))</f>
        <v/>
      </c>
      <c r="AA12" s="350">
        <f>IF(AA$3="","",IF(AND(AA6&lt;&gt;"",AA6&lt;=前提条件!$C$8),IF(1&gt;=3,30000,IF(AA6&lt;3,15000,10000))*6,0)+IF(AND(AA7&lt;&gt;"",AA7&lt;=前提条件!$C$8),IF(2&gt;=3,30000,IF(AA7&lt;3,15000,10000))*6,0)+IF(AND(AA8&lt;&gt;"",AA8&lt;=前提条件!$C$8),30000*6,0))</f>
        <v/>
      </c>
      <c r="AB12" s="350">
        <f>IF(AB$3="","",IF(AND(AB6&lt;&gt;"",AB6&lt;=前提条件!$C$8),IF(1&gt;=3,30000,IF(AB6&lt;3,15000,10000))*6,0)+IF(AND(AB7&lt;&gt;"",AB7&lt;=前提条件!$C$8),IF(2&gt;=3,30000,IF(AB7&lt;3,15000,10000))*6,0)+IF(AND(AB8&lt;&gt;"",AB8&lt;=前提条件!$C$8),30000*6,0))</f>
        <v/>
      </c>
      <c r="AC12" s="350">
        <f>IF(AC$3="","",IF(AND(AC6&lt;&gt;"",AC6&lt;=前提条件!$C$8),IF(1&gt;=3,30000,IF(AC6&lt;3,15000,10000))*6,0)+IF(AND(AC7&lt;&gt;"",AC7&lt;=前提条件!$C$8),IF(2&gt;=3,30000,IF(AC7&lt;3,15000,10000))*6,0)+IF(AND(AC8&lt;&gt;"",AC8&lt;=前提条件!$C$8),30000*6,0))</f>
        <v/>
      </c>
      <c r="AD12" s="350">
        <f>IF(AD$3="","",IF(AND(AD6&lt;&gt;"",AD6&lt;=前提条件!$C$8),IF(1&gt;=3,30000,IF(AD6&lt;3,15000,10000))*6,0)+IF(AND(AD7&lt;&gt;"",AD7&lt;=前提条件!$C$8),IF(2&gt;=3,30000,IF(AD7&lt;3,15000,10000))*6,0)+IF(AND(AD8&lt;&gt;"",AD8&lt;=前提条件!$C$8),30000*6,0))</f>
        <v/>
      </c>
      <c r="AE12" s="350">
        <f>IF(AE$3="","",IF(AND(AE6&lt;&gt;"",AE6&lt;=前提条件!$C$8),IF(1&gt;=3,30000,IF(AE6&lt;3,15000,10000))*6,0)+IF(AND(AE7&lt;&gt;"",AE7&lt;=前提条件!$C$8),IF(2&gt;=3,30000,IF(AE7&lt;3,15000,10000))*6,0)+IF(AND(AE8&lt;&gt;"",AE8&lt;=前提条件!$C$8),30000*6,0))</f>
        <v/>
      </c>
      <c r="AF12" s="350">
        <f>IF(AF$3="","",IF(AND(AF6&lt;&gt;"",AF6&lt;=前提条件!$C$8),IF(1&gt;=3,30000,IF(AF6&lt;3,15000,10000))*6,0)+IF(AND(AF7&lt;&gt;"",AF7&lt;=前提条件!$C$8),IF(2&gt;=3,30000,IF(AF7&lt;3,15000,10000))*6,0)+IF(AND(AF8&lt;&gt;"",AF8&lt;=前提条件!$C$8),30000*6,0))</f>
        <v/>
      </c>
      <c r="AG12" s="350">
        <f>IF(AG$3="","",IF(AND(AG6&lt;&gt;"",AG6&lt;=前提条件!$C$8),IF(1&gt;=3,30000,IF(AG6&lt;3,15000,10000))*6,0)+IF(AND(AG7&lt;&gt;"",AG7&lt;=前提条件!$C$8),IF(2&gt;=3,30000,IF(AG7&lt;3,15000,10000))*6,0)+IF(AND(AG8&lt;&gt;"",AG8&lt;=前提条件!$C$8),30000*6,0))</f>
        <v/>
      </c>
      <c r="AH12" s="350">
        <f>IF(AH$3="","",IF(AND(AH6&lt;&gt;"",AH6&lt;=前提条件!$C$8),IF(1&gt;=3,30000,IF(AH6&lt;3,15000,10000))*6,0)+IF(AND(AH7&lt;&gt;"",AH7&lt;=前提条件!$C$8),IF(2&gt;=3,30000,IF(AH7&lt;3,15000,10000))*6,0)+IF(AND(AH8&lt;&gt;"",AH8&lt;=前提条件!$C$8),30000*6,0))</f>
        <v/>
      </c>
      <c r="AI12" s="350">
        <f>IF(AI$3="","",IF(AND(AI6&lt;&gt;"",AI6&lt;=前提条件!$C$8),IF(1&gt;=3,30000,IF(AI6&lt;3,15000,10000))*6,0)+IF(AND(AI7&lt;&gt;"",AI7&lt;=前提条件!$C$8),IF(2&gt;=3,30000,IF(AI7&lt;3,15000,10000))*6,0)+IF(AND(AI8&lt;&gt;"",AI8&lt;=前提条件!$C$8),30000*6,0))</f>
        <v/>
      </c>
      <c r="AJ12" s="350">
        <f>IF(AJ$3="","",IF(AND(AJ6&lt;&gt;"",AJ6&lt;=前提条件!$C$8),IF(1&gt;=3,30000,IF(AJ6&lt;3,15000,10000))*6,0)+IF(AND(AJ7&lt;&gt;"",AJ7&lt;=前提条件!$C$8),IF(2&gt;=3,30000,IF(AJ7&lt;3,15000,10000))*6,0)+IF(AND(AJ8&lt;&gt;"",AJ8&lt;=前提条件!$C$8),30000*6,0))</f>
        <v/>
      </c>
      <c r="AK12" s="350">
        <f>IF(AK$3="","",IF(AND(AK6&lt;&gt;"",AK6&lt;=前提条件!$C$8),IF(1&gt;=3,30000,IF(AK6&lt;3,15000,10000))*6,0)+IF(AND(AK7&lt;&gt;"",AK7&lt;=前提条件!$C$8),IF(2&gt;=3,30000,IF(AK7&lt;3,15000,10000))*6,0)+IF(AND(AK8&lt;&gt;"",AK8&lt;=前提条件!$C$8),30000*6,0))</f>
        <v/>
      </c>
      <c r="AL12" s="350">
        <f>IF(AL$3="","",IF(AND(AL6&lt;&gt;"",AL6&lt;=前提条件!$C$8),IF(1&gt;=3,30000,IF(AL6&lt;3,15000,10000))*6,0)+IF(AND(AL7&lt;&gt;"",AL7&lt;=前提条件!$C$8),IF(2&gt;=3,30000,IF(AL7&lt;3,15000,10000))*6,0)+IF(AND(AL8&lt;&gt;"",AL8&lt;=前提条件!$C$8),30000*6,0))</f>
        <v/>
      </c>
      <c r="AM12" s="350">
        <f>IF(AM$3="","",IF(AND(AM6&lt;&gt;"",AM6&lt;=前提条件!$C$8),IF(1&gt;=3,30000,IF(AM6&lt;3,15000,10000))*6,0)+IF(AND(AM7&lt;&gt;"",AM7&lt;=前提条件!$C$8),IF(2&gt;=3,30000,IF(AM7&lt;3,15000,10000))*6,0)+IF(AND(AM8&lt;&gt;"",AM8&lt;=前提条件!$C$8),30000*6,0))</f>
        <v/>
      </c>
      <c r="AN12" s="350">
        <f>IF(AN$3="","",IF(AND(AN6&lt;&gt;"",AN6&lt;=前提条件!$C$8),IF(1&gt;=3,30000,IF(AN6&lt;3,15000,10000))*6,0)+IF(AND(AN7&lt;&gt;"",AN7&lt;=前提条件!$C$8),IF(2&gt;=3,30000,IF(AN7&lt;3,15000,10000))*6,0)+IF(AND(AN8&lt;&gt;"",AN8&lt;=前提条件!$C$8),30000*6,0))</f>
        <v/>
      </c>
      <c r="AO12" s="350">
        <f>IF(AO$3="","",IF(AND(AO6&lt;&gt;"",AO6&lt;=前提条件!$C$8),IF(1&gt;=3,30000,IF(AO6&lt;3,15000,10000))*6,0)+IF(AND(AO7&lt;&gt;"",AO7&lt;=前提条件!$C$8),IF(2&gt;=3,30000,IF(AO7&lt;3,15000,10000))*6,0)+IF(AND(AO8&lt;&gt;"",AO8&lt;=前提条件!$C$8),30000*6,0))</f>
        <v/>
      </c>
      <c r="AP12" s="350">
        <f>IF(AP$3="","",IF(AND(AP6&lt;&gt;"",AP6&lt;=前提条件!$C$8),IF(1&gt;=3,30000,IF(AP6&lt;3,15000,10000))*6,0)+IF(AND(AP7&lt;&gt;"",AP7&lt;=前提条件!$C$8),IF(2&gt;=3,30000,IF(AP7&lt;3,15000,10000))*6,0)+IF(AND(AP8&lt;&gt;"",AP8&lt;=前提条件!$C$8),30000*6,0))</f>
        <v/>
      </c>
      <c r="AQ12" s="350">
        <f>IF(AQ$3="","",IF(AND(AQ6&lt;&gt;"",AQ6&lt;=前提条件!$C$8),IF(1&gt;=3,30000,IF(AQ6&lt;3,15000,10000))*6,0)+IF(AND(AQ7&lt;&gt;"",AQ7&lt;=前提条件!$C$8),IF(2&gt;=3,30000,IF(AQ7&lt;3,15000,10000))*6,0)+IF(AND(AQ8&lt;&gt;"",AQ8&lt;=前提条件!$C$8),30000*6,0))</f>
        <v/>
      </c>
      <c r="AR12" s="350">
        <f>IF(AR$3="","",IF(AND(AR6&lt;&gt;"",AR6&lt;=前提条件!$C$8),IF(1&gt;=3,30000,IF(AR6&lt;3,15000,10000))*6,0)+IF(AND(AR7&lt;&gt;"",AR7&lt;=前提条件!$C$8),IF(2&gt;=3,30000,IF(AR7&lt;3,15000,10000))*6,0)+IF(AND(AR8&lt;&gt;"",AR8&lt;=前提条件!$C$8),30000*6,0))</f>
        <v/>
      </c>
      <c r="AS12" s="350">
        <f>IF(AS$3="","",IF(AND(AS6&lt;&gt;"",AS6&lt;=前提条件!$C$8),IF(1&gt;=3,30000,IF(AS6&lt;3,15000,10000))*6,0)+IF(AND(AS7&lt;&gt;"",AS7&lt;=前提条件!$C$8),IF(2&gt;=3,30000,IF(AS7&lt;3,15000,10000))*6,0)+IF(AND(AS8&lt;&gt;"",AS8&lt;=前提条件!$C$8),30000*6,0))</f>
        <v/>
      </c>
      <c r="AT12" s="350">
        <f>IF(AT$3="","",IF(AND(AT6&lt;&gt;"",AT6&lt;=前提条件!$C$8),IF(1&gt;=3,30000,IF(AT6&lt;3,15000,10000))*6,0)+IF(AND(AT7&lt;&gt;"",AT7&lt;=前提条件!$C$8),IF(2&gt;=3,30000,IF(AT7&lt;3,15000,10000))*6,0)+IF(AND(AT8&lt;&gt;"",AT8&lt;=前提条件!$C$8),30000*6,0))</f>
        <v/>
      </c>
      <c r="AU12" s="350">
        <f>IF(AU$3="","",IF(AND(AU6&lt;&gt;"",AU6&lt;=前提条件!$C$8),IF(1&gt;=3,30000,IF(AU6&lt;3,15000,10000))*6,0)+IF(AND(AU7&lt;&gt;"",AU7&lt;=前提条件!$C$8),IF(2&gt;=3,30000,IF(AU7&lt;3,15000,10000))*6,0)+IF(AND(AU8&lt;&gt;"",AU8&lt;=前提条件!$C$8),30000*6,0))</f>
        <v/>
      </c>
      <c r="AV12" s="350">
        <f>IF(AV$3="","",IF(AND(AV6&lt;&gt;"",AV6&lt;=前提条件!$C$8),IF(1&gt;=3,30000,IF(AV6&lt;3,15000,10000))*6,0)+IF(AND(AV7&lt;&gt;"",AV7&lt;=前提条件!$C$8),IF(2&gt;=3,30000,IF(AV7&lt;3,15000,10000))*6,0)+IF(AND(AV8&lt;&gt;"",AV8&lt;=前提条件!$C$8),30000*6,0))</f>
        <v/>
      </c>
      <c r="AW12" s="350">
        <f>IF(AW$3="","",IF(AND(AW6&lt;&gt;"",AW6&lt;=前提条件!$C$8),IF(1&gt;=3,30000,IF(AW6&lt;3,15000,10000))*6,0)+IF(AND(AW7&lt;&gt;"",AW7&lt;=前提条件!$C$8),IF(2&gt;=3,30000,IF(AW7&lt;3,15000,10000))*6,0)+IF(AND(AW8&lt;&gt;"",AW8&lt;=前提条件!$C$8),30000*6,0))</f>
        <v/>
      </c>
      <c r="AX12" s="350">
        <f>IF(AX$3="","",IF(AND(AX6&lt;&gt;"",AX6&lt;=前提条件!$C$8),IF(1&gt;=3,30000,IF(AX6&lt;3,15000,10000))*6,0)+IF(AND(AX7&lt;&gt;"",AX7&lt;=前提条件!$C$8),IF(2&gt;=3,30000,IF(AX7&lt;3,15000,10000))*6,0)+IF(AND(AX8&lt;&gt;"",AX8&lt;=前提条件!$C$8),30000*6,0))</f>
        <v/>
      </c>
      <c r="AY12" s="350">
        <f>IF(AY$3="","",IF(AND(AY6&lt;&gt;"",AY6&lt;=前提条件!$C$8),IF(1&gt;=3,30000,IF(AY6&lt;3,15000,10000))*6,0)+IF(AND(AY7&lt;&gt;"",AY7&lt;=前提条件!$C$8),IF(2&gt;=3,30000,IF(AY7&lt;3,15000,10000))*6,0)+IF(AND(AY8&lt;&gt;"",AY8&lt;=前提条件!$C$8),30000*6,0))</f>
        <v/>
      </c>
      <c r="AZ12" s="350">
        <f>IF(AZ$3="","",IF(AND(AZ6&lt;&gt;"",AZ6&lt;=前提条件!$C$8),IF(1&gt;=3,30000,IF(AZ6&lt;3,15000,10000))*6,0)+IF(AND(AZ7&lt;&gt;"",AZ7&lt;=前提条件!$C$8),IF(2&gt;=3,30000,IF(AZ7&lt;3,15000,10000))*6,0)+IF(AND(AZ8&lt;&gt;"",AZ8&lt;=前提条件!$C$8),30000*6,0))</f>
        <v/>
      </c>
      <c r="BA12" s="350">
        <f>IF(BA$3="","",IF(AND(BA6&lt;&gt;"",BA6&lt;=前提条件!$C$8),IF(1&gt;=3,30000,IF(BA6&lt;3,15000,10000))*6,0)+IF(AND(BA7&lt;&gt;"",BA7&lt;=前提条件!$C$8),IF(2&gt;=3,30000,IF(BA7&lt;3,15000,10000))*6,0)+IF(AND(BA8&lt;&gt;"",BA8&lt;=前提条件!$C$8),30000*6,0))</f>
        <v/>
      </c>
      <c r="BB12" s="350">
        <f>IF(BB$3="","",IF(AND(BB6&lt;&gt;"",BB6&lt;=前提条件!$C$8),IF(1&gt;=3,30000,IF(BB6&lt;3,15000,10000))*6,0)+IF(AND(BB7&lt;&gt;"",BB7&lt;=前提条件!$C$8),IF(2&gt;=3,30000,IF(BB7&lt;3,15000,10000))*6,0)+IF(AND(BB8&lt;&gt;"",BB8&lt;=前提条件!$C$8),30000*6,0))</f>
        <v/>
      </c>
      <c r="BC12" s="350">
        <f>IF(BC$3="","",IF(AND(BC6&lt;&gt;"",BC6&lt;=前提条件!$C$8),IF(1&gt;=3,30000,IF(BC6&lt;3,15000,10000))*6,0)+IF(AND(BC7&lt;&gt;"",BC7&lt;=前提条件!$C$8),IF(2&gt;=3,30000,IF(BC7&lt;3,15000,10000))*6,0)+IF(AND(BC8&lt;&gt;"",BC8&lt;=前提条件!$C$8),30000*6,0))</f>
        <v/>
      </c>
      <c r="BD12" s="350">
        <f>IF(BD$3="","",IF(AND(BD6&lt;&gt;"",BD6&lt;=前提条件!$C$8),IF(1&gt;=3,30000,IF(BD6&lt;3,15000,10000))*6,0)+IF(AND(BD7&lt;&gt;"",BD7&lt;=前提条件!$C$8),IF(2&gt;=3,30000,IF(BD7&lt;3,15000,10000))*6,0)+IF(AND(BD8&lt;&gt;"",BD8&lt;=前提条件!$C$8),30000*6,0))</f>
        <v/>
      </c>
      <c r="BE12" s="350">
        <f>IF(BE$3="","",IF(AND(BE6&lt;&gt;"",BE6&lt;=前提条件!$C$8),IF(1&gt;=3,30000,IF(BE6&lt;3,15000,10000))*6,0)+IF(AND(BE7&lt;&gt;"",BE7&lt;=前提条件!$C$8),IF(2&gt;=3,30000,IF(BE7&lt;3,15000,10000))*6,0)+IF(AND(BE8&lt;&gt;"",BE8&lt;=前提条件!$C$8),30000*6,0))</f>
        <v/>
      </c>
      <c r="BF12" s="350">
        <f>IF(BF$3="","",IF(AND(BF6&lt;&gt;"",BF6&lt;=前提条件!$C$8),IF(1&gt;=3,30000,IF(BF6&lt;3,15000,10000))*6,0)+IF(AND(BF7&lt;&gt;"",BF7&lt;=前提条件!$C$8),IF(2&gt;=3,30000,IF(BF7&lt;3,15000,10000))*6,0)+IF(AND(BF8&lt;&gt;"",BF8&lt;=前提条件!$C$8),30000*6,0))</f>
        <v/>
      </c>
      <c r="BG12" s="350">
        <f>IF(BG$3="","",IF(AND(BG6&lt;&gt;"",BG6&lt;=前提条件!$C$8),IF(1&gt;=3,30000,IF(BG6&lt;3,15000,10000))*6,0)+IF(AND(BG7&lt;&gt;"",BG7&lt;=前提条件!$C$8),IF(2&gt;=3,30000,IF(BG7&lt;3,15000,10000))*6,0)+IF(AND(BG8&lt;&gt;"",BG8&lt;=前提条件!$C$8),30000*6,0))</f>
        <v/>
      </c>
      <c r="BH12" s="350">
        <f>IF(BH$3="","",IF(AND(BH6&lt;&gt;"",BH6&lt;=前提条件!$C$8),IF(1&gt;=3,30000,IF(BH6&lt;3,15000,10000))*6,0)+IF(AND(BH7&lt;&gt;"",BH7&lt;=前提条件!$C$8),IF(2&gt;=3,30000,IF(BH7&lt;3,15000,10000))*6,0)+IF(AND(BH8&lt;&gt;"",BH8&lt;=前提条件!$C$8),30000*6,0))</f>
        <v/>
      </c>
      <c r="BI12" s="350">
        <f>IF(BI$3="","",IF(AND(BI6&lt;&gt;"",BI6&lt;=前提条件!$C$8),IF(1&gt;=3,30000,IF(BI6&lt;3,15000,10000))*6,0)+IF(AND(BI7&lt;&gt;"",BI7&lt;=前提条件!$C$8),IF(2&gt;=3,30000,IF(BI7&lt;3,15000,10000))*6,0)+IF(AND(BI8&lt;&gt;"",BI8&lt;=前提条件!$C$8),30000*6,0))</f>
        <v/>
      </c>
      <c r="BJ12" s="350">
        <f>IF(BJ$3="","",IF(AND(BJ6&lt;&gt;"",BJ6&lt;=前提条件!$C$8),IF(1&gt;=3,30000,IF(BJ6&lt;3,15000,10000))*6,0)+IF(AND(BJ7&lt;&gt;"",BJ7&lt;=前提条件!$C$8),IF(2&gt;=3,30000,IF(BJ7&lt;3,15000,10000))*6,0)+IF(AND(BJ8&lt;&gt;"",BJ8&lt;=前提条件!$C$8),30000*6,0))</f>
        <v/>
      </c>
      <c r="BK12" s="350">
        <f>IF(BK$3="","",IF(AND(BK6&lt;&gt;"",BK6&lt;=前提条件!$C$8),IF(1&gt;=3,30000,IF(BK6&lt;3,15000,10000))*6,0)+IF(AND(BK7&lt;&gt;"",BK7&lt;=前提条件!$C$8),IF(2&gt;=3,30000,IF(BK7&lt;3,15000,10000))*6,0)+IF(AND(BK8&lt;&gt;"",BK8&lt;=前提条件!$C$8),30000*6,0))</f>
        <v/>
      </c>
      <c r="BL12" s="350">
        <f>IF(BL$3="","",IF(AND(BL6&lt;&gt;"",BL6&lt;=前提条件!$C$8),IF(1&gt;=3,30000,IF(BL6&lt;3,15000,10000))*6,0)+IF(AND(BL7&lt;&gt;"",BL7&lt;=前提条件!$C$8),IF(2&gt;=3,30000,IF(BL7&lt;3,15000,10000))*6,0)+IF(AND(BL8&lt;&gt;"",BL8&lt;=前提条件!$C$8),30000*6,0))</f>
        <v/>
      </c>
      <c r="BM12" s="350">
        <f>IF(BM$3="","",IF(AND(BM6&lt;&gt;"",BM6&lt;=前提条件!$C$8),IF(1&gt;=3,30000,IF(BM6&lt;3,15000,10000))*6,0)+IF(AND(BM7&lt;&gt;"",BM7&lt;=前提条件!$C$8),IF(2&gt;=3,30000,IF(BM7&lt;3,15000,10000))*6,0)+IF(AND(BM8&lt;&gt;"",BM8&lt;=前提条件!$C$8),30000*6,0))</f>
        <v/>
      </c>
      <c r="BN12" s="350">
        <f>IF(BN$3="","",IF(AND(BN6&lt;&gt;"",BN6&lt;=前提条件!$C$8),IF(1&gt;=3,30000,IF(BN6&lt;3,15000,10000))*6,0)+IF(AND(BN7&lt;&gt;"",BN7&lt;=前提条件!$C$8),IF(2&gt;=3,30000,IF(BN7&lt;3,15000,10000))*6,0)+IF(AND(BN8&lt;&gt;"",BN8&lt;=前提条件!$C$8),30000*6,0))</f>
        <v/>
      </c>
      <c r="BO12" s="350">
        <f>IF(BO$3="","",IF(AND(BO6&lt;&gt;"",BO6&lt;=前提条件!$C$8),IF(1&gt;=3,30000,IF(BO6&lt;3,15000,10000))*6,0)+IF(AND(BO7&lt;&gt;"",BO7&lt;=前提条件!$C$8),IF(2&gt;=3,30000,IF(BO7&lt;3,15000,10000))*6,0)+IF(AND(BO8&lt;&gt;"",BO8&lt;=前提条件!$C$8),30000*6,0))</f>
        <v/>
      </c>
      <c r="BP12" s="350">
        <f>IF(BP$3="","",IF(AND(BP6&lt;&gt;"",BP6&lt;=前提条件!$C$8),IF(1&gt;=3,30000,IF(BP6&lt;3,15000,10000))*6,0)+IF(AND(BP7&lt;&gt;"",BP7&lt;=前提条件!$C$8),IF(2&gt;=3,30000,IF(BP7&lt;3,15000,10000))*6,0)+IF(AND(BP8&lt;&gt;"",BP8&lt;=前提条件!$C$8),30000*6,0))</f>
        <v/>
      </c>
      <c r="BQ12" s="350">
        <f>IF(BQ$3="","",IF(AND(BQ6&lt;&gt;"",BQ6&lt;=前提条件!$C$8),IF(1&gt;=3,30000,IF(BQ6&lt;3,15000,10000))*6,0)+IF(AND(BQ7&lt;&gt;"",BQ7&lt;=前提条件!$C$8),IF(2&gt;=3,30000,IF(BQ7&lt;3,15000,10000))*6,0)+IF(AND(BQ8&lt;&gt;"",BQ8&lt;=前提条件!$C$8),30000*6,0))</f>
        <v/>
      </c>
      <c r="BR12" s="350">
        <f>IF(BR$3="","",IF(AND(BR6&lt;&gt;"",BR6&lt;=前提条件!$C$8),IF(1&gt;=3,30000,IF(BR6&lt;3,15000,10000))*6,0)+IF(AND(BR7&lt;&gt;"",BR7&lt;=前提条件!$C$8),IF(2&gt;=3,30000,IF(BR7&lt;3,15000,10000))*6,0)+IF(AND(BR8&lt;&gt;"",BR8&lt;=前提条件!$C$8),30000*6,0))</f>
        <v/>
      </c>
      <c r="BS12" s="350">
        <f>IF(BS$3="","",IF(AND(BS6&lt;&gt;"",BS6&lt;=前提条件!$C$8),IF(1&gt;=3,30000,IF(BS6&lt;3,15000,10000))*6,0)+IF(AND(BS7&lt;&gt;"",BS7&lt;=前提条件!$C$8),IF(2&gt;=3,30000,IF(BS7&lt;3,15000,10000))*6,0)+IF(AND(BS8&lt;&gt;"",BS8&lt;=前提条件!$C$8),30000*6,0))</f>
        <v/>
      </c>
      <c r="BT12" s="350">
        <f>IF(BT$3="","",IF(AND(BT6&lt;&gt;"",BT6&lt;=前提条件!$C$8),IF(1&gt;=3,30000,IF(BT6&lt;3,15000,10000))*6,0)+IF(AND(BT7&lt;&gt;"",BT7&lt;=前提条件!$C$8),IF(2&gt;=3,30000,IF(BT7&lt;3,15000,10000))*6,0)+IF(AND(BT8&lt;&gt;"",BT8&lt;=前提条件!$C$8),30000*6,0))</f>
        <v/>
      </c>
      <c r="BU12" s="350">
        <f>IF(BU$3="","",IF(AND(BU6&lt;&gt;"",BU6&lt;=前提条件!$C$8),IF(1&gt;=3,30000,IF(BU6&lt;3,15000,10000))*6,0)+IF(AND(BU7&lt;&gt;"",BU7&lt;=前提条件!$C$8),IF(2&gt;=3,30000,IF(BU7&lt;3,15000,10000))*6,0)+IF(AND(BU8&lt;&gt;"",BU8&lt;=前提条件!$C$8),30000*6,0))</f>
        <v/>
      </c>
      <c r="BV12" s="350">
        <f>IF(BV$3="","",IF(AND(BV6&lt;&gt;"",BV6&lt;=前提条件!$C$8),IF(1&gt;=3,30000,IF(BV6&lt;3,15000,10000))*6,0)+IF(AND(BV7&lt;&gt;"",BV7&lt;=前提条件!$C$8),IF(2&gt;=3,30000,IF(BV7&lt;3,15000,10000))*6,0)+IF(AND(BV8&lt;&gt;"",BV8&lt;=前提条件!$C$8),30000*6,0))</f>
        <v/>
      </c>
      <c r="BW12" s="350">
        <f>IF(BW$3="","",IF(AND(BW6&lt;&gt;"",BW6&lt;=前提条件!$C$8),IF(1&gt;=3,30000,IF(BW6&lt;3,15000,10000))*6,0)+IF(AND(BW7&lt;&gt;"",BW7&lt;=前提条件!$C$8),IF(2&gt;=3,30000,IF(BW7&lt;3,15000,10000))*6,0)+IF(AND(BW8&lt;&gt;"",BW8&lt;=前提条件!$C$8),30000*6,0))</f>
        <v/>
      </c>
      <c r="BX12" s="350">
        <f>IF(BX$3="","",IF(AND(BX6&lt;&gt;"",BX6&lt;=前提条件!$C$8),IF(1&gt;=3,30000,IF(BX6&lt;3,15000,10000))*6,0)+IF(AND(BX7&lt;&gt;"",BX7&lt;=前提条件!$C$8),IF(2&gt;=3,30000,IF(BX7&lt;3,15000,10000))*6,0)+IF(AND(BX8&lt;&gt;"",BX8&lt;=前提条件!$C$8),30000*6,0))</f>
        <v/>
      </c>
      <c r="BY12" s="350">
        <f>IF(BY$3="","",IF(AND(BY6&lt;&gt;"",BY6&lt;=前提条件!$C$8),IF(1&gt;=3,30000,IF(BY6&lt;3,15000,10000))*6,0)+IF(AND(BY7&lt;&gt;"",BY7&lt;=前提条件!$C$8),IF(2&gt;=3,30000,IF(BY7&lt;3,15000,10000))*6,0)+IF(AND(BY8&lt;&gt;"",BY8&lt;=前提条件!$C$8),30000*6,0))</f>
        <v/>
      </c>
      <c r="BZ12" s="350">
        <f>IF(BZ$3="","",IF(AND(BZ6&lt;&gt;"",BZ6&lt;=前提条件!$C$8),IF(1&gt;=3,30000,IF(BZ6&lt;3,15000,10000))*6,0)+IF(AND(BZ7&lt;&gt;"",BZ7&lt;=前提条件!$C$8),IF(2&gt;=3,30000,IF(BZ7&lt;3,15000,10000))*6,0)+IF(AND(BZ8&lt;&gt;"",BZ8&lt;=前提条件!$C$8),30000*6,0))</f>
        <v/>
      </c>
      <c r="CA12" s="350">
        <f>IF(CA$3="","",IF(AND(CA6&lt;&gt;"",CA6&lt;=前提条件!$C$8),IF(1&gt;=3,30000,IF(CA6&lt;3,15000,10000))*6,0)+IF(AND(CA7&lt;&gt;"",CA7&lt;=前提条件!$C$8),IF(2&gt;=3,30000,IF(CA7&lt;3,15000,10000))*6,0)+IF(AND(CA8&lt;&gt;"",CA8&lt;=前提条件!$C$8),30000*6,0))</f>
        <v/>
      </c>
      <c r="CB12" s="350">
        <f>IF(CB$3="","",IF(AND(CB6&lt;&gt;"",CB6&lt;=前提条件!$C$8),IF(1&gt;=3,30000,IF(CB6&lt;3,15000,10000))*6,0)+IF(AND(CB7&lt;&gt;"",CB7&lt;=前提条件!$C$8),IF(2&gt;=3,30000,IF(CB7&lt;3,15000,10000))*6,0)+IF(AND(CB8&lt;&gt;"",CB8&lt;=前提条件!$C$8),30000*6,0))</f>
        <v/>
      </c>
      <c r="CC12" s="350">
        <f>IF(CC$3="","",IF(AND(CC6&lt;&gt;"",CC6&lt;=前提条件!$C$8),IF(1&gt;=3,30000,IF(CC6&lt;3,15000,10000))*6,0)+IF(AND(CC7&lt;&gt;"",CC7&lt;=前提条件!$C$8),IF(2&gt;=3,30000,IF(CC7&lt;3,15000,10000))*6,0)+IF(AND(CC8&lt;&gt;"",CC8&lt;=前提条件!$C$8),30000*6,0))</f>
        <v/>
      </c>
      <c r="CD12" s="350">
        <f>IF(CD$3="","",IF(AND(CD6&lt;&gt;"",CD6&lt;=前提条件!$C$8),IF(1&gt;=3,30000,IF(CD6&lt;3,15000,10000))*6,0)+IF(AND(CD7&lt;&gt;"",CD7&lt;=前提条件!$C$8),IF(2&gt;=3,30000,IF(CD7&lt;3,15000,10000))*6,0)+IF(AND(CD8&lt;&gt;"",CD8&lt;=前提条件!$C$8),30000*6,0))</f>
        <v/>
      </c>
      <c r="CE12" s="350">
        <f>IF(CE$3="","",IF(AND(CE6&lt;&gt;"",CE6&lt;=前提条件!$C$8),IF(1&gt;=3,30000,IF(CE6&lt;3,15000,10000))*6,0)+IF(AND(CE7&lt;&gt;"",CE7&lt;=前提条件!$C$8),IF(2&gt;=3,30000,IF(CE7&lt;3,15000,10000))*6,0)+IF(AND(CE8&lt;&gt;"",CE8&lt;=前提条件!$C$8),30000*6,0))</f>
        <v/>
      </c>
      <c r="CF12" s="350">
        <f>IF(CF$3="","",IF(AND(CF6&lt;&gt;"",CF6&lt;=前提条件!$C$8),IF(1&gt;=3,30000,IF(CF6&lt;3,15000,10000))*6,0)+IF(AND(CF7&lt;&gt;"",CF7&lt;=前提条件!$C$8),IF(2&gt;=3,30000,IF(CF7&lt;3,15000,10000))*6,0)+IF(AND(CF8&lt;&gt;"",CF8&lt;=前提条件!$C$8),30000*6,0))</f>
        <v/>
      </c>
      <c r="CG12" s="350">
        <f>IF(CG$3="","",IF(AND(CG6&lt;&gt;"",CG6&lt;=前提条件!$C$8),IF(1&gt;=3,30000,IF(CG6&lt;3,15000,10000))*6,0)+IF(AND(CG7&lt;&gt;"",CG7&lt;=前提条件!$C$8),IF(2&gt;=3,30000,IF(CG7&lt;3,15000,10000))*6,0)+IF(AND(CG8&lt;&gt;"",CG8&lt;=前提条件!$C$8),30000*6,0))</f>
        <v/>
      </c>
      <c r="CH12" s="350">
        <f>IF(CH$3="","",IF(AND(CH6&lt;&gt;"",CH6&lt;=前提条件!$C$8),IF(1&gt;=3,30000,IF(CH6&lt;3,15000,10000))*6,0)+IF(AND(CH7&lt;&gt;"",CH7&lt;=前提条件!$C$8),IF(2&gt;=3,30000,IF(CH7&lt;3,15000,10000))*6,0)+IF(AND(CH8&lt;&gt;"",CH8&lt;=前提条件!$C$8),30000*6,0))</f>
        <v/>
      </c>
      <c r="CI12" s="350">
        <f>IF(CI$3="","",IF(AND(CI6&lt;&gt;"",CI6&lt;=前提条件!$C$8),IF(1&gt;=3,30000,IF(CI6&lt;3,15000,10000))*6,0)+IF(AND(CI7&lt;&gt;"",CI7&lt;=前提条件!$C$8),IF(2&gt;=3,30000,IF(CI7&lt;3,15000,10000))*6,0)+IF(AND(CI8&lt;&gt;"",CI8&lt;=前提条件!$C$8),30000*6,0))</f>
        <v/>
      </c>
      <c r="CJ12" s="350">
        <f>IF(CJ$3="","",IF(AND(CJ6&lt;&gt;"",CJ6&lt;=前提条件!$C$8),IF(1&gt;=3,30000,IF(CJ6&lt;3,15000,10000))*6,0)+IF(AND(CJ7&lt;&gt;"",CJ7&lt;=前提条件!$C$8),IF(2&gt;=3,30000,IF(CJ7&lt;3,15000,10000))*6,0)+IF(AND(CJ8&lt;&gt;"",CJ8&lt;=前提条件!$C$8),30000*6,0))</f>
        <v/>
      </c>
      <c r="CK12" s="350">
        <f>IF(CK$3="","",IF(AND(CK6&lt;&gt;"",CK6&lt;=前提条件!$C$8),IF(1&gt;=3,30000,IF(CK6&lt;3,15000,10000))*6,0)+IF(AND(CK7&lt;&gt;"",CK7&lt;=前提条件!$C$8),IF(2&gt;=3,30000,IF(CK7&lt;3,15000,10000))*6,0)+IF(AND(CK8&lt;&gt;"",CK8&lt;=前提条件!$C$8),30000*6,0))</f>
        <v/>
      </c>
      <c r="CL12" s="350">
        <f>IF(CL$3="","",IF(AND(CL6&lt;&gt;"",CL6&lt;=前提条件!$C$8),IF(1&gt;=3,30000,IF(CL6&lt;3,15000,10000))*6,0)+IF(AND(CL7&lt;&gt;"",CL7&lt;=前提条件!$C$8),IF(2&gt;=3,30000,IF(CL7&lt;3,15000,10000))*6,0)+IF(AND(CL8&lt;&gt;"",CL8&lt;=前提条件!$C$8),30000*6,0))</f>
        <v/>
      </c>
      <c r="CM12" s="350">
        <f>IF(CM$3="","",IF(AND(CM6&lt;&gt;"",CM6&lt;=前提条件!$C$8),IF(1&gt;=3,30000,IF(CM6&lt;3,15000,10000))*6,0)+IF(AND(CM7&lt;&gt;"",CM7&lt;=前提条件!$C$8),IF(2&gt;=3,30000,IF(CM7&lt;3,15000,10000))*6,0)+IF(AND(CM8&lt;&gt;"",CM8&lt;=前提条件!$C$8),30000*6,0))</f>
        <v/>
      </c>
      <c r="CN12" s="350">
        <f>IF(CN$3="","",IF(AND(CN6&lt;&gt;"",CN6&lt;=前提条件!$C$8),IF(1&gt;=3,30000,IF(CN6&lt;3,15000,10000))*6,0)+IF(AND(CN7&lt;&gt;"",CN7&lt;=前提条件!$C$8),IF(2&gt;=3,30000,IF(CN7&lt;3,15000,10000))*6,0)+IF(AND(CN8&lt;&gt;"",CN8&lt;=前提条件!$C$8),30000*6,0))</f>
        <v/>
      </c>
      <c r="CO12" s="350">
        <f>IF(CO$3="","",IF(AND(CO6&lt;&gt;"",CO6&lt;=前提条件!$C$8),IF(1&gt;=3,30000,IF(CO6&lt;3,15000,10000))*6,0)+IF(AND(CO7&lt;&gt;"",CO7&lt;=前提条件!$C$8),IF(2&gt;=3,30000,IF(CO7&lt;3,15000,10000))*6,0)+IF(AND(CO8&lt;&gt;"",CO8&lt;=前提条件!$C$8),30000*6,0))</f>
        <v/>
      </c>
      <c r="CP12" s="350">
        <f>IF(CP$3="","",IF(AND(CP6&lt;&gt;"",CP6&lt;=前提条件!$C$8),IF(1&gt;=3,30000,IF(CP6&lt;3,15000,10000))*6,0)+IF(AND(CP7&lt;&gt;"",CP7&lt;=前提条件!$C$8),IF(2&gt;=3,30000,IF(CP7&lt;3,15000,10000))*6,0)+IF(AND(CP8&lt;&gt;"",CP8&lt;=前提条件!$C$8),30000*6,0))</f>
        <v/>
      </c>
      <c r="CQ12" s="350">
        <f>IF(CQ$3="","",IF(AND(CQ6&lt;&gt;"",CQ6&lt;=前提条件!$C$8),IF(1&gt;=3,30000,IF(CQ6&lt;3,15000,10000))*6,0)+IF(AND(CQ7&lt;&gt;"",CQ7&lt;=前提条件!$C$8),IF(2&gt;=3,30000,IF(CQ7&lt;3,15000,10000))*6,0)+IF(AND(CQ8&lt;&gt;"",CQ8&lt;=前提条件!$C$8),30000*6,0))</f>
        <v/>
      </c>
      <c r="CR12" s="350">
        <f>IF(CR$3="","",IF(AND(CR6&lt;&gt;"",CR6&lt;=前提条件!$C$8),IF(1&gt;=3,30000,IF(CR6&lt;3,15000,10000))*6,0)+IF(AND(CR7&lt;&gt;"",CR7&lt;=前提条件!$C$8),IF(2&gt;=3,30000,IF(CR7&lt;3,15000,10000))*6,0)+IF(AND(CR8&lt;&gt;"",CR8&lt;=前提条件!$C$8),30000*6,0))</f>
        <v/>
      </c>
      <c r="CS12" s="350">
        <f>IF(CS$3="","",IF(AND(CS6&lt;&gt;"",CS6&lt;=前提条件!$C$8),IF(1&gt;=3,30000,IF(CS6&lt;3,15000,10000))*6,0)+IF(AND(CS7&lt;&gt;"",CS7&lt;=前提条件!$C$8),IF(2&gt;=3,30000,IF(CS7&lt;3,15000,10000))*6,0)+IF(AND(CS8&lt;&gt;"",CS8&lt;=前提条件!$C$8),30000*6,0))</f>
        <v/>
      </c>
      <c r="CT12" s="350">
        <f>IF(CT$3="","",IF(AND(CT6&lt;&gt;"",CT6&lt;=前提条件!$C$8),IF(1&gt;=3,30000,IF(CT6&lt;3,15000,10000))*6,0)+IF(AND(CT7&lt;&gt;"",CT7&lt;=前提条件!$C$8),IF(2&gt;=3,30000,IF(CT7&lt;3,15000,10000))*6,0)+IF(AND(CT8&lt;&gt;"",CT8&lt;=前提条件!$C$8),30000*6,0))</f>
        <v/>
      </c>
      <c r="CU12" s="350">
        <f>IF(CU$3="","",IF(AND(CU6&lt;&gt;"",CU6&lt;=前提条件!$C$8),IF(1&gt;=3,30000,IF(CU6&lt;3,15000,10000))*6,0)+IF(AND(CU7&lt;&gt;"",CU7&lt;=前提条件!$C$8),IF(2&gt;=3,30000,IF(CU7&lt;3,15000,10000))*6,0)+IF(AND(CU8&lt;&gt;"",CU8&lt;=前提条件!$C$8),30000*6,0))</f>
        <v/>
      </c>
      <c r="CV12" s="350">
        <f>IF(CV$3="","",IF(AND(CV6&lt;&gt;"",CV6&lt;=前提条件!$C$8),IF(1&gt;=3,30000,IF(CV6&lt;3,15000,10000))*6,0)+IF(AND(CV7&lt;&gt;"",CV7&lt;=前提条件!$C$8),IF(2&gt;=3,30000,IF(CV7&lt;3,15000,10000))*6,0)+IF(AND(CV8&lt;&gt;"",CV8&lt;=前提条件!$C$8),30000*6,0))</f>
        <v/>
      </c>
      <c r="CW12" s="350">
        <f>IF(CW$3="","",IF(AND(CW6&lt;&gt;"",CW6&lt;=前提条件!$C$8),入力データ!$C$34*6,0)+IF(AND(CW7&lt;&gt;"",CW7&lt;=前提条件!$C$8),入力データ!$C$34*6,0)+IF(AND(CW8&lt;&gt;"",CW8&lt;=前提条件!$C$8),入力データ!$C$34*6,0))</f>
        <v/>
      </c>
    </row>
    <row r="13" ht="15" customHeight="1" s="180">
      <c r="A13" s="220" t="inlineStr">
        <is>
          <t>その他収入</t>
        </is>
      </c>
      <c r="B13" s="350">
        <f>IF(B$3="","",入力データ!$C$35*12)</f>
        <v/>
      </c>
      <c r="C13" s="350">
        <f>IF(C$3="","",入力データ!$C$35*12)</f>
        <v/>
      </c>
      <c r="D13" s="350">
        <f>IF(D$3="","",入力データ!$C$35*12)</f>
        <v/>
      </c>
      <c r="E13" s="350">
        <f>IF(E$3="","",入力データ!$C$35*12)</f>
        <v/>
      </c>
      <c r="F13" s="350">
        <f>IF(F$3="","",入力データ!$C$35*12)</f>
        <v/>
      </c>
      <c r="G13" s="350">
        <f>IF(G$3="","",入力データ!$C$35*12)</f>
        <v/>
      </c>
      <c r="H13" s="350">
        <f>IF(H$3="","",入力データ!$C$35*12)</f>
        <v/>
      </c>
      <c r="I13" s="350">
        <f>IF(I$3="","",入力データ!$C$35*12)</f>
        <v/>
      </c>
      <c r="J13" s="350">
        <f>IF(J$3="","",入力データ!$C$35*12)</f>
        <v/>
      </c>
      <c r="K13" s="350">
        <f>IF(K$3="","",入力データ!$C$35*12)</f>
        <v/>
      </c>
      <c r="L13" s="350">
        <f>IF(L$3="","",入力データ!$C$35*12)</f>
        <v/>
      </c>
      <c r="M13" s="350">
        <f>IF(M$3="","",入力データ!$C$35*12)</f>
        <v/>
      </c>
      <c r="N13" s="350">
        <f>IF(N$3="","",入力データ!$C$35*12)</f>
        <v/>
      </c>
      <c r="O13" s="350">
        <f>IF(O$3="","",入力データ!$C$35*12)</f>
        <v/>
      </c>
      <c r="P13" s="350">
        <f>IF(P$3="","",入力データ!$C$35*12)</f>
        <v/>
      </c>
      <c r="Q13" s="350">
        <f>IF(Q$3="","",入力データ!$C$35*12)</f>
        <v/>
      </c>
      <c r="R13" s="350">
        <f>IF(R$3="","",入力データ!$C$35*12)</f>
        <v/>
      </c>
      <c r="S13" s="350">
        <f>IF(S$3="","",入力データ!$C$35*12)</f>
        <v/>
      </c>
      <c r="T13" s="350">
        <f>IF(T$3="","",入力データ!$C$35*12)</f>
        <v/>
      </c>
      <c r="U13" s="350">
        <f>IF(U$3="","",入力データ!$C$35*12)</f>
        <v/>
      </c>
      <c r="V13" s="350">
        <f>IF(V$3="","",入力データ!$C$35*12)</f>
        <v/>
      </c>
      <c r="W13" s="350">
        <f>IF(W$3="","",入力データ!$C$35*12)</f>
        <v/>
      </c>
      <c r="X13" s="350">
        <f>IF(X$3="","",入力データ!$C$35*12)</f>
        <v/>
      </c>
      <c r="Y13" s="350">
        <f>IF(Y$3="","",入力データ!$C$35*12)</f>
        <v/>
      </c>
      <c r="Z13" s="350">
        <f>IF(Z$3="","",入力データ!$C$35*12)</f>
        <v/>
      </c>
      <c r="AA13" s="350">
        <f>IF(AA$3="","",入力データ!$C$35*12)</f>
        <v/>
      </c>
      <c r="AB13" s="350">
        <f>IF(AB$3="","",入力データ!$C$35*12)</f>
        <v/>
      </c>
      <c r="AC13" s="350">
        <f>IF(AC$3="","",入力データ!$C$35*12)</f>
        <v/>
      </c>
      <c r="AD13" s="350">
        <f>IF(AD$3="","",入力データ!$C$35*12)</f>
        <v/>
      </c>
      <c r="AE13" s="350">
        <f>IF(AE$3="","",入力データ!$C$35*12)</f>
        <v/>
      </c>
      <c r="AF13" s="350">
        <f>IF(AF$3="","",入力データ!$C$35*12)</f>
        <v/>
      </c>
      <c r="AG13" s="350">
        <f>IF(AG$3="","",入力データ!$C$35*12)</f>
        <v/>
      </c>
      <c r="AH13" s="350">
        <f>IF(AH$3="","",入力データ!$C$35*12)</f>
        <v/>
      </c>
      <c r="AI13" s="350">
        <f>IF(AI$3="","",入力データ!$C$35*12)</f>
        <v/>
      </c>
      <c r="AJ13" s="350">
        <f>IF(AJ$3="","",入力データ!$C$35*12)</f>
        <v/>
      </c>
      <c r="AK13" s="350">
        <f>IF(AK$3="","",入力データ!$C$35*12)</f>
        <v/>
      </c>
      <c r="AL13" s="350">
        <f>IF(AL$3="","",入力データ!$C$35*12)</f>
        <v/>
      </c>
      <c r="AM13" s="350">
        <f>IF(AM$3="","",入力データ!$C$35*12)</f>
        <v/>
      </c>
      <c r="AN13" s="350">
        <f>IF(AN$3="","",入力データ!$C$35*12)</f>
        <v/>
      </c>
      <c r="AO13" s="350">
        <f>IF(AO$3="","",入力データ!$C$35*12)</f>
        <v/>
      </c>
      <c r="AP13" s="350">
        <f>IF(AP$3="","",入力データ!$C$35*12)</f>
        <v/>
      </c>
      <c r="AQ13" s="350">
        <f>IF(AQ$3="","",入力データ!$C$35*12)</f>
        <v/>
      </c>
      <c r="AR13" s="350">
        <f>IF(AR$3="","",入力データ!$C$35*12)</f>
        <v/>
      </c>
      <c r="AS13" s="350">
        <f>IF(AS$3="","",入力データ!$C$35*12)</f>
        <v/>
      </c>
      <c r="AT13" s="350">
        <f>IF(AT$3="","",入力データ!$C$35*12)</f>
        <v/>
      </c>
      <c r="AU13" s="350">
        <f>IF(AU$3="","",入力データ!$C$35*12)</f>
        <v/>
      </c>
      <c r="AV13" s="350">
        <f>IF(AV$3="","",入力データ!$C$35*12)</f>
        <v/>
      </c>
      <c r="AW13" s="350">
        <f>IF(AW$3="","",入力データ!$C$35*12)</f>
        <v/>
      </c>
      <c r="AX13" s="350">
        <f>IF(AX$3="","",入力データ!$C$35*12)</f>
        <v/>
      </c>
      <c r="AY13" s="350">
        <f>IF(AY$3="","",入力データ!$C$35*12)</f>
        <v/>
      </c>
      <c r="AZ13" s="350">
        <f>IF(AZ$3="","",入力データ!$C$35*12)</f>
        <v/>
      </c>
      <c r="BA13" s="350">
        <f>IF(BA$3="","",入力データ!$C$35*12)</f>
        <v/>
      </c>
      <c r="BB13" s="350">
        <f>IF(BB$3="","",入力データ!$C$35*12)</f>
        <v/>
      </c>
      <c r="BC13" s="350">
        <f>IF(BC$3="","",入力データ!$C$35*12)</f>
        <v/>
      </c>
      <c r="BD13" s="350">
        <f>IF(BD$3="","",入力データ!$C$35*12)</f>
        <v/>
      </c>
      <c r="BE13" s="350">
        <f>IF(BE$3="","",入力データ!$C$35*12)</f>
        <v/>
      </c>
      <c r="BF13" s="350">
        <f>IF(BF$3="","",入力データ!$C$35*12)</f>
        <v/>
      </c>
      <c r="BG13" s="350">
        <f>IF(BG$3="","",入力データ!$C$35*12)</f>
        <v/>
      </c>
      <c r="BH13" s="350">
        <f>IF(BH$3="","",入力データ!$C$35*12)</f>
        <v/>
      </c>
      <c r="BI13" s="350">
        <f>IF(BI$3="","",入力データ!$C$35*12)</f>
        <v/>
      </c>
      <c r="BJ13" s="350">
        <f>IF(BJ$3="","",入力データ!$C$35*12)</f>
        <v/>
      </c>
      <c r="BK13" s="350">
        <f>IF(BK$3="","",入力データ!$C$35*12)</f>
        <v/>
      </c>
      <c r="BL13" s="350">
        <f>IF(BL$3="","",入力データ!$C$35*12)</f>
        <v/>
      </c>
      <c r="BM13" s="350">
        <f>IF(BM$3="","",入力データ!$C$35*12)</f>
        <v/>
      </c>
      <c r="BN13" s="350">
        <f>IF(BN$3="","",入力データ!$C$35*12)</f>
        <v/>
      </c>
      <c r="BO13" s="350">
        <f>IF(BO$3="","",入力データ!$C$35*12)</f>
        <v/>
      </c>
      <c r="BP13" s="350">
        <f>IF(BP$3="","",入力データ!$C$35*12)</f>
        <v/>
      </c>
      <c r="BQ13" s="350">
        <f>IF(BQ$3="","",入力データ!$C$35*12)</f>
        <v/>
      </c>
      <c r="BR13" s="350">
        <f>IF(BR$3="","",入力データ!$C$35*12)</f>
        <v/>
      </c>
      <c r="BS13" s="350">
        <f>IF(BS$3="","",入力データ!$C$35*12)</f>
        <v/>
      </c>
      <c r="BT13" s="350">
        <f>IF(BT$3="","",入力データ!$C$35*12)</f>
        <v/>
      </c>
      <c r="BU13" s="350">
        <f>IF(BU$3="","",入力データ!$C$35*12)</f>
        <v/>
      </c>
      <c r="BV13" s="350">
        <f>IF(BV$3="","",入力データ!$C$35*12)</f>
        <v/>
      </c>
      <c r="BW13" s="350">
        <f>IF(BW$3="","",入力データ!$C$35*12)</f>
        <v/>
      </c>
      <c r="BX13" s="350">
        <f>IF(BX$3="","",入力データ!$C$35*12)</f>
        <v/>
      </c>
      <c r="BY13" s="350">
        <f>IF(BY$3="","",入力データ!$C$35*12)</f>
        <v/>
      </c>
      <c r="BZ13" s="350">
        <f>IF(BZ$3="","",入力データ!$C$35*12)</f>
        <v/>
      </c>
      <c r="CA13" s="350">
        <f>IF(CA$3="","",入力データ!$C$35*12)</f>
        <v/>
      </c>
      <c r="CB13" s="350">
        <f>IF(CB$3="","",入力データ!$C$35*12)</f>
        <v/>
      </c>
      <c r="CC13" s="350">
        <f>IF(CC$3="","",入力データ!$C$35*12)</f>
        <v/>
      </c>
      <c r="CD13" s="350">
        <f>IF(CD$3="","",入力データ!$C$35*12)</f>
        <v/>
      </c>
      <c r="CE13" s="350">
        <f>IF(CE$3="","",入力データ!$C$35*12)</f>
        <v/>
      </c>
      <c r="CF13" s="350">
        <f>IF(CF$3="","",入力データ!$C$35*12)</f>
        <v/>
      </c>
      <c r="CG13" s="350">
        <f>IF(CG$3="","",入力データ!$C$35*12)</f>
        <v/>
      </c>
      <c r="CH13" s="350">
        <f>IF(CH$3="","",入力データ!$C$35*12)</f>
        <v/>
      </c>
      <c r="CI13" s="350">
        <f>IF(CI$3="","",入力データ!$C$35*12)</f>
        <v/>
      </c>
      <c r="CJ13" s="350">
        <f>IF(CJ$3="","",入力データ!$C$35*12)</f>
        <v/>
      </c>
      <c r="CK13" s="350">
        <f>IF(CK$3="","",入力データ!$C$35*12)</f>
        <v/>
      </c>
      <c r="CL13" s="350">
        <f>IF(CL$3="","",入力データ!$C$35*12)</f>
        <v/>
      </c>
      <c r="CM13" s="350">
        <f>IF(CM$3="","",入力データ!$C$35*12)</f>
        <v/>
      </c>
      <c r="CN13" s="350">
        <f>IF(CN$3="","",入力データ!$C$35*12)</f>
        <v/>
      </c>
      <c r="CO13" s="350">
        <f>IF(CO$3="","",入力データ!$C$35*12)</f>
        <v/>
      </c>
      <c r="CP13" s="350">
        <f>IF(CP$3="","",入力データ!$C$35*12)</f>
        <v/>
      </c>
      <c r="CQ13" s="350">
        <f>IF(CQ$3="","",入力データ!$C$35*12)</f>
        <v/>
      </c>
      <c r="CR13" s="350">
        <f>IF(CR$3="","",入力データ!$C$35*12)</f>
        <v/>
      </c>
      <c r="CS13" s="350">
        <f>IF(CS$3="","",入力データ!$C$35*12)</f>
        <v/>
      </c>
      <c r="CT13" s="350">
        <f>IF(CT$3="","",入力データ!$C$35*12)</f>
        <v/>
      </c>
      <c r="CU13" s="350">
        <f>IF(CU$3="","",入力データ!$C$35*12)</f>
        <v/>
      </c>
      <c r="CV13" s="350">
        <f>IF(CV$3="","",入力データ!$C$35*12)</f>
        <v/>
      </c>
      <c r="CW13" s="350">
        <f>IF(CW$3="","",入力データ!$C$35*12)</f>
        <v/>
      </c>
    </row>
    <row r="14" ht="15" customHeight="1" s="180">
      <c r="A14" s="220" t="inlineStr">
        <is>
          <t>ご主人様退職金</t>
        </is>
      </c>
      <c r="B14" s="350">
        <f>IF(B$3="","",IF(B4=入力データ!$C$109,入力データ!$C$36,0))</f>
        <v/>
      </c>
      <c r="C14" s="350">
        <f>IF(C$3="","",IF(C4=入力データ!$C$109,入力データ!$C$36,0))</f>
        <v/>
      </c>
      <c r="D14" s="350">
        <f>IF(D$3="","",IF(D4=入力データ!$C$109,入力データ!$C$36,0))</f>
        <v/>
      </c>
      <c r="E14" s="350">
        <f>IF(E$3="","",IF(E4=入力データ!$C$109,入力データ!$C$36,0))</f>
        <v/>
      </c>
      <c r="F14" s="350">
        <f>IF(F$3="","",IF(F4=入力データ!$C$109,入力データ!$C$36,0))</f>
        <v/>
      </c>
      <c r="G14" s="350">
        <f>IF(G$3="","",IF(G4=入力データ!$C$109,入力データ!$C$36,0))</f>
        <v/>
      </c>
      <c r="H14" s="350">
        <f>IF(H$3="","",IF(H4=入力データ!$C$109,入力データ!$C$36,0))</f>
        <v/>
      </c>
      <c r="I14" s="350">
        <f>IF(I$3="","",IF(I4=入力データ!$C$109,入力データ!$C$36,0))</f>
        <v/>
      </c>
      <c r="J14" s="350">
        <f>IF(J$3="","",IF(J4=入力データ!$C$109,入力データ!$C$36,0))</f>
        <v/>
      </c>
      <c r="K14" s="350">
        <f>IF(K$3="","",IF(K4=入力データ!$C$109,入力データ!$C$36,0))</f>
        <v/>
      </c>
      <c r="L14" s="350">
        <f>IF(L$3="","",IF(L4=入力データ!$C$109,入力データ!$C$36,0))</f>
        <v/>
      </c>
      <c r="M14" s="350">
        <f>IF(M$3="","",IF(M4=入力データ!$C$109,入力データ!$C$36,0))</f>
        <v/>
      </c>
      <c r="N14" s="350">
        <f>IF(N$3="","",IF(N4=入力データ!$C$109,入力データ!$C$36,0))</f>
        <v/>
      </c>
      <c r="O14" s="350">
        <f>IF(O$3="","",IF(O4=入力データ!$C$109,入力データ!$C$36,0))</f>
        <v/>
      </c>
      <c r="P14" s="350">
        <f>IF(P$3="","",IF(P4=入力データ!$C$109,入力データ!$C$36,0))</f>
        <v/>
      </c>
      <c r="Q14" s="350">
        <f>IF(Q$3="","",IF(Q4=入力データ!$C$109,入力データ!$C$36,0))</f>
        <v/>
      </c>
      <c r="R14" s="350">
        <f>IF(R$3="","",IF(R4=入力データ!$C$109,入力データ!$C$36,0))</f>
        <v/>
      </c>
      <c r="S14" s="350">
        <f>IF(S$3="","",IF(S4=入力データ!$C$109,入力データ!$C$36,0))</f>
        <v/>
      </c>
      <c r="T14" s="350">
        <f>IF(T$3="","",IF(T4=入力データ!$C$109,入力データ!$C$36,0))</f>
        <v/>
      </c>
      <c r="U14" s="350">
        <f>IF(U$3="","",IF(U4=入力データ!$C$109,入力データ!$C$36,0))</f>
        <v/>
      </c>
      <c r="V14" s="350">
        <f>IF(V$3="","",IF(V4=入力データ!$C$109,入力データ!$C$36,0))</f>
        <v/>
      </c>
      <c r="W14" s="350">
        <f>IF(W$3="","",IF(W4=入力データ!$C$109,入力データ!$C$36,0))</f>
        <v/>
      </c>
      <c r="X14" s="350">
        <f>IF(X$3="","",IF(X4=入力データ!$C$109,入力データ!$C$36,0))</f>
        <v/>
      </c>
      <c r="Y14" s="350">
        <f>IF(Y$3="","",IF(Y4=入力データ!$C$109,入力データ!$C$36,0))</f>
        <v/>
      </c>
      <c r="Z14" s="350">
        <f>IF(Z$3="","",IF(Z4=入力データ!$C$109,入力データ!$C$36,0))</f>
        <v/>
      </c>
      <c r="AA14" s="350">
        <f>IF(AA$3="","",IF(AA4=入力データ!$C$109,入力データ!$C$36,0))</f>
        <v/>
      </c>
      <c r="AB14" s="350">
        <f>IF(AB$3="","",IF(AB4=入力データ!$C$109,入力データ!$C$36,0))</f>
        <v/>
      </c>
      <c r="AC14" s="350">
        <f>IF(AC$3="","",IF(AC4=入力データ!$C$109,入力データ!$C$36,0))</f>
        <v/>
      </c>
      <c r="AD14" s="350">
        <f>IF(AD$3="","",IF(AD4=入力データ!$C$109,入力データ!$C$36,0))</f>
        <v/>
      </c>
      <c r="AE14" s="350">
        <f>IF(AE$3="","",IF(AE4=入力データ!$C$109,入力データ!$C$36,0))</f>
        <v/>
      </c>
      <c r="AF14" s="350">
        <f>IF(AF$3="","",IF(AF4=入力データ!$C$109,入力データ!$C$36,0))</f>
        <v/>
      </c>
      <c r="AG14" s="350">
        <f>IF(AG$3="","",IF(AG4=入力データ!$C$109,入力データ!$C$36,0))</f>
        <v/>
      </c>
      <c r="AH14" s="350">
        <f>IF(AH$3="","",IF(AH4=入力データ!$C$109,入力データ!$C$36,0))</f>
        <v/>
      </c>
      <c r="AI14" s="350">
        <f>IF(AI$3="","",IF(AI4=入力データ!$C$109,入力データ!$C$36,0))</f>
        <v/>
      </c>
      <c r="AJ14" s="350">
        <f>IF(AJ$3="","",IF(AJ4=入力データ!$C$109,入力データ!$C$36,0))</f>
        <v/>
      </c>
      <c r="AK14" s="350">
        <f>IF(AK$3="","",IF(AK4=入力データ!$C$109,入力データ!$C$36,0))</f>
        <v/>
      </c>
      <c r="AL14" s="350">
        <f>IF(AL$3="","",IF(AL4=入力データ!$C$109,入力データ!$C$36,0))</f>
        <v/>
      </c>
      <c r="AM14" s="350">
        <f>IF(AM$3="","",IF(AM4=入力データ!$C$109,入力データ!$C$36,0))</f>
        <v/>
      </c>
      <c r="AN14" s="350">
        <f>IF(AN$3="","",IF(AN4=入力データ!$C$109,入力データ!$C$36,0))</f>
        <v/>
      </c>
      <c r="AO14" s="350">
        <f>IF(AO$3="","",IF(AO4=入力データ!$C$109,入力データ!$C$36,0))</f>
        <v/>
      </c>
      <c r="AP14" s="350">
        <f>IF(AP$3="","",IF(AP4=入力データ!$C$109,入力データ!$C$36,0))</f>
        <v/>
      </c>
      <c r="AQ14" s="350">
        <f>IF(AQ$3="","",IF(AQ4=入力データ!$C$109,入力データ!$C$36,0))</f>
        <v/>
      </c>
      <c r="AR14" s="350">
        <f>IF(AR$3="","",IF(AR4=入力データ!$C$109,入力データ!$C$36,0))</f>
        <v/>
      </c>
      <c r="AS14" s="350">
        <f>IF(AS$3="","",IF(AS4=入力データ!$C$109,入力データ!$C$36,0))</f>
        <v/>
      </c>
      <c r="AT14" s="350">
        <f>IF(AT$3="","",IF(AT4=入力データ!$C$109,入力データ!$C$36,0))</f>
        <v/>
      </c>
      <c r="AU14" s="350">
        <f>IF(AU$3="","",IF(AU4=入力データ!$C$109,入力データ!$C$36,0))</f>
        <v/>
      </c>
      <c r="AV14" s="350">
        <f>IF(AV$3="","",IF(AV4=入力データ!$C$109,入力データ!$C$36,0))</f>
        <v/>
      </c>
      <c r="AW14" s="350">
        <f>IF(AW$3="","",IF(AW4=入力データ!$C$109,入力データ!$C$36,0))</f>
        <v/>
      </c>
      <c r="AX14" s="350">
        <f>IF(AX$3="","",IF(AX4=入力データ!$C$109,入力データ!$C$36,0))</f>
        <v/>
      </c>
      <c r="AY14" s="350">
        <f>IF(AY$3="","",IF(AY4=入力データ!$C$109,入力データ!$C$36,0))</f>
        <v/>
      </c>
      <c r="AZ14" s="350">
        <f>IF(AZ$3="","",IF(AZ4=入力データ!$C$109,入力データ!$C$36,0))</f>
        <v/>
      </c>
      <c r="BA14" s="350">
        <f>IF(BA$3="","",IF(BA4=入力データ!$C$109,入力データ!$C$36,0))</f>
        <v/>
      </c>
      <c r="BB14" s="350">
        <f>IF(BB$3="","",IF(BB4=入力データ!$C$109,入力データ!$C$36,0))</f>
        <v/>
      </c>
      <c r="BC14" s="350">
        <f>IF(BC$3="","",IF(BC4=入力データ!$C$109,入力データ!$C$36,0))</f>
        <v/>
      </c>
      <c r="BD14" s="350">
        <f>IF(BD$3="","",IF(BD4=入力データ!$C$109,入力データ!$C$36,0))</f>
        <v/>
      </c>
      <c r="BE14" s="350">
        <f>IF(BE$3="","",IF(BE4=入力データ!$C$109,入力データ!$C$36,0))</f>
        <v/>
      </c>
      <c r="BF14" s="350">
        <f>IF(BF$3="","",IF(BF4=入力データ!$C$109,入力データ!$C$36,0))</f>
        <v/>
      </c>
      <c r="BG14" s="350">
        <f>IF(BG$3="","",IF(BG4=入力データ!$C$109,入力データ!$C$36,0))</f>
        <v/>
      </c>
      <c r="BH14" s="350">
        <f>IF(BH$3="","",IF(BH4=入力データ!$C$109,入力データ!$C$36,0))</f>
        <v/>
      </c>
      <c r="BI14" s="350">
        <f>IF(BI$3="","",IF(BI4=入力データ!$C$109,入力データ!$C$36,0))</f>
        <v/>
      </c>
      <c r="BJ14" s="350">
        <f>IF(BJ$3="","",IF(BJ4=入力データ!$C$109,入力データ!$C$36,0))</f>
        <v/>
      </c>
      <c r="BK14" s="350">
        <f>IF(BK$3="","",IF(BK4=入力データ!$C$109,入力データ!$C$36,0))</f>
        <v/>
      </c>
      <c r="BL14" s="350">
        <f>IF(BL$3="","",IF(BL4=入力データ!$C$109,入力データ!$C$36,0))</f>
        <v/>
      </c>
      <c r="BM14" s="350">
        <f>IF(BM$3="","",IF(BM4=入力データ!$C$109,入力データ!$C$36,0))</f>
        <v/>
      </c>
      <c r="BN14" s="350">
        <f>IF(BN$3="","",IF(BN4=入力データ!$C$109,入力データ!$C$36,0))</f>
        <v/>
      </c>
      <c r="BO14" s="350">
        <f>IF(BO$3="","",IF(BO4=入力データ!$C$109,入力データ!$C$36,0))</f>
        <v/>
      </c>
      <c r="BP14" s="350">
        <f>IF(BP$3="","",IF(BP4=入力データ!$C$109,入力データ!$C$36,0))</f>
        <v/>
      </c>
      <c r="BQ14" s="350">
        <f>IF(BQ$3="","",IF(BQ4=入力データ!$C$109,入力データ!$C$36,0))</f>
        <v/>
      </c>
      <c r="BR14" s="350">
        <f>IF(BR$3="","",IF(BR4=入力データ!$C$109,入力データ!$C$36,0))</f>
        <v/>
      </c>
      <c r="BS14" s="350">
        <f>IF(BS$3="","",IF(BS4=入力データ!$C$109,入力データ!$C$36,0))</f>
        <v/>
      </c>
      <c r="BT14" s="350">
        <f>IF(BT$3="","",IF(BT4=入力データ!$C$109,入力データ!$C$36,0))</f>
        <v/>
      </c>
      <c r="BU14" s="350">
        <f>IF(BU$3="","",IF(BU4=入力データ!$C$109,入力データ!$C$36,0))</f>
        <v/>
      </c>
      <c r="BV14" s="350">
        <f>IF(BV$3="","",IF(BV4=入力データ!$C$109,入力データ!$C$36,0))</f>
        <v/>
      </c>
      <c r="BW14" s="350">
        <f>IF(BW$3="","",IF(BW4=入力データ!$C$109,入力データ!$C$36,0))</f>
        <v/>
      </c>
      <c r="BX14" s="350">
        <f>IF(BX$3="","",IF(BX4=入力データ!$C$109,入力データ!$C$36,0))</f>
        <v/>
      </c>
      <c r="BY14" s="350">
        <f>IF(BY$3="","",IF(BY4=入力データ!$C$109,入力データ!$C$36,0))</f>
        <v/>
      </c>
      <c r="BZ14" s="350">
        <f>IF(BZ$3="","",IF(BZ4=入力データ!$C$109,入力データ!$C$36,0))</f>
        <v/>
      </c>
      <c r="CA14" s="350">
        <f>IF(CA$3="","",IF(CA4=入力データ!$C$109,入力データ!$C$36,0))</f>
        <v/>
      </c>
      <c r="CB14" s="350">
        <f>IF(CB$3="","",IF(CB4=入力データ!$C$109,入力データ!$C$36,0))</f>
        <v/>
      </c>
      <c r="CC14" s="350">
        <f>IF(CC$3="","",IF(CC4=入力データ!$C$109,入力データ!$C$36,0))</f>
        <v/>
      </c>
      <c r="CD14" s="350">
        <f>IF(CD$3="","",IF(CD4=入力データ!$C$109,入力データ!$C$36,0))</f>
        <v/>
      </c>
      <c r="CE14" s="350">
        <f>IF(CE$3="","",IF(CE4=入力データ!$C$109,入力データ!$C$36,0))</f>
        <v/>
      </c>
      <c r="CF14" s="350">
        <f>IF(CF$3="","",IF(CF4=入力データ!$C$109,入力データ!$C$36,0))</f>
        <v/>
      </c>
      <c r="CG14" s="350">
        <f>IF(CG$3="","",IF(CG4=入力データ!$C$109,入力データ!$C$36,0))</f>
        <v/>
      </c>
      <c r="CH14" s="350">
        <f>IF(CH$3="","",IF(CH4=入力データ!$C$109,入力データ!$C$36,0))</f>
        <v/>
      </c>
      <c r="CI14" s="350">
        <f>IF(CI$3="","",IF(CI4=入力データ!$C$109,入力データ!$C$36,0))</f>
        <v/>
      </c>
      <c r="CJ14" s="350">
        <f>IF(CJ$3="","",IF(CJ4=入力データ!$C$109,入力データ!$C$36,0))</f>
        <v/>
      </c>
      <c r="CK14" s="350">
        <f>IF(CK$3="","",IF(CK4=入力データ!$C$109,入力データ!$C$36,0))</f>
        <v/>
      </c>
      <c r="CL14" s="350">
        <f>IF(CL$3="","",IF(CL4=入力データ!$C$109,入力データ!$C$36,0))</f>
        <v/>
      </c>
      <c r="CM14" s="350">
        <f>IF(CM$3="","",IF(CM4=入力データ!$C$109,入力データ!$C$36,0))</f>
        <v/>
      </c>
      <c r="CN14" s="350">
        <f>IF(CN$3="","",IF(CN4=入力データ!$C$109,入力データ!$C$36,0))</f>
        <v/>
      </c>
      <c r="CO14" s="350">
        <f>IF(CO$3="","",IF(CO4=入力データ!$C$109,入力データ!$C$36,0))</f>
        <v/>
      </c>
      <c r="CP14" s="350">
        <f>IF(CP$3="","",IF(CP4=入力データ!$C$109,入力データ!$C$36,0))</f>
        <v/>
      </c>
      <c r="CQ14" s="350">
        <f>IF(CQ$3="","",IF(CQ4=入力データ!$C$109,入力データ!$C$36,0))</f>
        <v/>
      </c>
      <c r="CR14" s="350">
        <f>IF(CR$3="","",IF(CR4=入力データ!$C$109,入力データ!$C$36,0))</f>
        <v/>
      </c>
      <c r="CS14" s="350">
        <f>IF(CS$3="","",IF(CS4=入力データ!$C$109,入力データ!$C$36,0))</f>
        <v/>
      </c>
      <c r="CT14" s="350">
        <f>IF(CT$3="","",IF(CT4=入力データ!$C$109,入力データ!$C$36,0))</f>
        <v/>
      </c>
      <c r="CU14" s="350">
        <f>IF(CU$3="","",IF(CU4=入力データ!$C$109,入力データ!$C$36,0))</f>
        <v/>
      </c>
      <c r="CV14" s="350">
        <f>IF(CV$3="","",IF(CV4=入力データ!$C$109,入力データ!$C$36,0))</f>
        <v/>
      </c>
      <c r="CW14" s="350">
        <f>IF(CW$3="","",IF(CW4=入力データ!$C$109,入力データ!$C$36,0))</f>
        <v/>
      </c>
    </row>
    <row r="15" ht="15" customHeight="1" s="180">
      <c r="A15" s="220" t="inlineStr">
        <is>
          <t>奥様退職金</t>
        </is>
      </c>
      <c r="B15" s="350">
        <f>IF(B$3="","",0)</f>
        <v/>
      </c>
      <c r="C15" s="350">
        <f>IF(C$3="","",0)</f>
        <v/>
      </c>
      <c r="D15" s="350">
        <f>IF(D$3="","",0)</f>
        <v/>
      </c>
      <c r="E15" s="350">
        <f>IF(E$3="","",0)</f>
        <v/>
      </c>
      <c r="F15" s="350">
        <f>IF(F$3="","",0)</f>
        <v/>
      </c>
      <c r="G15" s="350">
        <f>IF(G$3="","",0)</f>
        <v/>
      </c>
      <c r="H15" s="350">
        <f>IF(H$3="","",0)</f>
        <v/>
      </c>
      <c r="I15" s="350">
        <f>IF(I$3="","",0)</f>
        <v/>
      </c>
      <c r="J15" s="350">
        <f>IF(J$3="","",0)</f>
        <v/>
      </c>
      <c r="K15" s="350">
        <f>IF(K$3="","",0)</f>
        <v/>
      </c>
      <c r="L15" s="350">
        <f>IF(L$3="","",0)</f>
        <v/>
      </c>
      <c r="M15" s="350">
        <f>IF(M$3="","",0)</f>
        <v/>
      </c>
      <c r="N15" s="350">
        <f>IF(N$3="","",0)</f>
        <v/>
      </c>
      <c r="O15" s="350">
        <f>IF(O$3="","",0)</f>
        <v/>
      </c>
      <c r="P15" s="350">
        <f>IF(P$3="","",0)</f>
        <v/>
      </c>
      <c r="Q15" s="350">
        <f>IF(Q$3="","",0)</f>
        <v/>
      </c>
      <c r="R15" s="350">
        <f>IF(R$3="","",0)</f>
        <v/>
      </c>
      <c r="S15" s="350">
        <f>IF(S$3="","",0)</f>
        <v/>
      </c>
      <c r="T15" s="350">
        <f>IF(T$3="","",0)</f>
        <v/>
      </c>
      <c r="U15" s="350">
        <f>IF(U$3="","",0)</f>
        <v/>
      </c>
      <c r="V15" s="350">
        <f>IF(V$3="","",0)</f>
        <v/>
      </c>
      <c r="W15" s="350">
        <f>IF(W$3="","",0)</f>
        <v/>
      </c>
      <c r="X15" s="350">
        <f>IF(X$3="","",0)</f>
        <v/>
      </c>
      <c r="Y15" s="350">
        <f>IF(Y$3="","",0)</f>
        <v/>
      </c>
      <c r="Z15" s="350">
        <f>IF(Z$3="","",0)</f>
        <v/>
      </c>
      <c r="AA15" s="350">
        <f>IF(AA$3="","",0)</f>
        <v/>
      </c>
      <c r="AB15" s="350">
        <f>IF(AB$3="","",0)</f>
        <v/>
      </c>
      <c r="AC15" s="350">
        <f>IF(AC$3="","",0)</f>
        <v/>
      </c>
      <c r="AD15" s="350">
        <f>IF(AD$3="","",0)</f>
        <v/>
      </c>
      <c r="AE15" s="350">
        <f>IF(AE$3="","",0)</f>
        <v/>
      </c>
      <c r="AF15" s="350">
        <f>IF(AF$3="","",0)</f>
        <v/>
      </c>
      <c r="AG15" s="350">
        <f>IF(AG$3="","",0)</f>
        <v/>
      </c>
      <c r="AH15" s="350">
        <f>IF(AH$3="","",0)</f>
        <v/>
      </c>
      <c r="AI15" s="350">
        <f>IF(AI$3="","",0)</f>
        <v/>
      </c>
      <c r="AJ15" s="350">
        <f>IF(AJ$3="","",0)</f>
        <v/>
      </c>
      <c r="AK15" s="350">
        <f>IF(AK$3="","",0)</f>
        <v/>
      </c>
      <c r="AL15" s="350">
        <f>IF(AL$3="","",0)</f>
        <v/>
      </c>
      <c r="AM15" s="350">
        <f>IF(AM$3="","",0)</f>
        <v/>
      </c>
      <c r="AN15" s="350">
        <f>IF(AN$3="","",0)</f>
        <v/>
      </c>
      <c r="AO15" s="350">
        <f>IF(AO$3="","",0)</f>
        <v/>
      </c>
      <c r="AP15" s="350">
        <f>IF(AP$3="","",0)</f>
        <v/>
      </c>
      <c r="AQ15" s="350">
        <f>IF(AQ$3="","",0)</f>
        <v/>
      </c>
      <c r="AR15" s="350">
        <f>IF(AR$3="","",0)</f>
        <v/>
      </c>
      <c r="AS15" s="350">
        <f>IF(AS$3="","",0)</f>
        <v/>
      </c>
      <c r="AT15" s="350">
        <f>IF(AT$3="","",0)</f>
        <v/>
      </c>
      <c r="AU15" s="350">
        <f>IF(AU$3="","",0)</f>
        <v/>
      </c>
      <c r="AV15" s="350">
        <f>IF(AV$3="","",0)</f>
        <v/>
      </c>
      <c r="AW15" s="350">
        <f>IF(AW$3="","",0)</f>
        <v/>
      </c>
      <c r="AX15" s="350">
        <f>IF(AX$3="","",0)</f>
        <v/>
      </c>
      <c r="AY15" s="350">
        <f>IF(AY$3="","",0)</f>
        <v/>
      </c>
      <c r="AZ15" s="350">
        <f>IF(AZ$3="","",0)</f>
        <v/>
      </c>
      <c r="BA15" s="350">
        <f>IF(BA$3="","",0)</f>
        <v/>
      </c>
      <c r="BB15" s="350">
        <f>IF(BB$3="","",0)</f>
        <v/>
      </c>
      <c r="BC15" s="350">
        <f>IF(BC$3="","",0)</f>
        <v/>
      </c>
      <c r="BD15" s="350">
        <f>IF(BD$3="","",0)</f>
        <v/>
      </c>
      <c r="BE15" s="350">
        <f>IF(BE$3="","",0)</f>
        <v/>
      </c>
      <c r="BF15" s="350">
        <f>IF(BF$3="","",0)</f>
        <v/>
      </c>
      <c r="BG15" s="350">
        <f>IF(BG$3="","",0)</f>
        <v/>
      </c>
      <c r="BH15" s="350">
        <f>IF(BH$3="","",0)</f>
        <v/>
      </c>
      <c r="BI15" s="350">
        <f>IF(BI$3="","",0)</f>
        <v/>
      </c>
      <c r="BJ15" s="350">
        <f>IF(BJ$3="","",0)</f>
        <v/>
      </c>
      <c r="BK15" s="350">
        <f>IF(BK$3="","",0)</f>
        <v/>
      </c>
      <c r="BL15" s="350">
        <f>IF(BL$3="","",0)</f>
        <v/>
      </c>
      <c r="BM15" s="350">
        <f>IF(BM$3="","",0)</f>
        <v/>
      </c>
      <c r="BN15" s="350">
        <f>IF(BN$3="","",0)</f>
        <v/>
      </c>
      <c r="BO15" s="350">
        <f>IF(BO$3="","",0)</f>
        <v/>
      </c>
      <c r="BP15" s="350">
        <f>IF(BP$3="","",0)</f>
        <v/>
      </c>
      <c r="BQ15" s="350">
        <f>IF(BQ$3="","",0)</f>
        <v/>
      </c>
      <c r="BR15" s="350">
        <f>IF(BR$3="","",0)</f>
        <v/>
      </c>
      <c r="BS15" s="350">
        <f>IF(BS$3="","",0)</f>
        <v/>
      </c>
      <c r="BT15" s="350">
        <f>IF(BT$3="","",0)</f>
        <v/>
      </c>
      <c r="BU15" s="350">
        <f>IF(BU$3="","",0)</f>
        <v/>
      </c>
      <c r="BV15" s="350">
        <f>IF(BV$3="","",0)</f>
        <v/>
      </c>
      <c r="BW15" s="350">
        <f>IF(BW$3="","",0)</f>
        <v/>
      </c>
      <c r="BX15" s="350">
        <f>IF(BX$3="","",0)</f>
        <v/>
      </c>
      <c r="BY15" s="350">
        <f>IF(BY$3="","",0)</f>
        <v/>
      </c>
      <c r="BZ15" s="350">
        <f>IF(BZ$3="","",0)</f>
        <v/>
      </c>
      <c r="CA15" s="350">
        <f>IF(CA$3="","",0)</f>
        <v/>
      </c>
      <c r="CB15" s="350">
        <f>IF(CB$3="","",0)</f>
        <v/>
      </c>
      <c r="CC15" s="350">
        <f>IF(CC$3="","",0)</f>
        <v/>
      </c>
      <c r="CD15" s="350">
        <f>IF(CD$3="","",0)</f>
        <v/>
      </c>
      <c r="CE15" s="350">
        <f>IF(CE$3="","",0)</f>
        <v/>
      </c>
      <c r="CF15" s="350">
        <f>IF(CF$3="","",0)</f>
        <v/>
      </c>
      <c r="CG15" s="350">
        <f>IF(CG$3="","",0)</f>
        <v/>
      </c>
      <c r="CH15" s="350">
        <f>IF(CH$3="","",0)</f>
        <v/>
      </c>
      <c r="CI15" s="350">
        <f>IF(CI$3="","",0)</f>
        <v/>
      </c>
      <c r="CJ15" s="350">
        <f>IF(CJ$3="","",0)</f>
        <v/>
      </c>
      <c r="CK15" s="350">
        <f>IF(CK$3="","",0)</f>
        <v/>
      </c>
      <c r="CL15" s="350">
        <f>IF(CL$3="","",0)</f>
        <v/>
      </c>
      <c r="CM15" s="350">
        <f>IF(CM$3="","",0)</f>
        <v/>
      </c>
      <c r="CN15" s="350">
        <f>IF(CN$3="","",0)</f>
        <v/>
      </c>
      <c r="CO15" s="350">
        <f>IF(CO$3="","",0)</f>
        <v/>
      </c>
      <c r="CP15" s="350">
        <f>IF(CP$3="","",0)</f>
        <v/>
      </c>
      <c r="CQ15" s="350">
        <f>IF(CQ$3="","",0)</f>
        <v/>
      </c>
      <c r="CR15" s="350">
        <f>IF(CR$3="","",0)</f>
        <v/>
      </c>
      <c r="CS15" s="350">
        <f>IF(CS$3="","",0)</f>
        <v/>
      </c>
      <c r="CT15" s="350">
        <f>IF(CT$3="","",0)</f>
        <v/>
      </c>
      <c r="CU15" s="350">
        <f>IF(CU$3="","",0)</f>
        <v/>
      </c>
      <c r="CV15" s="350">
        <f>IF(CV$3="","",0)</f>
        <v/>
      </c>
      <c r="CW15" s="350">
        <f>IF(CW$3="","",0)</f>
        <v/>
      </c>
    </row>
    <row r="16" ht="15" customHeight="1" s="180">
      <c r="A16" s="220" t="inlineStr">
        <is>
          <t>ご主人様年金収入</t>
        </is>
      </c>
      <c r="B16" s="350">
        <f>IF(B$3="","",IF(B4&gt;=前提条件!$C$37,前提条件!$C$39*12,0))</f>
        <v/>
      </c>
      <c r="C16" s="350">
        <f>IF(C$3="","",IF(C4&gt;=前提条件!$C$37,前提条件!$C$39*12,0))</f>
        <v/>
      </c>
      <c r="D16" s="350">
        <f>IF(D$3="","",IF(D4&gt;=前提条件!$C$37,前提条件!$C$39*12,0))</f>
        <v/>
      </c>
      <c r="E16" s="350">
        <f>IF(E$3="","",IF(E4&gt;=前提条件!$C$37,前提条件!$C$39*12,0))</f>
        <v/>
      </c>
      <c r="F16" s="350">
        <f>IF(F$3="","",IF(F4&gt;=前提条件!$C$37,前提条件!$C$39*12,0))</f>
        <v/>
      </c>
      <c r="G16" s="350">
        <f>IF(G$3="","",IF(G4&gt;=前提条件!$C$37,前提条件!$C$39*12,0))</f>
        <v/>
      </c>
      <c r="H16" s="350">
        <f>IF(H$3="","",IF(H4&gt;=前提条件!$C$37,前提条件!$C$39*12,0))</f>
        <v/>
      </c>
      <c r="I16" s="350">
        <f>IF(I$3="","",IF(I4&gt;=前提条件!$C$37,前提条件!$C$39*12,0))</f>
        <v/>
      </c>
      <c r="J16" s="350">
        <f>IF(J$3="","",IF(J4&gt;=前提条件!$C$37,前提条件!$C$39*12,0))</f>
        <v/>
      </c>
      <c r="K16" s="350">
        <f>IF(K$3="","",IF(K4&gt;=前提条件!$C$37,前提条件!$C$39*12,0))</f>
        <v/>
      </c>
      <c r="L16" s="350">
        <f>IF(L$3="","",IF(L4&gt;=前提条件!$C$37,前提条件!$C$39*12,0))</f>
        <v/>
      </c>
      <c r="M16" s="350">
        <f>IF(M$3="","",IF(M4&gt;=前提条件!$C$37,前提条件!$C$39*12,0))</f>
        <v/>
      </c>
      <c r="N16" s="350">
        <f>IF(N$3="","",IF(N4&gt;=前提条件!$C$37,前提条件!$C$39*12,0))</f>
        <v/>
      </c>
      <c r="O16" s="350">
        <f>IF(O$3="","",IF(O4&gt;=前提条件!$C$37,前提条件!$C$39*12,0))</f>
        <v/>
      </c>
      <c r="P16" s="350">
        <f>IF(P$3="","",IF(P4&gt;=前提条件!$C$37,前提条件!$C$39*12,0))</f>
        <v/>
      </c>
      <c r="Q16" s="350">
        <f>IF(Q$3="","",IF(Q4&gt;=前提条件!$C$37,前提条件!$C$39*12,0))</f>
        <v/>
      </c>
      <c r="R16" s="350">
        <f>IF(R$3="","",IF(R4&gt;=前提条件!$C$37,前提条件!$C$39*12,0))</f>
        <v/>
      </c>
      <c r="S16" s="350">
        <f>IF(S$3="","",IF(S4&gt;=前提条件!$C$37,前提条件!$C$39*12,0))</f>
        <v/>
      </c>
      <c r="T16" s="350">
        <f>IF(T$3="","",IF(T4&gt;=前提条件!$C$37,前提条件!$C$39*12,0))</f>
        <v/>
      </c>
      <c r="U16" s="350">
        <f>IF(U$3="","",IF(U4&gt;=前提条件!$C$37,前提条件!$C$39*12,0))</f>
        <v/>
      </c>
      <c r="V16" s="350">
        <f>IF(V$3="","",IF(V4&gt;=前提条件!$C$37,前提条件!$C$39*12,0))</f>
        <v/>
      </c>
      <c r="W16" s="350">
        <f>IF(W$3="","",IF(W4&gt;=前提条件!$C$37,前提条件!$C$39*12,0))</f>
        <v/>
      </c>
      <c r="X16" s="350">
        <f>IF(X$3="","",IF(X4&gt;=前提条件!$C$37,前提条件!$C$39*12,0))</f>
        <v/>
      </c>
      <c r="Y16" s="350">
        <f>IF(Y$3="","",IF(Y4&gt;=前提条件!$C$37,前提条件!$C$39*12,0))</f>
        <v/>
      </c>
      <c r="Z16" s="350">
        <f>IF(Z$3="","",IF(Z4&gt;=前提条件!$C$37,前提条件!$C$39*12,0))</f>
        <v/>
      </c>
      <c r="AA16" s="350">
        <f>IF(AA$3="","",IF(AA4&gt;=前提条件!$C$37,前提条件!$C$39*12,0))</f>
        <v/>
      </c>
      <c r="AB16" s="350">
        <f>IF(AB$3="","",IF(AB4&gt;=前提条件!$C$37,前提条件!$C$39*12,0))</f>
        <v/>
      </c>
      <c r="AC16" s="350">
        <f>IF(AC$3="","",IF(AC4&gt;=前提条件!$C$37,前提条件!$C$39*12,0))</f>
        <v/>
      </c>
      <c r="AD16" s="350">
        <f>IF(AD$3="","",IF(AD4&gt;=前提条件!$C$37,前提条件!$C$39*12,0))</f>
        <v/>
      </c>
      <c r="AE16" s="350">
        <f>IF(AE$3="","",IF(AE4&gt;=前提条件!$C$37,前提条件!$C$39*12,0))</f>
        <v/>
      </c>
      <c r="AF16" s="350">
        <f>IF(AF$3="","",IF(AF4&gt;=前提条件!$C$37,前提条件!$C$39*12,0))</f>
        <v/>
      </c>
      <c r="AG16" s="350">
        <f>IF(AG$3="","",IF(AG4&gt;=前提条件!$C$37,前提条件!$C$39*12,0))</f>
        <v/>
      </c>
      <c r="AH16" s="350">
        <f>IF(AH$3="","",IF(AH4&gt;=前提条件!$C$37,前提条件!$C$39*12,0))</f>
        <v/>
      </c>
      <c r="AI16" s="350">
        <f>IF(AI$3="","",IF(AI4&gt;=前提条件!$C$37,前提条件!$C$39*12,0))</f>
        <v/>
      </c>
      <c r="AJ16" s="350">
        <f>IF(AJ$3="","",IF(AJ4&gt;=前提条件!$C$37,前提条件!$C$39*12,0))</f>
        <v/>
      </c>
      <c r="AK16" s="350">
        <f>IF(AK$3="","",IF(AK4&gt;=前提条件!$C$37,前提条件!$C$39*12,0))</f>
        <v/>
      </c>
      <c r="AL16" s="350">
        <f>IF(AL$3="","",IF(AL4&gt;=前提条件!$C$37,前提条件!$C$39*12,0))</f>
        <v/>
      </c>
      <c r="AM16" s="350">
        <f>IF(AM$3="","",IF(AM4&gt;=前提条件!$C$37,前提条件!$C$39*12,0))</f>
        <v/>
      </c>
      <c r="AN16" s="350">
        <f>IF(AN$3="","",IF(AN4&gt;=前提条件!$C$37,前提条件!$C$39*12,0))</f>
        <v/>
      </c>
      <c r="AO16" s="350">
        <f>IF(AO$3="","",IF(AO4&gt;=前提条件!$C$37,前提条件!$C$39*12,0))</f>
        <v/>
      </c>
      <c r="AP16" s="350">
        <f>IF(AP$3="","",IF(AP4&gt;=前提条件!$C$37,前提条件!$C$39*12,0))</f>
        <v/>
      </c>
      <c r="AQ16" s="350">
        <f>IF(AQ$3="","",IF(AQ4&gt;=前提条件!$C$37,前提条件!$C$39*12,0))</f>
        <v/>
      </c>
      <c r="AR16" s="350">
        <f>IF(AR$3="","",IF(AR4&gt;=前提条件!$C$37,前提条件!$C$39*12,0))</f>
        <v/>
      </c>
      <c r="AS16" s="350">
        <f>IF(AS$3="","",IF(AS4&gt;=前提条件!$C$37,前提条件!$C$39*12,0))</f>
        <v/>
      </c>
      <c r="AT16" s="350">
        <f>IF(AT$3="","",IF(AT4&gt;=前提条件!$C$37,前提条件!$C$39*12,0))</f>
        <v/>
      </c>
      <c r="AU16" s="350">
        <f>IF(AU$3="","",IF(AU4&gt;=前提条件!$C$37,前提条件!$C$39*12,0))</f>
        <v/>
      </c>
      <c r="AV16" s="350">
        <f>IF(AV$3="","",IF(AV4&gt;=前提条件!$C$37,前提条件!$C$39*12,0))</f>
        <v/>
      </c>
      <c r="AW16" s="350">
        <f>IF(AW$3="","",IF(AW4&gt;=前提条件!$C$37,前提条件!$C$39*12,0))</f>
        <v/>
      </c>
      <c r="AX16" s="350">
        <f>IF(AX$3="","",IF(AX4&gt;=前提条件!$C$37,前提条件!$C$39*12,0))</f>
        <v/>
      </c>
      <c r="AY16" s="350">
        <f>IF(AY$3="","",IF(AY4&gt;=前提条件!$C$37,前提条件!$C$39*12,0))</f>
        <v/>
      </c>
      <c r="AZ16" s="350">
        <f>IF(AZ$3="","",IF(AZ4&gt;=前提条件!$C$37,前提条件!$C$39*12,0))</f>
        <v/>
      </c>
      <c r="BA16" s="350">
        <f>IF(BA$3="","",IF(BA4&gt;=前提条件!$C$37,前提条件!$C$39*12,0))</f>
        <v/>
      </c>
      <c r="BB16" s="350">
        <f>IF(BB$3="","",IF(BB4&gt;=前提条件!$C$37,前提条件!$C$39*12,0))</f>
        <v/>
      </c>
      <c r="BC16" s="350">
        <f>IF(BC$3="","",IF(BC4&gt;=前提条件!$C$37,前提条件!$C$39*12,0))</f>
        <v/>
      </c>
      <c r="BD16" s="350">
        <f>IF(BD$3="","",IF(BD4&gt;=前提条件!$C$37,前提条件!$C$39*12,0))</f>
        <v/>
      </c>
      <c r="BE16" s="350">
        <f>IF(BE$3="","",IF(BE4&gt;=前提条件!$C$37,前提条件!$C$39*12,0))</f>
        <v/>
      </c>
      <c r="BF16" s="350">
        <f>IF(BF$3="","",IF(BF4&gt;=前提条件!$C$37,前提条件!$C$39*12,0))</f>
        <v/>
      </c>
      <c r="BG16" s="350">
        <f>IF(BG$3="","",IF(BG4&gt;=前提条件!$C$37,前提条件!$C$39*12,0))</f>
        <v/>
      </c>
      <c r="BH16" s="350">
        <f>IF(BH$3="","",IF(BH4&gt;=前提条件!$C$37,前提条件!$C$39*12,0))</f>
        <v/>
      </c>
      <c r="BI16" s="350">
        <f>IF(BI$3="","",IF(BI4&gt;=前提条件!$C$37,前提条件!$C$39*12,0))</f>
        <v/>
      </c>
      <c r="BJ16" s="350">
        <f>IF(BJ$3="","",IF(BJ4&gt;=前提条件!$C$37,前提条件!$C$39*12,0))</f>
        <v/>
      </c>
      <c r="BK16" s="350">
        <f>IF(BK$3="","",IF(BK4&gt;=前提条件!$C$37,前提条件!$C$39*12,0))</f>
        <v/>
      </c>
      <c r="BL16" s="350">
        <f>IF(BL$3="","",IF(BL4&gt;=前提条件!$C$37,前提条件!$C$39*12,0))</f>
        <v/>
      </c>
      <c r="BM16" s="350">
        <f>IF(BM$3="","",IF(BM4&gt;=前提条件!$C$37,前提条件!$C$39*12,0))</f>
        <v/>
      </c>
      <c r="BN16" s="350">
        <f>IF(BN$3="","",IF(BN4&gt;=前提条件!$C$37,前提条件!$C$39*12,0))</f>
        <v/>
      </c>
      <c r="BO16" s="350">
        <f>IF(BO$3="","",IF(BO4&gt;=前提条件!$C$37,前提条件!$C$39*12,0))</f>
        <v/>
      </c>
      <c r="BP16" s="350">
        <f>IF(BP$3="","",IF(BP4&gt;=前提条件!$C$37,前提条件!$C$39*12,0))</f>
        <v/>
      </c>
      <c r="BQ16" s="350">
        <f>IF(BQ$3="","",IF(BQ4&gt;=前提条件!$C$37,前提条件!$C$39*12,0))</f>
        <v/>
      </c>
      <c r="BR16" s="350">
        <f>IF(BR$3="","",IF(BR4&gt;=前提条件!$C$37,前提条件!$C$39*12,0))</f>
        <v/>
      </c>
      <c r="BS16" s="350">
        <f>IF(BS$3="","",IF(BS4&gt;=前提条件!$C$37,前提条件!$C$39*12,0))</f>
        <v/>
      </c>
      <c r="BT16" s="350">
        <f>IF(BT$3="","",IF(BT4&gt;=前提条件!$C$37,前提条件!$C$39*12,0))</f>
        <v/>
      </c>
      <c r="BU16" s="350">
        <f>IF(BU$3="","",IF(BU4&gt;=前提条件!$C$37,前提条件!$C$39*12,0))</f>
        <v/>
      </c>
      <c r="BV16" s="350">
        <f>IF(BV$3="","",IF(BV4&gt;=前提条件!$C$37,前提条件!$C$39*12,0))</f>
        <v/>
      </c>
      <c r="BW16" s="350">
        <f>IF(BW$3="","",IF(BW4&gt;=前提条件!$C$37,前提条件!$C$39*12,0))</f>
        <v/>
      </c>
      <c r="BX16" s="350">
        <f>IF(BX$3="","",IF(BX4&gt;=前提条件!$C$37,前提条件!$C$39*12,0))</f>
        <v/>
      </c>
      <c r="BY16" s="350">
        <f>IF(BY$3="","",IF(BY4&gt;=前提条件!$C$37,前提条件!$C$39*12,0))</f>
        <v/>
      </c>
      <c r="BZ16" s="350">
        <f>IF(BZ$3="","",IF(BZ4&gt;=前提条件!$C$37,前提条件!$C$39*12,0))</f>
        <v/>
      </c>
      <c r="CA16" s="350">
        <f>IF(CA$3="","",IF(CA4&gt;=前提条件!$C$37,前提条件!$C$39*12,0))</f>
        <v/>
      </c>
      <c r="CB16" s="350">
        <f>IF(CB$3="","",IF(CB4&gt;=前提条件!$C$37,前提条件!$C$39*12,0))</f>
        <v/>
      </c>
      <c r="CC16" s="350">
        <f>IF(CC$3="","",IF(CC4&gt;=前提条件!$C$37,前提条件!$C$39*12,0))</f>
        <v/>
      </c>
      <c r="CD16" s="350">
        <f>IF(CD$3="","",IF(CD4&gt;=前提条件!$C$37,前提条件!$C$39*12,0))</f>
        <v/>
      </c>
      <c r="CE16" s="350">
        <f>IF(CE$3="","",IF(CE4&gt;=前提条件!$C$37,前提条件!$C$39*12,0))</f>
        <v/>
      </c>
      <c r="CF16" s="350">
        <f>IF(CF$3="","",IF(CF4&gt;=前提条件!$C$37,前提条件!$C$39*12,0))</f>
        <v/>
      </c>
      <c r="CG16" s="350">
        <f>IF(CG$3="","",IF(CG4&gt;=前提条件!$C$37,前提条件!$C$39*12,0))</f>
        <v/>
      </c>
      <c r="CH16" s="350">
        <f>IF(CH$3="","",IF(CH4&gt;=前提条件!$C$37,前提条件!$C$39*12,0))</f>
        <v/>
      </c>
      <c r="CI16" s="350">
        <f>IF(CI$3="","",IF(CI4&gt;=前提条件!$C$37,前提条件!$C$39*12,0))</f>
        <v/>
      </c>
      <c r="CJ16" s="350">
        <f>IF(CJ$3="","",IF(CJ4&gt;=前提条件!$C$37,前提条件!$C$39*12,0))</f>
        <v/>
      </c>
      <c r="CK16" s="350">
        <f>IF(CK$3="","",IF(CK4&gt;=前提条件!$C$37,前提条件!$C$39*12,0))</f>
        <v/>
      </c>
      <c r="CL16" s="350">
        <f>IF(CL$3="","",IF(CL4&gt;=前提条件!$C$37,前提条件!$C$39*12,0))</f>
        <v/>
      </c>
      <c r="CM16" s="350">
        <f>IF(CM$3="","",IF(CM4&gt;=前提条件!$C$37,前提条件!$C$39*12,0))</f>
        <v/>
      </c>
      <c r="CN16" s="350">
        <f>IF(CN$3="","",IF(CN4&gt;=前提条件!$C$37,前提条件!$C$39*12,0))</f>
        <v/>
      </c>
      <c r="CO16" s="350">
        <f>IF(CO$3="","",IF(CO4&gt;=前提条件!$C$37,前提条件!$C$39*12,0))</f>
        <v/>
      </c>
      <c r="CP16" s="350">
        <f>IF(CP$3="","",IF(CP4&gt;=前提条件!$C$37,前提条件!$C$39*12,0))</f>
        <v/>
      </c>
      <c r="CQ16" s="350">
        <f>IF(CQ$3="","",IF(CQ4&gt;=前提条件!$C$37,前提条件!$C$39*12,0))</f>
        <v/>
      </c>
      <c r="CR16" s="350">
        <f>IF(CR$3="","",IF(CR4&gt;=前提条件!$C$37,前提条件!$C$39*12,0))</f>
        <v/>
      </c>
      <c r="CS16" s="350">
        <f>IF(CS$3="","",IF(CS4&gt;=前提条件!$C$37,前提条件!$C$39*12,0))</f>
        <v/>
      </c>
      <c r="CT16" s="350">
        <f>IF(CT$3="","",IF(CT4&gt;=前提条件!$C$37,前提条件!$C$39*12,0))</f>
        <v/>
      </c>
      <c r="CU16" s="350">
        <f>IF(CU$3="","",IF(CU4&gt;=前提条件!$C$37,前提条件!$C$39*12,0))</f>
        <v/>
      </c>
      <c r="CV16" s="350">
        <f>IF(CV$3="","",IF(CV4&gt;=前提条件!$C$37,前提条件!$C$39*12,0))</f>
        <v/>
      </c>
      <c r="CW16" s="350">
        <f>IF(CW$3="","",IF(CW4&gt;=前提条件!$C$37,前提条件!$C$39*12,0))</f>
        <v/>
      </c>
    </row>
    <row r="17" ht="15" customHeight="1" s="180">
      <c r="A17" s="220" t="inlineStr">
        <is>
          <t>奥様年金収入</t>
        </is>
      </c>
      <c r="B17" s="350">
        <f>IF(B$3="","",IF(B5&gt;=前提条件!$C$38,前提条件!$C$40*12,0))</f>
        <v/>
      </c>
      <c r="C17" s="350">
        <f>IF(C$3="","",IF(C5&gt;=前提条件!$C$38,前提条件!$C$40*12,0))</f>
        <v/>
      </c>
      <c r="D17" s="350">
        <f>IF(D$3="","",IF(D5&gt;=前提条件!$C$38,前提条件!$C$40*12,0))</f>
        <v/>
      </c>
      <c r="E17" s="350">
        <f>IF(E$3="","",IF(E5&gt;=前提条件!$C$38,前提条件!$C$40*12,0))</f>
        <v/>
      </c>
      <c r="F17" s="350">
        <f>IF(F$3="","",IF(F5&gt;=前提条件!$C$38,前提条件!$C$40*12,0))</f>
        <v/>
      </c>
      <c r="G17" s="350">
        <f>IF(G$3="","",IF(G5&gt;=前提条件!$C$38,前提条件!$C$40*12,0))</f>
        <v/>
      </c>
      <c r="H17" s="350">
        <f>IF(H$3="","",IF(H5&gt;=前提条件!$C$38,前提条件!$C$40*12,0))</f>
        <v/>
      </c>
      <c r="I17" s="350">
        <f>IF(I$3="","",IF(I5&gt;=前提条件!$C$38,前提条件!$C$40*12,0))</f>
        <v/>
      </c>
      <c r="J17" s="350">
        <f>IF(J$3="","",IF(J5&gt;=前提条件!$C$38,前提条件!$C$40*12,0))</f>
        <v/>
      </c>
      <c r="K17" s="350">
        <f>IF(K$3="","",IF(K5&gt;=前提条件!$C$38,前提条件!$C$40*12,0))</f>
        <v/>
      </c>
      <c r="L17" s="350">
        <f>IF(L$3="","",IF(L5&gt;=前提条件!$C$38,前提条件!$C$40*12,0))</f>
        <v/>
      </c>
      <c r="M17" s="350">
        <f>IF(M$3="","",IF(M5&gt;=前提条件!$C$38,前提条件!$C$40*12,0))</f>
        <v/>
      </c>
      <c r="N17" s="350">
        <f>IF(N$3="","",IF(N5&gt;=前提条件!$C$38,前提条件!$C$40*12,0))</f>
        <v/>
      </c>
      <c r="O17" s="350">
        <f>IF(O$3="","",IF(O5&gt;=前提条件!$C$38,前提条件!$C$40*12,0))</f>
        <v/>
      </c>
      <c r="P17" s="350">
        <f>IF(P$3="","",IF(P5&gt;=前提条件!$C$38,前提条件!$C$40*12,0))</f>
        <v/>
      </c>
      <c r="Q17" s="350">
        <f>IF(Q$3="","",IF(Q5&gt;=前提条件!$C$38,前提条件!$C$40*12,0))</f>
        <v/>
      </c>
      <c r="R17" s="350">
        <f>IF(R$3="","",IF(R5&gt;=前提条件!$C$38,前提条件!$C$40*12,0))</f>
        <v/>
      </c>
      <c r="S17" s="350">
        <f>IF(S$3="","",IF(S5&gt;=前提条件!$C$38,前提条件!$C$40*12,0))</f>
        <v/>
      </c>
      <c r="T17" s="350">
        <f>IF(T$3="","",IF(T5&gt;=前提条件!$C$38,前提条件!$C$40*12,0))</f>
        <v/>
      </c>
      <c r="U17" s="350">
        <f>IF(U$3="","",IF(U5&gt;=前提条件!$C$38,前提条件!$C$40*12,0))</f>
        <v/>
      </c>
      <c r="V17" s="350">
        <f>IF(V$3="","",IF(V5&gt;=前提条件!$C$38,前提条件!$C$40*12,0))</f>
        <v/>
      </c>
      <c r="W17" s="350">
        <f>IF(W$3="","",IF(W5&gt;=前提条件!$C$38,前提条件!$C$40*12,0))</f>
        <v/>
      </c>
      <c r="X17" s="350">
        <f>IF(X$3="","",IF(X5&gt;=前提条件!$C$38,前提条件!$C$40*12,0))</f>
        <v/>
      </c>
      <c r="Y17" s="350">
        <f>IF(Y$3="","",IF(Y5&gt;=前提条件!$C$38,前提条件!$C$40*12,0))</f>
        <v/>
      </c>
      <c r="Z17" s="350">
        <f>IF(Z$3="","",IF(Z5&gt;=前提条件!$C$38,前提条件!$C$40*12,0))</f>
        <v/>
      </c>
      <c r="AA17" s="350">
        <f>IF(AA$3="","",IF(AA5&gt;=前提条件!$C$38,前提条件!$C$40*12,0))</f>
        <v/>
      </c>
      <c r="AB17" s="350">
        <f>IF(AB$3="","",IF(AB5&gt;=前提条件!$C$38,前提条件!$C$40*12,0))</f>
        <v/>
      </c>
      <c r="AC17" s="350">
        <f>IF(AC$3="","",IF(AC5&gt;=前提条件!$C$38,前提条件!$C$40*12,0))</f>
        <v/>
      </c>
      <c r="AD17" s="350">
        <f>IF(AD$3="","",IF(AD5&gt;=前提条件!$C$38,前提条件!$C$40*12,0))</f>
        <v/>
      </c>
      <c r="AE17" s="350">
        <f>IF(AE$3="","",IF(AE5&gt;=前提条件!$C$38,前提条件!$C$40*12,0))</f>
        <v/>
      </c>
      <c r="AF17" s="350">
        <f>IF(AF$3="","",IF(AF5&gt;=前提条件!$C$38,前提条件!$C$40*12,0))</f>
        <v/>
      </c>
      <c r="AG17" s="350">
        <f>IF(AG$3="","",IF(AG5&gt;=前提条件!$C$38,前提条件!$C$40*12,0))</f>
        <v/>
      </c>
      <c r="AH17" s="350">
        <f>IF(AH$3="","",IF(AH5&gt;=前提条件!$C$38,前提条件!$C$40*12,0))</f>
        <v/>
      </c>
      <c r="AI17" s="350">
        <f>IF(AI$3="","",IF(AI5&gt;=前提条件!$C$38,前提条件!$C$40*12,0))</f>
        <v/>
      </c>
      <c r="AJ17" s="350">
        <f>IF(AJ$3="","",IF(AJ5&gt;=前提条件!$C$38,前提条件!$C$40*12,0))</f>
        <v/>
      </c>
      <c r="AK17" s="350">
        <f>IF(AK$3="","",IF(AK5&gt;=前提条件!$C$38,前提条件!$C$40*12,0))</f>
        <v/>
      </c>
      <c r="AL17" s="350">
        <f>IF(AL$3="","",IF(AL5&gt;=前提条件!$C$38,前提条件!$C$40*12,0))</f>
        <v/>
      </c>
      <c r="AM17" s="350">
        <f>IF(AM$3="","",IF(AM5&gt;=前提条件!$C$38,前提条件!$C$40*12,0))</f>
        <v/>
      </c>
      <c r="AN17" s="350">
        <f>IF(AN$3="","",IF(AN5&gt;=前提条件!$C$38,前提条件!$C$40*12,0))</f>
        <v/>
      </c>
      <c r="AO17" s="350">
        <f>IF(AO$3="","",IF(AO5&gt;=前提条件!$C$38,前提条件!$C$40*12,0))</f>
        <v/>
      </c>
      <c r="AP17" s="350">
        <f>IF(AP$3="","",IF(AP5&gt;=前提条件!$C$38,前提条件!$C$40*12,0))</f>
        <v/>
      </c>
      <c r="AQ17" s="350">
        <f>IF(AQ$3="","",IF(AQ5&gt;=前提条件!$C$38,前提条件!$C$40*12,0))</f>
        <v/>
      </c>
      <c r="AR17" s="350">
        <f>IF(AR$3="","",IF(AR5&gt;=前提条件!$C$38,前提条件!$C$40*12,0))</f>
        <v/>
      </c>
      <c r="AS17" s="350">
        <f>IF(AS$3="","",IF(AS5&gt;=前提条件!$C$38,前提条件!$C$40*12,0))</f>
        <v/>
      </c>
      <c r="AT17" s="350">
        <f>IF(AT$3="","",IF(AT5&gt;=前提条件!$C$38,前提条件!$C$40*12,0))</f>
        <v/>
      </c>
      <c r="AU17" s="350">
        <f>IF(AU$3="","",IF(AU5&gt;=前提条件!$C$38,前提条件!$C$40*12,0))</f>
        <v/>
      </c>
      <c r="AV17" s="350">
        <f>IF(AV$3="","",IF(AV5&gt;=前提条件!$C$38,前提条件!$C$40*12,0))</f>
        <v/>
      </c>
      <c r="AW17" s="350">
        <f>IF(AW$3="","",IF(AW5&gt;=前提条件!$C$38,前提条件!$C$40*12,0))</f>
        <v/>
      </c>
      <c r="AX17" s="350">
        <f>IF(AX$3="","",IF(AX5&gt;=前提条件!$C$38,前提条件!$C$40*12,0))</f>
        <v/>
      </c>
      <c r="AY17" s="350">
        <f>IF(AY$3="","",IF(AY5&gt;=前提条件!$C$38,前提条件!$C$40*12,0))</f>
        <v/>
      </c>
      <c r="AZ17" s="350">
        <f>IF(AZ$3="","",IF(AZ5&gt;=前提条件!$C$38,前提条件!$C$40*12,0))</f>
        <v/>
      </c>
      <c r="BA17" s="350">
        <f>IF(BA$3="","",IF(BA5&gt;=前提条件!$C$38,前提条件!$C$40*12,0))</f>
        <v/>
      </c>
      <c r="BB17" s="350">
        <f>IF(BB$3="","",IF(BB5&gt;=前提条件!$C$38,前提条件!$C$40*12,0))</f>
        <v/>
      </c>
      <c r="BC17" s="350">
        <f>IF(BC$3="","",IF(BC5&gt;=前提条件!$C$38,前提条件!$C$40*12,0))</f>
        <v/>
      </c>
      <c r="BD17" s="350">
        <f>IF(BD$3="","",IF(BD5&gt;=前提条件!$C$38,前提条件!$C$40*12,0))</f>
        <v/>
      </c>
      <c r="BE17" s="350">
        <f>IF(BE$3="","",IF(BE5&gt;=前提条件!$C$38,前提条件!$C$40*12,0))</f>
        <v/>
      </c>
      <c r="BF17" s="350">
        <f>IF(BF$3="","",IF(BF5&gt;=前提条件!$C$38,前提条件!$C$40*12,0))</f>
        <v/>
      </c>
      <c r="BG17" s="350">
        <f>IF(BG$3="","",IF(BG5&gt;=前提条件!$C$38,前提条件!$C$40*12,0))</f>
        <v/>
      </c>
      <c r="BH17" s="350">
        <f>IF(BH$3="","",IF(BH5&gt;=前提条件!$C$38,前提条件!$C$40*12,0))</f>
        <v/>
      </c>
      <c r="BI17" s="350">
        <f>IF(BI$3="","",IF(BI5&gt;=前提条件!$C$38,前提条件!$C$40*12,0))</f>
        <v/>
      </c>
      <c r="BJ17" s="350">
        <f>IF(BJ$3="","",IF(BJ5&gt;=前提条件!$C$38,前提条件!$C$40*12,0))</f>
        <v/>
      </c>
      <c r="BK17" s="350">
        <f>IF(BK$3="","",IF(BK5&gt;=前提条件!$C$38,前提条件!$C$40*12,0))</f>
        <v/>
      </c>
      <c r="BL17" s="350">
        <f>IF(BL$3="","",IF(BL5&gt;=前提条件!$C$38,前提条件!$C$40*12,0))</f>
        <v/>
      </c>
      <c r="BM17" s="350">
        <f>IF(BM$3="","",IF(BM5&gt;=前提条件!$C$38,前提条件!$C$40*12,0))</f>
        <v/>
      </c>
      <c r="BN17" s="350">
        <f>IF(BN$3="","",IF(BN5&gt;=前提条件!$C$38,前提条件!$C$40*12,0))</f>
        <v/>
      </c>
      <c r="BO17" s="350">
        <f>IF(BO$3="","",IF(BO5&gt;=前提条件!$C$38,前提条件!$C$40*12,0))</f>
        <v/>
      </c>
      <c r="BP17" s="350">
        <f>IF(BP$3="","",IF(BP5&gt;=前提条件!$C$38,前提条件!$C$40*12,0))</f>
        <v/>
      </c>
      <c r="BQ17" s="350">
        <f>IF(BQ$3="","",IF(BQ5&gt;=前提条件!$C$38,前提条件!$C$40*12,0))</f>
        <v/>
      </c>
      <c r="BR17" s="350">
        <f>IF(BR$3="","",IF(BR5&gt;=前提条件!$C$38,前提条件!$C$40*12,0))</f>
        <v/>
      </c>
      <c r="BS17" s="350">
        <f>IF(BS$3="","",IF(BS5&gt;=前提条件!$C$38,前提条件!$C$40*12,0))</f>
        <v/>
      </c>
      <c r="BT17" s="350">
        <f>IF(BT$3="","",IF(BT5&gt;=前提条件!$C$38,前提条件!$C$40*12,0))</f>
        <v/>
      </c>
      <c r="BU17" s="350">
        <f>IF(BU$3="","",IF(BU5&gt;=前提条件!$C$38,前提条件!$C$40*12,0))</f>
        <v/>
      </c>
      <c r="BV17" s="350">
        <f>IF(BV$3="","",IF(BV5&gt;=前提条件!$C$38,前提条件!$C$40*12,0))</f>
        <v/>
      </c>
      <c r="BW17" s="350">
        <f>IF(BW$3="","",IF(BW5&gt;=前提条件!$C$38,前提条件!$C$40*12,0))</f>
        <v/>
      </c>
      <c r="BX17" s="350">
        <f>IF(BX$3="","",IF(BX5&gt;=前提条件!$C$38,前提条件!$C$40*12,0))</f>
        <v/>
      </c>
      <c r="BY17" s="350">
        <f>IF(BY$3="","",IF(BY5&gt;=前提条件!$C$38,前提条件!$C$40*12,0))</f>
        <v/>
      </c>
      <c r="BZ17" s="350">
        <f>IF(BZ$3="","",IF(BZ5&gt;=前提条件!$C$38,前提条件!$C$40*12,0))</f>
        <v/>
      </c>
      <c r="CA17" s="350">
        <f>IF(CA$3="","",IF(CA5&gt;=前提条件!$C$38,前提条件!$C$40*12,0))</f>
        <v/>
      </c>
      <c r="CB17" s="350">
        <f>IF(CB$3="","",IF(CB5&gt;=前提条件!$C$38,前提条件!$C$40*12,0))</f>
        <v/>
      </c>
      <c r="CC17" s="350">
        <f>IF(CC$3="","",IF(CC5&gt;=前提条件!$C$38,前提条件!$C$40*12,0))</f>
        <v/>
      </c>
      <c r="CD17" s="350">
        <f>IF(CD$3="","",IF(CD5&gt;=前提条件!$C$38,前提条件!$C$40*12,0))</f>
        <v/>
      </c>
      <c r="CE17" s="350">
        <f>IF(CE$3="","",IF(CE5&gt;=前提条件!$C$38,前提条件!$C$40*12,0))</f>
        <v/>
      </c>
      <c r="CF17" s="350">
        <f>IF(CF$3="","",IF(CF5&gt;=前提条件!$C$38,前提条件!$C$40*12,0))</f>
        <v/>
      </c>
      <c r="CG17" s="350">
        <f>IF(CG$3="","",IF(CG5&gt;=前提条件!$C$38,前提条件!$C$40*12,0))</f>
        <v/>
      </c>
      <c r="CH17" s="350">
        <f>IF(CH$3="","",IF(CH5&gt;=前提条件!$C$38,前提条件!$C$40*12,0))</f>
        <v/>
      </c>
      <c r="CI17" s="350">
        <f>IF(CI$3="","",IF(CI5&gt;=前提条件!$C$38,前提条件!$C$40*12,0))</f>
        <v/>
      </c>
      <c r="CJ17" s="350">
        <f>IF(CJ$3="","",IF(CJ5&gt;=前提条件!$C$38,前提条件!$C$40*12,0))</f>
        <v/>
      </c>
      <c r="CK17" s="350">
        <f>IF(CK$3="","",IF(CK5&gt;=前提条件!$C$38,前提条件!$C$40*12,0))</f>
        <v/>
      </c>
      <c r="CL17" s="350">
        <f>IF(CL$3="","",IF(CL5&gt;=前提条件!$C$38,前提条件!$C$40*12,0))</f>
        <v/>
      </c>
      <c r="CM17" s="350">
        <f>IF(CM$3="","",IF(CM5&gt;=前提条件!$C$38,前提条件!$C$40*12,0))</f>
        <v/>
      </c>
      <c r="CN17" s="350">
        <f>IF(CN$3="","",IF(CN5&gt;=前提条件!$C$38,前提条件!$C$40*12,0))</f>
        <v/>
      </c>
      <c r="CO17" s="350">
        <f>IF(CO$3="","",IF(CO5&gt;=前提条件!$C$38,前提条件!$C$40*12,0))</f>
        <v/>
      </c>
      <c r="CP17" s="350">
        <f>IF(CP$3="","",IF(CP5&gt;=前提条件!$C$38,前提条件!$C$40*12,0))</f>
        <v/>
      </c>
      <c r="CQ17" s="350">
        <f>IF(CQ$3="","",IF(CQ5&gt;=前提条件!$C$38,前提条件!$C$40*12,0))</f>
        <v/>
      </c>
      <c r="CR17" s="350">
        <f>IF(CR$3="","",IF(CR5&gt;=前提条件!$C$38,前提条件!$C$40*12,0))</f>
        <v/>
      </c>
      <c r="CS17" s="350">
        <f>IF(CS$3="","",IF(CS5&gt;=前提条件!$C$38,前提条件!$C$40*12,0))</f>
        <v/>
      </c>
      <c r="CT17" s="350">
        <f>IF(CT$3="","",IF(CT5&gt;=前提条件!$C$38,前提条件!$C$40*12,0))</f>
        <v/>
      </c>
      <c r="CU17" s="350">
        <f>IF(CU$3="","",IF(CU5&gt;=前提条件!$C$38,前提条件!$C$40*12,0))</f>
        <v/>
      </c>
      <c r="CV17" s="350">
        <f>IF(CV$3="","",IF(CV5&gt;=前提条件!$C$38,前提条件!$C$40*12,0))</f>
        <v/>
      </c>
      <c r="CW17" s="350">
        <f>IF(CW$3="","",IF(CW5&gt;=前提条件!$C$38,前提条件!$C$40*12,0))</f>
        <v/>
      </c>
    </row>
    <row r="18" ht="15" customHeight="1" s="180">
      <c r="A18" s="222" t="inlineStr">
        <is>
          <t>世帯収入合計</t>
        </is>
      </c>
      <c r="B18" s="351">
        <f>IF(B$3="","",SUM(B10:B17))</f>
        <v/>
      </c>
      <c r="C18" s="351">
        <f>IF(C$3="","",SUM(C10:C17))</f>
        <v/>
      </c>
      <c r="D18" s="351">
        <f>IF(D$3="","",SUM(D10:D17))</f>
        <v/>
      </c>
      <c r="E18" s="351">
        <f>IF(E$3="","",SUM(E10:E17))</f>
        <v/>
      </c>
      <c r="F18" s="351">
        <f>IF(F$3="","",SUM(F10:F17))</f>
        <v/>
      </c>
      <c r="G18" s="351">
        <f>IF(G$3="","",SUM(G10:G17))</f>
        <v/>
      </c>
      <c r="H18" s="351">
        <f>IF(H$3="","",SUM(H10:H17))</f>
        <v/>
      </c>
      <c r="I18" s="351">
        <f>IF(I$3="","",SUM(I10:I17))</f>
        <v/>
      </c>
      <c r="J18" s="351">
        <f>IF(J$3="","",SUM(J10:J17))</f>
        <v/>
      </c>
      <c r="K18" s="351">
        <f>IF(K$3="","",SUM(K10:K17))</f>
        <v/>
      </c>
      <c r="L18" s="351">
        <f>IF(L$3="","",SUM(L10:L17))</f>
        <v/>
      </c>
      <c r="M18" s="351">
        <f>IF(M$3="","",SUM(M10:M17))</f>
        <v/>
      </c>
      <c r="N18" s="351">
        <f>IF(N$3="","",SUM(N10:N17))</f>
        <v/>
      </c>
      <c r="O18" s="351">
        <f>IF(O$3="","",SUM(O10:O17))</f>
        <v/>
      </c>
      <c r="P18" s="351">
        <f>IF(P$3="","",SUM(P10:P17))</f>
        <v/>
      </c>
      <c r="Q18" s="351">
        <f>IF(Q$3="","",SUM(Q10:Q17))</f>
        <v/>
      </c>
      <c r="R18" s="351">
        <f>IF(R$3="","",SUM(R10:R17))</f>
        <v/>
      </c>
      <c r="S18" s="351">
        <f>IF(S$3="","",SUM(S10:S17))</f>
        <v/>
      </c>
      <c r="T18" s="351">
        <f>IF(T$3="","",SUM(T10:T17))</f>
        <v/>
      </c>
      <c r="U18" s="351">
        <f>IF(U$3="","",SUM(U10:U17))</f>
        <v/>
      </c>
      <c r="V18" s="351">
        <f>IF(V$3="","",SUM(V10:V17))</f>
        <v/>
      </c>
      <c r="W18" s="351">
        <f>IF(W$3="","",SUM(W10:W17))</f>
        <v/>
      </c>
      <c r="X18" s="351">
        <f>IF(X$3="","",SUM(X10:X17))</f>
        <v/>
      </c>
      <c r="Y18" s="351">
        <f>IF(Y$3="","",SUM(Y10:Y17))</f>
        <v/>
      </c>
      <c r="Z18" s="351">
        <f>IF(Z$3="","",SUM(Z10:Z17))</f>
        <v/>
      </c>
      <c r="AA18" s="351">
        <f>IF(AA$3="","",SUM(AA10:AA17))</f>
        <v/>
      </c>
      <c r="AB18" s="351">
        <f>IF(AB$3="","",SUM(AB10:AB17))</f>
        <v/>
      </c>
      <c r="AC18" s="351">
        <f>IF(AC$3="","",SUM(AC10:AC17))</f>
        <v/>
      </c>
      <c r="AD18" s="351">
        <f>IF(AD$3="","",SUM(AD10:AD17))</f>
        <v/>
      </c>
      <c r="AE18" s="351">
        <f>IF(AE$3="","",SUM(AE10:AE17))</f>
        <v/>
      </c>
      <c r="AF18" s="351">
        <f>IF(AF$3="","",SUM(AF10:AF17))</f>
        <v/>
      </c>
      <c r="AG18" s="351">
        <f>IF(AG$3="","",SUM(AG10:AG17))</f>
        <v/>
      </c>
      <c r="AH18" s="351">
        <f>IF(AH$3="","",SUM(AH10:AH17))</f>
        <v/>
      </c>
      <c r="AI18" s="351">
        <f>IF(AI$3="","",SUM(AI10:AI17))</f>
        <v/>
      </c>
      <c r="AJ18" s="351">
        <f>IF(AJ$3="","",SUM(AJ10:AJ17))</f>
        <v/>
      </c>
      <c r="AK18" s="351">
        <f>IF(AK$3="","",SUM(AK10:AK17))</f>
        <v/>
      </c>
      <c r="AL18" s="351">
        <f>IF(AL$3="","",SUM(AL10:AL17))</f>
        <v/>
      </c>
      <c r="AM18" s="351">
        <f>IF(AM$3="","",SUM(AM10:AM17))</f>
        <v/>
      </c>
      <c r="AN18" s="351">
        <f>IF(AN$3="","",SUM(AN10:AN17))</f>
        <v/>
      </c>
      <c r="AO18" s="351">
        <f>IF(AO$3="","",SUM(AO10:AO17))</f>
        <v/>
      </c>
      <c r="AP18" s="351">
        <f>IF(AP$3="","",SUM(AP10:AP17))</f>
        <v/>
      </c>
      <c r="AQ18" s="351">
        <f>IF(AQ$3="","",SUM(AQ10:AQ17))</f>
        <v/>
      </c>
      <c r="AR18" s="351">
        <f>IF(AR$3="","",SUM(AR10:AR17))</f>
        <v/>
      </c>
      <c r="AS18" s="351">
        <f>IF(AS$3="","",SUM(AS10:AS17))</f>
        <v/>
      </c>
      <c r="AT18" s="351">
        <f>IF(AT$3="","",SUM(AT10:AT17))</f>
        <v/>
      </c>
      <c r="AU18" s="351">
        <f>IF(AU$3="","",SUM(AU10:AU17))</f>
        <v/>
      </c>
      <c r="AV18" s="351">
        <f>IF(AV$3="","",SUM(AV10:AV17))</f>
        <v/>
      </c>
      <c r="AW18" s="351">
        <f>IF(AW$3="","",SUM(AW10:AW17))</f>
        <v/>
      </c>
      <c r="AX18" s="351">
        <f>IF(AX$3="","",SUM(AX10:AX17))</f>
        <v/>
      </c>
      <c r="AY18" s="351">
        <f>IF(AY$3="","",SUM(AY10:AY17))</f>
        <v/>
      </c>
      <c r="AZ18" s="351">
        <f>IF(AZ$3="","",SUM(AZ10:AZ17))</f>
        <v/>
      </c>
      <c r="BA18" s="351">
        <f>IF(BA$3="","",SUM(BA10:BA17))</f>
        <v/>
      </c>
      <c r="BB18" s="351">
        <f>IF(BB$3="","",SUM(BB10:BB17))</f>
        <v/>
      </c>
      <c r="BC18" s="351">
        <f>IF(BC$3="","",SUM(BC10:BC17))</f>
        <v/>
      </c>
      <c r="BD18" s="351">
        <f>IF(BD$3="","",SUM(BD10:BD17))</f>
        <v/>
      </c>
      <c r="BE18" s="351">
        <f>IF(BE$3="","",SUM(BE10:BE17))</f>
        <v/>
      </c>
      <c r="BF18" s="351">
        <f>IF(BF$3="","",SUM(BF10:BF17))</f>
        <v/>
      </c>
      <c r="BG18" s="351">
        <f>IF(BG$3="","",SUM(BG10:BG17))</f>
        <v/>
      </c>
      <c r="BH18" s="351">
        <f>IF(BH$3="","",SUM(BH10:BH17))</f>
        <v/>
      </c>
      <c r="BI18" s="351">
        <f>IF(BI$3="","",SUM(BI10:BI17))</f>
        <v/>
      </c>
      <c r="BJ18" s="351">
        <f>IF(BJ$3="","",SUM(BJ10:BJ17))</f>
        <v/>
      </c>
      <c r="BK18" s="351">
        <f>IF(BK$3="","",SUM(BK10:BK17))</f>
        <v/>
      </c>
      <c r="BL18" s="351">
        <f>IF(BL$3="","",SUM(BL10:BL17))</f>
        <v/>
      </c>
      <c r="BM18" s="351">
        <f>IF(BM$3="","",SUM(BM10:BM17))</f>
        <v/>
      </c>
      <c r="BN18" s="351">
        <f>IF(BN$3="","",SUM(BN10:BN17))</f>
        <v/>
      </c>
      <c r="BO18" s="351">
        <f>IF(BO$3="","",SUM(BO10:BO17))</f>
        <v/>
      </c>
      <c r="BP18" s="351">
        <f>IF(BP$3="","",SUM(BP10:BP17))</f>
        <v/>
      </c>
      <c r="BQ18" s="351">
        <f>IF(BQ$3="","",SUM(BQ10:BQ17))</f>
        <v/>
      </c>
      <c r="BR18" s="351">
        <f>IF(BR$3="","",SUM(BR10:BR17))</f>
        <v/>
      </c>
      <c r="BS18" s="351">
        <f>IF(BS$3="","",SUM(BS10:BS17))</f>
        <v/>
      </c>
      <c r="BT18" s="351">
        <f>IF(BT$3="","",SUM(BT10:BT17))</f>
        <v/>
      </c>
      <c r="BU18" s="351">
        <f>IF(BU$3="","",SUM(BU10:BU17))</f>
        <v/>
      </c>
      <c r="BV18" s="351">
        <f>IF(BV$3="","",SUM(BV10:BV17))</f>
        <v/>
      </c>
      <c r="BW18" s="351">
        <f>IF(BW$3="","",SUM(BW10:BW17))</f>
        <v/>
      </c>
      <c r="BX18" s="351">
        <f>IF(BX$3="","",SUM(BX10:BX17))</f>
        <v/>
      </c>
      <c r="BY18" s="351">
        <f>IF(BY$3="","",SUM(BY10:BY17))</f>
        <v/>
      </c>
      <c r="BZ18" s="351">
        <f>IF(BZ$3="","",SUM(BZ10:BZ17))</f>
        <v/>
      </c>
      <c r="CA18" s="351">
        <f>IF(CA$3="","",SUM(CA10:CA17))</f>
        <v/>
      </c>
      <c r="CB18" s="351">
        <f>IF(CB$3="","",SUM(CB10:CB17))</f>
        <v/>
      </c>
      <c r="CC18" s="351">
        <f>IF(CC$3="","",SUM(CC10:CC17))</f>
        <v/>
      </c>
      <c r="CD18" s="351">
        <f>IF(CD$3="","",SUM(CD10:CD17))</f>
        <v/>
      </c>
      <c r="CE18" s="351">
        <f>IF(CE$3="","",SUM(CE10:CE17))</f>
        <v/>
      </c>
      <c r="CF18" s="351">
        <f>IF(CF$3="","",SUM(CF10:CF17))</f>
        <v/>
      </c>
      <c r="CG18" s="351">
        <f>IF(CG$3="","",SUM(CG10:CG17))</f>
        <v/>
      </c>
      <c r="CH18" s="351">
        <f>IF(CH$3="","",SUM(CH10:CH17))</f>
        <v/>
      </c>
      <c r="CI18" s="351">
        <f>IF(CI$3="","",SUM(CI10:CI17))</f>
        <v/>
      </c>
      <c r="CJ18" s="351">
        <f>IF(CJ$3="","",SUM(CJ10:CJ17))</f>
        <v/>
      </c>
      <c r="CK18" s="351">
        <f>IF(CK$3="","",SUM(CK10:CK17))</f>
        <v/>
      </c>
      <c r="CL18" s="351">
        <f>IF(CL$3="","",SUM(CL10:CL17))</f>
        <v/>
      </c>
      <c r="CM18" s="351">
        <f>IF(CM$3="","",SUM(CM10:CM17))</f>
        <v/>
      </c>
      <c r="CN18" s="351">
        <f>IF(CN$3="","",SUM(CN10:CN17))</f>
        <v/>
      </c>
      <c r="CO18" s="351">
        <f>IF(CO$3="","",SUM(CO10:CO17))</f>
        <v/>
      </c>
      <c r="CP18" s="351">
        <f>IF(CP$3="","",SUM(CP10:CP17))</f>
        <v/>
      </c>
      <c r="CQ18" s="351">
        <f>IF(CQ$3="","",SUM(CQ10:CQ17))</f>
        <v/>
      </c>
      <c r="CR18" s="351">
        <f>IF(CR$3="","",SUM(CR10:CR17))</f>
        <v/>
      </c>
      <c r="CS18" s="351">
        <f>IF(CS$3="","",SUM(CS10:CS17))</f>
        <v/>
      </c>
      <c r="CT18" s="351">
        <f>IF(CT$3="","",SUM(CT10:CT17))</f>
        <v/>
      </c>
      <c r="CU18" s="351">
        <f>IF(CU$3="","",SUM(CU10:CU17))</f>
        <v/>
      </c>
      <c r="CV18" s="351">
        <f>IF(CV$3="","",SUM(CV10:CV17))</f>
        <v/>
      </c>
      <c r="CW18" s="351">
        <f>IF(CW$3="","",SUM(CW10:CW17))</f>
        <v/>
      </c>
    </row>
    <row r="19" ht="15" customHeight="1" s="180">
      <c r="A19" s="205" t="inlineStr">
        <is>
          <t>収入</t>
        </is>
      </c>
      <c r="B19" s="219" t="n"/>
      <c r="C19" s="219" t="n"/>
      <c r="D19" s="219" t="n"/>
      <c r="E19" s="219" t="n"/>
      <c r="F19" s="219" t="n"/>
      <c r="G19" s="219" t="n"/>
      <c r="H19" s="219" t="n"/>
      <c r="I19" s="219" t="n"/>
      <c r="J19" s="219" t="n"/>
      <c r="K19" s="219" t="n"/>
      <c r="L19" s="219" t="n"/>
      <c r="M19" s="219" t="n"/>
      <c r="N19" s="219" t="n"/>
      <c r="O19" s="219" t="n"/>
      <c r="P19" s="219" t="n"/>
      <c r="Q19" s="219" t="n"/>
      <c r="R19" s="219" t="n"/>
      <c r="S19" s="219" t="n"/>
      <c r="T19" s="219" t="n"/>
      <c r="U19" s="219" t="n"/>
      <c r="V19" s="219" t="n"/>
      <c r="W19" s="219" t="n"/>
      <c r="X19" s="219" t="n"/>
      <c r="Y19" s="219" t="n"/>
      <c r="Z19" s="219" t="n"/>
      <c r="AA19" s="219" t="n"/>
      <c r="AB19" s="219" t="n"/>
      <c r="AC19" s="219" t="n"/>
      <c r="AD19" s="219" t="n"/>
      <c r="AE19" s="219" t="n"/>
      <c r="AF19" s="219" t="n"/>
      <c r="AG19" s="219" t="n"/>
      <c r="AH19" s="219" t="n"/>
      <c r="AI19" s="219" t="n"/>
      <c r="AJ19" s="219" t="n"/>
      <c r="AK19" s="219" t="n"/>
      <c r="AL19" s="219" t="n"/>
      <c r="AM19" s="219" t="n"/>
      <c r="AN19" s="219" t="n"/>
      <c r="AO19" s="219" t="n"/>
      <c r="AP19" s="219" t="n"/>
      <c r="AQ19" s="219" t="n"/>
      <c r="AR19" s="219" t="n"/>
      <c r="AS19" s="219" t="n"/>
      <c r="AT19" s="219" t="n"/>
      <c r="AU19" s="219" t="n"/>
      <c r="AV19" s="219" t="n"/>
      <c r="AW19" s="219" t="n"/>
      <c r="AX19" s="219" t="n"/>
      <c r="AY19" s="219" t="n"/>
      <c r="AZ19" s="219" t="n"/>
      <c r="BA19" s="219" t="n"/>
      <c r="BB19" s="219" t="n"/>
      <c r="BC19" s="219" t="n"/>
      <c r="BD19" s="219" t="n"/>
      <c r="BE19" s="219" t="n"/>
      <c r="BF19" s="219" t="n"/>
      <c r="BG19" s="219" t="n"/>
      <c r="BH19" s="219" t="n"/>
      <c r="BI19" s="219" t="n"/>
      <c r="BJ19" s="219" t="n"/>
      <c r="BK19" s="219" t="n"/>
      <c r="BL19" s="219" t="n"/>
      <c r="BM19" s="219" t="n"/>
      <c r="BN19" s="219" t="n"/>
      <c r="BO19" s="219" t="n"/>
      <c r="BP19" s="219" t="n"/>
      <c r="BQ19" s="219" t="n"/>
      <c r="BR19" s="219" t="n"/>
      <c r="BS19" s="219" t="n"/>
      <c r="BT19" s="219" t="n"/>
      <c r="BU19" s="219" t="n"/>
      <c r="BV19" s="219" t="n"/>
      <c r="BW19" s="219" t="n"/>
      <c r="BX19" s="219" t="n"/>
      <c r="BY19" s="219" t="n"/>
      <c r="BZ19" s="219" t="n"/>
      <c r="CA19" s="219" t="n"/>
      <c r="CB19" s="219" t="n"/>
      <c r="CC19" s="219" t="n"/>
      <c r="CD19" s="219" t="n"/>
      <c r="CE19" s="219" t="n"/>
      <c r="CF19" s="219" t="n"/>
      <c r="CG19" s="219" t="n"/>
      <c r="CH19" s="219" t="n"/>
      <c r="CI19" s="219" t="n"/>
      <c r="CJ19" s="219" t="n"/>
      <c r="CK19" s="219" t="n"/>
      <c r="CL19" s="219" t="n"/>
      <c r="CM19" s="219" t="n"/>
      <c r="CN19" s="219" t="n"/>
      <c r="CO19" s="219" t="n"/>
      <c r="CP19" s="219" t="n"/>
      <c r="CQ19" s="219" t="n"/>
      <c r="CR19" s="219" t="n"/>
      <c r="CS19" s="219" t="n"/>
      <c r="CT19" s="219" t="n"/>
      <c r="CU19" s="219" t="n"/>
      <c r="CV19" s="219" t="n"/>
      <c r="CW19" s="219" t="n"/>
    </row>
    <row r="20" ht="15" customHeight="1" s="180">
      <c r="A20" s="224" t="inlineStr">
        <is>
          <t>基本生活費</t>
        </is>
      </c>
      <c r="B20" s="352">
        <f>IF(B$3="","",IF(MIN(B4,B5)&gt;=入力データ!$C$111,入力データ!$C$112*12*(1+前提条件!$C$14)^(B$3-$B$3),SUM(入力データ!$C$41:$C$52)*12*(1+前提条件!$C$12)^(B$3-$B$3)))</f>
        <v/>
      </c>
      <c r="C20" s="352">
        <f>IF(C$3="","",IF(MIN(C4,C5)&gt;=入力データ!$C$111,入力データ!$C$112*12*(1+前提条件!$C$14)^(C$3-$B$3),SUM(入力データ!$C$41:$C$52)*12*(1+前提条件!$C$12)^(C$3-$B$3)))</f>
        <v/>
      </c>
      <c r="D20" s="352">
        <f>IF(D$3="","",IF(MIN(D4,D5)&gt;=入力データ!$C$111,入力データ!$C$112*12*(1+前提条件!$C$14)^(D$3-$B$3),SUM(入力データ!$C$41:$C$52)*12*(1+前提条件!$C$12)^(D$3-$B$3)))</f>
        <v/>
      </c>
      <c r="E20" s="352">
        <f>IF(E$3="","",IF(MIN(E4,E5)&gt;=入力データ!$C$111,入力データ!$C$112*12*(1+前提条件!$C$14)^(E$3-$B$3),SUM(入力データ!$C$41:$C$52)*12*(1+前提条件!$C$12)^(E$3-$B$3)))</f>
        <v/>
      </c>
      <c r="F20" s="352">
        <f>IF(F$3="","",IF(MIN(F4,F5)&gt;=入力データ!$C$111,入力データ!$C$112*12*(1+前提条件!$C$14)^(F$3-$B$3),SUM(入力データ!$C$41:$C$52)*12*(1+前提条件!$C$12)^(F$3-$B$3)))</f>
        <v/>
      </c>
      <c r="G20" s="352">
        <f>IF(G$3="","",IF(MIN(G4,G5)&gt;=入力データ!$C$111,入力データ!$C$112*12*(1+前提条件!$C$14)^(G$3-$B$3),SUM(入力データ!$C$41:$C$52)*12*(1+前提条件!$C$12)^(G$3-$B$3)))</f>
        <v/>
      </c>
      <c r="H20" s="352">
        <f>IF(H$3="","",IF(MIN(H4,H5)&gt;=入力データ!$C$111,入力データ!$C$112*12*(1+前提条件!$C$14)^(H$3-$B$3),SUM(入力データ!$C$41:$C$52)*12*(1+前提条件!$C$12)^(H$3-$B$3)))</f>
        <v/>
      </c>
      <c r="I20" s="352">
        <f>IF(I$3="","",IF(MIN(I4,I5)&gt;=入力データ!$C$111,入力データ!$C$112*12*(1+前提条件!$C$14)^(I$3-$B$3),SUM(入力データ!$C$41:$C$52)*12*(1+前提条件!$C$12)^(I$3-$B$3)))</f>
        <v/>
      </c>
      <c r="J20" s="352">
        <f>IF(J$3="","",IF(MIN(J4,J5)&gt;=入力データ!$C$111,入力データ!$C$112*12*(1+前提条件!$C$14)^(J$3-$B$3),SUM(入力データ!$C$41:$C$52)*12*(1+前提条件!$C$12)^(J$3-$B$3)))</f>
        <v/>
      </c>
      <c r="K20" s="352">
        <f>IF(K$3="","",IF(MIN(K4,K5)&gt;=入力データ!$C$111,入力データ!$C$112*12*(1+前提条件!$C$14)^(K$3-$B$3),SUM(入力データ!$C$41:$C$52)*12*(1+前提条件!$C$12)^(K$3-$B$3)))</f>
        <v/>
      </c>
      <c r="L20" s="352">
        <f>IF(L$3="","",IF(MIN(L4,L5)&gt;=入力データ!$C$111,入力データ!$C$112*12*(1+前提条件!$C$14)^(L$3-$B$3),SUM(入力データ!$C$41:$C$52)*12*(1+前提条件!$C$12)^(L$3-$B$3)))</f>
        <v/>
      </c>
      <c r="M20" s="352">
        <f>IF(M$3="","",IF(MIN(M4,M5)&gt;=入力データ!$C$111,入力データ!$C$112*12*(1+前提条件!$C$14)^(M$3-$B$3),SUM(入力データ!$C$41:$C$52)*12*(1+前提条件!$C$12)^(M$3-$B$3)))</f>
        <v/>
      </c>
      <c r="N20" s="352">
        <f>IF(N$3="","",IF(MIN(N4,N5)&gt;=入力データ!$C$111,入力データ!$C$112*12*(1+前提条件!$C$14)^(N$3-$B$3),SUM(入力データ!$C$41:$C$52)*12*(1+前提条件!$C$12)^(N$3-$B$3)))</f>
        <v/>
      </c>
      <c r="O20" s="352">
        <f>IF(O$3="","",IF(MIN(O4,O5)&gt;=入力データ!$C$111,入力データ!$C$112*12*(1+前提条件!$C$14)^(O$3-$B$3),SUM(入力データ!$C$41:$C$52)*12*(1+前提条件!$C$12)^(O$3-$B$3)))</f>
        <v/>
      </c>
      <c r="P20" s="352">
        <f>IF(P$3="","",IF(MIN(P4,P5)&gt;=入力データ!$C$111,入力データ!$C$112*12*(1+前提条件!$C$14)^(P$3-$B$3),SUM(入力データ!$C$41:$C$52)*12*(1+前提条件!$C$12)^(P$3-$B$3)))</f>
        <v/>
      </c>
      <c r="Q20" s="352">
        <f>IF(Q$3="","",IF(MIN(Q4,Q5)&gt;=入力データ!$C$111,入力データ!$C$112*12*(1+前提条件!$C$14)^(Q$3-$B$3),SUM(入力データ!$C$41:$C$52)*12*(1+前提条件!$C$12)^(Q$3-$B$3)))</f>
        <v/>
      </c>
      <c r="R20" s="352">
        <f>IF(R$3="","",IF(MIN(R4,R5)&gt;=入力データ!$C$111,入力データ!$C$112*12*(1+前提条件!$C$14)^(R$3-$B$3),SUM(入力データ!$C$41:$C$52)*12*(1+前提条件!$C$12)^(R$3-$B$3)))</f>
        <v/>
      </c>
      <c r="S20" s="352">
        <f>IF(S$3="","",IF(MIN(S4,S5)&gt;=入力データ!$C$111,入力データ!$C$112*12*(1+前提条件!$C$14)^(S$3-$B$3),SUM(入力データ!$C$41:$C$52)*12*(1+前提条件!$C$12)^(S$3-$B$3)))</f>
        <v/>
      </c>
      <c r="T20" s="352">
        <f>IF(T$3="","",IF(MIN(T4,T5)&gt;=入力データ!$C$111,入力データ!$C$112*12*(1+前提条件!$C$14)^(T$3-$B$3),SUM(入力データ!$C$41:$C$52)*12*(1+前提条件!$C$12)^(T$3-$B$3)))</f>
        <v/>
      </c>
      <c r="U20" s="352">
        <f>IF(U$3="","",IF(MIN(U4,U5)&gt;=入力データ!$C$111,入力データ!$C$112*12*(1+前提条件!$C$14)^(U$3-$B$3),SUM(入力データ!$C$41:$C$52)*12*(1+前提条件!$C$12)^(U$3-$B$3)))</f>
        <v/>
      </c>
      <c r="V20" s="352">
        <f>IF(V$3="","",IF(MIN(V4,V5)&gt;=入力データ!$C$111,入力データ!$C$112*12*(1+前提条件!$C$14)^(V$3-$B$3),SUM(入力データ!$C$41:$C$52)*12*(1+前提条件!$C$12)^(V$3-$B$3)))</f>
        <v/>
      </c>
      <c r="W20" s="352">
        <f>IF(W$3="","",IF(MIN(W4,W5)&gt;=入力データ!$C$111,入力データ!$C$112*12*(1+前提条件!$C$14)^(W$3-$B$3),SUM(入力データ!$C$41:$C$52)*12*(1+前提条件!$C$12)^(W$3-$B$3)))</f>
        <v/>
      </c>
      <c r="X20" s="352">
        <f>IF(X$3="","",IF(MIN(X4,X5)&gt;=入力データ!$C$111,入力データ!$C$112*12*(1+前提条件!$C$14)^(X$3-$B$3),SUM(入力データ!$C$41:$C$52)*12*(1+前提条件!$C$12)^(X$3-$B$3)))</f>
        <v/>
      </c>
      <c r="Y20" s="352">
        <f>IF(Y$3="","",IF(MIN(Y4,Y5)&gt;=入力データ!$C$111,入力データ!$C$112*12*(1+前提条件!$C$14)^(Y$3-$B$3),SUM(入力データ!$C$41:$C$52)*12*(1+前提条件!$C$12)^(Y$3-$B$3)))</f>
        <v/>
      </c>
      <c r="Z20" s="352">
        <f>IF(Z$3="","",IF(MIN(Z4,Z5)&gt;=入力データ!$C$111,入力データ!$C$112*12*(1+前提条件!$C$14)^(Z$3-$B$3),SUM(入力データ!$C$41:$C$52)*12*(1+前提条件!$C$12)^(Z$3-$B$3)))</f>
        <v/>
      </c>
      <c r="AA20" s="352">
        <f>IF(AA$3="","",IF(MIN(AA4,AA5)&gt;=入力データ!$C$111,入力データ!$C$112*12*(1+前提条件!$C$14)^(AA$3-$B$3),SUM(入力データ!$C$41:$C$52)*12*(1+前提条件!$C$12)^(AA$3-$B$3)))</f>
        <v/>
      </c>
      <c r="AB20" s="352">
        <f>IF(AB$3="","",IF(MIN(AB4,AB5)&gt;=入力データ!$C$111,入力データ!$C$112*12*(1+前提条件!$C$14)^(AB$3-$B$3),SUM(入力データ!$C$41:$C$52)*12*(1+前提条件!$C$12)^(AB$3-$B$3)))</f>
        <v/>
      </c>
      <c r="AC20" s="352">
        <f>IF(AC$3="","",IF(MIN(AC4,AC5)&gt;=入力データ!$C$111,入力データ!$C$112*12*(1+前提条件!$C$14)^(AC$3-$B$3),SUM(入力データ!$C$41:$C$52)*12*(1+前提条件!$C$12)^(AC$3-$B$3)))</f>
        <v/>
      </c>
      <c r="AD20" s="352">
        <f>IF(AD$3="","",IF(MIN(AD4,AD5)&gt;=入力データ!$C$111,入力データ!$C$112*12*(1+前提条件!$C$14)^(AD$3-$B$3),SUM(入力データ!$C$41:$C$52)*12*(1+前提条件!$C$12)^(AD$3-$B$3)))</f>
        <v/>
      </c>
      <c r="AE20" s="352">
        <f>IF(AE$3="","",IF(MIN(AE4,AE5)&gt;=入力データ!$C$111,入力データ!$C$112*12*(1+前提条件!$C$14)^(AE$3-$B$3),SUM(入力データ!$C$41:$C$52)*12*(1+前提条件!$C$12)^(AE$3-$B$3)))</f>
        <v/>
      </c>
      <c r="AF20" s="352">
        <f>IF(AF$3="","",IF(MIN(AF4,AF5)&gt;=入力データ!$C$111,入力データ!$C$112*12*(1+前提条件!$C$14)^(AF$3-$B$3),SUM(入力データ!$C$41:$C$52)*12*(1+前提条件!$C$12)^(AF$3-$B$3)))</f>
        <v/>
      </c>
      <c r="AG20" s="352">
        <f>IF(AG$3="","",IF(MIN(AG4,AG5)&gt;=入力データ!$C$111,入力データ!$C$112*12*(1+前提条件!$C$14)^(AG$3-$B$3),SUM(入力データ!$C$41:$C$52)*12*(1+前提条件!$C$12)^(AG$3-$B$3)))</f>
        <v/>
      </c>
      <c r="AH20" s="352">
        <f>IF(AH$3="","",IF(MIN(AH4,AH5)&gt;=入力データ!$C$111,入力データ!$C$112*12*(1+前提条件!$C$14)^(AH$3-$B$3),SUM(入力データ!$C$41:$C$52)*12*(1+前提条件!$C$12)^(AH$3-$B$3)))</f>
        <v/>
      </c>
      <c r="AI20" s="352">
        <f>IF(AI$3="","",IF(MIN(AI4,AI5)&gt;=入力データ!$C$111,入力データ!$C$112*12*(1+前提条件!$C$14)^(AI$3-$B$3),SUM(入力データ!$C$41:$C$52)*12*(1+前提条件!$C$12)^(AI$3-$B$3)))</f>
        <v/>
      </c>
      <c r="AJ20" s="352">
        <f>IF(AJ$3="","",IF(MIN(AJ4,AJ5)&gt;=入力データ!$C$111,入力データ!$C$112*12*(1+前提条件!$C$14)^(AJ$3-$B$3),SUM(入力データ!$C$41:$C$52)*12*(1+前提条件!$C$12)^(AJ$3-$B$3)))</f>
        <v/>
      </c>
      <c r="AK20" s="352">
        <f>IF(AK$3="","",IF(MIN(AK4,AK5)&gt;=入力データ!$C$111,入力データ!$C$112*12*(1+前提条件!$C$14)^(AK$3-$B$3),SUM(入力データ!$C$41:$C$52)*12*(1+前提条件!$C$12)^(AK$3-$B$3)))</f>
        <v/>
      </c>
      <c r="AL20" s="352">
        <f>IF(AL$3="","",IF(MIN(AL4,AL5)&gt;=入力データ!$C$111,入力データ!$C$112*12*(1+前提条件!$C$14)^(AL$3-$B$3),SUM(入力データ!$C$41:$C$52)*12*(1+前提条件!$C$12)^(AL$3-$B$3)))</f>
        <v/>
      </c>
      <c r="AM20" s="352">
        <f>IF(AM$3="","",IF(MIN(AM4,AM5)&gt;=入力データ!$C$111,入力データ!$C$112*12*(1+前提条件!$C$14)^(AM$3-$B$3),SUM(入力データ!$C$41:$C$52)*12*(1+前提条件!$C$12)^(AM$3-$B$3)))</f>
        <v/>
      </c>
      <c r="AN20" s="352">
        <f>IF(AN$3="","",IF(MIN(AN4,AN5)&gt;=入力データ!$C$111,入力データ!$C$112*12*(1+前提条件!$C$14)^(AN$3-$B$3),SUM(入力データ!$C$41:$C$52)*12*(1+前提条件!$C$12)^(AN$3-$B$3)))</f>
        <v/>
      </c>
      <c r="AO20" s="352">
        <f>IF(AO$3="","",IF(MIN(AO4,AO5)&gt;=入力データ!$C$111,入力データ!$C$112*12*(1+前提条件!$C$14)^(AO$3-$B$3),SUM(入力データ!$C$41:$C$52)*12*(1+前提条件!$C$12)^(AO$3-$B$3)))</f>
        <v/>
      </c>
      <c r="AP20" s="352">
        <f>IF(AP$3="","",IF(MIN(AP4,AP5)&gt;=入力データ!$C$111,入力データ!$C$112*12*(1+前提条件!$C$14)^(AP$3-$B$3),SUM(入力データ!$C$41:$C$52)*12*(1+前提条件!$C$12)^(AP$3-$B$3)))</f>
        <v/>
      </c>
      <c r="AQ20" s="352">
        <f>IF(AQ$3="","",IF(MIN(AQ4,AQ5)&gt;=入力データ!$C$111,入力データ!$C$112*12*(1+前提条件!$C$14)^(AQ$3-$B$3),SUM(入力データ!$C$41:$C$52)*12*(1+前提条件!$C$12)^(AQ$3-$B$3)))</f>
        <v/>
      </c>
      <c r="AR20" s="352">
        <f>IF(AR$3="","",IF(MIN(AR4,AR5)&gt;=入力データ!$C$111,入力データ!$C$112*12*(1+前提条件!$C$14)^(AR$3-$B$3),SUM(入力データ!$C$41:$C$52)*12*(1+前提条件!$C$12)^(AR$3-$B$3)))</f>
        <v/>
      </c>
      <c r="AS20" s="352">
        <f>IF(AS$3="","",IF(MIN(AS4,AS5)&gt;=入力データ!$C$111,入力データ!$C$112*12*(1+前提条件!$C$14)^(AS$3-$B$3),SUM(入力データ!$C$41:$C$52)*12*(1+前提条件!$C$12)^(AS$3-$B$3)))</f>
        <v/>
      </c>
      <c r="AT20" s="352">
        <f>IF(AT$3="","",IF(MIN(AT4,AT5)&gt;=入力データ!$C$111,入力データ!$C$112*12*(1+前提条件!$C$14)^(AT$3-$B$3),SUM(入力データ!$C$41:$C$52)*12*(1+前提条件!$C$12)^(AT$3-$B$3)))</f>
        <v/>
      </c>
      <c r="AU20" s="352">
        <f>IF(AU$3="","",IF(MIN(AU4,AU5)&gt;=入力データ!$C$111,入力データ!$C$112*12*(1+前提条件!$C$14)^(AU$3-$B$3),SUM(入力データ!$C$41:$C$52)*12*(1+前提条件!$C$12)^(AU$3-$B$3)))</f>
        <v/>
      </c>
      <c r="AV20" s="352">
        <f>IF(AV$3="","",IF(MIN(AV4,AV5)&gt;=入力データ!$C$111,入力データ!$C$112*12*(1+前提条件!$C$14)^(AV$3-$B$3),SUM(入力データ!$C$41:$C$52)*12*(1+前提条件!$C$12)^(AV$3-$B$3)))</f>
        <v/>
      </c>
      <c r="AW20" s="352">
        <f>IF(AW$3="","",IF(MIN(AW4,AW5)&gt;=入力データ!$C$111,入力データ!$C$112*12*(1+前提条件!$C$14)^(AW$3-$B$3),SUM(入力データ!$C$41:$C$52)*12*(1+前提条件!$C$12)^(AW$3-$B$3)))</f>
        <v/>
      </c>
      <c r="AX20" s="352">
        <f>IF(AX$3="","",IF(MIN(AX4,AX5)&gt;=入力データ!$C$111,入力データ!$C$112*12*(1+前提条件!$C$14)^(AX$3-$B$3),SUM(入力データ!$C$41:$C$52)*12*(1+前提条件!$C$12)^(AX$3-$B$3)))</f>
        <v/>
      </c>
      <c r="AY20" s="352">
        <f>IF(AY$3="","",IF(MIN(AY4,AY5)&gt;=入力データ!$C$111,入力データ!$C$112*12*(1+前提条件!$C$14)^(AY$3-$B$3),SUM(入力データ!$C$41:$C$52)*12*(1+前提条件!$C$12)^(AY$3-$B$3)))</f>
        <v/>
      </c>
      <c r="AZ20" s="352">
        <f>IF(AZ$3="","",IF(MIN(AZ4,AZ5)&gt;=入力データ!$C$111,入力データ!$C$112*12*(1+前提条件!$C$14)^(AZ$3-$B$3),SUM(入力データ!$C$41:$C$52)*12*(1+前提条件!$C$12)^(AZ$3-$B$3)))</f>
        <v/>
      </c>
      <c r="BA20" s="352">
        <f>IF(BA$3="","",IF(MIN(BA4,BA5)&gt;=入力データ!$C$111,入力データ!$C$112*12*(1+前提条件!$C$14)^(BA$3-$B$3),SUM(入力データ!$C$41:$C$52)*12*(1+前提条件!$C$12)^(BA$3-$B$3)))</f>
        <v/>
      </c>
      <c r="BB20" s="352">
        <f>IF(BB$3="","",IF(MIN(BB4,BB5)&gt;=入力データ!$C$111,入力データ!$C$112*12*(1+前提条件!$C$14)^(BB$3-$B$3),SUM(入力データ!$C$41:$C$52)*12*(1+前提条件!$C$12)^(BB$3-$B$3)))</f>
        <v/>
      </c>
      <c r="BC20" s="352">
        <f>IF(BC$3="","",IF(MIN(BC4,BC5)&gt;=入力データ!$C$111,入力データ!$C$112*12*(1+前提条件!$C$14)^(BC$3-$B$3),SUM(入力データ!$C$41:$C$52)*12*(1+前提条件!$C$12)^(BC$3-$B$3)))</f>
        <v/>
      </c>
      <c r="BD20" s="352">
        <f>IF(BD$3="","",IF(MIN(BD4,BD5)&gt;=入力データ!$C$111,入力データ!$C$112*12*(1+前提条件!$C$14)^(BD$3-$B$3),SUM(入力データ!$C$41:$C$52)*12*(1+前提条件!$C$12)^(BD$3-$B$3)))</f>
        <v/>
      </c>
      <c r="BE20" s="352">
        <f>IF(BE$3="","",IF(MIN(BE4,BE5)&gt;=入力データ!$C$111,入力データ!$C$112*12*(1+前提条件!$C$14)^(BE$3-$B$3),SUM(入力データ!$C$41:$C$52)*12*(1+前提条件!$C$12)^(BE$3-$B$3)))</f>
        <v/>
      </c>
      <c r="BF20" s="352">
        <f>IF(BF$3="","",IF(MIN(BF4,BF5)&gt;=入力データ!$C$111,入力データ!$C$112*12*(1+前提条件!$C$14)^(BF$3-$B$3),SUM(入力データ!$C$41:$C$52)*12*(1+前提条件!$C$12)^(BF$3-$B$3)))</f>
        <v/>
      </c>
      <c r="BG20" s="352">
        <f>IF(BG$3="","",IF(MIN(BG4,BG5)&gt;=入力データ!$C$111,入力データ!$C$112*12*(1+前提条件!$C$14)^(BG$3-$B$3),SUM(入力データ!$C$41:$C$52)*12*(1+前提条件!$C$12)^(BG$3-$B$3)))</f>
        <v/>
      </c>
      <c r="BH20" s="352">
        <f>IF(BH$3="","",IF(MIN(BH4,BH5)&gt;=入力データ!$C$111,入力データ!$C$112*12*(1+前提条件!$C$14)^(BH$3-$B$3),SUM(入力データ!$C$41:$C$52)*12*(1+前提条件!$C$12)^(BH$3-$B$3)))</f>
        <v/>
      </c>
      <c r="BI20" s="352">
        <f>IF(BI$3="","",IF(MIN(BI4,BI5)&gt;=入力データ!$C$111,入力データ!$C$112*12*(1+前提条件!$C$14)^(BI$3-$B$3),SUM(入力データ!$C$41:$C$52)*12*(1+前提条件!$C$12)^(BI$3-$B$3)))</f>
        <v/>
      </c>
      <c r="BJ20" s="352">
        <f>IF(BJ$3="","",IF(MIN(BJ4,BJ5)&gt;=入力データ!$C$111,入力データ!$C$112*12*(1+前提条件!$C$14)^(BJ$3-$B$3),SUM(入力データ!$C$41:$C$52)*12*(1+前提条件!$C$12)^(BJ$3-$B$3)))</f>
        <v/>
      </c>
      <c r="BK20" s="352">
        <f>IF(BK$3="","",IF(MIN(BK4,BK5)&gt;=入力データ!$C$111,入力データ!$C$112*12*(1+前提条件!$C$14)^(BK$3-$B$3),SUM(入力データ!$C$41:$C$52)*12*(1+前提条件!$C$12)^(BK$3-$B$3)))</f>
        <v/>
      </c>
      <c r="BL20" s="352">
        <f>IF(BL$3="","",IF(MIN(BL4,BL5)&gt;=入力データ!$C$111,入力データ!$C$112*12*(1+前提条件!$C$14)^(BL$3-$B$3),SUM(入力データ!$C$41:$C$52)*12*(1+前提条件!$C$12)^(BL$3-$B$3)))</f>
        <v/>
      </c>
      <c r="BM20" s="352">
        <f>IF(BM$3="","",IF(MIN(BM4,BM5)&gt;=入力データ!$C$111,入力データ!$C$112*12*(1+前提条件!$C$14)^(BM$3-$B$3),SUM(入力データ!$C$41:$C$52)*12*(1+前提条件!$C$12)^(BM$3-$B$3)))</f>
        <v/>
      </c>
      <c r="BN20" s="352">
        <f>IF(BN$3="","",IF(MIN(BN4,BN5)&gt;=入力データ!$C$111,入力データ!$C$112*12*(1+前提条件!$C$14)^(BN$3-$B$3),SUM(入力データ!$C$41:$C$52)*12*(1+前提条件!$C$12)^(BN$3-$B$3)))</f>
        <v/>
      </c>
      <c r="BO20" s="352">
        <f>IF(BO$3="","",IF(MIN(BO4,BO5)&gt;=入力データ!$C$111,入力データ!$C$112*12*(1+前提条件!$C$14)^(BO$3-$B$3),SUM(入力データ!$C$41:$C$52)*12*(1+前提条件!$C$12)^(BO$3-$B$3)))</f>
        <v/>
      </c>
      <c r="BP20" s="352">
        <f>IF(BP$3="","",IF(MIN(BP4,BP5)&gt;=入力データ!$C$111,入力データ!$C$112*12*(1+前提条件!$C$14)^(BP$3-$B$3),SUM(入力データ!$C$41:$C$52)*12*(1+前提条件!$C$12)^(BP$3-$B$3)))</f>
        <v/>
      </c>
      <c r="BQ20" s="352">
        <f>IF(BQ$3="","",IF(MIN(BQ4,BQ5)&gt;=入力データ!$C$111,入力データ!$C$112*12*(1+前提条件!$C$14)^(BQ$3-$B$3),SUM(入力データ!$C$41:$C$52)*12*(1+前提条件!$C$12)^(BQ$3-$B$3)))</f>
        <v/>
      </c>
      <c r="BR20" s="352">
        <f>IF(BR$3="","",IF(MIN(BR4,BR5)&gt;=入力データ!$C$111,入力データ!$C$112*12*(1+前提条件!$C$14)^(BR$3-$B$3),SUM(入力データ!$C$41:$C$52)*12*(1+前提条件!$C$12)^(BR$3-$B$3)))</f>
        <v/>
      </c>
      <c r="BS20" s="352">
        <f>IF(BS$3="","",IF(MIN(BS4,BS5)&gt;=入力データ!$C$111,入力データ!$C$112*12*(1+前提条件!$C$14)^(BS$3-$B$3),SUM(入力データ!$C$41:$C$52)*12*(1+前提条件!$C$12)^(BS$3-$B$3)))</f>
        <v/>
      </c>
      <c r="BT20" s="352">
        <f>IF(BT$3="","",IF(MIN(BT4,BT5)&gt;=入力データ!$C$111,入力データ!$C$112*12*(1+前提条件!$C$14)^(BT$3-$B$3),SUM(入力データ!$C$41:$C$52)*12*(1+前提条件!$C$12)^(BT$3-$B$3)))</f>
        <v/>
      </c>
      <c r="BU20" s="352">
        <f>IF(BU$3="","",IF(MIN(BU4,BU5)&gt;=入力データ!$C$111,入力データ!$C$112*12*(1+前提条件!$C$14)^(BU$3-$B$3),SUM(入力データ!$C$41:$C$52)*12*(1+前提条件!$C$12)^(BU$3-$B$3)))</f>
        <v/>
      </c>
      <c r="BV20" s="352">
        <f>IF(BV$3="","",IF(MIN(BV4,BV5)&gt;=入力データ!$C$111,入力データ!$C$112*12*(1+前提条件!$C$14)^(BV$3-$B$3),SUM(入力データ!$C$41:$C$52)*12*(1+前提条件!$C$12)^(BV$3-$B$3)))</f>
        <v/>
      </c>
      <c r="BW20" s="352">
        <f>IF(BW$3="","",IF(MIN(BW4,BW5)&gt;=入力データ!$C$111,入力データ!$C$112*12*(1+前提条件!$C$14)^(BW$3-$B$3),SUM(入力データ!$C$41:$C$52)*12*(1+前提条件!$C$12)^(BW$3-$B$3)))</f>
        <v/>
      </c>
      <c r="BX20" s="352">
        <f>IF(BX$3="","",IF(MIN(BX4,BX5)&gt;=入力データ!$C$111,入力データ!$C$112*12*(1+前提条件!$C$14)^(BX$3-$B$3),SUM(入力データ!$C$41:$C$52)*12*(1+前提条件!$C$12)^(BX$3-$B$3)))</f>
        <v/>
      </c>
      <c r="BY20" s="352">
        <f>IF(BY$3="","",IF(MIN(BY4,BY5)&gt;=入力データ!$C$111,入力データ!$C$112*12*(1+前提条件!$C$14)^(BY$3-$B$3),SUM(入力データ!$C$41:$C$52)*12*(1+前提条件!$C$12)^(BY$3-$B$3)))</f>
        <v/>
      </c>
      <c r="BZ20" s="352">
        <f>IF(BZ$3="","",IF(MIN(BZ4,BZ5)&gt;=入力データ!$C$111,入力データ!$C$112*12*(1+前提条件!$C$14)^(BZ$3-$B$3),SUM(入力データ!$C$41:$C$52)*12*(1+前提条件!$C$12)^(BZ$3-$B$3)))</f>
        <v/>
      </c>
      <c r="CA20" s="352">
        <f>IF(CA$3="","",IF(MIN(CA4,CA5)&gt;=入力データ!$C$111,入力データ!$C$112*12*(1+前提条件!$C$14)^(CA$3-$B$3),SUM(入力データ!$C$41:$C$52)*12*(1+前提条件!$C$12)^(CA$3-$B$3)))</f>
        <v/>
      </c>
      <c r="CB20" s="352">
        <f>IF(CB$3="","",IF(MIN(CB4,CB5)&gt;=入力データ!$C$111,入力データ!$C$112*12*(1+前提条件!$C$14)^(CB$3-$B$3),SUM(入力データ!$C$41:$C$52)*12*(1+前提条件!$C$12)^(CB$3-$B$3)))</f>
        <v/>
      </c>
      <c r="CC20" s="352">
        <f>IF(CC$3="","",IF(MIN(CC4,CC5)&gt;=入力データ!$C$111,入力データ!$C$112*12*(1+前提条件!$C$14)^(CC$3-$B$3),SUM(入力データ!$C$41:$C$52)*12*(1+前提条件!$C$12)^(CC$3-$B$3)))</f>
        <v/>
      </c>
      <c r="CD20" s="352">
        <f>IF(CD$3="","",IF(MIN(CD4,CD5)&gt;=入力データ!$C$111,入力データ!$C$112*12*(1+前提条件!$C$14)^(CD$3-$B$3),SUM(入力データ!$C$41:$C$52)*12*(1+前提条件!$C$12)^(CD$3-$B$3)))</f>
        <v/>
      </c>
      <c r="CE20" s="352">
        <f>IF(CE$3="","",IF(MIN(CE4,CE5)&gt;=入力データ!$C$111,入力データ!$C$112*12*(1+前提条件!$C$14)^(CE$3-$B$3),SUM(入力データ!$C$41:$C$52)*12*(1+前提条件!$C$12)^(CE$3-$B$3)))</f>
        <v/>
      </c>
      <c r="CF20" s="352">
        <f>IF(CF$3="","",IF(MIN(CF4,CF5)&gt;=入力データ!$C$111,入力データ!$C$112*12*(1+前提条件!$C$14)^(CF$3-$B$3),SUM(入力データ!$C$41:$C$52)*12*(1+前提条件!$C$12)^(CF$3-$B$3)))</f>
        <v/>
      </c>
      <c r="CG20" s="352">
        <f>IF(CG$3="","",IF(MIN(CG4,CG5)&gt;=入力データ!$C$111,入力データ!$C$112*12*(1+前提条件!$C$14)^(CG$3-$B$3),SUM(入力データ!$C$41:$C$52)*12*(1+前提条件!$C$12)^(CG$3-$B$3)))</f>
        <v/>
      </c>
      <c r="CH20" s="352">
        <f>IF(CH$3="","",IF(MIN(CH4,CH5)&gt;=入力データ!$C$111,入力データ!$C$112*12*(1+前提条件!$C$14)^(CH$3-$B$3),SUM(入力データ!$C$41:$C$52)*12*(1+前提条件!$C$12)^(CH$3-$B$3)))</f>
        <v/>
      </c>
      <c r="CI20" s="352">
        <f>IF(CI$3="","",IF(MIN(CI4,CI5)&gt;=入力データ!$C$111,入力データ!$C$112*12*(1+前提条件!$C$14)^(CI$3-$B$3),SUM(入力データ!$C$41:$C$52)*12*(1+前提条件!$C$12)^(CI$3-$B$3)))</f>
        <v/>
      </c>
      <c r="CJ20" s="352">
        <f>IF(CJ$3="","",IF(MIN(CJ4,CJ5)&gt;=入力データ!$C$111,入力データ!$C$112*12*(1+前提条件!$C$14)^(CJ$3-$B$3),SUM(入力データ!$C$41:$C$52)*12*(1+前提条件!$C$12)^(CJ$3-$B$3)))</f>
        <v/>
      </c>
      <c r="CK20" s="352">
        <f>IF(CK$3="","",IF(MIN(CK4,CK5)&gt;=入力データ!$C$111,入力データ!$C$112*12*(1+前提条件!$C$14)^(CK$3-$B$3),SUM(入力データ!$C$41:$C$52)*12*(1+前提条件!$C$12)^(CK$3-$B$3)))</f>
        <v/>
      </c>
      <c r="CL20" s="352">
        <f>IF(CL$3="","",IF(MIN(CL4,CL5)&gt;=入力データ!$C$111,入力データ!$C$112*12*(1+前提条件!$C$14)^(CL$3-$B$3),SUM(入力データ!$C$41:$C$52)*12*(1+前提条件!$C$12)^(CL$3-$B$3)))</f>
        <v/>
      </c>
      <c r="CM20" s="352">
        <f>IF(CM$3="","",IF(MIN(CM4,CM5)&gt;=入力データ!$C$111,入力データ!$C$112*12*(1+前提条件!$C$14)^(CM$3-$B$3),SUM(入力データ!$C$41:$C$52)*12*(1+前提条件!$C$12)^(CM$3-$B$3)))</f>
        <v/>
      </c>
      <c r="CN20" s="352">
        <f>IF(CN$3="","",IF(MIN(CN4,CN5)&gt;=入力データ!$C$111,入力データ!$C$112*12*(1+前提条件!$C$14)^(CN$3-$B$3),SUM(入力データ!$C$41:$C$52)*12*(1+前提条件!$C$12)^(CN$3-$B$3)))</f>
        <v/>
      </c>
      <c r="CO20" s="352">
        <f>IF(CO$3="","",IF(MIN(CO4,CO5)&gt;=入力データ!$C$111,入力データ!$C$112*12*(1+前提条件!$C$14)^(CO$3-$B$3),SUM(入力データ!$C$41:$C$52)*12*(1+前提条件!$C$12)^(CO$3-$B$3)))</f>
        <v/>
      </c>
      <c r="CP20" s="352">
        <f>IF(CP$3="","",IF(MIN(CP4,CP5)&gt;=入力データ!$C$111,入力データ!$C$112*12*(1+前提条件!$C$14)^(CP$3-$B$3),SUM(入力データ!$C$41:$C$52)*12*(1+前提条件!$C$12)^(CP$3-$B$3)))</f>
        <v/>
      </c>
      <c r="CQ20" s="352">
        <f>IF(CQ$3="","",IF(MIN(CQ4,CQ5)&gt;=入力データ!$C$111,入力データ!$C$112*12*(1+前提条件!$C$14)^(CQ$3-$B$3),SUM(入力データ!$C$41:$C$52)*12*(1+前提条件!$C$12)^(CQ$3-$B$3)))</f>
        <v/>
      </c>
      <c r="CR20" s="352">
        <f>IF(CR$3="","",IF(MIN(CR4,CR5)&gt;=入力データ!$C$111,入力データ!$C$112*12*(1+前提条件!$C$14)^(CR$3-$B$3),SUM(入力データ!$C$41:$C$52)*12*(1+前提条件!$C$12)^(CR$3-$B$3)))</f>
        <v/>
      </c>
      <c r="CS20" s="352">
        <f>IF(CS$3="","",IF(MIN(CS4,CS5)&gt;=入力データ!$C$111,入力データ!$C$112*12*(1+前提条件!$C$14)^(CS$3-$B$3),SUM(入力データ!$C$41:$C$52)*12*(1+前提条件!$C$12)^(CS$3-$B$3)))</f>
        <v/>
      </c>
      <c r="CT20" s="352">
        <f>IF(CT$3="","",IF(MIN(CT4,CT5)&gt;=入力データ!$C$111,入力データ!$C$112*12*(1+前提条件!$C$14)^(CT$3-$B$3),SUM(入力データ!$C$41:$C$52)*12*(1+前提条件!$C$12)^(CT$3-$B$3)))</f>
        <v/>
      </c>
      <c r="CU20" s="352">
        <f>IF(CU$3="","",IF(MIN(CU4,CU5)&gt;=入力データ!$C$111,入力データ!$C$112*12*(1+前提条件!$C$14)^(CU$3-$B$3),SUM(入力データ!$C$41:$C$52)*12*(1+前提条件!$C$12)^(CU$3-$B$3)))</f>
        <v/>
      </c>
      <c r="CV20" s="352">
        <f>IF(CV$3="","",IF(MIN(CV4,CV5)&gt;=入力データ!$C$111,入力データ!$C$112*12*(1+前提条件!$C$14)^(CV$3-$B$3),SUM(入力データ!$C$41:$C$52)*12*(1+前提条件!$C$12)^(CV$3-$B$3)))</f>
        <v/>
      </c>
      <c r="CW20" s="352">
        <f>IF(CW$3="","",IF(MIN(CW4,CW5)&gt;=入力データ!$C$111,入力データ!$C$112*12*(1+前提条件!$C$14)^(CW$3-$B$3),SUM(入力データ!$C$41:$C$52)*12*(1+前提条件!$C$12)^(CW$3-$B$3)))</f>
        <v/>
      </c>
    </row>
    <row r="21" ht="15" customHeight="1" s="180">
      <c r="A21" s="224" t="inlineStr">
        <is>
          <t>住居費</t>
        </is>
      </c>
      <c r="B21" s="352">
        <f>IF(B$3="","",((IF(入力データ!$C$13="持ち家",IF(B4&lt;=前提条件!$C$44,入力データ!$C$53,0),入力データ!$C$53)+入力データ!$C$54+入力データ!$C$55+入力データ!$C$56)*12+IF(入力データ!$C$13="持ち家",入力データ!$C$83+前提条件!$C$47,入力データ!$C$84+前提条件!$C$48))*(1+前提条件!$C$15)^(B$3-$B$3))</f>
        <v/>
      </c>
      <c r="C21" s="352">
        <f>IF(C$3="","",((IF(入力データ!$C$13="持ち家",IF(C4&lt;=前提条件!$C$44,入力データ!$C$53,0),入力データ!$C$53)+入力データ!$C$54+入力データ!$C$55+入力データ!$C$56)*12+IF(入力データ!$C$13="持ち家",入力データ!$C$83+前提条件!$C$47,入力データ!$C$84+前提条件!$C$48))*(1+前提条件!$C$15)^(C$3-$B$3))</f>
        <v/>
      </c>
      <c r="D21" s="352">
        <f>IF(D$3="","",((IF(入力データ!$C$13="持ち家",IF(D4&lt;=前提条件!$C$44,入力データ!$C$53,0),入力データ!$C$53)+入力データ!$C$54+入力データ!$C$55+入力データ!$C$56)*12+IF(入力データ!$C$13="持ち家",入力データ!$C$83+前提条件!$C$47,入力データ!$C$84+前提条件!$C$48))*(1+前提条件!$C$15)^(D$3-$B$3))</f>
        <v/>
      </c>
      <c r="E21" s="352">
        <f>IF(E$3="","",((IF(入力データ!$C$13="持ち家",IF(E4&lt;=前提条件!$C$44,入力データ!$C$53,0),入力データ!$C$53)+入力データ!$C$54+入力データ!$C$55+入力データ!$C$56)*12+IF(入力データ!$C$13="持ち家",入力データ!$C$83+前提条件!$C$47,入力データ!$C$84+前提条件!$C$48))*(1+前提条件!$C$15)^(E$3-$B$3))</f>
        <v/>
      </c>
      <c r="F21" s="352">
        <f>IF(F$3="","",((IF(入力データ!$C$13="持ち家",IF(F4&lt;=前提条件!$C$44,入力データ!$C$53,0),入力データ!$C$53)+入力データ!$C$54+入力データ!$C$55+入力データ!$C$56)*12+IF(入力データ!$C$13="持ち家",入力データ!$C$83+前提条件!$C$47,入力データ!$C$84+前提条件!$C$48))*(1+前提条件!$C$15)^(F$3-$B$3))</f>
        <v/>
      </c>
      <c r="G21" s="352">
        <f>IF(G$3="","",((IF(入力データ!$C$13="持ち家",IF(G4&lt;=前提条件!$C$44,入力データ!$C$53,0),入力データ!$C$53)+入力データ!$C$54+入力データ!$C$55+入力データ!$C$56)*12+IF(入力データ!$C$13="持ち家",入力データ!$C$83+前提条件!$C$47,入力データ!$C$84+前提条件!$C$48))*(1+前提条件!$C$15)^(G$3-$B$3))</f>
        <v/>
      </c>
      <c r="H21" s="352">
        <f>IF(H$3="","",((IF(入力データ!$C$13="持ち家",IF(H4&lt;=前提条件!$C$44,入力データ!$C$53,0),入力データ!$C$53)+入力データ!$C$54+入力データ!$C$55+入力データ!$C$56)*12+IF(入力データ!$C$13="持ち家",入力データ!$C$83+前提条件!$C$47,入力データ!$C$84+前提条件!$C$48))*(1+前提条件!$C$15)^(H$3-$B$3))</f>
        <v/>
      </c>
      <c r="I21" s="352">
        <f>IF(I$3="","",((IF(入力データ!$C$13="持ち家",IF(I4&lt;=前提条件!$C$44,入力データ!$C$53,0),入力データ!$C$53)+入力データ!$C$54+入力データ!$C$55+入力データ!$C$56)*12+IF(入力データ!$C$13="持ち家",入力データ!$C$83+前提条件!$C$47,入力データ!$C$84+前提条件!$C$48))*(1+前提条件!$C$15)^(I$3-$B$3))</f>
        <v/>
      </c>
      <c r="J21" s="352">
        <f>IF(J$3="","",((IF(入力データ!$C$13="持ち家",IF(J4&lt;=前提条件!$C$44,入力データ!$C$53,0),入力データ!$C$53)+入力データ!$C$54+入力データ!$C$55+入力データ!$C$56)*12+IF(入力データ!$C$13="持ち家",入力データ!$C$83+前提条件!$C$47,入力データ!$C$84+前提条件!$C$48))*(1+前提条件!$C$15)^(J$3-$B$3))</f>
        <v/>
      </c>
      <c r="K21" s="352">
        <f>IF(K$3="","",((IF(入力データ!$C$13="持ち家",IF(K4&lt;=前提条件!$C$44,入力データ!$C$53,0),入力データ!$C$53)+入力データ!$C$54+入力データ!$C$55+入力データ!$C$56)*12+IF(入力データ!$C$13="持ち家",入力データ!$C$83+前提条件!$C$47,入力データ!$C$84+前提条件!$C$48))*(1+前提条件!$C$15)^(K$3-$B$3))</f>
        <v/>
      </c>
      <c r="L21" s="352">
        <f>IF(L$3="","",((IF(入力データ!$C$13="持ち家",IF(L4&lt;=前提条件!$C$44,入力データ!$C$53,0),入力データ!$C$53)+入力データ!$C$54+入力データ!$C$55+入力データ!$C$56)*12+IF(入力データ!$C$13="持ち家",入力データ!$C$83+前提条件!$C$47,入力データ!$C$84+前提条件!$C$48))*(1+前提条件!$C$15)^(L$3-$B$3))</f>
        <v/>
      </c>
      <c r="M21" s="352">
        <f>IF(M$3="","",((IF(入力データ!$C$13="持ち家",IF(M4&lt;=前提条件!$C$44,入力データ!$C$53,0),入力データ!$C$53)+入力データ!$C$54+入力データ!$C$55+入力データ!$C$56)*12+IF(入力データ!$C$13="持ち家",入力データ!$C$83+前提条件!$C$47,入力データ!$C$84+前提条件!$C$48))*(1+前提条件!$C$15)^(M$3-$B$3))</f>
        <v/>
      </c>
      <c r="N21" s="352">
        <f>IF(N$3="","",((IF(入力データ!$C$13="持ち家",IF(N4&lt;=前提条件!$C$44,入力データ!$C$53,0),入力データ!$C$53)+入力データ!$C$54+入力データ!$C$55+入力データ!$C$56)*12+IF(入力データ!$C$13="持ち家",入力データ!$C$83+前提条件!$C$47,入力データ!$C$84+前提条件!$C$48))*(1+前提条件!$C$15)^(N$3-$B$3))</f>
        <v/>
      </c>
      <c r="O21" s="352">
        <f>IF(O$3="","",((IF(入力データ!$C$13="持ち家",IF(O4&lt;=前提条件!$C$44,入力データ!$C$53,0),入力データ!$C$53)+入力データ!$C$54+入力データ!$C$55+入力データ!$C$56)*12+IF(入力データ!$C$13="持ち家",入力データ!$C$83+前提条件!$C$47,入力データ!$C$84+前提条件!$C$48))*(1+前提条件!$C$15)^(O$3-$B$3))</f>
        <v/>
      </c>
      <c r="P21" s="352">
        <f>IF(P$3="","",((IF(入力データ!$C$13="持ち家",IF(P4&lt;=前提条件!$C$44,入力データ!$C$53,0),入力データ!$C$53)+入力データ!$C$54+入力データ!$C$55+入力データ!$C$56)*12+IF(入力データ!$C$13="持ち家",入力データ!$C$83+前提条件!$C$47,入力データ!$C$84+前提条件!$C$48))*(1+前提条件!$C$15)^(P$3-$B$3))</f>
        <v/>
      </c>
      <c r="Q21" s="352">
        <f>IF(Q$3="","",((IF(入力データ!$C$13="持ち家",IF(Q4&lt;=前提条件!$C$44,入力データ!$C$53,0),入力データ!$C$53)+入力データ!$C$54+入力データ!$C$55+入力データ!$C$56)*12+IF(入力データ!$C$13="持ち家",入力データ!$C$83+前提条件!$C$47,入力データ!$C$84+前提条件!$C$48))*(1+前提条件!$C$15)^(Q$3-$B$3))</f>
        <v/>
      </c>
      <c r="R21" s="352">
        <f>IF(R$3="","",((IF(入力データ!$C$13="持ち家",IF(R4&lt;=前提条件!$C$44,入力データ!$C$53,0),入力データ!$C$53)+入力データ!$C$54+入力データ!$C$55+入力データ!$C$56)*12+IF(入力データ!$C$13="持ち家",入力データ!$C$83+前提条件!$C$47,入力データ!$C$84+前提条件!$C$48))*(1+前提条件!$C$15)^(R$3-$B$3))</f>
        <v/>
      </c>
      <c r="S21" s="352">
        <f>IF(S$3="","",((IF(入力データ!$C$13="持ち家",IF(S4&lt;=前提条件!$C$44,入力データ!$C$53,0),入力データ!$C$53)+入力データ!$C$54+入力データ!$C$55+入力データ!$C$56)*12+IF(入力データ!$C$13="持ち家",入力データ!$C$83+前提条件!$C$47,入力データ!$C$84+前提条件!$C$48))*(1+前提条件!$C$15)^(S$3-$B$3))</f>
        <v/>
      </c>
      <c r="T21" s="352">
        <f>IF(T$3="","",((IF(入力データ!$C$13="持ち家",IF(T4&lt;=前提条件!$C$44,入力データ!$C$53,0),入力データ!$C$53)+入力データ!$C$54+入力データ!$C$55+入力データ!$C$56)*12+IF(入力データ!$C$13="持ち家",入力データ!$C$83+前提条件!$C$47,入力データ!$C$84+前提条件!$C$48))*(1+前提条件!$C$15)^(T$3-$B$3))</f>
        <v/>
      </c>
      <c r="U21" s="352">
        <f>IF(U$3="","",((IF(入力データ!$C$13="持ち家",IF(U4&lt;=前提条件!$C$44,入力データ!$C$53,0),入力データ!$C$53)+入力データ!$C$54+入力データ!$C$55+入力データ!$C$56)*12+IF(入力データ!$C$13="持ち家",入力データ!$C$83+前提条件!$C$47,入力データ!$C$84+前提条件!$C$48))*(1+前提条件!$C$15)^(U$3-$B$3))</f>
        <v/>
      </c>
      <c r="V21" s="352">
        <f>IF(V$3="","",((IF(入力データ!$C$13="持ち家",IF(V4&lt;=前提条件!$C$44,入力データ!$C$53,0),入力データ!$C$53)+入力データ!$C$54+入力データ!$C$55+入力データ!$C$56)*12+IF(入力データ!$C$13="持ち家",入力データ!$C$83+前提条件!$C$47,入力データ!$C$84+前提条件!$C$48))*(1+前提条件!$C$15)^(V$3-$B$3))</f>
        <v/>
      </c>
      <c r="W21" s="352">
        <f>IF(W$3="","",((IF(入力データ!$C$13="持ち家",IF(W4&lt;=前提条件!$C$44,入力データ!$C$53,0),入力データ!$C$53)+入力データ!$C$54+入力データ!$C$55+入力データ!$C$56)*12+IF(入力データ!$C$13="持ち家",入力データ!$C$83+前提条件!$C$47,入力データ!$C$84+前提条件!$C$48))*(1+前提条件!$C$15)^(W$3-$B$3))</f>
        <v/>
      </c>
      <c r="X21" s="352">
        <f>IF(X$3="","",((IF(入力データ!$C$13="持ち家",IF(X4&lt;=前提条件!$C$44,入力データ!$C$53,0),入力データ!$C$53)+入力データ!$C$54+入力データ!$C$55+入力データ!$C$56)*12+IF(入力データ!$C$13="持ち家",入力データ!$C$83+前提条件!$C$47,入力データ!$C$84+前提条件!$C$48))*(1+前提条件!$C$15)^(X$3-$B$3))</f>
        <v/>
      </c>
      <c r="Y21" s="352">
        <f>IF(Y$3="","",((IF(入力データ!$C$13="持ち家",IF(Y4&lt;=前提条件!$C$44,入力データ!$C$53,0),入力データ!$C$53)+入力データ!$C$54+入力データ!$C$55+入力データ!$C$56)*12+IF(入力データ!$C$13="持ち家",入力データ!$C$83+前提条件!$C$47,入力データ!$C$84+前提条件!$C$48))*(1+前提条件!$C$15)^(Y$3-$B$3))</f>
        <v/>
      </c>
      <c r="Z21" s="352">
        <f>IF(Z$3="","",((IF(入力データ!$C$13="持ち家",IF(Z4&lt;=前提条件!$C$44,入力データ!$C$53,0),入力データ!$C$53)+入力データ!$C$54+入力データ!$C$55+入力データ!$C$56)*12+IF(入力データ!$C$13="持ち家",入力データ!$C$83+前提条件!$C$47,入力データ!$C$84+前提条件!$C$48))*(1+前提条件!$C$15)^(Z$3-$B$3))</f>
        <v/>
      </c>
      <c r="AA21" s="352">
        <f>IF(AA$3="","",((IF(入力データ!$C$13="持ち家",IF(AA4&lt;=前提条件!$C$44,入力データ!$C$53,0),入力データ!$C$53)+入力データ!$C$54+入力データ!$C$55+入力データ!$C$56)*12+IF(入力データ!$C$13="持ち家",入力データ!$C$83+前提条件!$C$47,入力データ!$C$84+前提条件!$C$48))*(1+前提条件!$C$15)^(AA$3-$B$3))</f>
        <v/>
      </c>
      <c r="AB21" s="352">
        <f>IF(AB$3="","",((IF(入力データ!$C$13="持ち家",IF(AB4&lt;=前提条件!$C$44,入力データ!$C$53,0),入力データ!$C$53)+入力データ!$C$54+入力データ!$C$55+入力データ!$C$56)*12+IF(入力データ!$C$13="持ち家",入力データ!$C$83+前提条件!$C$47,入力データ!$C$84+前提条件!$C$48))*(1+前提条件!$C$15)^(AB$3-$B$3))</f>
        <v/>
      </c>
      <c r="AC21" s="352">
        <f>IF(AC$3="","",((IF(入力データ!$C$13="持ち家",IF(AC4&lt;=前提条件!$C$44,入力データ!$C$53,0),入力データ!$C$53)+入力データ!$C$54+入力データ!$C$55+入力データ!$C$56)*12+IF(入力データ!$C$13="持ち家",入力データ!$C$83+前提条件!$C$47,入力データ!$C$84+前提条件!$C$48))*(1+前提条件!$C$15)^(AC$3-$B$3))</f>
        <v/>
      </c>
      <c r="AD21" s="352">
        <f>IF(AD$3="","",((IF(入力データ!$C$13="持ち家",IF(AD4&lt;=前提条件!$C$44,入力データ!$C$53,0),入力データ!$C$53)+入力データ!$C$54+入力データ!$C$55+入力データ!$C$56)*12+IF(入力データ!$C$13="持ち家",入力データ!$C$83+前提条件!$C$47,入力データ!$C$84+前提条件!$C$48))*(1+前提条件!$C$15)^(AD$3-$B$3))</f>
        <v/>
      </c>
      <c r="AE21" s="352">
        <f>IF(AE$3="","",((IF(入力データ!$C$13="持ち家",IF(AE4&lt;=前提条件!$C$44,入力データ!$C$53,0),入力データ!$C$53)+入力データ!$C$54+入力データ!$C$55+入力データ!$C$56)*12+IF(入力データ!$C$13="持ち家",入力データ!$C$83+前提条件!$C$47,入力データ!$C$84+前提条件!$C$48))*(1+前提条件!$C$15)^(AE$3-$B$3))</f>
        <v/>
      </c>
      <c r="AF21" s="352">
        <f>IF(AF$3="","",((IF(入力データ!$C$13="持ち家",IF(AF4&lt;=前提条件!$C$44,入力データ!$C$53,0),入力データ!$C$53)+入力データ!$C$54+入力データ!$C$55+入力データ!$C$56)*12+IF(入力データ!$C$13="持ち家",入力データ!$C$83+前提条件!$C$47,入力データ!$C$84+前提条件!$C$48))*(1+前提条件!$C$15)^(AF$3-$B$3))</f>
        <v/>
      </c>
      <c r="AG21" s="352">
        <f>IF(AG$3="","",((IF(入力データ!$C$13="持ち家",IF(AG4&lt;=前提条件!$C$44,入力データ!$C$53,0),入力データ!$C$53)+入力データ!$C$54+入力データ!$C$55+入力データ!$C$56)*12+IF(入力データ!$C$13="持ち家",入力データ!$C$83+前提条件!$C$47,入力データ!$C$84+前提条件!$C$48))*(1+前提条件!$C$15)^(AG$3-$B$3))</f>
        <v/>
      </c>
      <c r="AH21" s="352">
        <f>IF(AH$3="","",((IF(入力データ!$C$13="持ち家",IF(AH4&lt;=前提条件!$C$44,入力データ!$C$53,0),入力データ!$C$53)+入力データ!$C$54+入力データ!$C$55+入力データ!$C$56)*12+IF(入力データ!$C$13="持ち家",入力データ!$C$83+前提条件!$C$47,入力データ!$C$84+前提条件!$C$48))*(1+前提条件!$C$15)^(AH$3-$B$3))</f>
        <v/>
      </c>
      <c r="AI21" s="352">
        <f>IF(AI$3="","",((IF(入力データ!$C$13="持ち家",IF(AI4&lt;=前提条件!$C$44,入力データ!$C$53,0),入力データ!$C$53)+入力データ!$C$54+入力データ!$C$55+入力データ!$C$56)*12+IF(入力データ!$C$13="持ち家",入力データ!$C$83+前提条件!$C$47,入力データ!$C$84+前提条件!$C$48))*(1+前提条件!$C$15)^(AI$3-$B$3))</f>
        <v/>
      </c>
      <c r="AJ21" s="352">
        <f>IF(AJ$3="","",((IF(入力データ!$C$13="持ち家",IF(AJ4&lt;=前提条件!$C$44,入力データ!$C$53,0),入力データ!$C$53)+入力データ!$C$54+入力データ!$C$55+入力データ!$C$56)*12+IF(入力データ!$C$13="持ち家",入力データ!$C$83+前提条件!$C$47,入力データ!$C$84+前提条件!$C$48))*(1+前提条件!$C$15)^(AJ$3-$B$3))</f>
        <v/>
      </c>
      <c r="AK21" s="352">
        <f>IF(AK$3="","",((IF(入力データ!$C$13="持ち家",IF(AK4&lt;=前提条件!$C$44,入力データ!$C$53,0),入力データ!$C$53)+入力データ!$C$54+入力データ!$C$55+入力データ!$C$56)*12+IF(入力データ!$C$13="持ち家",入力データ!$C$83+前提条件!$C$47,入力データ!$C$84+前提条件!$C$48))*(1+前提条件!$C$15)^(AK$3-$B$3))</f>
        <v/>
      </c>
      <c r="AL21" s="352">
        <f>IF(AL$3="","",((IF(入力データ!$C$13="持ち家",IF(AL4&lt;=前提条件!$C$44,入力データ!$C$53,0),入力データ!$C$53)+入力データ!$C$54+入力データ!$C$55+入力データ!$C$56)*12+IF(入力データ!$C$13="持ち家",入力データ!$C$83+前提条件!$C$47,入力データ!$C$84+前提条件!$C$48))*(1+前提条件!$C$15)^(AL$3-$B$3))</f>
        <v/>
      </c>
      <c r="AM21" s="352">
        <f>IF(AM$3="","",((IF(入力データ!$C$13="持ち家",IF(AM4&lt;=前提条件!$C$44,入力データ!$C$53,0),入力データ!$C$53)+入力データ!$C$54+入力データ!$C$55+入力データ!$C$56)*12+IF(入力データ!$C$13="持ち家",入力データ!$C$83+前提条件!$C$47,入力データ!$C$84+前提条件!$C$48))*(1+前提条件!$C$15)^(AM$3-$B$3))</f>
        <v/>
      </c>
      <c r="AN21" s="352">
        <f>IF(AN$3="","",((IF(入力データ!$C$13="持ち家",IF(AN4&lt;=前提条件!$C$44,入力データ!$C$53,0),入力データ!$C$53)+入力データ!$C$54+入力データ!$C$55+入力データ!$C$56)*12+IF(入力データ!$C$13="持ち家",入力データ!$C$83+前提条件!$C$47,入力データ!$C$84+前提条件!$C$48))*(1+前提条件!$C$15)^(AN$3-$B$3))</f>
        <v/>
      </c>
      <c r="AO21" s="352">
        <f>IF(AO$3="","",((IF(入力データ!$C$13="持ち家",IF(AO4&lt;=前提条件!$C$44,入力データ!$C$53,0),入力データ!$C$53)+入力データ!$C$54+入力データ!$C$55+入力データ!$C$56)*12+IF(入力データ!$C$13="持ち家",入力データ!$C$83+前提条件!$C$47,入力データ!$C$84+前提条件!$C$48))*(1+前提条件!$C$15)^(AO$3-$B$3))</f>
        <v/>
      </c>
      <c r="AP21" s="352">
        <f>IF(AP$3="","",((IF(入力データ!$C$13="持ち家",IF(AP4&lt;=前提条件!$C$44,入力データ!$C$53,0),入力データ!$C$53)+入力データ!$C$54+入力データ!$C$55+入力データ!$C$56)*12+IF(入力データ!$C$13="持ち家",入力データ!$C$83+前提条件!$C$47,入力データ!$C$84+前提条件!$C$48))*(1+前提条件!$C$15)^(AP$3-$B$3))</f>
        <v/>
      </c>
      <c r="AQ21" s="352">
        <f>IF(AQ$3="","",((IF(入力データ!$C$13="持ち家",IF(AQ4&lt;=前提条件!$C$44,入力データ!$C$53,0),入力データ!$C$53)+入力データ!$C$54+入力データ!$C$55+入力データ!$C$56)*12+IF(入力データ!$C$13="持ち家",入力データ!$C$83+前提条件!$C$47,入力データ!$C$84+前提条件!$C$48))*(1+前提条件!$C$15)^(AQ$3-$B$3))</f>
        <v/>
      </c>
      <c r="AR21" s="352">
        <f>IF(AR$3="","",((IF(入力データ!$C$13="持ち家",IF(AR4&lt;=前提条件!$C$44,入力データ!$C$53,0),入力データ!$C$53)+入力データ!$C$54+入力データ!$C$55+入力データ!$C$56)*12+IF(入力データ!$C$13="持ち家",入力データ!$C$83+前提条件!$C$47,入力データ!$C$84+前提条件!$C$48))*(1+前提条件!$C$15)^(AR$3-$B$3))</f>
        <v/>
      </c>
      <c r="AS21" s="352">
        <f>IF(AS$3="","",((IF(入力データ!$C$13="持ち家",IF(AS4&lt;=前提条件!$C$44,入力データ!$C$53,0),入力データ!$C$53)+入力データ!$C$54+入力データ!$C$55+入力データ!$C$56)*12+IF(入力データ!$C$13="持ち家",入力データ!$C$83+前提条件!$C$47,入力データ!$C$84+前提条件!$C$48))*(1+前提条件!$C$15)^(AS$3-$B$3))</f>
        <v/>
      </c>
      <c r="AT21" s="352">
        <f>IF(AT$3="","",((IF(入力データ!$C$13="持ち家",IF(AT4&lt;=前提条件!$C$44,入力データ!$C$53,0),入力データ!$C$53)+入力データ!$C$54+入力データ!$C$55+入力データ!$C$56)*12+IF(入力データ!$C$13="持ち家",入力データ!$C$83+前提条件!$C$47,入力データ!$C$84+前提条件!$C$48))*(1+前提条件!$C$15)^(AT$3-$B$3))</f>
        <v/>
      </c>
      <c r="AU21" s="352">
        <f>IF(AU$3="","",((IF(入力データ!$C$13="持ち家",IF(AU4&lt;=前提条件!$C$44,入力データ!$C$53,0),入力データ!$C$53)+入力データ!$C$54+入力データ!$C$55+入力データ!$C$56)*12+IF(入力データ!$C$13="持ち家",入力データ!$C$83+前提条件!$C$47,入力データ!$C$84+前提条件!$C$48))*(1+前提条件!$C$15)^(AU$3-$B$3))</f>
        <v/>
      </c>
      <c r="AV21" s="352">
        <f>IF(AV$3="","",((IF(入力データ!$C$13="持ち家",IF(AV4&lt;=前提条件!$C$44,入力データ!$C$53,0),入力データ!$C$53)+入力データ!$C$54+入力データ!$C$55+入力データ!$C$56)*12+IF(入力データ!$C$13="持ち家",入力データ!$C$83+前提条件!$C$47,入力データ!$C$84+前提条件!$C$48))*(1+前提条件!$C$15)^(AV$3-$B$3))</f>
        <v/>
      </c>
      <c r="AW21" s="352">
        <f>IF(AW$3="","",((IF(入力データ!$C$13="持ち家",IF(AW4&lt;=前提条件!$C$44,入力データ!$C$53,0),入力データ!$C$53)+入力データ!$C$54+入力データ!$C$55+入力データ!$C$56)*12+IF(入力データ!$C$13="持ち家",入力データ!$C$83+前提条件!$C$47,入力データ!$C$84+前提条件!$C$48))*(1+前提条件!$C$15)^(AW$3-$B$3))</f>
        <v/>
      </c>
      <c r="AX21" s="352">
        <f>IF(AX$3="","",((IF(入力データ!$C$13="持ち家",IF(AX4&lt;=前提条件!$C$44,入力データ!$C$53,0),入力データ!$C$53)+入力データ!$C$54+入力データ!$C$55+入力データ!$C$56)*12+IF(入力データ!$C$13="持ち家",入力データ!$C$83+前提条件!$C$47,入力データ!$C$84+前提条件!$C$48))*(1+前提条件!$C$15)^(AX$3-$B$3))</f>
        <v/>
      </c>
      <c r="AY21" s="352">
        <f>IF(AY$3="","",((IF(入力データ!$C$13="持ち家",IF(AY4&lt;=前提条件!$C$44,入力データ!$C$53,0),入力データ!$C$53)+入力データ!$C$54+入力データ!$C$55+入力データ!$C$56)*12+IF(入力データ!$C$13="持ち家",入力データ!$C$83+前提条件!$C$47,入力データ!$C$84+前提条件!$C$48))*(1+前提条件!$C$15)^(AY$3-$B$3))</f>
        <v/>
      </c>
      <c r="AZ21" s="352">
        <f>IF(AZ$3="","",((IF(入力データ!$C$13="持ち家",IF(AZ4&lt;=前提条件!$C$44,入力データ!$C$53,0),入力データ!$C$53)+入力データ!$C$54+入力データ!$C$55+入力データ!$C$56)*12+IF(入力データ!$C$13="持ち家",入力データ!$C$83+前提条件!$C$47,入力データ!$C$84+前提条件!$C$48))*(1+前提条件!$C$15)^(AZ$3-$B$3))</f>
        <v/>
      </c>
      <c r="BA21" s="352">
        <f>IF(BA$3="","",((IF(入力データ!$C$13="持ち家",IF(BA4&lt;=前提条件!$C$44,入力データ!$C$53,0),入力データ!$C$53)+入力データ!$C$54+入力データ!$C$55+入力データ!$C$56)*12+IF(入力データ!$C$13="持ち家",入力データ!$C$83+前提条件!$C$47,入力データ!$C$84+前提条件!$C$48))*(1+前提条件!$C$15)^(BA$3-$B$3))</f>
        <v/>
      </c>
      <c r="BB21" s="352">
        <f>IF(BB$3="","",((IF(入力データ!$C$13="持ち家",IF(BB4&lt;=前提条件!$C$44,入力データ!$C$53,0),入力データ!$C$53)+入力データ!$C$54+入力データ!$C$55+入力データ!$C$56)*12+IF(入力データ!$C$13="持ち家",入力データ!$C$83+前提条件!$C$47,入力データ!$C$84+前提条件!$C$48))*(1+前提条件!$C$15)^(BB$3-$B$3))</f>
        <v/>
      </c>
      <c r="BC21" s="352">
        <f>IF(BC$3="","",((IF(入力データ!$C$13="持ち家",IF(BC4&lt;=前提条件!$C$44,入力データ!$C$53,0),入力データ!$C$53)+入力データ!$C$54+入力データ!$C$55+入力データ!$C$56)*12+IF(入力データ!$C$13="持ち家",入力データ!$C$83+前提条件!$C$47,入力データ!$C$84+前提条件!$C$48))*(1+前提条件!$C$15)^(BC$3-$B$3))</f>
        <v/>
      </c>
      <c r="BD21" s="352">
        <f>IF(BD$3="","",((IF(入力データ!$C$13="持ち家",IF(BD4&lt;=前提条件!$C$44,入力データ!$C$53,0),入力データ!$C$53)+入力データ!$C$54+入力データ!$C$55+入力データ!$C$56)*12+IF(入力データ!$C$13="持ち家",入力データ!$C$83+前提条件!$C$47,入力データ!$C$84+前提条件!$C$48))*(1+前提条件!$C$15)^(BD$3-$B$3))</f>
        <v/>
      </c>
      <c r="BE21" s="352">
        <f>IF(BE$3="","",((IF(入力データ!$C$13="持ち家",IF(BE4&lt;=前提条件!$C$44,入力データ!$C$53,0),入力データ!$C$53)+入力データ!$C$54+入力データ!$C$55+入力データ!$C$56)*12+IF(入力データ!$C$13="持ち家",入力データ!$C$83+前提条件!$C$47,入力データ!$C$84+前提条件!$C$48))*(1+前提条件!$C$15)^(BE$3-$B$3))</f>
        <v/>
      </c>
      <c r="BF21" s="352">
        <f>IF(BF$3="","",((IF(入力データ!$C$13="持ち家",IF(BF4&lt;=前提条件!$C$44,入力データ!$C$53,0),入力データ!$C$53)+入力データ!$C$54+入力データ!$C$55+入力データ!$C$56)*12+IF(入力データ!$C$13="持ち家",入力データ!$C$83+前提条件!$C$47,入力データ!$C$84+前提条件!$C$48))*(1+前提条件!$C$15)^(BF$3-$B$3))</f>
        <v/>
      </c>
      <c r="BG21" s="352">
        <f>IF(BG$3="","",((IF(入力データ!$C$13="持ち家",IF(BG4&lt;=前提条件!$C$44,入力データ!$C$53,0),入力データ!$C$53)+入力データ!$C$54+入力データ!$C$55+入力データ!$C$56)*12+IF(入力データ!$C$13="持ち家",入力データ!$C$83+前提条件!$C$47,入力データ!$C$84+前提条件!$C$48))*(1+前提条件!$C$15)^(BG$3-$B$3))</f>
        <v/>
      </c>
      <c r="BH21" s="352">
        <f>IF(BH$3="","",((IF(入力データ!$C$13="持ち家",IF(BH4&lt;=前提条件!$C$44,入力データ!$C$53,0),入力データ!$C$53)+入力データ!$C$54+入力データ!$C$55+入力データ!$C$56)*12+IF(入力データ!$C$13="持ち家",入力データ!$C$83+前提条件!$C$47,入力データ!$C$84+前提条件!$C$48))*(1+前提条件!$C$15)^(BH$3-$B$3))</f>
        <v/>
      </c>
      <c r="BI21" s="352">
        <f>IF(BI$3="","",((IF(入力データ!$C$13="持ち家",IF(BI4&lt;=前提条件!$C$44,入力データ!$C$53,0),入力データ!$C$53)+入力データ!$C$54+入力データ!$C$55+入力データ!$C$56)*12+IF(入力データ!$C$13="持ち家",入力データ!$C$83+前提条件!$C$47,入力データ!$C$84+前提条件!$C$48))*(1+前提条件!$C$15)^(BI$3-$B$3))</f>
        <v/>
      </c>
      <c r="BJ21" s="352">
        <f>IF(BJ$3="","",((IF(入力データ!$C$13="持ち家",IF(BJ4&lt;=前提条件!$C$44,入力データ!$C$53,0),入力データ!$C$53)+入力データ!$C$54+入力データ!$C$55+入力データ!$C$56)*12+IF(入力データ!$C$13="持ち家",入力データ!$C$83+前提条件!$C$47,入力データ!$C$84+前提条件!$C$48))*(1+前提条件!$C$15)^(BJ$3-$B$3))</f>
        <v/>
      </c>
      <c r="BK21" s="352">
        <f>IF(BK$3="","",((IF(入力データ!$C$13="持ち家",IF(BK4&lt;=前提条件!$C$44,入力データ!$C$53,0),入力データ!$C$53)+入力データ!$C$54+入力データ!$C$55+入力データ!$C$56)*12+IF(入力データ!$C$13="持ち家",入力データ!$C$83+前提条件!$C$47,入力データ!$C$84+前提条件!$C$48))*(1+前提条件!$C$15)^(BK$3-$B$3))</f>
        <v/>
      </c>
      <c r="BL21" s="352">
        <f>IF(BL$3="","",((IF(入力データ!$C$13="持ち家",IF(BL4&lt;=前提条件!$C$44,入力データ!$C$53,0),入力データ!$C$53)+入力データ!$C$54+入力データ!$C$55+入力データ!$C$56)*12+IF(入力データ!$C$13="持ち家",入力データ!$C$83+前提条件!$C$47,入力データ!$C$84+前提条件!$C$48))*(1+前提条件!$C$15)^(BL$3-$B$3))</f>
        <v/>
      </c>
      <c r="BM21" s="352">
        <f>IF(BM$3="","",((IF(入力データ!$C$13="持ち家",IF(BM4&lt;=前提条件!$C$44,入力データ!$C$53,0),入力データ!$C$53)+入力データ!$C$54+入力データ!$C$55+入力データ!$C$56)*12+IF(入力データ!$C$13="持ち家",入力データ!$C$83+前提条件!$C$47,入力データ!$C$84+前提条件!$C$48))*(1+前提条件!$C$15)^(BM$3-$B$3))</f>
        <v/>
      </c>
      <c r="BN21" s="352">
        <f>IF(BN$3="","",((IF(入力データ!$C$13="持ち家",IF(BN4&lt;=前提条件!$C$44,入力データ!$C$53,0),入力データ!$C$53)+入力データ!$C$54+入力データ!$C$55+入力データ!$C$56)*12+IF(入力データ!$C$13="持ち家",入力データ!$C$83+前提条件!$C$47,入力データ!$C$84+前提条件!$C$48))*(1+前提条件!$C$15)^(BN$3-$B$3))</f>
        <v/>
      </c>
      <c r="BO21" s="352">
        <f>IF(BO$3="","",((IF(入力データ!$C$13="持ち家",IF(BO4&lt;=前提条件!$C$44,入力データ!$C$53,0),入力データ!$C$53)+入力データ!$C$54+入力データ!$C$55+入力データ!$C$56)*12+IF(入力データ!$C$13="持ち家",入力データ!$C$83+前提条件!$C$47,入力データ!$C$84+前提条件!$C$48))*(1+前提条件!$C$15)^(BO$3-$B$3))</f>
        <v/>
      </c>
      <c r="BP21" s="352">
        <f>IF(BP$3="","",((IF(入力データ!$C$13="持ち家",IF(BP4&lt;=前提条件!$C$44,入力データ!$C$53,0),入力データ!$C$53)+入力データ!$C$54+入力データ!$C$55+入力データ!$C$56)*12+IF(入力データ!$C$13="持ち家",入力データ!$C$83+前提条件!$C$47,入力データ!$C$84+前提条件!$C$48))*(1+前提条件!$C$15)^(BP$3-$B$3))</f>
        <v/>
      </c>
      <c r="BQ21" s="352">
        <f>IF(BQ$3="","",((IF(入力データ!$C$13="持ち家",IF(BQ4&lt;=前提条件!$C$44,入力データ!$C$53,0),入力データ!$C$53)+入力データ!$C$54+入力データ!$C$55+入力データ!$C$56)*12+IF(入力データ!$C$13="持ち家",入力データ!$C$83+前提条件!$C$47,入力データ!$C$84+前提条件!$C$48))*(1+前提条件!$C$15)^(BQ$3-$B$3))</f>
        <v/>
      </c>
      <c r="BR21" s="352">
        <f>IF(BR$3="","",((IF(入力データ!$C$13="持ち家",IF(BR4&lt;=前提条件!$C$44,入力データ!$C$53,0),入力データ!$C$53)+入力データ!$C$54+入力データ!$C$55+入力データ!$C$56)*12+IF(入力データ!$C$13="持ち家",入力データ!$C$83+前提条件!$C$47,入力データ!$C$84+前提条件!$C$48))*(1+前提条件!$C$15)^(BR$3-$B$3))</f>
        <v/>
      </c>
      <c r="BS21" s="352">
        <f>IF(BS$3="","",((IF(入力データ!$C$13="持ち家",IF(BS4&lt;=前提条件!$C$44,入力データ!$C$53,0),入力データ!$C$53)+入力データ!$C$54+入力データ!$C$55+入力データ!$C$56)*12+IF(入力データ!$C$13="持ち家",入力データ!$C$83+前提条件!$C$47,入力データ!$C$84+前提条件!$C$48))*(1+前提条件!$C$15)^(BS$3-$B$3))</f>
        <v/>
      </c>
      <c r="BT21" s="352">
        <f>IF(BT$3="","",((IF(入力データ!$C$13="持ち家",IF(BT4&lt;=前提条件!$C$44,入力データ!$C$53,0),入力データ!$C$53)+入力データ!$C$54+入力データ!$C$55+入力データ!$C$56)*12+IF(入力データ!$C$13="持ち家",入力データ!$C$83+前提条件!$C$47,入力データ!$C$84+前提条件!$C$48))*(1+前提条件!$C$15)^(BT$3-$B$3))</f>
        <v/>
      </c>
      <c r="BU21" s="352">
        <f>IF(BU$3="","",((IF(入力データ!$C$13="持ち家",IF(BU4&lt;=前提条件!$C$44,入力データ!$C$53,0),入力データ!$C$53)+入力データ!$C$54+入力データ!$C$55+入力データ!$C$56)*12+IF(入力データ!$C$13="持ち家",入力データ!$C$83+前提条件!$C$47,入力データ!$C$84+前提条件!$C$48))*(1+前提条件!$C$15)^(BU$3-$B$3))</f>
        <v/>
      </c>
      <c r="BV21" s="352">
        <f>IF(BV$3="","",((IF(入力データ!$C$13="持ち家",IF(BV4&lt;=前提条件!$C$44,入力データ!$C$53,0),入力データ!$C$53)+入力データ!$C$54+入力データ!$C$55+入力データ!$C$56)*12+IF(入力データ!$C$13="持ち家",入力データ!$C$83+前提条件!$C$47,入力データ!$C$84+前提条件!$C$48))*(1+前提条件!$C$15)^(BV$3-$B$3))</f>
        <v/>
      </c>
      <c r="BW21" s="352">
        <f>IF(BW$3="","",((IF(入力データ!$C$13="持ち家",IF(BW4&lt;=前提条件!$C$44,入力データ!$C$53,0),入力データ!$C$53)+入力データ!$C$54+入力データ!$C$55+入力データ!$C$56)*12+IF(入力データ!$C$13="持ち家",入力データ!$C$83+前提条件!$C$47,入力データ!$C$84+前提条件!$C$48))*(1+前提条件!$C$15)^(BW$3-$B$3))</f>
        <v/>
      </c>
      <c r="BX21" s="352">
        <f>IF(BX$3="","",((IF(入力データ!$C$13="持ち家",IF(BX4&lt;=前提条件!$C$44,入力データ!$C$53,0),入力データ!$C$53)+入力データ!$C$54+入力データ!$C$55+入力データ!$C$56)*12+IF(入力データ!$C$13="持ち家",入力データ!$C$83+前提条件!$C$47,入力データ!$C$84+前提条件!$C$48))*(1+前提条件!$C$15)^(BX$3-$B$3))</f>
        <v/>
      </c>
      <c r="BY21" s="352">
        <f>IF(BY$3="","",((IF(入力データ!$C$13="持ち家",IF(BY4&lt;=前提条件!$C$44,入力データ!$C$53,0),入力データ!$C$53)+入力データ!$C$54+入力データ!$C$55+入力データ!$C$56)*12+IF(入力データ!$C$13="持ち家",入力データ!$C$83+前提条件!$C$47,入力データ!$C$84+前提条件!$C$48))*(1+前提条件!$C$15)^(BY$3-$B$3))</f>
        <v/>
      </c>
      <c r="BZ21" s="352">
        <f>IF(BZ$3="","",((IF(入力データ!$C$13="持ち家",IF(BZ4&lt;=前提条件!$C$44,入力データ!$C$53,0),入力データ!$C$53)+入力データ!$C$54+入力データ!$C$55+入力データ!$C$56)*12+IF(入力データ!$C$13="持ち家",入力データ!$C$83+前提条件!$C$47,入力データ!$C$84+前提条件!$C$48))*(1+前提条件!$C$15)^(BZ$3-$B$3))</f>
        <v/>
      </c>
      <c r="CA21" s="352">
        <f>IF(CA$3="","",((IF(入力データ!$C$13="持ち家",IF(CA4&lt;=前提条件!$C$44,入力データ!$C$53,0),入力データ!$C$53)+入力データ!$C$54+入力データ!$C$55+入力データ!$C$56)*12+IF(入力データ!$C$13="持ち家",入力データ!$C$83+前提条件!$C$47,入力データ!$C$84+前提条件!$C$48))*(1+前提条件!$C$15)^(CA$3-$B$3))</f>
        <v/>
      </c>
      <c r="CB21" s="352">
        <f>IF(CB$3="","",((IF(入力データ!$C$13="持ち家",IF(CB4&lt;=前提条件!$C$44,入力データ!$C$53,0),入力データ!$C$53)+入力データ!$C$54+入力データ!$C$55+入力データ!$C$56)*12+IF(入力データ!$C$13="持ち家",入力データ!$C$83+前提条件!$C$47,入力データ!$C$84+前提条件!$C$48))*(1+前提条件!$C$15)^(CB$3-$B$3))</f>
        <v/>
      </c>
      <c r="CC21" s="352">
        <f>IF(CC$3="","",((IF(入力データ!$C$13="持ち家",IF(CC4&lt;=前提条件!$C$44,入力データ!$C$53,0),入力データ!$C$53)+入力データ!$C$54+入力データ!$C$55+入力データ!$C$56)*12+IF(入力データ!$C$13="持ち家",入力データ!$C$83+前提条件!$C$47,入力データ!$C$84+前提条件!$C$48))*(1+前提条件!$C$15)^(CC$3-$B$3))</f>
        <v/>
      </c>
      <c r="CD21" s="352">
        <f>IF(CD$3="","",((IF(入力データ!$C$13="持ち家",IF(CD4&lt;=前提条件!$C$44,入力データ!$C$53,0),入力データ!$C$53)+入力データ!$C$54+入力データ!$C$55+入力データ!$C$56)*12+IF(入力データ!$C$13="持ち家",入力データ!$C$83+前提条件!$C$47,入力データ!$C$84+前提条件!$C$48))*(1+前提条件!$C$15)^(CD$3-$B$3))</f>
        <v/>
      </c>
      <c r="CE21" s="352">
        <f>IF(CE$3="","",((IF(入力データ!$C$13="持ち家",IF(CE4&lt;=前提条件!$C$44,入力データ!$C$53,0),入力データ!$C$53)+入力データ!$C$54+入力データ!$C$55+入力データ!$C$56)*12+IF(入力データ!$C$13="持ち家",入力データ!$C$83+前提条件!$C$47,入力データ!$C$84+前提条件!$C$48))*(1+前提条件!$C$15)^(CE$3-$B$3))</f>
        <v/>
      </c>
      <c r="CF21" s="352">
        <f>IF(CF$3="","",((IF(入力データ!$C$13="持ち家",IF(CF4&lt;=前提条件!$C$44,入力データ!$C$53,0),入力データ!$C$53)+入力データ!$C$54+入力データ!$C$55+入力データ!$C$56)*12+IF(入力データ!$C$13="持ち家",入力データ!$C$83+前提条件!$C$47,入力データ!$C$84+前提条件!$C$48))*(1+前提条件!$C$15)^(CF$3-$B$3))</f>
        <v/>
      </c>
      <c r="CG21" s="352">
        <f>IF(CG$3="","",((IF(入力データ!$C$13="持ち家",IF(CG4&lt;=前提条件!$C$44,入力データ!$C$53,0),入力データ!$C$53)+入力データ!$C$54+入力データ!$C$55+入力データ!$C$56)*12+IF(入力データ!$C$13="持ち家",入力データ!$C$83+前提条件!$C$47,入力データ!$C$84+前提条件!$C$48))*(1+前提条件!$C$15)^(CG$3-$B$3))</f>
        <v/>
      </c>
      <c r="CH21" s="352">
        <f>IF(CH$3="","",((IF(入力データ!$C$13="持ち家",IF(CH4&lt;=前提条件!$C$44,入力データ!$C$53,0),入力データ!$C$53)+入力データ!$C$54+入力データ!$C$55+入力データ!$C$56)*12+IF(入力データ!$C$13="持ち家",入力データ!$C$83+前提条件!$C$47,入力データ!$C$84+前提条件!$C$48))*(1+前提条件!$C$15)^(CH$3-$B$3))</f>
        <v/>
      </c>
      <c r="CI21" s="352">
        <f>IF(CI$3="","",((IF(入力データ!$C$13="持ち家",IF(CI4&lt;=前提条件!$C$44,入力データ!$C$53,0),入力データ!$C$53)+入力データ!$C$54+入力データ!$C$55+入力データ!$C$56)*12+IF(入力データ!$C$13="持ち家",入力データ!$C$83+前提条件!$C$47,入力データ!$C$84+前提条件!$C$48))*(1+前提条件!$C$15)^(CI$3-$B$3))</f>
        <v/>
      </c>
      <c r="CJ21" s="352">
        <f>IF(CJ$3="","",((IF(入力データ!$C$13="持ち家",IF(CJ4&lt;=前提条件!$C$44,入力データ!$C$53,0),入力データ!$C$53)+入力データ!$C$54+入力データ!$C$55+入力データ!$C$56)*12+IF(入力データ!$C$13="持ち家",入力データ!$C$83+前提条件!$C$47,入力データ!$C$84+前提条件!$C$48))*(1+前提条件!$C$15)^(CJ$3-$B$3))</f>
        <v/>
      </c>
      <c r="CK21" s="352">
        <f>IF(CK$3="","",((IF(入力データ!$C$13="持ち家",IF(CK4&lt;=前提条件!$C$44,入力データ!$C$53,0),入力データ!$C$53)+入力データ!$C$54+入力データ!$C$55+入力データ!$C$56)*12+IF(入力データ!$C$13="持ち家",入力データ!$C$83+前提条件!$C$47,入力データ!$C$84+前提条件!$C$48))*(1+前提条件!$C$15)^(CK$3-$B$3))</f>
        <v/>
      </c>
      <c r="CL21" s="352">
        <f>IF(CL$3="","",((IF(入力データ!$C$13="持ち家",IF(CL4&lt;=前提条件!$C$44,入力データ!$C$53,0),入力データ!$C$53)+入力データ!$C$54+入力データ!$C$55+入力データ!$C$56)*12+IF(入力データ!$C$13="持ち家",入力データ!$C$83+前提条件!$C$47,入力データ!$C$84+前提条件!$C$48))*(1+前提条件!$C$15)^(CL$3-$B$3))</f>
        <v/>
      </c>
      <c r="CM21" s="352">
        <f>IF(CM$3="","",((IF(入力データ!$C$13="持ち家",IF(CM4&lt;=前提条件!$C$44,入力データ!$C$53,0),入力データ!$C$53)+入力データ!$C$54+入力データ!$C$55+入力データ!$C$56)*12+IF(入力データ!$C$13="持ち家",入力データ!$C$83+前提条件!$C$47,入力データ!$C$84+前提条件!$C$48))*(1+前提条件!$C$15)^(CM$3-$B$3))</f>
        <v/>
      </c>
      <c r="CN21" s="352">
        <f>IF(CN$3="","",((IF(入力データ!$C$13="持ち家",IF(CN4&lt;=前提条件!$C$44,入力データ!$C$53,0),入力データ!$C$53)+入力データ!$C$54+入力データ!$C$55+入力データ!$C$56)*12+IF(入力データ!$C$13="持ち家",入力データ!$C$83+前提条件!$C$47,入力データ!$C$84+前提条件!$C$48))*(1+前提条件!$C$15)^(CN$3-$B$3))</f>
        <v/>
      </c>
      <c r="CO21" s="352">
        <f>IF(CO$3="","",((IF(入力データ!$C$13="持ち家",IF(CO4&lt;=前提条件!$C$44,入力データ!$C$53,0),入力データ!$C$53)+入力データ!$C$54+入力データ!$C$55+入力データ!$C$56)*12+IF(入力データ!$C$13="持ち家",入力データ!$C$83+前提条件!$C$47,入力データ!$C$84+前提条件!$C$48))*(1+前提条件!$C$15)^(CO$3-$B$3))</f>
        <v/>
      </c>
      <c r="CP21" s="352">
        <f>IF(CP$3="","",((IF(入力データ!$C$13="持ち家",IF(CP4&lt;=前提条件!$C$44,入力データ!$C$53,0),入力データ!$C$53)+入力データ!$C$54+入力データ!$C$55+入力データ!$C$56)*12+IF(入力データ!$C$13="持ち家",入力データ!$C$83+前提条件!$C$47,入力データ!$C$84+前提条件!$C$48))*(1+前提条件!$C$15)^(CP$3-$B$3))</f>
        <v/>
      </c>
      <c r="CQ21" s="352">
        <f>IF(CQ$3="","",((IF(入力データ!$C$13="持ち家",IF(CQ4&lt;=前提条件!$C$44,入力データ!$C$53,0),入力データ!$C$53)+入力データ!$C$54+入力データ!$C$55+入力データ!$C$56)*12+IF(入力データ!$C$13="持ち家",入力データ!$C$83+前提条件!$C$47,入力データ!$C$84+前提条件!$C$48))*(1+前提条件!$C$15)^(CQ$3-$B$3))</f>
        <v/>
      </c>
      <c r="CR21" s="352">
        <f>IF(CR$3="","",((IF(入力データ!$C$13="持ち家",IF(CR4&lt;=前提条件!$C$44,入力データ!$C$53,0),入力データ!$C$53)+入力データ!$C$54+入力データ!$C$55+入力データ!$C$56)*12+IF(入力データ!$C$13="持ち家",入力データ!$C$83+前提条件!$C$47,入力データ!$C$84+前提条件!$C$48))*(1+前提条件!$C$15)^(CR$3-$B$3))</f>
        <v/>
      </c>
      <c r="CS21" s="352">
        <f>IF(CS$3="","",((IF(入力データ!$C$13="持ち家",IF(CS4&lt;=前提条件!$C$44,入力データ!$C$53,0),入力データ!$C$53)+入力データ!$C$54+入力データ!$C$55+入力データ!$C$56)*12+IF(入力データ!$C$13="持ち家",入力データ!$C$83+前提条件!$C$47,入力データ!$C$84+前提条件!$C$48))*(1+前提条件!$C$15)^(CS$3-$B$3))</f>
        <v/>
      </c>
      <c r="CT21" s="352">
        <f>IF(CT$3="","",((IF(入力データ!$C$13="持ち家",IF(CT4&lt;=前提条件!$C$44,入力データ!$C$53,0),入力データ!$C$53)+入力データ!$C$54+入力データ!$C$55+入力データ!$C$56)*12+IF(入力データ!$C$13="持ち家",入力データ!$C$83+前提条件!$C$47,入力データ!$C$84+前提条件!$C$48))*(1+前提条件!$C$15)^(CT$3-$B$3))</f>
        <v/>
      </c>
      <c r="CU21" s="352">
        <f>IF(CU$3="","",((IF(入力データ!$C$13="持ち家",IF(CU4&lt;=前提条件!$C$44,入力データ!$C$53,0),入力データ!$C$53)+入力データ!$C$54+入力データ!$C$55+入力データ!$C$56)*12+IF(入力データ!$C$13="持ち家",入力データ!$C$83+前提条件!$C$47,入力データ!$C$84+前提条件!$C$48))*(1+前提条件!$C$15)^(CU$3-$B$3))</f>
        <v/>
      </c>
      <c r="CV21" s="352">
        <f>IF(CV$3="","",((IF(入力データ!$C$13="持ち家",IF(CV4&lt;=前提条件!$C$44,入力データ!$C$53,0),入力データ!$C$53)+入力データ!$C$54+入力データ!$C$55+入力データ!$C$56)*12+IF(入力データ!$C$13="持ち家",入力データ!$C$83+前提条件!$C$47,入力データ!$C$84+前提条件!$C$48))*(1+前提条件!$C$15)^(CV$3-$B$3))</f>
        <v/>
      </c>
      <c r="CW21" s="352">
        <f>IF(CW$3="","",((IF(入力データ!$C$13="持ち家",IF(CW4&lt;=前提条件!$C$44,入力データ!$C$53,0),入力データ!$C$53)+入力データ!$C$54+入力データ!$C$55+入力データ!$C$56)*12+IF(入力データ!$C$13="持ち家",入力データ!$C$83+前提条件!$C$47,入力データ!$C$84+前提条件!$C$48))*(1+前提条件!$C$15)^(CW$3-$B$3))</f>
        <v/>
      </c>
    </row>
    <row r="22" ht="15" customHeight="1" s="180">
      <c r="A22" s="224" t="inlineStr">
        <is>
          <t>終身系保険料</t>
        </is>
      </c>
      <c r="B22" s="352">
        <f>IF(B$3="","",SUMPRODUCT(--ISNUMBER(SEARCH("終身",入力データ!$F$5:$F$20)),--(IFERROR(YEAR(入力データ!$J$5:$J$20),0)&lt;=B$3),--(IFERROR(YEAR(入力データ!$K$5:$K$20),9999)&gt;=B$3),入力データ!$M$5:$M$20)*12)</f>
        <v/>
      </c>
      <c r="C22" s="352">
        <f>IF(C$3="","",SUMPRODUCT(--ISNUMBER(SEARCH("終身",入力データ!$F$5:$F$20)),--(IFERROR(YEAR(入力データ!$J$5:$J$20),0)&lt;=C$3),--(IFERROR(YEAR(入力データ!$K$5:$K$20),9999)&gt;=C$3),入力データ!$M$5:$M$20)*12)</f>
        <v/>
      </c>
      <c r="D22" s="352">
        <f>IF(D$3="","",SUMPRODUCT(--ISNUMBER(SEARCH("終身",入力データ!$F$5:$F$20)),--(IFERROR(YEAR(入力データ!$J$5:$J$20),0)&lt;=D$3),--(IFERROR(YEAR(入力データ!$K$5:$K$20),9999)&gt;=D$3),入力データ!$M$5:$M$20)*12)</f>
        <v/>
      </c>
      <c r="E22" s="352">
        <f>IF(E$3="","",SUMPRODUCT(--ISNUMBER(SEARCH("終身",入力データ!$F$5:$F$20)),--(IFERROR(YEAR(入力データ!$J$5:$J$20),0)&lt;=E$3),--(IFERROR(YEAR(入力データ!$K$5:$K$20),9999)&gt;=E$3),入力データ!$M$5:$M$20)*12)</f>
        <v/>
      </c>
      <c r="F22" s="352">
        <f>IF(F$3="","",SUMPRODUCT(--ISNUMBER(SEARCH("終身",入力データ!$F$5:$F$20)),--(IFERROR(YEAR(入力データ!$J$5:$J$20),0)&lt;=F$3),--(IFERROR(YEAR(入力データ!$K$5:$K$20),9999)&gt;=F$3),入力データ!$M$5:$M$20)*12)</f>
        <v/>
      </c>
      <c r="G22" s="352">
        <f>IF(G$3="","",SUMPRODUCT(--ISNUMBER(SEARCH("終身",入力データ!$F$5:$F$20)),--(IFERROR(YEAR(入力データ!$J$5:$J$20),0)&lt;=G$3),--(IFERROR(YEAR(入力データ!$K$5:$K$20),9999)&gt;=G$3),入力データ!$M$5:$M$20)*12)</f>
        <v/>
      </c>
      <c r="H22" s="352">
        <f>IF(H$3="","",SUMPRODUCT(--ISNUMBER(SEARCH("終身",入力データ!$F$5:$F$20)),--(IFERROR(YEAR(入力データ!$J$5:$J$20),0)&lt;=H$3),--(IFERROR(YEAR(入力データ!$K$5:$K$20),9999)&gt;=H$3),入力データ!$M$5:$M$20)*12)</f>
        <v/>
      </c>
      <c r="I22" s="352">
        <f>IF(I$3="","",SUMPRODUCT(--ISNUMBER(SEARCH("終身",入力データ!$F$5:$F$20)),--(IFERROR(YEAR(入力データ!$J$5:$J$20),0)&lt;=I$3),--(IFERROR(YEAR(入力データ!$K$5:$K$20),9999)&gt;=I$3),入力データ!$M$5:$M$20)*12)</f>
        <v/>
      </c>
      <c r="J22" s="352">
        <f>IF(J$3="","",SUMPRODUCT(--ISNUMBER(SEARCH("終身",入力データ!$F$5:$F$20)),--(IFERROR(YEAR(入力データ!$J$5:$J$20),0)&lt;=J$3),--(IFERROR(YEAR(入力データ!$K$5:$K$20),9999)&gt;=J$3),入力データ!$M$5:$M$20)*12)</f>
        <v/>
      </c>
      <c r="K22" s="352">
        <f>IF(K$3="","",SUMPRODUCT(--ISNUMBER(SEARCH("終身",入力データ!$F$5:$F$20)),--(IFERROR(YEAR(入力データ!$J$5:$J$20),0)&lt;=K$3),--(IFERROR(YEAR(入力データ!$K$5:$K$20),9999)&gt;=K$3),入力データ!$M$5:$M$20)*12)</f>
        <v/>
      </c>
      <c r="L22" s="352">
        <f>IF(L$3="","",SUMPRODUCT(--ISNUMBER(SEARCH("終身",入力データ!$F$5:$F$20)),--(IFERROR(YEAR(入力データ!$J$5:$J$20),0)&lt;=L$3),--(IFERROR(YEAR(入力データ!$K$5:$K$20),9999)&gt;=L$3),入力データ!$M$5:$M$20)*12)</f>
        <v/>
      </c>
      <c r="M22" s="352">
        <f>IF(M$3="","",SUMPRODUCT(--ISNUMBER(SEARCH("終身",入力データ!$F$5:$F$20)),--(IFERROR(YEAR(入力データ!$J$5:$J$20),0)&lt;=M$3),--(IFERROR(YEAR(入力データ!$K$5:$K$20),9999)&gt;=M$3),入力データ!$M$5:$M$20)*12)</f>
        <v/>
      </c>
      <c r="N22" s="352">
        <f>IF(N$3="","",SUMPRODUCT(--ISNUMBER(SEARCH("終身",入力データ!$F$5:$F$20)),--(IFERROR(YEAR(入力データ!$J$5:$J$20),0)&lt;=N$3),--(IFERROR(YEAR(入力データ!$K$5:$K$20),9999)&gt;=N$3),入力データ!$M$5:$M$20)*12)</f>
        <v/>
      </c>
      <c r="O22" s="352">
        <f>IF(O$3="","",SUMPRODUCT(--ISNUMBER(SEARCH("終身",入力データ!$F$5:$F$20)),--(IFERROR(YEAR(入力データ!$J$5:$J$20),0)&lt;=O$3),--(IFERROR(YEAR(入力データ!$K$5:$K$20),9999)&gt;=O$3),入力データ!$M$5:$M$20)*12)</f>
        <v/>
      </c>
      <c r="P22" s="352">
        <f>IF(P$3="","",SUMPRODUCT(--ISNUMBER(SEARCH("終身",入力データ!$F$5:$F$20)),--(IFERROR(YEAR(入力データ!$J$5:$J$20),0)&lt;=P$3),--(IFERROR(YEAR(入力データ!$K$5:$K$20),9999)&gt;=P$3),入力データ!$M$5:$M$20)*12)</f>
        <v/>
      </c>
      <c r="Q22" s="352">
        <f>IF(Q$3="","",SUMPRODUCT(--ISNUMBER(SEARCH("終身",入力データ!$F$5:$F$20)),--(IFERROR(YEAR(入力データ!$J$5:$J$20),0)&lt;=Q$3),--(IFERROR(YEAR(入力データ!$K$5:$K$20),9999)&gt;=Q$3),入力データ!$M$5:$M$20)*12)</f>
        <v/>
      </c>
      <c r="R22" s="352">
        <f>IF(R$3="","",SUMPRODUCT(--ISNUMBER(SEARCH("終身",入力データ!$F$5:$F$20)),--(IFERROR(YEAR(入力データ!$J$5:$J$20),0)&lt;=R$3),--(IFERROR(YEAR(入力データ!$K$5:$K$20),9999)&gt;=R$3),入力データ!$M$5:$M$20)*12)</f>
        <v/>
      </c>
      <c r="S22" s="352">
        <f>IF(S$3="","",SUMPRODUCT(--ISNUMBER(SEARCH("終身",入力データ!$F$5:$F$20)),--(IFERROR(YEAR(入力データ!$J$5:$J$20),0)&lt;=S$3),--(IFERROR(YEAR(入力データ!$K$5:$K$20),9999)&gt;=S$3),入力データ!$M$5:$M$20)*12)</f>
        <v/>
      </c>
      <c r="T22" s="352">
        <f>IF(T$3="","",SUMPRODUCT(--ISNUMBER(SEARCH("終身",入力データ!$F$5:$F$20)),--(IFERROR(YEAR(入力データ!$J$5:$J$20),0)&lt;=T$3),--(IFERROR(YEAR(入力データ!$K$5:$K$20),9999)&gt;=T$3),入力データ!$M$5:$M$20)*12)</f>
        <v/>
      </c>
      <c r="U22" s="352">
        <f>IF(U$3="","",SUMPRODUCT(--ISNUMBER(SEARCH("終身",入力データ!$F$5:$F$20)),--(IFERROR(YEAR(入力データ!$J$5:$J$20),0)&lt;=U$3),--(IFERROR(YEAR(入力データ!$K$5:$K$20),9999)&gt;=U$3),入力データ!$M$5:$M$20)*12)</f>
        <v/>
      </c>
      <c r="V22" s="352">
        <f>IF(V$3="","",SUMPRODUCT(--ISNUMBER(SEARCH("終身",入力データ!$F$5:$F$20)),--(IFERROR(YEAR(入力データ!$J$5:$J$20),0)&lt;=V$3),--(IFERROR(YEAR(入力データ!$K$5:$K$20),9999)&gt;=V$3),入力データ!$M$5:$M$20)*12)</f>
        <v/>
      </c>
      <c r="W22" s="352">
        <f>IF(W$3="","",SUMPRODUCT(--ISNUMBER(SEARCH("終身",入力データ!$F$5:$F$20)),--(IFERROR(YEAR(入力データ!$J$5:$J$20),0)&lt;=W$3),--(IFERROR(YEAR(入力データ!$K$5:$K$20),9999)&gt;=W$3),入力データ!$M$5:$M$20)*12)</f>
        <v/>
      </c>
      <c r="X22" s="352">
        <f>IF(X$3="","",SUMPRODUCT(--ISNUMBER(SEARCH("終身",入力データ!$F$5:$F$20)),--(IFERROR(YEAR(入力データ!$J$5:$J$20),0)&lt;=X$3),--(IFERROR(YEAR(入力データ!$K$5:$K$20),9999)&gt;=X$3),入力データ!$M$5:$M$20)*12)</f>
        <v/>
      </c>
      <c r="Y22" s="352">
        <f>IF(Y$3="","",SUMPRODUCT(--ISNUMBER(SEARCH("終身",入力データ!$F$5:$F$20)),--(IFERROR(YEAR(入力データ!$J$5:$J$20),0)&lt;=Y$3),--(IFERROR(YEAR(入力データ!$K$5:$K$20),9999)&gt;=Y$3),入力データ!$M$5:$M$20)*12)</f>
        <v/>
      </c>
      <c r="Z22" s="352">
        <f>IF(Z$3="","",SUMPRODUCT(--ISNUMBER(SEARCH("終身",入力データ!$F$5:$F$20)),--(IFERROR(YEAR(入力データ!$J$5:$J$20),0)&lt;=Z$3),--(IFERROR(YEAR(入力データ!$K$5:$K$20),9999)&gt;=Z$3),入力データ!$M$5:$M$20)*12)</f>
        <v/>
      </c>
      <c r="AA22" s="352">
        <f>IF(AA$3="","",SUMPRODUCT(--ISNUMBER(SEARCH("終身",入力データ!$F$5:$F$20)),--(IFERROR(YEAR(入力データ!$J$5:$J$20),0)&lt;=AA$3),--(IFERROR(YEAR(入力データ!$K$5:$K$20),9999)&gt;=AA$3),入力データ!$M$5:$M$20)*12)</f>
        <v/>
      </c>
      <c r="AB22" s="352">
        <f>IF(AB$3="","",SUMPRODUCT(--ISNUMBER(SEARCH("終身",入力データ!$F$5:$F$20)),--(IFERROR(YEAR(入力データ!$J$5:$J$20),0)&lt;=AB$3),--(IFERROR(YEAR(入力データ!$K$5:$K$20),9999)&gt;=AB$3),入力データ!$M$5:$M$20)*12)</f>
        <v/>
      </c>
      <c r="AC22" s="352">
        <f>IF(AC$3="","",SUMPRODUCT(--ISNUMBER(SEARCH("終身",入力データ!$F$5:$F$20)),--(IFERROR(YEAR(入力データ!$J$5:$J$20),0)&lt;=AC$3),--(IFERROR(YEAR(入力データ!$K$5:$K$20),9999)&gt;=AC$3),入力データ!$M$5:$M$20)*12)</f>
        <v/>
      </c>
      <c r="AD22" s="352">
        <f>IF(AD$3="","",SUMPRODUCT(--ISNUMBER(SEARCH("終身",入力データ!$F$5:$F$20)),--(IFERROR(YEAR(入力データ!$J$5:$J$20),0)&lt;=AD$3),--(IFERROR(YEAR(入力データ!$K$5:$K$20),9999)&gt;=AD$3),入力データ!$M$5:$M$20)*12)</f>
        <v/>
      </c>
      <c r="AE22" s="352">
        <f>IF(AE$3="","",SUMPRODUCT(--ISNUMBER(SEARCH("終身",入力データ!$F$5:$F$20)),--(IFERROR(YEAR(入力データ!$J$5:$J$20),0)&lt;=AE$3),--(IFERROR(YEAR(入力データ!$K$5:$K$20),9999)&gt;=AE$3),入力データ!$M$5:$M$20)*12)</f>
        <v/>
      </c>
      <c r="AF22" s="352">
        <f>IF(AF$3="","",SUMPRODUCT(--ISNUMBER(SEARCH("終身",入力データ!$F$5:$F$20)),--(IFERROR(YEAR(入力データ!$J$5:$J$20),0)&lt;=AF$3),--(IFERROR(YEAR(入力データ!$K$5:$K$20),9999)&gt;=AF$3),入力データ!$M$5:$M$20)*12)</f>
        <v/>
      </c>
      <c r="AG22" s="352">
        <f>IF(AG$3="","",SUMPRODUCT(--ISNUMBER(SEARCH("終身",入力データ!$F$5:$F$20)),--(IFERROR(YEAR(入力データ!$J$5:$J$20),0)&lt;=AG$3),--(IFERROR(YEAR(入力データ!$K$5:$K$20),9999)&gt;=AG$3),入力データ!$M$5:$M$20)*12)</f>
        <v/>
      </c>
      <c r="AH22" s="352">
        <f>IF(AH$3="","",SUMPRODUCT(--ISNUMBER(SEARCH("終身",入力データ!$F$5:$F$20)),--(IFERROR(YEAR(入力データ!$J$5:$J$20),0)&lt;=AH$3),--(IFERROR(YEAR(入力データ!$K$5:$K$20),9999)&gt;=AH$3),入力データ!$M$5:$M$20)*12)</f>
        <v/>
      </c>
      <c r="AI22" s="352">
        <f>IF(AI$3="","",SUMPRODUCT(--ISNUMBER(SEARCH("終身",入力データ!$F$5:$F$20)),--(IFERROR(YEAR(入力データ!$J$5:$J$20),0)&lt;=AI$3),--(IFERROR(YEAR(入力データ!$K$5:$K$20),9999)&gt;=AI$3),入力データ!$M$5:$M$20)*12)</f>
        <v/>
      </c>
      <c r="AJ22" s="352">
        <f>IF(AJ$3="","",SUMPRODUCT(--ISNUMBER(SEARCH("終身",入力データ!$F$5:$F$20)),--(IFERROR(YEAR(入力データ!$J$5:$J$20),0)&lt;=AJ$3),--(IFERROR(YEAR(入力データ!$K$5:$K$20),9999)&gt;=AJ$3),入力データ!$M$5:$M$20)*12)</f>
        <v/>
      </c>
      <c r="AK22" s="352">
        <f>IF(AK$3="","",SUMPRODUCT(--ISNUMBER(SEARCH("終身",入力データ!$F$5:$F$20)),--(IFERROR(YEAR(入力データ!$J$5:$J$20),0)&lt;=AK$3),--(IFERROR(YEAR(入力データ!$K$5:$K$20),9999)&gt;=AK$3),入力データ!$M$5:$M$20)*12)</f>
        <v/>
      </c>
      <c r="AL22" s="352">
        <f>IF(AL$3="","",SUMPRODUCT(--ISNUMBER(SEARCH("終身",入力データ!$F$5:$F$20)),--(IFERROR(YEAR(入力データ!$J$5:$J$20),0)&lt;=AL$3),--(IFERROR(YEAR(入力データ!$K$5:$K$20),9999)&gt;=AL$3),入力データ!$M$5:$M$20)*12)</f>
        <v/>
      </c>
      <c r="AM22" s="352">
        <f>IF(AM$3="","",SUMPRODUCT(--ISNUMBER(SEARCH("終身",入力データ!$F$5:$F$20)),--(IFERROR(YEAR(入力データ!$J$5:$J$20),0)&lt;=AM$3),--(IFERROR(YEAR(入力データ!$K$5:$K$20),9999)&gt;=AM$3),入力データ!$M$5:$M$20)*12)</f>
        <v/>
      </c>
      <c r="AN22" s="352">
        <f>IF(AN$3="","",SUMPRODUCT(--ISNUMBER(SEARCH("終身",入力データ!$F$5:$F$20)),--(IFERROR(YEAR(入力データ!$J$5:$J$20),0)&lt;=AN$3),--(IFERROR(YEAR(入力データ!$K$5:$K$20),9999)&gt;=AN$3),入力データ!$M$5:$M$20)*12)</f>
        <v/>
      </c>
      <c r="AO22" s="352">
        <f>IF(AO$3="","",SUMPRODUCT(--ISNUMBER(SEARCH("終身",入力データ!$F$5:$F$20)),--(IFERROR(YEAR(入力データ!$J$5:$J$20),0)&lt;=AO$3),--(IFERROR(YEAR(入力データ!$K$5:$K$20),9999)&gt;=AO$3),入力データ!$M$5:$M$20)*12)</f>
        <v/>
      </c>
      <c r="AP22" s="352">
        <f>IF(AP$3="","",SUMPRODUCT(--ISNUMBER(SEARCH("終身",入力データ!$F$5:$F$20)),--(IFERROR(YEAR(入力データ!$J$5:$J$20),0)&lt;=AP$3),--(IFERROR(YEAR(入力データ!$K$5:$K$20),9999)&gt;=AP$3),入力データ!$M$5:$M$20)*12)</f>
        <v/>
      </c>
      <c r="AQ22" s="352">
        <f>IF(AQ$3="","",SUMPRODUCT(--ISNUMBER(SEARCH("終身",入力データ!$F$5:$F$20)),--(IFERROR(YEAR(入力データ!$J$5:$J$20),0)&lt;=AQ$3),--(IFERROR(YEAR(入力データ!$K$5:$K$20),9999)&gt;=AQ$3),入力データ!$M$5:$M$20)*12)</f>
        <v/>
      </c>
      <c r="AR22" s="352">
        <f>IF(AR$3="","",SUMPRODUCT(--ISNUMBER(SEARCH("終身",入力データ!$F$5:$F$20)),--(IFERROR(YEAR(入力データ!$J$5:$J$20),0)&lt;=AR$3),--(IFERROR(YEAR(入力データ!$K$5:$K$20),9999)&gt;=AR$3),入力データ!$M$5:$M$20)*12)</f>
        <v/>
      </c>
      <c r="AS22" s="352">
        <f>IF(AS$3="","",SUMPRODUCT(--ISNUMBER(SEARCH("終身",入力データ!$F$5:$F$20)),--(IFERROR(YEAR(入力データ!$J$5:$J$20),0)&lt;=AS$3),--(IFERROR(YEAR(入力データ!$K$5:$K$20),9999)&gt;=AS$3),入力データ!$M$5:$M$20)*12)</f>
        <v/>
      </c>
      <c r="AT22" s="352">
        <f>IF(AT$3="","",SUMPRODUCT(--ISNUMBER(SEARCH("終身",入力データ!$F$5:$F$20)),--(IFERROR(YEAR(入力データ!$J$5:$J$20),0)&lt;=AT$3),--(IFERROR(YEAR(入力データ!$K$5:$K$20),9999)&gt;=AT$3),入力データ!$M$5:$M$20)*12)</f>
        <v/>
      </c>
      <c r="AU22" s="352">
        <f>IF(AU$3="","",SUMPRODUCT(--ISNUMBER(SEARCH("終身",入力データ!$F$5:$F$20)),--(IFERROR(YEAR(入力データ!$J$5:$J$20),0)&lt;=AU$3),--(IFERROR(YEAR(入力データ!$K$5:$K$20),9999)&gt;=AU$3),入力データ!$M$5:$M$20)*12)</f>
        <v/>
      </c>
      <c r="AV22" s="352">
        <f>IF(AV$3="","",SUMPRODUCT(--ISNUMBER(SEARCH("終身",入力データ!$F$5:$F$20)),--(IFERROR(YEAR(入力データ!$J$5:$J$20),0)&lt;=AV$3),--(IFERROR(YEAR(入力データ!$K$5:$K$20),9999)&gt;=AV$3),入力データ!$M$5:$M$20)*12)</f>
        <v/>
      </c>
      <c r="AW22" s="352">
        <f>IF(AW$3="","",SUMPRODUCT(--ISNUMBER(SEARCH("終身",入力データ!$F$5:$F$20)),--(IFERROR(YEAR(入力データ!$J$5:$J$20),0)&lt;=AW$3),--(IFERROR(YEAR(入力データ!$K$5:$K$20),9999)&gt;=AW$3),入力データ!$M$5:$M$20)*12)</f>
        <v/>
      </c>
      <c r="AX22" s="352">
        <f>IF(AX$3="","",SUMPRODUCT(--ISNUMBER(SEARCH("終身",入力データ!$F$5:$F$20)),--(IFERROR(YEAR(入力データ!$J$5:$J$20),0)&lt;=AX$3),--(IFERROR(YEAR(入力データ!$K$5:$K$20),9999)&gt;=AX$3),入力データ!$M$5:$M$20)*12)</f>
        <v/>
      </c>
      <c r="AY22" s="352">
        <f>IF(AY$3="","",SUMPRODUCT(--ISNUMBER(SEARCH("終身",入力データ!$F$5:$F$20)),--(IFERROR(YEAR(入力データ!$J$5:$J$20),0)&lt;=AY$3),--(IFERROR(YEAR(入力データ!$K$5:$K$20),9999)&gt;=AY$3),入力データ!$M$5:$M$20)*12)</f>
        <v/>
      </c>
      <c r="AZ22" s="352">
        <f>IF(AZ$3="","",SUMPRODUCT(--ISNUMBER(SEARCH("終身",入力データ!$F$5:$F$20)),--(IFERROR(YEAR(入力データ!$J$5:$J$20),0)&lt;=AZ$3),--(IFERROR(YEAR(入力データ!$K$5:$K$20),9999)&gt;=AZ$3),入力データ!$M$5:$M$20)*12)</f>
        <v/>
      </c>
      <c r="BA22" s="352">
        <f>IF(BA$3="","",SUMPRODUCT(--ISNUMBER(SEARCH("終身",入力データ!$F$5:$F$20)),--(IFERROR(YEAR(入力データ!$J$5:$J$20),0)&lt;=BA$3),--(IFERROR(YEAR(入力データ!$K$5:$K$20),9999)&gt;=BA$3),入力データ!$M$5:$M$20)*12)</f>
        <v/>
      </c>
      <c r="BB22" s="352">
        <f>IF(BB$3="","",SUMPRODUCT(--ISNUMBER(SEARCH("終身",入力データ!$F$5:$F$20)),--(IFERROR(YEAR(入力データ!$J$5:$J$20),0)&lt;=BB$3),--(IFERROR(YEAR(入力データ!$K$5:$K$20),9999)&gt;=BB$3),入力データ!$M$5:$M$20)*12)</f>
        <v/>
      </c>
      <c r="BC22" s="352">
        <f>IF(BC$3="","",SUMPRODUCT(--ISNUMBER(SEARCH("終身",入力データ!$F$5:$F$20)),--(IFERROR(YEAR(入力データ!$J$5:$J$20),0)&lt;=BC$3),--(IFERROR(YEAR(入力データ!$K$5:$K$20),9999)&gt;=BC$3),入力データ!$M$5:$M$20)*12)</f>
        <v/>
      </c>
      <c r="BD22" s="352">
        <f>IF(BD$3="","",SUMPRODUCT(--ISNUMBER(SEARCH("終身",入力データ!$F$5:$F$20)),--(IFERROR(YEAR(入力データ!$J$5:$J$20),0)&lt;=BD$3),--(IFERROR(YEAR(入力データ!$K$5:$K$20),9999)&gt;=BD$3),入力データ!$M$5:$M$20)*12)</f>
        <v/>
      </c>
      <c r="BE22" s="352">
        <f>IF(BE$3="","",SUMPRODUCT(--ISNUMBER(SEARCH("終身",入力データ!$F$5:$F$20)),--(IFERROR(YEAR(入力データ!$J$5:$J$20),0)&lt;=BE$3),--(IFERROR(YEAR(入力データ!$K$5:$K$20),9999)&gt;=BE$3),入力データ!$M$5:$M$20)*12)</f>
        <v/>
      </c>
      <c r="BF22" s="352">
        <f>IF(BF$3="","",SUMPRODUCT(--ISNUMBER(SEARCH("終身",入力データ!$F$5:$F$20)),--(IFERROR(YEAR(入力データ!$J$5:$J$20),0)&lt;=BF$3),--(IFERROR(YEAR(入力データ!$K$5:$K$20),9999)&gt;=BF$3),入力データ!$M$5:$M$20)*12)</f>
        <v/>
      </c>
      <c r="BG22" s="352">
        <f>IF(BG$3="","",SUMPRODUCT(--ISNUMBER(SEARCH("終身",入力データ!$F$5:$F$20)),--(IFERROR(YEAR(入力データ!$J$5:$J$20),0)&lt;=BG$3),--(IFERROR(YEAR(入力データ!$K$5:$K$20),9999)&gt;=BG$3),入力データ!$M$5:$M$20)*12)</f>
        <v/>
      </c>
      <c r="BH22" s="352">
        <f>IF(BH$3="","",SUMPRODUCT(--ISNUMBER(SEARCH("終身",入力データ!$F$5:$F$20)),--(IFERROR(YEAR(入力データ!$J$5:$J$20),0)&lt;=BH$3),--(IFERROR(YEAR(入力データ!$K$5:$K$20),9999)&gt;=BH$3),入力データ!$M$5:$M$20)*12)</f>
        <v/>
      </c>
      <c r="BI22" s="352">
        <f>IF(BI$3="","",SUMPRODUCT(--ISNUMBER(SEARCH("終身",入力データ!$F$5:$F$20)),--(IFERROR(YEAR(入力データ!$J$5:$J$20),0)&lt;=BI$3),--(IFERROR(YEAR(入力データ!$K$5:$K$20),9999)&gt;=BI$3),入力データ!$M$5:$M$20)*12)</f>
        <v/>
      </c>
      <c r="BJ22" s="352">
        <f>IF(BJ$3="","",SUMPRODUCT(--ISNUMBER(SEARCH("終身",入力データ!$F$5:$F$20)),--(IFERROR(YEAR(入力データ!$J$5:$J$20),0)&lt;=BJ$3),--(IFERROR(YEAR(入力データ!$K$5:$K$20),9999)&gt;=BJ$3),入力データ!$M$5:$M$20)*12)</f>
        <v/>
      </c>
      <c r="BK22" s="352">
        <f>IF(BK$3="","",SUMPRODUCT(--ISNUMBER(SEARCH("終身",入力データ!$F$5:$F$20)),--(IFERROR(YEAR(入力データ!$J$5:$J$20),0)&lt;=BK$3),--(IFERROR(YEAR(入力データ!$K$5:$K$20),9999)&gt;=BK$3),入力データ!$M$5:$M$20)*12)</f>
        <v/>
      </c>
      <c r="BL22" s="352">
        <f>IF(BL$3="","",SUMPRODUCT(--ISNUMBER(SEARCH("終身",入力データ!$F$5:$F$20)),--(IFERROR(YEAR(入力データ!$J$5:$J$20),0)&lt;=BL$3),--(IFERROR(YEAR(入力データ!$K$5:$K$20),9999)&gt;=BL$3),入力データ!$M$5:$M$20)*12)</f>
        <v/>
      </c>
      <c r="BM22" s="352">
        <f>IF(BM$3="","",SUMPRODUCT(--ISNUMBER(SEARCH("終身",入力データ!$F$5:$F$20)),--(IFERROR(YEAR(入力データ!$J$5:$J$20),0)&lt;=BM$3),--(IFERROR(YEAR(入力データ!$K$5:$K$20),9999)&gt;=BM$3),入力データ!$M$5:$M$20)*12)</f>
        <v/>
      </c>
      <c r="BN22" s="352">
        <f>IF(BN$3="","",SUMPRODUCT(--ISNUMBER(SEARCH("終身",入力データ!$F$5:$F$20)),--(IFERROR(YEAR(入力データ!$J$5:$J$20),0)&lt;=BN$3),--(IFERROR(YEAR(入力データ!$K$5:$K$20),9999)&gt;=BN$3),入力データ!$M$5:$M$20)*12)</f>
        <v/>
      </c>
      <c r="BO22" s="352">
        <f>IF(BO$3="","",SUMPRODUCT(--ISNUMBER(SEARCH("終身",入力データ!$F$5:$F$20)),--(IFERROR(YEAR(入力データ!$J$5:$J$20),0)&lt;=BO$3),--(IFERROR(YEAR(入力データ!$K$5:$K$20),9999)&gt;=BO$3),入力データ!$M$5:$M$20)*12)</f>
        <v/>
      </c>
      <c r="BP22" s="352">
        <f>IF(BP$3="","",SUMPRODUCT(--ISNUMBER(SEARCH("終身",入力データ!$F$5:$F$20)),--(IFERROR(YEAR(入力データ!$J$5:$J$20),0)&lt;=BP$3),--(IFERROR(YEAR(入力データ!$K$5:$K$20),9999)&gt;=BP$3),入力データ!$M$5:$M$20)*12)</f>
        <v/>
      </c>
      <c r="BQ22" s="352">
        <f>IF(BQ$3="","",SUMPRODUCT(--ISNUMBER(SEARCH("終身",入力データ!$F$5:$F$20)),--(IFERROR(YEAR(入力データ!$J$5:$J$20),0)&lt;=BQ$3),--(IFERROR(YEAR(入力データ!$K$5:$K$20),9999)&gt;=BQ$3),入力データ!$M$5:$M$20)*12)</f>
        <v/>
      </c>
      <c r="BR22" s="352">
        <f>IF(BR$3="","",SUMPRODUCT(--ISNUMBER(SEARCH("終身",入力データ!$F$5:$F$20)),--(IFERROR(YEAR(入力データ!$J$5:$J$20),0)&lt;=BR$3),--(IFERROR(YEAR(入力データ!$K$5:$K$20),9999)&gt;=BR$3),入力データ!$M$5:$M$20)*12)</f>
        <v/>
      </c>
      <c r="BS22" s="352">
        <f>IF(BS$3="","",SUMPRODUCT(--ISNUMBER(SEARCH("終身",入力データ!$F$5:$F$20)),--(IFERROR(YEAR(入力データ!$J$5:$J$20),0)&lt;=BS$3),--(IFERROR(YEAR(入力データ!$K$5:$K$20),9999)&gt;=BS$3),入力データ!$M$5:$M$20)*12)</f>
        <v/>
      </c>
      <c r="BT22" s="352">
        <f>IF(BT$3="","",SUMPRODUCT(--ISNUMBER(SEARCH("終身",入力データ!$F$5:$F$20)),--(IFERROR(YEAR(入力データ!$J$5:$J$20),0)&lt;=BT$3),--(IFERROR(YEAR(入力データ!$K$5:$K$20),9999)&gt;=BT$3),入力データ!$M$5:$M$20)*12)</f>
        <v/>
      </c>
      <c r="BU22" s="352">
        <f>IF(BU$3="","",SUMPRODUCT(--ISNUMBER(SEARCH("終身",入力データ!$F$5:$F$20)),--(IFERROR(YEAR(入力データ!$J$5:$J$20),0)&lt;=BU$3),--(IFERROR(YEAR(入力データ!$K$5:$K$20),9999)&gt;=BU$3),入力データ!$M$5:$M$20)*12)</f>
        <v/>
      </c>
      <c r="BV22" s="352">
        <f>IF(BV$3="","",SUMPRODUCT(--ISNUMBER(SEARCH("終身",入力データ!$F$5:$F$20)),--(IFERROR(YEAR(入力データ!$J$5:$J$20),0)&lt;=BV$3),--(IFERROR(YEAR(入力データ!$K$5:$K$20),9999)&gt;=BV$3),入力データ!$M$5:$M$20)*12)</f>
        <v/>
      </c>
      <c r="BW22" s="352">
        <f>IF(BW$3="","",SUMPRODUCT(--ISNUMBER(SEARCH("終身",入力データ!$F$5:$F$20)),--(IFERROR(YEAR(入力データ!$J$5:$J$20),0)&lt;=BW$3),--(IFERROR(YEAR(入力データ!$K$5:$K$20),9999)&gt;=BW$3),入力データ!$M$5:$M$20)*12)</f>
        <v/>
      </c>
      <c r="BX22" s="352">
        <f>IF(BX$3="","",SUMPRODUCT(--ISNUMBER(SEARCH("終身",入力データ!$F$5:$F$20)),--(IFERROR(YEAR(入力データ!$J$5:$J$20),0)&lt;=BX$3),--(IFERROR(YEAR(入力データ!$K$5:$K$20),9999)&gt;=BX$3),入力データ!$M$5:$M$20)*12)</f>
        <v/>
      </c>
      <c r="BY22" s="352">
        <f>IF(BY$3="","",SUMPRODUCT(--ISNUMBER(SEARCH("終身",入力データ!$F$5:$F$20)),--(IFERROR(YEAR(入力データ!$J$5:$J$20),0)&lt;=BY$3),--(IFERROR(YEAR(入力データ!$K$5:$K$20),9999)&gt;=BY$3),入力データ!$M$5:$M$20)*12)</f>
        <v/>
      </c>
      <c r="BZ22" s="352">
        <f>IF(BZ$3="","",SUMPRODUCT(--ISNUMBER(SEARCH("終身",入力データ!$F$5:$F$20)),--(IFERROR(YEAR(入力データ!$J$5:$J$20),0)&lt;=BZ$3),--(IFERROR(YEAR(入力データ!$K$5:$K$20),9999)&gt;=BZ$3),入力データ!$M$5:$M$20)*12)</f>
        <v/>
      </c>
      <c r="CA22" s="352">
        <f>IF(CA$3="","",SUMPRODUCT(--ISNUMBER(SEARCH("終身",入力データ!$F$5:$F$20)),--(IFERROR(YEAR(入力データ!$J$5:$J$20),0)&lt;=CA$3),--(IFERROR(YEAR(入力データ!$K$5:$K$20),9999)&gt;=CA$3),入力データ!$M$5:$M$20)*12)</f>
        <v/>
      </c>
      <c r="CB22" s="352">
        <f>IF(CB$3="","",SUMPRODUCT(--ISNUMBER(SEARCH("終身",入力データ!$F$5:$F$20)),--(IFERROR(YEAR(入力データ!$J$5:$J$20),0)&lt;=CB$3),--(IFERROR(YEAR(入力データ!$K$5:$K$20),9999)&gt;=CB$3),入力データ!$M$5:$M$20)*12)</f>
        <v/>
      </c>
      <c r="CC22" s="352">
        <f>IF(CC$3="","",SUMPRODUCT(--ISNUMBER(SEARCH("終身",入力データ!$F$5:$F$20)),--(IFERROR(YEAR(入力データ!$J$5:$J$20),0)&lt;=CC$3),--(IFERROR(YEAR(入力データ!$K$5:$K$20),9999)&gt;=CC$3),入力データ!$M$5:$M$20)*12)</f>
        <v/>
      </c>
      <c r="CD22" s="352">
        <f>IF(CD$3="","",SUMPRODUCT(--ISNUMBER(SEARCH("終身",入力データ!$F$5:$F$20)),--(IFERROR(YEAR(入力データ!$J$5:$J$20),0)&lt;=CD$3),--(IFERROR(YEAR(入力データ!$K$5:$K$20),9999)&gt;=CD$3),入力データ!$M$5:$M$20)*12)</f>
        <v/>
      </c>
      <c r="CE22" s="352">
        <f>IF(CE$3="","",SUMPRODUCT(--ISNUMBER(SEARCH("終身",入力データ!$F$5:$F$20)),--(IFERROR(YEAR(入力データ!$J$5:$J$20),0)&lt;=CE$3),--(IFERROR(YEAR(入力データ!$K$5:$K$20),9999)&gt;=CE$3),入力データ!$M$5:$M$20)*12)</f>
        <v/>
      </c>
      <c r="CF22" s="352">
        <f>IF(CF$3="","",SUMPRODUCT(--ISNUMBER(SEARCH("終身",入力データ!$F$5:$F$20)),--(IFERROR(YEAR(入力データ!$J$5:$J$20),0)&lt;=CF$3),--(IFERROR(YEAR(入力データ!$K$5:$K$20),9999)&gt;=CF$3),入力データ!$M$5:$M$20)*12)</f>
        <v/>
      </c>
      <c r="CG22" s="352">
        <f>IF(CG$3="","",SUMPRODUCT(--ISNUMBER(SEARCH("終身",入力データ!$F$5:$F$20)),--(IFERROR(YEAR(入力データ!$J$5:$J$20),0)&lt;=CG$3),--(IFERROR(YEAR(入力データ!$K$5:$K$20),9999)&gt;=CG$3),入力データ!$M$5:$M$20)*12)</f>
        <v/>
      </c>
      <c r="CH22" s="352">
        <f>IF(CH$3="","",SUMPRODUCT(--ISNUMBER(SEARCH("終身",入力データ!$F$5:$F$20)),--(IFERROR(YEAR(入力データ!$J$5:$J$20),0)&lt;=CH$3),--(IFERROR(YEAR(入力データ!$K$5:$K$20),9999)&gt;=CH$3),入力データ!$M$5:$M$20)*12)</f>
        <v/>
      </c>
      <c r="CI22" s="352">
        <f>IF(CI$3="","",SUMPRODUCT(--ISNUMBER(SEARCH("終身",入力データ!$F$5:$F$20)),--(IFERROR(YEAR(入力データ!$J$5:$J$20),0)&lt;=CI$3),--(IFERROR(YEAR(入力データ!$K$5:$K$20),9999)&gt;=CI$3),入力データ!$M$5:$M$20)*12)</f>
        <v/>
      </c>
      <c r="CJ22" s="352">
        <f>IF(CJ$3="","",SUMPRODUCT(--ISNUMBER(SEARCH("終身",入力データ!$F$5:$F$20)),--(IFERROR(YEAR(入力データ!$J$5:$J$20),0)&lt;=CJ$3),--(IFERROR(YEAR(入力データ!$K$5:$K$20),9999)&gt;=CJ$3),入力データ!$M$5:$M$20)*12)</f>
        <v/>
      </c>
      <c r="CK22" s="352">
        <f>IF(CK$3="","",SUMPRODUCT(--ISNUMBER(SEARCH("終身",入力データ!$F$5:$F$20)),--(IFERROR(YEAR(入力データ!$J$5:$J$20),0)&lt;=CK$3),--(IFERROR(YEAR(入力データ!$K$5:$K$20),9999)&gt;=CK$3),入力データ!$M$5:$M$20)*12)</f>
        <v/>
      </c>
      <c r="CL22" s="352">
        <f>IF(CL$3="","",SUMPRODUCT(--ISNUMBER(SEARCH("終身",入力データ!$F$5:$F$20)),--(IFERROR(YEAR(入力データ!$J$5:$J$20),0)&lt;=CL$3),--(IFERROR(YEAR(入力データ!$K$5:$K$20),9999)&gt;=CL$3),入力データ!$M$5:$M$20)*12)</f>
        <v/>
      </c>
      <c r="CM22" s="352">
        <f>IF(CM$3="","",SUMPRODUCT(--ISNUMBER(SEARCH("終身",入力データ!$F$5:$F$20)),--(IFERROR(YEAR(入力データ!$J$5:$J$20),0)&lt;=CM$3),--(IFERROR(YEAR(入力データ!$K$5:$K$20),9999)&gt;=CM$3),入力データ!$M$5:$M$20)*12)</f>
        <v/>
      </c>
      <c r="CN22" s="352">
        <f>IF(CN$3="","",SUMPRODUCT(--ISNUMBER(SEARCH("終身",入力データ!$F$5:$F$20)),--(IFERROR(YEAR(入力データ!$J$5:$J$20),0)&lt;=CN$3),--(IFERROR(YEAR(入力データ!$K$5:$K$20),9999)&gt;=CN$3),入力データ!$M$5:$M$20)*12)</f>
        <v/>
      </c>
      <c r="CO22" s="352">
        <f>IF(CO$3="","",SUMPRODUCT(--ISNUMBER(SEARCH("終身",入力データ!$F$5:$F$20)),--(IFERROR(YEAR(入力データ!$J$5:$J$20),0)&lt;=CO$3),--(IFERROR(YEAR(入力データ!$K$5:$K$20),9999)&gt;=CO$3),入力データ!$M$5:$M$20)*12)</f>
        <v/>
      </c>
      <c r="CP22" s="352">
        <f>IF(CP$3="","",SUMPRODUCT(--ISNUMBER(SEARCH("終身",入力データ!$F$5:$F$20)),--(IFERROR(YEAR(入力データ!$J$5:$J$20),0)&lt;=CP$3),--(IFERROR(YEAR(入力データ!$K$5:$K$20),9999)&gt;=CP$3),入力データ!$M$5:$M$20)*12)</f>
        <v/>
      </c>
      <c r="CQ22" s="352">
        <f>IF(CQ$3="","",SUMPRODUCT(--ISNUMBER(SEARCH("終身",入力データ!$F$5:$F$20)),--(IFERROR(YEAR(入力データ!$J$5:$J$20),0)&lt;=CQ$3),--(IFERROR(YEAR(入力データ!$K$5:$K$20),9999)&gt;=CQ$3),入力データ!$M$5:$M$20)*12)</f>
        <v/>
      </c>
      <c r="CR22" s="352">
        <f>IF(CR$3="","",SUMPRODUCT(--ISNUMBER(SEARCH("終身",入力データ!$F$5:$F$20)),--(IFERROR(YEAR(入力データ!$J$5:$J$20),0)&lt;=CR$3),--(IFERROR(YEAR(入力データ!$K$5:$K$20),9999)&gt;=CR$3),入力データ!$M$5:$M$20)*12)</f>
        <v/>
      </c>
      <c r="CS22" s="352">
        <f>IF(CS$3="","",SUMPRODUCT(--ISNUMBER(SEARCH("終身",入力データ!$F$5:$F$20)),--(IFERROR(YEAR(入力データ!$J$5:$J$20),0)&lt;=CS$3),--(IFERROR(YEAR(入力データ!$K$5:$K$20),9999)&gt;=CS$3),入力データ!$M$5:$M$20)*12)</f>
        <v/>
      </c>
      <c r="CT22" s="352">
        <f>IF(CT$3="","",SUMPRODUCT(--ISNUMBER(SEARCH("終身",入力データ!$F$5:$F$20)),--(IFERROR(YEAR(入力データ!$J$5:$J$20),0)&lt;=CT$3),--(IFERROR(YEAR(入力データ!$K$5:$K$20),9999)&gt;=CT$3),入力データ!$M$5:$M$20)*12)</f>
        <v/>
      </c>
      <c r="CU22" s="352">
        <f>IF(CU$3="","",SUMPRODUCT(--ISNUMBER(SEARCH("終身",入力データ!$F$5:$F$20)),--(IFERROR(YEAR(入力データ!$J$5:$J$20),0)&lt;=CU$3),--(IFERROR(YEAR(入力データ!$K$5:$K$20),9999)&gt;=CU$3),入力データ!$M$5:$M$20)*12)</f>
        <v/>
      </c>
      <c r="CV22" s="352">
        <f>IF(CV$3="","",SUMPRODUCT(--ISNUMBER(SEARCH("終身",入力データ!$F$5:$F$20)),--(IFERROR(YEAR(入力データ!$J$5:$J$20),0)&lt;=CV$3),--(IFERROR(YEAR(入力データ!$K$5:$K$20),9999)&gt;=CV$3),入力データ!$M$5:$M$20)*12)</f>
        <v/>
      </c>
      <c r="CW22" s="352">
        <f>IF(CW$3="","",SUMPRODUCT(--ISNUMBER(SEARCH("終身",入力データ!$F$5:$F$20)),--(IFERROR(YEAR(入力データ!$J$5:$J$20),0)&lt;=CW$3),--(IFERROR(YEAR(入力データ!$K$5:$K$20),9999)&gt;=CW$3),入力データ!$M$5:$M$20)*12)</f>
        <v/>
      </c>
    </row>
    <row r="23" ht="15" customHeight="1" s="180">
      <c r="A23" s="224" t="inlineStr">
        <is>
          <t>定期系保険料</t>
        </is>
      </c>
      <c r="B23" s="352">
        <f>IF(B$3="","",SUMPRODUCT(--ISERROR(SEARCH("終身",入力データ!$F$5:$F$20)),--(IFERROR(YEAR(入力データ!$J$5:$J$20),0)&lt;=B$3),--(IFERROR(YEAR(入力データ!$K$5:$K$20),9999)&gt;=B$3),入力データ!$M$5:$M$20)*12)</f>
        <v/>
      </c>
      <c r="C23" s="352">
        <f>IF(C$3="","",SUMPRODUCT(--ISERROR(SEARCH("終身",入力データ!$F$5:$F$20)),--(IFERROR(YEAR(入力データ!$J$5:$J$20),0)&lt;=C$3),--(IFERROR(YEAR(入力データ!$K$5:$K$20),9999)&gt;=C$3),入力データ!$M$5:$M$20)*12)</f>
        <v/>
      </c>
      <c r="D23" s="352">
        <f>IF(D$3="","",SUMPRODUCT(--ISERROR(SEARCH("終身",入力データ!$F$5:$F$20)),--(IFERROR(YEAR(入力データ!$J$5:$J$20),0)&lt;=D$3),--(IFERROR(YEAR(入力データ!$K$5:$K$20),9999)&gt;=D$3),入力データ!$M$5:$M$20)*12)</f>
        <v/>
      </c>
      <c r="E23" s="352">
        <f>IF(E$3="","",SUMPRODUCT(--ISERROR(SEARCH("終身",入力データ!$F$5:$F$20)),--(IFERROR(YEAR(入力データ!$J$5:$J$20),0)&lt;=E$3),--(IFERROR(YEAR(入力データ!$K$5:$K$20),9999)&gt;=E$3),入力データ!$M$5:$M$20)*12)</f>
        <v/>
      </c>
      <c r="F23" s="352">
        <f>IF(F$3="","",SUMPRODUCT(--ISERROR(SEARCH("終身",入力データ!$F$5:$F$20)),--(IFERROR(YEAR(入力データ!$J$5:$J$20),0)&lt;=F$3),--(IFERROR(YEAR(入力データ!$K$5:$K$20),9999)&gt;=F$3),入力データ!$M$5:$M$20)*12)</f>
        <v/>
      </c>
      <c r="G23" s="352">
        <f>IF(G$3="","",SUMPRODUCT(--ISERROR(SEARCH("終身",入力データ!$F$5:$F$20)),--(IFERROR(YEAR(入力データ!$J$5:$J$20),0)&lt;=G$3),--(IFERROR(YEAR(入力データ!$K$5:$K$20),9999)&gt;=G$3),入力データ!$M$5:$M$20)*12)</f>
        <v/>
      </c>
      <c r="H23" s="352">
        <f>IF(H$3="","",SUMPRODUCT(--ISERROR(SEARCH("終身",入力データ!$F$5:$F$20)),--(IFERROR(YEAR(入力データ!$J$5:$J$20),0)&lt;=H$3),--(IFERROR(YEAR(入力データ!$K$5:$K$20),9999)&gt;=H$3),入力データ!$M$5:$M$20)*12)</f>
        <v/>
      </c>
      <c r="I23" s="352">
        <f>IF(I$3="","",SUMPRODUCT(--ISERROR(SEARCH("終身",入力データ!$F$5:$F$20)),--(IFERROR(YEAR(入力データ!$J$5:$J$20),0)&lt;=I$3),--(IFERROR(YEAR(入力データ!$K$5:$K$20),9999)&gt;=I$3),入力データ!$M$5:$M$20)*12)</f>
        <v/>
      </c>
      <c r="J23" s="352">
        <f>IF(J$3="","",SUMPRODUCT(--ISERROR(SEARCH("終身",入力データ!$F$5:$F$20)),--(IFERROR(YEAR(入力データ!$J$5:$J$20),0)&lt;=J$3),--(IFERROR(YEAR(入力データ!$K$5:$K$20),9999)&gt;=J$3),入力データ!$M$5:$M$20)*12)</f>
        <v/>
      </c>
      <c r="K23" s="352">
        <f>IF(K$3="","",SUMPRODUCT(--ISERROR(SEARCH("終身",入力データ!$F$5:$F$20)),--(IFERROR(YEAR(入力データ!$J$5:$J$20),0)&lt;=K$3),--(IFERROR(YEAR(入力データ!$K$5:$K$20),9999)&gt;=K$3),入力データ!$M$5:$M$20)*12)</f>
        <v/>
      </c>
      <c r="L23" s="352">
        <f>IF(L$3="","",SUMPRODUCT(--ISERROR(SEARCH("終身",入力データ!$F$5:$F$20)),--(IFERROR(YEAR(入力データ!$J$5:$J$20),0)&lt;=L$3),--(IFERROR(YEAR(入力データ!$K$5:$K$20),9999)&gt;=L$3),入力データ!$M$5:$M$20)*12)</f>
        <v/>
      </c>
      <c r="M23" s="352">
        <f>IF(M$3="","",SUMPRODUCT(--ISERROR(SEARCH("終身",入力データ!$F$5:$F$20)),--(IFERROR(YEAR(入力データ!$J$5:$J$20),0)&lt;=M$3),--(IFERROR(YEAR(入力データ!$K$5:$K$20),9999)&gt;=M$3),入力データ!$M$5:$M$20)*12)</f>
        <v/>
      </c>
      <c r="N23" s="352">
        <f>IF(N$3="","",SUMPRODUCT(--ISERROR(SEARCH("終身",入力データ!$F$5:$F$20)),--(IFERROR(YEAR(入力データ!$J$5:$J$20),0)&lt;=N$3),--(IFERROR(YEAR(入力データ!$K$5:$K$20),9999)&gt;=N$3),入力データ!$M$5:$M$20)*12)</f>
        <v/>
      </c>
      <c r="O23" s="352">
        <f>IF(O$3="","",SUMPRODUCT(--ISERROR(SEARCH("終身",入力データ!$F$5:$F$20)),--(IFERROR(YEAR(入力データ!$J$5:$J$20),0)&lt;=O$3),--(IFERROR(YEAR(入力データ!$K$5:$K$20),9999)&gt;=O$3),入力データ!$M$5:$M$20)*12)</f>
        <v/>
      </c>
      <c r="P23" s="352">
        <f>IF(P$3="","",SUMPRODUCT(--ISERROR(SEARCH("終身",入力データ!$F$5:$F$20)),--(IFERROR(YEAR(入力データ!$J$5:$J$20),0)&lt;=P$3),--(IFERROR(YEAR(入力データ!$K$5:$K$20),9999)&gt;=P$3),入力データ!$M$5:$M$20)*12)</f>
        <v/>
      </c>
      <c r="Q23" s="352">
        <f>IF(Q$3="","",SUMPRODUCT(--ISERROR(SEARCH("終身",入力データ!$F$5:$F$20)),--(IFERROR(YEAR(入力データ!$J$5:$J$20),0)&lt;=Q$3),--(IFERROR(YEAR(入力データ!$K$5:$K$20),9999)&gt;=Q$3),入力データ!$M$5:$M$20)*12)</f>
        <v/>
      </c>
      <c r="R23" s="352">
        <f>IF(R$3="","",SUMPRODUCT(--ISERROR(SEARCH("終身",入力データ!$F$5:$F$20)),--(IFERROR(YEAR(入力データ!$J$5:$J$20),0)&lt;=R$3),--(IFERROR(YEAR(入力データ!$K$5:$K$20),9999)&gt;=R$3),入力データ!$M$5:$M$20)*12)</f>
        <v/>
      </c>
      <c r="S23" s="352">
        <f>IF(S$3="","",SUMPRODUCT(--ISERROR(SEARCH("終身",入力データ!$F$5:$F$20)),--(IFERROR(YEAR(入力データ!$J$5:$J$20),0)&lt;=S$3),--(IFERROR(YEAR(入力データ!$K$5:$K$20),9999)&gt;=S$3),入力データ!$M$5:$M$20)*12)</f>
        <v/>
      </c>
      <c r="T23" s="352">
        <f>IF(T$3="","",SUMPRODUCT(--ISERROR(SEARCH("終身",入力データ!$F$5:$F$20)),--(IFERROR(YEAR(入力データ!$J$5:$J$20),0)&lt;=T$3),--(IFERROR(YEAR(入力データ!$K$5:$K$20),9999)&gt;=T$3),入力データ!$M$5:$M$20)*12)</f>
        <v/>
      </c>
      <c r="U23" s="352">
        <f>IF(U$3="","",SUMPRODUCT(--ISERROR(SEARCH("終身",入力データ!$F$5:$F$20)),--(IFERROR(YEAR(入力データ!$J$5:$J$20),0)&lt;=U$3),--(IFERROR(YEAR(入力データ!$K$5:$K$20),9999)&gt;=U$3),入力データ!$M$5:$M$20)*12)</f>
        <v/>
      </c>
      <c r="V23" s="352">
        <f>IF(V$3="","",SUMPRODUCT(--ISERROR(SEARCH("終身",入力データ!$F$5:$F$20)),--(IFERROR(YEAR(入力データ!$J$5:$J$20),0)&lt;=V$3),--(IFERROR(YEAR(入力データ!$K$5:$K$20),9999)&gt;=V$3),入力データ!$M$5:$M$20)*12)</f>
        <v/>
      </c>
      <c r="W23" s="352">
        <f>IF(W$3="","",SUMPRODUCT(--ISERROR(SEARCH("終身",入力データ!$F$5:$F$20)),--(IFERROR(YEAR(入力データ!$J$5:$J$20),0)&lt;=W$3),--(IFERROR(YEAR(入力データ!$K$5:$K$20),9999)&gt;=W$3),入力データ!$M$5:$M$20)*12)</f>
        <v/>
      </c>
      <c r="X23" s="352">
        <f>IF(X$3="","",SUMPRODUCT(--ISERROR(SEARCH("終身",入力データ!$F$5:$F$20)),--(IFERROR(YEAR(入力データ!$J$5:$J$20),0)&lt;=X$3),--(IFERROR(YEAR(入力データ!$K$5:$K$20),9999)&gt;=X$3),入力データ!$M$5:$M$20)*12)</f>
        <v/>
      </c>
      <c r="Y23" s="352">
        <f>IF(Y$3="","",SUMPRODUCT(--ISERROR(SEARCH("終身",入力データ!$F$5:$F$20)),--(IFERROR(YEAR(入力データ!$J$5:$J$20),0)&lt;=Y$3),--(IFERROR(YEAR(入力データ!$K$5:$K$20),9999)&gt;=Y$3),入力データ!$M$5:$M$20)*12)</f>
        <v/>
      </c>
      <c r="Z23" s="352">
        <f>IF(Z$3="","",SUMPRODUCT(--ISERROR(SEARCH("終身",入力データ!$F$5:$F$20)),--(IFERROR(YEAR(入力データ!$J$5:$J$20),0)&lt;=Z$3),--(IFERROR(YEAR(入力データ!$K$5:$K$20),9999)&gt;=Z$3),入力データ!$M$5:$M$20)*12)</f>
        <v/>
      </c>
      <c r="AA23" s="352">
        <f>IF(AA$3="","",SUMPRODUCT(--ISERROR(SEARCH("終身",入力データ!$F$5:$F$20)),--(IFERROR(YEAR(入力データ!$J$5:$J$20),0)&lt;=AA$3),--(IFERROR(YEAR(入力データ!$K$5:$K$20),9999)&gt;=AA$3),入力データ!$M$5:$M$20)*12)</f>
        <v/>
      </c>
      <c r="AB23" s="352">
        <f>IF(AB$3="","",SUMPRODUCT(--ISERROR(SEARCH("終身",入力データ!$F$5:$F$20)),--(IFERROR(YEAR(入力データ!$J$5:$J$20),0)&lt;=AB$3),--(IFERROR(YEAR(入力データ!$K$5:$K$20),9999)&gt;=AB$3),入力データ!$M$5:$M$20)*12)</f>
        <v/>
      </c>
      <c r="AC23" s="352">
        <f>IF(AC$3="","",SUMPRODUCT(--ISERROR(SEARCH("終身",入力データ!$F$5:$F$20)),--(IFERROR(YEAR(入力データ!$J$5:$J$20),0)&lt;=AC$3),--(IFERROR(YEAR(入力データ!$K$5:$K$20),9999)&gt;=AC$3),入力データ!$M$5:$M$20)*12)</f>
        <v/>
      </c>
      <c r="AD23" s="352">
        <f>IF(AD$3="","",SUMPRODUCT(--ISERROR(SEARCH("終身",入力データ!$F$5:$F$20)),--(IFERROR(YEAR(入力データ!$J$5:$J$20),0)&lt;=AD$3),--(IFERROR(YEAR(入力データ!$K$5:$K$20),9999)&gt;=AD$3),入力データ!$M$5:$M$20)*12)</f>
        <v/>
      </c>
      <c r="AE23" s="352">
        <f>IF(AE$3="","",SUMPRODUCT(--ISERROR(SEARCH("終身",入力データ!$F$5:$F$20)),--(IFERROR(YEAR(入力データ!$J$5:$J$20),0)&lt;=AE$3),--(IFERROR(YEAR(入力データ!$K$5:$K$20),9999)&gt;=AE$3),入力データ!$M$5:$M$20)*12)</f>
        <v/>
      </c>
      <c r="AF23" s="352">
        <f>IF(AF$3="","",SUMPRODUCT(--ISERROR(SEARCH("終身",入力データ!$F$5:$F$20)),--(IFERROR(YEAR(入力データ!$J$5:$J$20),0)&lt;=AF$3),--(IFERROR(YEAR(入力データ!$K$5:$K$20),9999)&gt;=AF$3),入力データ!$M$5:$M$20)*12)</f>
        <v/>
      </c>
      <c r="AG23" s="352">
        <f>IF(AG$3="","",SUMPRODUCT(--ISERROR(SEARCH("終身",入力データ!$F$5:$F$20)),--(IFERROR(YEAR(入力データ!$J$5:$J$20),0)&lt;=AG$3),--(IFERROR(YEAR(入力データ!$K$5:$K$20),9999)&gt;=AG$3),入力データ!$M$5:$M$20)*12)</f>
        <v/>
      </c>
      <c r="AH23" s="352">
        <f>IF(AH$3="","",SUMPRODUCT(--ISERROR(SEARCH("終身",入力データ!$F$5:$F$20)),--(IFERROR(YEAR(入力データ!$J$5:$J$20),0)&lt;=AH$3),--(IFERROR(YEAR(入力データ!$K$5:$K$20),9999)&gt;=AH$3),入力データ!$M$5:$M$20)*12)</f>
        <v/>
      </c>
      <c r="AI23" s="352">
        <f>IF(AI$3="","",SUMPRODUCT(--ISERROR(SEARCH("終身",入力データ!$F$5:$F$20)),--(IFERROR(YEAR(入力データ!$J$5:$J$20),0)&lt;=AI$3),--(IFERROR(YEAR(入力データ!$K$5:$K$20),9999)&gt;=AI$3),入力データ!$M$5:$M$20)*12)</f>
        <v/>
      </c>
      <c r="AJ23" s="352">
        <f>IF(AJ$3="","",SUMPRODUCT(--ISERROR(SEARCH("終身",入力データ!$F$5:$F$20)),--(IFERROR(YEAR(入力データ!$J$5:$J$20),0)&lt;=AJ$3),--(IFERROR(YEAR(入力データ!$K$5:$K$20),9999)&gt;=AJ$3),入力データ!$M$5:$M$20)*12)</f>
        <v/>
      </c>
      <c r="AK23" s="352">
        <f>IF(AK$3="","",SUMPRODUCT(--ISERROR(SEARCH("終身",入力データ!$F$5:$F$20)),--(IFERROR(YEAR(入力データ!$J$5:$J$20),0)&lt;=AK$3),--(IFERROR(YEAR(入力データ!$K$5:$K$20),9999)&gt;=AK$3),入力データ!$M$5:$M$20)*12)</f>
        <v/>
      </c>
      <c r="AL23" s="352">
        <f>IF(AL$3="","",SUMPRODUCT(--ISERROR(SEARCH("終身",入力データ!$F$5:$F$20)),--(IFERROR(YEAR(入力データ!$J$5:$J$20),0)&lt;=AL$3),--(IFERROR(YEAR(入力データ!$K$5:$K$20),9999)&gt;=AL$3),入力データ!$M$5:$M$20)*12)</f>
        <v/>
      </c>
      <c r="AM23" s="352">
        <f>IF(AM$3="","",SUMPRODUCT(--ISERROR(SEARCH("終身",入力データ!$F$5:$F$20)),--(IFERROR(YEAR(入力データ!$J$5:$J$20),0)&lt;=AM$3),--(IFERROR(YEAR(入力データ!$K$5:$K$20),9999)&gt;=AM$3),入力データ!$M$5:$M$20)*12)</f>
        <v/>
      </c>
      <c r="AN23" s="352">
        <f>IF(AN$3="","",SUMPRODUCT(--ISERROR(SEARCH("終身",入力データ!$F$5:$F$20)),--(IFERROR(YEAR(入力データ!$J$5:$J$20),0)&lt;=AN$3),--(IFERROR(YEAR(入力データ!$K$5:$K$20),9999)&gt;=AN$3),入力データ!$M$5:$M$20)*12)</f>
        <v/>
      </c>
      <c r="AO23" s="352">
        <f>IF(AO$3="","",SUMPRODUCT(--ISERROR(SEARCH("終身",入力データ!$F$5:$F$20)),--(IFERROR(YEAR(入力データ!$J$5:$J$20),0)&lt;=AO$3),--(IFERROR(YEAR(入力データ!$K$5:$K$20),9999)&gt;=AO$3),入力データ!$M$5:$M$20)*12)</f>
        <v/>
      </c>
      <c r="AP23" s="352">
        <f>IF(AP$3="","",SUMPRODUCT(--ISERROR(SEARCH("終身",入力データ!$F$5:$F$20)),--(IFERROR(YEAR(入力データ!$J$5:$J$20),0)&lt;=AP$3),--(IFERROR(YEAR(入力データ!$K$5:$K$20),9999)&gt;=AP$3),入力データ!$M$5:$M$20)*12)</f>
        <v/>
      </c>
      <c r="AQ23" s="352">
        <f>IF(AQ$3="","",SUMPRODUCT(--ISERROR(SEARCH("終身",入力データ!$F$5:$F$20)),--(IFERROR(YEAR(入力データ!$J$5:$J$20),0)&lt;=AQ$3),--(IFERROR(YEAR(入力データ!$K$5:$K$20),9999)&gt;=AQ$3),入力データ!$M$5:$M$20)*12)</f>
        <v/>
      </c>
      <c r="AR23" s="352">
        <f>IF(AR$3="","",SUMPRODUCT(--ISERROR(SEARCH("終身",入力データ!$F$5:$F$20)),--(IFERROR(YEAR(入力データ!$J$5:$J$20),0)&lt;=AR$3),--(IFERROR(YEAR(入力データ!$K$5:$K$20),9999)&gt;=AR$3),入力データ!$M$5:$M$20)*12)</f>
        <v/>
      </c>
      <c r="AS23" s="352">
        <f>IF(AS$3="","",SUMPRODUCT(--ISERROR(SEARCH("終身",入力データ!$F$5:$F$20)),--(IFERROR(YEAR(入力データ!$J$5:$J$20),0)&lt;=AS$3),--(IFERROR(YEAR(入力データ!$K$5:$K$20),9999)&gt;=AS$3),入力データ!$M$5:$M$20)*12)</f>
        <v/>
      </c>
      <c r="AT23" s="352">
        <f>IF(AT$3="","",SUMPRODUCT(--ISERROR(SEARCH("終身",入力データ!$F$5:$F$20)),--(IFERROR(YEAR(入力データ!$J$5:$J$20),0)&lt;=AT$3),--(IFERROR(YEAR(入力データ!$K$5:$K$20),9999)&gt;=AT$3),入力データ!$M$5:$M$20)*12)</f>
        <v/>
      </c>
      <c r="AU23" s="352">
        <f>IF(AU$3="","",SUMPRODUCT(--ISERROR(SEARCH("終身",入力データ!$F$5:$F$20)),--(IFERROR(YEAR(入力データ!$J$5:$J$20),0)&lt;=AU$3),--(IFERROR(YEAR(入力データ!$K$5:$K$20),9999)&gt;=AU$3),入力データ!$M$5:$M$20)*12)</f>
        <v/>
      </c>
      <c r="AV23" s="352">
        <f>IF(AV$3="","",SUMPRODUCT(--ISERROR(SEARCH("終身",入力データ!$F$5:$F$20)),--(IFERROR(YEAR(入力データ!$J$5:$J$20),0)&lt;=AV$3),--(IFERROR(YEAR(入力データ!$K$5:$K$20),9999)&gt;=AV$3),入力データ!$M$5:$M$20)*12)</f>
        <v/>
      </c>
      <c r="AW23" s="352">
        <f>IF(AW$3="","",SUMPRODUCT(--ISERROR(SEARCH("終身",入力データ!$F$5:$F$20)),--(IFERROR(YEAR(入力データ!$J$5:$J$20),0)&lt;=AW$3),--(IFERROR(YEAR(入力データ!$K$5:$K$20),9999)&gt;=AW$3),入力データ!$M$5:$M$20)*12)</f>
        <v/>
      </c>
      <c r="AX23" s="352">
        <f>IF(AX$3="","",SUMPRODUCT(--ISERROR(SEARCH("終身",入力データ!$F$5:$F$20)),--(IFERROR(YEAR(入力データ!$J$5:$J$20),0)&lt;=AX$3),--(IFERROR(YEAR(入力データ!$K$5:$K$20),9999)&gt;=AX$3),入力データ!$M$5:$M$20)*12)</f>
        <v/>
      </c>
      <c r="AY23" s="352">
        <f>IF(AY$3="","",SUMPRODUCT(--ISERROR(SEARCH("終身",入力データ!$F$5:$F$20)),--(IFERROR(YEAR(入力データ!$J$5:$J$20),0)&lt;=AY$3),--(IFERROR(YEAR(入力データ!$K$5:$K$20),9999)&gt;=AY$3),入力データ!$M$5:$M$20)*12)</f>
        <v/>
      </c>
      <c r="AZ23" s="352">
        <f>IF(AZ$3="","",SUMPRODUCT(--ISERROR(SEARCH("終身",入力データ!$F$5:$F$20)),--(IFERROR(YEAR(入力データ!$J$5:$J$20),0)&lt;=AZ$3),--(IFERROR(YEAR(入力データ!$K$5:$K$20),9999)&gt;=AZ$3),入力データ!$M$5:$M$20)*12)</f>
        <v/>
      </c>
      <c r="BA23" s="352">
        <f>IF(BA$3="","",SUMPRODUCT(--ISERROR(SEARCH("終身",入力データ!$F$5:$F$20)),--(IFERROR(YEAR(入力データ!$J$5:$J$20),0)&lt;=BA$3),--(IFERROR(YEAR(入力データ!$K$5:$K$20),9999)&gt;=BA$3),入力データ!$M$5:$M$20)*12)</f>
        <v/>
      </c>
      <c r="BB23" s="352">
        <f>IF(BB$3="","",SUMPRODUCT(--ISERROR(SEARCH("終身",入力データ!$F$5:$F$20)),--(IFERROR(YEAR(入力データ!$J$5:$J$20),0)&lt;=BB$3),--(IFERROR(YEAR(入力データ!$K$5:$K$20),9999)&gt;=BB$3),入力データ!$M$5:$M$20)*12)</f>
        <v/>
      </c>
      <c r="BC23" s="352">
        <f>IF(BC$3="","",SUMPRODUCT(--ISERROR(SEARCH("終身",入力データ!$F$5:$F$20)),--(IFERROR(YEAR(入力データ!$J$5:$J$20),0)&lt;=BC$3),--(IFERROR(YEAR(入力データ!$K$5:$K$20),9999)&gt;=BC$3),入力データ!$M$5:$M$20)*12)</f>
        <v/>
      </c>
      <c r="BD23" s="352">
        <f>IF(BD$3="","",SUMPRODUCT(--ISERROR(SEARCH("終身",入力データ!$F$5:$F$20)),--(IFERROR(YEAR(入力データ!$J$5:$J$20),0)&lt;=BD$3),--(IFERROR(YEAR(入力データ!$K$5:$K$20),9999)&gt;=BD$3),入力データ!$M$5:$M$20)*12)</f>
        <v/>
      </c>
      <c r="BE23" s="352">
        <f>IF(BE$3="","",SUMPRODUCT(--ISERROR(SEARCH("終身",入力データ!$F$5:$F$20)),--(IFERROR(YEAR(入力データ!$J$5:$J$20),0)&lt;=BE$3),--(IFERROR(YEAR(入力データ!$K$5:$K$20),9999)&gt;=BE$3),入力データ!$M$5:$M$20)*12)</f>
        <v/>
      </c>
      <c r="BF23" s="352">
        <f>IF(BF$3="","",SUMPRODUCT(--ISERROR(SEARCH("終身",入力データ!$F$5:$F$20)),--(IFERROR(YEAR(入力データ!$J$5:$J$20),0)&lt;=BF$3),--(IFERROR(YEAR(入力データ!$K$5:$K$20),9999)&gt;=BF$3),入力データ!$M$5:$M$20)*12)</f>
        <v/>
      </c>
      <c r="BG23" s="352">
        <f>IF(BG$3="","",SUMPRODUCT(--ISERROR(SEARCH("終身",入力データ!$F$5:$F$20)),--(IFERROR(YEAR(入力データ!$J$5:$J$20),0)&lt;=BG$3),--(IFERROR(YEAR(入力データ!$K$5:$K$20),9999)&gt;=BG$3),入力データ!$M$5:$M$20)*12)</f>
        <v/>
      </c>
      <c r="BH23" s="352">
        <f>IF(BH$3="","",SUMPRODUCT(--ISERROR(SEARCH("終身",入力データ!$F$5:$F$20)),--(IFERROR(YEAR(入力データ!$J$5:$J$20),0)&lt;=BH$3),--(IFERROR(YEAR(入力データ!$K$5:$K$20),9999)&gt;=BH$3),入力データ!$M$5:$M$20)*12)</f>
        <v/>
      </c>
      <c r="BI23" s="352">
        <f>IF(BI$3="","",SUMPRODUCT(--ISERROR(SEARCH("終身",入力データ!$F$5:$F$20)),--(IFERROR(YEAR(入力データ!$J$5:$J$20),0)&lt;=BI$3),--(IFERROR(YEAR(入力データ!$K$5:$K$20),9999)&gt;=BI$3),入力データ!$M$5:$M$20)*12)</f>
        <v/>
      </c>
      <c r="BJ23" s="352">
        <f>IF(BJ$3="","",SUMPRODUCT(--ISERROR(SEARCH("終身",入力データ!$F$5:$F$20)),--(IFERROR(YEAR(入力データ!$J$5:$J$20),0)&lt;=BJ$3),--(IFERROR(YEAR(入力データ!$K$5:$K$20),9999)&gt;=BJ$3),入力データ!$M$5:$M$20)*12)</f>
        <v/>
      </c>
      <c r="BK23" s="352">
        <f>IF(BK$3="","",SUMPRODUCT(--ISERROR(SEARCH("終身",入力データ!$F$5:$F$20)),--(IFERROR(YEAR(入力データ!$J$5:$J$20),0)&lt;=BK$3),--(IFERROR(YEAR(入力データ!$K$5:$K$20),9999)&gt;=BK$3),入力データ!$M$5:$M$20)*12)</f>
        <v/>
      </c>
      <c r="BL23" s="352">
        <f>IF(BL$3="","",SUMPRODUCT(--ISERROR(SEARCH("終身",入力データ!$F$5:$F$20)),--(IFERROR(YEAR(入力データ!$J$5:$J$20),0)&lt;=BL$3),--(IFERROR(YEAR(入力データ!$K$5:$K$20),9999)&gt;=BL$3),入力データ!$M$5:$M$20)*12)</f>
        <v/>
      </c>
      <c r="BM23" s="352">
        <f>IF(BM$3="","",SUMPRODUCT(--ISERROR(SEARCH("終身",入力データ!$F$5:$F$20)),--(IFERROR(YEAR(入力データ!$J$5:$J$20),0)&lt;=BM$3),--(IFERROR(YEAR(入力データ!$K$5:$K$20),9999)&gt;=BM$3),入力データ!$M$5:$M$20)*12)</f>
        <v/>
      </c>
      <c r="BN23" s="352">
        <f>IF(BN$3="","",SUMPRODUCT(--ISERROR(SEARCH("終身",入力データ!$F$5:$F$20)),--(IFERROR(YEAR(入力データ!$J$5:$J$20),0)&lt;=BN$3),--(IFERROR(YEAR(入力データ!$K$5:$K$20),9999)&gt;=BN$3),入力データ!$M$5:$M$20)*12)</f>
        <v/>
      </c>
      <c r="BO23" s="352">
        <f>IF(BO$3="","",SUMPRODUCT(--ISERROR(SEARCH("終身",入力データ!$F$5:$F$20)),--(IFERROR(YEAR(入力データ!$J$5:$J$20),0)&lt;=BO$3),--(IFERROR(YEAR(入力データ!$K$5:$K$20),9999)&gt;=BO$3),入力データ!$M$5:$M$20)*12)</f>
        <v/>
      </c>
      <c r="BP23" s="352">
        <f>IF(BP$3="","",SUMPRODUCT(--ISERROR(SEARCH("終身",入力データ!$F$5:$F$20)),--(IFERROR(YEAR(入力データ!$J$5:$J$20),0)&lt;=BP$3),--(IFERROR(YEAR(入力データ!$K$5:$K$20),9999)&gt;=BP$3),入力データ!$M$5:$M$20)*12)</f>
        <v/>
      </c>
      <c r="BQ23" s="352">
        <f>IF(BQ$3="","",SUMPRODUCT(--ISERROR(SEARCH("終身",入力データ!$F$5:$F$20)),--(IFERROR(YEAR(入力データ!$J$5:$J$20),0)&lt;=BQ$3),--(IFERROR(YEAR(入力データ!$K$5:$K$20),9999)&gt;=BQ$3),入力データ!$M$5:$M$20)*12)</f>
        <v/>
      </c>
      <c r="BR23" s="352">
        <f>IF(BR$3="","",SUMPRODUCT(--ISERROR(SEARCH("終身",入力データ!$F$5:$F$20)),--(IFERROR(YEAR(入力データ!$J$5:$J$20),0)&lt;=BR$3),--(IFERROR(YEAR(入力データ!$K$5:$K$20),9999)&gt;=BR$3),入力データ!$M$5:$M$20)*12)</f>
        <v/>
      </c>
      <c r="BS23" s="352">
        <f>IF(BS$3="","",SUMPRODUCT(--ISERROR(SEARCH("終身",入力データ!$F$5:$F$20)),--(IFERROR(YEAR(入力データ!$J$5:$J$20),0)&lt;=BS$3),--(IFERROR(YEAR(入力データ!$K$5:$K$20),9999)&gt;=BS$3),入力データ!$M$5:$M$20)*12)</f>
        <v/>
      </c>
      <c r="BT23" s="352">
        <f>IF(BT$3="","",SUMPRODUCT(--ISERROR(SEARCH("終身",入力データ!$F$5:$F$20)),--(IFERROR(YEAR(入力データ!$J$5:$J$20),0)&lt;=BT$3),--(IFERROR(YEAR(入力データ!$K$5:$K$20),9999)&gt;=BT$3),入力データ!$M$5:$M$20)*12)</f>
        <v/>
      </c>
      <c r="BU23" s="352">
        <f>IF(BU$3="","",SUMPRODUCT(--ISERROR(SEARCH("終身",入力データ!$F$5:$F$20)),--(IFERROR(YEAR(入力データ!$J$5:$J$20),0)&lt;=BU$3),--(IFERROR(YEAR(入力データ!$K$5:$K$20),9999)&gt;=BU$3),入力データ!$M$5:$M$20)*12)</f>
        <v/>
      </c>
      <c r="BV23" s="352">
        <f>IF(BV$3="","",SUMPRODUCT(--ISERROR(SEARCH("終身",入力データ!$F$5:$F$20)),--(IFERROR(YEAR(入力データ!$J$5:$J$20),0)&lt;=BV$3),--(IFERROR(YEAR(入力データ!$K$5:$K$20),9999)&gt;=BV$3),入力データ!$M$5:$M$20)*12)</f>
        <v/>
      </c>
      <c r="BW23" s="352">
        <f>IF(BW$3="","",SUMPRODUCT(--ISERROR(SEARCH("終身",入力データ!$F$5:$F$20)),--(IFERROR(YEAR(入力データ!$J$5:$J$20),0)&lt;=BW$3),--(IFERROR(YEAR(入力データ!$K$5:$K$20),9999)&gt;=BW$3),入力データ!$M$5:$M$20)*12)</f>
        <v/>
      </c>
      <c r="BX23" s="352">
        <f>IF(BX$3="","",SUMPRODUCT(--ISERROR(SEARCH("終身",入力データ!$F$5:$F$20)),--(IFERROR(YEAR(入力データ!$J$5:$J$20),0)&lt;=BX$3),--(IFERROR(YEAR(入力データ!$K$5:$K$20),9999)&gt;=BX$3),入力データ!$M$5:$M$20)*12)</f>
        <v/>
      </c>
      <c r="BY23" s="352">
        <f>IF(BY$3="","",SUMPRODUCT(--ISERROR(SEARCH("終身",入力データ!$F$5:$F$20)),--(IFERROR(YEAR(入力データ!$J$5:$J$20),0)&lt;=BY$3),--(IFERROR(YEAR(入力データ!$K$5:$K$20),9999)&gt;=BY$3),入力データ!$M$5:$M$20)*12)</f>
        <v/>
      </c>
      <c r="BZ23" s="352">
        <f>IF(BZ$3="","",SUMPRODUCT(--ISERROR(SEARCH("終身",入力データ!$F$5:$F$20)),--(IFERROR(YEAR(入力データ!$J$5:$J$20),0)&lt;=BZ$3),--(IFERROR(YEAR(入力データ!$K$5:$K$20),9999)&gt;=BZ$3),入力データ!$M$5:$M$20)*12)</f>
        <v/>
      </c>
      <c r="CA23" s="352">
        <f>IF(CA$3="","",SUMPRODUCT(--ISERROR(SEARCH("終身",入力データ!$F$5:$F$20)),--(IFERROR(YEAR(入力データ!$J$5:$J$20),0)&lt;=CA$3),--(IFERROR(YEAR(入力データ!$K$5:$K$20),9999)&gt;=CA$3),入力データ!$M$5:$M$20)*12)</f>
        <v/>
      </c>
      <c r="CB23" s="352">
        <f>IF(CB$3="","",SUMPRODUCT(--ISERROR(SEARCH("終身",入力データ!$F$5:$F$20)),--(IFERROR(YEAR(入力データ!$J$5:$J$20),0)&lt;=CB$3),--(IFERROR(YEAR(入力データ!$K$5:$K$20),9999)&gt;=CB$3),入力データ!$M$5:$M$20)*12)</f>
        <v/>
      </c>
      <c r="CC23" s="352">
        <f>IF(CC$3="","",SUMPRODUCT(--ISERROR(SEARCH("終身",入力データ!$F$5:$F$20)),--(IFERROR(YEAR(入力データ!$J$5:$J$20),0)&lt;=CC$3),--(IFERROR(YEAR(入力データ!$K$5:$K$20),9999)&gt;=CC$3),入力データ!$M$5:$M$20)*12)</f>
        <v/>
      </c>
      <c r="CD23" s="352">
        <f>IF(CD$3="","",SUMPRODUCT(--ISERROR(SEARCH("終身",入力データ!$F$5:$F$20)),--(IFERROR(YEAR(入力データ!$J$5:$J$20),0)&lt;=CD$3),--(IFERROR(YEAR(入力データ!$K$5:$K$20),9999)&gt;=CD$3),入力データ!$M$5:$M$20)*12)</f>
        <v/>
      </c>
      <c r="CE23" s="352">
        <f>IF(CE$3="","",SUMPRODUCT(--ISERROR(SEARCH("終身",入力データ!$F$5:$F$20)),--(IFERROR(YEAR(入力データ!$J$5:$J$20),0)&lt;=CE$3),--(IFERROR(YEAR(入力データ!$K$5:$K$20),9999)&gt;=CE$3),入力データ!$M$5:$M$20)*12)</f>
        <v/>
      </c>
      <c r="CF23" s="352">
        <f>IF(CF$3="","",SUMPRODUCT(--ISERROR(SEARCH("終身",入力データ!$F$5:$F$20)),--(IFERROR(YEAR(入力データ!$J$5:$J$20),0)&lt;=CF$3),--(IFERROR(YEAR(入力データ!$K$5:$K$20),9999)&gt;=CF$3),入力データ!$M$5:$M$20)*12)</f>
        <v/>
      </c>
      <c r="CG23" s="352">
        <f>IF(CG$3="","",SUMPRODUCT(--ISERROR(SEARCH("終身",入力データ!$F$5:$F$20)),--(IFERROR(YEAR(入力データ!$J$5:$J$20),0)&lt;=CG$3),--(IFERROR(YEAR(入力データ!$K$5:$K$20),9999)&gt;=CG$3),入力データ!$M$5:$M$20)*12)</f>
        <v/>
      </c>
      <c r="CH23" s="352">
        <f>IF(CH$3="","",SUMPRODUCT(--ISERROR(SEARCH("終身",入力データ!$F$5:$F$20)),--(IFERROR(YEAR(入力データ!$J$5:$J$20),0)&lt;=CH$3),--(IFERROR(YEAR(入力データ!$K$5:$K$20),9999)&gt;=CH$3),入力データ!$M$5:$M$20)*12)</f>
        <v/>
      </c>
      <c r="CI23" s="352">
        <f>IF(CI$3="","",SUMPRODUCT(--ISERROR(SEARCH("終身",入力データ!$F$5:$F$20)),--(IFERROR(YEAR(入力データ!$J$5:$J$20),0)&lt;=CI$3),--(IFERROR(YEAR(入力データ!$K$5:$K$20),9999)&gt;=CI$3),入力データ!$M$5:$M$20)*12)</f>
        <v/>
      </c>
      <c r="CJ23" s="352">
        <f>IF(CJ$3="","",SUMPRODUCT(--ISERROR(SEARCH("終身",入力データ!$F$5:$F$20)),--(IFERROR(YEAR(入力データ!$J$5:$J$20),0)&lt;=CJ$3),--(IFERROR(YEAR(入力データ!$K$5:$K$20),9999)&gt;=CJ$3),入力データ!$M$5:$M$20)*12)</f>
        <v/>
      </c>
      <c r="CK23" s="352">
        <f>IF(CK$3="","",SUMPRODUCT(--ISERROR(SEARCH("終身",入力データ!$F$5:$F$20)),--(IFERROR(YEAR(入力データ!$J$5:$J$20),0)&lt;=CK$3),--(IFERROR(YEAR(入力データ!$K$5:$K$20),9999)&gt;=CK$3),入力データ!$M$5:$M$20)*12)</f>
        <v/>
      </c>
      <c r="CL23" s="352">
        <f>IF(CL$3="","",SUMPRODUCT(--ISERROR(SEARCH("終身",入力データ!$F$5:$F$20)),--(IFERROR(YEAR(入力データ!$J$5:$J$20),0)&lt;=CL$3),--(IFERROR(YEAR(入力データ!$K$5:$K$20),9999)&gt;=CL$3),入力データ!$M$5:$M$20)*12)</f>
        <v/>
      </c>
      <c r="CM23" s="352">
        <f>IF(CM$3="","",SUMPRODUCT(--ISERROR(SEARCH("終身",入力データ!$F$5:$F$20)),--(IFERROR(YEAR(入力データ!$J$5:$J$20),0)&lt;=CM$3),--(IFERROR(YEAR(入力データ!$K$5:$K$20),9999)&gt;=CM$3),入力データ!$M$5:$M$20)*12)</f>
        <v/>
      </c>
      <c r="CN23" s="352">
        <f>IF(CN$3="","",SUMPRODUCT(--ISERROR(SEARCH("終身",入力データ!$F$5:$F$20)),--(IFERROR(YEAR(入力データ!$J$5:$J$20),0)&lt;=CN$3),--(IFERROR(YEAR(入力データ!$K$5:$K$20),9999)&gt;=CN$3),入力データ!$M$5:$M$20)*12)</f>
        <v/>
      </c>
      <c r="CO23" s="352">
        <f>IF(CO$3="","",SUMPRODUCT(--ISERROR(SEARCH("終身",入力データ!$F$5:$F$20)),--(IFERROR(YEAR(入力データ!$J$5:$J$20),0)&lt;=CO$3),--(IFERROR(YEAR(入力データ!$K$5:$K$20),9999)&gt;=CO$3),入力データ!$M$5:$M$20)*12)</f>
        <v/>
      </c>
      <c r="CP23" s="352">
        <f>IF(CP$3="","",SUMPRODUCT(--ISERROR(SEARCH("終身",入力データ!$F$5:$F$20)),--(IFERROR(YEAR(入力データ!$J$5:$J$20),0)&lt;=CP$3),--(IFERROR(YEAR(入力データ!$K$5:$K$20),9999)&gt;=CP$3),入力データ!$M$5:$M$20)*12)</f>
        <v/>
      </c>
      <c r="CQ23" s="352">
        <f>IF(CQ$3="","",SUMPRODUCT(--ISERROR(SEARCH("終身",入力データ!$F$5:$F$20)),--(IFERROR(YEAR(入力データ!$J$5:$J$20),0)&lt;=CQ$3),--(IFERROR(YEAR(入力データ!$K$5:$K$20),9999)&gt;=CQ$3),入力データ!$M$5:$M$20)*12)</f>
        <v/>
      </c>
      <c r="CR23" s="352">
        <f>IF(CR$3="","",SUMPRODUCT(--ISERROR(SEARCH("終身",入力データ!$F$5:$F$20)),--(IFERROR(YEAR(入力データ!$J$5:$J$20),0)&lt;=CR$3),--(IFERROR(YEAR(入力データ!$K$5:$K$20),9999)&gt;=CR$3),入力データ!$M$5:$M$20)*12)</f>
        <v/>
      </c>
      <c r="CS23" s="352">
        <f>IF(CS$3="","",SUMPRODUCT(--ISERROR(SEARCH("終身",入力データ!$F$5:$F$20)),--(IFERROR(YEAR(入力データ!$J$5:$J$20),0)&lt;=CS$3),--(IFERROR(YEAR(入力データ!$K$5:$K$20),9999)&gt;=CS$3),入力データ!$M$5:$M$20)*12)</f>
        <v/>
      </c>
      <c r="CT23" s="352">
        <f>IF(CT$3="","",SUMPRODUCT(--ISERROR(SEARCH("終身",入力データ!$F$5:$F$20)),--(IFERROR(YEAR(入力データ!$J$5:$J$20),0)&lt;=CT$3),--(IFERROR(YEAR(入力データ!$K$5:$K$20),9999)&gt;=CT$3),入力データ!$M$5:$M$20)*12)</f>
        <v/>
      </c>
      <c r="CU23" s="352">
        <f>IF(CU$3="","",SUMPRODUCT(--ISERROR(SEARCH("終身",入力データ!$F$5:$F$20)),--(IFERROR(YEAR(入力データ!$J$5:$J$20),0)&lt;=CU$3),--(IFERROR(YEAR(入力データ!$K$5:$K$20),9999)&gt;=CU$3),入力データ!$M$5:$M$20)*12)</f>
        <v/>
      </c>
      <c r="CV23" s="352">
        <f>IF(CV$3="","",SUMPRODUCT(--ISERROR(SEARCH("終身",入力データ!$F$5:$F$20)),--(IFERROR(YEAR(入力データ!$J$5:$J$20),0)&lt;=CV$3),--(IFERROR(YEAR(入力データ!$K$5:$K$20),9999)&gt;=CV$3),入力データ!$M$5:$M$20)*12)</f>
        <v/>
      </c>
      <c r="CW23" s="352">
        <f>IF(CW$3="","",SUMPRODUCT(--ISERROR(SEARCH("終身",入力データ!$F$5:$F$20)),--(IFERROR(YEAR(入力データ!$J$5:$J$20),0)&lt;=CW$3),--(IFERROR(YEAR(入力データ!$K$5:$K$20),9999)&gt;=CW$3),入力データ!$M$5:$M$20)*12)</f>
        <v/>
      </c>
    </row>
    <row r="24" ht="15" customHeight="1" s="180">
      <c r="A24" s="224" t="inlineStr">
        <is>
          <t>教育費</t>
        </is>
      </c>
      <c r="B24" s="352">
        <f>IF(B$3="","",((SUM(入力データ!$C$58:$C$61)*12)+IF(B6="",0,IF(B6&lt;=5,IF(入力データ!$G$25="私立",前提条件!$C$22,前提条件!$C$21),IF(B6&lt;=11,IF(入力データ!$H$25="私立",前提条件!$C$24,前提条件!$C$23),IF(B6&lt;=14,IF(入力データ!$I$25="私立",前提条件!$C$26,前提条件!$C$25),IF(B6&lt;=17,IF(入力データ!$J$25="私立",前提条件!$C$28,前提条件!$C$27),IF(B6&lt;=21,IF(入力データ!$K$25="国公立",前提条件!$C$29,IF(入力データ!$K$25="私立理系",前提条件!$C$31,前提条件!$C$30))+IF(入力データ!$L$25="下宿",前提条件!$C$32,0)+IF(B6=18,前提条件!$C$33,0),0))))))+IF(B7="",0,IF(B7&lt;=5,IF(入力データ!$G$26="私立",前提条件!$C$22,前提条件!$C$21),IF(B7&lt;=11,IF(入力データ!$H$26="私立",前提条件!$C$24,前提条件!$C$23),IF(B7&lt;=14,IF(入力データ!$I$26="私立",前提条件!$C$26,前提条件!$C$25),IF(B7&lt;=17,IF(入力データ!$J$26="私立",前提条件!$C$28,前提条件!$C$27),IF(B7&lt;=21,IF(入力データ!$K$26="国公立",前提条件!$C$29,IF(入力データ!$K$26="私立理系",前提条件!$C$31,前提条件!$C$30))+IF(入力データ!$L$26="下宿",前提条件!$C$32,0)+IF(B7=18,前提条件!$C$33,0),0))))))+IF(B8="",0,IF(B8&lt;=5,IF(入力データ!$G$27="私立",前提条件!$C$22,前提条件!$C$21),IF(B8&lt;=11,IF(入力データ!$H$27="私立",前提条件!$C$24,前提条件!$C$23),IF(B8&lt;=14,IF(入力データ!$I$27="私立",前提条件!$C$26,前提条件!$C$25),IF(B8&lt;=17,IF(入力データ!$J$27="私立",前提条件!$C$28,前提条件!$C$27),IF(B8&lt;=21,IF(入力データ!$K$27="国公立",前提条件!$C$29,IF(入力データ!$K$27="私立理系",前提条件!$C$31,前提条件!$C$30))+IF(入力データ!$L$27="下宿",前提条件!$C$32,0)+IF(B8=18,前提条件!$C$33,0),0)))))))*(1+前提条件!$C$13)^(B$3-$B$3))</f>
        <v/>
      </c>
      <c r="C24" s="352">
        <f>IF(C$3="","",((SUM(入力データ!$C$58:$C$61)*12)+IF(C6="",0,IF(C6&lt;=5,IF(入力データ!$G$25="私立",前提条件!$C$22,前提条件!$C$21),IF(C6&lt;=11,IF(入力データ!$H$25="私立",前提条件!$C$24,前提条件!$C$23),IF(C6&lt;=14,IF(入力データ!$I$25="私立",前提条件!$C$26,前提条件!$C$25),IF(C6&lt;=17,IF(入力データ!$J$25="私立",前提条件!$C$28,前提条件!$C$27),IF(C6&lt;=21,IF(入力データ!$K$25="国公立",前提条件!$C$29,IF(入力データ!$K$25="私立理系",前提条件!$C$31,前提条件!$C$30))+IF(入力データ!$L$25="下宿",前提条件!$C$32,0)+IF(C6=18,前提条件!$C$33,0),0))))))+IF(C7="",0,IF(C7&lt;=5,IF(入力データ!$G$26="私立",前提条件!$C$22,前提条件!$C$21),IF(C7&lt;=11,IF(入力データ!$H$26="私立",前提条件!$C$24,前提条件!$C$23),IF(C7&lt;=14,IF(入力データ!$I$26="私立",前提条件!$C$26,前提条件!$C$25),IF(C7&lt;=17,IF(入力データ!$J$26="私立",前提条件!$C$28,前提条件!$C$27),IF(C7&lt;=21,IF(入力データ!$K$26="国公立",前提条件!$C$29,IF(入力データ!$K$26="私立理系",前提条件!$C$31,前提条件!$C$30))+IF(入力データ!$L$26="下宿",前提条件!$C$32,0)+IF(C7=18,前提条件!$C$33,0),0))))))+IF(C8="",0,IF(C8&lt;=5,IF(入力データ!$G$27="私立",前提条件!$C$22,前提条件!$C$21),IF(C8&lt;=11,IF(入力データ!$H$27="私立",前提条件!$C$24,前提条件!$C$23),IF(C8&lt;=14,IF(入力データ!$I$27="私立",前提条件!$C$26,前提条件!$C$25),IF(C8&lt;=17,IF(入力データ!$J$27="私立",前提条件!$C$28,前提条件!$C$27),IF(C8&lt;=21,IF(入力データ!$K$27="国公立",前提条件!$C$29,IF(入力データ!$K$27="私立理系",前提条件!$C$31,前提条件!$C$30))+IF(入力データ!$L$27="下宿",前提条件!$C$32,0)+IF(C8=18,前提条件!$C$33,0),0)))))))*(1+前提条件!$C$13)^(C$3-$B$3))</f>
        <v/>
      </c>
      <c r="D24" s="352">
        <f>IF(D$3="","",((SUM(入力データ!$C$58:$C$61)*12)+IF(D6="",0,IF(D6&lt;=5,IF(入力データ!$G$25="私立",前提条件!$C$22,前提条件!$C$21),IF(D6&lt;=11,IF(入力データ!$H$25="私立",前提条件!$C$24,前提条件!$C$23),IF(D6&lt;=14,IF(入力データ!$I$25="私立",前提条件!$C$26,前提条件!$C$25),IF(D6&lt;=17,IF(入力データ!$J$25="私立",前提条件!$C$28,前提条件!$C$27),IF(D6&lt;=21,IF(入力データ!$K$25="国公立",前提条件!$C$29,IF(入力データ!$K$25="私立理系",前提条件!$C$31,前提条件!$C$30))+IF(入力データ!$L$25="下宿",前提条件!$C$32,0)+IF(D6=18,前提条件!$C$33,0),0))))))+IF(D7="",0,IF(D7&lt;=5,IF(入力データ!$G$26="私立",前提条件!$C$22,前提条件!$C$21),IF(D7&lt;=11,IF(入力データ!$H$26="私立",前提条件!$C$24,前提条件!$C$23),IF(D7&lt;=14,IF(入力データ!$I$26="私立",前提条件!$C$26,前提条件!$C$25),IF(D7&lt;=17,IF(入力データ!$J$26="私立",前提条件!$C$28,前提条件!$C$27),IF(D7&lt;=21,IF(入力データ!$K$26="国公立",前提条件!$C$29,IF(入力データ!$K$26="私立理系",前提条件!$C$31,前提条件!$C$30))+IF(入力データ!$L$26="下宿",前提条件!$C$32,0)+IF(D7=18,前提条件!$C$33,0),0))))))+IF(D8="",0,IF(D8&lt;=5,IF(入力データ!$G$27="私立",前提条件!$C$22,前提条件!$C$21),IF(D8&lt;=11,IF(入力データ!$H$27="私立",前提条件!$C$24,前提条件!$C$23),IF(D8&lt;=14,IF(入力データ!$I$27="私立",前提条件!$C$26,前提条件!$C$25),IF(D8&lt;=17,IF(入力データ!$J$27="私立",前提条件!$C$28,前提条件!$C$27),IF(D8&lt;=21,IF(入力データ!$K$27="国公立",前提条件!$C$29,IF(入力データ!$K$27="私立理系",前提条件!$C$31,前提条件!$C$30))+IF(入力データ!$L$27="下宿",前提条件!$C$32,0)+IF(D8=18,前提条件!$C$33,0),0)))))))*(1+前提条件!$C$13)^(D$3-$B$3))</f>
        <v/>
      </c>
      <c r="E24" s="352">
        <f>IF(E$3="","",((SUM(入力データ!$C$58:$C$61)*12)+IF(E6="",0,IF(E6&lt;=5,IF(入力データ!$G$25="私立",前提条件!$C$22,前提条件!$C$21),IF(E6&lt;=11,IF(入力データ!$H$25="私立",前提条件!$C$24,前提条件!$C$23),IF(E6&lt;=14,IF(入力データ!$I$25="私立",前提条件!$C$26,前提条件!$C$25),IF(E6&lt;=17,IF(入力データ!$J$25="私立",前提条件!$C$28,前提条件!$C$27),IF(E6&lt;=21,IF(入力データ!$K$25="国公立",前提条件!$C$29,IF(入力データ!$K$25="私立理系",前提条件!$C$31,前提条件!$C$30))+IF(入力データ!$L$25="下宿",前提条件!$C$32,0)+IF(E6=18,前提条件!$C$33,0),0))))))+IF(E7="",0,IF(E7&lt;=5,IF(入力データ!$G$26="私立",前提条件!$C$22,前提条件!$C$21),IF(E7&lt;=11,IF(入力データ!$H$26="私立",前提条件!$C$24,前提条件!$C$23),IF(E7&lt;=14,IF(入力データ!$I$26="私立",前提条件!$C$26,前提条件!$C$25),IF(E7&lt;=17,IF(入力データ!$J$26="私立",前提条件!$C$28,前提条件!$C$27),IF(E7&lt;=21,IF(入力データ!$K$26="国公立",前提条件!$C$29,IF(入力データ!$K$26="私立理系",前提条件!$C$31,前提条件!$C$30))+IF(入力データ!$L$26="下宿",前提条件!$C$32,0)+IF(E7=18,前提条件!$C$33,0),0))))))+IF(E8="",0,IF(E8&lt;=5,IF(入力データ!$G$27="私立",前提条件!$C$22,前提条件!$C$21),IF(E8&lt;=11,IF(入力データ!$H$27="私立",前提条件!$C$24,前提条件!$C$23),IF(E8&lt;=14,IF(入力データ!$I$27="私立",前提条件!$C$26,前提条件!$C$25),IF(E8&lt;=17,IF(入力データ!$J$27="私立",前提条件!$C$28,前提条件!$C$27),IF(E8&lt;=21,IF(入力データ!$K$27="国公立",前提条件!$C$29,IF(入力データ!$K$27="私立理系",前提条件!$C$31,前提条件!$C$30))+IF(入力データ!$L$27="下宿",前提条件!$C$32,0)+IF(E8=18,前提条件!$C$33,0),0)))))))*(1+前提条件!$C$13)^(E$3-$B$3))</f>
        <v/>
      </c>
      <c r="F24" s="352">
        <f>IF(F$3="","",((SUM(入力データ!$C$58:$C$61)*12)+IF(F6="",0,IF(F6&lt;=5,IF(入力データ!$G$25="私立",前提条件!$C$22,前提条件!$C$21),IF(F6&lt;=11,IF(入力データ!$H$25="私立",前提条件!$C$24,前提条件!$C$23),IF(F6&lt;=14,IF(入力データ!$I$25="私立",前提条件!$C$26,前提条件!$C$25),IF(F6&lt;=17,IF(入力データ!$J$25="私立",前提条件!$C$28,前提条件!$C$27),IF(F6&lt;=21,IF(入力データ!$K$25="国公立",前提条件!$C$29,IF(入力データ!$K$25="私立理系",前提条件!$C$31,前提条件!$C$30))+IF(入力データ!$L$25="下宿",前提条件!$C$32,0)+IF(F6=18,前提条件!$C$33,0),0))))))+IF(F7="",0,IF(F7&lt;=5,IF(入力データ!$G$26="私立",前提条件!$C$22,前提条件!$C$21),IF(F7&lt;=11,IF(入力データ!$H$26="私立",前提条件!$C$24,前提条件!$C$23),IF(F7&lt;=14,IF(入力データ!$I$26="私立",前提条件!$C$26,前提条件!$C$25),IF(F7&lt;=17,IF(入力データ!$J$26="私立",前提条件!$C$28,前提条件!$C$27),IF(F7&lt;=21,IF(入力データ!$K$26="国公立",前提条件!$C$29,IF(入力データ!$K$26="私立理系",前提条件!$C$31,前提条件!$C$30))+IF(入力データ!$L$26="下宿",前提条件!$C$32,0)+IF(F7=18,前提条件!$C$33,0),0))))))+IF(F8="",0,IF(F8&lt;=5,IF(入力データ!$G$27="私立",前提条件!$C$22,前提条件!$C$21),IF(F8&lt;=11,IF(入力データ!$H$27="私立",前提条件!$C$24,前提条件!$C$23),IF(F8&lt;=14,IF(入力データ!$I$27="私立",前提条件!$C$26,前提条件!$C$25),IF(F8&lt;=17,IF(入力データ!$J$27="私立",前提条件!$C$28,前提条件!$C$27),IF(F8&lt;=21,IF(入力データ!$K$27="国公立",前提条件!$C$29,IF(入力データ!$K$27="私立理系",前提条件!$C$31,前提条件!$C$30))+IF(入力データ!$L$27="下宿",前提条件!$C$32,0)+IF(F8=18,前提条件!$C$33,0),0)))))))*(1+前提条件!$C$13)^(F$3-$B$3))</f>
        <v/>
      </c>
      <c r="G24" s="352">
        <f>IF(G$3="","",((SUM(入力データ!$C$58:$C$61)*12)+IF(G6="",0,IF(G6&lt;=5,IF(入力データ!$G$25="私立",前提条件!$C$22,前提条件!$C$21),IF(G6&lt;=11,IF(入力データ!$H$25="私立",前提条件!$C$24,前提条件!$C$23),IF(G6&lt;=14,IF(入力データ!$I$25="私立",前提条件!$C$26,前提条件!$C$25),IF(G6&lt;=17,IF(入力データ!$J$25="私立",前提条件!$C$28,前提条件!$C$27),IF(G6&lt;=21,IF(入力データ!$K$25="国公立",前提条件!$C$29,IF(入力データ!$K$25="私立理系",前提条件!$C$31,前提条件!$C$30))+IF(入力データ!$L$25="下宿",前提条件!$C$32,0)+IF(G6=18,前提条件!$C$33,0),0))))))+IF(G7="",0,IF(G7&lt;=5,IF(入力データ!$G$26="私立",前提条件!$C$22,前提条件!$C$21),IF(G7&lt;=11,IF(入力データ!$H$26="私立",前提条件!$C$24,前提条件!$C$23),IF(G7&lt;=14,IF(入力データ!$I$26="私立",前提条件!$C$26,前提条件!$C$25),IF(G7&lt;=17,IF(入力データ!$J$26="私立",前提条件!$C$28,前提条件!$C$27),IF(G7&lt;=21,IF(入力データ!$K$26="国公立",前提条件!$C$29,IF(入力データ!$K$26="私立理系",前提条件!$C$31,前提条件!$C$30))+IF(入力データ!$L$26="下宿",前提条件!$C$32,0)+IF(G7=18,前提条件!$C$33,0),0))))))+IF(G8="",0,IF(G8&lt;=5,IF(入力データ!$G$27="私立",前提条件!$C$22,前提条件!$C$21),IF(G8&lt;=11,IF(入力データ!$H$27="私立",前提条件!$C$24,前提条件!$C$23),IF(G8&lt;=14,IF(入力データ!$I$27="私立",前提条件!$C$26,前提条件!$C$25),IF(G8&lt;=17,IF(入力データ!$J$27="私立",前提条件!$C$28,前提条件!$C$27),IF(G8&lt;=21,IF(入力データ!$K$27="国公立",前提条件!$C$29,IF(入力データ!$K$27="私立理系",前提条件!$C$31,前提条件!$C$30))+IF(入力データ!$L$27="下宿",前提条件!$C$32,0)+IF(G8=18,前提条件!$C$33,0),0)))))))*(1+前提条件!$C$13)^(G$3-$B$3))</f>
        <v/>
      </c>
      <c r="H24" s="352">
        <f>IF(H$3="","",((SUM(入力データ!$C$58:$C$61)*12)+IF(H6="",0,IF(H6&lt;=5,IF(入力データ!$G$25="私立",前提条件!$C$22,前提条件!$C$21),IF(H6&lt;=11,IF(入力データ!$H$25="私立",前提条件!$C$24,前提条件!$C$23),IF(H6&lt;=14,IF(入力データ!$I$25="私立",前提条件!$C$26,前提条件!$C$25),IF(H6&lt;=17,IF(入力データ!$J$25="私立",前提条件!$C$28,前提条件!$C$27),IF(H6&lt;=21,IF(入力データ!$K$25="国公立",前提条件!$C$29,IF(入力データ!$K$25="私立理系",前提条件!$C$31,前提条件!$C$30))+IF(入力データ!$L$25="下宿",前提条件!$C$32,0)+IF(H6=18,前提条件!$C$33,0),0))))))+IF(H7="",0,IF(H7&lt;=5,IF(入力データ!$G$26="私立",前提条件!$C$22,前提条件!$C$21),IF(H7&lt;=11,IF(入力データ!$H$26="私立",前提条件!$C$24,前提条件!$C$23),IF(H7&lt;=14,IF(入力データ!$I$26="私立",前提条件!$C$26,前提条件!$C$25),IF(H7&lt;=17,IF(入力データ!$J$26="私立",前提条件!$C$28,前提条件!$C$27),IF(H7&lt;=21,IF(入力データ!$K$26="国公立",前提条件!$C$29,IF(入力データ!$K$26="私立理系",前提条件!$C$31,前提条件!$C$30))+IF(入力データ!$L$26="下宿",前提条件!$C$32,0)+IF(H7=18,前提条件!$C$33,0),0))))))+IF(H8="",0,IF(H8&lt;=5,IF(入力データ!$G$27="私立",前提条件!$C$22,前提条件!$C$21),IF(H8&lt;=11,IF(入力データ!$H$27="私立",前提条件!$C$24,前提条件!$C$23),IF(H8&lt;=14,IF(入力データ!$I$27="私立",前提条件!$C$26,前提条件!$C$25),IF(H8&lt;=17,IF(入力データ!$J$27="私立",前提条件!$C$28,前提条件!$C$27),IF(H8&lt;=21,IF(入力データ!$K$27="国公立",前提条件!$C$29,IF(入力データ!$K$27="私立理系",前提条件!$C$31,前提条件!$C$30))+IF(入力データ!$L$27="下宿",前提条件!$C$32,0)+IF(H8=18,前提条件!$C$33,0),0)))))))*(1+前提条件!$C$13)^(H$3-$B$3))</f>
        <v/>
      </c>
      <c r="I24" s="352">
        <f>IF(I$3="","",((SUM(入力データ!$C$58:$C$61)*12)+IF(I6="",0,IF(I6&lt;=5,IF(入力データ!$G$25="私立",前提条件!$C$22,前提条件!$C$21),IF(I6&lt;=11,IF(入力データ!$H$25="私立",前提条件!$C$24,前提条件!$C$23),IF(I6&lt;=14,IF(入力データ!$I$25="私立",前提条件!$C$26,前提条件!$C$25),IF(I6&lt;=17,IF(入力データ!$J$25="私立",前提条件!$C$28,前提条件!$C$27),IF(I6&lt;=21,IF(入力データ!$K$25="国公立",前提条件!$C$29,IF(入力データ!$K$25="私立理系",前提条件!$C$31,前提条件!$C$30))+IF(入力データ!$L$25="下宿",前提条件!$C$32,0)+IF(I6=18,前提条件!$C$33,0),0))))))+IF(I7="",0,IF(I7&lt;=5,IF(入力データ!$G$26="私立",前提条件!$C$22,前提条件!$C$21),IF(I7&lt;=11,IF(入力データ!$H$26="私立",前提条件!$C$24,前提条件!$C$23),IF(I7&lt;=14,IF(入力データ!$I$26="私立",前提条件!$C$26,前提条件!$C$25),IF(I7&lt;=17,IF(入力データ!$J$26="私立",前提条件!$C$28,前提条件!$C$27),IF(I7&lt;=21,IF(入力データ!$K$26="国公立",前提条件!$C$29,IF(入力データ!$K$26="私立理系",前提条件!$C$31,前提条件!$C$30))+IF(入力データ!$L$26="下宿",前提条件!$C$32,0)+IF(I7=18,前提条件!$C$33,0),0))))))+IF(I8="",0,IF(I8&lt;=5,IF(入力データ!$G$27="私立",前提条件!$C$22,前提条件!$C$21),IF(I8&lt;=11,IF(入力データ!$H$27="私立",前提条件!$C$24,前提条件!$C$23),IF(I8&lt;=14,IF(入力データ!$I$27="私立",前提条件!$C$26,前提条件!$C$25),IF(I8&lt;=17,IF(入力データ!$J$27="私立",前提条件!$C$28,前提条件!$C$27),IF(I8&lt;=21,IF(入力データ!$K$27="国公立",前提条件!$C$29,IF(入力データ!$K$27="私立理系",前提条件!$C$31,前提条件!$C$30))+IF(入力データ!$L$27="下宿",前提条件!$C$32,0)+IF(I8=18,前提条件!$C$33,0),0)))))))*(1+前提条件!$C$13)^(I$3-$B$3))</f>
        <v/>
      </c>
      <c r="J24" s="352">
        <f>IF(J$3="","",((SUM(入力データ!$C$58:$C$61)*12)+IF(J6="",0,IF(J6&lt;=5,IF(入力データ!$G$25="私立",前提条件!$C$22,前提条件!$C$21),IF(J6&lt;=11,IF(入力データ!$H$25="私立",前提条件!$C$24,前提条件!$C$23),IF(J6&lt;=14,IF(入力データ!$I$25="私立",前提条件!$C$26,前提条件!$C$25),IF(J6&lt;=17,IF(入力データ!$J$25="私立",前提条件!$C$28,前提条件!$C$27),IF(J6&lt;=21,IF(入力データ!$K$25="国公立",前提条件!$C$29,IF(入力データ!$K$25="私立理系",前提条件!$C$31,前提条件!$C$30))+IF(入力データ!$L$25="下宿",前提条件!$C$32,0)+IF(J6=18,前提条件!$C$33,0),0))))))+IF(J7="",0,IF(J7&lt;=5,IF(入力データ!$G$26="私立",前提条件!$C$22,前提条件!$C$21),IF(J7&lt;=11,IF(入力データ!$H$26="私立",前提条件!$C$24,前提条件!$C$23),IF(J7&lt;=14,IF(入力データ!$I$26="私立",前提条件!$C$26,前提条件!$C$25),IF(J7&lt;=17,IF(入力データ!$J$26="私立",前提条件!$C$28,前提条件!$C$27),IF(J7&lt;=21,IF(入力データ!$K$26="国公立",前提条件!$C$29,IF(入力データ!$K$26="私立理系",前提条件!$C$31,前提条件!$C$30))+IF(入力データ!$L$26="下宿",前提条件!$C$32,0)+IF(J7=18,前提条件!$C$33,0),0))))))+IF(J8="",0,IF(J8&lt;=5,IF(入力データ!$G$27="私立",前提条件!$C$22,前提条件!$C$21),IF(J8&lt;=11,IF(入力データ!$H$27="私立",前提条件!$C$24,前提条件!$C$23),IF(J8&lt;=14,IF(入力データ!$I$27="私立",前提条件!$C$26,前提条件!$C$25),IF(J8&lt;=17,IF(入力データ!$J$27="私立",前提条件!$C$28,前提条件!$C$27),IF(J8&lt;=21,IF(入力データ!$K$27="国公立",前提条件!$C$29,IF(入力データ!$K$27="私立理系",前提条件!$C$31,前提条件!$C$30))+IF(入力データ!$L$27="下宿",前提条件!$C$32,0)+IF(J8=18,前提条件!$C$33,0),0)))))))*(1+前提条件!$C$13)^(J$3-$B$3))</f>
        <v/>
      </c>
      <c r="K24" s="352">
        <f>IF(K$3="","",((SUM(入力データ!$C$58:$C$61)*12)+IF(K6="",0,IF(K6&lt;=5,IF(入力データ!$G$25="私立",前提条件!$C$22,前提条件!$C$21),IF(K6&lt;=11,IF(入力データ!$H$25="私立",前提条件!$C$24,前提条件!$C$23),IF(K6&lt;=14,IF(入力データ!$I$25="私立",前提条件!$C$26,前提条件!$C$25),IF(K6&lt;=17,IF(入力データ!$J$25="私立",前提条件!$C$28,前提条件!$C$27),IF(K6&lt;=21,IF(入力データ!$K$25="国公立",前提条件!$C$29,IF(入力データ!$K$25="私立理系",前提条件!$C$31,前提条件!$C$30))+IF(入力データ!$L$25="下宿",前提条件!$C$32,0)+IF(K6=18,前提条件!$C$33,0),0))))))+IF(K7="",0,IF(K7&lt;=5,IF(入力データ!$G$26="私立",前提条件!$C$22,前提条件!$C$21),IF(K7&lt;=11,IF(入力データ!$H$26="私立",前提条件!$C$24,前提条件!$C$23),IF(K7&lt;=14,IF(入力データ!$I$26="私立",前提条件!$C$26,前提条件!$C$25),IF(K7&lt;=17,IF(入力データ!$J$26="私立",前提条件!$C$28,前提条件!$C$27),IF(K7&lt;=21,IF(入力データ!$K$26="国公立",前提条件!$C$29,IF(入力データ!$K$26="私立理系",前提条件!$C$31,前提条件!$C$30))+IF(入力データ!$L$26="下宿",前提条件!$C$32,0)+IF(K7=18,前提条件!$C$33,0),0))))))+IF(K8="",0,IF(K8&lt;=5,IF(入力データ!$G$27="私立",前提条件!$C$22,前提条件!$C$21),IF(K8&lt;=11,IF(入力データ!$H$27="私立",前提条件!$C$24,前提条件!$C$23),IF(K8&lt;=14,IF(入力データ!$I$27="私立",前提条件!$C$26,前提条件!$C$25),IF(K8&lt;=17,IF(入力データ!$J$27="私立",前提条件!$C$28,前提条件!$C$27),IF(K8&lt;=21,IF(入力データ!$K$27="国公立",前提条件!$C$29,IF(入力データ!$K$27="私立理系",前提条件!$C$31,前提条件!$C$30))+IF(入力データ!$L$27="下宿",前提条件!$C$32,0)+IF(K8=18,前提条件!$C$33,0),0)))))))*(1+前提条件!$C$13)^(K$3-$B$3))</f>
        <v/>
      </c>
      <c r="L24" s="352">
        <f>IF(L$3="","",((SUM(入力データ!$C$58:$C$61)*12)+IF(L6="",0,IF(L6&lt;=5,IF(入力データ!$G$25="私立",前提条件!$C$22,前提条件!$C$21),IF(L6&lt;=11,IF(入力データ!$H$25="私立",前提条件!$C$24,前提条件!$C$23),IF(L6&lt;=14,IF(入力データ!$I$25="私立",前提条件!$C$26,前提条件!$C$25),IF(L6&lt;=17,IF(入力データ!$J$25="私立",前提条件!$C$28,前提条件!$C$27),IF(L6&lt;=21,IF(入力データ!$K$25="国公立",前提条件!$C$29,IF(入力データ!$K$25="私立理系",前提条件!$C$31,前提条件!$C$30))+IF(入力データ!$L$25="下宿",前提条件!$C$32,0)+IF(L6=18,前提条件!$C$33,0),0))))))+IF(L7="",0,IF(L7&lt;=5,IF(入力データ!$G$26="私立",前提条件!$C$22,前提条件!$C$21),IF(L7&lt;=11,IF(入力データ!$H$26="私立",前提条件!$C$24,前提条件!$C$23),IF(L7&lt;=14,IF(入力データ!$I$26="私立",前提条件!$C$26,前提条件!$C$25),IF(L7&lt;=17,IF(入力データ!$J$26="私立",前提条件!$C$28,前提条件!$C$27),IF(L7&lt;=21,IF(入力データ!$K$26="国公立",前提条件!$C$29,IF(入力データ!$K$26="私立理系",前提条件!$C$31,前提条件!$C$30))+IF(入力データ!$L$26="下宿",前提条件!$C$32,0)+IF(L7=18,前提条件!$C$33,0),0))))))+IF(L8="",0,IF(L8&lt;=5,IF(入力データ!$G$27="私立",前提条件!$C$22,前提条件!$C$21),IF(L8&lt;=11,IF(入力データ!$H$27="私立",前提条件!$C$24,前提条件!$C$23),IF(L8&lt;=14,IF(入力データ!$I$27="私立",前提条件!$C$26,前提条件!$C$25),IF(L8&lt;=17,IF(入力データ!$J$27="私立",前提条件!$C$28,前提条件!$C$27),IF(L8&lt;=21,IF(入力データ!$K$27="国公立",前提条件!$C$29,IF(入力データ!$K$27="私立理系",前提条件!$C$31,前提条件!$C$30))+IF(入力データ!$L$27="下宿",前提条件!$C$32,0)+IF(L8=18,前提条件!$C$33,0),0)))))))*(1+前提条件!$C$13)^(L$3-$B$3))</f>
        <v/>
      </c>
      <c r="M24" s="352">
        <f>IF(M$3="","",((SUM(入力データ!$C$58:$C$61)*12)+IF(M6="",0,IF(M6&lt;=5,IF(入力データ!$G$25="私立",前提条件!$C$22,前提条件!$C$21),IF(M6&lt;=11,IF(入力データ!$H$25="私立",前提条件!$C$24,前提条件!$C$23),IF(M6&lt;=14,IF(入力データ!$I$25="私立",前提条件!$C$26,前提条件!$C$25),IF(M6&lt;=17,IF(入力データ!$J$25="私立",前提条件!$C$28,前提条件!$C$27),IF(M6&lt;=21,IF(入力データ!$K$25="国公立",前提条件!$C$29,IF(入力データ!$K$25="私立理系",前提条件!$C$31,前提条件!$C$30))+IF(入力データ!$L$25="下宿",前提条件!$C$32,0)+IF(M6=18,前提条件!$C$33,0),0))))))+IF(M7="",0,IF(M7&lt;=5,IF(入力データ!$G$26="私立",前提条件!$C$22,前提条件!$C$21),IF(M7&lt;=11,IF(入力データ!$H$26="私立",前提条件!$C$24,前提条件!$C$23),IF(M7&lt;=14,IF(入力データ!$I$26="私立",前提条件!$C$26,前提条件!$C$25),IF(M7&lt;=17,IF(入力データ!$J$26="私立",前提条件!$C$28,前提条件!$C$27),IF(M7&lt;=21,IF(入力データ!$K$26="国公立",前提条件!$C$29,IF(入力データ!$K$26="私立理系",前提条件!$C$31,前提条件!$C$30))+IF(入力データ!$L$26="下宿",前提条件!$C$32,0)+IF(M7=18,前提条件!$C$33,0),0))))))+IF(M8="",0,IF(M8&lt;=5,IF(入力データ!$G$27="私立",前提条件!$C$22,前提条件!$C$21),IF(M8&lt;=11,IF(入力データ!$H$27="私立",前提条件!$C$24,前提条件!$C$23),IF(M8&lt;=14,IF(入力データ!$I$27="私立",前提条件!$C$26,前提条件!$C$25),IF(M8&lt;=17,IF(入力データ!$J$27="私立",前提条件!$C$28,前提条件!$C$27),IF(M8&lt;=21,IF(入力データ!$K$27="国公立",前提条件!$C$29,IF(入力データ!$K$27="私立理系",前提条件!$C$31,前提条件!$C$30))+IF(入力データ!$L$27="下宿",前提条件!$C$32,0)+IF(M8=18,前提条件!$C$33,0),0)))))))*(1+前提条件!$C$13)^(M$3-$B$3))</f>
        <v/>
      </c>
      <c r="N24" s="352">
        <f>IF(N$3="","",((SUM(入力データ!$C$58:$C$61)*12)+IF(N6="",0,IF(N6&lt;=5,IF(入力データ!$G$25="私立",前提条件!$C$22,前提条件!$C$21),IF(N6&lt;=11,IF(入力データ!$H$25="私立",前提条件!$C$24,前提条件!$C$23),IF(N6&lt;=14,IF(入力データ!$I$25="私立",前提条件!$C$26,前提条件!$C$25),IF(N6&lt;=17,IF(入力データ!$J$25="私立",前提条件!$C$28,前提条件!$C$27),IF(N6&lt;=21,IF(入力データ!$K$25="国公立",前提条件!$C$29,IF(入力データ!$K$25="私立理系",前提条件!$C$31,前提条件!$C$30))+IF(入力データ!$L$25="下宿",前提条件!$C$32,0)+IF(N6=18,前提条件!$C$33,0),0))))))+IF(N7="",0,IF(N7&lt;=5,IF(入力データ!$G$26="私立",前提条件!$C$22,前提条件!$C$21),IF(N7&lt;=11,IF(入力データ!$H$26="私立",前提条件!$C$24,前提条件!$C$23),IF(N7&lt;=14,IF(入力データ!$I$26="私立",前提条件!$C$26,前提条件!$C$25),IF(N7&lt;=17,IF(入力データ!$J$26="私立",前提条件!$C$28,前提条件!$C$27),IF(N7&lt;=21,IF(入力データ!$K$26="国公立",前提条件!$C$29,IF(入力データ!$K$26="私立理系",前提条件!$C$31,前提条件!$C$30))+IF(入力データ!$L$26="下宿",前提条件!$C$32,0)+IF(N7=18,前提条件!$C$33,0),0))))))+IF(N8="",0,IF(N8&lt;=5,IF(入力データ!$G$27="私立",前提条件!$C$22,前提条件!$C$21),IF(N8&lt;=11,IF(入力データ!$H$27="私立",前提条件!$C$24,前提条件!$C$23),IF(N8&lt;=14,IF(入力データ!$I$27="私立",前提条件!$C$26,前提条件!$C$25),IF(N8&lt;=17,IF(入力データ!$J$27="私立",前提条件!$C$28,前提条件!$C$27),IF(N8&lt;=21,IF(入力データ!$K$27="国公立",前提条件!$C$29,IF(入力データ!$K$27="私立理系",前提条件!$C$31,前提条件!$C$30))+IF(入力データ!$L$27="下宿",前提条件!$C$32,0)+IF(N8=18,前提条件!$C$33,0),0)))))))*(1+前提条件!$C$13)^(N$3-$B$3))</f>
        <v/>
      </c>
      <c r="O24" s="352">
        <f>IF(O$3="","",((SUM(入力データ!$C$58:$C$61)*12)+IF(O6="",0,IF(O6&lt;=5,IF(入力データ!$G$25="私立",前提条件!$C$22,前提条件!$C$21),IF(O6&lt;=11,IF(入力データ!$H$25="私立",前提条件!$C$24,前提条件!$C$23),IF(O6&lt;=14,IF(入力データ!$I$25="私立",前提条件!$C$26,前提条件!$C$25),IF(O6&lt;=17,IF(入力データ!$J$25="私立",前提条件!$C$28,前提条件!$C$27),IF(O6&lt;=21,IF(入力データ!$K$25="国公立",前提条件!$C$29,IF(入力データ!$K$25="私立理系",前提条件!$C$31,前提条件!$C$30))+IF(入力データ!$L$25="下宿",前提条件!$C$32,0)+IF(O6=18,前提条件!$C$33,0),0))))))+IF(O7="",0,IF(O7&lt;=5,IF(入力データ!$G$26="私立",前提条件!$C$22,前提条件!$C$21),IF(O7&lt;=11,IF(入力データ!$H$26="私立",前提条件!$C$24,前提条件!$C$23),IF(O7&lt;=14,IF(入力データ!$I$26="私立",前提条件!$C$26,前提条件!$C$25),IF(O7&lt;=17,IF(入力データ!$J$26="私立",前提条件!$C$28,前提条件!$C$27),IF(O7&lt;=21,IF(入力データ!$K$26="国公立",前提条件!$C$29,IF(入力データ!$K$26="私立理系",前提条件!$C$31,前提条件!$C$30))+IF(入力データ!$L$26="下宿",前提条件!$C$32,0)+IF(O7=18,前提条件!$C$33,0),0))))))+IF(O8="",0,IF(O8&lt;=5,IF(入力データ!$G$27="私立",前提条件!$C$22,前提条件!$C$21),IF(O8&lt;=11,IF(入力データ!$H$27="私立",前提条件!$C$24,前提条件!$C$23),IF(O8&lt;=14,IF(入力データ!$I$27="私立",前提条件!$C$26,前提条件!$C$25),IF(O8&lt;=17,IF(入力データ!$J$27="私立",前提条件!$C$28,前提条件!$C$27),IF(O8&lt;=21,IF(入力データ!$K$27="国公立",前提条件!$C$29,IF(入力データ!$K$27="私立理系",前提条件!$C$31,前提条件!$C$30))+IF(入力データ!$L$27="下宿",前提条件!$C$32,0)+IF(O8=18,前提条件!$C$33,0),0)))))))*(1+前提条件!$C$13)^(O$3-$B$3))</f>
        <v/>
      </c>
      <c r="P24" s="352">
        <f>IF(P$3="","",((SUM(入力データ!$C$58:$C$61)*12)+IF(P6="",0,IF(P6&lt;=5,IF(入力データ!$G$25="私立",前提条件!$C$22,前提条件!$C$21),IF(P6&lt;=11,IF(入力データ!$H$25="私立",前提条件!$C$24,前提条件!$C$23),IF(P6&lt;=14,IF(入力データ!$I$25="私立",前提条件!$C$26,前提条件!$C$25),IF(P6&lt;=17,IF(入力データ!$J$25="私立",前提条件!$C$28,前提条件!$C$27),IF(P6&lt;=21,IF(入力データ!$K$25="国公立",前提条件!$C$29,IF(入力データ!$K$25="私立理系",前提条件!$C$31,前提条件!$C$30))+IF(入力データ!$L$25="下宿",前提条件!$C$32,0)+IF(P6=18,前提条件!$C$33,0),0))))))+IF(P7="",0,IF(P7&lt;=5,IF(入力データ!$G$26="私立",前提条件!$C$22,前提条件!$C$21),IF(P7&lt;=11,IF(入力データ!$H$26="私立",前提条件!$C$24,前提条件!$C$23),IF(P7&lt;=14,IF(入力データ!$I$26="私立",前提条件!$C$26,前提条件!$C$25),IF(P7&lt;=17,IF(入力データ!$J$26="私立",前提条件!$C$28,前提条件!$C$27),IF(P7&lt;=21,IF(入力データ!$K$26="国公立",前提条件!$C$29,IF(入力データ!$K$26="私立理系",前提条件!$C$31,前提条件!$C$30))+IF(入力データ!$L$26="下宿",前提条件!$C$32,0)+IF(P7=18,前提条件!$C$33,0),0))))))+IF(P8="",0,IF(P8&lt;=5,IF(入力データ!$G$27="私立",前提条件!$C$22,前提条件!$C$21),IF(P8&lt;=11,IF(入力データ!$H$27="私立",前提条件!$C$24,前提条件!$C$23),IF(P8&lt;=14,IF(入力データ!$I$27="私立",前提条件!$C$26,前提条件!$C$25),IF(P8&lt;=17,IF(入力データ!$J$27="私立",前提条件!$C$28,前提条件!$C$27),IF(P8&lt;=21,IF(入力データ!$K$27="国公立",前提条件!$C$29,IF(入力データ!$K$27="私立理系",前提条件!$C$31,前提条件!$C$30))+IF(入力データ!$L$27="下宿",前提条件!$C$32,0)+IF(P8=18,前提条件!$C$33,0),0)))))))*(1+前提条件!$C$13)^(P$3-$B$3))</f>
        <v/>
      </c>
      <c r="Q24" s="352">
        <f>IF(Q$3="","",((SUM(入力データ!$C$58:$C$61)*12)+IF(Q6="",0,IF(Q6&lt;=5,IF(入力データ!$G$25="私立",前提条件!$C$22,前提条件!$C$21),IF(Q6&lt;=11,IF(入力データ!$H$25="私立",前提条件!$C$24,前提条件!$C$23),IF(Q6&lt;=14,IF(入力データ!$I$25="私立",前提条件!$C$26,前提条件!$C$25),IF(Q6&lt;=17,IF(入力データ!$J$25="私立",前提条件!$C$28,前提条件!$C$27),IF(Q6&lt;=21,IF(入力データ!$K$25="国公立",前提条件!$C$29,IF(入力データ!$K$25="私立理系",前提条件!$C$31,前提条件!$C$30))+IF(入力データ!$L$25="下宿",前提条件!$C$32,0)+IF(Q6=18,前提条件!$C$33,0),0))))))+IF(Q7="",0,IF(Q7&lt;=5,IF(入力データ!$G$26="私立",前提条件!$C$22,前提条件!$C$21),IF(Q7&lt;=11,IF(入力データ!$H$26="私立",前提条件!$C$24,前提条件!$C$23),IF(Q7&lt;=14,IF(入力データ!$I$26="私立",前提条件!$C$26,前提条件!$C$25),IF(Q7&lt;=17,IF(入力データ!$J$26="私立",前提条件!$C$28,前提条件!$C$27),IF(Q7&lt;=21,IF(入力データ!$K$26="国公立",前提条件!$C$29,IF(入力データ!$K$26="私立理系",前提条件!$C$31,前提条件!$C$30))+IF(入力データ!$L$26="下宿",前提条件!$C$32,0)+IF(Q7=18,前提条件!$C$33,0),0))))))+IF(Q8="",0,IF(Q8&lt;=5,IF(入力データ!$G$27="私立",前提条件!$C$22,前提条件!$C$21),IF(Q8&lt;=11,IF(入力データ!$H$27="私立",前提条件!$C$24,前提条件!$C$23),IF(Q8&lt;=14,IF(入力データ!$I$27="私立",前提条件!$C$26,前提条件!$C$25),IF(Q8&lt;=17,IF(入力データ!$J$27="私立",前提条件!$C$28,前提条件!$C$27),IF(Q8&lt;=21,IF(入力データ!$K$27="国公立",前提条件!$C$29,IF(入力データ!$K$27="私立理系",前提条件!$C$31,前提条件!$C$30))+IF(入力データ!$L$27="下宿",前提条件!$C$32,0)+IF(Q8=18,前提条件!$C$33,0),0)))))))*(1+前提条件!$C$13)^(Q$3-$B$3))</f>
        <v/>
      </c>
      <c r="R24" s="352">
        <f>IF(R$3="","",((SUM(入力データ!$C$58:$C$61)*12)+IF(R6="",0,IF(R6&lt;=5,IF(入力データ!$G$25="私立",前提条件!$C$22,前提条件!$C$21),IF(R6&lt;=11,IF(入力データ!$H$25="私立",前提条件!$C$24,前提条件!$C$23),IF(R6&lt;=14,IF(入力データ!$I$25="私立",前提条件!$C$26,前提条件!$C$25),IF(R6&lt;=17,IF(入力データ!$J$25="私立",前提条件!$C$28,前提条件!$C$27),IF(R6&lt;=21,IF(入力データ!$K$25="国公立",前提条件!$C$29,IF(入力データ!$K$25="私立理系",前提条件!$C$31,前提条件!$C$30))+IF(入力データ!$L$25="下宿",前提条件!$C$32,0)+IF(R6=18,前提条件!$C$33,0),0))))))+IF(R7="",0,IF(R7&lt;=5,IF(入力データ!$G$26="私立",前提条件!$C$22,前提条件!$C$21),IF(R7&lt;=11,IF(入力データ!$H$26="私立",前提条件!$C$24,前提条件!$C$23),IF(R7&lt;=14,IF(入力データ!$I$26="私立",前提条件!$C$26,前提条件!$C$25),IF(R7&lt;=17,IF(入力データ!$J$26="私立",前提条件!$C$28,前提条件!$C$27),IF(R7&lt;=21,IF(入力データ!$K$26="国公立",前提条件!$C$29,IF(入力データ!$K$26="私立理系",前提条件!$C$31,前提条件!$C$30))+IF(入力データ!$L$26="下宿",前提条件!$C$32,0)+IF(R7=18,前提条件!$C$33,0),0))))))+IF(R8="",0,IF(R8&lt;=5,IF(入力データ!$G$27="私立",前提条件!$C$22,前提条件!$C$21),IF(R8&lt;=11,IF(入力データ!$H$27="私立",前提条件!$C$24,前提条件!$C$23),IF(R8&lt;=14,IF(入力データ!$I$27="私立",前提条件!$C$26,前提条件!$C$25),IF(R8&lt;=17,IF(入力データ!$J$27="私立",前提条件!$C$28,前提条件!$C$27),IF(R8&lt;=21,IF(入力データ!$K$27="国公立",前提条件!$C$29,IF(入力データ!$K$27="私立理系",前提条件!$C$31,前提条件!$C$30))+IF(入力データ!$L$27="下宿",前提条件!$C$32,0)+IF(R8=18,前提条件!$C$33,0),0)))))))*(1+前提条件!$C$13)^(R$3-$B$3))</f>
        <v/>
      </c>
      <c r="S24" s="352">
        <f>IF(S$3="","",((SUM(入力データ!$C$58:$C$61)*12)+IF(S6="",0,IF(S6&lt;=5,IF(入力データ!$G$25="私立",前提条件!$C$22,前提条件!$C$21),IF(S6&lt;=11,IF(入力データ!$H$25="私立",前提条件!$C$24,前提条件!$C$23),IF(S6&lt;=14,IF(入力データ!$I$25="私立",前提条件!$C$26,前提条件!$C$25),IF(S6&lt;=17,IF(入力データ!$J$25="私立",前提条件!$C$28,前提条件!$C$27),IF(S6&lt;=21,IF(入力データ!$K$25="国公立",前提条件!$C$29,IF(入力データ!$K$25="私立理系",前提条件!$C$31,前提条件!$C$30))+IF(入力データ!$L$25="下宿",前提条件!$C$32,0)+IF(S6=18,前提条件!$C$33,0),0))))))+IF(S7="",0,IF(S7&lt;=5,IF(入力データ!$G$26="私立",前提条件!$C$22,前提条件!$C$21),IF(S7&lt;=11,IF(入力データ!$H$26="私立",前提条件!$C$24,前提条件!$C$23),IF(S7&lt;=14,IF(入力データ!$I$26="私立",前提条件!$C$26,前提条件!$C$25),IF(S7&lt;=17,IF(入力データ!$J$26="私立",前提条件!$C$28,前提条件!$C$27),IF(S7&lt;=21,IF(入力データ!$K$26="国公立",前提条件!$C$29,IF(入力データ!$K$26="私立理系",前提条件!$C$31,前提条件!$C$30))+IF(入力データ!$L$26="下宿",前提条件!$C$32,0)+IF(S7=18,前提条件!$C$33,0),0))))))+IF(S8="",0,IF(S8&lt;=5,IF(入力データ!$G$27="私立",前提条件!$C$22,前提条件!$C$21),IF(S8&lt;=11,IF(入力データ!$H$27="私立",前提条件!$C$24,前提条件!$C$23),IF(S8&lt;=14,IF(入力データ!$I$27="私立",前提条件!$C$26,前提条件!$C$25),IF(S8&lt;=17,IF(入力データ!$J$27="私立",前提条件!$C$28,前提条件!$C$27),IF(S8&lt;=21,IF(入力データ!$K$27="国公立",前提条件!$C$29,IF(入力データ!$K$27="私立理系",前提条件!$C$31,前提条件!$C$30))+IF(入力データ!$L$27="下宿",前提条件!$C$32,0)+IF(S8=18,前提条件!$C$33,0),0)))))))*(1+前提条件!$C$13)^(S$3-$B$3))</f>
        <v/>
      </c>
      <c r="T24" s="352">
        <f>IF(T$3="","",((SUM(入力データ!$C$58:$C$61)*12)+IF(T6="",0,IF(T6&lt;=5,IF(入力データ!$G$25="私立",前提条件!$C$22,前提条件!$C$21),IF(T6&lt;=11,IF(入力データ!$H$25="私立",前提条件!$C$24,前提条件!$C$23),IF(T6&lt;=14,IF(入力データ!$I$25="私立",前提条件!$C$26,前提条件!$C$25),IF(T6&lt;=17,IF(入力データ!$J$25="私立",前提条件!$C$28,前提条件!$C$27),IF(T6&lt;=21,IF(入力データ!$K$25="国公立",前提条件!$C$29,IF(入力データ!$K$25="私立理系",前提条件!$C$31,前提条件!$C$30))+IF(入力データ!$L$25="下宿",前提条件!$C$32,0)+IF(T6=18,前提条件!$C$33,0),0))))))+IF(T7="",0,IF(T7&lt;=5,IF(入力データ!$G$26="私立",前提条件!$C$22,前提条件!$C$21),IF(T7&lt;=11,IF(入力データ!$H$26="私立",前提条件!$C$24,前提条件!$C$23),IF(T7&lt;=14,IF(入力データ!$I$26="私立",前提条件!$C$26,前提条件!$C$25),IF(T7&lt;=17,IF(入力データ!$J$26="私立",前提条件!$C$28,前提条件!$C$27),IF(T7&lt;=21,IF(入力データ!$K$26="国公立",前提条件!$C$29,IF(入力データ!$K$26="私立理系",前提条件!$C$31,前提条件!$C$30))+IF(入力データ!$L$26="下宿",前提条件!$C$32,0)+IF(T7=18,前提条件!$C$33,0),0))))))+IF(T8="",0,IF(T8&lt;=5,IF(入力データ!$G$27="私立",前提条件!$C$22,前提条件!$C$21),IF(T8&lt;=11,IF(入力データ!$H$27="私立",前提条件!$C$24,前提条件!$C$23),IF(T8&lt;=14,IF(入力データ!$I$27="私立",前提条件!$C$26,前提条件!$C$25),IF(T8&lt;=17,IF(入力データ!$J$27="私立",前提条件!$C$28,前提条件!$C$27),IF(T8&lt;=21,IF(入力データ!$K$27="国公立",前提条件!$C$29,IF(入力データ!$K$27="私立理系",前提条件!$C$31,前提条件!$C$30))+IF(入力データ!$L$27="下宿",前提条件!$C$32,0)+IF(T8=18,前提条件!$C$33,0),0)))))))*(1+前提条件!$C$13)^(T$3-$B$3))</f>
        <v/>
      </c>
      <c r="U24" s="352">
        <f>IF(U$3="","",((SUM(入力データ!$C$58:$C$61)*12)+IF(U6="",0,IF(U6&lt;=5,IF(入力データ!$G$25="私立",前提条件!$C$22,前提条件!$C$21),IF(U6&lt;=11,IF(入力データ!$H$25="私立",前提条件!$C$24,前提条件!$C$23),IF(U6&lt;=14,IF(入力データ!$I$25="私立",前提条件!$C$26,前提条件!$C$25),IF(U6&lt;=17,IF(入力データ!$J$25="私立",前提条件!$C$28,前提条件!$C$27),IF(U6&lt;=21,IF(入力データ!$K$25="国公立",前提条件!$C$29,IF(入力データ!$K$25="私立理系",前提条件!$C$31,前提条件!$C$30))+IF(入力データ!$L$25="下宿",前提条件!$C$32,0)+IF(U6=18,前提条件!$C$33,0),0))))))+IF(U7="",0,IF(U7&lt;=5,IF(入力データ!$G$26="私立",前提条件!$C$22,前提条件!$C$21),IF(U7&lt;=11,IF(入力データ!$H$26="私立",前提条件!$C$24,前提条件!$C$23),IF(U7&lt;=14,IF(入力データ!$I$26="私立",前提条件!$C$26,前提条件!$C$25),IF(U7&lt;=17,IF(入力データ!$J$26="私立",前提条件!$C$28,前提条件!$C$27),IF(U7&lt;=21,IF(入力データ!$K$26="国公立",前提条件!$C$29,IF(入力データ!$K$26="私立理系",前提条件!$C$31,前提条件!$C$30))+IF(入力データ!$L$26="下宿",前提条件!$C$32,0)+IF(U7=18,前提条件!$C$33,0),0))))))+IF(U8="",0,IF(U8&lt;=5,IF(入力データ!$G$27="私立",前提条件!$C$22,前提条件!$C$21),IF(U8&lt;=11,IF(入力データ!$H$27="私立",前提条件!$C$24,前提条件!$C$23),IF(U8&lt;=14,IF(入力データ!$I$27="私立",前提条件!$C$26,前提条件!$C$25),IF(U8&lt;=17,IF(入力データ!$J$27="私立",前提条件!$C$28,前提条件!$C$27),IF(U8&lt;=21,IF(入力データ!$K$27="国公立",前提条件!$C$29,IF(入力データ!$K$27="私立理系",前提条件!$C$31,前提条件!$C$30))+IF(入力データ!$L$27="下宿",前提条件!$C$32,0)+IF(U8=18,前提条件!$C$33,0),0)))))))*(1+前提条件!$C$13)^(U$3-$B$3))</f>
        <v/>
      </c>
      <c r="V24" s="352">
        <f>IF(V$3="","",((SUM(入力データ!$C$58:$C$61)*12)+IF(V6="",0,IF(V6&lt;=5,IF(入力データ!$G$25="私立",前提条件!$C$22,前提条件!$C$21),IF(V6&lt;=11,IF(入力データ!$H$25="私立",前提条件!$C$24,前提条件!$C$23),IF(V6&lt;=14,IF(入力データ!$I$25="私立",前提条件!$C$26,前提条件!$C$25),IF(V6&lt;=17,IF(入力データ!$J$25="私立",前提条件!$C$28,前提条件!$C$27),IF(V6&lt;=21,IF(入力データ!$K$25="国公立",前提条件!$C$29,IF(入力データ!$K$25="私立理系",前提条件!$C$31,前提条件!$C$30))+IF(入力データ!$L$25="下宿",前提条件!$C$32,0)+IF(V6=18,前提条件!$C$33,0),0))))))+IF(V7="",0,IF(V7&lt;=5,IF(入力データ!$G$26="私立",前提条件!$C$22,前提条件!$C$21),IF(V7&lt;=11,IF(入力データ!$H$26="私立",前提条件!$C$24,前提条件!$C$23),IF(V7&lt;=14,IF(入力データ!$I$26="私立",前提条件!$C$26,前提条件!$C$25),IF(V7&lt;=17,IF(入力データ!$J$26="私立",前提条件!$C$28,前提条件!$C$27),IF(V7&lt;=21,IF(入力データ!$K$26="国公立",前提条件!$C$29,IF(入力データ!$K$26="私立理系",前提条件!$C$31,前提条件!$C$30))+IF(入力データ!$L$26="下宿",前提条件!$C$32,0)+IF(V7=18,前提条件!$C$33,0),0))))))+IF(V8="",0,IF(V8&lt;=5,IF(入力データ!$G$27="私立",前提条件!$C$22,前提条件!$C$21),IF(V8&lt;=11,IF(入力データ!$H$27="私立",前提条件!$C$24,前提条件!$C$23),IF(V8&lt;=14,IF(入力データ!$I$27="私立",前提条件!$C$26,前提条件!$C$25),IF(V8&lt;=17,IF(入力データ!$J$27="私立",前提条件!$C$28,前提条件!$C$27),IF(V8&lt;=21,IF(入力データ!$K$27="国公立",前提条件!$C$29,IF(入力データ!$K$27="私立理系",前提条件!$C$31,前提条件!$C$30))+IF(入力データ!$L$27="下宿",前提条件!$C$32,0)+IF(V8=18,前提条件!$C$33,0),0)))))))*(1+前提条件!$C$13)^(V$3-$B$3))</f>
        <v/>
      </c>
      <c r="W24" s="352">
        <f>IF(W$3="","",((SUM(入力データ!$C$58:$C$61)*12)+IF(W6="",0,IF(W6&lt;=5,IF(入力データ!$G$25="私立",前提条件!$C$22,前提条件!$C$21),IF(W6&lt;=11,IF(入力データ!$H$25="私立",前提条件!$C$24,前提条件!$C$23),IF(W6&lt;=14,IF(入力データ!$I$25="私立",前提条件!$C$26,前提条件!$C$25),IF(W6&lt;=17,IF(入力データ!$J$25="私立",前提条件!$C$28,前提条件!$C$27),IF(W6&lt;=21,IF(入力データ!$K$25="国公立",前提条件!$C$29,IF(入力データ!$K$25="私立理系",前提条件!$C$31,前提条件!$C$30))+IF(入力データ!$L$25="下宿",前提条件!$C$32,0)+IF(W6=18,前提条件!$C$33,0),0))))))+IF(W7="",0,IF(W7&lt;=5,IF(入力データ!$G$26="私立",前提条件!$C$22,前提条件!$C$21),IF(W7&lt;=11,IF(入力データ!$H$26="私立",前提条件!$C$24,前提条件!$C$23),IF(W7&lt;=14,IF(入力データ!$I$26="私立",前提条件!$C$26,前提条件!$C$25),IF(W7&lt;=17,IF(入力データ!$J$26="私立",前提条件!$C$28,前提条件!$C$27),IF(W7&lt;=21,IF(入力データ!$K$26="国公立",前提条件!$C$29,IF(入力データ!$K$26="私立理系",前提条件!$C$31,前提条件!$C$30))+IF(入力データ!$L$26="下宿",前提条件!$C$32,0)+IF(W7=18,前提条件!$C$33,0),0))))))+IF(W8="",0,IF(W8&lt;=5,IF(入力データ!$G$27="私立",前提条件!$C$22,前提条件!$C$21),IF(W8&lt;=11,IF(入力データ!$H$27="私立",前提条件!$C$24,前提条件!$C$23),IF(W8&lt;=14,IF(入力データ!$I$27="私立",前提条件!$C$26,前提条件!$C$25),IF(W8&lt;=17,IF(入力データ!$J$27="私立",前提条件!$C$28,前提条件!$C$27),IF(W8&lt;=21,IF(入力データ!$K$27="国公立",前提条件!$C$29,IF(入力データ!$K$27="私立理系",前提条件!$C$31,前提条件!$C$30))+IF(入力データ!$L$27="下宿",前提条件!$C$32,0)+IF(W8=18,前提条件!$C$33,0),0)))))))*(1+前提条件!$C$13)^(W$3-$B$3))</f>
        <v/>
      </c>
      <c r="X24" s="352">
        <f>IF(X$3="","",((SUM(入力データ!$C$58:$C$61)*12)+IF(X6="",0,IF(X6&lt;=5,IF(入力データ!$G$25="私立",前提条件!$C$22,前提条件!$C$21),IF(X6&lt;=11,IF(入力データ!$H$25="私立",前提条件!$C$24,前提条件!$C$23),IF(X6&lt;=14,IF(入力データ!$I$25="私立",前提条件!$C$26,前提条件!$C$25),IF(X6&lt;=17,IF(入力データ!$J$25="私立",前提条件!$C$28,前提条件!$C$27),IF(X6&lt;=21,IF(入力データ!$K$25="国公立",前提条件!$C$29,IF(入力データ!$K$25="私立理系",前提条件!$C$31,前提条件!$C$30))+IF(入力データ!$L$25="下宿",前提条件!$C$32,0)+IF(X6=18,前提条件!$C$33,0),0))))))+IF(X7="",0,IF(X7&lt;=5,IF(入力データ!$G$26="私立",前提条件!$C$22,前提条件!$C$21),IF(X7&lt;=11,IF(入力データ!$H$26="私立",前提条件!$C$24,前提条件!$C$23),IF(X7&lt;=14,IF(入力データ!$I$26="私立",前提条件!$C$26,前提条件!$C$25),IF(X7&lt;=17,IF(入力データ!$J$26="私立",前提条件!$C$28,前提条件!$C$27),IF(X7&lt;=21,IF(入力データ!$K$26="国公立",前提条件!$C$29,IF(入力データ!$K$26="私立理系",前提条件!$C$31,前提条件!$C$30))+IF(入力データ!$L$26="下宿",前提条件!$C$32,0)+IF(X7=18,前提条件!$C$33,0),0))))))+IF(X8="",0,IF(X8&lt;=5,IF(入力データ!$G$27="私立",前提条件!$C$22,前提条件!$C$21),IF(X8&lt;=11,IF(入力データ!$H$27="私立",前提条件!$C$24,前提条件!$C$23),IF(X8&lt;=14,IF(入力データ!$I$27="私立",前提条件!$C$26,前提条件!$C$25),IF(X8&lt;=17,IF(入力データ!$J$27="私立",前提条件!$C$28,前提条件!$C$27),IF(X8&lt;=21,IF(入力データ!$K$27="国公立",前提条件!$C$29,IF(入力データ!$K$27="私立理系",前提条件!$C$31,前提条件!$C$30))+IF(入力データ!$L$27="下宿",前提条件!$C$32,0)+IF(X8=18,前提条件!$C$33,0),0)))))))*(1+前提条件!$C$13)^(X$3-$B$3))</f>
        <v/>
      </c>
      <c r="Y24" s="352">
        <f>IF(Y$3="","",((SUM(入力データ!$C$58:$C$61)*12)+IF(Y6="",0,IF(Y6&lt;=5,IF(入力データ!$G$25="私立",前提条件!$C$22,前提条件!$C$21),IF(Y6&lt;=11,IF(入力データ!$H$25="私立",前提条件!$C$24,前提条件!$C$23),IF(Y6&lt;=14,IF(入力データ!$I$25="私立",前提条件!$C$26,前提条件!$C$25),IF(Y6&lt;=17,IF(入力データ!$J$25="私立",前提条件!$C$28,前提条件!$C$27),IF(Y6&lt;=21,IF(入力データ!$K$25="国公立",前提条件!$C$29,IF(入力データ!$K$25="私立理系",前提条件!$C$31,前提条件!$C$30))+IF(入力データ!$L$25="下宿",前提条件!$C$32,0)+IF(Y6=18,前提条件!$C$33,0),0))))))+IF(Y7="",0,IF(Y7&lt;=5,IF(入力データ!$G$26="私立",前提条件!$C$22,前提条件!$C$21),IF(Y7&lt;=11,IF(入力データ!$H$26="私立",前提条件!$C$24,前提条件!$C$23),IF(Y7&lt;=14,IF(入力データ!$I$26="私立",前提条件!$C$26,前提条件!$C$25),IF(Y7&lt;=17,IF(入力データ!$J$26="私立",前提条件!$C$28,前提条件!$C$27),IF(Y7&lt;=21,IF(入力データ!$K$26="国公立",前提条件!$C$29,IF(入力データ!$K$26="私立理系",前提条件!$C$31,前提条件!$C$30))+IF(入力データ!$L$26="下宿",前提条件!$C$32,0)+IF(Y7=18,前提条件!$C$33,0),0))))))+IF(Y8="",0,IF(Y8&lt;=5,IF(入力データ!$G$27="私立",前提条件!$C$22,前提条件!$C$21),IF(Y8&lt;=11,IF(入力データ!$H$27="私立",前提条件!$C$24,前提条件!$C$23),IF(Y8&lt;=14,IF(入力データ!$I$27="私立",前提条件!$C$26,前提条件!$C$25),IF(Y8&lt;=17,IF(入力データ!$J$27="私立",前提条件!$C$28,前提条件!$C$27),IF(Y8&lt;=21,IF(入力データ!$K$27="国公立",前提条件!$C$29,IF(入力データ!$K$27="私立理系",前提条件!$C$31,前提条件!$C$30))+IF(入力データ!$L$27="下宿",前提条件!$C$32,0)+IF(Y8=18,前提条件!$C$33,0),0)))))))*(1+前提条件!$C$13)^(Y$3-$B$3))</f>
        <v/>
      </c>
      <c r="Z24" s="352">
        <f>IF(Z$3="","",((SUM(入力データ!$C$58:$C$61)*12)+IF(Z6="",0,IF(Z6&lt;=5,IF(入力データ!$G$25="私立",前提条件!$C$22,前提条件!$C$21),IF(Z6&lt;=11,IF(入力データ!$H$25="私立",前提条件!$C$24,前提条件!$C$23),IF(Z6&lt;=14,IF(入力データ!$I$25="私立",前提条件!$C$26,前提条件!$C$25),IF(Z6&lt;=17,IF(入力データ!$J$25="私立",前提条件!$C$28,前提条件!$C$27),IF(Z6&lt;=21,IF(入力データ!$K$25="国公立",前提条件!$C$29,IF(入力データ!$K$25="私立理系",前提条件!$C$31,前提条件!$C$30))+IF(入力データ!$L$25="下宿",前提条件!$C$32,0)+IF(Z6=18,前提条件!$C$33,0),0))))))+IF(Z7="",0,IF(Z7&lt;=5,IF(入力データ!$G$26="私立",前提条件!$C$22,前提条件!$C$21),IF(Z7&lt;=11,IF(入力データ!$H$26="私立",前提条件!$C$24,前提条件!$C$23),IF(Z7&lt;=14,IF(入力データ!$I$26="私立",前提条件!$C$26,前提条件!$C$25),IF(Z7&lt;=17,IF(入力データ!$J$26="私立",前提条件!$C$28,前提条件!$C$27),IF(Z7&lt;=21,IF(入力データ!$K$26="国公立",前提条件!$C$29,IF(入力データ!$K$26="私立理系",前提条件!$C$31,前提条件!$C$30))+IF(入力データ!$L$26="下宿",前提条件!$C$32,0)+IF(Z7=18,前提条件!$C$33,0),0))))))+IF(Z8="",0,IF(Z8&lt;=5,IF(入力データ!$G$27="私立",前提条件!$C$22,前提条件!$C$21),IF(Z8&lt;=11,IF(入力データ!$H$27="私立",前提条件!$C$24,前提条件!$C$23),IF(Z8&lt;=14,IF(入力データ!$I$27="私立",前提条件!$C$26,前提条件!$C$25),IF(Z8&lt;=17,IF(入力データ!$J$27="私立",前提条件!$C$28,前提条件!$C$27),IF(Z8&lt;=21,IF(入力データ!$K$27="国公立",前提条件!$C$29,IF(入力データ!$K$27="私立理系",前提条件!$C$31,前提条件!$C$30))+IF(入力データ!$L$27="下宿",前提条件!$C$32,0)+IF(Z8=18,前提条件!$C$33,0),0)))))))*(1+前提条件!$C$13)^(Z$3-$B$3))</f>
        <v/>
      </c>
      <c r="AA24" s="352">
        <f>IF(AA$3="","",((SUM(入力データ!$C$58:$C$61)*12)+IF(AA6="",0,IF(AA6&lt;=5,IF(入力データ!$G$25="私立",前提条件!$C$22,前提条件!$C$21),IF(AA6&lt;=11,IF(入力データ!$H$25="私立",前提条件!$C$24,前提条件!$C$23),IF(AA6&lt;=14,IF(入力データ!$I$25="私立",前提条件!$C$26,前提条件!$C$25),IF(AA6&lt;=17,IF(入力データ!$J$25="私立",前提条件!$C$28,前提条件!$C$27),IF(AA6&lt;=21,IF(入力データ!$K$25="国公立",前提条件!$C$29,IF(入力データ!$K$25="私立理系",前提条件!$C$31,前提条件!$C$30))+IF(入力データ!$L$25="下宿",前提条件!$C$32,0)+IF(AA6=18,前提条件!$C$33,0),0))))))+IF(AA7="",0,IF(AA7&lt;=5,IF(入力データ!$G$26="私立",前提条件!$C$22,前提条件!$C$21),IF(AA7&lt;=11,IF(入力データ!$H$26="私立",前提条件!$C$24,前提条件!$C$23),IF(AA7&lt;=14,IF(入力データ!$I$26="私立",前提条件!$C$26,前提条件!$C$25),IF(AA7&lt;=17,IF(入力データ!$J$26="私立",前提条件!$C$28,前提条件!$C$27),IF(AA7&lt;=21,IF(入力データ!$K$26="国公立",前提条件!$C$29,IF(入力データ!$K$26="私立理系",前提条件!$C$31,前提条件!$C$30))+IF(入力データ!$L$26="下宿",前提条件!$C$32,0)+IF(AA7=18,前提条件!$C$33,0),0))))))+IF(AA8="",0,IF(AA8&lt;=5,IF(入力データ!$G$27="私立",前提条件!$C$22,前提条件!$C$21),IF(AA8&lt;=11,IF(入力データ!$H$27="私立",前提条件!$C$24,前提条件!$C$23),IF(AA8&lt;=14,IF(入力データ!$I$27="私立",前提条件!$C$26,前提条件!$C$25),IF(AA8&lt;=17,IF(入力データ!$J$27="私立",前提条件!$C$28,前提条件!$C$27),IF(AA8&lt;=21,IF(入力データ!$K$27="国公立",前提条件!$C$29,IF(入力データ!$K$27="私立理系",前提条件!$C$31,前提条件!$C$30))+IF(入力データ!$L$27="下宿",前提条件!$C$32,0)+IF(AA8=18,前提条件!$C$33,0),0)))))))*(1+前提条件!$C$13)^(AA$3-$B$3))</f>
        <v/>
      </c>
      <c r="AB24" s="352">
        <f>IF(AB$3="","",((SUM(入力データ!$C$58:$C$61)*12)+IF(AB6="",0,IF(AB6&lt;=5,IF(入力データ!$G$25="私立",前提条件!$C$22,前提条件!$C$21),IF(AB6&lt;=11,IF(入力データ!$H$25="私立",前提条件!$C$24,前提条件!$C$23),IF(AB6&lt;=14,IF(入力データ!$I$25="私立",前提条件!$C$26,前提条件!$C$25),IF(AB6&lt;=17,IF(入力データ!$J$25="私立",前提条件!$C$28,前提条件!$C$27),IF(AB6&lt;=21,IF(入力データ!$K$25="国公立",前提条件!$C$29,IF(入力データ!$K$25="私立理系",前提条件!$C$31,前提条件!$C$30))+IF(入力データ!$L$25="下宿",前提条件!$C$32,0)+IF(AB6=18,前提条件!$C$33,0),0))))))+IF(AB7="",0,IF(AB7&lt;=5,IF(入力データ!$G$26="私立",前提条件!$C$22,前提条件!$C$21),IF(AB7&lt;=11,IF(入力データ!$H$26="私立",前提条件!$C$24,前提条件!$C$23),IF(AB7&lt;=14,IF(入力データ!$I$26="私立",前提条件!$C$26,前提条件!$C$25),IF(AB7&lt;=17,IF(入力データ!$J$26="私立",前提条件!$C$28,前提条件!$C$27),IF(AB7&lt;=21,IF(入力データ!$K$26="国公立",前提条件!$C$29,IF(入力データ!$K$26="私立理系",前提条件!$C$31,前提条件!$C$30))+IF(入力データ!$L$26="下宿",前提条件!$C$32,0)+IF(AB7=18,前提条件!$C$33,0),0))))))+IF(AB8="",0,IF(AB8&lt;=5,IF(入力データ!$G$27="私立",前提条件!$C$22,前提条件!$C$21),IF(AB8&lt;=11,IF(入力データ!$H$27="私立",前提条件!$C$24,前提条件!$C$23),IF(AB8&lt;=14,IF(入力データ!$I$27="私立",前提条件!$C$26,前提条件!$C$25),IF(AB8&lt;=17,IF(入力データ!$J$27="私立",前提条件!$C$28,前提条件!$C$27),IF(AB8&lt;=21,IF(入力データ!$K$27="国公立",前提条件!$C$29,IF(入力データ!$K$27="私立理系",前提条件!$C$31,前提条件!$C$30))+IF(入力データ!$L$27="下宿",前提条件!$C$32,0)+IF(AB8=18,前提条件!$C$33,0),0)))))))*(1+前提条件!$C$13)^(AB$3-$B$3))</f>
        <v/>
      </c>
      <c r="AC24" s="352">
        <f>IF(AC$3="","",((SUM(入力データ!$C$58:$C$61)*12)+IF(AC6="",0,IF(AC6&lt;=5,IF(入力データ!$G$25="私立",前提条件!$C$22,前提条件!$C$21),IF(AC6&lt;=11,IF(入力データ!$H$25="私立",前提条件!$C$24,前提条件!$C$23),IF(AC6&lt;=14,IF(入力データ!$I$25="私立",前提条件!$C$26,前提条件!$C$25),IF(AC6&lt;=17,IF(入力データ!$J$25="私立",前提条件!$C$28,前提条件!$C$27),IF(AC6&lt;=21,IF(入力データ!$K$25="国公立",前提条件!$C$29,IF(入力データ!$K$25="私立理系",前提条件!$C$31,前提条件!$C$30))+IF(入力データ!$L$25="下宿",前提条件!$C$32,0)+IF(AC6=18,前提条件!$C$33,0),0))))))+IF(AC7="",0,IF(AC7&lt;=5,IF(入力データ!$G$26="私立",前提条件!$C$22,前提条件!$C$21),IF(AC7&lt;=11,IF(入力データ!$H$26="私立",前提条件!$C$24,前提条件!$C$23),IF(AC7&lt;=14,IF(入力データ!$I$26="私立",前提条件!$C$26,前提条件!$C$25),IF(AC7&lt;=17,IF(入力データ!$J$26="私立",前提条件!$C$28,前提条件!$C$27),IF(AC7&lt;=21,IF(入力データ!$K$26="国公立",前提条件!$C$29,IF(入力データ!$K$26="私立理系",前提条件!$C$31,前提条件!$C$30))+IF(入力データ!$L$26="下宿",前提条件!$C$32,0)+IF(AC7=18,前提条件!$C$33,0),0))))))+IF(AC8="",0,IF(AC8&lt;=5,IF(入力データ!$G$27="私立",前提条件!$C$22,前提条件!$C$21),IF(AC8&lt;=11,IF(入力データ!$H$27="私立",前提条件!$C$24,前提条件!$C$23),IF(AC8&lt;=14,IF(入力データ!$I$27="私立",前提条件!$C$26,前提条件!$C$25),IF(AC8&lt;=17,IF(入力データ!$J$27="私立",前提条件!$C$28,前提条件!$C$27),IF(AC8&lt;=21,IF(入力データ!$K$27="国公立",前提条件!$C$29,IF(入力データ!$K$27="私立理系",前提条件!$C$31,前提条件!$C$30))+IF(入力データ!$L$27="下宿",前提条件!$C$32,0)+IF(AC8=18,前提条件!$C$33,0),0)))))))*(1+前提条件!$C$13)^(AC$3-$B$3))</f>
        <v/>
      </c>
      <c r="AD24" s="352">
        <f>IF(AD$3="","",((SUM(入力データ!$C$58:$C$61)*12)+IF(AD6="",0,IF(AD6&lt;=5,IF(入力データ!$G$25="私立",前提条件!$C$22,前提条件!$C$21),IF(AD6&lt;=11,IF(入力データ!$H$25="私立",前提条件!$C$24,前提条件!$C$23),IF(AD6&lt;=14,IF(入力データ!$I$25="私立",前提条件!$C$26,前提条件!$C$25),IF(AD6&lt;=17,IF(入力データ!$J$25="私立",前提条件!$C$28,前提条件!$C$27),IF(AD6&lt;=21,IF(入力データ!$K$25="国公立",前提条件!$C$29,IF(入力データ!$K$25="私立理系",前提条件!$C$31,前提条件!$C$30))+IF(入力データ!$L$25="下宿",前提条件!$C$32,0)+IF(AD6=18,前提条件!$C$33,0),0))))))+IF(AD7="",0,IF(AD7&lt;=5,IF(入力データ!$G$26="私立",前提条件!$C$22,前提条件!$C$21),IF(AD7&lt;=11,IF(入力データ!$H$26="私立",前提条件!$C$24,前提条件!$C$23),IF(AD7&lt;=14,IF(入力データ!$I$26="私立",前提条件!$C$26,前提条件!$C$25),IF(AD7&lt;=17,IF(入力データ!$J$26="私立",前提条件!$C$28,前提条件!$C$27),IF(AD7&lt;=21,IF(入力データ!$K$26="国公立",前提条件!$C$29,IF(入力データ!$K$26="私立理系",前提条件!$C$31,前提条件!$C$30))+IF(入力データ!$L$26="下宿",前提条件!$C$32,0)+IF(AD7=18,前提条件!$C$33,0),0))))))+IF(AD8="",0,IF(AD8&lt;=5,IF(入力データ!$G$27="私立",前提条件!$C$22,前提条件!$C$21),IF(AD8&lt;=11,IF(入力データ!$H$27="私立",前提条件!$C$24,前提条件!$C$23),IF(AD8&lt;=14,IF(入力データ!$I$27="私立",前提条件!$C$26,前提条件!$C$25),IF(AD8&lt;=17,IF(入力データ!$J$27="私立",前提条件!$C$28,前提条件!$C$27),IF(AD8&lt;=21,IF(入力データ!$K$27="国公立",前提条件!$C$29,IF(入力データ!$K$27="私立理系",前提条件!$C$31,前提条件!$C$30))+IF(入力データ!$L$27="下宿",前提条件!$C$32,0)+IF(AD8=18,前提条件!$C$33,0),0)))))))*(1+前提条件!$C$13)^(AD$3-$B$3))</f>
        <v/>
      </c>
      <c r="AE24" s="352">
        <f>IF(AE$3="","",((SUM(入力データ!$C$58:$C$61)*12)+IF(AE6="",0,IF(AE6&lt;=5,IF(入力データ!$G$25="私立",前提条件!$C$22,前提条件!$C$21),IF(AE6&lt;=11,IF(入力データ!$H$25="私立",前提条件!$C$24,前提条件!$C$23),IF(AE6&lt;=14,IF(入力データ!$I$25="私立",前提条件!$C$26,前提条件!$C$25),IF(AE6&lt;=17,IF(入力データ!$J$25="私立",前提条件!$C$28,前提条件!$C$27),IF(AE6&lt;=21,IF(入力データ!$K$25="国公立",前提条件!$C$29,IF(入力データ!$K$25="私立理系",前提条件!$C$31,前提条件!$C$30))+IF(入力データ!$L$25="下宿",前提条件!$C$32,0)+IF(AE6=18,前提条件!$C$33,0),0))))))+IF(AE7="",0,IF(AE7&lt;=5,IF(入力データ!$G$26="私立",前提条件!$C$22,前提条件!$C$21),IF(AE7&lt;=11,IF(入力データ!$H$26="私立",前提条件!$C$24,前提条件!$C$23),IF(AE7&lt;=14,IF(入力データ!$I$26="私立",前提条件!$C$26,前提条件!$C$25),IF(AE7&lt;=17,IF(入力データ!$J$26="私立",前提条件!$C$28,前提条件!$C$27),IF(AE7&lt;=21,IF(入力データ!$K$26="国公立",前提条件!$C$29,IF(入力データ!$K$26="私立理系",前提条件!$C$31,前提条件!$C$30))+IF(入力データ!$L$26="下宿",前提条件!$C$32,0)+IF(AE7=18,前提条件!$C$33,0),0))))))+IF(AE8="",0,IF(AE8&lt;=5,IF(入力データ!$G$27="私立",前提条件!$C$22,前提条件!$C$21),IF(AE8&lt;=11,IF(入力データ!$H$27="私立",前提条件!$C$24,前提条件!$C$23),IF(AE8&lt;=14,IF(入力データ!$I$27="私立",前提条件!$C$26,前提条件!$C$25),IF(AE8&lt;=17,IF(入力データ!$J$27="私立",前提条件!$C$28,前提条件!$C$27),IF(AE8&lt;=21,IF(入力データ!$K$27="国公立",前提条件!$C$29,IF(入力データ!$K$27="私立理系",前提条件!$C$31,前提条件!$C$30))+IF(入力データ!$L$27="下宿",前提条件!$C$32,0)+IF(AE8=18,前提条件!$C$33,0),0)))))))*(1+前提条件!$C$13)^(AE$3-$B$3))</f>
        <v/>
      </c>
      <c r="AF24" s="352">
        <f>IF(AF$3="","",((SUM(入力データ!$C$58:$C$61)*12)+IF(AF6="",0,IF(AF6&lt;=5,IF(入力データ!$G$25="私立",前提条件!$C$22,前提条件!$C$21),IF(AF6&lt;=11,IF(入力データ!$H$25="私立",前提条件!$C$24,前提条件!$C$23),IF(AF6&lt;=14,IF(入力データ!$I$25="私立",前提条件!$C$26,前提条件!$C$25),IF(AF6&lt;=17,IF(入力データ!$J$25="私立",前提条件!$C$28,前提条件!$C$27),IF(AF6&lt;=21,IF(入力データ!$K$25="国公立",前提条件!$C$29,IF(入力データ!$K$25="私立理系",前提条件!$C$31,前提条件!$C$30))+IF(入力データ!$L$25="下宿",前提条件!$C$32,0)+IF(AF6=18,前提条件!$C$33,0),0))))))+IF(AF7="",0,IF(AF7&lt;=5,IF(入力データ!$G$26="私立",前提条件!$C$22,前提条件!$C$21),IF(AF7&lt;=11,IF(入力データ!$H$26="私立",前提条件!$C$24,前提条件!$C$23),IF(AF7&lt;=14,IF(入力データ!$I$26="私立",前提条件!$C$26,前提条件!$C$25),IF(AF7&lt;=17,IF(入力データ!$J$26="私立",前提条件!$C$28,前提条件!$C$27),IF(AF7&lt;=21,IF(入力データ!$K$26="国公立",前提条件!$C$29,IF(入力データ!$K$26="私立理系",前提条件!$C$31,前提条件!$C$30))+IF(入力データ!$L$26="下宿",前提条件!$C$32,0)+IF(AF7=18,前提条件!$C$33,0),0))))))+IF(AF8="",0,IF(AF8&lt;=5,IF(入力データ!$G$27="私立",前提条件!$C$22,前提条件!$C$21),IF(AF8&lt;=11,IF(入力データ!$H$27="私立",前提条件!$C$24,前提条件!$C$23),IF(AF8&lt;=14,IF(入力データ!$I$27="私立",前提条件!$C$26,前提条件!$C$25),IF(AF8&lt;=17,IF(入力データ!$J$27="私立",前提条件!$C$28,前提条件!$C$27),IF(AF8&lt;=21,IF(入力データ!$K$27="国公立",前提条件!$C$29,IF(入力データ!$K$27="私立理系",前提条件!$C$31,前提条件!$C$30))+IF(入力データ!$L$27="下宿",前提条件!$C$32,0)+IF(AF8=18,前提条件!$C$33,0),0)))))))*(1+前提条件!$C$13)^(AF$3-$B$3))</f>
        <v/>
      </c>
      <c r="AG24" s="352">
        <f>IF(AG$3="","",((SUM(入力データ!$C$58:$C$61)*12)+IF(AG6="",0,IF(AG6&lt;=5,IF(入力データ!$G$25="私立",前提条件!$C$22,前提条件!$C$21),IF(AG6&lt;=11,IF(入力データ!$H$25="私立",前提条件!$C$24,前提条件!$C$23),IF(AG6&lt;=14,IF(入力データ!$I$25="私立",前提条件!$C$26,前提条件!$C$25),IF(AG6&lt;=17,IF(入力データ!$J$25="私立",前提条件!$C$28,前提条件!$C$27),IF(AG6&lt;=21,IF(入力データ!$K$25="国公立",前提条件!$C$29,IF(入力データ!$K$25="私立理系",前提条件!$C$31,前提条件!$C$30))+IF(入力データ!$L$25="下宿",前提条件!$C$32,0)+IF(AG6=18,前提条件!$C$33,0),0))))))+IF(AG7="",0,IF(AG7&lt;=5,IF(入力データ!$G$26="私立",前提条件!$C$22,前提条件!$C$21),IF(AG7&lt;=11,IF(入力データ!$H$26="私立",前提条件!$C$24,前提条件!$C$23),IF(AG7&lt;=14,IF(入力データ!$I$26="私立",前提条件!$C$26,前提条件!$C$25),IF(AG7&lt;=17,IF(入力データ!$J$26="私立",前提条件!$C$28,前提条件!$C$27),IF(AG7&lt;=21,IF(入力データ!$K$26="国公立",前提条件!$C$29,IF(入力データ!$K$26="私立理系",前提条件!$C$31,前提条件!$C$30))+IF(入力データ!$L$26="下宿",前提条件!$C$32,0)+IF(AG7=18,前提条件!$C$33,0),0))))))+IF(AG8="",0,IF(AG8&lt;=5,IF(入力データ!$G$27="私立",前提条件!$C$22,前提条件!$C$21),IF(AG8&lt;=11,IF(入力データ!$H$27="私立",前提条件!$C$24,前提条件!$C$23),IF(AG8&lt;=14,IF(入力データ!$I$27="私立",前提条件!$C$26,前提条件!$C$25),IF(AG8&lt;=17,IF(入力データ!$J$27="私立",前提条件!$C$28,前提条件!$C$27),IF(AG8&lt;=21,IF(入力データ!$K$27="国公立",前提条件!$C$29,IF(入力データ!$K$27="私立理系",前提条件!$C$31,前提条件!$C$30))+IF(入力データ!$L$27="下宿",前提条件!$C$32,0)+IF(AG8=18,前提条件!$C$33,0),0)))))))*(1+前提条件!$C$13)^(AG$3-$B$3))</f>
        <v/>
      </c>
      <c r="AH24" s="352">
        <f>IF(AH$3="","",((SUM(入力データ!$C$58:$C$61)*12)+IF(AH6="",0,IF(AH6&lt;=5,IF(入力データ!$G$25="私立",前提条件!$C$22,前提条件!$C$21),IF(AH6&lt;=11,IF(入力データ!$H$25="私立",前提条件!$C$24,前提条件!$C$23),IF(AH6&lt;=14,IF(入力データ!$I$25="私立",前提条件!$C$26,前提条件!$C$25),IF(AH6&lt;=17,IF(入力データ!$J$25="私立",前提条件!$C$28,前提条件!$C$27),IF(AH6&lt;=21,IF(入力データ!$K$25="国公立",前提条件!$C$29,IF(入力データ!$K$25="私立理系",前提条件!$C$31,前提条件!$C$30))+IF(入力データ!$L$25="下宿",前提条件!$C$32,0)+IF(AH6=18,前提条件!$C$33,0),0))))))+IF(AH7="",0,IF(AH7&lt;=5,IF(入力データ!$G$26="私立",前提条件!$C$22,前提条件!$C$21),IF(AH7&lt;=11,IF(入力データ!$H$26="私立",前提条件!$C$24,前提条件!$C$23),IF(AH7&lt;=14,IF(入力データ!$I$26="私立",前提条件!$C$26,前提条件!$C$25),IF(AH7&lt;=17,IF(入力データ!$J$26="私立",前提条件!$C$28,前提条件!$C$27),IF(AH7&lt;=21,IF(入力データ!$K$26="国公立",前提条件!$C$29,IF(入力データ!$K$26="私立理系",前提条件!$C$31,前提条件!$C$30))+IF(入力データ!$L$26="下宿",前提条件!$C$32,0)+IF(AH7=18,前提条件!$C$33,0),0))))))+IF(AH8="",0,IF(AH8&lt;=5,IF(入力データ!$G$27="私立",前提条件!$C$22,前提条件!$C$21),IF(AH8&lt;=11,IF(入力データ!$H$27="私立",前提条件!$C$24,前提条件!$C$23),IF(AH8&lt;=14,IF(入力データ!$I$27="私立",前提条件!$C$26,前提条件!$C$25),IF(AH8&lt;=17,IF(入力データ!$J$27="私立",前提条件!$C$28,前提条件!$C$27),IF(AH8&lt;=21,IF(入力データ!$K$27="国公立",前提条件!$C$29,IF(入力データ!$K$27="私立理系",前提条件!$C$31,前提条件!$C$30))+IF(入力データ!$L$27="下宿",前提条件!$C$32,0)+IF(AH8=18,前提条件!$C$33,0),0)))))))*(1+前提条件!$C$13)^(AH$3-$B$3))</f>
        <v/>
      </c>
      <c r="AI24" s="352">
        <f>IF(AI$3="","",((SUM(入力データ!$C$58:$C$61)*12)+IF(AI6="",0,IF(AI6&lt;=5,IF(入力データ!$G$25="私立",前提条件!$C$22,前提条件!$C$21),IF(AI6&lt;=11,IF(入力データ!$H$25="私立",前提条件!$C$24,前提条件!$C$23),IF(AI6&lt;=14,IF(入力データ!$I$25="私立",前提条件!$C$26,前提条件!$C$25),IF(AI6&lt;=17,IF(入力データ!$J$25="私立",前提条件!$C$28,前提条件!$C$27),IF(AI6&lt;=21,IF(入力データ!$K$25="国公立",前提条件!$C$29,IF(入力データ!$K$25="私立理系",前提条件!$C$31,前提条件!$C$30))+IF(入力データ!$L$25="下宿",前提条件!$C$32,0)+IF(AI6=18,前提条件!$C$33,0),0))))))+IF(AI7="",0,IF(AI7&lt;=5,IF(入力データ!$G$26="私立",前提条件!$C$22,前提条件!$C$21),IF(AI7&lt;=11,IF(入力データ!$H$26="私立",前提条件!$C$24,前提条件!$C$23),IF(AI7&lt;=14,IF(入力データ!$I$26="私立",前提条件!$C$26,前提条件!$C$25),IF(AI7&lt;=17,IF(入力データ!$J$26="私立",前提条件!$C$28,前提条件!$C$27),IF(AI7&lt;=21,IF(入力データ!$K$26="国公立",前提条件!$C$29,IF(入力データ!$K$26="私立理系",前提条件!$C$31,前提条件!$C$30))+IF(入力データ!$L$26="下宿",前提条件!$C$32,0)+IF(AI7=18,前提条件!$C$33,0),0))))))+IF(AI8="",0,IF(AI8&lt;=5,IF(入力データ!$G$27="私立",前提条件!$C$22,前提条件!$C$21),IF(AI8&lt;=11,IF(入力データ!$H$27="私立",前提条件!$C$24,前提条件!$C$23),IF(AI8&lt;=14,IF(入力データ!$I$27="私立",前提条件!$C$26,前提条件!$C$25),IF(AI8&lt;=17,IF(入力データ!$J$27="私立",前提条件!$C$28,前提条件!$C$27),IF(AI8&lt;=21,IF(入力データ!$K$27="国公立",前提条件!$C$29,IF(入力データ!$K$27="私立理系",前提条件!$C$31,前提条件!$C$30))+IF(入力データ!$L$27="下宿",前提条件!$C$32,0)+IF(AI8=18,前提条件!$C$33,0),0)))))))*(1+前提条件!$C$13)^(AI$3-$B$3))</f>
        <v/>
      </c>
      <c r="AJ24" s="352">
        <f>IF(AJ$3="","",((SUM(入力データ!$C$58:$C$61)*12)+IF(AJ6="",0,IF(AJ6&lt;=5,IF(入力データ!$G$25="私立",前提条件!$C$22,前提条件!$C$21),IF(AJ6&lt;=11,IF(入力データ!$H$25="私立",前提条件!$C$24,前提条件!$C$23),IF(AJ6&lt;=14,IF(入力データ!$I$25="私立",前提条件!$C$26,前提条件!$C$25),IF(AJ6&lt;=17,IF(入力データ!$J$25="私立",前提条件!$C$28,前提条件!$C$27),IF(AJ6&lt;=21,IF(入力データ!$K$25="国公立",前提条件!$C$29,IF(入力データ!$K$25="私立理系",前提条件!$C$31,前提条件!$C$30))+IF(入力データ!$L$25="下宿",前提条件!$C$32,0)+IF(AJ6=18,前提条件!$C$33,0),0))))))+IF(AJ7="",0,IF(AJ7&lt;=5,IF(入力データ!$G$26="私立",前提条件!$C$22,前提条件!$C$21),IF(AJ7&lt;=11,IF(入力データ!$H$26="私立",前提条件!$C$24,前提条件!$C$23),IF(AJ7&lt;=14,IF(入力データ!$I$26="私立",前提条件!$C$26,前提条件!$C$25),IF(AJ7&lt;=17,IF(入力データ!$J$26="私立",前提条件!$C$28,前提条件!$C$27),IF(AJ7&lt;=21,IF(入力データ!$K$26="国公立",前提条件!$C$29,IF(入力データ!$K$26="私立理系",前提条件!$C$31,前提条件!$C$30))+IF(入力データ!$L$26="下宿",前提条件!$C$32,0)+IF(AJ7=18,前提条件!$C$33,0),0))))))+IF(AJ8="",0,IF(AJ8&lt;=5,IF(入力データ!$G$27="私立",前提条件!$C$22,前提条件!$C$21),IF(AJ8&lt;=11,IF(入力データ!$H$27="私立",前提条件!$C$24,前提条件!$C$23),IF(AJ8&lt;=14,IF(入力データ!$I$27="私立",前提条件!$C$26,前提条件!$C$25),IF(AJ8&lt;=17,IF(入力データ!$J$27="私立",前提条件!$C$28,前提条件!$C$27),IF(AJ8&lt;=21,IF(入力データ!$K$27="国公立",前提条件!$C$29,IF(入力データ!$K$27="私立理系",前提条件!$C$31,前提条件!$C$30))+IF(入力データ!$L$27="下宿",前提条件!$C$32,0)+IF(AJ8=18,前提条件!$C$33,0),0)))))))*(1+前提条件!$C$13)^(AJ$3-$B$3))</f>
        <v/>
      </c>
      <c r="AK24" s="352">
        <f>IF(AK$3="","",((SUM(入力データ!$C$58:$C$61)*12)+IF(AK6="",0,IF(AK6&lt;=5,IF(入力データ!$G$25="私立",前提条件!$C$22,前提条件!$C$21),IF(AK6&lt;=11,IF(入力データ!$H$25="私立",前提条件!$C$24,前提条件!$C$23),IF(AK6&lt;=14,IF(入力データ!$I$25="私立",前提条件!$C$26,前提条件!$C$25),IF(AK6&lt;=17,IF(入力データ!$J$25="私立",前提条件!$C$28,前提条件!$C$27),IF(AK6&lt;=21,IF(入力データ!$K$25="国公立",前提条件!$C$29,IF(入力データ!$K$25="私立理系",前提条件!$C$31,前提条件!$C$30))+IF(入力データ!$L$25="下宿",前提条件!$C$32,0)+IF(AK6=18,前提条件!$C$33,0),0))))))+IF(AK7="",0,IF(AK7&lt;=5,IF(入力データ!$G$26="私立",前提条件!$C$22,前提条件!$C$21),IF(AK7&lt;=11,IF(入力データ!$H$26="私立",前提条件!$C$24,前提条件!$C$23),IF(AK7&lt;=14,IF(入力データ!$I$26="私立",前提条件!$C$26,前提条件!$C$25),IF(AK7&lt;=17,IF(入力データ!$J$26="私立",前提条件!$C$28,前提条件!$C$27),IF(AK7&lt;=21,IF(入力データ!$K$26="国公立",前提条件!$C$29,IF(入力データ!$K$26="私立理系",前提条件!$C$31,前提条件!$C$30))+IF(入力データ!$L$26="下宿",前提条件!$C$32,0)+IF(AK7=18,前提条件!$C$33,0),0))))))+IF(AK8="",0,IF(AK8&lt;=5,IF(入力データ!$G$27="私立",前提条件!$C$22,前提条件!$C$21),IF(AK8&lt;=11,IF(入力データ!$H$27="私立",前提条件!$C$24,前提条件!$C$23),IF(AK8&lt;=14,IF(入力データ!$I$27="私立",前提条件!$C$26,前提条件!$C$25),IF(AK8&lt;=17,IF(入力データ!$J$27="私立",前提条件!$C$28,前提条件!$C$27),IF(AK8&lt;=21,IF(入力データ!$K$27="国公立",前提条件!$C$29,IF(入力データ!$K$27="私立理系",前提条件!$C$31,前提条件!$C$30))+IF(入力データ!$L$27="下宿",前提条件!$C$32,0)+IF(AK8=18,前提条件!$C$33,0),0)))))))*(1+前提条件!$C$13)^(AK$3-$B$3))</f>
        <v/>
      </c>
      <c r="AL24" s="352">
        <f>IF(AL$3="","",((SUM(入力データ!$C$58:$C$61)*12)+IF(AL6="",0,IF(AL6&lt;=5,IF(入力データ!$G$25="私立",前提条件!$C$22,前提条件!$C$21),IF(AL6&lt;=11,IF(入力データ!$H$25="私立",前提条件!$C$24,前提条件!$C$23),IF(AL6&lt;=14,IF(入力データ!$I$25="私立",前提条件!$C$26,前提条件!$C$25),IF(AL6&lt;=17,IF(入力データ!$J$25="私立",前提条件!$C$28,前提条件!$C$27),IF(AL6&lt;=21,IF(入力データ!$K$25="国公立",前提条件!$C$29,IF(入力データ!$K$25="私立理系",前提条件!$C$31,前提条件!$C$30))+IF(入力データ!$L$25="下宿",前提条件!$C$32,0)+IF(AL6=18,前提条件!$C$33,0),0))))))+IF(AL7="",0,IF(AL7&lt;=5,IF(入力データ!$G$26="私立",前提条件!$C$22,前提条件!$C$21),IF(AL7&lt;=11,IF(入力データ!$H$26="私立",前提条件!$C$24,前提条件!$C$23),IF(AL7&lt;=14,IF(入力データ!$I$26="私立",前提条件!$C$26,前提条件!$C$25),IF(AL7&lt;=17,IF(入力データ!$J$26="私立",前提条件!$C$28,前提条件!$C$27),IF(AL7&lt;=21,IF(入力データ!$K$26="国公立",前提条件!$C$29,IF(入力データ!$K$26="私立理系",前提条件!$C$31,前提条件!$C$30))+IF(入力データ!$L$26="下宿",前提条件!$C$32,0)+IF(AL7=18,前提条件!$C$33,0),0))))))+IF(AL8="",0,IF(AL8&lt;=5,IF(入力データ!$G$27="私立",前提条件!$C$22,前提条件!$C$21),IF(AL8&lt;=11,IF(入力データ!$H$27="私立",前提条件!$C$24,前提条件!$C$23),IF(AL8&lt;=14,IF(入力データ!$I$27="私立",前提条件!$C$26,前提条件!$C$25),IF(AL8&lt;=17,IF(入力データ!$J$27="私立",前提条件!$C$28,前提条件!$C$27),IF(AL8&lt;=21,IF(入力データ!$K$27="国公立",前提条件!$C$29,IF(入力データ!$K$27="私立理系",前提条件!$C$31,前提条件!$C$30))+IF(入力データ!$L$27="下宿",前提条件!$C$32,0)+IF(AL8=18,前提条件!$C$33,0),0)))))))*(1+前提条件!$C$13)^(AL$3-$B$3))</f>
        <v/>
      </c>
      <c r="AM24" s="352">
        <f>IF(AM$3="","",((SUM(入力データ!$C$58:$C$61)*12)+IF(AM6="",0,IF(AM6&lt;=5,IF(入力データ!$G$25="私立",前提条件!$C$22,前提条件!$C$21),IF(AM6&lt;=11,IF(入力データ!$H$25="私立",前提条件!$C$24,前提条件!$C$23),IF(AM6&lt;=14,IF(入力データ!$I$25="私立",前提条件!$C$26,前提条件!$C$25),IF(AM6&lt;=17,IF(入力データ!$J$25="私立",前提条件!$C$28,前提条件!$C$27),IF(AM6&lt;=21,IF(入力データ!$K$25="国公立",前提条件!$C$29,IF(入力データ!$K$25="私立理系",前提条件!$C$31,前提条件!$C$30))+IF(入力データ!$L$25="下宿",前提条件!$C$32,0)+IF(AM6=18,前提条件!$C$33,0),0))))))+IF(AM7="",0,IF(AM7&lt;=5,IF(入力データ!$G$26="私立",前提条件!$C$22,前提条件!$C$21),IF(AM7&lt;=11,IF(入力データ!$H$26="私立",前提条件!$C$24,前提条件!$C$23),IF(AM7&lt;=14,IF(入力データ!$I$26="私立",前提条件!$C$26,前提条件!$C$25),IF(AM7&lt;=17,IF(入力データ!$J$26="私立",前提条件!$C$28,前提条件!$C$27),IF(AM7&lt;=21,IF(入力データ!$K$26="国公立",前提条件!$C$29,IF(入力データ!$K$26="私立理系",前提条件!$C$31,前提条件!$C$30))+IF(入力データ!$L$26="下宿",前提条件!$C$32,0)+IF(AM7=18,前提条件!$C$33,0),0))))))+IF(AM8="",0,IF(AM8&lt;=5,IF(入力データ!$G$27="私立",前提条件!$C$22,前提条件!$C$21),IF(AM8&lt;=11,IF(入力データ!$H$27="私立",前提条件!$C$24,前提条件!$C$23),IF(AM8&lt;=14,IF(入力データ!$I$27="私立",前提条件!$C$26,前提条件!$C$25),IF(AM8&lt;=17,IF(入力データ!$J$27="私立",前提条件!$C$28,前提条件!$C$27),IF(AM8&lt;=21,IF(入力データ!$K$27="国公立",前提条件!$C$29,IF(入力データ!$K$27="私立理系",前提条件!$C$31,前提条件!$C$30))+IF(入力データ!$L$27="下宿",前提条件!$C$32,0)+IF(AM8=18,前提条件!$C$33,0),0)))))))*(1+前提条件!$C$13)^(AM$3-$B$3))</f>
        <v/>
      </c>
      <c r="AN24" s="352">
        <f>IF(AN$3="","",((SUM(入力データ!$C$58:$C$61)*12)+IF(AN6="",0,IF(AN6&lt;=5,IF(入力データ!$G$25="私立",前提条件!$C$22,前提条件!$C$21),IF(AN6&lt;=11,IF(入力データ!$H$25="私立",前提条件!$C$24,前提条件!$C$23),IF(AN6&lt;=14,IF(入力データ!$I$25="私立",前提条件!$C$26,前提条件!$C$25),IF(AN6&lt;=17,IF(入力データ!$J$25="私立",前提条件!$C$28,前提条件!$C$27),IF(AN6&lt;=21,IF(入力データ!$K$25="国公立",前提条件!$C$29,IF(入力データ!$K$25="私立理系",前提条件!$C$31,前提条件!$C$30))+IF(入力データ!$L$25="下宿",前提条件!$C$32,0)+IF(AN6=18,前提条件!$C$33,0),0))))))+IF(AN7="",0,IF(AN7&lt;=5,IF(入力データ!$G$26="私立",前提条件!$C$22,前提条件!$C$21),IF(AN7&lt;=11,IF(入力データ!$H$26="私立",前提条件!$C$24,前提条件!$C$23),IF(AN7&lt;=14,IF(入力データ!$I$26="私立",前提条件!$C$26,前提条件!$C$25),IF(AN7&lt;=17,IF(入力データ!$J$26="私立",前提条件!$C$28,前提条件!$C$27),IF(AN7&lt;=21,IF(入力データ!$K$26="国公立",前提条件!$C$29,IF(入力データ!$K$26="私立理系",前提条件!$C$31,前提条件!$C$30))+IF(入力データ!$L$26="下宿",前提条件!$C$32,0)+IF(AN7=18,前提条件!$C$33,0),0))))))+IF(AN8="",0,IF(AN8&lt;=5,IF(入力データ!$G$27="私立",前提条件!$C$22,前提条件!$C$21),IF(AN8&lt;=11,IF(入力データ!$H$27="私立",前提条件!$C$24,前提条件!$C$23),IF(AN8&lt;=14,IF(入力データ!$I$27="私立",前提条件!$C$26,前提条件!$C$25),IF(AN8&lt;=17,IF(入力データ!$J$27="私立",前提条件!$C$28,前提条件!$C$27),IF(AN8&lt;=21,IF(入力データ!$K$27="国公立",前提条件!$C$29,IF(入力データ!$K$27="私立理系",前提条件!$C$31,前提条件!$C$30))+IF(入力データ!$L$27="下宿",前提条件!$C$32,0)+IF(AN8=18,前提条件!$C$33,0),0)))))))*(1+前提条件!$C$13)^(AN$3-$B$3))</f>
        <v/>
      </c>
      <c r="AO24" s="352">
        <f>IF(AO$3="","",((SUM(入力データ!$C$58:$C$61)*12)+IF(AO6="",0,IF(AO6&lt;=5,IF(入力データ!$G$25="私立",前提条件!$C$22,前提条件!$C$21),IF(AO6&lt;=11,IF(入力データ!$H$25="私立",前提条件!$C$24,前提条件!$C$23),IF(AO6&lt;=14,IF(入力データ!$I$25="私立",前提条件!$C$26,前提条件!$C$25),IF(AO6&lt;=17,IF(入力データ!$J$25="私立",前提条件!$C$28,前提条件!$C$27),IF(AO6&lt;=21,IF(入力データ!$K$25="国公立",前提条件!$C$29,IF(入力データ!$K$25="私立理系",前提条件!$C$31,前提条件!$C$30))+IF(入力データ!$L$25="下宿",前提条件!$C$32,0)+IF(AO6=18,前提条件!$C$33,0),0))))))+IF(AO7="",0,IF(AO7&lt;=5,IF(入力データ!$G$26="私立",前提条件!$C$22,前提条件!$C$21),IF(AO7&lt;=11,IF(入力データ!$H$26="私立",前提条件!$C$24,前提条件!$C$23),IF(AO7&lt;=14,IF(入力データ!$I$26="私立",前提条件!$C$26,前提条件!$C$25),IF(AO7&lt;=17,IF(入力データ!$J$26="私立",前提条件!$C$28,前提条件!$C$27),IF(AO7&lt;=21,IF(入力データ!$K$26="国公立",前提条件!$C$29,IF(入力データ!$K$26="私立理系",前提条件!$C$31,前提条件!$C$30))+IF(入力データ!$L$26="下宿",前提条件!$C$32,0)+IF(AO7=18,前提条件!$C$33,0),0))))))+IF(AO8="",0,IF(AO8&lt;=5,IF(入力データ!$G$27="私立",前提条件!$C$22,前提条件!$C$21),IF(AO8&lt;=11,IF(入力データ!$H$27="私立",前提条件!$C$24,前提条件!$C$23),IF(AO8&lt;=14,IF(入力データ!$I$27="私立",前提条件!$C$26,前提条件!$C$25),IF(AO8&lt;=17,IF(入力データ!$J$27="私立",前提条件!$C$28,前提条件!$C$27),IF(AO8&lt;=21,IF(入力データ!$K$27="国公立",前提条件!$C$29,IF(入力データ!$K$27="私立理系",前提条件!$C$31,前提条件!$C$30))+IF(入力データ!$L$27="下宿",前提条件!$C$32,0)+IF(AO8=18,前提条件!$C$33,0),0)))))))*(1+前提条件!$C$13)^(AO$3-$B$3))</f>
        <v/>
      </c>
      <c r="AP24" s="352">
        <f>IF(AP$3="","",((SUM(入力データ!$C$58:$C$61)*12)+IF(AP6="",0,IF(AP6&lt;=5,IF(入力データ!$G$25="私立",前提条件!$C$22,前提条件!$C$21),IF(AP6&lt;=11,IF(入力データ!$H$25="私立",前提条件!$C$24,前提条件!$C$23),IF(AP6&lt;=14,IF(入力データ!$I$25="私立",前提条件!$C$26,前提条件!$C$25),IF(AP6&lt;=17,IF(入力データ!$J$25="私立",前提条件!$C$28,前提条件!$C$27),IF(AP6&lt;=21,IF(入力データ!$K$25="国公立",前提条件!$C$29,IF(入力データ!$K$25="私立理系",前提条件!$C$31,前提条件!$C$30))+IF(入力データ!$L$25="下宿",前提条件!$C$32,0)+IF(AP6=18,前提条件!$C$33,0),0))))))+IF(AP7="",0,IF(AP7&lt;=5,IF(入力データ!$G$26="私立",前提条件!$C$22,前提条件!$C$21),IF(AP7&lt;=11,IF(入力データ!$H$26="私立",前提条件!$C$24,前提条件!$C$23),IF(AP7&lt;=14,IF(入力データ!$I$26="私立",前提条件!$C$26,前提条件!$C$25),IF(AP7&lt;=17,IF(入力データ!$J$26="私立",前提条件!$C$28,前提条件!$C$27),IF(AP7&lt;=21,IF(入力データ!$K$26="国公立",前提条件!$C$29,IF(入力データ!$K$26="私立理系",前提条件!$C$31,前提条件!$C$30))+IF(入力データ!$L$26="下宿",前提条件!$C$32,0)+IF(AP7=18,前提条件!$C$33,0),0))))))+IF(AP8="",0,IF(AP8&lt;=5,IF(入力データ!$G$27="私立",前提条件!$C$22,前提条件!$C$21),IF(AP8&lt;=11,IF(入力データ!$H$27="私立",前提条件!$C$24,前提条件!$C$23),IF(AP8&lt;=14,IF(入力データ!$I$27="私立",前提条件!$C$26,前提条件!$C$25),IF(AP8&lt;=17,IF(入力データ!$J$27="私立",前提条件!$C$28,前提条件!$C$27),IF(AP8&lt;=21,IF(入力データ!$K$27="国公立",前提条件!$C$29,IF(入力データ!$K$27="私立理系",前提条件!$C$31,前提条件!$C$30))+IF(入力データ!$L$27="下宿",前提条件!$C$32,0)+IF(AP8=18,前提条件!$C$33,0),0)))))))*(1+前提条件!$C$13)^(AP$3-$B$3))</f>
        <v/>
      </c>
      <c r="AQ24" s="352">
        <f>IF(AQ$3="","",((SUM(入力データ!$C$58:$C$61)*12)+IF(AQ6="",0,IF(AQ6&lt;=5,IF(入力データ!$G$25="私立",前提条件!$C$22,前提条件!$C$21),IF(AQ6&lt;=11,IF(入力データ!$H$25="私立",前提条件!$C$24,前提条件!$C$23),IF(AQ6&lt;=14,IF(入力データ!$I$25="私立",前提条件!$C$26,前提条件!$C$25),IF(AQ6&lt;=17,IF(入力データ!$J$25="私立",前提条件!$C$28,前提条件!$C$27),IF(AQ6&lt;=21,IF(入力データ!$K$25="国公立",前提条件!$C$29,IF(入力データ!$K$25="私立理系",前提条件!$C$31,前提条件!$C$30))+IF(入力データ!$L$25="下宿",前提条件!$C$32,0)+IF(AQ6=18,前提条件!$C$33,0),0))))))+IF(AQ7="",0,IF(AQ7&lt;=5,IF(入力データ!$G$26="私立",前提条件!$C$22,前提条件!$C$21),IF(AQ7&lt;=11,IF(入力データ!$H$26="私立",前提条件!$C$24,前提条件!$C$23),IF(AQ7&lt;=14,IF(入力データ!$I$26="私立",前提条件!$C$26,前提条件!$C$25),IF(AQ7&lt;=17,IF(入力データ!$J$26="私立",前提条件!$C$28,前提条件!$C$27),IF(AQ7&lt;=21,IF(入力データ!$K$26="国公立",前提条件!$C$29,IF(入力データ!$K$26="私立理系",前提条件!$C$31,前提条件!$C$30))+IF(入力データ!$L$26="下宿",前提条件!$C$32,0)+IF(AQ7=18,前提条件!$C$33,0),0))))))+IF(AQ8="",0,IF(AQ8&lt;=5,IF(入力データ!$G$27="私立",前提条件!$C$22,前提条件!$C$21),IF(AQ8&lt;=11,IF(入力データ!$H$27="私立",前提条件!$C$24,前提条件!$C$23),IF(AQ8&lt;=14,IF(入力データ!$I$27="私立",前提条件!$C$26,前提条件!$C$25),IF(AQ8&lt;=17,IF(入力データ!$J$27="私立",前提条件!$C$28,前提条件!$C$27),IF(AQ8&lt;=21,IF(入力データ!$K$27="国公立",前提条件!$C$29,IF(入力データ!$K$27="私立理系",前提条件!$C$31,前提条件!$C$30))+IF(入力データ!$L$27="下宿",前提条件!$C$32,0)+IF(AQ8=18,前提条件!$C$33,0),0)))))))*(1+前提条件!$C$13)^(AQ$3-$B$3))</f>
        <v/>
      </c>
      <c r="AR24" s="352">
        <f>IF(AR$3="","",((SUM(入力データ!$C$58:$C$61)*12)+IF(AR6="",0,IF(AR6&lt;=5,IF(入力データ!$G$25="私立",前提条件!$C$22,前提条件!$C$21),IF(AR6&lt;=11,IF(入力データ!$H$25="私立",前提条件!$C$24,前提条件!$C$23),IF(AR6&lt;=14,IF(入力データ!$I$25="私立",前提条件!$C$26,前提条件!$C$25),IF(AR6&lt;=17,IF(入力データ!$J$25="私立",前提条件!$C$28,前提条件!$C$27),IF(AR6&lt;=21,IF(入力データ!$K$25="国公立",前提条件!$C$29,IF(入力データ!$K$25="私立理系",前提条件!$C$31,前提条件!$C$30))+IF(入力データ!$L$25="下宿",前提条件!$C$32,0)+IF(AR6=18,前提条件!$C$33,0),0))))))+IF(AR7="",0,IF(AR7&lt;=5,IF(入力データ!$G$26="私立",前提条件!$C$22,前提条件!$C$21),IF(AR7&lt;=11,IF(入力データ!$H$26="私立",前提条件!$C$24,前提条件!$C$23),IF(AR7&lt;=14,IF(入力データ!$I$26="私立",前提条件!$C$26,前提条件!$C$25),IF(AR7&lt;=17,IF(入力データ!$J$26="私立",前提条件!$C$28,前提条件!$C$27),IF(AR7&lt;=21,IF(入力データ!$K$26="国公立",前提条件!$C$29,IF(入力データ!$K$26="私立理系",前提条件!$C$31,前提条件!$C$30))+IF(入力データ!$L$26="下宿",前提条件!$C$32,0)+IF(AR7=18,前提条件!$C$33,0),0))))))+IF(AR8="",0,IF(AR8&lt;=5,IF(入力データ!$G$27="私立",前提条件!$C$22,前提条件!$C$21),IF(AR8&lt;=11,IF(入力データ!$H$27="私立",前提条件!$C$24,前提条件!$C$23),IF(AR8&lt;=14,IF(入力データ!$I$27="私立",前提条件!$C$26,前提条件!$C$25),IF(AR8&lt;=17,IF(入力データ!$J$27="私立",前提条件!$C$28,前提条件!$C$27),IF(AR8&lt;=21,IF(入力データ!$K$27="国公立",前提条件!$C$29,IF(入力データ!$K$27="私立理系",前提条件!$C$31,前提条件!$C$30))+IF(入力データ!$L$27="下宿",前提条件!$C$32,0)+IF(AR8=18,前提条件!$C$33,0),0)))))))*(1+前提条件!$C$13)^(AR$3-$B$3))</f>
        <v/>
      </c>
      <c r="AS24" s="352">
        <f>IF(AS$3="","",((SUM(入力データ!$C$58:$C$61)*12)+IF(AS6="",0,IF(AS6&lt;=5,IF(入力データ!$G$25="私立",前提条件!$C$22,前提条件!$C$21),IF(AS6&lt;=11,IF(入力データ!$H$25="私立",前提条件!$C$24,前提条件!$C$23),IF(AS6&lt;=14,IF(入力データ!$I$25="私立",前提条件!$C$26,前提条件!$C$25),IF(AS6&lt;=17,IF(入力データ!$J$25="私立",前提条件!$C$28,前提条件!$C$27),IF(AS6&lt;=21,IF(入力データ!$K$25="国公立",前提条件!$C$29,IF(入力データ!$K$25="私立理系",前提条件!$C$31,前提条件!$C$30))+IF(入力データ!$L$25="下宿",前提条件!$C$32,0)+IF(AS6=18,前提条件!$C$33,0),0))))))+IF(AS7="",0,IF(AS7&lt;=5,IF(入力データ!$G$26="私立",前提条件!$C$22,前提条件!$C$21),IF(AS7&lt;=11,IF(入力データ!$H$26="私立",前提条件!$C$24,前提条件!$C$23),IF(AS7&lt;=14,IF(入力データ!$I$26="私立",前提条件!$C$26,前提条件!$C$25),IF(AS7&lt;=17,IF(入力データ!$J$26="私立",前提条件!$C$28,前提条件!$C$27),IF(AS7&lt;=21,IF(入力データ!$K$26="国公立",前提条件!$C$29,IF(入力データ!$K$26="私立理系",前提条件!$C$31,前提条件!$C$30))+IF(入力データ!$L$26="下宿",前提条件!$C$32,0)+IF(AS7=18,前提条件!$C$33,0),0))))))+IF(AS8="",0,IF(AS8&lt;=5,IF(入力データ!$G$27="私立",前提条件!$C$22,前提条件!$C$21),IF(AS8&lt;=11,IF(入力データ!$H$27="私立",前提条件!$C$24,前提条件!$C$23),IF(AS8&lt;=14,IF(入力データ!$I$27="私立",前提条件!$C$26,前提条件!$C$25),IF(AS8&lt;=17,IF(入力データ!$J$27="私立",前提条件!$C$28,前提条件!$C$27),IF(AS8&lt;=21,IF(入力データ!$K$27="国公立",前提条件!$C$29,IF(入力データ!$K$27="私立理系",前提条件!$C$31,前提条件!$C$30))+IF(入力データ!$L$27="下宿",前提条件!$C$32,0)+IF(AS8=18,前提条件!$C$33,0),0)))))))*(1+前提条件!$C$13)^(AS$3-$B$3))</f>
        <v/>
      </c>
      <c r="AT24" s="352">
        <f>IF(AT$3="","",((SUM(入力データ!$C$58:$C$61)*12)+IF(AT6="",0,IF(AT6&lt;=5,IF(入力データ!$G$25="私立",前提条件!$C$22,前提条件!$C$21),IF(AT6&lt;=11,IF(入力データ!$H$25="私立",前提条件!$C$24,前提条件!$C$23),IF(AT6&lt;=14,IF(入力データ!$I$25="私立",前提条件!$C$26,前提条件!$C$25),IF(AT6&lt;=17,IF(入力データ!$J$25="私立",前提条件!$C$28,前提条件!$C$27),IF(AT6&lt;=21,IF(入力データ!$K$25="国公立",前提条件!$C$29,IF(入力データ!$K$25="私立理系",前提条件!$C$31,前提条件!$C$30))+IF(入力データ!$L$25="下宿",前提条件!$C$32,0)+IF(AT6=18,前提条件!$C$33,0),0))))))+IF(AT7="",0,IF(AT7&lt;=5,IF(入力データ!$G$26="私立",前提条件!$C$22,前提条件!$C$21),IF(AT7&lt;=11,IF(入力データ!$H$26="私立",前提条件!$C$24,前提条件!$C$23),IF(AT7&lt;=14,IF(入力データ!$I$26="私立",前提条件!$C$26,前提条件!$C$25),IF(AT7&lt;=17,IF(入力データ!$J$26="私立",前提条件!$C$28,前提条件!$C$27),IF(AT7&lt;=21,IF(入力データ!$K$26="国公立",前提条件!$C$29,IF(入力データ!$K$26="私立理系",前提条件!$C$31,前提条件!$C$30))+IF(入力データ!$L$26="下宿",前提条件!$C$32,0)+IF(AT7=18,前提条件!$C$33,0),0))))))+IF(AT8="",0,IF(AT8&lt;=5,IF(入力データ!$G$27="私立",前提条件!$C$22,前提条件!$C$21),IF(AT8&lt;=11,IF(入力データ!$H$27="私立",前提条件!$C$24,前提条件!$C$23),IF(AT8&lt;=14,IF(入力データ!$I$27="私立",前提条件!$C$26,前提条件!$C$25),IF(AT8&lt;=17,IF(入力データ!$J$27="私立",前提条件!$C$28,前提条件!$C$27),IF(AT8&lt;=21,IF(入力データ!$K$27="国公立",前提条件!$C$29,IF(入力データ!$K$27="私立理系",前提条件!$C$31,前提条件!$C$30))+IF(入力データ!$L$27="下宿",前提条件!$C$32,0)+IF(AT8=18,前提条件!$C$33,0),0)))))))*(1+前提条件!$C$13)^(AT$3-$B$3))</f>
        <v/>
      </c>
      <c r="AU24" s="352">
        <f>IF(AU$3="","",((SUM(入力データ!$C$58:$C$61)*12)+IF(AU6="",0,IF(AU6&lt;=5,IF(入力データ!$G$25="私立",前提条件!$C$22,前提条件!$C$21),IF(AU6&lt;=11,IF(入力データ!$H$25="私立",前提条件!$C$24,前提条件!$C$23),IF(AU6&lt;=14,IF(入力データ!$I$25="私立",前提条件!$C$26,前提条件!$C$25),IF(AU6&lt;=17,IF(入力データ!$J$25="私立",前提条件!$C$28,前提条件!$C$27),IF(AU6&lt;=21,IF(入力データ!$K$25="国公立",前提条件!$C$29,IF(入力データ!$K$25="私立理系",前提条件!$C$31,前提条件!$C$30))+IF(入力データ!$L$25="下宿",前提条件!$C$32,0)+IF(AU6=18,前提条件!$C$33,0),0))))))+IF(AU7="",0,IF(AU7&lt;=5,IF(入力データ!$G$26="私立",前提条件!$C$22,前提条件!$C$21),IF(AU7&lt;=11,IF(入力データ!$H$26="私立",前提条件!$C$24,前提条件!$C$23),IF(AU7&lt;=14,IF(入力データ!$I$26="私立",前提条件!$C$26,前提条件!$C$25),IF(AU7&lt;=17,IF(入力データ!$J$26="私立",前提条件!$C$28,前提条件!$C$27),IF(AU7&lt;=21,IF(入力データ!$K$26="国公立",前提条件!$C$29,IF(入力データ!$K$26="私立理系",前提条件!$C$31,前提条件!$C$30))+IF(入力データ!$L$26="下宿",前提条件!$C$32,0)+IF(AU7=18,前提条件!$C$33,0),0))))))+IF(AU8="",0,IF(AU8&lt;=5,IF(入力データ!$G$27="私立",前提条件!$C$22,前提条件!$C$21),IF(AU8&lt;=11,IF(入力データ!$H$27="私立",前提条件!$C$24,前提条件!$C$23),IF(AU8&lt;=14,IF(入力データ!$I$27="私立",前提条件!$C$26,前提条件!$C$25),IF(AU8&lt;=17,IF(入力データ!$J$27="私立",前提条件!$C$28,前提条件!$C$27),IF(AU8&lt;=21,IF(入力データ!$K$27="国公立",前提条件!$C$29,IF(入力データ!$K$27="私立理系",前提条件!$C$31,前提条件!$C$30))+IF(入力データ!$L$27="下宿",前提条件!$C$32,0)+IF(AU8=18,前提条件!$C$33,0),0)))))))*(1+前提条件!$C$13)^(AU$3-$B$3))</f>
        <v/>
      </c>
      <c r="AV24" s="352">
        <f>IF(AV$3="","",((SUM(入力データ!$C$58:$C$61)*12)+IF(AV6="",0,IF(AV6&lt;=5,IF(入力データ!$G$25="私立",前提条件!$C$22,前提条件!$C$21),IF(AV6&lt;=11,IF(入力データ!$H$25="私立",前提条件!$C$24,前提条件!$C$23),IF(AV6&lt;=14,IF(入力データ!$I$25="私立",前提条件!$C$26,前提条件!$C$25),IF(AV6&lt;=17,IF(入力データ!$J$25="私立",前提条件!$C$28,前提条件!$C$27),IF(AV6&lt;=21,IF(入力データ!$K$25="国公立",前提条件!$C$29,IF(入力データ!$K$25="私立理系",前提条件!$C$31,前提条件!$C$30))+IF(入力データ!$L$25="下宿",前提条件!$C$32,0)+IF(AV6=18,前提条件!$C$33,0),0))))))+IF(AV7="",0,IF(AV7&lt;=5,IF(入力データ!$G$26="私立",前提条件!$C$22,前提条件!$C$21),IF(AV7&lt;=11,IF(入力データ!$H$26="私立",前提条件!$C$24,前提条件!$C$23),IF(AV7&lt;=14,IF(入力データ!$I$26="私立",前提条件!$C$26,前提条件!$C$25),IF(AV7&lt;=17,IF(入力データ!$J$26="私立",前提条件!$C$28,前提条件!$C$27),IF(AV7&lt;=21,IF(入力データ!$K$26="国公立",前提条件!$C$29,IF(入力データ!$K$26="私立理系",前提条件!$C$31,前提条件!$C$30))+IF(入力データ!$L$26="下宿",前提条件!$C$32,0)+IF(AV7=18,前提条件!$C$33,0),0))))))+IF(AV8="",0,IF(AV8&lt;=5,IF(入力データ!$G$27="私立",前提条件!$C$22,前提条件!$C$21),IF(AV8&lt;=11,IF(入力データ!$H$27="私立",前提条件!$C$24,前提条件!$C$23),IF(AV8&lt;=14,IF(入力データ!$I$27="私立",前提条件!$C$26,前提条件!$C$25),IF(AV8&lt;=17,IF(入力データ!$J$27="私立",前提条件!$C$28,前提条件!$C$27),IF(AV8&lt;=21,IF(入力データ!$K$27="国公立",前提条件!$C$29,IF(入力データ!$K$27="私立理系",前提条件!$C$31,前提条件!$C$30))+IF(入力データ!$L$27="下宿",前提条件!$C$32,0)+IF(AV8=18,前提条件!$C$33,0),0)))))))*(1+前提条件!$C$13)^(AV$3-$B$3))</f>
        <v/>
      </c>
      <c r="AW24" s="352">
        <f>IF(AW$3="","",((SUM(入力データ!$C$58:$C$61)*12)+IF(AW6="",0,IF(AW6&lt;=5,IF(入力データ!$G$25="私立",前提条件!$C$22,前提条件!$C$21),IF(AW6&lt;=11,IF(入力データ!$H$25="私立",前提条件!$C$24,前提条件!$C$23),IF(AW6&lt;=14,IF(入力データ!$I$25="私立",前提条件!$C$26,前提条件!$C$25),IF(AW6&lt;=17,IF(入力データ!$J$25="私立",前提条件!$C$28,前提条件!$C$27),IF(AW6&lt;=21,IF(入力データ!$K$25="国公立",前提条件!$C$29,IF(入力データ!$K$25="私立理系",前提条件!$C$31,前提条件!$C$30))+IF(入力データ!$L$25="下宿",前提条件!$C$32,0)+IF(AW6=18,前提条件!$C$33,0),0))))))+IF(AW7="",0,IF(AW7&lt;=5,IF(入力データ!$G$26="私立",前提条件!$C$22,前提条件!$C$21),IF(AW7&lt;=11,IF(入力データ!$H$26="私立",前提条件!$C$24,前提条件!$C$23),IF(AW7&lt;=14,IF(入力データ!$I$26="私立",前提条件!$C$26,前提条件!$C$25),IF(AW7&lt;=17,IF(入力データ!$J$26="私立",前提条件!$C$28,前提条件!$C$27),IF(AW7&lt;=21,IF(入力データ!$K$26="国公立",前提条件!$C$29,IF(入力データ!$K$26="私立理系",前提条件!$C$31,前提条件!$C$30))+IF(入力データ!$L$26="下宿",前提条件!$C$32,0)+IF(AW7=18,前提条件!$C$33,0),0))))))+IF(AW8="",0,IF(AW8&lt;=5,IF(入力データ!$G$27="私立",前提条件!$C$22,前提条件!$C$21),IF(AW8&lt;=11,IF(入力データ!$H$27="私立",前提条件!$C$24,前提条件!$C$23),IF(AW8&lt;=14,IF(入力データ!$I$27="私立",前提条件!$C$26,前提条件!$C$25),IF(AW8&lt;=17,IF(入力データ!$J$27="私立",前提条件!$C$28,前提条件!$C$27),IF(AW8&lt;=21,IF(入力データ!$K$27="国公立",前提条件!$C$29,IF(入力データ!$K$27="私立理系",前提条件!$C$31,前提条件!$C$30))+IF(入力データ!$L$27="下宿",前提条件!$C$32,0)+IF(AW8=18,前提条件!$C$33,0),0)))))))*(1+前提条件!$C$13)^(AW$3-$B$3))</f>
        <v/>
      </c>
      <c r="AX24" s="352">
        <f>IF(AX$3="","",((SUM(入力データ!$C$58:$C$61)*12)+IF(AX6="",0,IF(AX6&lt;=5,IF(入力データ!$G$25="私立",前提条件!$C$22,前提条件!$C$21),IF(AX6&lt;=11,IF(入力データ!$H$25="私立",前提条件!$C$24,前提条件!$C$23),IF(AX6&lt;=14,IF(入力データ!$I$25="私立",前提条件!$C$26,前提条件!$C$25),IF(AX6&lt;=17,IF(入力データ!$J$25="私立",前提条件!$C$28,前提条件!$C$27),IF(AX6&lt;=21,IF(入力データ!$K$25="国公立",前提条件!$C$29,IF(入力データ!$K$25="私立理系",前提条件!$C$31,前提条件!$C$30))+IF(入力データ!$L$25="下宿",前提条件!$C$32,0)+IF(AX6=18,前提条件!$C$33,0),0))))))+IF(AX7="",0,IF(AX7&lt;=5,IF(入力データ!$G$26="私立",前提条件!$C$22,前提条件!$C$21),IF(AX7&lt;=11,IF(入力データ!$H$26="私立",前提条件!$C$24,前提条件!$C$23),IF(AX7&lt;=14,IF(入力データ!$I$26="私立",前提条件!$C$26,前提条件!$C$25),IF(AX7&lt;=17,IF(入力データ!$J$26="私立",前提条件!$C$28,前提条件!$C$27),IF(AX7&lt;=21,IF(入力データ!$K$26="国公立",前提条件!$C$29,IF(入力データ!$K$26="私立理系",前提条件!$C$31,前提条件!$C$30))+IF(入力データ!$L$26="下宿",前提条件!$C$32,0)+IF(AX7=18,前提条件!$C$33,0),0))))))+IF(AX8="",0,IF(AX8&lt;=5,IF(入力データ!$G$27="私立",前提条件!$C$22,前提条件!$C$21),IF(AX8&lt;=11,IF(入力データ!$H$27="私立",前提条件!$C$24,前提条件!$C$23),IF(AX8&lt;=14,IF(入力データ!$I$27="私立",前提条件!$C$26,前提条件!$C$25),IF(AX8&lt;=17,IF(入力データ!$J$27="私立",前提条件!$C$28,前提条件!$C$27),IF(AX8&lt;=21,IF(入力データ!$K$27="国公立",前提条件!$C$29,IF(入力データ!$K$27="私立理系",前提条件!$C$31,前提条件!$C$30))+IF(入力データ!$L$27="下宿",前提条件!$C$32,0)+IF(AX8=18,前提条件!$C$33,0),0)))))))*(1+前提条件!$C$13)^(AX$3-$B$3))</f>
        <v/>
      </c>
      <c r="AY24" s="352">
        <f>IF(AY$3="","",((SUM(入力データ!$C$58:$C$61)*12)+IF(AY6="",0,IF(AY6&lt;=5,IF(入力データ!$G$25="私立",前提条件!$C$22,前提条件!$C$21),IF(AY6&lt;=11,IF(入力データ!$H$25="私立",前提条件!$C$24,前提条件!$C$23),IF(AY6&lt;=14,IF(入力データ!$I$25="私立",前提条件!$C$26,前提条件!$C$25),IF(AY6&lt;=17,IF(入力データ!$J$25="私立",前提条件!$C$28,前提条件!$C$27),IF(AY6&lt;=21,IF(入力データ!$K$25="国公立",前提条件!$C$29,IF(入力データ!$K$25="私立理系",前提条件!$C$31,前提条件!$C$30))+IF(入力データ!$L$25="下宿",前提条件!$C$32,0)+IF(AY6=18,前提条件!$C$33,0),0))))))+IF(AY7="",0,IF(AY7&lt;=5,IF(入力データ!$G$26="私立",前提条件!$C$22,前提条件!$C$21),IF(AY7&lt;=11,IF(入力データ!$H$26="私立",前提条件!$C$24,前提条件!$C$23),IF(AY7&lt;=14,IF(入力データ!$I$26="私立",前提条件!$C$26,前提条件!$C$25),IF(AY7&lt;=17,IF(入力データ!$J$26="私立",前提条件!$C$28,前提条件!$C$27),IF(AY7&lt;=21,IF(入力データ!$K$26="国公立",前提条件!$C$29,IF(入力データ!$K$26="私立理系",前提条件!$C$31,前提条件!$C$30))+IF(入力データ!$L$26="下宿",前提条件!$C$32,0)+IF(AY7=18,前提条件!$C$33,0),0))))))+IF(AY8="",0,IF(AY8&lt;=5,IF(入力データ!$G$27="私立",前提条件!$C$22,前提条件!$C$21),IF(AY8&lt;=11,IF(入力データ!$H$27="私立",前提条件!$C$24,前提条件!$C$23),IF(AY8&lt;=14,IF(入力データ!$I$27="私立",前提条件!$C$26,前提条件!$C$25),IF(AY8&lt;=17,IF(入力データ!$J$27="私立",前提条件!$C$28,前提条件!$C$27),IF(AY8&lt;=21,IF(入力データ!$K$27="国公立",前提条件!$C$29,IF(入力データ!$K$27="私立理系",前提条件!$C$31,前提条件!$C$30))+IF(入力データ!$L$27="下宿",前提条件!$C$32,0)+IF(AY8=18,前提条件!$C$33,0),0)))))))*(1+前提条件!$C$13)^(AY$3-$B$3))</f>
        <v/>
      </c>
      <c r="AZ24" s="352">
        <f>IF(AZ$3="","",((SUM(入力データ!$C$58:$C$61)*12)+IF(AZ6="",0,IF(AZ6&lt;=5,IF(入力データ!$G$25="私立",前提条件!$C$22,前提条件!$C$21),IF(AZ6&lt;=11,IF(入力データ!$H$25="私立",前提条件!$C$24,前提条件!$C$23),IF(AZ6&lt;=14,IF(入力データ!$I$25="私立",前提条件!$C$26,前提条件!$C$25),IF(AZ6&lt;=17,IF(入力データ!$J$25="私立",前提条件!$C$28,前提条件!$C$27),IF(AZ6&lt;=21,IF(入力データ!$K$25="国公立",前提条件!$C$29,IF(入力データ!$K$25="私立理系",前提条件!$C$31,前提条件!$C$30))+IF(入力データ!$L$25="下宿",前提条件!$C$32,0)+IF(AZ6=18,前提条件!$C$33,0),0))))))+IF(AZ7="",0,IF(AZ7&lt;=5,IF(入力データ!$G$26="私立",前提条件!$C$22,前提条件!$C$21),IF(AZ7&lt;=11,IF(入力データ!$H$26="私立",前提条件!$C$24,前提条件!$C$23),IF(AZ7&lt;=14,IF(入力データ!$I$26="私立",前提条件!$C$26,前提条件!$C$25),IF(AZ7&lt;=17,IF(入力データ!$J$26="私立",前提条件!$C$28,前提条件!$C$27),IF(AZ7&lt;=21,IF(入力データ!$K$26="国公立",前提条件!$C$29,IF(入力データ!$K$26="私立理系",前提条件!$C$31,前提条件!$C$30))+IF(入力データ!$L$26="下宿",前提条件!$C$32,0)+IF(AZ7=18,前提条件!$C$33,0),0))))))+IF(AZ8="",0,IF(AZ8&lt;=5,IF(入力データ!$G$27="私立",前提条件!$C$22,前提条件!$C$21),IF(AZ8&lt;=11,IF(入力データ!$H$27="私立",前提条件!$C$24,前提条件!$C$23),IF(AZ8&lt;=14,IF(入力データ!$I$27="私立",前提条件!$C$26,前提条件!$C$25),IF(AZ8&lt;=17,IF(入力データ!$J$27="私立",前提条件!$C$28,前提条件!$C$27),IF(AZ8&lt;=21,IF(入力データ!$K$27="国公立",前提条件!$C$29,IF(入力データ!$K$27="私立理系",前提条件!$C$31,前提条件!$C$30))+IF(入力データ!$L$27="下宿",前提条件!$C$32,0)+IF(AZ8=18,前提条件!$C$33,0),0)))))))*(1+前提条件!$C$13)^(AZ$3-$B$3))</f>
        <v/>
      </c>
      <c r="BA24" s="352">
        <f>IF(BA$3="","",((SUM(入力データ!$C$58:$C$61)*12)+IF(BA6="",0,IF(BA6&lt;=5,IF(入力データ!$G$25="私立",前提条件!$C$22,前提条件!$C$21),IF(BA6&lt;=11,IF(入力データ!$H$25="私立",前提条件!$C$24,前提条件!$C$23),IF(BA6&lt;=14,IF(入力データ!$I$25="私立",前提条件!$C$26,前提条件!$C$25),IF(BA6&lt;=17,IF(入力データ!$J$25="私立",前提条件!$C$28,前提条件!$C$27),IF(BA6&lt;=21,IF(入力データ!$K$25="国公立",前提条件!$C$29,IF(入力データ!$K$25="私立理系",前提条件!$C$31,前提条件!$C$30))+IF(入力データ!$L$25="下宿",前提条件!$C$32,0)+IF(BA6=18,前提条件!$C$33,0),0))))))+IF(BA7="",0,IF(BA7&lt;=5,IF(入力データ!$G$26="私立",前提条件!$C$22,前提条件!$C$21),IF(BA7&lt;=11,IF(入力データ!$H$26="私立",前提条件!$C$24,前提条件!$C$23),IF(BA7&lt;=14,IF(入力データ!$I$26="私立",前提条件!$C$26,前提条件!$C$25),IF(BA7&lt;=17,IF(入力データ!$J$26="私立",前提条件!$C$28,前提条件!$C$27),IF(BA7&lt;=21,IF(入力データ!$K$26="国公立",前提条件!$C$29,IF(入力データ!$K$26="私立理系",前提条件!$C$31,前提条件!$C$30))+IF(入力データ!$L$26="下宿",前提条件!$C$32,0)+IF(BA7=18,前提条件!$C$33,0),0))))))+IF(BA8="",0,IF(BA8&lt;=5,IF(入力データ!$G$27="私立",前提条件!$C$22,前提条件!$C$21),IF(BA8&lt;=11,IF(入力データ!$H$27="私立",前提条件!$C$24,前提条件!$C$23),IF(BA8&lt;=14,IF(入力データ!$I$27="私立",前提条件!$C$26,前提条件!$C$25),IF(BA8&lt;=17,IF(入力データ!$J$27="私立",前提条件!$C$28,前提条件!$C$27),IF(BA8&lt;=21,IF(入力データ!$K$27="国公立",前提条件!$C$29,IF(入力データ!$K$27="私立理系",前提条件!$C$31,前提条件!$C$30))+IF(入力データ!$L$27="下宿",前提条件!$C$32,0)+IF(BA8=18,前提条件!$C$33,0),0)))))))*(1+前提条件!$C$13)^(BA$3-$B$3))</f>
        <v/>
      </c>
      <c r="BB24" s="352">
        <f>IF(BB$3="","",((SUM(入力データ!$C$58:$C$61)*12)+IF(BB6="",0,IF(BB6&lt;=5,IF(入力データ!$G$25="私立",前提条件!$C$22,前提条件!$C$21),IF(BB6&lt;=11,IF(入力データ!$H$25="私立",前提条件!$C$24,前提条件!$C$23),IF(BB6&lt;=14,IF(入力データ!$I$25="私立",前提条件!$C$26,前提条件!$C$25),IF(BB6&lt;=17,IF(入力データ!$J$25="私立",前提条件!$C$28,前提条件!$C$27),IF(BB6&lt;=21,IF(入力データ!$K$25="国公立",前提条件!$C$29,IF(入力データ!$K$25="私立理系",前提条件!$C$31,前提条件!$C$30))+IF(入力データ!$L$25="下宿",前提条件!$C$32,0)+IF(BB6=18,前提条件!$C$33,0),0))))))+IF(BB7="",0,IF(BB7&lt;=5,IF(入力データ!$G$26="私立",前提条件!$C$22,前提条件!$C$21),IF(BB7&lt;=11,IF(入力データ!$H$26="私立",前提条件!$C$24,前提条件!$C$23),IF(BB7&lt;=14,IF(入力データ!$I$26="私立",前提条件!$C$26,前提条件!$C$25),IF(BB7&lt;=17,IF(入力データ!$J$26="私立",前提条件!$C$28,前提条件!$C$27),IF(BB7&lt;=21,IF(入力データ!$K$26="国公立",前提条件!$C$29,IF(入力データ!$K$26="私立理系",前提条件!$C$31,前提条件!$C$30))+IF(入力データ!$L$26="下宿",前提条件!$C$32,0)+IF(BB7=18,前提条件!$C$33,0),0))))))+IF(BB8="",0,IF(BB8&lt;=5,IF(入力データ!$G$27="私立",前提条件!$C$22,前提条件!$C$21),IF(BB8&lt;=11,IF(入力データ!$H$27="私立",前提条件!$C$24,前提条件!$C$23),IF(BB8&lt;=14,IF(入力データ!$I$27="私立",前提条件!$C$26,前提条件!$C$25),IF(BB8&lt;=17,IF(入力データ!$J$27="私立",前提条件!$C$28,前提条件!$C$27),IF(BB8&lt;=21,IF(入力データ!$K$27="国公立",前提条件!$C$29,IF(入力データ!$K$27="私立理系",前提条件!$C$31,前提条件!$C$30))+IF(入力データ!$L$27="下宿",前提条件!$C$32,0)+IF(BB8=18,前提条件!$C$33,0),0)))))))*(1+前提条件!$C$13)^(BB$3-$B$3))</f>
        <v/>
      </c>
      <c r="BC24" s="352">
        <f>IF(BC$3="","",((SUM(入力データ!$C$58:$C$61)*12)+IF(BC6="",0,IF(BC6&lt;=5,IF(入力データ!$G$25="私立",前提条件!$C$22,前提条件!$C$21),IF(BC6&lt;=11,IF(入力データ!$H$25="私立",前提条件!$C$24,前提条件!$C$23),IF(BC6&lt;=14,IF(入力データ!$I$25="私立",前提条件!$C$26,前提条件!$C$25),IF(BC6&lt;=17,IF(入力データ!$J$25="私立",前提条件!$C$28,前提条件!$C$27),IF(BC6&lt;=21,IF(入力データ!$K$25="国公立",前提条件!$C$29,IF(入力データ!$K$25="私立理系",前提条件!$C$31,前提条件!$C$30))+IF(入力データ!$L$25="下宿",前提条件!$C$32,0)+IF(BC6=18,前提条件!$C$33,0),0))))))+IF(BC7="",0,IF(BC7&lt;=5,IF(入力データ!$G$26="私立",前提条件!$C$22,前提条件!$C$21),IF(BC7&lt;=11,IF(入力データ!$H$26="私立",前提条件!$C$24,前提条件!$C$23),IF(BC7&lt;=14,IF(入力データ!$I$26="私立",前提条件!$C$26,前提条件!$C$25),IF(BC7&lt;=17,IF(入力データ!$J$26="私立",前提条件!$C$28,前提条件!$C$27),IF(BC7&lt;=21,IF(入力データ!$K$26="国公立",前提条件!$C$29,IF(入力データ!$K$26="私立理系",前提条件!$C$31,前提条件!$C$30))+IF(入力データ!$L$26="下宿",前提条件!$C$32,0)+IF(BC7=18,前提条件!$C$33,0),0))))))+IF(BC8="",0,IF(BC8&lt;=5,IF(入力データ!$G$27="私立",前提条件!$C$22,前提条件!$C$21),IF(BC8&lt;=11,IF(入力データ!$H$27="私立",前提条件!$C$24,前提条件!$C$23),IF(BC8&lt;=14,IF(入力データ!$I$27="私立",前提条件!$C$26,前提条件!$C$25),IF(BC8&lt;=17,IF(入力データ!$J$27="私立",前提条件!$C$28,前提条件!$C$27),IF(BC8&lt;=21,IF(入力データ!$K$27="国公立",前提条件!$C$29,IF(入力データ!$K$27="私立理系",前提条件!$C$31,前提条件!$C$30))+IF(入力データ!$L$27="下宿",前提条件!$C$32,0)+IF(BC8=18,前提条件!$C$33,0),0)))))))*(1+前提条件!$C$13)^(BC$3-$B$3))</f>
        <v/>
      </c>
      <c r="BD24" s="352">
        <f>IF(BD$3="","",((SUM(入力データ!$C$58:$C$61)*12)+IF(BD6="",0,IF(BD6&lt;=5,IF(入力データ!$G$25="私立",前提条件!$C$22,前提条件!$C$21),IF(BD6&lt;=11,IF(入力データ!$H$25="私立",前提条件!$C$24,前提条件!$C$23),IF(BD6&lt;=14,IF(入力データ!$I$25="私立",前提条件!$C$26,前提条件!$C$25),IF(BD6&lt;=17,IF(入力データ!$J$25="私立",前提条件!$C$28,前提条件!$C$27),IF(BD6&lt;=21,IF(入力データ!$K$25="国公立",前提条件!$C$29,IF(入力データ!$K$25="私立理系",前提条件!$C$31,前提条件!$C$30))+IF(入力データ!$L$25="下宿",前提条件!$C$32,0)+IF(BD6=18,前提条件!$C$33,0),0))))))+IF(BD7="",0,IF(BD7&lt;=5,IF(入力データ!$G$26="私立",前提条件!$C$22,前提条件!$C$21),IF(BD7&lt;=11,IF(入力データ!$H$26="私立",前提条件!$C$24,前提条件!$C$23),IF(BD7&lt;=14,IF(入力データ!$I$26="私立",前提条件!$C$26,前提条件!$C$25),IF(BD7&lt;=17,IF(入力データ!$J$26="私立",前提条件!$C$28,前提条件!$C$27),IF(BD7&lt;=21,IF(入力データ!$K$26="国公立",前提条件!$C$29,IF(入力データ!$K$26="私立理系",前提条件!$C$31,前提条件!$C$30))+IF(入力データ!$L$26="下宿",前提条件!$C$32,0)+IF(BD7=18,前提条件!$C$33,0),0))))))+IF(BD8="",0,IF(BD8&lt;=5,IF(入力データ!$G$27="私立",前提条件!$C$22,前提条件!$C$21),IF(BD8&lt;=11,IF(入力データ!$H$27="私立",前提条件!$C$24,前提条件!$C$23),IF(BD8&lt;=14,IF(入力データ!$I$27="私立",前提条件!$C$26,前提条件!$C$25),IF(BD8&lt;=17,IF(入力データ!$J$27="私立",前提条件!$C$28,前提条件!$C$27),IF(BD8&lt;=21,IF(入力データ!$K$27="国公立",前提条件!$C$29,IF(入力データ!$K$27="私立理系",前提条件!$C$31,前提条件!$C$30))+IF(入力データ!$L$27="下宿",前提条件!$C$32,0)+IF(BD8=18,前提条件!$C$33,0),0)))))))*(1+前提条件!$C$13)^(BD$3-$B$3))</f>
        <v/>
      </c>
      <c r="BE24" s="352">
        <f>IF(BE$3="","",((SUM(入力データ!$C$58:$C$61)*12)+IF(BE6="",0,IF(BE6&lt;=5,IF(入力データ!$G$25="私立",前提条件!$C$22,前提条件!$C$21),IF(BE6&lt;=11,IF(入力データ!$H$25="私立",前提条件!$C$24,前提条件!$C$23),IF(BE6&lt;=14,IF(入力データ!$I$25="私立",前提条件!$C$26,前提条件!$C$25),IF(BE6&lt;=17,IF(入力データ!$J$25="私立",前提条件!$C$28,前提条件!$C$27),IF(BE6&lt;=21,IF(入力データ!$K$25="国公立",前提条件!$C$29,IF(入力データ!$K$25="私立理系",前提条件!$C$31,前提条件!$C$30))+IF(入力データ!$L$25="下宿",前提条件!$C$32,0)+IF(BE6=18,前提条件!$C$33,0),0))))))+IF(BE7="",0,IF(BE7&lt;=5,IF(入力データ!$G$26="私立",前提条件!$C$22,前提条件!$C$21),IF(BE7&lt;=11,IF(入力データ!$H$26="私立",前提条件!$C$24,前提条件!$C$23),IF(BE7&lt;=14,IF(入力データ!$I$26="私立",前提条件!$C$26,前提条件!$C$25),IF(BE7&lt;=17,IF(入力データ!$J$26="私立",前提条件!$C$28,前提条件!$C$27),IF(BE7&lt;=21,IF(入力データ!$K$26="国公立",前提条件!$C$29,IF(入力データ!$K$26="私立理系",前提条件!$C$31,前提条件!$C$30))+IF(入力データ!$L$26="下宿",前提条件!$C$32,0)+IF(BE7=18,前提条件!$C$33,0),0))))))+IF(BE8="",0,IF(BE8&lt;=5,IF(入力データ!$G$27="私立",前提条件!$C$22,前提条件!$C$21),IF(BE8&lt;=11,IF(入力データ!$H$27="私立",前提条件!$C$24,前提条件!$C$23),IF(BE8&lt;=14,IF(入力データ!$I$27="私立",前提条件!$C$26,前提条件!$C$25),IF(BE8&lt;=17,IF(入力データ!$J$27="私立",前提条件!$C$28,前提条件!$C$27),IF(BE8&lt;=21,IF(入力データ!$K$27="国公立",前提条件!$C$29,IF(入力データ!$K$27="私立理系",前提条件!$C$31,前提条件!$C$30))+IF(入力データ!$L$27="下宿",前提条件!$C$32,0)+IF(BE8=18,前提条件!$C$33,0),0)))))))*(1+前提条件!$C$13)^(BE$3-$B$3))</f>
        <v/>
      </c>
      <c r="BF24" s="352">
        <f>IF(BF$3="","",((SUM(入力データ!$C$58:$C$61)*12)+IF(BF6="",0,IF(BF6&lt;=5,IF(入力データ!$G$25="私立",前提条件!$C$22,前提条件!$C$21),IF(BF6&lt;=11,IF(入力データ!$H$25="私立",前提条件!$C$24,前提条件!$C$23),IF(BF6&lt;=14,IF(入力データ!$I$25="私立",前提条件!$C$26,前提条件!$C$25),IF(BF6&lt;=17,IF(入力データ!$J$25="私立",前提条件!$C$28,前提条件!$C$27),IF(BF6&lt;=21,IF(入力データ!$K$25="国公立",前提条件!$C$29,IF(入力データ!$K$25="私立理系",前提条件!$C$31,前提条件!$C$30))+IF(入力データ!$L$25="下宿",前提条件!$C$32,0)+IF(BF6=18,前提条件!$C$33,0),0))))))+IF(BF7="",0,IF(BF7&lt;=5,IF(入力データ!$G$26="私立",前提条件!$C$22,前提条件!$C$21),IF(BF7&lt;=11,IF(入力データ!$H$26="私立",前提条件!$C$24,前提条件!$C$23),IF(BF7&lt;=14,IF(入力データ!$I$26="私立",前提条件!$C$26,前提条件!$C$25),IF(BF7&lt;=17,IF(入力データ!$J$26="私立",前提条件!$C$28,前提条件!$C$27),IF(BF7&lt;=21,IF(入力データ!$K$26="国公立",前提条件!$C$29,IF(入力データ!$K$26="私立理系",前提条件!$C$31,前提条件!$C$30))+IF(入力データ!$L$26="下宿",前提条件!$C$32,0)+IF(BF7=18,前提条件!$C$33,0),0))))))+IF(BF8="",0,IF(BF8&lt;=5,IF(入力データ!$G$27="私立",前提条件!$C$22,前提条件!$C$21),IF(BF8&lt;=11,IF(入力データ!$H$27="私立",前提条件!$C$24,前提条件!$C$23),IF(BF8&lt;=14,IF(入力データ!$I$27="私立",前提条件!$C$26,前提条件!$C$25),IF(BF8&lt;=17,IF(入力データ!$J$27="私立",前提条件!$C$28,前提条件!$C$27),IF(BF8&lt;=21,IF(入力データ!$K$27="国公立",前提条件!$C$29,IF(入力データ!$K$27="私立理系",前提条件!$C$31,前提条件!$C$30))+IF(入力データ!$L$27="下宿",前提条件!$C$32,0)+IF(BF8=18,前提条件!$C$33,0),0)))))))*(1+前提条件!$C$13)^(BF$3-$B$3))</f>
        <v/>
      </c>
      <c r="BG24" s="352">
        <f>IF(BG$3="","",((SUM(入力データ!$C$58:$C$61)*12)+IF(BG6="",0,IF(BG6&lt;=5,IF(入力データ!$G$25="私立",前提条件!$C$22,前提条件!$C$21),IF(BG6&lt;=11,IF(入力データ!$H$25="私立",前提条件!$C$24,前提条件!$C$23),IF(BG6&lt;=14,IF(入力データ!$I$25="私立",前提条件!$C$26,前提条件!$C$25),IF(BG6&lt;=17,IF(入力データ!$J$25="私立",前提条件!$C$28,前提条件!$C$27),IF(BG6&lt;=21,IF(入力データ!$K$25="国公立",前提条件!$C$29,IF(入力データ!$K$25="私立理系",前提条件!$C$31,前提条件!$C$30))+IF(入力データ!$L$25="下宿",前提条件!$C$32,0)+IF(BG6=18,前提条件!$C$33,0),0))))))+IF(BG7="",0,IF(BG7&lt;=5,IF(入力データ!$G$26="私立",前提条件!$C$22,前提条件!$C$21),IF(BG7&lt;=11,IF(入力データ!$H$26="私立",前提条件!$C$24,前提条件!$C$23),IF(BG7&lt;=14,IF(入力データ!$I$26="私立",前提条件!$C$26,前提条件!$C$25),IF(BG7&lt;=17,IF(入力データ!$J$26="私立",前提条件!$C$28,前提条件!$C$27),IF(BG7&lt;=21,IF(入力データ!$K$26="国公立",前提条件!$C$29,IF(入力データ!$K$26="私立理系",前提条件!$C$31,前提条件!$C$30))+IF(入力データ!$L$26="下宿",前提条件!$C$32,0)+IF(BG7=18,前提条件!$C$33,0),0))))))+IF(BG8="",0,IF(BG8&lt;=5,IF(入力データ!$G$27="私立",前提条件!$C$22,前提条件!$C$21),IF(BG8&lt;=11,IF(入力データ!$H$27="私立",前提条件!$C$24,前提条件!$C$23),IF(BG8&lt;=14,IF(入力データ!$I$27="私立",前提条件!$C$26,前提条件!$C$25),IF(BG8&lt;=17,IF(入力データ!$J$27="私立",前提条件!$C$28,前提条件!$C$27),IF(BG8&lt;=21,IF(入力データ!$K$27="国公立",前提条件!$C$29,IF(入力データ!$K$27="私立理系",前提条件!$C$31,前提条件!$C$30))+IF(入力データ!$L$27="下宿",前提条件!$C$32,0)+IF(BG8=18,前提条件!$C$33,0),0)))))))*(1+前提条件!$C$13)^(BG$3-$B$3))</f>
        <v/>
      </c>
      <c r="BH24" s="352">
        <f>IF(BH$3="","",((SUM(入力データ!$C$58:$C$61)*12)+IF(BH6="",0,IF(BH6&lt;=5,IF(入力データ!$G$25="私立",前提条件!$C$22,前提条件!$C$21),IF(BH6&lt;=11,IF(入力データ!$H$25="私立",前提条件!$C$24,前提条件!$C$23),IF(BH6&lt;=14,IF(入力データ!$I$25="私立",前提条件!$C$26,前提条件!$C$25),IF(BH6&lt;=17,IF(入力データ!$J$25="私立",前提条件!$C$28,前提条件!$C$27),IF(BH6&lt;=21,IF(入力データ!$K$25="国公立",前提条件!$C$29,IF(入力データ!$K$25="私立理系",前提条件!$C$31,前提条件!$C$30))+IF(入力データ!$L$25="下宿",前提条件!$C$32,0)+IF(BH6=18,前提条件!$C$33,0),0))))))+IF(BH7="",0,IF(BH7&lt;=5,IF(入力データ!$G$26="私立",前提条件!$C$22,前提条件!$C$21),IF(BH7&lt;=11,IF(入力データ!$H$26="私立",前提条件!$C$24,前提条件!$C$23),IF(BH7&lt;=14,IF(入力データ!$I$26="私立",前提条件!$C$26,前提条件!$C$25),IF(BH7&lt;=17,IF(入力データ!$J$26="私立",前提条件!$C$28,前提条件!$C$27),IF(BH7&lt;=21,IF(入力データ!$K$26="国公立",前提条件!$C$29,IF(入力データ!$K$26="私立理系",前提条件!$C$31,前提条件!$C$30))+IF(入力データ!$L$26="下宿",前提条件!$C$32,0)+IF(BH7=18,前提条件!$C$33,0),0))))))+IF(BH8="",0,IF(BH8&lt;=5,IF(入力データ!$G$27="私立",前提条件!$C$22,前提条件!$C$21),IF(BH8&lt;=11,IF(入力データ!$H$27="私立",前提条件!$C$24,前提条件!$C$23),IF(BH8&lt;=14,IF(入力データ!$I$27="私立",前提条件!$C$26,前提条件!$C$25),IF(BH8&lt;=17,IF(入力データ!$J$27="私立",前提条件!$C$28,前提条件!$C$27),IF(BH8&lt;=21,IF(入力データ!$K$27="国公立",前提条件!$C$29,IF(入力データ!$K$27="私立理系",前提条件!$C$31,前提条件!$C$30))+IF(入力データ!$L$27="下宿",前提条件!$C$32,0)+IF(BH8=18,前提条件!$C$33,0),0)))))))*(1+前提条件!$C$13)^(BH$3-$B$3))</f>
        <v/>
      </c>
      <c r="BI24" s="352">
        <f>IF(BI$3="","",((SUM(入力データ!$C$58:$C$61)*12)+IF(BI6="",0,IF(BI6&lt;=5,IF(入力データ!$G$25="私立",前提条件!$C$22,前提条件!$C$21),IF(BI6&lt;=11,IF(入力データ!$H$25="私立",前提条件!$C$24,前提条件!$C$23),IF(BI6&lt;=14,IF(入力データ!$I$25="私立",前提条件!$C$26,前提条件!$C$25),IF(BI6&lt;=17,IF(入力データ!$J$25="私立",前提条件!$C$28,前提条件!$C$27),IF(BI6&lt;=21,IF(入力データ!$K$25="国公立",前提条件!$C$29,IF(入力データ!$K$25="私立理系",前提条件!$C$31,前提条件!$C$30))+IF(入力データ!$L$25="下宿",前提条件!$C$32,0)+IF(BI6=18,前提条件!$C$33,0),0))))))+IF(BI7="",0,IF(BI7&lt;=5,IF(入力データ!$G$26="私立",前提条件!$C$22,前提条件!$C$21),IF(BI7&lt;=11,IF(入力データ!$H$26="私立",前提条件!$C$24,前提条件!$C$23),IF(BI7&lt;=14,IF(入力データ!$I$26="私立",前提条件!$C$26,前提条件!$C$25),IF(BI7&lt;=17,IF(入力データ!$J$26="私立",前提条件!$C$28,前提条件!$C$27),IF(BI7&lt;=21,IF(入力データ!$K$26="国公立",前提条件!$C$29,IF(入力データ!$K$26="私立理系",前提条件!$C$31,前提条件!$C$30))+IF(入力データ!$L$26="下宿",前提条件!$C$32,0)+IF(BI7=18,前提条件!$C$33,0),0))))))+IF(BI8="",0,IF(BI8&lt;=5,IF(入力データ!$G$27="私立",前提条件!$C$22,前提条件!$C$21),IF(BI8&lt;=11,IF(入力データ!$H$27="私立",前提条件!$C$24,前提条件!$C$23),IF(BI8&lt;=14,IF(入力データ!$I$27="私立",前提条件!$C$26,前提条件!$C$25),IF(BI8&lt;=17,IF(入力データ!$J$27="私立",前提条件!$C$28,前提条件!$C$27),IF(BI8&lt;=21,IF(入力データ!$K$27="国公立",前提条件!$C$29,IF(入力データ!$K$27="私立理系",前提条件!$C$31,前提条件!$C$30))+IF(入力データ!$L$27="下宿",前提条件!$C$32,0)+IF(BI8=18,前提条件!$C$33,0),0)))))))*(1+前提条件!$C$13)^(BI$3-$B$3))</f>
        <v/>
      </c>
      <c r="BJ24" s="352">
        <f>IF(BJ$3="","",((SUM(入力データ!$C$58:$C$61)*12)+IF(BJ6="",0,IF(BJ6&lt;=5,IF(入力データ!$G$25="私立",前提条件!$C$22,前提条件!$C$21),IF(BJ6&lt;=11,IF(入力データ!$H$25="私立",前提条件!$C$24,前提条件!$C$23),IF(BJ6&lt;=14,IF(入力データ!$I$25="私立",前提条件!$C$26,前提条件!$C$25),IF(BJ6&lt;=17,IF(入力データ!$J$25="私立",前提条件!$C$28,前提条件!$C$27),IF(BJ6&lt;=21,IF(入力データ!$K$25="国公立",前提条件!$C$29,IF(入力データ!$K$25="私立理系",前提条件!$C$31,前提条件!$C$30))+IF(入力データ!$L$25="下宿",前提条件!$C$32,0)+IF(BJ6=18,前提条件!$C$33,0),0))))))+IF(BJ7="",0,IF(BJ7&lt;=5,IF(入力データ!$G$26="私立",前提条件!$C$22,前提条件!$C$21),IF(BJ7&lt;=11,IF(入力データ!$H$26="私立",前提条件!$C$24,前提条件!$C$23),IF(BJ7&lt;=14,IF(入力データ!$I$26="私立",前提条件!$C$26,前提条件!$C$25),IF(BJ7&lt;=17,IF(入力データ!$J$26="私立",前提条件!$C$28,前提条件!$C$27),IF(BJ7&lt;=21,IF(入力データ!$K$26="国公立",前提条件!$C$29,IF(入力データ!$K$26="私立理系",前提条件!$C$31,前提条件!$C$30))+IF(入力データ!$L$26="下宿",前提条件!$C$32,0)+IF(BJ7=18,前提条件!$C$33,0),0))))))+IF(BJ8="",0,IF(BJ8&lt;=5,IF(入力データ!$G$27="私立",前提条件!$C$22,前提条件!$C$21),IF(BJ8&lt;=11,IF(入力データ!$H$27="私立",前提条件!$C$24,前提条件!$C$23),IF(BJ8&lt;=14,IF(入力データ!$I$27="私立",前提条件!$C$26,前提条件!$C$25),IF(BJ8&lt;=17,IF(入力データ!$J$27="私立",前提条件!$C$28,前提条件!$C$27),IF(BJ8&lt;=21,IF(入力データ!$K$27="国公立",前提条件!$C$29,IF(入力データ!$K$27="私立理系",前提条件!$C$31,前提条件!$C$30))+IF(入力データ!$L$27="下宿",前提条件!$C$32,0)+IF(BJ8=18,前提条件!$C$33,0),0)))))))*(1+前提条件!$C$13)^(BJ$3-$B$3))</f>
        <v/>
      </c>
      <c r="BK24" s="352">
        <f>IF(BK$3="","",((SUM(入力データ!$C$58:$C$61)*12)+IF(BK6="",0,IF(BK6&lt;=5,IF(入力データ!$G$25="私立",前提条件!$C$22,前提条件!$C$21),IF(BK6&lt;=11,IF(入力データ!$H$25="私立",前提条件!$C$24,前提条件!$C$23),IF(BK6&lt;=14,IF(入力データ!$I$25="私立",前提条件!$C$26,前提条件!$C$25),IF(BK6&lt;=17,IF(入力データ!$J$25="私立",前提条件!$C$28,前提条件!$C$27),IF(BK6&lt;=21,IF(入力データ!$K$25="国公立",前提条件!$C$29,IF(入力データ!$K$25="私立理系",前提条件!$C$31,前提条件!$C$30))+IF(入力データ!$L$25="下宿",前提条件!$C$32,0)+IF(BK6=18,前提条件!$C$33,0),0))))))+IF(BK7="",0,IF(BK7&lt;=5,IF(入力データ!$G$26="私立",前提条件!$C$22,前提条件!$C$21),IF(BK7&lt;=11,IF(入力データ!$H$26="私立",前提条件!$C$24,前提条件!$C$23),IF(BK7&lt;=14,IF(入力データ!$I$26="私立",前提条件!$C$26,前提条件!$C$25),IF(BK7&lt;=17,IF(入力データ!$J$26="私立",前提条件!$C$28,前提条件!$C$27),IF(BK7&lt;=21,IF(入力データ!$K$26="国公立",前提条件!$C$29,IF(入力データ!$K$26="私立理系",前提条件!$C$31,前提条件!$C$30))+IF(入力データ!$L$26="下宿",前提条件!$C$32,0)+IF(BK7=18,前提条件!$C$33,0),0))))))+IF(BK8="",0,IF(BK8&lt;=5,IF(入力データ!$G$27="私立",前提条件!$C$22,前提条件!$C$21),IF(BK8&lt;=11,IF(入力データ!$H$27="私立",前提条件!$C$24,前提条件!$C$23),IF(BK8&lt;=14,IF(入力データ!$I$27="私立",前提条件!$C$26,前提条件!$C$25),IF(BK8&lt;=17,IF(入力データ!$J$27="私立",前提条件!$C$28,前提条件!$C$27),IF(BK8&lt;=21,IF(入力データ!$K$27="国公立",前提条件!$C$29,IF(入力データ!$K$27="私立理系",前提条件!$C$31,前提条件!$C$30))+IF(入力データ!$L$27="下宿",前提条件!$C$32,0)+IF(BK8=18,前提条件!$C$33,0),0)))))))*(1+前提条件!$C$13)^(BK$3-$B$3))</f>
        <v/>
      </c>
      <c r="BL24" s="352">
        <f>IF(BL$3="","",((SUM(入力データ!$C$58:$C$61)*12)+IF(BL6="",0,IF(BL6&lt;=5,IF(入力データ!$G$25="私立",前提条件!$C$22,前提条件!$C$21),IF(BL6&lt;=11,IF(入力データ!$H$25="私立",前提条件!$C$24,前提条件!$C$23),IF(BL6&lt;=14,IF(入力データ!$I$25="私立",前提条件!$C$26,前提条件!$C$25),IF(BL6&lt;=17,IF(入力データ!$J$25="私立",前提条件!$C$28,前提条件!$C$27),IF(BL6&lt;=21,IF(入力データ!$K$25="国公立",前提条件!$C$29,IF(入力データ!$K$25="私立理系",前提条件!$C$31,前提条件!$C$30))+IF(入力データ!$L$25="下宿",前提条件!$C$32,0)+IF(BL6=18,前提条件!$C$33,0),0))))))+IF(BL7="",0,IF(BL7&lt;=5,IF(入力データ!$G$26="私立",前提条件!$C$22,前提条件!$C$21),IF(BL7&lt;=11,IF(入力データ!$H$26="私立",前提条件!$C$24,前提条件!$C$23),IF(BL7&lt;=14,IF(入力データ!$I$26="私立",前提条件!$C$26,前提条件!$C$25),IF(BL7&lt;=17,IF(入力データ!$J$26="私立",前提条件!$C$28,前提条件!$C$27),IF(BL7&lt;=21,IF(入力データ!$K$26="国公立",前提条件!$C$29,IF(入力データ!$K$26="私立理系",前提条件!$C$31,前提条件!$C$30))+IF(入力データ!$L$26="下宿",前提条件!$C$32,0)+IF(BL7=18,前提条件!$C$33,0),0))))))+IF(BL8="",0,IF(BL8&lt;=5,IF(入力データ!$G$27="私立",前提条件!$C$22,前提条件!$C$21),IF(BL8&lt;=11,IF(入力データ!$H$27="私立",前提条件!$C$24,前提条件!$C$23),IF(BL8&lt;=14,IF(入力データ!$I$27="私立",前提条件!$C$26,前提条件!$C$25),IF(BL8&lt;=17,IF(入力データ!$J$27="私立",前提条件!$C$28,前提条件!$C$27),IF(BL8&lt;=21,IF(入力データ!$K$27="国公立",前提条件!$C$29,IF(入力データ!$K$27="私立理系",前提条件!$C$31,前提条件!$C$30))+IF(入力データ!$L$27="下宿",前提条件!$C$32,0)+IF(BL8=18,前提条件!$C$33,0),0)))))))*(1+前提条件!$C$13)^(BL$3-$B$3))</f>
        <v/>
      </c>
      <c r="BM24" s="352">
        <f>IF(BM$3="","",((SUM(入力データ!$C$58:$C$61)*12)+IF(BM6="",0,IF(BM6&lt;=5,IF(入力データ!$G$25="私立",前提条件!$C$22,前提条件!$C$21),IF(BM6&lt;=11,IF(入力データ!$H$25="私立",前提条件!$C$24,前提条件!$C$23),IF(BM6&lt;=14,IF(入力データ!$I$25="私立",前提条件!$C$26,前提条件!$C$25),IF(BM6&lt;=17,IF(入力データ!$J$25="私立",前提条件!$C$28,前提条件!$C$27),IF(BM6&lt;=21,IF(入力データ!$K$25="国公立",前提条件!$C$29,IF(入力データ!$K$25="私立理系",前提条件!$C$31,前提条件!$C$30))+IF(入力データ!$L$25="下宿",前提条件!$C$32,0)+IF(BM6=18,前提条件!$C$33,0),0))))))+IF(BM7="",0,IF(BM7&lt;=5,IF(入力データ!$G$26="私立",前提条件!$C$22,前提条件!$C$21),IF(BM7&lt;=11,IF(入力データ!$H$26="私立",前提条件!$C$24,前提条件!$C$23),IF(BM7&lt;=14,IF(入力データ!$I$26="私立",前提条件!$C$26,前提条件!$C$25),IF(BM7&lt;=17,IF(入力データ!$J$26="私立",前提条件!$C$28,前提条件!$C$27),IF(BM7&lt;=21,IF(入力データ!$K$26="国公立",前提条件!$C$29,IF(入力データ!$K$26="私立理系",前提条件!$C$31,前提条件!$C$30))+IF(入力データ!$L$26="下宿",前提条件!$C$32,0)+IF(BM7=18,前提条件!$C$33,0),0))))))+IF(BM8="",0,IF(BM8&lt;=5,IF(入力データ!$G$27="私立",前提条件!$C$22,前提条件!$C$21),IF(BM8&lt;=11,IF(入力データ!$H$27="私立",前提条件!$C$24,前提条件!$C$23),IF(BM8&lt;=14,IF(入力データ!$I$27="私立",前提条件!$C$26,前提条件!$C$25),IF(BM8&lt;=17,IF(入力データ!$J$27="私立",前提条件!$C$28,前提条件!$C$27),IF(BM8&lt;=21,IF(入力データ!$K$27="国公立",前提条件!$C$29,IF(入力データ!$K$27="私立理系",前提条件!$C$31,前提条件!$C$30))+IF(入力データ!$L$27="下宿",前提条件!$C$32,0)+IF(BM8=18,前提条件!$C$33,0),0)))))))*(1+前提条件!$C$13)^(BM$3-$B$3))</f>
        <v/>
      </c>
      <c r="BN24" s="352">
        <f>IF(BN$3="","",((SUM(入力データ!$C$58:$C$61)*12)+IF(BN6="",0,IF(BN6&lt;=5,IF(入力データ!$G$25="私立",前提条件!$C$22,前提条件!$C$21),IF(BN6&lt;=11,IF(入力データ!$H$25="私立",前提条件!$C$24,前提条件!$C$23),IF(BN6&lt;=14,IF(入力データ!$I$25="私立",前提条件!$C$26,前提条件!$C$25),IF(BN6&lt;=17,IF(入力データ!$J$25="私立",前提条件!$C$28,前提条件!$C$27),IF(BN6&lt;=21,IF(入力データ!$K$25="国公立",前提条件!$C$29,IF(入力データ!$K$25="私立理系",前提条件!$C$31,前提条件!$C$30))+IF(入力データ!$L$25="下宿",前提条件!$C$32,0)+IF(BN6=18,前提条件!$C$33,0),0))))))+IF(BN7="",0,IF(BN7&lt;=5,IF(入力データ!$G$26="私立",前提条件!$C$22,前提条件!$C$21),IF(BN7&lt;=11,IF(入力データ!$H$26="私立",前提条件!$C$24,前提条件!$C$23),IF(BN7&lt;=14,IF(入力データ!$I$26="私立",前提条件!$C$26,前提条件!$C$25),IF(BN7&lt;=17,IF(入力データ!$J$26="私立",前提条件!$C$28,前提条件!$C$27),IF(BN7&lt;=21,IF(入力データ!$K$26="国公立",前提条件!$C$29,IF(入力データ!$K$26="私立理系",前提条件!$C$31,前提条件!$C$30))+IF(入力データ!$L$26="下宿",前提条件!$C$32,0)+IF(BN7=18,前提条件!$C$33,0),0))))))+IF(BN8="",0,IF(BN8&lt;=5,IF(入力データ!$G$27="私立",前提条件!$C$22,前提条件!$C$21),IF(BN8&lt;=11,IF(入力データ!$H$27="私立",前提条件!$C$24,前提条件!$C$23),IF(BN8&lt;=14,IF(入力データ!$I$27="私立",前提条件!$C$26,前提条件!$C$25),IF(BN8&lt;=17,IF(入力データ!$J$27="私立",前提条件!$C$28,前提条件!$C$27),IF(BN8&lt;=21,IF(入力データ!$K$27="国公立",前提条件!$C$29,IF(入力データ!$K$27="私立理系",前提条件!$C$31,前提条件!$C$30))+IF(入力データ!$L$27="下宿",前提条件!$C$32,0)+IF(BN8=18,前提条件!$C$33,0),0)))))))*(1+前提条件!$C$13)^(BN$3-$B$3))</f>
        <v/>
      </c>
      <c r="BO24" s="352">
        <f>IF(BO$3="","",((SUM(入力データ!$C$58:$C$61)*12)+IF(BO6="",0,IF(BO6&lt;=5,IF(入力データ!$G$25="私立",前提条件!$C$22,前提条件!$C$21),IF(BO6&lt;=11,IF(入力データ!$H$25="私立",前提条件!$C$24,前提条件!$C$23),IF(BO6&lt;=14,IF(入力データ!$I$25="私立",前提条件!$C$26,前提条件!$C$25),IF(BO6&lt;=17,IF(入力データ!$J$25="私立",前提条件!$C$28,前提条件!$C$27),IF(BO6&lt;=21,IF(入力データ!$K$25="国公立",前提条件!$C$29,IF(入力データ!$K$25="私立理系",前提条件!$C$31,前提条件!$C$30))+IF(入力データ!$L$25="下宿",前提条件!$C$32,0)+IF(BO6=18,前提条件!$C$33,0),0))))))+IF(BO7="",0,IF(BO7&lt;=5,IF(入力データ!$G$26="私立",前提条件!$C$22,前提条件!$C$21),IF(BO7&lt;=11,IF(入力データ!$H$26="私立",前提条件!$C$24,前提条件!$C$23),IF(BO7&lt;=14,IF(入力データ!$I$26="私立",前提条件!$C$26,前提条件!$C$25),IF(BO7&lt;=17,IF(入力データ!$J$26="私立",前提条件!$C$28,前提条件!$C$27),IF(BO7&lt;=21,IF(入力データ!$K$26="国公立",前提条件!$C$29,IF(入力データ!$K$26="私立理系",前提条件!$C$31,前提条件!$C$30))+IF(入力データ!$L$26="下宿",前提条件!$C$32,0)+IF(BO7=18,前提条件!$C$33,0),0))))))+IF(BO8="",0,IF(BO8&lt;=5,IF(入力データ!$G$27="私立",前提条件!$C$22,前提条件!$C$21),IF(BO8&lt;=11,IF(入力データ!$H$27="私立",前提条件!$C$24,前提条件!$C$23),IF(BO8&lt;=14,IF(入力データ!$I$27="私立",前提条件!$C$26,前提条件!$C$25),IF(BO8&lt;=17,IF(入力データ!$J$27="私立",前提条件!$C$28,前提条件!$C$27),IF(BO8&lt;=21,IF(入力データ!$K$27="国公立",前提条件!$C$29,IF(入力データ!$K$27="私立理系",前提条件!$C$31,前提条件!$C$30))+IF(入力データ!$L$27="下宿",前提条件!$C$32,0)+IF(BO8=18,前提条件!$C$33,0),0)))))))*(1+前提条件!$C$13)^(BO$3-$B$3))</f>
        <v/>
      </c>
      <c r="BP24" s="352">
        <f>IF(BP$3="","",((SUM(入力データ!$C$58:$C$61)*12)+IF(BP6="",0,IF(BP6&lt;=5,IF(入力データ!$G$25="私立",前提条件!$C$22,前提条件!$C$21),IF(BP6&lt;=11,IF(入力データ!$H$25="私立",前提条件!$C$24,前提条件!$C$23),IF(BP6&lt;=14,IF(入力データ!$I$25="私立",前提条件!$C$26,前提条件!$C$25),IF(BP6&lt;=17,IF(入力データ!$J$25="私立",前提条件!$C$28,前提条件!$C$27),IF(BP6&lt;=21,IF(入力データ!$K$25="国公立",前提条件!$C$29,IF(入力データ!$K$25="私立理系",前提条件!$C$31,前提条件!$C$30))+IF(入力データ!$L$25="下宿",前提条件!$C$32,0)+IF(BP6=18,前提条件!$C$33,0),0))))))+IF(BP7="",0,IF(BP7&lt;=5,IF(入力データ!$G$26="私立",前提条件!$C$22,前提条件!$C$21),IF(BP7&lt;=11,IF(入力データ!$H$26="私立",前提条件!$C$24,前提条件!$C$23),IF(BP7&lt;=14,IF(入力データ!$I$26="私立",前提条件!$C$26,前提条件!$C$25),IF(BP7&lt;=17,IF(入力データ!$J$26="私立",前提条件!$C$28,前提条件!$C$27),IF(BP7&lt;=21,IF(入力データ!$K$26="国公立",前提条件!$C$29,IF(入力データ!$K$26="私立理系",前提条件!$C$31,前提条件!$C$30))+IF(入力データ!$L$26="下宿",前提条件!$C$32,0)+IF(BP7=18,前提条件!$C$33,0),0))))))+IF(BP8="",0,IF(BP8&lt;=5,IF(入力データ!$G$27="私立",前提条件!$C$22,前提条件!$C$21),IF(BP8&lt;=11,IF(入力データ!$H$27="私立",前提条件!$C$24,前提条件!$C$23),IF(BP8&lt;=14,IF(入力データ!$I$27="私立",前提条件!$C$26,前提条件!$C$25),IF(BP8&lt;=17,IF(入力データ!$J$27="私立",前提条件!$C$28,前提条件!$C$27),IF(BP8&lt;=21,IF(入力データ!$K$27="国公立",前提条件!$C$29,IF(入力データ!$K$27="私立理系",前提条件!$C$31,前提条件!$C$30))+IF(入力データ!$L$27="下宿",前提条件!$C$32,0)+IF(BP8=18,前提条件!$C$33,0),0)))))))*(1+前提条件!$C$13)^(BP$3-$B$3))</f>
        <v/>
      </c>
      <c r="BQ24" s="352">
        <f>IF(BQ$3="","",((SUM(入力データ!$C$58:$C$61)*12)+IF(BQ6="",0,IF(BQ6&lt;=5,IF(入力データ!$G$25="私立",前提条件!$C$22,前提条件!$C$21),IF(BQ6&lt;=11,IF(入力データ!$H$25="私立",前提条件!$C$24,前提条件!$C$23),IF(BQ6&lt;=14,IF(入力データ!$I$25="私立",前提条件!$C$26,前提条件!$C$25),IF(BQ6&lt;=17,IF(入力データ!$J$25="私立",前提条件!$C$28,前提条件!$C$27),IF(BQ6&lt;=21,IF(入力データ!$K$25="国公立",前提条件!$C$29,IF(入力データ!$K$25="私立理系",前提条件!$C$31,前提条件!$C$30))+IF(入力データ!$L$25="下宿",前提条件!$C$32,0)+IF(BQ6=18,前提条件!$C$33,0),0))))))+IF(BQ7="",0,IF(BQ7&lt;=5,IF(入力データ!$G$26="私立",前提条件!$C$22,前提条件!$C$21),IF(BQ7&lt;=11,IF(入力データ!$H$26="私立",前提条件!$C$24,前提条件!$C$23),IF(BQ7&lt;=14,IF(入力データ!$I$26="私立",前提条件!$C$26,前提条件!$C$25),IF(BQ7&lt;=17,IF(入力データ!$J$26="私立",前提条件!$C$28,前提条件!$C$27),IF(BQ7&lt;=21,IF(入力データ!$K$26="国公立",前提条件!$C$29,IF(入力データ!$K$26="私立理系",前提条件!$C$31,前提条件!$C$30))+IF(入力データ!$L$26="下宿",前提条件!$C$32,0)+IF(BQ7=18,前提条件!$C$33,0),0))))))+IF(BQ8="",0,IF(BQ8&lt;=5,IF(入力データ!$G$27="私立",前提条件!$C$22,前提条件!$C$21),IF(BQ8&lt;=11,IF(入力データ!$H$27="私立",前提条件!$C$24,前提条件!$C$23),IF(BQ8&lt;=14,IF(入力データ!$I$27="私立",前提条件!$C$26,前提条件!$C$25),IF(BQ8&lt;=17,IF(入力データ!$J$27="私立",前提条件!$C$28,前提条件!$C$27),IF(BQ8&lt;=21,IF(入力データ!$K$27="国公立",前提条件!$C$29,IF(入力データ!$K$27="私立理系",前提条件!$C$31,前提条件!$C$30))+IF(入力データ!$L$27="下宿",前提条件!$C$32,0)+IF(BQ8=18,前提条件!$C$33,0),0)))))))*(1+前提条件!$C$13)^(BQ$3-$B$3))</f>
        <v/>
      </c>
      <c r="BR24" s="352">
        <f>IF(BR$3="","",((SUM(入力データ!$C$58:$C$61)*12)+IF(BR6="",0,IF(BR6&lt;=5,IF(入力データ!$G$25="私立",前提条件!$C$22,前提条件!$C$21),IF(BR6&lt;=11,IF(入力データ!$H$25="私立",前提条件!$C$24,前提条件!$C$23),IF(BR6&lt;=14,IF(入力データ!$I$25="私立",前提条件!$C$26,前提条件!$C$25),IF(BR6&lt;=17,IF(入力データ!$J$25="私立",前提条件!$C$28,前提条件!$C$27),IF(BR6&lt;=21,IF(入力データ!$K$25="国公立",前提条件!$C$29,IF(入力データ!$K$25="私立理系",前提条件!$C$31,前提条件!$C$30))+IF(入力データ!$L$25="下宿",前提条件!$C$32,0)+IF(BR6=18,前提条件!$C$33,0),0))))))+IF(BR7="",0,IF(BR7&lt;=5,IF(入力データ!$G$26="私立",前提条件!$C$22,前提条件!$C$21),IF(BR7&lt;=11,IF(入力データ!$H$26="私立",前提条件!$C$24,前提条件!$C$23),IF(BR7&lt;=14,IF(入力データ!$I$26="私立",前提条件!$C$26,前提条件!$C$25),IF(BR7&lt;=17,IF(入力データ!$J$26="私立",前提条件!$C$28,前提条件!$C$27),IF(BR7&lt;=21,IF(入力データ!$K$26="国公立",前提条件!$C$29,IF(入力データ!$K$26="私立理系",前提条件!$C$31,前提条件!$C$30))+IF(入力データ!$L$26="下宿",前提条件!$C$32,0)+IF(BR7=18,前提条件!$C$33,0),0))))))+IF(BR8="",0,IF(BR8&lt;=5,IF(入力データ!$G$27="私立",前提条件!$C$22,前提条件!$C$21),IF(BR8&lt;=11,IF(入力データ!$H$27="私立",前提条件!$C$24,前提条件!$C$23),IF(BR8&lt;=14,IF(入力データ!$I$27="私立",前提条件!$C$26,前提条件!$C$25),IF(BR8&lt;=17,IF(入力データ!$J$27="私立",前提条件!$C$28,前提条件!$C$27),IF(BR8&lt;=21,IF(入力データ!$K$27="国公立",前提条件!$C$29,IF(入力データ!$K$27="私立理系",前提条件!$C$31,前提条件!$C$30))+IF(入力データ!$L$27="下宿",前提条件!$C$32,0)+IF(BR8=18,前提条件!$C$33,0),0)))))))*(1+前提条件!$C$13)^(BR$3-$B$3))</f>
        <v/>
      </c>
      <c r="BS24" s="352">
        <f>IF(BS$3="","",((SUM(入力データ!$C$58:$C$61)*12)+IF(BS6="",0,IF(BS6&lt;=5,IF(入力データ!$G$25="私立",前提条件!$C$22,前提条件!$C$21),IF(BS6&lt;=11,IF(入力データ!$H$25="私立",前提条件!$C$24,前提条件!$C$23),IF(BS6&lt;=14,IF(入力データ!$I$25="私立",前提条件!$C$26,前提条件!$C$25),IF(BS6&lt;=17,IF(入力データ!$J$25="私立",前提条件!$C$28,前提条件!$C$27),IF(BS6&lt;=21,IF(入力データ!$K$25="国公立",前提条件!$C$29,IF(入力データ!$K$25="私立理系",前提条件!$C$31,前提条件!$C$30))+IF(入力データ!$L$25="下宿",前提条件!$C$32,0)+IF(BS6=18,前提条件!$C$33,0),0))))))+IF(BS7="",0,IF(BS7&lt;=5,IF(入力データ!$G$26="私立",前提条件!$C$22,前提条件!$C$21),IF(BS7&lt;=11,IF(入力データ!$H$26="私立",前提条件!$C$24,前提条件!$C$23),IF(BS7&lt;=14,IF(入力データ!$I$26="私立",前提条件!$C$26,前提条件!$C$25),IF(BS7&lt;=17,IF(入力データ!$J$26="私立",前提条件!$C$28,前提条件!$C$27),IF(BS7&lt;=21,IF(入力データ!$K$26="国公立",前提条件!$C$29,IF(入力データ!$K$26="私立理系",前提条件!$C$31,前提条件!$C$30))+IF(入力データ!$L$26="下宿",前提条件!$C$32,0)+IF(BS7=18,前提条件!$C$33,0),0))))))+IF(BS8="",0,IF(BS8&lt;=5,IF(入力データ!$G$27="私立",前提条件!$C$22,前提条件!$C$21),IF(BS8&lt;=11,IF(入力データ!$H$27="私立",前提条件!$C$24,前提条件!$C$23),IF(BS8&lt;=14,IF(入力データ!$I$27="私立",前提条件!$C$26,前提条件!$C$25),IF(BS8&lt;=17,IF(入力データ!$J$27="私立",前提条件!$C$28,前提条件!$C$27),IF(BS8&lt;=21,IF(入力データ!$K$27="国公立",前提条件!$C$29,IF(入力データ!$K$27="私立理系",前提条件!$C$31,前提条件!$C$30))+IF(入力データ!$L$27="下宿",前提条件!$C$32,0)+IF(BS8=18,前提条件!$C$33,0),0)))))))*(1+前提条件!$C$13)^(BS$3-$B$3))</f>
        <v/>
      </c>
      <c r="BT24" s="352">
        <f>IF(BT$3="","",((SUM(入力データ!$C$58:$C$61)*12)+IF(BT6="",0,IF(BT6&lt;=5,IF(入力データ!$G$25="私立",前提条件!$C$22,前提条件!$C$21),IF(BT6&lt;=11,IF(入力データ!$H$25="私立",前提条件!$C$24,前提条件!$C$23),IF(BT6&lt;=14,IF(入力データ!$I$25="私立",前提条件!$C$26,前提条件!$C$25),IF(BT6&lt;=17,IF(入力データ!$J$25="私立",前提条件!$C$28,前提条件!$C$27),IF(BT6&lt;=21,IF(入力データ!$K$25="国公立",前提条件!$C$29,IF(入力データ!$K$25="私立理系",前提条件!$C$31,前提条件!$C$30))+IF(入力データ!$L$25="下宿",前提条件!$C$32,0)+IF(BT6=18,前提条件!$C$33,0),0))))))+IF(BT7="",0,IF(BT7&lt;=5,IF(入力データ!$G$26="私立",前提条件!$C$22,前提条件!$C$21),IF(BT7&lt;=11,IF(入力データ!$H$26="私立",前提条件!$C$24,前提条件!$C$23),IF(BT7&lt;=14,IF(入力データ!$I$26="私立",前提条件!$C$26,前提条件!$C$25),IF(BT7&lt;=17,IF(入力データ!$J$26="私立",前提条件!$C$28,前提条件!$C$27),IF(BT7&lt;=21,IF(入力データ!$K$26="国公立",前提条件!$C$29,IF(入力データ!$K$26="私立理系",前提条件!$C$31,前提条件!$C$30))+IF(入力データ!$L$26="下宿",前提条件!$C$32,0)+IF(BT7=18,前提条件!$C$33,0),0))))))+IF(BT8="",0,IF(BT8&lt;=5,IF(入力データ!$G$27="私立",前提条件!$C$22,前提条件!$C$21),IF(BT8&lt;=11,IF(入力データ!$H$27="私立",前提条件!$C$24,前提条件!$C$23),IF(BT8&lt;=14,IF(入力データ!$I$27="私立",前提条件!$C$26,前提条件!$C$25),IF(BT8&lt;=17,IF(入力データ!$J$27="私立",前提条件!$C$28,前提条件!$C$27),IF(BT8&lt;=21,IF(入力データ!$K$27="国公立",前提条件!$C$29,IF(入力データ!$K$27="私立理系",前提条件!$C$31,前提条件!$C$30))+IF(入力データ!$L$27="下宿",前提条件!$C$32,0)+IF(BT8=18,前提条件!$C$33,0),0)))))))*(1+前提条件!$C$13)^(BT$3-$B$3))</f>
        <v/>
      </c>
      <c r="BU24" s="352">
        <f>IF(BU$3="","",((SUM(入力データ!$C$58:$C$61)*12)+IF(BU6="",0,IF(BU6&lt;=5,IF(入力データ!$G$25="私立",前提条件!$C$22,前提条件!$C$21),IF(BU6&lt;=11,IF(入力データ!$H$25="私立",前提条件!$C$24,前提条件!$C$23),IF(BU6&lt;=14,IF(入力データ!$I$25="私立",前提条件!$C$26,前提条件!$C$25),IF(BU6&lt;=17,IF(入力データ!$J$25="私立",前提条件!$C$28,前提条件!$C$27),IF(BU6&lt;=21,IF(入力データ!$K$25="国公立",前提条件!$C$29,IF(入力データ!$K$25="私立理系",前提条件!$C$31,前提条件!$C$30))+IF(入力データ!$L$25="下宿",前提条件!$C$32,0)+IF(BU6=18,前提条件!$C$33,0),0))))))+IF(BU7="",0,IF(BU7&lt;=5,IF(入力データ!$G$26="私立",前提条件!$C$22,前提条件!$C$21),IF(BU7&lt;=11,IF(入力データ!$H$26="私立",前提条件!$C$24,前提条件!$C$23),IF(BU7&lt;=14,IF(入力データ!$I$26="私立",前提条件!$C$26,前提条件!$C$25),IF(BU7&lt;=17,IF(入力データ!$J$26="私立",前提条件!$C$28,前提条件!$C$27),IF(BU7&lt;=21,IF(入力データ!$K$26="国公立",前提条件!$C$29,IF(入力データ!$K$26="私立理系",前提条件!$C$31,前提条件!$C$30))+IF(入力データ!$L$26="下宿",前提条件!$C$32,0)+IF(BU7=18,前提条件!$C$33,0),0))))))+IF(BU8="",0,IF(BU8&lt;=5,IF(入力データ!$G$27="私立",前提条件!$C$22,前提条件!$C$21),IF(BU8&lt;=11,IF(入力データ!$H$27="私立",前提条件!$C$24,前提条件!$C$23),IF(BU8&lt;=14,IF(入力データ!$I$27="私立",前提条件!$C$26,前提条件!$C$25),IF(BU8&lt;=17,IF(入力データ!$J$27="私立",前提条件!$C$28,前提条件!$C$27),IF(BU8&lt;=21,IF(入力データ!$K$27="国公立",前提条件!$C$29,IF(入力データ!$K$27="私立理系",前提条件!$C$31,前提条件!$C$30))+IF(入力データ!$L$27="下宿",前提条件!$C$32,0)+IF(BU8=18,前提条件!$C$33,0),0)))))))*(1+前提条件!$C$13)^(BU$3-$B$3))</f>
        <v/>
      </c>
      <c r="BV24" s="352">
        <f>IF(BV$3="","",((SUM(入力データ!$C$58:$C$61)*12)+IF(BV6="",0,IF(BV6&lt;=5,IF(入力データ!$G$25="私立",前提条件!$C$22,前提条件!$C$21),IF(BV6&lt;=11,IF(入力データ!$H$25="私立",前提条件!$C$24,前提条件!$C$23),IF(BV6&lt;=14,IF(入力データ!$I$25="私立",前提条件!$C$26,前提条件!$C$25),IF(BV6&lt;=17,IF(入力データ!$J$25="私立",前提条件!$C$28,前提条件!$C$27),IF(BV6&lt;=21,IF(入力データ!$K$25="国公立",前提条件!$C$29,IF(入力データ!$K$25="私立理系",前提条件!$C$31,前提条件!$C$30))+IF(入力データ!$L$25="下宿",前提条件!$C$32,0)+IF(BV6=18,前提条件!$C$33,0),0))))))+IF(BV7="",0,IF(BV7&lt;=5,IF(入力データ!$G$26="私立",前提条件!$C$22,前提条件!$C$21),IF(BV7&lt;=11,IF(入力データ!$H$26="私立",前提条件!$C$24,前提条件!$C$23),IF(BV7&lt;=14,IF(入力データ!$I$26="私立",前提条件!$C$26,前提条件!$C$25),IF(BV7&lt;=17,IF(入力データ!$J$26="私立",前提条件!$C$28,前提条件!$C$27),IF(BV7&lt;=21,IF(入力データ!$K$26="国公立",前提条件!$C$29,IF(入力データ!$K$26="私立理系",前提条件!$C$31,前提条件!$C$30))+IF(入力データ!$L$26="下宿",前提条件!$C$32,0)+IF(BV7=18,前提条件!$C$33,0),0))))))+IF(BV8="",0,IF(BV8&lt;=5,IF(入力データ!$G$27="私立",前提条件!$C$22,前提条件!$C$21),IF(BV8&lt;=11,IF(入力データ!$H$27="私立",前提条件!$C$24,前提条件!$C$23),IF(BV8&lt;=14,IF(入力データ!$I$27="私立",前提条件!$C$26,前提条件!$C$25),IF(BV8&lt;=17,IF(入力データ!$J$27="私立",前提条件!$C$28,前提条件!$C$27),IF(BV8&lt;=21,IF(入力データ!$K$27="国公立",前提条件!$C$29,IF(入力データ!$K$27="私立理系",前提条件!$C$31,前提条件!$C$30))+IF(入力データ!$L$27="下宿",前提条件!$C$32,0)+IF(BV8=18,前提条件!$C$33,0),0)))))))*(1+前提条件!$C$13)^(BV$3-$B$3))</f>
        <v/>
      </c>
      <c r="BW24" s="352">
        <f>IF(BW$3="","",((SUM(入力データ!$C$58:$C$61)*12)+IF(BW6="",0,IF(BW6&lt;=5,IF(入力データ!$G$25="私立",前提条件!$C$22,前提条件!$C$21),IF(BW6&lt;=11,IF(入力データ!$H$25="私立",前提条件!$C$24,前提条件!$C$23),IF(BW6&lt;=14,IF(入力データ!$I$25="私立",前提条件!$C$26,前提条件!$C$25),IF(BW6&lt;=17,IF(入力データ!$J$25="私立",前提条件!$C$28,前提条件!$C$27),IF(BW6&lt;=21,IF(入力データ!$K$25="国公立",前提条件!$C$29,IF(入力データ!$K$25="私立理系",前提条件!$C$31,前提条件!$C$30))+IF(入力データ!$L$25="下宿",前提条件!$C$32,0)+IF(BW6=18,前提条件!$C$33,0),0))))))+IF(BW7="",0,IF(BW7&lt;=5,IF(入力データ!$G$26="私立",前提条件!$C$22,前提条件!$C$21),IF(BW7&lt;=11,IF(入力データ!$H$26="私立",前提条件!$C$24,前提条件!$C$23),IF(BW7&lt;=14,IF(入力データ!$I$26="私立",前提条件!$C$26,前提条件!$C$25),IF(BW7&lt;=17,IF(入力データ!$J$26="私立",前提条件!$C$28,前提条件!$C$27),IF(BW7&lt;=21,IF(入力データ!$K$26="国公立",前提条件!$C$29,IF(入力データ!$K$26="私立理系",前提条件!$C$31,前提条件!$C$30))+IF(入力データ!$L$26="下宿",前提条件!$C$32,0)+IF(BW7=18,前提条件!$C$33,0),0))))))+IF(BW8="",0,IF(BW8&lt;=5,IF(入力データ!$G$27="私立",前提条件!$C$22,前提条件!$C$21),IF(BW8&lt;=11,IF(入力データ!$H$27="私立",前提条件!$C$24,前提条件!$C$23),IF(BW8&lt;=14,IF(入力データ!$I$27="私立",前提条件!$C$26,前提条件!$C$25),IF(BW8&lt;=17,IF(入力データ!$J$27="私立",前提条件!$C$28,前提条件!$C$27),IF(BW8&lt;=21,IF(入力データ!$K$27="国公立",前提条件!$C$29,IF(入力データ!$K$27="私立理系",前提条件!$C$31,前提条件!$C$30))+IF(入力データ!$L$27="下宿",前提条件!$C$32,0)+IF(BW8=18,前提条件!$C$33,0),0)))))))*(1+前提条件!$C$13)^(BW$3-$B$3))</f>
        <v/>
      </c>
      <c r="BX24" s="352">
        <f>IF(BX$3="","",((SUM(入力データ!$C$58:$C$61)*12)+IF(BX6="",0,IF(BX6&lt;=5,IF(入力データ!$G$25="私立",前提条件!$C$22,前提条件!$C$21),IF(BX6&lt;=11,IF(入力データ!$H$25="私立",前提条件!$C$24,前提条件!$C$23),IF(BX6&lt;=14,IF(入力データ!$I$25="私立",前提条件!$C$26,前提条件!$C$25),IF(BX6&lt;=17,IF(入力データ!$J$25="私立",前提条件!$C$28,前提条件!$C$27),IF(BX6&lt;=21,IF(入力データ!$K$25="国公立",前提条件!$C$29,IF(入力データ!$K$25="私立理系",前提条件!$C$31,前提条件!$C$30))+IF(入力データ!$L$25="下宿",前提条件!$C$32,0)+IF(BX6=18,前提条件!$C$33,0),0))))))+IF(BX7="",0,IF(BX7&lt;=5,IF(入力データ!$G$26="私立",前提条件!$C$22,前提条件!$C$21),IF(BX7&lt;=11,IF(入力データ!$H$26="私立",前提条件!$C$24,前提条件!$C$23),IF(BX7&lt;=14,IF(入力データ!$I$26="私立",前提条件!$C$26,前提条件!$C$25),IF(BX7&lt;=17,IF(入力データ!$J$26="私立",前提条件!$C$28,前提条件!$C$27),IF(BX7&lt;=21,IF(入力データ!$K$26="国公立",前提条件!$C$29,IF(入力データ!$K$26="私立理系",前提条件!$C$31,前提条件!$C$30))+IF(入力データ!$L$26="下宿",前提条件!$C$32,0)+IF(BX7=18,前提条件!$C$33,0),0))))))+IF(BX8="",0,IF(BX8&lt;=5,IF(入力データ!$G$27="私立",前提条件!$C$22,前提条件!$C$21),IF(BX8&lt;=11,IF(入力データ!$H$27="私立",前提条件!$C$24,前提条件!$C$23),IF(BX8&lt;=14,IF(入力データ!$I$27="私立",前提条件!$C$26,前提条件!$C$25),IF(BX8&lt;=17,IF(入力データ!$J$27="私立",前提条件!$C$28,前提条件!$C$27),IF(BX8&lt;=21,IF(入力データ!$K$27="国公立",前提条件!$C$29,IF(入力データ!$K$27="私立理系",前提条件!$C$31,前提条件!$C$30))+IF(入力データ!$L$27="下宿",前提条件!$C$32,0)+IF(BX8=18,前提条件!$C$33,0),0)))))))*(1+前提条件!$C$13)^(BX$3-$B$3))</f>
        <v/>
      </c>
      <c r="BY24" s="352">
        <f>IF(BY$3="","",((SUM(入力データ!$C$58:$C$61)*12)+IF(BY6="",0,IF(BY6&lt;=5,IF(入力データ!$G$25="私立",前提条件!$C$22,前提条件!$C$21),IF(BY6&lt;=11,IF(入力データ!$H$25="私立",前提条件!$C$24,前提条件!$C$23),IF(BY6&lt;=14,IF(入力データ!$I$25="私立",前提条件!$C$26,前提条件!$C$25),IF(BY6&lt;=17,IF(入力データ!$J$25="私立",前提条件!$C$28,前提条件!$C$27),IF(BY6&lt;=21,IF(入力データ!$K$25="国公立",前提条件!$C$29,IF(入力データ!$K$25="私立理系",前提条件!$C$31,前提条件!$C$30))+IF(入力データ!$L$25="下宿",前提条件!$C$32,0)+IF(BY6=18,前提条件!$C$33,0),0))))))+IF(BY7="",0,IF(BY7&lt;=5,IF(入力データ!$G$26="私立",前提条件!$C$22,前提条件!$C$21),IF(BY7&lt;=11,IF(入力データ!$H$26="私立",前提条件!$C$24,前提条件!$C$23),IF(BY7&lt;=14,IF(入力データ!$I$26="私立",前提条件!$C$26,前提条件!$C$25),IF(BY7&lt;=17,IF(入力データ!$J$26="私立",前提条件!$C$28,前提条件!$C$27),IF(BY7&lt;=21,IF(入力データ!$K$26="国公立",前提条件!$C$29,IF(入力データ!$K$26="私立理系",前提条件!$C$31,前提条件!$C$30))+IF(入力データ!$L$26="下宿",前提条件!$C$32,0)+IF(BY7=18,前提条件!$C$33,0),0))))))+IF(BY8="",0,IF(BY8&lt;=5,IF(入力データ!$G$27="私立",前提条件!$C$22,前提条件!$C$21),IF(BY8&lt;=11,IF(入力データ!$H$27="私立",前提条件!$C$24,前提条件!$C$23),IF(BY8&lt;=14,IF(入力データ!$I$27="私立",前提条件!$C$26,前提条件!$C$25),IF(BY8&lt;=17,IF(入力データ!$J$27="私立",前提条件!$C$28,前提条件!$C$27),IF(BY8&lt;=21,IF(入力データ!$K$27="国公立",前提条件!$C$29,IF(入力データ!$K$27="私立理系",前提条件!$C$31,前提条件!$C$30))+IF(入力データ!$L$27="下宿",前提条件!$C$32,0)+IF(BY8=18,前提条件!$C$33,0),0)))))))*(1+前提条件!$C$13)^(BY$3-$B$3))</f>
        <v/>
      </c>
      <c r="BZ24" s="352">
        <f>IF(BZ$3="","",((SUM(入力データ!$C$58:$C$61)*12)+IF(BZ6="",0,IF(BZ6&lt;=5,IF(入力データ!$G$25="私立",前提条件!$C$22,前提条件!$C$21),IF(BZ6&lt;=11,IF(入力データ!$H$25="私立",前提条件!$C$24,前提条件!$C$23),IF(BZ6&lt;=14,IF(入力データ!$I$25="私立",前提条件!$C$26,前提条件!$C$25),IF(BZ6&lt;=17,IF(入力データ!$J$25="私立",前提条件!$C$28,前提条件!$C$27),IF(BZ6&lt;=21,IF(入力データ!$K$25="国公立",前提条件!$C$29,IF(入力データ!$K$25="私立理系",前提条件!$C$31,前提条件!$C$30))+IF(入力データ!$L$25="下宿",前提条件!$C$32,0)+IF(BZ6=18,前提条件!$C$33,0),0))))))+IF(BZ7="",0,IF(BZ7&lt;=5,IF(入力データ!$G$26="私立",前提条件!$C$22,前提条件!$C$21),IF(BZ7&lt;=11,IF(入力データ!$H$26="私立",前提条件!$C$24,前提条件!$C$23),IF(BZ7&lt;=14,IF(入力データ!$I$26="私立",前提条件!$C$26,前提条件!$C$25),IF(BZ7&lt;=17,IF(入力データ!$J$26="私立",前提条件!$C$28,前提条件!$C$27),IF(BZ7&lt;=21,IF(入力データ!$K$26="国公立",前提条件!$C$29,IF(入力データ!$K$26="私立理系",前提条件!$C$31,前提条件!$C$30))+IF(入力データ!$L$26="下宿",前提条件!$C$32,0)+IF(BZ7=18,前提条件!$C$33,0),0))))))+IF(BZ8="",0,IF(BZ8&lt;=5,IF(入力データ!$G$27="私立",前提条件!$C$22,前提条件!$C$21),IF(BZ8&lt;=11,IF(入力データ!$H$27="私立",前提条件!$C$24,前提条件!$C$23),IF(BZ8&lt;=14,IF(入力データ!$I$27="私立",前提条件!$C$26,前提条件!$C$25),IF(BZ8&lt;=17,IF(入力データ!$J$27="私立",前提条件!$C$28,前提条件!$C$27),IF(BZ8&lt;=21,IF(入力データ!$K$27="国公立",前提条件!$C$29,IF(入力データ!$K$27="私立理系",前提条件!$C$31,前提条件!$C$30))+IF(入力データ!$L$27="下宿",前提条件!$C$32,0)+IF(BZ8=18,前提条件!$C$33,0),0)))))))*(1+前提条件!$C$13)^(BZ$3-$B$3))</f>
        <v/>
      </c>
      <c r="CA24" s="352">
        <f>IF(CA$3="","",((SUM(入力データ!$C$58:$C$61)*12)+IF(CA6="",0,IF(CA6&lt;=5,IF(入力データ!$G$25="私立",前提条件!$C$22,前提条件!$C$21),IF(CA6&lt;=11,IF(入力データ!$H$25="私立",前提条件!$C$24,前提条件!$C$23),IF(CA6&lt;=14,IF(入力データ!$I$25="私立",前提条件!$C$26,前提条件!$C$25),IF(CA6&lt;=17,IF(入力データ!$J$25="私立",前提条件!$C$28,前提条件!$C$27),IF(CA6&lt;=21,IF(入力データ!$K$25="国公立",前提条件!$C$29,IF(入力データ!$K$25="私立理系",前提条件!$C$31,前提条件!$C$30))+IF(入力データ!$L$25="下宿",前提条件!$C$32,0)+IF(CA6=18,前提条件!$C$33,0),0))))))+IF(CA7="",0,IF(CA7&lt;=5,IF(入力データ!$G$26="私立",前提条件!$C$22,前提条件!$C$21),IF(CA7&lt;=11,IF(入力データ!$H$26="私立",前提条件!$C$24,前提条件!$C$23),IF(CA7&lt;=14,IF(入力データ!$I$26="私立",前提条件!$C$26,前提条件!$C$25),IF(CA7&lt;=17,IF(入力データ!$J$26="私立",前提条件!$C$28,前提条件!$C$27),IF(CA7&lt;=21,IF(入力データ!$K$26="国公立",前提条件!$C$29,IF(入力データ!$K$26="私立理系",前提条件!$C$31,前提条件!$C$30))+IF(入力データ!$L$26="下宿",前提条件!$C$32,0)+IF(CA7=18,前提条件!$C$33,0),0))))))+IF(CA8="",0,IF(CA8&lt;=5,IF(入力データ!$G$27="私立",前提条件!$C$22,前提条件!$C$21),IF(CA8&lt;=11,IF(入力データ!$H$27="私立",前提条件!$C$24,前提条件!$C$23),IF(CA8&lt;=14,IF(入力データ!$I$27="私立",前提条件!$C$26,前提条件!$C$25),IF(CA8&lt;=17,IF(入力データ!$J$27="私立",前提条件!$C$28,前提条件!$C$27),IF(CA8&lt;=21,IF(入力データ!$K$27="国公立",前提条件!$C$29,IF(入力データ!$K$27="私立理系",前提条件!$C$31,前提条件!$C$30))+IF(入力データ!$L$27="下宿",前提条件!$C$32,0)+IF(CA8=18,前提条件!$C$33,0),0)))))))*(1+前提条件!$C$13)^(CA$3-$B$3))</f>
        <v/>
      </c>
      <c r="CB24" s="352">
        <f>IF(CB$3="","",((SUM(入力データ!$C$58:$C$61)*12)+IF(CB6="",0,IF(CB6&lt;=5,IF(入力データ!$G$25="私立",前提条件!$C$22,前提条件!$C$21),IF(CB6&lt;=11,IF(入力データ!$H$25="私立",前提条件!$C$24,前提条件!$C$23),IF(CB6&lt;=14,IF(入力データ!$I$25="私立",前提条件!$C$26,前提条件!$C$25),IF(CB6&lt;=17,IF(入力データ!$J$25="私立",前提条件!$C$28,前提条件!$C$27),IF(CB6&lt;=21,IF(入力データ!$K$25="国公立",前提条件!$C$29,IF(入力データ!$K$25="私立理系",前提条件!$C$31,前提条件!$C$30))+IF(入力データ!$L$25="下宿",前提条件!$C$32,0)+IF(CB6=18,前提条件!$C$33,0),0))))))+IF(CB7="",0,IF(CB7&lt;=5,IF(入力データ!$G$26="私立",前提条件!$C$22,前提条件!$C$21),IF(CB7&lt;=11,IF(入力データ!$H$26="私立",前提条件!$C$24,前提条件!$C$23),IF(CB7&lt;=14,IF(入力データ!$I$26="私立",前提条件!$C$26,前提条件!$C$25),IF(CB7&lt;=17,IF(入力データ!$J$26="私立",前提条件!$C$28,前提条件!$C$27),IF(CB7&lt;=21,IF(入力データ!$K$26="国公立",前提条件!$C$29,IF(入力データ!$K$26="私立理系",前提条件!$C$31,前提条件!$C$30))+IF(入力データ!$L$26="下宿",前提条件!$C$32,0)+IF(CB7=18,前提条件!$C$33,0),0))))))+IF(CB8="",0,IF(CB8&lt;=5,IF(入力データ!$G$27="私立",前提条件!$C$22,前提条件!$C$21),IF(CB8&lt;=11,IF(入力データ!$H$27="私立",前提条件!$C$24,前提条件!$C$23),IF(CB8&lt;=14,IF(入力データ!$I$27="私立",前提条件!$C$26,前提条件!$C$25),IF(CB8&lt;=17,IF(入力データ!$J$27="私立",前提条件!$C$28,前提条件!$C$27),IF(CB8&lt;=21,IF(入力データ!$K$27="国公立",前提条件!$C$29,IF(入力データ!$K$27="私立理系",前提条件!$C$31,前提条件!$C$30))+IF(入力データ!$L$27="下宿",前提条件!$C$32,0)+IF(CB8=18,前提条件!$C$33,0),0)))))))*(1+前提条件!$C$13)^(CB$3-$B$3))</f>
        <v/>
      </c>
      <c r="CC24" s="352">
        <f>IF(CC$3="","",((SUM(入力データ!$C$58:$C$61)*12)+IF(CC6="",0,IF(CC6&lt;=5,IF(入力データ!$G$25="私立",前提条件!$C$22,前提条件!$C$21),IF(CC6&lt;=11,IF(入力データ!$H$25="私立",前提条件!$C$24,前提条件!$C$23),IF(CC6&lt;=14,IF(入力データ!$I$25="私立",前提条件!$C$26,前提条件!$C$25),IF(CC6&lt;=17,IF(入力データ!$J$25="私立",前提条件!$C$28,前提条件!$C$27),IF(CC6&lt;=21,IF(入力データ!$K$25="国公立",前提条件!$C$29,IF(入力データ!$K$25="私立理系",前提条件!$C$31,前提条件!$C$30))+IF(入力データ!$L$25="下宿",前提条件!$C$32,0)+IF(CC6=18,前提条件!$C$33,0),0))))))+IF(CC7="",0,IF(CC7&lt;=5,IF(入力データ!$G$26="私立",前提条件!$C$22,前提条件!$C$21),IF(CC7&lt;=11,IF(入力データ!$H$26="私立",前提条件!$C$24,前提条件!$C$23),IF(CC7&lt;=14,IF(入力データ!$I$26="私立",前提条件!$C$26,前提条件!$C$25),IF(CC7&lt;=17,IF(入力データ!$J$26="私立",前提条件!$C$28,前提条件!$C$27),IF(CC7&lt;=21,IF(入力データ!$K$26="国公立",前提条件!$C$29,IF(入力データ!$K$26="私立理系",前提条件!$C$31,前提条件!$C$30))+IF(入力データ!$L$26="下宿",前提条件!$C$32,0)+IF(CC7=18,前提条件!$C$33,0),0))))))+IF(CC8="",0,IF(CC8&lt;=5,IF(入力データ!$G$27="私立",前提条件!$C$22,前提条件!$C$21),IF(CC8&lt;=11,IF(入力データ!$H$27="私立",前提条件!$C$24,前提条件!$C$23),IF(CC8&lt;=14,IF(入力データ!$I$27="私立",前提条件!$C$26,前提条件!$C$25),IF(CC8&lt;=17,IF(入力データ!$J$27="私立",前提条件!$C$28,前提条件!$C$27),IF(CC8&lt;=21,IF(入力データ!$K$27="国公立",前提条件!$C$29,IF(入力データ!$K$27="私立理系",前提条件!$C$31,前提条件!$C$30))+IF(入力データ!$L$27="下宿",前提条件!$C$32,0)+IF(CC8=18,前提条件!$C$33,0),0)))))))*(1+前提条件!$C$13)^(CC$3-$B$3))</f>
        <v/>
      </c>
      <c r="CD24" s="352">
        <f>IF(CD$3="","",((SUM(入力データ!$C$58:$C$61)*12)+IF(CD6="",0,IF(CD6&lt;=5,IF(入力データ!$G$25="私立",前提条件!$C$22,前提条件!$C$21),IF(CD6&lt;=11,IF(入力データ!$H$25="私立",前提条件!$C$24,前提条件!$C$23),IF(CD6&lt;=14,IF(入力データ!$I$25="私立",前提条件!$C$26,前提条件!$C$25),IF(CD6&lt;=17,IF(入力データ!$J$25="私立",前提条件!$C$28,前提条件!$C$27),IF(CD6&lt;=21,IF(入力データ!$K$25="国公立",前提条件!$C$29,IF(入力データ!$K$25="私立理系",前提条件!$C$31,前提条件!$C$30))+IF(入力データ!$L$25="下宿",前提条件!$C$32,0)+IF(CD6=18,前提条件!$C$33,0),0))))))+IF(CD7="",0,IF(CD7&lt;=5,IF(入力データ!$G$26="私立",前提条件!$C$22,前提条件!$C$21),IF(CD7&lt;=11,IF(入力データ!$H$26="私立",前提条件!$C$24,前提条件!$C$23),IF(CD7&lt;=14,IF(入力データ!$I$26="私立",前提条件!$C$26,前提条件!$C$25),IF(CD7&lt;=17,IF(入力データ!$J$26="私立",前提条件!$C$28,前提条件!$C$27),IF(CD7&lt;=21,IF(入力データ!$K$26="国公立",前提条件!$C$29,IF(入力データ!$K$26="私立理系",前提条件!$C$31,前提条件!$C$30))+IF(入力データ!$L$26="下宿",前提条件!$C$32,0)+IF(CD7=18,前提条件!$C$33,0),0))))))+IF(CD8="",0,IF(CD8&lt;=5,IF(入力データ!$G$27="私立",前提条件!$C$22,前提条件!$C$21),IF(CD8&lt;=11,IF(入力データ!$H$27="私立",前提条件!$C$24,前提条件!$C$23),IF(CD8&lt;=14,IF(入力データ!$I$27="私立",前提条件!$C$26,前提条件!$C$25),IF(CD8&lt;=17,IF(入力データ!$J$27="私立",前提条件!$C$28,前提条件!$C$27),IF(CD8&lt;=21,IF(入力データ!$K$27="国公立",前提条件!$C$29,IF(入力データ!$K$27="私立理系",前提条件!$C$31,前提条件!$C$30))+IF(入力データ!$L$27="下宿",前提条件!$C$32,0)+IF(CD8=18,前提条件!$C$33,0),0)))))))*(1+前提条件!$C$13)^(CD$3-$B$3))</f>
        <v/>
      </c>
      <c r="CE24" s="352">
        <f>IF(CE$3="","",((SUM(入力データ!$C$58:$C$61)*12)+IF(CE6="",0,IF(CE6&lt;=5,IF(入力データ!$G$25="私立",前提条件!$C$22,前提条件!$C$21),IF(CE6&lt;=11,IF(入力データ!$H$25="私立",前提条件!$C$24,前提条件!$C$23),IF(CE6&lt;=14,IF(入力データ!$I$25="私立",前提条件!$C$26,前提条件!$C$25),IF(CE6&lt;=17,IF(入力データ!$J$25="私立",前提条件!$C$28,前提条件!$C$27),IF(CE6&lt;=21,IF(入力データ!$K$25="国公立",前提条件!$C$29,IF(入力データ!$K$25="私立理系",前提条件!$C$31,前提条件!$C$30))+IF(入力データ!$L$25="下宿",前提条件!$C$32,0)+IF(CE6=18,前提条件!$C$33,0),0))))))+IF(CE7="",0,IF(CE7&lt;=5,IF(入力データ!$G$26="私立",前提条件!$C$22,前提条件!$C$21),IF(CE7&lt;=11,IF(入力データ!$H$26="私立",前提条件!$C$24,前提条件!$C$23),IF(CE7&lt;=14,IF(入力データ!$I$26="私立",前提条件!$C$26,前提条件!$C$25),IF(CE7&lt;=17,IF(入力データ!$J$26="私立",前提条件!$C$28,前提条件!$C$27),IF(CE7&lt;=21,IF(入力データ!$K$26="国公立",前提条件!$C$29,IF(入力データ!$K$26="私立理系",前提条件!$C$31,前提条件!$C$30))+IF(入力データ!$L$26="下宿",前提条件!$C$32,0)+IF(CE7=18,前提条件!$C$33,0),0))))))+IF(CE8="",0,IF(CE8&lt;=5,IF(入力データ!$G$27="私立",前提条件!$C$22,前提条件!$C$21),IF(CE8&lt;=11,IF(入力データ!$H$27="私立",前提条件!$C$24,前提条件!$C$23),IF(CE8&lt;=14,IF(入力データ!$I$27="私立",前提条件!$C$26,前提条件!$C$25),IF(CE8&lt;=17,IF(入力データ!$J$27="私立",前提条件!$C$28,前提条件!$C$27),IF(CE8&lt;=21,IF(入力データ!$K$27="国公立",前提条件!$C$29,IF(入力データ!$K$27="私立理系",前提条件!$C$31,前提条件!$C$30))+IF(入力データ!$L$27="下宿",前提条件!$C$32,0)+IF(CE8=18,前提条件!$C$33,0),0)))))))*(1+前提条件!$C$13)^(CE$3-$B$3))</f>
        <v/>
      </c>
      <c r="CF24" s="352">
        <f>IF(CF$3="","",((SUM(入力データ!$C$58:$C$61)*12)+IF(CF6="",0,IF(CF6&lt;=5,IF(入力データ!$G$25="私立",前提条件!$C$22,前提条件!$C$21),IF(CF6&lt;=11,IF(入力データ!$H$25="私立",前提条件!$C$24,前提条件!$C$23),IF(CF6&lt;=14,IF(入力データ!$I$25="私立",前提条件!$C$26,前提条件!$C$25),IF(CF6&lt;=17,IF(入力データ!$J$25="私立",前提条件!$C$28,前提条件!$C$27),IF(CF6&lt;=21,IF(入力データ!$K$25="国公立",前提条件!$C$29,IF(入力データ!$K$25="私立理系",前提条件!$C$31,前提条件!$C$30))+IF(入力データ!$L$25="下宿",前提条件!$C$32,0)+IF(CF6=18,前提条件!$C$33,0),0))))))+IF(CF7="",0,IF(CF7&lt;=5,IF(入力データ!$G$26="私立",前提条件!$C$22,前提条件!$C$21),IF(CF7&lt;=11,IF(入力データ!$H$26="私立",前提条件!$C$24,前提条件!$C$23),IF(CF7&lt;=14,IF(入力データ!$I$26="私立",前提条件!$C$26,前提条件!$C$25),IF(CF7&lt;=17,IF(入力データ!$J$26="私立",前提条件!$C$28,前提条件!$C$27),IF(CF7&lt;=21,IF(入力データ!$K$26="国公立",前提条件!$C$29,IF(入力データ!$K$26="私立理系",前提条件!$C$31,前提条件!$C$30))+IF(入力データ!$L$26="下宿",前提条件!$C$32,0)+IF(CF7=18,前提条件!$C$33,0),0))))))+IF(CF8="",0,IF(CF8&lt;=5,IF(入力データ!$G$27="私立",前提条件!$C$22,前提条件!$C$21),IF(CF8&lt;=11,IF(入力データ!$H$27="私立",前提条件!$C$24,前提条件!$C$23),IF(CF8&lt;=14,IF(入力データ!$I$27="私立",前提条件!$C$26,前提条件!$C$25),IF(CF8&lt;=17,IF(入力データ!$J$27="私立",前提条件!$C$28,前提条件!$C$27),IF(CF8&lt;=21,IF(入力データ!$K$27="国公立",前提条件!$C$29,IF(入力データ!$K$27="私立理系",前提条件!$C$31,前提条件!$C$30))+IF(入力データ!$L$27="下宿",前提条件!$C$32,0)+IF(CF8=18,前提条件!$C$33,0),0)))))))*(1+前提条件!$C$13)^(CF$3-$B$3))</f>
        <v/>
      </c>
      <c r="CG24" s="352">
        <f>IF(CG$3="","",((SUM(入力データ!$C$58:$C$61)*12)+IF(CG6="",0,IF(CG6&lt;=5,IF(入力データ!$G$25="私立",前提条件!$C$22,前提条件!$C$21),IF(CG6&lt;=11,IF(入力データ!$H$25="私立",前提条件!$C$24,前提条件!$C$23),IF(CG6&lt;=14,IF(入力データ!$I$25="私立",前提条件!$C$26,前提条件!$C$25),IF(CG6&lt;=17,IF(入力データ!$J$25="私立",前提条件!$C$28,前提条件!$C$27),IF(CG6&lt;=21,IF(入力データ!$K$25="国公立",前提条件!$C$29,IF(入力データ!$K$25="私立理系",前提条件!$C$31,前提条件!$C$30))+IF(入力データ!$L$25="下宿",前提条件!$C$32,0)+IF(CG6=18,前提条件!$C$33,0),0))))))+IF(CG7="",0,IF(CG7&lt;=5,IF(入力データ!$G$26="私立",前提条件!$C$22,前提条件!$C$21),IF(CG7&lt;=11,IF(入力データ!$H$26="私立",前提条件!$C$24,前提条件!$C$23),IF(CG7&lt;=14,IF(入力データ!$I$26="私立",前提条件!$C$26,前提条件!$C$25),IF(CG7&lt;=17,IF(入力データ!$J$26="私立",前提条件!$C$28,前提条件!$C$27),IF(CG7&lt;=21,IF(入力データ!$K$26="国公立",前提条件!$C$29,IF(入力データ!$K$26="私立理系",前提条件!$C$31,前提条件!$C$30))+IF(入力データ!$L$26="下宿",前提条件!$C$32,0)+IF(CG7=18,前提条件!$C$33,0),0))))))+IF(CG8="",0,IF(CG8&lt;=5,IF(入力データ!$G$27="私立",前提条件!$C$22,前提条件!$C$21),IF(CG8&lt;=11,IF(入力データ!$H$27="私立",前提条件!$C$24,前提条件!$C$23),IF(CG8&lt;=14,IF(入力データ!$I$27="私立",前提条件!$C$26,前提条件!$C$25),IF(CG8&lt;=17,IF(入力データ!$J$27="私立",前提条件!$C$28,前提条件!$C$27),IF(CG8&lt;=21,IF(入力データ!$K$27="国公立",前提条件!$C$29,IF(入力データ!$K$27="私立理系",前提条件!$C$31,前提条件!$C$30))+IF(入力データ!$L$27="下宿",前提条件!$C$32,0)+IF(CG8=18,前提条件!$C$33,0),0)))))))*(1+前提条件!$C$13)^(CG$3-$B$3))</f>
        <v/>
      </c>
      <c r="CH24" s="352">
        <f>IF(CH$3="","",((SUM(入力データ!$C$58:$C$61)*12)+IF(CH6="",0,IF(CH6&lt;=5,IF(入力データ!$G$25="私立",前提条件!$C$22,前提条件!$C$21),IF(CH6&lt;=11,IF(入力データ!$H$25="私立",前提条件!$C$24,前提条件!$C$23),IF(CH6&lt;=14,IF(入力データ!$I$25="私立",前提条件!$C$26,前提条件!$C$25),IF(CH6&lt;=17,IF(入力データ!$J$25="私立",前提条件!$C$28,前提条件!$C$27),IF(CH6&lt;=21,IF(入力データ!$K$25="国公立",前提条件!$C$29,IF(入力データ!$K$25="私立理系",前提条件!$C$31,前提条件!$C$30))+IF(入力データ!$L$25="下宿",前提条件!$C$32,0)+IF(CH6=18,前提条件!$C$33,0),0))))))+IF(CH7="",0,IF(CH7&lt;=5,IF(入力データ!$G$26="私立",前提条件!$C$22,前提条件!$C$21),IF(CH7&lt;=11,IF(入力データ!$H$26="私立",前提条件!$C$24,前提条件!$C$23),IF(CH7&lt;=14,IF(入力データ!$I$26="私立",前提条件!$C$26,前提条件!$C$25),IF(CH7&lt;=17,IF(入力データ!$J$26="私立",前提条件!$C$28,前提条件!$C$27),IF(CH7&lt;=21,IF(入力データ!$K$26="国公立",前提条件!$C$29,IF(入力データ!$K$26="私立理系",前提条件!$C$31,前提条件!$C$30))+IF(入力データ!$L$26="下宿",前提条件!$C$32,0)+IF(CH7=18,前提条件!$C$33,0),0))))))+IF(CH8="",0,IF(CH8&lt;=5,IF(入力データ!$G$27="私立",前提条件!$C$22,前提条件!$C$21),IF(CH8&lt;=11,IF(入力データ!$H$27="私立",前提条件!$C$24,前提条件!$C$23),IF(CH8&lt;=14,IF(入力データ!$I$27="私立",前提条件!$C$26,前提条件!$C$25),IF(CH8&lt;=17,IF(入力データ!$J$27="私立",前提条件!$C$28,前提条件!$C$27),IF(CH8&lt;=21,IF(入力データ!$K$27="国公立",前提条件!$C$29,IF(入力データ!$K$27="私立理系",前提条件!$C$31,前提条件!$C$30))+IF(入力データ!$L$27="下宿",前提条件!$C$32,0)+IF(CH8=18,前提条件!$C$33,0),0)))))))*(1+前提条件!$C$13)^(CH$3-$B$3))</f>
        <v/>
      </c>
      <c r="CI24" s="352">
        <f>IF(CI$3="","",((SUM(入力データ!$C$58:$C$61)*12)+IF(CI6="",0,IF(CI6&lt;=5,IF(入力データ!$G$25="私立",前提条件!$C$22,前提条件!$C$21),IF(CI6&lt;=11,IF(入力データ!$H$25="私立",前提条件!$C$24,前提条件!$C$23),IF(CI6&lt;=14,IF(入力データ!$I$25="私立",前提条件!$C$26,前提条件!$C$25),IF(CI6&lt;=17,IF(入力データ!$J$25="私立",前提条件!$C$28,前提条件!$C$27),IF(CI6&lt;=21,IF(入力データ!$K$25="国公立",前提条件!$C$29,IF(入力データ!$K$25="私立理系",前提条件!$C$31,前提条件!$C$30))+IF(入力データ!$L$25="下宿",前提条件!$C$32,0)+IF(CI6=18,前提条件!$C$33,0),0))))))+IF(CI7="",0,IF(CI7&lt;=5,IF(入力データ!$G$26="私立",前提条件!$C$22,前提条件!$C$21),IF(CI7&lt;=11,IF(入力データ!$H$26="私立",前提条件!$C$24,前提条件!$C$23),IF(CI7&lt;=14,IF(入力データ!$I$26="私立",前提条件!$C$26,前提条件!$C$25),IF(CI7&lt;=17,IF(入力データ!$J$26="私立",前提条件!$C$28,前提条件!$C$27),IF(CI7&lt;=21,IF(入力データ!$K$26="国公立",前提条件!$C$29,IF(入力データ!$K$26="私立理系",前提条件!$C$31,前提条件!$C$30))+IF(入力データ!$L$26="下宿",前提条件!$C$32,0)+IF(CI7=18,前提条件!$C$33,0),0))))))+IF(CI8="",0,IF(CI8&lt;=5,IF(入力データ!$G$27="私立",前提条件!$C$22,前提条件!$C$21),IF(CI8&lt;=11,IF(入力データ!$H$27="私立",前提条件!$C$24,前提条件!$C$23),IF(CI8&lt;=14,IF(入力データ!$I$27="私立",前提条件!$C$26,前提条件!$C$25),IF(CI8&lt;=17,IF(入力データ!$J$27="私立",前提条件!$C$28,前提条件!$C$27),IF(CI8&lt;=21,IF(入力データ!$K$27="国公立",前提条件!$C$29,IF(入力データ!$K$27="私立理系",前提条件!$C$31,前提条件!$C$30))+IF(入力データ!$L$27="下宿",前提条件!$C$32,0)+IF(CI8=18,前提条件!$C$33,0),0)))))))*(1+前提条件!$C$13)^(CI$3-$B$3))</f>
        <v/>
      </c>
      <c r="CJ24" s="352">
        <f>IF(CJ$3="","",((SUM(入力データ!$C$58:$C$61)*12)+IF(CJ6="",0,IF(CJ6&lt;=5,IF(入力データ!$G$25="私立",前提条件!$C$22,前提条件!$C$21),IF(CJ6&lt;=11,IF(入力データ!$H$25="私立",前提条件!$C$24,前提条件!$C$23),IF(CJ6&lt;=14,IF(入力データ!$I$25="私立",前提条件!$C$26,前提条件!$C$25),IF(CJ6&lt;=17,IF(入力データ!$J$25="私立",前提条件!$C$28,前提条件!$C$27),IF(CJ6&lt;=21,IF(入力データ!$K$25="国公立",前提条件!$C$29,IF(入力データ!$K$25="私立理系",前提条件!$C$31,前提条件!$C$30))+IF(入力データ!$L$25="下宿",前提条件!$C$32,0)+IF(CJ6=18,前提条件!$C$33,0),0))))))+IF(CJ7="",0,IF(CJ7&lt;=5,IF(入力データ!$G$26="私立",前提条件!$C$22,前提条件!$C$21),IF(CJ7&lt;=11,IF(入力データ!$H$26="私立",前提条件!$C$24,前提条件!$C$23),IF(CJ7&lt;=14,IF(入力データ!$I$26="私立",前提条件!$C$26,前提条件!$C$25),IF(CJ7&lt;=17,IF(入力データ!$J$26="私立",前提条件!$C$28,前提条件!$C$27),IF(CJ7&lt;=21,IF(入力データ!$K$26="国公立",前提条件!$C$29,IF(入力データ!$K$26="私立理系",前提条件!$C$31,前提条件!$C$30))+IF(入力データ!$L$26="下宿",前提条件!$C$32,0)+IF(CJ7=18,前提条件!$C$33,0),0))))))+IF(CJ8="",0,IF(CJ8&lt;=5,IF(入力データ!$G$27="私立",前提条件!$C$22,前提条件!$C$21),IF(CJ8&lt;=11,IF(入力データ!$H$27="私立",前提条件!$C$24,前提条件!$C$23),IF(CJ8&lt;=14,IF(入力データ!$I$27="私立",前提条件!$C$26,前提条件!$C$25),IF(CJ8&lt;=17,IF(入力データ!$J$27="私立",前提条件!$C$28,前提条件!$C$27),IF(CJ8&lt;=21,IF(入力データ!$K$27="国公立",前提条件!$C$29,IF(入力データ!$K$27="私立理系",前提条件!$C$31,前提条件!$C$30))+IF(入力データ!$L$27="下宿",前提条件!$C$32,0)+IF(CJ8=18,前提条件!$C$33,0),0)))))))*(1+前提条件!$C$13)^(CJ$3-$B$3))</f>
        <v/>
      </c>
      <c r="CK24" s="352">
        <f>IF(CK$3="","",((SUM(入力データ!$C$58:$C$61)*12)+IF(CK6="",0,IF(CK6&lt;=5,IF(入力データ!$G$25="私立",前提条件!$C$22,前提条件!$C$21),IF(CK6&lt;=11,IF(入力データ!$H$25="私立",前提条件!$C$24,前提条件!$C$23),IF(CK6&lt;=14,IF(入力データ!$I$25="私立",前提条件!$C$26,前提条件!$C$25),IF(CK6&lt;=17,IF(入力データ!$J$25="私立",前提条件!$C$28,前提条件!$C$27),IF(CK6&lt;=21,IF(入力データ!$K$25="国公立",前提条件!$C$29,IF(入力データ!$K$25="私立理系",前提条件!$C$31,前提条件!$C$30))+IF(入力データ!$L$25="下宿",前提条件!$C$32,0)+IF(CK6=18,前提条件!$C$33,0),0))))))+IF(CK7="",0,IF(CK7&lt;=5,IF(入力データ!$G$26="私立",前提条件!$C$22,前提条件!$C$21),IF(CK7&lt;=11,IF(入力データ!$H$26="私立",前提条件!$C$24,前提条件!$C$23),IF(CK7&lt;=14,IF(入力データ!$I$26="私立",前提条件!$C$26,前提条件!$C$25),IF(CK7&lt;=17,IF(入力データ!$J$26="私立",前提条件!$C$28,前提条件!$C$27),IF(CK7&lt;=21,IF(入力データ!$K$26="国公立",前提条件!$C$29,IF(入力データ!$K$26="私立理系",前提条件!$C$31,前提条件!$C$30))+IF(入力データ!$L$26="下宿",前提条件!$C$32,0)+IF(CK7=18,前提条件!$C$33,0),0))))))+IF(CK8="",0,IF(CK8&lt;=5,IF(入力データ!$G$27="私立",前提条件!$C$22,前提条件!$C$21),IF(CK8&lt;=11,IF(入力データ!$H$27="私立",前提条件!$C$24,前提条件!$C$23),IF(CK8&lt;=14,IF(入力データ!$I$27="私立",前提条件!$C$26,前提条件!$C$25),IF(CK8&lt;=17,IF(入力データ!$J$27="私立",前提条件!$C$28,前提条件!$C$27),IF(CK8&lt;=21,IF(入力データ!$K$27="国公立",前提条件!$C$29,IF(入力データ!$K$27="私立理系",前提条件!$C$31,前提条件!$C$30))+IF(入力データ!$L$27="下宿",前提条件!$C$32,0)+IF(CK8=18,前提条件!$C$33,0),0)))))))*(1+前提条件!$C$13)^(CK$3-$B$3))</f>
        <v/>
      </c>
      <c r="CL24" s="352">
        <f>IF(CL$3="","",((SUM(入力データ!$C$58:$C$61)*12)+IF(CL6="",0,IF(CL6&lt;=5,IF(入力データ!$G$25="私立",前提条件!$C$22,前提条件!$C$21),IF(CL6&lt;=11,IF(入力データ!$H$25="私立",前提条件!$C$24,前提条件!$C$23),IF(CL6&lt;=14,IF(入力データ!$I$25="私立",前提条件!$C$26,前提条件!$C$25),IF(CL6&lt;=17,IF(入力データ!$J$25="私立",前提条件!$C$28,前提条件!$C$27),IF(CL6&lt;=21,IF(入力データ!$K$25="国公立",前提条件!$C$29,IF(入力データ!$K$25="私立理系",前提条件!$C$31,前提条件!$C$30))+IF(入力データ!$L$25="下宿",前提条件!$C$32,0)+IF(CL6=18,前提条件!$C$33,0),0))))))+IF(CL7="",0,IF(CL7&lt;=5,IF(入力データ!$G$26="私立",前提条件!$C$22,前提条件!$C$21),IF(CL7&lt;=11,IF(入力データ!$H$26="私立",前提条件!$C$24,前提条件!$C$23),IF(CL7&lt;=14,IF(入力データ!$I$26="私立",前提条件!$C$26,前提条件!$C$25),IF(CL7&lt;=17,IF(入力データ!$J$26="私立",前提条件!$C$28,前提条件!$C$27),IF(CL7&lt;=21,IF(入力データ!$K$26="国公立",前提条件!$C$29,IF(入力データ!$K$26="私立理系",前提条件!$C$31,前提条件!$C$30))+IF(入力データ!$L$26="下宿",前提条件!$C$32,0)+IF(CL7=18,前提条件!$C$33,0),0))))))+IF(CL8="",0,IF(CL8&lt;=5,IF(入力データ!$G$27="私立",前提条件!$C$22,前提条件!$C$21),IF(CL8&lt;=11,IF(入力データ!$H$27="私立",前提条件!$C$24,前提条件!$C$23),IF(CL8&lt;=14,IF(入力データ!$I$27="私立",前提条件!$C$26,前提条件!$C$25),IF(CL8&lt;=17,IF(入力データ!$J$27="私立",前提条件!$C$28,前提条件!$C$27),IF(CL8&lt;=21,IF(入力データ!$K$27="国公立",前提条件!$C$29,IF(入力データ!$K$27="私立理系",前提条件!$C$31,前提条件!$C$30))+IF(入力データ!$L$27="下宿",前提条件!$C$32,0)+IF(CL8=18,前提条件!$C$33,0),0)))))))*(1+前提条件!$C$13)^(CL$3-$B$3))</f>
        <v/>
      </c>
      <c r="CM24" s="352">
        <f>IF(CM$3="","",((SUM(入力データ!$C$58:$C$61)*12)+IF(CM6="",0,IF(CM6&lt;=5,IF(入力データ!$G$25="私立",前提条件!$C$22,前提条件!$C$21),IF(CM6&lt;=11,IF(入力データ!$H$25="私立",前提条件!$C$24,前提条件!$C$23),IF(CM6&lt;=14,IF(入力データ!$I$25="私立",前提条件!$C$26,前提条件!$C$25),IF(CM6&lt;=17,IF(入力データ!$J$25="私立",前提条件!$C$28,前提条件!$C$27),IF(CM6&lt;=21,IF(入力データ!$K$25="国公立",前提条件!$C$29,IF(入力データ!$K$25="私立理系",前提条件!$C$31,前提条件!$C$30))+IF(入力データ!$L$25="下宿",前提条件!$C$32,0)+IF(CM6=18,前提条件!$C$33,0),0))))))+IF(CM7="",0,IF(CM7&lt;=5,IF(入力データ!$G$26="私立",前提条件!$C$22,前提条件!$C$21),IF(CM7&lt;=11,IF(入力データ!$H$26="私立",前提条件!$C$24,前提条件!$C$23),IF(CM7&lt;=14,IF(入力データ!$I$26="私立",前提条件!$C$26,前提条件!$C$25),IF(CM7&lt;=17,IF(入力データ!$J$26="私立",前提条件!$C$28,前提条件!$C$27),IF(CM7&lt;=21,IF(入力データ!$K$26="国公立",前提条件!$C$29,IF(入力データ!$K$26="私立理系",前提条件!$C$31,前提条件!$C$30))+IF(入力データ!$L$26="下宿",前提条件!$C$32,0)+IF(CM7=18,前提条件!$C$33,0),0))))))+IF(CM8="",0,IF(CM8&lt;=5,IF(入力データ!$G$27="私立",前提条件!$C$22,前提条件!$C$21),IF(CM8&lt;=11,IF(入力データ!$H$27="私立",前提条件!$C$24,前提条件!$C$23),IF(CM8&lt;=14,IF(入力データ!$I$27="私立",前提条件!$C$26,前提条件!$C$25),IF(CM8&lt;=17,IF(入力データ!$J$27="私立",前提条件!$C$28,前提条件!$C$27),IF(CM8&lt;=21,IF(入力データ!$K$27="国公立",前提条件!$C$29,IF(入力データ!$K$27="私立理系",前提条件!$C$31,前提条件!$C$30))+IF(入力データ!$L$27="下宿",前提条件!$C$32,0)+IF(CM8=18,前提条件!$C$33,0),0)))))))*(1+前提条件!$C$13)^(CM$3-$B$3))</f>
        <v/>
      </c>
      <c r="CN24" s="352">
        <f>IF(CN$3="","",((SUM(入力データ!$C$58:$C$61)*12)+IF(CN6="",0,IF(CN6&lt;=5,IF(入力データ!$G$25="私立",前提条件!$C$22,前提条件!$C$21),IF(CN6&lt;=11,IF(入力データ!$H$25="私立",前提条件!$C$24,前提条件!$C$23),IF(CN6&lt;=14,IF(入力データ!$I$25="私立",前提条件!$C$26,前提条件!$C$25),IF(CN6&lt;=17,IF(入力データ!$J$25="私立",前提条件!$C$28,前提条件!$C$27),IF(CN6&lt;=21,IF(入力データ!$K$25="国公立",前提条件!$C$29,IF(入力データ!$K$25="私立理系",前提条件!$C$31,前提条件!$C$30))+IF(入力データ!$L$25="下宿",前提条件!$C$32,0)+IF(CN6=18,前提条件!$C$33,0),0))))))+IF(CN7="",0,IF(CN7&lt;=5,IF(入力データ!$G$26="私立",前提条件!$C$22,前提条件!$C$21),IF(CN7&lt;=11,IF(入力データ!$H$26="私立",前提条件!$C$24,前提条件!$C$23),IF(CN7&lt;=14,IF(入力データ!$I$26="私立",前提条件!$C$26,前提条件!$C$25),IF(CN7&lt;=17,IF(入力データ!$J$26="私立",前提条件!$C$28,前提条件!$C$27),IF(CN7&lt;=21,IF(入力データ!$K$26="国公立",前提条件!$C$29,IF(入力データ!$K$26="私立理系",前提条件!$C$31,前提条件!$C$30))+IF(入力データ!$L$26="下宿",前提条件!$C$32,0)+IF(CN7=18,前提条件!$C$33,0),0))))))+IF(CN8="",0,IF(CN8&lt;=5,IF(入力データ!$G$27="私立",前提条件!$C$22,前提条件!$C$21),IF(CN8&lt;=11,IF(入力データ!$H$27="私立",前提条件!$C$24,前提条件!$C$23),IF(CN8&lt;=14,IF(入力データ!$I$27="私立",前提条件!$C$26,前提条件!$C$25),IF(CN8&lt;=17,IF(入力データ!$J$27="私立",前提条件!$C$28,前提条件!$C$27),IF(CN8&lt;=21,IF(入力データ!$K$27="国公立",前提条件!$C$29,IF(入力データ!$K$27="私立理系",前提条件!$C$31,前提条件!$C$30))+IF(入力データ!$L$27="下宿",前提条件!$C$32,0)+IF(CN8=18,前提条件!$C$33,0),0)))))))*(1+前提条件!$C$13)^(CN$3-$B$3))</f>
        <v/>
      </c>
      <c r="CO24" s="352">
        <f>IF(CO$3="","",((SUM(入力データ!$C$58:$C$61)*12)+IF(CO6="",0,IF(CO6&lt;=5,IF(入力データ!$G$25="私立",前提条件!$C$22,前提条件!$C$21),IF(CO6&lt;=11,IF(入力データ!$H$25="私立",前提条件!$C$24,前提条件!$C$23),IF(CO6&lt;=14,IF(入力データ!$I$25="私立",前提条件!$C$26,前提条件!$C$25),IF(CO6&lt;=17,IF(入力データ!$J$25="私立",前提条件!$C$28,前提条件!$C$27),IF(CO6&lt;=21,IF(入力データ!$K$25="国公立",前提条件!$C$29,IF(入力データ!$K$25="私立理系",前提条件!$C$31,前提条件!$C$30))+IF(入力データ!$L$25="下宿",前提条件!$C$32,0)+IF(CO6=18,前提条件!$C$33,0),0))))))+IF(CO7="",0,IF(CO7&lt;=5,IF(入力データ!$G$26="私立",前提条件!$C$22,前提条件!$C$21),IF(CO7&lt;=11,IF(入力データ!$H$26="私立",前提条件!$C$24,前提条件!$C$23),IF(CO7&lt;=14,IF(入力データ!$I$26="私立",前提条件!$C$26,前提条件!$C$25),IF(CO7&lt;=17,IF(入力データ!$J$26="私立",前提条件!$C$28,前提条件!$C$27),IF(CO7&lt;=21,IF(入力データ!$K$26="国公立",前提条件!$C$29,IF(入力データ!$K$26="私立理系",前提条件!$C$31,前提条件!$C$30))+IF(入力データ!$L$26="下宿",前提条件!$C$32,0)+IF(CO7=18,前提条件!$C$33,0),0))))))+IF(CO8="",0,IF(CO8&lt;=5,IF(入力データ!$G$27="私立",前提条件!$C$22,前提条件!$C$21),IF(CO8&lt;=11,IF(入力データ!$H$27="私立",前提条件!$C$24,前提条件!$C$23),IF(CO8&lt;=14,IF(入力データ!$I$27="私立",前提条件!$C$26,前提条件!$C$25),IF(CO8&lt;=17,IF(入力データ!$J$27="私立",前提条件!$C$28,前提条件!$C$27),IF(CO8&lt;=21,IF(入力データ!$K$27="国公立",前提条件!$C$29,IF(入力データ!$K$27="私立理系",前提条件!$C$31,前提条件!$C$30))+IF(入力データ!$L$27="下宿",前提条件!$C$32,0)+IF(CO8=18,前提条件!$C$33,0),0)))))))*(1+前提条件!$C$13)^(CO$3-$B$3))</f>
        <v/>
      </c>
      <c r="CP24" s="352">
        <f>IF(CP$3="","",((SUM(入力データ!$C$58:$C$61)*12)+IF(CP6="",0,IF(CP6&lt;=5,IF(入力データ!$G$25="私立",前提条件!$C$22,前提条件!$C$21),IF(CP6&lt;=11,IF(入力データ!$H$25="私立",前提条件!$C$24,前提条件!$C$23),IF(CP6&lt;=14,IF(入力データ!$I$25="私立",前提条件!$C$26,前提条件!$C$25),IF(CP6&lt;=17,IF(入力データ!$J$25="私立",前提条件!$C$28,前提条件!$C$27),IF(CP6&lt;=21,IF(入力データ!$K$25="国公立",前提条件!$C$29,IF(入力データ!$K$25="私立理系",前提条件!$C$31,前提条件!$C$30))+IF(入力データ!$L$25="下宿",前提条件!$C$32,0)+IF(CP6=18,前提条件!$C$33,0),0))))))+IF(CP7="",0,IF(CP7&lt;=5,IF(入力データ!$G$26="私立",前提条件!$C$22,前提条件!$C$21),IF(CP7&lt;=11,IF(入力データ!$H$26="私立",前提条件!$C$24,前提条件!$C$23),IF(CP7&lt;=14,IF(入力データ!$I$26="私立",前提条件!$C$26,前提条件!$C$25),IF(CP7&lt;=17,IF(入力データ!$J$26="私立",前提条件!$C$28,前提条件!$C$27),IF(CP7&lt;=21,IF(入力データ!$K$26="国公立",前提条件!$C$29,IF(入力データ!$K$26="私立理系",前提条件!$C$31,前提条件!$C$30))+IF(入力データ!$L$26="下宿",前提条件!$C$32,0)+IF(CP7=18,前提条件!$C$33,0),0))))))+IF(CP8="",0,IF(CP8&lt;=5,IF(入力データ!$G$27="私立",前提条件!$C$22,前提条件!$C$21),IF(CP8&lt;=11,IF(入力データ!$H$27="私立",前提条件!$C$24,前提条件!$C$23),IF(CP8&lt;=14,IF(入力データ!$I$27="私立",前提条件!$C$26,前提条件!$C$25),IF(CP8&lt;=17,IF(入力データ!$J$27="私立",前提条件!$C$28,前提条件!$C$27),IF(CP8&lt;=21,IF(入力データ!$K$27="国公立",前提条件!$C$29,IF(入力データ!$K$27="私立理系",前提条件!$C$31,前提条件!$C$30))+IF(入力データ!$L$27="下宿",前提条件!$C$32,0)+IF(CP8=18,前提条件!$C$33,0),0)))))))*(1+前提条件!$C$13)^(CP$3-$B$3))</f>
        <v/>
      </c>
      <c r="CQ24" s="352">
        <f>IF(CQ$3="","",((SUM(入力データ!$C$58:$C$61)*12)+IF(CQ6="",0,IF(CQ6&lt;=5,IF(入力データ!$G$25="私立",前提条件!$C$22,前提条件!$C$21),IF(CQ6&lt;=11,IF(入力データ!$H$25="私立",前提条件!$C$24,前提条件!$C$23),IF(CQ6&lt;=14,IF(入力データ!$I$25="私立",前提条件!$C$26,前提条件!$C$25),IF(CQ6&lt;=17,IF(入力データ!$J$25="私立",前提条件!$C$28,前提条件!$C$27),IF(CQ6&lt;=21,IF(入力データ!$K$25="国公立",前提条件!$C$29,IF(入力データ!$K$25="私立理系",前提条件!$C$31,前提条件!$C$30))+IF(入力データ!$L$25="下宿",前提条件!$C$32,0)+IF(CQ6=18,前提条件!$C$33,0),0))))))+IF(CQ7="",0,IF(CQ7&lt;=5,IF(入力データ!$G$26="私立",前提条件!$C$22,前提条件!$C$21),IF(CQ7&lt;=11,IF(入力データ!$H$26="私立",前提条件!$C$24,前提条件!$C$23),IF(CQ7&lt;=14,IF(入力データ!$I$26="私立",前提条件!$C$26,前提条件!$C$25),IF(CQ7&lt;=17,IF(入力データ!$J$26="私立",前提条件!$C$28,前提条件!$C$27),IF(CQ7&lt;=21,IF(入力データ!$K$26="国公立",前提条件!$C$29,IF(入力データ!$K$26="私立理系",前提条件!$C$31,前提条件!$C$30))+IF(入力データ!$L$26="下宿",前提条件!$C$32,0)+IF(CQ7=18,前提条件!$C$33,0),0))))))+IF(CQ8="",0,IF(CQ8&lt;=5,IF(入力データ!$G$27="私立",前提条件!$C$22,前提条件!$C$21),IF(CQ8&lt;=11,IF(入力データ!$H$27="私立",前提条件!$C$24,前提条件!$C$23),IF(CQ8&lt;=14,IF(入力データ!$I$27="私立",前提条件!$C$26,前提条件!$C$25),IF(CQ8&lt;=17,IF(入力データ!$J$27="私立",前提条件!$C$28,前提条件!$C$27),IF(CQ8&lt;=21,IF(入力データ!$K$27="国公立",前提条件!$C$29,IF(入力データ!$K$27="私立理系",前提条件!$C$31,前提条件!$C$30))+IF(入力データ!$L$27="下宿",前提条件!$C$32,0)+IF(CQ8=18,前提条件!$C$33,0),0)))))))*(1+前提条件!$C$13)^(CQ$3-$B$3))</f>
        <v/>
      </c>
      <c r="CR24" s="352">
        <f>IF(CR$3="","",((SUM(入力データ!$C$58:$C$61)*12)+IF(CR6="",0,IF(CR6&lt;=5,IF(入力データ!$G$25="私立",前提条件!$C$22,前提条件!$C$21),IF(CR6&lt;=11,IF(入力データ!$H$25="私立",前提条件!$C$24,前提条件!$C$23),IF(CR6&lt;=14,IF(入力データ!$I$25="私立",前提条件!$C$26,前提条件!$C$25),IF(CR6&lt;=17,IF(入力データ!$J$25="私立",前提条件!$C$28,前提条件!$C$27),IF(CR6&lt;=21,IF(入力データ!$K$25="国公立",前提条件!$C$29,IF(入力データ!$K$25="私立理系",前提条件!$C$31,前提条件!$C$30))+IF(入力データ!$L$25="下宿",前提条件!$C$32,0)+IF(CR6=18,前提条件!$C$33,0),0))))))+IF(CR7="",0,IF(CR7&lt;=5,IF(入力データ!$G$26="私立",前提条件!$C$22,前提条件!$C$21),IF(CR7&lt;=11,IF(入力データ!$H$26="私立",前提条件!$C$24,前提条件!$C$23),IF(CR7&lt;=14,IF(入力データ!$I$26="私立",前提条件!$C$26,前提条件!$C$25),IF(CR7&lt;=17,IF(入力データ!$J$26="私立",前提条件!$C$28,前提条件!$C$27),IF(CR7&lt;=21,IF(入力データ!$K$26="国公立",前提条件!$C$29,IF(入力データ!$K$26="私立理系",前提条件!$C$31,前提条件!$C$30))+IF(入力データ!$L$26="下宿",前提条件!$C$32,0)+IF(CR7=18,前提条件!$C$33,0),0))))))+IF(CR8="",0,IF(CR8&lt;=5,IF(入力データ!$G$27="私立",前提条件!$C$22,前提条件!$C$21),IF(CR8&lt;=11,IF(入力データ!$H$27="私立",前提条件!$C$24,前提条件!$C$23),IF(CR8&lt;=14,IF(入力データ!$I$27="私立",前提条件!$C$26,前提条件!$C$25),IF(CR8&lt;=17,IF(入力データ!$J$27="私立",前提条件!$C$28,前提条件!$C$27),IF(CR8&lt;=21,IF(入力データ!$K$27="国公立",前提条件!$C$29,IF(入力データ!$K$27="私立理系",前提条件!$C$31,前提条件!$C$30))+IF(入力データ!$L$27="下宿",前提条件!$C$32,0)+IF(CR8=18,前提条件!$C$33,0),0)))))))*(1+前提条件!$C$13)^(CR$3-$B$3))</f>
        <v/>
      </c>
      <c r="CS24" s="352">
        <f>IF(CS$3="","",((SUM(入力データ!$C$58:$C$61)*12)+IF(CS6="",0,IF(CS6&lt;=5,IF(入力データ!$G$25="私立",前提条件!$C$22,前提条件!$C$21),IF(CS6&lt;=11,IF(入力データ!$H$25="私立",前提条件!$C$24,前提条件!$C$23),IF(CS6&lt;=14,IF(入力データ!$I$25="私立",前提条件!$C$26,前提条件!$C$25),IF(CS6&lt;=17,IF(入力データ!$J$25="私立",前提条件!$C$28,前提条件!$C$27),IF(CS6&lt;=21,IF(入力データ!$K$25="国公立",前提条件!$C$29,IF(入力データ!$K$25="私立理系",前提条件!$C$31,前提条件!$C$30))+IF(入力データ!$L$25="下宿",前提条件!$C$32,0)+IF(CS6=18,前提条件!$C$33,0),0))))))+IF(CS7="",0,IF(CS7&lt;=5,IF(入力データ!$G$26="私立",前提条件!$C$22,前提条件!$C$21),IF(CS7&lt;=11,IF(入力データ!$H$26="私立",前提条件!$C$24,前提条件!$C$23),IF(CS7&lt;=14,IF(入力データ!$I$26="私立",前提条件!$C$26,前提条件!$C$25),IF(CS7&lt;=17,IF(入力データ!$J$26="私立",前提条件!$C$28,前提条件!$C$27),IF(CS7&lt;=21,IF(入力データ!$K$26="国公立",前提条件!$C$29,IF(入力データ!$K$26="私立理系",前提条件!$C$31,前提条件!$C$30))+IF(入力データ!$L$26="下宿",前提条件!$C$32,0)+IF(CS7=18,前提条件!$C$33,0),0))))))+IF(CS8="",0,IF(CS8&lt;=5,IF(入力データ!$G$27="私立",前提条件!$C$22,前提条件!$C$21),IF(CS8&lt;=11,IF(入力データ!$H$27="私立",前提条件!$C$24,前提条件!$C$23),IF(CS8&lt;=14,IF(入力データ!$I$27="私立",前提条件!$C$26,前提条件!$C$25),IF(CS8&lt;=17,IF(入力データ!$J$27="私立",前提条件!$C$28,前提条件!$C$27),IF(CS8&lt;=21,IF(入力データ!$K$27="国公立",前提条件!$C$29,IF(入力データ!$K$27="私立理系",前提条件!$C$31,前提条件!$C$30))+IF(入力データ!$L$27="下宿",前提条件!$C$32,0)+IF(CS8=18,前提条件!$C$33,0),0)))))))*(1+前提条件!$C$13)^(CS$3-$B$3))</f>
        <v/>
      </c>
      <c r="CT24" s="352">
        <f>IF(CT$3="","",((SUM(入力データ!$C$58:$C$61)*12)+IF(CT6="",0,IF(CT6&lt;=5,IF(入力データ!$G$25="私立",前提条件!$C$22,前提条件!$C$21),IF(CT6&lt;=11,IF(入力データ!$H$25="私立",前提条件!$C$24,前提条件!$C$23),IF(CT6&lt;=14,IF(入力データ!$I$25="私立",前提条件!$C$26,前提条件!$C$25),IF(CT6&lt;=17,IF(入力データ!$J$25="私立",前提条件!$C$28,前提条件!$C$27),IF(CT6&lt;=21,IF(入力データ!$K$25="国公立",前提条件!$C$29,IF(入力データ!$K$25="私立理系",前提条件!$C$31,前提条件!$C$30))+IF(入力データ!$L$25="下宿",前提条件!$C$32,0)+IF(CT6=18,前提条件!$C$33,0),0))))))+IF(CT7="",0,IF(CT7&lt;=5,IF(入力データ!$G$26="私立",前提条件!$C$22,前提条件!$C$21),IF(CT7&lt;=11,IF(入力データ!$H$26="私立",前提条件!$C$24,前提条件!$C$23),IF(CT7&lt;=14,IF(入力データ!$I$26="私立",前提条件!$C$26,前提条件!$C$25),IF(CT7&lt;=17,IF(入力データ!$J$26="私立",前提条件!$C$28,前提条件!$C$27),IF(CT7&lt;=21,IF(入力データ!$K$26="国公立",前提条件!$C$29,IF(入力データ!$K$26="私立理系",前提条件!$C$31,前提条件!$C$30))+IF(入力データ!$L$26="下宿",前提条件!$C$32,0)+IF(CT7=18,前提条件!$C$33,0),0))))))+IF(CT8="",0,IF(CT8&lt;=5,IF(入力データ!$G$27="私立",前提条件!$C$22,前提条件!$C$21),IF(CT8&lt;=11,IF(入力データ!$H$27="私立",前提条件!$C$24,前提条件!$C$23),IF(CT8&lt;=14,IF(入力データ!$I$27="私立",前提条件!$C$26,前提条件!$C$25),IF(CT8&lt;=17,IF(入力データ!$J$27="私立",前提条件!$C$28,前提条件!$C$27),IF(CT8&lt;=21,IF(入力データ!$K$27="国公立",前提条件!$C$29,IF(入力データ!$K$27="私立理系",前提条件!$C$31,前提条件!$C$30))+IF(入力データ!$L$27="下宿",前提条件!$C$32,0)+IF(CT8=18,前提条件!$C$33,0),0)))))))*(1+前提条件!$C$13)^(CT$3-$B$3))</f>
        <v/>
      </c>
      <c r="CU24" s="352">
        <f>IF(CU$3="","",((SUM(入力データ!$C$58:$C$61)*12)+IF(CU6="",0,IF(CU6&lt;=5,IF(入力データ!$G$25="私立",前提条件!$C$22,前提条件!$C$21),IF(CU6&lt;=11,IF(入力データ!$H$25="私立",前提条件!$C$24,前提条件!$C$23),IF(CU6&lt;=14,IF(入力データ!$I$25="私立",前提条件!$C$26,前提条件!$C$25),IF(CU6&lt;=17,IF(入力データ!$J$25="私立",前提条件!$C$28,前提条件!$C$27),IF(CU6&lt;=21,IF(入力データ!$K$25="国公立",前提条件!$C$29,IF(入力データ!$K$25="私立理系",前提条件!$C$31,前提条件!$C$30))+IF(入力データ!$L$25="下宿",前提条件!$C$32,0)+IF(CU6=18,前提条件!$C$33,0),0))))))+IF(CU7="",0,IF(CU7&lt;=5,IF(入力データ!$G$26="私立",前提条件!$C$22,前提条件!$C$21),IF(CU7&lt;=11,IF(入力データ!$H$26="私立",前提条件!$C$24,前提条件!$C$23),IF(CU7&lt;=14,IF(入力データ!$I$26="私立",前提条件!$C$26,前提条件!$C$25),IF(CU7&lt;=17,IF(入力データ!$J$26="私立",前提条件!$C$28,前提条件!$C$27),IF(CU7&lt;=21,IF(入力データ!$K$26="国公立",前提条件!$C$29,IF(入力データ!$K$26="私立理系",前提条件!$C$31,前提条件!$C$30))+IF(入力データ!$L$26="下宿",前提条件!$C$32,0)+IF(CU7=18,前提条件!$C$33,0),0))))))+IF(CU8="",0,IF(CU8&lt;=5,IF(入力データ!$G$27="私立",前提条件!$C$22,前提条件!$C$21),IF(CU8&lt;=11,IF(入力データ!$H$27="私立",前提条件!$C$24,前提条件!$C$23),IF(CU8&lt;=14,IF(入力データ!$I$27="私立",前提条件!$C$26,前提条件!$C$25),IF(CU8&lt;=17,IF(入力データ!$J$27="私立",前提条件!$C$28,前提条件!$C$27),IF(CU8&lt;=21,IF(入力データ!$K$27="国公立",前提条件!$C$29,IF(入力データ!$K$27="私立理系",前提条件!$C$31,前提条件!$C$30))+IF(入力データ!$L$27="下宿",前提条件!$C$32,0)+IF(CU8=18,前提条件!$C$33,0),0)))))))*(1+前提条件!$C$13)^(CU$3-$B$3))</f>
        <v/>
      </c>
      <c r="CV24" s="352">
        <f>IF(CV$3="","",((SUM(入力データ!$C$58:$C$61)*12)+IF(CV6="",0,IF(CV6&lt;=5,IF(入力データ!$G$25="私立",前提条件!$C$22,前提条件!$C$21),IF(CV6&lt;=11,IF(入力データ!$H$25="私立",前提条件!$C$24,前提条件!$C$23),IF(CV6&lt;=14,IF(入力データ!$I$25="私立",前提条件!$C$26,前提条件!$C$25),IF(CV6&lt;=17,IF(入力データ!$J$25="私立",前提条件!$C$28,前提条件!$C$27),IF(CV6&lt;=21,IF(入力データ!$K$25="国公立",前提条件!$C$29,IF(入力データ!$K$25="私立理系",前提条件!$C$31,前提条件!$C$30))+IF(入力データ!$L$25="下宿",前提条件!$C$32,0)+IF(CV6=18,前提条件!$C$33,0),0))))))+IF(CV7="",0,IF(CV7&lt;=5,IF(入力データ!$G$26="私立",前提条件!$C$22,前提条件!$C$21),IF(CV7&lt;=11,IF(入力データ!$H$26="私立",前提条件!$C$24,前提条件!$C$23),IF(CV7&lt;=14,IF(入力データ!$I$26="私立",前提条件!$C$26,前提条件!$C$25),IF(CV7&lt;=17,IF(入力データ!$J$26="私立",前提条件!$C$28,前提条件!$C$27),IF(CV7&lt;=21,IF(入力データ!$K$26="国公立",前提条件!$C$29,IF(入力データ!$K$26="私立理系",前提条件!$C$31,前提条件!$C$30))+IF(入力データ!$L$26="下宿",前提条件!$C$32,0)+IF(CV7=18,前提条件!$C$33,0),0))))))+IF(CV8="",0,IF(CV8&lt;=5,IF(入力データ!$G$27="私立",前提条件!$C$22,前提条件!$C$21),IF(CV8&lt;=11,IF(入力データ!$H$27="私立",前提条件!$C$24,前提条件!$C$23),IF(CV8&lt;=14,IF(入力データ!$I$27="私立",前提条件!$C$26,前提条件!$C$25),IF(CV8&lt;=17,IF(入力データ!$J$27="私立",前提条件!$C$28,前提条件!$C$27),IF(CV8&lt;=21,IF(入力データ!$K$27="国公立",前提条件!$C$29,IF(入力データ!$K$27="私立理系",前提条件!$C$31,前提条件!$C$30))+IF(入力データ!$L$27="下宿",前提条件!$C$32,0)+IF(CV8=18,前提条件!$C$33,0),0)))))))*(1+前提条件!$C$13)^(CV$3-$B$3))</f>
        <v/>
      </c>
      <c r="CW24" s="352">
        <f>IF(CW$3="","",((SUM(入力データ!$C$58:$C$61)*12)+IF(CW6="",0,IF(CW6&lt;=5,IF(入力データ!$G$25="私立",前提条件!$C$22,前提条件!$C$21),IF(CW6&lt;=11,IF(入力データ!$H$25="私立",前提条件!$C$24,前提条件!$C$23),IF(CW6&lt;=14,IF(入力データ!$I$25="私立",前提条件!$C$26,前提条件!$C$25),IF(CW6&lt;=17,IF(入力データ!$J$25="私立",前提条件!$C$28,前提条件!$C$27),IF(CW6&lt;=21,IF(入力データ!$K$25="国公立",前提条件!$C$29,IF(入力データ!$K$25="私立理系",前提条件!$C$31,前提条件!$C$30))+IF(入力データ!$L$25="下宿",前提条件!$C$32,0)+IF(CW6=18,前提条件!$C$33,0),0))))))+IF(CW7="",0,IF(CW7&lt;=5,IF(入力データ!$G$26="私立",前提条件!$C$22,前提条件!$C$21),IF(CW7&lt;=11,IF(入力データ!$H$26="私立",前提条件!$C$24,前提条件!$C$23),IF(CW7&lt;=14,IF(入力データ!$I$26="私立",前提条件!$C$26,前提条件!$C$25),IF(CW7&lt;=17,IF(入力データ!$J$26="私立",前提条件!$C$28,前提条件!$C$27),IF(CW7&lt;=21,IF(入力データ!$K$26="国公立",前提条件!$C$29,IF(入力データ!$K$26="私立理系",前提条件!$C$31,前提条件!$C$30))+IF(入力データ!$L$26="下宿",前提条件!$C$32,0)+IF(CW7=18,前提条件!$C$33,0),0))))))+IF(CW8="",0,IF(CW8&lt;=5,IF(入力データ!$G$27="私立",前提条件!$C$22,前提条件!$C$21),IF(CW8&lt;=11,IF(入力データ!$H$27="私立",前提条件!$C$24,前提条件!$C$23),IF(CW8&lt;=14,IF(入力データ!$I$27="私立",前提条件!$C$26,前提条件!$C$25),IF(CW8&lt;=17,IF(入力データ!$J$27="私立",前提条件!$C$28,前提条件!$C$27),IF(CW8&lt;=21,IF(入力データ!$K$27="国公立",前提条件!$C$29,IF(入力データ!$K$27="私立理系",前提条件!$C$31,前提条件!$C$30))+IF(入力データ!$L$27="下宿",前提条件!$C$32,0)+IF(CW8=18,前提条件!$C$33,0),0)))))))*(1+前提条件!$C$13)^(CW$3-$B$3))</f>
        <v/>
      </c>
    </row>
    <row r="25" ht="15" customHeight="1" s="180">
      <c r="A25" s="224" t="inlineStr">
        <is>
          <t>車関連費</t>
        </is>
      </c>
      <c r="B25" s="352">
        <f>IF(B$3="","",SUM(入力データ!$C$66:$C$70)*12*(1+前提条件!$C$12)^(B$3-$B$3))</f>
        <v/>
      </c>
      <c r="C25" s="352">
        <f>IF(C$3="","",SUM(入力データ!$C$66:$C$70)*12*(1+前提条件!$C$12)^(C$3-$B$3))</f>
        <v/>
      </c>
      <c r="D25" s="352">
        <f>IF(D$3="","",SUM(入力データ!$C$66:$C$70)*12*(1+前提条件!$C$12)^(D$3-$B$3))</f>
        <v/>
      </c>
      <c r="E25" s="352">
        <f>IF(E$3="","",SUM(入力データ!$C$66:$C$70)*12*(1+前提条件!$C$12)^(E$3-$B$3))</f>
        <v/>
      </c>
      <c r="F25" s="352">
        <f>IF(F$3="","",SUM(入力データ!$C$66:$C$70)*12*(1+前提条件!$C$12)^(F$3-$B$3))</f>
        <v/>
      </c>
      <c r="G25" s="352">
        <f>IF(G$3="","",SUM(入力データ!$C$66:$C$70)*12*(1+前提条件!$C$12)^(G$3-$B$3))</f>
        <v/>
      </c>
      <c r="H25" s="352">
        <f>IF(H$3="","",SUM(入力データ!$C$66:$C$70)*12*(1+前提条件!$C$12)^(H$3-$B$3))</f>
        <v/>
      </c>
      <c r="I25" s="352">
        <f>IF(I$3="","",SUM(入力データ!$C$66:$C$70)*12*(1+前提条件!$C$12)^(I$3-$B$3))</f>
        <v/>
      </c>
      <c r="J25" s="352">
        <f>IF(J$3="","",SUM(入力データ!$C$66:$C$70)*12*(1+前提条件!$C$12)^(J$3-$B$3))</f>
        <v/>
      </c>
      <c r="K25" s="352">
        <f>IF(K$3="","",SUM(入力データ!$C$66:$C$70)*12*(1+前提条件!$C$12)^(K$3-$B$3))</f>
        <v/>
      </c>
      <c r="L25" s="352">
        <f>IF(L$3="","",SUM(入力データ!$C$66:$C$70)*12*(1+前提条件!$C$12)^(L$3-$B$3))</f>
        <v/>
      </c>
      <c r="M25" s="352">
        <f>IF(M$3="","",SUM(入力データ!$C$66:$C$70)*12*(1+前提条件!$C$12)^(M$3-$B$3))</f>
        <v/>
      </c>
      <c r="N25" s="352">
        <f>IF(N$3="","",SUM(入力データ!$C$66:$C$70)*12*(1+前提条件!$C$12)^(N$3-$B$3))</f>
        <v/>
      </c>
      <c r="O25" s="352">
        <f>IF(O$3="","",SUM(入力データ!$C$66:$C$70)*12*(1+前提条件!$C$12)^(O$3-$B$3))</f>
        <v/>
      </c>
      <c r="P25" s="352">
        <f>IF(P$3="","",SUM(入力データ!$C$66:$C$70)*12*(1+前提条件!$C$12)^(P$3-$B$3))</f>
        <v/>
      </c>
      <c r="Q25" s="352">
        <f>IF(Q$3="","",SUM(入力データ!$C$66:$C$70)*12*(1+前提条件!$C$12)^(Q$3-$B$3))</f>
        <v/>
      </c>
      <c r="R25" s="352">
        <f>IF(R$3="","",SUM(入力データ!$C$66:$C$70)*12*(1+前提条件!$C$12)^(R$3-$B$3))</f>
        <v/>
      </c>
      <c r="S25" s="352">
        <f>IF(S$3="","",SUM(入力データ!$C$66:$C$70)*12*(1+前提条件!$C$12)^(S$3-$B$3))</f>
        <v/>
      </c>
      <c r="T25" s="352">
        <f>IF(T$3="","",SUM(入力データ!$C$66:$C$70)*12*(1+前提条件!$C$12)^(T$3-$B$3))</f>
        <v/>
      </c>
      <c r="U25" s="352">
        <f>IF(U$3="","",SUM(入力データ!$C$66:$C$70)*12*(1+前提条件!$C$12)^(U$3-$B$3))</f>
        <v/>
      </c>
      <c r="V25" s="352">
        <f>IF(V$3="","",SUM(入力データ!$C$66:$C$70)*12*(1+前提条件!$C$12)^(V$3-$B$3))</f>
        <v/>
      </c>
      <c r="W25" s="352">
        <f>IF(W$3="","",SUM(入力データ!$C$66:$C$70)*12*(1+前提条件!$C$12)^(W$3-$B$3))</f>
        <v/>
      </c>
      <c r="X25" s="352">
        <f>IF(X$3="","",SUM(入力データ!$C$66:$C$70)*12*(1+前提条件!$C$12)^(X$3-$B$3))</f>
        <v/>
      </c>
      <c r="Y25" s="352">
        <f>IF(Y$3="","",SUM(入力データ!$C$66:$C$70)*12*(1+前提条件!$C$12)^(Y$3-$B$3))</f>
        <v/>
      </c>
      <c r="Z25" s="352">
        <f>IF(Z$3="","",SUM(入力データ!$C$66:$C$70)*12*(1+前提条件!$C$12)^(Z$3-$B$3))</f>
        <v/>
      </c>
      <c r="AA25" s="352">
        <f>IF(AA$3="","",SUM(入力データ!$C$66:$C$70)*12*(1+前提条件!$C$12)^(AA$3-$B$3))</f>
        <v/>
      </c>
      <c r="AB25" s="352">
        <f>IF(AB$3="","",SUM(入力データ!$C$66:$C$70)*12*(1+前提条件!$C$12)^(AB$3-$B$3))</f>
        <v/>
      </c>
      <c r="AC25" s="352">
        <f>IF(AC$3="","",SUM(入力データ!$C$66:$C$70)*12*(1+前提条件!$C$12)^(AC$3-$B$3))</f>
        <v/>
      </c>
      <c r="AD25" s="352">
        <f>IF(AD$3="","",SUM(入力データ!$C$66:$C$70)*12*(1+前提条件!$C$12)^(AD$3-$B$3))</f>
        <v/>
      </c>
      <c r="AE25" s="352">
        <f>IF(AE$3="","",SUM(入力データ!$C$66:$C$70)*12*(1+前提条件!$C$12)^(AE$3-$B$3))</f>
        <v/>
      </c>
      <c r="AF25" s="352">
        <f>IF(AF$3="","",SUM(入力データ!$C$66:$C$70)*12*(1+前提条件!$C$12)^(AF$3-$B$3))</f>
        <v/>
      </c>
      <c r="AG25" s="352">
        <f>IF(AG$3="","",SUM(入力データ!$C$66:$C$70)*12*(1+前提条件!$C$12)^(AG$3-$B$3))</f>
        <v/>
      </c>
      <c r="AH25" s="352">
        <f>IF(AH$3="","",SUM(入力データ!$C$66:$C$70)*12*(1+前提条件!$C$12)^(AH$3-$B$3))</f>
        <v/>
      </c>
      <c r="AI25" s="352">
        <f>IF(AI$3="","",SUM(入力データ!$C$66:$C$70)*12*(1+前提条件!$C$12)^(AI$3-$B$3))</f>
        <v/>
      </c>
      <c r="AJ25" s="352">
        <f>IF(AJ$3="","",SUM(入力データ!$C$66:$C$70)*12*(1+前提条件!$C$12)^(AJ$3-$B$3))</f>
        <v/>
      </c>
      <c r="AK25" s="352">
        <f>IF(AK$3="","",SUM(入力データ!$C$66:$C$70)*12*(1+前提条件!$C$12)^(AK$3-$B$3))</f>
        <v/>
      </c>
      <c r="AL25" s="352">
        <f>IF(AL$3="","",SUM(入力データ!$C$66:$C$70)*12*(1+前提条件!$C$12)^(AL$3-$B$3))</f>
        <v/>
      </c>
      <c r="AM25" s="352">
        <f>IF(AM$3="","",SUM(入力データ!$C$66:$C$70)*12*(1+前提条件!$C$12)^(AM$3-$B$3))</f>
        <v/>
      </c>
      <c r="AN25" s="352">
        <f>IF(AN$3="","",SUM(入力データ!$C$66:$C$70)*12*(1+前提条件!$C$12)^(AN$3-$B$3))</f>
        <v/>
      </c>
      <c r="AO25" s="352">
        <f>IF(AO$3="","",SUM(入力データ!$C$66:$C$70)*12*(1+前提条件!$C$12)^(AO$3-$B$3))</f>
        <v/>
      </c>
      <c r="AP25" s="352">
        <f>IF(AP$3="","",SUM(入力データ!$C$66:$C$70)*12*(1+前提条件!$C$12)^(AP$3-$B$3))</f>
        <v/>
      </c>
      <c r="AQ25" s="352">
        <f>IF(AQ$3="","",SUM(入力データ!$C$66:$C$70)*12*(1+前提条件!$C$12)^(AQ$3-$B$3))</f>
        <v/>
      </c>
      <c r="AR25" s="352">
        <f>IF(AR$3="","",SUM(入力データ!$C$66:$C$70)*12*(1+前提条件!$C$12)^(AR$3-$B$3))</f>
        <v/>
      </c>
      <c r="AS25" s="352">
        <f>IF(AS$3="","",SUM(入力データ!$C$66:$C$70)*12*(1+前提条件!$C$12)^(AS$3-$B$3))</f>
        <v/>
      </c>
      <c r="AT25" s="352">
        <f>IF(AT$3="","",SUM(入力データ!$C$66:$C$70)*12*(1+前提条件!$C$12)^(AT$3-$B$3))</f>
        <v/>
      </c>
      <c r="AU25" s="352">
        <f>IF(AU$3="","",SUM(入力データ!$C$66:$C$70)*12*(1+前提条件!$C$12)^(AU$3-$B$3))</f>
        <v/>
      </c>
      <c r="AV25" s="352">
        <f>IF(AV$3="","",SUM(入力データ!$C$66:$C$70)*12*(1+前提条件!$C$12)^(AV$3-$B$3))</f>
        <v/>
      </c>
      <c r="AW25" s="352">
        <f>IF(AW$3="","",SUM(入力データ!$C$66:$C$70)*12*(1+前提条件!$C$12)^(AW$3-$B$3))</f>
        <v/>
      </c>
      <c r="AX25" s="352">
        <f>IF(AX$3="","",SUM(入力データ!$C$66:$C$70)*12*(1+前提条件!$C$12)^(AX$3-$B$3))</f>
        <v/>
      </c>
      <c r="AY25" s="352">
        <f>IF(AY$3="","",SUM(入力データ!$C$66:$C$70)*12*(1+前提条件!$C$12)^(AY$3-$B$3))</f>
        <v/>
      </c>
      <c r="AZ25" s="352">
        <f>IF(AZ$3="","",SUM(入力データ!$C$66:$C$70)*12*(1+前提条件!$C$12)^(AZ$3-$B$3))</f>
        <v/>
      </c>
      <c r="BA25" s="352">
        <f>IF(BA$3="","",SUM(入力データ!$C$66:$C$70)*12*(1+前提条件!$C$12)^(BA$3-$B$3))</f>
        <v/>
      </c>
      <c r="BB25" s="352">
        <f>IF(BB$3="","",SUM(入力データ!$C$66:$C$70)*12*(1+前提条件!$C$12)^(BB$3-$B$3))</f>
        <v/>
      </c>
      <c r="BC25" s="352">
        <f>IF(BC$3="","",SUM(入力データ!$C$66:$C$70)*12*(1+前提条件!$C$12)^(BC$3-$B$3))</f>
        <v/>
      </c>
      <c r="BD25" s="352">
        <f>IF(BD$3="","",SUM(入力データ!$C$66:$C$70)*12*(1+前提条件!$C$12)^(BD$3-$B$3))</f>
        <v/>
      </c>
      <c r="BE25" s="352">
        <f>IF(BE$3="","",SUM(入力データ!$C$66:$C$70)*12*(1+前提条件!$C$12)^(BE$3-$B$3))</f>
        <v/>
      </c>
      <c r="BF25" s="352">
        <f>IF(BF$3="","",SUM(入力データ!$C$66:$C$70)*12*(1+前提条件!$C$12)^(BF$3-$B$3))</f>
        <v/>
      </c>
      <c r="BG25" s="352">
        <f>IF(BG$3="","",SUM(入力データ!$C$66:$C$70)*12*(1+前提条件!$C$12)^(BG$3-$B$3))</f>
        <v/>
      </c>
      <c r="BH25" s="352">
        <f>IF(BH$3="","",SUM(入力データ!$C$66:$C$70)*12*(1+前提条件!$C$12)^(BH$3-$B$3))</f>
        <v/>
      </c>
      <c r="BI25" s="352">
        <f>IF(BI$3="","",SUM(入力データ!$C$66:$C$70)*12*(1+前提条件!$C$12)^(BI$3-$B$3))</f>
        <v/>
      </c>
      <c r="BJ25" s="352">
        <f>IF(BJ$3="","",SUM(入力データ!$C$66:$C$70)*12*(1+前提条件!$C$12)^(BJ$3-$B$3))</f>
        <v/>
      </c>
      <c r="BK25" s="352">
        <f>IF(BK$3="","",SUM(入力データ!$C$66:$C$70)*12*(1+前提条件!$C$12)^(BK$3-$B$3))</f>
        <v/>
      </c>
      <c r="BL25" s="352">
        <f>IF(BL$3="","",SUM(入力データ!$C$66:$C$70)*12*(1+前提条件!$C$12)^(BL$3-$B$3))</f>
        <v/>
      </c>
      <c r="BM25" s="352">
        <f>IF(BM$3="","",SUM(入力データ!$C$66:$C$70)*12*(1+前提条件!$C$12)^(BM$3-$B$3))</f>
        <v/>
      </c>
      <c r="BN25" s="352">
        <f>IF(BN$3="","",SUM(入力データ!$C$66:$C$70)*12*(1+前提条件!$C$12)^(BN$3-$B$3))</f>
        <v/>
      </c>
      <c r="BO25" s="352">
        <f>IF(BO$3="","",SUM(入力データ!$C$66:$C$70)*12*(1+前提条件!$C$12)^(BO$3-$B$3))</f>
        <v/>
      </c>
      <c r="BP25" s="352">
        <f>IF(BP$3="","",SUM(入力データ!$C$66:$C$70)*12*(1+前提条件!$C$12)^(BP$3-$B$3))</f>
        <v/>
      </c>
      <c r="BQ25" s="352">
        <f>IF(BQ$3="","",SUM(入力データ!$C$66:$C$70)*12*(1+前提条件!$C$12)^(BQ$3-$B$3))</f>
        <v/>
      </c>
      <c r="BR25" s="352">
        <f>IF(BR$3="","",SUM(入力データ!$C$66:$C$70)*12*(1+前提条件!$C$12)^(BR$3-$B$3))</f>
        <v/>
      </c>
      <c r="BS25" s="352">
        <f>IF(BS$3="","",SUM(入力データ!$C$66:$C$70)*12*(1+前提条件!$C$12)^(BS$3-$B$3))</f>
        <v/>
      </c>
      <c r="BT25" s="352">
        <f>IF(BT$3="","",SUM(入力データ!$C$66:$C$70)*12*(1+前提条件!$C$12)^(BT$3-$B$3))</f>
        <v/>
      </c>
      <c r="BU25" s="352">
        <f>IF(BU$3="","",SUM(入力データ!$C$66:$C$70)*12*(1+前提条件!$C$12)^(BU$3-$B$3))</f>
        <v/>
      </c>
      <c r="BV25" s="352">
        <f>IF(BV$3="","",SUM(入力データ!$C$66:$C$70)*12*(1+前提条件!$C$12)^(BV$3-$B$3))</f>
        <v/>
      </c>
      <c r="BW25" s="352">
        <f>IF(BW$3="","",SUM(入力データ!$C$66:$C$70)*12*(1+前提条件!$C$12)^(BW$3-$B$3))</f>
        <v/>
      </c>
      <c r="BX25" s="352">
        <f>IF(BX$3="","",SUM(入力データ!$C$66:$C$70)*12*(1+前提条件!$C$12)^(BX$3-$B$3))</f>
        <v/>
      </c>
      <c r="BY25" s="352">
        <f>IF(BY$3="","",SUM(入力データ!$C$66:$C$70)*12*(1+前提条件!$C$12)^(BY$3-$B$3))</f>
        <v/>
      </c>
      <c r="BZ25" s="352">
        <f>IF(BZ$3="","",SUM(入力データ!$C$66:$C$70)*12*(1+前提条件!$C$12)^(BZ$3-$B$3))</f>
        <v/>
      </c>
      <c r="CA25" s="352">
        <f>IF(CA$3="","",SUM(入力データ!$C$66:$C$70)*12*(1+前提条件!$C$12)^(CA$3-$B$3))</f>
        <v/>
      </c>
      <c r="CB25" s="352">
        <f>IF(CB$3="","",SUM(入力データ!$C$66:$C$70)*12*(1+前提条件!$C$12)^(CB$3-$B$3))</f>
        <v/>
      </c>
      <c r="CC25" s="352">
        <f>IF(CC$3="","",SUM(入力データ!$C$66:$C$70)*12*(1+前提条件!$C$12)^(CC$3-$B$3))</f>
        <v/>
      </c>
      <c r="CD25" s="352">
        <f>IF(CD$3="","",SUM(入力データ!$C$66:$C$70)*12*(1+前提条件!$C$12)^(CD$3-$B$3))</f>
        <v/>
      </c>
      <c r="CE25" s="352">
        <f>IF(CE$3="","",SUM(入力データ!$C$66:$C$70)*12*(1+前提条件!$C$12)^(CE$3-$B$3))</f>
        <v/>
      </c>
      <c r="CF25" s="352">
        <f>IF(CF$3="","",SUM(入力データ!$C$66:$C$70)*12*(1+前提条件!$C$12)^(CF$3-$B$3))</f>
        <v/>
      </c>
      <c r="CG25" s="352">
        <f>IF(CG$3="","",SUM(入力データ!$C$66:$C$70)*12*(1+前提条件!$C$12)^(CG$3-$B$3))</f>
        <v/>
      </c>
      <c r="CH25" s="352">
        <f>IF(CH$3="","",SUM(入力データ!$C$66:$C$70)*12*(1+前提条件!$C$12)^(CH$3-$B$3))</f>
        <v/>
      </c>
      <c r="CI25" s="352">
        <f>IF(CI$3="","",SUM(入力データ!$C$66:$C$70)*12*(1+前提条件!$C$12)^(CI$3-$B$3))</f>
        <v/>
      </c>
      <c r="CJ25" s="352">
        <f>IF(CJ$3="","",SUM(入力データ!$C$66:$C$70)*12*(1+前提条件!$C$12)^(CJ$3-$B$3))</f>
        <v/>
      </c>
      <c r="CK25" s="352">
        <f>IF(CK$3="","",SUM(入力データ!$C$66:$C$70)*12*(1+前提条件!$C$12)^(CK$3-$B$3))</f>
        <v/>
      </c>
      <c r="CL25" s="352">
        <f>IF(CL$3="","",SUM(入力データ!$C$66:$C$70)*12*(1+前提条件!$C$12)^(CL$3-$B$3))</f>
        <v/>
      </c>
      <c r="CM25" s="352">
        <f>IF(CM$3="","",SUM(入力データ!$C$66:$C$70)*12*(1+前提条件!$C$12)^(CM$3-$B$3))</f>
        <v/>
      </c>
      <c r="CN25" s="352">
        <f>IF(CN$3="","",SUM(入力データ!$C$66:$C$70)*12*(1+前提条件!$C$12)^(CN$3-$B$3))</f>
        <v/>
      </c>
      <c r="CO25" s="352">
        <f>IF(CO$3="","",SUM(入力データ!$C$66:$C$70)*12*(1+前提条件!$C$12)^(CO$3-$B$3))</f>
        <v/>
      </c>
      <c r="CP25" s="352">
        <f>IF(CP$3="","",SUM(入力データ!$C$66:$C$70)*12*(1+前提条件!$C$12)^(CP$3-$B$3))</f>
        <v/>
      </c>
      <c r="CQ25" s="352">
        <f>IF(CQ$3="","",SUM(入力データ!$C$66:$C$70)*12*(1+前提条件!$C$12)^(CQ$3-$B$3))</f>
        <v/>
      </c>
      <c r="CR25" s="352">
        <f>IF(CR$3="","",SUM(入力データ!$C$66:$C$70)*12*(1+前提条件!$C$12)^(CR$3-$B$3))</f>
        <v/>
      </c>
      <c r="CS25" s="352">
        <f>IF(CS$3="","",SUM(入力データ!$C$66:$C$70)*12*(1+前提条件!$C$12)^(CS$3-$B$3))</f>
        <v/>
      </c>
      <c r="CT25" s="352">
        <f>IF(CT$3="","",SUM(入力データ!$C$66:$C$70)*12*(1+前提条件!$C$12)^(CT$3-$B$3))</f>
        <v/>
      </c>
      <c r="CU25" s="352">
        <f>IF(CU$3="","",SUM(入力データ!$C$66:$C$70)*12*(1+前提条件!$C$12)^(CU$3-$B$3))</f>
        <v/>
      </c>
      <c r="CV25" s="352">
        <f>IF(CV$3="","",SUM(入力データ!$C$66:$C$70)*12*(1+前提条件!$C$12)^(CV$3-$B$3))</f>
        <v/>
      </c>
      <c r="CW25" s="352">
        <f>IF(CW$3="","",SUM(入力データ!$C$66:$C$70)*12*(1+前提条件!$C$12)^(CW$3-$B$3))</f>
        <v/>
      </c>
    </row>
    <row r="26" ht="15" customHeight="1" s="180">
      <c r="A26" s="224" t="inlineStr">
        <is>
          <t>その他支出</t>
        </is>
      </c>
      <c r="B26" s="352">
        <f>IF(B$3="","",SUM(入力データ!$C$71:$C$74)*12*(1+前提条件!$C$12)^(B$3-$B$3))</f>
        <v/>
      </c>
      <c r="C26" s="352">
        <f>IF(C$3="","",SUM(入力データ!$C$71:$C$74)*12*(1+前提条件!$C$12)^(C$3-$B$3))</f>
        <v/>
      </c>
      <c r="D26" s="352">
        <f>IF(D$3="","",SUM(入力データ!$C$71:$C$74)*12*(1+前提条件!$C$12)^(D$3-$B$3))</f>
        <v/>
      </c>
      <c r="E26" s="352">
        <f>IF(E$3="","",SUM(入力データ!$C$71:$C$74)*12*(1+前提条件!$C$12)^(E$3-$B$3))</f>
        <v/>
      </c>
      <c r="F26" s="352">
        <f>IF(F$3="","",SUM(入力データ!$C$71:$C$74)*12*(1+前提条件!$C$12)^(F$3-$B$3))</f>
        <v/>
      </c>
      <c r="G26" s="352">
        <f>IF(G$3="","",SUM(入力データ!$C$71:$C$74)*12*(1+前提条件!$C$12)^(G$3-$B$3))</f>
        <v/>
      </c>
      <c r="H26" s="352">
        <f>IF(H$3="","",SUM(入力データ!$C$71:$C$74)*12*(1+前提条件!$C$12)^(H$3-$B$3))</f>
        <v/>
      </c>
      <c r="I26" s="352">
        <f>IF(I$3="","",SUM(入力データ!$C$71:$C$74)*12*(1+前提条件!$C$12)^(I$3-$B$3))</f>
        <v/>
      </c>
      <c r="J26" s="352">
        <f>IF(J$3="","",SUM(入力データ!$C$71:$C$74)*12*(1+前提条件!$C$12)^(J$3-$B$3))</f>
        <v/>
      </c>
      <c r="K26" s="352">
        <f>IF(K$3="","",SUM(入力データ!$C$71:$C$74)*12*(1+前提条件!$C$12)^(K$3-$B$3))</f>
        <v/>
      </c>
      <c r="L26" s="352">
        <f>IF(L$3="","",SUM(入力データ!$C$71:$C$74)*12*(1+前提条件!$C$12)^(L$3-$B$3))</f>
        <v/>
      </c>
      <c r="M26" s="352">
        <f>IF(M$3="","",SUM(入力データ!$C$71:$C$74)*12*(1+前提条件!$C$12)^(M$3-$B$3))</f>
        <v/>
      </c>
      <c r="N26" s="352">
        <f>IF(N$3="","",SUM(入力データ!$C$71:$C$74)*12*(1+前提条件!$C$12)^(N$3-$B$3))</f>
        <v/>
      </c>
      <c r="O26" s="352">
        <f>IF(O$3="","",SUM(入力データ!$C$71:$C$74)*12*(1+前提条件!$C$12)^(O$3-$B$3))</f>
        <v/>
      </c>
      <c r="P26" s="352">
        <f>IF(P$3="","",SUM(入力データ!$C$71:$C$74)*12*(1+前提条件!$C$12)^(P$3-$B$3))</f>
        <v/>
      </c>
      <c r="Q26" s="352">
        <f>IF(Q$3="","",SUM(入力データ!$C$71:$C$74)*12*(1+前提条件!$C$12)^(Q$3-$B$3))</f>
        <v/>
      </c>
      <c r="R26" s="352">
        <f>IF(R$3="","",SUM(入力データ!$C$71:$C$74)*12*(1+前提条件!$C$12)^(R$3-$B$3))</f>
        <v/>
      </c>
      <c r="S26" s="352">
        <f>IF(S$3="","",SUM(入力データ!$C$71:$C$74)*12*(1+前提条件!$C$12)^(S$3-$B$3))</f>
        <v/>
      </c>
      <c r="T26" s="352">
        <f>IF(T$3="","",SUM(入力データ!$C$71:$C$74)*12*(1+前提条件!$C$12)^(T$3-$B$3))</f>
        <v/>
      </c>
      <c r="U26" s="352">
        <f>IF(U$3="","",SUM(入力データ!$C$71:$C$74)*12*(1+前提条件!$C$12)^(U$3-$B$3))</f>
        <v/>
      </c>
      <c r="V26" s="352">
        <f>IF(V$3="","",SUM(入力データ!$C$71:$C$74)*12*(1+前提条件!$C$12)^(V$3-$B$3))</f>
        <v/>
      </c>
      <c r="W26" s="352">
        <f>IF(W$3="","",SUM(入力データ!$C$71:$C$74)*12*(1+前提条件!$C$12)^(W$3-$B$3))</f>
        <v/>
      </c>
      <c r="X26" s="352">
        <f>IF(X$3="","",SUM(入力データ!$C$71:$C$74)*12*(1+前提条件!$C$12)^(X$3-$B$3))</f>
        <v/>
      </c>
      <c r="Y26" s="352">
        <f>IF(Y$3="","",SUM(入力データ!$C$71:$C$74)*12*(1+前提条件!$C$12)^(Y$3-$B$3))</f>
        <v/>
      </c>
      <c r="Z26" s="352">
        <f>IF(Z$3="","",SUM(入力データ!$C$71:$C$74)*12*(1+前提条件!$C$12)^(Z$3-$B$3))</f>
        <v/>
      </c>
      <c r="AA26" s="352">
        <f>IF(AA$3="","",SUM(入力データ!$C$71:$C$74)*12*(1+前提条件!$C$12)^(AA$3-$B$3))</f>
        <v/>
      </c>
      <c r="AB26" s="352">
        <f>IF(AB$3="","",SUM(入力データ!$C$71:$C$74)*12*(1+前提条件!$C$12)^(AB$3-$B$3))</f>
        <v/>
      </c>
      <c r="AC26" s="352">
        <f>IF(AC$3="","",SUM(入力データ!$C$71:$C$74)*12*(1+前提条件!$C$12)^(AC$3-$B$3))</f>
        <v/>
      </c>
      <c r="AD26" s="352">
        <f>IF(AD$3="","",SUM(入力データ!$C$71:$C$74)*12*(1+前提条件!$C$12)^(AD$3-$B$3))</f>
        <v/>
      </c>
      <c r="AE26" s="352">
        <f>IF(AE$3="","",SUM(入力データ!$C$71:$C$74)*12*(1+前提条件!$C$12)^(AE$3-$B$3))</f>
        <v/>
      </c>
      <c r="AF26" s="352">
        <f>IF(AF$3="","",SUM(入力データ!$C$71:$C$74)*12*(1+前提条件!$C$12)^(AF$3-$B$3))</f>
        <v/>
      </c>
      <c r="AG26" s="352">
        <f>IF(AG$3="","",SUM(入力データ!$C$71:$C$74)*12*(1+前提条件!$C$12)^(AG$3-$B$3))</f>
        <v/>
      </c>
      <c r="AH26" s="352">
        <f>IF(AH$3="","",SUM(入力データ!$C$71:$C$74)*12*(1+前提条件!$C$12)^(AH$3-$B$3))</f>
        <v/>
      </c>
      <c r="AI26" s="352">
        <f>IF(AI$3="","",SUM(入力データ!$C$71:$C$74)*12*(1+前提条件!$C$12)^(AI$3-$B$3))</f>
        <v/>
      </c>
      <c r="AJ26" s="352">
        <f>IF(AJ$3="","",SUM(入力データ!$C$71:$C$74)*12*(1+前提条件!$C$12)^(AJ$3-$B$3))</f>
        <v/>
      </c>
      <c r="AK26" s="352">
        <f>IF(AK$3="","",SUM(入力データ!$C$71:$C$74)*12*(1+前提条件!$C$12)^(AK$3-$B$3))</f>
        <v/>
      </c>
      <c r="AL26" s="352">
        <f>IF(AL$3="","",SUM(入力データ!$C$71:$C$74)*12*(1+前提条件!$C$12)^(AL$3-$B$3))</f>
        <v/>
      </c>
      <c r="AM26" s="352">
        <f>IF(AM$3="","",SUM(入力データ!$C$71:$C$74)*12*(1+前提条件!$C$12)^(AM$3-$B$3))</f>
        <v/>
      </c>
      <c r="AN26" s="352">
        <f>IF(AN$3="","",SUM(入力データ!$C$71:$C$74)*12*(1+前提条件!$C$12)^(AN$3-$B$3))</f>
        <v/>
      </c>
      <c r="AO26" s="352">
        <f>IF(AO$3="","",SUM(入力データ!$C$71:$C$74)*12*(1+前提条件!$C$12)^(AO$3-$B$3))</f>
        <v/>
      </c>
      <c r="AP26" s="352">
        <f>IF(AP$3="","",SUM(入力データ!$C$71:$C$74)*12*(1+前提条件!$C$12)^(AP$3-$B$3))</f>
        <v/>
      </c>
      <c r="AQ26" s="352">
        <f>IF(AQ$3="","",SUM(入力データ!$C$71:$C$74)*12*(1+前提条件!$C$12)^(AQ$3-$B$3))</f>
        <v/>
      </c>
      <c r="AR26" s="352">
        <f>IF(AR$3="","",SUM(入力データ!$C$71:$C$74)*12*(1+前提条件!$C$12)^(AR$3-$B$3))</f>
        <v/>
      </c>
      <c r="AS26" s="352">
        <f>IF(AS$3="","",SUM(入力データ!$C$71:$C$74)*12*(1+前提条件!$C$12)^(AS$3-$B$3))</f>
        <v/>
      </c>
      <c r="AT26" s="352">
        <f>IF(AT$3="","",SUM(入力データ!$C$71:$C$74)*12*(1+前提条件!$C$12)^(AT$3-$B$3))</f>
        <v/>
      </c>
      <c r="AU26" s="352">
        <f>IF(AU$3="","",SUM(入力データ!$C$71:$C$74)*12*(1+前提条件!$C$12)^(AU$3-$B$3))</f>
        <v/>
      </c>
      <c r="AV26" s="352">
        <f>IF(AV$3="","",SUM(入力データ!$C$71:$C$74)*12*(1+前提条件!$C$12)^(AV$3-$B$3))</f>
        <v/>
      </c>
      <c r="AW26" s="352">
        <f>IF(AW$3="","",SUM(入力データ!$C$71:$C$74)*12*(1+前提条件!$C$12)^(AW$3-$B$3))</f>
        <v/>
      </c>
      <c r="AX26" s="352">
        <f>IF(AX$3="","",SUM(入力データ!$C$71:$C$74)*12*(1+前提条件!$C$12)^(AX$3-$B$3))</f>
        <v/>
      </c>
      <c r="AY26" s="352">
        <f>IF(AY$3="","",SUM(入力データ!$C$71:$C$74)*12*(1+前提条件!$C$12)^(AY$3-$B$3))</f>
        <v/>
      </c>
      <c r="AZ26" s="352">
        <f>IF(AZ$3="","",SUM(入力データ!$C$71:$C$74)*12*(1+前提条件!$C$12)^(AZ$3-$B$3))</f>
        <v/>
      </c>
      <c r="BA26" s="352">
        <f>IF(BA$3="","",SUM(入力データ!$C$71:$C$74)*12*(1+前提条件!$C$12)^(BA$3-$B$3))</f>
        <v/>
      </c>
      <c r="BB26" s="352">
        <f>IF(BB$3="","",SUM(入力データ!$C$71:$C$74)*12*(1+前提条件!$C$12)^(BB$3-$B$3))</f>
        <v/>
      </c>
      <c r="BC26" s="352">
        <f>IF(BC$3="","",SUM(入力データ!$C$71:$C$74)*12*(1+前提条件!$C$12)^(BC$3-$B$3))</f>
        <v/>
      </c>
      <c r="BD26" s="352">
        <f>IF(BD$3="","",SUM(入力データ!$C$71:$C$74)*12*(1+前提条件!$C$12)^(BD$3-$B$3))</f>
        <v/>
      </c>
      <c r="BE26" s="352">
        <f>IF(BE$3="","",SUM(入力データ!$C$71:$C$74)*12*(1+前提条件!$C$12)^(BE$3-$B$3))</f>
        <v/>
      </c>
      <c r="BF26" s="352">
        <f>IF(BF$3="","",SUM(入力データ!$C$71:$C$74)*12*(1+前提条件!$C$12)^(BF$3-$B$3))</f>
        <v/>
      </c>
      <c r="BG26" s="352">
        <f>IF(BG$3="","",SUM(入力データ!$C$71:$C$74)*12*(1+前提条件!$C$12)^(BG$3-$B$3))</f>
        <v/>
      </c>
      <c r="BH26" s="352">
        <f>IF(BH$3="","",SUM(入力データ!$C$71:$C$74)*12*(1+前提条件!$C$12)^(BH$3-$B$3))</f>
        <v/>
      </c>
      <c r="BI26" s="352">
        <f>IF(BI$3="","",SUM(入力データ!$C$71:$C$74)*12*(1+前提条件!$C$12)^(BI$3-$B$3))</f>
        <v/>
      </c>
      <c r="BJ26" s="352">
        <f>IF(BJ$3="","",SUM(入力データ!$C$71:$C$74)*12*(1+前提条件!$C$12)^(BJ$3-$B$3))</f>
        <v/>
      </c>
      <c r="BK26" s="352">
        <f>IF(BK$3="","",SUM(入力データ!$C$71:$C$74)*12*(1+前提条件!$C$12)^(BK$3-$B$3))</f>
        <v/>
      </c>
      <c r="BL26" s="352">
        <f>IF(BL$3="","",SUM(入力データ!$C$71:$C$74)*12*(1+前提条件!$C$12)^(BL$3-$B$3))</f>
        <v/>
      </c>
      <c r="BM26" s="352">
        <f>IF(BM$3="","",SUM(入力データ!$C$71:$C$74)*12*(1+前提条件!$C$12)^(BM$3-$B$3))</f>
        <v/>
      </c>
      <c r="BN26" s="352">
        <f>IF(BN$3="","",SUM(入力データ!$C$71:$C$74)*12*(1+前提条件!$C$12)^(BN$3-$B$3))</f>
        <v/>
      </c>
      <c r="BO26" s="352">
        <f>IF(BO$3="","",SUM(入力データ!$C$71:$C$74)*12*(1+前提条件!$C$12)^(BO$3-$B$3))</f>
        <v/>
      </c>
      <c r="BP26" s="352">
        <f>IF(BP$3="","",SUM(入力データ!$C$71:$C$74)*12*(1+前提条件!$C$12)^(BP$3-$B$3))</f>
        <v/>
      </c>
      <c r="BQ26" s="352">
        <f>IF(BQ$3="","",SUM(入力データ!$C$71:$C$74)*12*(1+前提条件!$C$12)^(BQ$3-$B$3))</f>
        <v/>
      </c>
      <c r="BR26" s="352">
        <f>IF(BR$3="","",SUM(入力データ!$C$71:$C$74)*12*(1+前提条件!$C$12)^(BR$3-$B$3))</f>
        <v/>
      </c>
      <c r="BS26" s="352">
        <f>IF(BS$3="","",SUM(入力データ!$C$71:$C$74)*12*(1+前提条件!$C$12)^(BS$3-$B$3))</f>
        <v/>
      </c>
      <c r="BT26" s="352">
        <f>IF(BT$3="","",SUM(入力データ!$C$71:$C$74)*12*(1+前提条件!$C$12)^(BT$3-$B$3))</f>
        <v/>
      </c>
      <c r="BU26" s="352">
        <f>IF(BU$3="","",SUM(入力データ!$C$71:$C$74)*12*(1+前提条件!$C$12)^(BU$3-$B$3))</f>
        <v/>
      </c>
      <c r="BV26" s="352">
        <f>IF(BV$3="","",SUM(入力データ!$C$71:$C$74)*12*(1+前提条件!$C$12)^(BV$3-$B$3))</f>
        <v/>
      </c>
      <c r="BW26" s="352">
        <f>IF(BW$3="","",SUM(入力データ!$C$71:$C$74)*12*(1+前提条件!$C$12)^(BW$3-$B$3))</f>
        <v/>
      </c>
      <c r="BX26" s="352">
        <f>IF(BX$3="","",SUM(入力データ!$C$71:$C$74)*12*(1+前提条件!$C$12)^(BX$3-$B$3))</f>
        <v/>
      </c>
      <c r="BY26" s="352">
        <f>IF(BY$3="","",SUM(入力データ!$C$71:$C$74)*12*(1+前提条件!$C$12)^(BY$3-$B$3))</f>
        <v/>
      </c>
      <c r="BZ26" s="352">
        <f>IF(BZ$3="","",SUM(入力データ!$C$71:$C$74)*12*(1+前提条件!$C$12)^(BZ$3-$B$3))</f>
        <v/>
      </c>
      <c r="CA26" s="352">
        <f>IF(CA$3="","",SUM(入力データ!$C$71:$C$74)*12*(1+前提条件!$C$12)^(CA$3-$B$3))</f>
        <v/>
      </c>
      <c r="CB26" s="352">
        <f>IF(CB$3="","",SUM(入力データ!$C$71:$C$74)*12*(1+前提条件!$C$12)^(CB$3-$B$3))</f>
        <v/>
      </c>
      <c r="CC26" s="352">
        <f>IF(CC$3="","",SUM(入力データ!$C$71:$C$74)*12*(1+前提条件!$C$12)^(CC$3-$B$3))</f>
        <v/>
      </c>
      <c r="CD26" s="352">
        <f>IF(CD$3="","",SUM(入力データ!$C$71:$C$74)*12*(1+前提条件!$C$12)^(CD$3-$B$3))</f>
        <v/>
      </c>
      <c r="CE26" s="352">
        <f>IF(CE$3="","",SUM(入力データ!$C$71:$C$74)*12*(1+前提条件!$C$12)^(CE$3-$B$3))</f>
        <v/>
      </c>
      <c r="CF26" s="352">
        <f>IF(CF$3="","",SUM(入力データ!$C$71:$C$74)*12*(1+前提条件!$C$12)^(CF$3-$B$3))</f>
        <v/>
      </c>
      <c r="CG26" s="352">
        <f>IF(CG$3="","",SUM(入力データ!$C$71:$C$74)*12*(1+前提条件!$C$12)^(CG$3-$B$3))</f>
        <v/>
      </c>
      <c r="CH26" s="352">
        <f>IF(CH$3="","",SUM(入力データ!$C$71:$C$74)*12*(1+前提条件!$C$12)^(CH$3-$B$3))</f>
        <v/>
      </c>
      <c r="CI26" s="352">
        <f>IF(CI$3="","",SUM(入力データ!$C$71:$C$74)*12*(1+前提条件!$C$12)^(CI$3-$B$3))</f>
        <v/>
      </c>
      <c r="CJ26" s="352">
        <f>IF(CJ$3="","",SUM(入力データ!$C$71:$C$74)*12*(1+前提条件!$C$12)^(CJ$3-$B$3))</f>
        <v/>
      </c>
      <c r="CK26" s="352">
        <f>IF(CK$3="","",SUM(入力データ!$C$71:$C$74)*12*(1+前提条件!$C$12)^(CK$3-$B$3))</f>
        <v/>
      </c>
      <c r="CL26" s="352">
        <f>IF(CL$3="","",SUM(入力データ!$C$71:$C$74)*12*(1+前提条件!$C$12)^(CL$3-$B$3))</f>
        <v/>
      </c>
      <c r="CM26" s="352">
        <f>IF(CM$3="","",SUM(入力データ!$C$71:$C$74)*12*(1+前提条件!$C$12)^(CM$3-$B$3))</f>
        <v/>
      </c>
      <c r="CN26" s="352">
        <f>IF(CN$3="","",SUM(入力データ!$C$71:$C$74)*12*(1+前提条件!$C$12)^(CN$3-$B$3))</f>
        <v/>
      </c>
      <c r="CO26" s="352">
        <f>IF(CO$3="","",SUM(入力データ!$C$71:$C$74)*12*(1+前提条件!$C$12)^(CO$3-$B$3))</f>
        <v/>
      </c>
      <c r="CP26" s="352">
        <f>IF(CP$3="","",SUM(入力データ!$C$71:$C$74)*12*(1+前提条件!$C$12)^(CP$3-$B$3))</f>
        <v/>
      </c>
      <c r="CQ26" s="352">
        <f>IF(CQ$3="","",SUM(入力データ!$C$71:$C$74)*12*(1+前提条件!$C$12)^(CQ$3-$B$3))</f>
        <v/>
      </c>
      <c r="CR26" s="352">
        <f>IF(CR$3="","",SUM(入力データ!$C$71:$C$74)*12*(1+前提条件!$C$12)^(CR$3-$B$3))</f>
        <v/>
      </c>
      <c r="CS26" s="352">
        <f>IF(CS$3="","",SUM(入力データ!$C$71:$C$74)*12*(1+前提条件!$C$12)^(CS$3-$B$3))</f>
        <v/>
      </c>
      <c r="CT26" s="352">
        <f>IF(CT$3="","",SUM(入力データ!$C$71:$C$74)*12*(1+前提条件!$C$12)^(CT$3-$B$3))</f>
        <v/>
      </c>
      <c r="CU26" s="352">
        <f>IF(CU$3="","",SUM(入力データ!$C$71:$C$74)*12*(1+前提条件!$C$12)^(CU$3-$B$3))</f>
        <v/>
      </c>
      <c r="CV26" s="352">
        <f>IF(CV$3="","",SUM(入力データ!$C$71:$C$74)*12*(1+前提条件!$C$12)^(CV$3-$B$3))</f>
        <v/>
      </c>
      <c r="CW26" s="352">
        <f>IF(CW$3="","",SUM(入力データ!$C$71:$C$74)*12*(1+前提条件!$C$12)^(CW$3-$B$3))</f>
        <v/>
      </c>
    </row>
    <row r="27" ht="15" customHeight="1" s="180">
      <c r="A27" s="224" t="inlineStr">
        <is>
          <t>一時支出</t>
        </is>
      </c>
      <c r="B27" s="352">
        <f>IF(B$3="","",SUM(入力データ!$C$78:$C$82))</f>
        <v/>
      </c>
      <c r="C27" s="352">
        <f>IF(C$3="","",SUM(入力データ!$C$78:$C$82))</f>
        <v/>
      </c>
      <c r="D27" s="352">
        <f>IF(D$3="","",SUM(入力データ!$C$78:$C$82))</f>
        <v/>
      </c>
      <c r="E27" s="352">
        <f>IF(E$3="","",SUM(入力データ!$C$78:$C$82))</f>
        <v/>
      </c>
      <c r="F27" s="352">
        <f>IF(F$3="","",SUM(入力データ!$C$78:$C$82))</f>
        <v/>
      </c>
      <c r="G27" s="352">
        <f>IF(G$3="","",SUM(入力データ!$C$78:$C$82))</f>
        <v/>
      </c>
      <c r="H27" s="352">
        <f>IF(H$3="","",SUM(入力データ!$C$78:$C$82))</f>
        <v/>
      </c>
      <c r="I27" s="352">
        <f>IF(I$3="","",SUM(入力データ!$C$78:$C$82))</f>
        <v/>
      </c>
      <c r="J27" s="352">
        <f>IF(J$3="","",SUM(入力データ!$C$78:$C$82))</f>
        <v/>
      </c>
      <c r="K27" s="352">
        <f>IF(K$3="","",SUM(入力データ!$C$78:$C$82))</f>
        <v/>
      </c>
      <c r="L27" s="352">
        <f>IF(L$3="","",SUM(入力データ!$C$78:$C$82))</f>
        <v/>
      </c>
      <c r="M27" s="352">
        <f>IF(M$3="","",SUM(入力データ!$C$78:$C$82))</f>
        <v/>
      </c>
      <c r="N27" s="352">
        <f>IF(N$3="","",SUM(入力データ!$C$78:$C$82))</f>
        <v/>
      </c>
      <c r="O27" s="352">
        <f>IF(O$3="","",SUM(入力データ!$C$78:$C$82))</f>
        <v/>
      </c>
      <c r="P27" s="352">
        <f>IF(P$3="","",SUM(入力データ!$C$78:$C$82))</f>
        <v/>
      </c>
      <c r="Q27" s="352">
        <f>IF(Q$3="","",SUM(入力データ!$C$78:$C$82))</f>
        <v/>
      </c>
      <c r="R27" s="352">
        <f>IF(R$3="","",SUM(入力データ!$C$78:$C$82))</f>
        <v/>
      </c>
      <c r="S27" s="352">
        <f>IF(S$3="","",SUM(入力データ!$C$78:$C$82))</f>
        <v/>
      </c>
      <c r="T27" s="352">
        <f>IF(T$3="","",SUM(入力データ!$C$78:$C$82))</f>
        <v/>
      </c>
      <c r="U27" s="352">
        <f>IF(U$3="","",SUM(入力データ!$C$78:$C$82))</f>
        <v/>
      </c>
      <c r="V27" s="352">
        <f>IF(V$3="","",SUM(入力データ!$C$78:$C$82))</f>
        <v/>
      </c>
      <c r="W27" s="352">
        <f>IF(W$3="","",SUM(入力データ!$C$78:$C$82))</f>
        <v/>
      </c>
      <c r="X27" s="352">
        <f>IF(X$3="","",SUM(入力データ!$C$78:$C$82))</f>
        <v/>
      </c>
      <c r="Y27" s="352">
        <f>IF(Y$3="","",SUM(入力データ!$C$78:$C$82))</f>
        <v/>
      </c>
      <c r="Z27" s="352">
        <f>IF(Z$3="","",SUM(入力データ!$C$78:$C$82))</f>
        <v/>
      </c>
      <c r="AA27" s="352">
        <f>IF(AA$3="","",SUM(入力データ!$C$78:$C$82))</f>
        <v/>
      </c>
      <c r="AB27" s="352">
        <f>IF(AB$3="","",SUM(入力データ!$C$78:$C$82))</f>
        <v/>
      </c>
      <c r="AC27" s="352">
        <f>IF(AC$3="","",SUM(入力データ!$C$78:$C$82))</f>
        <v/>
      </c>
      <c r="AD27" s="352">
        <f>IF(AD$3="","",SUM(入力データ!$C$78:$C$82))</f>
        <v/>
      </c>
      <c r="AE27" s="352">
        <f>IF(AE$3="","",SUM(入力データ!$C$78:$C$82))</f>
        <v/>
      </c>
      <c r="AF27" s="352">
        <f>IF(AF$3="","",SUM(入力データ!$C$78:$C$82))</f>
        <v/>
      </c>
      <c r="AG27" s="352">
        <f>IF(AG$3="","",SUM(入力データ!$C$78:$C$82))</f>
        <v/>
      </c>
      <c r="AH27" s="352">
        <f>IF(AH$3="","",SUM(入力データ!$C$78:$C$82))</f>
        <v/>
      </c>
      <c r="AI27" s="352">
        <f>IF(AI$3="","",SUM(入力データ!$C$78:$C$82))</f>
        <v/>
      </c>
      <c r="AJ27" s="352">
        <f>IF(AJ$3="","",SUM(入力データ!$C$78:$C$82))</f>
        <v/>
      </c>
      <c r="AK27" s="352">
        <f>IF(AK$3="","",SUM(入力データ!$C$78:$C$82))</f>
        <v/>
      </c>
      <c r="AL27" s="352">
        <f>IF(AL$3="","",SUM(入力データ!$C$78:$C$82))</f>
        <v/>
      </c>
      <c r="AM27" s="352">
        <f>IF(AM$3="","",SUM(入力データ!$C$78:$C$82))</f>
        <v/>
      </c>
      <c r="AN27" s="352">
        <f>IF(AN$3="","",SUM(入力データ!$C$78:$C$82))</f>
        <v/>
      </c>
      <c r="AO27" s="352">
        <f>IF(AO$3="","",SUM(入力データ!$C$78:$C$82))</f>
        <v/>
      </c>
      <c r="AP27" s="352">
        <f>IF(AP$3="","",SUM(入力データ!$C$78:$C$82))</f>
        <v/>
      </c>
      <c r="AQ27" s="352">
        <f>IF(AQ$3="","",SUM(入力データ!$C$78:$C$82))</f>
        <v/>
      </c>
      <c r="AR27" s="352">
        <f>IF(AR$3="","",SUM(入力データ!$C$78:$C$82))</f>
        <v/>
      </c>
      <c r="AS27" s="352">
        <f>IF(AS$3="","",SUM(入力データ!$C$78:$C$82))</f>
        <v/>
      </c>
      <c r="AT27" s="352">
        <f>IF(AT$3="","",SUM(入力データ!$C$78:$C$82))</f>
        <v/>
      </c>
      <c r="AU27" s="352">
        <f>IF(AU$3="","",SUM(入力データ!$C$78:$C$82))</f>
        <v/>
      </c>
      <c r="AV27" s="352">
        <f>IF(AV$3="","",SUM(入力データ!$C$78:$C$82))</f>
        <v/>
      </c>
      <c r="AW27" s="352">
        <f>IF(AW$3="","",SUM(入力データ!$C$78:$C$82))</f>
        <v/>
      </c>
      <c r="AX27" s="352">
        <f>IF(AX$3="","",SUM(入力データ!$C$78:$C$82))</f>
        <v/>
      </c>
      <c r="AY27" s="352">
        <f>IF(AY$3="","",SUM(入力データ!$C$78:$C$82))</f>
        <v/>
      </c>
      <c r="AZ27" s="352">
        <f>IF(AZ$3="","",SUM(入力データ!$C$78:$C$82))</f>
        <v/>
      </c>
      <c r="BA27" s="352">
        <f>IF(BA$3="","",SUM(入力データ!$C$78:$C$82))</f>
        <v/>
      </c>
      <c r="BB27" s="352">
        <f>IF(BB$3="","",SUM(入力データ!$C$78:$C$82))</f>
        <v/>
      </c>
      <c r="BC27" s="352">
        <f>IF(BC$3="","",SUM(入力データ!$C$78:$C$82))</f>
        <v/>
      </c>
      <c r="BD27" s="352">
        <f>IF(BD$3="","",SUM(入力データ!$C$78:$C$82))</f>
        <v/>
      </c>
      <c r="BE27" s="352">
        <f>IF(BE$3="","",SUM(入力データ!$C$78:$C$82))</f>
        <v/>
      </c>
      <c r="BF27" s="352">
        <f>IF(BF$3="","",SUM(入力データ!$C$78:$C$82))</f>
        <v/>
      </c>
      <c r="BG27" s="352">
        <f>IF(BG$3="","",SUM(入力データ!$C$78:$C$82))</f>
        <v/>
      </c>
      <c r="BH27" s="352">
        <f>IF(BH$3="","",SUM(入力データ!$C$78:$C$82))</f>
        <v/>
      </c>
      <c r="BI27" s="352">
        <f>IF(BI$3="","",SUM(入力データ!$C$78:$C$82))</f>
        <v/>
      </c>
      <c r="BJ27" s="352">
        <f>IF(BJ$3="","",SUM(入力データ!$C$78:$C$82))</f>
        <v/>
      </c>
      <c r="BK27" s="352">
        <f>IF(BK$3="","",SUM(入力データ!$C$78:$C$82))</f>
        <v/>
      </c>
      <c r="BL27" s="352">
        <f>IF(BL$3="","",SUM(入力データ!$C$78:$C$82))</f>
        <v/>
      </c>
      <c r="BM27" s="352">
        <f>IF(BM$3="","",SUM(入力データ!$C$78:$C$82))</f>
        <v/>
      </c>
      <c r="BN27" s="352">
        <f>IF(BN$3="","",SUM(入力データ!$C$78:$C$82))</f>
        <v/>
      </c>
      <c r="BO27" s="352">
        <f>IF(BO$3="","",SUM(入力データ!$C$78:$C$82))</f>
        <v/>
      </c>
      <c r="BP27" s="352">
        <f>IF(BP$3="","",SUM(入力データ!$C$78:$C$82))</f>
        <v/>
      </c>
      <c r="BQ27" s="352">
        <f>IF(BQ$3="","",SUM(入力データ!$C$78:$C$82))</f>
        <v/>
      </c>
      <c r="BR27" s="352">
        <f>IF(BR$3="","",SUM(入力データ!$C$78:$C$82))</f>
        <v/>
      </c>
      <c r="BS27" s="352">
        <f>IF(BS$3="","",SUM(入力データ!$C$78:$C$82))</f>
        <v/>
      </c>
      <c r="BT27" s="352">
        <f>IF(BT$3="","",SUM(入力データ!$C$78:$C$82))</f>
        <v/>
      </c>
      <c r="BU27" s="352">
        <f>IF(BU$3="","",SUM(入力データ!$C$78:$C$82))</f>
        <v/>
      </c>
      <c r="BV27" s="352">
        <f>IF(BV$3="","",SUM(入力データ!$C$78:$C$82))</f>
        <v/>
      </c>
      <c r="BW27" s="352">
        <f>IF(BW$3="","",SUM(入力データ!$C$78:$C$82))</f>
        <v/>
      </c>
      <c r="BX27" s="352">
        <f>IF(BX$3="","",SUM(入力データ!$C$78:$C$82))</f>
        <v/>
      </c>
      <c r="BY27" s="352">
        <f>IF(BY$3="","",SUM(入力データ!$C$78:$C$82))</f>
        <v/>
      </c>
      <c r="BZ27" s="352">
        <f>IF(BZ$3="","",SUM(入力データ!$C$78:$C$82))</f>
        <v/>
      </c>
      <c r="CA27" s="352">
        <f>IF(CA$3="","",SUM(入力データ!$C$78:$C$82))</f>
        <v/>
      </c>
      <c r="CB27" s="352">
        <f>IF(CB$3="","",SUM(入力データ!$C$78:$C$82))</f>
        <v/>
      </c>
      <c r="CC27" s="352">
        <f>IF(CC$3="","",SUM(入力データ!$C$78:$C$82))</f>
        <v/>
      </c>
      <c r="CD27" s="352">
        <f>IF(CD$3="","",SUM(入力データ!$C$78:$C$82))</f>
        <v/>
      </c>
      <c r="CE27" s="352">
        <f>IF(CE$3="","",SUM(入力データ!$C$78:$C$82))</f>
        <v/>
      </c>
      <c r="CF27" s="352">
        <f>IF(CF$3="","",SUM(入力データ!$C$78:$C$82))</f>
        <v/>
      </c>
      <c r="CG27" s="352">
        <f>IF(CG$3="","",SUM(入力データ!$C$78:$C$82))</f>
        <v/>
      </c>
      <c r="CH27" s="352">
        <f>IF(CH$3="","",SUM(入力データ!$C$78:$C$82))</f>
        <v/>
      </c>
      <c r="CI27" s="352">
        <f>IF(CI$3="","",SUM(入力データ!$C$78:$C$82))</f>
        <v/>
      </c>
      <c r="CJ27" s="352">
        <f>IF(CJ$3="","",SUM(入力データ!$C$78:$C$82))</f>
        <v/>
      </c>
      <c r="CK27" s="352">
        <f>IF(CK$3="","",SUM(入力データ!$C$78:$C$82))</f>
        <v/>
      </c>
      <c r="CL27" s="352">
        <f>IF(CL$3="","",SUM(入力データ!$C$78:$C$82))</f>
        <v/>
      </c>
      <c r="CM27" s="352">
        <f>IF(CM$3="","",SUM(入力データ!$C$78:$C$82))</f>
        <v/>
      </c>
      <c r="CN27" s="352">
        <f>IF(CN$3="","",SUM(入力データ!$C$78:$C$82))</f>
        <v/>
      </c>
      <c r="CO27" s="352">
        <f>IF(CO$3="","",SUM(入力データ!$C$78:$C$82))</f>
        <v/>
      </c>
      <c r="CP27" s="352">
        <f>IF(CP$3="","",SUM(入力データ!$C$78:$C$82))</f>
        <v/>
      </c>
      <c r="CQ27" s="352">
        <f>IF(CQ$3="","",SUM(入力データ!$C$78:$C$82))</f>
        <v/>
      </c>
      <c r="CR27" s="352">
        <f>IF(CR$3="","",SUM(入力データ!$C$78:$C$82))</f>
        <v/>
      </c>
      <c r="CS27" s="352">
        <f>IF(CS$3="","",SUM(入力データ!$C$78:$C$82))</f>
        <v/>
      </c>
      <c r="CT27" s="352">
        <f>IF(CT$3="","",SUM(入力データ!$C$78:$C$82))</f>
        <v/>
      </c>
      <c r="CU27" s="352">
        <f>IF(CU$3="","",SUM(入力データ!$C$78:$C$82))</f>
        <v/>
      </c>
      <c r="CV27" s="352">
        <f>IF(CV$3="","",SUM(入力データ!$C$78:$C$82))</f>
        <v/>
      </c>
      <c r="CW27" s="352">
        <f>IF(CW$3="","",SUM(入力データ!$C$78:$C$82))</f>
        <v/>
      </c>
    </row>
    <row r="28" ht="15" customHeight="1" s="180">
      <c r="A28" s="226" t="inlineStr">
        <is>
          <t>支出合計</t>
        </is>
      </c>
      <c r="B28" s="353">
        <f>IF(B$3="","",SUM(B20:B27))</f>
        <v/>
      </c>
      <c r="C28" s="353">
        <f>IF(C$3="","",SUM(C20:C27))</f>
        <v/>
      </c>
      <c r="D28" s="353">
        <f>IF(D$3="","",SUM(D20:D27))</f>
        <v/>
      </c>
      <c r="E28" s="353">
        <f>IF(E$3="","",SUM(E20:E27))</f>
        <v/>
      </c>
      <c r="F28" s="353">
        <f>IF(F$3="","",SUM(F20:F27))</f>
        <v/>
      </c>
      <c r="G28" s="353">
        <f>IF(G$3="","",SUM(G20:G27))</f>
        <v/>
      </c>
      <c r="H28" s="353">
        <f>IF(H$3="","",SUM(H20:H27))</f>
        <v/>
      </c>
      <c r="I28" s="353">
        <f>IF(I$3="","",SUM(I20:I27))</f>
        <v/>
      </c>
      <c r="J28" s="353">
        <f>IF(J$3="","",SUM(J20:J27))</f>
        <v/>
      </c>
      <c r="K28" s="353">
        <f>IF(K$3="","",SUM(K20:K27))</f>
        <v/>
      </c>
      <c r="L28" s="353">
        <f>IF(L$3="","",SUM(L20:L27))</f>
        <v/>
      </c>
      <c r="M28" s="353">
        <f>IF(M$3="","",SUM(M20:M27))</f>
        <v/>
      </c>
      <c r="N28" s="353">
        <f>IF(N$3="","",SUM(N20:N27))</f>
        <v/>
      </c>
      <c r="O28" s="353">
        <f>IF(O$3="","",SUM(O20:O27))</f>
        <v/>
      </c>
      <c r="P28" s="353">
        <f>IF(P$3="","",SUM(P20:P27))</f>
        <v/>
      </c>
      <c r="Q28" s="353">
        <f>IF(Q$3="","",SUM(Q20:Q27))</f>
        <v/>
      </c>
      <c r="R28" s="353">
        <f>IF(R$3="","",SUM(R20:R27))</f>
        <v/>
      </c>
      <c r="S28" s="353">
        <f>IF(S$3="","",SUM(S20:S27))</f>
        <v/>
      </c>
      <c r="T28" s="353">
        <f>IF(T$3="","",SUM(T20:T27))</f>
        <v/>
      </c>
      <c r="U28" s="353">
        <f>IF(U$3="","",SUM(U20:U27))</f>
        <v/>
      </c>
      <c r="V28" s="353">
        <f>IF(V$3="","",SUM(V20:V27))</f>
        <v/>
      </c>
      <c r="W28" s="353">
        <f>IF(W$3="","",SUM(W20:W27))</f>
        <v/>
      </c>
      <c r="X28" s="353">
        <f>IF(X$3="","",SUM(X20:X27))</f>
        <v/>
      </c>
      <c r="Y28" s="353">
        <f>IF(Y$3="","",SUM(Y20:Y27))</f>
        <v/>
      </c>
      <c r="Z28" s="353">
        <f>IF(Z$3="","",SUM(Z20:Z27))</f>
        <v/>
      </c>
      <c r="AA28" s="353">
        <f>IF(AA$3="","",SUM(AA20:AA27))</f>
        <v/>
      </c>
      <c r="AB28" s="353">
        <f>IF(AB$3="","",SUM(AB20:AB27))</f>
        <v/>
      </c>
      <c r="AC28" s="353">
        <f>IF(AC$3="","",SUM(AC20:AC27))</f>
        <v/>
      </c>
      <c r="AD28" s="353">
        <f>IF(AD$3="","",SUM(AD20:AD27))</f>
        <v/>
      </c>
      <c r="AE28" s="353">
        <f>IF(AE$3="","",SUM(AE20:AE27))</f>
        <v/>
      </c>
      <c r="AF28" s="353">
        <f>IF(AF$3="","",SUM(AF20:AF27))</f>
        <v/>
      </c>
      <c r="AG28" s="353">
        <f>IF(AG$3="","",SUM(AG20:AG27))</f>
        <v/>
      </c>
      <c r="AH28" s="353">
        <f>IF(AH$3="","",SUM(AH20:AH27))</f>
        <v/>
      </c>
      <c r="AI28" s="353">
        <f>IF(AI$3="","",SUM(AI20:AI27))</f>
        <v/>
      </c>
      <c r="AJ28" s="353">
        <f>IF(AJ$3="","",SUM(AJ20:AJ27))</f>
        <v/>
      </c>
      <c r="AK28" s="353">
        <f>IF(AK$3="","",SUM(AK20:AK27))</f>
        <v/>
      </c>
      <c r="AL28" s="353">
        <f>IF(AL$3="","",SUM(AL20:AL27))</f>
        <v/>
      </c>
      <c r="AM28" s="353">
        <f>IF(AM$3="","",SUM(AM20:AM27))</f>
        <v/>
      </c>
      <c r="AN28" s="353">
        <f>IF(AN$3="","",SUM(AN20:AN27))</f>
        <v/>
      </c>
      <c r="AO28" s="353">
        <f>IF(AO$3="","",SUM(AO20:AO27))</f>
        <v/>
      </c>
      <c r="AP28" s="353">
        <f>IF(AP$3="","",SUM(AP20:AP27))</f>
        <v/>
      </c>
      <c r="AQ28" s="353">
        <f>IF(AQ$3="","",SUM(AQ20:AQ27))</f>
        <v/>
      </c>
      <c r="AR28" s="353">
        <f>IF(AR$3="","",SUM(AR20:AR27))</f>
        <v/>
      </c>
      <c r="AS28" s="353">
        <f>IF(AS$3="","",SUM(AS20:AS27))</f>
        <v/>
      </c>
      <c r="AT28" s="353">
        <f>IF(AT$3="","",SUM(AT20:AT27))</f>
        <v/>
      </c>
      <c r="AU28" s="353">
        <f>IF(AU$3="","",SUM(AU20:AU27))</f>
        <v/>
      </c>
      <c r="AV28" s="353">
        <f>IF(AV$3="","",SUM(AV20:AV27))</f>
        <v/>
      </c>
      <c r="AW28" s="353">
        <f>IF(AW$3="","",SUM(AW20:AW27))</f>
        <v/>
      </c>
      <c r="AX28" s="353">
        <f>IF(AX$3="","",SUM(AX20:AX27))</f>
        <v/>
      </c>
      <c r="AY28" s="353">
        <f>IF(AY$3="","",SUM(AY20:AY27))</f>
        <v/>
      </c>
      <c r="AZ28" s="353">
        <f>IF(AZ$3="","",SUM(AZ20:AZ27))</f>
        <v/>
      </c>
      <c r="BA28" s="353">
        <f>IF(BA$3="","",SUM(BA20:BA27))</f>
        <v/>
      </c>
      <c r="BB28" s="353">
        <f>IF(BB$3="","",SUM(BB20:BB27))</f>
        <v/>
      </c>
      <c r="BC28" s="353">
        <f>IF(BC$3="","",SUM(BC20:BC27))</f>
        <v/>
      </c>
      <c r="BD28" s="353">
        <f>IF(BD$3="","",SUM(BD20:BD27))</f>
        <v/>
      </c>
      <c r="BE28" s="353">
        <f>IF(BE$3="","",SUM(BE20:BE27))</f>
        <v/>
      </c>
      <c r="BF28" s="353">
        <f>IF(BF$3="","",SUM(BF20:BF27))</f>
        <v/>
      </c>
      <c r="BG28" s="353">
        <f>IF(BG$3="","",SUM(BG20:BG27))</f>
        <v/>
      </c>
      <c r="BH28" s="353">
        <f>IF(BH$3="","",SUM(BH20:BH27))</f>
        <v/>
      </c>
      <c r="BI28" s="353">
        <f>IF(BI$3="","",SUM(BI20:BI27))</f>
        <v/>
      </c>
      <c r="BJ28" s="353">
        <f>IF(BJ$3="","",SUM(BJ20:BJ27))</f>
        <v/>
      </c>
      <c r="BK28" s="353">
        <f>IF(BK$3="","",SUM(BK20:BK27))</f>
        <v/>
      </c>
      <c r="BL28" s="353">
        <f>IF(BL$3="","",SUM(BL20:BL27))</f>
        <v/>
      </c>
      <c r="BM28" s="353">
        <f>IF(BM$3="","",SUM(BM20:BM27))</f>
        <v/>
      </c>
      <c r="BN28" s="353">
        <f>IF(BN$3="","",SUM(BN20:BN27))</f>
        <v/>
      </c>
      <c r="BO28" s="353">
        <f>IF(BO$3="","",SUM(BO20:BO27))</f>
        <v/>
      </c>
      <c r="BP28" s="353">
        <f>IF(BP$3="","",SUM(BP20:BP27))</f>
        <v/>
      </c>
      <c r="BQ28" s="353">
        <f>IF(BQ$3="","",SUM(BQ20:BQ27))</f>
        <v/>
      </c>
      <c r="BR28" s="353">
        <f>IF(BR$3="","",SUM(BR20:BR27))</f>
        <v/>
      </c>
      <c r="BS28" s="353">
        <f>IF(BS$3="","",SUM(BS20:BS27))</f>
        <v/>
      </c>
      <c r="BT28" s="353">
        <f>IF(BT$3="","",SUM(BT20:BT27))</f>
        <v/>
      </c>
      <c r="BU28" s="353">
        <f>IF(BU$3="","",SUM(BU20:BU27))</f>
        <v/>
      </c>
      <c r="BV28" s="353">
        <f>IF(BV$3="","",SUM(BV20:BV27))</f>
        <v/>
      </c>
      <c r="BW28" s="353">
        <f>IF(BW$3="","",SUM(BW20:BW27))</f>
        <v/>
      </c>
      <c r="BX28" s="353">
        <f>IF(BX$3="","",SUM(BX20:BX27))</f>
        <v/>
      </c>
      <c r="BY28" s="353">
        <f>IF(BY$3="","",SUM(BY20:BY27))</f>
        <v/>
      </c>
      <c r="BZ28" s="353">
        <f>IF(BZ$3="","",SUM(BZ20:BZ27))</f>
        <v/>
      </c>
      <c r="CA28" s="353">
        <f>IF(CA$3="","",SUM(CA20:CA27))</f>
        <v/>
      </c>
      <c r="CB28" s="353">
        <f>IF(CB$3="","",SUM(CB20:CB27))</f>
        <v/>
      </c>
      <c r="CC28" s="353">
        <f>IF(CC$3="","",SUM(CC20:CC27))</f>
        <v/>
      </c>
      <c r="CD28" s="353">
        <f>IF(CD$3="","",SUM(CD20:CD27))</f>
        <v/>
      </c>
      <c r="CE28" s="353">
        <f>IF(CE$3="","",SUM(CE20:CE27))</f>
        <v/>
      </c>
      <c r="CF28" s="353">
        <f>IF(CF$3="","",SUM(CF20:CF27))</f>
        <v/>
      </c>
      <c r="CG28" s="353">
        <f>IF(CG$3="","",SUM(CG20:CG27))</f>
        <v/>
      </c>
      <c r="CH28" s="353">
        <f>IF(CH$3="","",SUM(CH20:CH27))</f>
        <v/>
      </c>
      <c r="CI28" s="353">
        <f>IF(CI$3="","",SUM(CI20:CI27))</f>
        <v/>
      </c>
      <c r="CJ28" s="353">
        <f>IF(CJ$3="","",SUM(CJ20:CJ27))</f>
        <v/>
      </c>
      <c r="CK28" s="353">
        <f>IF(CK$3="","",SUM(CK20:CK27))</f>
        <v/>
      </c>
      <c r="CL28" s="353">
        <f>IF(CL$3="","",SUM(CL20:CL27))</f>
        <v/>
      </c>
      <c r="CM28" s="353">
        <f>IF(CM$3="","",SUM(CM20:CM27))</f>
        <v/>
      </c>
      <c r="CN28" s="353">
        <f>IF(CN$3="","",SUM(CN20:CN27))</f>
        <v/>
      </c>
      <c r="CO28" s="353">
        <f>IF(CO$3="","",SUM(CO20:CO27))</f>
        <v/>
      </c>
      <c r="CP28" s="353">
        <f>IF(CP$3="","",SUM(CP20:CP27))</f>
        <v/>
      </c>
      <c r="CQ28" s="353">
        <f>IF(CQ$3="","",SUM(CQ20:CQ27))</f>
        <v/>
      </c>
      <c r="CR28" s="353">
        <f>IF(CR$3="","",SUM(CR20:CR27))</f>
        <v/>
      </c>
      <c r="CS28" s="353">
        <f>IF(CS$3="","",SUM(CS20:CS27))</f>
        <v/>
      </c>
      <c r="CT28" s="353">
        <f>IF(CT$3="","",SUM(CT20:CT27))</f>
        <v/>
      </c>
      <c r="CU28" s="353">
        <f>IF(CU$3="","",SUM(CU20:CU27))</f>
        <v/>
      </c>
      <c r="CV28" s="353">
        <f>IF(CV$3="","",SUM(CV20:CV27))</f>
        <v/>
      </c>
      <c r="CW28" s="353">
        <f>IF(CW$3="","",SUM(CW20:CW27))</f>
        <v/>
      </c>
    </row>
    <row r="29" ht="15" customHeight="1" s="180">
      <c r="A29" s="205" t="inlineStr">
        <is>
          <t>収支・資産</t>
        </is>
      </c>
      <c r="B29" s="219" t="n"/>
      <c r="C29" s="219" t="n"/>
      <c r="D29" s="219" t="n"/>
      <c r="E29" s="219" t="n"/>
      <c r="F29" s="219" t="n"/>
      <c r="G29" s="219" t="n"/>
      <c r="H29" s="219" t="n"/>
      <c r="I29" s="219" t="n"/>
      <c r="J29" s="219" t="n"/>
      <c r="K29" s="219" t="n"/>
      <c r="L29" s="219" t="n"/>
      <c r="M29" s="219" t="n"/>
      <c r="N29" s="219" t="n"/>
      <c r="O29" s="219" t="n"/>
      <c r="P29" s="219" t="n"/>
      <c r="Q29" s="219" t="n"/>
      <c r="R29" s="219" t="n"/>
      <c r="S29" s="219" t="n"/>
      <c r="T29" s="219" t="n"/>
      <c r="U29" s="219" t="n"/>
      <c r="V29" s="219" t="n"/>
      <c r="W29" s="219" t="n"/>
      <c r="X29" s="219" t="n"/>
      <c r="Y29" s="219" t="n"/>
      <c r="Z29" s="219" t="n"/>
      <c r="AA29" s="219" t="n"/>
      <c r="AB29" s="219" t="n"/>
      <c r="AC29" s="219" t="n"/>
      <c r="AD29" s="219" t="n"/>
      <c r="AE29" s="219" t="n"/>
      <c r="AF29" s="219" t="n"/>
      <c r="AG29" s="219" t="n"/>
      <c r="AH29" s="219" t="n"/>
      <c r="AI29" s="219" t="n"/>
      <c r="AJ29" s="219" t="n"/>
      <c r="AK29" s="219" t="n"/>
      <c r="AL29" s="219" t="n"/>
      <c r="AM29" s="219" t="n"/>
      <c r="AN29" s="219" t="n"/>
      <c r="AO29" s="219" t="n"/>
      <c r="AP29" s="219" t="n"/>
      <c r="AQ29" s="219" t="n"/>
      <c r="AR29" s="219" t="n"/>
      <c r="AS29" s="219" t="n"/>
      <c r="AT29" s="219" t="n"/>
      <c r="AU29" s="219" t="n"/>
      <c r="AV29" s="219" t="n"/>
      <c r="AW29" s="219" t="n"/>
      <c r="AX29" s="219" t="n"/>
      <c r="AY29" s="219" t="n"/>
      <c r="AZ29" s="219" t="n"/>
      <c r="BA29" s="219" t="n"/>
      <c r="BB29" s="219" t="n"/>
      <c r="BC29" s="219" t="n"/>
      <c r="BD29" s="219" t="n"/>
      <c r="BE29" s="219" t="n"/>
      <c r="BF29" s="219" t="n"/>
      <c r="BG29" s="219" t="n"/>
      <c r="BH29" s="219" t="n"/>
      <c r="BI29" s="219" t="n"/>
      <c r="BJ29" s="219" t="n"/>
      <c r="BK29" s="219" t="n"/>
      <c r="BL29" s="219" t="n"/>
      <c r="BM29" s="219" t="n"/>
      <c r="BN29" s="219" t="n"/>
      <c r="BO29" s="219" t="n"/>
      <c r="BP29" s="219" t="n"/>
      <c r="BQ29" s="219" t="n"/>
      <c r="BR29" s="219" t="n"/>
      <c r="BS29" s="219" t="n"/>
      <c r="BT29" s="219" t="n"/>
      <c r="BU29" s="219" t="n"/>
      <c r="BV29" s="219" t="n"/>
      <c r="BW29" s="219" t="n"/>
      <c r="BX29" s="219" t="n"/>
      <c r="BY29" s="219" t="n"/>
      <c r="BZ29" s="219" t="n"/>
      <c r="CA29" s="219" t="n"/>
      <c r="CB29" s="219" t="n"/>
      <c r="CC29" s="219" t="n"/>
      <c r="CD29" s="219" t="n"/>
      <c r="CE29" s="219" t="n"/>
      <c r="CF29" s="219" t="n"/>
      <c r="CG29" s="219" t="n"/>
      <c r="CH29" s="219" t="n"/>
      <c r="CI29" s="219" t="n"/>
      <c r="CJ29" s="219" t="n"/>
      <c r="CK29" s="219" t="n"/>
      <c r="CL29" s="219" t="n"/>
      <c r="CM29" s="219" t="n"/>
      <c r="CN29" s="219" t="n"/>
      <c r="CO29" s="219" t="n"/>
      <c r="CP29" s="219" t="n"/>
      <c r="CQ29" s="219" t="n"/>
      <c r="CR29" s="219" t="n"/>
      <c r="CS29" s="219" t="n"/>
      <c r="CT29" s="219" t="n"/>
      <c r="CU29" s="219" t="n"/>
      <c r="CV29" s="219" t="n"/>
      <c r="CW29" s="219" t="n"/>
    </row>
    <row r="30" ht="21.75" customHeight="1" s="180">
      <c r="A30" s="229" t="inlineStr">
        <is>
          <t>年間収支</t>
        </is>
      </c>
      <c r="B30" s="354">
        <f>IF(B$3="","",B18-B28)</f>
        <v/>
      </c>
      <c r="C30" s="354">
        <f>IF(C$3="","",C18-C28)</f>
        <v/>
      </c>
      <c r="D30" s="354">
        <f>IF(D$3="","",D18-D28)</f>
        <v/>
      </c>
      <c r="E30" s="354">
        <f>IF(E$3="","",E18-E28)</f>
        <v/>
      </c>
      <c r="F30" s="354">
        <f>IF(F$3="","",F18-F28)</f>
        <v/>
      </c>
      <c r="G30" s="354">
        <f>IF(G$3="","",G18-G28)</f>
        <v/>
      </c>
      <c r="H30" s="354">
        <f>IF(H$3="","",H18-H28)</f>
        <v/>
      </c>
      <c r="I30" s="354">
        <f>IF(I$3="","",I18-I28)</f>
        <v/>
      </c>
      <c r="J30" s="354">
        <f>IF(J$3="","",J18-J28)</f>
        <v/>
      </c>
      <c r="K30" s="354">
        <f>IF(K$3="","",K18-K28)</f>
        <v/>
      </c>
      <c r="L30" s="354">
        <f>IF(L$3="","",L18-L28)</f>
        <v/>
      </c>
      <c r="M30" s="354">
        <f>IF(M$3="","",M18-M28)</f>
        <v/>
      </c>
      <c r="N30" s="354">
        <f>IF(N$3="","",N18-N28)</f>
        <v/>
      </c>
      <c r="O30" s="354">
        <f>IF(O$3="","",O18-O28)</f>
        <v/>
      </c>
      <c r="P30" s="354">
        <f>IF(P$3="","",P18-P28)</f>
        <v/>
      </c>
      <c r="Q30" s="354">
        <f>IF(Q$3="","",Q18-Q28)</f>
        <v/>
      </c>
      <c r="R30" s="354">
        <f>IF(R$3="","",R18-R28)</f>
        <v/>
      </c>
      <c r="S30" s="354">
        <f>IF(S$3="","",S18-S28)</f>
        <v/>
      </c>
      <c r="T30" s="354">
        <f>IF(T$3="","",T18-T28)</f>
        <v/>
      </c>
      <c r="U30" s="354">
        <f>IF(U$3="","",U18-U28)</f>
        <v/>
      </c>
      <c r="V30" s="354">
        <f>IF(V$3="","",V18-V28)</f>
        <v/>
      </c>
      <c r="W30" s="354">
        <f>IF(W$3="","",W18-W28)</f>
        <v/>
      </c>
      <c r="X30" s="354">
        <f>IF(X$3="","",X18-X28)</f>
        <v/>
      </c>
      <c r="Y30" s="354">
        <f>IF(Y$3="","",Y18-Y28)</f>
        <v/>
      </c>
      <c r="Z30" s="354">
        <f>IF(Z$3="","",Z18-Z28)</f>
        <v/>
      </c>
      <c r="AA30" s="354">
        <f>IF(AA$3="","",AA18-AA28)</f>
        <v/>
      </c>
      <c r="AB30" s="354">
        <f>IF(AB$3="","",AB18-AB28)</f>
        <v/>
      </c>
      <c r="AC30" s="354">
        <f>IF(AC$3="","",AC18-AC28)</f>
        <v/>
      </c>
      <c r="AD30" s="354">
        <f>IF(AD$3="","",AD18-AD28)</f>
        <v/>
      </c>
      <c r="AE30" s="354">
        <f>IF(AE$3="","",AE18-AE28)</f>
        <v/>
      </c>
      <c r="AF30" s="354">
        <f>IF(AF$3="","",AF18-AF28)</f>
        <v/>
      </c>
      <c r="AG30" s="354">
        <f>IF(AG$3="","",AG18-AG28)</f>
        <v/>
      </c>
      <c r="AH30" s="354">
        <f>IF(AH$3="","",AH18-AH28)</f>
        <v/>
      </c>
      <c r="AI30" s="354">
        <f>IF(AI$3="","",AI18-AI28)</f>
        <v/>
      </c>
      <c r="AJ30" s="354">
        <f>IF(AJ$3="","",AJ18-AJ28)</f>
        <v/>
      </c>
      <c r="AK30" s="354">
        <f>IF(AK$3="","",AK18-AK28)</f>
        <v/>
      </c>
      <c r="AL30" s="354">
        <f>IF(AL$3="","",AL18-AL28)</f>
        <v/>
      </c>
      <c r="AM30" s="354">
        <f>IF(AM$3="","",AM18-AM28)</f>
        <v/>
      </c>
      <c r="AN30" s="354">
        <f>IF(AN$3="","",AN18-AN28)</f>
        <v/>
      </c>
      <c r="AO30" s="354">
        <f>IF(AO$3="","",AO18-AO28)</f>
        <v/>
      </c>
      <c r="AP30" s="354">
        <f>IF(AP$3="","",AP18-AP28)</f>
        <v/>
      </c>
      <c r="AQ30" s="354">
        <f>IF(AQ$3="","",AQ18-AQ28)</f>
        <v/>
      </c>
      <c r="AR30" s="354">
        <f>IF(AR$3="","",AR18-AR28)</f>
        <v/>
      </c>
      <c r="AS30" s="354">
        <f>IF(AS$3="","",AS18-AS28)</f>
        <v/>
      </c>
      <c r="AT30" s="354">
        <f>IF(AT$3="","",AT18-AT28)</f>
        <v/>
      </c>
      <c r="AU30" s="354">
        <f>IF(AU$3="","",AU18-AU28)</f>
        <v/>
      </c>
      <c r="AV30" s="354">
        <f>IF(AV$3="","",AV18-AV28)</f>
        <v/>
      </c>
      <c r="AW30" s="354">
        <f>IF(AW$3="","",AW18-AW28)</f>
        <v/>
      </c>
      <c r="AX30" s="354">
        <f>IF(AX$3="","",AX18-AX28)</f>
        <v/>
      </c>
      <c r="AY30" s="354">
        <f>IF(AY$3="","",AY18-AY28)</f>
        <v/>
      </c>
      <c r="AZ30" s="354">
        <f>IF(AZ$3="","",AZ18-AZ28)</f>
        <v/>
      </c>
      <c r="BA30" s="354">
        <f>IF(BA$3="","",BA18-BA28)</f>
        <v/>
      </c>
      <c r="BB30" s="354">
        <f>IF(BB$3="","",BB18-BB28)</f>
        <v/>
      </c>
      <c r="BC30" s="354">
        <f>IF(BC$3="","",BC18-BC28)</f>
        <v/>
      </c>
      <c r="BD30" s="354">
        <f>IF(BD$3="","",BD18-BD28)</f>
        <v/>
      </c>
      <c r="BE30" s="354">
        <f>IF(BE$3="","",BE18-BE28)</f>
        <v/>
      </c>
      <c r="BF30" s="354">
        <f>IF(BF$3="","",BF18-BF28)</f>
        <v/>
      </c>
      <c r="BG30" s="354">
        <f>IF(BG$3="","",BG18-BG28)</f>
        <v/>
      </c>
      <c r="BH30" s="354">
        <f>IF(BH$3="","",BH18-BH28)</f>
        <v/>
      </c>
      <c r="BI30" s="354">
        <f>IF(BI$3="","",BI18-BI28)</f>
        <v/>
      </c>
      <c r="BJ30" s="354">
        <f>IF(BJ$3="","",BJ18-BJ28)</f>
        <v/>
      </c>
      <c r="BK30" s="354">
        <f>IF(BK$3="","",BK18-BK28)</f>
        <v/>
      </c>
      <c r="BL30" s="354">
        <f>IF(BL$3="","",BL18-BL28)</f>
        <v/>
      </c>
      <c r="BM30" s="354">
        <f>IF(BM$3="","",BM18-BM28)</f>
        <v/>
      </c>
      <c r="BN30" s="354">
        <f>IF(BN$3="","",BN18-BN28)</f>
        <v/>
      </c>
      <c r="BO30" s="354">
        <f>IF(BO$3="","",BO18-BO28)</f>
        <v/>
      </c>
      <c r="BP30" s="354">
        <f>IF(BP$3="","",BP18-BP28)</f>
        <v/>
      </c>
      <c r="BQ30" s="354">
        <f>IF(BQ$3="","",BQ18-BQ28)</f>
        <v/>
      </c>
      <c r="BR30" s="354">
        <f>IF(BR$3="","",BR18-BR28)</f>
        <v/>
      </c>
      <c r="BS30" s="354">
        <f>IF(BS$3="","",BS18-BS28)</f>
        <v/>
      </c>
      <c r="BT30" s="354">
        <f>IF(BT$3="","",BT18-BT28)</f>
        <v/>
      </c>
      <c r="BU30" s="354">
        <f>IF(BU$3="","",BU18-BU28)</f>
        <v/>
      </c>
      <c r="BV30" s="354">
        <f>IF(BV$3="","",BV18-BV28)</f>
        <v/>
      </c>
      <c r="BW30" s="354">
        <f>IF(BW$3="","",BW18-BW28)</f>
        <v/>
      </c>
      <c r="BX30" s="354">
        <f>IF(BX$3="","",BX18-BX28)</f>
        <v/>
      </c>
      <c r="BY30" s="354">
        <f>IF(BY$3="","",BY18-BY28)</f>
        <v/>
      </c>
      <c r="BZ30" s="354">
        <f>IF(BZ$3="","",BZ18-BZ28)</f>
        <v/>
      </c>
      <c r="CA30" s="354">
        <f>IF(CA$3="","",CA18-CA28)</f>
        <v/>
      </c>
      <c r="CB30" s="354">
        <f>IF(CB$3="","",CB18-CB28)</f>
        <v/>
      </c>
      <c r="CC30" s="354">
        <f>IF(CC$3="","",CC18-CC28)</f>
        <v/>
      </c>
      <c r="CD30" s="354">
        <f>IF(CD$3="","",CD18-CD28)</f>
        <v/>
      </c>
      <c r="CE30" s="354">
        <f>IF(CE$3="","",CE18-CE28)</f>
        <v/>
      </c>
      <c r="CF30" s="354">
        <f>IF(CF$3="","",CF18-CF28)</f>
        <v/>
      </c>
      <c r="CG30" s="354">
        <f>IF(CG$3="","",CG18-CG28)</f>
        <v/>
      </c>
      <c r="CH30" s="354">
        <f>IF(CH$3="","",CH18-CH28)</f>
        <v/>
      </c>
      <c r="CI30" s="354">
        <f>IF(CI$3="","",CI18-CI28)</f>
        <v/>
      </c>
      <c r="CJ30" s="354">
        <f>IF(CJ$3="","",CJ18-CJ28)</f>
        <v/>
      </c>
      <c r="CK30" s="354">
        <f>IF(CK$3="","",CK18-CK28)</f>
        <v/>
      </c>
      <c r="CL30" s="354">
        <f>IF(CL$3="","",CL18-CL28)</f>
        <v/>
      </c>
      <c r="CM30" s="354">
        <f>IF(CM$3="","",CM18-CM28)</f>
        <v/>
      </c>
      <c r="CN30" s="354">
        <f>IF(CN$3="","",CN18-CN28)</f>
        <v/>
      </c>
      <c r="CO30" s="354">
        <f>IF(CO$3="","",CO18-CO28)</f>
        <v/>
      </c>
      <c r="CP30" s="354">
        <f>IF(CP$3="","",CP18-CP28)</f>
        <v/>
      </c>
      <c r="CQ30" s="354">
        <f>IF(CQ$3="","",CQ18-CQ28)</f>
        <v/>
      </c>
      <c r="CR30" s="354">
        <f>IF(CR$3="","",CR18-CR28)</f>
        <v/>
      </c>
      <c r="CS30" s="354">
        <f>IF(CS$3="","",CS18-CS28)</f>
        <v/>
      </c>
      <c r="CT30" s="354">
        <f>IF(CT$3="","",CT18-CT28)</f>
        <v/>
      </c>
      <c r="CU30" s="354">
        <f>IF(CU$3="","",CU18-CU28)</f>
        <v/>
      </c>
      <c r="CV30" s="354">
        <f>IF(CV$3="","",CV18-CV28)</f>
        <v/>
      </c>
      <c r="CW30" s="354">
        <f>IF(CW$3="","",CW18-CW28)</f>
        <v/>
      </c>
    </row>
    <row r="31" ht="15" customHeight="1" s="180">
      <c r="A31" s="231" t="inlineStr">
        <is>
          <t>預貯金残高</t>
        </is>
      </c>
      <c r="B31" s="355">
        <f>IF(B$3="","",B38)</f>
        <v/>
      </c>
      <c r="C31" s="355">
        <f>IF(C$3="","",C38)</f>
        <v/>
      </c>
      <c r="D31" s="355">
        <f>IF(D$3="","",D38)</f>
        <v/>
      </c>
      <c r="E31" s="355">
        <f>IF(E$3="","",E38)</f>
        <v/>
      </c>
      <c r="F31" s="355">
        <f>IF(F$3="","",F38)</f>
        <v/>
      </c>
      <c r="G31" s="355">
        <f>IF(G$3="","",G38)</f>
        <v/>
      </c>
      <c r="H31" s="355">
        <f>IF(H$3="","",H38)</f>
        <v/>
      </c>
      <c r="I31" s="355">
        <f>IF(I$3="","",I38)</f>
        <v/>
      </c>
      <c r="J31" s="355">
        <f>IF(J$3="","",J38)</f>
        <v/>
      </c>
      <c r="K31" s="355">
        <f>IF(K$3="","",K38)</f>
        <v/>
      </c>
      <c r="L31" s="355">
        <f>IF(L$3="","",L38)</f>
        <v/>
      </c>
      <c r="M31" s="355">
        <f>IF(M$3="","",M38)</f>
        <v/>
      </c>
      <c r="N31" s="355">
        <f>IF(N$3="","",N38)</f>
        <v/>
      </c>
      <c r="O31" s="355">
        <f>IF(O$3="","",O38)</f>
        <v/>
      </c>
      <c r="P31" s="355">
        <f>IF(P$3="","",P38)</f>
        <v/>
      </c>
      <c r="Q31" s="355">
        <f>IF(Q$3="","",Q38)</f>
        <v/>
      </c>
      <c r="R31" s="355">
        <f>IF(R$3="","",R38)</f>
        <v/>
      </c>
      <c r="S31" s="355">
        <f>IF(S$3="","",S38)</f>
        <v/>
      </c>
      <c r="T31" s="355">
        <f>IF(T$3="","",T38)</f>
        <v/>
      </c>
      <c r="U31" s="355">
        <f>IF(U$3="","",U38)</f>
        <v/>
      </c>
      <c r="V31" s="355">
        <f>IF(V$3="","",V38)</f>
        <v/>
      </c>
      <c r="W31" s="355">
        <f>IF(W$3="","",W38)</f>
        <v/>
      </c>
      <c r="X31" s="355">
        <f>IF(X$3="","",X38)</f>
        <v/>
      </c>
      <c r="Y31" s="355">
        <f>IF(Y$3="","",Y38)</f>
        <v/>
      </c>
      <c r="Z31" s="355">
        <f>IF(Z$3="","",Z38)</f>
        <v/>
      </c>
      <c r="AA31" s="355">
        <f>IF(AA$3="","",AA38)</f>
        <v/>
      </c>
      <c r="AB31" s="355">
        <f>IF(AB$3="","",AB38)</f>
        <v/>
      </c>
      <c r="AC31" s="355">
        <f>IF(AC$3="","",AC38)</f>
        <v/>
      </c>
      <c r="AD31" s="355">
        <f>IF(AD$3="","",AD38)</f>
        <v/>
      </c>
      <c r="AE31" s="355">
        <f>IF(AE$3="","",AE38)</f>
        <v/>
      </c>
      <c r="AF31" s="355">
        <f>IF(AF$3="","",AF38)</f>
        <v/>
      </c>
      <c r="AG31" s="355">
        <f>IF(AG$3="","",AG38)</f>
        <v/>
      </c>
      <c r="AH31" s="355">
        <f>IF(AH$3="","",AH38)</f>
        <v/>
      </c>
      <c r="AI31" s="355">
        <f>IF(AI$3="","",AI38)</f>
        <v/>
      </c>
      <c r="AJ31" s="355">
        <f>IF(AJ$3="","",AJ38)</f>
        <v/>
      </c>
      <c r="AK31" s="355">
        <f>IF(AK$3="","",AK38)</f>
        <v/>
      </c>
      <c r="AL31" s="355">
        <f>IF(AL$3="","",AL38)</f>
        <v/>
      </c>
      <c r="AM31" s="355">
        <f>IF(AM$3="","",AM38)</f>
        <v/>
      </c>
      <c r="AN31" s="355">
        <f>IF(AN$3="","",AN38)</f>
        <v/>
      </c>
      <c r="AO31" s="355">
        <f>IF(AO$3="","",AO38)</f>
        <v/>
      </c>
      <c r="AP31" s="355">
        <f>IF(AP$3="","",AP38)</f>
        <v/>
      </c>
      <c r="AQ31" s="355">
        <f>IF(AQ$3="","",AQ38)</f>
        <v/>
      </c>
      <c r="AR31" s="355">
        <f>IF(AR$3="","",AR38)</f>
        <v/>
      </c>
      <c r="AS31" s="355">
        <f>IF(AS$3="","",AS38)</f>
        <v/>
      </c>
      <c r="AT31" s="355">
        <f>IF(AT$3="","",AT38)</f>
        <v/>
      </c>
      <c r="AU31" s="355">
        <f>IF(AU$3="","",AU38)</f>
        <v/>
      </c>
      <c r="AV31" s="355">
        <f>IF(AV$3="","",AV38)</f>
        <v/>
      </c>
      <c r="AW31" s="355">
        <f>IF(AW$3="","",AW38)</f>
        <v/>
      </c>
      <c r="AX31" s="355">
        <f>IF(AX$3="","",AX38)</f>
        <v/>
      </c>
      <c r="AY31" s="355">
        <f>IF(AY$3="","",AY38)</f>
        <v/>
      </c>
      <c r="AZ31" s="355">
        <f>IF(AZ$3="","",AZ38)</f>
        <v/>
      </c>
      <c r="BA31" s="355">
        <f>IF(BA$3="","",BA38)</f>
        <v/>
      </c>
      <c r="BB31" s="355">
        <f>IF(BB$3="","",BB38)</f>
        <v/>
      </c>
      <c r="BC31" s="355">
        <f>IF(BC$3="","",BC38)</f>
        <v/>
      </c>
      <c r="BD31" s="355">
        <f>IF(BD$3="","",BD38)</f>
        <v/>
      </c>
      <c r="BE31" s="355">
        <f>IF(BE$3="","",BE38)</f>
        <v/>
      </c>
      <c r="BF31" s="355">
        <f>IF(BF$3="","",BF38)</f>
        <v/>
      </c>
      <c r="BG31" s="355">
        <f>IF(BG$3="","",BG38)</f>
        <v/>
      </c>
      <c r="BH31" s="355">
        <f>IF(BH$3="","",BH38)</f>
        <v/>
      </c>
      <c r="BI31" s="355">
        <f>IF(BI$3="","",BI38)</f>
        <v/>
      </c>
      <c r="BJ31" s="355">
        <f>IF(BJ$3="","",BJ38)</f>
        <v/>
      </c>
      <c r="BK31" s="355">
        <f>IF(BK$3="","",BK38)</f>
        <v/>
      </c>
      <c r="BL31" s="355">
        <f>IF(BL$3="","",BL38)</f>
        <v/>
      </c>
      <c r="BM31" s="355">
        <f>IF(BM$3="","",BM38)</f>
        <v/>
      </c>
      <c r="BN31" s="355">
        <f>IF(BN$3="","",BN38)</f>
        <v/>
      </c>
      <c r="BO31" s="355">
        <f>IF(BO$3="","",BO38)</f>
        <v/>
      </c>
      <c r="BP31" s="355">
        <f>IF(BP$3="","",BP38)</f>
        <v/>
      </c>
      <c r="BQ31" s="355">
        <f>IF(BQ$3="","",BQ38)</f>
        <v/>
      </c>
      <c r="BR31" s="355">
        <f>IF(BR$3="","",BR38)</f>
        <v/>
      </c>
      <c r="BS31" s="355">
        <f>IF(BS$3="","",BS38)</f>
        <v/>
      </c>
      <c r="BT31" s="355">
        <f>IF(BT$3="","",BT38)</f>
        <v/>
      </c>
      <c r="BU31" s="355">
        <f>IF(BU$3="","",BU38)</f>
        <v/>
      </c>
      <c r="BV31" s="355">
        <f>IF(BV$3="","",BV38)</f>
        <v/>
      </c>
      <c r="BW31" s="355">
        <f>IF(BW$3="","",BW38)</f>
        <v/>
      </c>
      <c r="BX31" s="355">
        <f>IF(BX$3="","",BX38)</f>
        <v/>
      </c>
      <c r="BY31" s="355">
        <f>IF(BY$3="","",BY38)</f>
        <v/>
      </c>
      <c r="BZ31" s="355">
        <f>IF(BZ$3="","",BZ38)</f>
        <v/>
      </c>
      <c r="CA31" s="355">
        <f>IF(CA$3="","",CA38)</f>
        <v/>
      </c>
      <c r="CB31" s="355">
        <f>IF(CB$3="","",CB38)</f>
        <v/>
      </c>
      <c r="CC31" s="355">
        <f>IF(CC$3="","",CC38)</f>
        <v/>
      </c>
      <c r="CD31" s="355">
        <f>IF(CD$3="","",CD38)</f>
        <v/>
      </c>
      <c r="CE31" s="355">
        <f>IF(CE$3="","",CE38)</f>
        <v/>
      </c>
      <c r="CF31" s="355">
        <f>IF(CF$3="","",CF38)</f>
        <v/>
      </c>
      <c r="CG31" s="355">
        <f>IF(CG$3="","",CG38)</f>
        <v/>
      </c>
      <c r="CH31" s="355">
        <f>IF(CH$3="","",CH38)</f>
        <v/>
      </c>
      <c r="CI31" s="355">
        <f>IF(CI$3="","",CI38)</f>
        <v/>
      </c>
      <c r="CJ31" s="355">
        <f>IF(CJ$3="","",CJ38)</f>
        <v/>
      </c>
      <c r="CK31" s="355">
        <f>IF(CK$3="","",CK38)</f>
        <v/>
      </c>
      <c r="CL31" s="355">
        <f>IF(CL$3="","",CL38)</f>
        <v/>
      </c>
      <c r="CM31" s="355">
        <f>IF(CM$3="","",CM38)</f>
        <v/>
      </c>
      <c r="CN31" s="355">
        <f>IF(CN$3="","",CN38)</f>
        <v/>
      </c>
      <c r="CO31" s="355">
        <f>IF(CO$3="","",CO38)</f>
        <v/>
      </c>
      <c r="CP31" s="355">
        <f>IF(CP$3="","",CP38)</f>
        <v/>
      </c>
      <c r="CQ31" s="355">
        <f>IF(CQ$3="","",CQ38)</f>
        <v/>
      </c>
      <c r="CR31" s="355">
        <f>IF(CR$3="","",CR38)</f>
        <v/>
      </c>
      <c r="CS31" s="355">
        <f>IF(CS$3="","",CS38)</f>
        <v/>
      </c>
      <c r="CT31" s="355">
        <f>IF(CT$3="","",CT38)</f>
        <v/>
      </c>
      <c r="CU31" s="355">
        <f>IF(CU$3="","",CU38)</f>
        <v/>
      </c>
      <c r="CV31" s="355">
        <f>IF(CV$3="","",CV38)</f>
        <v/>
      </c>
      <c r="CW31" s="355">
        <f>IF(CW$3="","",CW38)</f>
        <v/>
      </c>
    </row>
    <row r="32" ht="15" customHeight="1" s="180">
      <c r="A32" s="233" t="inlineStr">
        <is>
          <t>投資資産残高</t>
        </is>
      </c>
      <c r="B32" s="356">
        <f>IF(B$3="","",((SUM(入力データ!$C$90:$C$92,入力データ!$C$94)*(1+前提条件!$C$60))+B36-B39))</f>
        <v/>
      </c>
      <c r="C32" s="356">
        <f>IF(C$3="","",((B32*(1+前提条件!$C$60))+C36-C39))</f>
        <v/>
      </c>
      <c r="D32" s="356">
        <f>IF(D$3="","",((C32*(1+前提条件!$C$60))+D36-D39))</f>
        <v/>
      </c>
      <c r="E32" s="356">
        <f>IF(E$3="","",((D32*(1+前提条件!$C$60))+E36-E39))</f>
        <v/>
      </c>
      <c r="F32" s="356">
        <f>IF(F$3="","",((E32*(1+前提条件!$C$60))+F36-F39))</f>
        <v/>
      </c>
      <c r="G32" s="356">
        <f>IF(G$3="","",((F32*(1+前提条件!$C$60))+G36-G39))</f>
        <v/>
      </c>
      <c r="H32" s="356">
        <f>IF(H$3="","",((G32*(1+前提条件!$C$60))+H36-H39))</f>
        <v/>
      </c>
      <c r="I32" s="356">
        <f>IF(I$3="","",((H32*(1+前提条件!$C$60))+I36-I39))</f>
        <v/>
      </c>
      <c r="J32" s="356">
        <f>IF(J$3="","",((I32*(1+前提条件!$C$60))+J36-J39))</f>
        <v/>
      </c>
      <c r="K32" s="356">
        <f>IF(K$3="","",((J32*(1+前提条件!$C$60))+K36-K39))</f>
        <v/>
      </c>
      <c r="L32" s="356">
        <f>IF(L$3="","",((K32*(1+前提条件!$C$60))+L36-L39))</f>
        <v/>
      </c>
      <c r="M32" s="356">
        <f>IF(M$3="","",((L32*(1+前提条件!$C$60))+M36-M39))</f>
        <v/>
      </c>
      <c r="N32" s="356">
        <f>IF(N$3="","",((M32*(1+前提条件!$C$60))+N36-N39))</f>
        <v/>
      </c>
      <c r="O32" s="356">
        <f>IF(O$3="","",((N32*(1+前提条件!$C$60))+O36-O39))</f>
        <v/>
      </c>
      <c r="P32" s="356">
        <f>IF(P$3="","",((O32*(1+前提条件!$C$60))+P36-P39))</f>
        <v/>
      </c>
      <c r="Q32" s="356">
        <f>IF(Q$3="","",((P32*(1+前提条件!$C$60))+Q36-Q39))</f>
        <v/>
      </c>
      <c r="R32" s="356">
        <f>IF(R$3="","",((Q32*(1+前提条件!$C$60))+R36-R39))</f>
        <v/>
      </c>
      <c r="S32" s="356">
        <f>IF(S$3="","",((R32*(1+前提条件!$C$60))+S36-S39))</f>
        <v/>
      </c>
      <c r="T32" s="356">
        <f>IF(T$3="","",((S32*(1+前提条件!$C$60))+T36-T39))</f>
        <v/>
      </c>
      <c r="U32" s="356">
        <f>IF(U$3="","",((T32*(1+前提条件!$C$60))+U36-U39))</f>
        <v/>
      </c>
      <c r="V32" s="356">
        <f>IF(V$3="","",((U32*(1+前提条件!$C$60))+V36-V39))</f>
        <v/>
      </c>
      <c r="W32" s="356">
        <f>IF(W$3="","",((V32*(1+前提条件!$C$60))+W36-W39))</f>
        <v/>
      </c>
      <c r="X32" s="356">
        <f>IF(X$3="","",((W32*(1+前提条件!$C$60))+X36-X39))</f>
        <v/>
      </c>
      <c r="Y32" s="356">
        <f>IF(Y$3="","",((X32*(1+前提条件!$C$60))+Y36-Y39))</f>
        <v/>
      </c>
      <c r="Z32" s="356">
        <f>IF(Z$3="","",((Y32*(1+前提条件!$C$60))+Z36-Z39))</f>
        <v/>
      </c>
      <c r="AA32" s="356">
        <f>IF(AA$3="","",((Z32*(1+前提条件!$C$60))+AA36-AA39))</f>
        <v/>
      </c>
      <c r="AB32" s="356">
        <f>IF(AB$3="","",((AA32*(1+前提条件!$C$60))+AB36-AB39))</f>
        <v/>
      </c>
      <c r="AC32" s="356">
        <f>IF(AC$3="","",((AB32*(1+前提条件!$C$60))+AC36-AC39))</f>
        <v/>
      </c>
      <c r="AD32" s="356">
        <f>IF(AD$3="","",((AC32*(1+前提条件!$C$60))+AD36-AD39))</f>
        <v/>
      </c>
      <c r="AE32" s="356">
        <f>IF(AE$3="","",((AD32*(1+前提条件!$C$60))+AE36-AE39))</f>
        <v/>
      </c>
      <c r="AF32" s="356">
        <f>IF(AF$3="","",((AE32*(1+前提条件!$C$60))+AF36-AF39))</f>
        <v/>
      </c>
      <c r="AG32" s="356">
        <f>IF(AG$3="","",((AF32*(1+前提条件!$C$60))+AG36-AG39))</f>
        <v/>
      </c>
      <c r="AH32" s="356">
        <f>IF(AH$3="","",((AG32*(1+前提条件!$C$60))+AH36-AH39))</f>
        <v/>
      </c>
      <c r="AI32" s="356">
        <f>IF(AI$3="","",((AH32*(1+前提条件!$C$60))+AI36-AI39))</f>
        <v/>
      </c>
      <c r="AJ32" s="356">
        <f>IF(AJ$3="","",((AI32*(1+前提条件!$C$60))+AJ36-AJ39))</f>
        <v/>
      </c>
      <c r="AK32" s="356">
        <f>IF(AK$3="","",((AJ32*(1+前提条件!$C$60))+AK36-AK39))</f>
        <v/>
      </c>
      <c r="AL32" s="356">
        <f>IF(AL$3="","",((AK32*(1+前提条件!$C$60))+AL36-AL39))</f>
        <v/>
      </c>
      <c r="AM32" s="356">
        <f>IF(AM$3="","",((AL32*(1+前提条件!$C$60))+AM36-AM39))</f>
        <v/>
      </c>
      <c r="AN32" s="356">
        <f>IF(AN$3="","",((AM32*(1+前提条件!$C$60))+AN36-AN39))</f>
        <v/>
      </c>
      <c r="AO32" s="356">
        <f>IF(AO$3="","",((AN32*(1+前提条件!$C$60))+AO36-AO39))</f>
        <v/>
      </c>
      <c r="AP32" s="356">
        <f>IF(AP$3="","",((AO32*(1+前提条件!$C$60))+AP36-AP39))</f>
        <v/>
      </c>
      <c r="AQ32" s="356">
        <f>IF(AQ$3="","",((AP32*(1+前提条件!$C$60))+AQ36-AQ39))</f>
        <v/>
      </c>
      <c r="AR32" s="356">
        <f>IF(AR$3="","",((AQ32*(1+前提条件!$C$60))+AR36-AR39))</f>
        <v/>
      </c>
      <c r="AS32" s="356">
        <f>IF(AS$3="","",((AR32*(1+前提条件!$C$60))+AS36-AS39))</f>
        <v/>
      </c>
      <c r="AT32" s="356">
        <f>IF(AT$3="","",((AS32*(1+前提条件!$C$60))+AT36-AT39))</f>
        <v/>
      </c>
      <c r="AU32" s="356">
        <f>IF(AU$3="","",((AT32*(1+前提条件!$C$60))+AU36-AU39))</f>
        <v/>
      </c>
      <c r="AV32" s="356">
        <f>IF(AV$3="","",((AU32*(1+前提条件!$C$60))+AV36-AV39))</f>
        <v/>
      </c>
      <c r="AW32" s="356">
        <f>IF(AW$3="","",((AV32*(1+前提条件!$C$60))+AW36-AW39))</f>
        <v/>
      </c>
      <c r="AX32" s="356">
        <f>IF(AX$3="","",((AW32*(1+前提条件!$C$60))+AX36-AX39))</f>
        <v/>
      </c>
      <c r="AY32" s="356">
        <f>IF(AY$3="","",((AX32*(1+前提条件!$C$60))+AY36-AY39))</f>
        <v/>
      </c>
      <c r="AZ32" s="356">
        <f>IF(AZ$3="","",((AY32*(1+前提条件!$C$60))+AZ36-AZ39))</f>
        <v/>
      </c>
      <c r="BA32" s="356">
        <f>IF(BA$3="","",((AZ32*(1+前提条件!$C$60))+BA36-BA39))</f>
        <v/>
      </c>
      <c r="BB32" s="356">
        <f>IF(BB$3="","",((BA32*(1+前提条件!$C$60))+BB36-BB39))</f>
        <v/>
      </c>
      <c r="BC32" s="356">
        <f>IF(BC$3="","",((BB32*(1+前提条件!$C$60))+BC36-BC39))</f>
        <v/>
      </c>
      <c r="BD32" s="356">
        <f>IF(BD$3="","",((BC32*(1+前提条件!$C$60))+BD36-BD39))</f>
        <v/>
      </c>
      <c r="BE32" s="356">
        <f>IF(BE$3="","",((BD32*(1+前提条件!$C$60))+BE36-BE39))</f>
        <v/>
      </c>
      <c r="BF32" s="356">
        <f>IF(BF$3="","",((BE32*(1+前提条件!$C$60))+BF36-BF39))</f>
        <v/>
      </c>
      <c r="BG32" s="356">
        <f>IF(BG$3="","",((BF32*(1+前提条件!$C$60))+BG36-BG39))</f>
        <v/>
      </c>
      <c r="BH32" s="356">
        <f>IF(BH$3="","",((BG32*(1+前提条件!$C$60))+BH36-BH39))</f>
        <v/>
      </c>
      <c r="BI32" s="356">
        <f>IF(BI$3="","",((BH32*(1+前提条件!$C$60))+BI36-BI39))</f>
        <v/>
      </c>
      <c r="BJ32" s="356">
        <f>IF(BJ$3="","",((BI32*(1+前提条件!$C$60))+BJ36-BJ39))</f>
        <v/>
      </c>
      <c r="BK32" s="356">
        <f>IF(BK$3="","",((BJ32*(1+前提条件!$C$60))+BK36-BK39))</f>
        <v/>
      </c>
      <c r="BL32" s="356">
        <f>IF(BL$3="","",((BK32*(1+前提条件!$C$60))+BL36-BL39))</f>
        <v/>
      </c>
      <c r="BM32" s="356">
        <f>IF(BM$3="","",((BL32*(1+前提条件!$C$60))+BM36-BM39))</f>
        <v/>
      </c>
      <c r="BN32" s="356">
        <f>IF(BN$3="","",((BM32*(1+前提条件!$C$60))+BN36-BN39))</f>
        <v/>
      </c>
      <c r="BO32" s="356">
        <f>IF(BO$3="","",((BN32*(1+前提条件!$C$60))+BO36-BO39))</f>
        <v/>
      </c>
      <c r="BP32" s="356">
        <f>IF(BP$3="","",((BO32*(1+前提条件!$C$60))+BP36-BP39))</f>
        <v/>
      </c>
      <c r="BQ32" s="356">
        <f>IF(BQ$3="","",((BP32*(1+前提条件!$C$60))+BQ36-BQ39))</f>
        <v/>
      </c>
      <c r="BR32" s="356">
        <f>IF(BR$3="","",((BQ32*(1+前提条件!$C$60))+BR36-BR39))</f>
        <v/>
      </c>
      <c r="BS32" s="356">
        <f>IF(BS$3="","",((BR32*(1+前提条件!$C$60))+BS36-BS39))</f>
        <v/>
      </c>
      <c r="BT32" s="356">
        <f>IF(BT$3="","",((BS32*(1+前提条件!$C$60))+BT36-BT39))</f>
        <v/>
      </c>
      <c r="BU32" s="356">
        <f>IF(BU$3="","",((BT32*(1+前提条件!$C$60))+BU36-BU39))</f>
        <v/>
      </c>
      <c r="BV32" s="356">
        <f>IF(BV$3="","",((BU32*(1+前提条件!$C$60))+BV36-BV39))</f>
        <v/>
      </c>
      <c r="BW32" s="356">
        <f>IF(BW$3="","",((BV32*(1+前提条件!$C$60))+BW36-BW39))</f>
        <v/>
      </c>
      <c r="BX32" s="356">
        <f>IF(BX$3="","",((BW32*(1+前提条件!$C$60))+BX36-BX39))</f>
        <v/>
      </c>
      <c r="BY32" s="356">
        <f>IF(BY$3="","",((BX32*(1+前提条件!$C$60))+BY36-BY39))</f>
        <v/>
      </c>
      <c r="BZ32" s="356">
        <f>IF(BZ$3="","",((BY32*(1+前提条件!$C$60))+BZ36-BZ39))</f>
        <v/>
      </c>
      <c r="CA32" s="356">
        <f>IF(CA$3="","",((BZ32*(1+前提条件!$C$60))+CA36-CA39))</f>
        <v/>
      </c>
      <c r="CB32" s="356">
        <f>IF(CB$3="","",((CA32*(1+前提条件!$C$60))+CB36-CB39))</f>
        <v/>
      </c>
      <c r="CC32" s="356">
        <f>IF(CC$3="","",((CB32*(1+前提条件!$C$60))+CC36-CC39))</f>
        <v/>
      </c>
      <c r="CD32" s="356">
        <f>IF(CD$3="","",((CC32*(1+前提条件!$C$60))+CD36-CD39))</f>
        <v/>
      </c>
      <c r="CE32" s="356">
        <f>IF(CE$3="","",((CD32*(1+前提条件!$C$60))+CE36-CE39))</f>
        <v/>
      </c>
      <c r="CF32" s="356">
        <f>IF(CF$3="","",((CE32*(1+前提条件!$C$60))+CF36-CF39))</f>
        <v/>
      </c>
      <c r="CG32" s="356">
        <f>IF(CG$3="","",((CF32*(1+前提条件!$C$60))+CG36-CG39))</f>
        <v/>
      </c>
      <c r="CH32" s="356">
        <f>IF(CH$3="","",((CG32*(1+前提条件!$C$60))+CH36-CH39))</f>
        <v/>
      </c>
      <c r="CI32" s="356">
        <f>IF(CI$3="","",((CH32*(1+前提条件!$C$60))+CI36-CI39))</f>
        <v/>
      </c>
      <c r="CJ32" s="356">
        <f>IF(CJ$3="","",((CI32*(1+前提条件!$C$60))+CJ36-CJ39))</f>
        <v/>
      </c>
      <c r="CK32" s="356">
        <f>IF(CK$3="","",((CJ32*(1+前提条件!$C$60))+CK36-CK39))</f>
        <v/>
      </c>
      <c r="CL32" s="356">
        <f>IF(CL$3="","",((CK32*(1+前提条件!$C$60))+CL36-CL39))</f>
        <v/>
      </c>
      <c r="CM32" s="356">
        <f>IF(CM$3="","",((CL32*(1+前提条件!$C$60))+CM36-CM39))</f>
        <v/>
      </c>
      <c r="CN32" s="356">
        <f>IF(CN$3="","",((CM32*(1+前提条件!$C$60))+CN36-CN39))</f>
        <v/>
      </c>
      <c r="CO32" s="356">
        <f>IF(CO$3="","",((CN32*(1+前提条件!$C$60))+CO36-CO39))</f>
        <v/>
      </c>
      <c r="CP32" s="356">
        <f>IF(CP$3="","",((CO32*(1+前提条件!$C$60))+CP36-CP39))</f>
        <v/>
      </c>
      <c r="CQ32" s="356">
        <f>IF(CQ$3="","",((CP32*(1+前提条件!$C$60))+CQ36-CQ39))</f>
        <v/>
      </c>
      <c r="CR32" s="356">
        <f>IF(CR$3="","",((CQ32*(1+前提条件!$C$60))+CR36-CR39))</f>
        <v/>
      </c>
      <c r="CS32" s="356">
        <f>IF(CS$3="","",((CR32*(1+前提条件!$C$60))+CS36-CS39))</f>
        <v/>
      </c>
      <c r="CT32" s="356">
        <f>IF(CT$3="","",((CS32*(1+前提条件!$C$60))+CT36-CT39))</f>
        <v/>
      </c>
      <c r="CU32" s="356">
        <f>IF(CU$3="","",((CT32*(1+前提条件!$C$60))+CU36-CU39))</f>
        <v/>
      </c>
      <c r="CV32" s="356">
        <f>IF(CV$3="","",((CU32*(1+前提条件!$C$60))+CV36-CV39))</f>
        <v/>
      </c>
      <c r="CW32" s="356">
        <f>IF(CW$3="","",((CV32*(1+前提条件!$C$60))+CW36-CW39))</f>
        <v/>
      </c>
    </row>
    <row r="33" ht="15" customHeight="1" s="180">
      <c r="A33" s="233" t="inlineStr">
        <is>
          <t>解約返戻金残高</t>
        </is>
      </c>
      <c r="B33" s="356">
        <f>IF(B$3="","",((入力データ!$C$93*(1+前提条件!$C$61))+B37-B40))</f>
        <v/>
      </c>
      <c r="C33" s="356">
        <f>IF(C$3="","",((B33*(1+前提条件!$C$61))+C37-C40))</f>
        <v/>
      </c>
      <c r="D33" s="356">
        <f>IF(D$3="","",((C33*(1+前提条件!$C$61))+D37-D40))</f>
        <v/>
      </c>
      <c r="E33" s="356">
        <f>IF(E$3="","",((D33*(1+前提条件!$C$61))+E37-E40))</f>
        <v/>
      </c>
      <c r="F33" s="356">
        <f>IF(F$3="","",((E33*(1+前提条件!$C$61))+F37-F40))</f>
        <v/>
      </c>
      <c r="G33" s="356">
        <f>IF(G$3="","",((F33*(1+前提条件!$C$61))+G37-G40))</f>
        <v/>
      </c>
      <c r="H33" s="356">
        <f>IF(H$3="","",((G33*(1+前提条件!$C$61))+H37-H40))</f>
        <v/>
      </c>
      <c r="I33" s="356">
        <f>IF(I$3="","",((H33*(1+前提条件!$C$61))+I37-I40))</f>
        <v/>
      </c>
      <c r="J33" s="356">
        <f>IF(J$3="","",((I33*(1+前提条件!$C$61))+J37-J40))</f>
        <v/>
      </c>
      <c r="K33" s="356">
        <f>IF(K$3="","",((J33*(1+前提条件!$C$61))+K37-K40))</f>
        <v/>
      </c>
      <c r="L33" s="356">
        <f>IF(L$3="","",((K33*(1+前提条件!$C$61))+L37-L40))</f>
        <v/>
      </c>
      <c r="M33" s="356">
        <f>IF(M$3="","",((L33*(1+前提条件!$C$61))+M37-M40))</f>
        <v/>
      </c>
      <c r="N33" s="356">
        <f>IF(N$3="","",((M33*(1+前提条件!$C$61))+N37-N40))</f>
        <v/>
      </c>
      <c r="O33" s="356">
        <f>IF(O$3="","",((N33*(1+前提条件!$C$61))+O37-O40))</f>
        <v/>
      </c>
      <c r="P33" s="356">
        <f>IF(P$3="","",((O33*(1+前提条件!$C$61))+P37-P40))</f>
        <v/>
      </c>
      <c r="Q33" s="356">
        <f>IF(Q$3="","",((P33*(1+前提条件!$C$61))+Q37-Q40))</f>
        <v/>
      </c>
      <c r="R33" s="356">
        <f>IF(R$3="","",((Q33*(1+前提条件!$C$61))+R37-R40))</f>
        <v/>
      </c>
      <c r="S33" s="356">
        <f>IF(S$3="","",((R33*(1+前提条件!$C$61))+S37-S40))</f>
        <v/>
      </c>
      <c r="T33" s="356">
        <f>IF(T$3="","",((S33*(1+前提条件!$C$61))+T37-T40))</f>
        <v/>
      </c>
      <c r="U33" s="356">
        <f>IF(U$3="","",((T33*(1+前提条件!$C$61))+U37-U40))</f>
        <v/>
      </c>
      <c r="V33" s="356">
        <f>IF(V$3="","",((U33*(1+前提条件!$C$61))+V37-V40))</f>
        <v/>
      </c>
      <c r="W33" s="356">
        <f>IF(W$3="","",((V33*(1+前提条件!$C$61))+W37-W40))</f>
        <v/>
      </c>
      <c r="X33" s="356">
        <f>IF(X$3="","",((W33*(1+前提条件!$C$61))+X37-X40))</f>
        <v/>
      </c>
      <c r="Y33" s="356">
        <f>IF(Y$3="","",((X33*(1+前提条件!$C$61))+Y37-Y40))</f>
        <v/>
      </c>
      <c r="Z33" s="356">
        <f>IF(Z$3="","",((Y33*(1+前提条件!$C$61))+Z37-Z40))</f>
        <v/>
      </c>
      <c r="AA33" s="356">
        <f>IF(AA$3="","",((Z33*(1+前提条件!$C$61))+AA37-AA40))</f>
        <v/>
      </c>
      <c r="AB33" s="356">
        <f>IF(AB$3="","",((AA33*(1+前提条件!$C$61))+AB37-AB40))</f>
        <v/>
      </c>
      <c r="AC33" s="356">
        <f>IF(AC$3="","",((AB33*(1+前提条件!$C$61))+AC37-AC40))</f>
        <v/>
      </c>
      <c r="AD33" s="356">
        <f>IF(AD$3="","",((AC33*(1+前提条件!$C$61))+AD37-AD40))</f>
        <v/>
      </c>
      <c r="AE33" s="356">
        <f>IF(AE$3="","",((AD33*(1+前提条件!$C$61))+AE37-AE40))</f>
        <v/>
      </c>
      <c r="AF33" s="356">
        <f>IF(AF$3="","",((AE33*(1+前提条件!$C$61))+AF37-AF40))</f>
        <v/>
      </c>
      <c r="AG33" s="356">
        <f>IF(AG$3="","",((AF33*(1+前提条件!$C$61))+AG37-AG40))</f>
        <v/>
      </c>
      <c r="AH33" s="356">
        <f>IF(AH$3="","",((AG33*(1+前提条件!$C$61))+AH37-AH40))</f>
        <v/>
      </c>
      <c r="AI33" s="356">
        <f>IF(AI$3="","",((AH33*(1+前提条件!$C$61))+AI37-AI40))</f>
        <v/>
      </c>
      <c r="AJ33" s="356">
        <f>IF(AJ$3="","",((AI33*(1+前提条件!$C$61))+AJ37-AJ40))</f>
        <v/>
      </c>
      <c r="AK33" s="356">
        <f>IF(AK$3="","",((AJ33*(1+前提条件!$C$61))+AK37-AK40))</f>
        <v/>
      </c>
      <c r="AL33" s="356">
        <f>IF(AL$3="","",((AK33*(1+前提条件!$C$61))+AL37-AL40))</f>
        <v/>
      </c>
      <c r="AM33" s="356">
        <f>IF(AM$3="","",((AL33*(1+前提条件!$C$61))+AM37-AM40))</f>
        <v/>
      </c>
      <c r="AN33" s="356">
        <f>IF(AN$3="","",((AM33*(1+前提条件!$C$61))+AN37-AN40))</f>
        <v/>
      </c>
      <c r="AO33" s="356">
        <f>IF(AO$3="","",((AN33*(1+前提条件!$C$61))+AO37-AO40))</f>
        <v/>
      </c>
      <c r="AP33" s="356">
        <f>IF(AP$3="","",((AO33*(1+前提条件!$C$61))+AP37-AP40))</f>
        <v/>
      </c>
      <c r="AQ33" s="356">
        <f>IF(AQ$3="","",((AP33*(1+前提条件!$C$61))+AQ37-AQ40))</f>
        <v/>
      </c>
      <c r="AR33" s="356">
        <f>IF(AR$3="","",((AQ33*(1+前提条件!$C$61))+AR37-AR40))</f>
        <v/>
      </c>
      <c r="AS33" s="356">
        <f>IF(AS$3="","",((AR33*(1+前提条件!$C$61))+AS37-AS40))</f>
        <v/>
      </c>
      <c r="AT33" s="356">
        <f>IF(AT$3="","",((AS33*(1+前提条件!$C$61))+AT37-AT40))</f>
        <v/>
      </c>
      <c r="AU33" s="356">
        <f>IF(AU$3="","",((AT33*(1+前提条件!$C$61))+AU37-AU40))</f>
        <v/>
      </c>
      <c r="AV33" s="356">
        <f>IF(AV$3="","",((AU33*(1+前提条件!$C$61))+AV37-AV40))</f>
        <v/>
      </c>
      <c r="AW33" s="356">
        <f>IF(AW$3="","",((AV33*(1+前提条件!$C$61))+AW37-AW40))</f>
        <v/>
      </c>
      <c r="AX33" s="356">
        <f>IF(AX$3="","",((AW33*(1+前提条件!$C$61))+AX37-AX40))</f>
        <v/>
      </c>
      <c r="AY33" s="356">
        <f>IF(AY$3="","",((AX33*(1+前提条件!$C$61))+AY37-AY40))</f>
        <v/>
      </c>
      <c r="AZ33" s="356">
        <f>IF(AZ$3="","",((AY33*(1+前提条件!$C$61))+AZ37-AZ40))</f>
        <v/>
      </c>
      <c r="BA33" s="356">
        <f>IF(BA$3="","",((AZ33*(1+前提条件!$C$61))+BA37-BA40))</f>
        <v/>
      </c>
      <c r="BB33" s="356">
        <f>IF(BB$3="","",((BA33*(1+前提条件!$C$61))+BB37-BB40))</f>
        <v/>
      </c>
      <c r="BC33" s="356">
        <f>IF(BC$3="","",((BB33*(1+前提条件!$C$61))+BC37-BC40))</f>
        <v/>
      </c>
      <c r="BD33" s="356">
        <f>IF(BD$3="","",((BC33*(1+前提条件!$C$61))+BD37-BD40))</f>
        <v/>
      </c>
      <c r="BE33" s="356">
        <f>IF(BE$3="","",((BD33*(1+前提条件!$C$61))+BE37-BE40))</f>
        <v/>
      </c>
      <c r="BF33" s="356">
        <f>IF(BF$3="","",((BE33*(1+前提条件!$C$61))+BF37-BF40))</f>
        <v/>
      </c>
      <c r="BG33" s="356">
        <f>IF(BG$3="","",((BF33*(1+前提条件!$C$61))+BG37-BG40))</f>
        <v/>
      </c>
      <c r="BH33" s="356">
        <f>IF(BH$3="","",((BG33*(1+前提条件!$C$61))+BH37-BH40))</f>
        <v/>
      </c>
      <c r="BI33" s="356">
        <f>IF(BI$3="","",((BH33*(1+前提条件!$C$61))+BI37-BI40))</f>
        <v/>
      </c>
      <c r="BJ33" s="356">
        <f>IF(BJ$3="","",((BI33*(1+前提条件!$C$61))+BJ37-BJ40))</f>
        <v/>
      </c>
      <c r="BK33" s="356">
        <f>IF(BK$3="","",((BJ33*(1+前提条件!$C$61))+BK37-BK40))</f>
        <v/>
      </c>
      <c r="BL33" s="356">
        <f>IF(BL$3="","",((BK33*(1+前提条件!$C$61))+BL37-BL40))</f>
        <v/>
      </c>
      <c r="BM33" s="356">
        <f>IF(BM$3="","",((BL33*(1+前提条件!$C$61))+BM37-BM40))</f>
        <v/>
      </c>
      <c r="BN33" s="356">
        <f>IF(BN$3="","",((BM33*(1+前提条件!$C$61))+BN37-BN40))</f>
        <v/>
      </c>
      <c r="BO33" s="356">
        <f>IF(BO$3="","",((BN33*(1+前提条件!$C$61))+BO37-BO40))</f>
        <v/>
      </c>
      <c r="BP33" s="356">
        <f>IF(BP$3="","",((BO33*(1+前提条件!$C$61))+BP37-BP40))</f>
        <v/>
      </c>
      <c r="BQ33" s="356">
        <f>IF(BQ$3="","",((BP33*(1+前提条件!$C$61))+BQ37-BQ40))</f>
        <v/>
      </c>
      <c r="BR33" s="356">
        <f>IF(BR$3="","",((BQ33*(1+前提条件!$C$61))+BR37-BR40))</f>
        <v/>
      </c>
      <c r="BS33" s="356">
        <f>IF(BS$3="","",((BR33*(1+前提条件!$C$61))+BS37-BS40))</f>
        <v/>
      </c>
      <c r="BT33" s="356">
        <f>IF(BT$3="","",((BS33*(1+前提条件!$C$61))+BT37-BT40))</f>
        <v/>
      </c>
      <c r="BU33" s="356">
        <f>IF(BU$3="","",((BT33*(1+前提条件!$C$61))+BU37-BU40))</f>
        <v/>
      </c>
      <c r="BV33" s="356">
        <f>IF(BV$3="","",((BU33*(1+前提条件!$C$61))+BV37-BV40))</f>
        <v/>
      </c>
      <c r="BW33" s="356">
        <f>IF(BW$3="","",((BV33*(1+前提条件!$C$61))+BW37-BW40))</f>
        <v/>
      </c>
      <c r="BX33" s="356">
        <f>IF(BX$3="","",((BW33*(1+前提条件!$C$61))+BX37-BX40))</f>
        <v/>
      </c>
      <c r="BY33" s="356">
        <f>IF(BY$3="","",((BX33*(1+前提条件!$C$61))+BY37-BY40))</f>
        <v/>
      </c>
      <c r="BZ33" s="356">
        <f>IF(BZ$3="","",((BY33*(1+前提条件!$C$61))+BZ37-BZ40))</f>
        <v/>
      </c>
      <c r="CA33" s="356">
        <f>IF(CA$3="","",((BZ33*(1+前提条件!$C$61))+CA37-CA40))</f>
        <v/>
      </c>
      <c r="CB33" s="356">
        <f>IF(CB$3="","",((CA33*(1+前提条件!$C$61))+CB37-CB40))</f>
        <v/>
      </c>
      <c r="CC33" s="356">
        <f>IF(CC$3="","",((CB33*(1+前提条件!$C$61))+CC37-CC40))</f>
        <v/>
      </c>
      <c r="CD33" s="356">
        <f>IF(CD$3="","",((CC33*(1+前提条件!$C$61))+CD37-CD40))</f>
        <v/>
      </c>
      <c r="CE33" s="356">
        <f>IF(CE$3="","",((CD33*(1+前提条件!$C$61))+CE37-CE40))</f>
        <v/>
      </c>
      <c r="CF33" s="356">
        <f>IF(CF$3="","",((CE33*(1+前提条件!$C$61))+CF37-CF40))</f>
        <v/>
      </c>
      <c r="CG33" s="356">
        <f>IF(CG$3="","",((CF33*(1+前提条件!$C$61))+CG37-CG40))</f>
        <v/>
      </c>
      <c r="CH33" s="356">
        <f>IF(CH$3="","",((CG33*(1+前提条件!$C$61))+CH37-CH40))</f>
        <v/>
      </c>
      <c r="CI33" s="356">
        <f>IF(CI$3="","",((CH33*(1+前提条件!$C$61))+CI37-CI40))</f>
        <v/>
      </c>
      <c r="CJ33" s="356">
        <f>IF(CJ$3="","",((CI33*(1+前提条件!$C$61))+CJ37-CJ40))</f>
        <v/>
      </c>
      <c r="CK33" s="356">
        <f>IF(CK$3="","",((CJ33*(1+前提条件!$C$61))+CK37-CK40))</f>
        <v/>
      </c>
      <c r="CL33" s="356">
        <f>IF(CL$3="","",((CK33*(1+前提条件!$C$61))+CL37-CL40))</f>
        <v/>
      </c>
      <c r="CM33" s="356">
        <f>IF(CM$3="","",((CL33*(1+前提条件!$C$61))+CM37-CM40))</f>
        <v/>
      </c>
      <c r="CN33" s="356">
        <f>IF(CN$3="","",((CM33*(1+前提条件!$C$61))+CN37-CN40))</f>
        <v/>
      </c>
      <c r="CO33" s="356">
        <f>IF(CO$3="","",((CN33*(1+前提条件!$C$61))+CO37-CO40))</f>
        <v/>
      </c>
      <c r="CP33" s="356">
        <f>IF(CP$3="","",((CO33*(1+前提条件!$C$61))+CP37-CP40))</f>
        <v/>
      </c>
      <c r="CQ33" s="356">
        <f>IF(CQ$3="","",((CP33*(1+前提条件!$C$61))+CQ37-CQ40))</f>
        <v/>
      </c>
      <c r="CR33" s="356">
        <f>IF(CR$3="","",((CQ33*(1+前提条件!$C$61))+CR37-CR40))</f>
        <v/>
      </c>
      <c r="CS33" s="356">
        <f>IF(CS$3="","",((CR33*(1+前提条件!$C$61))+CS37-CS40))</f>
        <v/>
      </c>
      <c r="CT33" s="356">
        <f>IF(CT$3="","",((CS33*(1+前提条件!$C$61))+CT37-CT40))</f>
        <v/>
      </c>
      <c r="CU33" s="356">
        <f>IF(CU$3="","",((CT33*(1+前提条件!$C$61))+CU37-CU40))</f>
        <v/>
      </c>
      <c r="CV33" s="356">
        <f>IF(CV$3="","",((CU33*(1+前提条件!$C$61))+CV37-CV40))</f>
        <v/>
      </c>
      <c r="CW33" s="356">
        <f>IF(CW$3="","",((CV33*(1+前提条件!$C$61))+CW37-CW40))</f>
        <v/>
      </c>
    </row>
    <row r="34" ht="15" customHeight="1" s="180">
      <c r="A34" s="235" t="inlineStr">
        <is>
          <t>住宅ローン残高</t>
        </is>
      </c>
      <c r="B34" s="357">
        <f>IF(B$3="","",MAX(入力データ!$C$95-B41,0))</f>
        <v/>
      </c>
      <c r="C34" s="357">
        <f>IF(C$3="","",MAX(B34-C41,0))</f>
        <v/>
      </c>
      <c r="D34" s="357">
        <f>IF(D$3="","",MAX(C34-D41,0))</f>
        <v/>
      </c>
      <c r="E34" s="357">
        <f>IF(E$3="","",MAX(D34-E41,0))</f>
        <v/>
      </c>
      <c r="F34" s="357">
        <f>IF(F$3="","",MAX(E34-F41,0))</f>
        <v/>
      </c>
      <c r="G34" s="357">
        <f>IF(G$3="","",MAX(F34-G41,0))</f>
        <v/>
      </c>
      <c r="H34" s="357">
        <f>IF(H$3="","",MAX(G34-H41,0))</f>
        <v/>
      </c>
      <c r="I34" s="357">
        <f>IF(I$3="","",MAX(H34-I41,0))</f>
        <v/>
      </c>
      <c r="J34" s="357">
        <f>IF(J$3="","",MAX(I34-J41,0))</f>
        <v/>
      </c>
      <c r="K34" s="357">
        <f>IF(K$3="","",MAX(J34-K41,0))</f>
        <v/>
      </c>
      <c r="L34" s="357">
        <f>IF(L$3="","",MAX(K34-L41,0))</f>
        <v/>
      </c>
      <c r="M34" s="357">
        <f>IF(M$3="","",MAX(L34-M41,0))</f>
        <v/>
      </c>
      <c r="N34" s="357">
        <f>IF(N$3="","",MAX(M34-N41,0))</f>
        <v/>
      </c>
      <c r="O34" s="357">
        <f>IF(O$3="","",MAX(N34-O41,0))</f>
        <v/>
      </c>
      <c r="P34" s="357">
        <f>IF(P$3="","",MAX(O34-P41,0))</f>
        <v/>
      </c>
      <c r="Q34" s="357">
        <f>IF(Q$3="","",MAX(P34-Q41,0))</f>
        <v/>
      </c>
      <c r="R34" s="357">
        <f>IF(R$3="","",MAX(Q34-R41,0))</f>
        <v/>
      </c>
      <c r="S34" s="357">
        <f>IF(S$3="","",MAX(R34-S41,0))</f>
        <v/>
      </c>
      <c r="T34" s="357">
        <f>IF(T$3="","",MAX(S34-T41,0))</f>
        <v/>
      </c>
      <c r="U34" s="357">
        <f>IF(U$3="","",MAX(T34-U41,0))</f>
        <v/>
      </c>
      <c r="V34" s="357">
        <f>IF(V$3="","",MAX(U34-V41,0))</f>
        <v/>
      </c>
      <c r="W34" s="357">
        <f>IF(W$3="","",MAX(V34-W41,0))</f>
        <v/>
      </c>
      <c r="X34" s="357">
        <f>IF(X$3="","",MAX(W34-X41,0))</f>
        <v/>
      </c>
      <c r="Y34" s="357">
        <f>IF(Y$3="","",MAX(X34-Y41,0))</f>
        <v/>
      </c>
      <c r="Z34" s="357">
        <f>IF(Z$3="","",MAX(Y34-Z41,0))</f>
        <v/>
      </c>
      <c r="AA34" s="357">
        <f>IF(AA$3="","",MAX(Z34-AA41,0))</f>
        <v/>
      </c>
      <c r="AB34" s="357">
        <f>IF(AB$3="","",MAX(AA34-AB41,0))</f>
        <v/>
      </c>
      <c r="AC34" s="357">
        <f>IF(AC$3="","",MAX(AB34-AC41,0))</f>
        <v/>
      </c>
      <c r="AD34" s="357">
        <f>IF(AD$3="","",MAX(AC34-AD41,0))</f>
        <v/>
      </c>
      <c r="AE34" s="357">
        <f>IF(AE$3="","",MAX(AD34-AE41,0))</f>
        <v/>
      </c>
      <c r="AF34" s="357">
        <f>IF(AF$3="","",MAX(AE34-AF41,0))</f>
        <v/>
      </c>
      <c r="AG34" s="357">
        <f>IF(AG$3="","",MAX(AF34-AG41,0))</f>
        <v/>
      </c>
      <c r="AH34" s="357">
        <f>IF(AH$3="","",MAX(AG34-AH41,0))</f>
        <v/>
      </c>
      <c r="AI34" s="357">
        <f>IF(AI$3="","",MAX(AH34-AI41,0))</f>
        <v/>
      </c>
      <c r="AJ34" s="357">
        <f>IF(AJ$3="","",MAX(AI34-AJ41,0))</f>
        <v/>
      </c>
      <c r="AK34" s="357">
        <f>IF(AK$3="","",MAX(AJ34-AK41,0))</f>
        <v/>
      </c>
      <c r="AL34" s="357">
        <f>IF(AL$3="","",MAX(AK34-AL41,0))</f>
        <v/>
      </c>
      <c r="AM34" s="357">
        <f>IF(AM$3="","",MAX(AL34-AM41,0))</f>
        <v/>
      </c>
      <c r="AN34" s="357">
        <f>IF(AN$3="","",MAX(AM34-AN41,0))</f>
        <v/>
      </c>
      <c r="AO34" s="357">
        <f>IF(AO$3="","",MAX(AN34-AO41,0))</f>
        <v/>
      </c>
      <c r="AP34" s="357">
        <f>IF(AP$3="","",MAX(AO34-AP41,0))</f>
        <v/>
      </c>
      <c r="AQ34" s="357">
        <f>IF(AQ$3="","",MAX(AP34-AQ41,0))</f>
        <v/>
      </c>
      <c r="AR34" s="357">
        <f>IF(AR$3="","",MAX(AQ34-AR41,0))</f>
        <v/>
      </c>
      <c r="AS34" s="357">
        <f>IF(AS$3="","",MAX(AR34-AS41,0))</f>
        <v/>
      </c>
      <c r="AT34" s="357">
        <f>IF(AT$3="","",MAX(AS34-AT41,0))</f>
        <v/>
      </c>
      <c r="AU34" s="357">
        <f>IF(AU$3="","",MAX(AT34-AU41,0))</f>
        <v/>
      </c>
      <c r="AV34" s="357">
        <f>IF(AV$3="","",MAX(AU34-AV41,0))</f>
        <v/>
      </c>
      <c r="AW34" s="357">
        <f>IF(AW$3="","",MAX(AV34-AW41,0))</f>
        <v/>
      </c>
      <c r="AX34" s="357">
        <f>IF(AX$3="","",MAX(AW34-AX41,0))</f>
        <v/>
      </c>
      <c r="AY34" s="357">
        <f>IF(AY$3="","",MAX(AX34-AY41,0))</f>
        <v/>
      </c>
      <c r="AZ34" s="357">
        <f>IF(AZ$3="","",MAX(AY34-AZ41,0))</f>
        <v/>
      </c>
      <c r="BA34" s="357">
        <f>IF(BA$3="","",MAX(AZ34-BA41,0))</f>
        <v/>
      </c>
      <c r="BB34" s="357">
        <f>IF(BB$3="","",MAX(BA34-BB41,0))</f>
        <v/>
      </c>
      <c r="BC34" s="357">
        <f>IF(BC$3="","",MAX(BB34-BC41,0))</f>
        <v/>
      </c>
      <c r="BD34" s="357">
        <f>IF(BD$3="","",MAX(BC34-BD41,0))</f>
        <v/>
      </c>
      <c r="BE34" s="357">
        <f>IF(BE$3="","",MAX(BD34-BE41,0))</f>
        <v/>
      </c>
      <c r="BF34" s="357">
        <f>IF(BF$3="","",MAX(BE34-BF41,0))</f>
        <v/>
      </c>
      <c r="BG34" s="357">
        <f>IF(BG$3="","",MAX(BF34-BG41,0))</f>
        <v/>
      </c>
      <c r="BH34" s="357">
        <f>IF(BH$3="","",MAX(BG34-BH41,0))</f>
        <v/>
      </c>
      <c r="BI34" s="357">
        <f>IF(BI$3="","",MAX(BH34-BI41,0))</f>
        <v/>
      </c>
      <c r="BJ34" s="357">
        <f>IF(BJ$3="","",MAX(BI34-BJ41,0))</f>
        <v/>
      </c>
      <c r="BK34" s="357">
        <f>IF(BK$3="","",MAX(BJ34-BK41,0))</f>
        <v/>
      </c>
      <c r="BL34" s="357">
        <f>IF(BL$3="","",MAX(BK34-BL41,0))</f>
        <v/>
      </c>
      <c r="BM34" s="357">
        <f>IF(BM$3="","",MAX(BL34-BM41,0))</f>
        <v/>
      </c>
      <c r="BN34" s="357">
        <f>IF(BN$3="","",MAX(BM34-BN41,0))</f>
        <v/>
      </c>
      <c r="BO34" s="357">
        <f>IF(BO$3="","",MAX(BN34-BO41,0))</f>
        <v/>
      </c>
      <c r="BP34" s="357">
        <f>IF(BP$3="","",MAX(BO34-BP41,0))</f>
        <v/>
      </c>
      <c r="BQ34" s="357">
        <f>IF(BQ$3="","",MAX(BP34-BQ41,0))</f>
        <v/>
      </c>
      <c r="BR34" s="357">
        <f>IF(BR$3="","",MAX(BQ34-BR41,0))</f>
        <v/>
      </c>
      <c r="BS34" s="357">
        <f>IF(BS$3="","",MAX(BR34-BS41,0))</f>
        <v/>
      </c>
      <c r="BT34" s="357">
        <f>IF(BT$3="","",MAX(BS34-BT41,0))</f>
        <v/>
      </c>
      <c r="BU34" s="357">
        <f>IF(BU$3="","",MAX(BT34-BU41,0))</f>
        <v/>
      </c>
      <c r="BV34" s="357">
        <f>IF(BV$3="","",MAX(BU34-BV41,0))</f>
        <v/>
      </c>
      <c r="BW34" s="357">
        <f>IF(BW$3="","",MAX(BV34-BW41,0))</f>
        <v/>
      </c>
      <c r="BX34" s="357">
        <f>IF(BX$3="","",MAX(BW34-BX41,0))</f>
        <v/>
      </c>
      <c r="BY34" s="357">
        <f>IF(BY$3="","",MAX(BX34-BY41,0))</f>
        <v/>
      </c>
      <c r="BZ34" s="357">
        <f>IF(BZ$3="","",MAX(BY34-BZ41,0))</f>
        <v/>
      </c>
      <c r="CA34" s="357">
        <f>IF(CA$3="","",MAX(BZ34-CA41,0))</f>
        <v/>
      </c>
      <c r="CB34" s="357">
        <f>IF(CB$3="","",MAX(CA34-CB41,0))</f>
        <v/>
      </c>
      <c r="CC34" s="357">
        <f>IF(CC$3="","",MAX(CB34-CC41,0))</f>
        <v/>
      </c>
      <c r="CD34" s="357">
        <f>IF(CD$3="","",MAX(CC34-CD41,0))</f>
        <v/>
      </c>
      <c r="CE34" s="357">
        <f>IF(CE$3="","",MAX(CD34-CE41,0))</f>
        <v/>
      </c>
      <c r="CF34" s="357">
        <f>IF(CF$3="","",MAX(CE34-CF41,0))</f>
        <v/>
      </c>
      <c r="CG34" s="357">
        <f>IF(CG$3="","",MAX(CF34-CG41,0))</f>
        <v/>
      </c>
      <c r="CH34" s="357">
        <f>IF(CH$3="","",MAX(CG34-CH41,0))</f>
        <v/>
      </c>
      <c r="CI34" s="357">
        <f>IF(CI$3="","",MAX(CH34-CI41,0))</f>
        <v/>
      </c>
      <c r="CJ34" s="357">
        <f>IF(CJ$3="","",MAX(CI34-CJ41,0))</f>
        <v/>
      </c>
      <c r="CK34" s="357">
        <f>IF(CK$3="","",MAX(CJ34-CK41,0))</f>
        <v/>
      </c>
      <c r="CL34" s="357">
        <f>IF(CL$3="","",MAX(CK34-CL41,0))</f>
        <v/>
      </c>
      <c r="CM34" s="357">
        <f>IF(CM$3="","",MAX(CL34-CM41,0))</f>
        <v/>
      </c>
      <c r="CN34" s="357">
        <f>IF(CN$3="","",MAX(CM34-CN41,0))</f>
        <v/>
      </c>
      <c r="CO34" s="357">
        <f>IF(CO$3="","",MAX(CN34-CO41,0))</f>
        <v/>
      </c>
      <c r="CP34" s="357">
        <f>IF(CP$3="","",MAX(CO34-CP41,0))</f>
        <v/>
      </c>
      <c r="CQ34" s="357">
        <f>IF(CQ$3="","",MAX(CP34-CQ41,0))</f>
        <v/>
      </c>
      <c r="CR34" s="357">
        <f>IF(CR$3="","",MAX(CQ34-CR41,0))</f>
        <v/>
      </c>
      <c r="CS34" s="357">
        <f>IF(CS$3="","",MAX(CR34-CS41,0))</f>
        <v/>
      </c>
      <c r="CT34" s="357">
        <f>IF(CT$3="","",MAX(CS34-CT41,0))</f>
        <v/>
      </c>
      <c r="CU34" s="357">
        <f>IF(CU$3="","",MAX(CT34-CU41,0))</f>
        <v/>
      </c>
      <c r="CV34" s="357">
        <f>IF(CV$3="","",MAX(CU34-CV41,0))</f>
        <v/>
      </c>
      <c r="CW34" s="357">
        <f>IF(CW$3="","",MAX(CV34-CW41,0))</f>
        <v/>
      </c>
    </row>
    <row r="35" ht="21.75" customHeight="1" s="180">
      <c r="A35" s="237" t="inlineStr">
        <is>
          <t>保有資産合計（ローン除く）</t>
        </is>
      </c>
      <c r="B35" s="358">
        <f>IF(B$3="","",B31+B32+B33)</f>
        <v/>
      </c>
      <c r="C35" s="358">
        <f>IF(C$3="","",C31+C32+C33)</f>
        <v/>
      </c>
      <c r="D35" s="358">
        <f>IF(D$3="","",D31+D32+D33)</f>
        <v/>
      </c>
      <c r="E35" s="358">
        <f>IF(E$3="","",E31+E32+E33)</f>
        <v/>
      </c>
      <c r="F35" s="358">
        <f>IF(F$3="","",F31+F32+F33)</f>
        <v/>
      </c>
      <c r="G35" s="358">
        <f>IF(G$3="","",G31+G32+G33)</f>
        <v/>
      </c>
      <c r="H35" s="358">
        <f>IF(H$3="","",H31+H32+H33)</f>
        <v/>
      </c>
      <c r="I35" s="358">
        <f>IF(I$3="","",I31+I32+I33)</f>
        <v/>
      </c>
      <c r="J35" s="358">
        <f>IF(J$3="","",J31+J32+J33)</f>
        <v/>
      </c>
      <c r="K35" s="358">
        <f>IF(K$3="","",K31+K32+K33)</f>
        <v/>
      </c>
      <c r="L35" s="358">
        <f>IF(L$3="","",L31+L32+L33)</f>
        <v/>
      </c>
      <c r="M35" s="358">
        <f>IF(M$3="","",M31+M32+M33)</f>
        <v/>
      </c>
      <c r="N35" s="358">
        <f>IF(N$3="","",N31+N32+N33)</f>
        <v/>
      </c>
      <c r="O35" s="358">
        <f>IF(O$3="","",O31+O32+O33)</f>
        <v/>
      </c>
      <c r="P35" s="358">
        <f>IF(P$3="","",P31+P32+P33)</f>
        <v/>
      </c>
      <c r="Q35" s="358">
        <f>IF(Q$3="","",Q31+Q32+Q33)</f>
        <v/>
      </c>
      <c r="R35" s="358">
        <f>IF(R$3="","",R31+R32+R33)</f>
        <v/>
      </c>
      <c r="S35" s="358">
        <f>IF(S$3="","",S31+S32+S33)</f>
        <v/>
      </c>
      <c r="T35" s="358">
        <f>IF(T$3="","",T31+T32+T33)</f>
        <v/>
      </c>
      <c r="U35" s="358">
        <f>IF(U$3="","",U31+U32+U33)</f>
        <v/>
      </c>
      <c r="V35" s="358">
        <f>IF(V$3="","",V31+V32+V33)</f>
        <v/>
      </c>
      <c r="W35" s="358">
        <f>IF(W$3="","",W31+W32+W33)</f>
        <v/>
      </c>
      <c r="X35" s="358">
        <f>IF(X$3="","",X31+X32+X33)</f>
        <v/>
      </c>
      <c r="Y35" s="358">
        <f>IF(Y$3="","",Y31+Y32+Y33)</f>
        <v/>
      </c>
      <c r="Z35" s="358">
        <f>IF(Z$3="","",Z31+Z32+Z33)</f>
        <v/>
      </c>
      <c r="AA35" s="358">
        <f>IF(AA$3="","",AA31+AA32+AA33)</f>
        <v/>
      </c>
      <c r="AB35" s="358">
        <f>IF(AB$3="","",AB31+AB32+AB33)</f>
        <v/>
      </c>
      <c r="AC35" s="358">
        <f>IF(AC$3="","",AC31+AC32+AC33)</f>
        <v/>
      </c>
      <c r="AD35" s="358">
        <f>IF(AD$3="","",AD31+AD32+AD33)</f>
        <v/>
      </c>
      <c r="AE35" s="358">
        <f>IF(AE$3="","",AE31+AE32+AE33)</f>
        <v/>
      </c>
      <c r="AF35" s="358">
        <f>IF(AF$3="","",AF31+AF32+AF33)</f>
        <v/>
      </c>
      <c r="AG35" s="358">
        <f>IF(AG$3="","",AG31+AG32+AG33)</f>
        <v/>
      </c>
      <c r="AH35" s="358">
        <f>IF(AH$3="","",AH31+AH32+AH33)</f>
        <v/>
      </c>
      <c r="AI35" s="358">
        <f>IF(AI$3="","",AI31+AI32+AI33)</f>
        <v/>
      </c>
      <c r="AJ35" s="358">
        <f>IF(AJ$3="","",AJ31+AJ32+AJ33)</f>
        <v/>
      </c>
      <c r="AK35" s="358">
        <f>IF(AK$3="","",AK31+AK32+AK33)</f>
        <v/>
      </c>
      <c r="AL35" s="358">
        <f>IF(AL$3="","",AL31+AL32+AL33)</f>
        <v/>
      </c>
      <c r="AM35" s="358">
        <f>IF(AM$3="","",AM31+AM32+AM33)</f>
        <v/>
      </c>
      <c r="AN35" s="358">
        <f>IF(AN$3="","",AN31+AN32+AN33)</f>
        <v/>
      </c>
      <c r="AO35" s="358">
        <f>IF(AO$3="","",AO31+AO32+AO33)</f>
        <v/>
      </c>
      <c r="AP35" s="358">
        <f>IF(AP$3="","",AP31+AP32+AP33)</f>
        <v/>
      </c>
      <c r="AQ35" s="358">
        <f>IF(AQ$3="","",AQ31+AQ32+AQ33)</f>
        <v/>
      </c>
      <c r="AR35" s="358">
        <f>IF(AR$3="","",AR31+AR32+AR33)</f>
        <v/>
      </c>
      <c r="AS35" s="358">
        <f>IF(AS$3="","",AS31+AS32+AS33)</f>
        <v/>
      </c>
      <c r="AT35" s="358">
        <f>IF(AT$3="","",AT31+AT32+AT33)</f>
        <v/>
      </c>
      <c r="AU35" s="358">
        <f>IF(AU$3="","",AU31+AU32+AU33)</f>
        <v/>
      </c>
      <c r="AV35" s="358">
        <f>IF(AV$3="","",AV31+AV32+AV33)</f>
        <v/>
      </c>
      <c r="AW35" s="358">
        <f>IF(AW$3="","",AW31+AW32+AW33)</f>
        <v/>
      </c>
      <c r="AX35" s="358">
        <f>IF(AX$3="","",AX31+AX32+AX33)</f>
        <v/>
      </c>
      <c r="AY35" s="358">
        <f>IF(AY$3="","",AY31+AY32+AY33)</f>
        <v/>
      </c>
      <c r="AZ35" s="358">
        <f>IF(AZ$3="","",AZ31+AZ32+AZ33)</f>
        <v/>
      </c>
      <c r="BA35" s="358">
        <f>IF(BA$3="","",BA31+BA32+BA33)</f>
        <v/>
      </c>
      <c r="BB35" s="358">
        <f>IF(BB$3="","",BB31+BB32+BB33)</f>
        <v/>
      </c>
      <c r="BC35" s="358">
        <f>IF(BC$3="","",BC31+BC32+BC33)</f>
        <v/>
      </c>
      <c r="BD35" s="358">
        <f>IF(BD$3="","",BD31+BD32+BD33)</f>
        <v/>
      </c>
      <c r="BE35" s="358">
        <f>IF(BE$3="","",BE31+BE32+BE33)</f>
        <v/>
      </c>
      <c r="BF35" s="358">
        <f>IF(BF$3="","",BF31+BF32+BF33)</f>
        <v/>
      </c>
      <c r="BG35" s="358">
        <f>IF(BG$3="","",BG31+BG32+BG33)</f>
        <v/>
      </c>
      <c r="BH35" s="358">
        <f>IF(BH$3="","",BH31+BH32+BH33)</f>
        <v/>
      </c>
      <c r="BI35" s="358">
        <f>IF(BI$3="","",BI31+BI32+BI33)</f>
        <v/>
      </c>
      <c r="BJ35" s="358">
        <f>IF(BJ$3="","",BJ31+BJ32+BJ33)</f>
        <v/>
      </c>
      <c r="BK35" s="358">
        <f>IF(BK$3="","",BK31+BK32+BK33)</f>
        <v/>
      </c>
      <c r="BL35" s="358">
        <f>IF(BL$3="","",BL31+BL32+BL33)</f>
        <v/>
      </c>
      <c r="BM35" s="358">
        <f>IF(BM$3="","",BM31+BM32+BM33)</f>
        <v/>
      </c>
      <c r="BN35" s="358">
        <f>IF(BN$3="","",BN31+BN32+BN33)</f>
        <v/>
      </c>
      <c r="BO35" s="358">
        <f>IF(BO$3="","",BO31+BO32+BO33)</f>
        <v/>
      </c>
      <c r="BP35" s="358">
        <f>IF(BP$3="","",BP31+BP32+BP33)</f>
        <v/>
      </c>
      <c r="BQ35" s="358">
        <f>IF(BQ$3="","",BQ31+BQ32+BQ33)</f>
        <v/>
      </c>
      <c r="BR35" s="358">
        <f>IF(BR$3="","",BR31+BR32+BR33)</f>
        <v/>
      </c>
      <c r="BS35" s="358">
        <f>IF(BS$3="","",BS31+BS32+BS33)</f>
        <v/>
      </c>
      <c r="BT35" s="358">
        <f>IF(BT$3="","",BT31+BT32+BT33)</f>
        <v/>
      </c>
      <c r="BU35" s="358">
        <f>IF(BU$3="","",BU31+BU32+BU33)</f>
        <v/>
      </c>
      <c r="BV35" s="358">
        <f>IF(BV$3="","",BV31+BV32+BV33)</f>
        <v/>
      </c>
      <c r="BW35" s="358">
        <f>IF(BW$3="","",BW31+BW32+BW33)</f>
        <v/>
      </c>
      <c r="BX35" s="358">
        <f>IF(BX$3="","",BX31+BX32+BX33)</f>
        <v/>
      </c>
      <c r="BY35" s="358">
        <f>IF(BY$3="","",BY31+BY32+BY33)</f>
        <v/>
      </c>
      <c r="BZ35" s="358">
        <f>IF(BZ$3="","",BZ31+BZ32+BZ33)</f>
        <v/>
      </c>
      <c r="CA35" s="358">
        <f>IF(CA$3="","",CA31+CA32+CA33)</f>
        <v/>
      </c>
      <c r="CB35" s="358">
        <f>IF(CB$3="","",CB31+CB32+CB33)</f>
        <v/>
      </c>
      <c r="CC35" s="358">
        <f>IF(CC$3="","",CC31+CC32+CC33)</f>
        <v/>
      </c>
      <c r="CD35" s="358">
        <f>IF(CD$3="","",CD31+CD32+CD33)</f>
        <v/>
      </c>
      <c r="CE35" s="358">
        <f>IF(CE$3="","",CE31+CE32+CE33)</f>
        <v/>
      </c>
      <c r="CF35" s="358">
        <f>IF(CF$3="","",CF31+CF32+CF33)</f>
        <v/>
      </c>
      <c r="CG35" s="358">
        <f>IF(CG$3="","",CG31+CG32+CG33)</f>
        <v/>
      </c>
      <c r="CH35" s="358">
        <f>IF(CH$3="","",CH31+CH32+CH33)</f>
        <v/>
      </c>
      <c r="CI35" s="358">
        <f>IF(CI$3="","",CI31+CI32+CI33)</f>
        <v/>
      </c>
      <c r="CJ35" s="358">
        <f>IF(CJ$3="","",CJ31+CJ32+CJ33)</f>
        <v/>
      </c>
      <c r="CK35" s="358">
        <f>IF(CK$3="","",CK31+CK32+CK33)</f>
        <v/>
      </c>
      <c r="CL35" s="358">
        <f>IF(CL$3="","",CL31+CL32+CL33)</f>
        <v/>
      </c>
      <c r="CM35" s="358">
        <f>IF(CM$3="","",CM31+CM32+CM33)</f>
        <v/>
      </c>
      <c r="CN35" s="358">
        <f>IF(CN$3="","",CN31+CN32+CN33)</f>
        <v/>
      </c>
      <c r="CO35" s="358">
        <f>IF(CO$3="","",CO31+CO32+CO33)</f>
        <v/>
      </c>
      <c r="CP35" s="358">
        <f>IF(CP$3="","",CP31+CP32+CP33)</f>
        <v/>
      </c>
      <c r="CQ35" s="358">
        <f>IF(CQ$3="","",CQ31+CQ32+CQ33)</f>
        <v/>
      </c>
      <c r="CR35" s="358">
        <f>IF(CR$3="","",CR31+CR32+CR33)</f>
        <v/>
      </c>
      <c r="CS35" s="358">
        <f>IF(CS$3="","",CS31+CS32+CS33)</f>
        <v/>
      </c>
      <c r="CT35" s="358">
        <f>IF(CT$3="","",CT31+CT32+CT33)</f>
        <v/>
      </c>
      <c r="CU35" s="358">
        <f>IF(CU$3="","",CU31+CU32+CU33)</f>
        <v/>
      </c>
      <c r="CV35" s="358">
        <f>IF(CV$3="","",CV31+CV32+CV33)</f>
        <v/>
      </c>
      <c r="CW35" s="358">
        <f>IF(CW$3="","",CW31+CW32+CW33)</f>
        <v/>
      </c>
    </row>
    <row r="36" hidden="1" ht="16.5" customHeight="1" s="180">
      <c r="A36" s="239" t="inlineStr">
        <is>
          <t>投資積立年額(補助)</t>
        </is>
      </c>
      <c r="B36" s="359">
        <f>IF(B$3="","",SUM(入力データ!$C$101:$C$103,入力データ!$C$105)*12)</f>
        <v/>
      </c>
      <c r="C36" s="359">
        <f>IF(C$3="","",SUM(入力データ!$C$101:$C$103,入力データ!$C$105)*12)</f>
        <v/>
      </c>
      <c r="D36" s="359">
        <f>IF(D$3="","",SUM(入力データ!$C$101:$C$103,入力データ!$C$105)*12)</f>
        <v/>
      </c>
      <c r="E36" s="359">
        <f>IF(E$3="","",SUM(入力データ!$C$101:$C$103,入力データ!$C$105)*12)</f>
        <v/>
      </c>
      <c r="F36" s="359">
        <f>IF(F$3="","",SUM(入力データ!$C$101:$C$103,入力データ!$C$105)*12)</f>
        <v/>
      </c>
      <c r="G36" s="359">
        <f>IF(G$3="","",SUM(入力データ!$C$101:$C$103,入力データ!$C$105)*12)</f>
        <v/>
      </c>
      <c r="H36" s="359">
        <f>IF(H$3="","",SUM(入力データ!$C$101:$C$103,入力データ!$C$105)*12)</f>
        <v/>
      </c>
      <c r="I36" s="359">
        <f>IF(I$3="","",SUM(入力データ!$C$101:$C$103,入力データ!$C$105)*12)</f>
        <v/>
      </c>
      <c r="J36" s="359">
        <f>IF(J$3="","",SUM(入力データ!$C$101:$C$103,入力データ!$C$105)*12)</f>
        <v/>
      </c>
      <c r="K36" s="359">
        <f>IF(K$3="","",SUM(入力データ!$C$101:$C$103,入力データ!$C$105)*12)</f>
        <v/>
      </c>
      <c r="L36" s="359">
        <f>IF(L$3="","",SUM(入力データ!$C$101:$C$103,入力データ!$C$105)*12)</f>
        <v/>
      </c>
      <c r="M36" s="359">
        <f>IF(M$3="","",SUM(入力データ!$C$101:$C$103,入力データ!$C$105)*12)</f>
        <v/>
      </c>
      <c r="N36" s="359">
        <f>IF(N$3="","",SUM(入力データ!$C$101:$C$103,入力データ!$C$105)*12)</f>
        <v/>
      </c>
      <c r="O36" s="359">
        <f>IF(O$3="","",SUM(入力データ!$C$101:$C$103,入力データ!$C$105)*12)</f>
        <v/>
      </c>
      <c r="P36" s="359">
        <f>IF(P$3="","",SUM(入力データ!$C$101:$C$103,入力データ!$C$105)*12)</f>
        <v/>
      </c>
      <c r="Q36" s="359">
        <f>IF(Q$3="","",SUM(入力データ!$C$101:$C$103,入力データ!$C$105)*12)</f>
        <v/>
      </c>
      <c r="R36" s="359">
        <f>IF(R$3="","",SUM(入力データ!$C$101:$C$103,入力データ!$C$105)*12)</f>
        <v/>
      </c>
      <c r="S36" s="359">
        <f>IF(S$3="","",SUM(入力データ!$C$101:$C$103,入力データ!$C$105)*12)</f>
        <v/>
      </c>
      <c r="T36" s="359">
        <f>IF(T$3="","",SUM(入力データ!$C$101:$C$103,入力データ!$C$105)*12)</f>
        <v/>
      </c>
      <c r="U36" s="359">
        <f>IF(U$3="","",SUM(入力データ!$C$101:$C$103,入力データ!$C$105)*12)</f>
        <v/>
      </c>
      <c r="V36" s="359">
        <f>IF(V$3="","",SUM(入力データ!$C$101:$C$103,入力データ!$C$105)*12)</f>
        <v/>
      </c>
      <c r="W36" s="359">
        <f>IF(W$3="","",SUM(入力データ!$C$101:$C$103,入力データ!$C$105)*12)</f>
        <v/>
      </c>
      <c r="X36" s="359">
        <f>IF(X$3="","",SUM(入力データ!$C$101:$C$103,入力データ!$C$105)*12)</f>
        <v/>
      </c>
      <c r="Y36" s="359">
        <f>IF(Y$3="","",SUM(入力データ!$C$101:$C$103,入力データ!$C$105)*12)</f>
        <v/>
      </c>
      <c r="Z36" s="359">
        <f>IF(Z$3="","",SUM(入力データ!$C$101:$C$103,入力データ!$C$105)*12)</f>
        <v/>
      </c>
      <c r="AA36" s="359">
        <f>IF(AA$3="","",SUM(入力データ!$C$101:$C$103,入力データ!$C$105)*12)</f>
        <v/>
      </c>
      <c r="AB36" s="359">
        <f>IF(AB$3="","",SUM(入力データ!$C$101:$C$103,入力データ!$C$105)*12)</f>
        <v/>
      </c>
      <c r="AC36" s="359">
        <f>IF(AC$3="","",SUM(入力データ!$C$101:$C$103,入力データ!$C$105)*12)</f>
        <v/>
      </c>
      <c r="AD36" s="359">
        <f>IF(AD$3="","",SUM(入力データ!$C$101:$C$103,入力データ!$C$105)*12)</f>
        <v/>
      </c>
      <c r="AE36" s="359">
        <f>IF(AE$3="","",SUM(入力データ!$C$101:$C$103,入力データ!$C$105)*12)</f>
        <v/>
      </c>
      <c r="AF36" s="359">
        <f>IF(AF$3="","",SUM(入力データ!$C$101:$C$103,入力データ!$C$105)*12)</f>
        <v/>
      </c>
      <c r="AG36" s="359">
        <f>IF(AG$3="","",SUM(入力データ!$C$101:$C$103,入力データ!$C$105)*12)</f>
        <v/>
      </c>
      <c r="AH36" s="359">
        <f>IF(AH$3="","",SUM(入力データ!$C$101:$C$103,入力データ!$C$105)*12)</f>
        <v/>
      </c>
      <c r="AI36" s="359">
        <f>IF(AI$3="","",SUM(入力データ!$C$101:$C$103,入力データ!$C$105)*12)</f>
        <v/>
      </c>
      <c r="AJ36" s="359">
        <f>IF(AJ$3="","",SUM(入力データ!$C$101:$C$103,入力データ!$C$105)*12)</f>
        <v/>
      </c>
      <c r="AK36" s="359">
        <f>IF(AK$3="","",SUM(入力データ!$C$101:$C$103,入力データ!$C$105)*12)</f>
        <v/>
      </c>
      <c r="AL36" s="359">
        <f>IF(AL$3="","",SUM(入力データ!$C$101:$C$103,入力データ!$C$105)*12)</f>
        <v/>
      </c>
      <c r="AM36" s="359">
        <f>IF(AM$3="","",SUM(入力データ!$C$101:$C$103,入力データ!$C$105)*12)</f>
        <v/>
      </c>
      <c r="AN36" s="359">
        <f>IF(AN$3="","",SUM(入力データ!$C$101:$C$103,入力データ!$C$105)*12)</f>
        <v/>
      </c>
      <c r="AO36" s="359">
        <f>IF(AO$3="","",SUM(入力データ!$C$101:$C$103,入力データ!$C$105)*12)</f>
        <v/>
      </c>
      <c r="AP36" s="359">
        <f>IF(AP$3="","",SUM(入力データ!$C$101:$C$103,入力データ!$C$105)*12)</f>
        <v/>
      </c>
      <c r="AQ36" s="359">
        <f>IF(AQ$3="","",SUM(入力データ!$C$101:$C$103,入力データ!$C$105)*12)</f>
        <v/>
      </c>
      <c r="AR36" s="359">
        <f>IF(AR$3="","",SUM(入力データ!$C$101:$C$103,入力データ!$C$105)*12)</f>
        <v/>
      </c>
      <c r="AS36" s="359">
        <f>IF(AS$3="","",SUM(入力データ!$C$101:$C$103,入力データ!$C$105)*12)</f>
        <v/>
      </c>
      <c r="AT36" s="359">
        <f>IF(AT$3="","",SUM(入力データ!$C$101:$C$103,入力データ!$C$105)*12)</f>
        <v/>
      </c>
      <c r="AU36" s="359">
        <f>IF(AU$3="","",SUM(入力データ!$C$101:$C$103,入力データ!$C$105)*12)</f>
        <v/>
      </c>
      <c r="AV36" s="359">
        <f>IF(AV$3="","",SUM(入力データ!$C$101:$C$103,入力データ!$C$105)*12)</f>
        <v/>
      </c>
      <c r="AW36" s="359">
        <f>IF(AW$3="","",SUM(入力データ!$C$101:$C$103,入力データ!$C$105)*12)</f>
        <v/>
      </c>
      <c r="AX36" s="359">
        <f>IF(AX$3="","",SUM(入力データ!$C$101:$C$103,入力データ!$C$105)*12)</f>
        <v/>
      </c>
      <c r="AY36" s="359">
        <f>IF(AY$3="","",SUM(入力データ!$C$101:$C$103,入力データ!$C$105)*12)</f>
        <v/>
      </c>
      <c r="AZ36" s="359">
        <f>IF(AZ$3="","",SUM(入力データ!$C$101:$C$103,入力データ!$C$105)*12)</f>
        <v/>
      </c>
      <c r="BA36" s="359">
        <f>IF(BA$3="","",SUM(入力データ!$C$101:$C$103,入力データ!$C$105)*12)</f>
        <v/>
      </c>
      <c r="BB36" s="359">
        <f>IF(BB$3="","",SUM(入力データ!$C$101:$C$103,入力データ!$C$105)*12)</f>
        <v/>
      </c>
      <c r="BC36" s="359">
        <f>IF(BC$3="","",SUM(入力データ!$C$101:$C$103,入力データ!$C$105)*12)</f>
        <v/>
      </c>
      <c r="BD36" s="359">
        <f>IF(BD$3="","",SUM(入力データ!$C$101:$C$103,入力データ!$C$105)*12)</f>
        <v/>
      </c>
      <c r="BE36" s="359">
        <f>IF(BE$3="","",SUM(入力データ!$C$101:$C$103,入力データ!$C$105)*12)</f>
        <v/>
      </c>
      <c r="BF36" s="359">
        <f>IF(BF$3="","",SUM(入力データ!$C$101:$C$103,入力データ!$C$105)*12)</f>
        <v/>
      </c>
      <c r="BG36" s="359">
        <f>IF(BG$3="","",SUM(入力データ!$C$101:$C$103,入力データ!$C$105)*12)</f>
        <v/>
      </c>
      <c r="BH36" s="359">
        <f>IF(BH$3="","",SUM(入力データ!$C$101:$C$103,入力データ!$C$105)*12)</f>
        <v/>
      </c>
      <c r="BI36" s="359">
        <f>IF(BI$3="","",SUM(入力データ!$C$101:$C$103,入力データ!$C$105)*12)</f>
        <v/>
      </c>
      <c r="BJ36" s="359">
        <f>IF(BJ$3="","",SUM(入力データ!$C$101:$C$103,入力データ!$C$105)*12)</f>
        <v/>
      </c>
      <c r="BK36" s="359">
        <f>IF(BK$3="","",SUM(入力データ!$C$101:$C$103,入力データ!$C$105)*12)</f>
        <v/>
      </c>
      <c r="BL36" s="359">
        <f>IF(BL$3="","",SUM(入力データ!$C$101:$C$103,入力データ!$C$105)*12)</f>
        <v/>
      </c>
      <c r="BM36" s="359">
        <f>IF(BM$3="","",SUM(入力データ!$C$101:$C$103,入力データ!$C$105)*12)</f>
        <v/>
      </c>
      <c r="BN36" s="359">
        <f>IF(BN$3="","",SUM(入力データ!$C$101:$C$103,入力データ!$C$105)*12)</f>
        <v/>
      </c>
      <c r="BO36" s="359">
        <f>IF(BO$3="","",SUM(入力データ!$C$101:$C$103,入力データ!$C$105)*12)</f>
        <v/>
      </c>
      <c r="BP36" s="359">
        <f>IF(BP$3="","",SUM(入力データ!$C$101:$C$103,入力データ!$C$105)*12)</f>
        <v/>
      </c>
      <c r="BQ36" s="359">
        <f>IF(BQ$3="","",SUM(入力データ!$C$101:$C$103,入力データ!$C$105)*12)</f>
        <v/>
      </c>
      <c r="BR36" s="359">
        <f>IF(BR$3="","",SUM(入力データ!$C$101:$C$103,入力データ!$C$105)*12)</f>
        <v/>
      </c>
      <c r="BS36" s="359">
        <f>IF(BS$3="","",SUM(入力データ!$C$101:$C$103,入力データ!$C$105)*12)</f>
        <v/>
      </c>
      <c r="BT36" s="359">
        <f>IF(BT$3="","",SUM(入力データ!$C$101:$C$103,入力データ!$C$105)*12)</f>
        <v/>
      </c>
      <c r="BU36" s="359">
        <f>IF(BU$3="","",SUM(入力データ!$C$101:$C$103,入力データ!$C$105)*12)</f>
        <v/>
      </c>
      <c r="BV36" s="359">
        <f>IF(BV$3="","",SUM(入力データ!$C$101:$C$103,入力データ!$C$105)*12)</f>
        <v/>
      </c>
      <c r="BW36" s="359">
        <f>IF(BW$3="","",SUM(入力データ!$C$101:$C$103,入力データ!$C$105)*12)</f>
        <v/>
      </c>
      <c r="BX36" s="359">
        <f>IF(BX$3="","",SUM(入力データ!$C$101:$C$103,入力データ!$C$105)*12)</f>
        <v/>
      </c>
      <c r="BY36" s="359">
        <f>IF(BY$3="","",SUM(入力データ!$C$101:$C$103,入力データ!$C$105)*12)</f>
        <v/>
      </c>
      <c r="BZ36" s="359">
        <f>IF(BZ$3="","",SUM(入力データ!$C$101:$C$103,入力データ!$C$105)*12)</f>
        <v/>
      </c>
      <c r="CA36" s="359">
        <f>IF(CA$3="","",SUM(入力データ!$C$101:$C$103,入力データ!$C$105)*12)</f>
        <v/>
      </c>
      <c r="CB36" s="359">
        <f>IF(CB$3="","",SUM(入力データ!$C$101:$C$103,入力データ!$C$105)*12)</f>
        <v/>
      </c>
      <c r="CC36" s="359">
        <f>IF(CC$3="","",SUM(入力データ!$C$101:$C$103,入力データ!$C$105)*12)</f>
        <v/>
      </c>
      <c r="CD36" s="359">
        <f>IF(CD$3="","",SUM(入力データ!$C$101:$C$103,入力データ!$C$105)*12)</f>
        <v/>
      </c>
      <c r="CE36" s="359">
        <f>IF(CE$3="","",SUM(入力データ!$C$101:$C$103,入力データ!$C$105)*12)</f>
        <v/>
      </c>
      <c r="CF36" s="359">
        <f>IF(CF$3="","",SUM(入力データ!$C$101:$C$103,入力データ!$C$105)*12)</f>
        <v/>
      </c>
      <c r="CG36" s="359">
        <f>IF(CG$3="","",SUM(入力データ!$C$101:$C$103,入力データ!$C$105)*12)</f>
        <v/>
      </c>
      <c r="CH36" s="359">
        <f>IF(CH$3="","",SUM(入力データ!$C$101:$C$103,入力データ!$C$105)*12)</f>
        <v/>
      </c>
      <c r="CI36" s="359">
        <f>IF(CI$3="","",SUM(入力データ!$C$101:$C$103,入力データ!$C$105)*12)</f>
        <v/>
      </c>
      <c r="CJ36" s="359">
        <f>IF(CJ$3="","",SUM(入力データ!$C$101:$C$103,入力データ!$C$105)*12)</f>
        <v/>
      </c>
      <c r="CK36" s="359">
        <f>IF(CK$3="","",SUM(入力データ!$C$101:$C$103,入力データ!$C$105)*12)</f>
        <v/>
      </c>
      <c r="CL36" s="359">
        <f>IF(CL$3="","",SUM(入力データ!$C$101:$C$103,入力データ!$C$105)*12)</f>
        <v/>
      </c>
      <c r="CM36" s="359">
        <f>IF(CM$3="","",SUM(入力データ!$C$101:$C$103,入力データ!$C$105)*12)</f>
        <v/>
      </c>
      <c r="CN36" s="359">
        <f>IF(CN$3="","",SUM(入力データ!$C$101:$C$103,入力データ!$C$105)*12)</f>
        <v/>
      </c>
      <c r="CO36" s="359">
        <f>IF(CO$3="","",SUM(入力データ!$C$101:$C$103,入力データ!$C$105)*12)</f>
        <v/>
      </c>
      <c r="CP36" s="359">
        <f>IF(CP$3="","",SUM(入力データ!$C$101:$C$103,入力データ!$C$105)*12)</f>
        <v/>
      </c>
      <c r="CQ36" s="359">
        <f>IF(CQ$3="","",SUM(入力データ!$C$101:$C$103,入力データ!$C$105)*12)</f>
        <v/>
      </c>
      <c r="CR36" s="359">
        <f>IF(CR$3="","",SUM(入力データ!$C$101:$C$103,入力データ!$C$105)*12)</f>
        <v/>
      </c>
      <c r="CS36" s="359">
        <f>IF(CS$3="","",SUM(入力データ!$C$101:$C$103,入力データ!$C$105)*12)</f>
        <v/>
      </c>
      <c r="CT36" s="359">
        <f>IF(CT$3="","",SUM(入力データ!$C$101:$C$103,入力データ!$C$105)*12)</f>
        <v/>
      </c>
      <c r="CU36" s="359">
        <f>IF(CU$3="","",SUM(入力データ!$C$101:$C$103,入力データ!$C$105)*12)</f>
        <v/>
      </c>
      <c r="CV36" s="359">
        <f>IF(CV$3="","",SUM(入力データ!$C$101:$C$103,入力データ!$C$105)*12)</f>
        <v/>
      </c>
      <c r="CW36" s="359">
        <f>IF(CW$3="","",SUM(入力データ!$C$101:$C$103,入力データ!$C$105)*12)</f>
        <v/>
      </c>
    </row>
    <row r="37" hidden="1" ht="16.5" customHeight="1" s="180">
      <c r="A37" s="239" t="inlineStr">
        <is>
          <t>返戻金積立年額(補助)</t>
        </is>
      </c>
      <c r="B37" s="359">
        <f>IF(B$3="","",入力データ!$C$104*12)</f>
        <v/>
      </c>
      <c r="C37" s="359">
        <f>IF(C$3="","",入力データ!$C$104*12)</f>
        <v/>
      </c>
      <c r="D37" s="359">
        <f>IF(D$3="","",入力データ!$C$104*12)</f>
        <v/>
      </c>
      <c r="E37" s="359">
        <f>IF(E$3="","",入力データ!$C$104*12)</f>
        <v/>
      </c>
      <c r="F37" s="359">
        <f>IF(F$3="","",入力データ!$C$104*12)</f>
        <v/>
      </c>
      <c r="G37" s="359">
        <f>IF(G$3="","",入力データ!$C$104*12)</f>
        <v/>
      </c>
      <c r="H37" s="359">
        <f>IF(H$3="","",入力データ!$C$104*12)</f>
        <v/>
      </c>
      <c r="I37" s="359">
        <f>IF(I$3="","",入力データ!$C$104*12)</f>
        <v/>
      </c>
      <c r="J37" s="359">
        <f>IF(J$3="","",入力データ!$C$104*12)</f>
        <v/>
      </c>
      <c r="K37" s="359">
        <f>IF(K$3="","",入力データ!$C$104*12)</f>
        <v/>
      </c>
      <c r="L37" s="359">
        <f>IF(L$3="","",入力データ!$C$104*12)</f>
        <v/>
      </c>
      <c r="M37" s="359">
        <f>IF(M$3="","",入力データ!$C$104*12)</f>
        <v/>
      </c>
      <c r="N37" s="359">
        <f>IF(N$3="","",入力データ!$C$104*12)</f>
        <v/>
      </c>
      <c r="O37" s="359">
        <f>IF(O$3="","",入力データ!$C$104*12)</f>
        <v/>
      </c>
      <c r="P37" s="359">
        <f>IF(P$3="","",入力データ!$C$104*12)</f>
        <v/>
      </c>
      <c r="Q37" s="359">
        <f>IF(Q$3="","",入力データ!$C$104*12)</f>
        <v/>
      </c>
      <c r="R37" s="359">
        <f>IF(R$3="","",入力データ!$C$104*12)</f>
        <v/>
      </c>
      <c r="S37" s="359">
        <f>IF(S$3="","",入力データ!$C$104*12)</f>
        <v/>
      </c>
      <c r="T37" s="359">
        <f>IF(T$3="","",入力データ!$C$104*12)</f>
        <v/>
      </c>
      <c r="U37" s="359">
        <f>IF(U$3="","",入力データ!$C$104*12)</f>
        <v/>
      </c>
      <c r="V37" s="359">
        <f>IF(V$3="","",入力データ!$C$104*12)</f>
        <v/>
      </c>
      <c r="W37" s="359">
        <f>IF(W$3="","",入力データ!$C$104*12)</f>
        <v/>
      </c>
      <c r="X37" s="359">
        <f>IF(X$3="","",入力データ!$C$104*12)</f>
        <v/>
      </c>
      <c r="Y37" s="359">
        <f>IF(Y$3="","",入力データ!$C$104*12)</f>
        <v/>
      </c>
      <c r="Z37" s="359">
        <f>IF(Z$3="","",入力データ!$C$104*12)</f>
        <v/>
      </c>
      <c r="AA37" s="359">
        <f>IF(AA$3="","",入力データ!$C$104*12)</f>
        <v/>
      </c>
      <c r="AB37" s="359">
        <f>IF(AB$3="","",入力データ!$C$104*12)</f>
        <v/>
      </c>
      <c r="AC37" s="359">
        <f>IF(AC$3="","",入力データ!$C$104*12)</f>
        <v/>
      </c>
      <c r="AD37" s="359">
        <f>IF(AD$3="","",入力データ!$C$104*12)</f>
        <v/>
      </c>
      <c r="AE37" s="359">
        <f>IF(AE$3="","",入力データ!$C$104*12)</f>
        <v/>
      </c>
      <c r="AF37" s="359">
        <f>IF(AF$3="","",入力データ!$C$104*12)</f>
        <v/>
      </c>
      <c r="AG37" s="359">
        <f>IF(AG$3="","",入力データ!$C$104*12)</f>
        <v/>
      </c>
      <c r="AH37" s="359">
        <f>IF(AH$3="","",入力データ!$C$104*12)</f>
        <v/>
      </c>
      <c r="AI37" s="359">
        <f>IF(AI$3="","",入力データ!$C$104*12)</f>
        <v/>
      </c>
      <c r="AJ37" s="359">
        <f>IF(AJ$3="","",入力データ!$C$104*12)</f>
        <v/>
      </c>
      <c r="AK37" s="359">
        <f>IF(AK$3="","",入力データ!$C$104*12)</f>
        <v/>
      </c>
      <c r="AL37" s="359">
        <f>IF(AL$3="","",入力データ!$C$104*12)</f>
        <v/>
      </c>
      <c r="AM37" s="359">
        <f>IF(AM$3="","",入力データ!$C$104*12)</f>
        <v/>
      </c>
      <c r="AN37" s="359">
        <f>IF(AN$3="","",入力データ!$C$104*12)</f>
        <v/>
      </c>
      <c r="AO37" s="359">
        <f>IF(AO$3="","",入力データ!$C$104*12)</f>
        <v/>
      </c>
      <c r="AP37" s="359">
        <f>IF(AP$3="","",入力データ!$C$104*12)</f>
        <v/>
      </c>
      <c r="AQ37" s="359">
        <f>IF(AQ$3="","",入力データ!$C$104*12)</f>
        <v/>
      </c>
      <c r="AR37" s="359">
        <f>IF(AR$3="","",入力データ!$C$104*12)</f>
        <v/>
      </c>
      <c r="AS37" s="359">
        <f>IF(AS$3="","",入力データ!$C$104*12)</f>
        <v/>
      </c>
      <c r="AT37" s="359">
        <f>IF(AT$3="","",入力データ!$C$104*12)</f>
        <v/>
      </c>
      <c r="AU37" s="359">
        <f>IF(AU$3="","",入力データ!$C$104*12)</f>
        <v/>
      </c>
      <c r="AV37" s="359">
        <f>IF(AV$3="","",入力データ!$C$104*12)</f>
        <v/>
      </c>
      <c r="AW37" s="359">
        <f>IF(AW$3="","",入力データ!$C$104*12)</f>
        <v/>
      </c>
      <c r="AX37" s="359">
        <f>IF(AX$3="","",入力データ!$C$104*12)</f>
        <v/>
      </c>
      <c r="AY37" s="359">
        <f>IF(AY$3="","",入力データ!$C$104*12)</f>
        <v/>
      </c>
      <c r="AZ37" s="359">
        <f>IF(AZ$3="","",入力データ!$C$104*12)</f>
        <v/>
      </c>
      <c r="BA37" s="359">
        <f>IF(BA$3="","",入力データ!$C$104*12)</f>
        <v/>
      </c>
      <c r="BB37" s="359">
        <f>IF(BB$3="","",入力データ!$C$104*12)</f>
        <v/>
      </c>
      <c r="BC37" s="359">
        <f>IF(BC$3="","",入力データ!$C$104*12)</f>
        <v/>
      </c>
      <c r="BD37" s="359">
        <f>IF(BD$3="","",入力データ!$C$104*12)</f>
        <v/>
      </c>
      <c r="BE37" s="359">
        <f>IF(BE$3="","",入力データ!$C$104*12)</f>
        <v/>
      </c>
      <c r="BF37" s="359">
        <f>IF(BF$3="","",入力データ!$C$104*12)</f>
        <v/>
      </c>
      <c r="BG37" s="359">
        <f>IF(BG$3="","",入力データ!$C$104*12)</f>
        <v/>
      </c>
      <c r="BH37" s="359">
        <f>IF(BH$3="","",入力データ!$C$104*12)</f>
        <v/>
      </c>
      <c r="BI37" s="359">
        <f>IF(BI$3="","",入力データ!$C$104*12)</f>
        <v/>
      </c>
      <c r="BJ37" s="359">
        <f>IF(BJ$3="","",入力データ!$C$104*12)</f>
        <v/>
      </c>
      <c r="BK37" s="359">
        <f>IF(BK$3="","",入力データ!$C$104*12)</f>
        <v/>
      </c>
      <c r="BL37" s="359">
        <f>IF(BL$3="","",入力データ!$C$104*12)</f>
        <v/>
      </c>
      <c r="BM37" s="359">
        <f>IF(BM$3="","",入力データ!$C$104*12)</f>
        <v/>
      </c>
      <c r="BN37" s="359">
        <f>IF(BN$3="","",入力データ!$C$104*12)</f>
        <v/>
      </c>
      <c r="BO37" s="359">
        <f>IF(BO$3="","",入力データ!$C$104*12)</f>
        <v/>
      </c>
      <c r="BP37" s="359">
        <f>IF(BP$3="","",入力データ!$C$104*12)</f>
        <v/>
      </c>
      <c r="BQ37" s="359">
        <f>IF(BQ$3="","",入力データ!$C$104*12)</f>
        <v/>
      </c>
      <c r="BR37" s="359">
        <f>IF(BR$3="","",入力データ!$C$104*12)</f>
        <v/>
      </c>
      <c r="BS37" s="359">
        <f>IF(BS$3="","",入力データ!$C$104*12)</f>
        <v/>
      </c>
      <c r="BT37" s="359">
        <f>IF(BT$3="","",入力データ!$C$104*12)</f>
        <v/>
      </c>
      <c r="BU37" s="359">
        <f>IF(BU$3="","",入力データ!$C$104*12)</f>
        <v/>
      </c>
      <c r="BV37" s="359">
        <f>IF(BV$3="","",入力データ!$C$104*12)</f>
        <v/>
      </c>
      <c r="BW37" s="359">
        <f>IF(BW$3="","",入力データ!$C$104*12)</f>
        <v/>
      </c>
      <c r="BX37" s="359">
        <f>IF(BX$3="","",入力データ!$C$104*12)</f>
        <v/>
      </c>
      <c r="BY37" s="359">
        <f>IF(BY$3="","",入力データ!$C$104*12)</f>
        <v/>
      </c>
      <c r="BZ37" s="359">
        <f>IF(BZ$3="","",入力データ!$C$104*12)</f>
        <v/>
      </c>
      <c r="CA37" s="359">
        <f>IF(CA$3="","",入力データ!$C$104*12)</f>
        <v/>
      </c>
      <c r="CB37" s="359">
        <f>IF(CB$3="","",入力データ!$C$104*12)</f>
        <v/>
      </c>
      <c r="CC37" s="359">
        <f>IF(CC$3="","",入力データ!$C$104*12)</f>
        <v/>
      </c>
      <c r="CD37" s="359">
        <f>IF(CD$3="","",入力データ!$C$104*12)</f>
        <v/>
      </c>
      <c r="CE37" s="359">
        <f>IF(CE$3="","",入力データ!$C$104*12)</f>
        <v/>
      </c>
      <c r="CF37" s="359">
        <f>IF(CF$3="","",入力データ!$C$104*12)</f>
        <v/>
      </c>
      <c r="CG37" s="359">
        <f>IF(CG$3="","",入力データ!$C$104*12)</f>
        <v/>
      </c>
      <c r="CH37" s="359">
        <f>IF(CH$3="","",入力データ!$C$104*12)</f>
        <v/>
      </c>
      <c r="CI37" s="359">
        <f>IF(CI$3="","",入力データ!$C$104*12)</f>
        <v/>
      </c>
      <c r="CJ37" s="359">
        <f>IF(CJ$3="","",入力データ!$C$104*12)</f>
        <v/>
      </c>
      <c r="CK37" s="359">
        <f>IF(CK$3="","",入力データ!$C$104*12)</f>
        <v/>
      </c>
      <c r="CL37" s="359">
        <f>IF(CL$3="","",入力データ!$C$104*12)</f>
        <v/>
      </c>
      <c r="CM37" s="359">
        <f>IF(CM$3="","",入力データ!$C$104*12)</f>
        <v/>
      </c>
      <c r="CN37" s="359">
        <f>IF(CN$3="","",入力データ!$C$104*12)</f>
        <v/>
      </c>
      <c r="CO37" s="359">
        <f>IF(CO$3="","",入力データ!$C$104*12)</f>
        <v/>
      </c>
      <c r="CP37" s="359">
        <f>IF(CP$3="","",入力データ!$C$104*12)</f>
        <v/>
      </c>
      <c r="CQ37" s="359">
        <f>IF(CQ$3="","",入力データ!$C$104*12)</f>
        <v/>
      </c>
      <c r="CR37" s="359">
        <f>IF(CR$3="","",入力データ!$C$104*12)</f>
        <v/>
      </c>
      <c r="CS37" s="359">
        <f>IF(CS$3="","",入力データ!$C$104*12)</f>
        <v/>
      </c>
      <c r="CT37" s="359">
        <f>IF(CT$3="","",入力データ!$C$104*12)</f>
        <v/>
      </c>
      <c r="CU37" s="359">
        <f>IF(CU$3="","",入力データ!$C$104*12)</f>
        <v/>
      </c>
      <c r="CV37" s="359">
        <f>IF(CV$3="","",入力データ!$C$104*12)</f>
        <v/>
      </c>
      <c r="CW37" s="359">
        <f>IF(CW$3="","",入力データ!$C$104*12)</f>
        <v/>
      </c>
    </row>
    <row r="38" hidden="1" ht="16.5" customHeight="1" s="180">
      <c r="A38" s="239" t="inlineStr">
        <is>
          <t>預貯金前年差引前(補助)</t>
        </is>
      </c>
      <c r="B38" s="359">
        <f>IF(B$3="","",SUM(入力データ!$C$88:$C$89)+B30-B36-B37)</f>
        <v/>
      </c>
      <c r="C38" s="359">
        <f>IF(C$3="","",B31+C30-C36-C37)</f>
        <v/>
      </c>
      <c r="D38" s="359">
        <f>IF(D$3="","",C31+D30-D36-D37)</f>
        <v/>
      </c>
      <c r="E38" s="359">
        <f>IF(E$3="","",D31+E30-E36-E37)</f>
        <v/>
      </c>
      <c r="F38" s="359">
        <f>IF(F$3="","",E31+F30-F36-F37)</f>
        <v/>
      </c>
      <c r="G38" s="359">
        <f>IF(G$3="","",F31+G30-G36-G37)</f>
        <v/>
      </c>
      <c r="H38" s="359">
        <f>IF(H$3="","",G31+H30-H36-H37)</f>
        <v/>
      </c>
      <c r="I38" s="359">
        <f>IF(I$3="","",H31+I30-I36-I37)</f>
        <v/>
      </c>
      <c r="J38" s="359">
        <f>IF(J$3="","",I31+J30-J36-J37)</f>
        <v/>
      </c>
      <c r="K38" s="359">
        <f>IF(K$3="","",J31+K30-K36-K37)</f>
        <v/>
      </c>
      <c r="L38" s="359">
        <f>IF(L$3="","",K31+L30-L36-L37)</f>
        <v/>
      </c>
      <c r="M38" s="359">
        <f>IF(M$3="","",L31+M30-M36-M37)</f>
        <v/>
      </c>
      <c r="N38" s="359">
        <f>IF(N$3="","",M31+N30-N36-N37)</f>
        <v/>
      </c>
      <c r="O38" s="359">
        <f>IF(O$3="","",N31+O30-O36-O37)</f>
        <v/>
      </c>
      <c r="P38" s="359">
        <f>IF(P$3="","",O31+P30-P36-P37)</f>
        <v/>
      </c>
      <c r="Q38" s="359">
        <f>IF(Q$3="","",P31+Q30-Q36-Q37)</f>
        <v/>
      </c>
      <c r="R38" s="359">
        <f>IF(R$3="","",Q31+R30-R36-R37)</f>
        <v/>
      </c>
      <c r="S38" s="359">
        <f>IF(S$3="","",R31+S30-S36-S37)</f>
        <v/>
      </c>
      <c r="T38" s="359">
        <f>IF(T$3="","",S31+T30-T36-T37)</f>
        <v/>
      </c>
      <c r="U38" s="359">
        <f>IF(U$3="","",T31+U30-U36-U37)</f>
        <v/>
      </c>
      <c r="V38" s="359">
        <f>IF(V$3="","",U31+V30-V36-V37)</f>
        <v/>
      </c>
      <c r="W38" s="359">
        <f>IF(W$3="","",V31+W30-W36-W37)</f>
        <v/>
      </c>
      <c r="X38" s="359">
        <f>IF(X$3="","",W31+X30-X36-X37)</f>
        <v/>
      </c>
      <c r="Y38" s="359">
        <f>IF(Y$3="","",X31+Y30-Y36-Y37)</f>
        <v/>
      </c>
      <c r="Z38" s="359">
        <f>IF(Z$3="","",Y31+Z30-Z36-Z37)</f>
        <v/>
      </c>
      <c r="AA38" s="359">
        <f>IF(AA$3="","",Z31+AA30-AA36-AA37)</f>
        <v/>
      </c>
      <c r="AB38" s="359">
        <f>IF(AB$3="","",AA31+AB30-AB36-AB37)</f>
        <v/>
      </c>
      <c r="AC38" s="359">
        <f>IF(AC$3="","",AB31+AC30-AC36-AC37)</f>
        <v/>
      </c>
      <c r="AD38" s="359">
        <f>IF(AD$3="","",AC31+AD30-AD36-AD37)</f>
        <v/>
      </c>
      <c r="AE38" s="359">
        <f>IF(AE$3="","",AD31+AE30-AE36-AE37)</f>
        <v/>
      </c>
      <c r="AF38" s="359">
        <f>IF(AF$3="","",AE31+AF30-AF36-AF37)</f>
        <v/>
      </c>
      <c r="AG38" s="359">
        <f>IF(AG$3="","",AF31+AG30-AG36-AG37)</f>
        <v/>
      </c>
      <c r="AH38" s="359">
        <f>IF(AH$3="","",AG31+AH30-AH36-AH37)</f>
        <v/>
      </c>
      <c r="AI38" s="359">
        <f>IF(AI$3="","",AH31+AI30-AI36-AI37)</f>
        <v/>
      </c>
      <c r="AJ38" s="359">
        <f>IF(AJ$3="","",AI31+AJ30-AJ36-AJ37)</f>
        <v/>
      </c>
      <c r="AK38" s="359">
        <f>IF(AK$3="","",AJ31+AK30-AK36-AK37)</f>
        <v/>
      </c>
      <c r="AL38" s="359">
        <f>IF(AL$3="","",AK31+AL30-AL36-AL37)</f>
        <v/>
      </c>
      <c r="AM38" s="359">
        <f>IF(AM$3="","",AL31+AM30-AM36-AM37)</f>
        <v/>
      </c>
      <c r="AN38" s="359">
        <f>IF(AN$3="","",AM31+AN30-AN36-AN37)</f>
        <v/>
      </c>
      <c r="AO38" s="359">
        <f>IF(AO$3="","",AN31+AO30-AO36-AO37)</f>
        <v/>
      </c>
      <c r="AP38" s="359">
        <f>IF(AP$3="","",AO31+AP30-AP36-AP37)</f>
        <v/>
      </c>
      <c r="AQ38" s="359">
        <f>IF(AQ$3="","",AP31+AQ30-AQ36-AQ37)</f>
        <v/>
      </c>
      <c r="AR38" s="359">
        <f>IF(AR$3="","",AQ31+AR30-AR36-AR37)</f>
        <v/>
      </c>
      <c r="AS38" s="359">
        <f>IF(AS$3="","",AR31+AS30-AS36-AS37)</f>
        <v/>
      </c>
      <c r="AT38" s="359">
        <f>IF(AT$3="","",AS31+AT30-AT36-AT37)</f>
        <v/>
      </c>
      <c r="AU38" s="359">
        <f>IF(AU$3="","",AT31+AU30-AU36-AU37)</f>
        <v/>
      </c>
      <c r="AV38" s="359">
        <f>IF(AV$3="","",AU31+AV30-AV36-AV37)</f>
        <v/>
      </c>
      <c r="AW38" s="359">
        <f>IF(AW$3="","",AV31+AW30-AW36-AW37)</f>
        <v/>
      </c>
      <c r="AX38" s="359">
        <f>IF(AX$3="","",AW31+AX30-AX36-AX37)</f>
        <v/>
      </c>
      <c r="AY38" s="359">
        <f>IF(AY$3="","",AX31+AY30-AY36-AY37)</f>
        <v/>
      </c>
      <c r="AZ38" s="359">
        <f>IF(AZ$3="","",AY31+AZ30-AZ36-AZ37)</f>
        <v/>
      </c>
      <c r="BA38" s="359">
        <f>IF(BA$3="","",AZ31+BA30-BA36-BA37)</f>
        <v/>
      </c>
      <c r="BB38" s="359">
        <f>IF(BB$3="","",BA31+BB30-BB36-BB37)</f>
        <v/>
      </c>
      <c r="BC38" s="359">
        <f>IF(BC$3="","",BB31+BC30-BC36-BC37)</f>
        <v/>
      </c>
      <c r="BD38" s="359">
        <f>IF(BD$3="","",BC31+BD30-BD36-BD37)</f>
        <v/>
      </c>
      <c r="BE38" s="359">
        <f>IF(BE$3="","",BD31+BE30-BE36-BE37)</f>
        <v/>
      </c>
      <c r="BF38" s="359">
        <f>IF(BF$3="","",BE31+BF30-BF36-BF37)</f>
        <v/>
      </c>
      <c r="BG38" s="359">
        <f>IF(BG$3="","",BF31+BG30-BG36-BG37)</f>
        <v/>
      </c>
      <c r="BH38" s="359">
        <f>IF(BH$3="","",BG31+BH30-BH36-BH37)</f>
        <v/>
      </c>
      <c r="BI38" s="359">
        <f>IF(BI$3="","",BH31+BI30-BI36-BI37)</f>
        <v/>
      </c>
      <c r="BJ38" s="359">
        <f>IF(BJ$3="","",BI31+BJ30-BJ36-BJ37)</f>
        <v/>
      </c>
      <c r="BK38" s="359">
        <f>IF(BK$3="","",BJ31+BK30-BK36-BK37)</f>
        <v/>
      </c>
      <c r="BL38" s="359">
        <f>IF(BL$3="","",BK31+BL30-BL36-BL37)</f>
        <v/>
      </c>
      <c r="BM38" s="359">
        <f>IF(BM$3="","",BL31+BM30-BM36-BM37)</f>
        <v/>
      </c>
      <c r="BN38" s="359">
        <f>IF(BN$3="","",BM31+BN30-BN36-BN37)</f>
        <v/>
      </c>
      <c r="BO38" s="359">
        <f>IF(BO$3="","",BN31+BO30-BO36-BO37)</f>
        <v/>
      </c>
      <c r="BP38" s="359">
        <f>IF(BP$3="","",BO31+BP30-BP36-BP37)</f>
        <v/>
      </c>
      <c r="BQ38" s="359">
        <f>IF(BQ$3="","",BP31+BQ30-BQ36-BQ37)</f>
        <v/>
      </c>
      <c r="BR38" s="359">
        <f>IF(BR$3="","",BQ31+BR30-BR36-BR37)</f>
        <v/>
      </c>
      <c r="BS38" s="359">
        <f>IF(BS$3="","",BR31+BS30-BS36-BS37)</f>
        <v/>
      </c>
      <c r="BT38" s="359">
        <f>IF(BT$3="","",BS31+BT30-BT36-BT37)</f>
        <v/>
      </c>
      <c r="BU38" s="359">
        <f>IF(BU$3="","",BT31+BU30-BU36-BU37)</f>
        <v/>
      </c>
      <c r="BV38" s="359">
        <f>IF(BV$3="","",BU31+BV30-BV36-BV37)</f>
        <v/>
      </c>
      <c r="BW38" s="359">
        <f>IF(BW$3="","",BV31+BW30-BW36-BW37)</f>
        <v/>
      </c>
      <c r="BX38" s="359">
        <f>IF(BX$3="","",BW31+BX30-BX36-BX37)</f>
        <v/>
      </c>
      <c r="BY38" s="359">
        <f>IF(BY$3="","",BX31+BY30-BY36-BY37)</f>
        <v/>
      </c>
      <c r="BZ38" s="359">
        <f>IF(BZ$3="","",BY31+BZ30-BZ36-BZ37)</f>
        <v/>
      </c>
      <c r="CA38" s="359">
        <f>IF(CA$3="","",BZ31+CA30-CA36-CA37)</f>
        <v/>
      </c>
      <c r="CB38" s="359">
        <f>IF(CB$3="","",CA31+CB30-CB36-CB37)</f>
        <v/>
      </c>
      <c r="CC38" s="359">
        <f>IF(CC$3="","",CB31+CC30-CC36-CC37)</f>
        <v/>
      </c>
      <c r="CD38" s="359">
        <f>IF(CD$3="","",CC31+CD30-CD36-CD37)</f>
        <v/>
      </c>
      <c r="CE38" s="359">
        <f>IF(CE$3="","",CD31+CE30-CE36-CE37)</f>
        <v/>
      </c>
      <c r="CF38" s="359">
        <f>IF(CF$3="","",CE31+CF30-CF36-CF37)</f>
        <v/>
      </c>
      <c r="CG38" s="359">
        <f>IF(CG$3="","",CF31+CG30-CG36-CG37)</f>
        <v/>
      </c>
      <c r="CH38" s="359">
        <f>IF(CH$3="","",CG31+CH30-CH36-CH37)</f>
        <v/>
      </c>
      <c r="CI38" s="359">
        <f>IF(CI$3="","",CH31+CI30-CI36-CI37)</f>
        <v/>
      </c>
      <c r="CJ38" s="359">
        <f>IF(CJ$3="","",CI31+CJ30-CJ36-CJ37)</f>
        <v/>
      </c>
      <c r="CK38" s="359">
        <f>IF(CK$3="","",CJ31+CK30-CK36-CK37)</f>
        <v/>
      </c>
      <c r="CL38" s="359">
        <f>IF(CL$3="","",CK31+CL30-CL36-CL37)</f>
        <v/>
      </c>
      <c r="CM38" s="359">
        <f>IF(CM$3="","",CL31+CM30-CM36-CM37)</f>
        <v/>
      </c>
      <c r="CN38" s="359">
        <f>IF(CN$3="","",CM31+CN30-CN36-CN37)</f>
        <v/>
      </c>
      <c r="CO38" s="359">
        <f>IF(CO$3="","",CN31+CO30-CO36-CO37)</f>
        <v/>
      </c>
      <c r="CP38" s="359">
        <f>IF(CP$3="","",CO31+CP30-CP36-CP37)</f>
        <v/>
      </c>
      <c r="CQ38" s="359">
        <f>IF(CQ$3="","",CP31+CQ30-CQ36-CQ37)</f>
        <v/>
      </c>
      <c r="CR38" s="359">
        <f>IF(CR$3="","",CQ31+CR30-CR36-CR37)</f>
        <v/>
      </c>
      <c r="CS38" s="359">
        <f>IF(CS$3="","",CR31+CS30-CS36-CS37)</f>
        <v/>
      </c>
      <c r="CT38" s="359">
        <f>IF(CT$3="","",CS31+CT30-CT36-CT37)</f>
        <v/>
      </c>
      <c r="CU38" s="359">
        <f>IF(CU$3="","",CT31+CU30-CU36-CU37)</f>
        <v/>
      </c>
      <c r="CV38" s="359">
        <f>IF(CV$3="","",CU31+CV30-CV36-CV37)</f>
        <v/>
      </c>
      <c r="CW38" s="359">
        <f>IF(CW$3="","",CV31+CW30-CW36-CW37)</f>
        <v/>
      </c>
    </row>
    <row r="39" hidden="1" ht="16.5" customHeight="1" s="180">
      <c r="A39" s="239" t="inlineStr">
        <is>
          <t>投資取り崩し額(補助)</t>
        </is>
      </c>
      <c r="B39" s="359">
        <f>IF(B$3="","",MAX(0,-B38))</f>
        <v/>
      </c>
      <c r="C39" s="359">
        <f>IF(C$3="","",MAX(0,-C38))</f>
        <v/>
      </c>
      <c r="D39" s="359">
        <f>IF(D$3="","",MAX(0,-D38))</f>
        <v/>
      </c>
      <c r="E39" s="359">
        <f>IF(E$3="","",MAX(0,-E38))</f>
        <v/>
      </c>
      <c r="F39" s="359">
        <f>IF(F$3="","",MAX(0,-F38))</f>
        <v/>
      </c>
      <c r="G39" s="359">
        <f>IF(G$3="","",MAX(0,-G38))</f>
        <v/>
      </c>
      <c r="H39" s="359">
        <f>IF(H$3="","",MAX(0,-H38))</f>
        <v/>
      </c>
      <c r="I39" s="359">
        <f>IF(I$3="","",MAX(0,-I38))</f>
        <v/>
      </c>
      <c r="J39" s="359">
        <f>IF(J$3="","",MAX(0,-J38))</f>
        <v/>
      </c>
      <c r="K39" s="359">
        <f>IF(K$3="","",MAX(0,-K38))</f>
        <v/>
      </c>
      <c r="L39" s="359">
        <f>IF(L$3="","",MAX(0,-L38))</f>
        <v/>
      </c>
      <c r="M39" s="359">
        <f>IF(M$3="","",MAX(0,-M38))</f>
        <v/>
      </c>
      <c r="N39" s="359">
        <f>IF(N$3="","",MAX(0,-N38))</f>
        <v/>
      </c>
      <c r="O39" s="359">
        <f>IF(O$3="","",MAX(0,-O38))</f>
        <v/>
      </c>
      <c r="P39" s="359">
        <f>IF(P$3="","",MAX(0,-P38))</f>
        <v/>
      </c>
      <c r="Q39" s="359">
        <f>IF(Q$3="","",MAX(0,-Q38))</f>
        <v/>
      </c>
      <c r="R39" s="359">
        <f>IF(R$3="","",MAX(0,-R38))</f>
        <v/>
      </c>
      <c r="S39" s="359">
        <f>IF(S$3="","",MAX(0,-S38))</f>
        <v/>
      </c>
      <c r="T39" s="359">
        <f>IF(T$3="","",MAX(0,-T38))</f>
        <v/>
      </c>
      <c r="U39" s="359">
        <f>IF(U$3="","",MAX(0,-U38))</f>
        <v/>
      </c>
      <c r="V39" s="359">
        <f>IF(V$3="","",MAX(0,-V38))</f>
        <v/>
      </c>
      <c r="W39" s="359">
        <f>IF(W$3="","",MAX(0,-W38))</f>
        <v/>
      </c>
      <c r="X39" s="359">
        <f>IF(X$3="","",MAX(0,-X38))</f>
        <v/>
      </c>
      <c r="Y39" s="359">
        <f>IF(Y$3="","",MAX(0,-Y38))</f>
        <v/>
      </c>
      <c r="Z39" s="359">
        <f>IF(Z$3="","",MAX(0,-Z38))</f>
        <v/>
      </c>
      <c r="AA39" s="359">
        <f>IF(AA$3="","",MAX(0,-AA38))</f>
        <v/>
      </c>
      <c r="AB39" s="359">
        <f>IF(AB$3="","",MAX(0,-AB38))</f>
        <v/>
      </c>
      <c r="AC39" s="359">
        <f>IF(AC$3="","",MAX(0,-AC38))</f>
        <v/>
      </c>
      <c r="AD39" s="359">
        <f>IF(AD$3="","",MAX(0,-AD38))</f>
        <v/>
      </c>
      <c r="AE39" s="359">
        <f>IF(AE$3="","",MAX(0,-AE38))</f>
        <v/>
      </c>
      <c r="AF39" s="359">
        <f>IF(AF$3="","",MAX(0,-AF38))</f>
        <v/>
      </c>
      <c r="AG39" s="359">
        <f>IF(AG$3="","",MAX(0,-AG38))</f>
        <v/>
      </c>
      <c r="AH39" s="359">
        <f>IF(AH$3="","",MAX(0,-AH38))</f>
        <v/>
      </c>
      <c r="AI39" s="359">
        <f>IF(AI$3="","",MAX(0,-AI38))</f>
        <v/>
      </c>
      <c r="AJ39" s="359">
        <f>IF(AJ$3="","",MAX(0,-AJ38))</f>
        <v/>
      </c>
      <c r="AK39" s="359">
        <f>IF(AK$3="","",MAX(0,-AK38))</f>
        <v/>
      </c>
      <c r="AL39" s="359">
        <f>IF(AL$3="","",MAX(0,-AL38))</f>
        <v/>
      </c>
      <c r="AM39" s="359">
        <f>IF(AM$3="","",MAX(0,-AM38))</f>
        <v/>
      </c>
      <c r="AN39" s="359">
        <f>IF(AN$3="","",MAX(0,-AN38))</f>
        <v/>
      </c>
      <c r="AO39" s="359">
        <f>IF(AO$3="","",MAX(0,-AO38))</f>
        <v/>
      </c>
      <c r="AP39" s="359">
        <f>IF(AP$3="","",MAX(0,-AP38))</f>
        <v/>
      </c>
      <c r="AQ39" s="359">
        <f>IF(AQ$3="","",MAX(0,-AQ38))</f>
        <v/>
      </c>
      <c r="AR39" s="359">
        <f>IF(AR$3="","",MAX(0,-AR38))</f>
        <v/>
      </c>
      <c r="AS39" s="359">
        <f>IF(AS$3="","",MAX(0,-AS38))</f>
        <v/>
      </c>
      <c r="AT39" s="359">
        <f>IF(AT$3="","",MAX(0,-AT38))</f>
        <v/>
      </c>
      <c r="AU39" s="359">
        <f>IF(AU$3="","",MAX(0,-AU38))</f>
        <v/>
      </c>
      <c r="AV39" s="359">
        <f>IF(AV$3="","",MAX(0,-AV38))</f>
        <v/>
      </c>
      <c r="AW39" s="359">
        <f>IF(AW$3="","",MAX(0,-AW38))</f>
        <v/>
      </c>
      <c r="AX39" s="359">
        <f>IF(AX$3="","",MAX(0,-AX38))</f>
        <v/>
      </c>
      <c r="AY39" s="359">
        <f>IF(AY$3="","",MAX(0,-AY38))</f>
        <v/>
      </c>
      <c r="AZ39" s="359">
        <f>IF(AZ$3="","",MAX(0,-AZ38))</f>
        <v/>
      </c>
      <c r="BA39" s="359">
        <f>IF(BA$3="","",MAX(0,-BA38))</f>
        <v/>
      </c>
      <c r="BB39" s="359">
        <f>IF(BB$3="","",MAX(0,-BB38))</f>
        <v/>
      </c>
      <c r="BC39" s="359">
        <f>IF(BC$3="","",MAX(0,-BC38))</f>
        <v/>
      </c>
      <c r="BD39" s="359">
        <f>IF(BD$3="","",MAX(0,-BD38))</f>
        <v/>
      </c>
      <c r="BE39" s="359">
        <f>IF(BE$3="","",MAX(0,-BE38))</f>
        <v/>
      </c>
      <c r="BF39" s="359">
        <f>IF(BF$3="","",MAX(0,-BF38))</f>
        <v/>
      </c>
      <c r="BG39" s="359">
        <f>IF(BG$3="","",MAX(0,-BG38))</f>
        <v/>
      </c>
      <c r="BH39" s="359">
        <f>IF(BH$3="","",MAX(0,-BH38))</f>
        <v/>
      </c>
      <c r="BI39" s="359">
        <f>IF(BI$3="","",MAX(0,-BI38))</f>
        <v/>
      </c>
      <c r="BJ39" s="359">
        <f>IF(BJ$3="","",MAX(0,-BJ38))</f>
        <v/>
      </c>
      <c r="BK39" s="359">
        <f>IF(BK$3="","",MAX(0,-BK38))</f>
        <v/>
      </c>
      <c r="BL39" s="359">
        <f>IF(BL$3="","",MAX(0,-BL38))</f>
        <v/>
      </c>
      <c r="BM39" s="359">
        <f>IF(BM$3="","",MAX(0,-BM38))</f>
        <v/>
      </c>
      <c r="BN39" s="359">
        <f>IF(BN$3="","",MAX(0,-BN38))</f>
        <v/>
      </c>
      <c r="BO39" s="359">
        <f>IF(BO$3="","",MAX(0,-BO38))</f>
        <v/>
      </c>
      <c r="BP39" s="359">
        <f>IF(BP$3="","",MAX(0,-BP38))</f>
        <v/>
      </c>
      <c r="BQ39" s="359">
        <f>IF(BQ$3="","",MAX(0,-BQ38))</f>
        <v/>
      </c>
      <c r="BR39" s="359">
        <f>IF(BR$3="","",MAX(0,-BR38))</f>
        <v/>
      </c>
      <c r="BS39" s="359">
        <f>IF(BS$3="","",MAX(0,-BS38))</f>
        <v/>
      </c>
      <c r="BT39" s="359">
        <f>IF(BT$3="","",MAX(0,-BT38))</f>
        <v/>
      </c>
      <c r="BU39" s="359">
        <f>IF(BU$3="","",MAX(0,-BU38))</f>
        <v/>
      </c>
      <c r="BV39" s="359">
        <f>IF(BV$3="","",MAX(0,-BV38))</f>
        <v/>
      </c>
      <c r="BW39" s="359">
        <f>IF(BW$3="","",MAX(0,-BW38))</f>
        <v/>
      </c>
      <c r="BX39" s="359">
        <f>IF(BX$3="","",MAX(0,-BX38))</f>
        <v/>
      </c>
      <c r="BY39" s="359">
        <f>IF(BY$3="","",MAX(0,-BY38))</f>
        <v/>
      </c>
      <c r="BZ39" s="359">
        <f>IF(BZ$3="","",MAX(0,-BZ38))</f>
        <v/>
      </c>
      <c r="CA39" s="359">
        <f>IF(CA$3="","",MAX(0,-CA38))</f>
        <v/>
      </c>
      <c r="CB39" s="359">
        <f>IF(CB$3="","",MAX(0,-CB38))</f>
        <v/>
      </c>
      <c r="CC39" s="359">
        <f>IF(CC$3="","",MAX(0,-CC38))</f>
        <v/>
      </c>
      <c r="CD39" s="359">
        <f>IF(CD$3="","",MAX(0,-CD38))</f>
        <v/>
      </c>
      <c r="CE39" s="359">
        <f>IF(CE$3="","",MAX(0,-CE38))</f>
        <v/>
      </c>
      <c r="CF39" s="359">
        <f>IF(CF$3="","",MAX(0,-CF38))</f>
        <v/>
      </c>
      <c r="CG39" s="359">
        <f>IF(CG$3="","",MAX(0,-CG38))</f>
        <v/>
      </c>
      <c r="CH39" s="359">
        <f>IF(CH$3="","",MAX(0,-CH38))</f>
        <v/>
      </c>
      <c r="CI39" s="359">
        <f>IF(CI$3="","",MAX(0,-CI38))</f>
        <v/>
      </c>
      <c r="CJ39" s="359">
        <f>IF(CJ$3="","",MAX(0,-CJ38))</f>
        <v/>
      </c>
      <c r="CK39" s="359">
        <f>IF(CK$3="","",MAX(0,-CK38))</f>
        <v/>
      </c>
      <c r="CL39" s="359">
        <f>IF(CL$3="","",MAX(0,-CL38))</f>
        <v/>
      </c>
      <c r="CM39" s="359">
        <f>IF(CM$3="","",MAX(0,-CM38))</f>
        <v/>
      </c>
      <c r="CN39" s="359">
        <f>IF(CN$3="","",MAX(0,-CN38))</f>
        <v/>
      </c>
      <c r="CO39" s="359">
        <f>IF(CO$3="","",MAX(0,-CO38))</f>
        <v/>
      </c>
      <c r="CP39" s="359">
        <f>IF(CP$3="","",MAX(0,-CP38))</f>
        <v/>
      </c>
      <c r="CQ39" s="359">
        <f>IF(CQ$3="","",MAX(0,-CQ38))</f>
        <v/>
      </c>
      <c r="CR39" s="359">
        <f>IF(CR$3="","",MAX(0,-CR38))</f>
        <v/>
      </c>
      <c r="CS39" s="359">
        <f>IF(CS$3="","",MAX(0,-CS38))</f>
        <v/>
      </c>
      <c r="CT39" s="359">
        <f>IF(CT$3="","",MAX(0,-CT38))</f>
        <v/>
      </c>
      <c r="CU39" s="359">
        <f>IF(CU$3="","",MAX(0,-CU38))</f>
        <v/>
      </c>
      <c r="CV39" s="359">
        <f>IF(CV$3="","",MAX(0,-CV38))</f>
        <v/>
      </c>
      <c r="CW39" s="359">
        <f>IF(CW$3="","",MAX(0,-CW38))</f>
        <v/>
      </c>
    </row>
    <row r="40" hidden="1" ht="16.5" customHeight="1" s="180">
      <c r="A40" s="239" t="inlineStr">
        <is>
          <t>返戻金取り崩し額(補助)</t>
        </is>
      </c>
      <c r="B40" s="359">
        <f>IF(B$3="","",MAX(0,B39-((SUM(入力データ!$C$90:$C$92,入力データ!$C$94)*(1+前提条件!$C$60))+B36)))</f>
        <v/>
      </c>
      <c r="C40" s="359">
        <f>IF(C$3="","",MAX(0,C39-((B32*(1+前提条件!$C$60))+C36)))</f>
        <v/>
      </c>
      <c r="D40" s="359">
        <f>IF(D$3="","",MAX(0,D39-((C32*(1+前提条件!$C$60))+D36)))</f>
        <v/>
      </c>
      <c r="E40" s="359">
        <f>IF(E$3="","",MAX(0,E39-((D32*(1+前提条件!$C$60))+E36)))</f>
        <v/>
      </c>
      <c r="F40" s="359">
        <f>IF(F$3="","",MAX(0,F39-((E32*(1+前提条件!$C$60))+F36)))</f>
        <v/>
      </c>
      <c r="G40" s="359">
        <f>IF(G$3="","",MAX(0,G39-((F32*(1+前提条件!$C$60))+G36)))</f>
        <v/>
      </c>
      <c r="H40" s="359">
        <f>IF(H$3="","",MAX(0,H39-((G32*(1+前提条件!$C$60))+H36)))</f>
        <v/>
      </c>
      <c r="I40" s="359">
        <f>IF(I$3="","",MAX(0,I39-((H32*(1+前提条件!$C$60))+I36)))</f>
        <v/>
      </c>
      <c r="J40" s="359">
        <f>IF(J$3="","",MAX(0,J39-((I32*(1+前提条件!$C$60))+J36)))</f>
        <v/>
      </c>
      <c r="K40" s="359">
        <f>IF(K$3="","",MAX(0,K39-((J32*(1+前提条件!$C$60))+K36)))</f>
        <v/>
      </c>
      <c r="L40" s="359">
        <f>IF(L$3="","",MAX(0,L39-((K32*(1+前提条件!$C$60))+L36)))</f>
        <v/>
      </c>
      <c r="M40" s="359">
        <f>IF(M$3="","",MAX(0,M39-((L32*(1+前提条件!$C$60))+M36)))</f>
        <v/>
      </c>
      <c r="N40" s="359">
        <f>IF(N$3="","",MAX(0,N39-((M32*(1+前提条件!$C$60))+N36)))</f>
        <v/>
      </c>
      <c r="O40" s="359">
        <f>IF(O$3="","",MAX(0,O39-((N32*(1+前提条件!$C$60))+O36)))</f>
        <v/>
      </c>
      <c r="P40" s="359">
        <f>IF(P$3="","",MAX(0,P39-((O32*(1+前提条件!$C$60))+P36)))</f>
        <v/>
      </c>
      <c r="Q40" s="359">
        <f>IF(Q$3="","",MAX(0,Q39-((P32*(1+前提条件!$C$60))+Q36)))</f>
        <v/>
      </c>
      <c r="R40" s="359">
        <f>IF(R$3="","",MAX(0,R39-((Q32*(1+前提条件!$C$60))+R36)))</f>
        <v/>
      </c>
      <c r="S40" s="359">
        <f>IF(S$3="","",MAX(0,S39-((R32*(1+前提条件!$C$60))+S36)))</f>
        <v/>
      </c>
      <c r="T40" s="359">
        <f>IF(T$3="","",MAX(0,T39-((S32*(1+前提条件!$C$60))+T36)))</f>
        <v/>
      </c>
      <c r="U40" s="359">
        <f>IF(U$3="","",MAX(0,U39-((T32*(1+前提条件!$C$60))+U36)))</f>
        <v/>
      </c>
      <c r="V40" s="359">
        <f>IF(V$3="","",MAX(0,V39-((U32*(1+前提条件!$C$60))+V36)))</f>
        <v/>
      </c>
      <c r="W40" s="359">
        <f>IF(W$3="","",MAX(0,W39-((V32*(1+前提条件!$C$60))+W36)))</f>
        <v/>
      </c>
      <c r="X40" s="359">
        <f>IF(X$3="","",MAX(0,X39-((W32*(1+前提条件!$C$60))+X36)))</f>
        <v/>
      </c>
      <c r="Y40" s="359">
        <f>IF(Y$3="","",MAX(0,Y39-((X32*(1+前提条件!$C$60))+Y36)))</f>
        <v/>
      </c>
      <c r="Z40" s="359">
        <f>IF(Z$3="","",MAX(0,Z39-((Y32*(1+前提条件!$C$60))+Z36)))</f>
        <v/>
      </c>
      <c r="AA40" s="359">
        <f>IF(AA$3="","",MAX(0,AA39-((Z32*(1+前提条件!$C$60))+AA36)))</f>
        <v/>
      </c>
      <c r="AB40" s="359">
        <f>IF(AB$3="","",MAX(0,AB39-((AA32*(1+前提条件!$C$60))+AB36)))</f>
        <v/>
      </c>
      <c r="AC40" s="359">
        <f>IF(AC$3="","",MAX(0,AC39-((AB32*(1+前提条件!$C$60))+AC36)))</f>
        <v/>
      </c>
      <c r="AD40" s="359">
        <f>IF(AD$3="","",MAX(0,AD39-((AC32*(1+前提条件!$C$60))+AD36)))</f>
        <v/>
      </c>
      <c r="AE40" s="359">
        <f>IF(AE$3="","",MAX(0,AE39-((AD32*(1+前提条件!$C$60))+AE36)))</f>
        <v/>
      </c>
      <c r="AF40" s="359">
        <f>IF(AF$3="","",MAX(0,AF39-((AE32*(1+前提条件!$C$60))+AF36)))</f>
        <v/>
      </c>
      <c r="AG40" s="359">
        <f>IF(AG$3="","",MAX(0,AG39-((AF32*(1+前提条件!$C$60))+AG36)))</f>
        <v/>
      </c>
      <c r="AH40" s="359">
        <f>IF(AH$3="","",MAX(0,AH39-((AG32*(1+前提条件!$C$60))+AH36)))</f>
        <v/>
      </c>
      <c r="AI40" s="359">
        <f>IF(AI$3="","",MAX(0,AI39-((AH32*(1+前提条件!$C$60))+AI36)))</f>
        <v/>
      </c>
      <c r="AJ40" s="359">
        <f>IF(AJ$3="","",MAX(0,AJ39-((AI32*(1+前提条件!$C$60))+AJ36)))</f>
        <v/>
      </c>
      <c r="AK40" s="359">
        <f>IF(AK$3="","",MAX(0,AK39-((AJ32*(1+前提条件!$C$60))+AK36)))</f>
        <v/>
      </c>
      <c r="AL40" s="359">
        <f>IF(AL$3="","",MAX(0,AL39-((AK32*(1+前提条件!$C$60))+AL36)))</f>
        <v/>
      </c>
      <c r="AM40" s="359">
        <f>IF(AM$3="","",MAX(0,AM39-((AL32*(1+前提条件!$C$60))+AM36)))</f>
        <v/>
      </c>
      <c r="AN40" s="359">
        <f>IF(AN$3="","",MAX(0,AN39-((AM32*(1+前提条件!$C$60))+AN36)))</f>
        <v/>
      </c>
      <c r="AO40" s="359">
        <f>IF(AO$3="","",MAX(0,AO39-((AN32*(1+前提条件!$C$60))+AO36)))</f>
        <v/>
      </c>
      <c r="AP40" s="359">
        <f>IF(AP$3="","",MAX(0,AP39-((AO32*(1+前提条件!$C$60))+AP36)))</f>
        <v/>
      </c>
      <c r="AQ40" s="359">
        <f>IF(AQ$3="","",MAX(0,AQ39-((AP32*(1+前提条件!$C$60))+AQ36)))</f>
        <v/>
      </c>
      <c r="AR40" s="359">
        <f>IF(AR$3="","",MAX(0,AR39-((AQ32*(1+前提条件!$C$60))+AR36)))</f>
        <v/>
      </c>
      <c r="AS40" s="359">
        <f>IF(AS$3="","",MAX(0,AS39-((AR32*(1+前提条件!$C$60))+AS36)))</f>
        <v/>
      </c>
      <c r="AT40" s="359">
        <f>IF(AT$3="","",MAX(0,AT39-((AS32*(1+前提条件!$C$60))+AT36)))</f>
        <v/>
      </c>
      <c r="AU40" s="359">
        <f>IF(AU$3="","",MAX(0,AU39-((AT32*(1+前提条件!$C$60))+AU36)))</f>
        <v/>
      </c>
      <c r="AV40" s="359">
        <f>IF(AV$3="","",MAX(0,AV39-((AU32*(1+前提条件!$C$60))+AV36)))</f>
        <v/>
      </c>
      <c r="AW40" s="359">
        <f>IF(AW$3="","",MAX(0,AW39-((AV32*(1+前提条件!$C$60))+AW36)))</f>
        <v/>
      </c>
      <c r="AX40" s="359">
        <f>IF(AX$3="","",MAX(0,AX39-((AW32*(1+前提条件!$C$60))+AX36)))</f>
        <v/>
      </c>
      <c r="AY40" s="359">
        <f>IF(AY$3="","",MAX(0,AY39-((AX32*(1+前提条件!$C$60))+AY36)))</f>
        <v/>
      </c>
      <c r="AZ40" s="359">
        <f>IF(AZ$3="","",MAX(0,AZ39-((AY32*(1+前提条件!$C$60))+AZ36)))</f>
        <v/>
      </c>
      <c r="BA40" s="359">
        <f>IF(BA$3="","",MAX(0,BA39-((AZ32*(1+前提条件!$C$60))+BA36)))</f>
        <v/>
      </c>
      <c r="BB40" s="359">
        <f>IF(BB$3="","",MAX(0,BB39-((BA32*(1+前提条件!$C$60))+BB36)))</f>
        <v/>
      </c>
      <c r="BC40" s="359">
        <f>IF(BC$3="","",MAX(0,BC39-((BB32*(1+前提条件!$C$60))+BC36)))</f>
        <v/>
      </c>
      <c r="BD40" s="359">
        <f>IF(BD$3="","",MAX(0,BD39-((BC32*(1+前提条件!$C$60))+BD36)))</f>
        <v/>
      </c>
      <c r="BE40" s="359">
        <f>IF(BE$3="","",MAX(0,BE39-((BD32*(1+前提条件!$C$60))+BE36)))</f>
        <v/>
      </c>
      <c r="BF40" s="359">
        <f>IF(BF$3="","",MAX(0,BF39-((BE32*(1+前提条件!$C$60))+BF36)))</f>
        <v/>
      </c>
      <c r="BG40" s="359">
        <f>IF(BG$3="","",MAX(0,BG39-((BF32*(1+前提条件!$C$60))+BG36)))</f>
        <v/>
      </c>
      <c r="BH40" s="359">
        <f>IF(BH$3="","",MAX(0,BH39-((BG32*(1+前提条件!$C$60))+BH36)))</f>
        <v/>
      </c>
      <c r="BI40" s="359">
        <f>IF(BI$3="","",MAX(0,BI39-((BH32*(1+前提条件!$C$60))+BI36)))</f>
        <v/>
      </c>
      <c r="BJ40" s="359">
        <f>IF(BJ$3="","",MAX(0,BJ39-((BI32*(1+前提条件!$C$60))+BJ36)))</f>
        <v/>
      </c>
      <c r="BK40" s="359">
        <f>IF(BK$3="","",MAX(0,BK39-((BJ32*(1+前提条件!$C$60))+BK36)))</f>
        <v/>
      </c>
      <c r="BL40" s="359">
        <f>IF(BL$3="","",MAX(0,BL39-((BK32*(1+前提条件!$C$60))+BL36)))</f>
        <v/>
      </c>
      <c r="BM40" s="359">
        <f>IF(BM$3="","",MAX(0,BM39-((BL32*(1+前提条件!$C$60))+BM36)))</f>
        <v/>
      </c>
      <c r="BN40" s="359">
        <f>IF(BN$3="","",MAX(0,BN39-((BM32*(1+前提条件!$C$60))+BN36)))</f>
        <v/>
      </c>
      <c r="BO40" s="359">
        <f>IF(BO$3="","",MAX(0,BO39-((BN32*(1+前提条件!$C$60))+BO36)))</f>
        <v/>
      </c>
      <c r="BP40" s="359">
        <f>IF(BP$3="","",MAX(0,BP39-((BO32*(1+前提条件!$C$60))+BP36)))</f>
        <v/>
      </c>
      <c r="BQ40" s="359">
        <f>IF(BQ$3="","",MAX(0,BQ39-((BP32*(1+前提条件!$C$60))+BQ36)))</f>
        <v/>
      </c>
      <c r="BR40" s="359">
        <f>IF(BR$3="","",MAX(0,BR39-((BQ32*(1+前提条件!$C$60))+BR36)))</f>
        <v/>
      </c>
      <c r="BS40" s="359">
        <f>IF(BS$3="","",MAX(0,BS39-((BR32*(1+前提条件!$C$60))+BS36)))</f>
        <v/>
      </c>
      <c r="BT40" s="359">
        <f>IF(BT$3="","",MAX(0,BT39-((BS32*(1+前提条件!$C$60))+BT36)))</f>
        <v/>
      </c>
      <c r="BU40" s="359">
        <f>IF(BU$3="","",MAX(0,BU39-((BT32*(1+前提条件!$C$60))+BU36)))</f>
        <v/>
      </c>
      <c r="BV40" s="359">
        <f>IF(BV$3="","",MAX(0,BV39-((BU32*(1+前提条件!$C$60))+BV36)))</f>
        <v/>
      </c>
      <c r="BW40" s="359">
        <f>IF(BW$3="","",MAX(0,BW39-((BV32*(1+前提条件!$C$60))+BW36)))</f>
        <v/>
      </c>
      <c r="BX40" s="359">
        <f>IF(BX$3="","",MAX(0,BX39-((BW32*(1+前提条件!$C$60))+BX36)))</f>
        <v/>
      </c>
      <c r="BY40" s="359">
        <f>IF(BY$3="","",MAX(0,BY39-((BX32*(1+前提条件!$C$60))+BY36)))</f>
        <v/>
      </c>
      <c r="BZ40" s="359">
        <f>IF(BZ$3="","",MAX(0,BZ39-((BY32*(1+前提条件!$C$60))+BZ36)))</f>
        <v/>
      </c>
      <c r="CA40" s="359">
        <f>IF(CA$3="","",MAX(0,CA39-((BZ32*(1+前提条件!$C$60))+CA36)))</f>
        <v/>
      </c>
      <c r="CB40" s="359">
        <f>IF(CB$3="","",MAX(0,CB39-((CA32*(1+前提条件!$C$60))+CB36)))</f>
        <v/>
      </c>
      <c r="CC40" s="359">
        <f>IF(CC$3="","",MAX(0,CC39-((CB32*(1+前提条件!$C$60))+CC36)))</f>
        <v/>
      </c>
      <c r="CD40" s="359">
        <f>IF(CD$3="","",MAX(0,CD39-((CC32*(1+前提条件!$C$60))+CD36)))</f>
        <v/>
      </c>
      <c r="CE40" s="359">
        <f>IF(CE$3="","",MAX(0,CE39-((CD32*(1+前提条件!$C$60))+CE36)))</f>
        <v/>
      </c>
      <c r="CF40" s="359">
        <f>IF(CF$3="","",MAX(0,CF39-((CE32*(1+前提条件!$C$60))+CF36)))</f>
        <v/>
      </c>
      <c r="CG40" s="359">
        <f>IF(CG$3="","",MAX(0,CG39-((CF32*(1+前提条件!$C$60))+CG36)))</f>
        <v/>
      </c>
      <c r="CH40" s="359">
        <f>IF(CH$3="","",MAX(0,CH39-((CG32*(1+前提条件!$C$60))+CH36)))</f>
        <v/>
      </c>
      <c r="CI40" s="359">
        <f>IF(CI$3="","",MAX(0,CI39-((CH32*(1+前提条件!$C$60))+CI36)))</f>
        <v/>
      </c>
      <c r="CJ40" s="359">
        <f>IF(CJ$3="","",MAX(0,CJ39-((CI32*(1+前提条件!$C$60))+CJ36)))</f>
        <v/>
      </c>
      <c r="CK40" s="359">
        <f>IF(CK$3="","",MAX(0,CK39-((CJ32*(1+前提条件!$C$60))+CK36)))</f>
        <v/>
      </c>
      <c r="CL40" s="359">
        <f>IF(CL$3="","",MAX(0,CL39-((CK32*(1+前提条件!$C$60))+CL36)))</f>
        <v/>
      </c>
      <c r="CM40" s="359">
        <f>IF(CM$3="","",MAX(0,CM39-((CL32*(1+前提条件!$C$60))+CM36)))</f>
        <v/>
      </c>
      <c r="CN40" s="359">
        <f>IF(CN$3="","",MAX(0,CN39-((CM32*(1+前提条件!$C$60))+CN36)))</f>
        <v/>
      </c>
      <c r="CO40" s="359">
        <f>IF(CO$3="","",MAX(0,CO39-((CN32*(1+前提条件!$C$60))+CO36)))</f>
        <v/>
      </c>
      <c r="CP40" s="359">
        <f>IF(CP$3="","",MAX(0,CP39-((CO32*(1+前提条件!$C$60))+CP36)))</f>
        <v/>
      </c>
      <c r="CQ40" s="359">
        <f>IF(CQ$3="","",MAX(0,CQ39-((CP32*(1+前提条件!$C$60))+CQ36)))</f>
        <v/>
      </c>
      <c r="CR40" s="359">
        <f>IF(CR$3="","",MAX(0,CR39-((CQ32*(1+前提条件!$C$60))+CR36)))</f>
        <v/>
      </c>
      <c r="CS40" s="359">
        <f>IF(CS$3="","",MAX(0,CS39-((CR32*(1+前提条件!$C$60))+CS36)))</f>
        <v/>
      </c>
      <c r="CT40" s="359">
        <f>IF(CT$3="","",MAX(0,CT39-((CS32*(1+前提条件!$C$60))+CT36)))</f>
        <v/>
      </c>
      <c r="CU40" s="359">
        <f>IF(CU$3="","",MAX(0,CU39-((CT32*(1+前提条件!$C$60))+CU36)))</f>
        <v/>
      </c>
      <c r="CV40" s="359">
        <f>IF(CV$3="","",MAX(0,CV39-((CU32*(1+前提条件!$C$60))+CV36)))</f>
        <v/>
      </c>
      <c r="CW40" s="359">
        <f>IF(CW$3="","",MAX(0,CW39-((CV32*(1+前提条件!$C$60))+CW36)))</f>
        <v/>
      </c>
    </row>
    <row r="41" hidden="1" ht="16.5" customHeight="1" s="180">
      <c r="A41" s="239" t="inlineStr">
        <is>
          <t>年間住宅ローン元本返済(補助)</t>
        </is>
      </c>
      <c r="B41" s="359">
        <f>IF(B$3="","",IF(AND(B5&lt;&gt;"",B5&lt;=前提条件!$C$44,入力データ!$C$95&gt;0),入力データ!$C$95/MAX(1,前提条件!$C$44-B5+1),0))</f>
        <v/>
      </c>
      <c r="C41" s="359">
        <f>IF(C$3="","",IF(AND(C5&lt;&gt;"",C5&lt;=前提条件!$C$44,入力データ!$C$95&gt;0),入力データ!$C$95/MAX(1,前提条件!$C$44-C5+1),0))</f>
        <v/>
      </c>
      <c r="D41" s="359">
        <f>IF(D$3="","",IF(AND(D5&lt;&gt;"",D5&lt;=前提条件!$C$44,入力データ!$C$95&gt;0),入力データ!$C$95/MAX(1,前提条件!$C$44-D5+1),0))</f>
        <v/>
      </c>
      <c r="E41" s="359">
        <f>IF(E$3="","",IF(AND(E5&lt;&gt;"",E5&lt;=前提条件!$C$44,入力データ!$C$95&gt;0),入力データ!$C$95/MAX(1,前提条件!$C$44-E5+1),0))</f>
        <v/>
      </c>
      <c r="F41" s="359">
        <f>IF(F$3="","",IF(AND(F5&lt;&gt;"",F5&lt;=前提条件!$C$44,入力データ!$C$95&gt;0),入力データ!$C$95/MAX(1,前提条件!$C$44-F5+1),0))</f>
        <v/>
      </c>
      <c r="G41" s="359">
        <f>IF(G$3="","",IF(AND(G5&lt;&gt;"",G5&lt;=前提条件!$C$44,入力データ!$C$95&gt;0),入力データ!$C$95/MAX(1,前提条件!$C$44-G5+1),0))</f>
        <v/>
      </c>
      <c r="H41" s="359">
        <f>IF(H$3="","",IF(AND(H5&lt;&gt;"",H5&lt;=前提条件!$C$44,入力データ!$C$95&gt;0),入力データ!$C$95/MAX(1,前提条件!$C$44-H5+1),0))</f>
        <v/>
      </c>
      <c r="I41" s="359">
        <f>IF(I$3="","",IF(AND(I5&lt;&gt;"",I5&lt;=前提条件!$C$44,入力データ!$C$95&gt;0),入力データ!$C$95/MAX(1,前提条件!$C$44-I5+1),0))</f>
        <v/>
      </c>
      <c r="J41" s="359">
        <f>IF(J$3="","",IF(AND(J5&lt;&gt;"",J5&lt;=前提条件!$C$44,入力データ!$C$95&gt;0),入力データ!$C$95/MAX(1,前提条件!$C$44-J5+1),0))</f>
        <v/>
      </c>
      <c r="K41" s="359">
        <f>IF(K$3="","",IF(AND(K5&lt;&gt;"",K5&lt;=前提条件!$C$44,入力データ!$C$95&gt;0),入力データ!$C$95/MAX(1,前提条件!$C$44-K5+1),0))</f>
        <v/>
      </c>
      <c r="L41" s="359">
        <f>IF(L$3="","",IF(AND(L5&lt;&gt;"",L5&lt;=前提条件!$C$44,入力データ!$C$95&gt;0),入力データ!$C$95/MAX(1,前提条件!$C$44-L5+1),0))</f>
        <v/>
      </c>
      <c r="M41" s="359">
        <f>IF(M$3="","",IF(AND(M5&lt;&gt;"",M5&lt;=前提条件!$C$44,入力データ!$C$95&gt;0),入力データ!$C$95/MAX(1,前提条件!$C$44-M5+1),0))</f>
        <v/>
      </c>
      <c r="N41" s="359">
        <f>IF(N$3="","",IF(AND(N5&lt;&gt;"",N5&lt;=前提条件!$C$44,入力データ!$C$95&gt;0),入力データ!$C$95/MAX(1,前提条件!$C$44-N5+1),0))</f>
        <v/>
      </c>
      <c r="O41" s="359">
        <f>IF(O$3="","",IF(AND(O5&lt;&gt;"",O5&lt;=前提条件!$C$44,入力データ!$C$95&gt;0),入力データ!$C$95/MAX(1,前提条件!$C$44-O5+1),0))</f>
        <v/>
      </c>
      <c r="P41" s="359">
        <f>IF(P$3="","",IF(AND(P5&lt;&gt;"",P5&lt;=前提条件!$C$44,入力データ!$C$95&gt;0),入力データ!$C$95/MAX(1,前提条件!$C$44-P5+1),0))</f>
        <v/>
      </c>
      <c r="Q41" s="359">
        <f>IF(Q$3="","",IF(AND(Q5&lt;&gt;"",Q5&lt;=前提条件!$C$44,入力データ!$C$95&gt;0),入力データ!$C$95/MAX(1,前提条件!$C$44-Q5+1),0))</f>
        <v/>
      </c>
      <c r="R41" s="359">
        <f>IF(R$3="","",IF(AND(R5&lt;&gt;"",R5&lt;=前提条件!$C$44,入力データ!$C$95&gt;0),入力データ!$C$95/MAX(1,前提条件!$C$44-R5+1),0))</f>
        <v/>
      </c>
      <c r="S41" s="359">
        <f>IF(S$3="","",IF(AND(S5&lt;&gt;"",S5&lt;=前提条件!$C$44,入力データ!$C$95&gt;0),入力データ!$C$95/MAX(1,前提条件!$C$44-S5+1),0))</f>
        <v/>
      </c>
      <c r="T41" s="359">
        <f>IF(T$3="","",IF(AND(T5&lt;&gt;"",T5&lt;=前提条件!$C$44,入力データ!$C$95&gt;0),入力データ!$C$95/MAX(1,前提条件!$C$44-T5+1),0))</f>
        <v/>
      </c>
      <c r="U41" s="359">
        <f>IF(U$3="","",IF(AND(U5&lt;&gt;"",U5&lt;=前提条件!$C$44,入力データ!$C$95&gt;0),入力データ!$C$95/MAX(1,前提条件!$C$44-U5+1),0))</f>
        <v/>
      </c>
      <c r="V41" s="359">
        <f>IF(V$3="","",IF(AND(V5&lt;&gt;"",V5&lt;=前提条件!$C$44,入力データ!$C$95&gt;0),入力データ!$C$95/MAX(1,前提条件!$C$44-V5+1),0))</f>
        <v/>
      </c>
      <c r="W41" s="359">
        <f>IF(W$3="","",IF(AND(W5&lt;&gt;"",W5&lt;=前提条件!$C$44,入力データ!$C$95&gt;0),入力データ!$C$95/MAX(1,前提条件!$C$44-W5+1),0))</f>
        <v/>
      </c>
      <c r="X41" s="359">
        <f>IF(X$3="","",IF(AND(X5&lt;&gt;"",X5&lt;=前提条件!$C$44,入力データ!$C$95&gt;0),入力データ!$C$95/MAX(1,前提条件!$C$44-X5+1),0))</f>
        <v/>
      </c>
      <c r="Y41" s="359">
        <f>IF(Y$3="","",IF(AND(Y5&lt;&gt;"",Y5&lt;=前提条件!$C$44,入力データ!$C$95&gt;0),入力データ!$C$95/MAX(1,前提条件!$C$44-Y5+1),0))</f>
        <v/>
      </c>
      <c r="Z41" s="359">
        <f>IF(Z$3="","",IF(AND(Z5&lt;&gt;"",Z5&lt;=前提条件!$C$44,入力データ!$C$95&gt;0),入力データ!$C$95/MAX(1,前提条件!$C$44-Z5+1),0))</f>
        <v/>
      </c>
      <c r="AA41" s="359">
        <f>IF(AA$3="","",IF(AND(AA5&lt;&gt;"",AA5&lt;=前提条件!$C$44,入力データ!$C$95&gt;0),入力データ!$C$95/MAX(1,前提条件!$C$44-AA5+1),0))</f>
        <v/>
      </c>
      <c r="AB41" s="359">
        <f>IF(AB$3="","",IF(AND(AB5&lt;&gt;"",AB5&lt;=前提条件!$C$44,入力データ!$C$95&gt;0),入力データ!$C$95/MAX(1,前提条件!$C$44-AB5+1),0))</f>
        <v/>
      </c>
      <c r="AC41" s="359">
        <f>IF(AC$3="","",IF(AND(AC5&lt;&gt;"",AC5&lt;=前提条件!$C$44,入力データ!$C$95&gt;0),入力データ!$C$95/MAX(1,前提条件!$C$44-AC5+1),0))</f>
        <v/>
      </c>
      <c r="AD41" s="359">
        <f>IF(AD$3="","",IF(AND(AD5&lt;&gt;"",AD5&lt;=前提条件!$C$44,入力データ!$C$95&gt;0),入力データ!$C$95/MAX(1,前提条件!$C$44-AD5+1),0))</f>
        <v/>
      </c>
      <c r="AE41" s="359">
        <f>IF(AE$3="","",IF(AND(AE5&lt;&gt;"",AE5&lt;=前提条件!$C$44,入力データ!$C$95&gt;0),入力データ!$C$95/MAX(1,前提条件!$C$44-AE5+1),0))</f>
        <v/>
      </c>
      <c r="AF41" s="359">
        <f>IF(AF$3="","",IF(AND(AF5&lt;&gt;"",AF5&lt;=前提条件!$C$44,入力データ!$C$95&gt;0),入力データ!$C$95/MAX(1,前提条件!$C$44-AF5+1),0))</f>
        <v/>
      </c>
      <c r="AG41" s="359">
        <f>IF(AG$3="","",IF(AND(AG5&lt;&gt;"",AG5&lt;=前提条件!$C$44,入力データ!$C$95&gt;0),入力データ!$C$95/MAX(1,前提条件!$C$44-AG5+1),0))</f>
        <v/>
      </c>
      <c r="AH41" s="359">
        <f>IF(AH$3="","",IF(AND(AH5&lt;&gt;"",AH5&lt;=前提条件!$C$44,入力データ!$C$95&gt;0),入力データ!$C$95/MAX(1,前提条件!$C$44-AH5+1),0))</f>
        <v/>
      </c>
      <c r="AI41" s="359">
        <f>IF(AI$3="","",IF(AND(AI5&lt;&gt;"",AI5&lt;=前提条件!$C$44,入力データ!$C$95&gt;0),入力データ!$C$95/MAX(1,前提条件!$C$44-AI5+1),0))</f>
        <v/>
      </c>
      <c r="AJ41" s="359">
        <f>IF(AJ$3="","",IF(AND(AJ5&lt;&gt;"",AJ5&lt;=前提条件!$C$44,入力データ!$C$95&gt;0),入力データ!$C$95/MAX(1,前提条件!$C$44-AJ5+1),0))</f>
        <v/>
      </c>
      <c r="AK41" s="359">
        <f>IF(AK$3="","",IF(AND(AK5&lt;&gt;"",AK5&lt;=前提条件!$C$44,入力データ!$C$95&gt;0),入力データ!$C$95/MAX(1,前提条件!$C$44-AK5+1),0))</f>
        <v/>
      </c>
      <c r="AL41" s="359">
        <f>IF(AL$3="","",IF(AND(AL5&lt;&gt;"",AL5&lt;=前提条件!$C$44,入力データ!$C$95&gt;0),入力データ!$C$95/MAX(1,前提条件!$C$44-AL5+1),0))</f>
        <v/>
      </c>
      <c r="AM41" s="359">
        <f>IF(AM$3="","",IF(AND(AM5&lt;&gt;"",AM5&lt;=前提条件!$C$44,入力データ!$C$95&gt;0),入力データ!$C$95/MAX(1,前提条件!$C$44-AM5+1),0))</f>
        <v/>
      </c>
      <c r="AN41" s="359">
        <f>IF(AN$3="","",IF(AND(AN5&lt;&gt;"",AN5&lt;=前提条件!$C$44,入力データ!$C$95&gt;0),入力データ!$C$95/MAX(1,前提条件!$C$44-AN5+1),0))</f>
        <v/>
      </c>
      <c r="AO41" s="359">
        <f>IF(AO$3="","",IF(AND(AO5&lt;&gt;"",AO5&lt;=前提条件!$C$44,入力データ!$C$95&gt;0),入力データ!$C$95/MAX(1,前提条件!$C$44-AO5+1),0))</f>
        <v/>
      </c>
      <c r="AP41" s="359">
        <f>IF(AP$3="","",IF(AND(AP5&lt;&gt;"",AP5&lt;=前提条件!$C$44,入力データ!$C$95&gt;0),入力データ!$C$95/MAX(1,前提条件!$C$44-AP5+1),0))</f>
        <v/>
      </c>
      <c r="AQ41" s="359">
        <f>IF(AQ$3="","",IF(AND(AQ5&lt;&gt;"",AQ5&lt;=前提条件!$C$44,入力データ!$C$95&gt;0),入力データ!$C$95/MAX(1,前提条件!$C$44-AQ5+1),0))</f>
        <v/>
      </c>
      <c r="AR41" s="359">
        <f>IF(AR$3="","",IF(AND(AR5&lt;&gt;"",AR5&lt;=前提条件!$C$44,入力データ!$C$95&gt;0),入力データ!$C$95/MAX(1,前提条件!$C$44-AR5+1),0))</f>
        <v/>
      </c>
      <c r="AS41" s="359">
        <f>IF(AS$3="","",IF(AND(AS5&lt;&gt;"",AS5&lt;=前提条件!$C$44,入力データ!$C$95&gt;0),入力データ!$C$95/MAX(1,前提条件!$C$44-AS5+1),0))</f>
        <v/>
      </c>
      <c r="AT41" s="359">
        <f>IF(AT$3="","",IF(AND(AT5&lt;&gt;"",AT5&lt;=前提条件!$C$44,入力データ!$C$95&gt;0),入力データ!$C$95/MAX(1,前提条件!$C$44-AT5+1),0))</f>
        <v/>
      </c>
      <c r="AU41" s="359">
        <f>IF(AU$3="","",IF(AND(AU5&lt;&gt;"",AU5&lt;=前提条件!$C$44,入力データ!$C$95&gt;0),入力データ!$C$95/MAX(1,前提条件!$C$44-AU5+1),0))</f>
        <v/>
      </c>
      <c r="AV41" s="359">
        <f>IF(AV$3="","",IF(AND(AV5&lt;&gt;"",AV5&lt;=前提条件!$C$44,入力データ!$C$95&gt;0),入力データ!$C$95/MAX(1,前提条件!$C$44-AV5+1),0))</f>
        <v/>
      </c>
      <c r="AW41" s="359">
        <f>IF(AW$3="","",IF(AND(AW5&lt;&gt;"",AW5&lt;=前提条件!$C$44,入力データ!$C$95&gt;0),入力データ!$C$95/MAX(1,前提条件!$C$44-AW5+1),0))</f>
        <v/>
      </c>
      <c r="AX41" s="359">
        <f>IF(AX$3="","",IF(AND(AX5&lt;&gt;"",AX5&lt;=前提条件!$C$44,入力データ!$C$95&gt;0),入力データ!$C$95/MAX(1,前提条件!$C$44-AX5+1),0))</f>
        <v/>
      </c>
      <c r="AY41" s="359">
        <f>IF(AY$3="","",IF(AND(AY5&lt;&gt;"",AY5&lt;=前提条件!$C$44,入力データ!$C$95&gt;0),入力データ!$C$95/MAX(1,前提条件!$C$44-AY5+1),0))</f>
        <v/>
      </c>
      <c r="AZ41" s="359">
        <f>IF(AZ$3="","",IF(AND(AZ5&lt;&gt;"",AZ5&lt;=前提条件!$C$44,入力データ!$C$95&gt;0),入力データ!$C$95/MAX(1,前提条件!$C$44-AZ5+1),0))</f>
        <v/>
      </c>
      <c r="BA41" s="359">
        <f>IF(BA$3="","",IF(AND(BA5&lt;&gt;"",BA5&lt;=前提条件!$C$44,入力データ!$C$95&gt;0),入力データ!$C$95/MAX(1,前提条件!$C$44-BA5+1),0))</f>
        <v/>
      </c>
      <c r="BB41" s="359">
        <f>IF(BB$3="","",IF(AND(BB5&lt;&gt;"",BB5&lt;=前提条件!$C$44,入力データ!$C$95&gt;0),入力データ!$C$95/MAX(1,前提条件!$C$44-BB5+1),0))</f>
        <v/>
      </c>
      <c r="BC41" s="359">
        <f>IF(BC$3="","",IF(AND(BC5&lt;&gt;"",BC5&lt;=前提条件!$C$44,入力データ!$C$95&gt;0),入力データ!$C$95/MAX(1,前提条件!$C$44-BC5+1),0))</f>
        <v/>
      </c>
      <c r="BD41" s="359">
        <f>IF(BD$3="","",IF(AND(BD5&lt;&gt;"",BD5&lt;=前提条件!$C$44,入力データ!$C$95&gt;0),入力データ!$C$95/MAX(1,前提条件!$C$44-BD5+1),0))</f>
        <v/>
      </c>
      <c r="BE41" s="359">
        <f>IF(BE$3="","",IF(AND(BE5&lt;&gt;"",BE5&lt;=前提条件!$C$44,入力データ!$C$95&gt;0),入力データ!$C$95/MAX(1,前提条件!$C$44-BE5+1),0))</f>
        <v/>
      </c>
      <c r="BF41" s="359">
        <f>IF(BF$3="","",IF(AND(BF5&lt;&gt;"",BF5&lt;=前提条件!$C$44,入力データ!$C$95&gt;0),入力データ!$C$95/MAX(1,前提条件!$C$44-BF5+1),0))</f>
        <v/>
      </c>
      <c r="BG41" s="359">
        <f>IF(BG$3="","",IF(AND(BG5&lt;&gt;"",BG5&lt;=前提条件!$C$44,入力データ!$C$95&gt;0),入力データ!$C$95/MAX(1,前提条件!$C$44-BG5+1),0))</f>
        <v/>
      </c>
      <c r="BH41" s="359">
        <f>IF(BH$3="","",IF(AND(BH5&lt;&gt;"",BH5&lt;=前提条件!$C$44,入力データ!$C$95&gt;0),入力データ!$C$95/MAX(1,前提条件!$C$44-BH5+1),0))</f>
        <v/>
      </c>
      <c r="BI41" s="359">
        <f>IF(BI$3="","",IF(AND(BI5&lt;&gt;"",BI5&lt;=前提条件!$C$44,入力データ!$C$95&gt;0),入力データ!$C$95/MAX(1,前提条件!$C$44-BI5+1),0))</f>
        <v/>
      </c>
      <c r="BJ41" s="359">
        <f>IF(BJ$3="","",IF(AND(BJ5&lt;&gt;"",BJ5&lt;=前提条件!$C$44,入力データ!$C$95&gt;0),入力データ!$C$95/MAX(1,前提条件!$C$44-BJ5+1),0))</f>
        <v/>
      </c>
      <c r="BK41" s="359">
        <f>IF(BK$3="","",IF(AND(BK5&lt;&gt;"",BK5&lt;=前提条件!$C$44,入力データ!$C$95&gt;0),入力データ!$C$95/MAX(1,前提条件!$C$44-BK5+1),0))</f>
        <v/>
      </c>
      <c r="BL41" s="359">
        <f>IF(BL$3="","",IF(AND(BL5&lt;&gt;"",BL5&lt;=前提条件!$C$44,入力データ!$C$95&gt;0),入力データ!$C$95/MAX(1,前提条件!$C$44-BL5+1),0))</f>
        <v/>
      </c>
      <c r="BM41" s="359">
        <f>IF(BM$3="","",IF(AND(BM5&lt;&gt;"",BM5&lt;=前提条件!$C$44,入力データ!$C$95&gt;0),入力データ!$C$95/MAX(1,前提条件!$C$44-BM5+1),0))</f>
        <v/>
      </c>
      <c r="BN41" s="359">
        <f>IF(BN$3="","",IF(AND(BN5&lt;&gt;"",BN5&lt;=前提条件!$C$44,入力データ!$C$95&gt;0),入力データ!$C$95/MAX(1,前提条件!$C$44-BN5+1),0))</f>
        <v/>
      </c>
      <c r="BO41" s="359">
        <f>IF(BO$3="","",IF(AND(BO5&lt;&gt;"",BO5&lt;=前提条件!$C$44,入力データ!$C$95&gt;0),入力データ!$C$95/MAX(1,前提条件!$C$44-BO5+1),0))</f>
        <v/>
      </c>
      <c r="BP41" s="359">
        <f>IF(BP$3="","",IF(AND(BP5&lt;&gt;"",BP5&lt;=前提条件!$C$44,入力データ!$C$95&gt;0),入力データ!$C$95/MAX(1,前提条件!$C$44-BP5+1),0))</f>
        <v/>
      </c>
      <c r="BQ41" s="359">
        <f>IF(BQ$3="","",IF(AND(BQ5&lt;&gt;"",BQ5&lt;=前提条件!$C$44,入力データ!$C$95&gt;0),入力データ!$C$95/MAX(1,前提条件!$C$44-BQ5+1),0))</f>
        <v/>
      </c>
      <c r="BR41" s="359">
        <f>IF(BR$3="","",IF(AND(BR5&lt;&gt;"",BR5&lt;=前提条件!$C$44,入力データ!$C$95&gt;0),入力データ!$C$95/MAX(1,前提条件!$C$44-BR5+1),0))</f>
        <v/>
      </c>
      <c r="BS41" s="359">
        <f>IF(BS$3="","",IF(AND(BS5&lt;&gt;"",BS5&lt;=前提条件!$C$44,入力データ!$C$95&gt;0),入力データ!$C$95/MAX(1,前提条件!$C$44-BS5+1),0))</f>
        <v/>
      </c>
      <c r="BT41" s="359">
        <f>IF(BT$3="","",IF(AND(BT5&lt;&gt;"",BT5&lt;=前提条件!$C$44,入力データ!$C$95&gt;0),入力データ!$C$95/MAX(1,前提条件!$C$44-BT5+1),0))</f>
        <v/>
      </c>
      <c r="BU41" s="359">
        <f>IF(BU$3="","",IF(AND(BU5&lt;&gt;"",BU5&lt;=前提条件!$C$44,入力データ!$C$95&gt;0),入力データ!$C$95/MAX(1,前提条件!$C$44-BU5+1),0))</f>
        <v/>
      </c>
      <c r="BV41" s="359">
        <f>IF(BV$3="","",IF(AND(BV5&lt;&gt;"",BV5&lt;=前提条件!$C$44,入力データ!$C$95&gt;0),入力データ!$C$95/MAX(1,前提条件!$C$44-BV5+1),0))</f>
        <v/>
      </c>
      <c r="BW41" s="359">
        <f>IF(BW$3="","",IF(AND(BW5&lt;&gt;"",BW5&lt;=前提条件!$C$44,入力データ!$C$95&gt;0),入力データ!$C$95/MAX(1,前提条件!$C$44-BW5+1),0))</f>
        <v/>
      </c>
      <c r="BX41" s="359">
        <f>IF(BX$3="","",IF(AND(BX5&lt;&gt;"",BX5&lt;=前提条件!$C$44,入力データ!$C$95&gt;0),入力データ!$C$95/MAX(1,前提条件!$C$44-BX5+1),0))</f>
        <v/>
      </c>
      <c r="BY41" s="359">
        <f>IF(BY$3="","",IF(AND(BY5&lt;&gt;"",BY5&lt;=前提条件!$C$44,入力データ!$C$95&gt;0),入力データ!$C$95/MAX(1,前提条件!$C$44-BY5+1),0))</f>
        <v/>
      </c>
      <c r="BZ41" s="359">
        <f>IF(BZ$3="","",IF(AND(BZ5&lt;&gt;"",BZ5&lt;=前提条件!$C$44,入力データ!$C$95&gt;0),入力データ!$C$95/MAX(1,前提条件!$C$44-BZ5+1),0))</f>
        <v/>
      </c>
      <c r="CA41" s="359">
        <f>IF(CA$3="","",IF(AND(CA5&lt;&gt;"",CA5&lt;=前提条件!$C$44,入力データ!$C$95&gt;0),入力データ!$C$95/MAX(1,前提条件!$C$44-CA5+1),0))</f>
        <v/>
      </c>
      <c r="CB41" s="359">
        <f>IF(CB$3="","",IF(AND(CB5&lt;&gt;"",CB5&lt;=前提条件!$C$44,入力データ!$C$95&gt;0),入力データ!$C$95/MAX(1,前提条件!$C$44-CB5+1),0))</f>
        <v/>
      </c>
      <c r="CC41" s="359">
        <f>IF(CC$3="","",IF(AND(CC5&lt;&gt;"",CC5&lt;=前提条件!$C$44,入力データ!$C$95&gt;0),入力データ!$C$95/MAX(1,前提条件!$C$44-CC5+1),0))</f>
        <v/>
      </c>
      <c r="CD41" s="359">
        <f>IF(CD$3="","",IF(AND(CD5&lt;&gt;"",CD5&lt;=前提条件!$C$44,入力データ!$C$95&gt;0),入力データ!$C$95/MAX(1,前提条件!$C$44-CD5+1),0))</f>
        <v/>
      </c>
      <c r="CE41" s="359">
        <f>IF(CE$3="","",IF(AND(CE5&lt;&gt;"",CE5&lt;=前提条件!$C$44,入力データ!$C$95&gt;0),入力データ!$C$95/MAX(1,前提条件!$C$44-CE5+1),0))</f>
        <v/>
      </c>
      <c r="CF41" s="359">
        <f>IF(CF$3="","",IF(AND(CF5&lt;&gt;"",CF5&lt;=前提条件!$C$44,入力データ!$C$95&gt;0),入力データ!$C$95/MAX(1,前提条件!$C$44-CF5+1),0))</f>
        <v/>
      </c>
      <c r="CG41" s="359">
        <f>IF(CG$3="","",IF(AND(CG5&lt;&gt;"",CG5&lt;=前提条件!$C$44,入力データ!$C$95&gt;0),入力データ!$C$95/MAX(1,前提条件!$C$44-CG5+1),0))</f>
        <v/>
      </c>
      <c r="CH41" s="359">
        <f>IF(CH$3="","",IF(AND(CH5&lt;&gt;"",CH5&lt;=前提条件!$C$44,入力データ!$C$95&gt;0),入力データ!$C$95/MAX(1,前提条件!$C$44-CH5+1),0))</f>
        <v/>
      </c>
      <c r="CI41" s="359">
        <f>IF(CI$3="","",IF(AND(CI5&lt;&gt;"",CI5&lt;=前提条件!$C$44,入力データ!$C$95&gt;0),入力データ!$C$95/MAX(1,前提条件!$C$44-CI5+1),0))</f>
        <v/>
      </c>
      <c r="CJ41" s="359">
        <f>IF(CJ$3="","",IF(AND(CJ5&lt;&gt;"",CJ5&lt;=前提条件!$C$44,入力データ!$C$95&gt;0),入力データ!$C$95/MAX(1,前提条件!$C$44-CJ5+1),0))</f>
        <v/>
      </c>
      <c r="CK41" s="359">
        <f>IF(CK$3="","",IF(AND(CK5&lt;&gt;"",CK5&lt;=前提条件!$C$44,入力データ!$C$95&gt;0),入力データ!$C$95/MAX(1,前提条件!$C$44-CK5+1),0))</f>
        <v/>
      </c>
      <c r="CL41" s="359">
        <f>IF(CL$3="","",IF(AND(CL5&lt;&gt;"",CL5&lt;=前提条件!$C$44,入力データ!$C$95&gt;0),入力データ!$C$95/MAX(1,前提条件!$C$44-CL5+1),0))</f>
        <v/>
      </c>
      <c r="CM41" s="359">
        <f>IF(CM$3="","",IF(AND(CM5&lt;&gt;"",CM5&lt;=前提条件!$C$44,入力データ!$C$95&gt;0),入力データ!$C$95/MAX(1,前提条件!$C$44-CM5+1),0))</f>
        <v/>
      </c>
      <c r="CN41" s="359">
        <f>IF(CN$3="","",IF(AND(CN5&lt;&gt;"",CN5&lt;=前提条件!$C$44,入力データ!$C$95&gt;0),入力データ!$C$95/MAX(1,前提条件!$C$44-CN5+1),0))</f>
        <v/>
      </c>
      <c r="CO41" s="359">
        <f>IF(CO$3="","",IF(AND(CO5&lt;&gt;"",CO5&lt;=前提条件!$C$44,入力データ!$C$95&gt;0),入力データ!$C$95/MAX(1,前提条件!$C$44-CO5+1),0))</f>
        <v/>
      </c>
      <c r="CP41" s="359">
        <f>IF(CP$3="","",IF(AND(CP5&lt;&gt;"",CP5&lt;=前提条件!$C$44,入力データ!$C$95&gt;0),入力データ!$C$95/MAX(1,前提条件!$C$44-CP5+1),0))</f>
        <v/>
      </c>
      <c r="CQ41" s="359">
        <f>IF(CQ$3="","",IF(AND(CQ5&lt;&gt;"",CQ5&lt;=前提条件!$C$44,入力データ!$C$95&gt;0),入力データ!$C$95/MAX(1,前提条件!$C$44-CQ5+1),0))</f>
        <v/>
      </c>
      <c r="CR41" s="359">
        <f>IF(CR$3="","",IF(AND(CR5&lt;&gt;"",CR5&lt;=前提条件!$C$44,入力データ!$C$95&gt;0),入力データ!$C$95/MAX(1,前提条件!$C$44-CR5+1),0))</f>
        <v/>
      </c>
      <c r="CS41" s="359">
        <f>IF(CS$3="","",IF(AND(CS5&lt;&gt;"",CS5&lt;=前提条件!$C$44,入力データ!$C$95&gt;0),入力データ!$C$95/MAX(1,前提条件!$C$44-CS5+1),0))</f>
        <v/>
      </c>
      <c r="CT41" s="359">
        <f>IF(CT$3="","",IF(AND(CT5&lt;&gt;"",CT5&lt;=前提条件!$C$44,入力データ!$C$95&gt;0),入力データ!$C$95/MAX(1,前提条件!$C$44-CT5+1),0))</f>
        <v/>
      </c>
      <c r="CU41" s="359">
        <f>IF(CU$3="","",IF(AND(CU5&lt;&gt;"",CU5&lt;=前提条件!$C$44,入力データ!$C$95&gt;0),入力データ!$C$95/MAX(1,前提条件!$C$44-CU5+1),0))</f>
        <v/>
      </c>
      <c r="CV41" s="359">
        <f>IF(CV$3="","",IF(AND(CV5&lt;&gt;"",CV5&lt;=前提条件!$C$44,入力データ!$C$95&gt;0),入力データ!$C$95/MAX(1,前提条件!$C$44-CV5+1),0))</f>
        <v/>
      </c>
      <c r="CW41" s="359">
        <f>IF(CW$3="","",IF(AND(CW5&lt;&gt;"",CW5&lt;=前提条件!$C$44,入力データ!$C$95&gt;0),入力データ!$C$95/MAX(1,前提条件!$C$44-CW5+1),0))</f>
        <v/>
      </c>
    </row>
    <row r="42" hidden="1" ht="16.5" customHeight="1" s="180">
      <c r="A42" s="239" t="inlineStr">
        <is>
          <t>老後期フラグ(補助)</t>
        </is>
      </c>
      <c r="B42" s="360">
        <f>IF(B$3="","",IF(AND(B4&gt;=入力データ!$C$111,B5&gt;=入力データ!$C$111),1,0))</f>
        <v/>
      </c>
      <c r="C42" s="360">
        <f>IF(C$3="","",IF(AND(C4&gt;=入力データ!$C$111,C5&gt;=入力データ!$C$111),1,0))</f>
        <v/>
      </c>
      <c r="D42" s="360">
        <f>IF(D$3="","",IF(AND(D4&gt;=入力データ!$C$111,D5&gt;=入力データ!$C$111),1,0))</f>
        <v/>
      </c>
      <c r="E42" s="360">
        <f>IF(E$3="","",IF(AND(E4&gt;=入力データ!$C$111,E5&gt;=入力データ!$C$111),1,0))</f>
        <v/>
      </c>
      <c r="F42" s="360">
        <f>IF(F$3="","",IF(AND(F4&gt;=入力データ!$C$111,F5&gt;=入力データ!$C$111),1,0))</f>
        <v/>
      </c>
      <c r="G42" s="360">
        <f>IF(G$3="","",IF(AND(G4&gt;=入力データ!$C$111,G5&gt;=入力データ!$C$111),1,0))</f>
        <v/>
      </c>
      <c r="H42" s="360">
        <f>IF(H$3="","",IF(AND(H4&gt;=入力データ!$C$111,H5&gt;=入力データ!$C$111),1,0))</f>
        <v/>
      </c>
      <c r="I42" s="360">
        <f>IF(I$3="","",IF(AND(I4&gt;=入力データ!$C$111,I5&gt;=入力データ!$C$111),1,0))</f>
        <v/>
      </c>
      <c r="J42" s="360">
        <f>IF(J$3="","",IF(AND(J4&gt;=入力データ!$C$111,J5&gt;=入力データ!$C$111),1,0))</f>
        <v/>
      </c>
      <c r="K42" s="360">
        <f>IF(K$3="","",IF(AND(K4&gt;=入力データ!$C$111,K5&gt;=入力データ!$C$111),1,0))</f>
        <v/>
      </c>
      <c r="L42" s="360">
        <f>IF(L$3="","",IF(AND(L4&gt;=入力データ!$C$111,L5&gt;=入力データ!$C$111),1,0))</f>
        <v/>
      </c>
      <c r="M42" s="360">
        <f>IF(M$3="","",IF(AND(M4&gt;=入力データ!$C$111,M5&gt;=入力データ!$C$111),1,0))</f>
        <v/>
      </c>
      <c r="N42" s="360">
        <f>IF(N$3="","",IF(AND(N4&gt;=入力データ!$C$111,N5&gt;=入力データ!$C$111),1,0))</f>
        <v/>
      </c>
      <c r="O42" s="360">
        <f>IF(O$3="","",IF(AND(O4&gt;=入力データ!$C$111,O5&gt;=入力データ!$C$111),1,0))</f>
        <v/>
      </c>
      <c r="P42" s="360">
        <f>IF(P$3="","",IF(AND(P4&gt;=入力データ!$C$111,P5&gt;=入力データ!$C$111),1,0))</f>
        <v/>
      </c>
      <c r="Q42" s="360">
        <f>IF(Q$3="","",IF(AND(Q4&gt;=入力データ!$C$111,Q5&gt;=入力データ!$C$111),1,0))</f>
        <v/>
      </c>
      <c r="R42" s="360">
        <f>IF(R$3="","",IF(AND(R4&gt;=入力データ!$C$111,R5&gt;=入力データ!$C$111),1,0))</f>
        <v/>
      </c>
      <c r="S42" s="360">
        <f>IF(S$3="","",IF(AND(S4&gt;=入力データ!$C$111,S5&gt;=入力データ!$C$111),1,0))</f>
        <v/>
      </c>
      <c r="T42" s="360">
        <f>IF(T$3="","",IF(AND(T4&gt;=入力データ!$C$111,T5&gt;=入力データ!$C$111),1,0))</f>
        <v/>
      </c>
      <c r="U42" s="360">
        <f>IF(U$3="","",IF(AND(U4&gt;=入力データ!$C$111,U5&gt;=入力データ!$C$111),1,0))</f>
        <v/>
      </c>
      <c r="V42" s="360">
        <f>IF(V$3="","",IF(AND(V4&gt;=入力データ!$C$111,V5&gt;=入力データ!$C$111),1,0))</f>
        <v/>
      </c>
      <c r="W42" s="360">
        <f>IF(W$3="","",IF(AND(W4&gt;=入力データ!$C$111,W5&gt;=入力データ!$C$111),1,0))</f>
        <v/>
      </c>
      <c r="X42" s="360">
        <f>IF(X$3="","",IF(AND(X4&gt;=入力データ!$C$111,X5&gt;=入力データ!$C$111),1,0))</f>
        <v/>
      </c>
      <c r="Y42" s="360">
        <f>IF(Y$3="","",IF(AND(Y4&gt;=入力データ!$C$111,Y5&gt;=入力データ!$C$111),1,0))</f>
        <v/>
      </c>
      <c r="Z42" s="360">
        <f>IF(Z$3="","",IF(AND(Z4&gt;=入力データ!$C$111,Z5&gt;=入力データ!$C$111),1,0))</f>
        <v/>
      </c>
      <c r="AA42" s="360">
        <f>IF(AA$3="","",IF(AND(AA4&gt;=入力データ!$C$111,AA5&gt;=入力データ!$C$111),1,0))</f>
        <v/>
      </c>
      <c r="AB42" s="360">
        <f>IF(AB$3="","",IF(AND(AB4&gt;=入力データ!$C$111,AB5&gt;=入力データ!$C$111),1,0))</f>
        <v/>
      </c>
      <c r="AC42" s="360">
        <f>IF(AC$3="","",IF(AND(AC4&gt;=入力データ!$C$111,AC5&gt;=入力データ!$C$111),1,0))</f>
        <v/>
      </c>
      <c r="AD42" s="360">
        <f>IF(AD$3="","",IF(AND(AD4&gt;=入力データ!$C$111,AD5&gt;=入力データ!$C$111),1,0))</f>
        <v/>
      </c>
      <c r="AE42" s="360">
        <f>IF(AE$3="","",IF(AND(AE4&gt;=入力データ!$C$111,AE5&gt;=入力データ!$C$111),1,0))</f>
        <v/>
      </c>
      <c r="AF42" s="360">
        <f>IF(AF$3="","",IF(AND(AF4&gt;=入力データ!$C$111,AF5&gt;=入力データ!$C$111),1,0))</f>
        <v/>
      </c>
      <c r="AG42" s="360">
        <f>IF(AG$3="","",IF(AND(AG4&gt;=入力データ!$C$111,AG5&gt;=入力データ!$C$111),1,0))</f>
        <v/>
      </c>
      <c r="AH42" s="360">
        <f>IF(AH$3="","",IF(AND(AH4&gt;=入力データ!$C$111,AH5&gt;=入力データ!$C$111),1,0))</f>
        <v/>
      </c>
      <c r="AI42" s="360">
        <f>IF(AI$3="","",IF(AND(AI4&gt;=入力データ!$C$111,AI5&gt;=入力データ!$C$111),1,0))</f>
        <v/>
      </c>
      <c r="AJ42" s="360">
        <f>IF(AJ$3="","",IF(AND(AJ4&gt;=入力データ!$C$111,AJ5&gt;=入力データ!$C$111),1,0))</f>
        <v/>
      </c>
      <c r="AK42" s="360">
        <f>IF(AK$3="","",IF(AND(AK4&gt;=入力データ!$C$111,AK5&gt;=入力データ!$C$111),1,0))</f>
        <v/>
      </c>
      <c r="AL42" s="360">
        <f>IF(AL$3="","",IF(AND(AL4&gt;=入力データ!$C$111,AL5&gt;=入力データ!$C$111),1,0))</f>
        <v/>
      </c>
      <c r="AM42" s="360">
        <f>IF(AM$3="","",IF(AND(AM4&gt;=入力データ!$C$111,AM5&gt;=入力データ!$C$111),1,0))</f>
        <v/>
      </c>
      <c r="AN42" s="360">
        <f>IF(AN$3="","",IF(AND(AN4&gt;=入力データ!$C$111,AN5&gt;=入力データ!$C$111),1,0))</f>
        <v/>
      </c>
      <c r="AO42" s="360">
        <f>IF(AO$3="","",IF(AND(AO4&gt;=入力データ!$C$111,AO5&gt;=入力データ!$C$111),1,0))</f>
        <v/>
      </c>
      <c r="AP42" s="360">
        <f>IF(AP$3="","",IF(AND(AP4&gt;=入力データ!$C$111,AP5&gt;=入力データ!$C$111),1,0))</f>
        <v/>
      </c>
      <c r="AQ42" s="360">
        <f>IF(AQ$3="","",IF(AND(AQ4&gt;=入力データ!$C$111,AQ5&gt;=入力データ!$C$111),1,0))</f>
        <v/>
      </c>
      <c r="AR42" s="360">
        <f>IF(AR$3="","",IF(AND(AR4&gt;=入力データ!$C$111,AR5&gt;=入力データ!$C$111),1,0))</f>
        <v/>
      </c>
      <c r="AS42" s="360">
        <f>IF(AS$3="","",IF(AND(AS4&gt;=入力データ!$C$111,AS5&gt;=入力データ!$C$111),1,0))</f>
        <v/>
      </c>
      <c r="AT42" s="360">
        <f>IF(AT$3="","",IF(AND(AT4&gt;=入力データ!$C$111,AT5&gt;=入力データ!$C$111),1,0))</f>
        <v/>
      </c>
      <c r="AU42" s="360">
        <f>IF(AU$3="","",IF(AND(AU4&gt;=入力データ!$C$111,AU5&gt;=入力データ!$C$111),1,0))</f>
        <v/>
      </c>
      <c r="AV42" s="360">
        <f>IF(AV$3="","",IF(AND(AV4&gt;=入力データ!$C$111,AV5&gt;=入力データ!$C$111),1,0))</f>
        <v/>
      </c>
      <c r="AW42" s="360">
        <f>IF(AW$3="","",IF(AND(AW4&gt;=入力データ!$C$111,AW5&gt;=入力データ!$C$111),1,0))</f>
        <v/>
      </c>
      <c r="AX42" s="360">
        <f>IF(AX$3="","",IF(AND(AX4&gt;=入力データ!$C$111,AX5&gt;=入力データ!$C$111),1,0))</f>
        <v/>
      </c>
      <c r="AY42" s="360">
        <f>IF(AY$3="","",IF(AND(AY4&gt;=入力データ!$C$111,AY5&gt;=入力データ!$C$111),1,0))</f>
        <v/>
      </c>
      <c r="AZ42" s="360">
        <f>IF(AZ$3="","",IF(AND(AZ4&gt;=入力データ!$C$111,AZ5&gt;=入力データ!$C$111),1,0))</f>
        <v/>
      </c>
      <c r="BA42" s="360">
        <f>IF(BA$3="","",IF(AND(BA4&gt;=入力データ!$C$111,BA5&gt;=入力データ!$C$111),1,0))</f>
        <v/>
      </c>
      <c r="BB42" s="360">
        <f>IF(BB$3="","",IF(AND(BB4&gt;=入力データ!$C$111,BB5&gt;=入力データ!$C$111),1,0))</f>
        <v/>
      </c>
      <c r="BC42" s="360">
        <f>IF(BC$3="","",IF(AND(BC4&gt;=入力データ!$C$111,BC5&gt;=入力データ!$C$111),1,0))</f>
        <v/>
      </c>
      <c r="BD42" s="360">
        <f>IF(BD$3="","",IF(AND(BD4&gt;=入力データ!$C$111,BD5&gt;=入力データ!$C$111),1,0))</f>
        <v/>
      </c>
      <c r="BE42" s="360">
        <f>IF(BE$3="","",IF(AND(BE4&gt;=入力データ!$C$111,BE5&gt;=入力データ!$C$111),1,0))</f>
        <v/>
      </c>
      <c r="BF42" s="360">
        <f>IF(BF$3="","",IF(AND(BF4&gt;=入力データ!$C$111,BF5&gt;=入力データ!$C$111),1,0))</f>
        <v/>
      </c>
      <c r="BG42" s="360">
        <f>IF(BG$3="","",IF(AND(BG4&gt;=入力データ!$C$111,BG5&gt;=入力データ!$C$111),1,0))</f>
        <v/>
      </c>
      <c r="BH42" s="360">
        <f>IF(BH$3="","",IF(AND(BH4&gt;=入力データ!$C$111,BH5&gt;=入力データ!$C$111),1,0))</f>
        <v/>
      </c>
      <c r="BI42" s="360">
        <f>IF(BI$3="","",IF(AND(BI4&gt;=入力データ!$C$111,BI5&gt;=入力データ!$C$111),1,0))</f>
        <v/>
      </c>
      <c r="BJ42" s="360">
        <f>IF(BJ$3="","",IF(AND(BJ4&gt;=入力データ!$C$111,BJ5&gt;=入力データ!$C$111),1,0))</f>
        <v/>
      </c>
      <c r="BK42" s="360">
        <f>IF(BK$3="","",IF(AND(BK4&gt;=入力データ!$C$111,BK5&gt;=入力データ!$C$111),1,0))</f>
        <v/>
      </c>
      <c r="BL42" s="360">
        <f>IF(BL$3="","",IF(AND(BL4&gt;=入力データ!$C$111,BL5&gt;=入力データ!$C$111),1,0))</f>
        <v/>
      </c>
      <c r="BM42" s="360">
        <f>IF(BM$3="","",IF(AND(BM4&gt;=入力データ!$C$111,BM5&gt;=入力データ!$C$111),1,0))</f>
        <v/>
      </c>
      <c r="BN42" s="360">
        <f>IF(BN$3="","",IF(AND(BN4&gt;=入力データ!$C$111,BN5&gt;=入力データ!$C$111),1,0))</f>
        <v/>
      </c>
      <c r="BO42" s="360">
        <f>IF(BO$3="","",IF(AND(BO4&gt;=入力データ!$C$111,BO5&gt;=入力データ!$C$111),1,0))</f>
        <v/>
      </c>
      <c r="BP42" s="360">
        <f>IF(BP$3="","",IF(AND(BP4&gt;=入力データ!$C$111,BP5&gt;=入力データ!$C$111),1,0))</f>
        <v/>
      </c>
      <c r="BQ42" s="360">
        <f>IF(BQ$3="","",IF(AND(BQ4&gt;=入力データ!$C$111,BQ5&gt;=入力データ!$C$111),1,0))</f>
        <v/>
      </c>
      <c r="BR42" s="360">
        <f>IF(BR$3="","",IF(AND(BR4&gt;=入力データ!$C$111,BR5&gt;=入力データ!$C$111),1,0))</f>
        <v/>
      </c>
      <c r="BS42" s="360">
        <f>IF(BS$3="","",IF(AND(BS4&gt;=入力データ!$C$111,BS5&gt;=入力データ!$C$111),1,0))</f>
        <v/>
      </c>
      <c r="BT42" s="360">
        <f>IF(BT$3="","",IF(AND(BT4&gt;=入力データ!$C$111,BT5&gt;=入力データ!$C$111),1,0))</f>
        <v/>
      </c>
      <c r="BU42" s="360">
        <f>IF(BU$3="","",IF(AND(BU4&gt;=入力データ!$C$111,BU5&gt;=入力データ!$C$111),1,0))</f>
        <v/>
      </c>
      <c r="BV42" s="360">
        <f>IF(BV$3="","",IF(AND(BV4&gt;=入力データ!$C$111,BV5&gt;=入力データ!$C$111),1,0))</f>
        <v/>
      </c>
      <c r="BW42" s="360">
        <f>IF(BW$3="","",IF(AND(BW4&gt;=入力データ!$C$111,BW5&gt;=入力データ!$C$111),1,0))</f>
        <v/>
      </c>
      <c r="BX42" s="360">
        <f>IF(BX$3="","",IF(AND(BX4&gt;=入力データ!$C$111,BX5&gt;=入力データ!$C$111),1,0))</f>
        <v/>
      </c>
      <c r="BY42" s="360">
        <f>IF(BY$3="","",IF(AND(BY4&gt;=入力データ!$C$111,BY5&gt;=入力データ!$C$111),1,0))</f>
        <v/>
      </c>
      <c r="BZ42" s="360">
        <f>IF(BZ$3="","",IF(AND(BZ4&gt;=入力データ!$C$111,BZ5&gt;=入力データ!$C$111),1,0))</f>
        <v/>
      </c>
      <c r="CA42" s="360">
        <f>IF(CA$3="","",IF(AND(CA4&gt;=入力データ!$C$111,CA5&gt;=入力データ!$C$111),1,0))</f>
        <v/>
      </c>
      <c r="CB42" s="360">
        <f>IF(CB$3="","",IF(AND(CB4&gt;=入力データ!$C$111,CB5&gt;=入力データ!$C$111),1,0))</f>
        <v/>
      </c>
      <c r="CC42" s="360">
        <f>IF(CC$3="","",IF(AND(CC4&gt;=入力データ!$C$111,CC5&gt;=入力データ!$C$111),1,0))</f>
        <v/>
      </c>
      <c r="CD42" s="360">
        <f>IF(CD$3="","",IF(AND(CD4&gt;=入力データ!$C$111,CD5&gt;=入力データ!$C$111),1,0))</f>
        <v/>
      </c>
      <c r="CE42" s="360">
        <f>IF(CE$3="","",IF(AND(CE4&gt;=入力データ!$C$111,CE5&gt;=入力データ!$C$111),1,0))</f>
        <v/>
      </c>
      <c r="CF42" s="360">
        <f>IF(CF$3="","",IF(AND(CF4&gt;=入力データ!$C$111,CF5&gt;=入力データ!$C$111),1,0))</f>
        <v/>
      </c>
      <c r="CG42" s="360">
        <f>IF(CG$3="","",IF(AND(CG4&gt;=入力データ!$C$111,CG5&gt;=入力データ!$C$111),1,0))</f>
        <v/>
      </c>
      <c r="CH42" s="360">
        <f>IF(CH$3="","",IF(AND(CH4&gt;=入力データ!$C$111,CH5&gt;=入力データ!$C$111),1,0))</f>
        <v/>
      </c>
      <c r="CI42" s="360">
        <f>IF(CI$3="","",IF(AND(CI4&gt;=入力データ!$C$111,CI5&gt;=入力データ!$C$111),1,0))</f>
        <v/>
      </c>
      <c r="CJ42" s="360">
        <f>IF(CJ$3="","",IF(AND(CJ4&gt;=入力データ!$C$111,CJ5&gt;=入力データ!$C$111),1,0))</f>
        <v/>
      </c>
      <c r="CK42" s="360">
        <f>IF(CK$3="","",IF(AND(CK4&gt;=入力データ!$C$111,CK5&gt;=入力データ!$C$111),1,0))</f>
        <v/>
      </c>
      <c r="CL42" s="360">
        <f>IF(CL$3="","",IF(AND(CL4&gt;=入力データ!$C$111,CL5&gt;=入力データ!$C$111),1,0))</f>
        <v/>
      </c>
      <c r="CM42" s="360">
        <f>IF(CM$3="","",IF(AND(CM4&gt;=入力データ!$C$111,CM5&gt;=入力データ!$C$111),1,0))</f>
        <v/>
      </c>
      <c r="CN42" s="360">
        <f>IF(CN$3="","",IF(AND(CN4&gt;=入力データ!$C$111,CN5&gt;=入力データ!$C$111),1,0))</f>
        <v/>
      </c>
      <c r="CO42" s="360">
        <f>IF(CO$3="","",IF(AND(CO4&gt;=入力データ!$C$111,CO5&gt;=入力データ!$C$111),1,0))</f>
        <v/>
      </c>
      <c r="CP42" s="360">
        <f>IF(CP$3="","",IF(AND(CP4&gt;=入力データ!$C$111,CP5&gt;=入力データ!$C$111),1,0))</f>
        <v/>
      </c>
      <c r="CQ42" s="360">
        <f>IF(CQ$3="","",IF(AND(CQ4&gt;=入力データ!$C$111,CQ5&gt;=入力データ!$C$111),1,0))</f>
        <v/>
      </c>
      <c r="CR42" s="360">
        <f>IF(CR$3="","",IF(AND(CR4&gt;=入力データ!$C$111,CR5&gt;=入力データ!$C$111),1,0))</f>
        <v/>
      </c>
      <c r="CS42" s="360">
        <f>IF(CS$3="","",IF(AND(CS4&gt;=入力データ!$C$111,CS5&gt;=入力データ!$C$111),1,0))</f>
        <v/>
      </c>
      <c r="CT42" s="360">
        <f>IF(CT$3="","",IF(AND(CT4&gt;=入力データ!$C$111,CT5&gt;=入力データ!$C$111),1,0))</f>
        <v/>
      </c>
      <c r="CU42" s="360">
        <f>IF(CU$3="","",IF(AND(CU4&gt;=入力データ!$C$111,CU5&gt;=入力データ!$C$111),1,0))</f>
        <v/>
      </c>
      <c r="CV42" s="360">
        <f>IF(CV$3="","",IF(AND(CV4&gt;=入力データ!$C$111,CV5&gt;=入力データ!$C$111),1,0))</f>
        <v/>
      </c>
      <c r="CW42" s="360">
        <f>IF(CW$3="","",IF(AND(CW4&gt;=入力データ!$C$111,CW5&gt;=入力データ!$C$111),1,0))</f>
        <v/>
      </c>
    </row>
    <row r="43" hidden="1" ht="16.5" customHeight="1" s="180">
      <c r="A43" s="239" t="inlineStr">
        <is>
          <t>老後不足額(補助)</t>
        </is>
      </c>
      <c r="B43" s="359">
        <f>IF(B$3="","",IF(B42=1,MAX(0,-B30),0))</f>
        <v/>
      </c>
      <c r="C43" s="359">
        <f>IF(C$3="","",IF(C42=1,MAX(0,-C30),0))</f>
        <v/>
      </c>
      <c r="D43" s="359">
        <f>IF(D$3="","",IF(D42=1,MAX(0,-D30),0))</f>
        <v/>
      </c>
      <c r="E43" s="359">
        <f>IF(E$3="","",IF(E42=1,MAX(0,-E30),0))</f>
        <v/>
      </c>
      <c r="F43" s="359">
        <f>IF(F$3="","",IF(F42=1,MAX(0,-F30),0))</f>
        <v/>
      </c>
      <c r="G43" s="359">
        <f>IF(G$3="","",IF(G42=1,MAX(0,-G30),0))</f>
        <v/>
      </c>
      <c r="H43" s="359">
        <f>IF(H$3="","",IF(H42=1,MAX(0,-H30),0))</f>
        <v/>
      </c>
      <c r="I43" s="359">
        <f>IF(I$3="","",IF(I42=1,MAX(0,-I30),0))</f>
        <v/>
      </c>
      <c r="J43" s="359">
        <f>IF(J$3="","",IF(J42=1,MAX(0,-J30),0))</f>
        <v/>
      </c>
      <c r="K43" s="359">
        <f>IF(K$3="","",IF(K42=1,MAX(0,-K30),0))</f>
        <v/>
      </c>
      <c r="L43" s="359">
        <f>IF(L$3="","",IF(L42=1,MAX(0,-L30),0))</f>
        <v/>
      </c>
      <c r="M43" s="359">
        <f>IF(M$3="","",IF(M42=1,MAX(0,-M30),0))</f>
        <v/>
      </c>
      <c r="N43" s="359">
        <f>IF(N$3="","",IF(N42=1,MAX(0,-N30),0))</f>
        <v/>
      </c>
      <c r="O43" s="359">
        <f>IF(O$3="","",IF(O42=1,MAX(0,-O30),0))</f>
        <v/>
      </c>
      <c r="P43" s="359">
        <f>IF(P$3="","",IF(P42=1,MAX(0,-P30),0))</f>
        <v/>
      </c>
      <c r="Q43" s="359">
        <f>IF(Q$3="","",IF(Q42=1,MAX(0,-Q30),0))</f>
        <v/>
      </c>
      <c r="R43" s="359">
        <f>IF(R$3="","",IF(R42=1,MAX(0,-R30),0))</f>
        <v/>
      </c>
      <c r="S43" s="359">
        <f>IF(S$3="","",IF(S42=1,MAX(0,-S30),0))</f>
        <v/>
      </c>
      <c r="T43" s="359">
        <f>IF(T$3="","",IF(T42=1,MAX(0,-T30),0))</f>
        <v/>
      </c>
      <c r="U43" s="359">
        <f>IF(U$3="","",IF(U42=1,MAX(0,-U30),0))</f>
        <v/>
      </c>
      <c r="V43" s="359">
        <f>IF(V$3="","",IF(V42=1,MAX(0,-V30),0))</f>
        <v/>
      </c>
      <c r="W43" s="359">
        <f>IF(W$3="","",IF(W42=1,MAX(0,-W30),0))</f>
        <v/>
      </c>
      <c r="X43" s="359">
        <f>IF(X$3="","",IF(X42=1,MAX(0,-X30),0))</f>
        <v/>
      </c>
      <c r="Y43" s="359">
        <f>IF(Y$3="","",IF(Y42=1,MAX(0,-Y30),0))</f>
        <v/>
      </c>
      <c r="Z43" s="359">
        <f>IF(Z$3="","",IF(Z42=1,MAX(0,-Z30),0))</f>
        <v/>
      </c>
      <c r="AA43" s="359">
        <f>IF(AA$3="","",IF(AA42=1,MAX(0,-AA30),0))</f>
        <v/>
      </c>
      <c r="AB43" s="359">
        <f>IF(AB$3="","",IF(AB42=1,MAX(0,-AB30),0))</f>
        <v/>
      </c>
      <c r="AC43" s="359">
        <f>IF(AC$3="","",IF(AC42=1,MAX(0,-AC30),0))</f>
        <v/>
      </c>
      <c r="AD43" s="359">
        <f>IF(AD$3="","",IF(AD42=1,MAX(0,-AD30),0))</f>
        <v/>
      </c>
      <c r="AE43" s="359">
        <f>IF(AE$3="","",IF(AE42=1,MAX(0,-AE30),0))</f>
        <v/>
      </c>
      <c r="AF43" s="359">
        <f>IF(AF$3="","",IF(AF42=1,MAX(0,-AF30),0))</f>
        <v/>
      </c>
      <c r="AG43" s="359">
        <f>IF(AG$3="","",IF(AG42=1,MAX(0,-AG30),0))</f>
        <v/>
      </c>
      <c r="AH43" s="359">
        <f>IF(AH$3="","",IF(AH42=1,MAX(0,-AH30),0))</f>
        <v/>
      </c>
      <c r="AI43" s="359">
        <f>IF(AI$3="","",IF(AI42=1,MAX(0,-AI30),0))</f>
        <v/>
      </c>
      <c r="AJ43" s="359">
        <f>IF(AJ$3="","",IF(AJ42=1,MAX(0,-AJ30),0))</f>
        <v/>
      </c>
      <c r="AK43" s="359">
        <f>IF(AK$3="","",IF(AK42=1,MAX(0,-AK30),0))</f>
        <v/>
      </c>
      <c r="AL43" s="359">
        <f>IF(AL$3="","",IF(AL42=1,MAX(0,-AL30),0))</f>
        <v/>
      </c>
      <c r="AM43" s="359">
        <f>IF(AM$3="","",IF(AM42=1,MAX(0,-AM30),0))</f>
        <v/>
      </c>
      <c r="AN43" s="359">
        <f>IF(AN$3="","",IF(AN42=1,MAX(0,-AN30),0))</f>
        <v/>
      </c>
      <c r="AO43" s="359">
        <f>IF(AO$3="","",IF(AO42=1,MAX(0,-AO30),0))</f>
        <v/>
      </c>
      <c r="AP43" s="359">
        <f>IF(AP$3="","",IF(AP42=1,MAX(0,-AP30),0))</f>
        <v/>
      </c>
      <c r="AQ43" s="359">
        <f>IF(AQ$3="","",IF(AQ42=1,MAX(0,-AQ30),0))</f>
        <v/>
      </c>
      <c r="AR43" s="359">
        <f>IF(AR$3="","",IF(AR42=1,MAX(0,-AR30),0))</f>
        <v/>
      </c>
      <c r="AS43" s="359">
        <f>IF(AS$3="","",IF(AS42=1,MAX(0,-AS30),0))</f>
        <v/>
      </c>
      <c r="AT43" s="359">
        <f>IF(AT$3="","",IF(AT42=1,MAX(0,-AT30),0))</f>
        <v/>
      </c>
      <c r="AU43" s="359">
        <f>IF(AU$3="","",IF(AU42=1,MAX(0,-AU30),0))</f>
        <v/>
      </c>
      <c r="AV43" s="359">
        <f>IF(AV$3="","",IF(AV42=1,MAX(0,-AV30),0))</f>
        <v/>
      </c>
      <c r="AW43" s="359">
        <f>IF(AW$3="","",IF(AW42=1,MAX(0,-AW30),0))</f>
        <v/>
      </c>
      <c r="AX43" s="359">
        <f>IF(AX$3="","",IF(AX42=1,MAX(0,-AX30),0))</f>
        <v/>
      </c>
      <c r="AY43" s="359">
        <f>IF(AY$3="","",IF(AY42=1,MAX(0,-AY30),0))</f>
        <v/>
      </c>
      <c r="AZ43" s="359">
        <f>IF(AZ$3="","",IF(AZ42=1,MAX(0,-AZ30),0))</f>
        <v/>
      </c>
      <c r="BA43" s="359">
        <f>IF(BA$3="","",IF(BA42=1,MAX(0,-BA30),0))</f>
        <v/>
      </c>
      <c r="BB43" s="359">
        <f>IF(BB$3="","",IF(BB42=1,MAX(0,-BB30),0))</f>
        <v/>
      </c>
      <c r="BC43" s="359">
        <f>IF(BC$3="","",IF(BC42=1,MAX(0,-BC30),0))</f>
        <v/>
      </c>
      <c r="BD43" s="359">
        <f>IF(BD$3="","",IF(BD42=1,MAX(0,-BD30),0))</f>
        <v/>
      </c>
      <c r="BE43" s="359">
        <f>IF(BE$3="","",IF(BE42=1,MAX(0,-BE30),0))</f>
        <v/>
      </c>
      <c r="BF43" s="359">
        <f>IF(BF$3="","",IF(BF42=1,MAX(0,-BF30),0))</f>
        <v/>
      </c>
      <c r="BG43" s="359">
        <f>IF(BG$3="","",IF(BG42=1,MAX(0,-BG30),0))</f>
        <v/>
      </c>
      <c r="BH43" s="359">
        <f>IF(BH$3="","",IF(BH42=1,MAX(0,-BH30),0))</f>
        <v/>
      </c>
      <c r="BI43" s="359">
        <f>IF(BI$3="","",IF(BI42=1,MAX(0,-BI30),0))</f>
        <v/>
      </c>
      <c r="BJ43" s="359">
        <f>IF(BJ$3="","",IF(BJ42=1,MAX(0,-BJ30),0))</f>
        <v/>
      </c>
      <c r="BK43" s="359">
        <f>IF(BK$3="","",IF(BK42=1,MAX(0,-BK30),0))</f>
        <v/>
      </c>
      <c r="BL43" s="359">
        <f>IF(BL$3="","",IF(BL42=1,MAX(0,-BL30),0))</f>
        <v/>
      </c>
      <c r="BM43" s="359">
        <f>IF(BM$3="","",IF(BM42=1,MAX(0,-BM30),0))</f>
        <v/>
      </c>
      <c r="BN43" s="359">
        <f>IF(BN$3="","",IF(BN42=1,MAX(0,-BN30),0))</f>
        <v/>
      </c>
      <c r="BO43" s="359">
        <f>IF(BO$3="","",IF(BO42=1,MAX(0,-BO30),0))</f>
        <v/>
      </c>
      <c r="BP43" s="359">
        <f>IF(BP$3="","",IF(BP42=1,MAX(0,-BP30),0))</f>
        <v/>
      </c>
      <c r="BQ43" s="359">
        <f>IF(BQ$3="","",IF(BQ42=1,MAX(0,-BQ30),0))</f>
        <v/>
      </c>
      <c r="BR43" s="359">
        <f>IF(BR$3="","",IF(BR42=1,MAX(0,-BR30),0))</f>
        <v/>
      </c>
      <c r="BS43" s="359">
        <f>IF(BS$3="","",IF(BS42=1,MAX(0,-BS30),0))</f>
        <v/>
      </c>
      <c r="BT43" s="359">
        <f>IF(BT$3="","",IF(BT42=1,MAX(0,-BT30),0))</f>
        <v/>
      </c>
      <c r="BU43" s="359">
        <f>IF(BU$3="","",IF(BU42=1,MAX(0,-BU30),0))</f>
        <v/>
      </c>
      <c r="BV43" s="359">
        <f>IF(BV$3="","",IF(BV42=1,MAX(0,-BV30),0))</f>
        <v/>
      </c>
      <c r="BW43" s="359">
        <f>IF(BW$3="","",IF(BW42=1,MAX(0,-BW30),0))</f>
        <v/>
      </c>
      <c r="BX43" s="359">
        <f>IF(BX$3="","",IF(BX42=1,MAX(0,-BX30),0))</f>
        <v/>
      </c>
      <c r="BY43" s="359">
        <f>IF(BY$3="","",IF(BY42=1,MAX(0,-BY30),0))</f>
        <v/>
      </c>
      <c r="BZ43" s="359">
        <f>IF(BZ$3="","",IF(BZ42=1,MAX(0,-BZ30),0))</f>
        <v/>
      </c>
      <c r="CA43" s="359">
        <f>IF(CA$3="","",IF(CA42=1,MAX(0,-CA30),0))</f>
        <v/>
      </c>
      <c r="CB43" s="359">
        <f>IF(CB$3="","",IF(CB42=1,MAX(0,-CB30),0))</f>
        <v/>
      </c>
      <c r="CC43" s="359">
        <f>IF(CC$3="","",IF(CC42=1,MAX(0,-CC30),0))</f>
        <v/>
      </c>
      <c r="CD43" s="359">
        <f>IF(CD$3="","",IF(CD42=1,MAX(0,-CD30),0))</f>
        <v/>
      </c>
      <c r="CE43" s="359">
        <f>IF(CE$3="","",IF(CE42=1,MAX(0,-CE30),0))</f>
        <v/>
      </c>
      <c r="CF43" s="359">
        <f>IF(CF$3="","",IF(CF42=1,MAX(0,-CF30),0))</f>
        <v/>
      </c>
      <c r="CG43" s="359">
        <f>IF(CG$3="","",IF(CG42=1,MAX(0,-CG30),0))</f>
        <v/>
      </c>
      <c r="CH43" s="359">
        <f>IF(CH$3="","",IF(CH42=1,MAX(0,-CH30),0))</f>
        <v/>
      </c>
      <c r="CI43" s="359">
        <f>IF(CI$3="","",IF(CI42=1,MAX(0,-CI30),0))</f>
        <v/>
      </c>
      <c r="CJ43" s="359">
        <f>IF(CJ$3="","",IF(CJ42=1,MAX(0,-CJ30),0))</f>
        <v/>
      </c>
      <c r="CK43" s="359">
        <f>IF(CK$3="","",IF(CK42=1,MAX(0,-CK30),0))</f>
        <v/>
      </c>
      <c r="CL43" s="359">
        <f>IF(CL$3="","",IF(CL42=1,MAX(0,-CL30),0))</f>
        <v/>
      </c>
      <c r="CM43" s="359">
        <f>IF(CM$3="","",IF(CM42=1,MAX(0,-CM30),0))</f>
        <v/>
      </c>
      <c r="CN43" s="359">
        <f>IF(CN$3="","",IF(CN42=1,MAX(0,-CN30),0))</f>
        <v/>
      </c>
      <c r="CO43" s="359">
        <f>IF(CO$3="","",IF(CO42=1,MAX(0,-CO30),0))</f>
        <v/>
      </c>
      <c r="CP43" s="359">
        <f>IF(CP$3="","",IF(CP42=1,MAX(0,-CP30),0))</f>
        <v/>
      </c>
      <c r="CQ43" s="359">
        <f>IF(CQ$3="","",IF(CQ42=1,MAX(0,-CQ30),0))</f>
        <v/>
      </c>
      <c r="CR43" s="359">
        <f>IF(CR$3="","",IF(CR42=1,MAX(0,-CR30),0))</f>
        <v/>
      </c>
      <c r="CS43" s="359">
        <f>IF(CS$3="","",IF(CS42=1,MAX(0,-CS30),0))</f>
        <v/>
      </c>
      <c r="CT43" s="359">
        <f>IF(CT$3="","",IF(CT42=1,MAX(0,-CT30),0))</f>
        <v/>
      </c>
      <c r="CU43" s="359">
        <f>IF(CU$3="","",IF(CU42=1,MAX(0,-CU30),0))</f>
        <v/>
      </c>
      <c r="CV43" s="359">
        <f>IF(CV$3="","",IF(CV42=1,MAX(0,-CV30),0))</f>
        <v/>
      </c>
      <c r="CW43" s="359">
        <f>IF(CW$3="","",IF(CW42=1,MAX(0,-CW30),0))</f>
        <v/>
      </c>
    </row>
    <row r="44" ht="15" customHeight="1" s="180">
      <c r="A44" s="241" t="inlineStr">
        <is>
          <t>保有資産合計（参考）</t>
        </is>
      </c>
      <c r="B44" s="361">
        <f>IF(B$3="","",B31+B32+B33)</f>
        <v/>
      </c>
      <c r="C44" s="361">
        <f>IF(C$3="","",C31+C32+C33)</f>
        <v/>
      </c>
      <c r="D44" s="361">
        <f>IF(D$3="","",D31+D32+D33)</f>
        <v/>
      </c>
      <c r="E44" s="361">
        <f>IF(E$3="","",E31+E32+E33)</f>
        <v/>
      </c>
      <c r="F44" s="361">
        <f>IF(F$3="","",F31+F32+F33)</f>
        <v/>
      </c>
      <c r="G44" s="361">
        <f>IF(G$3="","",G31+G32+G33)</f>
        <v/>
      </c>
      <c r="H44" s="361">
        <f>IF(H$3="","",H31+H32+H33)</f>
        <v/>
      </c>
      <c r="I44" s="361">
        <f>IF(I$3="","",I31+I32+I33)</f>
        <v/>
      </c>
      <c r="J44" s="361">
        <f>IF(J$3="","",J31+J32+J33)</f>
        <v/>
      </c>
      <c r="K44" s="361">
        <f>IF(K$3="","",K31+K32+K33)</f>
        <v/>
      </c>
      <c r="L44" s="361">
        <f>IF(L$3="","",L31+L32+L33)</f>
        <v/>
      </c>
      <c r="M44" s="361">
        <f>IF(M$3="","",M31+M32+M33)</f>
        <v/>
      </c>
      <c r="N44" s="361">
        <f>IF(N$3="","",N31+N32+N33)</f>
        <v/>
      </c>
      <c r="O44" s="361">
        <f>IF(O$3="","",O31+O32+O33)</f>
        <v/>
      </c>
      <c r="P44" s="361">
        <f>IF(P$3="","",P31+P32+P33)</f>
        <v/>
      </c>
      <c r="Q44" s="361">
        <f>IF(Q$3="","",Q31+Q32+Q33)</f>
        <v/>
      </c>
      <c r="R44" s="361">
        <f>IF(R$3="","",R31+R32+R33)</f>
        <v/>
      </c>
      <c r="S44" s="361">
        <f>IF(S$3="","",S31+S32+S33)</f>
        <v/>
      </c>
      <c r="T44" s="361">
        <f>IF(T$3="","",T31+T32+T33)</f>
        <v/>
      </c>
      <c r="U44" s="361">
        <f>IF(U$3="","",U31+U32+U33)</f>
        <v/>
      </c>
      <c r="V44" s="361">
        <f>IF(V$3="","",V31+V32+V33)</f>
        <v/>
      </c>
      <c r="W44" s="361">
        <f>IF(W$3="","",W31+W32+W33)</f>
        <v/>
      </c>
      <c r="X44" s="361">
        <f>IF(X$3="","",X31+X32+X33)</f>
        <v/>
      </c>
      <c r="Y44" s="361">
        <f>IF(Y$3="","",Y31+Y32+Y33)</f>
        <v/>
      </c>
      <c r="Z44" s="361">
        <f>IF(Z$3="","",Z31+Z32+Z33)</f>
        <v/>
      </c>
      <c r="AA44" s="361">
        <f>IF(AA$3="","",AA31+AA32+AA33)</f>
        <v/>
      </c>
      <c r="AB44" s="361">
        <f>IF(AB$3="","",AB31+AB32+AB33)</f>
        <v/>
      </c>
      <c r="AC44" s="361">
        <f>IF(AC$3="","",AC31+AC32+AC33)</f>
        <v/>
      </c>
      <c r="AD44" s="361">
        <f>IF(AD$3="","",AD31+AD32+AD33)</f>
        <v/>
      </c>
      <c r="AE44" s="361">
        <f>IF(AE$3="","",AE31+AE32+AE33)</f>
        <v/>
      </c>
      <c r="AF44" s="361">
        <f>IF(AF$3="","",AF31+AF32+AF33)</f>
        <v/>
      </c>
      <c r="AG44" s="361">
        <f>IF(AG$3="","",AG31+AG32+AG33)</f>
        <v/>
      </c>
      <c r="AH44" s="361">
        <f>IF(AH$3="","",AH31+AH32+AH33)</f>
        <v/>
      </c>
      <c r="AI44" s="361">
        <f>IF(AI$3="","",AI31+AI32+AI33)</f>
        <v/>
      </c>
      <c r="AJ44" s="361">
        <f>IF(AJ$3="","",AJ31+AJ32+AJ33)</f>
        <v/>
      </c>
      <c r="AK44" s="361">
        <f>IF(AK$3="","",AK31+AK32+AK33)</f>
        <v/>
      </c>
      <c r="AL44" s="361">
        <f>IF(AL$3="","",AL31+AL32+AL33)</f>
        <v/>
      </c>
      <c r="AM44" s="361">
        <f>IF(AM$3="","",AM31+AM32+AM33)</f>
        <v/>
      </c>
      <c r="AN44" s="361">
        <f>IF(AN$3="","",AN31+AN32+AN33)</f>
        <v/>
      </c>
      <c r="AO44" s="361">
        <f>IF(AO$3="","",AO31+AO32+AO33)</f>
        <v/>
      </c>
      <c r="AP44" s="361">
        <f>IF(AP$3="","",AP31+AP32+AP33)</f>
        <v/>
      </c>
      <c r="AQ44" s="361">
        <f>IF(AQ$3="","",AQ31+AQ32+AQ33)</f>
        <v/>
      </c>
      <c r="AR44" s="361">
        <f>IF(AR$3="","",AR31+AR32+AR33)</f>
        <v/>
      </c>
      <c r="AS44" s="361">
        <f>IF(AS$3="","",AS31+AS32+AS33)</f>
        <v/>
      </c>
      <c r="AT44" s="361">
        <f>IF(AT$3="","",AT31+AT32+AT33)</f>
        <v/>
      </c>
      <c r="AU44" s="361">
        <f>IF(AU$3="","",AU31+AU32+AU33)</f>
        <v/>
      </c>
      <c r="AV44" s="361">
        <f>IF(AV$3="","",AV31+AV32+AV33)</f>
        <v/>
      </c>
      <c r="AW44" s="361">
        <f>IF(AW$3="","",AW31+AW32+AW33)</f>
        <v/>
      </c>
      <c r="AX44" s="361">
        <f>IF(AX$3="","",AX31+AX32+AX33)</f>
        <v/>
      </c>
      <c r="AY44" s="361">
        <f>IF(AY$3="","",AY31+AY32+AY33)</f>
        <v/>
      </c>
      <c r="AZ44" s="361">
        <f>IF(AZ$3="","",AZ31+AZ32+AZ33)</f>
        <v/>
      </c>
      <c r="BA44" s="361">
        <f>IF(BA$3="","",BA31+BA32+BA33)</f>
        <v/>
      </c>
      <c r="BB44" s="361">
        <f>IF(BB$3="","",BB31+BB32+BB33)</f>
        <v/>
      </c>
      <c r="BC44" s="361">
        <f>IF(BC$3="","",BC31+BC32+BC33)</f>
        <v/>
      </c>
      <c r="BD44" s="361">
        <f>IF(BD$3="","",BD31+BD32+BD33)</f>
        <v/>
      </c>
      <c r="BE44" s="361">
        <f>IF(BE$3="","",BE31+BE32+BE33)</f>
        <v/>
      </c>
      <c r="BF44" s="361">
        <f>IF(BF$3="","",BF31+BF32+BF33)</f>
        <v/>
      </c>
      <c r="BG44" s="361">
        <f>IF(BG$3="","",BG31+BG32+BG33)</f>
        <v/>
      </c>
      <c r="BH44" s="361">
        <f>IF(BH$3="","",BH31+BH32+BH33)</f>
        <v/>
      </c>
      <c r="BI44" s="361">
        <f>IF(BI$3="","",BI31+BI32+BI33)</f>
        <v/>
      </c>
      <c r="BJ44" s="361">
        <f>IF(BJ$3="","",BJ31+BJ32+BJ33)</f>
        <v/>
      </c>
      <c r="BK44" s="361">
        <f>IF(BK$3="","",BK31+BK32+BK33)</f>
        <v/>
      </c>
      <c r="BL44" s="361">
        <f>IF(BL$3="","",BL31+BL32+BL33)</f>
        <v/>
      </c>
      <c r="BM44" s="361">
        <f>IF(BM$3="","",BM31+BM32+BM33)</f>
        <v/>
      </c>
      <c r="BN44" s="361">
        <f>IF(BN$3="","",BN31+BN32+BN33)</f>
        <v/>
      </c>
      <c r="BO44" s="361">
        <f>IF(BO$3="","",BO31+BO32+BO33)</f>
        <v/>
      </c>
      <c r="BP44" s="361">
        <f>IF(BP$3="","",BP31+BP32+BP33)</f>
        <v/>
      </c>
      <c r="BQ44" s="361">
        <f>IF(BQ$3="","",BQ31+BQ32+BQ33)</f>
        <v/>
      </c>
      <c r="BR44" s="361">
        <f>IF(BR$3="","",BR31+BR32+BR33)</f>
        <v/>
      </c>
      <c r="BS44" s="361">
        <f>IF(BS$3="","",BS31+BS32+BS33)</f>
        <v/>
      </c>
      <c r="BT44" s="361">
        <f>IF(BT$3="","",BT31+BT32+BT33)</f>
        <v/>
      </c>
      <c r="BU44" s="361">
        <f>IF(BU$3="","",BU31+BU32+BU33)</f>
        <v/>
      </c>
      <c r="BV44" s="361">
        <f>IF(BV$3="","",BV31+BV32+BV33)</f>
        <v/>
      </c>
      <c r="BW44" s="361">
        <f>IF(BW$3="","",BW31+BW32+BW33)</f>
        <v/>
      </c>
      <c r="BX44" s="361">
        <f>IF(BX$3="","",BX31+BX32+BX33)</f>
        <v/>
      </c>
      <c r="BY44" s="361">
        <f>IF(BY$3="","",BY31+BY32+BY33)</f>
        <v/>
      </c>
      <c r="BZ44" s="361">
        <f>IF(BZ$3="","",BZ31+BZ32+BZ33)</f>
        <v/>
      </c>
      <c r="CA44" s="361">
        <f>IF(CA$3="","",CA31+CA32+CA33)</f>
        <v/>
      </c>
      <c r="CB44" s="361">
        <f>IF(CB$3="","",CB31+CB32+CB33)</f>
        <v/>
      </c>
      <c r="CC44" s="361">
        <f>IF(CC$3="","",CC31+CC32+CC33)</f>
        <v/>
      </c>
      <c r="CD44" s="361">
        <f>IF(CD$3="","",CD31+CD32+CD33)</f>
        <v/>
      </c>
      <c r="CE44" s="361">
        <f>IF(CE$3="","",CE31+CE32+CE33)</f>
        <v/>
      </c>
      <c r="CF44" s="361">
        <f>IF(CF$3="","",CF31+CF32+CF33)</f>
        <v/>
      </c>
      <c r="CG44" s="361">
        <f>IF(CG$3="","",CG31+CG32+CG33)</f>
        <v/>
      </c>
      <c r="CH44" s="361">
        <f>IF(CH$3="","",CH31+CH32+CH33)</f>
        <v/>
      </c>
      <c r="CI44" s="361">
        <f>IF(CI$3="","",CI31+CI32+CI33)</f>
        <v/>
      </c>
      <c r="CJ44" s="361">
        <f>IF(CJ$3="","",CJ31+CJ32+CJ33)</f>
        <v/>
      </c>
      <c r="CK44" s="361">
        <f>IF(CK$3="","",CK31+CK32+CK33)</f>
        <v/>
      </c>
      <c r="CL44" s="361">
        <f>IF(CL$3="","",CL31+CL32+CL33)</f>
        <v/>
      </c>
      <c r="CM44" s="361">
        <f>IF(CM$3="","",CM31+CM32+CM33)</f>
        <v/>
      </c>
      <c r="CN44" s="361">
        <f>IF(CN$3="","",CN31+CN32+CN33)</f>
        <v/>
      </c>
      <c r="CO44" s="361">
        <f>IF(CO$3="","",CO31+CO32+CO33)</f>
        <v/>
      </c>
      <c r="CP44" s="361">
        <f>IF(CP$3="","",CP31+CP32+CP33)</f>
        <v/>
      </c>
      <c r="CQ44" s="361">
        <f>IF(CQ$3="","",CQ31+CQ32+CQ33)</f>
        <v/>
      </c>
      <c r="CR44" s="361">
        <f>IF(CR$3="","",CR31+CR32+CR33)</f>
        <v/>
      </c>
      <c r="CS44" s="361">
        <f>IF(CS$3="","",CS31+CS32+CS33)</f>
        <v/>
      </c>
      <c r="CT44" s="361">
        <f>IF(CT$3="","",CT31+CT32+CT33)</f>
        <v/>
      </c>
      <c r="CU44" s="361">
        <f>IF(CU$3="","",CU31+CU32+CU33)</f>
        <v/>
      </c>
      <c r="CV44" s="361">
        <f>IF(CV$3="","",CV31+CV32+CV33)</f>
        <v/>
      </c>
      <c r="CW44" s="361">
        <f>IF(CW$3="","",CW31+CW32+CW33)</f>
        <v/>
      </c>
    </row>
    <row r="45" ht="15" customHeight="1" s="180">
      <c r="A45" s="241" t="inlineStr">
        <is>
          <t>負債合計（参考）</t>
        </is>
      </c>
      <c r="B45" s="362">
        <f>IF(B$3="","",B34)</f>
        <v/>
      </c>
      <c r="C45" s="362">
        <f>IF(C$3="","",C34)</f>
        <v/>
      </c>
      <c r="D45" s="362">
        <f>IF(D$3="","",D34)</f>
        <v/>
      </c>
      <c r="E45" s="362">
        <f>IF(E$3="","",E34)</f>
        <v/>
      </c>
      <c r="F45" s="362">
        <f>IF(F$3="","",F34)</f>
        <v/>
      </c>
      <c r="G45" s="362">
        <f>IF(G$3="","",G34)</f>
        <v/>
      </c>
      <c r="H45" s="362">
        <f>IF(H$3="","",H34)</f>
        <v/>
      </c>
      <c r="I45" s="362">
        <f>IF(I$3="","",I34)</f>
        <v/>
      </c>
      <c r="J45" s="362">
        <f>IF(J$3="","",J34)</f>
        <v/>
      </c>
      <c r="K45" s="362">
        <f>IF(K$3="","",K34)</f>
        <v/>
      </c>
      <c r="L45" s="362">
        <f>IF(L$3="","",L34)</f>
        <v/>
      </c>
      <c r="M45" s="362">
        <f>IF(M$3="","",M34)</f>
        <v/>
      </c>
      <c r="N45" s="362">
        <f>IF(N$3="","",N34)</f>
        <v/>
      </c>
      <c r="O45" s="362">
        <f>IF(O$3="","",O34)</f>
        <v/>
      </c>
      <c r="P45" s="362">
        <f>IF(P$3="","",P34)</f>
        <v/>
      </c>
      <c r="Q45" s="362">
        <f>IF(Q$3="","",Q34)</f>
        <v/>
      </c>
      <c r="R45" s="362">
        <f>IF(R$3="","",R34)</f>
        <v/>
      </c>
      <c r="S45" s="362">
        <f>IF(S$3="","",S34)</f>
        <v/>
      </c>
      <c r="T45" s="362">
        <f>IF(T$3="","",T34)</f>
        <v/>
      </c>
      <c r="U45" s="362">
        <f>IF(U$3="","",U34)</f>
        <v/>
      </c>
      <c r="V45" s="362">
        <f>IF(V$3="","",V34)</f>
        <v/>
      </c>
      <c r="W45" s="362">
        <f>IF(W$3="","",W34)</f>
        <v/>
      </c>
      <c r="X45" s="362">
        <f>IF(X$3="","",X34)</f>
        <v/>
      </c>
      <c r="Y45" s="362">
        <f>IF(Y$3="","",Y34)</f>
        <v/>
      </c>
      <c r="Z45" s="362">
        <f>IF(Z$3="","",Z34)</f>
        <v/>
      </c>
      <c r="AA45" s="362">
        <f>IF(AA$3="","",AA34)</f>
        <v/>
      </c>
      <c r="AB45" s="362">
        <f>IF(AB$3="","",AB34)</f>
        <v/>
      </c>
      <c r="AC45" s="362">
        <f>IF(AC$3="","",AC34)</f>
        <v/>
      </c>
      <c r="AD45" s="362">
        <f>IF(AD$3="","",AD34)</f>
        <v/>
      </c>
      <c r="AE45" s="362">
        <f>IF(AE$3="","",AE34)</f>
        <v/>
      </c>
      <c r="AF45" s="362">
        <f>IF(AF$3="","",AF34)</f>
        <v/>
      </c>
      <c r="AG45" s="362">
        <f>IF(AG$3="","",AG34)</f>
        <v/>
      </c>
      <c r="AH45" s="362">
        <f>IF(AH$3="","",AH34)</f>
        <v/>
      </c>
      <c r="AI45" s="362">
        <f>IF(AI$3="","",AI34)</f>
        <v/>
      </c>
      <c r="AJ45" s="362">
        <f>IF(AJ$3="","",AJ34)</f>
        <v/>
      </c>
      <c r="AK45" s="362">
        <f>IF(AK$3="","",AK34)</f>
        <v/>
      </c>
      <c r="AL45" s="362">
        <f>IF(AL$3="","",AL34)</f>
        <v/>
      </c>
      <c r="AM45" s="362">
        <f>IF(AM$3="","",AM34)</f>
        <v/>
      </c>
      <c r="AN45" s="362">
        <f>IF(AN$3="","",AN34)</f>
        <v/>
      </c>
      <c r="AO45" s="362">
        <f>IF(AO$3="","",AO34)</f>
        <v/>
      </c>
      <c r="AP45" s="362">
        <f>IF(AP$3="","",AP34)</f>
        <v/>
      </c>
      <c r="AQ45" s="362">
        <f>IF(AQ$3="","",AQ34)</f>
        <v/>
      </c>
      <c r="AR45" s="362">
        <f>IF(AR$3="","",AR34)</f>
        <v/>
      </c>
      <c r="AS45" s="362">
        <f>IF(AS$3="","",AS34)</f>
        <v/>
      </c>
      <c r="AT45" s="362">
        <f>IF(AT$3="","",AT34)</f>
        <v/>
      </c>
      <c r="AU45" s="362">
        <f>IF(AU$3="","",AU34)</f>
        <v/>
      </c>
      <c r="AV45" s="362">
        <f>IF(AV$3="","",AV34)</f>
        <v/>
      </c>
      <c r="AW45" s="362">
        <f>IF(AW$3="","",AW34)</f>
        <v/>
      </c>
      <c r="AX45" s="362">
        <f>IF(AX$3="","",AX34)</f>
        <v/>
      </c>
      <c r="AY45" s="362">
        <f>IF(AY$3="","",AY34)</f>
        <v/>
      </c>
      <c r="AZ45" s="362">
        <f>IF(AZ$3="","",AZ34)</f>
        <v/>
      </c>
      <c r="BA45" s="362">
        <f>IF(BA$3="","",BA34)</f>
        <v/>
      </c>
      <c r="BB45" s="362">
        <f>IF(BB$3="","",BB34)</f>
        <v/>
      </c>
      <c r="BC45" s="362">
        <f>IF(BC$3="","",BC34)</f>
        <v/>
      </c>
      <c r="BD45" s="362">
        <f>IF(BD$3="","",BD34)</f>
        <v/>
      </c>
      <c r="BE45" s="362">
        <f>IF(BE$3="","",BE34)</f>
        <v/>
      </c>
      <c r="BF45" s="362">
        <f>IF(BF$3="","",BF34)</f>
        <v/>
      </c>
      <c r="BG45" s="362">
        <f>IF(BG$3="","",BG34)</f>
        <v/>
      </c>
      <c r="BH45" s="362">
        <f>IF(BH$3="","",BH34)</f>
        <v/>
      </c>
      <c r="BI45" s="362">
        <f>IF(BI$3="","",BI34)</f>
        <v/>
      </c>
      <c r="BJ45" s="362">
        <f>IF(BJ$3="","",BJ34)</f>
        <v/>
      </c>
      <c r="BK45" s="362">
        <f>IF(BK$3="","",BK34)</f>
        <v/>
      </c>
      <c r="BL45" s="362">
        <f>IF(BL$3="","",BL34)</f>
        <v/>
      </c>
      <c r="BM45" s="362">
        <f>IF(BM$3="","",BM34)</f>
        <v/>
      </c>
      <c r="BN45" s="362">
        <f>IF(BN$3="","",BN34)</f>
        <v/>
      </c>
      <c r="BO45" s="362">
        <f>IF(BO$3="","",BO34)</f>
        <v/>
      </c>
      <c r="BP45" s="362">
        <f>IF(BP$3="","",BP34)</f>
        <v/>
      </c>
      <c r="BQ45" s="361">
        <f>IF(BQ$3="","",BQ34)</f>
        <v/>
      </c>
      <c r="BR45" s="361">
        <f>IF(BR$3="","",BR34)</f>
        <v/>
      </c>
      <c r="BS45" s="361">
        <f>IF(BS$3="","",BS34)</f>
        <v/>
      </c>
      <c r="BT45" s="361">
        <f>IF(BT$3="","",BT34)</f>
        <v/>
      </c>
      <c r="BU45" s="361">
        <f>IF(BU$3="","",BU34)</f>
        <v/>
      </c>
      <c r="BV45" s="361">
        <f>IF(BV$3="","",BV34)</f>
        <v/>
      </c>
      <c r="BW45" s="361">
        <f>IF(BW$3="","",BW34)</f>
        <v/>
      </c>
      <c r="BX45" s="361">
        <f>IF(BX$3="","",BX34)</f>
        <v/>
      </c>
      <c r="BY45" s="361">
        <f>IF(BY$3="","",BY34)</f>
        <v/>
      </c>
      <c r="BZ45" s="361">
        <f>IF(BZ$3="","",BZ34)</f>
        <v/>
      </c>
      <c r="CA45" s="361">
        <f>IF(CA$3="","",CA34)</f>
        <v/>
      </c>
      <c r="CB45" s="361">
        <f>IF(CB$3="","",CB34)</f>
        <v/>
      </c>
      <c r="CC45" s="361">
        <f>IF(CC$3="","",CC34)</f>
        <v/>
      </c>
      <c r="CD45" s="361">
        <f>IF(CD$3="","",CD34)</f>
        <v/>
      </c>
      <c r="CE45" s="361">
        <f>IF(CE$3="","",CE34)</f>
        <v/>
      </c>
      <c r="CF45" s="361">
        <f>IF(CF$3="","",CF34)</f>
        <v/>
      </c>
      <c r="CG45" s="361">
        <f>IF(CG$3="","",CG34)</f>
        <v/>
      </c>
      <c r="CH45" s="361">
        <f>IF(CH$3="","",CH34)</f>
        <v/>
      </c>
      <c r="CI45" s="361">
        <f>IF(CI$3="","",CI34)</f>
        <v/>
      </c>
      <c r="CJ45" s="361">
        <f>IF(CJ$3="","",CJ34)</f>
        <v/>
      </c>
      <c r="CK45" s="361">
        <f>IF(CK$3="","",CK34)</f>
        <v/>
      </c>
      <c r="CL45" s="361">
        <f>IF(CL$3="","",CL34)</f>
        <v/>
      </c>
      <c r="CM45" s="361">
        <f>IF(CM$3="","",CM34)</f>
        <v/>
      </c>
      <c r="CN45" s="361">
        <f>IF(CN$3="","",CN34)</f>
        <v/>
      </c>
      <c r="CO45" s="361">
        <f>IF(CO$3="","",CO34)</f>
        <v/>
      </c>
      <c r="CP45" s="361">
        <f>IF(CP$3="","",CP34)</f>
        <v/>
      </c>
      <c r="CQ45" s="361">
        <f>IF(CQ$3="","",CQ34)</f>
        <v/>
      </c>
      <c r="CR45" s="361">
        <f>IF(CR$3="","",CR34)</f>
        <v/>
      </c>
      <c r="CS45" s="361">
        <f>IF(CS$3="","",CS34)</f>
        <v/>
      </c>
      <c r="CT45" s="361">
        <f>IF(CT$3="","",CT34)</f>
        <v/>
      </c>
      <c r="CU45" s="361">
        <f>IF(CU$3="","",CU34)</f>
        <v/>
      </c>
      <c r="CV45" s="361">
        <f>IF(CV$3="","",CV34)</f>
        <v/>
      </c>
      <c r="CW45" s="361">
        <f>IF(CW$3="","",CW34)</f>
        <v/>
      </c>
    </row>
  </sheetData>
  <mergeCells count="1">
    <mergeCell ref="A1:CW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CW4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4" customWidth="1" style="179" min="1" max="1"/>
    <col width="11" customWidth="1" style="179" min="2" max="101"/>
  </cols>
  <sheetData>
    <row r="1" ht="21" customHeight="1" s="180">
      <c r="A1" s="292" t="inlineStr">
        <is>
          <t>ライフプラン表（奥様働けない時・万円表示）</t>
        </is>
      </c>
    </row>
    <row r="2" ht="15" customHeight="1" s="180">
      <c r="A2" s="214" t="inlineStr">
        <is>
          <t>試算終了年</t>
        </is>
      </c>
      <c r="B2" s="179">
        <f>'CF表（奥様働けない時）'!B2</f>
        <v/>
      </c>
    </row>
    <row r="3" ht="15" customHeight="1" s="180">
      <c r="A3" s="215" t="inlineStr">
        <is>
          <t>年</t>
        </is>
      </c>
      <c r="B3" s="216">
        <f>IF('CF表（奥様働けない時）'!B3="","",'CF表（奥様働けない時）'!B3)</f>
        <v/>
      </c>
      <c r="C3" s="216">
        <f>IF('CF表（奥様働けない時）'!C3="","",'CF表（奥様働けない時）'!C3)</f>
        <v/>
      </c>
      <c r="D3" s="216">
        <f>IF('CF表（奥様働けない時）'!D3="","",'CF表（奥様働けない時）'!D3)</f>
        <v/>
      </c>
      <c r="E3" s="216">
        <f>IF('CF表（奥様働けない時）'!E3="","",'CF表（奥様働けない時）'!E3)</f>
        <v/>
      </c>
      <c r="F3" s="216">
        <f>IF('CF表（奥様働けない時）'!F3="","",'CF表（奥様働けない時）'!F3)</f>
        <v/>
      </c>
      <c r="G3" s="216">
        <f>IF('CF表（奥様働けない時）'!G3="","",'CF表（奥様働けない時）'!G3)</f>
        <v/>
      </c>
      <c r="H3" s="216">
        <f>IF('CF表（奥様働けない時）'!H3="","",'CF表（奥様働けない時）'!H3)</f>
        <v/>
      </c>
      <c r="I3" s="216">
        <f>IF('CF表（奥様働けない時）'!I3="","",'CF表（奥様働けない時）'!I3)</f>
        <v/>
      </c>
      <c r="J3" s="216">
        <f>IF('CF表（奥様働けない時）'!J3="","",'CF表（奥様働けない時）'!J3)</f>
        <v/>
      </c>
      <c r="K3" s="216">
        <f>IF('CF表（奥様働けない時）'!K3="","",'CF表（奥様働けない時）'!K3)</f>
        <v/>
      </c>
      <c r="L3" s="216">
        <f>IF('CF表（奥様働けない時）'!L3="","",'CF表（奥様働けない時）'!L3)</f>
        <v/>
      </c>
      <c r="M3" s="216">
        <f>IF('CF表（奥様働けない時）'!M3="","",'CF表（奥様働けない時）'!M3)</f>
        <v/>
      </c>
      <c r="N3" s="216">
        <f>IF('CF表（奥様働けない時）'!N3="","",'CF表（奥様働けない時）'!N3)</f>
        <v/>
      </c>
      <c r="O3" s="216">
        <f>IF('CF表（奥様働けない時）'!O3="","",'CF表（奥様働けない時）'!O3)</f>
        <v/>
      </c>
      <c r="P3" s="216">
        <f>IF('CF表（奥様働けない時）'!P3="","",'CF表（奥様働けない時）'!P3)</f>
        <v/>
      </c>
      <c r="Q3" s="216">
        <f>IF('CF表（奥様働けない時）'!Q3="","",'CF表（奥様働けない時）'!Q3)</f>
        <v/>
      </c>
      <c r="R3" s="216">
        <f>IF('CF表（奥様働けない時）'!R3="","",'CF表（奥様働けない時）'!R3)</f>
        <v/>
      </c>
      <c r="S3" s="216">
        <f>IF('CF表（奥様働けない時）'!S3="","",'CF表（奥様働けない時）'!S3)</f>
        <v/>
      </c>
      <c r="T3" s="216">
        <f>IF('CF表（奥様働けない時）'!T3="","",'CF表（奥様働けない時）'!T3)</f>
        <v/>
      </c>
      <c r="U3" s="216">
        <f>IF('CF表（奥様働けない時）'!U3="","",'CF表（奥様働けない時）'!U3)</f>
        <v/>
      </c>
      <c r="V3" s="216">
        <f>IF('CF表（奥様働けない時）'!V3="","",'CF表（奥様働けない時）'!V3)</f>
        <v/>
      </c>
      <c r="W3" s="216">
        <f>IF('CF表（奥様働けない時）'!W3="","",'CF表（奥様働けない時）'!W3)</f>
        <v/>
      </c>
      <c r="X3" s="216">
        <f>IF('CF表（奥様働けない時）'!X3="","",'CF表（奥様働けない時）'!X3)</f>
        <v/>
      </c>
      <c r="Y3" s="216">
        <f>IF('CF表（奥様働けない時）'!Y3="","",'CF表（奥様働けない時）'!Y3)</f>
        <v/>
      </c>
      <c r="Z3" s="216">
        <f>IF('CF表（奥様働けない時）'!Z3="","",'CF表（奥様働けない時）'!Z3)</f>
        <v/>
      </c>
      <c r="AA3" s="216">
        <f>IF('CF表（奥様働けない時）'!AA3="","",'CF表（奥様働けない時）'!AA3)</f>
        <v/>
      </c>
      <c r="AB3" s="216">
        <f>IF('CF表（奥様働けない時）'!AB3="","",'CF表（奥様働けない時）'!AB3)</f>
        <v/>
      </c>
      <c r="AC3" s="216">
        <f>IF('CF表（奥様働けない時）'!AC3="","",'CF表（奥様働けない時）'!AC3)</f>
        <v/>
      </c>
      <c r="AD3" s="216">
        <f>IF('CF表（奥様働けない時）'!AD3="","",'CF表（奥様働けない時）'!AD3)</f>
        <v/>
      </c>
      <c r="AE3" s="216">
        <f>IF('CF表（奥様働けない時）'!AE3="","",'CF表（奥様働けない時）'!AE3)</f>
        <v/>
      </c>
      <c r="AF3" s="216">
        <f>IF('CF表（奥様働けない時）'!AF3="","",'CF表（奥様働けない時）'!AF3)</f>
        <v/>
      </c>
      <c r="AG3" s="216">
        <f>IF('CF表（奥様働けない時）'!AG3="","",'CF表（奥様働けない時）'!AG3)</f>
        <v/>
      </c>
      <c r="AH3" s="216">
        <f>IF('CF表（奥様働けない時）'!AH3="","",'CF表（奥様働けない時）'!AH3)</f>
        <v/>
      </c>
      <c r="AI3" s="216">
        <f>IF('CF表（奥様働けない時）'!AI3="","",'CF表（奥様働けない時）'!AI3)</f>
        <v/>
      </c>
      <c r="AJ3" s="216">
        <f>IF('CF表（奥様働けない時）'!AJ3="","",'CF表（奥様働けない時）'!AJ3)</f>
        <v/>
      </c>
      <c r="AK3" s="216">
        <f>IF('CF表（奥様働けない時）'!AK3="","",'CF表（奥様働けない時）'!AK3)</f>
        <v/>
      </c>
      <c r="AL3" s="216">
        <f>IF('CF表（奥様働けない時）'!AL3="","",'CF表（奥様働けない時）'!AL3)</f>
        <v/>
      </c>
      <c r="AM3" s="216">
        <f>IF('CF表（奥様働けない時）'!AM3="","",'CF表（奥様働けない時）'!AM3)</f>
        <v/>
      </c>
      <c r="AN3" s="216">
        <f>IF('CF表（奥様働けない時）'!AN3="","",'CF表（奥様働けない時）'!AN3)</f>
        <v/>
      </c>
      <c r="AO3" s="216">
        <f>IF('CF表（奥様働けない時）'!AO3="","",'CF表（奥様働けない時）'!AO3)</f>
        <v/>
      </c>
      <c r="AP3" s="216">
        <f>IF('CF表（奥様働けない時）'!AP3="","",'CF表（奥様働けない時）'!AP3)</f>
        <v/>
      </c>
      <c r="AQ3" s="216">
        <f>IF('CF表（奥様働けない時）'!AQ3="","",'CF表（奥様働けない時）'!AQ3)</f>
        <v/>
      </c>
      <c r="AR3" s="216">
        <f>IF('CF表（奥様働けない時）'!AR3="","",'CF表（奥様働けない時）'!AR3)</f>
        <v/>
      </c>
      <c r="AS3" s="216">
        <f>IF('CF表（奥様働けない時）'!AS3="","",'CF表（奥様働けない時）'!AS3)</f>
        <v/>
      </c>
      <c r="AT3" s="216">
        <f>IF('CF表（奥様働けない時）'!AT3="","",'CF表（奥様働けない時）'!AT3)</f>
        <v/>
      </c>
      <c r="AU3" s="216">
        <f>IF('CF表（奥様働けない時）'!AU3="","",'CF表（奥様働けない時）'!AU3)</f>
        <v/>
      </c>
      <c r="AV3" s="216">
        <f>IF('CF表（奥様働けない時）'!AV3="","",'CF表（奥様働けない時）'!AV3)</f>
        <v/>
      </c>
      <c r="AW3" s="216">
        <f>IF('CF表（奥様働けない時）'!AW3="","",'CF表（奥様働けない時）'!AW3)</f>
        <v/>
      </c>
      <c r="AX3" s="216">
        <f>IF('CF表（奥様働けない時）'!AX3="","",'CF表（奥様働けない時）'!AX3)</f>
        <v/>
      </c>
      <c r="AY3" s="216">
        <f>IF('CF表（奥様働けない時）'!AY3="","",'CF表（奥様働けない時）'!AY3)</f>
        <v/>
      </c>
      <c r="AZ3" s="216">
        <f>IF('CF表（奥様働けない時）'!AZ3="","",'CF表（奥様働けない時）'!AZ3)</f>
        <v/>
      </c>
      <c r="BA3" s="216">
        <f>IF('CF表（奥様働けない時）'!BA3="","",'CF表（奥様働けない時）'!BA3)</f>
        <v/>
      </c>
      <c r="BB3" s="216">
        <f>IF('CF表（奥様働けない時）'!BB3="","",'CF表（奥様働けない時）'!BB3)</f>
        <v/>
      </c>
      <c r="BC3" s="216">
        <f>IF('CF表（奥様働けない時）'!BC3="","",'CF表（奥様働けない時）'!BC3)</f>
        <v/>
      </c>
      <c r="BD3" s="216">
        <f>IF('CF表（奥様働けない時）'!BD3="","",'CF表（奥様働けない時）'!BD3)</f>
        <v/>
      </c>
      <c r="BE3" s="216">
        <f>IF('CF表（奥様働けない時）'!BE3="","",'CF表（奥様働けない時）'!BE3)</f>
        <v/>
      </c>
      <c r="BF3" s="216">
        <f>IF('CF表（奥様働けない時）'!BF3="","",'CF表（奥様働けない時）'!BF3)</f>
        <v/>
      </c>
      <c r="BG3" s="216">
        <f>IF('CF表（奥様働けない時）'!BG3="","",'CF表（奥様働けない時）'!BG3)</f>
        <v/>
      </c>
      <c r="BH3" s="216">
        <f>IF('CF表（奥様働けない時）'!BH3="","",'CF表（奥様働けない時）'!BH3)</f>
        <v/>
      </c>
      <c r="BI3" s="216">
        <f>IF('CF表（奥様働けない時）'!BI3="","",'CF表（奥様働けない時）'!BI3)</f>
        <v/>
      </c>
      <c r="BJ3" s="216">
        <f>IF('CF表（奥様働けない時）'!BJ3="","",'CF表（奥様働けない時）'!BJ3)</f>
        <v/>
      </c>
      <c r="BK3" s="216">
        <f>IF('CF表（奥様働けない時）'!BK3="","",'CF表（奥様働けない時）'!BK3)</f>
        <v/>
      </c>
      <c r="BL3" s="216">
        <f>IF('CF表（奥様働けない時）'!BL3="","",'CF表（奥様働けない時）'!BL3)</f>
        <v/>
      </c>
      <c r="BM3" s="216">
        <f>IF('CF表（奥様働けない時）'!BM3="","",'CF表（奥様働けない時）'!BM3)</f>
        <v/>
      </c>
      <c r="BN3" s="216">
        <f>IF('CF表（奥様働けない時）'!BN3="","",'CF表（奥様働けない時）'!BN3)</f>
        <v/>
      </c>
      <c r="BO3" s="216">
        <f>IF('CF表（奥様働けない時）'!BO3="","",'CF表（奥様働けない時）'!BO3)</f>
        <v/>
      </c>
      <c r="BP3" s="216">
        <f>IF('CF表（奥様働けない時）'!BP3="","",'CF表（奥様働けない時）'!BP3)</f>
        <v/>
      </c>
      <c r="BQ3" s="216">
        <f>IF('CF表（奥様働けない時）'!BQ3="","",'CF表（奥様働けない時）'!BQ3)</f>
        <v/>
      </c>
      <c r="BR3" s="216">
        <f>IF('CF表（奥様働けない時）'!BR3="","",'CF表（奥様働けない時）'!BR3)</f>
        <v/>
      </c>
      <c r="BS3" s="216">
        <f>IF('CF表（奥様働けない時）'!BS3="","",'CF表（奥様働けない時）'!BS3)</f>
        <v/>
      </c>
      <c r="BT3" s="216">
        <f>IF('CF表（奥様働けない時）'!BT3="","",'CF表（奥様働けない時）'!BT3)</f>
        <v/>
      </c>
      <c r="BU3" s="216">
        <f>IF('CF表（奥様働けない時）'!BU3="","",'CF表（奥様働けない時）'!BU3)</f>
        <v/>
      </c>
      <c r="BV3" s="216">
        <f>IF('CF表（奥様働けない時）'!BV3="","",'CF表（奥様働けない時）'!BV3)</f>
        <v/>
      </c>
      <c r="BW3" s="216">
        <f>IF('CF表（奥様働けない時）'!BW3="","",'CF表（奥様働けない時）'!BW3)</f>
        <v/>
      </c>
      <c r="BX3" s="216">
        <f>IF('CF表（奥様働けない時）'!BX3="","",'CF表（奥様働けない時）'!BX3)</f>
        <v/>
      </c>
      <c r="BY3" s="216">
        <f>IF('CF表（奥様働けない時）'!BY3="","",'CF表（奥様働けない時）'!BY3)</f>
        <v/>
      </c>
      <c r="BZ3" s="216">
        <f>IF('CF表（奥様働けない時）'!BZ3="","",'CF表（奥様働けない時）'!BZ3)</f>
        <v/>
      </c>
      <c r="CA3" s="216">
        <f>IF('CF表（奥様働けない時）'!CA3="","",'CF表（奥様働けない時）'!CA3)</f>
        <v/>
      </c>
      <c r="CB3" s="216">
        <f>IF('CF表（奥様働けない時）'!CB3="","",'CF表（奥様働けない時）'!CB3)</f>
        <v/>
      </c>
      <c r="CC3" s="216">
        <f>IF('CF表（奥様働けない時）'!CC3="","",'CF表（奥様働けない時）'!CC3)</f>
        <v/>
      </c>
      <c r="CD3" s="216">
        <f>IF('CF表（奥様働けない時）'!CD3="","",'CF表（奥様働けない時）'!CD3)</f>
        <v/>
      </c>
      <c r="CE3" s="216">
        <f>IF('CF表（奥様働けない時）'!CE3="","",'CF表（奥様働けない時）'!CE3)</f>
        <v/>
      </c>
      <c r="CF3" s="216">
        <f>IF('CF表（奥様働けない時）'!CF3="","",'CF表（奥様働けない時）'!CF3)</f>
        <v/>
      </c>
      <c r="CG3" s="216">
        <f>IF('CF表（奥様働けない時）'!CG3="","",'CF表（奥様働けない時）'!CG3)</f>
        <v/>
      </c>
      <c r="CH3" s="216">
        <f>IF('CF表（奥様働けない時）'!CH3="","",'CF表（奥様働けない時）'!CH3)</f>
        <v/>
      </c>
      <c r="CI3" s="216">
        <f>IF('CF表（奥様働けない時）'!CI3="","",'CF表（奥様働けない時）'!CI3)</f>
        <v/>
      </c>
      <c r="CJ3" s="216">
        <f>IF('CF表（奥様働けない時）'!CJ3="","",'CF表（奥様働けない時）'!CJ3)</f>
        <v/>
      </c>
      <c r="CK3" s="216">
        <f>IF('CF表（奥様働けない時）'!CK3="","",'CF表（奥様働けない時）'!CK3)</f>
        <v/>
      </c>
      <c r="CL3" s="216">
        <f>IF('CF表（奥様働けない時）'!CL3="","",'CF表（奥様働けない時）'!CL3)</f>
        <v/>
      </c>
      <c r="CM3" s="216">
        <f>IF('CF表（奥様働けない時）'!CM3="","",'CF表（奥様働けない時）'!CM3)</f>
        <v/>
      </c>
      <c r="CN3" s="216">
        <f>IF('CF表（奥様働けない時）'!CN3="","",'CF表（奥様働けない時）'!CN3)</f>
        <v/>
      </c>
      <c r="CO3" s="216">
        <f>IF('CF表（奥様働けない時）'!CO3="","",'CF表（奥様働けない時）'!CO3)</f>
        <v/>
      </c>
      <c r="CP3" s="216">
        <f>IF('CF表（奥様働けない時）'!CP3="","",'CF表（奥様働けない時）'!CP3)</f>
        <v/>
      </c>
      <c r="CQ3" s="216">
        <f>IF('CF表（奥様働けない時）'!CQ3="","",'CF表（奥様働けない時）'!CQ3)</f>
        <v/>
      </c>
      <c r="CR3" s="216">
        <f>IF('CF表（奥様働けない時）'!CR3="","",'CF表（奥様働けない時）'!CR3)</f>
        <v/>
      </c>
      <c r="CS3" s="216">
        <f>IF('CF表（奥様働けない時）'!CS3="","",'CF表（奥様働けない時）'!CS3)</f>
        <v/>
      </c>
      <c r="CT3" s="216">
        <f>IF('CF表（奥様働けない時）'!CT3="","",'CF表（奥様働けない時）'!CT3)</f>
        <v/>
      </c>
      <c r="CU3" s="216">
        <f>IF('CF表（奥様働けない時）'!CU3="","",'CF表（奥様働けない時）'!CU3)</f>
        <v/>
      </c>
      <c r="CV3" s="216">
        <f>IF('CF表（奥様働けない時）'!CV3="","",'CF表（奥様働けない時）'!CV3)</f>
        <v/>
      </c>
      <c r="CW3" s="216">
        <f>IF('CF表（奥様働けない時）'!CW3="","",'CF表（奥様働けない時）'!CW3)</f>
        <v/>
      </c>
    </row>
    <row r="4" ht="15" customHeight="1" s="180">
      <c r="A4" s="217" t="inlineStr">
        <is>
          <t>ご主人様年齢</t>
        </is>
      </c>
      <c r="B4" s="218">
        <f>IF('CF表（奥様働けない時）'!B4="","",'CF表（奥様働けない時）'!B4)</f>
        <v/>
      </c>
      <c r="C4" s="218">
        <f>IF('CF表（奥様働けない時）'!C4="","",'CF表（奥様働けない時）'!C4)</f>
        <v/>
      </c>
      <c r="D4" s="218">
        <f>IF('CF表（奥様働けない時）'!D4="","",'CF表（奥様働けない時）'!D4)</f>
        <v/>
      </c>
      <c r="E4" s="218">
        <f>IF('CF表（奥様働けない時）'!E4="","",'CF表（奥様働けない時）'!E4)</f>
        <v/>
      </c>
      <c r="F4" s="218">
        <f>IF('CF表（奥様働けない時）'!F4="","",'CF表（奥様働けない時）'!F4)</f>
        <v/>
      </c>
      <c r="G4" s="218">
        <f>IF('CF表（奥様働けない時）'!G4="","",'CF表（奥様働けない時）'!G4)</f>
        <v/>
      </c>
      <c r="H4" s="218">
        <f>IF('CF表（奥様働けない時）'!H4="","",'CF表（奥様働けない時）'!H4)</f>
        <v/>
      </c>
      <c r="I4" s="218">
        <f>IF('CF表（奥様働けない時）'!I4="","",'CF表（奥様働けない時）'!I4)</f>
        <v/>
      </c>
      <c r="J4" s="218">
        <f>IF('CF表（奥様働けない時）'!J4="","",'CF表（奥様働けない時）'!J4)</f>
        <v/>
      </c>
      <c r="K4" s="218">
        <f>IF('CF表（奥様働けない時）'!K4="","",'CF表（奥様働けない時）'!K4)</f>
        <v/>
      </c>
      <c r="L4" s="218">
        <f>IF('CF表（奥様働けない時）'!L4="","",'CF表（奥様働けない時）'!L4)</f>
        <v/>
      </c>
      <c r="M4" s="218">
        <f>IF('CF表（奥様働けない時）'!M4="","",'CF表（奥様働けない時）'!M4)</f>
        <v/>
      </c>
      <c r="N4" s="218">
        <f>IF('CF表（奥様働けない時）'!N4="","",'CF表（奥様働けない時）'!N4)</f>
        <v/>
      </c>
      <c r="O4" s="218">
        <f>IF('CF表（奥様働けない時）'!O4="","",'CF表（奥様働けない時）'!O4)</f>
        <v/>
      </c>
      <c r="P4" s="218">
        <f>IF('CF表（奥様働けない時）'!P4="","",'CF表（奥様働けない時）'!P4)</f>
        <v/>
      </c>
      <c r="Q4" s="218">
        <f>IF('CF表（奥様働けない時）'!Q4="","",'CF表（奥様働けない時）'!Q4)</f>
        <v/>
      </c>
      <c r="R4" s="218">
        <f>IF('CF表（奥様働けない時）'!R4="","",'CF表（奥様働けない時）'!R4)</f>
        <v/>
      </c>
      <c r="S4" s="218">
        <f>IF('CF表（奥様働けない時）'!S4="","",'CF表（奥様働けない時）'!S4)</f>
        <v/>
      </c>
      <c r="T4" s="218">
        <f>IF('CF表（奥様働けない時）'!T4="","",'CF表（奥様働けない時）'!T4)</f>
        <v/>
      </c>
      <c r="U4" s="218">
        <f>IF('CF表（奥様働けない時）'!U4="","",'CF表（奥様働けない時）'!U4)</f>
        <v/>
      </c>
      <c r="V4" s="218">
        <f>IF('CF表（奥様働けない時）'!V4="","",'CF表（奥様働けない時）'!V4)</f>
        <v/>
      </c>
      <c r="W4" s="218">
        <f>IF('CF表（奥様働けない時）'!W4="","",'CF表（奥様働けない時）'!W4)</f>
        <v/>
      </c>
      <c r="X4" s="218">
        <f>IF('CF表（奥様働けない時）'!X4="","",'CF表（奥様働けない時）'!X4)</f>
        <v/>
      </c>
      <c r="Y4" s="218">
        <f>IF('CF表（奥様働けない時）'!Y4="","",'CF表（奥様働けない時）'!Y4)</f>
        <v/>
      </c>
      <c r="Z4" s="218">
        <f>IF('CF表（奥様働けない時）'!Z4="","",'CF表（奥様働けない時）'!Z4)</f>
        <v/>
      </c>
      <c r="AA4" s="218">
        <f>IF('CF表（奥様働けない時）'!AA4="","",'CF表（奥様働けない時）'!AA4)</f>
        <v/>
      </c>
      <c r="AB4" s="218">
        <f>IF('CF表（奥様働けない時）'!AB4="","",'CF表（奥様働けない時）'!AB4)</f>
        <v/>
      </c>
      <c r="AC4" s="218">
        <f>IF('CF表（奥様働けない時）'!AC4="","",'CF表（奥様働けない時）'!AC4)</f>
        <v/>
      </c>
      <c r="AD4" s="218">
        <f>IF('CF表（奥様働けない時）'!AD4="","",'CF表（奥様働けない時）'!AD4)</f>
        <v/>
      </c>
      <c r="AE4" s="218">
        <f>IF('CF表（奥様働けない時）'!AE4="","",'CF表（奥様働けない時）'!AE4)</f>
        <v/>
      </c>
      <c r="AF4" s="218">
        <f>IF('CF表（奥様働けない時）'!AF4="","",'CF表（奥様働けない時）'!AF4)</f>
        <v/>
      </c>
      <c r="AG4" s="218">
        <f>IF('CF表（奥様働けない時）'!AG4="","",'CF表（奥様働けない時）'!AG4)</f>
        <v/>
      </c>
      <c r="AH4" s="218">
        <f>IF('CF表（奥様働けない時）'!AH4="","",'CF表（奥様働けない時）'!AH4)</f>
        <v/>
      </c>
      <c r="AI4" s="218">
        <f>IF('CF表（奥様働けない時）'!AI4="","",'CF表（奥様働けない時）'!AI4)</f>
        <v/>
      </c>
      <c r="AJ4" s="218">
        <f>IF('CF表（奥様働けない時）'!AJ4="","",'CF表（奥様働けない時）'!AJ4)</f>
        <v/>
      </c>
      <c r="AK4" s="218">
        <f>IF('CF表（奥様働けない時）'!AK4="","",'CF表（奥様働けない時）'!AK4)</f>
        <v/>
      </c>
      <c r="AL4" s="218">
        <f>IF('CF表（奥様働けない時）'!AL4="","",'CF表（奥様働けない時）'!AL4)</f>
        <v/>
      </c>
      <c r="AM4" s="218">
        <f>IF('CF表（奥様働けない時）'!AM4="","",'CF表（奥様働けない時）'!AM4)</f>
        <v/>
      </c>
      <c r="AN4" s="218">
        <f>IF('CF表（奥様働けない時）'!AN4="","",'CF表（奥様働けない時）'!AN4)</f>
        <v/>
      </c>
      <c r="AO4" s="218">
        <f>IF('CF表（奥様働けない時）'!AO4="","",'CF表（奥様働けない時）'!AO4)</f>
        <v/>
      </c>
      <c r="AP4" s="218">
        <f>IF('CF表（奥様働けない時）'!AP4="","",'CF表（奥様働けない時）'!AP4)</f>
        <v/>
      </c>
      <c r="AQ4" s="218">
        <f>IF('CF表（奥様働けない時）'!AQ4="","",'CF表（奥様働けない時）'!AQ4)</f>
        <v/>
      </c>
      <c r="AR4" s="218">
        <f>IF('CF表（奥様働けない時）'!AR4="","",'CF表（奥様働けない時）'!AR4)</f>
        <v/>
      </c>
      <c r="AS4" s="218">
        <f>IF('CF表（奥様働けない時）'!AS4="","",'CF表（奥様働けない時）'!AS4)</f>
        <v/>
      </c>
      <c r="AT4" s="218">
        <f>IF('CF表（奥様働けない時）'!AT4="","",'CF表（奥様働けない時）'!AT4)</f>
        <v/>
      </c>
      <c r="AU4" s="218">
        <f>IF('CF表（奥様働けない時）'!AU4="","",'CF表（奥様働けない時）'!AU4)</f>
        <v/>
      </c>
      <c r="AV4" s="218">
        <f>IF('CF表（奥様働けない時）'!AV4="","",'CF表（奥様働けない時）'!AV4)</f>
        <v/>
      </c>
      <c r="AW4" s="218">
        <f>IF('CF表（奥様働けない時）'!AW4="","",'CF表（奥様働けない時）'!AW4)</f>
        <v/>
      </c>
      <c r="AX4" s="218">
        <f>IF('CF表（奥様働けない時）'!AX4="","",'CF表（奥様働けない時）'!AX4)</f>
        <v/>
      </c>
      <c r="AY4" s="218">
        <f>IF('CF表（奥様働けない時）'!AY4="","",'CF表（奥様働けない時）'!AY4)</f>
        <v/>
      </c>
      <c r="AZ4" s="218">
        <f>IF('CF表（奥様働けない時）'!AZ4="","",'CF表（奥様働けない時）'!AZ4)</f>
        <v/>
      </c>
      <c r="BA4" s="218">
        <f>IF('CF表（奥様働けない時）'!BA4="","",'CF表（奥様働けない時）'!BA4)</f>
        <v/>
      </c>
      <c r="BB4" s="218">
        <f>IF('CF表（奥様働けない時）'!BB4="","",'CF表（奥様働けない時）'!BB4)</f>
        <v/>
      </c>
      <c r="BC4" s="218">
        <f>IF('CF表（奥様働けない時）'!BC4="","",'CF表（奥様働けない時）'!BC4)</f>
        <v/>
      </c>
      <c r="BD4" s="218">
        <f>IF('CF表（奥様働けない時）'!BD4="","",'CF表（奥様働けない時）'!BD4)</f>
        <v/>
      </c>
      <c r="BE4" s="218">
        <f>IF('CF表（奥様働けない時）'!BE4="","",'CF表（奥様働けない時）'!BE4)</f>
        <v/>
      </c>
      <c r="BF4" s="218">
        <f>IF('CF表（奥様働けない時）'!BF4="","",'CF表（奥様働けない時）'!BF4)</f>
        <v/>
      </c>
      <c r="BG4" s="218">
        <f>IF('CF表（奥様働けない時）'!BG4="","",'CF表（奥様働けない時）'!BG4)</f>
        <v/>
      </c>
      <c r="BH4" s="218">
        <f>IF('CF表（奥様働けない時）'!BH4="","",'CF表（奥様働けない時）'!BH4)</f>
        <v/>
      </c>
      <c r="BI4" s="218">
        <f>IF('CF表（奥様働けない時）'!BI4="","",'CF表（奥様働けない時）'!BI4)</f>
        <v/>
      </c>
      <c r="BJ4" s="218">
        <f>IF('CF表（奥様働けない時）'!BJ4="","",'CF表（奥様働けない時）'!BJ4)</f>
        <v/>
      </c>
      <c r="BK4" s="218">
        <f>IF('CF表（奥様働けない時）'!BK4="","",'CF表（奥様働けない時）'!BK4)</f>
        <v/>
      </c>
      <c r="BL4" s="218">
        <f>IF('CF表（奥様働けない時）'!BL4="","",'CF表（奥様働けない時）'!BL4)</f>
        <v/>
      </c>
      <c r="BM4" s="218">
        <f>IF('CF表（奥様働けない時）'!BM4="","",'CF表（奥様働けない時）'!BM4)</f>
        <v/>
      </c>
      <c r="BN4" s="218">
        <f>IF('CF表（奥様働けない時）'!BN4="","",'CF表（奥様働けない時）'!BN4)</f>
        <v/>
      </c>
      <c r="BO4" s="218">
        <f>IF('CF表（奥様働けない時）'!BO4="","",'CF表（奥様働けない時）'!BO4)</f>
        <v/>
      </c>
      <c r="BP4" s="218">
        <f>IF('CF表（奥様働けない時）'!BP4="","",'CF表（奥様働けない時）'!BP4)</f>
        <v/>
      </c>
      <c r="BQ4" s="218">
        <f>IF('CF表（奥様働けない時）'!BQ4="","",'CF表（奥様働けない時）'!BQ4)</f>
        <v/>
      </c>
      <c r="BR4" s="218">
        <f>IF('CF表（奥様働けない時）'!BR4="","",'CF表（奥様働けない時）'!BR4)</f>
        <v/>
      </c>
      <c r="BS4" s="218">
        <f>IF('CF表（奥様働けない時）'!BS4="","",'CF表（奥様働けない時）'!BS4)</f>
        <v/>
      </c>
      <c r="BT4" s="218">
        <f>IF('CF表（奥様働けない時）'!BT4="","",'CF表（奥様働けない時）'!BT4)</f>
        <v/>
      </c>
      <c r="BU4" s="218">
        <f>IF('CF表（奥様働けない時）'!BU4="","",'CF表（奥様働けない時）'!BU4)</f>
        <v/>
      </c>
      <c r="BV4" s="218">
        <f>IF('CF表（奥様働けない時）'!BV4="","",'CF表（奥様働けない時）'!BV4)</f>
        <v/>
      </c>
      <c r="BW4" s="218">
        <f>IF('CF表（奥様働けない時）'!BW4="","",'CF表（奥様働けない時）'!BW4)</f>
        <v/>
      </c>
      <c r="BX4" s="218">
        <f>IF('CF表（奥様働けない時）'!BX4="","",'CF表（奥様働けない時）'!BX4)</f>
        <v/>
      </c>
      <c r="BY4" s="218">
        <f>IF('CF表（奥様働けない時）'!BY4="","",'CF表（奥様働けない時）'!BY4)</f>
        <v/>
      </c>
      <c r="BZ4" s="218">
        <f>IF('CF表（奥様働けない時）'!BZ4="","",'CF表（奥様働けない時）'!BZ4)</f>
        <v/>
      </c>
      <c r="CA4" s="218">
        <f>IF('CF表（奥様働けない時）'!CA4="","",'CF表（奥様働けない時）'!CA4)</f>
        <v/>
      </c>
      <c r="CB4" s="218">
        <f>IF('CF表（奥様働けない時）'!CB4="","",'CF表（奥様働けない時）'!CB4)</f>
        <v/>
      </c>
      <c r="CC4" s="218">
        <f>IF('CF表（奥様働けない時）'!CC4="","",'CF表（奥様働けない時）'!CC4)</f>
        <v/>
      </c>
      <c r="CD4" s="218">
        <f>IF('CF表（奥様働けない時）'!CD4="","",'CF表（奥様働けない時）'!CD4)</f>
        <v/>
      </c>
      <c r="CE4" s="218">
        <f>IF('CF表（奥様働けない時）'!CE4="","",'CF表（奥様働けない時）'!CE4)</f>
        <v/>
      </c>
      <c r="CF4" s="218">
        <f>IF('CF表（奥様働けない時）'!CF4="","",'CF表（奥様働けない時）'!CF4)</f>
        <v/>
      </c>
      <c r="CG4" s="218">
        <f>IF('CF表（奥様働けない時）'!CG4="","",'CF表（奥様働けない時）'!CG4)</f>
        <v/>
      </c>
      <c r="CH4" s="218">
        <f>IF('CF表（奥様働けない時）'!CH4="","",'CF表（奥様働けない時）'!CH4)</f>
        <v/>
      </c>
      <c r="CI4" s="218">
        <f>IF('CF表（奥様働けない時）'!CI4="","",'CF表（奥様働けない時）'!CI4)</f>
        <v/>
      </c>
      <c r="CJ4" s="218">
        <f>IF('CF表（奥様働けない時）'!CJ4="","",'CF表（奥様働けない時）'!CJ4)</f>
        <v/>
      </c>
      <c r="CK4" s="218">
        <f>IF('CF表（奥様働けない時）'!CK4="","",'CF表（奥様働けない時）'!CK4)</f>
        <v/>
      </c>
      <c r="CL4" s="218">
        <f>IF('CF表（奥様働けない時）'!CL4="","",'CF表（奥様働けない時）'!CL4)</f>
        <v/>
      </c>
      <c r="CM4" s="218">
        <f>IF('CF表（奥様働けない時）'!CM4="","",'CF表（奥様働けない時）'!CM4)</f>
        <v/>
      </c>
      <c r="CN4" s="218">
        <f>IF('CF表（奥様働けない時）'!CN4="","",'CF表（奥様働けない時）'!CN4)</f>
        <v/>
      </c>
      <c r="CO4" s="218">
        <f>IF('CF表（奥様働けない時）'!CO4="","",'CF表（奥様働けない時）'!CO4)</f>
        <v/>
      </c>
      <c r="CP4" s="218">
        <f>IF('CF表（奥様働けない時）'!CP4="","",'CF表（奥様働けない時）'!CP4)</f>
        <v/>
      </c>
      <c r="CQ4" s="218">
        <f>IF('CF表（奥様働けない時）'!CQ4="","",'CF表（奥様働けない時）'!CQ4)</f>
        <v/>
      </c>
      <c r="CR4" s="218">
        <f>IF('CF表（奥様働けない時）'!CR4="","",'CF表（奥様働けない時）'!CR4)</f>
        <v/>
      </c>
      <c r="CS4" s="218">
        <f>IF('CF表（奥様働けない時）'!CS4="","",'CF表（奥様働けない時）'!CS4)</f>
        <v/>
      </c>
      <c r="CT4" s="218">
        <f>IF('CF表（奥様働けない時）'!CT4="","",'CF表（奥様働けない時）'!CT4)</f>
        <v/>
      </c>
      <c r="CU4" s="218">
        <f>IF('CF表（奥様働けない時）'!CU4="","",'CF表（奥様働けない時）'!CU4)</f>
        <v/>
      </c>
      <c r="CV4" s="218">
        <f>IF('CF表（奥様働けない時）'!CV4="","",'CF表（奥様働けない時）'!CV4)</f>
        <v/>
      </c>
      <c r="CW4" s="218">
        <f>IF('CF表（奥様働けない時）'!CW4="","",'CF表（奥様働けない時）'!CW4)</f>
        <v/>
      </c>
    </row>
    <row r="5" ht="15" customHeight="1" s="180">
      <c r="A5" s="217" t="inlineStr">
        <is>
          <t>奥様年齢</t>
        </is>
      </c>
      <c r="B5" s="218">
        <f>IF('CF表（奥様働けない時）'!B5="","",'CF表（奥様働けない時）'!B5)</f>
        <v/>
      </c>
      <c r="C5" s="218">
        <f>IF('CF表（奥様働けない時）'!C5="","",'CF表（奥様働けない時）'!C5)</f>
        <v/>
      </c>
      <c r="D5" s="218">
        <f>IF('CF表（奥様働けない時）'!D5="","",'CF表（奥様働けない時）'!D5)</f>
        <v/>
      </c>
      <c r="E5" s="218">
        <f>IF('CF表（奥様働けない時）'!E5="","",'CF表（奥様働けない時）'!E5)</f>
        <v/>
      </c>
      <c r="F5" s="218">
        <f>IF('CF表（奥様働けない時）'!F5="","",'CF表（奥様働けない時）'!F5)</f>
        <v/>
      </c>
      <c r="G5" s="218">
        <f>IF('CF表（奥様働けない時）'!G5="","",'CF表（奥様働けない時）'!G5)</f>
        <v/>
      </c>
      <c r="H5" s="218">
        <f>IF('CF表（奥様働けない時）'!H5="","",'CF表（奥様働けない時）'!H5)</f>
        <v/>
      </c>
      <c r="I5" s="218">
        <f>IF('CF表（奥様働けない時）'!I5="","",'CF表（奥様働けない時）'!I5)</f>
        <v/>
      </c>
      <c r="J5" s="218">
        <f>IF('CF表（奥様働けない時）'!J5="","",'CF表（奥様働けない時）'!J5)</f>
        <v/>
      </c>
      <c r="K5" s="218">
        <f>IF('CF表（奥様働けない時）'!K5="","",'CF表（奥様働けない時）'!K5)</f>
        <v/>
      </c>
      <c r="L5" s="218">
        <f>IF('CF表（奥様働けない時）'!L5="","",'CF表（奥様働けない時）'!L5)</f>
        <v/>
      </c>
      <c r="M5" s="218">
        <f>IF('CF表（奥様働けない時）'!M5="","",'CF表（奥様働けない時）'!M5)</f>
        <v/>
      </c>
      <c r="N5" s="218">
        <f>IF('CF表（奥様働けない時）'!N5="","",'CF表（奥様働けない時）'!N5)</f>
        <v/>
      </c>
      <c r="O5" s="218">
        <f>IF('CF表（奥様働けない時）'!O5="","",'CF表（奥様働けない時）'!O5)</f>
        <v/>
      </c>
      <c r="P5" s="218">
        <f>IF('CF表（奥様働けない時）'!P5="","",'CF表（奥様働けない時）'!P5)</f>
        <v/>
      </c>
      <c r="Q5" s="218">
        <f>IF('CF表（奥様働けない時）'!Q5="","",'CF表（奥様働けない時）'!Q5)</f>
        <v/>
      </c>
      <c r="R5" s="218">
        <f>IF('CF表（奥様働けない時）'!R5="","",'CF表（奥様働けない時）'!R5)</f>
        <v/>
      </c>
      <c r="S5" s="218">
        <f>IF('CF表（奥様働けない時）'!S5="","",'CF表（奥様働けない時）'!S5)</f>
        <v/>
      </c>
      <c r="T5" s="218">
        <f>IF('CF表（奥様働けない時）'!T5="","",'CF表（奥様働けない時）'!T5)</f>
        <v/>
      </c>
      <c r="U5" s="218">
        <f>IF('CF表（奥様働けない時）'!U5="","",'CF表（奥様働けない時）'!U5)</f>
        <v/>
      </c>
      <c r="V5" s="218">
        <f>IF('CF表（奥様働けない時）'!V5="","",'CF表（奥様働けない時）'!V5)</f>
        <v/>
      </c>
      <c r="W5" s="218">
        <f>IF('CF表（奥様働けない時）'!W5="","",'CF表（奥様働けない時）'!W5)</f>
        <v/>
      </c>
      <c r="X5" s="218">
        <f>IF('CF表（奥様働けない時）'!X5="","",'CF表（奥様働けない時）'!X5)</f>
        <v/>
      </c>
      <c r="Y5" s="218">
        <f>IF('CF表（奥様働けない時）'!Y5="","",'CF表（奥様働けない時）'!Y5)</f>
        <v/>
      </c>
      <c r="Z5" s="218">
        <f>IF('CF表（奥様働けない時）'!Z5="","",'CF表（奥様働けない時）'!Z5)</f>
        <v/>
      </c>
      <c r="AA5" s="218">
        <f>IF('CF表（奥様働けない時）'!AA5="","",'CF表（奥様働けない時）'!AA5)</f>
        <v/>
      </c>
      <c r="AB5" s="218">
        <f>IF('CF表（奥様働けない時）'!AB5="","",'CF表（奥様働けない時）'!AB5)</f>
        <v/>
      </c>
      <c r="AC5" s="218">
        <f>IF('CF表（奥様働けない時）'!AC5="","",'CF表（奥様働けない時）'!AC5)</f>
        <v/>
      </c>
      <c r="AD5" s="218">
        <f>IF('CF表（奥様働けない時）'!AD5="","",'CF表（奥様働けない時）'!AD5)</f>
        <v/>
      </c>
      <c r="AE5" s="218">
        <f>IF('CF表（奥様働けない時）'!AE5="","",'CF表（奥様働けない時）'!AE5)</f>
        <v/>
      </c>
      <c r="AF5" s="218">
        <f>IF('CF表（奥様働けない時）'!AF5="","",'CF表（奥様働けない時）'!AF5)</f>
        <v/>
      </c>
      <c r="AG5" s="218">
        <f>IF('CF表（奥様働けない時）'!AG5="","",'CF表（奥様働けない時）'!AG5)</f>
        <v/>
      </c>
      <c r="AH5" s="218">
        <f>IF('CF表（奥様働けない時）'!AH5="","",'CF表（奥様働けない時）'!AH5)</f>
        <v/>
      </c>
      <c r="AI5" s="218">
        <f>IF('CF表（奥様働けない時）'!AI5="","",'CF表（奥様働けない時）'!AI5)</f>
        <v/>
      </c>
      <c r="AJ5" s="218">
        <f>IF('CF表（奥様働けない時）'!AJ5="","",'CF表（奥様働けない時）'!AJ5)</f>
        <v/>
      </c>
      <c r="AK5" s="218">
        <f>IF('CF表（奥様働けない時）'!AK5="","",'CF表（奥様働けない時）'!AK5)</f>
        <v/>
      </c>
      <c r="AL5" s="218">
        <f>IF('CF表（奥様働けない時）'!AL5="","",'CF表（奥様働けない時）'!AL5)</f>
        <v/>
      </c>
      <c r="AM5" s="218">
        <f>IF('CF表（奥様働けない時）'!AM5="","",'CF表（奥様働けない時）'!AM5)</f>
        <v/>
      </c>
      <c r="AN5" s="218">
        <f>IF('CF表（奥様働けない時）'!AN5="","",'CF表（奥様働けない時）'!AN5)</f>
        <v/>
      </c>
      <c r="AO5" s="218">
        <f>IF('CF表（奥様働けない時）'!AO5="","",'CF表（奥様働けない時）'!AO5)</f>
        <v/>
      </c>
      <c r="AP5" s="218">
        <f>IF('CF表（奥様働けない時）'!AP5="","",'CF表（奥様働けない時）'!AP5)</f>
        <v/>
      </c>
      <c r="AQ5" s="218">
        <f>IF('CF表（奥様働けない時）'!AQ5="","",'CF表（奥様働けない時）'!AQ5)</f>
        <v/>
      </c>
      <c r="AR5" s="218">
        <f>IF('CF表（奥様働けない時）'!AR5="","",'CF表（奥様働けない時）'!AR5)</f>
        <v/>
      </c>
      <c r="AS5" s="218">
        <f>IF('CF表（奥様働けない時）'!AS5="","",'CF表（奥様働けない時）'!AS5)</f>
        <v/>
      </c>
      <c r="AT5" s="218">
        <f>IF('CF表（奥様働けない時）'!AT5="","",'CF表（奥様働けない時）'!AT5)</f>
        <v/>
      </c>
      <c r="AU5" s="218">
        <f>IF('CF表（奥様働けない時）'!AU5="","",'CF表（奥様働けない時）'!AU5)</f>
        <v/>
      </c>
      <c r="AV5" s="218">
        <f>IF('CF表（奥様働けない時）'!AV5="","",'CF表（奥様働けない時）'!AV5)</f>
        <v/>
      </c>
      <c r="AW5" s="218">
        <f>IF('CF表（奥様働けない時）'!AW5="","",'CF表（奥様働けない時）'!AW5)</f>
        <v/>
      </c>
      <c r="AX5" s="218">
        <f>IF('CF表（奥様働けない時）'!AX5="","",'CF表（奥様働けない時）'!AX5)</f>
        <v/>
      </c>
      <c r="AY5" s="218">
        <f>IF('CF表（奥様働けない時）'!AY5="","",'CF表（奥様働けない時）'!AY5)</f>
        <v/>
      </c>
      <c r="AZ5" s="218">
        <f>IF('CF表（奥様働けない時）'!AZ5="","",'CF表（奥様働けない時）'!AZ5)</f>
        <v/>
      </c>
      <c r="BA5" s="218">
        <f>IF('CF表（奥様働けない時）'!BA5="","",'CF表（奥様働けない時）'!BA5)</f>
        <v/>
      </c>
      <c r="BB5" s="218">
        <f>IF('CF表（奥様働けない時）'!BB5="","",'CF表（奥様働けない時）'!BB5)</f>
        <v/>
      </c>
      <c r="BC5" s="218">
        <f>IF('CF表（奥様働けない時）'!BC5="","",'CF表（奥様働けない時）'!BC5)</f>
        <v/>
      </c>
      <c r="BD5" s="218">
        <f>IF('CF表（奥様働けない時）'!BD5="","",'CF表（奥様働けない時）'!BD5)</f>
        <v/>
      </c>
      <c r="BE5" s="218">
        <f>IF('CF表（奥様働けない時）'!BE5="","",'CF表（奥様働けない時）'!BE5)</f>
        <v/>
      </c>
      <c r="BF5" s="218">
        <f>IF('CF表（奥様働けない時）'!BF5="","",'CF表（奥様働けない時）'!BF5)</f>
        <v/>
      </c>
      <c r="BG5" s="218">
        <f>IF('CF表（奥様働けない時）'!BG5="","",'CF表（奥様働けない時）'!BG5)</f>
        <v/>
      </c>
      <c r="BH5" s="218">
        <f>IF('CF表（奥様働けない時）'!BH5="","",'CF表（奥様働けない時）'!BH5)</f>
        <v/>
      </c>
      <c r="BI5" s="218">
        <f>IF('CF表（奥様働けない時）'!BI5="","",'CF表（奥様働けない時）'!BI5)</f>
        <v/>
      </c>
      <c r="BJ5" s="218">
        <f>IF('CF表（奥様働けない時）'!BJ5="","",'CF表（奥様働けない時）'!BJ5)</f>
        <v/>
      </c>
      <c r="BK5" s="218">
        <f>IF('CF表（奥様働けない時）'!BK5="","",'CF表（奥様働けない時）'!BK5)</f>
        <v/>
      </c>
      <c r="BL5" s="218">
        <f>IF('CF表（奥様働けない時）'!BL5="","",'CF表（奥様働けない時）'!BL5)</f>
        <v/>
      </c>
      <c r="BM5" s="218">
        <f>IF('CF表（奥様働けない時）'!BM5="","",'CF表（奥様働けない時）'!BM5)</f>
        <v/>
      </c>
      <c r="BN5" s="218">
        <f>IF('CF表（奥様働けない時）'!BN5="","",'CF表（奥様働けない時）'!BN5)</f>
        <v/>
      </c>
      <c r="BO5" s="218">
        <f>IF('CF表（奥様働けない時）'!BO5="","",'CF表（奥様働けない時）'!BO5)</f>
        <v/>
      </c>
      <c r="BP5" s="218">
        <f>IF('CF表（奥様働けない時）'!BP5="","",'CF表（奥様働けない時）'!BP5)</f>
        <v/>
      </c>
      <c r="BQ5" s="218">
        <f>IF('CF表（奥様働けない時）'!BQ5="","",'CF表（奥様働けない時）'!BQ5)</f>
        <v/>
      </c>
      <c r="BR5" s="218">
        <f>IF('CF表（奥様働けない時）'!BR5="","",'CF表（奥様働けない時）'!BR5)</f>
        <v/>
      </c>
      <c r="BS5" s="218">
        <f>IF('CF表（奥様働けない時）'!BS5="","",'CF表（奥様働けない時）'!BS5)</f>
        <v/>
      </c>
      <c r="BT5" s="218">
        <f>IF('CF表（奥様働けない時）'!BT5="","",'CF表（奥様働けない時）'!BT5)</f>
        <v/>
      </c>
      <c r="BU5" s="218">
        <f>IF('CF表（奥様働けない時）'!BU5="","",'CF表（奥様働けない時）'!BU5)</f>
        <v/>
      </c>
      <c r="BV5" s="218">
        <f>IF('CF表（奥様働けない時）'!BV5="","",'CF表（奥様働けない時）'!BV5)</f>
        <v/>
      </c>
      <c r="BW5" s="218">
        <f>IF('CF表（奥様働けない時）'!BW5="","",'CF表（奥様働けない時）'!BW5)</f>
        <v/>
      </c>
      <c r="BX5" s="218">
        <f>IF('CF表（奥様働けない時）'!BX5="","",'CF表（奥様働けない時）'!BX5)</f>
        <v/>
      </c>
      <c r="BY5" s="218">
        <f>IF('CF表（奥様働けない時）'!BY5="","",'CF表（奥様働けない時）'!BY5)</f>
        <v/>
      </c>
      <c r="BZ5" s="218">
        <f>IF('CF表（奥様働けない時）'!BZ5="","",'CF表（奥様働けない時）'!BZ5)</f>
        <v/>
      </c>
      <c r="CA5" s="218">
        <f>IF('CF表（奥様働けない時）'!CA5="","",'CF表（奥様働けない時）'!CA5)</f>
        <v/>
      </c>
      <c r="CB5" s="218">
        <f>IF('CF表（奥様働けない時）'!CB5="","",'CF表（奥様働けない時）'!CB5)</f>
        <v/>
      </c>
      <c r="CC5" s="218">
        <f>IF('CF表（奥様働けない時）'!CC5="","",'CF表（奥様働けない時）'!CC5)</f>
        <v/>
      </c>
      <c r="CD5" s="218">
        <f>IF('CF表（奥様働けない時）'!CD5="","",'CF表（奥様働けない時）'!CD5)</f>
        <v/>
      </c>
      <c r="CE5" s="218">
        <f>IF('CF表（奥様働けない時）'!CE5="","",'CF表（奥様働けない時）'!CE5)</f>
        <v/>
      </c>
      <c r="CF5" s="218">
        <f>IF('CF表（奥様働けない時）'!CF5="","",'CF表（奥様働けない時）'!CF5)</f>
        <v/>
      </c>
      <c r="CG5" s="218">
        <f>IF('CF表（奥様働けない時）'!CG5="","",'CF表（奥様働けない時）'!CG5)</f>
        <v/>
      </c>
      <c r="CH5" s="218">
        <f>IF('CF表（奥様働けない時）'!CH5="","",'CF表（奥様働けない時）'!CH5)</f>
        <v/>
      </c>
      <c r="CI5" s="218">
        <f>IF('CF表（奥様働けない時）'!CI5="","",'CF表（奥様働けない時）'!CI5)</f>
        <v/>
      </c>
      <c r="CJ5" s="218">
        <f>IF('CF表（奥様働けない時）'!CJ5="","",'CF表（奥様働けない時）'!CJ5)</f>
        <v/>
      </c>
      <c r="CK5" s="218">
        <f>IF('CF表（奥様働けない時）'!CK5="","",'CF表（奥様働けない時）'!CK5)</f>
        <v/>
      </c>
      <c r="CL5" s="218">
        <f>IF('CF表（奥様働けない時）'!CL5="","",'CF表（奥様働けない時）'!CL5)</f>
        <v/>
      </c>
      <c r="CM5" s="218">
        <f>IF('CF表（奥様働けない時）'!CM5="","",'CF表（奥様働けない時）'!CM5)</f>
        <v/>
      </c>
      <c r="CN5" s="218">
        <f>IF('CF表（奥様働けない時）'!CN5="","",'CF表（奥様働けない時）'!CN5)</f>
        <v/>
      </c>
      <c r="CO5" s="218">
        <f>IF('CF表（奥様働けない時）'!CO5="","",'CF表（奥様働けない時）'!CO5)</f>
        <v/>
      </c>
      <c r="CP5" s="218">
        <f>IF('CF表（奥様働けない時）'!CP5="","",'CF表（奥様働けない時）'!CP5)</f>
        <v/>
      </c>
      <c r="CQ5" s="218">
        <f>IF('CF表（奥様働けない時）'!CQ5="","",'CF表（奥様働けない時）'!CQ5)</f>
        <v/>
      </c>
      <c r="CR5" s="218">
        <f>IF('CF表（奥様働けない時）'!CR5="","",'CF表（奥様働けない時）'!CR5)</f>
        <v/>
      </c>
      <c r="CS5" s="218">
        <f>IF('CF表（奥様働けない時）'!CS5="","",'CF表（奥様働けない時）'!CS5)</f>
        <v/>
      </c>
      <c r="CT5" s="218">
        <f>IF('CF表（奥様働けない時）'!CT5="","",'CF表（奥様働けない時）'!CT5)</f>
        <v/>
      </c>
      <c r="CU5" s="218">
        <f>IF('CF表（奥様働けない時）'!CU5="","",'CF表（奥様働けない時）'!CU5)</f>
        <v/>
      </c>
      <c r="CV5" s="218">
        <f>IF('CF表（奥様働けない時）'!CV5="","",'CF表（奥様働けない時）'!CV5)</f>
        <v/>
      </c>
      <c r="CW5" s="218">
        <f>IF('CF表（奥様働けない時）'!CW5="","",'CF表（奥様働けない時）'!CW5)</f>
        <v/>
      </c>
    </row>
    <row r="6" ht="16.5" customHeight="1" s="180">
      <c r="A6" s="217" t="inlineStr">
        <is>
          <t>子1年齢</t>
        </is>
      </c>
      <c r="B6" s="218">
        <f>IF('CF表（奥様働けない時）'!B6="","",'CF表（奥様働けない時）'!B6)</f>
        <v/>
      </c>
      <c r="C6" s="218">
        <f>IF('CF表（奥様働けない時）'!C6="","",'CF表（奥様働けない時）'!C6)</f>
        <v/>
      </c>
      <c r="D6" s="218">
        <f>IF('CF表（奥様働けない時）'!D6="","",'CF表（奥様働けない時）'!D6)</f>
        <v/>
      </c>
      <c r="E6" s="218">
        <f>IF('CF表（奥様働けない時）'!E6="","",'CF表（奥様働けない時）'!E6)</f>
        <v/>
      </c>
      <c r="F6" s="218">
        <f>IF('CF表（奥様働けない時）'!F6="","",'CF表（奥様働けない時）'!F6)</f>
        <v/>
      </c>
      <c r="G6" s="218">
        <f>IF('CF表（奥様働けない時）'!G6="","",'CF表（奥様働けない時）'!G6)</f>
        <v/>
      </c>
      <c r="H6" s="218">
        <f>IF('CF表（奥様働けない時）'!H6="","",'CF表（奥様働けない時）'!H6)</f>
        <v/>
      </c>
      <c r="I6" s="218">
        <f>IF('CF表（奥様働けない時）'!I6="","",'CF表（奥様働けない時）'!I6)</f>
        <v/>
      </c>
      <c r="J6" s="218">
        <f>IF('CF表（奥様働けない時）'!J6="","",'CF表（奥様働けない時）'!J6)</f>
        <v/>
      </c>
      <c r="K6" s="218">
        <f>IF('CF表（奥様働けない時）'!K6="","",'CF表（奥様働けない時）'!K6)</f>
        <v/>
      </c>
      <c r="L6" s="218">
        <f>IF('CF表（奥様働けない時）'!L6="","",'CF表（奥様働けない時）'!L6)</f>
        <v/>
      </c>
      <c r="M6" s="218">
        <f>IF('CF表（奥様働けない時）'!M6="","",'CF表（奥様働けない時）'!M6)</f>
        <v/>
      </c>
      <c r="N6" s="218">
        <f>IF('CF表（奥様働けない時）'!N6="","",'CF表（奥様働けない時）'!N6)</f>
        <v/>
      </c>
      <c r="O6" s="218">
        <f>IF('CF表（奥様働けない時）'!O6="","",'CF表（奥様働けない時）'!O6)</f>
        <v/>
      </c>
      <c r="P6" s="218">
        <f>IF('CF表（奥様働けない時）'!P6="","",'CF表（奥様働けない時）'!P6)</f>
        <v/>
      </c>
      <c r="Q6" s="218">
        <f>IF('CF表（奥様働けない時）'!Q6="","",'CF表（奥様働けない時）'!Q6)</f>
        <v/>
      </c>
      <c r="R6" s="218">
        <f>IF('CF表（奥様働けない時）'!R6="","",'CF表（奥様働けない時）'!R6)</f>
        <v/>
      </c>
      <c r="S6" s="218">
        <f>IF('CF表（奥様働けない時）'!S6="","",'CF表（奥様働けない時）'!S6)</f>
        <v/>
      </c>
      <c r="T6" s="218">
        <f>IF('CF表（奥様働けない時）'!T6="","",'CF表（奥様働けない時）'!T6)</f>
        <v/>
      </c>
      <c r="U6" s="218">
        <f>IF('CF表（奥様働けない時）'!U6="","",'CF表（奥様働けない時）'!U6)</f>
        <v/>
      </c>
      <c r="V6" s="218">
        <f>IF('CF表（奥様働けない時）'!V6="","",'CF表（奥様働けない時）'!V6)</f>
        <v/>
      </c>
      <c r="W6" s="218">
        <f>IF('CF表（奥様働けない時）'!W6="","",'CF表（奥様働けない時）'!W6)</f>
        <v/>
      </c>
      <c r="X6" s="218">
        <f>IF('CF表（奥様働けない時）'!X6="","",'CF表（奥様働けない時）'!X6)</f>
        <v/>
      </c>
      <c r="Y6" s="218">
        <f>IF('CF表（奥様働けない時）'!Y6="","",'CF表（奥様働けない時）'!Y6)</f>
        <v/>
      </c>
      <c r="Z6" s="218">
        <f>IF('CF表（奥様働けない時）'!Z6="","",'CF表（奥様働けない時）'!Z6)</f>
        <v/>
      </c>
      <c r="AA6" s="218">
        <f>IF('CF表（奥様働けない時）'!AA6="","",'CF表（奥様働けない時）'!AA6)</f>
        <v/>
      </c>
      <c r="AB6" s="218">
        <f>IF('CF表（奥様働けない時）'!AB6="","",'CF表（奥様働けない時）'!AB6)</f>
        <v/>
      </c>
      <c r="AC6" s="218">
        <f>IF('CF表（奥様働けない時）'!AC6="","",'CF表（奥様働けない時）'!AC6)</f>
        <v/>
      </c>
      <c r="AD6" s="218">
        <f>IF('CF表（奥様働けない時）'!AD6="","",'CF表（奥様働けない時）'!AD6)</f>
        <v/>
      </c>
      <c r="AE6" s="218">
        <f>IF('CF表（奥様働けない時）'!AE6="","",'CF表（奥様働けない時）'!AE6)</f>
        <v/>
      </c>
      <c r="AF6" s="218">
        <f>IF('CF表（奥様働けない時）'!AF6="","",'CF表（奥様働けない時）'!AF6)</f>
        <v/>
      </c>
      <c r="AG6" s="218">
        <f>IF('CF表（奥様働けない時）'!AG6="","",'CF表（奥様働けない時）'!AG6)</f>
        <v/>
      </c>
      <c r="AH6" s="218">
        <f>IF('CF表（奥様働けない時）'!AH6="","",'CF表（奥様働けない時）'!AH6)</f>
        <v/>
      </c>
      <c r="AI6" s="218">
        <f>IF('CF表（奥様働けない時）'!AI6="","",'CF表（奥様働けない時）'!AI6)</f>
        <v/>
      </c>
      <c r="AJ6" s="218">
        <f>IF('CF表（奥様働けない時）'!AJ6="","",'CF表（奥様働けない時）'!AJ6)</f>
        <v/>
      </c>
      <c r="AK6" s="218">
        <f>IF('CF表（奥様働けない時）'!AK6="","",'CF表（奥様働けない時）'!AK6)</f>
        <v/>
      </c>
      <c r="AL6" s="218">
        <f>IF('CF表（奥様働けない時）'!AL6="","",'CF表（奥様働けない時）'!AL6)</f>
        <v/>
      </c>
      <c r="AM6" s="218">
        <f>IF('CF表（奥様働けない時）'!AM6="","",'CF表（奥様働けない時）'!AM6)</f>
        <v/>
      </c>
      <c r="AN6" s="218">
        <f>IF('CF表（奥様働けない時）'!AN6="","",'CF表（奥様働けない時）'!AN6)</f>
        <v/>
      </c>
      <c r="AO6" s="218">
        <f>IF('CF表（奥様働けない時）'!AO6="","",'CF表（奥様働けない時）'!AO6)</f>
        <v/>
      </c>
      <c r="AP6" s="218">
        <f>IF('CF表（奥様働けない時）'!AP6="","",'CF表（奥様働けない時）'!AP6)</f>
        <v/>
      </c>
      <c r="AQ6" s="218">
        <f>IF('CF表（奥様働けない時）'!AQ6="","",'CF表（奥様働けない時）'!AQ6)</f>
        <v/>
      </c>
      <c r="AR6" s="218">
        <f>IF('CF表（奥様働けない時）'!AR6="","",'CF表（奥様働けない時）'!AR6)</f>
        <v/>
      </c>
      <c r="AS6" s="218">
        <f>IF('CF表（奥様働けない時）'!AS6="","",'CF表（奥様働けない時）'!AS6)</f>
        <v/>
      </c>
      <c r="AT6" s="218">
        <f>IF('CF表（奥様働けない時）'!AT6="","",'CF表（奥様働けない時）'!AT6)</f>
        <v/>
      </c>
      <c r="AU6" s="218">
        <f>IF('CF表（奥様働けない時）'!AU6="","",'CF表（奥様働けない時）'!AU6)</f>
        <v/>
      </c>
      <c r="AV6" s="218">
        <f>IF('CF表（奥様働けない時）'!AV6="","",'CF表（奥様働けない時）'!AV6)</f>
        <v/>
      </c>
      <c r="AW6" s="218">
        <f>IF('CF表（奥様働けない時）'!AW6="","",'CF表（奥様働けない時）'!AW6)</f>
        <v/>
      </c>
      <c r="AX6" s="218">
        <f>IF('CF表（奥様働けない時）'!AX6="","",'CF表（奥様働けない時）'!AX6)</f>
        <v/>
      </c>
      <c r="AY6" s="218">
        <f>IF('CF表（奥様働けない時）'!AY6="","",'CF表（奥様働けない時）'!AY6)</f>
        <v/>
      </c>
      <c r="AZ6" s="218">
        <f>IF('CF表（奥様働けない時）'!AZ6="","",'CF表（奥様働けない時）'!AZ6)</f>
        <v/>
      </c>
      <c r="BA6" s="218">
        <f>IF('CF表（奥様働けない時）'!BA6="","",'CF表（奥様働けない時）'!BA6)</f>
        <v/>
      </c>
      <c r="BB6" s="218">
        <f>IF('CF表（奥様働けない時）'!BB6="","",'CF表（奥様働けない時）'!BB6)</f>
        <v/>
      </c>
      <c r="BC6" s="218">
        <f>IF('CF表（奥様働けない時）'!BC6="","",'CF表（奥様働けない時）'!BC6)</f>
        <v/>
      </c>
      <c r="BD6" s="218">
        <f>IF('CF表（奥様働けない時）'!BD6="","",'CF表（奥様働けない時）'!BD6)</f>
        <v/>
      </c>
      <c r="BE6" s="218">
        <f>IF('CF表（奥様働けない時）'!BE6="","",'CF表（奥様働けない時）'!BE6)</f>
        <v/>
      </c>
      <c r="BF6" s="218">
        <f>IF('CF表（奥様働けない時）'!BF6="","",'CF表（奥様働けない時）'!BF6)</f>
        <v/>
      </c>
      <c r="BG6" s="218">
        <f>IF('CF表（奥様働けない時）'!BG6="","",'CF表（奥様働けない時）'!BG6)</f>
        <v/>
      </c>
      <c r="BH6" s="218">
        <f>IF('CF表（奥様働けない時）'!BH6="","",'CF表（奥様働けない時）'!BH6)</f>
        <v/>
      </c>
      <c r="BI6" s="218">
        <f>IF('CF表（奥様働けない時）'!BI6="","",'CF表（奥様働けない時）'!BI6)</f>
        <v/>
      </c>
      <c r="BJ6" s="218">
        <f>IF('CF表（奥様働けない時）'!BJ6="","",'CF表（奥様働けない時）'!BJ6)</f>
        <v/>
      </c>
      <c r="BK6" s="218">
        <f>IF('CF表（奥様働けない時）'!BK6="","",'CF表（奥様働けない時）'!BK6)</f>
        <v/>
      </c>
      <c r="BL6" s="218">
        <f>IF('CF表（奥様働けない時）'!BL6="","",'CF表（奥様働けない時）'!BL6)</f>
        <v/>
      </c>
      <c r="BM6" s="218">
        <f>IF('CF表（奥様働けない時）'!BM6="","",'CF表（奥様働けない時）'!BM6)</f>
        <v/>
      </c>
      <c r="BN6" s="218">
        <f>IF('CF表（奥様働けない時）'!BN6="","",'CF表（奥様働けない時）'!BN6)</f>
        <v/>
      </c>
      <c r="BO6" s="218">
        <f>IF('CF表（奥様働けない時）'!BO6="","",'CF表（奥様働けない時）'!BO6)</f>
        <v/>
      </c>
      <c r="BP6" s="218">
        <f>IF('CF表（奥様働けない時）'!BP6="","",'CF表（奥様働けない時）'!BP6)</f>
        <v/>
      </c>
      <c r="BQ6" s="218">
        <f>IF('CF表（奥様働けない時）'!BQ6="","",'CF表（奥様働けない時）'!BQ6)</f>
        <v/>
      </c>
      <c r="BR6" s="218">
        <f>IF('CF表（奥様働けない時）'!BR6="","",'CF表（奥様働けない時）'!BR6)</f>
        <v/>
      </c>
      <c r="BS6" s="218">
        <f>IF('CF表（奥様働けない時）'!BS6="","",'CF表（奥様働けない時）'!BS6)</f>
        <v/>
      </c>
      <c r="BT6" s="218">
        <f>IF('CF表（奥様働けない時）'!BT6="","",'CF表（奥様働けない時）'!BT6)</f>
        <v/>
      </c>
      <c r="BU6" s="218">
        <f>IF('CF表（奥様働けない時）'!BU6="","",'CF表（奥様働けない時）'!BU6)</f>
        <v/>
      </c>
      <c r="BV6" s="218">
        <f>IF('CF表（奥様働けない時）'!BV6="","",'CF表（奥様働けない時）'!BV6)</f>
        <v/>
      </c>
      <c r="BW6" s="218">
        <f>IF('CF表（奥様働けない時）'!BW6="","",'CF表（奥様働けない時）'!BW6)</f>
        <v/>
      </c>
      <c r="BX6" s="218">
        <f>IF('CF表（奥様働けない時）'!BX6="","",'CF表（奥様働けない時）'!BX6)</f>
        <v/>
      </c>
      <c r="BY6" s="218">
        <f>IF('CF表（奥様働けない時）'!BY6="","",'CF表（奥様働けない時）'!BY6)</f>
        <v/>
      </c>
      <c r="BZ6" s="218">
        <f>IF('CF表（奥様働けない時）'!BZ6="","",'CF表（奥様働けない時）'!BZ6)</f>
        <v/>
      </c>
      <c r="CA6" s="218">
        <f>IF('CF表（奥様働けない時）'!CA6="","",'CF表（奥様働けない時）'!CA6)</f>
        <v/>
      </c>
      <c r="CB6" s="218">
        <f>IF('CF表（奥様働けない時）'!CB6="","",'CF表（奥様働けない時）'!CB6)</f>
        <v/>
      </c>
      <c r="CC6" s="218">
        <f>IF('CF表（奥様働けない時）'!CC6="","",'CF表（奥様働けない時）'!CC6)</f>
        <v/>
      </c>
      <c r="CD6" s="218">
        <f>IF('CF表（奥様働けない時）'!CD6="","",'CF表（奥様働けない時）'!CD6)</f>
        <v/>
      </c>
      <c r="CE6" s="218">
        <f>IF('CF表（奥様働けない時）'!CE6="","",'CF表（奥様働けない時）'!CE6)</f>
        <v/>
      </c>
      <c r="CF6" s="218">
        <f>IF('CF表（奥様働けない時）'!CF6="","",'CF表（奥様働けない時）'!CF6)</f>
        <v/>
      </c>
      <c r="CG6" s="218">
        <f>IF('CF表（奥様働けない時）'!CG6="","",'CF表（奥様働けない時）'!CG6)</f>
        <v/>
      </c>
      <c r="CH6" s="218">
        <f>IF('CF表（奥様働けない時）'!CH6="","",'CF表（奥様働けない時）'!CH6)</f>
        <v/>
      </c>
      <c r="CI6" s="218">
        <f>IF('CF表（奥様働けない時）'!CI6="","",'CF表（奥様働けない時）'!CI6)</f>
        <v/>
      </c>
      <c r="CJ6" s="218">
        <f>IF('CF表（奥様働けない時）'!CJ6="","",'CF表（奥様働けない時）'!CJ6)</f>
        <v/>
      </c>
      <c r="CK6" s="218">
        <f>IF('CF表（奥様働けない時）'!CK6="","",'CF表（奥様働けない時）'!CK6)</f>
        <v/>
      </c>
      <c r="CL6" s="218">
        <f>IF('CF表（奥様働けない時）'!CL6="","",'CF表（奥様働けない時）'!CL6)</f>
        <v/>
      </c>
      <c r="CM6" s="218">
        <f>IF('CF表（奥様働けない時）'!CM6="","",'CF表（奥様働けない時）'!CM6)</f>
        <v/>
      </c>
      <c r="CN6" s="218">
        <f>IF('CF表（奥様働けない時）'!CN6="","",'CF表（奥様働けない時）'!CN6)</f>
        <v/>
      </c>
      <c r="CO6" s="218">
        <f>IF('CF表（奥様働けない時）'!CO6="","",'CF表（奥様働けない時）'!CO6)</f>
        <v/>
      </c>
      <c r="CP6" s="218">
        <f>IF('CF表（奥様働けない時）'!CP6="","",'CF表（奥様働けない時）'!CP6)</f>
        <v/>
      </c>
      <c r="CQ6" s="218">
        <f>IF('CF表（奥様働けない時）'!CQ6="","",'CF表（奥様働けない時）'!CQ6)</f>
        <v/>
      </c>
      <c r="CR6" s="218">
        <f>IF('CF表（奥様働けない時）'!CR6="","",'CF表（奥様働けない時）'!CR6)</f>
        <v/>
      </c>
      <c r="CS6" s="218">
        <f>IF('CF表（奥様働けない時）'!CS6="","",'CF表（奥様働けない時）'!CS6)</f>
        <v/>
      </c>
      <c r="CT6" s="218">
        <f>IF('CF表（奥様働けない時）'!CT6="","",'CF表（奥様働けない時）'!CT6)</f>
        <v/>
      </c>
      <c r="CU6" s="218">
        <f>IF('CF表（奥様働けない時）'!CU6="","",'CF表（奥様働けない時）'!CU6)</f>
        <v/>
      </c>
      <c r="CV6" s="218">
        <f>IF('CF表（奥様働けない時）'!CV6="","",'CF表（奥様働けない時）'!CV6)</f>
        <v/>
      </c>
      <c r="CW6" s="218">
        <f>IF('CF表（奥様働けない時）'!CW6="","",'CF表（奥様働けない時）'!CW6)</f>
        <v/>
      </c>
    </row>
    <row r="7" ht="16.5" customHeight="1" s="180">
      <c r="A7" s="217" t="inlineStr">
        <is>
          <t>子2年齢</t>
        </is>
      </c>
      <c r="B7" s="218">
        <f>IF('CF表（奥様働けない時）'!B7="","",'CF表（奥様働けない時）'!B7)</f>
        <v/>
      </c>
      <c r="C7" s="218">
        <f>IF('CF表（奥様働けない時）'!C7="","",'CF表（奥様働けない時）'!C7)</f>
        <v/>
      </c>
      <c r="D7" s="218">
        <f>IF('CF表（奥様働けない時）'!D7="","",'CF表（奥様働けない時）'!D7)</f>
        <v/>
      </c>
      <c r="E7" s="218">
        <f>IF('CF表（奥様働けない時）'!E7="","",'CF表（奥様働けない時）'!E7)</f>
        <v/>
      </c>
      <c r="F7" s="218">
        <f>IF('CF表（奥様働けない時）'!F7="","",'CF表（奥様働けない時）'!F7)</f>
        <v/>
      </c>
      <c r="G7" s="218">
        <f>IF('CF表（奥様働けない時）'!G7="","",'CF表（奥様働けない時）'!G7)</f>
        <v/>
      </c>
      <c r="H7" s="218">
        <f>IF('CF表（奥様働けない時）'!H7="","",'CF表（奥様働けない時）'!H7)</f>
        <v/>
      </c>
      <c r="I7" s="218">
        <f>IF('CF表（奥様働けない時）'!I7="","",'CF表（奥様働けない時）'!I7)</f>
        <v/>
      </c>
      <c r="J7" s="218">
        <f>IF('CF表（奥様働けない時）'!J7="","",'CF表（奥様働けない時）'!J7)</f>
        <v/>
      </c>
      <c r="K7" s="218">
        <f>IF('CF表（奥様働けない時）'!K7="","",'CF表（奥様働けない時）'!K7)</f>
        <v/>
      </c>
      <c r="L7" s="218">
        <f>IF('CF表（奥様働けない時）'!L7="","",'CF表（奥様働けない時）'!L7)</f>
        <v/>
      </c>
      <c r="M7" s="218">
        <f>IF('CF表（奥様働けない時）'!M7="","",'CF表（奥様働けない時）'!M7)</f>
        <v/>
      </c>
      <c r="N7" s="218">
        <f>IF('CF表（奥様働けない時）'!N7="","",'CF表（奥様働けない時）'!N7)</f>
        <v/>
      </c>
      <c r="O7" s="218">
        <f>IF('CF表（奥様働けない時）'!O7="","",'CF表（奥様働けない時）'!O7)</f>
        <v/>
      </c>
      <c r="P7" s="218">
        <f>IF('CF表（奥様働けない時）'!P7="","",'CF表（奥様働けない時）'!P7)</f>
        <v/>
      </c>
      <c r="Q7" s="218">
        <f>IF('CF表（奥様働けない時）'!Q7="","",'CF表（奥様働けない時）'!Q7)</f>
        <v/>
      </c>
      <c r="R7" s="218">
        <f>IF('CF表（奥様働けない時）'!R7="","",'CF表（奥様働けない時）'!R7)</f>
        <v/>
      </c>
      <c r="S7" s="218">
        <f>IF('CF表（奥様働けない時）'!S7="","",'CF表（奥様働けない時）'!S7)</f>
        <v/>
      </c>
      <c r="T7" s="218">
        <f>IF('CF表（奥様働けない時）'!T7="","",'CF表（奥様働けない時）'!T7)</f>
        <v/>
      </c>
      <c r="U7" s="218">
        <f>IF('CF表（奥様働けない時）'!U7="","",'CF表（奥様働けない時）'!U7)</f>
        <v/>
      </c>
      <c r="V7" s="218">
        <f>IF('CF表（奥様働けない時）'!V7="","",'CF表（奥様働けない時）'!V7)</f>
        <v/>
      </c>
      <c r="W7" s="218">
        <f>IF('CF表（奥様働けない時）'!W7="","",'CF表（奥様働けない時）'!W7)</f>
        <v/>
      </c>
      <c r="X7" s="218">
        <f>IF('CF表（奥様働けない時）'!X7="","",'CF表（奥様働けない時）'!X7)</f>
        <v/>
      </c>
      <c r="Y7" s="218">
        <f>IF('CF表（奥様働けない時）'!Y7="","",'CF表（奥様働けない時）'!Y7)</f>
        <v/>
      </c>
      <c r="Z7" s="218">
        <f>IF('CF表（奥様働けない時）'!Z7="","",'CF表（奥様働けない時）'!Z7)</f>
        <v/>
      </c>
      <c r="AA7" s="218">
        <f>IF('CF表（奥様働けない時）'!AA7="","",'CF表（奥様働けない時）'!AA7)</f>
        <v/>
      </c>
      <c r="AB7" s="218">
        <f>IF('CF表（奥様働けない時）'!AB7="","",'CF表（奥様働けない時）'!AB7)</f>
        <v/>
      </c>
      <c r="AC7" s="218">
        <f>IF('CF表（奥様働けない時）'!AC7="","",'CF表（奥様働けない時）'!AC7)</f>
        <v/>
      </c>
      <c r="AD7" s="218">
        <f>IF('CF表（奥様働けない時）'!AD7="","",'CF表（奥様働けない時）'!AD7)</f>
        <v/>
      </c>
      <c r="AE7" s="218">
        <f>IF('CF表（奥様働けない時）'!AE7="","",'CF表（奥様働けない時）'!AE7)</f>
        <v/>
      </c>
      <c r="AF7" s="218">
        <f>IF('CF表（奥様働けない時）'!AF7="","",'CF表（奥様働けない時）'!AF7)</f>
        <v/>
      </c>
      <c r="AG7" s="218">
        <f>IF('CF表（奥様働けない時）'!AG7="","",'CF表（奥様働けない時）'!AG7)</f>
        <v/>
      </c>
      <c r="AH7" s="218">
        <f>IF('CF表（奥様働けない時）'!AH7="","",'CF表（奥様働けない時）'!AH7)</f>
        <v/>
      </c>
      <c r="AI7" s="218">
        <f>IF('CF表（奥様働けない時）'!AI7="","",'CF表（奥様働けない時）'!AI7)</f>
        <v/>
      </c>
      <c r="AJ7" s="218">
        <f>IF('CF表（奥様働けない時）'!AJ7="","",'CF表（奥様働けない時）'!AJ7)</f>
        <v/>
      </c>
      <c r="AK7" s="218">
        <f>IF('CF表（奥様働けない時）'!AK7="","",'CF表（奥様働けない時）'!AK7)</f>
        <v/>
      </c>
      <c r="AL7" s="218">
        <f>IF('CF表（奥様働けない時）'!AL7="","",'CF表（奥様働けない時）'!AL7)</f>
        <v/>
      </c>
      <c r="AM7" s="218">
        <f>IF('CF表（奥様働けない時）'!AM7="","",'CF表（奥様働けない時）'!AM7)</f>
        <v/>
      </c>
      <c r="AN7" s="218">
        <f>IF('CF表（奥様働けない時）'!AN7="","",'CF表（奥様働けない時）'!AN7)</f>
        <v/>
      </c>
      <c r="AO7" s="218">
        <f>IF('CF表（奥様働けない時）'!AO7="","",'CF表（奥様働けない時）'!AO7)</f>
        <v/>
      </c>
      <c r="AP7" s="218">
        <f>IF('CF表（奥様働けない時）'!AP7="","",'CF表（奥様働けない時）'!AP7)</f>
        <v/>
      </c>
      <c r="AQ7" s="218">
        <f>IF('CF表（奥様働けない時）'!AQ7="","",'CF表（奥様働けない時）'!AQ7)</f>
        <v/>
      </c>
      <c r="AR7" s="218">
        <f>IF('CF表（奥様働けない時）'!AR7="","",'CF表（奥様働けない時）'!AR7)</f>
        <v/>
      </c>
      <c r="AS7" s="218">
        <f>IF('CF表（奥様働けない時）'!AS7="","",'CF表（奥様働けない時）'!AS7)</f>
        <v/>
      </c>
      <c r="AT7" s="218">
        <f>IF('CF表（奥様働けない時）'!AT7="","",'CF表（奥様働けない時）'!AT7)</f>
        <v/>
      </c>
      <c r="AU7" s="218">
        <f>IF('CF表（奥様働けない時）'!AU7="","",'CF表（奥様働けない時）'!AU7)</f>
        <v/>
      </c>
      <c r="AV7" s="218">
        <f>IF('CF表（奥様働けない時）'!AV7="","",'CF表（奥様働けない時）'!AV7)</f>
        <v/>
      </c>
      <c r="AW7" s="218">
        <f>IF('CF表（奥様働けない時）'!AW7="","",'CF表（奥様働けない時）'!AW7)</f>
        <v/>
      </c>
      <c r="AX7" s="218">
        <f>IF('CF表（奥様働けない時）'!AX7="","",'CF表（奥様働けない時）'!AX7)</f>
        <v/>
      </c>
      <c r="AY7" s="218">
        <f>IF('CF表（奥様働けない時）'!AY7="","",'CF表（奥様働けない時）'!AY7)</f>
        <v/>
      </c>
      <c r="AZ7" s="218">
        <f>IF('CF表（奥様働けない時）'!AZ7="","",'CF表（奥様働けない時）'!AZ7)</f>
        <v/>
      </c>
      <c r="BA7" s="218">
        <f>IF('CF表（奥様働けない時）'!BA7="","",'CF表（奥様働けない時）'!BA7)</f>
        <v/>
      </c>
      <c r="BB7" s="218">
        <f>IF('CF表（奥様働けない時）'!BB7="","",'CF表（奥様働けない時）'!BB7)</f>
        <v/>
      </c>
      <c r="BC7" s="218">
        <f>IF('CF表（奥様働けない時）'!BC7="","",'CF表（奥様働けない時）'!BC7)</f>
        <v/>
      </c>
      <c r="BD7" s="218">
        <f>IF('CF表（奥様働けない時）'!BD7="","",'CF表（奥様働けない時）'!BD7)</f>
        <v/>
      </c>
      <c r="BE7" s="218">
        <f>IF('CF表（奥様働けない時）'!BE7="","",'CF表（奥様働けない時）'!BE7)</f>
        <v/>
      </c>
      <c r="BF7" s="218">
        <f>IF('CF表（奥様働けない時）'!BF7="","",'CF表（奥様働けない時）'!BF7)</f>
        <v/>
      </c>
      <c r="BG7" s="218">
        <f>IF('CF表（奥様働けない時）'!BG7="","",'CF表（奥様働けない時）'!BG7)</f>
        <v/>
      </c>
      <c r="BH7" s="218">
        <f>IF('CF表（奥様働けない時）'!BH7="","",'CF表（奥様働けない時）'!BH7)</f>
        <v/>
      </c>
      <c r="BI7" s="218">
        <f>IF('CF表（奥様働けない時）'!BI7="","",'CF表（奥様働けない時）'!BI7)</f>
        <v/>
      </c>
      <c r="BJ7" s="218">
        <f>IF('CF表（奥様働けない時）'!BJ7="","",'CF表（奥様働けない時）'!BJ7)</f>
        <v/>
      </c>
      <c r="BK7" s="218">
        <f>IF('CF表（奥様働けない時）'!BK7="","",'CF表（奥様働けない時）'!BK7)</f>
        <v/>
      </c>
      <c r="BL7" s="218">
        <f>IF('CF表（奥様働けない時）'!BL7="","",'CF表（奥様働けない時）'!BL7)</f>
        <v/>
      </c>
      <c r="BM7" s="218">
        <f>IF('CF表（奥様働けない時）'!BM7="","",'CF表（奥様働けない時）'!BM7)</f>
        <v/>
      </c>
      <c r="BN7" s="218">
        <f>IF('CF表（奥様働けない時）'!BN7="","",'CF表（奥様働けない時）'!BN7)</f>
        <v/>
      </c>
      <c r="BO7" s="218">
        <f>IF('CF表（奥様働けない時）'!BO7="","",'CF表（奥様働けない時）'!BO7)</f>
        <v/>
      </c>
      <c r="BP7" s="218">
        <f>IF('CF表（奥様働けない時）'!BP7="","",'CF表（奥様働けない時）'!BP7)</f>
        <v/>
      </c>
      <c r="BQ7" s="218">
        <f>IF('CF表（奥様働けない時）'!BQ7="","",'CF表（奥様働けない時）'!BQ7)</f>
        <v/>
      </c>
      <c r="BR7" s="218">
        <f>IF('CF表（奥様働けない時）'!BR7="","",'CF表（奥様働けない時）'!BR7)</f>
        <v/>
      </c>
      <c r="BS7" s="218">
        <f>IF('CF表（奥様働けない時）'!BS7="","",'CF表（奥様働けない時）'!BS7)</f>
        <v/>
      </c>
      <c r="BT7" s="218">
        <f>IF('CF表（奥様働けない時）'!BT7="","",'CF表（奥様働けない時）'!BT7)</f>
        <v/>
      </c>
      <c r="BU7" s="218">
        <f>IF('CF表（奥様働けない時）'!BU7="","",'CF表（奥様働けない時）'!BU7)</f>
        <v/>
      </c>
      <c r="BV7" s="218">
        <f>IF('CF表（奥様働けない時）'!BV7="","",'CF表（奥様働けない時）'!BV7)</f>
        <v/>
      </c>
      <c r="BW7" s="218">
        <f>IF('CF表（奥様働けない時）'!BW7="","",'CF表（奥様働けない時）'!BW7)</f>
        <v/>
      </c>
      <c r="BX7" s="218">
        <f>IF('CF表（奥様働けない時）'!BX7="","",'CF表（奥様働けない時）'!BX7)</f>
        <v/>
      </c>
      <c r="BY7" s="218">
        <f>IF('CF表（奥様働けない時）'!BY7="","",'CF表（奥様働けない時）'!BY7)</f>
        <v/>
      </c>
      <c r="BZ7" s="218">
        <f>IF('CF表（奥様働けない時）'!BZ7="","",'CF表（奥様働けない時）'!BZ7)</f>
        <v/>
      </c>
      <c r="CA7" s="218">
        <f>IF('CF表（奥様働けない時）'!CA7="","",'CF表（奥様働けない時）'!CA7)</f>
        <v/>
      </c>
      <c r="CB7" s="218">
        <f>IF('CF表（奥様働けない時）'!CB7="","",'CF表（奥様働けない時）'!CB7)</f>
        <v/>
      </c>
      <c r="CC7" s="218">
        <f>IF('CF表（奥様働けない時）'!CC7="","",'CF表（奥様働けない時）'!CC7)</f>
        <v/>
      </c>
      <c r="CD7" s="218">
        <f>IF('CF表（奥様働けない時）'!CD7="","",'CF表（奥様働けない時）'!CD7)</f>
        <v/>
      </c>
      <c r="CE7" s="218">
        <f>IF('CF表（奥様働けない時）'!CE7="","",'CF表（奥様働けない時）'!CE7)</f>
        <v/>
      </c>
      <c r="CF7" s="218">
        <f>IF('CF表（奥様働けない時）'!CF7="","",'CF表（奥様働けない時）'!CF7)</f>
        <v/>
      </c>
      <c r="CG7" s="218">
        <f>IF('CF表（奥様働けない時）'!CG7="","",'CF表（奥様働けない時）'!CG7)</f>
        <v/>
      </c>
      <c r="CH7" s="218">
        <f>IF('CF表（奥様働けない時）'!CH7="","",'CF表（奥様働けない時）'!CH7)</f>
        <v/>
      </c>
      <c r="CI7" s="218">
        <f>IF('CF表（奥様働けない時）'!CI7="","",'CF表（奥様働けない時）'!CI7)</f>
        <v/>
      </c>
      <c r="CJ7" s="218">
        <f>IF('CF表（奥様働けない時）'!CJ7="","",'CF表（奥様働けない時）'!CJ7)</f>
        <v/>
      </c>
      <c r="CK7" s="218">
        <f>IF('CF表（奥様働けない時）'!CK7="","",'CF表（奥様働けない時）'!CK7)</f>
        <v/>
      </c>
      <c r="CL7" s="218">
        <f>IF('CF表（奥様働けない時）'!CL7="","",'CF表（奥様働けない時）'!CL7)</f>
        <v/>
      </c>
      <c r="CM7" s="218">
        <f>IF('CF表（奥様働けない時）'!CM7="","",'CF表（奥様働けない時）'!CM7)</f>
        <v/>
      </c>
      <c r="CN7" s="218">
        <f>IF('CF表（奥様働けない時）'!CN7="","",'CF表（奥様働けない時）'!CN7)</f>
        <v/>
      </c>
      <c r="CO7" s="218">
        <f>IF('CF表（奥様働けない時）'!CO7="","",'CF表（奥様働けない時）'!CO7)</f>
        <v/>
      </c>
      <c r="CP7" s="218">
        <f>IF('CF表（奥様働けない時）'!CP7="","",'CF表（奥様働けない時）'!CP7)</f>
        <v/>
      </c>
      <c r="CQ7" s="218">
        <f>IF('CF表（奥様働けない時）'!CQ7="","",'CF表（奥様働けない時）'!CQ7)</f>
        <v/>
      </c>
      <c r="CR7" s="218">
        <f>IF('CF表（奥様働けない時）'!CR7="","",'CF表（奥様働けない時）'!CR7)</f>
        <v/>
      </c>
      <c r="CS7" s="218">
        <f>IF('CF表（奥様働けない時）'!CS7="","",'CF表（奥様働けない時）'!CS7)</f>
        <v/>
      </c>
      <c r="CT7" s="218">
        <f>IF('CF表（奥様働けない時）'!CT7="","",'CF表（奥様働けない時）'!CT7)</f>
        <v/>
      </c>
      <c r="CU7" s="218">
        <f>IF('CF表（奥様働けない時）'!CU7="","",'CF表（奥様働けない時）'!CU7)</f>
        <v/>
      </c>
      <c r="CV7" s="218">
        <f>IF('CF表（奥様働けない時）'!CV7="","",'CF表（奥様働けない時）'!CV7)</f>
        <v/>
      </c>
      <c r="CW7" s="218">
        <f>IF('CF表（奥様働けない時）'!CW7="","",'CF表（奥様働けない時）'!CW7)</f>
        <v/>
      </c>
    </row>
    <row r="8" ht="16.5" customHeight="1" s="180">
      <c r="A8" s="217" t="inlineStr">
        <is>
          <t>子3年齢</t>
        </is>
      </c>
      <c r="B8" s="218">
        <f>IF('CF表（奥様働けない時）'!B8="","",'CF表（奥様働けない時）'!B8)</f>
        <v/>
      </c>
      <c r="C8" s="218">
        <f>IF('CF表（奥様働けない時）'!C8="","",'CF表（奥様働けない時）'!C8)</f>
        <v/>
      </c>
      <c r="D8" s="218">
        <f>IF('CF表（奥様働けない時）'!D8="","",'CF表（奥様働けない時）'!D8)</f>
        <v/>
      </c>
      <c r="E8" s="218">
        <f>IF('CF表（奥様働けない時）'!E8="","",'CF表（奥様働けない時）'!E8)</f>
        <v/>
      </c>
      <c r="F8" s="218">
        <f>IF('CF表（奥様働けない時）'!F8="","",'CF表（奥様働けない時）'!F8)</f>
        <v/>
      </c>
      <c r="G8" s="218">
        <f>IF('CF表（奥様働けない時）'!G8="","",'CF表（奥様働けない時）'!G8)</f>
        <v/>
      </c>
      <c r="H8" s="218">
        <f>IF('CF表（奥様働けない時）'!H8="","",'CF表（奥様働けない時）'!H8)</f>
        <v/>
      </c>
      <c r="I8" s="218">
        <f>IF('CF表（奥様働けない時）'!I8="","",'CF表（奥様働けない時）'!I8)</f>
        <v/>
      </c>
      <c r="J8" s="218">
        <f>IF('CF表（奥様働けない時）'!J8="","",'CF表（奥様働けない時）'!J8)</f>
        <v/>
      </c>
      <c r="K8" s="218">
        <f>IF('CF表（奥様働けない時）'!K8="","",'CF表（奥様働けない時）'!K8)</f>
        <v/>
      </c>
      <c r="L8" s="218">
        <f>IF('CF表（奥様働けない時）'!L8="","",'CF表（奥様働けない時）'!L8)</f>
        <v/>
      </c>
      <c r="M8" s="218">
        <f>IF('CF表（奥様働けない時）'!M8="","",'CF表（奥様働けない時）'!M8)</f>
        <v/>
      </c>
      <c r="N8" s="218">
        <f>IF('CF表（奥様働けない時）'!N8="","",'CF表（奥様働けない時）'!N8)</f>
        <v/>
      </c>
      <c r="O8" s="218">
        <f>IF('CF表（奥様働けない時）'!O8="","",'CF表（奥様働けない時）'!O8)</f>
        <v/>
      </c>
      <c r="P8" s="218">
        <f>IF('CF表（奥様働けない時）'!P8="","",'CF表（奥様働けない時）'!P8)</f>
        <v/>
      </c>
      <c r="Q8" s="218">
        <f>IF('CF表（奥様働けない時）'!Q8="","",'CF表（奥様働けない時）'!Q8)</f>
        <v/>
      </c>
      <c r="R8" s="218">
        <f>IF('CF表（奥様働けない時）'!R8="","",'CF表（奥様働けない時）'!R8)</f>
        <v/>
      </c>
      <c r="S8" s="218">
        <f>IF('CF表（奥様働けない時）'!S8="","",'CF表（奥様働けない時）'!S8)</f>
        <v/>
      </c>
      <c r="T8" s="218">
        <f>IF('CF表（奥様働けない時）'!T8="","",'CF表（奥様働けない時）'!T8)</f>
        <v/>
      </c>
      <c r="U8" s="218">
        <f>IF('CF表（奥様働けない時）'!U8="","",'CF表（奥様働けない時）'!U8)</f>
        <v/>
      </c>
      <c r="V8" s="218">
        <f>IF('CF表（奥様働けない時）'!V8="","",'CF表（奥様働けない時）'!V8)</f>
        <v/>
      </c>
      <c r="W8" s="218">
        <f>IF('CF表（奥様働けない時）'!W8="","",'CF表（奥様働けない時）'!W8)</f>
        <v/>
      </c>
      <c r="X8" s="218">
        <f>IF('CF表（奥様働けない時）'!X8="","",'CF表（奥様働けない時）'!X8)</f>
        <v/>
      </c>
      <c r="Y8" s="218">
        <f>IF('CF表（奥様働けない時）'!Y8="","",'CF表（奥様働けない時）'!Y8)</f>
        <v/>
      </c>
      <c r="Z8" s="218">
        <f>IF('CF表（奥様働けない時）'!Z8="","",'CF表（奥様働けない時）'!Z8)</f>
        <v/>
      </c>
      <c r="AA8" s="218">
        <f>IF('CF表（奥様働けない時）'!AA8="","",'CF表（奥様働けない時）'!AA8)</f>
        <v/>
      </c>
      <c r="AB8" s="218">
        <f>IF('CF表（奥様働けない時）'!AB8="","",'CF表（奥様働けない時）'!AB8)</f>
        <v/>
      </c>
      <c r="AC8" s="218">
        <f>IF('CF表（奥様働けない時）'!AC8="","",'CF表（奥様働けない時）'!AC8)</f>
        <v/>
      </c>
      <c r="AD8" s="218">
        <f>IF('CF表（奥様働けない時）'!AD8="","",'CF表（奥様働けない時）'!AD8)</f>
        <v/>
      </c>
      <c r="AE8" s="218">
        <f>IF('CF表（奥様働けない時）'!AE8="","",'CF表（奥様働けない時）'!AE8)</f>
        <v/>
      </c>
      <c r="AF8" s="218">
        <f>IF('CF表（奥様働けない時）'!AF8="","",'CF表（奥様働けない時）'!AF8)</f>
        <v/>
      </c>
      <c r="AG8" s="218">
        <f>IF('CF表（奥様働けない時）'!AG8="","",'CF表（奥様働けない時）'!AG8)</f>
        <v/>
      </c>
      <c r="AH8" s="218">
        <f>IF('CF表（奥様働けない時）'!AH8="","",'CF表（奥様働けない時）'!AH8)</f>
        <v/>
      </c>
      <c r="AI8" s="218">
        <f>IF('CF表（奥様働けない時）'!AI8="","",'CF表（奥様働けない時）'!AI8)</f>
        <v/>
      </c>
      <c r="AJ8" s="218">
        <f>IF('CF表（奥様働けない時）'!AJ8="","",'CF表（奥様働けない時）'!AJ8)</f>
        <v/>
      </c>
      <c r="AK8" s="218">
        <f>IF('CF表（奥様働けない時）'!AK8="","",'CF表（奥様働けない時）'!AK8)</f>
        <v/>
      </c>
      <c r="AL8" s="218">
        <f>IF('CF表（奥様働けない時）'!AL8="","",'CF表（奥様働けない時）'!AL8)</f>
        <v/>
      </c>
      <c r="AM8" s="218">
        <f>IF('CF表（奥様働けない時）'!AM8="","",'CF表（奥様働けない時）'!AM8)</f>
        <v/>
      </c>
      <c r="AN8" s="218">
        <f>IF('CF表（奥様働けない時）'!AN8="","",'CF表（奥様働けない時）'!AN8)</f>
        <v/>
      </c>
      <c r="AO8" s="218">
        <f>IF('CF表（奥様働けない時）'!AO8="","",'CF表（奥様働けない時）'!AO8)</f>
        <v/>
      </c>
      <c r="AP8" s="218">
        <f>IF('CF表（奥様働けない時）'!AP8="","",'CF表（奥様働けない時）'!AP8)</f>
        <v/>
      </c>
      <c r="AQ8" s="218">
        <f>IF('CF表（奥様働けない時）'!AQ8="","",'CF表（奥様働けない時）'!AQ8)</f>
        <v/>
      </c>
      <c r="AR8" s="218">
        <f>IF('CF表（奥様働けない時）'!AR8="","",'CF表（奥様働けない時）'!AR8)</f>
        <v/>
      </c>
      <c r="AS8" s="218">
        <f>IF('CF表（奥様働けない時）'!AS8="","",'CF表（奥様働けない時）'!AS8)</f>
        <v/>
      </c>
      <c r="AT8" s="218">
        <f>IF('CF表（奥様働けない時）'!AT8="","",'CF表（奥様働けない時）'!AT8)</f>
        <v/>
      </c>
      <c r="AU8" s="218">
        <f>IF('CF表（奥様働けない時）'!AU8="","",'CF表（奥様働けない時）'!AU8)</f>
        <v/>
      </c>
      <c r="AV8" s="218">
        <f>IF('CF表（奥様働けない時）'!AV8="","",'CF表（奥様働けない時）'!AV8)</f>
        <v/>
      </c>
      <c r="AW8" s="218">
        <f>IF('CF表（奥様働けない時）'!AW8="","",'CF表（奥様働けない時）'!AW8)</f>
        <v/>
      </c>
      <c r="AX8" s="218">
        <f>IF('CF表（奥様働けない時）'!AX8="","",'CF表（奥様働けない時）'!AX8)</f>
        <v/>
      </c>
      <c r="AY8" s="218">
        <f>IF('CF表（奥様働けない時）'!AY8="","",'CF表（奥様働けない時）'!AY8)</f>
        <v/>
      </c>
      <c r="AZ8" s="218">
        <f>IF('CF表（奥様働けない時）'!AZ8="","",'CF表（奥様働けない時）'!AZ8)</f>
        <v/>
      </c>
      <c r="BA8" s="218">
        <f>IF('CF表（奥様働けない時）'!BA8="","",'CF表（奥様働けない時）'!BA8)</f>
        <v/>
      </c>
      <c r="BB8" s="218">
        <f>IF('CF表（奥様働けない時）'!BB8="","",'CF表（奥様働けない時）'!BB8)</f>
        <v/>
      </c>
      <c r="BC8" s="218">
        <f>IF('CF表（奥様働けない時）'!BC8="","",'CF表（奥様働けない時）'!BC8)</f>
        <v/>
      </c>
      <c r="BD8" s="218">
        <f>IF('CF表（奥様働けない時）'!BD8="","",'CF表（奥様働けない時）'!BD8)</f>
        <v/>
      </c>
      <c r="BE8" s="218">
        <f>IF('CF表（奥様働けない時）'!BE8="","",'CF表（奥様働けない時）'!BE8)</f>
        <v/>
      </c>
      <c r="BF8" s="218">
        <f>IF('CF表（奥様働けない時）'!BF8="","",'CF表（奥様働けない時）'!BF8)</f>
        <v/>
      </c>
      <c r="BG8" s="218">
        <f>IF('CF表（奥様働けない時）'!BG8="","",'CF表（奥様働けない時）'!BG8)</f>
        <v/>
      </c>
      <c r="BH8" s="218">
        <f>IF('CF表（奥様働けない時）'!BH8="","",'CF表（奥様働けない時）'!BH8)</f>
        <v/>
      </c>
      <c r="BI8" s="218">
        <f>IF('CF表（奥様働けない時）'!BI8="","",'CF表（奥様働けない時）'!BI8)</f>
        <v/>
      </c>
      <c r="BJ8" s="218">
        <f>IF('CF表（奥様働けない時）'!BJ8="","",'CF表（奥様働けない時）'!BJ8)</f>
        <v/>
      </c>
      <c r="BK8" s="218">
        <f>IF('CF表（奥様働けない時）'!BK8="","",'CF表（奥様働けない時）'!BK8)</f>
        <v/>
      </c>
      <c r="BL8" s="218">
        <f>IF('CF表（奥様働けない時）'!BL8="","",'CF表（奥様働けない時）'!BL8)</f>
        <v/>
      </c>
      <c r="BM8" s="218">
        <f>IF('CF表（奥様働けない時）'!BM8="","",'CF表（奥様働けない時）'!BM8)</f>
        <v/>
      </c>
      <c r="BN8" s="218">
        <f>IF('CF表（奥様働けない時）'!BN8="","",'CF表（奥様働けない時）'!BN8)</f>
        <v/>
      </c>
      <c r="BO8" s="218">
        <f>IF('CF表（奥様働けない時）'!BO8="","",'CF表（奥様働けない時）'!BO8)</f>
        <v/>
      </c>
      <c r="BP8" s="218">
        <f>IF('CF表（奥様働けない時）'!BP8="","",'CF表（奥様働けない時）'!BP8)</f>
        <v/>
      </c>
      <c r="BQ8" s="218">
        <f>IF('CF表（奥様働けない時）'!BQ8="","",'CF表（奥様働けない時）'!BQ8)</f>
        <v/>
      </c>
      <c r="BR8" s="218">
        <f>IF('CF表（奥様働けない時）'!BR8="","",'CF表（奥様働けない時）'!BR8)</f>
        <v/>
      </c>
      <c r="BS8" s="218">
        <f>IF('CF表（奥様働けない時）'!BS8="","",'CF表（奥様働けない時）'!BS8)</f>
        <v/>
      </c>
      <c r="BT8" s="218">
        <f>IF('CF表（奥様働けない時）'!BT8="","",'CF表（奥様働けない時）'!BT8)</f>
        <v/>
      </c>
      <c r="BU8" s="218">
        <f>IF('CF表（奥様働けない時）'!BU8="","",'CF表（奥様働けない時）'!BU8)</f>
        <v/>
      </c>
      <c r="BV8" s="218">
        <f>IF('CF表（奥様働けない時）'!BV8="","",'CF表（奥様働けない時）'!BV8)</f>
        <v/>
      </c>
      <c r="BW8" s="218">
        <f>IF('CF表（奥様働けない時）'!BW8="","",'CF表（奥様働けない時）'!BW8)</f>
        <v/>
      </c>
      <c r="BX8" s="218">
        <f>IF('CF表（奥様働けない時）'!BX8="","",'CF表（奥様働けない時）'!BX8)</f>
        <v/>
      </c>
      <c r="BY8" s="218">
        <f>IF('CF表（奥様働けない時）'!BY8="","",'CF表（奥様働けない時）'!BY8)</f>
        <v/>
      </c>
      <c r="BZ8" s="218">
        <f>IF('CF表（奥様働けない時）'!BZ8="","",'CF表（奥様働けない時）'!BZ8)</f>
        <v/>
      </c>
      <c r="CA8" s="218">
        <f>IF('CF表（奥様働けない時）'!CA8="","",'CF表（奥様働けない時）'!CA8)</f>
        <v/>
      </c>
      <c r="CB8" s="218">
        <f>IF('CF表（奥様働けない時）'!CB8="","",'CF表（奥様働けない時）'!CB8)</f>
        <v/>
      </c>
      <c r="CC8" s="218">
        <f>IF('CF表（奥様働けない時）'!CC8="","",'CF表（奥様働けない時）'!CC8)</f>
        <v/>
      </c>
      <c r="CD8" s="218">
        <f>IF('CF表（奥様働けない時）'!CD8="","",'CF表（奥様働けない時）'!CD8)</f>
        <v/>
      </c>
      <c r="CE8" s="218">
        <f>IF('CF表（奥様働けない時）'!CE8="","",'CF表（奥様働けない時）'!CE8)</f>
        <v/>
      </c>
      <c r="CF8" s="218">
        <f>IF('CF表（奥様働けない時）'!CF8="","",'CF表（奥様働けない時）'!CF8)</f>
        <v/>
      </c>
      <c r="CG8" s="218">
        <f>IF('CF表（奥様働けない時）'!CG8="","",'CF表（奥様働けない時）'!CG8)</f>
        <v/>
      </c>
      <c r="CH8" s="218">
        <f>IF('CF表（奥様働けない時）'!CH8="","",'CF表（奥様働けない時）'!CH8)</f>
        <v/>
      </c>
      <c r="CI8" s="218">
        <f>IF('CF表（奥様働けない時）'!CI8="","",'CF表（奥様働けない時）'!CI8)</f>
        <v/>
      </c>
      <c r="CJ8" s="218">
        <f>IF('CF表（奥様働けない時）'!CJ8="","",'CF表（奥様働けない時）'!CJ8)</f>
        <v/>
      </c>
      <c r="CK8" s="218">
        <f>IF('CF表（奥様働けない時）'!CK8="","",'CF表（奥様働けない時）'!CK8)</f>
        <v/>
      </c>
      <c r="CL8" s="218">
        <f>IF('CF表（奥様働けない時）'!CL8="","",'CF表（奥様働けない時）'!CL8)</f>
        <v/>
      </c>
      <c r="CM8" s="218">
        <f>IF('CF表（奥様働けない時）'!CM8="","",'CF表（奥様働けない時）'!CM8)</f>
        <v/>
      </c>
      <c r="CN8" s="218">
        <f>IF('CF表（奥様働けない時）'!CN8="","",'CF表（奥様働けない時）'!CN8)</f>
        <v/>
      </c>
      <c r="CO8" s="218">
        <f>IF('CF表（奥様働けない時）'!CO8="","",'CF表（奥様働けない時）'!CO8)</f>
        <v/>
      </c>
      <c r="CP8" s="218">
        <f>IF('CF表（奥様働けない時）'!CP8="","",'CF表（奥様働けない時）'!CP8)</f>
        <v/>
      </c>
      <c r="CQ8" s="218">
        <f>IF('CF表（奥様働けない時）'!CQ8="","",'CF表（奥様働けない時）'!CQ8)</f>
        <v/>
      </c>
      <c r="CR8" s="218">
        <f>IF('CF表（奥様働けない時）'!CR8="","",'CF表（奥様働けない時）'!CR8)</f>
        <v/>
      </c>
      <c r="CS8" s="218">
        <f>IF('CF表（奥様働けない時）'!CS8="","",'CF表（奥様働けない時）'!CS8)</f>
        <v/>
      </c>
      <c r="CT8" s="218">
        <f>IF('CF表（奥様働けない時）'!CT8="","",'CF表（奥様働けない時）'!CT8)</f>
        <v/>
      </c>
      <c r="CU8" s="218">
        <f>IF('CF表（奥様働けない時）'!CU8="","",'CF表（奥様働けない時）'!CU8)</f>
        <v/>
      </c>
      <c r="CV8" s="218">
        <f>IF('CF表（奥様働けない時）'!CV8="","",'CF表（奥様働けない時）'!CV8)</f>
        <v/>
      </c>
      <c r="CW8" s="218">
        <f>IF('CF表（奥様働けない時）'!CW8="","",'CF表（奥様働けない時）'!CW8)</f>
        <v/>
      </c>
    </row>
    <row r="9" ht="15" customHeight="1" s="180">
      <c r="A9" s="205" t="inlineStr">
        <is>
          <t>家族年齢</t>
        </is>
      </c>
      <c r="B9" s="219" t="n"/>
      <c r="C9" s="219" t="n"/>
      <c r="D9" s="219" t="n"/>
      <c r="E9" s="219" t="n"/>
      <c r="F9" s="219" t="n"/>
      <c r="G9" s="219" t="n"/>
      <c r="H9" s="219" t="n"/>
      <c r="I9" s="219" t="n"/>
      <c r="J9" s="219" t="n"/>
      <c r="K9" s="219" t="n"/>
      <c r="L9" s="219" t="n"/>
      <c r="M9" s="219" t="n"/>
      <c r="N9" s="219" t="n"/>
      <c r="O9" s="219" t="n"/>
      <c r="P9" s="219" t="n"/>
      <c r="Q9" s="219" t="n"/>
      <c r="R9" s="219" t="n"/>
      <c r="S9" s="219" t="n"/>
      <c r="T9" s="219" t="n"/>
      <c r="U9" s="219" t="n"/>
      <c r="V9" s="219" t="n"/>
      <c r="W9" s="219" t="n"/>
      <c r="X9" s="219" t="n"/>
      <c r="Y9" s="219" t="n"/>
      <c r="Z9" s="219" t="n"/>
      <c r="AA9" s="219" t="n"/>
      <c r="AB9" s="219" t="n"/>
      <c r="AC9" s="219" t="n"/>
      <c r="AD9" s="219" t="n"/>
      <c r="AE9" s="219" t="n"/>
      <c r="AF9" s="219" t="n"/>
      <c r="AG9" s="219" t="n"/>
      <c r="AH9" s="219" t="n"/>
      <c r="AI9" s="219" t="n"/>
      <c r="AJ9" s="219" t="n"/>
      <c r="AK9" s="219" t="n"/>
      <c r="AL9" s="219" t="n"/>
      <c r="AM9" s="219" t="n"/>
      <c r="AN9" s="219" t="n"/>
      <c r="AO9" s="219" t="n"/>
      <c r="AP9" s="219" t="n"/>
      <c r="AQ9" s="219" t="n"/>
      <c r="AR9" s="219" t="n"/>
      <c r="AS9" s="219" t="n"/>
      <c r="AT9" s="219" t="n"/>
      <c r="AU9" s="219" t="n"/>
      <c r="AV9" s="219" t="n"/>
      <c r="AW9" s="219" t="n"/>
      <c r="AX9" s="219" t="n"/>
      <c r="AY9" s="219" t="n"/>
      <c r="AZ9" s="219" t="n"/>
      <c r="BA9" s="219" t="n"/>
      <c r="BB9" s="219" t="n"/>
      <c r="BC9" s="219" t="n"/>
      <c r="BD9" s="219" t="n"/>
      <c r="BE9" s="219" t="n"/>
      <c r="BF9" s="219" t="n"/>
      <c r="BG9" s="219" t="n"/>
      <c r="BH9" s="219" t="n"/>
      <c r="BI9" s="219" t="n"/>
      <c r="BJ9" s="219" t="n"/>
      <c r="BK9" s="219" t="n"/>
      <c r="BL9" s="219" t="n"/>
      <c r="BM9" s="219" t="n"/>
      <c r="BN9" s="219" t="n"/>
      <c r="BO9" s="219" t="n"/>
      <c r="BP9" s="219" t="n"/>
      <c r="BQ9" s="219" t="n"/>
      <c r="BR9" s="219" t="n"/>
      <c r="BS9" s="219" t="n"/>
      <c r="BT9" s="219" t="n"/>
      <c r="BU9" s="219" t="n"/>
      <c r="BV9" s="219" t="n"/>
      <c r="BW9" s="219" t="n"/>
      <c r="BX9" s="219" t="n"/>
      <c r="BY9" s="219" t="n"/>
      <c r="BZ9" s="219" t="n"/>
      <c r="CA9" s="219" t="n"/>
      <c r="CB9" s="219" t="n"/>
      <c r="CC9" s="219" t="n"/>
      <c r="CD9" s="219" t="n"/>
      <c r="CE9" s="219" t="n"/>
      <c r="CF9" s="219" t="n"/>
      <c r="CG9" s="219" t="n"/>
      <c r="CH9" s="219" t="n"/>
      <c r="CI9" s="219" t="n"/>
      <c r="CJ9" s="219" t="n"/>
      <c r="CK9" s="219" t="n"/>
      <c r="CL9" s="219" t="n"/>
      <c r="CM9" s="219" t="n"/>
      <c r="CN9" s="219" t="n"/>
      <c r="CO9" s="219" t="n"/>
      <c r="CP9" s="219" t="n"/>
      <c r="CQ9" s="219" t="n"/>
      <c r="CR9" s="219" t="n"/>
      <c r="CS9" s="219" t="n"/>
      <c r="CT9" s="219" t="n"/>
      <c r="CU9" s="219" t="n"/>
      <c r="CV9" s="219" t="n"/>
      <c r="CW9" s="219" t="n"/>
    </row>
    <row r="10" ht="15" customHeight="1" s="180">
      <c r="A10" s="220" t="inlineStr">
        <is>
          <t>ご主人様収入</t>
        </is>
      </c>
      <c r="B10" s="221">
        <f>IF('CF表（奥様働けない時）'!B$3="","",'CF表（奥様働けない時）'!B10/10000)</f>
        <v/>
      </c>
      <c r="C10" s="221">
        <f>IF('CF表（奥様働けない時）'!C$3="","",'CF表（奥様働けない時）'!C10/10000)</f>
        <v/>
      </c>
      <c r="D10" s="221">
        <f>IF('CF表（奥様働けない時）'!D$3="","",'CF表（奥様働けない時）'!D10/10000)</f>
        <v/>
      </c>
      <c r="E10" s="221">
        <f>IF('CF表（奥様働けない時）'!E$3="","",'CF表（奥様働けない時）'!E10/10000)</f>
        <v/>
      </c>
      <c r="F10" s="221">
        <f>IF('CF表（奥様働けない時）'!F$3="","",'CF表（奥様働けない時）'!F10/10000)</f>
        <v/>
      </c>
      <c r="G10" s="221">
        <f>IF('CF表（奥様働けない時）'!G$3="","",'CF表（奥様働けない時）'!G10/10000)</f>
        <v/>
      </c>
      <c r="H10" s="221">
        <f>IF('CF表（奥様働けない時）'!H$3="","",'CF表（奥様働けない時）'!H10/10000)</f>
        <v/>
      </c>
      <c r="I10" s="221">
        <f>IF('CF表（奥様働けない時）'!I$3="","",'CF表（奥様働けない時）'!I10/10000)</f>
        <v/>
      </c>
      <c r="J10" s="221">
        <f>IF('CF表（奥様働けない時）'!J$3="","",'CF表（奥様働けない時）'!J10/10000)</f>
        <v/>
      </c>
      <c r="K10" s="221">
        <f>IF('CF表（奥様働けない時）'!K$3="","",'CF表（奥様働けない時）'!K10/10000)</f>
        <v/>
      </c>
      <c r="L10" s="221">
        <f>IF('CF表（奥様働けない時）'!L$3="","",'CF表（奥様働けない時）'!L10/10000)</f>
        <v/>
      </c>
      <c r="M10" s="221">
        <f>IF('CF表（奥様働けない時）'!M$3="","",'CF表（奥様働けない時）'!M10/10000)</f>
        <v/>
      </c>
      <c r="N10" s="221">
        <f>IF('CF表（奥様働けない時）'!N$3="","",'CF表（奥様働けない時）'!N10/10000)</f>
        <v/>
      </c>
      <c r="O10" s="221">
        <f>IF('CF表（奥様働けない時）'!O$3="","",'CF表（奥様働けない時）'!O10/10000)</f>
        <v/>
      </c>
      <c r="P10" s="221">
        <f>IF('CF表（奥様働けない時）'!P$3="","",'CF表（奥様働けない時）'!P10/10000)</f>
        <v/>
      </c>
      <c r="Q10" s="221">
        <f>IF('CF表（奥様働けない時）'!Q$3="","",'CF表（奥様働けない時）'!Q10/10000)</f>
        <v/>
      </c>
      <c r="R10" s="221">
        <f>IF('CF表（奥様働けない時）'!R$3="","",'CF表（奥様働けない時）'!R10/10000)</f>
        <v/>
      </c>
      <c r="S10" s="221">
        <f>IF('CF表（奥様働けない時）'!S$3="","",'CF表（奥様働けない時）'!S10/10000)</f>
        <v/>
      </c>
      <c r="T10" s="221">
        <f>IF('CF表（奥様働けない時）'!T$3="","",'CF表（奥様働けない時）'!T10/10000)</f>
        <v/>
      </c>
      <c r="U10" s="221">
        <f>IF('CF表（奥様働けない時）'!U$3="","",'CF表（奥様働けない時）'!U10/10000)</f>
        <v/>
      </c>
      <c r="V10" s="221">
        <f>IF('CF表（奥様働けない時）'!V$3="","",'CF表（奥様働けない時）'!V10/10000)</f>
        <v/>
      </c>
      <c r="W10" s="221">
        <f>IF('CF表（奥様働けない時）'!W$3="","",'CF表（奥様働けない時）'!W10/10000)</f>
        <v/>
      </c>
      <c r="X10" s="221">
        <f>IF('CF表（奥様働けない時）'!X$3="","",'CF表（奥様働けない時）'!X10/10000)</f>
        <v/>
      </c>
      <c r="Y10" s="221">
        <f>IF('CF表（奥様働けない時）'!Y$3="","",'CF表（奥様働けない時）'!Y10/10000)</f>
        <v/>
      </c>
      <c r="Z10" s="221">
        <f>IF('CF表（奥様働けない時）'!Z$3="","",'CF表（奥様働けない時）'!Z10/10000)</f>
        <v/>
      </c>
      <c r="AA10" s="221">
        <f>IF('CF表（奥様働けない時）'!AA$3="","",'CF表（奥様働けない時）'!AA10/10000)</f>
        <v/>
      </c>
      <c r="AB10" s="221">
        <f>IF('CF表（奥様働けない時）'!AB$3="","",'CF表（奥様働けない時）'!AB10/10000)</f>
        <v/>
      </c>
      <c r="AC10" s="221">
        <f>IF('CF表（奥様働けない時）'!AC$3="","",'CF表（奥様働けない時）'!AC10/10000)</f>
        <v/>
      </c>
      <c r="AD10" s="221">
        <f>IF('CF表（奥様働けない時）'!AD$3="","",'CF表（奥様働けない時）'!AD10/10000)</f>
        <v/>
      </c>
      <c r="AE10" s="221">
        <f>IF('CF表（奥様働けない時）'!AE$3="","",'CF表（奥様働けない時）'!AE10/10000)</f>
        <v/>
      </c>
      <c r="AF10" s="221">
        <f>IF('CF表（奥様働けない時）'!AF$3="","",'CF表（奥様働けない時）'!AF10/10000)</f>
        <v/>
      </c>
      <c r="AG10" s="221">
        <f>IF('CF表（奥様働けない時）'!AG$3="","",'CF表（奥様働けない時）'!AG10/10000)</f>
        <v/>
      </c>
      <c r="AH10" s="221">
        <f>IF('CF表（奥様働けない時）'!AH$3="","",'CF表（奥様働けない時）'!AH10/10000)</f>
        <v/>
      </c>
      <c r="AI10" s="221">
        <f>IF('CF表（奥様働けない時）'!AI$3="","",'CF表（奥様働けない時）'!AI10/10000)</f>
        <v/>
      </c>
      <c r="AJ10" s="221">
        <f>IF('CF表（奥様働けない時）'!AJ$3="","",'CF表（奥様働けない時）'!AJ10/10000)</f>
        <v/>
      </c>
      <c r="AK10" s="221">
        <f>IF('CF表（奥様働けない時）'!AK$3="","",'CF表（奥様働けない時）'!AK10/10000)</f>
        <v/>
      </c>
      <c r="AL10" s="221">
        <f>IF('CF表（奥様働けない時）'!AL$3="","",'CF表（奥様働けない時）'!AL10/10000)</f>
        <v/>
      </c>
      <c r="AM10" s="221">
        <f>IF('CF表（奥様働けない時）'!AM$3="","",'CF表（奥様働けない時）'!AM10/10000)</f>
        <v/>
      </c>
      <c r="AN10" s="221">
        <f>IF('CF表（奥様働けない時）'!AN$3="","",'CF表（奥様働けない時）'!AN10/10000)</f>
        <v/>
      </c>
      <c r="AO10" s="221">
        <f>IF('CF表（奥様働けない時）'!AO$3="","",'CF表（奥様働けない時）'!AO10/10000)</f>
        <v/>
      </c>
      <c r="AP10" s="221">
        <f>IF('CF表（奥様働けない時）'!AP$3="","",'CF表（奥様働けない時）'!AP10/10000)</f>
        <v/>
      </c>
      <c r="AQ10" s="221">
        <f>IF('CF表（奥様働けない時）'!AQ$3="","",'CF表（奥様働けない時）'!AQ10/10000)</f>
        <v/>
      </c>
      <c r="AR10" s="221">
        <f>IF('CF表（奥様働けない時）'!AR$3="","",'CF表（奥様働けない時）'!AR10/10000)</f>
        <v/>
      </c>
      <c r="AS10" s="221">
        <f>IF('CF表（奥様働けない時）'!AS$3="","",'CF表（奥様働けない時）'!AS10/10000)</f>
        <v/>
      </c>
      <c r="AT10" s="221">
        <f>IF('CF表（奥様働けない時）'!AT$3="","",'CF表（奥様働けない時）'!AT10/10000)</f>
        <v/>
      </c>
      <c r="AU10" s="221">
        <f>IF('CF表（奥様働けない時）'!AU$3="","",'CF表（奥様働けない時）'!AU10/10000)</f>
        <v/>
      </c>
      <c r="AV10" s="221">
        <f>IF('CF表（奥様働けない時）'!AV$3="","",'CF表（奥様働けない時）'!AV10/10000)</f>
        <v/>
      </c>
      <c r="AW10" s="221">
        <f>IF('CF表（奥様働けない時）'!AW$3="","",'CF表（奥様働けない時）'!AW10/10000)</f>
        <v/>
      </c>
      <c r="AX10" s="221">
        <f>IF('CF表（奥様働けない時）'!AX$3="","",'CF表（奥様働けない時）'!AX10/10000)</f>
        <v/>
      </c>
      <c r="AY10" s="221">
        <f>IF('CF表（奥様働けない時）'!AY$3="","",'CF表（奥様働けない時）'!AY10/10000)</f>
        <v/>
      </c>
      <c r="AZ10" s="221">
        <f>IF('CF表（奥様働けない時）'!AZ$3="","",'CF表（奥様働けない時）'!AZ10/10000)</f>
        <v/>
      </c>
      <c r="BA10" s="221">
        <f>IF('CF表（奥様働けない時）'!BA$3="","",'CF表（奥様働けない時）'!BA10/10000)</f>
        <v/>
      </c>
      <c r="BB10" s="221">
        <f>IF('CF表（奥様働けない時）'!BB$3="","",'CF表（奥様働けない時）'!BB10/10000)</f>
        <v/>
      </c>
      <c r="BC10" s="221">
        <f>IF('CF表（奥様働けない時）'!BC$3="","",'CF表（奥様働けない時）'!BC10/10000)</f>
        <v/>
      </c>
      <c r="BD10" s="221">
        <f>IF('CF表（奥様働けない時）'!BD$3="","",'CF表（奥様働けない時）'!BD10/10000)</f>
        <v/>
      </c>
      <c r="BE10" s="221">
        <f>IF('CF表（奥様働けない時）'!BE$3="","",'CF表（奥様働けない時）'!BE10/10000)</f>
        <v/>
      </c>
      <c r="BF10" s="221">
        <f>IF('CF表（奥様働けない時）'!BF$3="","",'CF表（奥様働けない時）'!BF10/10000)</f>
        <v/>
      </c>
      <c r="BG10" s="221">
        <f>IF('CF表（奥様働けない時）'!BG$3="","",'CF表（奥様働けない時）'!BG10/10000)</f>
        <v/>
      </c>
      <c r="BH10" s="221">
        <f>IF('CF表（奥様働けない時）'!BH$3="","",'CF表（奥様働けない時）'!BH10/10000)</f>
        <v/>
      </c>
      <c r="BI10" s="221">
        <f>IF('CF表（奥様働けない時）'!BI$3="","",'CF表（奥様働けない時）'!BI10/10000)</f>
        <v/>
      </c>
      <c r="BJ10" s="221">
        <f>IF('CF表（奥様働けない時）'!BJ$3="","",'CF表（奥様働けない時）'!BJ10/10000)</f>
        <v/>
      </c>
      <c r="BK10" s="221">
        <f>IF('CF表（奥様働けない時）'!BK$3="","",'CF表（奥様働けない時）'!BK10/10000)</f>
        <v/>
      </c>
      <c r="BL10" s="221">
        <f>IF('CF表（奥様働けない時）'!BL$3="","",'CF表（奥様働けない時）'!BL10/10000)</f>
        <v/>
      </c>
      <c r="BM10" s="221">
        <f>IF('CF表（奥様働けない時）'!BM$3="","",'CF表（奥様働けない時）'!BM10/10000)</f>
        <v/>
      </c>
      <c r="BN10" s="221">
        <f>IF('CF表（奥様働けない時）'!BN$3="","",'CF表（奥様働けない時）'!BN10/10000)</f>
        <v/>
      </c>
      <c r="BO10" s="221">
        <f>IF('CF表（奥様働けない時）'!BO$3="","",'CF表（奥様働けない時）'!BO10/10000)</f>
        <v/>
      </c>
      <c r="BP10" s="221">
        <f>IF('CF表（奥様働けない時）'!BP$3="","",'CF表（奥様働けない時）'!BP10/10000)</f>
        <v/>
      </c>
      <c r="BQ10" s="221">
        <f>IF('CF表（奥様働けない時）'!BQ$3="","",'CF表（奥様働けない時）'!BQ10/10000)</f>
        <v/>
      </c>
      <c r="BR10" s="221">
        <f>IF('CF表（奥様働けない時）'!BR$3="","",'CF表（奥様働けない時）'!BR10/10000)</f>
        <v/>
      </c>
      <c r="BS10" s="221">
        <f>IF('CF表（奥様働けない時）'!BS$3="","",'CF表（奥様働けない時）'!BS10/10000)</f>
        <v/>
      </c>
      <c r="BT10" s="221">
        <f>IF('CF表（奥様働けない時）'!BT$3="","",'CF表（奥様働けない時）'!BT10/10000)</f>
        <v/>
      </c>
      <c r="BU10" s="221">
        <f>IF('CF表（奥様働けない時）'!BU$3="","",'CF表（奥様働けない時）'!BU10/10000)</f>
        <v/>
      </c>
      <c r="BV10" s="221">
        <f>IF('CF表（奥様働けない時）'!BV$3="","",'CF表（奥様働けない時）'!BV10/10000)</f>
        <v/>
      </c>
      <c r="BW10" s="221">
        <f>IF('CF表（奥様働けない時）'!BW$3="","",'CF表（奥様働けない時）'!BW10/10000)</f>
        <v/>
      </c>
      <c r="BX10" s="221">
        <f>IF('CF表（奥様働けない時）'!BX$3="","",'CF表（奥様働けない時）'!BX10/10000)</f>
        <v/>
      </c>
      <c r="BY10" s="221">
        <f>IF('CF表（奥様働けない時）'!BY$3="","",'CF表（奥様働けない時）'!BY10/10000)</f>
        <v/>
      </c>
      <c r="BZ10" s="221">
        <f>IF('CF表（奥様働けない時）'!BZ$3="","",'CF表（奥様働けない時）'!BZ10/10000)</f>
        <v/>
      </c>
      <c r="CA10" s="221">
        <f>IF('CF表（奥様働けない時）'!CA$3="","",'CF表（奥様働けない時）'!CA10/10000)</f>
        <v/>
      </c>
      <c r="CB10" s="221">
        <f>IF('CF表（奥様働けない時）'!CB$3="","",'CF表（奥様働けない時）'!CB10/10000)</f>
        <v/>
      </c>
      <c r="CC10" s="221">
        <f>IF('CF表（奥様働けない時）'!CC$3="","",'CF表（奥様働けない時）'!CC10/10000)</f>
        <v/>
      </c>
      <c r="CD10" s="221">
        <f>IF('CF表（奥様働けない時）'!CD$3="","",'CF表（奥様働けない時）'!CD10/10000)</f>
        <v/>
      </c>
      <c r="CE10" s="221">
        <f>IF('CF表（奥様働けない時）'!CE$3="","",'CF表（奥様働けない時）'!CE10/10000)</f>
        <v/>
      </c>
      <c r="CF10" s="221">
        <f>IF('CF表（奥様働けない時）'!CF$3="","",'CF表（奥様働けない時）'!CF10/10000)</f>
        <v/>
      </c>
      <c r="CG10" s="221">
        <f>IF('CF表（奥様働けない時）'!CG$3="","",'CF表（奥様働けない時）'!CG10/10000)</f>
        <v/>
      </c>
      <c r="CH10" s="221">
        <f>IF('CF表（奥様働けない時）'!CH$3="","",'CF表（奥様働けない時）'!CH10/10000)</f>
        <v/>
      </c>
      <c r="CI10" s="221">
        <f>IF('CF表（奥様働けない時）'!CI$3="","",'CF表（奥様働けない時）'!CI10/10000)</f>
        <v/>
      </c>
      <c r="CJ10" s="221">
        <f>IF('CF表（奥様働けない時）'!CJ$3="","",'CF表（奥様働けない時）'!CJ10/10000)</f>
        <v/>
      </c>
      <c r="CK10" s="221">
        <f>IF('CF表（奥様働けない時）'!CK$3="","",'CF表（奥様働けない時）'!CK10/10000)</f>
        <v/>
      </c>
      <c r="CL10" s="221">
        <f>IF('CF表（奥様働けない時）'!CL$3="","",'CF表（奥様働けない時）'!CL10/10000)</f>
        <v/>
      </c>
      <c r="CM10" s="221">
        <f>IF('CF表（奥様働けない時）'!CM$3="","",'CF表（奥様働けない時）'!CM10/10000)</f>
        <v/>
      </c>
      <c r="CN10" s="221">
        <f>IF('CF表（奥様働けない時）'!CN$3="","",'CF表（奥様働けない時）'!CN10/10000)</f>
        <v/>
      </c>
      <c r="CO10" s="221">
        <f>IF('CF表（奥様働けない時）'!CO$3="","",'CF表（奥様働けない時）'!CO10/10000)</f>
        <v/>
      </c>
      <c r="CP10" s="221">
        <f>IF('CF表（奥様働けない時）'!CP$3="","",'CF表（奥様働けない時）'!CP10/10000)</f>
        <v/>
      </c>
      <c r="CQ10" s="221">
        <f>IF('CF表（奥様働けない時）'!CQ$3="","",'CF表（奥様働けない時）'!CQ10/10000)</f>
        <v/>
      </c>
      <c r="CR10" s="221">
        <f>IF('CF表（奥様働けない時）'!CR$3="","",'CF表（奥様働けない時）'!CR10/10000)</f>
        <v/>
      </c>
      <c r="CS10" s="221">
        <f>IF('CF表（奥様働けない時）'!CS$3="","",'CF表（奥様働けない時）'!CS10/10000)</f>
        <v/>
      </c>
      <c r="CT10" s="221">
        <f>IF('CF表（奥様働けない時）'!CT$3="","",'CF表（奥様働けない時）'!CT10/10000)</f>
        <v/>
      </c>
      <c r="CU10" s="221">
        <f>IF('CF表（奥様働けない時）'!CU$3="","",'CF表（奥様働けない時）'!CU10/10000)</f>
        <v/>
      </c>
      <c r="CV10" s="221">
        <f>IF('CF表（奥様働けない時）'!CV$3="","",'CF表（奥様働けない時）'!CV10/10000)</f>
        <v/>
      </c>
      <c r="CW10" s="221">
        <f>IF('CF表（奥様働けない時）'!CW$3="","",'CF表（奥様働けない時）'!CW10/10000)</f>
        <v/>
      </c>
    </row>
    <row r="11" ht="15" customHeight="1" s="180">
      <c r="A11" s="220" t="inlineStr">
        <is>
          <t>奥様収入</t>
        </is>
      </c>
      <c r="B11" s="221">
        <f>IF('CF表（奥様働けない時）'!B$3="","",'CF表（奥様働けない時）'!B11/10000)</f>
        <v/>
      </c>
      <c r="C11" s="221">
        <f>IF('CF表（奥様働けない時）'!C$3="","",'CF表（奥様働けない時）'!C11/10000)</f>
        <v/>
      </c>
      <c r="D11" s="221">
        <f>IF('CF表（奥様働けない時）'!D$3="","",'CF表（奥様働けない時）'!D11/10000)</f>
        <v/>
      </c>
      <c r="E11" s="221">
        <f>IF('CF表（奥様働けない時）'!E$3="","",'CF表（奥様働けない時）'!E11/10000)</f>
        <v/>
      </c>
      <c r="F11" s="221">
        <f>IF('CF表（奥様働けない時）'!F$3="","",'CF表（奥様働けない時）'!F11/10000)</f>
        <v/>
      </c>
      <c r="G11" s="221">
        <f>IF('CF表（奥様働けない時）'!G$3="","",'CF表（奥様働けない時）'!G11/10000)</f>
        <v/>
      </c>
      <c r="H11" s="221">
        <f>IF('CF表（奥様働けない時）'!H$3="","",'CF表（奥様働けない時）'!H11/10000)</f>
        <v/>
      </c>
      <c r="I11" s="221">
        <f>IF('CF表（奥様働けない時）'!I$3="","",'CF表（奥様働けない時）'!I11/10000)</f>
        <v/>
      </c>
      <c r="J11" s="221">
        <f>IF('CF表（奥様働けない時）'!J$3="","",'CF表（奥様働けない時）'!J11/10000)</f>
        <v/>
      </c>
      <c r="K11" s="221">
        <f>IF('CF表（奥様働けない時）'!K$3="","",'CF表（奥様働けない時）'!K11/10000)</f>
        <v/>
      </c>
      <c r="L11" s="221">
        <f>IF('CF表（奥様働けない時）'!L$3="","",'CF表（奥様働けない時）'!L11/10000)</f>
        <v/>
      </c>
      <c r="M11" s="221">
        <f>IF('CF表（奥様働けない時）'!M$3="","",'CF表（奥様働けない時）'!M11/10000)</f>
        <v/>
      </c>
      <c r="N11" s="221">
        <f>IF('CF表（奥様働けない時）'!N$3="","",'CF表（奥様働けない時）'!N11/10000)</f>
        <v/>
      </c>
      <c r="O11" s="221">
        <f>IF('CF表（奥様働けない時）'!O$3="","",'CF表（奥様働けない時）'!O11/10000)</f>
        <v/>
      </c>
      <c r="P11" s="221">
        <f>IF('CF表（奥様働けない時）'!P$3="","",'CF表（奥様働けない時）'!P11/10000)</f>
        <v/>
      </c>
      <c r="Q11" s="221">
        <f>IF('CF表（奥様働けない時）'!Q$3="","",'CF表（奥様働けない時）'!Q11/10000)</f>
        <v/>
      </c>
      <c r="R11" s="221">
        <f>IF('CF表（奥様働けない時）'!R$3="","",'CF表（奥様働けない時）'!R11/10000)</f>
        <v/>
      </c>
      <c r="S11" s="221">
        <f>IF('CF表（奥様働けない時）'!S$3="","",'CF表（奥様働けない時）'!S11/10000)</f>
        <v/>
      </c>
      <c r="T11" s="221">
        <f>IF('CF表（奥様働けない時）'!T$3="","",'CF表（奥様働けない時）'!T11/10000)</f>
        <v/>
      </c>
      <c r="U11" s="221">
        <f>IF('CF表（奥様働けない時）'!U$3="","",'CF表（奥様働けない時）'!U11/10000)</f>
        <v/>
      </c>
      <c r="V11" s="221">
        <f>IF('CF表（奥様働けない時）'!V$3="","",'CF表（奥様働けない時）'!V11/10000)</f>
        <v/>
      </c>
      <c r="W11" s="221">
        <f>IF('CF表（奥様働けない時）'!W$3="","",'CF表（奥様働けない時）'!W11/10000)</f>
        <v/>
      </c>
      <c r="X11" s="221">
        <f>IF('CF表（奥様働けない時）'!X$3="","",'CF表（奥様働けない時）'!X11/10000)</f>
        <v/>
      </c>
      <c r="Y11" s="221">
        <f>IF('CF表（奥様働けない時）'!Y$3="","",'CF表（奥様働けない時）'!Y11/10000)</f>
        <v/>
      </c>
      <c r="Z11" s="221">
        <f>IF('CF表（奥様働けない時）'!Z$3="","",'CF表（奥様働けない時）'!Z11/10000)</f>
        <v/>
      </c>
      <c r="AA11" s="221">
        <f>IF('CF表（奥様働けない時）'!AA$3="","",'CF表（奥様働けない時）'!AA11/10000)</f>
        <v/>
      </c>
      <c r="AB11" s="221">
        <f>IF('CF表（奥様働けない時）'!AB$3="","",'CF表（奥様働けない時）'!AB11/10000)</f>
        <v/>
      </c>
      <c r="AC11" s="221">
        <f>IF('CF表（奥様働けない時）'!AC$3="","",'CF表（奥様働けない時）'!AC11/10000)</f>
        <v/>
      </c>
      <c r="AD11" s="221">
        <f>IF('CF表（奥様働けない時）'!AD$3="","",'CF表（奥様働けない時）'!AD11/10000)</f>
        <v/>
      </c>
      <c r="AE11" s="221">
        <f>IF('CF表（奥様働けない時）'!AE$3="","",'CF表（奥様働けない時）'!AE11/10000)</f>
        <v/>
      </c>
      <c r="AF11" s="221">
        <f>IF('CF表（奥様働けない時）'!AF$3="","",'CF表（奥様働けない時）'!AF11/10000)</f>
        <v/>
      </c>
      <c r="AG11" s="221">
        <f>IF('CF表（奥様働けない時）'!AG$3="","",'CF表（奥様働けない時）'!AG11/10000)</f>
        <v/>
      </c>
      <c r="AH11" s="221">
        <f>IF('CF表（奥様働けない時）'!AH$3="","",'CF表（奥様働けない時）'!AH11/10000)</f>
        <v/>
      </c>
      <c r="AI11" s="221">
        <f>IF('CF表（奥様働けない時）'!AI$3="","",'CF表（奥様働けない時）'!AI11/10000)</f>
        <v/>
      </c>
      <c r="AJ11" s="221">
        <f>IF('CF表（奥様働けない時）'!AJ$3="","",'CF表（奥様働けない時）'!AJ11/10000)</f>
        <v/>
      </c>
      <c r="AK11" s="221">
        <f>IF('CF表（奥様働けない時）'!AK$3="","",'CF表（奥様働けない時）'!AK11/10000)</f>
        <v/>
      </c>
      <c r="AL11" s="221">
        <f>IF('CF表（奥様働けない時）'!AL$3="","",'CF表（奥様働けない時）'!AL11/10000)</f>
        <v/>
      </c>
      <c r="AM11" s="221">
        <f>IF('CF表（奥様働けない時）'!AM$3="","",'CF表（奥様働けない時）'!AM11/10000)</f>
        <v/>
      </c>
      <c r="AN11" s="221">
        <f>IF('CF表（奥様働けない時）'!AN$3="","",'CF表（奥様働けない時）'!AN11/10000)</f>
        <v/>
      </c>
      <c r="AO11" s="221">
        <f>IF('CF表（奥様働けない時）'!AO$3="","",'CF表（奥様働けない時）'!AO11/10000)</f>
        <v/>
      </c>
      <c r="AP11" s="221">
        <f>IF('CF表（奥様働けない時）'!AP$3="","",'CF表（奥様働けない時）'!AP11/10000)</f>
        <v/>
      </c>
      <c r="AQ11" s="221">
        <f>IF('CF表（奥様働けない時）'!AQ$3="","",'CF表（奥様働けない時）'!AQ11/10000)</f>
        <v/>
      </c>
      <c r="AR11" s="221">
        <f>IF('CF表（奥様働けない時）'!AR$3="","",'CF表（奥様働けない時）'!AR11/10000)</f>
        <v/>
      </c>
      <c r="AS11" s="221">
        <f>IF('CF表（奥様働けない時）'!AS$3="","",'CF表（奥様働けない時）'!AS11/10000)</f>
        <v/>
      </c>
      <c r="AT11" s="221">
        <f>IF('CF表（奥様働けない時）'!AT$3="","",'CF表（奥様働けない時）'!AT11/10000)</f>
        <v/>
      </c>
      <c r="AU11" s="221">
        <f>IF('CF表（奥様働けない時）'!AU$3="","",'CF表（奥様働けない時）'!AU11/10000)</f>
        <v/>
      </c>
      <c r="AV11" s="221">
        <f>IF('CF表（奥様働けない時）'!AV$3="","",'CF表（奥様働けない時）'!AV11/10000)</f>
        <v/>
      </c>
      <c r="AW11" s="221">
        <f>IF('CF表（奥様働けない時）'!AW$3="","",'CF表（奥様働けない時）'!AW11/10000)</f>
        <v/>
      </c>
      <c r="AX11" s="221">
        <f>IF('CF表（奥様働けない時）'!AX$3="","",'CF表（奥様働けない時）'!AX11/10000)</f>
        <v/>
      </c>
      <c r="AY11" s="221">
        <f>IF('CF表（奥様働けない時）'!AY$3="","",'CF表（奥様働けない時）'!AY11/10000)</f>
        <v/>
      </c>
      <c r="AZ11" s="221">
        <f>IF('CF表（奥様働けない時）'!AZ$3="","",'CF表（奥様働けない時）'!AZ11/10000)</f>
        <v/>
      </c>
      <c r="BA11" s="221">
        <f>IF('CF表（奥様働けない時）'!BA$3="","",'CF表（奥様働けない時）'!BA11/10000)</f>
        <v/>
      </c>
      <c r="BB11" s="221">
        <f>IF('CF表（奥様働けない時）'!BB$3="","",'CF表（奥様働けない時）'!BB11/10000)</f>
        <v/>
      </c>
      <c r="BC11" s="221">
        <f>IF('CF表（奥様働けない時）'!BC$3="","",'CF表（奥様働けない時）'!BC11/10000)</f>
        <v/>
      </c>
      <c r="BD11" s="221">
        <f>IF('CF表（奥様働けない時）'!BD$3="","",'CF表（奥様働けない時）'!BD11/10000)</f>
        <v/>
      </c>
      <c r="BE11" s="221">
        <f>IF('CF表（奥様働けない時）'!BE$3="","",'CF表（奥様働けない時）'!BE11/10000)</f>
        <v/>
      </c>
      <c r="BF11" s="221">
        <f>IF('CF表（奥様働けない時）'!BF$3="","",'CF表（奥様働けない時）'!BF11/10000)</f>
        <v/>
      </c>
      <c r="BG11" s="221">
        <f>IF('CF表（奥様働けない時）'!BG$3="","",'CF表（奥様働けない時）'!BG11/10000)</f>
        <v/>
      </c>
      <c r="BH11" s="221">
        <f>IF('CF表（奥様働けない時）'!BH$3="","",'CF表（奥様働けない時）'!BH11/10000)</f>
        <v/>
      </c>
      <c r="BI11" s="221">
        <f>IF('CF表（奥様働けない時）'!BI$3="","",'CF表（奥様働けない時）'!BI11/10000)</f>
        <v/>
      </c>
      <c r="BJ11" s="221">
        <f>IF('CF表（奥様働けない時）'!BJ$3="","",'CF表（奥様働けない時）'!BJ11/10000)</f>
        <v/>
      </c>
      <c r="BK11" s="221">
        <f>IF('CF表（奥様働けない時）'!BK$3="","",'CF表（奥様働けない時）'!BK11/10000)</f>
        <v/>
      </c>
      <c r="BL11" s="221">
        <f>IF('CF表（奥様働けない時）'!BL$3="","",'CF表（奥様働けない時）'!BL11/10000)</f>
        <v/>
      </c>
      <c r="BM11" s="221">
        <f>IF('CF表（奥様働けない時）'!BM$3="","",'CF表（奥様働けない時）'!BM11/10000)</f>
        <v/>
      </c>
      <c r="BN11" s="221">
        <f>IF('CF表（奥様働けない時）'!BN$3="","",'CF表（奥様働けない時）'!BN11/10000)</f>
        <v/>
      </c>
      <c r="BO11" s="221">
        <f>IF('CF表（奥様働けない時）'!BO$3="","",'CF表（奥様働けない時）'!BO11/10000)</f>
        <v/>
      </c>
      <c r="BP11" s="221">
        <f>IF('CF表（奥様働けない時）'!BP$3="","",'CF表（奥様働けない時）'!BP11/10000)</f>
        <v/>
      </c>
      <c r="BQ11" s="221">
        <f>IF('CF表（奥様働けない時）'!BQ$3="","",'CF表（奥様働けない時）'!BQ11/10000)</f>
        <v/>
      </c>
      <c r="BR11" s="221">
        <f>IF('CF表（奥様働けない時）'!BR$3="","",'CF表（奥様働けない時）'!BR11/10000)</f>
        <v/>
      </c>
      <c r="BS11" s="221">
        <f>IF('CF表（奥様働けない時）'!BS$3="","",'CF表（奥様働けない時）'!BS11/10000)</f>
        <v/>
      </c>
      <c r="BT11" s="221">
        <f>IF('CF表（奥様働けない時）'!BT$3="","",'CF表（奥様働けない時）'!BT11/10000)</f>
        <v/>
      </c>
      <c r="BU11" s="221">
        <f>IF('CF表（奥様働けない時）'!BU$3="","",'CF表（奥様働けない時）'!BU11/10000)</f>
        <v/>
      </c>
      <c r="BV11" s="221">
        <f>IF('CF表（奥様働けない時）'!BV$3="","",'CF表（奥様働けない時）'!BV11/10000)</f>
        <v/>
      </c>
      <c r="BW11" s="221">
        <f>IF('CF表（奥様働けない時）'!BW$3="","",'CF表（奥様働けない時）'!BW11/10000)</f>
        <v/>
      </c>
      <c r="BX11" s="221">
        <f>IF('CF表（奥様働けない時）'!BX$3="","",'CF表（奥様働けない時）'!BX11/10000)</f>
        <v/>
      </c>
      <c r="BY11" s="221">
        <f>IF('CF表（奥様働けない時）'!BY$3="","",'CF表（奥様働けない時）'!BY11/10000)</f>
        <v/>
      </c>
      <c r="BZ11" s="221">
        <f>IF('CF表（奥様働けない時）'!BZ$3="","",'CF表（奥様働けない時）'!BZ11/10000)</f>
        <v/>
      </c>
      <c r="CA11" s="221">
        <f>IF('CF表（奥様働けない時）'!CA$3="","",'CF表（奥様働けない時）'!CA11/10000)</f>
        <v/>
      </c>
      <c r="CB11" s="221">
        <f>IF('CF表（奥様働けない時）'!CB$3="","",'CF表（奥様働けない時）'!CB11/10000)</f>
        <v/>
      </c>
      <c r="CC11" s="221">
        <f>IF('CF表（奥様働けない時）'!CC$3="","",'CF表（奥様働けない時）'!CC11/10000)</f>
        <v/>
      </c>
      <c r="CD11" s="221">
        <f>IF('CF表（奥様働けない時）'!CD$3="","",'CF表（奥様働けない時）'!CD11/10000)</f>
        <v/>
      </c>
      <c r="CE11" s="221">
        <f>IF('CF表（奥様働けない時）'!CE$3="","",'CF表（奥様働けない時）'!CE11/10000)</f>
        <v/>
      </c>
      <c r="CF11" s="221">
        <f>IF('CF表（奥様働けない時）'!CF$3="","",'CF表（奥様働けない時）'!CF11/10000)</f>
        <v/>
      </c>
      <c r="CG11" s="221">
        <f>IF('CF表（奥様働けない時）'!CG$3="","",'CF表（奥様働けない時）'!CG11/10000)</f>
        <v/>
      </c>
      <c r="CH11" s="221">
        <f>IF('CF表（奥様働けない時）'!CH$3="","",'CF表（奥様働けない時）'!CH11/10000)</f>
        <v/>
      </c>
      <c r="CI11" s="221">
        <f>IF('CF表（奥様働けない時）'!CI$3="","",'CF表（奥様働けない時）'!CI11/10000)</f>
        <v/>
      </c>
      <c r="CJ11" s="221">
        <f>IF('CF表（奥様働けない時）'!CJ$3="","",'CF表（奥様働けない時）'!CJ11/10000)</f>
        <v/>
      </c>
      <c r="CK11" s="221">
        <f>IF('CF表（奥様働けない時）'!CK$3="","",'CF表（奥様働けない時）'!CK11/10000)</f>
        <v/>
      </c>
      <c r="CL11" s="221">
        <f>IF('CF表（奥様働けない時）'!CL$3="","",'CF表（奥様働けない時）'!CL11/10000)</f>
        <v/>
      </c>
      <c r="CM11" s="221">
        <f>IF('CF表（奥様働けない時）'!CM$3="","",'CF表（奥様働けない時）'!CM11/10000)</f>
        <v/>
      </c>
      <c r="CN11" s="221">
        <f>IF('CF表（奥様働けない時）'!CN$3="","",'CF表（奥様働けない時）'!CN11/10000)</f>
        <v/>
      </c>
      <c r="CO11" s="221">
        <f>IF('CF表（奥様働けない時）'!CO$3="","",'CF表（奥様働けない時）'!CO11/10000)</f>
        <v/>
      </c>
      <c r="CP11" s="221">
        <f>IF('CF表（奥様働けない時）'!CP$3="","",'CF表（奥様働けない時）'!CP11/10000)</f>
        <v/>
      </c>
      <c r="CQ11" s="221">
        <f>IF('CF表（奥様働けない時）'!CQ$3="","",'CF表（奥様働けない時）'!CQ11/10000)</f>
        <v/>
      </c>
      <c r="CR11" s="221">
        <f>IF('CF表（奥様働けない時）'!CR$3="","",'CF表（奥様働けない時）'!CR11/10000)</f>
        <v/>
      </c>
      <c r="CS11" s="221">
        <f>IF('CF表（奥様働けない時）'!CS$3="","",'CF表（奥様働けない時）'!CS11/10000)</f>
        <v/>
      </c>
      <c r="CT11" s="221">
        <f>IF('CF表（奥様働けない時）'!CT$3="","",'CF表（奥様働けない時）'!CT11/10000)</f>
        <v/>
      </c>
      <c r="CU11" s="221">
        <f>IF('CF表（奥様働けない時）'!CU$3="","",'CF表（奥様働けない時）'!CU11/10000)</f>
        <v/>
      </c>
      <c r="CV11" s="221">
        <f>IF('CF表（奥様働けない時）'!CV$3="","",'CF表（奥様働けない時）'!CV11/10000)</f>
        <v/>
      </c>
      <c r="CW11" s="221">
        <f>IF('CF表（奥様働けない時）'!CW$3="","",'CF表（奥様働けない時）'!CW11/10000)</f>
        <v/>
      </c>
    </row>
    <row r="12" ht="15" customHeight="1" s="180">
      <c r="A12" s="220" t="inlineStr">
        <is>
          <t>児童手当</t>
        </is>
      </c>
      <c r="B12" s="221">
        <f>IF('CF表（奥様働けない時）'!B$3="","",'CF表（奥様働けない時）'!B12/10000)</f>
        <v/>
      </c>
      <c r="C12" s="221">
        <f>IF('CF表（奥様働けない時）'!C$3="","",'CF表（奥様働けない時）'!C12/10000)</f>
        <v/>
      </c>
      <c r="D12" s="221">
        <f>IF('CF表（奥様働けない時）'!D$3="","",'CF表（奥様働けない時）'!D12/10000)</f>
        <v/>
      </c>
      <c r="E12" s="221">
        <f>IF('CF表（奥様働けない時）'!E$3="","",'CF表（奥様働けない時）'!E12/10000)</f>
        <v/>
      </c>
      <c r="F12" s="221">
        <f>IF('CF表（奥様働けない時）'!F$3="","",'CF表（奥様働けない時）'!F12/10000)</f>
        <v/>
      </c>
      <c r="G12" s="221">
        <f>IF('CF表（奥様働けない時）'!G$3="","",'CF表（奥様働けない時）'!G12/10000)</f>
        <v/>
      </c>
      <c r="H12" s="221">
        <f>IF('CF表（奥様働けない時）'!H$3="","",'CF表（奥様働けない時）'!H12/10000)</f>
        <v/>
      </c>
      <c r="I12" s="221">
        <f>IF('CF表（奥様働けない時）'!I$3="","",'CF表（奥様働けない時）'!I12/10000)</f>
        <v/>
      </c>
      <c r="J12" s="221">
        <f>IF('CF表（奥様働けない時）'!J$3="","",'CF表（奥様働けない時）'!J12/10000)</f>
        <v/>
      </c>
      <c r="K12" s="221">
        <f>IF('CF表（奥様働けない時）'!K$3="","",'CF表（奥様働けない時）'!K12/10000)</f>
        <v/>
      </c>
      <c r="L12" s="221">
        <f>IF('CF表（奥様働けない時）'!L$3="","",'CF表（奥様働けない時）'!L12/10000)</f>
        <v/>
      </c>
      <c r="M12" s="221">
        <f>IF('CF表（奥様働けない時）'!M$3="","",'CF表（奥様働けない時）'!M12/10000)</f>
        <v/>
      </c>
      <c r="N12" s="221">
        <f>IF('CF表（奥様働けない時）'!N$3="","",'CF表（奥様働けない時）'!N12/10000)</f>
        <v/>
      </c>
      <c r="O12" s="221">
        <f>IF('CF表（奥様働けない時）'!O$3="","",'CF表（奥様働けない時）'!O12/10000)</f>
        <v/>
      </c>
      <c r="P12" s="221">
        <f>IF('CF表（奥様働けない時）'!P$3="","",'CF表（奥様働けない時）'!P12/10000)</f>
        <v/>
      </c>
      <c r="Q12" s="221">
        <f>IF('CF表（奥様働けない時）'!Q$3="","",'CF表（奥様働けない時）'!Q12/10000)</f>
        <v/>
      </c>
      <c r="R12" s="221">
        <f>IF('CF表（奥様働けない時）'!R$3="","",'CF表（奥様働けない時）'!R12/10000)</f>
        <v/>
      </c>
      <c r="S12" s="221">
        <f>IF('CF表（奥様働けない時）'!S$3="","",'CF表（奥様働けない時）'!S12/10000)</f>
        <v/>
      </c>
      <c r="T12" s="221">
        <f>IF('CF表（奥様働けない時）'!T$3="","",'CF表（奥様働けない時）'!T12/10000)</f>
        <v/>
      </c>
      <c r="U12" s="221">
        <f>IF('CF表（奥様働けない時）'!U$3="","",'CF表（奥様働けない時）'!U12/10000)</f>
        <v/>
      </c>
      <c r="V12" s="221">
        <f>IF('CF表（奥様働けない時）'!V$3="","",'CF表（奥様働けない時）'!V12/10000)</f>
        <v/>
      </c>
      <c r="W12" s="221">
        <f>IF('CF表（奥様働けない時）'!W$3="","",'CF表（奥様働けない時）'!W12/10000)</f>
        <v/>
      </c>
      <c r="X12" s="221">
        <f>IF('CF表（奥様働けない時）'!X$3="","",'CF表（奥様働けない時）'!X12/10000)</f>
        <v/>
      </c>
      <c r="Y12" s="221">
        <f>IF('CF表（奥様働けない時）'!Y$3="","",'CF表（奥様働けない時）'!Y12/10000)</f>
        <v/>
      </c>
      <c r="Z12" s="221">
        <f>IF('CF表（奥様働けない時）'!Z$3="","",'CF表（奥様働けない時）'!Z12/10000)</f>
        <v/>
      </c>
      <c r="AA12" s="221">
        <f>IF('CF表（奥様働けない時）'!AA$3="","",'CF表（奥様働けない時）'!AA12/10000)</f>
        <v/>
      </c>
      <c r="AB12" s="221">
        <f>IF('CF表（奥様働けない時）'!AB$3="","",'CF表（奥様働けない時）'!AB12/10000)</f>
        <v/>
      </c>
      <c r="AC12" s="221">
        <f>IF('CF表（奥様働けない時）'!AC$3="","",'CF表（奥様働けない時）'!AC12/10000)</f>
        <v/>
      </c>
      <c r="AD12" s="221">
        <f>IF('CF表（奥様働けない時）'!AD$3="","",'CF表（奥様働けない時）'!AD12/10000)</f>
        <v/>
      </c>
      <c r="AE12" s="221">
        <f>IF('CF表（奥様働けない時）'!AE$3="","",'CF表（奥様働けない時）'!AE12/10000)</f>
        <v/>
      </c>
      <c r="AF12" s="221">
        <f>IF('CF表（奥様働けない時）'!AF$3="","",'CF表（奥様働けない時）'!AF12/10000)</f>
        <v/>
      </c>
      <c r="AG12" s="221">
        <f>IF('CF表（奥様働けない時）'!AG$3="","",'CF表（奥様働けない時）'!AG12/10000)</f>
        <v/>
      </c>
      <c r="AH12" s="221">
        <f>IF('CF表（奥様働けない時）'!AH$3="","",'CF表（奥様働けない時）'!AH12/10000)</f>
        <v/>
      </c>
      <c r="AI12" s="221">
        <f>IF('CF表（奥様働けない時）'!AI$3="","",'CF表（奥様働けない時）'!AI12/10000)</f>
        <v/>
      </c>
      <c r="AJ12" s="221">
        <f>IF('CF表（奥様働けない時）'!AJ$3="","",'CF表（奥様働けない時）'!AJ12/10000)</f>
        <v/>
      </c>
      <c r="AK12" s="221">
        <f>IF('CF表（奥様働けない時）'!AK$3="","",'CF表（奥様働けない時）'!AK12/10000)</f>
        <v/>
      </c>
      <c r="AL12" s="221">
        <f>IF('CF表（奥様働けない時）'!AL$3="","",'CF表（奥様働けない時）'!AL12/10000)</f>
        <v/>
      </c>
      <c r="AM12" s="221">
        <f>IF('CF表（奥様働けない時）'!AM$3="","",'CF表（奥様働けない時）'!AM12/10000)</f>
        <v/>
      </c>
      <c r="AN12" s="221">
        <f>IF('CF表（奥様働けない時）'!AN$3="","",'CF表（奥様働けない時）'!AN12/10000)</f>
        <v/>
      </c>
      <c r="AO12" s="221">
        <f>IF('CF表（奥様働けない時）'!AO$3="","",'CF表（奥様働けない時）'!AO12/10000)</f>
        <v/>
      </c>
      <c r="AP12" s="221">
        <f>IF('CF表（奥様働けない時）'!AP$3="","",'CF表（奥様働けない時）'!AP12/10000)</f>
        <v/>
      </c>
      <c r="AQ12" s="221">
        <f>IF('CF表（奥様働けない時）'!AQ$3="","",'CF表（奥様働けない時）'!AQ12/10000)</f>
        <v/>
      </c>
      <c r="AR12" s="221">
        <f>IF('CF表（奥様働けない時）'!AR$3="","",'CF表（奥様働けない時）'!AR12/10000)</f>
        <v/>
      </c>
      <c r="AS12" s="221">
        <f>IF('CF表（奥様働けない時）'!AS$3="","",'CF表（奥様働けない時）'!AS12/10000)</f>
        <v/>
      </c>
      <c r="AT12" s="221">
        <f>IF('CF表（奥様働けない時）'!AT$3="","",'CF表（奥様働けない時）'!AT12/10000)</f>
        <v/>
      </c>
      <c r="AU12" s="221">
        <f>IF('CF表（奥様働けない時）'!AU$3="","",'CF表（奥様働けない時）'!AU12/10000)</f>
        <v/>
      </c>
      <c r="AV12" s="221">
        <f>IF('CF表（奥様働けない時）'!AV$3="","",'CF表（奥様働けない時）'!AV12/10000)</f>
        <v/>
      </c>
      <c r="AW12" s="221">
        <f>IF('CF表（奥様働けない時）'!AW$3="","",'CF表（奥様働けない時）'!AW12/10000)</f>
        <v/>
      </c>
      <c r="AX12" s="221">
        <f>IF('CF表（奥様働けない時）'!AX$3="","",'CF表（奥様働けない時）'!AX12/10000)</f>
        <v/>
      </c>
      <c r="AY12" s="221">
        <f>IF('CF表（奥様働けない時）'!AY$3="","",'CF表（奥様働けない時）'!AY12/10000)</f>
        <v/>
      </c>
      <c r="AZ12" s="221">
        <f>IF('CF表（奥様働けない時）'!AZ$3="","",'CF表（奥様働けない時）'!AZ12/10000)</f>
        <v/>
      </c>
      <c r="BA12" s="221">
        <f>IF('CF表（奥様働けない時）'!BA$3="","",'CF表（奥様働けない時）'!BA12/10000)</f>
        <v/>
      </c>
      <c r="BB12" s="221">
        <f>IF('CF表（奥様働けない時）'!BB$3="","",'CF表（奥様働けない時）'!BB12/10000)</f>
        <v/>
      </c>
      <c r="BC12" s="221">
        <f>IF('CF表（奥様働けない時）'!BC$3="","",'CF表（奥様働けない時）'!BC12/10000)</f>
        <v/>
      </c>
      <c r="BD12" s="221">
        <f>IF('CF表（奥様働けない時）'!BD$3="","",'CF表（奥様働けない時）'!BD12/10000)</f>
        <v/>
      </c>
      <c r="BE12" s="221">
        <f>IF('CF表（奥様働けない時）'!BE$3="","",'CF表（奥様働けない時）'!BE12/10000)</f>
        <v/>
      </c>
      <c r="BF12" s="221">
        <f>IF('CF表（奥様働けない時）'!BF$3="","",'CF表（奥様働けない時）'!BF12/10000)</f>
        <v/>
      </c>
      <c r="BG12" s="221">
        <f>IF('CF表（奥様働けない時）'!BG$3="","",'CF表（奥様働けない時）'!BG12/10000)</f>
        <v/>
      </c>
      <c r="BH12" s="221">
        <f>IF('CF表（奥様働けない時）'!BH$3="","",'CF表（奥様働けない時）'!BH12/10000)</f>
        <v/>
      </c>
      <c r="BI12" s="221">
        <f>IF('CF表（奥様働けない時）'!BI$3="","",'CF表（奥様働けない時）'!BI12/10000)</f>
        <v/>
      </c>
      <c r="BJ12" s="221">
        <f>IF('CF表（奥様働けない時）'!BJ$3="","",'CF表（奥様働けない時）'!BJ12/10000)</f>
        <v/>
      </c>
      <c r="BK12" s="221">
        <f>IF('CF表（奥様働けない時）'!BK$3="","",'CF表（奥様働けない時）'!BK12/10000)</f>
        <v/>
      </c>
      <c r="BL12" s="221">
        <f>IF('CF表（奥様働けない時）'!BL$3="","",'CF表（奥様働けない時）'!BL12/10000)</f>
        <v/>
      </c>
      <c r="BM12" s="221">
        <f>IF('CF表（奥様働けない時）'!BM$3="","",'CF表（奥様働けない時）'!BM12/10000)</f>
        <v/>
      </c>
      <c r="BN12" s="221">
        <f>IF('CF表（奥様働けない時）'!BN$3="","",'CF表（奥様働けない時）'!BN12/10000)</f>
        <v/>
      </c>
      <c r="BO12" s="221">
        <f>IF('CF表（奥様働けない時）'!BO$3="","",'CF表（奥様働けない時）'!BO12/10000)</f>
        <v/>
      </c>
      <c r="BP12" s="221">
        <f>IF('CF表（奥様働けない時）'!BP$3="","",'CF表（奥様働けない時）'!BP12/10000)</f>
        <v/>
      </c>
      <c r="BQ12" s="221">
        <f>IF('CF表（奥様働けない時）'!BQ$3="","",'CF表（奥様働けない時）'!BQ12/10000)</f>
        <v/>
      </c>
      <c r="BR12" s="221">
        <f>IF('CF表（奥様働けない時）'!BR$3="","",'CF表（奥様働けない時）'!BR12/10000)</f>
        <v/>
      </c>
      <c r="BS12" s="221">
        <f>IF('CF表（奥様働けない時）'!BS$3="","",'CF表（奥様働けない時）'!BS12/10000)</f>
        <v/>
      </c>
      <c r="BT12" s="221">
        <f>IF('CF表（奥様働けない時）'!BT$3="","",'CF表（奥様働けない時）'!BT12/10000)</f>
        <v/>
      </c>
      <c r="BU12" s="221">
        <f>IF('CF表（奥様働けない時）'!BU$3="","",'CF表（奥様働けない時）'!BU12/10000)</f>
        <v/>
      </c>
      <c r="BV12" s="221">
        <f>IF('CF表（奥様働けない時）'!BV$3="","",'CF表（奥様働けない時）'!BV12/10000)</f>
        <v/>
      </c>
      <c r="BW12" s="221">
        <f>IF('CF表（奥様働けない時）'!BW$3="","",'CF表（奥様働けない時）'!BW12/10000)</f>
        <v/>
      </c>
      <c r="BX12" s="221">
        <f>IF('CF表（奥様働けない時）'!BX$3="","",'CF表（奥様働けない時）'!BX12/10000)</f>
        <v/>
      </c>
      <c r="BY12" s="221">
        <f>IF('CF表（奥様働けない時）'!BY$3="","",'CF表（奥様働けない時）'!BY12/10000)</f>
        <v/>
      </c>
      <c r="BZ12" s="221">
        <f>IF('CF表（奥様働けない時）'!BZ$3="","",'CF表（奥様働けない時）'!BZ12/10000)</f>
        <v/>
      </c>
      <c r="CA12" s="221">
        <f>IF('CF表（奥様働けない時）'!CA$3="","",'CF表（奥様働けない時）'!CA12/10000)</f>
        <v/>
      </c>
      <c r="CB12" s="221">
        <f>IF('CF表（奥様働けない時）'!CB$3="","",'CF表（奥様働けない時）'!CB12/10000)</f>
        <v/>
      </c>
      <c r="CC12" s="221">
        <f>IF('CF表（奥様働けない時）'!CC$3="","",'CF表（奥様働けない時）'!CC12/10000)</f>
        <v/>
      </c>
      <c r="CD12" s="221">
        <f>IF('CF表（奥様働けない時）'!CD$3="","",'CF表（奥様働けない時）'!CD12/10000)</f>
        <v/>
      </c>
      <c r="CE12" s="221">
        <f>IF('CF表（奥様働けない時）'!CE$3="","",'CF表（奥様働けない時）'!CE12/10000)</f>
        <v/>
      </c>
      <c r="CF12" s="221">
        <f>IF('CF表（奥様働けない時）'!CF$3="","",'CF表（奥様働けない時）'!CF12/10000)</f>
        <v/>
      </c>
      <c r="CG12" s="221">
        <f>IF('CF表（奥様働けない時）'!CG$3="","",'CF表（奥様働けない時）'!CG12/10000)</f>
        <v/>
      </c>
      <c r="CH12" s="221">
        <f>IF('CF表（奥様働けない時）'!CH$3="","",'CF表（奥様働けない時）'!CH12/10000)</f>
        <v/>
      </c>
      <c r="CI12" s="221">
        <f>IF('CF表（奥様働けない時）'!CI$3="","",'CF表（奥様働けない時）'!CI12/10000)</f>
        <v/>
      </c>
      <c r="CJ12" s="221">
        <f>IF('CF表（奥様働けない時）'!CJ$3="","",'CF表（奥様働けない時）'!CJ12/10000)</f>
        <v/>
      </c>
      <c r="CK12" s="221">
        <f>IF('CF表（奥様働けない時）'!CK$3="","",'CF表（奥様働けない時）'!CK12/10000)</f>
        <v/>
      </c>
      <c r="CL12" s="221">
        <f>IF('CF表（奥様働けない時）'!CL$3="","",'CF表（奥様働けない時）'!CL12/10000)</f>
        <v/>
      </c>
      <c r="CM12" s="221">
        <f>IF('CF表（奥様働けない時）'!CM$3="","",'CF表（奥様働けない時）'!CM12/10000)</f>
        <v/>
      </c>
      <c r="CN12" s="221">
        <f>IF('CF表（奥様働けない時）'!CN$3="","",'CF表（奥様働けない時）'!CN12/10000)</f>
        <v/>
      </c>
      <c r="CO12" s="221">
        <f>IF('CF表（奥様働けない時）'!CO$3="","",'CF表（奥様働けない時）'!CO12/10000)</f>
        <v/>
      </c>
      <c r="CP12" s="221">
        <f>IF('CF表（奥様働けない時）'!CP$3="","",'CF表（奥様働けない時）'!CP12/10000)</f>
        <v/>
      </c>
      <c r="CQ12" s="221">
        <f>IF('CF表（奥様働けない時）'!CQ$3="","",'CF表（奥様働けない時）'!CQ12/10000)</f>
        <v/>
      </c>
      <c r="CR12" s="221">
        <f>IF('CF表（奥様働けない時）'!CR$3="","",'CF表（奥様働けない時）'!CR12/10000)</f>
        <v/>
      </c>
      <c r="CS12" s="221">
        <f>IF('CF表（奥様働けない時）'!CS$3="","",'CF表（奥様働けない時）'!CS12/10000)</f>
        <v/>
      </c>
      <c r="CT12" s="221">
        <f>IF('CF表（奥様働けない時）'!CT$3="","",'CF表（奥様働けない時）'!CT12/10000)</f>
        <v/>
      </c>
      <c r="CU12" s="221">
        <f>IF('CF表（奥様働けない時）'!CU$3="","",'CF表（奥様働けない時）'!CU12/10000)</f>
        <v/>
      </c>
      <c r="CV12" s="221">
        <f>IF('CF表（奥様働けない時）'!CV$3="","",'CF表（奥様働けない時）'!CV12/10000)</f>
        <v/>
      </c>
      <c r="CW12" s="221">
        <f>IF('CF表（奥様働けない時）'!CW$3="","",'CF表（奥様働けない時）'!CW12/10000)</f>
        <v/>
      </c>
    </row>
    <row r="13" ht="15" customHeight="1" s="180">
      <c r="A13" s="220" t="inlineStr">
        <is>
          <t>その他収入</t>
        </is>
      </c>
      <c r="B13" s="221">
        <f>IF('CF表（奥様働けない時）'!B$3="","",'CF表（奥様働けない時）'!B13/10000)</f>
        <v/>
      </c>
      <c r="C13" s="221">
        <f>IF('CF表（奥様働けない時）'!C$3="","",'CF表（奥様働けない時）'!C13/10000)</f>
        <v/>
      </c>
      <c r="D13" s="221">
        <f>IF('CF表（奥様働けない時）'!D$3="","",'CF表（奥様働けない時）'!D13/10000)</f>
        <v/>
      </c>
      <c r="E13" s="221">
        <f>IF('CF表（奥様働けない時）'!E$3="","",'CF表（奥様働けない時）'!E13/10000)</f>
        <v/>
      </c>
      <c r="F13" s="221">
        <f>IF('CF表（奥様働けない時）'!F$3="","",'CF表（奥様働けない時）'!F13/10000)</f>
        <v/>
      </c>
      <c r="G13" s="221">
        <f>IF('CF表（奥様働けない時）'!G$3="","",'CF表（奥様働けない時）'!G13/10000)</f>
        <v/>
      </c>
      <c r="H13" s="221">
        <f>IF('CF表（奥様働けない時）'!H$3="","",'CF表（奥様働けない時）'!H13/10000)</f>
        <v/>
      </c>
      <c r="I13" s="221">
        <f>IF('CF表（奥様働けない時）'!I$3="","",'CF表（奥様働けない時）'!I13/10000)</f>
        <v/>
      </c>
      <c r="J13" s="221">
        <f>IF('CF表（奥様働けない時）'!J$3="","",'CF表（奥様働けない時）'!J13/10000)</f>
        <v/>
      </c>
      <c r="K13" s="221">
        <f>IF('CF表（奥様働けない時）'!K$3="","",'CF表（奥様働けない時）'!K13/10000)</f>
        <v/>
      </c>
      <c r="L13" s="221">
        <f>IF('CF表（奥様働けない時）'!L$3="","",'CF表（奥様働けない時）'!L13/10000)</f>
        <v/>
      </c>
      <c r="M13" s="221">
        <f>IF('CF表（奥様働けない時）'!M$3="","",'CF表（奥様働けない時）'!M13/10000)</f>
        <v/>
      </c>
      <c r="N13" s="221">
        <f>IF('CF表（奥様働けない時）'!N$3="","",'CF表（奥様働けない時）'!N13/10000)</f>
        <v/>
      </c>
      <c r="O13" s="221">
        <f>IF('CF表（奥様働けない時）'!O$3="","",'CF表（奥様働けない時）'!O13/10000)</f>
        <v/>
      </c>
      <c r="P13" s="221">
        <f>IF('CF表（奥様働けない時）'!P$3="","",'CF表（奥様働けない時）'!P13/10000)</f>
        <v/>
      </c>
      <c r="Q13" s="221">
        <f>IF('CF表（奥様働けない時）'!Q$3="","",'CF表（奥様働けない時）'!Q13/10000)</f>
        <v/>
      </c>
      <c r="R13" s="221">
        <f>IF('CF表（奥様働けない時）'!R$3="","",'CF表（奥様働けない時）'!R13/10000)</f>
        <v/>
      </c>
      <c r="S13" s="221">
        <f>IF('CF表（奥様働けない時）'!S$3="","",'CF表（奥様働けない時）'!S13/10000)</f>
        <v/>
      </c>
      <c r="T13" s="221">
        <f>IF('CF表（奥様働けない時）'!T$3="","",'CF表（奥様働けない時）'!T13/10000)</f>
        <v/>
      </c>
      <c r="U13" s="221">
        <f>IF('CF表（奥様働けない時）'!U$3="","",'CF表（奥様働けない時）'!U13/10000)</f>
        <v/>
      </c>
      <c r="V13" s="221">
        <f>IF('CF表（奥様働けない時）'!V$3="","",'CF表（奥様働けない時）'!V13/10000)</f>
        <v/>
      </c>
      <c r="W13" s="221">
        <f>IF('CF表（奥様働けない時）'!W$3="","",'CF表（奥様働けない時）'!W13/10000)</f>
        <v/>
      </c>
      <c r="X13" s="221">
        <f>IF('CF表（奥様働けない時）'!X$3="","",'CF表（奥様働けない時）'!X13/10000)</f>
        <v/>
      </c>
      <c r="Y13" s="221">
        <f>IF('CF表（奥様働けない時）'!Y$3="","",'CF表（奥様働けない時）'!Y13/10000)</f>
        <v/>
      </c>
      <c r="Z13" s="221">
        <f>IF('CF表（奥様働けない時）'!Z$3="","",'CF表（奥様働けない時）'!Z13/10000)</f>
        <v/>
      </c>
      <c r="AA13" s="221">
        <f>IF('CF表（奥様働けない時）'!AA$3="","",'CF表（奥様働けない時）'!AA13/10000)</f>
        <v/>
      </c>
      <c r="AB13" s="221">
        <f>IF('CF表（奥様働けない時）'!AB$3="","",'CF表（奥様働けない時）'!AB13/10000)</f>
        <v/>
      </c>
      <c r="AC13" s="221">
        <f>IF('CF表（奥様働けない時）'!AC$3="","",'CF表（奥様働けない時）'!AC13/10000)</f>
        <v/>
      </c>
      <c r="AD13" s="221">
        <f>IF('CF表（奥様働けない時）'!AD$3="","",'CF表（奥様働けない時）'!AD13/10000)</f>
        <v/>
      </c>
      <c r="AE13" s="221">
        <f>IF('CF表（奥様働けない時）'!AE$3="","",'CF表（奥様働けない時）'!AE13/10000)</f>
        <v/>
      </c>
      <c r="AF13" s="221">
        <f>IF('CF表（奥様働けない時）'!AF$3="","",'CF表（奥様働けない時）'!AF13/10000)</f>
        <v/>
      </c>
      <c r="AG13" s="221">
        <f>IF('CF表（奥様働けない時）'!AG$3="","",'CF表（奥様働けない時）'!AG13/10000)</f>
        <v/>
      </c>
      <c r="AH13" s="221">
        <f>IF('CF表（奥様働けない時）'!AH$3="","",'CF表（奥様働けない時）'!AH13/10000)</f>
        <v/>
      </c>
      <c r="AI13" s="221">
        <f>IF('CF表（奥様働けない時）'!AI$3="","",'CF表（奥様働けない時）'!AI13/10000)</f>
        <v/>
      </c>
      <c r="AJ13" s="221">
        <f>IF('CF表（奥様働けない時）'!AJ$3="","",'CF表（奥様働けない時）'!AJ13/10000)</f>
        <v/>
      </c>
      <c r="AK13" s="221">
        <f>IF('CF表（奥様働けない時）'!AK$3="","",'CF表（奥様働けない時）'!AK13/10000)</f>
        <v/>
      </c>
      <c r="AL13" s="221">
        <f>IF('CF表（奥様働けない時）'!AL$3="","",'CF表（奥様働けない時）'!AL13/10000)</f>
        <v/>
      </c>
      <c r="AM13" s="221">
        <f>IF('CF表（奥様働けない時）'!AM$3="","",'CF表（奥様働けない時）'!AM13/10000)</f>
        <v/>
      </c>
      <c r="AN13" s="221">
        <f>IF('CF表（奥様働けない時）'!AN$3="","",'CF表（奥様働けない時）'!AN13/10000)</f>
        <v/>
      </c>
      <c r="AO13" s="221">
        <f>IF('CF表（奥様働けない時）'!AO$3="","",'CF表（奥様働けない時）'!AO13/10000)</f>
        <v/>
      </c>
      <c r="AP13" s="221">
        <f>IF('CF表（奥様働けない時）'!AP$3="","",'CF表（奥様働けない時）'!AP13/10000)</f>
        <v/>
      </c>
      <c r="AQ13" s="221">
        <f>IF('CF表（奥様働けない時）'!AQ$3="","",'CF表（奥様働けない時）'!AQ13/10000)</f>
        <v/>
      </c>
      <c r="AR13" s="221">
        <f>IF('CF表（奥様働けない時）'!AR$3="","",'CF表（奥様働けない時）'!AR13/10000)</f>
        <v/>
      </c>
      <c r="AS13" s="221">
        <f>IF('CF表（奥様働けない時）'!AS$3="","",'CF表（奥様働けない時）'!AS13/10000)</f>
        <v/>
      </c>
      <c r="AT13" s="221">
        <f>IF('CF表（奥様働けない時）'!AT$3="","",'CF表（奥様働けない時）'!AT13/10000)</f>
        <v/>
      </c>
      <c r="AU13" s="221">
        <f>IF('CF表（奥様働けない時）'!AU$3="","",'CF表（奥様働けない時）'!AU13/10000)</f>
        <v/>
      </c>
      <c r="AV13" s="221">
        <f>IF('CF表（奥様働けない時）'!AV$3="","",'CF表（奥様働けない時）'!AV13/10000)</f>
        <v/>
      </c>
      <c r="AW13" s="221">
        <f>IF('CF表（奥様働けない時）'!AW$3="","",'CF表（奥様働けない時）'!AW13/10000)</f>
        <v/>
      </c>
      <c r="AX13" s="221">
        <f>IF('CF表（奥様働けない時）'!AX$3="","",'CF表（奥様働けない時）'!AX13/10000)</f>
        <v/>
      </c>
      <c r="AY13" s="221">
        <f>IF('CF表（奥様働けない時）'!AY$3="","",'CF表（奥様働けない時）'!AY13/10000)</f>
        <v/>
      </c>
      <c r="AZ13" s="221">
        <f>IF('CF表（奥様働けない時）'!AZ$3="","",'CF表（奥様働けない時）'!AZ13/10000)</f>
        <v/>
      </c>
      <c r="BA13" s="221">
        <f>IF('CF表（奥様働けない時）'!BA$3="","",'CF表（奥様働けない時）'!BA13/10000)</f>
        <v/>
      </c>
      <c r="BB13" s="221">
        <f>IF('CF表（奥様働けない時）'!BB$3="","",'CF表（奥様働けない時）'!BB13/10000)</f>
        <v/>
      </c>
      <c r="BC13" s="221">
        <f>IF('CF表（奥様働けない時）'!BC$3="","",'CF表（奥様働けない時）'!BC13/10000)</f>
        <v/>
      </c>
      <c r="BD13" s="221">
        <f>IF('CF表（奥様働けない時）'!BD$3="","",'CF表（奥様働けない時）'!BD13/10000)</f>
        <v/>
      </c>
      <c r="BE13" s="221">
        <f>IF('CF表（奥様働けない時）'!BE$3="","",'CF表（奥様働けない時）'!BE13/10000)</f>
        <v/>
      </c>
      <c r="BF13" s="221">
        <f>IF('CF表（奥様働けない時）'!BF$3="","",'CF表（奥様働けない時）'!BF13/10000)</f>
        <v/>
      </c>
      <c r="BG13" s="221">
        <f>IF('CF表（奥様働けない時）'!BG$3="","",'CF表（奥様働けない時）'!BG13/10000)</f>
        <v/>
      </c>
      <c r="BH13" s="221">
        <f>IF('CF表（奥様働けない時）'!BH$3="","",'CF表（奥様働けない時）'!BH13/10000)</f>
        <v/>
      </c>
      <c r="BI13" s="221">
        <f>IF('CF表（奥様働けない時）'!BI$3="","",'CF表（奥様働けない時）'!BI13/10000)</f>
        <v/>
      </c>
      <c r="BJ13" s="221">
        <f>IF('CF表（奥様働けない時）'!BJ$3="","",'CF表（奥様働けない時）'!BJ13/10000)</f>
        <v/>
      </c>
      <c r="BK13" s="221">
        <f>IF('CF表（奥様働けない時）'!BK$3="","",'CF表（奥様働けない時）'!BK13/10000)</f>
        <v/>
      </c>
      <c r="BL13" s="221">
        <f>IF('CF表（奥様働けない時）'!BL$3="","",'CF表（奥様働けない時）'!BL13/10000)</f>
        <v/>
      </c>
      <c r="BM13" s="221">
        <f>IF('CF表（奥様働けない時）'!BM$3="","",'CF表（奥様働けない時）'!BM13/10000)</f>
        <v/>
      </c>
      <c r="BN13" s="221">
        <f>IF('CF表（奥様働けない時）'!BN$3="","",'CF表（奥様働けない時）'!BN13/10000)</f>
        <v/>
      </c>
      <c r="BO13" s="221">
        <f>IF('CF表（奥様働けない時）'!BO$3="","",'CF表（奥様働けない時）'!BO13/10000)</f>
        <v/>
      </c>
      <c r="BP13" s="221">
        <f>IF('CF表（奥様働けない時）'!BP$3="","",'CF表（奥様働けない時）'!BP13/10000)</f>
        <v/>
      </c>
      <c r="BQ13" s="221">
        <f>IF('CF表（奥様働けない時）'!BQ$3="","",'CF表（奥様働けない時）'!BQ13/10000)</f>
        <v/>
      </c>
      <c r="BR13" s="221">
        <f>IF('CF表（奥様働けない時）'!BR$3="","",'CF表（奥様働けない時）'!BR13/10000)</f>
        <v/>
      </c>
      <c r="BS13" s="221">
        <f>IF('CF表（奥様働けない時）'!BS$3="","",'CF表（奥様働けない時）'!BS13/10000)</f>
        <v/>
      </c>
      <c r="BT13" s="221">
        <f>IF('CF表（奥様働けない時）'!BT$3="","",'CF表（奥様働けない時）'!BT13/10000)</f>
        <v/>
      </c>
      <c r="BU13" s="221">
        <f>IF('CF表（奥様働けない時）'!BU$3="","",'CF表（奥様働けない時）'!BU13/10000)</f>
        <v/>
      </c>
      <c r="BV13" s="221">
        <f>IF('CF表（奥様働けない時）'!BV$3="","",'CF表（奥様働けない時）'!BV13/10000)</f>
        <v/>
      </c>
      <c r="BW13" s="221">
        <f>IF('CF表（奥様働けない時）'!BW$3="","",'CF表（奥様働けない時）'!BW13/10000)</f>
        <v/>
      </c>
      <c r="BX13" s="221">
        <f>IF('CF表（奥様働けない時）'!BX$3="","",'CF表（奥様働けない時）'!BX13/10000)</f>
        <v/>
      </c>
      <c r="BY13" s="221">
        <f>IF('CF表（奥様働けない時）'!BY$3="","",'CF表（奥様働けない時）'!BY13/10000)</f>
        <v/>
      </c>
      <c r="BZ13" s="221">
        <f>IF('CF表（奥様働けない時）'!BZ$3="","",'CF表（奥様働けない時）'!BZ13/10000)</f>
        <v/>
      </c>
      <c r="CA13" s="221">
        <f>IF('CF表（奥様働けない時）'!CA$3="","",'CF表（奥様働けない時）'!CA13/10000)</f>
        <v/>
      </c>
      <c r="CB13" s="221">
        <f>IF('CF表（奥様働けない時）'!CB$3="","",'CF表（奥様働けない時）'!CB13/10000)</f>
        <v/>
      </c>
      <c r="CC13" s="221">
        <f>IF('CF表（奥様働けない時）'!CC$3="","",'CF表（奥様働けない時）'!CC13/10000)</f>
        <v/>
      </c>
      <c r="CD13" s="221">
        <f>IF('CF表（奥様働けない時）'!CD$3="","",'CF表（奥様働けない時）'!CD13/10000)</f>
        <v/>
      </c>
      <c r="CE13" s="221">
        <f>IF('CF表（奥様働けない時）'!CE$3="","",'CF表（奥様働けない時）'!CE13/10000)</f>
        <v/>
      </c>
      <c r="CF13" s="221">
        <f>IF('CF表（奥様働けない時）'!CF$3="","",'CF表（奥様働けない時）'!CF13/10000)</f>
        <v/>
      </c>
      <c r="CG13" s="221">
        <f>IF('CF表（奥様働けない時）'!CG$3="","",'CF表（奥様働けない時）'!CG13/10000)</f>
        <v/>
      </c>
      <c r="CH13" s="221">
        <f>IF('CF表（奥様働けない時）'!CH$3="","",'CF表（奥様働けない時）'!CH13/10000)</f>
        <v/>
      </c>
      <c r="CI13" s="221">
        <f>IF('CF表（奥様働けない時）'!CI$3="","",'CF表（奥様働けない時）'!CI13/10000)</f>
        <v/>
      </c>
      <c r="CJ13" s="221">
        <f>IF('CF表（奥様働けない時）'!CJ$3="","",'CF表（奥様働けない時）'!CJ13/10000)</f>
        <v/>
      </c>
      <c r="CK13" s="221">
        <f>IF('CF表（奥様働けない時）'!CK$3="","",'CF表（奥様働けない時）'!CK13/10000)</f>
        <v/>
      </c>
      <c r="CL13" s="221">
        <f>IF('CF表（奥様働けない時）'!CL$3="","",'CF表（奥様働けない時）'!CL13/10000)</f>
        <v/>
      </c>
      <c r="CM13" s="221">
        <f>IF('CF表（奥様働けない時）'!CM$3="","",'CF表（奥様働けない時）'!CM13/10000)</f>
        <v/>
      </c>
      <c r="CN13" s="221">
        <f>IF('CF表（奥様働けない時）'!CN$3="","",'CF表（奥様働けない時）'!CN13/10000)</f>
        <v/>
      </c>
      <c r="CO13" s="221">
        <f>IF('CF表（奥様働けない時）'!CO$3="","",'CF表（奥様働けない時）'!CO13/10000)</f>
        <v/>
      </c>
      <c r="CP13" s="221">
        <f>IF('CF表（奥様働けない時）'!CP$3="","",'CF表（奥様働けない時）'!CP13/10000)</f>
        <v/>
      </c>
      <c r="CQ13" s="221">
        <f>IF('CF表（奥様働けない時）'!CQ$3="","",'CF表（奥様働けない時）'!CQ13/10000)</f>
        <v/>
      </c>
      <c r="CR13" s="221">
        <f>IF('CF表（奥様働けない時）'!CR$3="","",'CF表（奥様働けない時）'!CR13/10000)</f>
        <v/>
      </c>
      <c r="CS13" s="221">
        <f>IF('CF表（奥様働けない時）'!CS$3="","",'CF表（奥様働けない時）'!CS13/10000)</f>
        <v/>
      </c>
      <c r="CT13" s="221">
        <f>IF('CF表（奥様働けない時）'!CT$3="","",'CF表（奥様働けない時）'!CT13/10000)</f>
        <v/>
      </c>
      <c r="CU13" s="221">
        <f>IF('CF表（奥様働けない時）'!CU$3="","",'CF表（奥様働けない時）'!CU13/10000)</f>
        <v/>
      </c>
      <c r="CV13" s="221">
        <f>IF('CF表（奥様働けない時）'!CV$3="","",'CF表（奥様働けない時）'!CV13/10000)</f>
        <v/>
      </c>
      <c r="CW13" s="221">
        <f>IF('CF表（奥様働けない時）'!CW$3="","",'CF表（奥様働けない時）'!CW13/10000)</f>
        <v/>
      </c>
    </row>
    <row r="14" ht="15" customHeight="1" s="180">
      <c r="A14" s="220" t="inlineStr">
        <is>
          <t>ご主人様退職金</t>
        </is>
      </c>
      <c r="B14" s="221">
        <f>IF('CF表（奥様働けない時）'!B$3="","",'CF表（奥様働けない時）'!B14/10000)</f>
        <v/>
      </c>
      <c r="C14" s="221">
        <f>IF('CF表（奥様働けない時）'!C$3="","",'CF表（奥様働けない時）'!C14/10000)</f>
        <v/>
      </c>
      <c r="D14" s="221">
        <f>IF('CF表（奥様働けない時）'!D$3="","",'CF表（奥様働けない時）'!D14/10000)</f>
        <v/>
      </c>
      <c r="E14" s="221">
        <f>IF('CF表（奥様働けない時）'!E$3="","",'CF表（奥様働けない時）'!E14/10000)</f>
        <v/>
      </c>
      <c r="F14" s="221">
        <f>IF('CF表（奥様働けない時）'!F$3="","",'CF表（奥様働けない時）'!F14/10000)</f>
        <v/>
      </c>
      <c r="G14" s="221">
        <f>IF('CF表（奥様働けない時）'!G$3="","",'CF表（奥様働けない時）'!G14/10000)</f>
        <v/>
      </c>
      <c r="H14" s="221">
        <f>IF('CF表（奥様働けない時）'!H$3="","",'CF表（奥様働けない時）'!H14/10000)</f>
        <v/>
      </c>
      <c r="I14" s="221">
        <f>IF('CF表（奥様働けない時）'!I$3="","",'CF表（奥様働けない時）'!I14/10000)</f>
        <v/>
      </c>
      <c r="J14" s="221">
        <f>IF('CF表（奥様働けない時）'!J$3="","",'CF表（奥様働けない時）'!J14/10000)</f>
        <v/>
      </c>
      <c r="K14" s="221">
        <f>IF('CF表（奥様働けない時）'!K$3="","",'CF表（奥様働けない時）'!K14/10000)</f>
        <v/>
      </c>
      <c r="L14" s="221">
        <f>IF('CF表（奥様働けない時）'!L$3="","",'CF表（奥様働けない時）'!L14/10000)</f>
        <v/>
      </c>
      <c r="M14" s="221">
        <f>IF('CF表（奥様働けない時）'!M$3="","",'CF表（奥様働けない時）'!M14/10000)</f>
        <v/>
      </c>
      <c r="N14" s="221">
        <f>IF('CF表（奥様働けない時）'!N$3="","",'CF表（奥様働けない時）'!N14/10000)</f>
        <v/>
      </c>
      <c r="O14" s="221">
        <f>IF('CF表（奥様働けない時）'!O$3="","",'CF表（奥様働けない時）'!O14/10000)</f>
        <v/>
      </c>
      <c r="P14" s="221">
        <f>IF('CF表（奥様働けない時）'!P$3="","",'CF表（奥様働けない時）'!P14/10000)</f>
        <v/>
      </c>
      <c r="Q14" s="221">
        <f>IF('CF表（奥様働けない時）'!Q$3="","",'CF表（奥様働けない時）'!Q14/10000)</f>
        <v/>
      </c>
      <c r="R14" s="221">
        <f>IF('CF表（奥様働けない時）'!R$3="","",'CF表（奥様働けない時）'!R14/10000)</f>
        <v/>
      </c>
      <c r="S14" s="221">
        <f>IF('CF表（奥様働けない時）'!S$3="","",'CF表（奥様働けない時）'!S14/10000)</f>
        <v/>
      </c>
      <c r="T14" s="221">
        <f>IF('CF表（奥様働けない時）'!T$3="","",'CF表（奥様働けない時）'!T14/10000)</f>
        <v/>
      </c>
      <c r="U14" s="221">
        <f>IF('CF表（奥様働けない時）'!U$3="","",'CF表（奥様働けない時）'!U14/10000)</f>
        <v/>
      </c>
      <c r="V14" s="221">
        <f>IF('CF表（奥様働けない時）'!V$3="","",'CF表（奥様働けない時）'!V14/10000)</f>
        <v/>
      </c>
      <c r="W14" s="221">
        <f>IF('CF表（奥様働けない時）'!W$3="","",'CF表（奥様働けない時）'!W14/10000)</f>
        <v/>
      </c>
      <c r="X14" s="221">
        <f>IF('CF表（奥様働けない時）'!X$3="","",'CF表（奥様働けない時）'!X14/10000)</f>
        <v/>
      </c>
      <c r="Y14" s="221">
        <f>IF('CF表（奥様働けない時）'!Y$3="","",'CF表（奥様働けない時）'!Y14/10000)</f>
        <v/>
      </c>
      <c r="Z14" s="221">
        <f>IF('CF表（奥様働けない時）'!Z$3="","",'CF表（奥様働けない時）'!Z14/10000)</f>
        <v/>
      </c>
      <c r="AA14" s="221">
        <f>IF('CF表（奥様働けない時）'!AA$3="","",'CF表（奥様働けない時）'!AA14/10000)</f>
        <v/>
      </c>
      <c r="AB14" s="221">
        <f>IF('CF表（奥様働けない時）'!AB$3="","",'CF表（奥様働けない時）'!AB14/10000)</f>
        <v/>
      </c>
      <c r="AC14" s="221">
        <f>IF('CF表（奥様働けない時）'!AC$3="","",'CF表（奥様働けない時）'!AC14/10000)</f>
        <v/>
      </c>
      <c r="AD14" s="221">
        <f>IF('CF表（奥様働けない時）'!AD$3="","",'CF表（奥様働けない時）'!AD14/10000)</f>
        <v/>
      </c>
      <c r="AE14" s="221">
        <f>IF('CF表（奥様働けない時）'!AE$3="","",'CF表（奥様働けない時）'!AE14/10000)</f>
        <v/>
      </c>
      <c r="AF14" s="221">
        <f>IF('CF表（奥様働けない時）'!AF$3="","",'CF表（奥様働けない時）'!AF14/10000)</f>
        <v/>
      </c>
      <c r="AG14" s="221">
        <f>IF('CF表（奥様働けない時）'!AG$3="","",'CF表（奥様働けない時）'!AG14/10000)</f>
        <v/>
      </c>
      <c r="AH14" s="221">
        <f>IF('CF表（奥様働けない時）'!AH$3="","",'CF表（奥様働けない時）'!AH14/10000)</f>
        <v/>
      </c>
      <c r="AI14" s="221">
        <f>IF('CF表（奥様働けない時）'!AI$3="","",'CF表（奥様働けない時）'!AI14/10000)</f>
        <v/>
      </c>
      <c r="AJ14" s="221">
        <f>IF('CF表（奥様働けない時）'!AJ$3="","",'CF表（奥様働けない時）'!AJ14/10000)</f>
        <v/>
      </c>
      <c r="AK14" s="221">
        <f>IF('CF表（奥様働けない時）'!AK$3="","",'CF表（奥様働けない時）'!AK14/10000)</f>
        <v/>
      </c>
      <c r="AL14" s="221">
        <f>IF('CF表（奥様働けない時）'!AL$3="","",'CF表（奥様働けない時）'!AL14/10000)</f>
        <v/>
      </c>
      <c r="AM14" s="221">
        <f>IF('CF表（奥様働けない時）'!AM$3="","",'CF表（奥様働けない時）'!AM14/10000)</f>
        <v/>
      </c>
      <c r="AN14" s="221">
        <f>IF('CF表（奥様働けない時）'!AN$3="","",'CF表（奥様働けない時）'!AN14/10000)</f>
        <v/>
      </c>
      <c r="AO14" s="221">
        <f>IF('CF表（奥様働けない時）'!AO$3="","",'CF表（奥様働けない時）'!AO14/10000)</f>
        <v/>
      </c>
      <c r="AP14" s="221">
        <f>IF('CF表（奥様働けない時）'!AP$3="","",'CF表（奥様働けない時）'!AP14/10000)</f>
        <v/>
      </c>
      <c r="AQ14" s="221">
        <f>IF('CF表（奥様働けない時）'!AQ$3="","",'CF表（奥様働けない時）'!AQ14/10000)</f>
        <v/>
      </c>
      <c r="AR14" s="221">
        <f>IF('CF表（奥様働けない時）'!AR$3="","",'CF表（奥様働けない時）'!AR14/10000)</f>
        <v/>
      </c>
      <c r="AS14" s="221">
        <f>IF('CF表（奥様働けない時）'!AS$3="","",'CF表（奥様働けない時）'!AS14/10000)</f>
        <v/>
      </c>
      <c r="AT14" s="221">
        <f>IF('CF表（奥様働けない時）'!AT$3="","",'CF表（奥様働けない時）'!AT14/10000)</f>
        <v/>
      </c>
      <c r="AU14" s="221">
        <f>IF('CF表（奥様働けない時）'!AU$3="","",'CF表（奥様働けない時）'!AU14/10000)</f>
        <v/>
      </c>
      <c r="AV14" s="221">
        <f>IF('CF表（奥様働けない時）'!AV$3="","",'CF表（奥様働けない時）'!AV14/10000)</f>
        <v/>
      </c>
      <c r="AW14" s="221">
        <f>IF('CF表（奥様働けない時）'!AW$3="","",'CF表（奥様働けない時）'!AW14/10000)</f>
        <v/>
      </c>
      <c r="AX14" s="221">
        <f>IF('CF表（奥様働けない時）'!AX$3="","",'CF表（奥様働けない時）'!AX14/10000)</f>
        <v/>
      </c>
      <c r="AY14" s="221">
        <f>IF('CF表（奥様働けない時）'!AY$3="","",'CF表（奥様働けない時）'!AY14/10000)</f>
        <v/>
      </c>
      <c r="AZ14" s="221">
        <f>IF('CF表（奥様働けない時）'!AZ$3="","",'CF表（奥様働けない時）'!AZ14/10000)</f>
        <v/>
      </c>
      <c r="BA14" s="221">
        <f>IF('CF表（奥様働けない時）'!BA$3="","",'CF表（奥様働けない時）'!BA14/10000)</f>
        <v/>
      </c>
      <c r="BB14" s="221">
        <f>IF('CF表（奥様働けない時）'!BB$3="","",'CF表（奥様働けない時）'!BB14/10000)</f>
        <v/>
      </c>
      <c r="BC14" s="221">
        <f>IF('CF表（奥様働けない時）'!BC$3="","",'CF表（奥様働けない時）'!BC14/10000)</f>
        <v/>
      </c>
      <c r="BD14" s="221">
        <f>IF('CF表（奥様働けない時）'!BD$3="","",'CF表（奥様働けない時）'!BD14/10000)</f>
        <v/>
      </c>
      <c r="BE14" s="221">
        <f>IF('CF表（奥様働けない時）'!BE$3="","",'CF表（奥様働けない時）'!BE14/10000)</f>
        <v/>
      </c>
      <c r="BF14" s="221">
        <f>IF('CF表（奥様働けない時）'!BF$3="","",'CF表（奥様働けない時）'!BF14/10000)</f>
        <v/>
      </c>
      <c r="BG14" s="221">
        <f>IF('CF表（奥様働けない時）'!BG$3="","",'CF表（奥様働けない時）'!BG14/10000)</f>
        <v/>
      </c>
      <c r="BH14" s="221">
        <f>IF('CF表（奥様働けない時）'!BH$3="","",'CF表（奥様働けない時）'!BH14/10000)</f>
        <v/>
      </c>
      <c r="BI14" s="221">
        <f>IF('CF表（奥様働けない時）'!BI$3="","",'CF表（奥様働けない時）'!BI14/10000)</f>
        <v/>
      </c>
      <c r="BJ14" s="221">
        <f>IF('CF表（奥様働けない時）'!BJ$3="","",'CF表（奥様働けない時）'!BJ14/10000)</f>
        <v/>
      </c>
      <c r="BK14" s="221">
        <f>IF('CF表（奥様働けない時）'!BK$3="","",'CF表（奥様働けない時）'!BK14/10000)</f>
        <v/>
      </c>
      <c r="BL14" s="221">
        <f>IF('CF表（奥様働けない時）'!BL$3="","",'CF表（奥様働けない時）'!BL14/10000)</f>
        <v/>
      </c>
      <c r="BM14" s="221">
        <f>IF('CF表（奥様働けない時）'!BM$3="","",'CF表（奥様働けない時）'!BM14/10000)</f>
        <v/>
      </c>
      <c r="BN14" s="221">
        <f>IF('CF表（奥様働けない時）'!BN$3="","",'CF表（奥様働けない時）'!BN14/10000)</f>
        <v/>
      </c>
      <c r="BO14" s="221">
        <f>IF('CF表（奥様働けない時）'!BO$3="","",'CF表（奥様働けない時）'!BO14/10000)</f>
        <v/>
      </c>
      <c r="BP14" s="221">
        <f>IF('CF表（奥様働けない時）'!BP$3="","",'CF表（奥様働けない時）'!BP14/10000)</f>
        <v/>
      </c>
      <c r="BQ14" s="221">
        <f>IF('CF表（奥様働けない時）'!BQ$3="","",'CF表（奥様働けない時）'!BQ14/10000)</f>
        <v/>
      </c>
      <c r="BR14" s="221">
        <f>IF('CF表（奥様働けない時）'!BR$3="","",'CF表（奥様働けない時）'!BR14/10000)</f>
        <v/>
      </c>
      <c r="BS14" s="221">
        <f>IF('CF表（奥様働けない時）'!BS$3="","",'CF表（奥様働けない時）'!BS14/10000)</f>
        <v/>
      </c>
      <c r="BT14" s="221">
        <f>IF('CF表（奥様働けない時）'!BT$3="","",'CF表（奥様働けない時）'!BT14/10000)</f>
        <v/>
      </c>
      <c r="BU14" s="221">
        <f>IF('CF表（奥様働けない時）'!BU$3="","",'CF表（奥様働けない時）'!BU14/10000)</f>
        <v/>
      </c>
      <c r="BV14" s="221">
        <f>IF('CF表（奥様働けない時）'!BV$3="","",'CF表（奥様働けない時）'!BV14/10000)</f>
        <v/>
      </c>
      <c r="BW14" s="221">
        <f>IF('CF表（奥様働けない時）'!BW$3="","",'CF表（奥様働けない時）'!BW14/10000)</f>
        <v/>
      </c>
      <c r="BX14" s="221">
        <f>IF('CF表（奥様働けない時）'!BX$3="","",'CF表（奥様働けない時）'!BX14/10000)</f>
        <v/>
      </c>
      <c r="BY14" s="221">
        <f>IF('CF表（奥様働けない時）'!BY$3="","",'CF表（奥様働けない時）'!BY14/10000)</f>
        <v/>
      </c>
      <c r="BZ14" s="221">
        <f>IF('CF表（奥様働けない時）'!BZ$3="","",'CF表（奥様働けない時）'!BZ14/10000)</f>
        <v/>
      </c>
      <c r="CA14" s="221">
        <f>IF('CF表（奥様働けない時）'!CA$3="","",'CF表（奥様働けない時）'!CA14/10000)</f>
        <v/>
      </c>
      <c r="CB14" s="221">
        <f>IF('CF表（奥様働けない時）'!CB$3="","",'CF表（奥様働けない時）'!CB14/10000)</f>
        <v/>
      </c>
      <c r="CC14" s="221">
        <f>IF('CF表（奥様働けない時）'!CC$3="","",'CF表（奥様働けない時）'!CC14/10000)</f>
        <v/>
      </c>
      <c r="CD14" s="221">
        <f>IF('CF表（奥様働けない時）'!CD$3="","",'CF表（奥様働けない時）'!CD14/10000)</f>
        <v/>
      </c>
      <c r="CE14" s="221">
        <f>IF('CF表（奥様働けない時）'!CE$3="","",'CF表（奥様働けない時）'!CE14/10000)</f>
        <v/>
      </c>
      <c r="CF14" s="221">
        <f>IF('CF表（奥様働けない時）'!CF$3="","",'CF表（奥様働けない時）'!CF14/10000)</f>
        <v/>
      </c>
      <c r="CG14" s="221">
        <f>IF('CF表（奥様働けない時）'!CG$3="","",'CF表（奥様働けない時）'!CG14/10000)</f>
        <v/>
      </c>
      <c r="CH14" s="221">
        <f>IF('CF表（奥様働けない時）'!CH$3="","",'CF表（奥様働けない時）'!CH14/10000)</f>
        <v/>
      </c>
      <c r="CI14" s="221">
        <f>IF('CF表（奥様働けない時）'!CI$3="","",'CF表（奥様働けない時）'!CI14/10000)</f>
        <v/>
      </c>
      <c r="CJ14" s="221">
        <f>IF('CF表（奥様働けない時）'!CJ$3="","",'CF表（奥様働けない時）'!CJ14/10000)</f>
        <v/>
      </c>
      <c r="CK14" s="221">
        <f>IF('CF表（奥様働けない時）'!CK$3="","",'CF表（奥様働けない時）'!CK14/10000)</f>
        <v/>
      </c>
      <c r="CL14" s="221">
        <f>IF('CF表（奥様働けない時）'!CL$3="","",'CF表（奥様働けない時）'!CL14/10000)</f>
        <v/>
      </c>
      <c r="CM14" s="221">
        <f>IF('CF表（奥様働けない時）'!CM$3="","",'CF表（奥様働けない時）'!CM14/10000)</f>
        <v/>
      </c>
      <c r="CN14" s="221">
        <f>IF('CF表（奥様働けない時）'!CN$3="","",'CF表（奥様働けない時）'!CN14/10000)</f>
        <v/>
      </c>
      <c r="CO14" s="221">
        <f>IF('CF表（奥様働けない時）'!CO$3="","",'CF表（奥様働けない時）'!CO14/10000)</f>
        <v/>
      </c>
      <c r="CP14" s="221">
        <f>IF('CF表（奥様働けない時）'!CP$3="","",'CF表（奥様働けない時）'!CP14/10000)</f>
        <v/>
      </c>
      <c r="CQ14" s="221">
        <f>IF('CF表（奥様働けない時）'!CQ$3="","",'CF表（奥様働けない時）'!CQ14/10000)</f>
        <v/>
      </c>
      <c r="CR14" s="221">
        <f>IF('CF表（奥様働けない時）'!CR$3="","",'CF表（奥様働けない時）'!CR14/10000)</f>
        <v/>
      </c>
      <c r="CS14" s="221">
        <f>IF('CF表（奥様働けない時）'!CS$3="","",'CF表（奥様働けない時）'!CS14/10000)</f>
        <v/>
      </c>
      <c r="CT14" s="221">
        <f>IF('CF表（奥様働けない時）'!CT$3="","",'CF表（奥様働けない時）'!CT14/10000)</f>
        <v/>
      </c>
      <c r="CU14" s="221">
        <f>IF('CF表（奥様働けない時）'!CU$3="","",'CF表（奥様働けない時）'!CU14/10000)</f>
        <v/>
      </c>
      <c r="CV14" s="221">
        <f>IF('CF表（奥様働けない時）'!CV$3="","",'CF表（奥様働けない時）'!CV14/10000)</f>
        <v/>
      </c>
      <c r="CW14" s="221">
        <f>IF('CF表（奥様働けない時）'!CW$3="","",'CF表（奥様働けない時）'!CW14/10000)</f>
        <v/>
      </c>
    </row>
    <row r="15" ht="15" customHeight="1" s="180">
      <c r="A15" s="220" t="inlineStr">
        <is>
          <t>奥様退職金</t>
        </is>
      </c>
      <c r="B15" s="221">
        <f>IF('CF表（奥様働けない時）'!B$3="","",'CF表（奥様働けない時）'!B15/10000)</f>
        <v/>
      </c>
      <c r="C15" s="221">
        <f>IF('CF表（奥様働けない時）'!C$3="","",'CF表（奥様働けない時）'!C15/10000)</f>
        <v/>
      </c>
      <c r="D15" s="221">
        <f>IF('CF表（奥様働けない時）'!D$3="","",'CF表（奥様働けない時）'!D15/10000)</f>
        <v/>
      </c>
      <c r="E15" s="221">
        <f>IF('CF表（奥様働けない時）'!E$3="","",'CF表（奥様働けない時）'!E15/10000)</f>
        <v/>
      </c>
      <c r="F15" s="221">
        <f>IF('CF表（奥様働けない時）'!F$3="","",'CF表（奥様働けない時）'!F15/10000)</f>
        <v/>
      </c>
      <c r="G15" s="221">
        <f>IF('CF表（奥様働けない時）'!G$3="","",'CF表（奥様働けない時）'!G15/10000)</f>
        <v/>
      </c>
      <c r="H15" s="221">
        <f>IF('CF表（奥様働けない時）'!H$3="","",'CF表（奥様働けない時）'!H15/10000)</f>
        <v/>
      </c>
      <c r="I15" s="221">
        <f>IF('CF表（奥様働けない時）'!I$3="","",'CF表（奥様働けない時）'!I15/10000)</f>
        <v/>
      </c>
      <c r="J15" s="221">
        <f>IF('CF表（奥様働けない時）'!J$3="","",'CF表（奥様働けない時）'!J15/10000)</f>
        <v/>
      </c>
      <c r="K15" s="221">
        <f>IF('CF表（奥様働けない時）'!K$3="","",'CF表（奥様働けない時）'!K15/10000)</f>
        <v/>
      </c>
      <c r="L15" s="221">
        <f>IF('CF表（奥様働けない時）'!L$3="","",'CF表（奥様働けない時）'!L15/10000)</f>
        <v/>
      </c>
      <c r="M15" s="221">
        <f>IF('CF表（奥様働けない時）'!M$3="","",'CF表（奥様働けない時）'!M15/10000)</f>
        <v/>
      </c>
      <c r="N15" s="221">
        <f>IF('CF表（奥様働けない時）'!N$3="","",'CF表（奥様働けない時）'!N15/10000)</f>
        <v/>
      </c>
      <c r="O15" s="221">
        <f>IF('CF表（奥様働けない時）'!O$3="","",'CF表（奥様働けない時）'!O15/10000)</f>
        <v/>
      </c>
      <c r="P15" s="221">
        <f>IF('CF表（奥様働けない時）'!P$3="","",'CF表（奥様働けない時）'!P15/10000)</f>
        <v/>
      </c>
      <c r="Q15" s="221">
        <f>IF('CF表（奥様働けない時）'!Q$3="","",'CF表（奥様働けない時）'!Q15/10000)</f>
        <v/>
      </c>
      <c r="R15" s="221">
        <f>IF('CF表（奥様働けない時）'!R$3="","",'CF表（奥様働けない時）'!R15/10000)</f>
        <v/>
      </c>
      <c r="S15" s="221">
        <f>IF('CF表（奥様働けない時）'!S$3="","",'CF表（奥様働けない時）'!S15/10000)</f>
        <v/>
      </c>
      <c r="T15" s="221">
        <f>IF('CF表（奥様働けない時）'!T$3="","",'CF表（奥様働けない時）'!T15/10000)</f>
        <v/>
      </c>
      <c r="U15" s="221">
        <f>IF('CF表（奥様働けない時）'!U$3="","",'CF表（奥様働けない時）'!U15/10000)</f>
        <v/>
      </c>
      <c r="V15" s="221">
        <f>IF('CF表（奥様働けない時）'!V$3="","",'CF表（奥様働けない時）'!V15/10000)</f>
        <v/>
      </c>
      <c r="W15" s="221">
        <f>IF('CF表（奥様働けない時）'!W$3="","",'CF表（奥様働けない時）'!W15/10000)</f>
        <v/>
      </c>
      <c r="X15" s="221">
        <f>IF('CF表（奥様働けない時）'!X$3="","",'CF表（奥様働けない時）'!X15/10000)</f>
        <v/>
      </c>
      <c r="Y15" s="221">
        <f>IF('CF表（奥様働けない時）'!Y$3="","",'CF表（奥様働けない時）'!Y15/10000)</f>
        <v/>
      </c>
      <c r="Z15" s="221">
        <f>IF('CF表（奥様働けない時）'!Z$3="","",'CF表（奥様働けない時）'!Z15/10000)</f>
        <v/>
      </c>
      <c r="AA15" s="221">
        <f>IF('CF表（奥様働けない時）'!AA$3="","",'CF表（奥様働けない時）'!AA15/10000)</f>
        <v/>
      </c>
      <c r="AB15" s="221">
        <f>IF('CF表（奥様働けない時）'!AB$3="","",'CF表（奥様働けない時）'!AB15/10000)</f>
        <v/>
      </c>
      <c r="AC15" s="221">
        <f>IF('CF表（奥様働けない時）'!AC$3="","",'CF表（奥様働けない時）'!AC15/10000)</f>
        <v/>
      </c>
      <c r="AD15" s="221">
        <f>IF('CF表（奥様働けない時）'!AD$3="","",'CF表（奥様働けない時）'!AD15/10000)</f>
        <v/>
      </c>
      <c r="AE15" s="221">
        <f>IF('CF表（奥様働けない時）'!AE$3="","",'CF表（奥様働けない時）'!AE15/10000)</f>
        <v/>
      </c>
      <c r="AF15" s="221">
        <f>IF('CF表（奥様働けない時）'!AF$3="","",'CF表（奥様働けない時）'!AF15/10000)</f>
        <v/>
      </c>
      <c r="AG15" s="221">
        <f>IF('CF表（奥様働けない時）'!AG$3="","",'CF表（奥様働けない時）'!AG15/10000)</f>
        <v/>
      </c>
      <c r="AH15" s="221">
        <f>IF('CF表（奥様働けない時）'!AH$3="","",'CF表（奥様働けない時）'!AH15/10000)</f>
        <v/>
      </c>
      <c r="AI15" s="221">
        <f>IF('CF表（奥様働けない時）'!AI$3="","",'CF表（奥様働けない時）'!AI15/10000)</f>
        <v/>
      </c>
      <c r="AJ15" s="221">
        <f>IF('CF表（奥様働けない時）'!AJ$3="","",'CF表（奥様働けない時）'!AJ15/10000)</f>
        <v/>
      </c>
      <c r="AK15" s="221">
        <f>IF('CF表（奥様働けない時）'!AK$3="","",'CF表（奥様働けない時）'!AK15/10000)</f>
        <v/>
      </c>
      <c r="AL15" s="221">
        <f>IF('CF表（奥様働けない時）'!AL$3="","",'CF表（奥様働けない時）'!AL15/10000)</f>
        <v/>
      </c>
      <c r="AM15" s="221">
        <f>IF('CF表（奥様働けない時）'!AM$3="","",'CF表（奥様働けない時）'!AM15/10000)</f>
        <v/>
      </c>
      <c r="AN15" s="221">
        <f>IF('CF表（奥様働けない時）'!AN$3="","",'CF表（奥様働けない時）'!AN15/10000)</f>
        <v/>
      </c>
      <c r="AO15" s="221">
        <f>IF('CF表（奥様働けない時）'!AO$3="","",'CF表（奥様働けない時）'!AO15/10000)</f>
        <v/>
      </c>
      <c r="AP15" s="221">
        <f>IF('CF表（奥様働けない時）'!AP$3="","",'CF表（奥様働けない時）'!AP15/10000)</f>
        <v/>
      </c>
      <c r="AQ15" s="221">
        <f>IF('CF表（奥様働けない時）'!AQ$3="","",'CF表（奥様働けない時）'!AQ15/10000)</f>
        <v/>
      </c>
      <c r="AR15" s="221">
        <f>IF('CF表（奥様働けない時）'!AR$3="","",'CF表（奥様働けない時）'!AR15/10000)</f>
        <v/>
      </c>
      <c r="AS15" s="221">
        <f>IF('CF表（奥様働けない時）'!AS$3="","",'CF表（奥様働けない時）'!AS15/10000)</f>
        <v/>
      </c>
      <c r="AT15" s="221">
        <f>IF('CF表（奥様働けない時）'!AT$3="","",'CF表（奥様働けない時）'!AT15/10000)</f>
        <v/>
      </c>
      <c r="AU15" s="221">
        <f>IF('CF表（奥様働けない時）'!AU$3="","",'CF表（奥様働けない時）'!AU15/10000)</f>
        <v/>
      </c>
      <c r="AV15" s="221">
        <f>IF('CF表（奥様働けない時）'!AV$3="","",'CF表（奥様働けない時）'!AV15/10000)</f>
        <v/>
      </c>
      <c r="AW15" s="221">
        <f>IF('CF表（奥様働けない時）'!AW$3="","",'CF表（奥様働けない時）'!AW15/10000)</f>
        <v/>
      </c>
      <c r="AX15" s="221">
        <f>IF('CF表（奥様働けない時）'!AX$3="","",'CF表（奥様働けない時）'!AX15/10000)</f>
        <v/>
      </c>
      <c r="AY15" s="221">
        <f>IF('CF表（奥様働けない時）'!AY$3="","",'CF表（奥様働けない時）'!AY15/10000)</f>
        <v/>
      </c>
      <c r="AZ15" s="221">
        <f>IF('CF表（奥様働けない時）'!AZ$3="","",'CF表（奥様働けない時）'!AZ15/10000)</f>
        <v/>
      </c>
      <c r="BA15" s="221">
        <f>IF('CF表（奥様働けない時）'!BA$3="","",'CF表（奥様働けない時）'!BA15/10000)</f>
        <v/>
      </c>
      <c r="BB15" s="221">
        <f>IF('CF表（奥様働けない時）'!BB$3="","",'CF表（奥様働けない時）'!BB15/10000)</f>
        <v/>
      </c>
      <c r="BC15" s="221">
        <f>IF('CF表（奥様働けない時）'!BC$3="","",'CF表（奥様働けない時）'!BC15/10000)</f>
        <v/>
      </c>
      <c r="BD15" s="221">
        <f>IF('CF表（奥様働けない時）'!BD$3="","",'CF表（奥様働けない時）'!BD15/10000)</f>
        <v/>
      </c>
      <c r="BE15" s="221">
        <f>IF('CF表（奥様働けない時）'!BE$3="","",'CF表（奥様働けない時）'!BE15/10000)</f>
        <v/>
      </c>
      <c r="BF15" s="221">
        <f>IF('CF表（奥様働けない時）'!BF$3="","",'CF表（奥様働けない時）'!BF15/10000)</f>
        <v/>
      </c>
      <c r="BG15" s="221">
        <f>IF('CF表（奥様働けない時）'!BG$3="","",'CF表（奥様働けない時）'!BG15/10000)</f>
        <v/>
      </c>
      <c r="BH15" s="221">
        <f>IF('CF表（奥様働けない時）'!BH$3="","",'CF表（奥様働けない時）'!BH15/10000)</f>
        <v/>
      </c>
      <c r="BI15" s="221">
        <f>IF('CF表（奥様働けない時）'!BI$3="","",'CF表（奥様働けない時）'!BI15/10000)</f>
        <v/>
      </c>
      <c r="BJ15" s="221">
        <f>IF('CF表（奥様働けない時）'!BJ$3="","",'CF表（奥様働けない時）'!BJ15/10000)</f>
        <v/>
      </c>
      <c r="BK15" s="221">
        <f>IF('CF表（奥様働けない時）'!BK$3="","",'CF表（奥様働けない時）'!BK15/10000)</f>
        <v/>
      </c>
      <c r="BL15" s="221">
        <f>IF('CF表（奥様働けない時）'!BL$3="","",'CF表（奥様働けない時）'!BL15/10000)</f>
        <v/>
      </c>
      <c r="BM15" s="221">
        <f>IF('CF表（奥様働けない時）'!BM$3="","",'CF表（奥様働けない時）'!BM15/10000)</f>
        <v/>
      </c>
      <c r="BN15" s="221">
        <f>IF('CF表（奥様働けない時）'!BN$3="","",'CF表（奥様働けない時）'!BN15/10000)</f>
        <v/>
      </c>
      <c r="BO15" s="221">
        <f>IF('CF表（奥様働けない時）'!BO$3="","",'CF表（奥様働けない時）'!BO15/10000)</f>
        <v/>
      </c>
      <c r="BP15" s="221">
        <f>IF('CF表（奥様働けない時）'!BP$3="","",'CF表（奥様働けない時）'!BP15/10000)</f>
        <v/>
      </c>
      <c r="BQ15" s="221">
        <f>IF('CF表（奥様働けない時）'!BQ$3="","",'CF表（奥様働けない時）'!BQ15/10000)</f>
        <v/>
      </c>
      <c r="BR15" s="221">
        <f>IF('CF表（奥様働けない時）'!BR$3="","",'CF表（奥様働けない時）'!BR15/10000)</f>
        <v/>
      </c>
      <c r="BS15" s="221">
        <f>IF('CF表（奥様働けない時）'!BS$3="","",'CF表（奥様働けない時）'!BS15/10000)</f>
        <v/>
      </c>
      <c r="BT15" s="221">
        <f>IF('CF表（奥様働けない時）'!BT$3="","",'CF表（奥様働けない時）'!BT15/10000)</f>
        <v/>
      </c>
      <c r="BU15" s="221">
        <f>IF('CF表（奥様働けない時）'!BU$3="","",'CF表（奥様働けない時）'!BU15/10000)</f>
        <v/>
      </c>
      <c r="BV15" s="221">
        <f>IF('CF表（奥様働けない時）'!BV$3="","",'CF表（奥様働けない時）'!BV15/10000)</f>
        <v/>
      </c>
      <c r="BW15" s="221">
        <f>IF('CF表（奥様働けない時）'!BW$3="","",'CF表（奥様働けない時）'!BW15/10000)</f>
        <v/>
      </c>
      <c r="BX15" s="221">
        <f>IF('CF表（奥様働けない時）'!BX$3="","",'CF表（奥様働けない時）'!BX15/10000)</f>
        <v/>
      </c>
      <c r="BY15" s="221">
        <f>IF('CF表（奥様働けない時）'!BY$3="","",'CF表（奥様働けない時）'!BY15/10000)</f>
        <v/>
      </c>
      <c r="BZ15" s="221">
        <f>IF('CF表（奥様働けない時）'!BZ$3="","",'CF表（奥様働けない時）'!BZ15/10000)</f>
        <v/>
      </c>
      <c r="CA15" s="221">
        <f>IF('CF表（奥様働けない時）'!CA$3="","",'CF表（奥様働けない時）'!CA15/10000)</f>
        <v/>
      </c>
      <c r="CB15" s="221">
        <f>IF('CF表（奥様働けない時）'!CB$3="","",'CF表（奥様働けない時）'!CB15/10000)</f>
        <v/>
      </c>
      <c r="CC15" s="221">
        <f>IF('CF表（奥様働けない時）'!CC$3="","",'CF表（奥様働けない時）'!CC15/10000)</f>
        <v/>
      </c>
      <c r="CD15" s="221">
        <f>IF('CF表（奥様働けない時）'!CD$3="","",'CF表（奥様働けない時）'!CD15/10000)</f>
        <v/>
      </c>
      <c r="CE15" s="221">
        <f>IF('CF表（奥様働けない時）'!CE$3="","",'CF表（奥様働けない時）'!CE15/10000)</f>
        <v/>
      </c>
      <c r="CF15" s="221">
        <f>IF('CF表（奥様働けない時）'!CF$3="","",'CF表（奥様働けない時）'!CF15/10000)</f>
        <v/>
      </c>
      <c r="CG15" s="221">
        <f>IF('CF表（奥様働けない時）'!CG$3="","",'CF表（奥様働けない時）'!CG15/10000)</f>
        <v/>
      </c>
      <c r="CH15" s="221">
        <f>IF('CF表（奥様働けない時）'!CH$3="","",'CF表（奥様働けない時）'!CH15/10000)</f>
        <v/>
      </c>
      <c r="CI15" s="221">
        <f>IF('CF表（奥様働けない時）'!CI$3="","",'CF表（奥様働けない時）'!CI15/10000)</f>
        <v/>
      </c>
      <c r="CJ15" s="221">
        <f>IF('CF表（奥様働けない時）'!CJ$3="","",'CF表（奥様働けない時）'!CJ15/10000)</f>
        <v/>
      </c>
      <c r="CK15" s="221">
        <f>IF('CF表（奥様働けない時）'!CK$3="","",'CF表（奥様働けない時）'!CK15/10000)</f>
        <v/>
      </c>
      <c r="CL15" s="221">
        <f>IF('CF表（奥様働けない時）'!CL$3="","",'CF表（奥様働けない時）'!CL15/10000)</f>
        <v/>
      </c>
      <c r="CM15" s="221">
        <f>IF('CF表（奥様働けない時）'!CM$3="","",'CF表（奥様働けない時）'!CM15/10000)</f>
        <v/>
      </c>
      <c r="CN15" s="221">
        <f>IF('CF表（奥様働けない時）'!CN$3="","",'CF表（奥様働けない時）'!CN15/10000)</f>
        <v/>
      </c>
      <c r="CO15" s="221">
        <f>IF('CF表（奥様働けない時）'!CO$3="","",'CF表（奥様働けない時）'!CO15/10000)</f>
        <v/>
      </c>
      <c r="CP15" s="221">
        <f>IF('CF表（奥様働けない時）'!CP$3="","",'CF表（奥様働けない時）'!CP15/10000)</f>
        <v/>
      </c>
      <c r="CQ15" s="221">
        <f>IF('CF表（奥様働けない時）'!CQ$3="","",'CF表（奥様働けない時）'!CQ15/10000)</f>
        <v/>
      </c>
      <c r="CR15" s="221">
        <f>IF('CF表（奥様働けない時）'!CR$3="","",'CF表（奥様働けない時）'!CR15/10000)</f>
        <v/>
      </c>
      <c r="CS15" s="221">
        <f>IF('CF表（奥様働けない時）'!CS$3="","",'CF表（奥様働けない時）'!CS15/10000)</f>
        <v/>
      </c>
      <c r="CT15" s="221">
        <f>IF('CF表（奥様働けない時）'!CT$3="","",'CF表（奥様働けない時）'!CT15/10000)</f>
        <v/>
      </c>
      <c r="CU15" s="221">
        <f>IF('CF表（奥様働けない時）'!CU$3="","",'CF表（奥様働けない時）'!CU15/10000)</f>
        <v/>
      </c>
      <c r="CV15" s="221">
        <f>IF('CF表（奥様働けない時）'!CV$3="","",'CF表（奥様働けない時）'!CV15/10000)</f>
        <v/>
      </c>
      <c r="CW15" s="221">
        <f>IF('CF表（奥様働けない時）'!CW$3="","",'CF表（奥様働けない時）'!CW15/10000)</f>
        <v/>
      </c>
    </row>
    <row r="16" ht="15" customHeight="1" s="180">
      <c r="A16" s="220" t="inlineStr">
        <is>
          <t>ご主人様年金収入</t>
        </is>
      </c>
      <c r="B16" s="221">
        <f>IF('CF表（奥様働けない時）'!B$3="","",'CF表（奥様働けない時）'!B16/10000)</f>
        <v/>
      </c>
      <c r="C16" s="221">
        <f>IF('CF表（奥様働けない時）'!C$3="","",'CF表（奥様働けない時）'!C16/10000)</f>
        <v/>
      </c>
      <c r="D16" s="221">
        <f>IF('CF表（奥様働けない時）'!D$3="","",'CF表（奥様働けない時）'!D16/10000)</f>
        <v/>
      </c>
      <c r="E16" s="221">
        <f>IF('CF表（奥様働けない時）'!E$3="","",'CF表（奥様働けない時）'!E16/10000)</f>
        <v/>
      </c>
      <c r="F16" s="221">
        <f>IF('CF表（奥様働けない時）'!F$3="","",'CF表（奥様働けない時）'!F16/10000)</f>
        <v/>
      </c>
      <c r="G16" s="221">
        <f>IF('CF表（奥様働けない時）'!G$3="","",'CF表（奥様働けない時）'!G16/10000)</f>
        <v/>
      </c>
      <c r="H16" s="221">
        <f>IF('CF表（奥様働けない時）'!H$3="","",'CF表（奥様働けない時）'!H16/10000)</f>
        <v/>
      </c>
      <c r="I16" s="221">
        <f>IF('CF表（奥様働けない時）'!I$3="","",'CF表（奥様働けない時）'!I16/10000)</f>
        <v/>
      </c>
      <c r="J16" s="221">
        <f>IF('CF表（奥様働けない時）'!J$3="","",'CF表（奥様働けない時）'!J16/10000)</f>
        <v/>
      </c>
      <c r="K16" s="221">
        <f>IF('CF表（奥様働けない時）'!K$3="","",'CF表（奥様働けない時）'!K16/10000)</f>
        <v/>
      </c>
      <c r="L16" s="221">
        <f>IF('CF表（奥様働けない時）'!L$3="","",'CF表（奥様働けない時）'!L16/10000)</f>
        <v/>
      </c>
      <c r="M16" s="221">
        <f>IF('CF表（奥様働けない時）'!M$3="","",'CF表（奥様働けない時）'!M16/10000)</f>
        <v/>
      </c>
      <c r="N16" s="221">
        <f>IF('CF表（奥様働けない時）'!N$3="","",'CF表（奥様働けない時）'!N16/10000)</f>
        <v/>
      </c>
      <c r="O16" s="221">
        <f>IF('CF表（奥様働けない時）'!O$3="","",'CF表（奥様働けない時）'!O16/10000)</f>
        <v/>
      </c>
      <c r="P16" s="221">
        <f>IF('CF表（奥様働けない時）'!P$3="","",'CF表（奥様働けない時）'!P16/10000)</f>
        <v/>
      </c>
      <c r="Q16" s="221">
        <f>IF('CF表（奥様働けない時）'!Q$3="","",'CF表（奥様働けない時）'!Q16/10000)</f>
        <v/>
      </c>
      <c r="R16" s="221">
        <f>IF('CF表（奥様働けない時）'!R$3="","",'CF表（奥様働けない時）'!R16/10000)</f>
        <v/>
      </c>
      <c r="S16" s="221">
        <f>IF('CF表（奥様働けない時）'!S$3="","",'CF表（奥様働けない時）'!S16/10000)</f>
        <v/>
      </c>
      <c r="T16" s="221">
        <f>IF('CF表（奥様働けない時）'!T$3="","",'CF表（奥様働けない時）'!T16/10000)</f>
        <v/>
      </c>
      <c r="U16" s="221">
        <f>IF('CF表（奥様働けない時）'!U$3="","",'CF表（奥様働けない時）'!U16/10000)</f>
        <v/>
      </c>
      <c r="V16" s="221">
        <f>IF('CF表（奥様働けない時）'!V$3="","",'CF表（奥様働けない時）'!V16/10000)</f>
        <v/>
      </c>
      <c r="W16" s="221">
        <f>IF('CF表（奥様働けない時）'!W$3="","",'CF表（奥様働けない時）'!W16/10000)</f>
        <v/>
      </c>
      <c r="X16" s="221">
        <f>IF('CF表（奥様働けない時）'!X$3="","",'CF表（奥様働けない時）'!X16/10000)</f>
        <v/>
      </c>
      <c r="Y16" s="221">
        <f>IF('CF表（奥様働けない時）'!Y$3="","",'CF表（奥様働けない時）'!Y16/10000)</f>
        <v/>
      </c>
      <c r="Z16" s="221">
        <f>IF('CF表（奥様働けない時）'!Z$3="","",'CF表（奥様働けない時）'!Z16/10000)</f>
        <v/>
      </c>
      <c r="AA16" s="221">
        <f>IF('CF表（奥様働けない時）'!AA$3="","",'CF表（奥様働けない時）'!AA16/10000)</f>
        <v/>
      </c>
      <c r="AB16" s="221">
        <f>IF('CF表（奥様働けない時）'!AB$3="","",'CF表（奥様働けない時）'!AB16/10000)</f>
        <v/>
      </c>
      <c r="AC16" s="221">
        <f>IF('CF表（奥様働けない時）'!AC$3="","",'CF表（奥様働けない時）'!AC16/10000)</f>
        <v/>
      </c>
      <c r="AD16" s="221">
        <f>IF('CF表（奥様働けない時）'!AD$3="","",'CF表（奥様働けない時）'!AD16/10000)</f>
        <v/>
      </c>
      <c r="AE16" s="221">
        <f>IF('CF表（奥様働けない時）'!AE$3="","",'CF表（奥様働けない時）'!AE16/10000)</f>
        <v/>
      </c>
      <c r="AF16" s="221">
        <f>IF('CF表（奥様働けない時）'!AF$3="","",'CF表（奥様働けない時）'!AF16/10000)</f>
        <v/>
      </c>
      <c r="AG16" s="221">
        <f>IF('CF表（奥様働けない時）'!AG$3="","",'CF表（奥様働けない時）'!AG16/10000)</f>
        <v/>
      </c>
      <c r="AH16" s="221">
        <f>IF('CF表（奥様働けない時）'!AH$3="","",'CF表（奥様働けない時）'!AH16/10000)</f>
        <v/>
      </c>
      <c r="AI16" s="221">
        <f>IF('CF表（奥様働けない時）'!AI$3="","",'CF表（奥様働けない時）'!AI16/10000)</f>
        <v/>
      </c>
      <c r="AJ16" s="221">
        <f>IF('CF表（奥様働けない時）'!AJ$3="","",'CF表（奥様働けない時）'!AJ16/10000)</f>
        <v/>
      </c>
      <c r="AK16" s="221">
        <f>IF('CF表（奥様働けない時）'!AK$3="","",'CF表（奥様働けない時）'!AK16/10000)</f>
        <v/>
      </c>
      <c r="AL16" s="221">
        <f>IF('CF表（奥様働けない時）'!AL$3="","",'CF表（奥様働けない時）'!AL16/10000)</f>
        <v/>
      </c>
      <c r="AM16" s="221">
        <f>IF('CF表（奥様働けない時）'!AM$3="","",'CF表（奥様働けない時）'!AM16/10000)</f>
        <v/>
      </c>
      <c r="AN16" s="221">
        <f>IF('CF表（奥様働けない時）'!AN$3="","",'CF表（奥様働けない時）'!AN16/10000)</f>
        <v/>
      </c>
      <c r="AO16" s="221">
        <f>IF('CF表（奥様働けない時）'!AO$3="","",'CF表（奥様働けない時）'!AO16/10000)</f>
        <v/>
      </c>
      <c r="AP16" s="221">
        <f>IF('CF表（奥様働けない時）'!AP$3="","",'CF表（奥様働けない時）'!AP16/10000)</f>
        <v/>
      </c>
      <c r="AQ16" s="221">
        <f>IF('CF表（奥様働けない時）'!AQ$3="","",'CF表（奥様働けない時）'!AQ16/10000)</f>
        <v/>
      </c>
      <c r="AR16" s="221">
        <f>IF('CF表（奥様働けない時）'!AR$3="","",'CF表（奥様働けない時）'!AR16/10000)</f>
        <v/>
      </c>
      <c r="AS16" s="221">
        <f>IF('CF表（奥様働けない時）'!AS$3="","",'CF表（奥様働けない時）'!AS16/10000)</f>
        <v/>
      </c>
      <c r="AT16" s="221">
        <f>IF('CF表（奥様働けない時）'!AT$3="","",'CF表（奥様働けない時）'!AT16/10000)</f>
        <v/>
      </c>
      <c r="AU16" s="221">
        <f>IF('CF表（奥様働けない時）'!AU$3="","",'CF表（奥様働けない時）'!AU16/10000)</f>
        <v/>
      </c>
      <c r="AV16" s="221">
        <f>IF('CF表（奥様働けない時）'!AV$3="","",'CF表（奥様働けない時）'!AV16/10000)</f>
        <v/>
      </c>
      <c r="AW16" s="221">
        <f>IF('CF表（奥様働けない時）'!AW$3="","",'CF表（奥様働けない時）'!AW16/10000)</f>
        <v/>
      </c>
      <c r="AX16" s="221">
        <f>IF('CF表（奥様働けない時）'!AX$3="","",'CF表（奥様働けない時）'!AX16/10000)</f>
        <v/>
      </c>
      <c r="AY16" s="221">
        <f>IF('CF表（奥様働けない時）'!AY$3="","",'CF表（奥様働けない時）'!AY16/10000)</f>
        <v/>
      </c>
      <c r="AZ16" s="221">
        <f>IF('CF表（奥様働けない時）'!AZ$3="","",'CF表（奥様働けない時）'!AZ16/10000)</f>
        <v/>
      </c>
      <c r="BA16" s="221">
        <f>IF('CF表（奥様働けない時）'!BA$3="","",'CF表（奥様働けない時）'!BA16/10000)</f>
        <v/>
      </c>
      <c r="BB16" s="221">
        <f>IF('CF表（奥様働けない時）'!BB$3="","",'CF表（奥様働けない時）'!BB16/10000)</f>
        <v/>
      </c>
      <c r="BC16" s="221">
        <f>IF('CF表（奥様働けない時）'!BC$3="","",'CF表（奥様働けない時）'!BC16/10000)</f>
        <v/>
      </c>
      <c r="BD16" s="221">
        <f>IF('CF表（奥様働けない時）'!BD$3="","",'CF表（奥様働けない時）'!BD16/10000)</f>
        <v/>
      </c>
      <c r="BE16" s="221">
        <f>IF('CF表（奥様働けない時）'!BE$3="","",'CF表（奥様働けない時）'!BE16/10000)</f>
        <v/>
      </c>
      <c r="BF16" s="221">
        <f>IF('CF表（奥様働けない時）'!BF$3="","",'CF表（奥様働けない時）'!BF16/10000)</f>
        <v/>
      </c>
      <c r="BG16" s="221">
        <f>IF('CF表（奥様働けない時）'!BG$3="","",'CF表（奥様働けない時）'!BG16/10000)</f>
        <v/>
      </c>
      <c r="BH16" s="221">
        <f>IF('CF表（奥様働けない時）'!BH$3="","",'CF表（奥様働けない時）'!BH16/10000)</f>
        <v/>
      </c>
      <c r="BI16" s="221">
        <f>IF('CF表（奥様働けない時）'!BI$3="","",'CF表（奥様働けない時）'!BI16/10000)</f>
        <v/>
      </c>
      <c r="BJ16" s="221">
        <f>IF('CF表（奥様働けない時）'!BJ$3="","",'CF表（奥様働けない時）'!BJ16/10000)</f>
        <v/>
      </c>
      <c r="BK16" s="221">
        <f>IF('CF表（奥様働けない時）'!BK$3="","",'CF表（奥様働けない時）'!BK16/10000)</f>
        <v/>
      </c>
      <c r="BL16" s="221">
        <f>IF('CF表（奥様働けない時）'!BL$3="","",'CF表（奥様働けない時）'!BL16/10000)</f>
        <v/>
      </c>
      <c r="BM16" s="221">
        <f>IF('CF表（奥様働けない時）'!BM$3="","",'CF表（奥様働けない時）'!BM16/10000)</f>
        <v/>
      </c>
      <c r="BN16" s="221">
        <f>IF('CF表（奥様働けない時）'!BN$3="","",'CF表（奥様働けない時）'!BN16/10000)</f>
        <v/>
      </c>
      <c r="BO16" s="221">
        <f>IF('CF表（奥様働けない時）'!BO$3="","",'CF表（奥様働けない時）'!BO16/10000)</f>
        <v/>
      </c>
      <c r="BP16" s="221">
        <f>IF('CF表（奥様働けない時）'!BP$3="","",'CF表（奥様働けない時）'!BP16/10000)</f>
        <v/>
      </c>
      <c r="BQ16" s="221">
        <f>IF('CF表（奥様働けない時）'!BQ$3="","",'CF表（奥様働けない時）'!BQ16/10000)</f>
        <v/>
      </c>
      <c r="BR16" s="221">
        <f>IF('CF表（奥様働けない時）'!BR$3="","",'CF表（奥様働けない時）'!BR16/10000)</f>
        <v/>
      </c>
      <c r="BS16" s="221">
        <f>IF('CF表（奥様働けない時）'!BS$3="","",'CF表（奥様働けない時）'!BS16/10000)</f>
        <v/>
      </c>
      <c r="BT16" s="221">
        <f>IF('CF表（奥様働けない時）'!BT$3="","",'CF表（奥様働けない時）'!BT16/10000)</f>
        <v/>
      </c>
      <c r="BU16" s="221">
        <f>IF('CF表（奥様働けない時）'!BU$3="","",'CF表（奥様働けない時）'!BU16/10000)</f>
        <v/>
      </c>
      <c r="BV16" s="221">
        <f>IF('CF表（奥様働けない時）'!BV$3="","",'CF表（奥様働けない時）'!BV16/10000)</f>
        <v/>
      </c>
      <c r="BW16" s="221">
        <f>IF('CF表（奥様働けない時）'!BW$3="","",'CF表（奥様働けない時）'!BW16/10000)</f>
        <v/>
      </c>
      <c r="BX16" s="221">
        <f>IF('CF表（奥様働けない時）'!BX$3="","",'CF表（奥様働けない時）'!BX16/10000)</f>
        <v/>
      </c>
      <c r="BY16" s="221">
        <f>IF('CF表（奥様働けない時）'!BY$3="","",'CF表（奥様働けない時）'!BY16/10000)</f>
        <v/>
      </c>
      <c r="BZ16" s="221">
        <f>IF('CF表（奥様働けない時）'!BZ$3="","",'CF表（奥様働けない時）'!BZ16/10000)</f>
        <v/>
      </c>
      <c r="CA16" s="221">
        <f>IF('CF表（奥様働けない時）'!CA$3="","",'CF表（奥様働けない時）'!CA16/10000)</f>
        <v/>
      </c>
      <c r="CB16" s="221">
        <f>IF('CF表（奥様働けない時）'!CB$3="","",'CF表（奥様働けない時）'!CB16/10000)</f>
        <v/>
      </c>
      <c r="CC16" s="221">
        <f>IF('CF表（奥様働けない時）'!CC$3="","",'CF表（奥様働けない時）'!CC16/10000)</f>
        <v/>
      </c>
      <c r="CD16" s="221">
        <f>IF('CF表（奥様働けない時）'!CD$3="","",'CF表（奥様働けない時）'!CD16/10000)</f>
        <v/>
      </c>
      <c r="CE16" s="221">
        <f>IF('CF表（奥様働けない時）'!CE$3="","",'CF表（奥様働けない時）'!CE16/10000)</f>
        <v/>
      </c>
      <c r="CF16" s="221">
        <f>IF('CF表（奥様働けない時）'!CF$3="","",'CF表（奥様働けない時）'!CF16/10000)</f>
        <v/>
      </c>
      <c r="CG16" s="221">
        <f>IF('CF表（奥様働けない時）'!CG$3="","",'CF表（奥様働けない時）'!CG16/10000)</f>
        <v/>
      </c>
      <c r="CH16" s="221">
        <f>IF('CF表（奥様働けない時）'!CH$3="","",'CF表（奥様働けない時）'!CH16/10000)</f>
        <v/>
      </c>
      <c r="CI16" s="221">
        <f>IF('CF表（奥様働けない時）'!CI$3="","",'CF表（奥様働けない時）'!CI16/10000)</f>
        <v/>
      </c>
      <c r="CJ16" s="221">
        <f>IF('CF表（奥様働けない時）'!CJ$3="","",'CF表（奥様働けない時）'!CJ16/10000)</f>
        <v/>
      </c>
      <c r="CK16" s="221">
        <f>IF('CF表（奥様働けない時）'!CK$3="","",'CF表（奥様働けない時）'!CK16/10000)</f>
        <v/>
      </c>
      <c r="CL16" s="221">
        <f>IF('CF表（奥様働けない時）'!CL$3="","",'CF表（奥様働けない時）'!CL16/10000)</f>
        <v/>
      </c>
      <c r="CM16" s="221">
        <f>IF('CF表（奥様働けない時）'!CM$3="","",'CF表（奥様働けない時）'!CM16/10000)</f>
        <v/>
      </c>
      <c r="CN16" s="221">
        <f>IF('CF表（奥様働けない時）'!CN$3="","",'CF表（奥様働けない時）'!CN16/10000)</f>
        <v/>
      </c>
      <c r="CO16" s="221">
        <f>IF('CF表（奥様働けない時）'!CO$3="","",'CF表（奥様働けない時）'!CO16/10000)</f>
        <v/>
      </c>
      <c r="CP16" s="221">
        <f>IF('CF表（奥様働けない時）'!CP$3="","",'CF表（奥様働けない時）'!CP16/10000)</f>
        <v/>
      </c>
      <c r="CQ16" s="221">
        <f>IF('CF表（奥様働けない時）'!CQ$3="","",'CF表（奥様働けない時）'!CQ16/10000)</f>
        <v/>
      </c>
      <c r="CR16" s="221">
        <f>IF('CF表（奥様働けない時）'!CR$3="","",'CF表（奥様働けない時）'!CR16/10000)</f>
        <v/>
      </c>
      <c r="CS16" s="221">
        <f>IF('CF表（奥様働けない時）'!CS$3="","",'CF表（奥様働けない時）'!CS16/10000)</f>
        <v/>
      </c>
      <c r="CT16" s="221">
        <f>IF('CF表（奥様働けない時）'!CT$3="","",'CF表（奥様働けない時）'!CT16/10000)</f>
        <v/>
      </c>
      <c r="CU16" s="221">
        <f>IF('CF表（奥様働けない時）'!CU$3="","",'CF表（奥様働けない時）'!CU16/10000)</f>
        <v/>
      </c>
      <c r="CV16" s="221">
        <f>IF('CF表（奥様働けない時）'!CV$3="","",'CF表（奥様働けない時）'!CV16/10000)</f>
        <v/>
      </c>
      <c r="CW16" s="221">
        <f>IF('CF表（奥様働けない時）'!CW$3="","",'CF表（奥様働けない時）'!CW16/10000)</f>
        <v/>
      </c>
    </row>
    <row r="17" ht="15" customHeight="1" s="180">
      <c r="A17" s="220" t="inlineStr">
        <is>
          <t>奥様年金収入</t>
        </is>
      </c>
      <c r="B17" s="221">
        <f>IF('CF表（奥様働けない時）'!B$3="","",'CF表（奥様働けない時）'!B17/10000)</f>
        <v/>
      </c>
      <c r="C17" s="221">
        <f>IF('CF表（奥様働けない時）'!C$3="","",'CF表（奥様働けない時）'!C17/10000)</f>
        <v/>
      </c>
      <c r="D17" s="221">
        <f>IF('CF表（奥様働けない時）'!D$3="","",'CF表（奥様働けない時）'!D17/10000)</f>
        <v/>
      </c>
      <c r="E17" s="221">
        <f>IF('CF表（奥様働けない時）'!E$3="","",'CF表（奥様働けない時）'!E17/10000)</f>
        <v/>
      </c>
      <c r="F17" s="221">
        <f>IF('CF表（奥様働けない時）'!F$3="","",'CF表（奥様働けない時）'!F17/10000)</f>
        <v/>
      </c>
      <c r="G17" s="221">
        <f>IF('CF表（奥様働けない時）'!G$3="","",'CF表（奥様働けない時）'!G17/10000)</f>
        <v/>
      </c>
      <c r="H17" s="221">
        <f>IF('CF表（奥様働けない時）'!H$3="","",'CF表（奥様働けない時）'!H17/10000)</f>
        <v/>
      </c>
      <c r="I17" s="221">
        <f>IF('CF表（奥様働けない時）'!I$3="","",'CF表（奥様働けない時）'!I17/10000)</f>
        <v/>
      </c>
      <c r="J17" s="221">
        <f>IF('CF表（奥様働けない時）'!J$3="","",'CF表（奥様働けない時）'!J17/10000)</f>
        <v/>
      </c>
      <c r="K17" s="221">
        <f>IF('CF表（奥様働けない時）'!K$3="","",'CF表（奥様働けない時）'!K17/10000)</f>
        <v/>
      </c>
      <c r="L17" s="221">
        <f>IF('CF表（奥様働けない時）'!L$3="","",'CF表（奥様働けない時）'!L17/10000)</f>
        <v/>
      </c>
      <c r="M17" s="221">
        <f>IF('CF表（奥様働けない時）'!M$3="","",'CF表（奥様働けない時）'!M17/10000)</f>
        <v/>
      </c>
      <c r="N17" s="221">
        <f>IF('CF表（奥様働けない時）'!N$3="","",'CF表（奥様働けない時）'!N17/10000)</f>
        <v/>
      </c>
      <c r="O17" s="221">
        <f>IF('CF表（奥様働けない時）'!O$3="","",'CF表（奥様働けない時）'!O17/10000)</f>
        <v/>
      </c>
      <c r="P17" s="221">
        <f>IF('CF表（奥様働けない時）'!P$3="","",'CF表（奥様働けない時）'!P17/10000)</f>
        <v/>
      </c>
      <c r="Q17" s="221">
        <f>IF('CF表（奥様働けない時）'!Q$3="","",'CF表（奥様働けない時）'!Q17/10000)</f>
        <v/>
      </c>
      <c r="R17" s="221">
        <f>IF('CF表（奥様働けない時）'!R$3="","",'CF表（奥様働けない時）'!R17/10000)</f>
        <v/>
      </c>
      <c r="S17" s="221">
        <f>IF('CF表（奥様働けない時）'!S$3="","",'CF表（奥様働けない時）'!S17/10000)</f>
        <v/>
      </c>
      <c r="T17" s="221">
        <f>IF('CF表（奥様働けない時）'!T$3="","",'CF表（奥様働けない時）'!T17/10000)</f>
        <v/>
      </c>
      <c r="U17" s="221">
        <f>IF('CF表（奥様働けない時）'!U$3="","",'CF表（奥様働けない時）'!U17/10000)</f>
        <v/>
      </c>
      <c r="V17" s="221">
        <f>IF('CF表（奥様働けない時）'!V$3="","",'CF表（奥様働けない時）'!V17/10000)</f>
        <v/>
      </c>
      <c r="W17" s="221">
        <f>IF('CF表（奥様働けない時）'!W$3="","",'CF表（奥様働けない時）'!W17/10000)</f>
        <v/>
      </c>
      <c r="X17" s="221">
        <f>IF('CF表（奥様働けない時）'!X$3="","",'CF表（奥様働けない時）'!X17/10000)</f>
        <v/>
      </c>
      <c r="Y17" s="221">
        <f>IF('CF表（奥様働けない時）'!Y$3="","",'CF表（奥様働けない時）'!Y17/10000)</f>
        <v/>
      </c>
      <c r="Z17" s="221">
        <f>IF('CF表（奥様働けない時）'!Z$3="","",'CF表（奥様働けない時）'!Z17/10000)</f>
        <v/>
      </c>
      <c r="AA17" s="221">
        <f>IF('CF表（奥様働けない時）'!AA$3="","",'CF表（奥様働けない時）'!AA17/10000)</f>
        <v/>
      </c>
      <c r="AB17" s="221">
        <f>IF('CF表（奥様働けない時）'!AB$3="","",'CF表（奥様働けない時）'!AB17/10000)</f>
        <v/>
      </c>
      <c r="AC17" s="221">
        <f>IF('CF表（奥様働けない時）'!AC$3="","",'CF表（奥様働けない時）'!AC17/10000)</f>
        <v/>
      </c>
      <c r="AD17" s="221">
        <f>IF('CF表（奥様働けない時）'!AD$3="","",'CF表（奥様働けない時）'!AD17/10000)</f>
        <v/>
      </c>
      <c r="AE17" s="221">
        <f>IF('CF表（奥様働けない時）'!AE$3="","",'CF表（奥様働けない時）'!AE17/10000)</f>
        <v/>
      </c>
      <c r="AF17" s="221">
        <f>IF('CF表（奥様働けない時）'!AF$3="","",'CF表（奥様働けない時）'!AF17/10000)</f>
        <v/>
      </c>
      <c r="AG17" s="221">
        <f>IF('CF表（奥様働けない時）'!AG$3="","",'CF表（奥様働けない時）'!AG17/10000)</f>
        <v/>
      </c>
      <c r="AH17" s="221">
        <f>IF('CF表（奥様働けない時）'!AH$3="","",'CF表（奥様働けない時）'!AH17/10000)</f>
        <v/>
      </c>
      <c r="AI17" s="221">
        <f>IF('CF表（奥様働けない時）'!AI$3="","",'CF表（奥様働けない時）'!AI17/10000)</f>
        <v/>
      </c>
      <c r="AJ17" s="221">
        <f>IF('CF表（奥様働けない時）'!AJ$3="","",'CF表（奥様働けない時）'!AJ17/10000)</f>
        <v/>
      </c>
      <c r="AK17" s="221">
        <f>IF('CF表（奥様働けない時）'!AK$3="","",'CF表（奥様働けない時）'!AK17/10000)</f>
        <v/>
      </c>
      <c r="AL17" s="221">
        <f>IF('CF表（奥様働けない時）'!AL$3="","",'CF表（奥様働けない時）'!AL17/10000)</f>
        <v/>
      </c>
      <c r="AM17" s="221">
        <f>IF('CF表（奥様働けない時）'!AM$3="","",'CF表（奥様働けない時）'!AM17/10000)</f>
        <v/>
      </c>
      <c r="AN17" s="221">
        <f>IF('CF表（奥様働けない時）'!AN$3="","",'CF表（奥様働けない時）'!AN17/10000)</f>
        <v/>
      </c>
      <c r="AO17" s="221">
        <f>IF('CF表（奥様働けない時）'!AO$3="","",'CF表（奥様働けない時）'!AO17/10000)</f>
        <v/>
      </c>
      <c r="AP17" s="221">
        <f>IF('CF表（奥様働けない時）'!AP$3="","",'CF表（奥様働けない時）'!AP17/10000)</f>
        <v/>
      </c>
      <c r="AQ17" s="221">
        <f>IF('CF表（奥様働けない時）'!AQ$3="","",'CF表（奥様働けない時）'!AQ17/10000)</f>
        <v/>
      </c>
      <c r="AR17" s="221">
        <f>IF('CF表（奥様働けない時）'!AR$3="","",'CF表（奥様働けない時）'!AR17/10000)</f>
        <v/>
      </c>
      <c r="AS17" s="221">
        <f>IF('CF表（奥様働けない時）'!AS$3="","",'CF表（奥様働けない時）'!AS17/10000)</f>
        <v/>
      </c>
      <c r="AT17" s="221">
        <f>IF('CF表（奥様働けない時）'!AT$3="","",'CF表（奥様働けない時）'!AT17/10000)</f>
        <v/>
      </c>
      <c r="AU17" s="221">
        <f>IF('CF表（奥様働けない時）'!AU$3="","",'CF表（奥様働けない時）'!AU17/10000)</f>
        <v/>
      </c>
      <c r="AV17" s="221">
        <f>IF('CF表（奥様働けない時）'!AV$3="","",'CF表（奥様働けない時）'!AV17/10000)</f>
        <v/>
      </c>
      <c r="AW17" s="221">
        <f>IF('CF表（奥様働けない時）'!AW$3="","",'CF表（奥様働けない時）'!AW17/10000)</f>
        <v/>
      </c>
      <c r="AX17" s="221">
        <f>IF('CF表（奥様働けない時）'!AX$3="","",'CF表（奥様働けない時）'!AX17/10000)</f>
        <v/>
      </c>
      <c r="AY17" s="221">
        <f>IF('CF表（奥様働けない時）'!AY$3="","",'CF表（奥様働けない時）'!AY17/10000)</f>
        <v/>
      </c>
      <c r="AZ17" s="221">
        <f>IF('CF表（奥様働けない時）'!AZ$3="","",'CF表（奥様働けない時）'!AZ17/10000)</f>
        <v/>
      </c>
      <c r="BA17" s="221">
        <f>IF('CF表（奥様働けない時）'!BA$3="","",'CF表（奥様働けない時）'!BA17/10000)</f>
        <v/>
      </c>
      <c r="BB17" s="221">
        <f>IF('CF表（奥様働けない時）'!BB$3="","",'CF表（奥様働けない時）'!BB17/10000)</f>
        <v/>
      </c>
      <c r="BC17" s="221">
        <f>IF('CF表（奥様働けない時）'!BC$3="","",'CF表（奥様働けない時）'!BC17/10000)</f>
        <v/>
      </c>
      <c r="BD17" s="221">
        <f>IF('CF表（奥様働けない時）'!BD$3="","",'CF表（奥様働けない時）'!BD17/10000)</f>
        <v/>
      </c>
      <c r="BE17" s="221">
        <f>IF('CF表（奥様働けない時）'!BE$3="","",'CF表（奥様働けない時）'!BE17/10000)</f>
        <v/>
      </c>
      <c r="BF17" s="221">
        <f>IF('CF表（奥様働けない時）'!BF$3="","",'CF表（奥様働けない時）'!BF17/10000)</f>
        <v/>
      </c>
      <c r="BG17" s="221">
        <f>IF('CF表（奥様働けない時）'!BG$3="","",'CF表（奥様働けない時）'!BG17/10000)</f>
        <v/>
      </c>
      <c r="BH17" s="221">
        <f>IF('CF表（奥様働けない時）'!BH$3="","",'CF表（奥様働けない時）'!BH17/10000)</f>
        <v/>
      </c>
      <c r="BI17" s="221">
        <f>IF('CF表（奥様働けない時）'!BI$3="","",'CF表（奥様働けない時）'!BI17/10000)</f>
        <v/>
      </c>
      <c r="BJ17" s="221">
        <f>IF('CF表（奥様働けない時）'!BJ$3="","",'CF表（奥様働けない時）'!BJ17/10000)</f>
        <v/>
      </c>
      <c r="BK17" s="221">
        <f>IF('CF表（奥様働けない時）'!BK$3="","",'CF表（奥様働けない時）'!BK17/10000)</f>
        <v/>
      </c>
      <c r="BL17" s="221">
        <f>IF('CF表（奥様働けない時）'!BL$3="","",'CF表（奥様働けない時）'!BL17/10000)</f>
        <v/>
      </c>
      <c r="BM17" s="221">
        <f>IF('CF表（奥様働けない時）'!BM$3="","",'CF表（奥様働けない時）'!BM17/10000)</f>
        <v/>
      </c>
      <c r="BN17" s="221">
        <f>IF('CF表（奥様働けない時）'!BN$3="","",'CF表（奥様働けない時）'!BN17/10000)</f>
        <v/>
      </c>
      <c r="BO17" s="221">
        <f>IF('CF表（奥様働けない時）'!BO$3="","",'CF表（奥様働けない時）'!BO17/10000)</f>
        <v/>
      </c>
      <c r="BP17" s="221">
        <f>IF('CF表（奥様働けない時）'!BP$3="","",'CF表（奥様働けない時）'!BP17/10000)</f>
        <v/>
      </c>
      <c r="BQ17" s="221">
        <f>IF('CF表（奥様働けない時）'!BQ$3="","",'CF表（奥様働けない時）'!BQ17/10000)</f>
        <v/>
      </c>
      <c r="BR17" s="221">
        <f>IF('CF表（奥様働けない時）'!BR$3="","",'CF表（奥様働けない時）'!BR17/10000)</f>
        <v/>
      </c>
      <c r="BS17" s="221">
        <f>IF('CF表（奥様働けない時）'!BS$3="","",'CF表（奥様働けない時）'!BS17/10000)</f>
        <v/>
      </c>
      <c r="BT17" s="221">
        <f>IF('CF表（奥様働けない時）'!BT$3="","",'CF表（奥様働けない時）'!BT17/10000)</f>
        <v/>
      </c>
      <c r="BU17" s="221">
        <f>IF('CF表（奥様働けない時）'!BU$3="","",'CF表（奥様働けない時）'!BU17/10000)</f>
        <v/>
      </c>
      <c r="BV17" s="221">
        <f>IF('CF表（奥様働けない時）'!BV$3="","",'CF表（奥様働けない時）'!BV17/10000)</f>
        <v/>
      </c>
      <c r="BW17" s="221">
        <f>IF('CF表（奥様働けない時）'!BW$3="","",'CF表（奥様働けない時）'!BW17/10000)</f>
        <v/>
      </c>
      <c r="BX17" s="221">
        <f>IF('CF表（奥様働けない時）'!BX$3="","",'CF表（奥様働けない時）'!BX17/10000)</f>
        <v/>
      </c>
      <c r="BY17" s="221">
        <f>IF('CF表（奥様働けない時）'!BY$3="","",'CF表（奥様働けない時）'!BY17/10000)</f>
        <v/>
      </c>
      <c r="BZ17" s="221">
        <f>IF('CF表（奥様働けない時）'!BZ$3="","",'CF表（奥様働けない時）'!BZ17/10000)</f>
        <v/>
      </c>
      <c r="CA17" s="221">
        <f>IF('CF表（奥様働けない時）'!CA$3="","",'CF表（奥様働けない時）'!CA17/10000)</f>
        <v/>
      </c>
      <c r="CB17" s="221">
        <f>IF('CF表（奥様働けない時）'!CB$3="","",'CF表（奥様働けない時）'!CB17/10000)</f>
        <v/>
      </c>
      <c r="CC17" s="221">
        <f>IF('CF表（奥様働けない時）'!CC$3="","",'CF表（奥様働けない時）'!CC17/10000)</f>
        <v/>
      </c>
      <c r="CD17" s="221">
        <f>IF('CF表（奥様働けない時）'!CD$3="","",'CF表（奥様働けない時）'!CD17/10000)</f>
        <v/>
      </c>
      <c r="CE17" s="221">
        <f>IF('CF表（奥様働けない時）'!CE$3="","",'CF表（奥様働けない時）'!CE17/10000)</f>
        <v/>
      </c>
      <c r="CF17" s="221">
        <f>IF('CF表（奥様働けない時）'!CF$3="","",'CF表（奥様働けない時）'!CF17/10000)</f>
        <v/>
      </c>
      <c r="CG17" s="221">
        <f>IF('CF表（奥様働けない時）'!CG$3="","",'CF表（奥様働けない時）'!CG17/10000)</f>
        <v/>
      </c>
      <c r="CH17" s="221">
        <f>IF('CF表（奥様働けない時）'!CH$3="","",'CF表（奥様働けない時）'!CH17/10000)</f>
        <v/>
      </c>
      <c r="CI17" s="221">
        <f>IF('CF表（奥様働けない時）'!CI$3="","",'CF表（奥様働けない時）'!CI17/10000)</f>
        <v/>
      </c>
      <c r="CJ17" s="221">
        <f>IF('CF表（奥様働けない時）'!CJ$3="","",'CF表（奥様働けない時）'!CJ17/10000)</f>
        <v/>
      </c>
      <c r="CK17" s="221">
        <f>IF('CF表（奥様働けない時）'!CK$3="","",'CF表（奥様働けない時）'!CK17/10000)</f>
        <v/>
      </c>
      <c r="CL17" s="221">
        <f>IF('CF表（奥様働けない時）'!CL$3="","",'CF表（奥様働けない時）'!CL17/10000)</f>
        <v/>
      </c>
      <c r="CM17" s="221">
        <f>IF('CF表（奥様働けない時）'!CM$3="","",'CF表（奥様働けない時）'!CM17/10000)</f>
        <v/>
      </c>
      <c r="CN17" s="221">
        <f>IF('CF表（奥様働けない時）'!CN$3="","",'CF表（奥様働けない時）'!CN17/10000)</f>
        <v/>
      </c>
      <c r="CO17" s="221">
        <f>IF('CF表（奥様働けない時）'!CO$3="","",'CF表（奥様働けない時）'!CO17/10000)</f>
        <v/>
      </c>
      <c r="CP17" s="221">
        <f>IF('CF表（奥様働けない時）'!CP$3="","",'CF表（奥様働けない時）'!CP17/10000)</f>
        <v/>
      </c>
      <c r="CQ17" s="221">
        <f>IF('CF表（奥様働けない時）'!CQ$3="","",'CF表（奥様働けない時）'!CQ17/10000)</f>
        <v/>
      </c>
      <c r="CR17" s="221">
        <f>IF('CF表（奥様働けない時）'!CR$3="","",'CF表（奥様働けない時）'!CR17/10000)</f>
        <v/>
      </c>
      <c r="CS17" s="221">
        <f>IF('CF表（奥様働けない時）'!CS$3="","",'CF表（奥様働けない時）'!CS17/10000)</f>
        <v/>
      </c>
      <c r="CT17" s="221">
        <f>IF('CF表（奥様働けない時）'!CT$3="","",'CF表（奥様働けない時）'!CT17/10000)</f>
        <v/>
      </c>
      <c r="CU17" s="221">
        <f>IF('CF表（奥様働けない時）'!CU$3="","",'CF表（奥様働けない時）'!CU17/10000)</f>
        <v/>
      </c>
      <c r="CV17" s="221">
        <f>IF('CF表（奥様働けない時）'!CV$3="","",'CF表（奥様働けない時）'!CV17/10000)</f>
        <v/>
      </c>
      <c r="CW17" s="221">
        <f>IF('CF表（奥様働けない時）'!CW$3="","",'CF表（奥様働けない時）'!CW17/10000)</f>
        <v/>
      </c>
    </row>
    <row r="18" ht="15" customHeight="1" s="180">
      <c r="A18" s="222" t="inlineStr">
        <is>
          <t>世帯収入合計</t>
        </is>
      </c>
      <c r="B18" s="223">
        <f>IF('CF表（奥様働けない時）'!B$3="","",'CF表（奥様働けない時）'!B18/10000)</f>
        <v/>
      </c>
      <c r="C18" s="223">
        <f>IF('CF表（奥様働けない時）'!C$3="","",'CF表（奥様働けない時）'!C18/10000)</f>
        <v/>
      </c>
      <c r="D18" s="223">
        <f>IF('CF表（奥様働けない時）'!D$3="","",'CF表（奥様働けない時）'!D18/10000)</f>
        <v/>
      </c>
      <c r="E18" s="223">
        <f>IF('CF表（奥様働けない時）'!E$3="","",'CF表（奥様働けない時）'!E18/10000)</f>
        <v/>
      </c>
      <c r="F18" s="223">
        <f>IF('CF表（奥様働けない時）'!F$3="","",'CF表（奥様働けない時）'!F18/10000)</f>
        <v/>
      </c>
      <c r="G18" s="223">
        <f>IF('CF表（奥様働けない時）'!G$3="","",'CF表（奥様働けない時）'!G18/10000)</f>
        <v/>
      </c>
      <c r="H18" s="223">
        <f>IF('CF表（奥様働けない時）'!H$3="","",'CF表（奥様働けない時）'!H18/10000)</f>
        <v/>
      </c>
      <c r="I18" s="223">
        <f>IF('CF表（奥様働けない時）'!I$3="","",'CF表（奥様働けない時）'!I18/10000)</f>
        <v/>
      </c>
      <c r="J18" s="223">
        <f>IF('CF表（奥様働けない時）'!J$3="","",'CF表（奥様働けない時）'!J18/10000)</f>
        <v/>
      </c>
      <c r="K18" s="223">
        <f>IF('CF表（奥様働けない時）'!K$3="","",'CF表（奥様働けない時）'!K18/10000)</f>
        <v/>
      </c>
      <c r="L18" s="223">
        <f>IF('CF表（奥様働けない時）'!L$3="","",'CF表（奥様働けない時）'!L18/10000)</f>
        <v/>
      </c>
      <c r="M18" s="223">
        <f>IF('CF表（奥様働けない時）'!M$3="","",'CF表（奥様働けない時）'!M18/10000)</f>
        <v/>
      </c>
      <c r="N18" s="223">
        <f>IF('CF表（奥様働けない時）'!N$3="","",'CF表（奥様働けない時）'!N18/10000)</f>
        <v/>
      </c>
      <c r="O18" s="223">
        <f>IF('CF表（奥様働けない時）'!O$3="","",'CF表（奥様働けない時）'!O18/10000)</f>
        <v/>
      </c>
      <c r="P18" s="223">
        <f>IF('CF表（奥様働けない時）'!P$3="","",'CF表（奥様働けない時）'!P18/10000)</f>
        <v/>
      </c>
      <c r="Q18" s="223">
        <f>IF('CF表（奥様働けない時）'!Q$3="","",'CF表（奥様働けない時）'!Q18/10000)</f>
        <v/>
      </c>
      <c r="R18" s="223">
        <f>IF('CF表（奥様働けない時）'!R$3="","",'CF表（奥様働けない時）'!R18/10000)</f>
        <v/>
      </c>
      <c r="S18" s="223">
        <f>IF('CF表（奥様働けない時）'!S$3="","",'CF表（奥様働けない時）'!S18/10000)</f>
        <v/>
      </c>
      <c r="T18" s="223">
        <f>IF('CF表（奥様働けない時）'!T$3="","",'CF表（奥様働けない時）'!T18/10000)</f>
        <v/>
      </c>
      <c r="U18" s="223">
        <f>IF('CF表（奥様働けない時）'!U$3="","",'CF表（奥様働けない時）'!U18/10000)</f>
        <v/>
      </c>
      <c r="V18" s="223">
        <f>IF('CF表（奥様働けない時）'!V$3="","",'CF表（奥様働けない時）'!V18/10000)</f>
        <v/>
      </c>
      <c r="W18" s="223">
        <f>IF('CF表（奥様働けない時）'!W$3="","",'CF表（奥様働けない時）'!W18/10000)</f>
        <v/>
      </c>
      <c r="X18" s="223">
        <f>IF('CF表（奥様働けない時）'!X$3="","",'CF表（奥様働けない時）'!X18/10000)</f>
        <v/>
      </c>
      <c r="Y18" s="223">
        <f>IF('CF表（奥様働けない時）'!Y$3="","",'CF表（奥様働けない時）'!Y18/10000)</f>
        <v/>
      </c>
      <c r="Z18" s="223">
        <f>IF('CF表（奥様働けない時）'!Z$3="","",'CF表（奥様働けない時）'!Z18/10000)</f>
        <v/>
      </c>
      <c r="AA18" s="223">
        <f>IF('CF表（奥様働けない時）'!AA$3="","",'CF表（奥様働けない時）'!AA18/10000)</f>
        <v/>
      </c>
      <c r="AB18" s="223">
        <f>IF('CF表（奥様働けない時）'!AB$3="","",'CF表（奥様働けない時）'!AB18/10000)</f>
        <v/>
      </c>
      <c r="AC18" s="223">
        <f>IF('CF表（奥様働けない時）'!AC$3="","",'CF表（奥様働けない時）'!AC18/10000)</f>
        <v/>
      </c>
      <c r="AD18" s="223">
        <f>IF('CF表（奥様働けない時）'!AD$3="","",'CF表（奥様働けない時）'!AD18/10000)</f>
        <v/>
      </c>
      <c r="AE18" s="223">
        <f>IF('CF表（奥様働けない時）'!AE$3="","",'CF表（奥様働けない時）'!AE18/10000)</f>
        <v/>
      </c>
      <c r="AF18" s="223">
        <f>IF('CF表（奥様働けない時）'!AF$3="","",'CF表（奥様働けない時）'!AF18/10000)</f>
        <v/>
      </c>
      <c r="AG18" s="223">
        <f>IF('CF表（奥様働けない時）'!AG$3="","",'CF表（奥様働けない時）'!AG18/10000)</f>
        <v/>
      </c>
      <c r="AH18" s="223">
        <f>IF('CF表（奥様働けない時）'!AH$3="","",'CF表（奥様働けない時）'!AH18/10000)</f>
        <v/>
      </c>
      <c r="AI18" s="223">
        <f>IF('CF表（奥様働けない時）'!AI$3="","",'CF表（奥様働けない時）'!AI18/10000)</f>
        <v/>
      </c>
      <c r="AJ18" s="223">
        <f>IF('CF表（奥様働けない時）'!AJ$3="","",'CF表（奥様働けない時）'!AJ18/10000)</f>
        <v/>
      </c>
      <c r="AK18" s="223">
        <f>IF('CF表（奥様働けない時）'!AK$3="","",'CF表（奥様働けない時）'!AK18/10000)</f>
        <v/>
      </c>
      <c r="AL18" s="223">
        <f>IF('CF表（奥様働けない時）'!AL$3="","",'CF表（奥様働けない時）'!AL18/10000)</f>
        <v/>
      </c>
      <c r="AM18" s="223">
        <f>IF('CF表（奥様働けない時）'!AM$3="","",'CF表（奥様働けない時）'!AM18/10000)</f>
        <v/>
      </c>
      <c r="AN18" s="223">
        <f>IF('CF表（奥様働けない時）'!AN$3="","",'CF表（奥様働けない時）'!AN18/10000)</f>
        <v/>
      </c>
      <c r="AO18" s="223">
        <f>IF('CF表（奥様働けない時）'!AO$3="","",'CF表（奥様働けない時）'!AO18/10000)</f>
        <v/>
      </c>
      <c r="AP18" s="223">
        <f>IF('CF表（奥様働けない時）'!AP$3="","",'CF表（奥様働けない時）'!AP18/10000)</f>
        <v/>
      </c>
      <c r="AQ18" s="223">
        <f>IF('CF表（奥様働けない時）'!AQ$3="","",'CF表（奥様働けない時）'!AQ18/10000)</f>
        <v/>
      </c>
      <c r="AR18" s="223">
        <f>IF('CF表（奥様働けない時）'!AR$3="","",'CF表（奥様働けない時）'!AR18/10000)</f>
        <v/>
      </c>
      <c r="AS18" s="223">
        <f>IF('CF表（奥様働けない時）'!AS$3="","",'CF表（奥様働けない時）'!AS18/10000)</f>
        <v/>
      </c>
      <c r="AT18" s="223">
        <f>IF('CF表（奥様働けない時）'!AT$3="","",'CF表（奥様働けない時）'!AT18/10000)</f>
        <v/>
      </c>
      <c r="AU18" s="223">
        <f>IF('CF表（奥様働けない時）'!AU$3="","",'CF表（奥様働けない時）'!AU18/10000)</f>
        <v/>
      </c>
      <c r="AV18" s="223">
        <f>IF('CF表（奥様働けない時）'!AV$3="","",'CF表（奥様働けない時）'!AV18/10000)</f>
        <v/>
      </c>
      <c r="AW18" s="223">
        <f>IF('CF表（奥様働けない時）'!AW$3="","",'CF表（奥様働けない時）'!AW18/10000)</f>
        <v/>
      </c>
      <c r="AX18" s="223">
        <f>IF('CF表（奥様働けない時）'!AX$3="","",'CF表（奥様働けない時）'!AX18/10000)</f>
        <v/>
      </c>
      <c r="AY18" s="223">
        <f>IF('CF表（奥様働けない時）'!AY$3="","",'CF表（奥様働けない時）'!AY18/10000)</f>
        <v/>
      </c>
      <c r="AZ18" s="223">
        <f>IF('CF表（奥様働けない時）'!AZ$3="","",'CF表（奥様働けない時）'!AZ18/10000)</f>
        <v/>
      </c>
      <c r="BA18" s="223">
        <f>IF('CF表（奥様働けない時）'!BA$3="","",'CF表（奥様働けない時）'!BA18/10000)</f>
        <v/>
      </c>
      <c r="BB18" s="223">
        <f>IF('CF表（奥様働けない時）'!BB$3="","",'CF表（奥様働けない時）'!BB18/10000)</f>
        <v/>
      </c>
      <c r="BC18" s="223">
        <f>IF('CF表（奥様働けない時）'!BC$3="","",'CF表（奥様働けない時）'!BC18/10000)</f>
        <v/>
      </c>
      <c r="BD18" s="223">
        <f>IF('CF表（奥様働けない時）'!BD$3="","",'CF表（奥様働けない時）'!BD18/10000)</f>
        <v/>
      </c>
      <c r="BE18" s="223">
        <f>IF('CF表（奥様働けない時）'!BE$3="","",'CF表（奥様働けない時）'!BE18/10000)</f>
        <v/>
      </c>
      <c r="BF18" s="223">
        <f>IF('CF表（奥様働けない時）'!BF$3="","",'CF表（奥様働けない時）'!BF18/10000)</f>
        <v/>
      </c>
      <c r="BG18" s="223">
        <f>IF('CF表（奥様働けない時）'!BG$3="","",'CF表（奥様働けない時）'!BG18/10000)</f>
        <v/>
      </c>
      <c r="BH18" s="223">
        <f>IF('CF表（奥様働けない時）'!BH$3="","",'CF表（奥様働けない時）'!BH18/10000)</f>
        <v/>
      </c>
      <c r="BI18" s="223">
        <f>IF('CF表（奥様働けない時）'!BI$3="","",'CF表（奥様働けない時）'!BI18/10000)</f>
        <v/>
      </c>
      <c r="BJ18" s="223">
        <f>IF('CF表（奥様働けない時）'!BJ$3="","",'CF表（奥様働けない時）'!BJ18/10000)</f>
        <v/>
      </c>
      <c r="BK18" s="223">
        <f>IF('CF表（奥様働けない時）'!BK$3="","",'CF表（奥様働けない時）'!BK18/10000)</f>
        <v/>
      </c>
      <c r="BL18" s="223">
        <f>IF('CF表（奥様働けない時）'!BL$3="","",'CF表（奥様働けない時）'!BL18/10000)</f>
        <v/>
      </c>
      <c r="BM18" s="223">
        <f>IF('CF表（奥様働けない時）'!BM$3="","",'CF表（奥様働けない時）'!BM18/10000)</f>
        <v/>
      </c>
      <c r="BN18" s="223">
        <f>IF('CF表（奥様働けない時）'!BN$3="","",'CF表（奥様働けない時）'!BN18/10000)</f>
        <v/>
      </c>
      <c r="BO18" s="223">
        <f>IF('CF表（奥様働けない時）'!BO$3="","",'CF表（奥様働けない時）'!BO18/10000)</f>
        <v/>
      </c>
      <c r="BP18" s="223">
        <f>IF('CF表（奥様働けない時）'!BP$3="","",'CF表（奥様働けない時）'!BP18/10000)</f>
        <v/>
      </c>
      <c r="BQ18" s="223">
        <f>IF('CF表（奥様働けない時）'!BQ$3="","",'CF表（奥様働けない時）'!BQ18/10000)</f>
        <v/>
      </c>
      <c r="BR18" s="223">
        <f>IF('CF表（奥様働けない時）'!BR$3="","",'CF表（奥様働けない時）'!BR18/10000)</f>
        <v/>
      </c>
      <c r="BS18" s="223">
        <f>IF('CF表（奥様働けない時）'!BS$3="","",'CF表（奥様働けない時）'!BS18/10000)</f>
        <v/>
      </c>
      <c r="BT18" s="223">
        <f>IF('CF表（奥様働けない時）'!BT$3="","",'CF表（奥様働けない時）'!BT18/10000)</f>
        <v/>
      </c>
      <c r="BU18" s="223">
        <f>IF('CF表（奥様働けない時）'!BU$3="","",'CF表（奥様働けない時）'!BU18/10000)</f>
        <v/>
      </c>
      <c r="BV18" s="223">
        <f>IF('CF表（奥様働けない時）'!BV$3="","",'CF表（奥様働けない時）'!BV18/10000)</f>
        <v/>
      </c>
      <c r="BW18" s="223">
        <f>IF('CF表（奥様働けない時）'!BW$3="","",'CF表（奥様働けない時）'!BW18/10000)</f>
        <v/>
      </c>
      <c r="BX18" s="223">
        <f>IF('CF表（奥様働けない時）'!BX$3="","",'CF表（奥様働けない時）'!BX18/10000)</f>
        <v/>
      </c>
      <c r="BY18" s="223">
        <f>IF('CF表（奥様働けない時）'!BY$3="","",'CF表（奥様働けない時）'!BY18/10000)</f>
        <v/>
      </c>
      <c r="BZ18" s="223">
        <f>IF('CF表（奥様働けない時）'!BZ$3="","",'CF表（奥様働けない時）'!BZ18/10000)</f>
        <v/>
      </c>
      <c r="CA18" s="223">
        <f>IF('CF表（奥様働けない時）'!CA$3="","",'CF表（奥様働けない時）'!CA18/10000)</f>
        <v/>
      </c>
      <c r="CB18" s="223">
        <f>IF('CF表（奥様働けない時）'!CB$3="","",'CF表（奥様働けない時）'!CB18/10000)</f>
        <v/>
      </c>
      <c r="CC18" s="223">
        <f>IF('CF表（奥様働けない時）'!CC$3="","",'CF表（奥様働けない時）'!CC18/10000)</f>
        <v/>
      </c>
      <c r="CD18" s="223">
        <f>IF('CF表（奥様働けない時）'!CD$3="","",'CF表（奥様働けない時）'!CD18/10000)</f>
        <v/>
      </c>
      <c r="CE18" s="223">
        <f>IF('CF表（奥様働けない時）'!CE$3="","",'CF表（奥様働けない時）'!CE18/10000)</f>
        <v/>
      </c>
      <c r="CF18" s="223">
        <f>IF('CF表（奥様働けない時）'!CF$3="","",'CF表（奥様働けない時）'!CF18/10000)</f>
        <v/>
      </c>
      <c r="CG18" s="223">
        <f>IF('CF表（奥様働けない時）'!CG$3="","",'CF表（奥様働けない時）'!CG18/10000)</f>
        <v/>
      </c>
      <c r="CH18" s="223">
        <f>IF('CF表（奥様働けない時）'!CH$3="","",'CF表（奥様働けない時）'!CH18/10000)</f>
        <v/>
      </c>
      <c r="CI18" s="223">
        <f>IF('CF表（奥様働けない時）'!CI$3="","",'CF表（奥様働けない時）'!CI18/10000)</f>
        <v/>
      </c>
      <c r="CJ18" s="223">
        <f>IF('CF表（奥様働けない時）'!CJ$3="","",'CF表（奥様働けない時）'!CJ18/10000)</f>
        <v/>
      </c>
      <c r="CK18" s="223">
        <f>IF('CF表（奥様働けない時）'!CK$3="","",'CF表（奥様働けない時）'!CK18/10000)</f>
        <v/>
      </c>
      <c r="CL18" s="223">
        <f>IF('CF表（奥様働けない時）'!CL$3="","",'CF表（奥様働けない時）'!CL18/10000)</f>
        <v/>
      </c>
      <c r="CM18" s="223">
        <f>IF('CF表（奥様働けない時）'!CM$3="","",'CF表（奥様働けない時）'!CM18/10000)</f>
        <v/>
      </c>
      <c r="CN18" s="223">
        <f>IF('CF表（奥様働けない時）'!CN$3="","",'CF表（奥様働けない時）'!CN18/10000)</f>
        <v/>
      </c>
      <c r="CO18" s="223">
        <f>IF('CF表（奥様働けない時）'!CO$3="","",'CF表（奥様働けない時）'!CO18/10000)</f>
        <v/>
      </c>
      <c r="CP18" s="223">
        <f>IF('CF表（奥様働けない時）'!CP$3="","",'CF表（奥様働けない時）'!CP18/10000)</f>
        <v/>
      </c>
      <c r="CQ18" s="223">
        <f>IF('CF表（奥様働けない時）'!CQ$3="","",'CF表（奥様働けない時）'!CQ18/10000)</f>
        <v/>
      </c>
      <c r="CR18" s="223">
        <f>IF('CF表（奥様働けない時）'!CR$3="","",'CF表（奥様働けない時）'!CR18/10000)</f>
        <v/>
      </c>
      <c r="CS18" s="223">
        <f>IF('CF表（奥様働けない時）'!CS$3="","",'CF表（奥様働けない時）'!CS18/10000)</f>
        <v/>
      </c>
      <c r="CT18" s="223">
        <f>IF('CF表（奥様働けない時）'!CT$3="","",'CF表（奥様働けない時）'!CT18/10000)</f>
        <v/>
      </c>
      <c r="CU18" s="223">
        <f>IF('CF表（奥様働けない時）'!CU$3="","",'CF表（奥様働けない時）'!CU18/10000)</f>
        <v/>
      </c>
      <c r="CV18" s="223">
        <f>IF('CF表（奥様働けない時）'!CV$3="","",'CF表（奥様働けない時）'!CV18/10000)</f>
        <v/>
      </c>
      <c r="CW18" s="223">
        <f>IF('CF表（奥様働けない時）'!CW$3="","",'CF表（奥様働けない時）'!CW18/10000)</f>
        <v/>
      </c>
    </row>
    <row r="19" ht="15" customHeight="1" s="180">
      <c r="A19" s="205" t="inlineStr">
        <is>
          <t>収入</t>
        </is>
      </c>
      <c r="B19" s="219" t="n"/>
      <c r="C19" s="219" t="n"/>
      <c r="D19" s="219" t="n"/>
      <c r="E19" s="219" t="n"/>
      <c r="F19" s="219" t="n"/>
      <c r="G19" s="219" t="n"/>
      <c r="H19" s="219" t="n"/>
      <c r="I19" s="219" t="n"/>
      <c r="J19" s="219" t="n"/>
      <c r="K19" s="219" t="n"/>
      <c r="L19" s="219" t="n"/>
      <c r="M19" s="219" t="n"/>
      <c r="N19" s="219" t="n"/>
      <c r="O19" s="219" t="n"/>
      <c r="P19" s="219" t="n"/>
      <c r="Q19" s="219" t="n"/>
      <c r="R19" s="219" t="n"/>
      <c r="S19" s="219" t="n"/>
      <c r="T19" s="219" t="n"/>
      <c r="U19" s="219" t="n"/>
      <c r="V19" s="219" t="n"/>
      <c r="W19" s="219" t="n"/>
      <c r="X19" s="219" t="n"/>
      <c r="Y19" s="219" t="n"/>
      <c r="Z19" s="219" t="n"/>
      <c r="AA19" s="219" t="n"/>
      <c r="AB19" s="219" t="n"/>
      <c r="AC19" s="219" t="n"/>
      <c r="AD19" s="219" t="n"/>
      <c r="AE19" s="219" t="n"/>
      <c r="AF19" s="219" t="n"/>
      <c r="AG19" s="219" t="n"/>
      <c r="AH19" s="219" t="n"/>
      <c r="AI19" s="219" t="n"/>
      <c r="AJ19" s="219" t="n"/>
      <c r="AK19" s="219" t="n"/>
      <c r="AL19" s="219" t="n"/>
      <c r="AM19" s="219" t="n"/>
      <c r="AN19" s="219" t="n"/>
      <c r="AO19" s="219" t="n"/>
      <c r="AP19" s="219" t="n"/>
      <c r="AQ19" s="219" t="n"/>
      <c r="AR19" s="219" t="n"/>
      <c r="AS19" s="219" t="n"/>
      <c r="AT19" s="219" t="n"/>
      <c r="AU19" s="219" t="n"/>
      <c r="AV19" s="219" t="n"/>
      <c r="AW19" s="219" t="n"/>
      <c r="AX19" s="219" t="n"/>
      <c r="AY19" s="219" t="n"/>
      <c r="AZ19" s="219" t="n"/>
      <c r="BA19" s="219" t="n"/>
      <c r="BB19" s="219" t="n"/>
      <c r="BC19" s="219" t="n"/>
      <c r="BD19" s="219" t="n"/>
      <c r="BE19" s="219" t="n"/>
      <c r="BF19" s="219" t="n"/>
      <c r="BG19" s="219" t="n"/>
      <c r="BH19" s="219" t="n"/>
      <c r="BI19" s="219" t="n"/>
      <c r="BJ19" s="219" t="n"/>
      <c r="BK19" s="219" t="n"/>
      <c r="BL19" s="219" t="n"/>
      <c r="BM19" s="219" t="n"/>
      <c r="BN19" s="219" t="n"/>
      <c r="BO19" s="219" t="n"/>
      <c r="BP19" s="219" t="n"/>
      <c r="BQ19" s="219" t="n"/>
      <c r="BR19" s="219" t="n"/>
      <c r="BS19" s="219" t="n"/>
      <c r="BT19" s="219" t="n"/>
      <c r="BU19" s="219" t="n"/>
      <c r="BV19" s="219" t="n"/>
      <c r="BW19" s="219" t="n"/>
      <c r="BX19" s="219" t="n"/>
      <c r="BY19" s="219" t="n"/>
      <c r="BZ19" s="219" t="n"/>
      <c r="CA19" s="219" t="n"/>
      <c r="CB19" s="219" t="n"/>
      <c r="CC19" s="219" t="n"/>
      <c r="CD19" s="219" t="n"/>
      <c r="CE19" s="219" t="n"/>
      <c r="CF19" s="219" t="n"/>
      <c r="CG19" s="219" t="n"/>
      <c r="CH19" s="219" t="n"/>
      <c r="CI19" s="219" t="n"/>
      <c r="CJ19" s="219" t="n"/>
      <c r="CK19" s="219" t="n"/>
      <c r="CL19" s="219" t="n"/>
      <c r="CM19" s="219" t="n"/>
      <c r="CN19" s="219" t="n"/>
      <c r="CO19" s="219" t="n"/>
      <c r="CP19" s="219" t="n"/>
      <c r="CQ19" s="219" t="n"/>
      <c r="CR19" s="219" t="n"/>
      <c r="CS19" s="219" t="n"/>
      <c r="CT19" s="219" t="n"/>
      <c r="CU19" s="219" t="n"/>
      <c r="CV19" s="219" t="n"/>
      <c r="CW19" s="219" t="n"/>
    </row>
    <row r="20" ht="15" customHeight="1" s="180">
      <c r="A20" s="224" t="inlineStr">
        <is>
          <t>基本生活費</t>
        </is>
      </c>
      <c r="B20" s="225">
        <f>IF('CF表（奥様働けない時）'!B$3="","",'CF表（奥様働けない時）'!B20/10000)</f>
        <v/>
      </c>
      <c r="C20" s="225">
        <f>IF('CF表（奥様働けない時）'!C$3="","",'CF表（奥様働けない時）'!C20/10000)</f>
        <v/>
      </c>
      <c r="D20" s="225">
        <f>IF('CF表（奥様働けない時）'!D$3="","",'CF表（奥様働けない時）'!D20/10000)</f>
        <v/>
      </c>
      <c r="E20" s="225">
        <f>IF('CF表（奥様働けない時）'!E$3="","",'CF表（奥様働けない時）'!E20/10000)</f>
        <v/>
      </c>
      <c r="F20" s="225">
        <f>IF('CF表（奥様働けない時）'!F$3="","",'CF表（奥様働けない時）'!F20/10000)</f>
        <v/>
      </c>
      <c r="G20" s="225">
        <f>IF('CF表（奥様働けない時）'!G$3="","",'CF表（奥様働けない時）'!G20/10000)</f>
        <v/>
      </c>
      <c r="H20" s="225">
        <f>IF('CF表（奥様働けない時）'!H$3="","",'CF表（奥様働けない時）'!H20/10000)</f>
        <v/>
      </c>
      <c r="I20" s="225">
        <f>IF('CF表（奥様働けない時）'!I$3="","",'CF表（奥様働けない時）'!I20/10000)</f>
        <v/>
      </c>
      <c r="J20" s="225">
        <f>IF('CF表（奥様働けない時）'!J$3="","",'CF表（奥様働けない時）'!J20/10000)</f>
        <v/>
      </c>
      <c r="K20" s="225">
        <f>IF('CF表（奥様働けない時）'!K$3="","",'CF表（奥様働けない時）'!K20/10000)</f>
        <v/>
      </c>
      <c r="L20" s="225">
        <f>IF('CF表（奥様働けない時）'!L$3="","",'CF表（奥様働けない時）'!L20/10000)</f>
        <v/>
      </c>
      <c r="M20" s="225">
        <f>IF('CF表（奥様働けない時）'!M$3="","",'CF表（奥様働けない時）'!M20/10000)</f>
        <v/>
      </c>
      <c r="N20" s="225">
        <f>IF('CF表（奥様働けない時）'!N$3="","",'CF表（奥様働けない時）'!N20/10000)</f>
        <v/>
      </c>
      <c r="O20" s="225">
        <f>IF('CF表（奥様働けない時）'!O$3="","",'CF表（奥様働けない時）'!O20/10000)</f>
        <v/>
      </c>
      <c r="P20" s="225">
        <f>IF('CF表（奥様働けない時）'!P$3="","",'CF表（奥様働けない時）'!P20/10000)</f>
        <v/>
      </c>
      <c r="Q20" s="225">
        <f>IF('CF表（奥様働けない時）'!Q$3="","",'CF表（奥様働けない時）'!Q20/10000)</f>
        <v/>
      </c>
      <c r="R20" s="225">
        <f>IF('CF表（奥様働けない時）'!R$3="","",'CF表（奥様働けない時）'!R20/10000)</f>
        <v/>
      </c>
      <c r="S20" s="225">
        <f>IF('CF表（奥様働けない時）'!S$3="","",'CF表（奥様働けない時）'!S20/10000)</f>
        <v/>
      </c>
      <c r="T20" s="225">
        <f>IF('CF表（奥様働けない時）'!T$3="","",'CF表（奥様働けない時）'!T20/10000)</f>
        <v/>
      </c>
      <c r="U20" s="225">
        <f>IF('CF表（奥様働けない時）'!U$3="","",'CF表（奥様働けない時）'!U20/10000)</f>
        <v/>
      </c>
      <c r="V20" s="225">
        <f>IF('CF表（奥様働けない時）'!V$3="","",'CF表（奥様働けない時）'!V20/10000)</f>
        <v/>
      </c>
      <c r="W20" s="225">
        <f>IF('CF表（奥様働けない時）'!W$3="","",'CF表（奥様働けない時）'!W20/10000)</f>
        <v/>
      </c>
      <c r="X20" s="225">
        <f>IF('CF表（奥様働けない時）'!X$3="","",'CF表（奥様働けない時）'!X20/10000)</f>
        <v/>
      </c>
      <c r="Y20" s="225">
        <f>IF('CF表（奥様働けない時）'!Y$3="","",'CF表（奥様働けない時）'!Y20/10000)</f>
        <v/>
      </c>
      <c r="Z20" s="225">
        <f>IF('CF表（奥様働けない時）'!Z$3="","",'CF表（奥様働けない時）'!Z20/10000)</f>
        <v/>
      </c>
      <c r="AA20" s="225">
        <f>IF('CF表（奥様働けない時）'!AA$3="","",'CF表（奥様働けない時）'!AA20/10000)</f>
        <v/>
      </c>
      <c r="AB20" s="225">
        <f>IF('CF表（奥様働けない時）'!AB$3="","",'CF表（奥様働けない時）'!AB20/10000)</f>
        <v/>
      </c>
      <c r="AC20" s="225">
        <f>IF('CF表（奥様働けない時）'!AC$3="","",'CF表（奥様働けない時）'!AC20/10000)</f>
        <v/>
      </c>
      <c r="AD20" s="225">
        <f>IF('CF表（奥様働けない時）'!AD$3="","",'CF表（奥様働けない時）'!AD20/10000)</f>
        <v/>
      </c>
      <c r="AE20" s="225">
        <f>IF('CF表（奥様働けない時）'!AE$3="","",'CF表（奥様働けない時）'!AE20/10000)</f>
        <v/>
      </c>
      <c r="AF20" s="225">
        <f>IF('CF表（奥様働けない時）'!AF$3="","",'CF表（奥様働けない時）'!AF20/10000)</f>
        <v/>
      </c>
      <c r="AG20" s="225">
        <f>IF('CF表（奥様働けない時）'!AG$3="","",'CF表（奥様働けない時）'!AG20/10000)</f>
        <v/>
      </c>
      <c r="AH20" s="225">
        <f>IF('CF表（奥様働けない時）'!AH$3="","",'CF表（奥様働けない時）'!AH20/10000)</f>
        <v/>
      </c>
      <c r="AI20" s="225">
        <f>IF('CF表（奥様働けない時）'!AI$3="","",'CF表（奥様働けない時）'!AI20/10000)</f>
        <v/>
      </c>
      <c r="AJ20" s="225">
        <f>IF('CF表（奥様働けない時）'!AJ$3="","",'CF表（奥様働けない時）'!AJ20/10000)</f>
        <v/>
      </c>
      <c r="AK20" s="225">
        <f>IF('CF表（奥様働けない時）'!AK$3="","",'CF表（奥様働けない時）'!AK20/10000)</f>
        <v/>
      </c>
      <c r="AL20" s="225">
        <f>IF('CF表（奥様働けない時）'!AL$3="","",'CF表（奥様働けない時）'!AL20/10000)</f>
        <v/>
      </c>
      <c r="AM20" s="225">
        <f>IF('CF表（奥様働けない時）'!AM$3="","",'CF表（奥様働けない時）'!AM20/10000)</f>
        <v/>
      </c>
      <c r="AN20" s="225">
        <f>IF('CF表（奥様働けない時）'!AN$3="","",'CF表（奥様働けない時）'!AN20/10000)</f>
        <v/>
      </c>
      <c r="AO20" s="225">
        <f>IF('CF表（奥様働けない時）'!AO$3="","",'CF表（奥様働けない時）'!AO20/10000)</f>
        <v/>
      </c>
      <c r="AP20" s="225">
        <f>IF('CF表（奥様働けない時）'!AP$3="","",'CF表（奥様働けない時）'!AP20/10000)</f>
        <v/>
      </c>
      <c r="AQ20" s="225">
        <f>IF('CF表（奥様働けない時）'!AQ$3="","",'CF表（奥様働けない時）'!AQ20/10000)</f>
        <v/>
      </c>
      <c r="AR20" s="225">
        <f>IF('CF表（奥様働けない時）'!AR$3="","",'CF表（奥様働けない時）'!AR20/10000)</f>
        <v/>
      </c>
      <c r="AS20" s="225">
        <f>IF('CF表（奥様働けない時）'!AS$3="","",'CF表（奥様働けない時）'!AS20/10000)</f>
        <v/>
      </c>
      <c r="AT20" s="225">
        <f>IF('CF表（奥様働けない時）'!AT$3="","",'CF表（奥様働けない時）'!AT20/10000)</f>
        <v/>
      </c>
      <c r="AU20" s="225">
        <f>IF('CF表（奥様働けない時）'!AU$3="","",'CF表（奥様働けない時）'!AU20/10000)</f>
        <v/>
      </c>
      <c r="AV20" s="225">
        <f>IF('CF表（奥様働けない時）'!AV$3="","",'CF表（奥様働けない時）'!AV20/10000)</f>
        <v/>
      </c>
      <c r="AW20" s="225">
        <f>IF('CF表（奥様働けない時）'!AW$3="","",'CF表（奥様働けない時）'!AW20/10000)</f>
        <v/>
      </c>
      <c r="AX20" s="225">
        <f>IF('CF表（奥様働けない時）'!AX$3="","",'CF表（奥様働けない時）'!AX20/10000)</f>
        <v/>
      </c>
      <c r="AY20" s="225">
        <f>IF('CF表（奥様働けない時）'!AY$3="","",'CF表（奥様働けない時）'!AY20/10000)</f>
        <v/>
      </c>
      <c r="AZ20" s="225">
        <f>IF('CF表（奥様働けない時）'!AZ$3="","",'CF表（奥様働けない時）'!AZ20/10000)</f>
        <v/>
      </c>
      <c r="BA20" s="225">
        <f>IF('CF表（奥様働けない時）'!BA$3="","",'CF表（奥様働けない時）'!BA20/10000)</f>
        <v/>
      </c>
      <c r="BB20" s="225">
        <f>IF('CF表（奥様働けない時）'!BB$3="","",'CF表（奥様働けない時）'!BB20/10000)</f>
        <v/>
      </c>
      <c r="BC20" s="225">
        <f>IF('CF表（奥様働けない時）'!BC$3="","",'CF表（奥様働けない時）'!BC20/10000)</f>
        <v/>
      </c>
      <c r="BD20" s="225">
        <f>IF('CF表（奥様働けない時）'!BD$3="","",'CF表（奥様働けない時）'!BD20/10000)</f>
        <v/>
      </c>
      <c r="BE20" s="225">
        <f>IF('CF表（奥様働けない時）'!BE$3="","",'CF表（奥様働けない時）'!BE20/10000)</f>
        <v/>
      </c>
      <c r="BF20" s="225">
        <f>IF('CF表（奥様働けない時）'!BF$3="","",'CF表（奥様働けない時）'!BF20/10000)</f>
        <v/>
      </c>
      <c r="BG20" s="225">
        <f>IF('CF表（奥様働けない時）'!BG$3="","",'CF表（奥様働けない時）'!BG20/10000)</f>
        <v/>
      </c>
      <c r="BH20" s="225">
        <f>IF('CF表（奥様働けない時）'!BH$3="","",'CF表（奥様働けない時）'!BH20/10000)</f>
        <v/>
      </c>
      <c r="BI20" s="225">
        <f>IF('CF表（奥様働けない時）'!BI$3="","",'CF表（奥様働けない時）'!BI20/10000)</f>
        <v/>
      </c>
      <c r="BJ20" s="225">
        <f>IF('CF表（奥様働けない時）'!BJ$3="","",'CF表（奥様働けない時）'!BJ20/10000)</f>
        <v/>
      </c>
      <c r="BK20" s="225">
        <f>IF('CF表（奥様働けない時）'!BK$3="","",'CF表（奥様働けない時）'!BK20/10000)</f>
        <v/>
      </c>
      <c r="BL20" s="225">
        <f>IF('CF表（奥様働けない時）'!BL$3="","",'CF表（奥様働けない時）'!BL20/10000)</f>
        <v/>
      </c>
      <c r="BM20" s="225">
        <f>IF('CF表（奥様働けない時）'!BM$3="","",'CF表（奥様働けない時）'!BM20/10000)</f>
        <v/>
      </c>
      <c r="BN20" s="225">
        <f>IF('CF表（奥様働けない時）'!BN$3="","",'CF表（奥様働けない時）'!BN20/10000)</f>
        <v/>
      </c>
      <c r="BO20" s="225">
        <f>IF('CF表（奥様働けない時）'!BO$3="","",'CF表（奥様働けない時）'!BO20/10000)</f>
        <v/>
      </c>
      <c r="BP20" s="225">
        <f>IF('CF表（奥様働けない時）'!BP$3="","",'CF表（奥様働けない時）'!BP20/10000)</f>
        <v/>
      </c>
      <c r="BQ20" s="225">
        <f>IF('CF表（奥様働けない時）'!BQ$3="","",'CF表（奥様働けない時）'!BQ20/10000)</f>
        <v/>
      </c>
      <c r="BR20" s="225">
        <f>IF('CF表（奥様働けない時）'!BR$3="","",'CF表（奥様働けない時）'!BR20/10000)</f>
        <v/>
      </c>
      <c r="BS20" s="225">
        <f>IF('CF表（奥様働けない時）'!BS$3="","",'CF表（奥様働けない時）'!BS20/10000)</f>
        <v/>
      </c>
      <c r="BT20" s="225">
        <f>IF('CF表（奥様働けない時）'!BT$3="","",'CF表（奥様働けない時）'!BT20/10000)</f>
        <v/>
      </c>
      <c r="BU20" s="225">
        <f>IF('CF表（奥様働けない時）'!BU$3="","",'CF表（奥様働けない時）'!BU20/10000)</f>
        <v/>
      </c>
      <c r="BV20" s="225">
        <f>IF('CF表（奥様働けない時）'!BV$3="","",'CF表（奥様働けない時）'!BV20/10000)</f>
        <v/>
      </c>
      <c r="BW20" s="225">
        <f>IF('CF表（奥様働けない時）'!BW$3="","",'CF表（奥様働けない時）'!BW20/10000)</f>
        <v/>
      </c>
      <c r="BX20" s="225">
        <f>IF('CF表（奥様働けない時）'!BX$3="","",'CF表（奥様働けない時）'!BX20/10000)</f>
        <v/>
      </c>
      <c r="BY20" s="225">
        <f>IF('CF表（奥様働けない時）'!BY$3="","",'CF表（奥様働けない時）'!BY20/10000)</f>
        <v/>
      </c>
      <c r="BZ20" s="225">
        <f>IF('CF表（奥様働けない時）'!BZ$3="","",'CF表（奥様働けない時）'!BZ20/10000)</f>
        <v/>
      </c>
      <c r="CA20" s="225">
        <f>IF('CF表（奥様働けない時）'!CA$3="","",'CF表（奥様働けない時）'!CA20/10000)</f>
        <v/>
      </c>
      <c r="CB20" s="225">
        <f>IF('CF表（奥様働けない時）'!CB$3="","",'CF表（奥様働けない時）'!CB20/10000)</f>
        <v/>
      </c>
      <c r="CC20" s="225">
        <f>IF('CF表（奥様働けない時）'!CC$3="","",'CF表（奥様働けない時）'!CC20/10000)</f>
        <v/>
      </c>
      <c r="CD20" s="225">
        <f>IF('CF表（奥様働けない時）'!CD$3="","",'CF表（奥様働けない時）'!CD20/10000)</f>
        <v/>
      </c>
      <c r="CE20" s="225">
        <f>IF('CF表（奥様働けない時）'!CE$3="","",'CF表（奥様働けない時）'!CE20/10000)</f>
        <v/>
      </c>
      <c r="CF20" s="225">
        <f>IF('CF表（奥様働けない時）'!CF$3="","",'CF表（奥様働けない時）'!CF20/10000)</f>
        <v/>
      </c>
      <c r="CG20" s="225">
        <f>IF('CF表（奥様働けない時）'!CG$3="","",'CF表（奥様働けない時）'!CG20/10000)</f>
        <v/>
      </c>
      <c r="CH20" s="225">
        <f>IF('CF表（奥様働けない時）'!CH$3="","",'CF表（奥様働けない時）'!CH20/10000)</f>
        <v/>
      </c>
      <c r="CI20" s="225">
        <f>IF('CF表（奥様働けない時）'!CI$3="","",'CF表（奥様働けない時）'!CI20/10000)</f>
        <v/>
      </c>
      <c r="CJ20" s="225">
        <f>IF('CF表（奥様働けない時）'!CJ$3="","",'CF表（奥様働けない時）'!CJ20/10000)</f>
        <v/>
      </c>
      <c r="CK20" s="225">
        <f>IF('CF表（奥様働けない時）'!CK$3="","",'CF表（奥様働けない時）'!CK20/10000)</f>
        <v/>
      </c>
      <c r="CL20" s="225">
        <f>IF('CF表（奥様働けない時）'!CL$3="","",'CF表（奥様働けない時）'!CL20/10000)</f>
        <v/>
      </c>
      <c r="CM20" s="225">
        <f>IF('CF表（奥様働けない時）'!CM$3="","",'CF表（奥様働けない時）'!CM20/10000)</f>
        <v/>
      </c>
      <c r="CN20" s="225">
        <f>IF('CF表（奥様働けない時）'!CN$3="","",'CF表（奥様働けない時）'!CN20/10000)</f>
        <v/>
      </c>
      <c r="CO20" s="225">
        <f>IF('CF表（奥様働けない時）'!CO$3="","",'CF表（奥様働けない時）'!CO20/10000)</f>
        <v/>
      </c>
      <c r="CP20" s="225">
        <f>IF('CF表（奥様働けない時）'!CP$3="","",'CF表（奥様働けない時）'!CP20/10000)</f>
        <v/>
      </c>
      <c r="CQ20" s="225">
        <f>IF('CF表（奥様働けない時）'!CQ$3="","",'CF表（奥様働けない時）'!CQ20/10000)</f>
        <v/>
      </c>
      <c r="CR20" s="225">
        <f>IF('CF表（奥様働けない時）'!CR$3="","",'CF表（奥様働けない時）'!CR20/10000)</f>
        <v/>
      </c>
      <c r="CS20" s="225">
        <f>IF('CF表（奥様働けない時）'!CS$3="","",'CF表（奥様働けない時）'!CS20/10000)</f>
        <v/>
      </c>
      <c r="CT20" s="225">
        <f>IF('CF表（奥様働けない時）'!CT$3="","",'CF表（奥様働けない時）'!CT20/10000)</f>
        <v/>
      </c>
      <c r="CU20" s="225">
        <f>IF('CF表（奥様働けない時）'!CU$3="","",'CF表（奥様働けない時）'!CU20/10000)</f>
        <v/>
      </c>
      <c r="CV20" s="225">
        <f>IF('CF表（奥様働けない時）'!CV$3="","",'CF表（奥様働けない時）'!CV20/10000)</f>
        <v/>
      </c>
      <c r="CW20" s="225">
        <f>IF('CF表（奥様働けない時）'!CW$3="","",'CF表（奥様働けない時）'!CW20/10000)</f>
        <v/>
      </c>
    </row>
    <row r="21" ht="15" customHeight="1" s="180">
      <c r="A21" s="224" t="inlineStr">
        <is>
          <t>住居費</t>
        </is>
      </c>
      <c r="B21" s="225">
        <f>IF('CF表（奥様働けない時）'!B$3="","",'CF表（奥様働けない時）'!B21/10000)</f>
        <v/>
      </c>
      <c r="C21" s="225">
        <f>IF('CF表（奥様働けない時）'!C$3="","",'CF表（奥様働けない時）'!C21/10000)</f>
        <v/>
      </c>
      <c r="D21" s="225">
        <f>IF('CF表（奥様働けない時）'!D$3="","",'CF表（奥様働けない時）'!D21/10000)</f>
        <v/>
      </c>
      <c r="E21" s="225">
        <f>IF('CF表（奥様働けない時）'!E$3="","",'CF表（奥様働けない時）'!E21/10000)</f>
        <v/>
      </c>
      <c r="F21" s="225">
        <f>IF('CF表（奥様働けない時）'!F$3="","",'CF表（奥様働けない時）'!F21/10000)</f>
        <v/>
      </c>
      <c r="G21" s="225">
        <f>IF('CF表（奥様働けない時）'!G$3="","",'CF表（奥様働けない時）'!G21/10000)</f>
        <v/>
      </c>
      <c r="H21" s="225">
        <f>IF('CF表（奥様働けない時）'!H$3="","",'CF表（奥様働けない時）'!H21/10000)</f>
        <v/>
      </c>
      <c r="I21" s="225">
        <f>IF('CF表（奥様働けない時）'!I$3="","",'CF表（奥様働けない時）'!I21/10000)</f>
        <v/>
      </c>
      <c r="J21" s="225">
        <f>IF('CF表（奥様働けない時）'!J$3="","",'CF表（奥様働けない時）'!J21/10000)</f>
        <v/>
      </c>
      <c r="K21" s="225">
        <f>IF('CF表（奥様働けない時）'!K$3="","",'CF表（奥様働けない時）'!K21/10000)</f>
        <v/>
      </c>
      <c r="L21" s="225">
        <f>IF('CF表（奥様働けない時）'!L$3="","",'CF表（奥様働けない時）'!L21/10000)</f>
        <v/>
      </c>
      <c r="M21" s="225">
        <f>IF('CF表（奥様働けない時）'!M$3="","",'CF表（奥様働けない時）'!M21/10000)</f>
        <v/>
      </c>
      <c r="N21" s="225">
        <f>IF('CF表（奥様働けない時）'!N$3="","",'CF表（奥様働けない時）'!N21/10000)</f>
        <v/>
      </c>
      <c r="O21" s="225">
        <f>IF('CF表（奥様働けない時）'!O$3="","",'CF表（奥様働けない時）'!O21/10000)</f>
        <v/>
      </c>
      <c r="P21" s="225">
        <f>IF('CF表（奥様働けない時）'!P$3="","",'CF表（奥様働けない時）'!P21/10000)</f>
        <v/>
      </c>
      <c r="Q21" s="225">
        <f>IF('CF表（奥様働けない時）'!Q$3="","",'CF表（奥様働けない時）'!Q21/10000)</f>
        <v/>
      </c>
      <c r="R21" s="225">
        <f>IF('CF表（奥様働けない時）'!R$3="","",'CF表（奥様働けない時）'!R21/10000)</f>
        <v/>
      </c>
      <c r="S21" s="225">
        <f>IF('CF表（奥様働けない時）'!S$3="","",'CF表（奥様働けない時）'!S21/10000)</f>
        <v/>
      </c>
      <c r="T21" s="225">
        <f>IF('CF表（奥様働けない時）'!T$3="","",'CF表（奥様働けない時）'!T21/10000)</f>
        <v/>
      </c>
      <c r="U21" s="225">
        <f>IF('CF表（奥様働けない時）'!U$3="","",'CF表（奥様働けない時）'!U21/10000)</f>
        <v/>
      </c>
      <c r="V21" s="225">
        <f>IF('CF表（奥様働けない時）'!V$3="","",'CF表（奥様働けない時）'!V21/10000)</f>
        <v/>
      </c>
      <c r="W21" s="225">
        <f>IF('CF表（奥様働けない時）'!W$3="","",'CF表（奥様働けない時）'!W21/10000)</f>
        <v/>
      </c>
      <c r="X21" s="225">
        <f>IF('CF表（奥様働けない時）'!X$3="","",'CF表（奥様働けない時）'!X21/10000)</f>
        <v/>
      </c>
      <c r="Y21" s="225">
        <f>IF('CF表（奥様働けない時）'!Y$3="","",'CF表（奥様働けない時）'!Y21/10000)</f>
        <v/>
      </c>
      <c r="Z21" s="225">
        <f>IF('CF表（奥様働けない時）'!Z$3="","",'CF表（奥様働けない時）'!Z21/10000)</f>
        <v/>
      </c>
      <c r="AA21" s="225">
        <f>IF('CF表（奥様働けない時）'!AA$3="","",'CF表（奥様働けない時）'!AA21/10000)</f>
        <v/>
      </c>
      <c r="AB21" s="225">
        <f>IF('CF表（奥様働けない時）'!AB$3="","",'CF表（奥様働けない時）'!AB21/10000)</f>
        <v/>
      </c>
      <c r="AC21" s="225">
        <f>IF('CF表（奥様働けない時）'!AC$3="","",'CF表（奥様働けない時）'!AC21/10000)</f>
        <v/>
      </c>
      <c r="AD21" s="225">
        <f>IF('CF表（奥様働けない時）'!AD$3="","",'CF表（奥様働けない時）'!AD21/10000)</f>
        <v/>
      </c>
      <c r="AE21" s="225">
        <f>IF('CF表（奥様働けない時）'!AE$3="","",'CF表（奥様働けない時）'!AE21/10000)</f>
        <v/>
      </c>
      <c r="AF21" s="225">
        <f>IF('CF表（奥様働けない時）'!AF$3="","",'CF表（奥様働けない時）'!AF21/10000)</f>
        <v/>
      </c>
      <c r="AG21" s="225">
        <f>IF('CF表（奥様働けない時）'!AG$3="","",'CF表（奥様働けない時）'!AG21/10000)</f>
        <v/>
      </c>
      <c r="AH21" s="225">
        <f>IF('CF表（奥様働けない時）'!AH$3="","",'CF表（奥様働けない時）'!AH21/10000)</f>
        <v/>
      </c>
      <c r="AI21" s="225">
        <f>IF('CF表（奥様働けない時）'!AI$3="","",'CF表（奥様働けない時）'!AI21/10000)</f>
        <v/>
      </c>
      <c r="AJ21" s="225">
        <f>IF('CF表（奥様働けない時）'!AJ$3="","",'CF表（奥様働けない時）'!AJ21/10000)</f>
        <v/>
      </c>
      <c r="AK21" s="225">
        <f>IF('CF表（奥様働けない時）'!AK$3="","",'CF表（奥様働けない時）'!AK21/10000)</f>
        <v/>
      </c>
      <c r="AL21" s="225">
        <f>IF('CF表（奥様働けない時）'!AL$3="","",'CF表（奥様働けない時）'!AL21/10000)</f>
        <v/>
      </c>
      <c r="AM21" s="225">
        <f>IF('CF表（奥様働けない時）'!AM$3="","",'CF表（奥様働けない時）'!AM21/10000)</f>
        <v/>
      </c>
      <c r="AN21" s="225">
        <f>IF('CF表（奥様働けない時）'!AN$3="","",'CF表（奥様働けない時）'!AN21/10000)</f>
        <v/>
      </c>
      <c r="AO21" s="225">
        <f>IF('CF表（奥様働けない時）'!AO$3="","",'CF表（奥様働けない時）'!AO21/10000)</f>
        <v/>
      </c>
      <c r="AP21" s="225">
        <f>IF('CF表（奥様働けない時）'!AP$3="","",'CF表（奥様働けない時）'!AP21/10000)</f>
        <v/>
      </c>
      <c r="AQ21" s="225">
        <f>IF('CF表（奥様働けない時）'!AQ$3="","",'CF表（奥様働けない時）'!AQ21/10000)</f>
        <v/>
      </c>
      <c r="AR21" s="225">
        <f>IF('CF表（奥様働けない時）'!AR$3="","",'CF表（奥様働けない時）'!AR21/10000)</f>
        <v/>
      </c>
      <c r="AS21" s="225">
        <f>IF('CF表（奥様働けない時）'!AS$3="","",'CF表（奥様働けない時）'!AS21/10000)</f>
        <v/>
      </c>
      <c r="AT21" s="225">
        <f>IF('CF表（奥様働けない時）'!AT$3="","",'CF表（奥様働けない時）'!AT21/10000)</f>
        <v/>
      </c>
      <c r="AU21" s="225">
        <f>IF('CF表（奥様働けない時）'!AU$3="","",'CF表（奥様働けない時）'!AU21/10000)</f>
        <v/>
      </c>
      <c r="AV21" s="225">
        <f>IF('CF表（奥様働けない時）'!AV$3="","",'CF表（奥様働けない時）'!AV21/10000)</f>
        <v/>
      </c>
      <c r="AW21" s="225">
        <f>IF('CF表（奥様働けない時）'!AW$3="","",'CF表（奥様働けない時）'!AW21/10000)</f>
        <v/>
      </c>
      <c r="AX21" s="225">
        <f>IF('CF表（奥様働けない時）'!AX$3="","",'CF表（奥様働けない時）'!AX21/10000)</f>
        <v/>
      </c>
      <c r="AY21" s="225">
        <f>IF('CF表（奥様働けない時）'!AY$3="","",'CF表（奥様働けない時）'!AY21/10000)</f>
        <v/>
      </c>
      <c r="AZ21" s="225">
        <f>IF('CF表（奥様働けない時）'!AZ$3="","",'CF表（奥様働けない時）'!AZ21/10000)</f>
        <v/>
      </c>
      <c r="BA21" s="225">
        <f>IF('CF表（奥様働けない時）'!BA$3="","",'CF表（奥様働けない時）'!BA21/10000)</f>
        <v/>
      </c>
      <c r="BB21" s="225">
        <f>IF('CF表（奥様働けない時）'!BB$3="","",'CF表（奥様働けない時）'!BB21/10000)</f>
        <v/>
      </c>
      <c r="BC21" s="225">
        <f>IF('CF表（奥様働けない時）'!BC$3="","",'CF表（奥様働けない時）'!BC21/10000)</f>
        <v/>
      </c>
      <c r="BD21" s="225">
        <f>IF('CF表（奥様働けない時）'!BD$3="","",'CF表（奥様働けない時）'!BD21/10000)</f>
        <v/>
      </c>
      <c r="BE21" s="225">
        <f>IF('CF表（奥様働けない時）'!BE$3="","",'CF表（奥様働けない時）'!BE21/10000)</f>
        <v/>
      </c>
      <c r="BF21" s="225">
        <f>IF('CF表（奥様働けない時）'!BF$3="","",'CF表（奥様働けない時）'!BF21/10000)</f>
        <v/>
      </c>
      <c r="BG21" s="225">
        <f>IF('CF表（奥様働けない時）'!BG$3="","",'CF表（奥様働けない時）'!BG21/10000)</f>
        <v/>
      </c>
      <c r="BH21" s="225">
        <f>IF('CF表（奥様働けない時）'!BH$3="","",'CF表（奥様働けない時）'!BH21/10000)</f>
        <v/>
      </c>
      <c r="BI21" s="225">
        <f>IF('CF表（奥様働けない時）'!BI$3="","",'CF表（奥様働けない時）'!BI21/10000)</f>
        <v/>
      </c>
      <c r="BJ21" s="225">
        <f>IF('CF表（奥様働けない時）'!BJ$3="","",'CF表（奥様働けない時）'!BJ21/10000)</f>
        <v/>
      </c>
      <c r="BK21" s="225">
        <f>IF('CF表（奥様働けない時）'!BK$3="","",'CF表（奥様働けない時）'!BK21/10000)</f>
        <v/>
      </c>
      <c r="BL21" s="225">
        <f>IF('CF表（奥様働けない時）'!BL$3="","",'CF表（奥様働けない時）'!BL21/10000)</f>
        <v/>
      </c>
      <c r="BM21" s="225">
        <f>IF('CF表（奥様働けない時）'!BM$3="","",'CF表（奥様働けない時）'!BM21/10000)</f>
        <v/>
      </c>
      <c r="BN21" s="225">
        <f>IF('CF表（奥様働けない時）'!BN$3="","",'CF表（奥様働けない時）'!BN21/10000)</f>
        <v/>
      </c>
      <c r="BO21" s="225">
        <f>IF('CF表（奥様働けない時）'!BO$3="","",'CF表（奥様働けない時）'!BO21/10000)</f>
        <v/>
      </c>
      <c r="BP21" s="225">
        <f>IF('CF表（奥様働けない時）'!BP$3="","",'CF表（奥様働けない時）'!BP21/10000)</f>
        <v/>
      </c>
      <c r="BQ21" s="225">
        <f>IF('CF表（奥様働けない時）'!BQ$3="","",'CF表（奥様働けない時）'!BQ21/10000)</f>
        <v/>
      </c>
      <c r="BR21" s="225">
        <f>IF('CF表（奥様働けない時）'!BR$3="","",'CF表（奥様働けない時）'!BR21/10000)</f>
        <v/>
      </c>
      <c r="BS21" s="225">
        <f>IF('CF表（奥様働けない時）'!BS$3="","",'CF表（奥様働けない時）'!BS21/10000)</f>
        <v/>
      </c>
      <c r="BT21" s="225">
        <f>IF('CF表（奥様働けない時）'!BT$3="","",'CF表（奥様働けない時）'!BT21/10000)</f>
        <v/>
      </c>
      <c r="BU21" s="225">
        <f>IF('CF表（奥様働けない時）'!BU$3="","",'CF表（奥様働けない時）'!BU21/10000)</f>
        <v/>
      </c>
      <c r="BV21" s="225">
        <f>IF('CF表（奥様働けない時）'!BV$3="","",'CF表（奥様働けない時）'!BV21/10000)</f>
        <v/>
      </c>
      <c r="BW21" s="225">
        <f>IF('CF表（奥様働けない時）'!BW$3="","",'CF表（奥様働けない時）'!BW21/10000)</f>
        <v/>
      </c>
      <c r="BX21" s="225">
        <f>IF('CF表（奥様働けない時）'!BX$3="","",'CF表（奥様働けない時）'!BX21/10000)</f>
        <v/>
      </c>
      <c r="BY21" s="225">
        <f>IF('CF表（奥様働けない時）'!BY$3="","",'CF表（奥様働けない時）'!BY21/10000)</f>
        <v/>
      </c>
      <c r="BZ21" s="225">
        <f>IF('CF表（奥様働けない時）'!BZ$3="","",'CF表（奥様働けない時）'!BZ21/10000)</f>
        <v/>
      </c>
      <c r="CA21" s="225">
        <f>IF('CF表（奥様働けない時）'!CA$3="","",'CF表（奥様働けない時）'!CA21/10000)</f>
        <v/>
      </c>
      <c r="CB21" s="225">
        <f>IF('CF表（奥様働けない時）'!CB$3="","",'CF表（奥様働けない時）'!CB21/10000)</f>
        <v/>
      </c>
      <c r="CC21" s="225">
        <f>IF('CF表（奥様働けない時）'!CC$3="","",'CF表（奥様働けない時）'!CC21/10000)</f>
        <v/>
      </c>
      <c r="CD21" s="225">
        <f>IF('CF表（奥様働けない時）'!CD$3="","",'CF表（奥様働けない時）'!CD21/10000)</f>
        <v/>
      </c>
      <c r="CE21" s="225">
        <f>IF('CF表（奥様働けない時）'!CE$3="","",'CF表（奥様働けない時）'!CE21/10000)</f>
        <v/>
      </c>
      <c r="CF21" s="225">
        <f>IF('CF表（奥様働けない時）'!CF$3="","",'CF表（奥様働けない時）'!CF21/10000)</f>
        <v/>
      </c>
      <c r="CG21" s="225">
        <f>IF('CF表（奥様働けない時）'!CG$3="","",'CF表（奥様働けない時）'!CG21/10000)</f>
        <v/>
      </c>
      <c r="CH21" s="225">
        <f>IF('CF表（奥様働けない時）'!CH$3="","",'CF表（奥様働けない時）'!CH21/10000)</f>
        <v/>
      </c>
      <c r="CI21" s="225">
        <f>IF('CF表（奥様働けない時）'!CI$3="","",'CF表（奥様働けない時）'!CI21/10000)</f>
        <v/>
      </c>
      <c r="CJ21" s="225">
        <f>IF('CF表（奥様働けない時）'!CJ$3="","",'CF表（奥様働けない時）'!CJ21/10000)</f>
        <v/>
      </c>
      <c r="CK21" s="225">
        <f>IF('CF表（奥様働けない時）'!CK$3="","",'CF表（奥様働けない時）'!CK21/10000)</f>
        <v/>
      </c>
      <c r="CL21" s="225">
        <f>IF('CF表（奥様働けない時）'!CL$3="","",'CF表（奥様働けない時）'!CL21/10000)</f>
        <v/>
      </c>
      <c r="CM21" s="225">
        <f>IF('CF表（奥様働けない時）'!CM$3="","",'CF表（奥様働けない時）'!CM21/10000)</f>
        <v/>
      </c>
      <c r="CN21" s="225">
        <f>IF('CF表（奥様働けない時）'!CN$3="","",'CF表（奥様働けない時）'!CN21/10000)</f>
        <v/>
      </c>
      <c r="CO21" s="225">
        <f>IF('CF表（奥様働けない時）'!CO$3="","",'CF表（奥様働けない時）'!CO21/10000)</f>
        <v/>
      </c>
      <c r="CP21" s="225">
        <f>IF('CF表（奥様働けない時）'!CP$3="","",'CF表（奥様働けない時）'!CP21/10000)</f>
        <v/>
      </c>
      <c r="CQ21" s="225">
        <f>IF('CF表（奥様働けない時）'!CQ$3="","",'CF表（奥様働けない時）'!CQ21/10000)</f>
        <v/>
      </c>
      <c r="CR21" s="225">
        <f>IF('CF表（奥様働けない時）'!CR$3="","",'CF表（奥様働けない時）'!CR21/10000)</f>
        <v/>
      </c>
      <c r="CS21" s="225">
        <f>IF('CF表（奥様働けない時）'!CS$3="","",'CF表（奥様働けない時）'!CS21/10000)</f>
        <v/>
      </c>
      <c r="CT21" s="225">
        <f>IF('CF表（奥様働けない時）'!CT$3="","",'CF表（奥様働けない時）'!CT21/10000)</f>
        <v/>
      </c>
      <c r="CU21" s="225">
        <f>IF('CF表（奥様働けない時）'!CU$3="","",'CF表（奥様働けない時）'!CU21/10000)</f>
        <v/>
      </c>
      <c r="CV21" s="225">
        <f>IF('CF表（奥様働けない時）'!CV$3="","",'CF表（奥様働けない時）'!CV21/10000)</f>
        <v/>
      </c>
      <c r="CW21" s="225">
        <f>IF('CF表（奥様働けない時）'!CW$3="","",'CF表（奥様働けない時）'!CW21/10000)</f>
        <v/>
      </c>
    </row>
    <row r="22" ht="15" customHeight="1" s="180">
      <c r="A22" s="224" t="inlineStr">
        <is>
          <t>終身系保険料</t>
        </is>
      </c>
      <c r="B22" s="225">
        <f>IF('CF表（奥様働けない時）'!B$3="","",'CF表（奥様働けない時）'!B22/10000)</f>
        <v/>
      </c>
      <c r="C22" s="225">
        <f>IF('CF表（奥様働けない時）'!C$3="","",'CF表（奥様働けない時）'!C22/10000)</f>
        <v/>
      </c>
      <c r="D22" s="225">
        <f>IF('CF表（奥様働けない時）'!D$3="","",'CF表（奥様働けない時）'!D22/10000)</f>
        <v/>
      </c>
      <c r="E22" s="225">
        <f>IF('CF表（奥様働けない時）'!E$3="","",'CF表（奥様働けない時）'!E22/10000)</f>
        <v/>
      </c>
      <c r="F22" s="225">
        <f>IF('CF表（奥様働けない時）'!F$3="","",'CF表（奥様働けない時）'!F22/10000)</f>
        <v/>
      </c>
      <c r="G22" s="225">
        <f>IF('CF表（奥様働けない時）'!G$3="","",'CF表（奥様働けない時）'!G22/10000)</f>
        <v/>
      </c>
      <c r="H22" s="225">
        <f>IF('CF表（奥様働けない時）'!H$3="","",'CF表（奥様働けない時）'!H22/10000)</f>
        <v/>
      </c>
      <c r="I22" s="225">
        <f>IF('CF表（奥様働けない時）'!I$3="","",'CF表（奥様働けない時）'!I22/10000)</f>
        <v/>
      </c>
      <c r="J22" s="225">
        <f>IF('CF表（奥様働けない時）'!J$3="","",'CF表（奥様働けない時）'!J22/10000)</f>
        <v/>
      </c>
      <c r="K22" s="225">
        <f>IF('CF表（奥様働けない時）'!K$3="","",'CF表（奥様働けない時）'!K22/10000)</f>
        <v/>
      </c>
      <c r="L22" s="225">
        <f>IF('CF表（奥様働けない時）'!L$3="","",'CF表（奥様働けない時）'!L22/10000)</f>
        <v/>
      </c>
      <c r="M22" s="225">
        <f>IF('CF表（奥様働けない時）'!M$3="","",'CF表（奥様働けない時）'!M22/10000)</f>
        <v/>
      </c>
      <c r="N22" s="225">
        <f>IF('CF表（奥様働けない時）'!N$3="","",'CF表（奥様働けない時）'!N22/10000)</f>
        <v/>
      </c>
      <c r="O22" s="225">
        <f>IF('CF表（奥様働けない時）'!O$3="","",'CF表（奥様働けない時）'!O22/10000)</f>
        <v/>
      </c>
      <c r="P22" s="225">
        <f>IF('CF表（奥様働けない時）'!P$3="","",'CF表（奥様働けない時）'!P22/10000)</f>
        <v/>
      </c>
      <c r="Q22" s="225">
        <f>IF('CF表（奥様働けない時）'!Q$3="","",'CF表（奥様働けない時）'!Q22/10000)</f>
        <v/>
      </c>
      <c r="R22" s="225">
        <f>IF('CF表（奥様働けない時）'!R$3="","",'CF表（奥様働けない時）'!R22/10000)</f>
        <v/>
      </c>
      <c r="S22" s="225">
        <f>IF('CF表（奥様働けない時）'!S$3="","",'CF表（奥様働けない時）'!S22/10000)</f>
        <v/>
      </c>
      <c r="T22" s="225">
        <f>IF('CF表（奥様働けない時）'!T$3="","",'CF表（奥様働けない時）'!T22/10000)</f>
        <v/>
      </c>
      <c r="U22" s="225">
        <f>IF('CF表（奥様働けない時）'!U$3="","",'CF表（奥様働けない時）'!U22/10000)</f>
        <v/>
      </c>
      <c r="V22" s="225">
        <f>IF('CF表（奥様働けない時）'!V$3="","",'CF表（奥様働けない時）'!V22/10000)</f>
        <v/>
      </c>
      <c r="W22" s="225">
        <f>IF('CF表（奥様働けない時）'!W$3="","",'CF表（奥様働けない時）'!W22/10000)</f>
        <v/>
      </c>
      <c r="X22" s="225">
        <f>IF('CF表（奥様働けない時）'!X$3="","",'CF表（奥様働けない時）'!X22/10000)</f>
        <v/>
      </c>
      <c r="Y22" s="225">
        <f>IF('CF表（奥様働けない時）'!Y$3="","",'CF表（奥様働けない時）'!Y22/10000)</f>
        <v/>
      </c>
      <c r="Z22" s="225">
        <f>IF('CF表（奥様働けない時）'!Z$3="","",'CF表（奥様働けない時）'!Z22/10000)</f>
        <v/>
      </c>
      <c r="AA22" s="225">
        <f>IF('CF表（奥様働けない時）'!AA$3="","",'CF表（奥様働けない時）'!AA22/10000)</f>
        <v/>
      </c>
      <c r="AB22" s="225">
        <f>IF('CF表（奥様働けない時）'!AB$3="","",'CF表（奥様働けない時）'!AB22/10000)</f>
        <v/>
      </c>
      <c r="AC22" s="225">
        <f>IF('CF表（奥様働けない時）'!AC$3="","",'CF表（奥様働けない時）'!AC22/10000)</f>
        <v/>
      </c>
      <c r="AD22" s="225">
        <f>IF('CF表（奥様働けない時）'!AD$3="","",'CF表（奥様働けない時）'!AD22/10000)</f>
        <v/>
      </c>
      <c r="AE22" s="225">
        <f>IF('CF表（奥様働けない時）'!AE$3="","",'CF表（奥様働けない時）'!AE22/10000)</f>
        <v/>
      </c>
      <c r="AF22" s="225">
        <f>IF('CF表（奥様働けない時）'!AF$3="","",'CF表（奥様働けない時）'!AF22/10000)</f>
        <v/>
      </c>
      <c r="AG22" s="225">
        <f>IF('CF表（奥様働けない時）'!AG$3="","",'CF表（奥様働けない時）'!AG22/10000)</f>
        <v/>
      </c>
      <c r="AH22" s="225">
        <f>IF('CF表（奥様働けない時）'!AH$3="","",'CF表（奥様働けない時）'!AH22/10000)</f>
        <v/>
      </c>
      <c r="AI22" s="225">
        <f>IF('CF表（奥様働けない時）'!AI$3="","",'CF表（奥様働けない時）'!AI22/10000)</f>
        <v/>
      </c>
      <c r="AJ22" s="225">
        <f>IF('CF表（奥様働けない時）'!AJ$3="","",'CF表（奥様働けない時）'!AJ22/10000)</f>
        <v/>
      </c>
      <c r="AK22" s="225">
        <f>IF('CF表（奥様働けない時）'!AK$3="","",'CF表（奥様働けない時）'!AK22/10000)</f>
        <v/>
      </c>
      <c r="AL22" s="225">
        <f>IF('CF表（奥様働けない時）'!AL$3="","",'CF表（奥様働けない時）'!AL22/10000)</f>
        <v/>
      </c>
      <c r="AM22" s="225">
        <f>IF('CF表（奥様働けない時）'!AM$3="","",'CF表（奥様働けない時）'!AM22/10000)</f>
        <v/>
      </c>
      <c r="AN22" s="225">
        <f>IF('CF表（奥様働けない時）'!AN$3="","",'CF表（奥様働けない時）'!AN22/10000)</f>
        <v/>
      </c>
      <c r="AO22" s="225">
        <f>IF('CF表（奥様働けない時）'!AO$3="","",'CF表（奥様働けない時）'!AO22/10000)</f>
        <v/>
      </c>
      <c r="AP22" s="225">
        <f>IF('CF表（奥様働けない時）'!AP$3="","",'CF表（奥様働けない時）'!AP22/10000)</f>
        <v/>
      </c>
      <c r="AQ22" s="225">
        <f>IF('CF表（奥様働けない時）'!AQ$3="","",'CF表（奥様働けない時）'!AQ22/10000)</f>
        <v/>
      </c>
      <c r="AR22" s="225">
        <f>IF('CF表（奥様働けない時）'!AR$3="","",'CF表（奥様働けない時）'!AR22/10000)</f>
        <v/>
      </c>
      <c r="AS22" s="225">
        <f>IF('CF表（奥様働けない時）'!AS$3="","",'CF表（奥様働けない時）'!AS22/10000)</f>
        <v/>
      </c>
      <c r="AT22" s="225">
        <f>IF('CF表（奥様働けない時）'!AT$3="","",'CF表（奥様働けない時）'!AT22/10000)</f>
        <v/>
      </c>
      <c r="AU22" s="225">
        <f>IF('CF表（奥様働けない時）'!AU$3="","",'CF表（奥様働けない時）'!AU22/10000)</f>
        <v/>
      </c>
      <c r="AV22" s="225">
        <f>IF('CF表（奥様働けない時）'!AV$3="","",'CF表（奥様働けない時）'!AV22/10000)</f>
        <v/>
      </c>
      <c r="AW22" s="225">
        <f>IF('CF表（奥様働けない時）'!AW$3="","",'CF表（奥様働けない時）'!AW22/10000)</f>
        <v/>
      </c>
      <c r="AX22" s="225">
        <f>IF('CF表（奥様働けない時）'!AX$3="","",'CF表（奥様働けない時）'!AX22/10000)</f>
        <v/>
      </c>
      <c r="AY22" s="225">
        <f>IF('CF表（奥様働けない時）'!AY$3="","",'CF表（奥様働けない時）'!AY22/10000)</f>
        <v/>
      </c>
      <c r="AZ22" s="225">
        <f>IF('CF表（奥様働けない時）'!AZ$3="","",'CF表（奥様働けない時）'!AZ22/10000)</f>
        <v/>
      </c>
      <c r="BA22" s="225">
        <f>IF('CF表（奥様働けない時）'!BA$3="","",'CF表（奥様働けない時）'!BA22/10000)</f>
        <v/>
      </c>
      <c r="BB22" s="225">
        <f>IF('CF表（奥様働けない時）'!BB$3="","",'CF表（奥様働けない時）'!BB22/10000)</f>
        <v/>
      </c>
      <c r="BC22" s="225">
        <f>IF('CF表（奥様働けない時）'!BC$3="","",'CF表（奥様働けない時）'!BC22/10000)</f>
        <v/>
      </c>
      <c r="BD22" s="225">
        <f>IF('CF表（奥様働けない時）'!BD$3="","",'CF表（奥様働けない時）'!BD22/10000)</f>
        <v/>
      </c>
      <c r="BE22" s="225">
        <f>IF('CF表（奥様働けない時）'!BE$3="","",'CF表（奥様働けない時）'!BE22/10000)</f>
        <v/>
      </c>
      <c r="BF22" s="225">
        <f>IF('CF表（奥様働けない時）'!BF$3="","",'CF表（奥様働けない時）'!BF22/10000)</f>
        <v/>
      </c>
      <c r="BG22" s="225">
        <f>IF('CF表（奥様働けない時）'!BG$3="","",'CF表（奥様働けない時）'!BG22/10000)</f>
        <v/>
      </c>
      <c r="BH22" s="225">
        <f>IF('CF表（奥様働けない時）'!BH$3="","",'CF表（奥様働けない時）'!BH22/10000)</f>
        <v/>
      </c>
      <c r="BI22" s="225">
        <f>IF('CF表（奥様働けない時）'!BI$3="","",'CF表（奥様働けない時）'!BI22/10000)</f>
        <v/>
      </c>
      <c r="BJ22" s="225">
        <f>IF('CF表（奥様働けない時）'!BJ$3="","",'CF表（奥様働けない時）'!BJ22/10000)</f>
        <v/>
      </c>
      <c r="BK22" s="225">
        <f>IF('CF表（奥様働けない時）'!BK$3="","",'CF表（奥様働けない時）'!BK22/10000)</f>
        <v/>
      </c>
      <c r="BL22" s="225">
        <f>IF('CF表（奥様働けない時）'!BL$3="","",'CF表（奥様働けない時）'!BL22/10000)</f>
        <v/>
      </c>
      <c r="BM22" s="225">
        <f>IF('CF表（奥様働けない時）'!BM$3="","",'CF表（奥様働けない時）'!BM22/10000)</f>
        <v/>
      </c>
      <c r="BN22" s="225">
        <f>IF('CF表（奥様働けない時）'!BN$3="","",'CF表（奥様働けない時）'!BN22/10000)</f>
        <v/>
      </c>
      <c r="BO22" s="225">
        <f>IF('CF表（奥様働けない時）'!BO$3="","",'CF表（奥様働けない時）'!BO22/10000)</f>
        <v/>
      </c>
      <c r="BP22" s="225">
        <f>IF('CF表（奥様働けない時）'!BP$3="","",'CF表（奥様働けない時）'!BP22/10000)</f>
        <v/>
      </c>
      <c r="BQ22" s="225">
        <f>IF('CF表（奥様働けない時）'!BQ$3="","",'CF表（奥様働けない時）'!BQ22/10000)</f>
        <v/>
      </c>
      <c r="BR22" s="225">
        <f>IF('CF表（奥様働けない時）'!BR$3="","",'CF表（奥様働けない時）'!BR22/10000)</f>
        <v/>
      </c>
      <c r="BS22" s="225">
        <f>IF('CF表（奥様働けない時）'!BS$3="","",'CF表（奥様働けない時）'!BS22/10000)</f>
        <v/>
      </c>
      <c r="BT22" s="225">
        <f>IF('CF表（奥様働けない時）'!BT$3="","",'CF表（奥様働けない時）'!BT22/10000)</f>
        <v/>
      </c>
      <c r="BU22" s="225">
        <f>IF('CF表（奥様働けない時）'!BU$3="","",'CF表（奥様働けない時）'!BU22/10000)</f>
        <v/>
      </c>
      <c r="BV22" s="225">
        <f>IF('CF表（奥様働けない時）'!BV$3="","",'CF表（奥様働けない時）'!BV22/10000)</f>
        <v/>
      </c>
      <c r="BW22" s="225">
        <f>IF('CF表（奥様働けない時）'!BW$3="","",'CF表（奥様働けない時）'!BW22/10000)</f>
        <v/>
      </c>
      <c r="BX22" s="225">
        <f>IF('CF表（奥様働けない時）'!BX$3="","",'CF表（奥様働けない時）'!BX22/10000)</f>
        <v/>
      </c>
      <c r="BY22" s="225">
        <f>IF('CF表（奥様働けない時）'!BY$3="","",'CF表（奥様働けない時）'!BY22/10000)</f>
        <v/>
      </c>
      <c r="BZ22" s="225">
        <f>IF('CF表（奥様働けない時）'!BZ$3="","",'CF表（奥様働けない時）'!BZ22/10000)</f>
        <v/>
      </c>
      <c r="CA22" s="225">
        <f>IF('CF表（奥様働けない時）'!CA$3="","",'CF表（奥様働けない時）'!CA22/10000)</f>
        <v/>
      </c>
      <c r="CB22" s="225">
        <f>IF('CF表（奥様働けない時）'!CB$3="","",'CF表（奥様働けない時）'!CB22/10000)</f>
        <v/>
      </c>
      <c r="CC22" s="225">
        <f>IF('CF表（奥様働けない時）'!CC$3="","",'CF表（奥様働けない時）'!CC22/10000)</f>
        <v/>
      </c>
      <c r="CD22" s="225">
        <f>IF('CF表（奥様働けない時）'!CD$3="","",'CF表（奥様働けない時）'!CD22/10000)</f>
        <v/>
      </c>
      <c r="CE22" s="225">
        <f>IF('CF表（奥様働けない時）'!CE$3="","",'CF表（奥様働けない時）'!CE22/10000)</f>
        <v/>
      </c>
      <c r="CF22" s="225">
        <f>IF('CF表（奥様働けない時）'!CF$3="","",'CF表（奥様働けない時）'!CF22/10000)</f>
        <v/>
      </c>
      <c r="CG22" s="225">
        <f>IF('CF表（奥様働けない時）'!CG$3="","",'CF表（奥様働けない時）'!CG22/10000)</f>
        <v/>
      </c>
      <c r="CH22" s="225">
        <f>IF('CF表（奥様働けない時）'!CH$3="","",'CF表（奥様働けない時）'!CH22/10000)</f>
        <v/>
      </c>
      <c r="CI22" s="225">
        <f>IF('CF表（奥様働けない時）'!CI$3="","",'CF表（奥様働けない時）'!CI22/10000)</f>
        <v/>
      </c>
      <c r="CJ22" s="225">
        <f>IF('CF表（奥様働けない時）'!CJ$3="","",'CF表（奥様働けない時）'!CJ22/10000)</f>
        <v/>
      </c>
      <c r="CK22" s="225">
        <f>IF('CF表（奥様働けない時）'!CK$3="","",'CF表（奥様働けない時）'!CK22/10000)</f>
        <v/>
      </c>
      <c r="CL22" s="225">
        <f>IF('CF表（奥様働けない時）'!CL$3="","",'CF表（奥様働けない時）'!CL22/10000)</f>
        <v/>
      </c>
      <c r="CM22" s="225">
        <f>IF('CF表（奥様働けない時）'!CM$3="","",'CF表（奥様働けない時）'!CM22/10000)</f>
        <v/>
      </c>
      <c r="CN22" s="225">
        <f>IF('CF表（奥様働けない時）'!CN$3="","",'CF表（奥様働けない時）'!CN22/10000)</f>
        <v/>
      </c>
      <c r="CO22" s="225">
        <f>IF('CF表（奥様働けない時）'!CO$3="","",'CF表（奥様働けない時）'!CO22/10000)</f>
        <v/>
      </c>
      <c r="CP22" s="225">
        <f>IF('CF表（奥様働けない時）'!CP$3="","",'CF表（奥様働けない時）'!CP22/10000)</f>
        <v/>
      </c>
      <c r="CQ22" s="225">
        <f>IF('CF表（奥様働けない時）'!CQ$3="","",'CF表（奥様働けない時）'!CQ22/10000)</f>
        <v/>
      </c>
      <c r="CR22" s="225">
        <f>IF('CF表（奥様働けない時）'!CR$3="","",'CF表（奥様働けない時）'!CR22/10000)</f>
        <v/>
      </c>
      <c r="CS22" s="225">
        <f>IF('CF表（奥様働けない時）'!CS$3="","",'CF表（奥様働けない時）'!CS22/10000)</f>
        <v/>
      </c>
      <c r="CT22" s="225">
        <f>IF('CF表（奥様働けない時）'!CT$3="","",'CF表（奥様働けない時）'!CT22/10000)</f>
        <v/>
      </c>
      <c r="CU22" s="225">
        <f>IF('CF表（奥様働けない時）'!CU$3="","",'CF表（奥様働けない時）'!CU22/10000)</f>
        <v/>
      </c>
      <c r="CV22" s="225">
        <f>IF('CF表（奥様働けない時）'!CV$3="","",'CF表（奥様働けない時）'!CV22/10000)</f>
        <v/>
      </c>
      <c r="CW22" s="225">
        <f>IF('CF表（奥様働けない時）'!CW$3="","",'CF表（奥様働けない時）'!CW22/10000)</f>
        <v/>
      </c>
    </row>
    <row r="23" ht="15" customHeight="1" s="180">
      <c r="A23" s="224" t="inlineStr">
        <is>
          <t>定期系保険料</t>
        </is>
      </c>
      <c r="B23" s="225">
        <f>IF('CF表（奥様働けない時）'!B$3="","",'CF表（奥様働けない時）'!B23/10000)</f>
        <v/>
      </c>
      <c r="C23" s="225">
        <f>IF('CF表（奥様働けない時）'!C$3="","",'CF表（奥様働けない時）'!C23/10000)</f>
        <v/>
      </c>
      <c r="D23" s="225">
        <f>IF('CF表（奥様働けない時）'!D$3="","",'CF表（奥様働けない時）'!D23/10000)</f>
        <v/>
      </c>
      <c r="E23" s="225">
        <f>IF('CF表（奥様働けない時）'!E$3="","",'CF表（奥様働けない時）'!E23/10000)</f>
        <v/>
      </c>
      <c r="F23" s="225">
        <f>IF('CF表（奥様働けない時）'!F$3="","",'CF表（奥様働けない時）'!F23/10000)</f>
        <v/>
      </c>
      <c r="G23" s="225">
        <f>IF('CF表（奥様働けない時）'!G$3="","",'CF表（奥様働けない時）'!G23/10000)</f>
        <v/>
      </c>
      <c r="H23" s="225">
        <f>IF('CF表（奥様働けない時）'!H$3="","",'CF表（奥様働けない時）'!H23/10000)</f>
        <v/>
      </c>
      <c r="I23" s="225">
        <f>IF('CF表（奥様働けない時）'!I$3="","",'CF表（奥様働けない時）'!I23/10000)</f>
        <v/>
      </c>
      <c r="J23" s="225">
        <f>IF('CF表（奥様働けない時）'!J$3="","",'CF表（奥様働けない時）'!J23/10000)</f>
        <v/>
      </c>
      <c r="K23" s="225">
        <f>IF('CF表（奥様働けない時）'!K$3="","",'CF表（奥様働けない時）'!K23/10000)</f>
        <v/>
      </c>
      <c r="L23" s="225">
        <f>IF('CF表（奥様働けない時）'!L$3="","",'CF表（奥様働けない時）'!L23/10000)</f>
        <v/>
      </c>
      <c r="M23" s="225">
        <f>IF('CF表（奥様働けない時）'!M$3="","",'CF表（奥様働けない時）'!M23/10000)</f>
        <v/>
      </c>
      <c r="N23" s="225">
        <f>IF('CF表（奥様働けない時）'!N$3="","",'CF表（奥様働けない時）'!N23/10000)</f>
        <v/>
      </c>
      <c r="O23" s="225">
        <f>IF('CF表（奥様働けない時）'!O$3="","",'CF表（奥様働けない時）'!O23/10000)</f>
        <v/>
      </c>
      <c r="P23" s="225">
        <f>IF('CF表（奥様働けない時）'!P$3="","",'CF表（奥様働けない時）'!P23/10000)</f>
        <v/>
      </c>
      <c r="Q23" s="225">
        <f>IF('CF表（奥様働けない時）'!Q$3="","",'CF表（奥様働けない時）'!Q23/10000)</f>
        <v/>
      </c>
      <c r="R23" s="225">
        <f>IF('CF表（奥様働けない時）'!R$3="","",'CF表（奥様働けない時）'!R23/10000)</f>
        <v/>
      </c>
      <c r="S23" s="225">
        <f>IF('CF表（奥様働けない時）'!S$3="","",'CF表（奥様働けない時）'!S23/10000)</f>
        <v/>
      </c>
      <c r="T23" s="225">
        <f>IF('CF表（奥様働けない時）'!T$3="","",'CF表（奥様働けない時）'!T23/10000)</f>
        <v/>
      </c>
      <c r="U23" s="225">
        <f>IF('CF表（奥様働けない時）'!U$3="","",'CF表（奥様働けない時）'!U23/10000)</f>
        <v/>
      </c>
      <c r="V23" s="225">
        <f>IF('CF表（奥様働けない時）'!V$3="","",'CF表（奥様働けない時）'!V23/10000)</f>
        <v/>
      </c>
      <c r="W23" s="225">
        <f>IF('CF表（奥様働けない時）'!W$3="","",'CF表（奥様働けない時）'!W23/10000)</f>
        <v/>
      </c>
      <c r="X23" s="225">
        <f>IF('CF表（奥様働けない時）'!X$3="","",'CF表（奥様働けない時）'!X23/10000)</f>
        <v/>
      </c>
      <c r="Y23" s="225">
        <f>IF('CF表（奥様働けない時）'!Y$3="","",'CF表（奥様働けない時）'!Y23/10000)</f>
        <v/>
      </c>
      <c r="Z23" s="225">
        <f>IF('CF表（奥様働けない時）'!Z$3="","",'CF表（奥様働けない時）'!Z23/10000)</f>
        <v/>
      </c>
      <c r="AA23" s="225">
        <f>IF('CF表（奥様働けない時）'!AA$3="","",'CF表（奥様働けない時）'!AA23/10000)</f>
        <v/>
      </c>
      <c r="AB23" s="225">
        <f>IF('CF表（奥様働けない時）'!AB$3="","",'CF表（奥様働けない時）'!AB23/10000)</f>
        <v/>
      </c>
      <c r="AC23" s="225">
        <f>IF('CF表（奥様働けない時）'!AC$3="","",'CF表（奥様働けない時）'!AC23/10000)</f>
        <v/>
      </c>
      <c r="AD23" s="225">
        <f>IF('CF表（奥様働けない時）'!AD$3="","",'CF表（奥様働けない時）'!AD23/10000)</f>
        <v/>
      </c>
      <c r="AE23" s="225">
        <f>IF('CF表（奥様働けない時）'!AE$3="","",'CF表（奥様働けない時）'!AE23/10000)</f>
        <v/>
      </c>
      <c r="AF23" s="225">
        <f>IF('CF表（奥様働けない時）'!AF$3="","",'CF表（奥様働けない時）'!AF23/10000)</f>
        <v/>
      </c>
      <c r="AG23" s="225">
        <f>IF('CF表（奥様働けない時）'!AG$3="","",'CF表（奥様働けない時）'!AG23/10000)</f>
        <v/>
      </c>
      <c r="AH23" s="225">
        <f>IF('CF表（奥様働けない時）'!AH$3="","",'CF表（奥様働けない時）'!AH23/10000)</f>
        <v/>
      </c>
      <c r="AI23" s="225">
        <f>IF('CF表（奥様働けない時）'!AI$3="","",'CF表（奥様働けない時）'!AI23/10000)</f>
        <v/>
      </c>
      <c r="AJ23" s="225">
        <f>IF('CF表（奥様働けない時）'!AJ$3="","",'CF表（奥様働けない時）'!AJ23/10000)</f>
        <v/>
      </c>
      <c r="AK23" s="225">
        <f>IF('CF表（奥様働けない時）'!AK$3="","",'CF表（奥様働けない時）'!AK23/10000)</f>
        <v/>
      </c>
      <c r="AL23" s="225">
        <f>IF('CF表（奥様働けない時）'!AL$3="","",'CF表（奥様働けない時）'!AL23/10000)</f>
        <v/>
      </c>
      <c r="AM23" s="225">
        <f>IF('CF表（奥様働けない時）'!AM$3="","",'CF表（奥様働けない時）'!AM23/10000)</f>
        <v/>
      </c>
      <c r="AN23" s="225">
        <f>IF('CF表（奥様働けない時）'!AN$3="","",'CF表（奥様働けない時）'!AN23/10000)</f>
        <v/>
      </c>
      <c r="AO23" s="225">
        <f>IF('CF表（奥様働けない時）'!AO$3="","",'CF表（奥様働けない時）'!AO23/10000)</f>
        <v/>
      </c>
      <c r="AP23" s="225">
        <f>IF('CF表（奥様働けない時）'!AP$3="","",'CF表（奥様働けない時）'!AP23/10000)</f>
        <v/>
      </c>
      <c r="AQ23" s="225">
        <f>IF('CF表（奥様働けない時）'!AQ$3="","",'CF表（奥様働けない時）'!AQ23/10000)</f>
        <v/>
      </c>
      <c r="AR23" s="225">
        <f>IF('CF表（奥様働けない時）'!AR$3="","",'CF表（奥様働けない時）'!AR23/10000)</f>
        <v/>
      </c>
      <c r="AS23" s="225">
        <f>IF('CF表（奥様働けない時）'!AS$3="","",'CF表（奥様働けない時）'!AS23/10000)</f>
        <v/>
      </c>
      <c r="AT23" s="225">
        <f>IF('CF表（奥様働けない時）'!AT$3="","",'CF表（奥様働けない時）'!AT23/10000)</f>
        <v/>
      </c>
      <c r="AU23" s="225">
        <f>IF('CF表（奥様働けない時）'!AU$3="","",'CF表（奥様働けない時）'!AU23/10000)</f>
        <v/>
      </c>
      <c r="AV23" s="225">
        <f>IF('CF表（奥様働けない時）'!AV$3="","",'CF表（奥様働けない時）'!AV23/10000)</f>
        <v/>
      </c>
      <c r="AW23" s="225">
        <f>IF('CF表（奥様働けない時）'!AW$3="","",'CF表（奥様働けない時）'!AW23/10000)</f>
        <v/>
      </c>
      <c r="AX23" s="225">
        <f>IF('CF表（奥様働けない時）'!AX$3="","",'CF表（奥様働けない時）'!AX23/10000)</f>
        <v/>
      </c>
      <c r="AY23" s="225">
        <f>IF('CF表（奥様働けない時）'!AY$3="","",'CF表（奥様働けない時）'!AY23/10000)</f>
        <v/>
      </c>
      <c r="AZ23" s="225">
        <f>IF('CF表（奥様働けない時）'!AZ$3="","",'CF表（奥様働けない時）'!AZ23/10000)</f>
        <v/>
      </c>
      <c r="BA23" s="225">
        <f>IF('CF表（奥様働けない時）'!BA$3="","",'CF表（奥様働けない時）'!BA23/10000)</f>
        <v/>
      </c>
      <c r="BB23" s="225">
        <f>IF('CF表（奥様働けない時）'!BB$3="","",'CF表（奥様働けない時）'!BB23/10000)</f>
        <v/>
      </c>
      <c r="BC23" s="225">
        <f>IF('CF表（奥様働けない時）'!BC$3="","",'CF表（奥様働けない時）'!BC23/10000)</f>
        <v/>
      </c>
      <c r="BD23" s="225">
        <f>IF('CF表（奥様働けない時）'!BD$3="","",'CF表（奥様働けない時）'!BD23/10000)</f>
        <v/>
      </c>
      <c r="BE23" s="225">
        <f>IF('CF表（奥様働けない時）'!BE$3="","",'CF表（奥様働けない時）'!BE23/10000)</f>
        <v/>
      </c>
      <c r="BF23" s="225">
        <f>IF('CF表（奥様働けない時）'!BF$3="","",'CF表（奥様働けない時）'!BF23/10000)</f>
        <v/>
      </c>
      <c r="BG23" s="225">
        <f>IF('CF表（奥様働けない時）'!BG$3="","",'CF表（奥様働けない時）'!BG23/10000)</f>
        <v/>
      </c>
      <c r="BH23" s="225">
        <f>IF('CF表（奥様働けない時）'!BH$3="","",'CF表（奥様働けない時）'!BH23/10000)</f>
        <v/>
      </c>
      <c r="BI23" s="225">
        <f>IF('CF表（奥様働けない時）'!BI$3="","",'CF表（奥様働けない時）'!BI23/10000)</f>
        <v/>
      </c>
      <c r="BJ23" s="225">
        <f>IF('CF表（奥様働けない時）'!BJ$3="","",'CF表（奥様働けない時）'!BJ23/10000)</f>
        <v/>
      </c>
      <c r="BK23" s="225">
        <f>IF('CF表（奥様働けない時）'!BK$3="","",'CF表（奥様働けない時）'!BK23/10000)</f>
        <v/>
      </c>
      <c r="BL23" s="225">
        <f>IF('CF表（奥様働けない時）'!BL$3="","",'CF表（奥様働けない時）'!BL23/10000)</f>
        <v/>
      </c>
      <c r="BM23" s="225">
        <f>IF('CF表（奥様働けない時）'!BM$3="","",'CF表（奥様働けない時）'!BM23/10000)</f>
        <v/>
      </c>
      <c r="BN23" s="225">
        <f>IF('CF表（奥様働けない時）'!BN$3="","",'CF表（奥様働けない時）'!BN23/10000)</f>
        <v/>
      </c>
      <c r="BO23" s="225">
        <f>IF('CF表（奥様働けない時）'!BO$3="","",'CF表（奥様働けない時）'!BO23/10000)</f>
        <v/>
      </c>
      <c r="BP23" s="225">
        <f>IF('CF表（奥様働けない時）'!BP$3="","",'CF表（奥様働けない時）'!BP23/10000)</f>
        <v/>
      </c>
      <c r="BQ23" s="225">
        <f>IF('CF表（奥様働けない時）'!BQ$3="","",'CF表（奥様働けない時）'!BQ23/10000)</f>
        <v/>
      </c>
      <c r="BR23" s="225">
        <f>IF('CF表（奥様働けない時）'!BR$3="","",'CF表（奥様働けない時）'!BR23/10000)</f>
        <v/>
      </c>
      <c r="BS23" s="225">
        <f>IF('CF表（奥様働けない時）'!BS$3="","",'CF表（奥様働けない時）'!BS23/10000)</f>
        <v/>
      </c>
      <c r="BT23" s="225">
        <f>IF('CF表（奥様働けない時）'!BT$3="","",'CF表（奥様働けない時）'!BT23/10000)</f>
        <v/>
      </c>
      <c r="BU23" s="225">
        <f>IF('CF表（奥様働けない時）'!BU$3="","",'CF表（奥様働けない時）'!BU23/10000)</f>
        <v/>
      </c>
      <c r="BV23" s="225">
        <f>IF('CF表（奥様働けない時）'!BV$3="","",'CF表（奥様働けない時）'!BV23/10000)</f>
        <v/>
      </c>
      <c r="BW23" s="225">
        <f>IF('CF表（奥様働けない時）'!BW$3="","",'CF表（奥様働けない時）'!BW23/10000)</f>
        <v/>
      </c>
      <c r="BX23" s="225">
        <f>IF('CF表（奥様働けない時）'!BX$3="","",'CF表（奥様働けない時）'!BX23/10000)</f>
        <v/>
      </c>
      <c r="BY23" s="225">
        <f>IF('CF表（奥様働けない時）'!BY$3="","",'CF表（奥様働けない時）'!BY23/10000)</f>
        <v/>
      </c>
      <c r="BZ23" s="225">
        <f>IF('CF表（奥様働けない時）'!BZ$3="","",'CF表（奥様働けない時）'!BZ23/10000)</f>
        <v/>
      </c>
      <c r="CA23" s="225">
        <f>IF('CF表（奥様働けない時）'!CA$3="","",'CF表（奥様働けない時）'!CA23/10000)</f>
        <v/>
      </c>
      <c r="CB23" s="225">
        <f>IF('CF表（奥様働けない時）'!CB$3="","",'CF表（奥様働けない時）'!CB23/10000)</f>
        <v/>
      </c>
      <c r="CC23" s="225">
        <f>IF('CF表（奥様働けない時）'!CC$3="","",'CF表（奥様働けない時）'!CC23/10000)</f>
        <v/>
      </c>
      <c r="CD23" s="225">
        <f>IF('CF表（奥様働けない時）'!CD$3="","",'CF表（奥様働けない時）'!CD23/10000)</f>
        <v/>
      </c>
      <c r="CE23" s="225">
        <f>IF('CF表（奥様働けない時）'!CE$3="","",'CF表（奥様働けない時）'!CE23/10000)</f>
        <v/>
      </c>
      <c r="CF23" s="225">
        <f>IF('CF表（奥様働けない時）'!CF$3="","",'CF表（奥様働けない時）'!CF23/10000)</f>
        <v/>
      </c>
      <c r="CG23" s="225">
        <f>IF('CF表（奥様働けない時）'!CG$3="","",'CF表（奥様働けない時）'!CG23/10000)</f>
        <v/>
      </c>
      <c r="CH23" s="225">
        <f>IF('CF表（奥様働けない時）'!CH$3="","",'CF表（奥様働けない時）'!CH23/10000)</f>
        <v/>
      </c>
      <c r="CI23" s="225">
        <f>IF('CF表（奥様働けない時）'!CI$3="","",'CF表（奥様働けない時）'!CI23/10000)</f>
        <v/>
      </c>
      <c r="CJ23" s="225">
        <f>IF('CF表（奥様働けない時）'!CJ$3="","",'CF表（奥様働けない時）'!CJ23/10000)</f>
        <v/>
      </c>
      <c r="CK23" s="225">
        <f>IF('CF表（奥様働けない時）'!CK$3="","",'CF表（奥様働けない時）'!CK23/10000)</f>
        <v/>
      </c>
      <c r="CL23" s="225">
        <f>IF('CF表（奥様働けない時）'!CL$3="","",'CF表（奥様働けない時）'!CL23/10000)</f>
        <v/>
      </c>
      <c r="CM23" s="225">
        <f>IF('CF表（奥様働けない時）'!CM$3="","",'CF表（奥様働けない時）'!CM23/10000)</f>
        <v/>
      </c>
      <c r="CN23" s="225">
        <f>IF('CF表（奥様働けない時）'!CN$3="","",'CF表（奥様働けない時）'!CN23/10000)</f>
        <v/>
      </c>
      <c r="CO23" s="225">
        <f>IF('CF表（奥様働けない時）'!CO$3="","",'CF表（奥様働けない時）'!CO23/10000)</f>
        <v/>
      </c>
      <c r="CP23" s="225">
        <f>IF('CF表（奥様働けない時）'!CP$3="","",'CF表（奥様働けない時）'!CP23/10000)</f>
        <v/>
      </c>
      <c r="CQ23" s="225">
        <f>IF('CF表（奥様働けない時）'!CQ$3="","",'CF表（奥様働けない時）'!CQ23/10000)</f>
        <v/>
      </c>
      <c r="CR23" s="225">
        <f>IF('CF表（奥様働けない時）'!CR$3="","",'CF表（奥様働けない時）'!CR23/10000)</f>
        <v/>
      </c>
      <c r="CS23" s="225">
        <f>IF('CF表（奥様働けない時）'!CS$3="","",'CF表（奥様働けない時）'!CS23/10000)</f>
        <v/>
      </c>
      <c r="CT23" s="225">
        <f>IF('CF表（奥様働けない時）'!CT$3="","",'CF表（奥様働けない時）'!CT23/10000)</f>
        <v/>
      </c>
      <c r="CU23" s="225">
        <f>IF('CF表（奥様働けない時）'!CU$3="","",'CF表（奥様働けない時）'!CU23/10000)</f>
        <v/>
      </c>
      <c r="CV23" s="225">
        <f>IF('CF表（奥様働けない時）'!CV$3="","",'CF表（奥様働けない時）'!CV23/10000)</f>
        <v/>
      </c>
      <c r="CW23" s="225">
        <f>IF('CF表（奥様働けない時）'!CW$3="","",'CF表（奥様働けない時）'!CW23/10000)</f>
        <v/>
      </c>
    </row>
    <row r="24" ht="15" customHeight="1" s="180">
      <c r="A24" s="224" t="inlineStr">
        <is>
          <t>教育費</t>
        </is>
      </c>
      <c r="B24" s="225">
        <f>IF('CF表（奥様働けない時）'!B$3="","",'CF表（奥様働けない時）'!B24/10000)</f>
        <v/>
      </c>
      <c r="C24" s="225">
        <f>IF('CF表（奥様働けない時）'!C$3="","",'CF表（奥様働けない時）'!C24/10000)</f>
        <v/>
      </c>
      <c r="D24" s="225">
        <f>IF('CF表（奥様働けない時）'!D$3="","",'CF表（奥様働けない時）'!D24/10000)</f>
        <v/>
      </c>
      <c r="E24" s="225">
        <f>IF('CF表（奥様働けない時）'!E$3="","",'CF表（奥様働けない時）'!E24/10000)</f>
        <v/>
      </c>
      <c r="F24" s="225">
        <f>IF('CF表（奥様働けない時）'!F$3="","",'CF表（奥様働けない時）'!F24/10000)</f>
        <v/>
      </c>
      <c r="G24" s="225">
        <f>IF('CF表（奥様働けない時）'!G$3="","",'CF表（奥様働けない時）'!G24/10000)</f>
        <v/>
      </c>
      <c r="H24" s="225">
        <f>IF('CF表（奥様働けない時）'!H$3="","",'CF表（奥様働けない時）'!H24/10000)</f>
        <v/>
      </c>
      <c r="I24" s="225">
        <f>IF('CF表（奥様働けない時）'!I$3="","",'CF表（奥様働けない時）'!I24/10000)</f>
        <v/>
      </c>
      <c r="J24" s="225">
        <f>IF('CF表（奥様働けない時）'!J$3="","",'CF表（奥様働けない時）'!J24/10000)</f>
        <v/>
      </c>
      <c r="K24" s="225">
        <f>IF('CF表（奥様働けない時）'!K$3="","",'CF表（奥様働けない時）'!K24/10000)</f>
        <v/>
      </c>
      <c r="L24" s="225">
        <f>IF('CF表（奥様働けない時）'!L$3="","",'CF表（奥様働けない時）'!L24/10000)</f>
        <v/>
      </c>
      <c r="M24" s="225">
        <f>IF('CF表（奥様働けない時）'!M$3="","",'CF表（奥様働けない時）'!M24/10000)</f>
        <v/>
      </c>
      <c r="N24" s="225">
        <f>IF('CF表（奥様働けない時）'!N$3="","",'CF表（奥様働けない時）'!N24/10000)</f>
        <v/>
      </c>
      <c r="O24" s="225">
        <f>IF('CF表（奥様働けない時）'!O$3="","",'CF表（奥様働けない時）'!O24/10000)</f>
        <v/>
      </c>
      <c r="P24" s="225">
        <f>IF('CF表（奥様働けない時）'!P$3="","",'CF表（奥様働けない時）'!P24/10000)</f>
        <v/>
      </c>
      <c r="Q24" s="225">
        <f>IF('CF表（奥様働けない時）'!Q$3="","",'CF表（奥様働けない時）'!Q24/10000)</f>
        <v/>
      </c>
      <c r="R24" s="225">
        <f>IF('CF表（奥様働けない時）'!R$3="","",'CF表（奥様働けない時）'!R24/10000)</f>
        <v/>
      </c>
      <c r="S24" s="225">
        <f>IF('CF表（奥様働けない時）'!S$3="","",'CF表（奥様働けない時）'!S24/10000)</f>
        <v/>
      </c>
      <c r="T24" s="225">
        <f>IF('CF表（奥様働けない時）'!T$3="","",'CF表（奥様働けない時）'!T24/10000)</f>
        <v/>
      </c>
      <c r="U24" s="225">
        <f>IF('CF表（奥様働けない時）'!U$3="","",'CF表（奥様働けない時）'!U24/10000)</f>
        <v/>
      </c>
      <c r="V24" s="225">
        <f>IF('CF表（奥様働けない時）'!V$3="","",'CF表（奥様働けない時）'!V24/10000)</f>
        <v/>
      </c>
      <c r="W24" s="225">
        <f>IF('CF表（奥様働けない時）'!W$3="","",'CF表（奥様働けない時）'!W24/10000)</f>
        <v/>
      </c>
      <c r="X24" s="225">
        <f>IF('CF表（奥様働けない時）'!X$3="","",'CF表（奥様働けない時）'!X24/10000)</f>
        <v/>
      </c>
      <c r="Y24" s="225">
        <f>IF('CF表（奥様働けない時）'!Y$3="","",'CF表（奥様働けない時）'!Y24/10000)</f>
        <v/>
      </c>
      <c r="Z24" s="225">
        <f>IF('CF表（奥様働けない時）'!Z$3="","",'CF表（奥様働けない時）'!Z24/10000)</f>
        <v/>
      </c>
      <c r="AA24" s="225">
        <f>IF('CF表（奥様働けない時）'!AA$3="","",'CF表（奥様働けない時）'!AA24/10000)</f>
        <v/>
      </c>
      <c r="AB24" s="225">
        <f>IF('CF表（奥様働けない時）'!AB$3="","",'CF表（奥様働けない時）'!AB24/10000)</f>
        <v/>
      </c>
      <c r="AC24" s="225">
        <f>IF('CF表（奥様働けない時）'!AC$3="","",'CF表（奥様働けない時）'!AC24/10000)</f>
        <v/>
      </c>
      <c r="AD24" s="225">
        <f>IF('CF表（奥様働けない時）'!AD$3="","",'CF表（奥様働けない時）'!AD24/10000)</f>
        <v/>
      </c>
      <c r="AE24" s="225">
        <f>IF('CF表（奥様働けない時）'!AE$3="","",'CF表（奥様働けない時）'!AE24/10000)</f>
        <v/>
      </c>
      <c r="AF24" s="225">
        <f>IF('CF表（奥様働けない時）'!AF$3="","",'CF表（奥様働けない時）'!AF24/10000)</f>
        <v/>
      </c>
      <c r="AG24" s="225">
        <f>IF('CF表（奥様働けない時）'!AG$3="","",'CF表（奥様働けない時）'!AG24/10000)</f>
        <v/>
      </c>
      <c r="AH24" s="225">
        <f>IF('CF表（奥様働けない時）'!AH$3="","",'CF表（奥様働けない時）'!AH24/10000)</f>
        <v/>
      </c>
      <c r="AI24" s="225">
        <f>IF('CF表（奥様働けない時）'!AI$3="","",'CF表（奥様働けない時）'!AI24/10000)</f>
        <v/>
      </c>
      <c r="AJ24" s="225">
        <f>IF('CF表（奥様働けない時）'!AJ$3="","",'CF表（奥様働けない時）'!AJ24/10000)</f>
        <v/>
      </c>
      <c r="AK24" s="225">
        <f>IF('CF表（奥様働けない時）'!AK$3="","",'CF表（奥様働けない時）'!AK24/10000)</f>
        <v/>
      </c>
      <c r="AL24" s="225">
        <f>IF('CF表（奥様働けない時）'!AL$3="","",'CF表（奥様働けない時）'!AL24/10000)</f>
        <v/>
      </c>
      <c r="AM24" s="225">
        <f>IF('CF表（奥様働けない時）'!AM$3="","",'CF表（奥様働けない時）'!AM24/10000)</f>
        <v/>
      </c>
      <c r="AN24" s="225">
        <f>IF('CF表（奥様働けない時）'!AN$3="","",'CF表（奥様働けない時）'!AN24/10000)</f>
        <v/>
      </c>
      <c r="AO24" s="225">
        <f>IF('CF表（奥様働けない時）'!AO$3="","",'CF表（奥様働けない時）'!AO24/10000)</f>
        <v/>
      </c>
      <c r="AP24" s="225">
        <f>IF('CF表（奥様働けない時）'!AP$3="","",'CF表（奥様働けない時）'!AP24/10000)</f>
        <v/>
      </c>
      <c r="AQ24" s="225">
        <f>IF('CF表（奥様働けない時）'!AQ$3="","",'CF表（奥様働けない時）'!AQ24/10000)</f>
        <v/>
      </c>
      <c r="AR24" s="225">
        <f>IF('CF表（奥様働けない時）'!AR$3="","",'CF表（奥様働けない時）'!AR24/10000)</f>
        <v/>
      </c>
      <c r="AS24" s="225">
        <f>IF('CF表（奥様働けない時）'!AS$3="","",'CF表（奥様働けない時）'!AS24/10000)</f>
        <v/>
      </c>
      <c r="AT24" s="225">
        <f>IF('CF表（奥様働けない時）'!AT$3="","",'CF表（奥様働けない時）'!AT24/10000)</f>
        <v/>
      </c>
      <c r="AU24" s="225">
        <f>IF('CF表（奥様働けない時）'!AU$3="","",'CF表（奥様働けない時）'!AU24/10000)</f>
        <v/>
      </c>
      <c r="AV24" s="225">
        <f>IF('CF表（奥様働けない時）'!AV$3="","",'CF表（奥様働けない時）'!AV24/10000)</f>
        <v/>
      </c>
      <c r="AW24" s="225">
        <f>IF('CF表（奥様働けない時）'!AW$3="","",'CF表（奥様働けない時）'!AW24/10000)</f>
        <v/>
      </c>
      <c r="AX24" s="225">
        <f>IF('CF表（奥様働けない時）'!AX$3="","",'CF表（奥様働けない時）'!AX24/10000)</f>
        <v/>
      </c>
      <c r="AY24" s="225">
        <f>IF('CF表（奥様働けない時）'!AY$3="","",'CF表（奥様働けない時）'!AY24/10000)</f>
        <v/>
      </c>
      <c r="AZ24" s="225">
        <f>IF('CF表（奥様働けない時）'!AZ$3="","",'CF表（奥様働けない時）'!AZ24/10000)</f>
        <v/>
      </c>
      <c r="BA24" s="225">
        <f>IF('CF表（奥様働けない時）'!BA$3="","",'CF表（奥様働けない時）'!BA24/10000)</f>
        <v/>
      </c>
      <c r="BB24" s="225">
        <f>IF('CF表（奥様働けない時）'!BB$3="","",'CF表（奥様働けない時）'!BB24/10000)</f>
        <v/>
      </c>
      <c r="BC24" s="225">
        <f>IF('CF表（奥様働けない時）'!BC$3="","",'CF表（奥様働けない時）'!BC24/10000)</f>
        <v/>
      </c>
      <c r="BD24" s="225">
        <f>IF('CF表（奥様働けない時）'!BD$3="","",'CF表（奥様働けない時）'!BD24/10000)</f>
        <v/>
      </c>
      <c r="BE24" s="225">
        <f>IF('CF表（奥様働けない時）'!BE$3="","",'CF表（奥様働けない時）'!BE24/10000)</f>
        <v/>
      </c>
      <c r="BF24" s="225">
        <f>IF('CF表（奥様働けない時）'!BF$3="","",'CF表（奥様働けない時）'!BF24/10000)</f>
        <v/>
      </c>
      <c r="BG24" s="225">
        <f>IF('CF表（奥様働けない時）'!BG$3="","",'CF表（奥様働けない時）'!BG24/10000)</f>
        <v/>
      </c>
      <c r="BH24" s="225">
        <f>IF('CF表（奥様働けない時）'!BH$3="","",'CF表（奥様働けない時）'!BH24/10000)</f>
        <v/>
      </c>
      <c r="BI24" s="225">
        <f>IF('CF表（奥様働けない時）'!BI$3="","",'CF表（奥様働けない時）'!BI24/10000)</f>
        <v/>
      </c>
      <c r="BJ24" s="225">
        <f>IF('CF表（奥様働けない時）'!BJ$3="","",'CF表（奥様働けない時）'!BJ24/10000)</f>
        <v/>
      </c>
      <c r="BK24" s="225">
        <f>IF('CF表（奥様働けない時）'!BK$3="","",'CF表（奥様働けない時）'!BK24/10000)</f>
        <v/>
      </c>
      <c r="BL24" s="225">
        <f>IF('CF表（奥様働けない時）'!BL$3="","",'CF表（奥様働けない時）'!BL24/10000)</f>
        <v/>
      </c>
      <c r="BM24" s="225">
        <f>IF('CF表（奥様働けない時）'!BM$3="","",'CF表（奥様働けない時）'!BM24/10000)</f>
        <v/>
      </c>
      <c r="BN24" s="225">
        <f>IF('CF表（奥様働けない時）'!BN$3="","",'CF表（奥様働けない時）'!BN24/10000)</f>
        <v/>
      </c>
      <c r="BO24" s="225">
        <f>IF('CF表（奥様働けない時）'!BO$3="","",'CF表（奥様働けない時）'!BO24/10000)</f>
        <v/>
      </c>
      <c r="BP24" s="225">
        <f>IF('CF表（奥様働けない時）'!BP$3="","",'CF表（奥様働けない時）'!BP24/10000)</f>
        <v/>
      </c>
      <c r="BQ24" s="225">
        <f>IF('CF表（奥様働けない時）'!BQ$3="","",'CF表（奥様働けない時）'!BQ24/10000)</f>
        <v/>
      </c>
      <c r="BR24" s="225">
        <f>IF('CF表（奥様働けない時）'!BR$3="","",'CF表（奥様働けない時）'!BR24/10000)</f>
        <v/>
      </c>
      <c r="BS24" s="225">
        <f>IF('CF表（奥様働けない時）'!BS$3="","",'CF表（奥様働けない時）'!BS24/10000)</f>
        <v/>
      </c>
      <c r="BT24" s="225">
        <f>IF('CF表（奥様働けない時）'!BT$3="","",'CF表（奥様働けない時）'!BT24/10000)</f>
        <v/>
      </c>
      <c r="BU24" s="225">
        <f>IF('CF表（奥様働けない時）'!BU$3="","",'CF表（奥様働けない時）'!BU24/10000)</f>
        <v/>
      </c>
      <c r="BV24" s="225">
        <f>IF('CF表（奥様働けない時）'!BV$3="","",'CF表（奥様働けない時）'!BV24/10000)</f>
        <v/>
      </c>
      <c r="BW24" s="225">
        <f>IF('CF表（奥様働けない時）'!BW$3="","",'CF表（奥様働けない時）'!BW24/10000)</f>
        <v/>
      </c>
      <c r="BX24" s="225">
        <f>IF('CF表（奥様働けない時）'!BX$3="","",'CF表（奥様働けない時）'!BX24/10000)</f>
        <v/>
      </c>
      <c r="BY24" s="225">
        <f>IF('CF表（奥様働けない時）'!BY$3="","",'CF表（奥様働けない時）'!BY24/10000)</f>
        <v/>
      </c>
      <c r="BZ24" s="225">
        <f>IF('CF表（奥様働けない時）'!BZ$3="","",'CF表（奥様働けない時）'!BZ24/10000)</f>
        <v/>
      </c>
      <c r="CA24" s="225">
        <f>IF('CF表（奥様働けない時）'!CA$3="","",'CF表（奥様働けない時）'!CA24/10000)</f>
        <v/>
      </c>
      <c r="CB24" s="225">
        <f>IF('CF表（奥様働けない時）'!CB$3="","",'CF表（奥様働けない時）'!CB24/10000)</f>
        <v/>
      </c>
      <c r="CC24" s="225">
        <f>IF('CF表（奥様働けない時）'!CC$3="","",'CF表（奥様働けない時）'!CC24/10000)</f>
        <v/>
      </c>
      <c r="CD24" s="225">
        <f>IF('CF表（奥様働けない時）'!CD$3="","",'CF表（奥様働けない時）'!CD24/10000)</f>
        <v/>
      </c>
      <c r="CE24" s="225">
        <f>IF('CF表（奥様働けない時）'!CE$3="","",'CF表（奥様働けない時）'!CE24/10000)</f>
        <v/>
      </c>
      <c r="CF24" s="225">
        <f>IF('CF表（奥様働けない時）'!CF$3="","",'CF表（奥様働けない時）'!CF24/10000)</f>
        <v/>
      </c>
      <c r="CG24" s="225">
        <f>IF('CF表（奥様働けない時）'!CG$3="","",'CF表（奥様働けない時）'!CG24/10000)</f>
        <v/>
      </c>
      <c r="CH24" s="225">
        <f>IF('CF表（奥様働けない時）'!CH$3="","",'CF表（奥様働けない時）'!CH24/10000)</f>
        <v/>
      </c>
      <c r="CI24" s="225">
        <f>IF('CF表（奥様働けない時）'!CI$3="","",'CF表（奥様働けない時）'!CI24/10000)</f>
        <v/>
      </c>
      <c r="CJ24" s="225">
        <f>IF('CF表（奥様働けない時）'!CJ$3="","",'CF表（奥様働けない時）'!CJ24/10000)</f>
        <v/>
      </c>
      <c r="CK24" s="225">
        <f>IF('CF表（奥様働けない時）'!CK$3="","",'CF表（奥様働けない時）'!CK24/10000)</f>
        <v/>
      </c>
      <c r="CL24" s="225">
        <f>IF('CF表（奥様働けない時）'!CL$3="","",'CF表（奥様働けない時）'!CL24/10000)</f>
        <v/>
      </c>
      <c r="CM24" s="225">
        <f>IF('CF表（奥様働けない時）'!CM$3="","",'CF表（奥様働けない時）'!CM24/10000)</f>
        <v/>
      </c>
      <c r="CN24" s="225">
        <f>IF('CF表（奥様働けない時）'!CN$3="","",'CF表（奥様働けない時）'!CN24/10000)</f>
        <v/>
      </c>
      <c r="CO24" s="225">
        <f>IF('CF表（奥様働けない時）'!CO$3="","",'CF表（奥様働けない時）'!CO24/10000)</f>
        <v/>
      </c>
      <c r="CP24" s="225">
        <f>IF('CF表（奥様働けない時）'!CP$3="","",'CF表（奥様働けない時）'!CP24/10000)</f>
        <v/>
      </c>
      <c r="CQ24" s="225">
        <f>IF('CF表（奥様働けない時）'!CQ$3="","",'CF表（奥様働けない時）'!CQ24/10000)</f>
        <v/>
      </c>
      <c r="CR24" s="225">
        <f>IF('CF表（奥様働けない時）'!CR$3="","",'CF表（奥様働けない時）'!CR24/10000)</f>
        <v/>
      </c>
      <c r="CS24" s="225">
        <f>IF('CF表（奥様働けない時）'!CS$3="","",'CF表（奥様働けない時）'!CS24/10000)</f>
        <v/>
      </c>
      <c r="CT24" s="225">
        <f>IF('CF表（奥様働けない時）'!CT$3="","",'CF表（奥様働けない時）'!CT24/10000)</f>
        <v/>
      </c>
      <c r="CU24" s="225">
        <f>IF('CF表（奥様働けない時）'!CU$3="","",'CF表（奥様働けない時）'!CU24/10000)</f>
        <v/>
      </c>
      <c r="CV24" s="225">
        <f>IF('CF表（奥様働けない時）'!CV$3="","",'CF表（奥様働けない時）'!CV24/10000)</f>
        <v/>
      </c>
      <c r="CW24" s="225">
        <f>IF('CF表（奥様働けない時）'!CW$3="","",'CF表（奥様働けない時）'!CW24/10000)</f>
        <v/>
      </c>
    </row>
    <row r="25" ht="15" customHeight="1" s="180">
      <c r="A25" s="224" t="inlineStr">
        <is>
          <t>車関連費</t>
        </is>
      </c>
      <c r="B25" s="225">
        <f>IF('CF表（奥様働けない時）'!B$3="","",'CF表（奥様働けない時）'!B25/10000)</f>
        <v/>
      </c>
      <c r="C25" s="225">
        <f>IF('CF表（奥様働けない時）'!C$3="","",'CF表（奥様働けない時）'!C25/10000)</f>
        <v/>
      </c>
      <c r="D25" s="225">
        <f>IF('CF表（奥様働けない時）'!D$3="","",'CF表（奥様働けない時）'!D25/10000)</f>
        <v/>
      </c>
      <c r="E25" s="225">
        <f>IF('CF表（奥様働けない時）'!E$3="","",'CF表（奥様働けない時）'!E25/10000)</f>
        <v/>
      </c>
      <c r="F25" s="225">
        <f>IF('CF表（奥様働けない時）'!F$3="","",'CF表（奥様働けない時）'!F25/10000)</f>
        <v/>
      </c>
      <c r="G25" s="225">
        <f>IF('CF表（奥様働けない時）'!G$3="","",'CF表（奥様働けない時）'!G25/10000)</f>
        <v/>
      </c>
      <c r="H25" s="225">
        <f>IF('CF表（奥様働けない時）'!H$3="","",'CF表（奥様働けない時）'!H25/10000)</f>
        <v/>
      </c>
      <c r="I25" s="225">
        <f>IF('CF表（奥様働けない時）'!I$3="","",'CF表（奥様働けない時）'!I25/10000)</f>
        <v/>
      </c>
      <c r="J25" s="225">
        <f>IF('CF表（奥様働けない時）'!J$3="","",'CF表（奥様働けない時）'!J25/10000)</f>
        <v/>
      </c>
      <c r="K25" s="225">
        <f>IF('CF表（奥様働けない時）'!K$3="","",'CF表（奥様働けない時）'!K25/10000)</f>
        <v/>
      </c>
      <c r="L25" s="225">
        <f>IF('CF表（奥様働けない時）'!L$3="","",'CF表（奥様働けない時）'!L25/10000)</f>
        <v/>
      </c>
      <c r="M25" s="225">
        <f>IF('CF表（奥様働けない時）'!M$3="","",'CF表（奥様働けない時）'!M25/10000)</f>
        <v/>
      </c>
      <c r="N25" s="225">
        <f>IF('CF表（奥様働けない時）'!N$3="","",'CF表（奥様働けない時）'!N25/10000)</f>
        <v/>
      </c>
      <c r="O25" s="225">
        <f>IF('CF表（奥様働けない時）'!O$3="","",'CF表（奥様働けない時）'!O25/10000)</f>
        <v/>
      </c>
      <c r="P25" s="225">
        <f>IF('CF表（奥様働けない時）'!P$3="","",'CF表（奥様働けない時）'!P25/10000)</f>
        <v/>
      </c>
      <c r="Q25" s="225">
        <f>IF('CF表（奥様働けない時）'!Q$3="","",'CF表（奥様働けない時）'!Q25/10000)</f>
        <v/>
      </c>
      <c r="R25" s="225">
        <f>IF('CF表（奥様働けない時）'!R$3="","",'CF表（奥様働けない時）'!R25/10000)</f>
        <v/>
      </c>
      <c r="S25" s="225">
        <f>IF('CF表（奥様働けない時）'!S$3="","",'CF表（奥様働けない時）'!S25/10000)</f>
        <v/>
      </c>
      <c r="T25" s="225">
        <f>IF('CF表（奥様働けない時）'!T$3="","",'CF表（奥様働けない時）'!T25/10000)</f>
        <v/>
      </c>
      <c r="U25" s="225">
        <f>IF('CF表（奥様働けない時）'!U$3="","",'CF表（奥様働けない時）'!U25/10000)</f>
        <v/>
      </c>
      <c r="V25" s="225">
        <f>IF('CF表（奥様働けない時）'!V$3="","",'CF表（奥様働けない時）'!V25/10000)</f>
        <v/>
      </c>
      <c r="W25" s="225">
        <f>IF('CF表（奥様働けない時）'!W$3="","",'CF表（奥様働けない時）'!W25/10000)</f>
        <v/>
      </c>
      <c r="X25" s="225">
        <f>IF('CF表（奥様働けない時）'!X$3="","",'CF表（奥様働けない時）'!X25/10000)</f>
        <v/>
      </c>
      <c r="Y25" s="225">
        <f>IF('CF表（奥様働けない時）'!Y$3="","",'CF表（奥様働けない時）'!Y25/10000)</f>
        <v/>
      </c>
      <c r="Z25" s="225">
        <f>IF('CF表（奥様働けない時）'!Z$3="","",'CF表（奥様働けない時）'!Z25/10000)</f>
        <v/>
      </c>
      <c r="AA25" s="225">
        <f>IF('CF表（奥様働けない時）'!AA$3="","",'CF表（奥様働けない時）'!AA25/10000)</f>
        <v/>
      </c>
      <c r="AB25" s="225">
        <f>IF('CF表（奥様働けない時）'!AB$3="","",'CF表（奥様働けない時）'!AB25/10000)</f>
        <v/>
      </c>
      <c r="AC25" s="225">
        <f>IF('CF表（奥様働けない時）'!AC$3="","",'CF表（奥様働けない時）'!AC25/10000)</f>
        <v/>
      </c>
      <c r="AD25" s="225">
        <f>IF('CF表（奥様働けない時）'!AD$3="","",'CF表（奥様働けない時）'!AD25/10000)</f>
        <v/>
      </c>
      <c r="AE25" s="225">
        <f>IF('CF表（奥様働けない時）'!AE$3="","",'CF表（奥様働けない時）'!AE25/10000)</f>
        <v/>
      </c>
      <c r="AF25" s="225">
        <f>IF('CF表（奥様働けない時）'!AF$3="","",'CF表（奥様働けない時）'!AF25/10000)</f>
        <v/>
      </c>
      <c r="AG25" s="225">
        <f>IF('CF表（奥様働けない時）'!AG$3="","",'CF表（奥様働けない時）'!AG25/10000)</f>
        <v/>
      </c>
      <c r="AH25" s="225">
        <f>IF('CF表（奥様働けない時）'!AH$3="","",'CF表（奥様働けない時）'!AH25/10000)</f>
        <v/>
      </c>
      <c r="AI25" s="225">
        <f>IF('CF表（奥様働けない時）'!AI$3="","",'CF表（奥様働けない時）'!AI25/10000)</f>
        <v/>
      </c>
      <c r="AJ25" s="225">
        <f>IF('CF表（奥様働けない時）'!AJ$3="","",'CF表（奥様働けない時）'!AJ25/10000)</f>
        <v/>
      </c>
      <c r="AK25" s="225">
        <f>IF('CF表（奥様働けない時）'!AK$3="","",'CF表（奥様働けない時）'!AK25/10000)</f>
        <v/>
      </c>
      <c r="AL25" s="225">
        <f>IF('CF表（奥様働けない時）'!AL$3="","",'CF表（奥様働けない時）'!AL25/10000)</f>
        <v/>
      </c>
      <c r="AM25" s="225">
        <f>IF('CF表（奥様働けない時）'!AM$3="","",'CF表（奥様働けない時）'!AM25/10000)</f>
        <v/>
      </c>
      <c r="AN25" s="225">
        <f>IF('CF表（奥様働けない時）'!AN$3="","",'CF表（奥様働けない時）'!AN25/10000)</f>
        <v/>
      </c>
      <c r="AO25" s="225">
        <f>IF('CF表（奥様働けない時）'!AO$3="","",'CF表（奥様働けない時）'!AO25/10000)</f>
        <v/>
      </c>
      <c r="AP25" s="225">
        <f>IF('CF表（奥様働けない時）'!AP$3="","",'CF表（奥様働けない時）'!AP25/10000)</f>
        <v/>
      </c>
      <c r="AQ25" s="225">
        <f>IF('CF表（奥様働けない時）'!AQ$3="","",'CF表（奥様働けない時）'!AQ25/10000)</f>
        <v/>
      </c>
      <c r="AR25" s="225">
        <f>IF('CF表（奥様働けない時）'!AR$3="","",'CF表（奥様働けない時）'!AR25/10000)</f>
        <v/>
      </c>
      <c r="AS25" s="225">
        <f>IF('CF表（奥様働けない時）'!AS$3="","",'CF表（奥様働けない時）'!AS25/10000)</f>
        <v/>
      </c>
      <c r="AT25" s="225">
        <f>IF('CF表（奥様働けない時）'!AT$3="","",'CF表（奥様働けない時）'!AT25/10000)</f>
        <v/>
      </c>
      <c r="AU25" s="225">
        <f>IF('CF表（奥様働けない時）'!AU$3="","",'CF表（奥様働けない時）'!AU25/10000)</f>
        <v/>
      </c>
      <c r="AV25" s="225">
        <f>IF('CF表（奥様働けない時）'!AV$3="","",'CF表（奥様働けない時）'!AV25/10000)</f>
        <v/>
      </c>
      <c r="AW25" s="225">
        <f>IF('CF表（奥様働けない時）'!AW$3="","",'CF表（奥様働けない時）'!AW25/10000)</f>
        <v/>
      </c>
      <c r="AX25" s="225">
        <f>IF('CF表（奥様働けない時）'!AX$3="","",'CF表（奥様働けない時）'!AX25/10000)</f>
        <v/>
      </c>
      <c r="AY25" s="225">
        <f>IF('CF表（奥様働けない時）'!AY$3="","",'CF表（奥様働けない時）'!AY25/10000)</f>
        <v/>
      </c>
      <c r="AZ25" s="225">
        <f>IF('CF表（奥様働けない時）'!AZ$3="","",'CF表（奥様働けない時）'!AZ25/10000)</f>
        <v/>
      </c>
      <c r="BA25" s="225">
        <f>IF('CF表（奥様働けない時）'!BA$3="","",'CF表（奥様働けない時）'!BA25/10000)</f>
        <v/>
      </c>
      <c r="BB25" s="225">
        <f>IF('CF表（奥様働けない時）'!BB$3="","",'CF表（奥様働けない時）'!BB25/10000)</f>
        <v/>
      </c>
      <c r="BC25" s="225">
        <f>IF('CF表（奥様働けない時）'!BC$3="","",'CF表（奥様働けない時）'!BC25/10000)</f>
        <v/>
      </c>
      <c r="BD25" s="225">
        <f>IF('CF表（奥様働けない時）'!BD$3="","",'CF表（奥様働けない時）'!BD25/10000)</f>
        <v/>
      </c>
      <c r="BE25" s="225">
        <f>IF('CF表（奥様働けない時）'!BE$3="","",'CF表（奥様働けない時）'!BE25/10000)</f>
        <v/>
      </c>
      <c r="BF25" s="225">
        <f>IF('CF表（奥様働けない時）'!BF$3="","",'CF表（奥様働けない時）'!BF25/10000)</f>
        <v/>
      </c>
      <c r="BG25" s="225">
        <f>IF('CF表（奥様働けない時）'!BG$3="","",'CF表（奥様働けない時）'!BG25/10000)</f>
        <v/>
      </c>
      <c r="BH25" s="225">
        <f>IF('CF表（奥様働けない時）'!BH$3="","",'CF表（奥様働けない時）'!BH25/10000)</f>
        <v/>
      </c>
      <c r="BI25" s="225">
        <f>IF('CF表（奥様働けない時）'!BI$3="","",'CF表（奥様働けない時）'!BI25/10000)</f>
        <v/>
      </c>
      <c r="BJ25" s="225">
        <f>IF('CF表（奥様働けない時）'!BJ$3="","",'CF表（奥様働けない時）'!BJ25/10000)</f>
        <v/>
      </c>
      <c r="BK25" s="225">
        <f>IF('CF表（奥様働けない時）'!BK$3="","",'CF表（奥様働けない時）'!BK25/10000)</f>
        <v/>
      </c>
      <c r="BL25" s="225">
        <f>IF('CF表（奥様働けない時）'!BL$3="","",'CF表（奥様働けない時）'!BL25/10000)</f>
        <v/>
      </c>
      <c r="BM25" s="225">
        <f>IF('CF表（奥様働けない時）'!BM$3="","",'CF表（奥様働けない時）'!BM25/10000)</f>
        <v/>
      </c>
      <c r="BN25" s="225">
        <f>IF('CF表（奥様働けない時）'!BN$3="","",'CF表（奥様働けない時）'!BN25/10000)</f>
        <v/>
      </c>
      <c r="BO25" s="225">
        <f>IF('CF表（奥様働けない時）'!BO$3="","",'CF表（奥様働けない時）'!BO25/10000)</f>
        <v/>
      </c>
      <c r="BP25" s="225">
        <f>IF('CF表（奥様働けない時）'!BP$3="","",'CF表（奥様働けない時）'!BP25/10000)</f>
        <v/>
      </c>
      <c r="BQ25" s="225">
        <f>IF('CF表（奥様働けない時）'!BQ$3="","",'CF表（奥様働けない時）'!BQ25/10000)</f>
        <v/>
      </c>
      <c r="BR25" s="225">
        <f>IF('CF表（奥様働けない時）'!BR$3="","",'CF表（奥様働けない時）'!BR25/10000)</f>
        <v/>
      </c>
      <c r="BS25" s="225">
        <f>IF('CF表（奥様働けない時）'!BS$3="","",'CF表（奥様働けない時）'!BS25/10000)</f>
        <v/>
      </c>
      <c r="BT25" s="225">
        <f>IF('CF表（奥様働けない時）'!BT$3="","",'CF表（奥様働けない時）'!BT25/10000)</f>
        <v/>
      </c>
      <c r="BU25" s="225">
        <f>IF('CF表（奥様働けない時）'!BU$3="","",'CF表（奥様働けない時）'!BU25/10000)</f>
        <v/>
      </c>
      <c r="BV25" s="225">
        <f>IF('CF表（奥様働けない時）'!BV$3="","",'CF表（奥様働けない時）'!BV25/10000)</f>
        <v/>
      </c>
      <c r="BW25" s="225">
        <f>IF('CF表（奥様働けない時）'!BW$3="","",'CF表（奥様働けない時）'!BW25/10000)</f>
        <v/>
      </c>
      <c r="BX25" s="225">
        <f>IF('CF表（奥様働けない時）'!BX$3="","",'CF表（奥様働けない時）'!BX25/10000)</f>
        <v/>
      </c>
      <c r="BY25" s="225">
        <f>IF('CF表（奥様働けない時）'!BY$3="","",'CF表（奥様働けない時）'!BY25/10000)</f>
        <v/>
      </c>
      <c r="BZ25" s="225">
        <f>IF('CF表（奥様働けない時）'!BZ$3="","",'CF表（奥様働けない時）'!BZ25/10000)</f>
        <v/>
      </c>
      <c r="CA25" s="225">
        <f>IF('CF表（奥様働けない時）'!CA$3="","",'CF表（奥様働けない時）'!CA25/10000)</f>
        <v/>
      </c>
      <c r="CB25" s="225">
        <f>IF('CF表（奥様働けない時）'!CB$3="","",'CF表（奥様働けない時）'!CB25/10000)</f>
        <v/>
      </c>
      <c r="CC25" s="225">
        <f>IF('CF表（奥様働けない時）'!CC$3="","",'CF表（奥様働けない時）'!CC25/10000)</f>
        <v/>
      </c>
      <c r="CD25" s="225">
        <f>IF('CF表（奥様働けない時）'!CD$3="","",'CF表（奥様働けない時）'!CD25/10000)</f>
        <v/>
      </c>
      <c r="CE25" s="225">
        <f>IF('CF表（奥様働けない時）'!CE$3="","",'CF表（奥様働けない時）'!CE25/10000)</f>
        <v/>
      </c>
      <c r="CF25" s="225">
        <f>IF('CF表（奥様働けない時）'!CF$3="","",'CF表（奥様働けない時）'!CF25/10000)</f>
        <v/>
      </c>
      <c r="CG25" s="225">
        <f>IF('CF表（奥様働けない時）'!CG$3="","",'CF表（奥様働けない時）'!CG25/10000)</f>
        <v/>
      </c>
      <c r="CH25" s="225">
        <f>IF('CF表（奥様働けない時）'!CH$3="","",'CF表（奥様働けない時）'!CH25/10000)</f>
        <v/>
      </c>
      <c r="CI25" s="225">
        <f>IF('CF表（奥様働けない時）'!CI$3="","",'CF表（奥様働けない時）'!CI25/10000)</f>
        <v/>
      </c>
      <c r="CJ25" s="225">
        <f>IF('CF表（奥様働けない時）'!CJ$3="","",'CF表（奥様働けない時）'!CJ25/10000)</f>
        <v/>
      </c>
      <c r="CK25" s="225">
        <f>IF('CF表（奥様働けない時）'!CK$3="","",'CF表（奥様働けない時）'!CK25/10000)</f>
        <v/>
      </c>
      <c r="CL25" s="225">
        <f>IF('CF表（奥様働けない時）'!CL$3="","",'CF表（奥様働けない時）'!CL25/10000)</f>
        <v/>
      </c>
      <c r="CM25" s="225">
        <f>IF('CF表（奥様働けない時）'!CM$3="","",'CF表（奥様働けない時）'!CM25/10000)</f>
        <v/>
      </c>
      <c r="CN25" s="225">
        <f>IF('CF表（奥様働けない時）'!CN$3="","",'CF表（奥様働けない時）'!CN25/10000)</f>
        <v/>
      </c>
      <c r="CO25" s="225">
        <f>IF('CF表（奥様働けない時）'!CO$3="","",'CF表（奥様働けない時）'!CO25/10000)</f>
        <v/>
      </c>
      <c r="CP25" s="225">
        <f>IF('CF表（奥様働けない時）'!CP$3="","",'CF表（奥様働けない時）'!CP25/10000)</f>
        <v/>
      </c>
      <c r="CQ25" s="225">
        <f>IF('CF表（奥様働けない時）'!CQ$3="","",'CF表（奥様働けない時）'!CQ25/10000)</f>
        <v/>
      </c>
      <c r="CR25" s="225">
        <f>IF('CF表（奥様働けない時）'!CR$3="","",'CF表（奥様働けない時）'!CR25/10000)</f>
        <v/>
      </c>
      <c r="CS25" s="225">
        <f>IF('CF表（奥様働けない時）'!CS$3="","",'CF表（奥様働けない時）'!CS25/10000)</f>
        <v/>
      </c>
      <c r="CT25" s="225">
        <f>IF('CF表（奥様働けない時）'!CT$3="","",'CF表（奥様働けない時）'!CT25/10000)</f>
        <v/>
      </c>
      <c r="CU25" s="225">
        <f>IF('CF表（奥様働けない時）'!CU$3="","",'CF表（奥様働けない時）'!CU25/10000)</f>
        <v/>
      </c>
      <c r="CV25" s="225">
        <f>IF('CF表（奥様働けない時）'!CV$3="","",'CF表（奥様働けない時）'!CV25/10000)</f>
        <v/>
      </c>
      <c r="CW25" s="225">
        <f>IF('CF表（奥様働けない時）'!CW$3="","",'CF表（奥様働けない時）'!CW25/10000)</f>
        <v/>
      </c>
    </row>
    <row r="26" ht="15" customHeight="1" s="180">
      <c r="A26" s="224" t="inlineStr">
        <is>
          <t>その他支出</t>
        </is>
      </c>
      <c r="B26" s="225">
        <f>IF('CF表（奥様働けない時）'!B$3="","",'CF表（奥様働けない時）'!B26/10000)</f>
        <v/>
      </c>
      <c r="C26" s="225">
        <f>IF('CF表（奥様働けない時）'!C$3="","",'CF表（奥様働けない時）'!C26/10000)</f>
        <v/>
      </c>
      <c r="D26" s="225">
        <f>IF('CF表（奥様働けない時）'!D$3="","",'CF表（奥様働けない時）'!D26/10000)</f>
        <v/>
      </c>
      <c r="E26" s="225">
        <f>IF('CF表（奥様働けない時）'!E$3="","",'CF表（奥様働けない時）'!E26/10000)</f>
        <v/>
      </c>
      <c r="F26" s="225">
        <f>IF('CF表（奥様働けない時）'!F$3="","",'CF表（奥様働けない時）'!F26/10000)</f>
        <v/>
      </c>
      <c r="G26" s="225">
        <f>IF('CF表（奥様働けない時）'!G$3="","",'CF表（奥様働けない時）'!G26/10000)</f>
        <v/>
      </c>
      <c r="H26" s="225">
        <f>IF('CF表（奥様働けない時）'!H$3="","",'CF表（奥様働けない時）'!H26/10000)</f>
        <v/>
      </c>
      <c r="I26" s="225">
        <f>IF('CF表（奥様働けない時）'!I$3="","",'CF表（奥様働けない時）'!I26/10000)</f>
        <v/>
      </c>
      <c r="J26" s="225">
        <f>IF('CF表（奥様働けない時）'!J$3="","",'CF表（奥様働けない時）'!J26/10000)</f>
        <v/>
      </c>
      <c r="K26" s="225">
        <f>IF('CF表（奥様働けない時）'!K$3="","",'CF表（奥様働けない時）'!K26/10000)</f>
        <v/>
      </c>
      <c r="L26" s="225">
        <f>IF('CF表（奥様働けない時）'!L$3="","",'CF表（奥様働けない時）'!L26/10000)</f>
        <v/>
      </c>
      <c r="M26" s="225">
        <f>IF('CF表（奥様働けない時）'!M$3="","",'CF表（奥様働けない時）'!M26/10000)</f>
        <v/>
      </c>
      <c r="N26" s="225">
        <f>IF('CF表（奥様働けない時）'!N$3="","",'CF表（奥様働けない時）'!N26/10000)</f>
        <v/>
      </c>
      <c r="O26" s="225">
        <f>IF('CF表（奥様働けない時）'!O$3="","",'CF表（奥様働けない時）'!O26/10000)</f>
        <v/>
      </c>
      <c r="P26" s="225">
        <f>IF('CF表（奥様働けない時）'!P$3="","",'CF表（奥様働けない時）'!P26/10000)</f>
        <v/>
      </c>
      <c r="Q26" s="225">
        <f>IF('CF表（奥様働けない時）'!Q$3="","",'CF表（奥様働けない時）'!Q26/10000)</f>
        <v/>
      </c>
      <c r="R26" s="225">
        <f>IF('CF表（奥様働けない時）'!R$3="","",'CF表（奥様働けない時）'!R26/10000)</f>
        <v/>
      </c>
      <c r="S26" s="225">
        <f>IF('CF表（奥様働けない時）'!S$3="","",'CF表（奥様働けない時）'!S26/10000)</f>
        <v/>
      </c>
      <c r="T26" s="225">
        <f>IF('CF表（奥様働けない時）'!T$3="","",'CF表（奥様働けない時）'!T26/10000)</f>
        <v/>
      </c>
      <c r="U26" s="225">
        <f>IF('CF表（奥様働けない時）'!U$3="","",'CF表（奥様働けない時）'!U26/10000)</f>
        <v/>
      </c>
      <c r="V26" s="225">
        <f>IF('CF表（奥様働けない時）'!V$3="","",'CF表（奥様働けない時）'!V26/10000)</f>
        <v/>
      </c>
      <c r="W26" s="225">
        <f>IF('CF表（奥様働けない時）'!W$3="","",'CF表（奥様働けない時）'!W26/10000)</f>
        <v/>
      </c>
      <c r="X26" s="225">
        <f>IF('CF表（奥様働けない時）'!X$3="","",'CF表（奥様働けない時）'!X26/10000)</f>
        <v/>
      </c>
      <c r="Y26" s="225">
        <f>IF('CF表（奥様働けない時）'!Y$3="","",'CF表（奥様働けない時）'!Y26/10000)</f>
        <v/>
      </c>
      <c r="Z26" s="225">
        <f>IF('CF表（奥様働けない時）'!Z$3="","",'CF表（奥様働けない時）'!Z26/10000)</f>
        <v/>
      </c>
      <c r="AA26" s="225">
        <f>IF('CF表（奥様働けない時）'!AA$3="","",'CF表（奥様働けない時）'!AA26/10000)</f>
        <v/>
      </c>
      <c r="AB26" s="225">
        <f>IF('CF表（奥様働けない時）'!AB$3="","",'CF表（奥様働けない時）'!AB26/10000)</f>
        <v/>
      </c>
      <c r="AC26" s="225">
        <f>IF('CF表（奥様働けない時）'!AC$3="","",'CF表（奥様働けない時）'!AC26/10000)</f>
        <v/>
      </c>
      <c r="AD26" s="225">
        <f>IF('CF表（奥様働けない時）'!AD$3="","",'CF表（奥様働けない時）'!AD26/10000)</f>
        <v/>
      </c>
      <c r="AE26" s="225">
        <f>IF('CF表（奥様働けない時）'!AE$3="","",'CF表（奥様働けない時）'!AE26/10000)</f>
        <v/>
      </c>
      <c r="AF26" s="225">
        <f>IF('CF表（奥様働けない時）'!AF$3="","",'CF表（奥様働けない時）'!AF26/10000)</f>
        <v/>
      </c>
      <c r="AG26" s="225">
        <f>IF('CF表（奥様働けない時）'!AG$3="","",'CF表（奥様働けない時）'!AG26/10000)</f>
        <v/>
      </c>
      <c r="AH26" s="225">
        <f>IF('CF表（奥様働けない時）'!AH$3="","",'CF表（奥様働けない時）'!AH26/10000)</f>
        <v/>
      </c>
      <c r="AI26" s="225">
        <f>IF('CF表（奥様働けない時）'!AI$3="","",'CF表（奥様働けない時）'!AI26/10000)</f>
        <v/>
      </c>
      <c r="AJ26" s="225">
        <f>IF('CF表（奥様働けない時）'!AJ$3="","",'CF表（奥様働けない時）'!AJ26/10000)</f>
        <v/>
      </c>
      <c r="AK26" s="225">
        <f>IF('CF表（奥様働けない時）'!AK$3="","",'CF表（奥様働けない時）'!AK26/10000)</f>
        <v/>
      </c>
      <c r="AL26" s="225">
        <f>IF('CF表（奥様働けない時）'!AL$3="","",'CF表（奥様働けない時）'!AL26/10000)</f>
        <v/>
      </c>
      <c r="AM26" s="225">
        <f>IF('CF表（奥様働けない時）'!AM$3="","",'CF表（奥様働けない時）'!AM26/10000)</f>
        <v/>
      </c>
      <c r="AN26" s="225">
        <f>IF('CF表（奥様働けない時）'!AN$3="","",'CF表（奥様働けない時）'!AN26/10000)</f>
        <v/>
      </c>
      <c r="AO26" s="225">
        <f>IF('CF表（奥様働けない時）'!AO$3="","",'CF表（奥様働けない時）'!AO26/10000)</f>
        <v/>
      </c>
      <c r="AP26" s="225">
        <f>IF('CF表（奥様働けない時）'!AP$3="","",'CF表（奥様働けない時）'!AP26/10000)</f>
        <v/>
      </c>
      <c r="AQ26" s="225">
        <f>IF('CF表（奥様働けない時）'!AQ$3="","",'CF表（奥様働けない時）'!AQ26/10000)</f>
        <v/>
      </c>
      <c r="AR26" s="225">
        <f>IF('CF表（奥様働けない時）'!AR$3="","",'CF表（奥様働けない時）'!AR26/10000)</f>
        <v/>
      </c>
      <c r="AS26" s="225">
        <f>IF('CF表（奥様働けない時）'!AS$3="","",'CF表（奥様働けない時）'!AS26/10000)</f>
        <v/>
      </c>
      <c r="AT26" s="225">
        <f>IF('CF表（奥様働けない時）'!AT$3="","",'CF表（奥様働けない時）'!AT26/10000)</f>
        <v/>
      </c>
      <c r="AU26" s="225">
        <f>IF('CF表（奥様働けない時）'!AU$3="","",'CF表（奥様働けない時）'!AU26/10000)</f>
        <v/>
      </c>
      <c r="AV26" s="225">
        <f>IF('CF表（奥様働けない時）'!AV$3="","",'CF表（奥様働けない時）'!AV26/10000)</f>
        <v/>
      </c>
      <c r="AW26" s="225">
        <f>IF('CF表（奥様働けない時）'!AW$3="","",'CF表（奥様働けない時）'!AW26/10000)</f>
        <v/>
      </c>
      <c r="AX26" s="225">
        <f>IF('CF表（奥様働けない時）'!AX$3="","",'CF表（奥様働けない時）'!AX26/10000)</f>
        <v/>
      </c>
      <c r="AY26" s="225">
        <f>IF('CF表（奥様働けない時）'!AY$3="","",'CF表（奥様働けない時）'!AY26/10000)</f>
        <v/>
      </c>
      <c r="AZ26" s="225">
        <f>IF('CF表（奥様働けない時）'!AZ$3="","",'CF表（奥様働けない時）'!AZ26/10000)</f>
        <v/>
      </c>
      <c r="BA26" s="225">
        <f>IF('CF表（奥様働けない時）'!BA$3="","",'CF表（奥様働けない時）'!BA26/10000)</f>
        <v/>
      </c>
      <c r="BB26" s="225">
        <f>IF('CF表（奥様働けない時）'!BB$3="","",'CF表（奥様働けない時）'!BB26/10000)</f>
        <v/>
      </c>
      <c r="BC26" s="225">
        <f>IF('CF表（奥様働けない時）'!BC$3="","",'CF表（奥様働けない時）'!BC26/10000)</f>
        <v/>
      </c>
      <c r="BD26" s="225">
        <f>IF('CF表（奥様働けない時）'!BD$3="","",'CF表（奥様働けない時）'!BD26/10000)</f>
        <v/>
      </c>
      <c r="BE26" s="225">
        <f>IF('CF表（奥様働けない時）'!BE$3="","",'CF表（奥様働けない時）'!BE26/10000)</f>
        <v/>
      </c>
      <c r="BF26" s="225">
        <f>IF('CF表（奥様働けない時）'!BF$3="","",'CF表（奥様働けない時）'!BF26/10000)</f>
        <v/>
      </c>
      <c r="BG26" s="225">
        <f>IF('CF表（奥様働けない時）'!BG$3="","",'CF表（奥様働けない時）'!BG26/10000)</f>
        <v/>
      </c>
      <c r="BH26" s="225">
        <f>IF('CF表（奥様働けない時）'!BH$3="","",'CF表（奥様働けない時）'!BH26/10000)</f>
        <v/>
      </c>
      <c r="BI26" s="225">
        <f>IF('CF表（奥様働けない時）'!BI$3="","",'CF表（奥様働けない時）'!BI26/10000)</f>
        <v/>
      </c>
      <c r="BJ26" s="225">
        <f>IF('CF表（奥様働けない時）'!BJ$3="","",'CF表（奥様働けない時）'!BJ26/10000)</f>
        <v/>
      </c>
      <c r="BK26" s="225">
        <f>IF('CF表（奥様働けない時）'!BK$3="","",'CF表（奥様働けない時）'!BK26/10000)</f>
        <v/>
      </c>
      <c r="BL26" s="225">
        <f>IF('CF表（奥様働けない時）'!BL$3="","",'CF表（奥様働けない時）'!BL26/10000)</f>
        <v/>
      </c>
      <c r="BM26" s="225">
        <f>IF('CF表（奥様働けない時）'!BM$3="","",'CF表（奥様働けない時）'!BM26/10000)</f>
        <v/>
      </c>
      <c r="BN26" s="225">
        <f>IF('CF表（奥様働けない時）'!BN$3="","",'CF表（奥様働けない時）'!BN26/10000)</f>
        <v/>
      </c>
      <c r="BO26" s="225">
        <f>IF('CF表（奥様働けない時）'!BO$3="","",'CF表（奥様働けない時）'!BO26/10000)</f>
        <v/>
      </c>
      <c r="BP26" s="225">
        <f>IF('CF表（奥様働けない時）'!BP$3="","",'CF表（奥様働けない時）'!BP26/10000)</f>
        <v/>
      </c>
      <c r="BQ26" s="225">
        <f>IF('CF表（奥様働けない時）'!BQ$3="","",'CF表（奥様働けない時）'!BQ26/10000)</f>
        <v/>
      </c>
      <c r="BR26" s="225">
        <f>IF('CF表（奥様働けない時）'!BR$3="","",'CF表（奥様働けない時）'!BR26/10000)</f>
        <v/>
      </c>
      <c r="BS26" s="225">
        <f>IF('CF表（奥様働けない時）'!BS$3="","",'CF表（奥様働けない時）'!BS26/10000)</f>
        <v/>
      </c>
      <c r="BT26" s="225">
        <f>IF('CF表（奥様働けない時）'!BT$3="","",'CF表（奥様働けない時）'!BT26/10000)</f>
        <v/>
      </c>
      <c r="BU26" s="225">
        <f>IF('CF表（奥様働けない時）'!BU$3="","",'CF表（奥様働けない時）'!BU26/10000)</f>
        <v/>
      </c>
      <c r="BV26" s="225">
        <f>IF('CF表（奥様働けない時）'!BV$3="","",'CF表（奥様働けない時）'!BV26/10000)</f>
        <v/>
      </c>
      <c r="BW26" s="225">
        <f>IF('CF表（奥様働けない時）'!BW$3="","",'CF表（奥様働けない時）'!BW26/10000)</f>
        <v/>
      </c>
      <c r="BX26" s="225">
        <f>IF('CF表（奥様働けない時）'!BX$3="","",'CF表（奥様働けない時）'!BX26/10000)</f>
        <v/>
      </c>
      <c r="BY26" s="225">
        <f>IF('CF表（奥様働けない時）'!BY$3="","",'CF表（奥様働けない時）'!BY26/10000)</f>
        <v/>
      </c>
      <c r="BZ26" s="225">
        <f>IF('CF表（奥様働けない時）'!BZ$3="","",'CF表（奥様働けない時）'!BZ26/10000)</f>
        <v/>
      </c>
      <c r="CA26" s="225">
        <f>IF('CF表（奥様働けない時）'!CA$3="","",'CF表（奥様働けない時）'!CA26/10000)</f>
        <v/>
      </c>
      <c r="CB26" s="225">
        <f>IF('CF表（奥様働けない時）'!CB$3="","",'CF表（奥様働けない時）'!CB26/10000)</f>
        <v/>
      </c>
      <c r="CC26" s="225">
        <f>IF('CF表（奥様働けない時）'!CC$3="","",'CF表（奥様働けない時）'!CC26/10000)</f>
        <v/>
      </c>
      <c r="CD26" s="225">
        <f>IF('CF表（奥様働けない時）'!CD$3="","",'CF表（奥様働けない時）'!CD26/10000)</f>
        <v/>
      </c>
      <c r="CE26" s="225">
        <f>IF('CF表（奥様働けない時）'!CE$3="","",'CF表（奥様働けない時）'!CE26/10000)</f>
        <v/>
      </c>
      <c r="CF26" s="225">
        <f>IF('CF表（奥様働けない時）'!CF$3="","",'CF表（奥様働けない時）'!CF26/10000)</f>
        <v/>
      </c>
      <c r="CG26" s="225">
        <f>IF('CF表（奥様働けない時）'!CG$3="","",'CF表（奥様働けない時）'!CG26/10000)</f>
        <v/>
      </c>
      <c r="CH26" s="225">
        <f>IF('CF表（奥様働けない時）'!CH$3="","",'CF表（奥様働けない時）'!CH26/10000)</f>
        <v/>
      </c>
      <c r="CI26" s="225">
        <f>IF('CF表（奥様働けない時）'!CI$3="","",'CF表（奥様働けない時）'!CI26/10000)</f>
        <v/>
      </c>
      <c r="CJ26" s="225">
        <f>IF('CF表（奥様働けない時）'!CJ$3="","",'CF表（奥様働けない時）'!CJ26/10000)</f>
        <v/>
      </c>
      <c r="CK26" s="225">
        <f>IF('CF表（奥様働けない時）'!CK$3="","",'CF表（奥様働けない時）'!CK26/10000)</f>
        <v/>
      </c>
      <c r="CL26" s="225">
        <f>IF('CF表（奥様働けない時）'!CL$3="","",'CF表（奥様働けない時）'!CL26/10000)</f>
        <v/>
      </c>
      <c r="CM26" s="225">
        <f>IF('CF表（奥様働けない時）'!CM$3="","",'CF表（奥様働けない時）'!CM26/10000)</f>
        <v/>
      </c>
      <c r="CN26" s="225">
        <f>IF('CF表（奥様働けない時）'!CN$3="","",'CF表（奥様働けない時）'!CN26/10000)</f>
        <v/>
      </c>
      <c r="CO26" s="225">
        <f>IF('CF表（奥様働けない時）'!CO$3="","",'CF表（奥様働けない時）'!CO26/10000)</f>
        <v/>
      </c>
      <c r="CP26" s="225">
        <f>IF('CF表（奥様働けない時）'!CP$3="","",'CF表（奥様働けない時）'!CP26/10000)</f>
        <v/>
      </c>
      <c r="CQ26" s="225">
        <f>IF('CF表（奥様働けない時）'!CQ$3="","",'CF表（奥様働けない時）'!CQ26/10000)</f>
        <v/>
      </c>
      <c r="CR26" s="225">
        <f>IF('CF表（奥様働けない時）'!CR$3="","",'CF表（奥様働けない時）'!CR26/10000)</f>
        <v/>
      </c>
      <c r="CS26" s="225">
        <f>IF('CF表（奥様働けない時）'!CS$3="","",'CF表（奥様働けない時）'!CS26/10000)</f>
        <v/>
      </c>
      <c r="CT26" s="225">
        <f>IF('CF表（奥様働けない時）'!CT$3="","",'CF表（奥様働けない時）'!CT26/10000)</f>
        <v/>
      </c>
      <c r="CU26" s="225">
        <f>IF('CF表（奥様働けない時）'!CU$3="","",'CF表（奥様働けない時）'!CU26/10000)</f>
        <v/>
      </c>
      <c r="CV26" s="225">
        <f>IF('CF表（奥様働けない時）'!CV$3="","",'CF表（奥様働けない時）'!CV26/10000)</f>
        <v/>
      </c>
      <c r="CW26" s="225">
        <f>IF('CF表（奥様働けない時）'!CW$3="","",'CF表（奥様働けない時）'!CW26/10000)</f>
        <v/>
      </c>
    </row>
    <row r="27" ht="15" customHeight="1" s="180">
      <c r="A27" s="224" t="inlineStr">
        <is>
          <t>一時支出</t>
        </is>
      </c>
      <c r="B27" s="225">
        <f>IF('CF表（奥様働けない時）'!B$3="","",'CF表（奥様働けない時）'!B27/10000)</f>
        <v/>
      </c>
      <c r="C27" s="225">
        <f>IF('CF表（奥様働けない時）'!C$3="","",'CF表（奥様働けない時）'!C27/10000)</f>
        <v/>
      </c>
      <c r="D27" s="225">
        <f>IF('CF表（奥様働けない時）'!D$3="","",'CF表（奥様働けない時）'!D27/10000)</f>
        <v/>
      </c>
      <c r="E27" s="225">
        <f>IF('CF表（奥様働けない時）'!E$3="","",'CF表（奥様働けない時）'!E27/10000)</f>
        <v/>
      </c>
      <c r="F27" s="225">
        <f>IF('CF表（奥様働けない時）'!F$3="","",'CF表（奥様働けない時）'!F27/10000)</f>
        <v/>
      </c>
      <c r="G27" s="225">
        <f>IF('CF表（奥様働けない時）'!G$3="","",'CF表（奥様働けない時）'!G27/10000)</f>
        <v/>
      </c>
      <c r="H27" s="225">
        <f>IF('CF表（奥様働けない時）'!H$3="","",'CF表（奥様働けない時）'!H27/10000)</f>
        <v/>
      </c>
      <c r="I27" s="225">
        <f>IF('CF表（奥様働けない時）'!I$3="","",'CF表（奥様働けない時）'!I27/10000)</f>
        <v/>
      </c>
      <c r="J27" s="225">
        <f>IF('CF表（奥様働けない時）'!J$3="","",'CF表（奥様働けない時）'!J27/10000)</f>
        <v/>
      </c>
      <c r="K27" s="225">
        <f>IF('CF表（奥様働けない時）'!K$3="","",'CF表（奥様働けない時）'!K27/10000)</f>
        <v/>
      </c>
      <c r="L27" s="225">
        <f>IF('CF表（奥様働けない時）'!L$3="","",'CF表（奥様働けない時）'!L27/10000)</f>
        <v/>
      </c>
      <c r="M27" s="225">
        <f>IF('CF表（奥様働けない時）'!M$3="","",'CF表（奥様働けない時）'!M27/10000)</f>
        <v/>
      </c>
      <c r="N27" s="225">
        <f>IF('CF表（奥様働けない時）'!N$3="","",'CF表（奥様働けない時）'!N27/10000)</f>
        <v/>
      </c>
      <c r="O27" s="225">
        <f>IF('CF表（奥様働けない時）'!O$3="","",'CF表（奥様働けない時）'!O27/10000)</f>
        <v/>
      </c>
      <c r="P27" s="225">
        <f>IF('CF表（奥様働けない時）'!P$3="","",'CF表（奥様働けない時）'!P27/10000)</f>
        <v/>
      </c>
      <c r="Q27" s="225">
        <f>IF('CF表（奥様働けない時）'!Q$3="","",'CF表（奥様働けない時）'!Q27/10000)</f>
        <v/>
      </c>
      <c r="R27" s="225">
        <f>IF('CF表（奥様働けない時）'!R$3="","",'CF表（奥様働けない時）'!R27/10000)</f>
        <v/>
      </c>
      <c r="S27" s="225">
        <f>IF('CF表（奥様働けない時）'!S$3="","",'CF表（奥様働けない時）'!S27/10000)</f>
        <v/>
      </c>
      <c r="T27" s="225">
        <f>IF('CF表（奥様働けない時）'!T$3="","",'CF表（奥様働けない時）'!T27/10000)</f>
        <v/>
      </c>
      <c r="U27" s="225">
        <f>IF('CF表（奥様働けない時）'!U$3="","",'CF表（奥様働けない時）'!U27/10000)</f>
        <v/>
      </c>
      <c r="V27" s="225">
        <f>IF('CF表（奥様働けない時）'!V$3="","",'CF表（奥様働けない時）'!V27/10000)</f>
        <v/>
      </c>
      <c r="W27" s="225">
        <f>IF('CF表（奥様働けない時）'!W$3="","",'CF表（奥様働けない時）'!W27/10000)</f>
        <v/>
      </c>
      <c r="X27" s="225">
        <f>IF('CF表（奥様働けない時）'!X$3="","",'CF表（奥様働けない時）'!X27/10000)</f>
        <v/>
      </c>
      <c r="Y27" s="225">
        <f>IF('CF表（奥様働けない時）'!Y$3="","",'CF表（奥様働けない時）'!Y27/10000)</f>
        <v/>
      </c>
      <c r="Z27" s="225">
        <f>IF('CF表（奥様働けない時）'!Z$3="","",'CF表（奥様働けない時）'!Z27/10000)</f>
        <v/>
      </c>
      <c r="AA27" s="225">
        <f>IF('CF表（奥様働けない時）'!AA$3="","",'CF表（奥様働けない時）'!AA27/10000)</f>
        <v/>
      </c>
      <c r="AB27" s="225">
        <f>IF('CF表（奥様働けない時）'!AB$3="","",'CF表（奥様働けない時）'!AB27/10000)</f>
        <v/>
      </c>
      <c r="AC27" s="225">
        <f>IF('CF表（奥様働けない時）'!AC$3="","",'CF表（奥様働けない時）'!AC27/10000)</f>
        <v/>
      </c>
      <c r="AD27" s="225">
        <f>IF('CF表（奥様働けない時）'!AD$3="","",'CF表（奥様働けない時）'!AD27/10000)</f>
        <v/>
      </c>
      <c r="AE27" s="225">
        <f>IF('CF表（奥様働けない時）'!AE$3="","",'CF表（奥様働けない時）'!AE27/10000)</f>
        <v/>
      </c>
      <c r="AF27" s="225">
        <f>IF('CF表（奥様働けない時）'!AF$3="","",'CF表（奥様働けない時）'!AF27/10000)</f>
        <v/>
      </c>
      <c r="AG27" s="225">
        <f>IF('CF表（奥様働けない時）'!AG$3="","",'CF表（奥様働けない時）'!AG27/10000)</f>
        <v/>
      </c>
      <c r="AH27" s="225">
        <f>IF('CF表（奥様働けない時）'!AH$3="","",'CF表（奥様働けない時）'!AH27/10000)</f>
        <v/>
      </c>
      <c r="AI27" s="225">
        <f>IF('CF表（奥様働けない時）'!AI$3="","",'CF表（奥様働けない時）'!AI27/10000)</f>
        <v/>
      </c>
      <c r="AJ27" s="225">
        <f>IF('CF表（奥様働けない時）'!AJ$3="","",'CF表（奥様働けない時）'!AJ27/10000)</f>
        <v/>
      </c>
      <c r="AK27" s="225">
        <f>IF('CF表（奥様働けない時）'!AK$3="","",'CF表（奥様働けない時）'!AK27/10000)</f>
        <v/>
      </c>
      <c r="AL27" s="225">
        <f>IF('CF表（奥様働けない時）'!AL$3="","",'CF表（奥様働けない時）'!AL27/10000)</f>
        <v/>
      </c>
      <c r="AM27" s="225">
        <f>IF('CF表（奥様働けない時）'!AM$3="","",'CF表（奥様働けない時）'!AM27/10000)</f>
        <v/>
      </c>
      <c r="AN27" s="225">
        <f>IF('CF表（奥様働けない時）'!AN$3="","",'CF表（奥様働けない時）'!AN27/10000)</f>
        <v/>
      </c>
      <c r="AO27" s="225">
        <f>IF('CF表（奥様働けない時）'!AO$3="","",'CF表（奥様働けない時）'!AO27/10000)</f>
        <v/>
      </c>
      <c r="AP27" s="225">
        <f>IF('CF表（奥様働けない時）'!AP$3="","",'CF表（奥様働けない時）'!AP27/10000)</f>
        <v/>
      </c>
      <c r="AQ27" s="225">
        <f>IF('CF表（奥様働けない時）'!AQ$3="","",'CF表（奥様働けない時）'!AQ27/10000)</f>
        <v/>
      </c>
      <c r="AR27" s="225">
        <f>IF('CF表（奥様働けない時）'!AR$3="","",'CF表（奥様働けない時）'!AR27/10000)</f>
        <v/>
      </c>
      <c r="AS27" s="225">
        <f>IF('CF表（奥様働けない時）'!AS$3="","",'CF表（奥様働けない時）'!AS27/10000)</f>
        <v/>
      </c>
      <c r="AT27" s="225">
        <f>IF('CF表（奥様働けない時）'!AT$3="","",'CF表（奥様働けない時）'!AT27/10000)</f>
        <v/>
      </c>
      <c r="AU27" s="225">
        <f>IF('CF表（奥様働けない時）'!AU$3="","",'CF表（奥様働けない時）'!AU27/10000)</f>
        <v/>
      </c>
      <c r="AV27" s="225">
        <f>IF('CF表（奥様働けない時）'!AV$3="","",'CF表（奥様働けない時）'!AV27/10000)</f>
        <v/>
      </c>
      <c r="AW27" s="225">
        <f>IF('CF表（奥様働けない時）'!AW$3="","",'CF表（奥様働けない時）'!AW27/10000)</f>
        <v/>
      </c>
      <c r="AX27" s="225">
        <f>IF('CF表（奥様働けない時）'!AX$3="","",'CF表（奥様働けない時）'!AX27/10000)</f>
        <v/>
      </c>
      <c r="AY27" s="225">
        <f>IF('CF表（奥様働けない時）'!AY$3="","",'CF表（奥様働けない時）'!AY27/10000)</f>
        <v/>
      </c>
      <c r="AZ27" s="225">
        <f>IF('CF表（奥様働けない時）'!AZ$3="","",'CF表（奥様働けない時）'!AZ27/10000)</f>
        <v/>
      </c>
      <c r="BA27" s="225">
        <f>IF('CF表（奥様働けない時）'!BA$3="","",'CF表（奥様働けない時）'!BA27/10000)</f>
        <v/>
      </c>
      <c r="BB27" s="225">
        <f>IF('CF表（奥様働けない時）'!BB$3="","",'CF表（奥様働けない時）'!BB27/10000)</f>
        <v/>
      </c>
      <c r="BC27" s="225">
        <f>IF('CF表（奥様働けない時）'!BC$3="","",'CF表（奥様働けない時）'!BC27/10000)</f>
        <v/>
      </c>
      <c r="BD27" s="225">
        <f>IF('CF表（奥様働けない時）'!BD$3="","",'CF表（奥様働けない時）'!BD27/10000)</f>
        <v/>
      </c>
      <c r="BE27" s="225">
        <f>IF('CF表（奥様働けない時）'!BE$3="","",'CF表（奥様働けない時）'!BE27/10000)</f>
        <v/>
      </c>
      <c r="BF27" s="225">
        <f>IF('CF表（奥様働けない時）'!BF$3="","",'CF表（奥様働けない時）'!BF27/10000)</f>
        <v/>
      </c>
      <c r="BG27" s="225">
        <f>IF('CF表（奥様働けない時）'!BG$3="","",'CF表（奥様働けない時）'!BG27/10000)</f>
        <v/>
      </c>
      <c r="BH27" s="225">
        <f>IF('CF表（奥様働けない時）'!BH$3="","",'CF表（奥様働けない時）'!BH27/10000)</f>
        <v/>
      </c>
      <c r="BI27" s="225">
        <f>IF('CF表（奥様働けない時）'!BI$3="","",'CF表（奥様働けない時）'!BI27/10000)</f>
        <v/>
      </c>
      <c r="BJ27" s="225">
        <f>IF('CF表（奥様働けない時）'!BJ$3="","",'CF表（奥様働けない時）'!BJ27/10000)</f>
        <v/>
      </c>
      <c r="BK27" s="225">
        <f>IF('CF表（奥様働けない時）'!BK$3="","",'CF表（奥様働けない時）'!BK27/10000)</f>
        <v/>
      </c>
      <c r="BL27" s="225">
        <f>IF('CF表（奥様働けない時）'!BL$3="","",'CF表（奥様働けない時）'!BL27/10000)</f>
        <v/>
      </c>
      <c r="BM27" s="225">
        <f>IF('CF表（奥様働けない時）'!BM$3="","",'CF表（奥様働けない時）'!BM27/10000)</f>
        <v/>
      </c>
      <c r="BN27" s="225">
        <f>IF('CF表（奥様働けない時）'!BN$3="","",'CF表（奥様働けない時）'!BN27/10000)</f>
        <v/>
      </c>
      <c r="BO27" s="225">
        <f>IF('CF表（奥様働けない時）'!BO$3="","",'CF表（奥様働けない時）'!BO27/10000)</f>
        <v/>
      </c>
      <c r="BP27" s="225">
        <f>IF('CF表（奥様働けない時）'!BP$3="","",'CF表（奥様働けない時）'!BP27/10000)</f>
        <v/>
      </c>
      <c r="BQ27" s="225">
        <f>IF('CF表（奥様働けない時）'!BQ$3="","",'CF表（奥様働けない時）'!BQ27/10000)</f>
        <v/>
      </c>
      <c r="BR27" s="225">
        <f>IF('CF表（奥様働けない時）'!BR$3="","",'CF表（奥様働けない時）'!BR27/10000)</f>
        <v/>
      </c>
      <c r="BS27" s="225">
        <f>IF('CF表（奥様働けない時）'!BS$3="","",'CF表（奥様働けない時）'!BS27/10000)</f>
        <v/>
      </c>
      <c r="BT27" s="225">
        <f>IF('CF表（奥様働けない時）'!BT$3="","",'CF表（奥様働けない時）'!BT27/10000)</f>
        <v/>
      </c>
      <c r="BU27" s="225">
        <f>IF('CF表（奥様働けない時）'!BU$3="","",'CF表（奥様働けない時）'!BU27/10000)</f>
        <v/>
      </c>
      <c r="BV27" s="225">
        <f>IF('CF表（奥様働けない時）'!BV$3="","",'CF表（奥様働けない時）'!BV27/10000)</f>
        <v/>
      </c>
      <c r="BW27" s="225">
        <f>IF('CF表（奥様働けない時）'!BW$3="","",'CF表（奥様働けない時）'!BW27/10000)</f>
        <v/>
      </c>
      <c r="BX27" s="225">
        <f>IF('CF表（奥様働けない時）'!BX$3="","",'CF表（奥様働けない時）'!BX27/10000)</f>
        <v/>
      </c>
      <c r="BY27" s="225">
        <f>IF('CF表（奥様働けない時）'!BY$3="","",'CF表（奥様働けない時）'!BY27/10000)</f>
        <v/>
      </c>
      <c r="BZ27" s="225">
        <f>IF('CF表（奥様働けない時）'!BZ$3="","",'CF表（奥様働けない時）'!BZ27/10000)</f>
        <v/>
      </c>
      <c r="CA27" s="225">
        <f>IF('CF表（奥様働けない時）'!CA$3="","",'CF表（奥様働けない時）'!CA27/10000)</f>
        <v/>
      </c>
      <c r="CB27" s="225">
        <f>IF('CF表（奥様働けない時）'!CB$3="","",'CF表（奥様働けない時）'!CB27/10000)</f>
        <v/>
      </c>
      <c r="CC27" s="225">
        <f>IF('CF表（奥様働けない時）'!CC$3="","",'CF表（奥様働けない時）'!CC27/10000)</f>
        <v/>
      </c>
      <c r="CD27" s="225">
        <f>IF('CF表（奥様働けない時）'!CD$3="","",'CF表（奥様働けない時）'!CD27/10000)</f>
        <v/>
      </c>
      <c r="CE27" s="225">
        <f>IF('CF表（奥様働けない時）'!CE$3="","",'CF表（奥様働けない時）'!CE27/10000)</f>
        <v/>
      </c>
      <c r="CF27" s="225">
        <f>IF('CF表（奥様働けない時）'!CF$3="","",'CF表（奥様働けない時）'!CF27/10000)</f>
        <v/>
      </c>
      <c r="CG27" s="225">
        <f>IF('CF表（奥様働けない時）'!CG$3="","",'CF表（奥様働けない時）'!CG27/10000)</f>
        <v/>
      </c>
      <c r="CH27" s="225">
        <f>IF('CF表（奥様働けない時）'!CH$3="","",'CF表（奥様働けない時）'!CH27/10000)</f>
        <v/>
      </c>
      <c r="CI27" s="225">
        <f>IF('CF表（奥様働けない時）'!CI$3="","",'CF表（奥様働けない時）'!CI27/10000)</f>
        <v/>
      </c>
      <c r="CJ27" s="225">
        <f>IF('CF表（奥様働けない時）'!CJ$3="","",'CF表（奥様働けない時）'!CJ27/10000)</f>
        <v/>
      </c>
      <c r="CK27" s="225">
        <f>IF('CF表（奥様働けない時）'!CK$3="","",'CF表（奥様働けない時）'!CK27/10000)</f>
        <v/>
      </c>
      <c r="CL27" s="225">
        <f>IF('CF表（奥様働けない時）'!CL$3="","",'CF表（奥様働けない時）'!CL27/10000)</f>
        <v/>
      </c>
      <c r="CM27" s="225">
        <f>IF('CF表（奥様働けない時）'!CM$3="","",'CF表（奥様働けない時）'!CM27/10000)</f>
        <v/>
      </c>
      <c r="CN27" s="225">
        <f>IF('CF表（奥様働けない時）'!CN$3="","",'CF表（奥様働けない時）'!CN27/10000)</f>
        <v/>
      </c>
      <c r="CO27" s="225">
        <f>IF('CF表（奥様働けない時）'!CO$3="","",'CF表（奥様働けない時）'!CO27/10000)</f>
        <v/>
      </c>
      <c r="CP27" s="225">
        <f>IF('CF表（奥様働けない時）'!CP$3="","",'CF表（奥様働けない時）'!CP27/10000)</f>
        <v/>
      </c>
      <c r="CQ27" s="225">
        <f>IF('CF表（奥様働けない時）'!CQ$3="","",'CF表（奥様働けない時）'!CQ27/10000)</f>
        <v/>
      </c>
      <c r="CR27" s="225">
        <f>IF('CF表（奥様働けない時）'!CR$3="","",'CF表（奥様働けない時）'!CR27/10000)</f>
        <v/>
      </c>
      <c r="CS27" s="225">
        <f>IF('CF表（奥様働けない時）'!CS$3="","",'CF表（奥様働けない時）'!CS27/10000)</f>
        <v/>
      </c>
      <c r="CT27" s="225">
        <f>IF('CF表（奥様働けない時）'!CT$3="","",'CF表（奥様働けない時）'!CT27/10000)</f>
        <v/>
      </c>
      <c r="CU27" s="225">
        <f>IF('CF表（奥様働けない時）'!CU$3="","",'CF表（奥様働けない時）'!CU27/10000)</f>
        <v/>
      </c>
      <c r="CV27" s="225">
        <f>IF('CF表（奥様働けない時）'!CV$3="","",'CF表（奥様働けない時）'!CV27/10000)</f>
        <v/>
      </c>
      <c r="CW27" s="225">
        <f>IF('CF表（奥様働けない時）'!CW$3="","",'CF表（奥様働けない時）'!CW27/10000)</f>
        <v/>
      </c>
    </row>
    <row r="28" ht="15" customHeight="1" s="180">
      <c r="A28" s="226" t="inlineStr">
        <is>
          <t>支出合計</t>
        </is>
      </c>
      <c r="B28" s="227">
        <f>IF('CF表（奥様働けない時）'!B$3="","",'CF表（奥様働けない時）'!B28/10000)</f>
        <v/>
      </c>
      <c r="C28" s="227">
        <f>IF('CF表（奥様働けない時）'!C$3="","",'CF表（奥様働けない時）'!C28/10000)</f>
        <v/>
      </c>
      <c r="D28" s="227">
        <f>IF('CF表（奥様働けない時）'!D$3="","",'CF表（奥様働けない時）'!D28/10000)</f>
        <v/>
      </c>
      <c r="E28" s="227">
        <f>IF('CF表（奥様働けない時）'!E$3="","",'CF表（奥様働けない時）'!E28/10000)</f>
        <v/>
      </c>
      <c r="F28" s="227">
        <f>IF('CF表（奥様働けない時）'!F$3="","",'CF表（奥様働けない時）'!F28/10000)</f>
        <v/>
      </c>
      <c r="G28" s="227">
        <f>IF('CF表（奥様働けない時）'!G$3="","",'CF表（奥様働けない時）'!G28/10000)</f>
        <v/>
      </c>
      <c r="H28" s="227">
        <f>IF('CF表（奥様働けない時）'!H$3="","",'CF表（奥様働けない時）'!H28/10000)</f>
        <v/>
      </c>
      <c r="I28" s="227">
        <f>IF('CF表（奥様働けない時）'!I$3="","",'CF表（奥様働けない時）'!I28/10000)</f>
        <v/>
      </c>
      <c r="J28" s="227">
        <f>IF('CF表（奥様働けない時）'!J$3="","",'CF表（奥様働けない時）'!J28/10000)</f>
        <v/>
      </c>
      <c r="K28" s="227">
        <f>IF('CF表（奥様働けない時）'!K$3="","",'CF表（奥様働けない時）'!K28/10000)</f>
        <v/>
      </c>
      <c r="L28" s="227">
        <f>IF('CF表（奥様働けない時）'!L$3="","",'CF表（奥様働けない時）'!L28/10000)</f>
        <v/>
      </c>
      <c r="M28" s="227">
        <f>IF('CF表（奥様働けない時）'!M$3="","",'CF表（奥様働けない時）'!M28/10000)</f>
        <v/>
      </c>
      <c r="N28" s="227">
        <f>IF('CF表（奥様働けない時）'!N$3="","",'CF表（奥様働けない時）'!N28/10000)</f>
        <v/>
      </c>
      <c r="O28" s="227">
        <f>IF('CF表（奥様働けない時）'!O$3="","",'CF表（奥様働けない時）'!O28/10000)</f>
        <v/>
      </c>
      <c r="P28" s="227">
        <f>IF('CF表（奥様働けない時）'!P$3="","",'CF表（奥様働けない時）'!P28/10000)</f>
        <v/>
      </c>
      <c r="Q28" s="227">
        <f>IF('CF表（奥様働けない時）'!Q$3="","",'CF表（奥様働けない時）'!Q28/10000)</f>
        <v/>
      </c>
      <c r="R28" s="227">
        <f>IF('CF表（奥様働けない時）'!R$3="","",'CF表（奥様働けない時）'!R28/10000)</f>
        <v/>
      </c>
      <c r="S28" s="227">
        <f>IF('CF表（奥様働けない時）'!S$3="","",'CF表（奥様働けない時）'!S28/10000)</f>
        <v/>
      </c>
      <c r="T28" s="227">
        <f>IF('CF表（奥様働けない時）'!T$3="","",'CF表（奥様働けない時）'!T28/10000)</f>
        <v/>
      </c>
      <c r="U28" s="227">
        <f>IF('CF表（奥様働けない時）'!U$3="","",'CF表（奥様働けない時）'!U28/10000)</f>
        <v/>
      </c>
      <c r="V28" s="227">
        <f>IF('CF表（奥様働けない時）'!V$3="","",'CF表（奥様働けない時）'!V28/10000)</f>
        <v/>
      </c>
      <c r="W28" s="227">
        <f>IF('CF表（奥様働けない時）'!W$3="","",'CF表（奥様働けない時）'!W28/10000)</f>
        <v/>
      </c>
      <c r="X28" s="227">
        <f>IF('CF表（奥様働けない時）'!X$3="","",'CF表（奥様働けない時）'!X28/10000)</f>
        <v/>
      </c>
      <c r="Y28" s="227">
        <f>IF('CF表（奥様働けない時）'!Y$3="","",'CF表（奥様働けない時）'!Y28/10000)</f>
        <v/>
      </c>
      <c r="Z28" s="227">
        <f>IF('CF表（奥様働けない時）'!Z$3="","",'CF表（奥様働けない時）'!Z28/10000)</f>
        <v/>
      </c>
      <c r="AA28" s="227">
        <f>IF('CF表（奥様働けない時）'!AA$3="","",'CF表（奥様働けない時）'!AA28/10000)</f>
        <v/>
      </c>
      <c r="AB28" s="227">
        <f>IF('CF表（奥様働けない時）'!AB$3="","",'CF表（奥様働けない時）'!AB28/10000)</f>
        <v/>
      </c>
      <c r="AC28" s="227">
        <f>IF('CF表（奥様働けない時）'!AC$3="","",'CF表（奥様働けない時）'!AC28/10000)</f>
        <v/>
      </c>
      <c r="AD28" s="227">
        <f>IF('CF表（奥様働けない時）'!AD$3="","",'CF表（奥様働けない時）'!AD28/10000)</f>
        <v/>
      </c>
      <c r="AE28" s="227">
        <f>IF('CF表（奥様働けない時）'!AE$3="","",'CF表（奥様働けない時）'!AE28/10000)</f>
        <v/>
      </c>
      <c r="AF28" s="227">
        <f>IF('CF表（奥様働けない時）'!AF$3="","",'CF表（奥様働けない時）'!AF28/10000)</f>
        <v/>
      </c>
      <c r="AG28" s="227">
        <f>IF('CF表（奥様働けない時）'!AG$3="","",'CF表（奥様働けない時）'!AG28/10000)</f>
        <v/>
      </c>
      <c r="AH28" s="227">
        <f>IF('CF表（奥様働けない時）'!AH$3="","",'CF表（奥様働けない時）'!AH28/10000)</f>
        <v/>
      </c>
      <c r="AI28" s="227">
        <f>IF('CF表（奥様働けない時）'!AI$3="","",'CF表（奥様働けない時）'!AI28/10000)</f>
        <v/>
      </c>
      <c r="AJ28" s="227">
        <f>IF('CF表（奥様働けない時）'!AJ$3="","",'CF表（奥様働けない時）'!AJ28/10000)</f>
        <v/>
      </c>
      <c r="AK28" s="227">
        <f>IF('CF表（奥様働けない時）'!AK$3="","",'CF表（奥様働けない時）'!AK28/10000)</f>
        <v/>
      </c>
      <c r="AL28" s="227">
        <f>IF('CF表（奥様働けない時）'!AL$3="","",'CF表（奥様働けない時）'!AL28/10000)</f>
        <v/>
      </c>
      <c r="AM28" s="227">
        <f>IF('CF表（奥様働けない時）'!AM$3="","",'CF表（奥様働けない時）'!AM28/10000)</f>
        <v/>
      </c>
      <c r="AN28" s="227">
        <f>IF('CF表（奥様働けない時）'!AN$3="","",'CF表（奥様働けない時）'!AN28/10000)</f>
        <v/>
      </c>
      <c r="AO28" s="227">
        <f>IF('CF表（奥様働けない時）'!AO$3="","",'CF表（奥様働けない時）'!AO28/10000)</f>
        <v/>
      </c>
      <c r="AP28" s="227">
        <f>IF('CF表（奥様働けない時）'!AP$3="","",'CF表（奥様働けない時）'!AP28/10000)</f>
        <v/>
      </c>
      <c r="AQ28" s="227">
        <f>IF('CF表（奥様働けない時）'!AQ$3="","",'CF表（奥様働けない時）'!AQ28/10000)</f>
        <v/>
      </c>
      <c r="AR28" s="227">
        <f>IF('CF表（奥様働けない時）'!AR$3="","",'CF表（奥様働けない時）'!AR28/10000)</f>
        <v/>
      </c>
      <c r="AS28" s="227">
        <f>IF('CF表（奥様働けない時）'!AS$3="","",'CF表（奥様働けない時）'!AS28/10000)</f>
        <v/>
      </c>
      <c r="AT28" s="227">
        <f>IF('CF表（奥様働けない時）'!AT$3="","",'CF表（奥様働けない時）'!AT28/10000)</f>
        <v/>
      </c>
      <c r="AU28" s="227">
        <f>IF('CF表（奥様働けない時）'!AU$3="","",'CF表（奥様働けない時）'!AU28/10000)</f>
        <v/>
      </c>
      <c r="AV28" s="227">
        <f>IF('CF表（奥様働けない時）'!AV$3="","",'CF表（奥様働けない時）'!AV28/10000)</f>
        <v/>
      </c>
      <c r="AW28" s="227">
        <f>IF('CF表（奥様働けない時）'!AW$3="","",'CF表（奥様働けない時）'!AW28/10000)</f>
        <v/>
      </c>
      <c r="AX28" s="227">
        <f>IF('CF表（奥様働けない時）'!AX$3="","",'CF表（奥様働けない時）'!AX28/10000)</f>
        <v/>
      </c>
      <c r="AY28" s="227">
        <f>IF('CF表（奥様働けない時）'!AY$3="","",'CF表（奥様働けない時）'!AY28/10000)</f>
        <v/>
      </c>
      <c r="AZ28" s="227">
        <f>IF('CF表（奥様働けない時）'!AZ$3="","",'CF表（奥様働けない時）'!AZ28/10000)</f>
        <v/>
      </c>
      <c r="BA28" s="227">
        <f>IF('CF表（奥様働けない時）'!BA$3="","",'CF表（奥様働けない時）'!BA28/10000)</f>
        <v/>
      </c>
      <c r="BB28" s="227">
        <f>IF('CF表（奥様働けない時）'!BB$3="","",'CF表（奥様働けない時）'!BB28/10000)</f>
        <v/>
      </c>
      <c r="BC28" s="227">
        <f>IF('CF表（奥様働けない時）'!BC$3="","",'CF表（奥様働けない時）'!BC28/10000)</f>
        <v/>
      </c>
      <c r="BD28" s="227">
        <f>IF('CF表（奥様働けない時）'!BD$3="","",'CF表（奥様働けない時）'!BD28/10000)</f>
        <v/>
      </c>
      <c r="BE28" s="227">
        <f>IF('CF表（奥様働けない時）'!BE$3="","",'CF表（奥様働けない時）'!BE28/10000)</f>
        <v/>
      </c>
      <c r="BF28" s="227">
        <f>IF('CF表（奥様働けない時）'!BF$3="","",'CF表（奥様働けない時）'!BF28/10000)</f>
        <v/>
      </c>
      <c r="BG28" s="227">
        <f>IF('CF表（奥様働けない時）'!BG$3="","",'CF表（奥様働けない時）'!BG28/10000)</f>
        <v/>
      </c>
      <c r="BH28" s="227">
        <f>IF('CF表（奥様働けない時）'!BH$3="","",'CF表（奥様働けない時）'!BH28/10000)</f>
        <v/>
      </c>
      <c r="BI28" s="227">
        <f>IF('CF表（奥様働けない時）'!BI$3="","",'CF表（奥様働けない時）'!BI28/10000)</f>
        <v/>
      </c>
      <c r="BJ28" s="227">
        <f>IF('CF表（奥様働けない時）'!BJ$3="","",'CF表（奥様働けない時）'!BJ28/10000)</f>
        <v/>
      </c>
      <c r="BK28" s="227">
        <f>IF('CF表（奥様働けない時）'!BK$3="","",'CF表（奥様働けない時）'!BK28/10000)</f>
        <v/>
      </c>
      <c r="BL28" s="227">
        <f>IF('CF表（奥様働けない時）'!BL$3="","",'CF表（奥様働けない時）'!BL28/10000)</f>
        <v/>
      </c>
      <c r="BM28" s="227">
        <f>IF('CF表（奥様働けない時）'!BM$3="","",'CF表（奥様働けない時）'!BM28/10000)</f>
        <v/>
      </c>
      <c r="BN28" s="227">
        <f>IF('CF表（奥様働けない時）'!BN$3="","",'CF表（奥様働けない時）'!BN28/10000)</f>
        <v/>
      </c>
      <c r="BO28" s="227">
        <f>IF('CF表（奥様働けない時）'!BO$3="","",'CF表（奥様働けない時）'!BO28/10000)</f>
        <v/>
      </c>
      <c r="BP28" s="227">
        <f>IF('CF表（奥様働けない時）'!BP$3="","",'CF表（奥様働けない時）'!BP28/10000)</f>
        <v/>
      </c>
      <c r="BQ28" s="227">
        <f>IF('CF表（奥様働けない時）'!BQ$3="","",'CF表（奥様働けない時）'!BQ28/10000)</f>
        <v/>
      </c>
      <c r="BR28" s="227">
        <f>IF('CF表（奥様働けない時）'!BR$3="","",'CF表（奥様働けない時）'!BR28/10000)</f>
        <v/>
      </c>
      <c r="BS28" s="227">
        <f>IF('CF表（奥様働けない時）'!BS$3="","",'CF表（奥様働けない時）'!BS28/10000)</f>
        <v/>
      </c>
      <c r="BT28" s="227">
        <f>IF('CF表（奥様働けない時）'!BT$3="","",'CF表（奥様働けない時）'!BT28/10000)</f>
        <v/>
      </c>
      <c r="BU28" s="227">
        <f>IF('CF表（奥様働けない時）'!BU$3="","",'CF表（奥様働けない時）'!BU28/10000)</f>
        <v/>
      </c>
      <c r="BV28" s="227">
        <f>IF('CF表（奥様働けない時）'!BV$3="","",'CF表（奥様働けない時）'!BV28/10000)</f>
        <v/>
      </c>
      <c r="BW28" s="227">
        <f>IF('CF表（奥様働けない時）'!BW$3="","",'CF表（奥様働けない時）'!BW28/10000)</f>
        <v/>
      </c>
      <c r="BX28" s="227">
        <f>IF('CF表（奥様働けない時）'!BX$3="","",'CF表（奥様働けない時）'!BX28/10000)</f>
        <v/>
      </c>
      <c r="BY28" s="227">
        <f>IF('CF表（奥様働けない時）'!BY$3="","",'CF表（奥様働けない時）'!BY28/10000)</f>
        <v/>
      </c>
      <c r="BZ28" s="227">
        <f>IF('CF表（奥様働けない時）'!BZ$3="","",'CF表（奥様働けない時）'!BZ28/10000)</f>
        <v/>
      </c>
      <c r="CA28" s="227">
        <f>IF('CF表（奥様働けない時）'!CA$3="","",'CF表（奥様働けない時）'!CA28/10000)</f>
        <v/>
      </c>
      <c r="CB28" s="227">
        <f>IF('CF表（奥様働けない時）'!CB$3="","",'CF表（奥様働けない時）'!CB28/10000)</f>
        <v/>
      </c>
      <c r="CC28" s="227">
        <f>IF('CF表（奥様働けない時）'!CC$3="","",'CF表（奥様働けない時）'!CC28/10000)</f>
        <v/>
      </c>
      <c r="CD28" s="227">
        <f>IF('CF表（奥様働けない時）'!CD$3="","",'CF表（奥様働けない時）'!CD28/10000)</f>
        <v/>
      </c>
      <c r="CE28" s="227">
        <f>IF('CF表（奥様働けない時）'!CE$3="","",'CF表（奥様働けない時）'!CE28/10000)</f>
        <v/>
      </c>
      <c r="CF28" s="227">
        <f>IF('CF表（奥様働けない時）'!CF$3="","",'CF表（奥様働けない時）'!CF28/10000)</f>
        <v/>
      </c>
      <c r="CG28" s="227">
        <f>IF('CF表（奥様働けない時）'!CG$3="","",'CF表（奥様働けない時）'!CG28/10000)</f>
        <v/>
      </c>
      <c r="CH28" s="227">
        <f>IF('CF表（奥様働けない時）'!CH$3="","",'CF表（奥様働けない時）'!CH28/10000)</f>
        <v/>
      </c>
      <c r="CI28" s="227">
        <f>IF('CF表（奥様働けない時）'!CI$3="","",'CF表（奥様働けない時）'!CI28/10000)</f>
        <v/>
      </c>
      <c r="CJ28" s="227">
        <f>IF('CF表（奥様働けない時）'!CJ$3="","",'CF表（奥様働けない時）'!CJ28/10000)</f>
        <v/>
      </c>
      <c r="CK28" s="227">
        <f>IF('CF表（奥様働けない時）'!CK$3="","",'CF表（奥様働けない時）'!CK28/10000)</f>
        <v/>
      </c>
      <c r="CL28" s="227">
        <f>IF('CF表（奥様働けない時）'!CL$3="","",'CF表（奥様働けない時）'!CL28/10000)</f>
        <v/>
      </c>
      <c r="CM28" s="227">
        <f>IF('CF表（奥様働けない時）'!CM$3="","",'CF表（奥様働けない時）'!CM28/10000)</f>
        <v/>
      </c>
      <c r="CN28" s="227">
        <f>IF('CF表（奥様働けない時）'!CN$3="","",'CF表（奥様働けない時）'!CN28/10000)</f>
        <v/>
      </c>
      <c r="CO28" s="227">
        <f>IF('CF表（奥様働けない時）'!CO$3="","",'CF表（奥様働けない時）'!CO28/10000)</f>
        <v/>
      </c>
      <c r="CP28" s="227">
        <f>IF('CF表（奥様働けない時）'!CP$3="","",'CF表（奥様働けない時）'!CP28/10000)</f>
        <v/>
      </c>
      <c r="CQ28" s="227">
        <f>IF('CF表（奥様働けない時）'!CQ$3="","",'CF表（奥様働けない時）'!CQ28/10000)</f>
        <v/>
      </c>
      <c r="CR28" s="227">
        <f>IF('CF表（奥様働けない時）'!CR$3="","",'CF表（奥様働けない時）'!CR28/10000)</f>
        <v/>
      </c>
      <c r="CS28" s="227">
        <f>IF('CF表（奥様働けない時）'!CS$3="","",'CF表（奥様働けない時）'!CS28/10000)</f>
        <v/>
      </c>
      <c r="CT28" s="227">
        <f>IF('CF表（奥様働けない時）'!CT$3="","",'CF表（奥様働けない時）'!CT28/10000)</f>
        <v/>
      </c>
      <c r="CU28" s="227">
        <f>IF('CF表（奥様働けない時）'!CU$3="","",'CF表（奥様働けない時）'!CU28/10000)</f>
        <v/>
      </c>
      <c r="CV28" s="227">
        <f>IF('CF表（奥様働けない時）'!CV$3="","",'CF表（奥様働けない時）'!CV28/10000)</f>
        <v/>
      </c>
      <c r="CW28" s="227">
        <f>IF('CF表（奥様働けない時）'!CW$3="","",'CF表（奥様働けない時）'!CW28/10000)</f>
        <v/>
      </c>
    </row>
    <row r="29" ht="15" customHeight="1" s="180">
      <c r="A29" s="205" t="inlineStr">
        <is>
          <t>収支・資産</t>
        </is>
      </c>
      <c r="B29" s="228">
        <f>IF('CF表（奥様働けない時）'!B$3="","",'CF表（奥様働けない時）'!B29/10000)</f>
        <v/>
      </c>
      <c r="C29" s="228">
        <f>IF('CF表（奥様働けない時）'!C$3="","",'CF表（奥様働けない時）'!C29/10000)</f>
        <v/>
      </c>
      <c r="D29" s="228">
        <f>IF('CF表（奥様働けない時）'!D$3="","",'CF表（奥様働けない時）'!D29/10000)</f>
        <v/>
      </c>
      <c r="E29" s="228">
        <f>IF('CF表（奥様働けない時）'!E$3="","",'CF表（奥様働けない時）'!E29/10000)</f>
        <v/>
      </c>
      <c r="F29" s="228">
        <f>IF('CF表（奥様働けない時）'!F$3="","",'CF表（奥様働けない時）'!F29/10000)</f>
        <v/>
      </c>
      <c r="G29" s="228">
        <f>IF('CF表（奥様働けない時）'!G$3="","",'CF表（奥様働けない時）'!G29/10000)</f>
        <v/>
      </c>
      <c r="H29" s="228">
        <f>IF('CF表（奥様働けない時）'!H$3="","",'CF表（奥様働けない時）'!H29/10000)</f>
        <v/>
      </c>
      <c r="I29" s="228">
        <f>IF('CF表（奥様働けない時）'!I$3="","",'CF表（奥様働けない時）'!I29/10000)</f>
        <v/>
      </c>
      <c r="J29" s="228">
        <f>IF('CF表（奥様働けない時）'!J$3="","",'CF表（奥様働けない時）'!J29/10000)</f>
        <v/>
      </c>
      <c r="K29" s="228">
        <f>IF('CF表（奥様働けない時）'!K$3="","",'CF表（奥様働けない時）'!K29/10000)</f>
        <v/>
      </c>
      <c r="L29" s="228">
        <f>IF('CF表（奥様働けない時）'!L$3="","",'CF表（奥様働けない時）'!L29/10000)</f>
        <v/>
      </c>
      <c r="M29" s="228">
        <f>IF('CF表（奥様働けない時）'!M$3="","",'CF表（奥様働けない時）'!M29/10000)</f>
        <v/>
      </c>
      <c r="N29" s="228">
        <f>IF('CF表（奥様働けない時）'!N$3="","",'CF表（奥様働けない時）'!N29/10000)</f>
        <v/>
      </c>
      <c r="O29" s="228">
        <f>IF('CF表（奥様働けない時）'!O$3="","",'CF表（奥様働けない時）'!O29/10000)</f>
        <v/>
      </c>
      <c r="P29" s="228">
        <f>IF('CF表（奥様働けない時）'!P$3="","",'CF表（奥様働けない時）'!P29/10000)</f>
        <v/>
      </c>
      <c r="Q29" s="228">
        <f>IF('CF表（奥様働けない時）'!Q$3="","",'CF表（奥様働けない時）'!Q29/10000)</f>
        <v/>
      </c>
      <c r="R29" s="228">
        <f>IF('CF表（奥様働けない時）'!R$3="","",'CF表（奥様働けない時）'!R29/10000)</f>
        <v/>
      </c>
      <c r="S29" s="228">
        <f>IF('CF表（奥様働けない時）'!S$3="","",'CF表（奥様働けない時）'!S29/10000)</f>
        <v/>
      </c>
      <c r="T29" s="228">
        <f>IF('CF表（奥様働けない時）'!T$3="","",'CF表（奥様働けない時）'!T29/10000)</f>
        <v/>
      </c>
      <c r="U29" s="228">
        <f>IF('CF表（奥様働けない時）'!U$3="","",'CF表（奥様働けない時）'!U29/10000)</f>
        <v/>
      </c>
      <c r="V29" s="228">
        <f>IF('CF表（奥様働けない時）'!V$3="","",'CF表（奥様働けない時）'!V29/10000)</f>
        <v/>
      </c>
      <c r="W29" s="228">
        <f>IF('CF表（奥様働けない時）'!W$3="","",'CF表（奥様働けない時）'!W29/10000)</f>
        <v/>
      </c>
      <c r="X29" s="228">
        <f>IF('CF表（奥様働けない時）'!X$3="","",'CF表（奥様働けない時）'!X29/10000)</f>
        <v/>
      </c>
      <c r="Y29" s="228">
        <f>IF('CF表（奥様働けない時）'!Y$3="","",'CF表（奥様働けない時）'!Y29/10000)</f>
        <v/>
      </c>
      <c r="Z29" s="228">
        <f>IF('CF表（奥様働けない時）'!Z$3="","",'CF表（奥様働けない時）'!Z29/10000)</f>
        <v/>
      </c>
      <c r="AA29" s="228">
        <f>IF('CF表（奥様働けない時）'!AA$3="","",'CF表（奥様働けない時）'!AA29/10000)</f>
        <v/>
      </c>
      <c r="AB29" s="228">
        <f>IF('CF表（奥様働けない時）'!AB$3="","",'CF表（奥様働けない時）'!AB29/10000)</f>
        <v/>
      </c>
      <c r="AC29" s="228">
        <f>IF('CF表（奥様働けない時）'!AC$3="","",'CF表（奥様働けない時）'!AC29/10000)</f>
        <v/>
      </c>
      <c r="AD29" s="228">
        <f>IF('CF表（奥様働けない時）'!AD$3="","",'CF表（奥様働けない時）'!AD29/10000)</f>
        <v/>
      </c>
      <c r="AE29" s="228">
        <f>IF('CF表（奥様働けない時）'!AE$3="","",'CF表（奥様働けない時）'!AE29/10000)</f>
        <v/>
      </c>
      <c r="AF29" s="228">
        <f>IF('CF表（奥様働けない時）'!AF$3="","",'CF表（奥様働けない時）'!AF29/10000)</f>
        <v/>
      </c>
      <c r="AG29" s="228">
        <f>IF('CF表（奥様働けない時）'!AG$3="","",'CF表（奥様働けない時）'!AG29/10000)</f>
        <v/>
      </c>
      <c r="AH29" s="228">
        <f>IF('CF表（奥様働けない時）'!AH$3="","",'CF表（奥様働けない時）'!AH29/10000)</f>
        <v/>
      </c>
      <c r="AI29" s="228">
        <f>IF('CF表（奥様働けない時）'!AI$3="","",'CF表（奥様働けない時）'!AI29/10000)</f>
        <v/>
      </c>
      <c r="AJ29" s="228">
        <f>IF('CF表（奥様働けない時）'!AJ$3="","",'CF表（奥様働けない時）'!AJ29/10000)</f>
        <v/>
      </c>
      <c r="AK29" s="228">
        <f>IF('CF表（奥様働けない時）'!AK$3="","",'CF表（奥様働けない時）'!AK29/10000)</f>
        <v/>
      </c>
      <c r="AL29" s="228">
        <f>IF('CF表（奥様働けない時）'!AL$3="","",'CF表（奥様働けない時）'!AL29/10000)</f>
        <v/>
      </c>
      <c r="AM29" s="228">
        <f>IF('CF表（奥様働けない時）'!AM$3="","",'CF表（奥様働けない時）'!AM29/10000)</f>
        <v/>
      </c>
      <c r="AN29" s="228">
        <f>IF('CF表（奥様働けない時）'!AN$3="","",'CF表（奥様働けない時）'!AN29/10000)</f>
        <v/>
      </c>
      <c r="AO29" s="228">
        <f>IF('CF表（奥様働けない時）'!AO$3="","",'CF表（奥様働けない時）'!AO29/10000)</f>
        <v/>
      </c>
      <c r="AP29" s="228">
        <f>IF('CF表（奥様働けない時）'!AP$3="","",'CF表（奥様働けない時）'!AP29/10000)</f>
        <v/>
      </c>
      <c r="AQ29" s="228">
        <f>IF('CF表（奥様働けない時）'!AQ$3="","",'CF表（奥様働けない時）'!AQ29/10000)</f>
        <v/>
      </c>
      <c r="AR29" s="228">
        <f>IF('CF表（奥様働けない時）'!AR$3="","",'CF表（奥様働けない時）'!AR29/10000)</f>
        <v/>
      </c>
      <c r="AS29" s="228">
        <f>IF('CF表（奥様働けない時）'!AS$3="","",'CF表（奥様働けない時）'!AS29/10000)</f>
        <v/>
      </c>
      <c r="AT29" s="228">
        <f>IF('CF表（奥様働けない時）'!AT$3="","",'CF表（奥様働けない時）'!AT29/10000)</f>
        <v/>
      </c>
      <c r="AU29" s="228">
        <f>IF('CF表（奥様働けない時）'!AU$3="","",'CF表（奥様働けない時）'!AU29/10000)</f>
        <v/>
      </c>
      <c r="AV29" s="228">
        <f>IF('CF表（奥様働けない時）'!AV$3="","",'CF表（奥様働けない時）'!AV29/10000)</f>
        <v/>
      </c>
      <c r="AW29" s="228">
        <f>IF('CF表（奥様働けない時）'!AW$3="","",'CF表（奥様働けない時）'!AW29/10000)</f>
        <v/>
      </c>
      <c r="AX29" s="228">
        <f>IF('CF表（奥様働けない時）'!AX$3="","",'CF表（奥様働けない時）'!AX29/10000)</f>
        <v/>
      </c>
      <c r="AY29" s="228">
        <f>IF('CF表（奥様働けない時）'!AY$3="","",'CF表（奥様働けない時）'!AY29/10000)</f>
        <v/>
      </c>
      <c r="AZ29" s="228">
        <f>IF('CF表（奥様働けない時）'!AZ$3="","",'CF表（奥様働けない時）'!AZ29/10000)</f>
        <v/>
      </c>
      <c r="BA29" s="228">
        <f>IF('CF表（奥様働けない時）'!BA$3="","",'CF表（奥様働けない時）'!BA29/10000)</f>
        <v/>
      </c>
      <c r="BB29" s="228">
        <f>IF('CF表（奥様働けない時）'!BB$3="","",'CF表（奥様働けない時）'!BB29/10000)</f>
        <v/>
      </c>
      <c r="BC29" s="228">
        <f>IF('CF表（奥様働けない時）'!BC$3="","",'CF表（奥様働けない時）'!BC29/10000)</f>
        <v/>
      </c>
      <c r="BD29" s="228">
        <f>IF('CF表（奥様働けない時）'!BD$3="","",'CF表（奥様働けない時）'!BD29/10000)</f>
        <v/>
      </c>
      <c r="BE29" s="228">
        <f>IF('CF表（奥様働けない時）'!BE$3="","",'CF表（奥様働けない時）'!BE29/10000)</f>
        <v/>
      </c>
      <c r="BF29" s="228">
        <f>IF('CF表（奥様働けない時）'!BF$3="","",'CF表（奥様働けない時）'!BF29/10000)</f>
        <v/>
      </c>
      <c r="BG29" s="228">
        <f>IF('CF表（奥様働けない時）'!BG$3="","",'CF表（奥様働けない時）'!BG29/10000)</f>
        <v/>
      </c>
      <c r="BH29" s="228">
        <f>IF('CF表（奥様働けない時）'!BH$3="","",'CF表（奥様働けない時）'!BH29/10000)</f>
        <v/>
      </c>
      <c r="BI29" s="228">
        <f>IF('CF表（奥様働けない時）'!BI$3="","",'CF表（奥様働けない時）'!BI29/10000)</f>
        <v/>
      </c>
      <c r="BJ29" s="228">
        <f>IF('CF表（奥様働けない時）'!BJ$3="","",'CF表（奥様働けない時）'!BJ29/10000)</f>
        <v/>
      </c>
      <c r="BK29" s="228">
        <f>IF('CF表（奥様働けない時）'!BK$3="","",'CF表（奥様働けない時）'!BK29/10000)</f>
        <v/>
      </c>
      <c r="BL29" s="228">
        <f>IF('CF表（奥様働けない時）'!BL$3="","",'CF表（奥様働けない時）'!BL29/10000)</f>
        <v/>
      </c>
      <c r="BM29" s="228">
        <f>IF('CF表（奥様働けない時）'!BM$3="","",'CF表（奥様働けない時）'!BM29/10000)</f>
        <v/>
      </c>
      <c r="BN29" s="228">
        <f>IF('CF表（奥様働けない時）'!BN$3="","",'CF表（奥様働けない時）'!BN29/10000)</f>
        <v/>
      </c>
      <c r="BO29" s="228">
        <f>IF('CF表（奥様働けない時）'!BO$3="","",'CF表（奥様働けない時）'!BO29/10000)</f>
        <v/>
      </c>
      <c r="BP29" s="228">
        <f>IF('CF表（奥様働けない時）'!BP$3="","",'CF表（奥様働けない時）'!BP29/10000)</f>
        <v/>
      </c>
      <c r="BQ29" s="228">
        <f>IF('CF表（奥様働けない時）'!BQ$3="","",'CF表（奥様働けない時）'!BQ29/10000)</f>
        <v/>
      </c>
      <c r="BR29" s="228">
        <f>IF('CF表（奥様働けない時）'!BR$3="","",'CF表（奥様働けない時）'!BR29/10000)</f>
        <v/>
      </c>
      <c r="BS29" s="228">
        <f>IF('CF表（奥様働けない時）'!BS$3="","",'CF表（奥様働けない時）'!BS29/10000)</f>
        <v/>
      </c>
      <c r="BT29" s="228">
        <f>IF('CF表（奥様働けない時）'!BT$3="","",'CF表（奥様働けない時）'!BT29/10000)</f>
        <v/>
      </c>
      <c r="BU29" s="228">
        <f>IF('CF表（奥様働けない時）'!BU$3="","",'CF表（奥様働けない時）'!BU29/10000)</f>
        <v/>
      </c>
      <c r="BV29" s="228">
        <f>IF('CF表（奥様働けない時）'!BV$3="","",'CF表（奥様働けない時）'!BV29/10000)</f>
        <v/>
      </c>
      <c r="BW29" s="228">
        <f>IF('CF表（奥様働けない時）'!BW$3="","",'CF表（奥様働けない時）'!BW29/10000)</f>
        <v/>
      </c>
      <c r="BX29" s="228">
        <f>IF('CF表（奥様働けない時）'!BX$3="","",'CF表（奥様働けない時）'!BX29/10000)</f>
        <v/>
      </c>
      <c r="BY29" s="228">
        <f>IF('CF表（奥様働けない時）'!BY$3="","",'CF表（奥様働けない時）'!BY29/10000)</f>
        <v/>
      </c>
      <c r="BZ29" s="228">
        <f>IF('CF表（奥様働けない時）'!BZ$3="","",'CF表（奥様働けない時）'!BZ29/10000)</f>
        <v/>
      </c>
      <c r="CA29" s="228">
        <f>IF('CF表（奥様働けない時）'!CA$3="","",'CF表（奥様働けない時）'!CA29/10000)</f>
        <v/>
      </c>
      <c r="CB29" s="228">
        <f>IF('CF表（奥様働けない時）'!CB$3="","",'CF表（奥様働けない時）'!CB29/10000)</f>
        <v/>
      </c>
      <c r="CC29" s="228">
        <f>IF('CF表（奥様働けない時）'!CC$3="","",'CF表（奥様働けない時）'!CC29/10000)</f>
        <v/>
      </c>
      <c r="CD29" s="228">
        <f>IF('CF表（奥様働けない時）'!CD$3="","",'CF表（奥様働けない時）'!CD29/10000)</f>
        <v/>
      </c>
      <c r="CE29" s="228">
        <f>IF('CF表（奥様働けない時）'!CE$3="","",'CF表（奥様働けない時）'!CE29/10000)</f>
        <v/>
      </c>
      <c r="CF29" s="228">
        <f>IF('CF表（奥様働けない時）'!CF$3="","",'CF表（奥様働けない時）'!CF29/10000)</f>
        <v/>
      </c>
      <c r="CG29" s="228">
        <f>IF('CF表（奥様働けない時）'!CG$3="","",'CF表（奥様働けない時）'!CG29/10000)</f>
        <v/>
      </c>
      <c r="CH29" s="228">
        <f>IF('CF表（奥様働けない時）'!CH$3="","",'CF表（奥様働けない時）'!CH29/10000)</f>
        <v/>
      </c>
      <c r="CI29" s="228">
        <f>IF('CF表（奥様働けない時）'!CI$3="","",'CF表（奥様働けない時）'!CI29/10000)</f>
        <v/>
      </c>
      <c r="CJ29" s="228">
        <f>IF('CF表（奥様働けない時）'!CJ$3="","",'CF表（奥様働けない時）'!CJ29/10000)</f>
        <v/>
      </c>
      <c r="CK29" s="228">
        <f>IF('CF表（奥様働けない時）'!CK$3="","",'CF表（奥様働けない時）'!CK29/10000)</f>
        <v/>
      </c>
      <c r="CL29" s="228">
        <f>IF('CF表（奥様働けない時）'!CL$3="","",'CF表（奥様働けない時）'!CL29/10000)</f>
        <v/>
      </c>
      <c r="CM29" s="228">
        <f>IF('CF表（奥様働けない時）'!CM$3="","",'CF表（奥様働けない時）'!CM29/10000)</f>
        <v/>
      </c>
      <c r="CN29" s="228">
        <f>IF('CF表（奥様働けない時）'!CN$3="","",'CF表（奥様働けない時）'!CN29/10000)</f>
        <v/>
      </c>
      <c r="CO29" s="228">
        <f>IF('CF表（奥様働けない時）'!CO$3="","",'CF表（奥様働けない時）'!CO29/10000)</f>
        <v/>
      </c>
      <c r="CP29" s="228">
        <f>IF('CF表（奥様働けない時）'!CP$3="","",'CF表（奥様働けない時）'!CP29/10000)</f>
        <v/>
      </c>
      <c r="CQ29" s="228">
        <f>IF('CF表（奥様働けない時）'!CQ$3="","",'CF表（奥様働けない時）'!CQ29/10000)</f>
        <v/>
      </c>
      <c r="CR29" s="228">
        <f>IF('CF表（奥様働けない時）'!CR$3="","",'CF表（奥様働けない時）'!CR29/10000)</f>
        <v/>
      </c>
      <c r="CS29" s="228">
        <f>IF('CF表（奥様働けない時）'!CS$3="","",'CF表（奥様働けない時）'!CS29/10000)</f>
        <v/>
      </c>
      <c r="CT29" s="228">
        <f>IF('CF表（奥様働けない時）'!CT$3="","",'CF表（奥様働けない時）'!CT29/10000)</f>
        <v/>
      </c>
      <c r="CU29" s="228">
        <f>IF('CF表（奥様働けない時）'!CU$3="","",'CF表（奥様働けない時）'!CU29/10000)</f>
        <v/>
      </c>
      <c r="CV29" s="228">
        <f>IF('CF表（奥様働けない時）'!CV$3="","",'CF表（奥様働けない時）'!CV29/10000)</f>
        <v/>
      </c>
      <c r="CW29" s="228">
        <f>IF('CF表（奥様働けない時）'!CW$3="","",'CF表（奥様働けない時）'!CW29/10000)</f>
        <v/>
      </c>
    </row>
    <row r="30" ht="21.75" customHeight="1" s="180">
      <c r="A30" s="229" t="inlineStr">
        <is>
          <t>年間収支</t>
        </is>
      </c>
      <c r="B30" s="230">
        <f>IF('CF表（奥様働けない時）'!B$3="","",'CF表（奥様働けない時）'!B30/10000)</f>
        <v/>
      </c>
      <c r="C30" s="230">
        <f>IF('CF表（奥様働けない時）'!C$3="","",'CF表（奥様働けない時）'!C30/10000)</f>
        <v/>
      </c>
      <c r="D30" s="230">
        <f>IF('CF表（奥様働けない時）'!D$3="","",'CF表（奥様働けない時）'!D30/10000)</f>
        <v/>
      </c>
      <c r="E30" s="230">
        <f>IF('CF表（奥様働けない時）'!E$3="","",'CF表（奥様働けない時）'!E30/10000)</f>
        <v/>
      </c>
      <c r="F30" s="230">
        <f>IF('CF表（奥様働けない時）'!F$3="","",'CF表（奥様働けない時）'!F30/10000)</f>
        <v/>
      </c>
      <c r="G30" s="230">
        <f>IF('CF表（奥様働けない時）'!G$3="","",'CF表（奥様働けない時）'!G30/10000)</f>
        <v/>
      </c>
      <c r="H30" s="230">
        <f>IF('CF表（奥様働けない時）'!H$3="","",'CF表（奥様働けない時）'!H30/10000)</f>
        <v/>
      </c>
      <c r="I30" s="230">
        <f>IF('CF表（奥様働けない時）'!I$3="","",'CF表（奥様働けない時）'!I30/10000)</f>
        <v/>
      </c>
      <c r="J30" s="230">
        <f>IF('CF表（奥様働けない時）'!J$3="","",'CF表（奥様働けない時）'!J30/10000)</f>
        <v/>
      </c>
      <c r="K30" s="230">
        <f>IF('CF表（奥様働けない時）'!K$3="","",'CF表（奥様働けない時）'!K30/10000)</f>
        <v/>
      </c>
      <c r="L30" s="230">
        <f>IF('CF表（奥様働けない時）'!L$3="","",'CF表（奥様働けない時）'!L30/10000)</f>
        <v/>
      </c>
      <c r="M30" s="230">
        <f>IF('CF表（奥様働けない時）'!M$3="","",'CF表（奥様働けない時）'!M30/10000)</f>
        <v/>
      </c>
      <c r="N30" s="230">
        <f>IF('CF表（奥様働けない時）'!N$3="","",'CF表（奥様働けない時）'!N30/10000)</f>
        <v/>
      </c>
      <c r="O30" s="230">
        <f>IF('CF表（奥様働けない時）'!O$3="","",'CF表（奥様働けない時）'!O30/10000)</f>
        <v/>
      </c>
      <c r="P30" s="230">
        <f>IF('CF表（奥様働けない時）'!P$3="","",'CF表（奥様働けない時）'!P30/10000)</f>
        <v/>
      </c>
      <c r="Q30" s="230">
        <f>IF('CF表（奥様働けない時）'!Q$3="","",'CF表（奥様働けない時）'!Q30/10000)</f>
        <v/>
      </c>
      <c r="R30" s="230">
        <f>IF('CF表（奥様働けない時）'!R$3="","",'CF表（奥様働けない時）'!R30/10000)</f>
        <v/>
      </c>
      <c r="S30" s="230">
        <f>IF('CF表（奥様働けない時）'!S$3="","",'CF表（奥様働けない時）'!S30/10000)</f>
        <v/>
      </c>
      <c r="T30" s="230">
        <f>IF('CF表（奥様働けない時）'!T$3="","",'CF表（奥様働けない時）'!T30/10000)</f>
        <v/>
      </c>
      <c r="U30" s="230">
        <f>IF('CF表（奥様働けない時）'!U$3="","",'CF表（奥様働けない時）'!U30/10000)</f>
        <v/>
      </c>
      <c r="V30" s="230">
        <f>IF('CF表（奥様働けない時）'!V$3="","",'CF表（奥様働けない時）'!V30/10000)</f>
        <v/>
      </c>
      <c r="W30" s="230">
        <f>IF('CF表（奥様働けない時）'!W$3="","",'CF表（奥様働けない時）'!W30/10000)</f>
        <v/>
      </c>
      <c r="X30" s="230">
        <f>IF('CF表（奥様働けない時）'!X$3="","",'CF表（奥様働けない時）'!X30/10000)</f>
        <v/>
      </c>
      <c r="Y30" s="230">
        <f>IF('CF表（奥様働けない時）'!Y$3="","",'CF表（奥様働けない時）'!Y30/10000)</f>
        <v/>
      </c>
      <c r="Z30" s="230">
        <f>IF('CF表（奥様働けない時）'!Z$3="","",'CF表（奥様働けない時）'!Z30/10000)</f>
        <v/>
      </c>
      <c r="AA30" s="230">
        <f>IF('CF表（奥様働けない時）'!AA$3="","",'CF表（奥様働けない時）'!AA30/10000)</f>
        <v/>
      </c>
      <c r="AB30" s="230">
        <f>IF('CF表（奥様働けない時）'!AB$3="","",'CF表（奥様働けない時）'!AB30/10000)</f>
        <v/>
      </c>
      <c r="AC30" s="230">
        <f>IF('CF表（奥様働けない時）'!AC$3="","",'CF表（奥様働けない時）'!AC30/10000)</f>
        <v/>
      </c>
      <c r="AD30" s="230">
        <f>IF('CF表（奥様働けない時）'!AD$3="","",'CF表（奥様働けない時）'!AD30/10000)</f>
        <v/>
      </c>
      <c r="AE30" s="230">
        <f>IF('CF表（奥様働けない時）'!AE$3="","",'CF表（奥様働けない時）'!AE30/10000)</f>
        <v/>
      </c>
      <c r="AF30" s="230">
        <f>IF('CF表（奥様働けない時）'!AF$3="","",'CF表（奥様働けない時）'!AF30/10000)</f>
        <v/>
      </c>
      <c r="AG30" s="230">
        <f>IF('CF表（奥様働けない時）'!AG$3="","",'CF表（奥様働けない時）'!AG30/10000)</f>
        <v/>
      </c>
      <c r="AH30" s="230">
        <f>IF('CF表（奥様働けない時）'!AH$3="","",'CF表（奥様働けない時）'!AH30/10000)</f>
        <v/>
      </c>
      <c r="AI30" s="230">
        <f>IF('CF表（奥様働けない時）'!AI$3="","",'CF表（奥様働けない時）'!AI30/10000)</f>
        <v/>
      </c>
      <c r="AJ30" s="230">
        <f>IF('CF表（奥様働けない時）'!AJ$3="","",'CF表（奥様働けない時）'!AJ30/10000)</f>
        <v/>
      </c>
      <c r="AK30" s="230">
        <f>IF('CF表（奥様働けない時）'!AK$3="","",'CF表（奥様働けない時）'!AK30/10000)</f>
        <v/>
      </c>
      <c r="AL30" s="230">
        <f>IF('CF表（奥様働けない時）'!AL$3="","",'CF表（奥様働けない時）'!AL30/10000)</f>
        <v/>
      </c>
      <c r="AM30" s="230">
        <f>IF('CF表（奥様働けない時）'!AM$3="","",'CF表（奥様働けない時）'!AM30/10000)</f>
        <v/>
      </c>
      <c r="AN30" s="230">
        <f>IF('CF表（奥様働けない時）'!AN$3="","",'CF表（奥様働けない時）'!AN30/10000)</f>
        <v/>
      </c>
      <c r="AO30" s="230">
        <f>IF('CF表（奥様働けない時）'!AO$3="","",'CF表（奥様働けない時）'!AO30/10000)</f>
        <v/>
      </c>
      <c r="AP30" s="230">
        <f>IF('CF表（奥様働けない時）'!AP$3="","",'CF表（奥様働けない時）'!AP30/10000)</f>
        <v/>
      </c>
      <c r="AQ30" s="230">
        <f>IF('CF表（奥様働けない時）'!AQ$3="","",'CF表（奥様働けない時）'!AQ30/10000)</f>
        <v/>
      </c>
      <c r="AR30" s="230">
        <f>IF('CF表（奥様働けない時）'!AR$3="","",'CF表（奥様働けない時）'!AR30/10000)</f>
        <v/>
      </c>
      <c r="AS30" s="230">
        <f>IF('CF表（奥様働けない時）'!AS$3="","",'CF表（奥様働けない時）'!AS30/10000)</f>
        <v/>
      </c>
      <c r="AT30" s="230">
        <f>IF('CF表（奥様働けない時）'!AT$3="","",'CF表（奥様働けない時）'!AT30/10000)</f>
        <v/>
      </c>
      <c r="AU30" s="230">
        <f>IF('CF表（奥様働けない時）'!AU$3="","",'CF表（奥様働けない時）'!AU30/10000)</f>
        <v/>
      </c>
      <c r="AV30" s="230">
        <f>IF('CF表（奥様働けない時）'!AV$3="","",'CF表（奥様働けない時）'!AV30/10000)</f>
        <v/>
      </c>
      <c r="AW30" s="230">
        <f>IF('CF表（奥様働けない時）'!AW$3="","",'CF表（奥様働けない時）'!AW30/10000)</f>
        <v/>
      </c>
      <c r="AX30" s="230">
        <f>IF('CF表（奥様働けない時）'!AX$3="","",'CF表（奥様働けない時）'!AX30/10000)</f>
        <v/>
      </c>
      <c r="AY30" s="230">
        <f>IF('CF表（奥様働けない時）'!AY$3="","",'CF表（奥様働けない時）'!AY30/10000)</f>
        <v/>
      </c>
      <c r="AZ30" s="230">
        <f>IF('CF表（奥様働けない時）'!AZ$3="","",'CF表（奥様働けない時）'!AZ30/10000)</f>
        <v/>
      </c>
      <c r="BA30" s="230">
        <f>IF('CF表（奥様働けない時）'!BA$3="","",'CF表（奥様働けない時）'!BA30/10000)</f>
        <v/>
      </c>
      <c r="BB30" s="230">
        <f>IF('CF表（奥様働けない時）'!BB$3="","",'CF表（奥様働けない時）'!BB30/10000)</f>
        <v/>
      </c>
      <c r="BC30" s="230">
        <f>IF('CF表（奥様働けない時）'!BC$3="","",'CF表（奥様働けない時）'!BC30/10000)</f>
        <v/>
      </c>
      <c r="BD30" s="230">
        <f>IF('CF表（奥様働けない時）'!BD$3="","",'CF表（奥様働けない時）'!BD30/10000)</f>
        <v/>
      </c>
      <c r="BE30" s="230">
        <f>IF('CF表（奥様働けない時）'!BE$3="","",'CF表（奥様働けない時）'!BE30/10000)</f>
        <v/>
      </c>
      <c r="BF30" s="230">
        <f>IF('CF表（奥様働けない時）'!BF$3="","",'CF表（奥様働けない時）'!BF30/10000)</f>
        <v/>
      </c>
      <c r="BG30" s="230">
        <f>IF('CF表（奥様働けない時）'!BG$3="","",'CF表（奥様働けない時）'!BG30/10000)</f>
        <v/>
      </c>
      <c r="BH30" s="230">
        <f>IF('CF表（奥様働けない時）'!BH$3="","",'CF表（奥様働けない時）'!BH30/10000)</f>
        <v/>
      </c>
      <c r="BI30" s="230">
        <f>IF('CF表（奥様働けない時）'!BI$3="","",'CF表（奥様働けない時）'!BI30/10000)</f>
        <v/>
      </c>
      <c r="BJ30" s="230">
        <f>IF('CF表（奥様働けない時）'!BJ$3="","",'CF表（奥様働けない時）'!BJ30/10000)</f>
        <v/>
      </c>
      <c r="BK30" s="230">
        <f>IF('CF表（奥様働けない時）'!BK$3="","",'CF表（奥様働けない時）'!BK30/10000)</f>
        <v/>
      </c>
      <c r="BL30" s="230">
        <f>IF('CF表（奥様働けない時）'!BL$3="","",'CF表（奥様働けない時）'!BL30/10000)</f>
        <v/>
      </c>
      <c r="BM30" s="230">
        <f>IF('CF表（奥様働けない時）'!BM$3="","",'CF表（奥様働けない時）'!BM30/10000)</f>
        <v/>
      </c>
      <c r="BN30" s="230">
        <f>IF('CF表（奥様働けない時）'!BN$3="","",'CF表（奥様働けない時）'!BN30/10000)</f>
        <v/>
      </c>
      <c r="BO30" s="230">
        <f>IF('CF表（奥様働けない時）'!BO$3="","",'CF表（奥様働けない時）'!BO30/10000)</f>
        <v/>
      </c>
      <c r="BP30" s="230">
        <f>IF('CF表（奥様働けない時）'!BP$3="","",'CF表（奥様働けない時）'!BP30/10000)</f>
        <v/>
      </c>
      <c r="BQ30" s="230">
        <f>IF('CF表（奥様働けない時）'!BQ$3="","",'CF表（奥様働けない時）'!BQ30/10000)</f>
        <v/>
      </c>
      <c r="BR30" s="230">
        <f>IF('CF表（奥様働けない時）'!BR$3="","",'CF表（奥様働けない時）'!BR30/10000)</f>
        <v/>
      </c>
      <c r="BS30" s="230">
        <f>IF('CF表（奥様働けない時）'!BS$3="","",'CF表（奥様働けない時）'!BS30/10000)</f>
        <v/>
      </c>
      <c r="BT30" s="230">
        <f>IF('CF表（奥様働けない時）'!BT$3="","",'CF表（奥様働けない時）'!BT30/10000)</f>
        <v/>
      </c>
      <c r="BU30" s="230">
        <f>IF('CF表（奥様働けない時）'!BU$3="","",'CF表（奥様働けない時）'!BU30/10000)</f>
        <v/>
      </c>
      <c r="BV30" s="230">
        <f>IF('CF表（奥様働けない時）'!BV$3="","",'CF表（奥様働けない時）'!BV30/10000)</f>
        <v/>
      </c>
      <c r="BW30" s="230">
        <f>IF('CF表（奥様働けない時）'!BW$3="","",'CF表（奥様働けない時）'!BW30/10000)</f>
        <v/>
      </c>
      <c r="BX30" s="230">
        <f>IF('CF表（奥様働けない時）'!BX$3="","",'CF表（奥様働けない時）'!BX30/10000)</f>
        <v/>
      </c>
      <c r="BY30" s="230">
        <f>IF('CF表（奥様働けない時）'!BY$3="","",'CF表（奥様働けない時）'!BY30/10000)</f>
        <v/>
      </c>
      <c r="BZ30" s="230">
        <f>IF('CF表（奥様働けない時）'!BZ$3="","",'CF表（奥様働けない時）'!BZ30/10000)</f>
        <v/>
      </c>
      <c r="CA30" s="230">
        <f>IF('CF表（奥様働けない時）'!CA$3="","",'CF表（奥様働けない時）'!CA30/10000)</f>
        <v/>
      </c>
      <c r="CB30" s="230">
        <f>IF('CF表（奥様働けない時）'!CB$3="","",'CF表（奥様働けない時）'!CB30/10000)</f>
        <v/>
      </c>
      <c r="CC30" s="230">
        <f>IF('CF表（奥様働けない時）'!CC$3="","",'CF表（奥様働けない時）'!CC30/10000)</f>
        <v/>
      </c>
      <c r="CD30" s="230">
        <f>IF('CF表（奥様働けない時）'!CD$3="","",'CF表（奥様働けない時）'!CD30/10000)</f>
        <v/>
      </c>
      <c r="CE30" s="230">
        <f>IF('CF表（奥様働けない時）'!CE$3="","",'CF表（奥様働けない時）'!CE30/10000)</f>
        <v/>
      </c>
      <c r="CF30" s="230">
        <f>IF('CF表（奥様働けない時）'!CF$3="","",'CF表（奥様働けない時）'!CF30/10000)</f>
        <v/>
      </c>
      <c r="CG30" s="230">
        <f>IF('CF表（奥様働けない時）'!CG$3="","",'CF表（奥様働けない時）'!CG30/10000)</f>
        <v/>
      </c>
      <c r="CH30" s="230">
        <f>IF('CF表（奥様働けない時）'!CH$3="","",'CF表（奥様働けない時）'!CH30/10000)</f>
        <v/>
      </c>
      <c r="CI30" s="230">
        <f>IF('CF表（奥様働けない時）'!CI$3="","",'CF表（奥様働けない時）'!CI30/10000)</f>
        <v/>
      </c>
      <c r="CJ30" s="230">
        <f>IF('CF表（奥様働けない時）'!CJ$3="","",'CF表（奥様働けない時）'!CJ30/10000)</f>
        <v/>
      </c>
      <c r="CK30" s="230">
        <f>IF('CF表（奥様働けない時）'!CK$3="","",'CF表（奥様働けない時）'!CK30/10000)</f>
        <v/>
      </c>
      <c r="CL30" s="230">
        <f>IF('CF表（奥様働けない時）'!CL$3="","",'CF表（奥様働けない時）'!CL30/10000)</f>
        <v/>
      </c>
      <c r="CM30" s="230">
        <f>IF('CF表（奥様働けない時）'!CM$3="","",'CF表（奥様働けない時）'!CM30/10000)</f>
        <v/>
      </c>
      <c r="CN30" s="230">
        <f>IF('CF表（奥様働けない時）'!CN$3="","",'CF表（奥様働けない時）'!CN30/10000)</f>
        <v/>
      </c>
      <c r="CO30" s="230">
        <f>IF('CF表（奥様働けない時）'!CO$3="","",'CF表（奥様働けない時）'!CO30/10000)</f>
        <v/>
      </c>
      <c r="CP30" s="230">
        <f>IF('CF表（奥様働けない時）'!CP$3="","",'CF表（奥様働けない時）'!CP30/10000)</f>
        <v/>
      </c>
      <c r="CQ30" s="230">
        <f>IF('CF表（奥様働けない時）'!CQ$3="","",'CF表（奥様働けない時）'!CQ30/10000)</f>
        <v/>
      </c>
      <c r="CR30" s="230">
        <f>IF('CF表（奥様働けない時）'!CR$3="","",'CF表（奥様働けない時）'!CR30/10000)</f>
        <v/>
      </c>
      <c r="CS30" s="230">
        <f>IF('CF表（奥様働けない時）'!CS$3="","",'CF表（奥様働けない時）'!CS30/10000)</f>
        <v/>
      </c>
      <c r="CT30" s="230">
        <f>IF('CF表（奥様働けない時）'!CT$3="","",'CF表（奥様働けない時）'!CT30/10000)</f>
        <v/>
      </c>
      <c r="CU30" s="230">
        <f>IF('CF表（奥様働けない時）'!CU$3="","",'CF表（奥様働けない時）'!CU30/10000)</f>
        <v/>
      </c>
      <c r="CV30" s="230">
        <f>IF('CF表（奥様働けない時）'!CV$3="","",'CF表（奥様働けない時）'!CV30/10000)</f>
        <v/>
      </c>
      <c r="CW30" s="230">
        <f>IF('CF表（奥様働けない時）'!CW$3="","",'CF表（奥様働けない時）'!CW30/10000)</f>
        <v/>
      </c>
    </row>
    <row r="31" ht="15" customHeight="1" s="180">
      <c r="A31" s="231" t="inlineStr">
        <is>
          <t>預貯金残高</t>
        </is>
      </c>
      <c r="B31" s="232">
        <f>IF('CF表（奥様働けない時）'!B$3="","",'CF表（奥様働けない時）'!B31/10000)</f>
        <v/>
      </c>
      <c r="C31" s="232">
        <f>IF('CF表（奥様働けない時）'!C$3="","",'CF表（奥様働けない時）'!C31/10000)</f>
        <v/>
      </c>
      <c r="D31" s="232">
        <f>IF('CF表（奥様働けない時）'!D$3="","",'CF表（奥様働けない時）'!D31/10000)</f>
        <v/>
      </c>
      <c r="E31" s="232">
        <f>IF('CF表（奥様働けない時）'!E$3="","",'CF表（奥様働けない時）'!E31/10000)</f>
        <v/>
      </c>
      <c r="F31" s="232">
        <f>IF('CF表（奥様働けない時）'!F$3="","",'CF表（奥様働けない時）'!F31/10000)</f>
        <v/>
      </c>
      <c r="G31" s="232">
        <f>IF('CF表（奥様働けない時）'!G$3="","",'CF表（奥様働けない時）'!G31/10000)</f>
        <v/>
      </c>
      <c r="H31" s="232">
        <f>IF('CF表（奥様働けない時）'!H$3="","",'CF表（奥様働けない時）'!H31/10000)</f>
        <v/>
      </c>
      <c r="I31" s="232">
        <f>IF('CF表（奥様働けない時）'!I$3="","",'CF表（奥様働けない時）'!I31/10000)</f>
        <v/>
      </c>
      <c r="J31" s="232">
        <f>IF('CF表（奥様働けない時）'!J$3="","",'CF表（奥様働けない時）'!J31/10000)</f>
        <v/>
      </c>
      <c r="K31" s="232">
        <f>IF('CF表（奥様働けない時）'!K$3="","",'CF表（奥様働けない時）'!K31/10000)</f>
        <v/>
      </c>
      <c r="L31" s="232">
        <f>IF('CF表（奥様働けない時）'!L$3="","",'CF表（奥様働けない時）'!L31/10000)</f>
        <v/>
      </c>
      <c r="M31" s="232">
        <f>IF('CF表（奥様働けない時）'!M$3="","",'CF表（奥様働けない時）'!M31/10000)</f>
        <v/>
      </c>
      <c r="N31" s="232">
        <f>IF('CF表（奥様働けない時）'!N$3="","",'CF表（奥様働けない時）'!N31/10000)</f>
        <v/>
      </c>
      <c r="O31" s="232">
        <f>IF('CF表（奥様働けない時）'!O$3="","",'CF表（奥様働けない時）'!O31/10000)</f>
        <v/>
      </c>
      <c r="P31" s="232">
        <f>IF('CF表（奥様働けない時）'!P$3="","",'CF表（奥様働けない時）'!P31/10000)</f>
        <v/>
      </c>
      <c r="Q31" s="232">
        <f>IF('CF表（奥様働けない時）'!Q$3="","",'CF表（奥様働けない時）'!Q31/10000)</f>
        <v/>
      </c>
      <c r="R31" s="232">
        <f>IF('CF表（奥様働けない時）'!R$3="","",'CF表（奥様働けない時）'!R31/10000)</f>
        <v/>
      </c>
      <c r="S31" s="232">
        <f>IF('CF表（奥様働けない時）'!S$3="","",'CF表（奥様働けない時）'!S31/10000)</f>
        <v/>
      </c>
      <c r="T31" s="232">
        <f>IF('CF表（奥様働けない時）'!T$3="","",'CF表（奥様働けない時）'!T31/10000)</f>
        <v/>
      </c>
      <c r="U31" s="232">
        <f>IF('CF表（奥様働けない時）'!U$3="","",'CF表（奥様働けない時）'!U31/10000)</f>
        <v/>
      </c>
      <c r="V31" s="232">
        <f>IF('CF表（奥様働けない時）'!V$3="","",'CF表（奥様働けない時）'!V31/10000)</f>
        <v/>
      </c>
      <c r="W31" s="232">
        <f>IF('CF表（奥様働けない時）'!W$3="","",'CF表（奥様働けない時）'!W31/10000)</f>
        <v/>
      </c>
      <c r="X31" s="232">
        <f>IF('CF表（奥様働けない時）'!X$3="","",'CF表（奥様働けない時）'!X31/10000)</f>
        <v/>
      </c>
      <c r="Y31" s="232">
        <f>IF('CF表（奥様働けない時）'!Y$3="","",'CF表（奥様働けない時）'!Y31/10000)</f>
        <v/>
      </c>
      <c r="Z31" s="232">
        <f>IF('CF表（奥様働けない時）'!Z$3="","",'CF表（奥様働けない時）'!Z31/10000)</f>
        <v/>
      </c>
      <c r="AA31" s="232">
        <f>IF('CF表（奥様働けない時）'!AA$3="","",'CF表（奥様働けない時）'!AA31/10000)</f>
        <v/>
      </c>
      <c r="AB31" s="232">
        <f>IF('CF表（奥様働けない時）'!AB$3="","",'CF表（奥様働けない時）'!AB31/10000)</f>
        <v/>
      </c>
      <c r="AC31" s="232">
        <f>IF('CF表（奥様働けない時）'!AC$3="","",'CF表（奥様働けない時）'!AC31/10000)</f>
        <v/>
      </c>
      <c r="AD31" s="232">
        <f>IF('CF表（奥様働けない時）'!AD$3="","",'CF表（奥様働けない時）'!AD31/10000)</f>
        <v/>
      </c>
      <c r="AE31" s="232">
        <f>IF('CF表（奥様働けない時）'!AE$3="","",'CF表（奥様働けない時）'!AE31/10000)</f>
        <v/>
      </c>
      <c r="AF31" s="232">
        <f>IF('CF表（奥様働けない時）'!AF$3="","",'CF表（奥様働けない時）'!AF31/10000)</f>
        <v/>
      </c>
      <c r="AG31" s="232">
        <f>IF('CF表（奥様働けない時）'!AG$3="","",'CF表（奥様働けない時）'!AG31/10000)</f>
        <v/>
      </c>
      <c r="AH31" s="232">
        <f>IF('CF表（奥様働けない時）'!AH$3="","",'CF表（奥様働けない時）'!AH31/10000)</f>
        <v/>
      </c>
      <c r="AI31" s="232">
        <f>IF('CF表（奥様働けない時）'!AI$3="","",'CF表（奥様働けない時）'!AI31/10000)</f>
        <v/>
      </c>
      <c r="AJ31" s="232">
        <f>IF('CF表（奥様働けない時）'!AJ$3="","",'CF表（奥様働けない時）'!AJ31/10000)</f>
        <v/>
      </c>
      <c r="AK31" s="232">
        <f>IF('CF表（奥様働けない時）'!AK$3="","",'CF表（奥様働けない時）'!AK31/10000)</f>
        <v/>
      </c>
      <c r="AL31" s="232">
        <f>IF('CF表（奥様働けない時）'!AL$3="","",'CF表（奥様働けない時）'!AL31/10000)</f>
        <v/>
      </c>
      <c r="AM31" s="232">
        <f>IF('CF表（奥様働けない時）'!AM$3="","",'CF表（奥様働けない時）'!AM31/10000)</f>
        <v/>
      </c>
      <c r="AN31" s="232">
        <f>IF('CF表（奥様働けない時）'!AN$3="","",'CF表（奥様働けない時）'!AN31/10000)</f>
        <v/>
      </c>
      <c r="AO31" s="232">
        <f>IF('CF表（奥様働けない時）'!AO$3="","",'CF表（奥様働けない時）'!AO31/10000)</f>
        <v/>
      </c>
      <c r="AP31" s="232">
        <f>IF('CF表（奥様働けない時）'!AP$3="","",'CF表（奥様働けない時）'!AP31/10000)</f>
        <v/>
      </c>
      <c r="AQ31" s="232">
        <f>IF('CF表（奥様働けない時）'!AQ$3="","",'CF表（奥様働けない時）'!AQ31/10000)</f>
        <v/>
      </c>
      <c r="AR31" s="232">
        <f>IF('CF表（奥様働けない時）'!AR$3="","",'CF表（奥様働けない時）'!AR31/10000)</f>
        <v/>
      </c>
      <c r="AS31" s="232">
        <f>IF('CF表（奥様働けない時）'!AS$3="","",'CF表（奥様働けない時）'!AS31/10000)</f>
        <v/>
      </c>
      <c r="AT31" s="232">
        <f>IF('CF表（奥様働けない時）'!AT$3="","",'CF表（奥様働けない時）'!AT31/10000)</f>
        <v/>
      </c>
      <c r="AU31" s="232">
        <f>IF('CF表（奥様働けない時）'!AU$3="","",'CF表（奥様働けない時）'!AU31/10000)</f>
        <v/>
      </c>
      <c r="AV31" s="232">
        <f>IF('CF表（奥様働けない時）'!AV$3="","",'CF表（奥様働けない時）'!AV31/10000)</f>
        <v/>
      </c>
      <c r="AW31" s="232">
        <f>IF('CF表（奥様働けない時）'!AW$3="","",'CF表（奥様働けない時）'!AW31/10000)</f>
        <v/>
      </c>
      <c r="AX31" s="232">
        <f>IF('CF表（奥様働けない時）'!AX$3="","",'CF表（奥様働けない時）'!AX31/10000)</f>
        <v/>
      </c>
      <c r="AY31" s="232">
        <f>IF('CF表（奥様働けない時）'!AY$3="","",'CF表（奥様働けない時）'!AY31/10000)</f>
        <v/>
      </c>
      <c r="AZ31" s="232">
        <f>IF('CF表（奥様働けない時）'!AZ$3="","",'CF表（奥様働けない時）'!AZ31/10000)</f>
        <v/>
      </c>
      <c r="BA31" s="232">
        <f>IF('CF表（奥様働けない時）'!BA$3="","",'CF表（奥様働けない時）'!BA31/10000)</f>
        <v/>
      </c>
      <c r="BB31" s="232">
        <f>IF('CF表（奥様働けない時）'!BB$3="","",'CF表（奥様働けない時）'!BB31/10000)</f>
        <v/>
      </c>
      <c r="BC31" s="232">
        <f>IF('CF表（奥様働けない時）'!BC$3="","",'CF表（奥様働けない時）'!BC31/10000)</f>
        <v/>
      </c>
      <c r="BD31" s="232">
        <f>IF('CF表（奥様働けない時）'!BD$3="","",'CF表（奥様働けない時）'!BD31/10000)</f>
        <v/>
      </c>
      <c r="BE31" s="232">
        <f>IF('CF表（奥様働けない時）'!BE$3="","",'CF表（奥様働けない時）'!BE31/10000)</f>
        <v/>
      </c>
      <c r="BF31" s="232">
        <f>IF('CF表（奥様働けない時）'!BF$3="","",'CF表（奥様働けない時）'!BF31/10000)</f>
        <v/>
      </c>
      <c r="BG31" s="232">
        <f>IF('CF表（奥様働けない時）'!BG$3="","",'CF表（奥様働けない時）'!BG31/10000)</f>
        <v/>
      </c>
      <c r="BH31" s="232">
        <f>IF('CF表（奥様働けない時）'!BH$3="","",'CF表（奥様働けない時）'!BH31/10000)</f>
        <v/>
      </c>
      <c r="BI31" s="232">
        <f>IF('CF表（奥様働けない時）'!BI$3="","",'CF表（奥様働けない時）'!BI31/10000)</f>
        <v/>
      </c>
      <c r="BJ31" s="232">
        <f>IF('CF表（奥様働けない時）'!BJ$3="","",'CF表（奥様働けない時）'!BJ31/10000)</f>
        <v/>
      </c>
      <c r="BK31" s="232">
        <f>IF('CF表（奥様働けない時）'!BK$3="","",'CF表（奥様働けない時）'!BK31/10000)</f>
        <v/>
      </c>
      <c r="BL31" s="232">
        <f>IF('CF表（奥様働けない時）'!BL$3="","",'CF表（奥様働けない時）'!BL31/10000)</f>
        <v/>
      </c>
      <c r="BM31" s="232">
        <f>IF('CF表（奥様働けない時）'!BM$3="","",'CF表（奥様働けない時）'!BM31/10000)</f>
        <v/>
      </c>
      <c r="BN31" s="232">
        <f>IF('CF表（奥様働けない時）'!BN$3="","",'CF表（奥様働けない時）'!BN31/10000)</f>
        <v/>
      </c>
      <c r="BO31" s="232">
        <f>IF('CF表（奥様働けない時）'!BO$3="","",'CF表（奥様働けない時）'!BO31/10000)</f>
        <v/>
      </c>
      <c r="BP31" s="232">
        <f>IF('CF表（奥様働けない時）'!BP$3="","",'CF表（奥様働けない時）'!BP31/10000)</f>
        <v/>
      </c>
      <c r="BQ31" s="232">
        <f>IF('CF表（奥様働けない時）'!BQ$3="","",'CF表（奥様働けない時）'!BQ31/10000)</f>
        <v/>
      </c>
      <c r="BR31" s="232">
        <f>IF('CF表（奥様働けない時）'!BR$3="","",'CF表（奥様働けない時）'!BR31/10000)</f>
        <v/>
      </c>
      <c r="BS31" s="232">
        <f>IF('CF表（奥様働けない時）'!BS$3="","",'CF表（奥様働けない時）'!BS31/10000)</f>
        <v/>
      </c>
      <c r="BT31" s="232">
        <f>IF('CF表（奥様働けない時）'!BT$3="","",'CF表（奥様働けない時）'!BT31/10000)</f>
        <v/>
      </c>
      <c r="BU31" s="232">
        <f>IF('CF表（奥様働けない時）'!BU$3="","",'CF表（奥様働けない時）'!BU31/10000)</f>
        <v/>
      </c>
      <c r="BV31" s="232">
        <f>IF('CF表（奥様働けない時）'!BV$3="","",'CF表（奥様働けない時）'!BV31/10000)</f>
        <v/>
      </c>
      <c r="BW31" s="232">
        <f>IF('CF表（奥様働けない時）'!BW$3="","",'CF表（奥様働けない時）'!BW31/10000)</f>
        <v/>
      </c>
      <c r="BX31" s="232">
        <f>IF('CF表（奥様働けない時）'!BX$3="","",'CF表（奥様働けない時）'!BX31/10000)</f>
        <v/>
      </c>
      <c r="BY31" s="232">
        <f>IF('CF表（奥様働けない時）'!BY$3="","",'CF表（奥様働けない時）'!BY31/10000)</f>
        <v/>
      </c>
      <c r="BZ31" s="232">
        <f>IF('CF表（奥様働けない時）'!BZ$3="","",'CF表（奥様働けない時）'!BZ31/10000)</f>
        <v/>
      </c>
      <c r="CA31" s="232">
        <f>IF('CF表（奥様働けない時）'!CA$3="","",'CF表（奥様働けない時）'!CA31/10000)</f>
        <v/>
      </c>
      <c r="CB31" s="232">
        <f>IF('CF表（奥様働けない時）'!CB$3="","",'CF表（奥様働けない時）'!CB31/10000)</f>
        <v/>
      </c>
      <c r="CC31" s="232">
        <f>IF('CF表（奥様働けない時）'!CC$3="","",'CF表（奥様働けない時）'!CC31/10000)</f>
        <v/>
      </c>
      <c r="CD31" s="232">
        <f>IF('CF表（奥様働けない時）'!CD$3="","",'CF表（奥様働けない時）'!CD31/10000)</f>
        <v/>
      </c>
      <c r="CE31" s="232">
        <f>IF('CF表（奥様働けない時）'!CE$3="","",'CF表（奥様働けない時）'!CE31/10000)</f>
        <v/>
      </c>
      <c r="CF31" s="232">
        <f>IF('CF表（奥様働けない時）'!CF$3="","",'CF表（奥様働けない時）'!CF31/10000)</f>
        <v/>
      </c>
      <c r="CG31" s="232">
        <f>IF('CF表（奥様働けない時）'!CG$3="","",'CF表（奥様働けない時）'!CG31/10000)</f>
        <v/>
      </c>
      <c r="CH31" s="232">
        <f>IF('CF表（奥様働けない時）'!CH$3="","",'CF表（奥様働けない時）'!CH31/10000)</f>
        <v/>
      </c>
      <c r="CI31" s="232">
        <f>IF('CF表（奥様働けない時）'!CI$3="","",'CF表（奥様働けない時）'!CI31/10000)</f>
        <v/>
      </c>
      <c r="CJ31" s="232">
        <f>IF('CF表（奥様働けない時）'!CJ$3="","",'CF表（奥様働けない時）'!CJ31/10000)</f>
        <v/>
      </c>
      <c r="CK31" s="232">
        <f>IF('CF表（奥様働けない時）'!CK$3="","",'CF表（奥様働けない時）'!CK31/10000)</f>
        <v/>
      </c>
      <c r="CL31" s="232">
        <f>IF('CF表（奥様働けない時）'!CL$3="","",'CF表（奥様働けない時）'!CL31/10000)</f>
        <v/>
      </c>
      <c r="CM31" s="232">
        <f>IF('CF表（奥様働けない時）'!CM$3="","",'CF表（奥様働けない時）'!CM31/10000)</f>
        <v/>
      </c>
      <c r="CN31" s="232">
        <f>IF('CF表（奥様働けない時）'!CN$3="","",'CF表（奥様働けない時）'!CN31/10000)</f>
        <v/>
      </c>
      <c r="CO31" s="232">
        <f>IF('CF表（奥様働けない時）'!CO$3="","",'CF表（奥様働けない時）'!CO31/10000)</f>
        <v/>
      </c>
      <c r="CP31" s="232">
        <f>IF('CF表（奥様働けない時）'!CP$3="","",'CF表（奥様働けない時）'!CP31/10000)</f>
        <v/>
      </c>
      <c r="CQ31" s="232">
        <f>IF('CF表（奥様働けない時）'!CQ$3="","",'CF表（奥様働けない時）'!CQ31/10000)</f>
        <v/>
      </c>
      <c r="CR31" s="232">
        <f>IF('CF表（奥様働けない時）'!CR$3="","",'CF表（奥様働けない時）'!CR31/10000)</f>
        <v/>
      </c>
      <c r="CS31" s="232">
        <f>IF('CF表（奥様働けない時）'!CS$3="","",'CF表（奥様働けない時）'!CS31/10000)</f>
        <v/>
      </c>
      <c r="CT31" s="232">
        <f>IF('CF表（奥様働けない時）'!CT$3="","",'CF表（奥様働けない時）'!CT31/10000)</f>
        <v/>
      </c>
      <c r="CU31" s="232">
        <f>IF('CF表（奥様働けない時）'!CU$3="","",'CF表（奥様働けない時）'!CU31/10000)</f>
        <v/>
      </c>
      <c r="CV31" s="232">
        <f>IF('CF表（奥様働けない時）'!CV$3="","",'CF表（奥様働けない時）'!CV31/10000)</f>
        <v/>
      </c>
      <c r="CW31" s="232">
        <f>IF('CF表（奥様働けない時）'!CW$3="","",'CF表（奥様働けない時）'!CW31/10000)</f>
        <v/>
      </c>
    </row>
    <row r="32" ht="15" customHeight="1" s="180">
      <c r="A32" s="233" t="inlineStr">
        <is>
          <t>投資資産残高</t>
        </is>
      </c>
      <c r="B32" s="234">
        <f>IF('CF表（奥様働けない時）'!B$3="","",'CF表（奥様働けない時）'!B32/10000)</f>
        <v/>
      </c>
      <c r="C32" s="234">
        <f>IF('CF表（奥様働けない時）'!C$3="","",'CF表（奥様働けない時）'!C32/10000)</f>
        <v/>
      </c>
      <c r="D32" s="234">
        <f>IF('CF表（奥様働けない時）'!D$3="","",'CF表（奥様働けない時）'!D32/10000)</f>
        <v/>
      </c>
      <c r="E32" s="234">
        <f>IF('CF表（奥様働けない時）'!E$3="","",'CF表（奥様働けない時）'!E32/10000)</f>
        <v/>
      </c>
      <c r="F32" s="234">
        <f>IF('CF表（奥様働けない時）'!F$3="","",'CF表（奥様働けない時）'!F32/10000)</f>
        <v/>
      </c>
      <c r="G32" s="234">
        <f>IF('CF表（奥様働けない時）'!G$3="","",'CF表（奥様働けない時）'!G32/10000)</f>
        <v/>
      </c>
      <c r="H32" s="234">
        <f>IF('CF表（奥様働けない時）'!H$3="","",'CF表（奥様働けない時）'!H32/10000)</f>
        <v/>
      </c>
      <c r="I32" s="234">
        <f>IF('CF表（奥様働けない時）'!I$3="","",'CF表（奥様働けない時）'!I32/10000)</f>
        <v/>
      </c>
      <c r="J32" s="234">
        <f>IF('CF表（奥様働けない時）'!J$3="","",'CF表（奥様働けない時）'!J32/10000)</f>
        <v/>
      </c>
      <c r="K32" s="234">
        <f>IF('CF表（奥様働けない時）'!K$3="","",'CF表（奥様働けない時）'!K32/10000)</f>
        <v/>
      </c>
      <c r="L32" s="234">
        <f>IF('CF表（奥様働けない時）'!L$3="","",'CF表（奥様働けない時）'!L32/10000)</f>
        <v/>
      </c>
      <c r="M32" s="234">
        <f>IF('CF表（奥様働けない時）'!M$3="","",'CF表（奥様働けない時）'!M32/10000)</f>
        <v/>
      </c>
      <c r="N32" s="234">
        <f>IF('CF表（奥様働けない時）'!N$3="","",'CF表（奥様働けない時）'!N32/10000)</f>
        <v/>
      </c>
      <c r="O32" s="234">
        <f>IF('CF表（奥様働けない時）'!O$3="","",'CF表（奥様働けない時）'!O32/10000)</f>
        <v/>
      </c>
      <c r="P32" s="234">
        <f>IF('CF表（奥様働けない時）'!P$3="","",'CF表（奥様働けない時）'!P32/10000)</f>
        <v/>
      </c>
      <c r="Q32" s="234">
        <f>IF('CF表（奥様働けない時）'!Q$3="","",'CF表（奥様働けない時）'!Q32/10000)</f>
        <v/>
      </c>
      <c r="R32" s="234">
        <f>IF('CF表（奥様働けない時）'!R$3="","",'CF表（奥様働けない時）'!R32/10000)</f>
        <v/>
      </c>
      <c r="S32" s="234">
        <f>IF('CF表（奥様働けない時）'!S$3="","",'CF表（奥様働けない時）'!S32/10000)</f>
        <v/>
      </c>
      <c r="T32" s="234">
        <f>IF('CF表（奥様働けない時）'!T$3="","",'CF表（奥様働けない時）'!T32/10000)</f>
        <v/>
      </c>
      <c r="U32" s="234">
        <f>IF('CF表（奥様働けない時）'!U$3="","",'CF表（奥様働けない時）'!U32/10000)</f>
        <v/>
      </c>
      <c r="V32" s="234">
        <f>IF('CF表（奥様働けない時）'!V$3="","",'CF表（奥様働けない時）'!V32/10000)</f>
        <v/>
      </c>
      <c r="W32" s="234">
        <f>IF('CF表（奥様働けない時）'!W$3="","",'CF表（奥様働けない時）'!W32/10000)</f>
        <v/>
      </c>
      <c r="X32" s="234">
        <f>IF('CF表（奥様働けない時）'!X$3="","",'CF表（奥様働けない時）'!X32/10000)</f>
        <v/>
      </c>
      <c r="Y32" s="234">
        <f>IF('CF表（奥様働けない時）'!Y$3="","",'CF表（奥様働けない時）'!Y32/10000)</f>
        <v/>
      </c>
      <c r="Z32" s="234">
        <f>IF('CF表（奥様働けない時）'!Z$3="","",'CF表（奥様働けない時）'!Z32/10000)</f>
        <v/>
      </c>
      <c r="AA32" s="234">
        <f>IF('CF表（奥様働けない時）'!AA$3="","",'CF表（奥様働けない時）'!AA32/10000)</f>
        <v/>
      </c>
      <c r="AB32" s="234">
        <f>IF('CF表（奥様働けない時）'!AB$3="","",'CF表（奥様働けない時）'!AB32/10000)</f>
        <v/>
      </c>
      <c r="AC32" s="234">
        <f>IF('CF表（奥様働けない時）'!AC$3="","",'CF表（奥様働けない時）'!AC32/10000)</f>
        <v/>
      </c>
      <c r="AD32" s="234">
        <f>IF('CF表（奥様働けない時）'!AD$3="","",'CF表（奥様働けない時）'!AD32/10000)</f>
        <v/>
      </c>
      <c r="AE32" s="234">
        <f>IF('CF表（奥様働けない時）'!AE$3="","",'CF表（奥様働けない時）'!AE32/10000)</f>
        <v/>
      </c>
      <c r="AF32" s="234">
        <f>IF('CF表（奥様働けない時）'!AF$3="","",'CF表（奥様働けない時）'!AF32/10000)</f>
        <v/>
      </c>
      <c r="AG32" s="234">
        <f>IF('CF表（奥様働けない時）'!AG$3="","",'CF表（奥様働けない時）'!AG32/10000)</f>
        <v/>
      </c>
      <c r="AH32" s="234">
        <f>IF('CF表（奥様働けない時）'!AH$3="","",'CF表（奥様働けない時）'!AH32/10000)</f>
        <v/>
      </c>
      <c r="AI32" s="234">
        <f>IF('CF表（奥様働けない時）'!AI$3="","",'CF表（奥様働けない時）'!AI32/10000)</f>
        <v/>
      </c>
      <c r="AJ32" s="234">
        <f>IF('CF表（奥様働けない時）'!AJ$3="","",'CF表（奥様働けない時）'!AJ32/10000)</f>
        <v/>
      </c>
      <c r="AK32" s="234">
        <f>IF('CF表（奥様働けない時）'!AK$3="","",'CF表（奥様働けない時）'!AK32/10000)</f>
        <v/>
      </c>
      <c r="AL32" s="234">
        <f>IF('CF表（奥様働けない時）'!AL$3="","",'CF表（奥様働けない時）'!AL32/10000)</f>
        <v/>
      </c>
      <c r="AM32" s="234">
        <f>IF('CF表（奥様働けない時）'!AM$3="","",'CF表（奥様働けない時）'!AM32/10000)</f>
        <v/>
      </c>
      <c r="AN32" s="234">
        <f>IF('CF表（奥様働けない時）'!AN$3="","",'CF表（奥様働けない時）'!AN32/10000)</f>
        <v/>
      </c>
      <c r="AO32" s="234">
        <f>IF('CF表（奥様働けない時）'!AO$3="","",'CF表（奥様働けない時）'!AO32/10000)</f>
        <v/>
      </c>
      <c r="AP32" s="234">
        <f>IF('CF表（奥様働けない時）'!AP$3="","",'CF表（奥様働けない時）'!AP32/10000)</f>
        <v/>
      </c>
      <c r="AQ32" s="234">
        <f>IF('CF表（奥様働けない時）'!AQ$3="","",'CF表（奥様働けない時）'!AQ32/10000)</f>
        <v/>
      </c>
      <c r="AR32" s="234">
        <f>IF('CF表（奥様働けない時）'!AR$3="","",'CF表（奥様働けない時）'!AR32/10000)</f>
        <v/>
      </c>
      <c r="AS32" s="234">
        <f>IF('CF表（奥様働けない時）'!AS$3="","",'CF表（奥様働けない時）'!AS32/10000)</f>
        <v/>
      </c>
      <c r="AT32" s="234">
        <f>IF('CF表（奥様働けない時）'!AT$3="","",'CF表（奥様働けない時）'!AT32/10000)</f>
        <v/>
      </c>
      <c r="AU32" s="234">
        <f>IF('CF表（奥様働けない時）'!AU$3="","",'CF表（奥様働けない時）'!AU32/10000)</f>
        <v/>
      </c>
      <c r="AV32" s="234">
        <f>IF('CF表（奥様働けない時）'!AV$3="","",'CF表（奥様働けない時）'!AV32/10000)</f>
        <v/>
      </c>
      <c r="AW32" s="234">
        <f>IF('CF表（奥様働けない時）'!AW$3="","",'CF表（奥様働けない時）'!AW32/10000)</f>
        <v/>
      </c>
      <c r="AX32" s="234">
        <f>IF('CF表（奥様働けない時）'!AX$3="","",'CF表（奥様働けない時）'!AX32/10000)</f>
        <v/>
      </c>
      <c r="AY32" s="234">
        <f>IF('CF表（奥様働けない時）'!AY$3="","",'CF表（奥様働けない時）'!AY32/10000)</f>
        <v/>
      </c>
      <c r="AZ32" s="234">
        <f>IF('CF表（奥様働けない時）'!AZ$3="","",'CF表（奥様働けない時）'!AZ32/10000)</f>
        <v/>
      </c>
      <c r="BA32" s="234">
        <f>IF('CF表（奥様働けない時）'!BA$3="","",'CF表（奥様働けない時）'!BA32/10000)</f>
        <v/>
      </c>
      <c r="BB32" s="234">
        <f>IF('CF表（奥様働けない時）'!BB$3="","",'CF表（奥様働けない時）'!BB32/10000)</f>
        <v/>
      </c>
      <c r="BC32" s="234">
        <f>IF('CF表（奥様働けない時）'!BC$3="","",'CF表（奥様働けない時）'!BC32/10000)</f>
        <v/>
      </c>
      <c r="BD32" s="234">
        <f>IF('CF表（奥様働けない時）'!BD$3="","",'CF表（奥様働けない時）'!BD32/10000)</f>
        <v/>
      </c>
      <c r="BE32" s="234">
        <f>IF('CF表（奥様働けない時）'!BE$3="","",'CF表（奥様働けない時）'!BE32/10000)</f>
        <v/>
      </c>
      <c r="BF32" s="234">
        <f>IF('CF表（奥様働けない時）'!BF$3="","",'CF表（奥様働けない時）'!BF32/10000)</f>
        <v/>
      </c>
      <c r="BG32" s="234">
        <f>IF('CF表（奥様働けない時）'!BG$3="","",'CF表（奥様働けない時）'!BG32/10000)</f>
        <v/>
      </c>
      <c r="BH32" s="234">
        <f>IF('CF表（奥様働けない時）'!BH$3="","",'CF表（奥様働けない時）'!BH32/10000)</f>
        <v/>
      </c>
      <c r="BI32" s="234">
        <f>IF('CF表（奥様働けない時）'!BI$3="","",'CF表（奥様働けない時）'!BI32/10000)</f>
        <v/>
      </c>
      <c r="BJ32" s="234">
        <f>IF('CF表（奥様働けない時）'!BJ$3="","",'CF表（奥様働けない時）'!BJ32/10000)</f>
        <v/>
      </c>
      <c r="BK32" s="234">
        <f>IF('CF表（奥様働けない時）'!BK$3="","",'CF表（奥様働けない時）'!BK32/10000)</f>
        <v/>
      </c>
      <c r="BL32" s="234">
        <f>IF('CF表（奥様働けない時）'!BL$3="","",'CF表（奥様働けない時）'!BL32/10000)</f>
        <v/>
      </c>
      <c r="BM32" s="234">
        <f>IF('CF表（奥様働けない時）'!BM$3="","",'CF表（奥様働けない時）'!BM32/10000)</f>
        <v/>
      </c>
      <c r="BN32" s="234">
        <f>IF('CF表（奥様働けない時）'!BN$3="","",'CF表（奥様働けない時）'!BN32/10000)</f>
        <v/>
      </c>
      <c r="BO32" s="234">
        <f>IF('CF表（奥様働けない時）'!BO$3="","",'CF表（奥様働けない時）'!BO32/10000)</f>
        <v/>
      </c>
      <c r="BP32" s="234">
        <f>IF('CF表（奥様働けない時）'!BP$3="","",'CF表（奥様働けない時）'!BP32/10000)</f>
        <v/>
      </c>
      <c r="BQ32" s="234">
        <f>IF('CF表（奥様働けない時）'!BQ$3="","",'CF表（奥様働けない時）'!BQ32/10000)</f>
        <v/>
      </c>
      <c r="BR32" s="234">
        <f>IF('CF表（奥様働けない時）'!BR$3="","",'CF表（奥様働けない時）'!BR32/10000)</f>
        <v/>
      </c>
      <c r="BS32" s="234">
        <f>IF('CF表（奥様働けない時）'!BS$3="","",'CF表（奥様働けない時）'!BS32/10000)</f>
        <v/>
      </c>
      <c r="BT32" s="234">
        <f>IF('CF表（奥様働けない時）'!BT$3="","",'CF表（奥様働けない時）'!BT32/10000)</f>
        <v/>
      </c>
      <c r="BU32" s="234">
        <f>IF('CF表（奥様働けない時）'!BU$3="","",'CF表（奥様働けない時）'!BU32/10000)</f>
        <v/>
      </c>
      <c r="BV32" s="234">
        <f>IF('CF表（奥様働けない時）'!BV$3="","",'CF表（奥様働けない時）'!BV32/10000)</f>
        <v/>
      </c>
      <c r="BW32" s="234">
        <f>IF('CF表（奥様働けない時）'!BW$3="","",'CF表（奥様働けない時）'!BW32/10000)</f>
        <v/>
      </c>
      <c r="BX32" s="234">
        <f>IF('CF表（奥様働けない時）'!BX$3="","",'CF表（奥様働けない時）'!BX32/10000)</f>
        <v/>
      </c>
      <c r="BY32" s="234">
        <f>IF('CF表（奥様働けない時）'!BY$3="","",'CF表（奥様働けない時）'!BY32/10000)</f>
        <v/>
      </c>
      <c r="BZ32" s="234">
        <f>IF('CF表（奥様働けない時）'!BZ$3="","",'CF表（奥様働けない時）'!BZ32/10000)</f>
        <v/>
      </c>
      <c r="CA32" s="234">
        <f>IF('CF表（奥様働けない時）'!CA$3="","",'CF表（奥様働けない時）'!CA32/10000)</f>
        <v/>
      </c>
      <c r="CB32" s="234">
        <f>IF('CF表（奥様働けない時）'!CB$3="","",'CF表（奥様働けない時）'!CB32/10000)</f>
        <v/>
      </c>
      <c r="CC32" s="234">
        <f>IF('CF表（奥様働けない時）'!CC$3="","",'CF表（奥様働けない時）'!CC32/10000)</f>
        <v/>
      </c>
      <c r="CD32" s="234">
        <f>IF('CF表（奥様働けない時）'!CD$3="","",'CF表（奥様働けない時）'!CD32/10000)</f>
        <v/>
      </c>
      <c r="CE32" s="234">
        <f>IF('CF表（奥様働けない時）'!CE$3="","",'CF表（奥様働けない時）'!CE32/10000)</f>
        <v/>
      </c>
      <c r="CF32" s="234">
        <f>IF('CF表（奥様働けない時）'!CF$3="","",'CF表（奥様働けない時）'!CF32/10000)</f>
        <v/>
      </c>
      <c r="CG32" s="234">
        <f>IF('CF表（奥様働けない時）'!CG$3="","",'CF表（奥様働けない時）'!CG32/10000)</f>
        <v/>
      </c>
      <c r="CH32" s="234">
        <f>IF('CF表（奥様働けない時）'!CH$3="","",'CF表（奥様働けない時）'!CH32/10000)</f>
        <v/>
      </c>
      <c r="CI32" s="234">
        <f>IF('CF表（奥様働けない時）'!CI$3="","",'CF表（奥様働けない時）'!CI32/10000)</f>
        <v/>
      </c>
      <c r="CJ32" s="234">
        <f>IF('CF表（奥様働けない時）'!CJ$3="","",'CF表（奥様働けない時）'!CJ32/10000)</f>
        <v/>
      </c>
      <c r="CK32" s="234">
        <f>IF('CF表（奥様働けない時）'!CK$3="","",'CF表（奥様働けない時）'!CK32/10000)</f>
        <v/>
      </c>
      <c r="CL32" s="234">
        <f>IF('CF表（奥様働けない時）'!CL$3="","",'CF表（奥様働けない時）'!CL32/10000)</f>
        <v/>
      </c>
      <c r="CM32" s="234">
        <f>IF('CF表（奥様働けない時）'!CM$3="","",'CF表（奥様働けない時）'!CM32/10000)</f>
        <v/>
      </c>
      <c r="CN32" s="234">
        <f>IF('CF表（奥様働けない時）'!CN$3="","",'CF表（奥様働けない時）'!CN32/10000)</f>
        <v/>
      </c>
      <c r="CO32" s="234">
        <f>IF('CF表（奥様働けない時）'!CO$3="","",'CF表（奥様働けない時）'!CO32/10000)</f>
        <v/>
      </c>
      <c r="CP32" s="234">
        <f>IF('CF表（奥様働けない時）'!CP$3="","",'CF表（奥様働けない時）'!CP32/10000)</f>
        <v/>
      </c>
      <c r="CQ32" s="234">
        <f>IF('CF表（奥様働けない時）'!CQ$3="","",'CF表（奥様働けない時）'!CQ32/10000)</f>
        <v/>
      </c>
      <c r="CR32" s="234">
        <f>IF('CF表（奥様働けない時）'!CR$3="","",'CF表（奥様働けない時）'!CR32/10000)</f>
        <v/>
      </c>
      <c r="CS32" s="234">
        <f>IF('CF表（奥様働けない時）'!CS$3="","",'CF表（奥様働けない時）'!CS32/10000)</f>
        <v/>
      </c>
      <c r="CT32" s="234">
        <f>IF('CF表（奥様働けない時）'!CT$3="","",'CF表（奥様働けない時）'!CT32/10000)</f>
        <v/>
      </c>
      <c r="CU32" s="234">
        <f>IF('CF表（奥様働けない時）'!CU$3="","",'CF表（奥様働けない時）'!CU32/10000)</f>
        <v/>
      </c>
      <c r="CV32" s="234">
        <f>IF('CF表（奥様働けない時）'!CV$3="","",'CF表（奥様働けない時）'!CV32/10000)</f>
        <v/>
      </c>
      <c r="CW32" s="234">
        <f>IF('CF表（奥様働けない時）'!CW$3="","",'CF表（奥様働けない時）'!CW32/10000)</f>
        <v/>
      </c>
    </row>
    <row r="33" ht="15" customHeight="1" s="180">
      <c r="A33" s="233" t="inlineStr">
        <is>
          <t>解約返戻金残高</t>
        </is>
      </c>
      <c r="B33" s="234">
        <f>IF('CF表（奥様働けない時）'!B$3="","",'CF表（奥様働けない時）'!B33/10000)</f>
        <v/>
      </c>
      <c r="C33" s="234">
        <f>IF('CF表（奥様働けない時）'!C$3="","",'CF表（奥様働けない時）'!C33/10000)</f>
        <v/>
      </c>
      <c r="D33" s="234">
        <f>IF('CF表（奥様働けない時）'!D$3="","",'CF表（奥様働けない時）'!D33/10000)</f>
        <v/>
      </c>
      <c r="E33" s="234">
        <f>IF('CF表（奥様働けない時）'!E$3="","",'CF表（奥様働けない時）'!E33/10000)</f>
        <v/>
      </c>
      <c r="F33" s="234">
        <f>IF('CF表（奥様働けない時）'!F$3="","",'CF表（奥様働けない時）'!F33/10000)</f>
        <v/>
      </c>
      <c r="G33" s="234">
        <f>IF('CF表（奥様働けない時）'!G$3="","",'CF表（奥様働けない時）'!G33/10000)</f>
        <v/>
      </c>
      <c r="H33" s="234">
        <f>IF('CF表（奥様働けない時）'!H$3="","",'CF表（奥様働けない時）'!H33/10000)</f>
        <v/>
      </c>
      <c r="I33" s="234">
        <f>IF('CF表（奥様働けない時）'!I$3="","",'CF表（奥様働けない時）'!I33/10000)</f>
        <v/>
      </c>
      <c r="J33" s="234">
        <f>IF('CF表（奥様働けない時）'!J$3="","",'CF表（奥様働けない時）'!J33/10000)</f>
        <v/>
      </c>
      <c r="K33" s="234">
        <f>IF('CF表（奥様働けない時）'!K$3="","",'CF表（奥様働けない時）'!K33/10000)</f>
        <v/>
      </c>
      <c r="L33" s="234">
        <f>IF('CF表（奥様働けない時）'!L$3="","",'CF表（奥様働けない時）'!L33/10000)</f>
        <v/>
      </c>
      <c r="M33" s="234">
        <f>IF('CF表（奥様働けない時）'!M$3="","",'CF表（奥様働けない時）'!M33/10000)</f>
        <v/>
      </c>
      <c r="N33" s="234">
        <f>IF('CF表（奥様働けない時）'!N$3="","",'CF表（奥様働けない時）'!N33/10000)</f>
        <v/>
      </c>
      <c r="O33" s="234">
        <f>IF('CF表（奥様働けない時）'!O$3="","",'CF表（奥様働けない時）'!O33/10000)</f>
        <v/>
      </c>
      <c r="P33" s="234">
        <f>IF('CF表（奥様働けない時）'!P$3="","",'CF表（奥様働けない時）'!P33/10000)</f>
        <v/>
      </c>
      <c r="Q33" s="234">
        <f>IF('CF表（奥様働けない時）'!Q$3="","",'CF表（奥様働けない時）'!Q33/10000)</f>
        <v/>
      </c>
      <c r="R33" s="234">
        <f>IF('CF表（奥様働けない時）'!R$3="","",'CF表（奥様働けない時）'!R33/10000)</f>
        <v/>
      </c>
      <c r="S33" s="234">
        <f>IF('CF表（奥様働けない時）'!S$3="","",'CF表（奥様働けない時）'!S33/10000)</f>
        <v/>
      </c>
      <c r="T33" s="234">
        <f>IF('CF表（奥様働けない時）'!T$3="","",'CF表（奥様働けない時）'!T33/10000)</f>
        <v/>
      </c>
      <c r="U33" s="234">
        <f>IF('CF表（奥様働けない時）'!U$3="","",'CF表（奥様働けない時）'!U33/10000)</f>
        <v/>
      </c>
      <c r="V33" s="234">
        <f>IF('CF表（奥様働けない時）'!V$3="","",'CF表（奥様働けない時）'!V33/10000)</f>
        <v/>
      </c>
      <c r="W33" s="234">
        <f>IF('CF表（奥様働けない時）'!W$3="","",'CF表（奥様働けない時）'!W33/10000)</f>
        <v/>
      </c>
      <c r="X33" s="234">
        <f>IF('CF表（奥様働けない時）'!X$3="","",'CF表（奥様働けない時）'!X33/10000)</f>
        <v/>
      </c>
      <c r="Y33" s="234">
        <f>IF('CF表（奥様働けない時）'!Y$3="","",'CF表（奥様働けない時）'!Y33/10000)</f>
        <v/>
      </c>
      <c r="Z33" s="234">
        <f>IF('CF表（奥様働けない時）'!Z$3="","",'CF表（奥様働けない時）'!Z33/10000)</f>
        <v/>
      </c>
      <c r="AA33" s="234">
        <f>IF('CF表（奥様働けない時）'!AA$3="","",'CF表（奥様働けない時）'!AA33/10000)</f>
        <v/>
      </c>
      <c r="AB33" s="234">
        <f>IF('CF表（奥様働けない時）'!AB$3="","",'CF表（奥様働けない時）'!AB33/10000)</f>
        <v/>
      </c>
      <c r="AC33" s="234">
        <f>IF('CF表（奥様働けない時）'!AC$3="","",'CF表（奥様働けない時）'!AC33/10000)</f>
        <v/>
      </c>
      <c r="AD33" s="234">
        <f>IF('CF表（奥様働けない時）'!AD$3="","",'CF表（奥様働けない時）'!AD33/10000)</f>
        <v/>
      </c>
      <c r="AE33" s="234">
        <f>IF('CF表（奥様働けない時）'!AE$3="","",'CF表（奥様働けない時）'!AE33/10000)</f>
        <v/>
      </c>
      <c r="AF33" s="234">
        <f>IF('CF表（奥様働けない時）'!AF$3="","",'CF表（奥様働けない時）'!AF33/10000)</f>
        <v/>
      </c>
      <c r="AG33" s="234">
        <f>IF('CF表（奥様働けない時）'!AG$3="","",'CF表（奥様働けない時）'!AG33/10000)</f>
        <v/>
      </c>
      <c r="AH33" s="234">
        <f>IF('CF表（奥様働けない時）'!AH$3="","",'CF表（奥様働けない時）'!AH33/10000)</f>
        <v/>
      </c>
      <c r="AI33" s="234">
        <f>IF('CF表（奥様働けない時）'!AI$3="","",'CF表（奥様働けない時）'!AI33/10000)</f>
        <v/>
      </c>
      <c r="AJ33" s="234">
        <f>IF('CF表（奥様働けない時）'!AJ$3="","",'CF表（奥様働けない時）'!AJ33/10000)</f>
        <v/>
      </c>
      <c r="AK33" s="234">
        <f>IF('CF表（奥様働けない時）'!AK$3="","",'CF表（奥様働けない時）'!AK33/10000)</f>
        <v/>
      </c>
      <c r="AL33" s="234">
        <f>IF('CF表（奥様働けない時）'!AL$3="","",'CF表（奥様働けない時）'!AL33/10000)</f>
        <v/>
      </c>
      <c r="AM33" s="234">
        <f>IF('CF表（奥様働けない時）'!AM$3="","",'CF表（奥様働けない時）'!AM33/10000)</f>
        <v/>
      </c>
      <c r="AN33" s="234">
        <f>IF('CF表（奥様働けない時）'!AN$3="","",'CF表（奥様働けない時）'!AN33/10000)</f>
        <v/>
      </c>
      <c r="AO33" s="234">
        <f>IF('CF表（奥様働けない時）'!AO$3="","",'CF表（奥様働けない時）'!AO33/10000)</f>
        <v/>
      </c>
      <c r="AP33" s="234">
        <f>IF('CF表（奥様働けない時）'!AP$3="","",'CF表（奥様働けない時）'!AP33/10000)</f>
        <v/>
      </c>
      <c r="AQ33" s="234">
        <f>IF('CF表（奥様働けない時）'!AQ$3="","",'CF表（奥様働けない時）'!AQ33/10000)</f>
        <v/>
      </c>
      <c r="AR33" s="234">
        <f>IF('CF表（奥様働けない時）'!AR$3="","",'CF表（奥様働けない時）'!AR33/10000)</f>
        <v/>
      </c>
      <c r="AS33" s="234">
        <f>IF('CF表（奥様働けない時）'!AS$3="","",'CF表（奥様働けない時）'!AS33/10000)</f>
        <v/>
      </c>
      <c r="AT33" s="234">
        <f>IF('CF表（奥様働けない時）'!AT$3="","",'CF表（奥様働けない時）'!AT33/10000)</f>
        <v/>
      </c>
      <c r="AU33" s="234">
        <f>IF('CF表（奥様働けない時）'!AU$3="","",'CF表（奥様働けない時）'!AU33/10000)</f>
        <v/>
      </c>
      <c r="AV33" s="234">
        <f>IF('CF表（奥様働けない時）'!AV$3="","",'CF表（奥様働けない時）'!AV33/10000)</f>
        <v/>
      </c>
      <c r="AW33" s="234">
        <f>IF('CF表（奥様働けない時）'!AW$3="","",'CF表（奥様働けない時）'!AW33/10000)</f>
        <v/>
      </c>
      <c r="AX33" s="234">
        <f>IF('CF表（奥様働けない時）'!AX$3="","",'CF表（奥様働けない時）'!AX33/10000)</f>
        <v/>
      </c>
      <c r="AY33" s="234">
        <f>IF('CF表（奥様働けない時）'!AY$3="","",'CF表（奥様働けない時）'!AY33/10000)</f>
        <v/>
      </c>
      <c r="AZ33" s="234">
        <f>IF('CF表（奥様働けない時）'!AZ$3="","",'CF表（奥様働けない時）'!AZ33/10000)</f>
        <v/>
      </c>
      <c r="BA33" s="234">
        <f>IF('CF表（奥様働けない時）'!BA$3="","",'CF表（奥様働けない時）'!BA33/10000)</f>
        <v/>
      </c>
      <c r="BB33" s="234">
        <f>IF('CF表（奥様働けない時）'!BB$3="","",'CF表（奥様働けない時）'!BB33/10000)</f>
        <v/>
      </c>
      <c r="BC33" s="234">
        <f>IF('CF表（奥様働けない時）'!BC$3="","",'CF表（奥様働けない時）'!BC33/10000)</f>
        <v/>
      </c>
      <c r="BD33" s="234">
        <f>IF('CF表（奥様働けない時）'!BD$3="","",'CF表（奥様働けない時）'!BD33/10000)</f>
        <v/>
      </c>
      <c r="BE33" s="234">
        <f>IF('CF表（奥様働けない時）'!BE$3="","",'CF表（奥様働けない時）'!BE33/10000)</f>
        <v/>
      </c>
      <c r="BF33" s="234">
        <f>IF('CF表（奥様働けない時）'!BF$3="","",'CF表（奥様働けない時）'!BF33/10000)</f>
        <v/>
      </c>
      <c r="BG33" s="234">
        <f>IF('CF表（奥様働けない時）'!BG$3="","",'CF表（奥様働けない時）'!BG33/10000)</f>
        <v/>
      </c>
      <c r="BH33" s="234">
        <f>IF('CF表（奥様働けない時）'!BH$3="","",'CF表（奥様働けない時）'!BH33/10000)</f>
        <v/>
      </c>
      <c r="BI33" s="234">
        <f>IF('CF表（奥様働けない時）'!BI$3="","",'CF表（奥様働けない時）'!BI33/10000)</f>
        <v/>
      </c>
      <c r="BJ33" s="234">
        <f>IF('CF表（奥様働けない時）'!BJ$3="","",'CF表（奥様働けない時）'!BJ33/10000)</f>
        <v/>
      </c>
      <c r="BK33" s="234">
        <f>IF('CF表（奥様働けない時）'!BK$3="","",'CF表（奥様働けない時）'!BK33/10000)</f>
        <v/>
      </c>
      <c r="BL33" s="234">
        <f>IF('CF表（奥様働けない時）'!BL$3="","",'CF表（奥様働けない時）'!BL33/10000)</f>
        <v/>
      </c>
      <c r="BM33" s="234">
        <f>IF('CF表（奥様働けない時）'!BM$3="","",'CF表（奥様働けない時）'!BM33/10000)</f>
        <v/>
      </c>
      <c r="BN33" s="234">
        <f>IF('CF表（奥様働けない時）'!BN$3="","",'CF表（奥様働けない時）'!BN33/10000)</f>
        <v/>
      </c>
      <c r="BO33" s="234">
        <f>IF('CF表（奥様働けない時）'!BO$3="","",'CF表（奥様働けない時）'!BO33/10000)</f>
        <v/>
      </c>
      <c r="BP33" s="234">
        <f>IF('CF表（奥様働けない時）'!BP$3="","",'CF表（奥様働けない時）'!BP33/10000)</f>
        <v/>
      </c>
      <c r="BQ33" s="234">
        <f>IF('CF表（奥様働けない時）'!BQ$3="","",'CF表（奥様働けない時）'!BQ33/10000)</f>
        <v/>
      </c>
      <c r="BR33" s="234">
        <f>IF('CF表（奥様働けない時）'!BR$3="","",'CF表（奥様働けない時）'!BR33/10000)</f>
        <v/>
      </c>
      <c r="BS33" s="234">
        <f>IF('CF表（奥様働けない時）'!BS$3="","",'CF表（奥様働けない時）'!BS33/10000)</f>
        <v/>
      </c>
      <c r="BT33" s="234">
        <f>IF('CF表（奥様働けない時）'!BT$3="","",'CF表（奥様働けない時）'!BT33/10000)</f>
        <v/>
      </c>
      <c r="BU33" s="234">
        <f>IF('CF表（奥様働けない時）'!BU$3="","",'CF表（奥様働けない時）'!BU33/10000)</f>
        <v/>
      </c>
      <c r="BV33" s="234">
        <f>IF('CF表（奥様働けない時）'!BV$3="","",'CF表（奥様働けない時）'!BV33/10000)</f>
        <v/>
      </c>
      <c r="BW33" s="234">
        <f>IF('CF表（奥様働けない時）'!BW$3="","",'CF表（奥様働けない時）'!BW33/10000)</f>
        <v/>
      </c>
      <c r="BX33" s="234">
        <f>IF('CF表（奥様働けない時）'!BX$3="","",'CF表（奥様働けない時）'!BX33/10000)</f>
        <v/>
      </c>
      <c r="BY33" s="234">
        <f>IF('CF表（奥様働けない時）'!BY$3="","",'CF表（奥様働けない時）'!BY33/10000)</f>
        <v/>
      </c>
      <c r="BZ33" s="234">
        <f>IF('CF表（奥様働けない時）'!BZ$3="","",'CF表（奥様働けない時）'!BZ33/10000)</f>
        <v/>
      </c>
      <c r="CA33" s="234">
        <f>IF('CF表（奥様働けない時）'!CA$3="","",'CF表（奥様働けない時）'!CA33/10000)</f>
        <v/>
      </c>
      <c r="CB33" s="234">
        <f>IF('CF表（奥様働けない時）'!CB$3="","",'CF表（奥様働けない時）'!CB33/10000)</f>
        <v/>
      </c>
      <c r="CC33" s="234">
        <f>IF('CF表（奥様働けない時）'!CC$3="","",'CF表（奥様働けない時）'!CC33/10000)</f>
        <v/>
      </c>
      <c r="CD33" s="234">
        <f>IF('CF表（奥様働けない時）'!CD$3="","",'CF表（奥様働けない時）'!CD33/10000)</f>
        <v/>
      </c>
      <c r="CE33" s="234">
        <f>IF('CF表（奥様働けない時）'!CE$3="","",'CF表（奥様働けない時）'!CE33/10000)</f>
        <v/>
      </c>
      <c r="CF33" s="234">
        <f>IF('CF表（奥様働けない時）'!CF$3="","",'CF表（奥様働けない時）'!CF33/10000)</f>
        <v/>
      </c>
      <c r="CG33" s="234">
        <f>IF('CF表（奥様働けない時）'!CG$3="","",'CF表（奥様働けない時）'!CG33/10000)</f>
        <v/>
      </c>
      <c r="CH33" s="234">
        <f>IF('CF表（奥様働けない時）'!CH$3="","",'CF表（奥様働けない時）'!CH33/10000)</f>
        <v/>
      </c>
      <c r="CI33" s="234">
        <f>IF('CF表（奥様働けない時）'!CI$3="","",'CF表（奥様働けない時）'!CI33/10000)</f>
        <v/>
      </c>
      <c r="CJ33" s="234">
        <f>IF('CF表（奥様働けない時）'!CJ$3="","",'CF表（奥様働けない時）'!CJ33/10000)</f>
        <v/>
      </c>
      <c r="CK33" s="234">
        <f>IF('CF表（奥様働けない時）'!CK$3="","",'CF表（奥様働けない時）'!CK33/10000)</f>
        <v/>
      </c>
      <c r="CL33" s="234">
        <f>IF('CF表（奥様働けない時）'!CL$3="","",'CF表（奥様働けない時）'!CL33/10000)</f>
        <v/>
      </c>
      <c r="CM33" s="234">
        <f>IF('CF表（奥様働けない時）'!CM$3="","",'CF表（奥様働けない時）'!CM33/10000)</f>
        <v/>
      </c>
      <c r="CN33" s="234">
        <f>IF('CF表（奥様働けない時）'!CN$3="","",'CF表（奥様働けない時）'!CN33/10000)</f>
        <v/>
      </c>
      <c r="CO33" s="234">
        <f>IF('CF表（奥様働けない時）'!CO$3="","",'CF表（奥様働けない時）'!CO33/10000)</f>
        <v/>
      </c>
      <c r="CP33" s="234">
        <f>IF('CF表（奥様働けない時）'!CP$3="","",'CF表（奥様働けない時）'!CP33/10000)</f>
        <v/>
      </c>
      <c r="CQ33" s="234">
        <f>IF('CF表（奥様働けない時）'!CQ$3="","",'CF表（奥様働けない時）'!CQ33/10000)</f>
        <v/>
      </c>
      <c r="CR33" s="234">
        <f>IF('CF表（奥様働けない時）'!CR$3="","",'CF表（奥様働けない時）'!CR33/10000)</f>
        <v/>
      </c>
      <c r="CS33" s="234">
        <f>IF('CF表（奥様働けない時）'!CS$3="","",'CF表（奥様働けない時）'!CS33/10000)</f>
        <v/>
      </c>
      <c r="CT33" s="234">
        <f>IF('CF表（奥様働けない時）'!CT$3="","",'CF表（奥様働けない時）'!CT33/10000)</f>
        <v/>
      </c>
      <c r="CU33" s="234">
        <f>IF('CF表（奥様働けない時）'!CU$3="","",'CF表（奥様働けない時）'!CU33/10000)</f>
        <v/>
      </c>
      <c r="CV33" s="234">
        <f>IF('CF表（奥様働けない時）'!CV$3="","",'CF表（奥様働けない時）'!CV33/10000)</f>
        <v/>
      </c>
      <c r="CW33" s="234">
        <f>IF('CF表（奥様働けない時）'!CW$3="","",'CF表（奥様働けない時）'!CW33/10000)</f>
        <v/>
      </c>
    </row>
    <row r="34" ht="15" customHeight="1" s="180">
      <c r="A34" s="235" t="inlineStr">
        <is>
          <t>住宅ローン残高</t>
        </is>
      </c>
      <c r="B34" s="236">
        <f>IF('CF表（奥様働けない時）'!B$3="","",'CF表（奥様働けない時）'!B34/10000)</f>
        <v/>
      </c>
      <c r="C34" s="236">
        <f>IF('CF表（奥様働けない時）'!C$3="","",'CF表（奥様働けない時）'!C34/10000)</f>
        <v/>
      </c>
      <c r="D34" s="236">
        <f>IF('CF表（奥様働けない時）'!D$3="","",'CF表（奥様働けない時）'!D34/10000)</f>
        <v/>
      </c>
      <c r="E34" s="236">
        <f>IF('CF表（奥様働けない時）'!E$3="","",'CF表（奥様働けない時）'!E34/10000)</f>
        <v/>
      </c>
      <c r="F34" s="236">
        <f>IF('CF表（奥様働けない時）'!F$3="","",'CF表（奥様働けない時）'!F34/10000)</f>
        <v/>
      </c>
      <c r="G34" s="236">
        <f>IF('CF表（奥様働けない時）'!G$3="","",'CF表（奥様働けない時）'!G34/10000)</f>
        <v/>
      </c>
      <c r="H34" s="236">
        <f>IF('CF表（奥様働けない時）'!H$3="","",'CF表（奥様働けない時）'!H34/10000)</f>
        <v/>
      </c>
      <c r="I34" s="236">
        <f>IF('CF表（奥様働けない時）'!I$3="","",'CF表（奥様働けない時）'!I34/10000)</f>
        <v/>
      </c>
      <c r="J34" s="236">
        <f>IF('CF表（奥様働けない時）'!J$3="","",'CF表（奥様働けない時）'!J34/10000)</f>
        <v/>
      </c>
      <c r="K34" s="236">
        <f>IF('CF表（奥様働けない時）'!K$3="","",'CF表（奥様働けない時）'!K34/10000)</f>
        <v/>
      </c>
      <c r="L34" s="236">
        <f>IF('CF表（奥様働けない時）'!L$3="","",'CF表（奥様働けない時）'!L34/10000)</f>
        <v/>
      </c>
      <c r="M34" s="236">
        <f>IF('CF表（奥様働けない時）'!M$3="","",'CF表（奥様働けない時）'!M34/10000)</f>
        <v/>
      </c>
      <c r="N34" s="236">
        <f>IF('CF表（奥様働けない時）'!N$3="","",'CF表（奥様働けない時）'!N34/10000)</f>
        <v/>
      </c>
      <c r="O34" s="236">
        <f>IF('CF表（奥様働けない時）'!O$3="","",'CF表（奥様働けない時）'!O34/10000)</f>
        <v/>
      </c>
      <c r="P34" s="236">
        <f>IF('CF表（奥様働けない時）'!P$3="","",'CF表（奥様働けない時）'!P34/10000)</f>
        <v/>
      </c>
      <c r="Q34" s="236">
        <f>IF('CF表（奥様働けない時）'!Q$3="","",'CF表（奥様働けない時）'!Q34/10000)</f>
        <v/>
      </c>
      <c r="R34" s="236">
        <f>IF('CF表（奥様働けない時）'!R$3="","",'CF表（奥様働けない時）'!R34/10000)</f>
        <v/>
      </c>
      <c r="S34" s="236">
        <f>IF('CF表（奥様働けない時）'!S$3="","",'CF表（奥様働けない時）'!S34/10000)</f>
        <v/>
      </c>
      <c r="T34" s="236">
        <f>IF('CF表（奥様働けない時）'!T$3="","",'CF表（奥様働けない時）'!T34/10000)</f>
        <v/>
      </c>
      <c r="U34" s="236">
        <f>IF('CF表（奥様働けない時）'!U$3="","",'CF表（奥様働けない時）'!U34/10000)</f>
        <v/>
      </c>
      <c r="V34" s="236">
        <f>IF('CF表（奥様働けない時）'!V$3="","",'CF表（奥様働けない時）'!V34/10000)</f>
        <v/>
      </c>
      <c r="W34" s="236">
        <f>IF('CF表（奥様働けない時）'!W$3="","",'CF表（奥様働けない時）'!W34/10000)</f>
        <v/>
      </c>
      <c r="X34" s="236">
        <f>IF('CF表（奥様働けない時）'!X$3="","",'CF表（奥様働けない時）'!X34/10000)</f>
        <v/>
      </c>
      <c r="Y34" s="236">
        <f>IF('CF表（奥様働けない時）'!Y$3="","",'CF表（奥様働けない時）'!Y34/10000)</f>
        <v/>
      </c>
      <c r="Z34" s="236">
        <f>IF('CF表（奥様働けない時）'!Z$3="","",'CF表（奥様働けない時）'!Z34/10000)</f>
        <v/>
      </c>
      <c r="AA34" s="236">
        <f>IF('CF表（奥様働けない時）'!AA$3="","",'CF表（奥様働けない時）'!AA34/10000)</f>
        <v/>
      </c>
      <c r="AB34" s="236">
        <f>IF('CF表（奥様働けない時）'!AB$3="","",'CF表（奥様働けない時）'!AB34/10000)</f>
        <v/>
      </c>
      <c r="AC34" s="236">
        <f>IF('CF表（奥様働けない時）'!AC$3="","",'CF表（奥様働けない時）'!AC34/10000)</f>
        <v/>
      </c>
      <c r="AD34" s="236">
        <f>IF('CF表（奥様働けない時）'!AD$3="","",'CF表（奥様働けない時）'!AD34/10000)</f>
        <v/>
      </c>
      <c r="AE34" s="236">
        <f>IF('CF表（奥様働けない時）'!AE$3="","",'CF表（奥様働けない時）'!AE34/10000)</f>
        <v/>
      </c>
      <c r="AF34" s="236">
        <f>IF('CF表（奥様働けない時）'!AF$3="","",'CF表（奥様働けない時）'!AF34/10000)</f>
        <v/>
      </c>
      <c r="AG34" s="236">
        <f>IF('CF表（奥様働けない時）'!AG$3="","",'CF表（奥様働けない時）'!AG34/10000)</f>
        <v/>
      </c>
      <c r="AH34" s="236">
        <f>IF('CF表（奥様働けない時）'!AH$3="","",'CF表（奥様働けない時）'!AH34/10000)</f>
        <v/>
      </c>
      <c r="AI34" s="236">
        <f>IF('CF表（奥様働けない時）'!AI$3="","",'CF表（奥様働けない時）'!AI34/10000)</f>
        <v/>
      </c>
      <c r="AJ34" s="236">
        <f>IF('CF表（奥様働けない時）'!AJ$3="","",'CF表（奥様働けない時）'!AJ34/10000)</f>
        <v/>
      </c>
      <c r="AK34" s="236">
        <f>IF('CF表（奥様働けない時）'!AK$3="","",'CF表（奥様働けない時）'!AK34/10000)</f>
        <v/>
      </c>
      <c r="AL34" s="236">
        <f>IF('CF表（奥様働けない時）'!AL$3="","",'CF表（奥様働けない時）'!AL34/10000)</f>
        <v/>
      </c>
      <c r="AM34" s="236">
        <f>IF('CF表（奥様働けない時）'!AM$3="","",'CF表（奥様働けない時）'!AM34/10000)</f>
        <v/>
      </c>
      <c r="AN34" s="236">
        <f>IF('CF表（奥様働けない時）'!AN$3="","",'CF表（奥様働けない時）'!AN34/10000)</f>
        <v/>
      </c>
      <c r="AO34" s="236">
        <f>IF('CF表（奥様働けない時）'!AO$3="","",'CF表（奥様働けない時）'!AO34/10000)</f>
        <v/>
      </c>
      <c r="AP34" s="236">
        <f>IF('CF表（奥様働けない時）'!AP$3="","",'CF表（奥様働けない時）'!AP34/10000)</f>
        <v/>
      </c>
      <c r="AQ34" s="236">
        <f>IF('CF表（奥様働けない時）'!AQ$3="","",'CF表（奥様働けない時）'!AQ34/10000)</f>
        <v/>
      </c>
      <c r="AR34" s="236">
        <f>IF('CF表（奥様働けない時）'!AR$3="","",'CF表（奥様働けない時）'!AR34/10000)</f>
        <v/>
      </c>
      <c r="AS34" s="236">
        <f>IF('CF表（奥様働けない時）'!AS$3="","",'CF表（奥様働けない時）'!AS34/10000)</f>
        <v/>
      </c>
      <c r="AT34" s="236">
        <f>IF('CF表（奥様働けない時）'!AT$3="","",'CF表（奥様働けない時）'!AT34/10000)</f>
        <v/>
      </c>
      <c r="AU34" s="236">
        <f>IF('CF表（奥様働けない時）'!AU$3="","",'CF表（奥様働けない時）'!AU34/10000)</f>
        <v/>
      </c>
      <c r="AV34" s="236">
        <f>IF('CF表（奥様働けない時）'!AV$3="","",'CF表（奥様働けない時）'!AV34/10000)</f>
        <v/>
      </c>
      <c r="AW34" s="236">
        <f>IF('CF表（奥様働けない時）'!AW$3="","",'CF表（奥様働けない時）'!AW34/10000)</f>
        <v/>
      </c>
      <c r="AX34" s="236">
        <f>IF('CF表（奥様働けない時）'!AX$3="","",'CF表（奥様働けない時）'!AX34/10000)</f>
        <v/>
      </c>
      <c r="AY34" s="236">
        <f>IF('CF表（奥様働けない時）'!AY$3="","",'CF表（奥様働けない時）'!AY34/10000)</f>
        <v/>
      </c>
      <c r="AZ34" s="236">
        <f>IF('CF表（奥様働けない時）'!AZ$3="","",'CF表（奥様働けない時）'!AZ34/10000)</f>
        <v/>
      </c>
      <c r="BA34" s="236">
        <f>IF('CF表（奥様働けない時）'!BA$3="","",'CF表（奥様働けない時）'!BA34/10000)</f>
        <v/>
      </c>
      <c r="BB34" s="236">
        <f>IF('CF表（奥様働けない時）'!BB$3="","",'CF表（奥様働けない時）'!BB34/10000)</f>
        <v/>
      </c>
      <c r="BC34" s="236">
        <f>IF('CF表（奥様働けない時）'!BC$3="","",'CF表（奥様働けない時）'!BC34/10000)</f>
        <v/>
      </c>
      <c r="BD34" s="236">
        <f>IF('CF表（奥様働けない時）'!BD$3="","",'CF表（奥様働けない時）'!BD34/10000)</f>
        <v/>
      </c>
      <c r="BE34" s="236">
        <f>IF('CF表（奥様働けない時）'!BE$3="","",'CF表（奥様働けない時）'!BE34/10000)</f>
        <v/>
      </c>
      <c r="BF34" s="236">
        <f>IF('CF表（奥様働けない時）'!BF$3="","",'CF表（奥様働けない時）'!BF34/10000)</f>
        <v/>
      </c>
      <c r="BG34" s="236">
        <f>IF('CF表（奥様働けない時）'!BG$3="","",'CF表（奥様働けない時）'!BG34/10000)</f>
        <v/>
      </c>
      <c r="BH34" s="236">
        <f>IF('CF表（奥様働けない時）'!BH$3="","",'CF表（奥様働けない時）'!BH34/10000)</f>
        <v/>
      </c>
      <c r="BI34" s="236">
        <f>IF('CF表（奥様働けない時）'!BI$3="","",'CF表（奥様働けない時）'!BI34/10000)</f>
        <v/>
      </c>
      <c r="BJ34" s="236">
        <f>IF('CF表（奥様働けない時）'!BJ$3="","",'CF表（奥様働けない時）'!BJ34/10000)</f>
        <v/>
      </c>
      <c r="BK34" s="236">
        <f>IF('CF表（奥様働けない時）'!BK$3="","",'CF表（奥様働けない時）'!BK34/10000)</f>
        <v/>
      </c>
      <c r="BL34" s="236">
        <f>IF('CF表（奥様働けない時）'!BL$3="","",'CF表（奥様働けない時）'!BL34/10000)</f>
        <v/>
      </c>
      <c r="BM34" s="236">
        <f>IF('CF表（奥様働けない時）'!BM$3="","",'CF表（奥様働けない時）'!BM34/10000)</f>
        <v/>
      </c>
      <c r="BN34" s="236">
        <f>IF('CF表（奥様働けない時）'!BN$3="","",'CF表（奥様働けない時）'!BN34/10000)</f>
        <v/>
      </c>
      <c r="BO34" s="236">
        <f>IF('CF表（奥様働けない時）'!BO$3="","",'CF表（奥様働けない時）'!BO34/10000)</f>
        <v/>
      </c>
      <c r="BP34" s="236">
        <f>IF('CF表（奥様働けない時）'!BP$3="","",'CF表（奥様働けない時）'!BP34/10000)</f>
        <v/>
      </c>
      <c r="BQ34" s="236">
        <f>IF('CF表（奥様働けない時）'!BQ$3="","",'CF表（奥様働けない時）'!BQ34/10000)</f>
        <v/>
      </c>
      <c r="BR34" s="236">
        <f>IF('CF表（奥様働けない時）'!BR$3="","",'CF表（奥様働けない時）'!BR34/10000)</f>
        <v/>
      </c>
      <c r="BS34" s="236">
        <f>IF('CF表（奥様働けない時）'!BS$3="","",'CF表（奥様働けない時）'!BS34/10000)</f>
        <v/>
      </c>
      <c r="BT34" s="236">
        <f>IF('CF表（奥様働けない時）'!BT$3="","",'CF表（奥様働けない時）'!BT34/10000)</f>
        <v/>
      </c>
      <c r="BU34" s="236">
        <f>IF('CF表（奥様働けない時）'!BU$3="","",'CF表（奥様働けない時）'!BU34/10000)</f>
        <v/>
      </c>
      <c r="BV34" s="236">
        <f>IF('CF表（奥様働けない時）'!BV$3="","",'CF表（奥様働けない時）'!BV34/10000)</f>
        <v/>
      </c>
      <c r="BW34" s="236">
        <f>IF('CF表（奥様働けない時）'!BW$3="","",'CF表（奥様働けない時）'!BW34/10000)</f>
        <v/>
      </c>
      <c r="BX34" s="236">
        <f>IF('CF表（奥様働けない時）'!BX$3="","",'CF表（奥様働けない時）'!BX34/10000)</f>
        <v/>
      </c>
      <c r="BY34" s="236">
        <f>IF('CF表（奥様働けない時）'!BY$3="","",'CF表（奥様働けない時）'!BY34/10000)</f>
        <v/>
      </c>
      <c r="BZ34" s="236">
        <f>IF('CF表（奥様働けない時）'!BZ$3="","",'CF表（奥様働けない時）'!BZ34/10000)</f>
        <v/>
      </c>
      <c r="CA34" s="236">
        <f>IF('CF表（奥様働けない時）'!CA$3="","",'CF表（奥様働けない時）'!CA34/10000)</f>
        <v/>
      </c>
      <c r="CB34" s="236">
        <f>IF('CF表（奥様働けない時）'!CB$3="","",'CF表（奥様働けない時）'!CB34/10000)</f>
        <v/>
      </c>
      <c r="CC34" s="236">
        <f>IF('CF表（奥様働けない時）'!CC$3="","",'CF表（奥様働けない時）'!CC34/10000)</f>
        <v/>
      </c>
      <c r="CD34" s="236">
        <f>IF('CF表（奥様働けない時）'!CD$3="","",'CF表（奥様働けない時）'!CD34/10000)</f>
        <v/>
      </c>
      <c r="CE34" s="236">
        <f>IF('CF表（奥様働けない時）'!CE$3="","",'CF表（奥様働けない時）'!CE34/10000)</f>
        <v/>
      </c>
      <c r="CF34" s="236">
        <f>IF('CF表（奥様働けない時）'!CF$3="","",'CF表（奥様働けない時）'!CF34/10000)</f>
        <v/>
      </c>
      <c r="CG34" s="236">
        <f>IF('CF表（奥様働けない時）'!CG$3="","",'CF表（奥様働けない時）'!CG34/10000)</f>
        <v/>
      </c>
      <c r="CH34" s="236">
        <f>IF('CF表（奥様働けない時）'!CH$3="","",'CF表（奥様働けない時）'!CH34/10000)</f>
        <v/>
      </c>
      <c r="CI34" s="236">
        <f>IF('CF表（奥様働けない時）'!CI$3="","",'CF表（奥様働けない時）'!CI34/10000)</f>
        <v/>
      </c>
      <c r="CJ34" s="236">
        <f>IF('CF表（奥様働けない時）'!CJ$3="","",'CF表（奥様働けない時）'!CJ34/10000)</f>
        <v/>
      </c>
      <c r="CK34" s="236">
        <f>IF('CF表（奥様働けない時）'!CK$3="","",'CF表（奥様働けない時）'!CK34/10000)</f>
        <v/>
      </c>
      <c r="CL34" s="236">
        <f>IF('CF表（奥様働けない時）'!CL$3="","",'CF表（奥様働けない時）'!CL34/10000)</f>
        <v/>
      </c>
      <c r="CM34" s="236">
        <f>IF('CF表（奥様働けない時）'!CM$3="","",'CF表（奥様働けない時）'!CM34/10000)</f>
        <v/>
      </c>
      <c r="CN34" s="236">
        <f>IF('CF表（奥様働けない時）'!CN$3="","",'CF表（奥様働けない時）'!CN34/10000)</f>
        <v/>
      </c>
      <c r="CO34" s="236">
        <f>IF('CF表（奥様働けない時）'!CO$3="","",'CF表（奥様働けない時）'!CO34/10000)</f>
        <v/>
      </c>
      <c r="CP34" s="236">
        <f>IF('CF表（奥様働けない時）'!CP$3="","",'CF表（奥様働けない時）'!CP34/10000)</f>
        <v/>
      </c>
      <c r="CQ34" s="236">
        <f>IF('CF表（奥様働けない時）'!CQ$3="","",'CF表（奥様働けない時）'!CQ34/10000)</f>
        <v/>
      </c>
      <c r="CR34" s="236">
        <f>IF('CF表（奥様働けない時）'!CR$3="","",'CF表（奥様働けない時）'!CR34/10000)</f>
        <v/>
      </c>
      <c r="CS34" s="236">
        <f>IF('CF表（奥様働けない時）'!CS$3="","",'CF表（奥様働けない時）'!CS34/10000)</f>
        <v/>
      </c>
      <c r="CT34" s="236">
        <f>IF('CF表（奥様働けない時）'!CT$3="","",'CF表（奥様働けない時）'!CT34/10000)</f>
        <v/>
      </c>
      <c r="CU34" s="236">
        <f>IF('CF表（奥様働けない時）'!CU$3="","",'CF表（奥様働けない時）'!CU34/10000)</f>
        <v/>
      </c>
      <c r="CV34" s="236">
        <f>IF('CF表（奥様働けない時）'!CV$3="","",'CF表（奥様働けない時）'!CV34/10000)</f>
        <v/>
      </c>
      <c r="CW34" s="236">
        <f>IF('CF表（奥様働けない時）'!CW$3="","",'CF表（奥様働けない時）'!CW34/10000)</f>
        <v/>
      </c>
    </row>
    <row r="35" ht="21.75" customHeight="1" s="180">
      <c r="A35" s="237" t="inlineStr">
        <is>
          <t>保有資産合計（ローン除く）</t>
        </is>
      </c>
      <c r="B35" s="238">
        <f>IF('CF表（奥様働けない時）'!B$3="","",'CF表（奥様働けない時）'!B35/10000)</f>
        <v/>
      </c>
      <c r="C35" s="238">
        <f>IF('CF表（奥様働けない時）'!C$3="","",'CF表（奥様働けない時）'!C35/10000)</f>
        <v/>
      </c>
      <c r="D35" s="238">
        <f>IF('CF表（奥様働けない時）'!D$3="","",'CF表（奥様働けない時）'!D35/10000)</f>
        <v/>
      </c>
      <c r="E35" s="238">
        <f>IF('CF表（奥様働けない時）'!E$3="","",'CF表（奥様働けない時）'!E35/10000)</f>
        <v/>
      </c>
      <c r="F35" s="238">
        <f>IF('CF表（奥様働けない時）'!F$3="","",'CF表（奥様働けない時）'!F35/10000)</f>
        <v/>
      </c>
      <c r="G35" s="238">
        <f>IF('CF表（奥様働けない時）'!G$3="","",'CF表（奥様働けない時）'!G35/10000)</f>
        <v/>
      </c>
      <c r="H35" s="238">
        <f>IF('CF表（奥様働けない時）'!H$3="","",'CF表（奥様働けない時）'!H35/10000)</f>
        <v/>
      </c>
      <c r="I35" s="238">
        <f>IF('CF表（奥様働けない時）'!I$3="","",'CF表（奥様働けない時）'!I35/10000)</f>
        <v/>
      </c>
      <c r="J35" s="238">
        <f>IF('CF表（奥様働けない時）'!J$3="","",'CF表（奥様働けない時）'!J35/10000)</f>
        <v/>
      </c>
      <c r="K35" s="238">
        <f>IF('CF表（奥様働けない時）'!K$3="","",'CF表（奥様働けない時）'!K35/10000)</f>
        <v/>
      </c>
      <c r="L35" s="238">
        <f>IF('CF表（奥様働けない時）'!L$3="","",'CF表（奥様働けない時）'!L35/10000)</f>
        <v/>
      </c>
      <c r="M35" s="238">
        <f>IF('CF表（奥様働けない時）'!M$3="","",'CF表（奥様働けない時）'!M35/10000)</f>
        <v/>
      </c>
      <c r="N35" s="238">
        <f>IF('CF表（奥様働けない時）'!N$3="","",'CF表（奥様働けない時）'!N35/10000)</f>
        <v/>
      </c>
      <c r="O35" s="238">
        <f>IF('CF表（奥様働けない時）'!O$3="","",'CF表（奥様働けない時）'!O35/10000)</f>
        <v/>
      </c>
      <c r="P35" s="238">
        <f>IF('CF表（奥様働けない時）'!P$3="","",'CF表（奥様働けない時）'!P35/10000)</f>
        <v/>
      </c>
      <c r="Q35" s="238">
        <f>IF('CF表（奥様働けない時）'!Q$3="","",'CF表（奥様働けない時）'!Q35/10000)</f>
        <v/>
      </c>
      <c r="R35" s="238">
        <f>IF('CF表（奥様働けない時）'!R$3="","",'CF表（奥様働けない時）'!R35/10000)</f>
        <v/>
      </c>
      <c r="S35" s="238">
        <f>IF('CF表（奥様働けない時）'!S$3="","",'CF表（奥様働けない時）'!S35/10000)</f>
        <v/>
      </c>
      <c r="T35" s="238">
        <f>IF('CF表（奥様働けない時）'!T$3="","",'CF表（奥様働けない時）'!T35/10000)</f>
        <v/>
      </c>
      <c r="U35" s="238">
        <f>IF('CF表（奥様働けない時）'!U$3="","",'CF表（奥様働けない時）'!U35/10000)</f>
        <v/>
      </c>
      <c r="V35" s="238">
        <f>IF('CF表（奥様働けない時）'!V$3="","",'CF表（奥様働けない時）'!V35/10000)</f>
        <v/>
      </c>
      <c r="W35" s="238">
        <f>IF('CF表（奥様働けない時）'!W$3="","",'CF表（奥様働けない時）'!W35/10000)</f>
        <v/>
      </c>
      <c r="X35" s="238">
        <f>IF('CF表（奥様働けない時）'!X$3="","",'CF表（奥様働けない時）'!X35/10000)</f>
        <v/>
      </c>
      <c r="Y35" s="238">
        <f>IF('CF表（奥様働けない時）'!Y$3="","",'CF表（奥様働けない時）'!Y35/10000)</f>
        <v/>
      </c>
      <c r="Z35" s="238">
        <f>IF('CF表（奥様働けない時）'!Z$3="","",'CF表（奥様働けない時）'!Z35/10000)</f>
        <v/>
      </c>
      <c r="AA35" s="238">
        <f>IF('CF表（奥様働けない時）'!AA$3="","",'CF表（奥様働けない時）'!AA35/10000)</f>
        <v/>
      </c>
      <c r="AB35" s="238">
        <f>IF('CF表（奥様働けない時）'!AB$3="","",'CF表（奥様働けない時）'!AB35/10000)</f>
        <v/>
      </c>
      <c r="AC35" s="238">
        <f>IF('CF表（奥様働けない時）'!AC$3="","",'CF表（奥様働けない時）'!AC35/10000)</f>
        <v/>
      </c>
      <c r="AD35" s="238">
        <f>IF('CF表（奥様働けない時）'!AD$3="","",'CF表（奥様働けない時）'!AD35/10000)</f>
        <v/>
      </c>
      <c r="AE35" s="238">
        <f>IF('CF表（奥様働けない時）'!AE$3="","",'CF表（奥様働けない時）'!AE35/10000)</f>
        <v/>
      </c>
      <c r="AF35" s="238">
        <f>IF('CF表（奥様働けない時）'!AF$3="","",'CF表（奥様働けない時）'!AF35/10000)</f>
        <v/>
      </c>
      <c r="AG35" s="238">
        <f>IF('CF表（奥様働けない時）'!AG$3="","",'CF表（奥様働けない時）'!AG35/10000)</f>
        <v/>
      </c>
      <c r="AH35" s="238">
        <f>IF('CF表（奥様働けない時）'!AH$3="","",'CF表（奥様働けない時）'!AH35/10000)</f>
        <v/>
      </c>
      <c r="AI35" s="238">
        <f>IF('CF表（奥様働けない時）'!AI$3="","",'CF表（奥様働けない時）'!AI35/10000)</f>
        <v/>
      </c>
      <c r="AJ35" s="238">
        <f>IF('CF表（奥様働けない時）'!AJ$3="","",'CF表（奥様働けない時）'!AJ35/10000)</f>
        <v/>
      </c>
      <c r="AK35" s="238">
        <f>IF('CF表（奥様働けない時）'!AK$3="","",'CF表（奥様働けない時）'!AK35/10000)</f>
        <v/>
      </c>
      <c r="AL35" s="238">
        <f>IF('CF表（奥様働けない時）'!AL$3="","",'CF表（奥様働けない時）'!AL35/10000)</f>
        <v/>
      </c>
      <c r="AM35" s="238">
        <f>IF('CF表（奥様働けない時）'!AM$3="","",'CF表（奥様働けない時）'!AM35/10000)</f>
        <v/>
      </c>
      <c r="AN35" s="238">
        <f>IF('CF表（奥様働けない時）'!AN$3="","",'CF表（奥様働けない時）'!AN35/10000)</f>
        <v/>
      </c>
      <c r="AO35" s="238">
        <f>IF('CF表（奥様働けない時）'!AO$3="","",'CF表（奥様働けない時）'!AO35/10000)</f>
        <v/>
      </c>
      <c r="AP35" s="238">
        <f>IF('CF表（奥様働けない時）'!AP$3="","",'CF表（奥様働けない時）'!AP35/10000)</f>
        <v/>
      </c>
      <c r="AQ35" s="238">
        <f>IF('CF表（奥様働けない時）'!AQ$3="","",'CF表（奥様働けない時）'!AQ35/10000)</f>
        <v/>
      </c>
      <c r="AR35" s="238">
        <f>IF('CF表（奥様働けない時）'!AR$3="","",'CF表（奥様働けない時）'!AR35/10000)</f>
        <v/>
      </c>
      <c r="AS35" s="238">
        <f>IF('CF表（奥様働けない時）'!AS$3="","",'CF表（奥様働けない時）'!AS35/10000)</f>
        <v/>
      </c>
      <c r="AT35" s="238">
        <f>IF('CF表（奥様働けない時）'!AT$3="","",'CF表（奥様働けない時）'!AT35/10000)</f>
        <v/>
      </c>
      <c r="AU35" s="238">
        <f>IF('CF表（奥様働けない時）'!AU$3="","",'CF表（奥様働けない時）'!AU35/10000)</f>
        <v/>
      </c>
      <c r="AV35" s="238">
        <f>IF('CF表（奥様働けない時）'!AV$3="","",'CF表（奥様働けない時）'!AV35/10000)</f>
        <v/>
      </c>
      <c r="AW35" s="238">
        <f>IF('CF表（奥様働けない時）'!AW$3="","",'CF表（奥様働けない時）'!AW35/10000)</f>
        <v/>
      </c>
      <c r="AX35" s="238">
        <f>IF('CF表（奥様働けない時）'!AX$3="","",'CF表（奥様働けない時）'!AX35/10000)</f>
        <v/>
      </c>
      <c r="AY35" s="238">
        <f>IF('CF表（奥様働けない時）'!AY$3="","",'CF表（奥様働けない時）'!AY35/10000)</f>
        <v/>
      </c>
      <c r="AZ35" s="238">
        <f>IF('CF表（奥様働けない時）'!AZ$3="","",'CF表（奥様働けない時）'!AZ35/10000)</f>
        <v/>
      </c>
      <c r="BA35" s="238">
        <f>IF('CF表（奥様働けない時）'!BA$3="","",'CF表（奥様働けない時）'!BA35/10000)</f>
        <v/>
      </c>
      <c r="BB35" s="238">
        <f>IF('CF表（奥様働けない時）'!BB$3="","",'CF表（奥様働けない時）'!BB35/10000)</f>
        <v/>
      </c>
      <c r="BC35" s="238">
        <f>IF('CF表（奥様働けない時）'!BC$3="","",'CF表（奥様働けない時）'!BC35/10000)</f>
        <v/>
      </c>
      <c r="BD35" s="238">
        <f>IF('CF表（奥様働けない時）'!BD$3="","",'CF表（奥様働けない時）'!BD35/10000)</f>
        <v/>
      </c>
      <c r="BE35" s="238">
        <f>IF('CF表（奥様働けない時）'!BE$3="","",'CF表（奥様働けない時）'!BE35/10000)</f>
        <v/>
      </c>
      <c r="BF35" s="238">
        <f>IF('CF表（奥様働けない時）'!BF$3="","",'CF表（奥様働けない時）'!BF35/10000)</f>
        <v/>
      </c>
      <c r="BG35" s="238">
        <f>IF('CF表（奥様働けない時）'!BG$3="","",'CF表（奥様働けない時）'!BG35/10000)</f>
        <v/>
      </c>
      <c r="BH35" s="238">
        <f>IF('CF表（奥様働けない時）'!BH$3="","",'CF表（奥様働けない時）'!BH35/10000)</f>
        <v/>
      </c>
      <c r="BI35" s="238">
        <f>IF('CF表（奥様働けない時）'!BI$3="","",'CF表（奥様働けない時）'!BI35/10000)</f>
        <v/>
      </c>
      <c r="BJ35" s="238">
        <f>IF('CF表（奥様働けない時）'!BJ$3="","",'CF表（奥様働けない時）'!BJ35/10000)</f>
        <v/>
      </c>
      <c r="BK35" s="238">
        <f>IF('CF表（奥様働けない時）'!BK$3="","",'CF表（奥様働けない時）'!BK35/10000)</f>
        <v/>
      </c>
      <c r="BL35" s="238">
        <f>IF('CF表（奥様働けない時）'!BL$3="","",'CF表（奥様働けない時）'!BL35/10000)</f>
        <v/>
      </c>
      <c r="BM35" s="238">
        <f>IF('CF表（奥様働けない時）'!BM$3="","",'CF表（奥様働けない時）'!BM35/10000)</f>
        <v/>
      </c>
      <c r="BN35" s="238">
        <f>IF('CF表（奥様働けない時）'!BN$3="","",'CF表（奥様働けない時）'!BN35/10000)</f>
        <v/>
      </c>
      <c r="BO35" s="238">
        <f>IF('CF表（奥様働けない時）'!BO$3="","",'CF表（奥様働けない時）'!BO35/10000)</f>
        <v/>
      </c>
      <c r="BP35" s="238">
        <f>IF('CF表（奥様働けない時）'!BP$3="","",'CF表（奥様働けない時）'!BP35/10000)</f>
        <v/>
      </c>
      <c r="BQ35" s="238">
        <f>IF('CF表（奥様働けない時）'!BQ$3="","",'CF表（奥様働けない時）'!BQ35/10000)</f>
        <v/>
      </c>
      <c r="BR35" s="238">
        <f>IF('CF表（奥様働けない時）'!BR$3="","",'CF表（奥様働けない時）'!BR35/10000)</f>
        <v/>
      </c>
      <c r="BS35" s="238">
        <f>IF('CF表（奥様働けない時）'!BS$3="","",'CF表（奥様働けない時）'!BS35/10000)</f>
        <v/>
      </c>
      <c r="BT35" s="238">
        <f>IF('CF表（奥様働けない時）'!BT$3="","",'CF表（奥様働けない時）'!BT35/10000)</f>
        <v/>
      </c>
      <c r="BU35" s="238">
        <f>IF('CF表（奥様働けない時）'!BU$3="","",'CF表（奥様働けない時）'!BU35/10000)</f>
        <v/>
      </c>
      <c r="BV35" s="238">
        <f>IF('CF表（奥様働けない時）'!BV$3="","",'CF表（奥様働けない時）'!BV35/10000)</f>
        <v/>
      </c>
      <c r="BW35" s="238">
        <f>IF('CF表（奥様働けない時）'!BW$3="","",'CF表（奥様働けない時）'!BW35/10000)</f>
        <v/>
      </c>
      <c r="BX35" s="238">
        <f>IF('CF表（奥様働けない時）'!BX$3="","",'CF表（奥様働けない時）'!BX35/10000)</f>
        <v/>
      </c>
      <c r="BY35" s="238">
        <f>IF('CF表（奥様働けない時）'!BY$3="","",'CF表（奥様働けない時）'!BY35/10000)</f>
        <v/>
      </c>
      <c r="BZ35" s="238">
        <f>IF('CF表（奥様働けない時）'!BZ$3="","",'CF表（奥様働けない時）'!BZ35/10000)</f>
        <v/>
      </c>
      <c r="CA35" s="238">
        <f>IF('CF表（奥様働けない時）'!CA$3="","",'CF表（奥様働けない時）'!CA35/10000)</f>
        <v/>
      </c>
      <c r="CB35" s="238">
        <f>IF('CF表（奥様働けない時）'!CB$3="","",'CF表（奥様働けない時）'!CB35/10000)</f>
        <v/>
      </c>
      <c r="CC35" s="238">
        <f>IF('CF表（奥様働けない時）'!CC$3="","",'CF表（奥様働けない時）'!CC35/10000)</f>
        <v/>
      </c>
      <c r="CD35" s="238">
        <f>IF('CF表（奥様働けない時）'!CD$3="","",'CF表（奥様働けない時）'!CD35/10000)</f>
        <v/>
      </c>
      <c r="CE35" s="238">
        <f>IF('CF表（奥様働けない時）'!CE$3="","",'CF表（奥様働けない時）'!CE35/10000)</f>
        <v/>
      </c>
      <c r="CF35" s="238">
        <f>IF('CF表（奥様働けない時）'!CF$3="","",'CF表（奥様働けない時）'!CF35/10000)</f>
        <v/>
      </c>
      <c r="CG35" s="238">
        <f>IF('CF表（奥様働けない時）'!CG$3="","",'CF表（奥様働けない時）'!CG35/10000)</f>
        <v/>
      </c>
      <c r="CH35" s="238">
        <f>IF('CF表（奥様働けない時）'!CH$3="","",'CF表（奥様働けない時）'!CH35/10000)</f>
        <v/>
      </c>
      <c r="CI35" s="238">
        <f>IF('CF表（奥様働けない時）'!CI$3="","",'CF表（奥様働けない時）'!CI35/10000)</f>
        <v/>
      </c>
      <c r="CJ35" s="238">
        <f>IF('CF表（奥様働けない時）'!CJ$3="","",'CF表（奥様働けない時）'!CJ35/10000)</f>
        <v/>
      </c>
      <c r="CK35" s="238">
        <f>IF('CF表（奥様働けない時）'!CK$3="","",'CF表（奥様働けない時）'!CK35/10000)</f>
        <v/>
      </c>
      <c r="CL35" s="238">
        <f>IF('CF表（奥様働けない時）'!CL$3="","",'CF表（奥様働けない時）'!CL35/10000)</f>
        <v/>
      </c>
      <c r="CM35" s="238">
        <f>IF('CF表（奥様働けない時）'!CM$3="","",'CF表（奥様働けない時）'!CM35/10000)</f>
        <v/>
      </c>
      <c r="CN35" s="238">
        <f>IF('CF表（奥様働けない時）'!CN$3="","",'CF表（奥様働けない時）'!CN35/10000)</f>
        <v/>
      </c>
      <c r="CO35" s="238">
        <f>IF('CF表（奥様働けない時）'!CO$3="","",'CF表（奥様働けない時）'!CO35/10000)</f>
        <v/>
      </c>
      <c r="CP35" s="238">
        <f>IF('CF表（奥様働けない時）'!CP$3="","",'CF表（奥様働けない時）'!CP35/10000)</f>
        <v/>
      </c>
      <c r="CQ35" s="238">
        <f>IF('CF表（奥様働けない時）'!CQ$3="","",'CF表（奥様働けない時）'!CQ35/10000)</f>
        <v/>
      </c>
      <c r="CR35" s="238">
        <f>IF('CF表（奥様働けない時）'!CR$3="","",'CF表（奥様働けない時）'!CR35/10000)</f>
        <v/>
      </c>
      <c r="CS35" s="238">
        <f>IF('CF表（奥様働けない時）'!CS$3="","",'CF表（奥様働けない時）'!CS35/10000)</f>
        <v/>
      </c>
      <c r="CT35" s="238">
        <f>IF('CF表（奥様働けない時）'!CT$3="","",'CF表（奥様働けない時）'!CT35/10000)</f>
        <v/>
      </c>
      <c r="CU35" s="238">
        <f>IF('CF表（奥様働けない時）'!CU$3="","",'CF表（奥様働けない時）'!CU35/10000)</f>
        <v/>
      </c>
      <c r="CV35" s="238">
        <f>IF('CF表（奥様働けない時）'!CV$3="","",'CF表（奥様働けない時）'!CV35/10000)</f>
        <v/>
      </c>
      <c r="CW35" s="238">
        <f>IF('CF表（奥様働けない時）'!CW$3="","",'CF表（奥様働けない時）'!CW35/10000)</f>
        <v/>
      </c>
    </row>
    <row r="36" hidden="1" ht="16.5" customHeight="1" s="180">
      <c r="A36" s="239" t="inlineStr">
        <is>
          <t>投資積立年額(補助)</t>
        </is>
      </c>
      <c r="B36" s="240">
        <f>IF('CF表（奥様働けない時）'!B$3="","",'CF表（奥様働けない時）'!B36/10000)</f>
        <v/>
      </c>
      <c r="C36" s="240">
        <f>IF('CF表（奥様働けない時）'!C$3="","",'CF表（奥様働けない時）'!C36/10000)</f>
        <v/>
      </c>
      <c r="D36" s="240">
        <f>IF('CF表（奥様働けない時）'!D$3="","",'CF表（奥様働けない時）'!D36/10000)</f>
        <v/>
      </c>
      <c r="E36" s="240">
        <f>IF('CF表（奥様働けない時）'!E$3="","",'CF表（奥様働けない時）'!E36/10000)</f>
        <v/>
      </c>
      <c r="F36" s="240">
        <f>IF('CF表（奥様働けない時）'!F$3="","",'CF表（奥様働けない時）'!F36/10000)</f>
        <v/>
      </c>
      <c r="G36" s="240">
        <f>IF('CF表（奥様働けない時）'!G$3="","",'CF表（奥様働けない時）'!G36/10000)</f>
        <v/>
      </c>
      <c r="H36" s="240">
        <f>IF('CF表（奥様働けない時）'!H$3="","",'CF表（奥様働けない時）'!H36/10000)</f>
        <v/>
      </c>
      <c r="I36" s="240">
        <f>IF('CF表（奥様働けない時）'!I$3="","",'CF表（奥様働けない時）'!I36/10000)</f>
        <v/>
      </c>
      <c r="J36" s="240">
        <f>IF('CF表（奥様働けない時）'!J$3="","",'CF表（奥様働けない時）'!J36/10000)</f>
        <v/>
      </c>
      <c r="K36" s="240">
        <f>IF('CF表（奥様働けない時）'!K$3="","",'CF表（奥様働けない時）'!K36/10000)</f>
        <v/>
      </c>
      <c r="L36" s="240">
        <f>IF('CF表（奥様働けない時）'!L$3="","",'CF表（奥様働けない時）'!L36/10000)</f>
        <v/>
      </c>
      <c r="M36" s="240">
        <f>IF('CF表（奥様働けない時）'!M$3="","",'CF表（奥様働けない時）'!M36/10000)</f>
        <v/>
      </c>
      <c r="N36" s="240">
        <f>IF('CF表（奥様働けない時）'!N$3="","",'CF表（奥様働けない時）'!N36/10000)</f>
        <v/>
      </c>
      <c r="O36" s="240">
        <f>IF('CF表（奥様働けない時）'!O$3="","",'CF表（奥様働けない時）'!O36/10000)</f>
        <v/>
      </c>
      <c r="P36" s="240">
        <f>IF('CF表（奥様働けない時）'!P$3="","",'CF表（奥様働けない時）'!P36/10000)</f>
        <v/>
      </c>
      <c r="Q36" s="240">
        <f>IF('CF表（奥様働けない時）'!Q$3="","",'CF表（奥様働けない時）'!Q36/10000)</f>
        <v/>
      </c>
      <c r="R36" s="240">
        <f>IF('CF表（奥様働けない時）'!R$3="","",'CF表（奥様働けない時）'!R36/10000)</f>
        <v/>
      </c>
      <c r="S36" s="240">
        <f>IF('CF表（奥様働けない時）'!S$3="","",'CF表（奥様働けない時）'!S36/10000)</f>
        <v/>
      </c>
      <c r="T36" s="240">
        <f>IF('CF表（奥様働けない時）'!T$3="","",'CF表（奥様働けない時）'!T36/10000)</f>
        <v/>
      </c>
      <c r="U36" s="240">
        <f>IF('CF表（奥様働けない時）'!U$3="","",'CF表（奥様働けない時）'!U36/10000)</f>
        <v/>
      </c>
      <c r="V36" s="240">
        <f>IF('CF表（奥様働けない時）'!V$3="","",'CF表（奥様働けない時）'!V36/10000)</f>
        <v/>
      </c>
      <c r="W36" s="240">
        <f>IF('CF表（奥様働けない時）'!W$3="","",'CF表（奥様働けない時）'!W36/10000)</f>
        <v/>
      </c>
      <c r="X36" s="240">
        <f>IF('CF表（奥様働けない時）'!X$3="","",'CF表（奥様働けない時）'!X36/10000)</f>
        <v/>
      </c>
      <c r="Y36" s="240">
        <f>IF('CF表（奥様働けない時）'!Y$3="","",'CF表（奥様働けない時）'!Y36/10000)</f>
        <v/>
      </c>
      <c r="Z36" s="240">
        <f>IF('CF表（奥様働けない時）'!Z$3="","",'CF表（奥様働けない時）'!Z36/10000)</f>
        <v/>
      </c>
      <c r="AA36" s="240">
        <f>IF('CF表（奥様働けない時）'!AA$3="","",'CF表（奥様働けない時）'!AA36/10000)</f>
        <v/>
      </c>
      <c r="AB36" s="240">
        <f>IF('CF表（奥様働けない時）'!AB$3="","",'CF表（奥様働けない時）'!AB36/10000)</f>
        <v/>
      </c>
      <c r="AC36" s="240">
        <f>IF('CF表（奥様働けない時）'!AC$3="","",'CF表（奥様働けない時）'!AC36/10000)</f>
        <v/>
      </c>
      <c r="AD36" s="240">
        <f>IF('CF表（奥様働けない時）'!AD$3="","",'CF表（奥様働けない時）'!AD36/10000)</f>
        <v/>
      </c>
      <c r="AE36" s="240">
        <f>IF('CF表（奥様働けない時）'!AE$3="","",'CF表（奥様働けない時）'!AE36/10000)</f>
        <v/>
      </c>
      <c r="AF36" s="240">
        <f>IF('CF表（奥様働けない時）'!AF$3="","",'CF表（奥様働けない時）'!AF36/10000)</f>
        <v/>
      </c>
      <c r="AG36" s="240">
        <f>IF('CF表（奥様働けない時）'!AG$3="","",'CF表（奥様働けない時）'!AG36/10000)</f>
        <v/>
      </c>
      <c r="AH36" s="240">
        <f>IF('CF表（奥様働けない時）'!AH$3="","",'CF表（奥様働けない時）'!AH36/10000)</f>
        <v/>
      </c>
      <c r="AI36" s="240">
        <f>IF('CF表（奥様働けない時）'!AI$3="","",'CF表（奥様働けない時）'!AI36/10000)</f>
        <v/>
      </c>
      <c r="AJ36" s="240">
        <f>IF('CF表（奥様働けない時）'!AJ$3="","",'CF表（奥様働けない時）'!AJ36/10000)</f>
        <v/>
      </c>
      <c r="AK36" s="240">
        <f>IF('CF表（奥様働けない時）'!AK$3="","",'CF表（奥様働けない時）'!AK36/10000)</f>
        <v/>
      </c>
      <c r="AL36" s="240">
        <f>IF('CF表（奥様働けない時）'!AL$3="","",'CF表（奥様働けない時）'!AL36/10000)</f>
        <v/>
      </c>
      <c r="AM36" s="240">
        <f>IF('CF表（奥様働けない時）'!AM$3="","",'CF表（奥様働けない時）'!AM36/10000)</f>
        <v/>
      </c>
      <c r="AN36" s="240">
        <f>IF('CF表（奥様働けない時）'!AN$3="","",'CF表（奥様働けない時）'!AN36/10000)</f>
        <v/>
      </c>
      <c r="AO36" s="240">
        <f>IF('CF表（奥様働けない時）'!AO$3="","",'CF表（奥様働けない時）'!AO36/10000)</f>
        <v/>
      </c>
      <c r="AP36" s="240">
        <f>IF('CF表（奥様働けない時）'!AP$3="","",'CF表（奥様働けない時）'!AP36/10000)</f>
        <v/>
      </c>
      <c r="AQ36" s="240">
        <f>IF('CF表（奥様働けない時）'!AQ$3="","",'CF表（奥様働けない時）'!AQ36/10000)</f>
        <v/>
      </c>
      <c r="AR36" s="240">
        <f>IF('CF表（奥様働けない時）'!AR$3="","",'CF表（奥様働けない時）'!AR36/10000)</f>
        <v/>
      </c>
      <c r="AS36" s="240">
        <f>IF('CF表（奥様働けない時）'!AS$3="","",'CF表（奥様働けない時）'!AS36/10000)</f>
        <v/>
      </c>
      <c r="AT36" s="240">
        <f>IF('CF表（奥様働けない時）'!AT$3="","",'CF表（奥様働けない時）'!AT36/10000)</f>
        <v/>
      </c>
      <c r="AU36" s="240">
        <f>IF('CF表（奥様働けない時）'!AU$3="","",'CF表（奥様働けない時）'!AU36/10000)</f>
        <v/>
      </c>
      <c r="AV36" s="240">
        <f>IF('CF表（奥様働けない時）'!AV$3="","",'CF表（奥様働けない時）'!AV36/10000)</f>
        <v/>
      </c>
      <c r="AW36" s="240">
        <f>IF('CF表（奥様働けない時）'!AW$3="","",'CF表（奥様働けない時）'!AW36/10000)</f>
        <v/>
      </c>
      <c r="AX36" s="240">
        <f>IF('CF表（奥様働けない時）'!AX$3="","",'CF表（奥様働けない時）'!AX36/10000)</f>
        <v/>
      </c>
      <c r="AY36" s="240">
        <f>IF('CF表（奥様働けない時）'!AY$3="","",'CF表（奥様働けない時）'!AY36/10000)</f>
        <v/>
      </c>
      <c r="AZ36" s="240">
        <f>IF('CF表（奥様働けない時）'!AZ$3="","",'CF表（奥様働けない時）'!AZ36/10000)</f>
        <v/>
      </c>
      <c r="BA36" s="240">
        <f>IF('CF表（奥様働けない時）'!BA$3="","",'CF表（奥様働けない時）'!BA36/10000)</f>
        <v/>
      </c>
      <c r="BB36" s="240">
        <f>IF('CF表（奥様働けない時）'!BB$3="","",'CF表（奥様働けない時）'!BB36/10000)</f>
        <v/>
      </c>
      <c r="BC36" s="240">
        <f>IF('CF表（奥様働けない時）'!BC$3="","",'CF表（奥様働けない時）'!BC36/10000)</f>
        <v/>
      </c>
      <c r="BD36" s="240">
        <f>IF('CF表（奥様働けない時）'!BD$3="","",'CF表（奥様働けない時）'!BD36/10000)</f>
        <v/>
      </c>
      <c r="BE36" s="240">
        <f>IF('CF表（奥様働けない時）'!BE$3="","",'CF表（奥様働けない時）'!BE36/10000)</f>
        <v/>
      </c>
      <c r="BF36" s="240">
        <f>IF('CF表（奥様働けない時）'!BF$3="","",'CF表（奥様働けない時）'!BF36/10000)</f>
        <v/>
      </c>
      <c r="BG36" s="240">
        <f>IF('CF表（奥様働けない時）'!BG$3="","",'CF表（奥様働けない時）'!BG36/10000)</f>
        <v/>
      </c>
      <c r="BH36" s="240">
        <f>IF('CF表（奥様働けない時）'!BH$3="","",'CF表（奥様働けない時）'!BH36/10000)</f>
        <v/>
      </c>
      <c r="BI36" s="240">
        <f>IF('CF表（奥様働けない時）'!BI$3="","",'CF表（奥様働けない時）'!BI36/10000)</f>
        <v/>
      </c>
      <c r="BJ36" s="240">
        <f>IF('CF表（奥様働けない時）'!BJ$3="","",'CF表（奥様働けない時）'!BJ36/10000)</f>
        <v/>
      </c>
      <c r="BK36" s="240">
        <f>IF('CF表（奥様働けない時）'!BK$3="","",'CF表（奥様働けない時）'!BK36/10000)</f>
        <v/>
      </c>
      <c r="BL36" s="240">
        <f>IF('CF表（奥様働けない時）'!BL$3="","",'CF表（奥様働けない時）'!BL36/10000)</f>
        <v/>
      </c>
      <c r="BM36" s="240">
        <f>IF('CF表（奥様働けない時）'!BM$3="","",'CF表（奥様働けない時）'!BM36/10000)</f>
        <v/>
      </c>
      <c r="BN36" s="240">
        <f>IF('CF表（奥様働けない時）'!BN$3="","",'CF表（奥様働けない時）'!BN36/10000)</f>
        <v/>
      </c>
      <c r="BO36" s="240">
        <f>IF('CF表（奥様働けない時）'!BO$3="","",'CF表（奥様働けない時）'!BO36/10000)</f>
        <v/>
      </c>
      <c r="BP36" s="240">
        <f>IF('CF表（奥様働けない時）'!BP$3="","",'CF表（奥様働けない時）'!BP36/10000)</f>
        <v/>
      </c>
      <c r="BQ36" s="240">
        <f>IF('CF表（奥様働けない時）'!BQ$3="","",'CF表（奥様働けない時）'!BQ36/10000)</f>
        <v/>
      </c>
      <c r="BR36" s="240">
        <f>IF('CF表（奥様働けない時）'!BR$3="","",'CF表（奥様働けない時）'!BR36/10000)</f>
        <v/>
      </c>
      <c r="BS36" s="240">
        <f>IF('CF表（奥様働けない時）'!BS$3="","",'CF表（奥様働けない時）'!BS36/10000)</f>
        <v/>
      </c>
      <c r="BT36" s="240">
        <f>IF('CF表（奥様働けない時）'!BT$3="","",'CF表（奥様働けない時）'!BT36/10000)</f>
        <v/>
      </c>
      <c r="BU36" s="240">
        <f>IF('CF表（奥様働けない時）'!BU$3="","",'CF表（奥様働けない時）'!BU36/10000)</f>
        <v/>
      </c>
      <c r="BV36" s="240">
        <f>IF('CF表（奥様働けない時）'!BV$3="","",'CF表（奥様働けない時）'!BV36/10000)</f>
        <v/>
      </c>
      <c r="BW36" s="240">
        <f>IF('CF表（奥様働けない時）'!BW$3="","",'CF表（奥様働けない時）'!BW36/10000)</f>
        <v/>
      </c>
      <c r="BX36" s="240">
        <f>IF('CF表（奥様働けない時）'!BX$3="","",'CF表（奥様働けない時）'!BX36/10000)</f>
        <v/>
      </c>
      <c r="BY36" s="240">
        <f>IF('CF表（奥様働けない時）'!BY$3="","",'CF表（奥様働けない時）'!BY36/10000)</f>
        <v/>
      </c>
      <c r="BZ36" s="240">
        <f>IF('CF表（奥様働けない時）'!BZ$3="","",'CF表（奥様働けない時）'!BZ36/10000)</f>
        <v/>
      </c>
      <c r="CA36" s="240">
        <f>IF('CF表（奥様働けない時）'!CA$3="","",'CF表（奥様働けない時）'!CA36/10000)</f>
        <v/>
      </c>
      <c r="CB36" s="240">
        <f>IF('CF表（奥様働けない時）'!CB$3="","",'CF表（奥様働けない時）'!CB36/10000)</f>
        <v/>
      </c>
      <c r="CC36" s="240">
        <f>IF('CF表（奥様働けない時）'!CC$3="","",'CF表（奥様働けない時）'!CC36/10000)</f>
        <v/>
      </c>
      <c r="CD36" s="240">
        <f>IF('CF表（奥様働けない時）'!CD$3="","",'CF表（奥様働けない時）'!CD36/10000)</f>
        <v/>
      </c>
      <c r="CE36" s="240">
        <f>IF('CF表（奥様働けない時）'!CE$3="","",'CF表（奥様働けない時）'!CE36/10000)</f>
        <v/>
      </c>
      <c r="CF36" s="240">
        <f>IF('CF表（奥様働けない時）'!CF$3="","",'CF表（奥様働けない時）'!CF36/10000)</f>
        <v/>
      </c>
      <c r="CG36" s="240">
        <f>IF('CF表（奥様働けない時）'!CG$3="","",'CF表（奥様働けない時）'!CG36/10000)</f>
        <v/>
      </c>
      <c r="CH36" s="240">
        <f>IF('CF表（奥様働けない時）'!CH$3="","",'CF表（奥様働けない時）'!CH36/10000)</f>
        <v/>
      </c>
      <c r="CI36" s="240">
        <f>IF('CF表（奥様働けない時）'!CI$3="","",'CF表（奥様働けない時）'!CI36/10000)</f>
        <v/>
      </c>
      <c r="CJ36" s="240">
        <f>IF('CF表（奥様働けない時）'!CJ$3="","",'CF表（奥様働けない時）'!CJ36/10000)</f>
        <v/>
      </c>
      <c r="CK36" s="240">
        <f>IF('CF表（奥様働けない時）'!CK$3="","",'CF表（奥様働けない時）'!CK36/10000)</f>
        <v/>
      </c>
      <c r="CL36" s="240">
        <f>IF('CF表（奥様働けない時）'!CL$3="","",'CF表（奥様働けない時）'!CL36/10000)</f>
        <v/>
      </c>
      <c r="CM36" s="240">
        <f>IF('CF表（奥様働けない時）'!CM$3="","",'CF表（奥様働けない時）'!CM36/10000)</f>
        <v/>
      </c>
      <c r="CN36" s="240">
        <f>IF('CF表（奥様働けない時）'!CN$3="","",'CF表（奥様働けない時）'!CN36/10000)</f>
        <v/>
      </c>
      <c r="CO36" s="240">
        <f>IF('CF表（奥様働けない時）'!CO$3="","",'CF表（奥様働けない時）'!CO36/10000)</f>
        <v/>
      </c>
      <c r="CP36" s="240">
        <f>IF('CF表（奥様働けない時）'!CP$3="","",'CF表（奥様働けない時）'!CP36/10000)</f>
        <v/>
      </c>
      <c r="CQ36" s="240">
        <f>IF('CF表（奥様働けない時）'!CQ$3="","",'CF表（奥様働けない時）'!CQ36/10000)</f>
        <v/>
      </c>
      <c r="CR36" s="240">
        <f>IF('CF表（奥様働けない時）'!CR$3="","",'CF表（奥様働けない時）'!CR36/10000)</f>
        <v/>
      </c>
      <c r="CS36" s="240">
        <f>IF('CF表（奥様働けない時）'!CS$3="","",'CF表（奥様働けない時）'!CS36/10000)</f>
        <v/>
      </c>
      <c r="CT36" s="240">
        <f>IF('CF表（奥様働けない時）'!CT$3="","",'CF表（奥様働けない時）'!CT36/10000)</f>
        <v/>
      </c>
      <c r="CU36" s="240">
        <f>IF('CF表（奥様働けない時）'!CU$3="","",'CF表（奥様働けない時）'!CU36/10000)</f>
        <v/>
      </c>
      <c r="CV36" s="240">
        <f>IF('CF表（奥様働けない時）'!CV$3="","",'CF表（奥様働けない時）'!CV36/10000)</f>
        <v/>
      </c>
      <c r="CW36" s="240">
        <f>IF('CF表（奥様働けない時）'!CW$3="","",'CF表（奥様働けない時）'!CW36/10000)</f>
        <v/>
      </c>
    </row>
    <row r="37" hidden="1" ht="16.5" customHeight="1" s="180">
      <c r="A37" s="239" t="inlineStr">
        <is>
          <t>返戻金積立年額(補助)</t>
        </is>
      </c>
      <c r="B37" s="240">
        <f>IF('CF表（奥様働けない時）'!B$3="","",'CF表（奥様働けない時）'!B37/10000)</f>
        <v/>
      </c>
      <c r="C37" s="240">
        <f>IF('CF表（奥様働けない時）'!C$3="","",'CF表（奥様働けない時）'!C37/10000)</f>
        <v/>
      </c>
      <c r="D37" s="240">
        <f>IF('CF表（奥様働けない時）'!D$3="","",'CF表（奥様働けない時）'!D37/10000)</f>
        <v/>
      </c>
      <c r="E37" s="240">
        <f>IF('CF表（奥様働けない時）'!E$3="","",'CF表（奥様働けない時）'!E37/10000)</f>
        <v/>
      </c>
      <c r="F37" s="240">
        <f>IF('CF表（奥様働けない時）'!F$3="","",'CF表（奥様働けない時）'!F37/10000)</f>
        <v/>
      </c>
      <c r="G37" s="240">
        <f>IF('CF表（奥様働けない時）'!G$3="","",'CF表（奥様働けない時）'!G37/10000)</f>
        <v/>
      </c>
      <c r="H37" s="240">
        <f>IF('CF表（奥様働けない時）'!H$3="","",'CF表（奥様働けない時）'!H37/10000)</f>
        <v/>
      </c>
      <c r="I37" s="240">
        <f>IF('CF表（奥様働けない時）'!I$3="","",'CF表（奥様働けない時）'!I37/10000)</f>
        <v/>
      </c>
      <c r="J37" s="240">
        <f>IF('CF表（奥様働けない時）'!J$3="","",'CF表（奥様働けない時）'!J37/10000)</f>
        <v/>
      </c>
      <c r="K37" s="240">
        <f>IF('CF表（奥様働けない時）'!K$3="","",'CF表（奥様働けない時）'!K37/10000)</f>
        <v/>
      </c>
      <c r="L37" s="240">
        <f>IF('CF表（奥様働けない時）'!L$3="","",'CF表（奥様働けない時）'!L37/10000)</f>
        <v/>
      </c>
      <c r="M37" s="240">
        <f>IF('CF表（奥様働けない時）'!M$3="","",'CF表（奥様働けない時）'!M37/10000)</f>
        <v/>
      </c>
      <c r="N37" s="240">
        <f>IF('CF表（奥様働けない時）'!N$3="","",'CF表（奥様働けない時）'!N37/10000)</f>
        <v/>
      </c>
      <c r="O37" s="240">
        <f>IF('CF表（奥様働けない時）'!O$3="","",'CF表（奥様働けない時）'!O37/10000)</f>
        <v/>
      </c>
      <c r="P37" s="240">
        <f>IF('CF表（奥様働けない時）'!P$3="","",'CF表（奥様働けない時）'!P37/10000)</f>
        <v/>
      </c>
      <c r="Q37" s="240">
        <f>IF('CF表（奥様働けない時）'!Q$3="","",'CF表（奥様働けない時）'!Q37/10000)</f>
        <v/>
      </c>
      <c r="R37" s="240">
        <f>IF('CF表（奥様働けない時）'!R$3="","",'CF表（奥様働けない時）'!R37/10000)</f>
        <v/>
      </c>
      <c r="S37" s="240">
        <f>IF('CF表（奥様働けない時）'!S$3="","",'CF表（奥様働けない時）'!S37/10000)</f>
        <v/>
      </c>
      <c r="T37" s="240">
        <f>IF('CF表（奥様働けない時）'!T$3="","",'CF表（奥様働けない時）'!T37/10000)</f>
        <v/>
      </c>
      <c r="U37" s="240">
        <f>IF('CF表（奥様働けない時）'!U$3="","",'CF表（奥様働けない時）'!U37/10000)</f>
        <v/>
      </c>
      <c r="V37" s="240">
        <f>IF('CF表（奥様働けない時）'!V$3="","",'CF表（奥様働けない時）'!V37/10000)</f>
        <v/>
      </c>
      <c r="W37" s="240">
        <f>IF('CF表（奥様働けない時）'!W$3="","",'CF表（奥様働けない時）'!W37/10000)</f>
        <v/>
      </c>
      <c r="X37" s="240">
        <f>IF('CF表（奥様働けない時）'!X$3="","",'CF表（奥様働けない時）'!X37/10000)</f>
        <v/>
      </c>
      <c r="Y37" s="240">
        <f>IF('CF表（奥様働けない時）'!Y$3="","",'CF表（奥様働けない時）'!Y37/10000)</f>
        <v/>
      </c>
      <c r="Z37" s="240">
        <f>IF('CF表（奥様働けない時）'!Z$3="","",'CF表（奥様働けない時）'!Z37/10000)</f>
        <v/>
      </c>
      <c r="AA37" s="240">
        <f>IF('CF表（奥様働けない時）'!AA$3="","",'CF表（奥様働けない時）'!AA37/10000)</f>
        <v/>
      </c>
      <c r="AB37" s="240">
        <f>IF('CF表（奥様働けない時）'!AB$3="","",'CF表（奥様働けない時）'!AB37/10000)</f>
        <v/>
      </c>
      <c r="AC37" s="240">
        <f>IF('CF表（奥様働けない時）'!AC$3="","",'CF表（奥様働けない時）'!AC37/10000)</f>
        <v/>
      </c>
      <c r="AD37" s="240">
        <f>IF('CF表（奥様働けない時）'!AD$3="","",'CF表（奥様働けない時）'!AD37/10000)</f>
        <v/>
      </c>
      <c r="AE37" s="240">
        <f>IF('CF表（奥様働けない時）'!AE$3="","",'CF表（奥様働けない時）'!AE37/10000)</f>
        <v/>
      </c>
      <c r="AF37" s="240">
        <f>IF('CF表（奥様働けない時）'!AF$3="","",'CF表（奥様働けない時）'!AF37/10000)</f>
        <v/>
      </c>
      <c r="AG37" s="240">
        <f>IF('CF表（奥様働けない時）'!AG$3="","",'CF表（奥様働けない時）'!AG37/10000)</f>
        <v/>
      </c>
      <c r="AH37" s="240">
        <f>IF('CF表（奥様働けない時）'!AH$3="","",'CF表（奥様働けない時）'!AH37/10000)</f>
        <v/>
      </c>
      <c r="AI37" s="240">
        <f>IF('CF表（奥様働けない時）'!AI$3="","",'CF表（奥様働けない時）'!AI37/10000)</f>
        <v/>
      </c>
      <c r="AJ37" s="240">
        <f>IF('CF表（奥様働けない時）'!AJ$3="","",'CF表（奥様働けない時）'!AJ37/10000)</f>
        <v/>
      </c>
      <c r="AK37" s="240">
        <f>IF('CF表（奥様働けない時）'!AK$3="","",'CF表（奥様働けない時）'!AK37/10000)</f>
        <v/>
      </c>
      <c r="AL37" s="240">
        <f>IF('CF表（奥様働けない時）'!AL$3="","",'CF表（奥様働けない時）'!AL37/10000)</f>
        <v/>
      </c>
      <c r="AM37" s="240">
        <f>IF('CF表（奥様働けない時）'!AM$3="","",'CF表（奥様働けない時）'!AM37/10000)</f>
        <v/>
      </c>
      <c r="AN37" s="240">
        <f>IF('CF表（奥様働けない時）'!AN$3="","",'CF表（奥様働けない時）'!AN37/10000)</f>
        <v/>
      </c>
      <c r="AO37" s="240">
        <f>IF('CF表（奥様働けない時）'!AO$3="","",'CF表（奥様働けない時）'!AO37/10000)</f>
        <v/>
      </c>
      <c r="AP37" s="240">
        <f>IF('CF表（奥様働けない時）'!AP$3="","",'CF表（奥様働けない時）'!AP37/10000)</f>
        <v/>
      </c>
      <c r="AQ37" s="240">
        <f>IF('CF表（奥様働けない時）'!AQ$3="","",'CF表（奥様働けない時）'!AQ37/10000)</f>
        <v/>
      </c>
      <c r="AR37" s="240">
        <f>IF('CF表（奥様働けない時）'!AR$3="","",'CF表（奥様働けない時）'!AR37/10000)</f>
        <v/>
      </c>
      <c r="AS37" s="240">
        <f>IF('CF表（奥様働けない時）'!AS$3="","",'CF表（奥様働けない時）'!AS37/10000)</f>
        <v/>
      </c>
      <c r="AT37" s="240">
        <f>IF('CF表（奥様働けない時）'!AT$3="","",'CF表（奥様働けない時）'!AT37/10000)</f>
        <v/>
      </c>
      <c r="AU37" s="240">
        <f>IF('CF表（奥様働けない時）'!AU$3="","",'CF表（奥様働けない時）'!AU37/10000)</f>
        <v/>
      </c>
      <c r="AV37" s="240">
        <f>IF('CF表（奥様働けない時）'!AV$3="","",'CF表（奥様働けない時）'!AV37/10000)</f>
        <v/>
      </c>
      <c r="AW37" s="240">
        <f>IF('CF表（奥様働けない時）'!AW$3="","",'CF表（奥様働けない時）'!AW37/10000)</f>
        <v/>
      </c>
      <c r="AX37" s="240">
        <f>IF('CF表（奥様働けない時）'!AX$3="","",'CF表（奥様働けない時）'!AX37/10000)</f>
        <v/>
      </c>
      <c r="AY37" s="240">
        <f>IF('CF表（奥様働けない時）'!AY$3="","",'CF表（奥様働けない時）'!AY37/10000)</f>
        <v/>
      </c>
      <c r="AZ37" s="240">
        <f>IF('CF表（奥様働けない時）'!AZ$3="","",'CF表（奥様働けない時）'!AZ37/10000)</f>
        <v/>
      </c>
      <c r="BA37" s="240">
        <f>IF('CF表（奥様働けない時）'!BA$3="","",'CF表（奥様働けない時）'!BA37/10000)</f>
        <v/>
      </c>
      <c r="BB37" s="240">
        <f>IF('CF表（奥様働けない時）'!BB$3="","",'CF表（奥様働けない時）'!BB37/10000)</f>
        <v/>
      </c>
      <c r="BC37" s="240">
        <f>IF('CF表（奥様働けない時）'!BC$3="","",'CF表（奥様働けない時）'!BC37/10000)</f>
        <v/>
      </c>
      <c r="BD37" s="240">
        <f>IF('CF表（奥様働けない時）'!BD$3="","",'CF表（奥様働けない時）'!BD37/10000)</f>
        <v/>
      </c>
      <c r="BE37" s="240">
        <f>IF('CF表（奥様働けない時）'!BE$3="","",'CF表（奥様働けない時）'!BE37/10000)</f>
        <v/>
      </c>
      <c r="BF37" s="240">
        <f>IF('CF表（奥様働けない時）'!BF$3="","",'CF表（奥様働けない時）'!BF37/10000)</f>
        <v/>
      </c>
      <c r="BG37" s="240">
        <f>IF('CF表（奥様働けない時）'!BG$3="","",'CF表（奥様働けない時）'!BG37/10000)</f>
        <v/>
      </c>
      <c r="BH37" s="240">
        <f>IF('CF表（奥様働けない時）'!BH$3="","",'CF表（奥様働けない時）'!BH37/10000)</f>
        <v/>
      </c>
      <c r="BI37" s="240">
        <f>IF('CF表（奥様働けない時）'!BI$3="","",'CF表（奥様働けない時）'!BI37/10000)</f>
        <v/>
      </c>
      <c r="BJ37" s="240">
        <f>IF('CF表（奥様働けない時）'!BJ$3="","",'CF表（奥様働けない時）'!BJ37/10000)</f>
        <v/>
      </c>
      <c r="BK37" s="240">
        <f>IF('CF表（奥様働けない時）'!BK$3="","",'CF表（奥様働けない時）'!BK37/10000)</f>
        <v/>
      </c>
      <c r="BL37" s="240">
        <f>IF('CF表（奥様働けない時）'!BL$3="","",'CF表（奥様働けない時）'!BL37/10000)</f>
        <v/>
      </c>
      <c r="BM37" s="240">
        <f>IF('CF表（奥様働けない時）'!BM$3="","",'CF表（奥様働けない時）'!BM37/10000)</f>
        <v/>
      </c>
      <c r="BN37" s="240">
        <f>IF('CF表（奥様働けない時）'!BN$3="","",'CF表（奥様働けない時）'!BN37/10000)</f>
        <v/>
      </c>
      <c r="BO37" s="240">
        <f>IF('CF表（奥様働けない時）'!BO$3="","",'CF表（奥様働けない時）'!BO37/10000)</f>
        <v/>
      </c>
      <c r="BP37" s="240">
        <f>IF('CF表（奥様働けない時）'!BP$3="","",'CF表（奥様働けない時）'!BP37/10000)</f>
        <v/>
      </c>
      <c r="BQ37" s="240">
        <f>IF('CF表（奥様働けない時）'!BQ$3="","",'CF表（奥様働けない時）'!BQ37/10000)</f>
        <v/>
      </c>
      <c r="BR37" s="240">
        <f>IF('CF表（奥様働けない時）'!BR$3="","",'CF表（奥様働けない時）'!BR37/10000)</f>
        <v/>
      </c>
      <c r="BS37" s="240">
        <f>IF('CF表（奥様働けない時）'!BS$3="","",'CF表（奥様働けない時）'!BS37/10000)</f>
        <v/>
      </c>
      <c r="BT37" s="240">
        <f>IF('CF表（奥様働けない時）'!BT$3="","",'CF表（奥様働けない時）'!BT37/10000)</f>
        <v/>
      </c>
      <c r="BU37" s="240">
        <f>IF('CF表（奥様働けない時）'!BU$3="","",'CF表（奥様働けない時）'!BU37/10000)</f>
        <v/>
      </c>
      <c r="BV37" s="240">
        <f>IF('CF表（奥様働けない時）'!BV$3="","",'CF表（奥様働けない時）'!BV37/10000)</f>
        <v/>
      </c>
      <c r="BW37" s="240">
        <f>IF('CF表（奥様働けない時）'!BW$3="","",'CF表（奥様働けない時）'!BW37/10000)</f>
        <v/>
      </c>
      <c r="BX37" s="240">
        <f>IF('CF表（奥様働けない時）'!BX$3="","",'CF表（奥様働けない時）'!BX37/10000)</f>
        <v/>
      </c>
      <c r="BY37" s="240">
        <f>IF('CF表（奥様働けない時）'!BY$3="","",'CF表（奥様働けない時）'!BY37/10000)</f>
        <v/>
      </c>
      <c r="BZ37" s="240">
        <f>IF('CF表（奥様働けない時）'!BZ$3="","",'CF表（奥様働けない時）'!BZ37/10000)</f>
        <v/>
      </c>
      <c r="CA37" s="240">
        <f>IF('CF表（奥様働けない時）'!CA$3="","",'CF表（奥様働けない時）'!CA37/10000)</f>
        <v/>
      </c>
      <c r="CB37" s="240">
        <f>IF('CF表（奥様働けない時）'!CB$3="","",'CF表（奥様働けない時）'!CB37/10000)</f>
        <v/>
      </c>
      <c r="CC37" s="240">
        <f>IF('CF表（奥様働けない時）'!CC$3="","",'CF表（奥様働けない時）'!CC37/10000)</f>
        <v/>
      </c>
      <c r="CD37" s="240">
        <f>IF('CF表（奥様働けない時）'!CD$3="","",'CF表（奥様働けない時）'!CD37/10000)</f>
        <v/>
      </c>
      <c r="CE37" s="240">
        <f>IF('CF表（奥様働けない時）'!CE$3="","",'CF表（奥様働けない時）'!CE37/10000)</f>
        <v/>
      </c>
      <c r="CF37" s="240">
        <f>IF('CF表（奥様働けない時）'!CF$3="","",'CF表（奥様働けない時）'!CF37/10000)</f>
        <v/>
      </c>
      <c r="CG37" s="240">
        <f>IF('CF表（奥様働けない時）'!CG$3="","",'CF表（奥様働けない時）'!CG37/10000)</f>
        <v/>
      </c>
      <c r="CH37" s="240">
        <f>IF('CF表（奥様働けない時）'!CH$3="","",'CF表（奥様働けない時）'!CH37/10000)</f>
        <v/>
      </c>
      <c r="CI37" s="240">
        <f>IF('CF表（奥様働けない時）'!CI$3="","",'CF表（奥様働けない時）'!CI37/10000)</f>
        <v/>
      </c>
      <c r="CJ37" s="240">
        <f>IF('CF表（奥様働けない時）'!CJ$3="","",'CF表（奥様働けない時）'!CJ37/10000)</f>
        <v/>
      </c>
      <c r="CK37" s="240">
        <f>IF('CF表（奥様働けない時）'!CK$3="","",'CF表（奥様働けない時）'!CK37/10000)</f>
        <v/>
      </c>
      <c r="CL37" s="240">
        <f>IF('CF表（奥様働けない時）'!CL$3="","",'CF表（奥様働けない時）'!CL37/10000)</f>
        <v/>
      </c>
      <c r="CM37" s="240">
        <f>IF('CF表（奥様働けない時）'!CM$3="","",'CF表（奥様働けない時）'!CM37/10000)</f>
        <v/>
      </c>
      <c r="CN37" s="240">
        <f>IF('CF表（奥様働けない時）'!CN$3="","",'CF表（奥様働けない時）'!CN37/10000)</f>
        <v/>
      </c>
      <c r="CO37" s="240">
        <f>IF('CF表（奥様働けない時）'!CO$3="","",'CF表（奥様働けない時）'!CO37/10000)</f>
        <v/>
      </c>
      <c r="CP37" s="240">
        <f>IF('CF表（奥様働けない時）'!CP$3="","",'CF表（奥様働けない時）'!CP37/10000)</f>
        <v/>
      </c>
      <c r="CQ37" s="240">
        <f>IF('CF表（奥様働けない時）'!CQ$3="","",'CF表（奥様働けない時）'!CQ37/10000)</f>
        <v/>
      </c>
      <c r="CR37" s="240">
        <f>IF('CF表（奥様働けない時）'!CR$3="","",'CF表（奥様働けない時）'!CR37/10000)</f>
        <v/>
      </c>
      <c r="CS37" s="240">
        <f>IF('CF表（奥様働けない時）'!CS$3="","",'CF表（奥様働けない時）'!CS37/10000)</f>
        <v/>
      </c>
      <c r="CT37" s="240">
        <f>IF('CF表（奥様働けない時）'!CT$3="","",'CF表（奥様働けない時）'!CT37/10000)</f>
        <v/>
      </c>
      <c r="CU37" s="240">
        <f>IF('CF表（奥様働けない時）'!CU$3="","",'CF表（奥様働けない時）'!CU37/10000)</f>
        <v/>
      </c>
      <c r="CV37" s="240">
        <f>IF('CF表（奥様働けない時）'!CV$3="","",'CF表（奥様働けない時）'!CV37/10000)</f>
        <v/>
      </c>
      <c r="CW37" s="240">
        <f>IF('CF表（奥様働けない時）'!CW$3="","",'CF表（奥様働けない時）'!CW37/10000)</f>
        <v/>
      </c>
    </row>
    <row r="38" hidden="1" ht="16.5" customHeight="1" s="180">
      <c r="A38" s="239" t="inlineStr">
        <is>
          <t>預貯金前年差引前(補助)</t>
        </is>
      </c>
      <c r="B38" s="240">
        <f>IF('CF表（奥様働けない時）'!B$3="","",'CF表（奥様働けない時）'!B38/10000)</f>
        <v/>
      </c>
      <c r="C38" s="240">
        <f>IF('CF表（奥様働けない時）'!C$3="","",'CF表（奥様働けない時）'!C38/10000)</f>
        <v/>
      </c>
      <c r="D38" s="240">
        <f>IF('CF表（奥様働けない時）'!D$3="","",'CF表（奥様働けない時）'!D38/10000)</f>
        <v/>
      </c>
      <c r="E38" s="240">
        <f>IF('CF表（奥様働けない時）'!E$3="","",'CF表（奥様働けない時）'!E38/10000)</f>
        <v/>
      </c>
      <c r="F38" s="240">
        <f>IF('CF表（奥様働けない時）'!F$3="","",'CF表（奥様働けない時）'!F38/10000)</f>
        <v/>
      </c>
      <c r="G38" s="240">
        <f>IF('CF表（奥様働けない時）'!G$3="","",'CF表（奥様働けない時）'!G38/10000)</f>
        <v/>
      </c>
      <c r="H38" s="240">
        <f>IF('CF表（奥様働けない時）'!H$3="","",'CF表（奥様働けない時）'!H38/10000)</f>
        <v/>
      </c>
      <c r="I38" s="240">
        <f>IF('CF表（奥様働けない時）'!I$3="","",'CF表（奥様働けない時）'!I38/10000)</f>
        <v/>
      </c>
      <c r="J38" s="240">
        <f>IF('CF表（奥様働けない時）'!J$3="","",'CF表（奥様働けない時）'!J38/10000)</f>
        <v/>
      </c>
      <c r="K38" s="240">
        <f>IF('CF表（奥様働けない時）'!K$3="","",'CF表（奥様働けない時）'!K38/10000)</f>
        <v/>
      </c>
      <c r="L38" s="240">
        <f>IF('CF表（奥様働けない時）'!L$3="","",'CF表（奥様働けない時）'!L38/10000)</f>
        <v/>
      </c>
      <c r="M38" s="240">
        <f>IF('CF表（奥様働けない時）'!M$3="","",'CF表（奥様働けない時）'!M38/10000)</f>
        <v/>
      </c>
      <c r="N38" s="240">
        <f>IF('CF表（奥様働けない時）'!N$3="","",'CF表（奥様働けない時）'!N38/10000)</f>
        <v/>
      </c>
      <c r="O38" s="240">
        <f>IF('CF表（奥様働けない時）'!O$3="","",'CF表（奥様働けない時）'!O38/10000)</f>
        <v/>
      </c>
      <c r="P38" s="240">
        <f>IF('CF表（奥様働けない時）'!P$3="","",'CF表（奥様働けない時）'!P38/10000)</f>
        <v/>
      </c>
      <c r="Q38" s="240">
        <f>IF('CF表（奥様働けない時）'!Q$3="","",'CF表（奥様働けない時）'!Q38/10000)</f>
        <v/>
      </c>
      <c r="R38" s="240">
        <f>IF('CF表（奥様働けない時）'!R$3="","",'CF表（奥様働けない時）'!R38/10000)</f>
        <v/>
      </c>
      <c r="S38" s="240">
        <f>IF('CF表（奥様働けない時）'!S$3="","",'CF表（奥様働けない時）'!S38/10000)</f>
        <v/>
      </c>
      <c r="T38" s="240">
        <f>IF('CF表（奥様働けない時）'!T$3="","",'CF表（奥様働けない時）'!T38/10000)</f>
        <v/>
      </c>
      <c r="U38" s="240">
        <f>IF('CF表（奥様働けない時）'!U$3="","",'CF表（奥様働けない時）'!U38/10000)</f>
        <v/>
      </c>
      <c r="V38" s="240">
        <f>IF('CF表（奥様働けない時）'!V$3="","",'CF表（奥様働けない時）'!V38/10000)</f>
        <v/>
      </c>
      <c r="W38" s="240">
        <f>IF('CF表（奥様働けない時）'!W$3="","",'CF表（奥様働けない時）'!W38/10000)</f>
        <v/>
      </c>
      <c r="X38" s="240">
        <f>IF('CF表（奥様働けない時）'!X$3="","",'CF表（奥様働けない時）'!X38/10000)</f>
        <v/>
      </c>
      <c r="Y38" s="240">
        <f>IF('CF表（奥様働けない時）'!Y$3="","",'CF表（奥様働けない時）'!Y38/10000)</f>
        <v/>
      </c>
      <c r="Z38" s="240">
        <f>IF('CF表（奥様働けない時）'!Z$3="","",'CF表（奥様働けない時）'!Z38/10000)</f>
        <v/>
      </c>
      <c r="AA38" s="240">
        <f>IF('CF表（奥様働けない時）'!AA$3="","",'CF表（奥様働けない時）'!AA38/10000)</f>
        <v/>
      </c>
      <c r="AB38" s="240">
        <f>IF('CF表（奥様働けない時）'!AB$3="","",'CF表（奥様働けない時）'!AB38/10000)</f>
        <v/>
      </c>
      <c r="AC38" s="240">
        <f>IF('CF表（奥様働けない時）'!AC$3="","",'CF表（奥様働けない時）'!AC38/10000)</f>
        <v/>
      </c>
      <c r="AD38" s="240">
        <f>IF('CF表（奥様働けない時）'!AD$3="","",'CF表（奥様働けない時）'!AD38/10000)</f>
        <v/>
      </c>
      <c r="AE38" s="240">
        <f>IF('CF表（奥様働けない時）'!AE$3="","",'CF表（奥様働けない時）'!AE38/10000)</f>
        <v/>
      </c>
      <c r="AF38" s="240">
        <f>IF('CF表（奥様働けない時）'!AF$3="","",'CF表（奥様働けない時）'!AF38/10000)</f>
        <v/>
      </c>
      <c r="AG38" s="240">
        <f>IF('CF表（奥様働けない時）'!AG$3="","",'CF表（奥様働けない時）'!AG38/10000)</f>
        <v/>
      </c>
      <c r="AH38" s="240">
        <f>IF('CF表（奥様働けない時）'!AH$3="","",'CF表（奥様働けない時）'!AH38/10000)</f>
        <v/>
      </c>
      <c r="AI38" s="240">
        <f>IF('CF表（奥様働けない時）'!AI$3="","",'CF表（奥様働けない時）'!AI38/10000)</f>
        <v/>
      </c>
      <c r="AJ38" s="240">
        <f>IF('CF表（奥様働けない時）'!AJ$3="","",'CF表（奥様働けない時）'!AJ38/10000)</f>
        <v/>
      </c>
      <c r="AK38" s="240">
        <f>IF('CF表（奥様働けない時）'!AK$3="","",'CF表（奥様働けない時）'!AK38/10000)</f>
        <v/>
      </c>
      <c r="AL38" s="240">
        <f>IF('CF表（奥様働けない時）'!AL$3="","",'CF表（奥様働けない時）'!AL38/10000)</f>
        <v/>
      </c>
      <c r="AM38" s="240">
        <f>IF('CF表（奥様働けない時）'!AM$3="","",'CF表（奥様働けない時）'!AM38/10000)</f>
        <v/>
      </c>
      <c r="AN38" s="240">
        <f>IF('CF表（奥様働けない時）'!AN$3="","",'CF表（奥様働けない時）'!AN38/10000)</f>
        <v/>
      </c>
      <c r="AO38" s="240">
        <f>IF('CF表（奥様働けない時）'!AO$3="","",'CF表（奥様働けない時）'!AO38/10000)</f>
        <v/>
      </c>
      <c r="AP38" s="240">
        <f>IF('CF表（奥様働けない時）'!AP$3="","",'CF表（奥様働けない時）'!AP38/10000)</f>
        <v/>
      </c>
      <c r="AQ38" s="240">
        <f>IF('CF表（奥様働けない時）'!AQ$3="","",'CF表（奥様働けない時）'!AQ38/10000)</f>
        <v/>
      </c>
      <c r="AR38" s="240">
        <f>IF('CF表（奥様働けない時）'!AR$3="","",'CF表（奥様働けない時）'!AR38/10000)</f>
        <v/>
      </c>
      <c r="AS38" s="240">
        <f>IF('CF表（奥様働けない時）'!AS$3="","",'CF表（奥様働けない時）'!AS38/10000)</f>
        <v/>
      </c>
      <c r="AT38" s="240">
        <f>IF('CF表（奥様働けない時）'!AT$3="","",'CF表（奥様働けない時）'!AT38/10000)</f>
        <v/>
      </c>
      <c r="AU38" s="240">
        <f>IF('CF表（奥様働けない時）'!AU$3="","",'CF表（奥様働けない時）'!AU38/10000)</f>
        <v/>
      </c>
      <c r="AV38" s="240">
        <f>IF('CF表（奥様働けない時）'!AV$3="","",'CF表（奥様働けない時）'!AV38/10000)</f>
        <v/>
      </c>
      <c r="AW38" s="240">
        <f>IF('CF表（奥様働けない時）'!AW$3="","",'CF表（奥様働けない時）'!AW38/10000)</f>
        <v/>
      </c>
      <c r="AX38" s="240">
        <f>IF('CF表（奥様働けない時）'!AX$3="","",'CF表（奥様働けない時）'!AX38/10000)</f>
        <v/>
      </c>
      <c r="AY38" s="240">
        <f>IF('CF表（奥様働けない時）'!AY$3="","",'CF表（奥様働けない時）'!AY38/10000)</f>
        <v/>
      </c>
      <c r="AZ38" s="240">
        <f>IF('CF表（奥様働けない時）'!AZ$3="","",'CF表（奥様働けない時）'!AZ38/10000)</f>
        <v/>
      </c>
      <c r="BA38" s="240">
        <f>IF('CF表（奥様働けない時）'!BA$3="","",'CF表（奥様働けない時）'!BA38/10000)</f>
        <v/>
      </c>
      <c r="BB38" s="240">
        <f>IF('CF表（奥様働けない時）'!BB$3="","",'CF表（奥様働けない時）'!BB38/10000)</f>
        <v/>
      </c>
      <c r="BC38" s="240">
        <f>IF('CF表（奥様働けない時）'!BC$3="","",'CF表（奥様働けない時）'!BC38/10000)</f>
        <v/>
      </c>
      <c r="BD38" s="240">
        <f>IF('CF表（奥様働けない時）'!BD$3="","",'CF表（奥様働けない時）'!BD38/10000)</f>
        <v/>
      </c>
      <c r="BE38" s="240">
        <f>IF('CF表（奥様働けない時）'!BE$3="","",'CF表（奥様働けない時）'!BE38/10000)</f>
        <v/>
      </c>
      <c r="BF38" s="240">
        <f>IF('CF表（奥様働けない時）'!BF$3="","",'CF表（奥様働けない時）'!BF38/10000)</f>
        <v/>
      </c>
      <c r="BG38" s="240">
        <f>IF('CF表（奥様働けない時）'!BG$3="","",'CF表（奥様働けない時）'!BG38/10000)</f>
        <v/>
      </c>
      <c r="BH38" s="240">
        <f>IF('CF表（奥様働けない時）'!BH$3="","",'CF表（奥様働けない時）'!BH38/10000)</f>
        <v/>
      </c>
      <c r="BI38" s="240">
        <f>IF('CF表（奥様働けない時）'!BI$3="","",'CF表（奥様働けない時）'!BI38/10000)</f>
        <v/>
      </c>
      <c r="BJ38" s="240">
        <f>IF('CF表（奥様働けない時）'!BJ$3="","",'CF表（奥様働けない時）'!BJ38/10000)</f>
        <v/>
      </c>
      <c r="BK38" s="240">
        <f>IF('CF表（奥様働けない時）'!BK$3="","",'CF表（奥様働けない時）'!BK38/10000)</f>
        <v/>
      </c>
      <c r="BL38" s="240">
        <f>IF('CF表（奥様働けない時）'!BL$3="","",'CF表（奥様働けない時）'!BL38/10000)</f>
        <v/>
      </c>
      <c r="BM38" s="240">
        <f>IF('CF表（奥様働けない時）'!BM$3="","",'CF表（奥様働けない時）'!BM38/10000)</f>
        <v/>
      </c>
      <c r="BN38" s="240">
        <f>IF('CF表（奥様働けない時）'!BN$3="","",'CF表（奥様働けない時）'!BN38/10000)</f>
        <v/>
      </c>
      <c r="BO38" s="240">
        <f>IF('CF表（奥様働けない時）'!BO$3="","",'CF表（奥様働けない時）'!BO38/10000)</f>
        <v/>
      </c>
      <c r="BP38" s="240">
        <f>IF('CF表（奥様働けない時）'!BP$3="","",'CF表（奥様働けない時）'!BP38/10000)</f>
        <v/>
      </c>
      <c r="BQ38" s="240">
        <f>IF('CF表（奥様働けない時）'!BQ$3="","",'CF表（奥様働けない時）'!BQ38/10000)</f>
        <v/>
      </c>
      <c r="BR38" s="240">
        <f>IF('CF表（奥様働けない時）'!BR$3="","",'CF表（奥様働けない時）'!BR38/10000)</f>
        <v/>
      </c>
      <c r="BS38" s="240">
        <f>IF('CF表（奥様働けない時）'!BS$3="","",'CF表（奥様働けない時）'!BS38/10000)</f>
        <v/>
      </c>
      <c r="BT38" s="240">
        <f>IF('CF表（奥様働けない時）'!BT$3="","",'CF表（奥様働けない時）'!BT38/10000)</f>
        <v/>
      </c>
      <c r="BU38" s="240">
        <f>IF('CF表（奥様働けない時）'!BU$3="","",'CF表（奥様働けない時）'!BU38/10000)</f>
        <v/>
      </c>
      <c r="BV38" s="240">
        <f>IF('CF表（奥様働けない時）'!BV$3="","",'CF表（奥様働けない時）'!BV38/10000)</f>
        <v/>
      </c>
      <c r="BW38" s="240">
        <f>IF('CF表（奥様働けない時）'!BW$3="","",'CF表（奥様働けない時）'!BW38/10000)</f>
        <v/>
      </c>
      <c r="BX38" s="240">
        <f>IF('CF表（奥様働けない時）'!BX$3="","",'CF表（奥様働けない時）'!BX38/10000)</f>
        <v/>
      </c>
      <c r="BY38" s="240">
        <f>IF('CF表（奥様働けない時）'!BY$3="","",'CF表（奥様働けない時）'!BY38/10000)</f>
        <v/>
      </c>
      <c r="BZ38" s="240">
        <f>IF('CF表（奥様働けない時）'!BZ$3="","",'CF表（奥様働けない時）'!BZ38/10000)</f>
        <v/>
      </c>
      <c r="CA38" s="240">
        <f>IF('CF表（奥様働けない時）'!CA$3="","",'CF表（奥様働けない時）'!CA38/10000)</f>
        <v/>
      </c>
      <c r="CB38" s="240">
        <f>IF('CF表（奥様働けない時）'!CB$3="","",'CF表（奥様働けない時）'!CB38/10000)</f>
        <v/>
      </c>
      <c r="CC38" s="240">
        <f>IF('CF表（奥様働けない時）'!CC$3="","",'CF表（奥様働けない時）'!CC38/10000)</f>
        <v/>
      </c>
      <c r="CD38" s="240">
        <f>IF('CF表（奥様働けない時）'!CD$3="","",'CF表（奥様働けない時）'!CD38/10000)</f>
        <v/>
      </c>
      <c r="CE38" s="240">
        <f>IF('CF表（奥様働けない時）'!CE$3="","",'CF表（奥様働けない時）'!CE38/10000)</f>
        <v/>
      </c>
      <c r="CF38" s="240">
        <f>IF('CF表（奥様働けない時）'!CF$3="","",'CF表（奥様働けない時）'!CF38/10000)</f>
        <v/>
      </c>
      <c r="CG38" s="240">
        <f>IF('CF表（奥様働けない時）'!CG$3="","",'CF表（奥様働けない時）'!CG38/10000)</f>
        <v/>
      </c>
      <c r="CH38" s="240">
        <f>IF('CF表（奥様働けない時）'!CH$3="","",'CF表（奥様働けない時）'!CH38/10000)</f>
        <v/>
      </c>
      <c r="CI38" s="240">
        <f>IF('CF表（奥様働けない時）'!CI$3="","",'CF表（奥様働けない時）'!CI38/10000)</f>
        <v/>
      </c>
      <c r="CJ38" s="240">
        <f>IF('CF表（奥様働けない時）'!CJ$3="","",'CF表（奥様働けない時）'!CJ38/10000)</f>
        <v/>
      </c>
      <c r="CK38" s="240">
        <f>IF('CF表（奥様働けない時）'!CK$3="","",'CF表（奥様働けない時）'!CK38/10000)</f>
        <v/>
      </c>
      <c r="CL38" s="240">
        <f>IF('CF表（奥様働けない時）'!CL$3="","",'CF表（奥様働けない時）'!CL38/10000)</f>
        <v/>
      </c>
      <c r="CM38" s="240">
        <f>IF('CF表（奥様働けない時）'!CM$3="","",'CF表（奥様働けない時）'!CM38/10000)</f>
        <v/>
      </c>
      <c r="CN38" s="240">
        <f>IF('CF表（奥様働けない時）'!CN$3="","",'CF表（奥様働けない時）'!CN38/10000)</f>
        <v/>
      </c>
      <c r="CO38" s="240">
        <f>IF('CF表（奥様働けない時）'!CO$3="","",'CF表（奥様働けない時）'!CO38/10000)</f>
        <v/>
      </c>
      <c r="CP38" s="240">
        <f>IF('CF表（奥様働けない時）'!CP$3="","",'CF表（奥様働けない時）'!CP38/10000)</f>
        <v/>
      </c>
      <c r="CQ38" s="240">
        <f>IF('CF表（奥様働けない時）'!CQ$3="","",'CF表（奥様働けない時）'!CQ38/10000)</f>
        <v/>
      </c>
      <c r="CR38" s="240">
        <f>IF('CF表（奥様働けない時）'!CR$3="","",'CF表（奥様働けない時）'!CR38/10000)</f>
        <v/>
      </c>
      <c r="CS38" s="240">
        <f>IF('CF表（奥様働けない時）'!CS$3="","",'CF表（奥様働けない時）'!CS38/10000)</f>
        <v/>
      </c>
      <c r="CT38" s="240">
        <f>IF('CF表（奥様働けない時）'!CT$3="","",'CF表（奥様働けない時）'!CT38/10000)</f>
        <v/>
      </c>
      <c r="CU38" s="240">
        <f>IF('CF表（奥様働けない時）'!CU$3="","",'CF表（奥様働けない時）'!CU38/10000)</f>
        <v/>
      </c>
      <c r="CV38" s="240">
        <f>IF('CF表（奥様働けない時）'!CV$3="","",'CF表（奥様働けない時）'!CV38/10000)</f>
        <v/>
      </c>
      <c r="CW38" s="240">
        <f>IF('CF表（奥様働けない時）'!CW$3="","",'CF表（奥様働けない時）'!CW38/10000)</f>
        <v/>
      </c>
    </row>
    <row r="39" hidden="1" ht="16.5" customHeight="1" s="180">
      <c r="A39" s="239" t="inlineStr">
        <is>
          <t>投資取り崩し額(補助)</t>
        </is>
      </c>
      <c r="B39" s="240">
        <f>IF('CF表（奥様働けない時）'!B$3="","",'CF表（奥様働けない時）'!B39/10000)</f>
        <v/>
      </c>
      <c r="C39" s="240">
        <f>IF('CF表（奥様働けない時）'!C$3="","",'CF表（奥様働けない時）'!C39/10000)</f>
        <v/>
      </c>
      <c r="D39" s="240">
        <f>IF('CF表（奥様働けない時）'!D$3="","",'CF表（奥様働けない時）'!D39/10000)</f>
        <v/>
      </c>
      <c r="E39" s="240">
        <f>IF('CF表（奥様働けない時）'!E$3="","",'CF表（奥様働けない時）'!E39/10000)</f>
        <v/>
      </c>
      <c r="F39" s="240">
        <f>IF('CF表（奥様働けない時）'!F$3="","",'CF表（奥様働けない時）'!F39/10000)</f>
        <v/>
      </c>
      <c r="G39" s="240">
        <f>IF('CF表（奥様働けない時）'!G$3="","",'CF表（奥様働けない時）'!G39/10000)</f>
        <v/>
      </c>
      <c r="H39" s="240">
        <f>IF('CF表（奥様働けない時）'!H$3="","",'CF表（奥様働けない時）'!H39/10000)</f>
        <v/>
      </c>
      <c r="I39" s="240">
        <f>IF('CF表（奥様働けない時）'!I$3="","",'CF表（奥様働けない時）'!I39/10000)</f>
        <v/>
      </c>
      <c r="J39" s="240">
        <f>IF('CF表（奥様働けない時）'!J$3="","",'CF表（奥様働けない時）'!J39/10000)</f>
        <v/>
      </c>
      <c r="K39" s="240">
        <f>IF('CF表（奥様働けない時）'!K$3="","",'CF表（奥様働けない時）'!K39/10000)</f>
        <v/>
      </c>
      <c r="L39" s="240">
        <f>IF('CF表（奥様働けない時）'!L$3="","",'CF表（奥様働けない時）'!L39/10000)</f>
        <v/>
      </c>
      <c r="M39" s="240">
        <f>IF('CF表（奥様働けない時）'!M$3="","",'CF表（奥様働けない時）'!M39/10000)</f>
        <v/>
      </c>
      <c r="N39" s="240">
        <f>IF('CF表（奥様働けない時）'!N$3="","",'CF表（奥様働けない時）'!N39/10000)</f>
        <v/>
      </c>
      <c r="O39" s="240">
        <f>IF('CF表（奥様働けない時）'!O$3="","",'CF表（奥様働けない時）'!O39/10000)</f>
        <v/>
      </c>
      <c r="P39" s="240">
        <f>IF('CF表（奥様働けない時）'!P$3="","",'CF表（奥様働けない時）'!P39/10000)</f>
        <v/>
      </c>
      <c r="Q39" s="240">
        <f>IF('CF表（奥様働けない時）'!Q$3="","",'CF表（奥様働けない時）'!Q39/10000)</f>
        <v/>
      </c>
      <c r="R39" s="240">
        <f>IF('CF表（奥様働けない時）'!R$3="","",'CF表（奥様働けない時）'!R39/10000)</f>
        <v/>
      </c>
      <c r="S39" s="240">
        <f>IF('CF表（奥様働けない時）'!S$3="","",'CF表（奥様働けない時）'!S39/10000)</f>
        <v/>
      </c>
      <c r="T39" s="240">
        <f>IF('CF表（奥様働けない時）'!T$3="","",'CF表（奥様働けない時）'!T39/10000)</f>
        <v/>
      </c>
      <c r="U39" s="240">
        <f>IF('CF表（奥様働けない時）'!U$3="","",'CF表（奥様働けない時）'!U39/10000)</f>
        <v/>
      </c>
      <c r="V39" s="240">
        <f>IF('CF表（奥様働けない時）'!V$3="","",'CF表（奥様働けない時）'!V39/10000)</f>
        <v/>
      </c>
      <c r="W39" s="240">
        <f>IF('CF表（奥様働けない時）'!W$3="","",'CF表（奥様働けない時）'!W39/10000)</f>
        <v/>
      </c>
      <c r="X39" s="240">
        <f>IF('CF表（奥様働けない時）'!X$3="","",'CF表（奥様働けない時）'!X39/10000)</f>
        <v/>
      </c>
      <c r="Y39" s="240">
        <f>IF('CF表（奥様働けない時）'!Y$3="","",'CF表（奥様働けない時）'!Y39/10000)</f>
        <v/>
      </c>
      <c r="Z39" s="240">
        <f>IF('CF表（奥様働けない時）'!Z$3="","",'CF表（奥様働けない時）'!Z39/10000)</f>
        <v/>
      </c>
      <c r="AA39" s="240">
        <f>IF('CF表（奥様働けない時）'!AA$3="","",'CF表（奥様働けない時）'!AA39/10000)</f>
        <v/>
      </c>
      <c r="AB39" s="240">
        <f>IF('CF表（奥様働けない時）'!AB$3="","",'CF表（奥様働けない時）'!AB39/10000)</f>
        <v/>
      </c>
      <c r="AC39" s="240">
        <f>IF('CF表（奥様働けない時）'!AC$3="","",'CF表（奥様働けない時）'!AC39/10000)</f>
        <v/>
      </c>
      <c r="AD39" s="240">
        <f>IF('CF表（奥様働けない時）'!AD$3="","",'CF表（奥様働けない時）'!AD39/10000)</f>
        <v/>
      </c>
      <c r="AE39" s="240">
        <f>IF('CF表（奥様働けない時）'!AE$3="","",'CF表（奥様働けない時）'!AE39/10000)</f>
        <v/>
      </c>
      <c r="AF39" s="240">
        <f>IF('CF表（奥様働けない時）'!AF$3="","",'CF表（奥様働けない時）'!AF39/10000)</f>
        <v/>
      </c>
      <c r="AG39" s="240">
        <f>IF('CF表（奥様働けない時）'!AG$3="","",'CF表（奥様働けない時）'!AG39/10000)</f>
        <v/>
      </c>
      <c r="AH39" s="240">
        <f>IF('CF表（奥様働けない時）'!AH$3="","",'CF表（奥様働けない時）'!AH39/10000)</f>
        <v/>
      </c>
      <c r="AI39" s="240">
        <f>IF('CF表（奥様働けない時）'!AI$3="","",'CF表（奥様働けない時）'!AI39/10000)</f>
        <v/>
      </c>
      <c r="AJ39" s="240">
        <f>IF('CF表（奥様働けない時）'!AJ$3="","",'CF表（奥様働けない時）'!AJ39/10000)</f>
        <v/>
      </c>
      <c r="AK39" s="240">
        <f>IF('CF表（奥様働けない時）'!AK$3="","",'CF表（奥様働けない時）'!AK39/10000)</f>
        <v/>
      </c>
      <c r="AL39" s="240">
        <f>IF('CF表（奥様働けない時）'!AL$3="","",'CF表（奥様働けない時）'!AL39/10000)</f>
        <v/>
      </c>
      <c r="AM39" s="240">
        <f>IF('CF表（奥様働けない時）'!AM$3="","",'CF表（奥様働けない時）'!AM39/10000)</f>
        <v/>
      </c>
      <c r="AN39" s="240">
        <f>IF('CF表（奥様働けない時）'!AN$3="","",'CF表（奥様働けない時）'!AN39/10000)</f>
        <v/>
      </c>
      <c r="AO39" s="240">
        <f>IF('CF表（奥様働けない時）'!AO$3="","",'CF表（奥様働けない時）'!AO39/10000)</f>
        <v/>
      </c>
      <c r="AP39" s="240">
        <f>IF('CF表（奥様働けない時）'!AP$3="","",'CF表（奥様働けない時）'!AP39/10000)</f>
        <v/>
      </c>
      <c r="AQ39" s="240">
        <f>IF('CF表（奥様働けない時）'!AQ$3="","",'CF表（奥様働けない時）'!AQ39/10000)</f>
        <v/>
      </c>
      <c r="AR39" s="240">
        <f>IF('CF表（奥様働けない時）'!AR$3="","",'CF表（奥様働けない時）'!AR39/10000)</f>
        <v/>
      </c>
      <c r="AS39" s="240">
        <f>IF('CF表（奥様働けない時）'!AS$3="","",'CF表（奥様働けない時）'!AS39/10000)</f>
        <v/>
      </c>
      <c r="AT39" s="240">
        <f>IF('CF表（奥様働けない時）'!AT$3="","",'CF表（奥様働けない時）'!AT39/10000)</f>
        <v/>
      </c>
      <c r="AU39" s="240">
        <f>IF('CF表（奥様働けない時）'!AU$3="","",'CF表（奥様働けない時）'!AU39/10000)</f>
        <v/>
      </c>
      <c r="AV39" s="240">
        <f>IF('CF表（奥様働けない時）'!AV$3="","",'CF表（奥様働けない時）'!AV39/10000)</f>
        <v/>
      </c>
      <c r="AW39" s="240">
        <f>IF('CF表（奥様働けない時）'!AW$3="","",'CF表（奥様働けない時）'!AW39/10000)</f>
        <v/>
      </c>
      <c r="AX39" s="240">
        <f>IF('CF表（奥様働けない時）'!AX$3="","",'CF表（奥様働けない時）'!AX39/10000)</f>
        <v/>
      </c>
      <c r="AY39" s="240">
        <f>IF('CF表（奥様働けない時）'!AY$3="","",'CF表（奥様働けない時）'!AY39/10000)</f>
        <v/>
      </c>
      <c r="AZ39" s="240">
        <f>IF('CF表（奥様働けない時）'!AZ$3="","",'CF表（奥様働けない時）'!AZ39/10000)</f>
        <v/>
      </c>
      <c r="BA39" s="240">
        <f>IF('CF表（奥様働けない時）'!BA$3="","",'CF表（奥様働けない時）'!BA39/10000)</f>
        <v/>
      </c>
      <c r="BB39" s="240">
        <f>IF('CF表（奥様働けない時）'!BB$3="","",'CF表（奥様働けない時）'!BB39/10000)</f>
        <v/>
      </c>
      <c r="BC39" s="240">
        <f>IF('CF表（奥様働けない時）'!BC$3="","",'CF表（奥様働けない時）'!BC39/10000)</f>
        <v/>
      </c>
      <c r="BD39" s="240">
        <f>IF('CF表（奥様働けない時）'!BD$3="","",'CF表（奥様働けない時）'!BD39/10000)</f>
        <v/>
      </c>
      <c r="BE39" s="240">
        <f>IF('CF表（奥様働けない時）'!BE$3="","",'CF表（奥様働けない時）'!BE39/10000)</f>
        <v/>
      </c>
      <c r="BF39" s="240">
        <f>IF('CF表（奥様働けない時）'!BF$3="","",'CF表（奥様働けない時）'!BF39/10000)</f>
        <v/>
      </c>
      <c r="BG39" s="240">
        <f>IF('CF表（奥様働けない時）'!BG$3="","",'CF表（奥様働けない時）'!BG39/10000)</f>
        <v/>
      </c>
      <c r="BH39" s="240">
        <f>IF('CF表（奥様働けない時）'!BH$3="","",'CF表（奥様働けない時）'!BH39/10000)</f>
        <v/>
      </c>
      <c r="BI39" s="240">
        <f>IF('CF表（奥様働けない時）'!BI$3="","",'CF表（奥様働けない時）'!BI39/10000)</f>
        <v/>
      </c>
      <c r="BJ39" s="240">
        <f>IF('CF表（奥様働けない時）'!BJ$3="","",'CF表（奥様働けない時）'!BJ39/10000)</f>
        <v/>
      </c>
      <c r="BK39" s="240">
        <f>IF('CF表（奥様働けない時）'!BK$3="","",'CF表（奥様働けない時）'!BK39/10000)</f>
        <v/>
      </c>
      <c r="BL39" s="240">
        <f>IF('CF表（奥様働けない時）'!BL$3="","",'CF表（奥様働けない時）'!BL39/10000)</f>
        <v/>
      </c>
      <c r="BM39" s="240">
        <f>IF('CF表（奥様働けない時）'!BM$3="","",'CF表（奥様働けない時）'!BM39/10000)</f>
        <v/>
      </c>
      <c r="BN39" s="240">
        <f>IF('CF表（奥様働けない時）'!BN$3="","",'CF表（奥様働けない時）'!BN39/10000)</f>
        <v/>
      </c>
      <c r="BO39" s="240">
        <f>IF('CF表（奥様働けない時）'!BO$3="","",'CF表（奥様働けない時）'!BO39/10000)</f>
        <v/>
      </c>
      <c r="BP39" s="240">
        <f>IF('CF表（奥様働けない時）'!BP$3="","",'CF表（奥様働けない時）'!BP39/10000)</f>
        <v/>
      </c>
      <c r="BQ39" s="240">
        <f>IF('CF表（奥様働けない時）'!BQ$3="","",'CF表（奥様働けない時）'!BQ39/10000)</f>
        <v/>
      </c>
      <c r="BR39" s="240">
        <f>IF('CF表（奥様働けない時）'!BR$3="","",'CF表（奥様働けない時）'!BR39/10000)</f>
        <v/>
      </c>
      <c r="BS39" s="240">
        <f>IF('CF表（奥様働けない時）'!BS$3="","",'CF表（奥様働けない時）'!BS39/10000)</f>
        <v/>
      </c>
      <c r="BT39" s="240">
        <f>IF('CF表（奥様働けない時）'!BT$3="","",'CF表（奥様働けない時）'!BT39/10000)</f>
        <v/>
      </c>
      <c r="BU39" s="240">
        <f>IF('CF表（奥様働けない時）'!BU$3="","",'CF表（奥様働けない時）'!BU39/10000)</f>
        <v/>
      </c>
      <c r="BV39" s="240">
        <f>IF('CF表（奥様働けない時）'!BV$3="","",'CF表（奥様働けない時）'!BV39/10000)</f>
        <v/>
      </c>
      <c r="BW39" s="240">
        <f>IF('CF表（奥様働けない時）'!BW$3="","",'CF表（奥様働けない時）'!BW39/10000)</f>
        <v/>
      </c>
      <c r="BX39" s="240">
        <f>IF('CF表（奥様働けない時）'!BX$3="","",'CF表（奥様働けない時）'!BX39/10000)</f>
        <v/>
      </c>
      <c r="BY39" s="240">
        <f>IF('CF表（奥様働けない時）'!BY$3="","",'CF表（奥様働けない時）'!BY39/10000)</f>
        <v/>
      </c>
      <c r="BZ39" s="240">
        <f>IF('CF表（奥様働けない時）'!BZ$3="","",'CF表（奥様働けない時）'!BZ39/10000)</f>
        <v/>
      </c>
      <c r="CA39" s="240">
        <f>IF('CF表（奥様働けない時）'!CA$3="","",'CF表（奥様働けない時）'!CA39/10000)</f>
        <v/>
      </c>
      <c r="CB39" s="240">
        <f>IF('CF表（奥様働けない時）'!CB$3="","",'CF表（奥様働けない時）'!CB39/10000)</f>
        <v/>
      </c>
      <c r="CC39" s="240">
        <f>IF('CF表（奥様働けない時）'!CC$3="","",'CF表（奥様働けない時）'!CC39/10000)</f>
        <v/>
      </c>
      <c r="CD39" s="240">
        <f>IF('CF表（奥様働けない時）'!CD$3="","",'CF表（奥様働けない時）'!CD39/10000)</f>
        <v/>
      </c>
      <c r="CE39" s="240">
        <f>IF('CF表（奥様働けない時）'!CE$3="","",'CF表（奥様働けない時）'!CE39/10000)</f>
        <v/>
      </c>
      <c r="CF39" s="240">
        <f>IF('CF表（奥様働けない時）'!CF$3="","",'CF表（奥様働けない時）'!CF39/10000)</f>
        <v/>
      </c>
      <c r="CG39" s="240">
        <f>IF('CF表（奥様働けない時）'!CG$3="","",'CF表（奥様働けない時）'!CG39/10000)</f>
        <v/>
      </c>
      <c r="CH39" s="240">
        <f>IF('CF表（奥様働けない時）'!CH$3="","",'CF表（奥様働けない時）'!CH39/10000)</f>
        <v/>
      </c>
      <c r="CI39" s="240">
        <f>IF('CF表（奥様働けない時）'!CI$3="","",'CF表（奥様働けない時）'!CI39/10000)</f>
        <v/>
      </c>
      <c r="CJ39" s="240">
        <f>IF('CF表（奥様働けない時）'!CJ$3="","",'CF表（奥様働けない時）'!CJ39/10000)</f>
        <v/>
      </c>
      <c r="CK39" s="240">
        <f>IF('CF表（奥様働けない時）'!CK$3="","",'CF表（奥様働けない時）'!CK39/10000)</f>
        <v/>
      </c>
      <c r="CL39" s="240">
        <f>IF('CF表（奥様働けない時）'!CL$3="","",'CF表（奥様働けない時）'!CL39/10000)</f>
        <v/>
      </c>
      <c r="CM39" s="240">
        <f>IF('CF表（奥様働けない時）'!CM$3="","",'CF表（奥様働けない時）'!CM39/10000)</f>
        <v/>
      </c>
      <c r="CN39" s="240">
        <f>IF('CF表（奥様働けない時）'!CN$3="","",'CF表（奥様働けない時）'!CN39/10000)</f>
        <v/>
      </c>
      <c r="CO39" s="240">
        <f>IF('CF表（奥様働けない時）'!CO$3="","",'CF表（奥様働けない時）'!CO39/10000)</f>
        <v/>
      </c>
      <c r="CP39" s="240">
        <f>IF('CF表（奥様働けない時）'!CP$3="","",'CF表（奥様働けない時）'!CP39/10000)</f>
        <v/>
      </c>
      <c r="CQ39" s="240">
        <f>IF('CF表（奥様働けない時）'!CQ$3="","",'CF表（奥様働けない時）'!CQ39/10000)</f>
        <v/>
      </c>
      <c r="CR39" s="240">
        <f>IF('CF表（奥様働けない時）'!CR$3="","",'CF表（奥様働けない時）'!CR39/10000)</f>
        <v/>
      </c>
      <c r="CS39" s="240">
        <f>IF('CF表（奥様働けない時）'!CS$3="","",'CF表（奥様働けない時）'!CS39/10000)</f>
        <v/>
      </c>
      <c r="CT39" s="240">
        <f>IF('CF表（奥様働けない時）'!CT$3="","",'CF表（奥様働けない時）'!CT39/10000)</f>
        <v/>
      </c>
      <c r="CU39" s="240">
        <f>IF('CF表（奥様働けない時）'!CU$3="","",'CF表（奥様働けない時）'!CU39/10000)</f>
        <v/>
      </c>
      <c r="CV39" s="240">
        <f>IF('CF表（奥様働けない時）'!CV$3="","",'CF表（奥様働けない時）'!CV39/10000)</f>
        <v/>
      </c>
      <c r="CW39" s="240">
        <f>IF('CF表（奥様働けない時）'!CW$3="","",'CF表（奥様働けない時）'!CW39/10000)</f>
        <v/>
      </c>
    </row>
    <row r="40" hidden="1" ht="16.5" customHeight="1" s="180">
      <c r="A40" s="239" t="inlineStr">
        <is>
          <t>返戻金取り崩し額(補助)</t>
        </is>
      </c>
      <c r="B40" s="240">
        <f>IF('CF表（奥様働けない時）'!B$3="","",'CF表（奥様働けない時）'!B40/10000)</f>
        <v/>
      </c>
      <c r="C40" s="240">
        <f>IF('CF表（奥様働けない時）'!C$3="","",'CF表（奥様働けない時）'!C40/10000)</f>
        <v/>
      </c>
      <c r="D40" s="240">
        <f>IF('CF表（奥様働けない時）'!D$3="","",'CF表（奥様働けない時）'!D40/10000)</f>
        <v/>
      </c>
      <c r="E40" s="240">
        <f>IF('CF表（奥様働けない時）'!E$3="","",'CF表（奥様働けない時）'!E40/10000)</f>
        <v/>
      </c>
      <c r="F40" s="240">
        <f>IF('CF表（奥様働けない時）'!F$3="","",'CF表（奥様働けない時）'!F40/10000)</f>
        <v/>
      </c>
      <c r="G40" s="240">
        <f>IF('CF表（奥様働けない時）'!G$3="","",'CF表（奥様働けない時）'!G40/10000)</f>
        <v/>
      </c>
      <c r="H40" s="240">
        <f>IF('CF表（奥様働けない時）'!H$3="","",'CF表（奥様働けない時）'!H40/10000)</f>
        <v/>
      </c>
      <c r="I40" s="240">
        <f>IF('CF表（奥様働けない時）'!I$3="","",'CF表（奥様働けない時）'!I40/10000)</f>
        <v/>
      </c>
      <c r="J40" s="240">
        <f>IF('CF表（奥様働けない時）'!J$3="","",'CF表（奥様働けない時）'!J40/10000)</f>
        <v/>
      </c>
      <c r="K40" s="240">
        <f>IF('CF表（奥様働けない時）'!K$3="","",'CF表（奥様働けない時）'!K40/10000)</f>
        <v/>
      </c>
      <c r="L40" s="240">
        <f>IF('CF表（奥様働けない時）'!L$3="","",'CF表（奥様働けない時）'!L40/10000)</f>
        <v/>
      </c>
      <c r="M40" s="240">
        <f>IF('CF表（奥様働けない時）'!M$3="","",'CF表（奥様働けない時）'!M40/10000)</f>
        <v/>
      </c>
      <c r="N40" s="240">
        <f>IF('CF表（奥様働けない時）'!N$3="","",'CF表（奥様働けない時）'!N40/10000)</f>
        <v/>
      </c>
      <c r="O40" s="240">
        <f>IF('CF表（奥様働けない時）'!O$3="","",'CF表（奥様働けない時）'!O40/10000)</f>
        <v/>
      </c>
      <c r="P40" s="240">
        <f>IF('CF表（奥様働けない時）'!P$3="","",'CF表（奥様働けない時）'!P40/10000)</f>
        <v/>
      </c>
      <c r="Q40" s="240">
        <f>IF('CF表（奥様働けない時）'!Q$3="","",'CF表（奥様働けない時）'!Q40/10000)</f>
        <v/>
      </c>
      <c r="R40" s="240">
        <f>IF('CF表（奥様働けない時）'!R$3="","",'CF表（奥様働けない時）'!R40/10000)</f>
        <v/>
      </c>
      <c r="S40" s="240">
        <f>IF('CF表（奥様働けない時）'!S$3="","",'CF表（奥様働けない時）'!S40/10000)</f>
        <v/>
      </c>
      <c r="T40" s="240">
        <f>IF('CF表（奥様働けない時）'!T$3="","",'CF表（奥様働けない時）'!T40/10000)</f>
        <v/>
      </c>
      <c r="U40" s="240">
        <f>IF('CF表（奥様働けない時）'!U$3="","",'CF表（奥様働けない時）'!U40/10000)</f>
        <v/>
      </c>
      <c r="V40" s="240">
        <f>IF('CF表（奥様働けない時）'!V$3="","",'CF表（奥様働けない時）'!V40/10000)</f>
        <v/>
      </c>
      <c r="W40" s="240">
        <f>IF('CF表（奥様働けない時）'!W$3="","",'CF表（奥様働けない時）'!W40/10000)</f>
        <v/>
      </c>
      <c r="X40" s="240">
        <f>IF('CF表（奥様働けない時）'!X$3="","",'CF表（奥様働けない時）'!X40/10000)</f>
        <v/>
      </c>
      <c r="Y40" s="240">
        <f>IF('CF表（奥様働けない時）'!Y$3="","",'CF表（奥様働けない時）'!Y40/10000)</f>
        <v/>
      </c>
      <c r="Z40" s="240">
        <f>IF('CF表（奥様働けない時）'!Z$3="","",'CF表（奥様働けない時）'!Z40/10000)</f>
        <v/>
      </c>
      <c r="AA40" s="240">
        <f>IF('CF表（奥様働けない時）'!AA$3="","",'CF表（奥様働けない時）'!AA40/10000)</f>
        <v/>
      </c>
      <c r="AB40" s="240">
        <f>IF('CF表（奥様働けない時）'!AB$3="","",'CF表（奥様働けない時）'!AB40/10000)</f>
        <v/>
      </c>
      <c r="AC40" s="240">
        <f>IF('CF表（奥様働けない時）'!AC$3="","",'CF表（奥様働けない時）'!AC40/10000)</f>
        <v/>
      </c>
      <c r="AD40" s="240">
        <f>IF('CF表（奥様働けない時）'!AD$3="","",'CF表（奥様働けない時）'!AD40/10000)</f>
        <v/>
      </c>
      <c r="AE40" s="240">
        <f>IF('CF表（奥様働けない時）'!AE$3="","",'CF表（奥様働けない時）'!AE40/10000)</f>
        <v/>
      </c>
      <c r="AF40" s="240">
        <f>IF('CF表（奥様働けない時）'!AF$3="","",'CF表（奥様働けない時）'!AF40/10000)</f>
        <v/>
      </c>
      <c r="AG40" s="240">
        <f>IF('CF表（奥様働けない時）'!AG$3="","",'CF表（奥様働けない時）'!AG40/10000)</f>
        <v/>
      </c>
      <c r="AH40" s="240">
        <f>IF('CF表（奥様働けない時）'!AH$3="","",'CF表（奥様働けない時）'!AH40/10000)</f>
        <v/>
      </c>
      <c r="AI40" s="240">
        <f>IF('CF表（奥様働けない時）'!AI$3="","",'CF表（奥様働けない時）'!AI40/10000)</f>
        <v/>
      </c>
      <c r="AJ40" s="240">
        <f>IF('CF表（奥様働けない時）'!AJ$3="","",'CF表（奥様働けない時）'!AJ40/10000)</f>
        <v/>
      </c>
      <c r="AK40" s="240">
        <f>IF('CF表（奥様働けない時）'!AK$3="","",'CF表（奥様働けない時）'!AK40/10000)</f>
        <v/>
      </c>
      <c r="AL40" s="240">
        <f>IF('CF表（奥様働けない時）'!AL$3="","",'CF表（奥様働けない時）'!AL40/10000)</f>
        <v/>
      </c>
      <c r="AM40" s="240">
        <f>IF('CF表（奥様働けない時）'!AM$3="","",'CF表（奥様働けない時）'!AM40/10000)</f>
        <v/>
      </c>
      <c r="AN40" s="240">
        <f>IF('CF表（奥様働けない時）'!AN$3="","",'CF表（奥様働けない時）'!AN40/10000)</f>
        <v/>
      </c>
      <c r="AO40" s="240">
        <f>IF('CF表（奥様働けない時）'!AO$3="","",'CF表（奥様働けない時）'!AO40/10000)</f>
        <v/>
      </c>
      <c r="AP40" s="240">
        <f>IF('CF表（奥様働けない時）'!AP$3="","",'CF表（奥様働けない時）'!AP40/10000)</f>
        <v/>
      </c>
      <c r="AQ40" s="240">
        <f>IF('CF表（奥様働けない時）'!AQ$3="","",'CF表（奥様働けない時）'!AQ40/10000)</f>
        <v/>
      </c>
      <c r="AR40" s="240">
        <f>IF('CF表（奥様働けない時）'!AR$3="","",'CF表（奥様働けない時）'!AR40/10000)</f>
        <v/>
      </c>
      <c r="AS40" s="240">
        <f>IF('CF表（奥様働けない時）'!AS$3="","",'CF表（奥様働けない時）'!AS40/10000)</f>
        <v/>
      </c>
      <c r="AT40" s="240">
        <f>IF('CF表（奥様働けない時）'!AT$3="","",'CF表（奥様働けない時）'!AT40/10000)</f>
        <v/>
      </c>
      <c r="AU40" s="240">
        <f>IF('CF表（奥様働けない時）'!AU$3="","",'CF表（奥様働けない時）'!AU40/10000)</f>
        <v/>
      </c>
      <c r="AV40" s="240">
        <f>IF('CF表（奥様働けない時）'!AV$3="","",'CF表（奥様働けない時）'!AV40/10000)</f>
        <v/>
      </c>
      <c r="AW40" s="240">
        <f>IF('CF表（奥様働けない時）'!AW$3="","",'CF表（奥様働けない時）'!AW40/10000)</f>
        <v/>
      </c>
      <c r="AX40" s="240">
        <f>IF('CF表（奥様働けない時）'!AX$3="","",'CF表（奥様働けない時）'!AX40/10000)</f>
        <v/>
      </c>
      <c r="AY40" s="240">
        <f>IF('CF表（奥様働けない時）'!AY$3="","",'CF表（奥様働けない時）'!AY40/10000)</f>
        <v/>
      </c>
      <c r="AZ40" s="240">
        <f>IF('CF表（奥様働けない時）'!AZ$3="","",'CF表（奥様働けない時）'!AZ40/10000)</f>
        <v/>
      </c>
      <c r="BA40" s="240">
        <f>IF('CF表（奥様働けない時）'!BA$3="","",'CF表（奥様働けない時）'!BA40/10000)</f>
        <v/>
      </c>
      <c r="BB40" s="240">
        <f>IF('CF表（奥様働けない時）'!BB$3="","",'CF表（奥様働けない時）'!BB40/10000)</f>
        <v/>
      </c>
      <c r="BC40" s="240">
        <f>IF('CF表（奥様働けない時）'!BC$3="","",'CF表（奥様働けない時）'!BC40/10000)</f>
        <v/>
      </c>
      <c r="BD40" s="240">
        <f>IF('CF表（奥様働けない時）'!BD$3="","",'CF表（奥様働けない時）'!BD40/10000)</f>
        <v/>
      </c>
      <c r="BE40" s="240">
        <f>IF('CF表（奥様働けない時）'!BE$3="","",'CF表（奥様働けない時）'!BE40/10000)</f>
        <v/>
      </c>
      <c r="BF40" s="240">
        <f>IF('CF表（奥様働けない時）'!BF$3="","",'CF表（奥様働けない時）'!BF40/10000)</f>
        <v/>
      </c>
      <c r="BG40" s="240">
        <f>IF('CF表（奥様働けない時）'!BG$3="","",'CF表（奥様働けない時）'!BG40/10000)</f>
        <v/>
      </c>
      <c r="BH40" s="240">
        <f>IF('CF表（奥様働けない時）'!BH$3="","",'CF表（奥様働けない時）'!BH40/10000)</f>
        <v/>
      </c>
      <c r="BI40" s="240">
        <f>IF('CF表（奥様働けない時）'!BI$3="","",'CF表（奥様働けない時）'!BI40/10000)</f>
        <v/>
      </c>
      <c r="BJ40" s="240">
        <f>IF('CF表（奥様働けない時）'!BJ$3="","",'CF表（奥様働けない時）'!BJ40/10000)</f>
        <v/>
      </c>
      <c r="BK40" s="240">
        <f>IF('CF表（奥様働けない時）'!BK$3="","",'CF表（奥様働けない時）'!BK40/10000)</f>
        <v/>
      </c>
      <c r="BL40" s="240">
        <f>IF('CF表（奥様働けない時）'!BL$3="","",'CF表（奥様働けない時）'!BL40/10000)</f>
        <v/>
      </c>
      <c r="BM40" s="240">
        <f>IF('CF表（奥様働けない時）'!BM$3="","",'CF表（奥様働けない時）'!BM40/10000)</f>
        <v/>
      </c>
      <c r="BN40" s="240">
        <f>IF('CF表（奥様働けない時）'!BN$3="","",'CF表（奥様働けない時）'!BN40/10000)</f>
        <v/>
      </c>
      <c r="BO40" s="240">
        <f>IF('CF表（奥様働けない時）'!BO$3="","",'CF表（奥様働けない時）'!BO40/10000)</f>
        <v/>
      </c>
      <c r="BP40" s="240">
        <f>IF('CF表（奥様働けない時）'!BP$3="","",'CF表（奥様働けない時）'!BP40/10000)</f>
        <v/>
      </c>
      <c r="BQ40" s="240">
        <f>IF('CF表（奥様働けない時）'!BQ$3="","",'CF表（奥様働けない時）'!BQ40/10000)</f>
        <v/>
      </c>
      <c r="BR40" s="240">
        <f>IF('CF表（奥様働けない時）'!BR$3="","",'CF表（奥様働けない時）'!BR40/10000)</f>
        <v/>
      </c>
      <c r="BS40" s="240">
        <f>IF('CF表（奥様働けない時）'!BS$3="","",'CF表（奥様働けない時）'!BS40/10000)</f>
        <v/>
      </c>
      <c r="BT40" s="240">
        <f>IF('CF表（奥様働けない時）'!BT$3="","",'CF表（奥様働けない時）'!BT40/10000)</f>
        <v/>
      </c>
      <c r="BU40" s="240">
        <f>IF('CF表（奥様働けない時）'!BU$3="","",'CF表（奥様働けない時）'!BU40/10000)</f>
        <v/>
      </c>
      <c r="BV40" s="240">
        <f>IF('CF表（奥様働けない時）'!BV$3="","",'CF表（奥様働けない時）'!BV40/10000)</f>
        <v/>
      </c>
      <c r="BW40" s="240">
        <f>IF('CF表（奥様働けない時）'!BW$3="","",'CF表（奥様働けない時）'!BW40/10000)</f>
        <v/>
      </c>
      <c r="BX40" s="240">
        <f>IF('CF表（奥様働けない時）'!BX$3="","",'CF表（奥様働けない時）'!BX40/10000)</f>
        <v/>
      </c>
      <c r="BY40" s="240">
        <f>IF('CF表（奥様働けない時）'!BY$3="","",'CF表（奥様働けない時）'!BY40/10000)</f>
        <v/>
      </c>
      <c r="BZ40" s="240">
        <f>IF('CF表（奥様働けない時）'!BZ$3="","",'CF表（奥様働けない時）'!BZ40/10000)</f>
        <v/>
      </c>
      <c r="CA40" s="240">
        <f>IF('CF表（奥様働けない時）'!CA$3="","",'CF表（奥様働けない時）'!CA40/10000)</f>
        <v/>
      </c>
      <c r="CB40" s="240">
        <f>IF('CF表（奥様働けない時）'!CB$3="","",'CF表（奥様働けない時）'!CB40/10000)</f>
        <v/>
      </c>
      <c r="CC40" s="240">
        <f>IF('CF表（奥様働けない時）'!CC$3="","",'CF表（奥様働けない時）'!CC40/10000)</f>
        <v/>
      </c>
      <c r="CD40" s="240">
        <f>IF('CF表（奥様働けない時）'!CD$3="","",'CF表（奥様働けない時）'!CD40/10000)</f>
        <v/>
      </c>
      <c r="CE40" s="240">
        <f>IF('CF表（奥様働けない時）'!CE$3="","",'CF表（奥様働けない時）'!CE40/10000)</f>
        <v/>
      </c>
      <c r="CF40" s="240">
        <f>IF('CF表（奥様働けない時）'!CF$3="","",'CF表（奥様働けない時）'!CF40/10000)</f>
        <v/>
      </c>
      <c r="CG40" s="240">
        <f>IF('CF表（奥様働けない時）'!CG$3="","",'CF表（奥様働けない時）'!CG40/10000)</f>
        <v/>
      </c>
      <c r="CH40" s="240">
        <f>IF('CF表（奥様働けない時）'!CH$3="","",'CF表（奥様働けない時）'!CH40/10000)</f>
        <v/>
      </c>
      <c r="CI40" s="240">
        <f>IF('CF表（奥様働けない時）'!CI$3="","",'CF表（奥様働けない時）'!CI40/10000)</f>
        <v/>
      </c>
      <c r="CJ40" s="240">
        <f>IF('CF表（奥様働けない時）'!CJ$3="","",'CF表（奥様働けない時）'!CJ40/10000)</f>
        <v/>
      </c>
      <c r="CK40" s="240">
        <f>IF('CF表（奥様働けない時）'!CK$3="","",'CF表（奥様働けない時）'!CK40/10000)</f>
        <v/>
      </c>
      <c r="CL40" s="240">
        <f>IF('CF表（奥様働けない時）'!CL$3="","",'CF表（奥様働けない時）'!CL40/10000)</f>
        <v/>
      </c>
      <c r="CM40" s="240">
        <f>IF('CF表（奥様働けない時）'!CM$3="","",'CF表（奥様働けない時）'!CM40/10000)</f>
        <v/>
      </c>
      <c r="CN40" s="240">
        <f>IF('CF表（奥様働けない時）'!CN$3="","",'CF表（奥様働けない時）'!CN40/10000)</f>
        <v/>
      </c>
      <c r="CO40" s="240">
        <f>IF('CF表（奥様働けない時）'!CO$3="","",'CF表（奥様働けない時）'!CO40/10000)</f>
        <v/>
      </c>
      <c r="CP40" s="240">
        <f>IF('CF表（奥様働けない時）'!CP$3="","",'CF表（奥様働けない時）'!CP40/10000)</f>
        <v/>
      </c>
      <c r="CQ40" s="240">
        <f>IF('CF表（奥様働けない時）'!CQ$3="","",'CF表（奥様働けない時）'!CQ40/10000)</f>
        <v/>
      </c>
      <c r="CR40" s="240">
        <f>IF('CF表（奥様働けない時）'!CR$3="","",'CF表（奥様働けない時）'!CR40/10000)</f>
        <v/>
      </c>
      <c r="CS40" s="240">
        <f>IF('CF表（奥様働けない時）'!CS$3="","",'CF表（奥様働けない時）'!CS40/10000)</f>
        <v/>
      </c>
      <c r="CT40" s="240">
        <f>IF('CF表（奥様働けない時）'!CT$3="","",'CF表（奥様働けない時）'!CT40/10000)</f>
        <v/>
      </c>
      <c r="CU40" s="240">
        <f>IF('CF表（奥様働けない時）'!CU$3="","",'CF表（奥様働けない時）'!CU40/10000)</f>
        <v/>
      </c>
      <c r="CV40" s="240">
        <f>IF('CF表（奥様働けない時）'!CV$3="","",'CF表（奥様働けない時）'!CV40/10000)</f>
        <v/>
      </c>
      <c r="CW40" s="240">
        <f>IF('CF表（奥様働けない時）'!CW$3="","",'CF表（奥様働けない時）'!CW40/10000)</f>
        <v/>
      </c>
    </row>
    <row r="41" hidden="1" ht="16.5" customHeight="1" s="180">
      <c r="A41" s="239" t="inlineStr">
        <is>
          <t>年間住宅ローン元本返済(補助)</t>
        </is>
      </c>
      <c r="B41" s="240">
        <f>IF('CF表（奥様働けない時）'!B$3="","",'CF表（奥様働けない時）'!B41/10000)</f>
        <v/>
      </c>
      <c r="C41" s="240">
        <f>IF('CF表（奥様働けない時）'!C$3="","",'CF表（奥様働けない時）'!C41/10000)</f>
        <v/>
      </c>
      <c r="D41" s="240">
        <f>IF('CF表（奥様働けない時）'!D$3="","",'CF表（奥様働けない時）'!D41/10000)</f>
        <v/>
      </c>
      <c r="E41" s="240">
        <f>IF('CF表（奥様働けない時）'!E$3="","",'CF表（奥様働けない時）'!E41/10000)</f>
        <v/>
      </c>
      <c r="F41" s="240">
        <f>IF('CF表（奥様働けない時）'!F$3="","",'CF表（奥様働けない時）'!F41/10000)</f>
        <v/>
      </c>
      <c r="G41" s="240">
        <f>IF('CF表（奥様働けない時）'!G$3="","",'CF表（奥様働けない時）'!G41/10000)</f>
        <v/>
      </c>
      <c r="H41" s="240">
        <f>IF('CF表（奥様働けない時）'!H$3="","",'CF表（奥様働けない時）'!H41/10000)</f>
        <v/>
      </c>
      <c r="I41" s="240">
        <f>IF('CF表（奥様働けない時）'!I$3="","",'CF表（奥様働けない時）'!I41/10000)</f>
        <v/>
      </c>
      <c r="J41" s="240">
        <f>IF('CF表（奥様働けない時）'!J$3="","",'CF表（奥様働けない時）'!J41/10000)</f>
        <v/>
      </c>
      <c r="K41" s="240">
        <f>IF('CF表（奥様働けない時）'!K$3="","",'CF表（奥様働けない時）'!K41/10000)</f>
        <v/>
      </c>
      <c r="L41" s="240">
        <f>IF('CF表（奥様働けない時）'!L$3="","",'CF表（奥様働けない時）'!L41/10000)</f>
        <v/>
      </c>
      <c r="M41" s="240">
        <f>IF('CF表（奥様働けない時）'!M$3="","",'CF表（奥様働けない時）'!M41/10000)</f>
        <v/>
      </c>
      <c r="N41" s="240">
        <f>IF('CF表（奥様働けない時）'!N$3="","",'CF表（奥様働けない時）'!N41/10000)</f>
        <v/>
      </c>
      <c r="O41" s="240">
        <f>IF('CF表（奥様働けない時）'!O$3="","",'CF表（奥様働けない時）'!O41/10000)</f>
        <v/>
      </c>
      <c r="P41" s="240">
        <f>IF('CF表（奥様働けない時）'!P$3="","",'CF表（奥様働けない時）'!P41/10000)</f>
        <v/>
      </c>
      <c r="Q41" s="240">
        <f>IF('CF表（奥様働けない時）'!Q$3="","",'CF表（奥様働けない時）'!Q41/10000)</f>
        <v/>
      </c>
      <c r="R41" s="240">
        <f>IF('CF表（奥様働けない時）'!R$3="","",'CF表（奥様働けない時）'!R41/10000)</f>
        <v/>
      </c>
      <c r="S41" s="240">
        <f>IF('CF表（奥様働けない時）'!S$3="","",'CF表（奥様働けない時）'!S41/10000)</f>
        <v/>
      </c>
      <c r="T41" s="240">
        <f>IF('CF表（奥様働けない時）'!T$3="","",'CF表（奥様働けない時）'!T41/10000)</f>
        <v/>
      </c>
      <c r="U41" s="240">
        <f>IF('CF表（奥様働けない時）'!U$3="","",'CF表（奥様働けない時）'!U41/10000)</f>
        <v/>
      </c>
      <c r="V41" s="240">
        <f>IF('CF表（奥様働けない時）'!V$3="","",'CF表（奥様働けない時）'!V41/10000)</f>
        <v/>
      </c>
      <c r="W41" s="240">
        <f>IF('CF表（奥様働けない時）'!W$3="","",'CF表（奥様働けない時）'!W41/10000)</f>
        <v/>
      </c>
      <c r="X41" s="240">
        <f>IF('CF表（奥様働けない時）'!X$3="","",'CF表（奥様働けない時）'!X41/10000)</f>
        <v/>
      </c>
      <c r="Y41" s="240">
        <f>IF('CF表（奥様働けない時）'!Y$3="","",'CF表（奥様働けない時）'!Y41/10000)</f>
        <v/>
      </c>
      <c r="Z41" s="240">
        <f>IF('CF表（奥様働けない時）'!Z$3="","",'CF表（奥様働けない時）'!Z41/10000)</f>
        <v/>
      </c>
      <c r="AA41" s="240">
        <f>IF('CF表（奥様働けない時）'!AA$3="","",'CF表（奥様働けない時）'!AA41/10000)</f>
        <v/>
      </c>
      <c r="AB41" s="240">
        <f>IF('CF表（奥様働けない時）'!AB$3="","",'CF表（奥様働けない時）'!AB41/10000)</f>
        <v/>
      </c>
      <c r="AC41" s="240">
        <f>IF('CF表（奥様働けない時）'!AC$3="","",'CF表（奥様働けない時）'!AC41/10000)</f>
        <v/>
      </c>
      <c r="AD41" s="240">
        <f>IF('CF表（奥様働けない時）'!AD$3="","",'CF表（奥様働けない時）'!AD41/10000)</f>
        <v/>
      </c>
      <c r="AE41" s="240">
        <f>IF('CF表（奥様働けない時）'!AE$3="","",'CF表（奥様働けない時）'!AE41/10000)</f>
        <v/>
      </c>
      <c r="AF41" s="240">
        <f>IF('CF表（奥様働けない時）'!AF$3="","",'CF表（奥様働けない時）'!AF41/10000)</f>
        <v/>
      </c>
      <c r="AG41" s="240">
        <f>IF('CF表（奥様働けない時）'!AG$3="","",'CF表（奥様働けない時）'!AG41/10000)</f>
        <v/>
      </c>
      <c r="AH41" s="240">
        <f>IF('CF表（奥様働けない時）'!AH$3="","",'CF表（奥様働けない時）'!AH41/10000)</f>
        <v/>
      </c>
      <c r="AI41" s="240">
        <f>IF('CF表（奥様働けない時）'!AI$3="","",'CF表（奥様働けない時）'!AI41/10000)</f>
        <v/>
      </c>
      <c r="AJ41" s="240">
        <f>IF('CF表（奥様働けない時）'!AJ$3="","",'CF表（奥様働けない時）'!AJ41/10000)</f>
        <v/>
      </c>
      <c r="AK41" s="240">
        <f>IF('CF表（奥様働けない時）'!AK$3="","",'CF表（奥様働けない時）'!AK41/10000)</f>
        <v/>
      </c>
      <c r="AL41" s="240">
        <f>IF('CF表（奥様働けない時）'!AL$3="","",'CF表（奥様働けない時）'!AL41/10000)</f>
        <v/>
      </c>
      <c r="AM41" s="240">
        <f>IF('CF表（奥様働けない時）'!AM$3="","",'CF表（奥様働けない時）'!AM41/10000)</f>
        <v/>
      </c>
      <c r="AN41" s="240">
        <f>IF('CF表（奥様働けない時）'!AN$3="","",'CF表（奥様働けない時）'!AN41/10000)</f>
        <v/>
      </c>
      <c r="AO41" s="240">
        <f>IF('CF表（奥様働けない時）'!AO$3="","",'CF表（奥様働けない時）'!AO41/10000)</f>
        <v/>
      </c>
      <c r="AP41" s="240">
        <f>IF('CF表（奥様働けない時）'!AP$3="","",'CF表（奥様働けない時）'!AP41/10000)</f>
        <v/>
      </c>
      <c r="AQ41" s="240">
        <f>IF('CF表（奥様働けない時）'!AQ$3="","",'CF表（奥様働けない時）'!AQ41/10000)</f>
        <v/>
      </c>
      <c r="AR41" s="240">
        <f>IF('CF表（奥様働けない時）'!AR$3="","",'CF表（奥様働けない時）'!AR41/10000)</f>
        <v/>
      </c>
      <c r="AS41" s="240">
        <f>IF('CF表（奥様働けない時）'!AS$3="","",'CF表（奥様働けない時）'!AS41/10000)</f>
        <v/>
      </c>
      <c r="AT41" s="240">
        <f>IF('CF表（奥様働けない時）'!AT$3="","",'CF表（奥様働けない時）'!AT41/10000)</f>
        <v/>
      </c>
      <c r="AU41" s="240">
        <f>IF('CF表（奥様働けない時）'!AU$3="","",'CF表（奥様働けない時）'!AU41/10000)</f>
        <v/>
      </c>
      <c r="AV41" s="240">
        <f>IF('CF表（奥様働けない時）'!AV$3="","",'CF表（奥様働けない時）'!AV41/10000)</f>
        <v/>
      </c>
      <c r="AW41" s="240">
        <f>IF('CF表（奥様働けない時）'!AW$3="","",'CF表（奥様働けない時）'!AW41/10000)</f>
        <v/>
      </c>
      <c r="AX41" s="240">
        <f>IF('CF表（奥様働けない時）'!AX$3="","",'CF表（奥様働けない時）'!AX41/10000)</f>
        <v/>
      </c>
      <c r="AY41" s="240">
        <f>IF('CF表（奥様働けない時）'!AY$3="","",'CF表（奥様働けない時）'!AY41/10000)</f>
        <v/>
      </c>
      <c r="AZ41" s="240">
        <f>IF('CF表（奥様働けない時）'!AZ$3="","",'CF表（奥様働けない時）'!AZ41/10000)</f>
        <v/>
      </c>
      <c r="BA41" s="240">
        <f>IF('CF表（奥様働けない時）'!BA$3="","",'CF表（奥様働けない時）'!BA41/10000)</f>
        <v/>
      </c>
      <c r="BB41" s="240">
        <f>IF('CF表（奥様働けない時）'!BB$3="","",'CF表（奥様働けない時）'!BB41/10000)</f>
        <v/>
      </c>
      <c r="BC41" s="240">
        <f>IF('CF表（奥様働けない時）'!BC$3="","",'CF表（奥様働けない時）'!BC41/10000)</f>
        <v/>
      </c>
      <c r="BD41" s="240">
        <f>IF('CF表（奥様働けない時）'!BD$3="","",'CF表（奥様働けない時）'!BD41/10000)</f>
        <v/>
      </c>
      <c r="BE41" s="240">
        <f>IF('CF表（奥様働けない時）'!BE$3="","",'CF表（奥様働けない時）'!BE41/10000)</f>
        <v/>
      </c>
      <c r="BF41" s="240">
        <f>IF('CF表（奥様働けない時）'!BF$3="","",'CF表（奥様働けない時）'!BF41/10000)</f>
        <v/>
      </c>
      <c r="BG41" s="240">
        <f>IF('CF表（奥様働けない時）'!BG$3="","",'CF表（奥様働けない時）'!BG41/10000)</f>
        <v/>
      </c>
      <c r="BH41" s="240">
        <f>IF('CF表（奥様働けない時）'!BH$3="","",'CF表（奥様働けない時）'!BH41/10000)</f>
        <v/>
      </c>
      <c r="BI41" s="240">
        <f>IF('CF表（奥様働けない時）'!BI$3="","",'CF表（奥様働けない時）'!BI41/10000)</f>
        <v/>
      </c>
      <c r="BJ41" s="240">
        <f>IF('CF表（奥様働けない時）'!BJ$3="","",'CF表（奥様働けない時）'!BJ41/10000)</f>
        <v/>
      </c>
      <c r="BK41" s="240">
        <f>IF('CF表（奥様働けない時）'!BK$3="","",'CF表（奥様働けない時）'!BK41/10000)</f>
        <v/>
      </c>
      <c r="BL41" s="240">
        <f>IF('CF表（奥様働けない時）'!BL$3="","",'CF表（奥様働けない時）'!BL41/10000)</f>
        <v/>
      </c>
      <c r="BM41" s="240">
        <f>IF('CF表（奥様働けない時）'!BM$3="","",'CF表（奥様働けない時）'!BM41/10000)</f>
        <v/>
      </c>
      <c r="BN41" s="240">
        <f>IF('CF表（奥様働けない時）'!BN$3="","",'CF表（奥様働けない時）'!BN41/10000)</f>
        <v/>
      </c>
      <c r="BO41" s="240">
        <f>IF('CF表（奥様働けない時）'!BO$3="","",'CF表（奥様働けない時）'!BO41/10000)</f>
        <v/>
      </c>
      <c r="BP41" s="240">
        <f>IF('CF表（奥様働けない時）'!BP$3="","",'CF表（奥様働けない時）'!BP41/10000)</f>
        <v/>
      </c>
      <c r="BQ41" s="240">
        <f>IF('CF表（奥様働けない時）'!BQ$3="","",'CF表（奥様働けない時）'!BQ41/10000)</f>
        <v/>
      </c>
      <c r="BR41" s="240">
        <f>IF('CF表（奥様働けない時）'!BR$3="","",'CF表（奥様働けない時）'!BR41/10000)</f>
        <v/>
      </c>
      <c r="BS41" s="240">
        <f>IF('CF表（奥様働けない時）'!BS$3="","",'CF表（奥様働けない時）'!BS41/10000)</f>
        <v/>
      </c>
      <c r="BT41" s="240">
        <f>IF('CF表（奥様働けない時）'!BT$3="","",'CF表（奥様働けない時）'!BT41/10000)</f>
        <v/>
      </c>
      <c r="BU41" s="240">
        <f>IF('CF表（奥様働けない時）'!BU$3="","",'CF表（奥様働けない時）'!BU41/10000)</f>
        <v/>
      </c>
      <c r="BV41" s="240">
        <f>IF('CF表（奥様働けない時）'!BV$3="","",'CF表（奥様働けない時）'!BV41/10000)</f>
        <v/>
      </c>
      <c r="BW41" s="240">
        <f>IF('CF表（奥様働けない時）'!BW$3="","",'CF表（奥様働けない時）'!BW41/10000)</f>
        <v/>
      </c>
      <c r="BX41" s="240">
        <f>IF('CF表（奥様働けない時）'!BX$3="","",'CF表（奥様働けない時）'!BX41/10000)</f>
        <v/>
      </c>
      <c r="BY41" s="240">
        <f>IF('CF表（奥様働けない時）'!BY$3="","",'CF表（奥様働けない時）'!BY41/10000)</f>
        <v/>
      </c>
      <c r="BZ41" s="240">
        <f>IF('CF表（奥様働けない時）'!BZ$3="","",'CF表（奥様働けない時）'!BZ41/10000)</f>
        <v/>
      </c>
      <c r="CA41" s="240">
        <f>IF('CF表（奥様働けない時）'!CA$3="","",'CF表（奥様働けない時）'!CA41/10000)</f>
        <v/>
      </c>
      <c r="CB41" s="240">
        <f>IF('CF表（奥様働けない時）'!CB$3="","",'CF表（奥様働けない時）'!CB41/10000)</f>
        <v/>
      </c>
      <c r="CC41" s="240">
        <f>IF('CF表（奥様働けない時）'!CC$3="","",'CF表（奥様働けない時）'!CC41/10000)</f>
        <v/>
      </c>
      <c r="CD41" s="240">
        <f>IF('CF表（奥様働けない時）'!CD$3="","",'CF表（奥様働けない時）'!CD41/10000)</f>
        <v/>
      </c>
      <c r="CE41" s="240">
        <f>IF('CF表（奥様働けない時）'!CE$3="","",'CF表（奥様働けない時）'!CE41/10000)</f>
        <v/>
      </c>
      <c r="CF41" s="240">
        <f>IF('CF表（奥様働けない時）'!CF$3="","",'CF表（奥様働けない時）'!CF41/10000)</f>
        <v/>
      </c>
      <c r="CG41" s="240">
        <f>IF('CF表（奥様働けない時）'!CG$3="","",'CF表（奥様働けない時）'!CG41/10000)</f>
        <v/>
      </c>
      <c r="CH41" s="240">
        <f>IF('CF表（奥様働けない時）'!CH$3="","",'CF表（奥様働けない時）'!CH41/10000)</f>
        <v/>
      </c>
      <c r="CI41" s="240">
        <f>IF('CF表（奥様働けない時）'!CI$3="","",'CF表（奥様働けない時）'!CI41/10000)</f>
        <v/>
      </c>
      <c r="CJ41" s="240">
        <f>IF('CF表（奥様働けない時）'!CJ$3="","",'CF表（奥様働けない時）'!CJ41/10000)</f>
        <v/>
      </c>
      <c r="CK41" s="240">
        <f>IF('CF表（奥様働けない時）'!CK$3="","",'CF表（奥様働けない時）'!CK41/10000)</f>
        <v/>
      </c>
      <c r="CL41" s="240">
        <f>IF('CF表（奥様働けない時）'!CL$3="","",'CF表（奥様働けない時）'!CL41/10000)</f>
        <v/>
      </c>
      <c r="CM41" s="240">
        <f>IF('CF表（奥様働けない時）'!CM$3="","",'CF表（奥様働けない時）'!CM41/10000)</f>
        <v/>
      </c>
      <c r="CN41" s="240">
        <f>IF('CF表（奥様働けない時）'!CN$3="","",'CF表（奥様働けない時）'!CN41/10000)</f>
        <v/>
      </c>
      <c r="CO41" s="240">
        <f>IF('CF表（奥様働けない時）'!CO$3="","",'CF表（奥様働けない時）'!CO41/10000)</f>
        <v/>
      </c>
      <c r="CP41" s="240">
        <f>IF('CF表（奥様働けない時）'!CP$3="","",'CF表（奥様働けない時）'!CP41/10000)</f>
        <v/>
      </c>
      <c r="CQ41" s="240">
        <f>IF('CF表（奥様働けない時）'!CQ$3="","",'CF表（奥様働けない時）'!CQ41/10000)</f>
        <v/>
      </c>
      <c r="CR41" s="240">
        <f>IF('CF表（奥様働けない時）'!CR$3="","",'CF表（奥様働けない時）'!CR41/10000)</f>
        <v/>
      </c>
      <c r="CS41" s="240">
        <f>IF('CF表（奥様働けない時）'!CS$3="","",'CF表（奥様働けない時）'!CS41/10000)</f>
        <v/>
      </c>
      <c r="CT41" s="240">
        <f>IF('CF表（奥様働けない時）'!CT$3="","",'CF表（奥様働けない時）'!CT41/10000)</f>
        <v/>
      </c>
      <c r="CU41" s="240">
        <f>IF('CF表（奥様働けない時）'!CU$3="","",'CF表（奥様働けない時）'!CU41/10000)</f>
        <v/>
      </c>
      <c r="CV41" s="240">
        <f>IF('CF表（奥様働けない時）'!CV$3="","",'CF表（奥様働けない時）'!CV41/10000)</f>
        <v/>
      </c>
      <c r="CW41" s="240">
        <f>IF('CF表（奥様働けない時）'!CW$3="","",'CF表（奥様働けない時）'!CW41/10000)</f>
        <v/>
      </c>
    </row>
    <row r="42" hidden="1" ht="16.5" customHeight="1" s="180">
      <c r="A42" s="239" t="inlineStr">
        <is>
          <t>老後期フラグ(補助)</t>
        </is>
      </c>
      <c r="B42" s="240">
        <f>IF('CF表（奥様働けない時）'!B$3="","",'CF表（奥様働けない時）'!B42/10000)</f>
        <v/>
      </c>
      <c r="C42" s="240">
        <f>IF('CF表（奥様働けない時）'!C$3="","",'CF表（奥様働けない時）'!C42/10000)</f>
        <v/>
      </c>
      <c r="D42" s="240">
        <f>IF('CF表（奥様働けない時）'!D$3="","",'CF表（奥様働けない時）'!D42/10000)</f>
        <v/>
      </c>
      <c r="E42" s="240">
        <f>IF('CF表（奥様働けない時）'!E$3="","",'CF表（奥様働けない時）'!E42/10000)</f>
        <v/>
      </c>
      <c r="F42" s="240">
        <f>IF('CF表（奥様働けない時）'!F$3="","",'CF表（奥様働けない時）'!F42/10000)</f>
        <v/>
      </c>
      <c r="G42" s="240">
        <f>IF('CF表（奥様働けない時）'!G$3="","",'CF表（奥様働けない時）'!G42/10000)</f>
        <v/>
      </c>
      <c r="H42" s="240">
        <f>IF('CF表（奥様働けない時）'!H$3="","",'CF表（奥様働けない時）'!H42/10000)</f>
        <v/>
      </c>
      <c r="I42" s="240">
        <f>IF('CF表（奥様働けない時）'!I$3="","",'CF表（奥様働けない時）'!I42/10000)</f>
        <v/>
      </c>
      <c r="J42" s="240">
        <f>IF('CF表（奥様働けない時）'!J$3="","",'CF表（奥様働けない時）'!J42/10000)</f>
        <v/>
      </c>
      <c r="K42" s="240">
        <f>IF('CF表（奥様働けない時）'!K$3="","",'CF表（奥様働けない時）'!K42/10000)</f>
        <v/>
      </c>
      <c r="L42" s="240">
        <f>IF('CF表（奥様働けない時）'!L$3="","",'CF表（奥様働けない時）'!L42/10000)</f>
        <v/>
      </c>
      <c r="M42" s="240">
        <f>IF('CF表（奥様働けない時）'!M$3="","",'CF表（奥様働けない時）'!M42/10000)</f>
        <v/>
      </c>
      <c r="N42" s="240">
        <f>IF('CF表（奥様働けない時）'!N$3="","",'CF表（奥様働けない時）'!N42/10000)</f>
        <v/>
      </c>
      <c r="O42" s="240">
        <f>IF('CF表（奥様働けない時）'!O$3="","",'CF表（奥様働けない時）'!O42/10000)</f>
        <v/>
      </c>
      <c r="P42" s="240">
        <f>IF('CF表（奥様働けない時）'!P$3="","",'CF表（奥様働けない時）'!P42/10000)</f>
        <v/>
      </c>
      <c r="Q42" s="240">
        <f>IF('CF表（奥様働けない時）'!Q$3="","",'CF表（奥様働けない時）'!Q42/10000)</f>
        <v/>
      </c>
      <c r="R42" s="240">
        <f>IF('CF表（奥様働けない時）'!R$3="","",'CF表（奥様働けない時）'!R42/10000)</f>
        <v/>
      </c>
      <c r="S42" s="240">
        <f>IF('CF表（奥様働けない時）'!S$3="","",'CF表（奥様働けない時）'!S42/10000)</f>
        <v/>
      </c>
      <c r="T42" s="240">
        <f>IF('CF表（奥様働けない時）'!T$3="","",'CF表（奥様働けない時）'!T42/10000)</f>
        <v/>
      </c>
      <c r="U42" s="240">
        <f>IF('CF表（奥様働けない時）'!U$3="","",'CF表（奥様働けない時）'!U42/10000)</f>
        <v/>
      </c>
      <c r="V42" s="240">
        <f>IF('CF表（奥様働けない時）'!V$3="","",'CF表（奥様働けない時）'!V42/10000)</f>
        <v/>
      </c>
      <c r="W42" s="240">
        <f>IF('CF表（奥様働けない時）'!W$3="","",'CF表（奥様働けない時）'!W42/10000)</f>
        <v/>
      </c>
      <c r="X42" s="240">
        <f>IF('CF表（奥様働けない時）'!X$3="","",'CF表（奥様働けない時）'!X42/10000)</f>
        <v/>
      </c>
      <c r="Y42" s="240">
        <f>IF('CF表（奥様働けない時）'!Y$3="","",'CF表（奥様働けない時）'!Y42/10000)</f>
        <v/>
      </c>
      <c r="Z42" s="240">
        <f>IF('CF表（奥様働けない時）'!Z$3="","",'CF表（奥様働けない時）'!Z42/10000)</f>
        <v/>
      </c>
      <c r="AA42" s="240">
        <f>IF('CF表（奥様働けない時）'!AA$3="","",'CF表（奥様働けない時）'!AA42/10000)</f>
        <v/>
      </c>
      <c r="AB42" s="240">
        <f>IF('CF表（奥様働けない時）'!AB$3="","",'CF表（奥様働けない時）'!AB42/10000)</f>
        <v/>
      </c>
      <c r="AC42" s="240">
        <f>IF('CF表（奥様働けない時）'!AC$3="","",'CF表（奥様働けない時）'!AC42/10000)</f>
        <v/>
      </c>
      <c r="AD42" s="240">
        <f>IF('CF表（奥様働けない時）'!AD$3="","",'CF表（奥様働けない時）'!AD42/10000)</f>
        <v/>
      </c>
      <c r="AE42" s="240">
        <f>IF('CF表（奥様働けない時）'!AE$3="","",'CF表（奥様働けない時）'!AE42/10000)</f>
        <v/>
      </c>
      <c r="AF42" s="240">
        <f>IF('CF表（奥様働けない時）'!AF$3="","",'CF表（奥様働けない時）'!AF42/10000)</f>
        <v/>
      </c>
      <c r="AG42" s="240">
        <f>IF('CF表（奥様働けない時）'!AG$3="","",'CF表（奥様働けない時）'!AG42/10000)</f>
        <v/>
      </c>
      <c r="AH42" s="240">
        <f>IF('CF表（奥様働けない時）'!AH$3="","",'CF表（奥様働けない時）'!AH42/10000)</f>
        <v/>
      </c>
      <c r="AI42" s="240">
        <f>IF('CF表（奥様働けない時）'!AI$3="","",'CF表（奥様働けない時）'!AI42/10000)</f>
        <v/>
      </c>
      <c r="AJ42" s="240">
        <f>IF('CF表（奥様働けない時）'!AJ$3="","",'CF表（奥様働けない時）'!AJ42/10000)</f>
        <v/>
      </c>
      <c r="AK42" s="240">
        <f>IF('CF表（奥様働けない時）'!AK$3="","",'CF表（奥様働けない時）'!AK42/10000)</f>
        <v/>
      </c>
      <c r="AL42" s="240">
        <f>IF('CF表（奥様働けない時）'!AL$3="","",'CF表（奥様働けない時）'!AL42/10000)</f>
        <v/>
      </c>
      <c r="AM42" s="240">
        <f>IF('CF表（奥様働けない時）'!AM$3="","",'CF表（奥様働けない時）'!AM42/10000)</f>
        <v/>
      </c>
      <c r="AN42" s="240">
        <f>IF('CF表（奥様働けない時）'!AN$3="","",'CF表（奥様働けない時）'!AN42/10000)</f>
        <v/>
      </c>
      <c r="AO42" s="240">
        <f>IF('CF表（奥様働けない時）'!AO$3="","",'CF表（奥様働けない時）'!AO42/10000)</f>
        <v/>
      </c>
      <c r="AP42" s="240">
        <f>IF('CF表（奥様働けない時）'!AP$3="","",'CF表（奥様働けない時）'!AP42/10000)</f>
        <v/>
      </c>
      <c r="AQ42" s="240">
        <f>IF('CF表（奥様働けない時）'!AQ$3="","",'CF表（奥様働けない時）'!AQ42/10000)</f>
        <v/>
      </c>
      <c r="AR42" s="240">
        <f>IF('CF表（奥様働けない時）'!AR$3="","",'CF表（奥様働けない時）'!AR42/10000)</f>
        <v/>
      </c>
      <c r="AS42" s="240">
        <f>IF('CF表（奥様働けない時）'!AS$3="","",'CF表（奥様働けない時）'!AS42/10000)</f>
        <v/>
      </c>
      <c r="AT42" s="240">
        <f>IF('CF表（奥様働けない時）'!AT$3="","",'CF表（奥様働けない時）'!AT42/10000)</f>
        <v/>
      </c>
      <c r="AU42" s="240">
        <f>IF('CF表（奥様働けない時）'!AU$3="","",'CF表（奥様働けない時）'!AU42/10000)</f>
        <v/>
      </c>
      <c r="AV42" s="240">
        <f>IF('CF表（奥様働けない時）'!AV$3="","",'CF表（奥様働けない時）'!AV42/10000)</f>
        <v/>
      </c>
      <c r="AW42" s="240">
        <f>IF('CF表（奥様働けない時）'!AW$3="","",'CF表（奥様働けない時）'!AW42/10000)</f>
        <v/>
      </c>
      <c r="AX42" s="240">
        <f>IF('CF表（奥様働けない時）'!AX$3="","",'CF表（奥様働けない時）'!AX42/10000)</f>
        <v/>
      </c>
      <c r="AY42" s="240">
        <f>IF('CF表（奥様働けない時）'!AY$3="","",'CF表（奥様働けない時）'!AY42/10000)</f>
        <v/>
      </c>
      <c r="AZ42" s="240">
        <f>IF('CF表（奥様働けない時）'!AZ$3="","",'CF表（奥様働けない時）'!AZ42/10000)</f>
        <v/>
      </c>
      <c r="BA42" s="240">
        <f>IF('CF表（奥様働けない時）'!BA$3="","",'CF表（奥様働けない時）'!BA42/10000)</f>
        <v/>
      </c>
      <c r="BB42" s="240">
        <f>IF('CF表（奥様働けない時）'!BB$3="","",'CF表（奥様働けない時）'!BB42/10000)</f>
        <v/>
      </c>
      <c r="BC42" s="240">
        <f>IF('CF表（奥様働けない時）'!BC$3="","",'CF表（奥様働けない時）'!BC42/10000)</f>
        <v/>
      </c>
      <c r="BD42" s="240">
        <f>IF('CF表（奥様働けない時）'!BD$3="","",'CF表（奥様働けない時）'!BD42/10000)</f>
        <v/>
      </c>
      <c r="BE42" s="240">
        <f>IF('CF表（奥様働けない時）'!BE$3="","",'CF表（奥様働けない時）'!BE42/10000)</f>
        <v/>
      </c>
      <c r="BF42" s="240">
        <f>IF('CF表（奥様働けない時）'!BF$3="","",'CF表（奥様働けない時）'!BF42/10000)</f>
        <v/>
      </c>
      <c r="BG42" s="240">
        <f>IF('CF表（奥様働けない時）'!BG$3="","",'CF表（奥様働けない時）'!BG42/10000)</f>
        <v/>
      </c>
      <c r="BH42" s="240">
        <f>IF('CF表（奥様働けない時）'!BH$3="","",'CF表（奥様働けない時）'!BH42/10000)</f>
        <v/>
      </c>
      <c r="BI42" s="240">
        <f>IF('CF表（奥様働けない時）'!BI$3="","",'CF表（奥様働けない時）'!BI42/10000)</f>
        <v/>
      </c>
      <c r="BJ42" s="240">
        <f>IF('CF表（奥様働けない時）'!BJ$3="","",'CF表（奥様働けない時）'!BJ42/10000)</f>
        <v/>
      </c>
      <c r="BK42" s="240">
        <f>IF('CF表（奥様働けない時）'!BK$3="","",'CF表（奥様働けない時）'!BK42/10000)</f>
        <v/>
      </c>
      <c r="BL42" s="240">
        <f>IF('CF表（奥様働けない時）'!BL$3="","",'CF表（奥様働けない時）'!BL42/10000)</f>
        <v/>
      </c>
      <c r="BM42" s="240">
        <f>IF('CF表（奥様働けない時）'!BM$3="","",'CF表（奥様働けない時）'!BM42/10000)</f>
        <v/>
      </c>
      <c r="BN42" s="240">
        <f>IF('CF表（奥様働けない時）'!BN$3="","",'CF表（奥様働けない時）'!BN42/10000)</f>
        <v/>
      </c>
      <c r="BO42" s="240">
        <f>IF('CF表（奥様働けない時）'!BO$3="","",'CF表（奥様働けない時）'!BO42/10000)</f>
        <v/>
      </c>
      <c r="BP42" s="240">
        <f>IF('CF表（奥様働けない時）'!BP$3="","",'CF表（奥様働けない時）'!BP42/10000)</f>
        <v/>
      </c>
      <c r="BQ42" s="240">
        <f>IF('CF表（奥様働けない時）'!BQ$3="","",'CF表（奥様働けない時）'!BQ42/10000)</f>
        <v/>
      </c>
      <c r="BR42" s="240">
        <f>IF('CF表（奥様働けない時）'!BR$3="","",'CF表（奥様働けない時）'!BR42/10000)</f>
        <v/>
      </c>
      <c r="BS42" s="240">
        <f>IF('CF表（奥様働けない時）'!BS$3="","",'CF表（奥様働けない時）'!BS42/10000)</f>
        <v/>
      </c>
      <c r="BT42" s="240">
        <f>IF('CF表（奥様働けない時）'!BT$3="","",'CF表（奥様働けない時）'!BT42/10000)</f>
        <v/>
      </c>
      <c r="BU42" s="240">
        <f>IF('CF表（奥様働けない時）'!BU$3="","",'CF表（奥様働けない時）'!BU42/10000)</f>
        <v/>
      </c>
      <c r="BV42" s="240">
        <f>IF('CF表（奥様働けない時）'!BV$3="","",'CF表（奥様働けない時）'!BV42/10000)</f>
        <v/>
      </c>
      <c r="BW42" s="240">
        <f>IF('CF表（奥様働けない時）'!BW$3="","",'CF表（奥様働けない時）'!BW42/10000)</f>
        <v/>
      </c>
      <c r="BX42" s="240">
        <f>IF('CF表（奥様働けない時）'!BX$3="","",'CF表（奥様働けない時）'!BX42/10000)</f>
        <v/>
      </c>
      <c r="BY42" s="240">
        <f>IF('CF表（奥様働けない時）'!BY$3="","",'CF表（奥様働けない時）'!BY42/10000)</f>
        <v/>
      </c>
      <c r="BZ42" s="240">
        <f>IF('CF表（奥様働けない時）'!BZ$3="","",'CF表（奥様働けない時）'!BZ42/10000)</f>
        <v/>
      </c>
      <c r="CA42" s="240">
        <f>IF('CF表（奥様働けない時）'!CA$3="","",'CF表（奥様働けない時）'!CA42/10000)</f>
        <v/>
      </c>
      <c r="CB42" s="240">
        <f>IF('CF表（奥様働けない時）'!CB$3="","",'CF表（奥様働けない時）'!CB42/10000)</f>
        <v/>
      </c>
      <c r="CC42" s="240">
        <f>IF('CF表（奥様働けない時）'!CC$3="","",'CF表（奥様働けない時）'!CC42/10000)</f>
        <v/>
      </c>
      <c r="CD42" s="240">
        <f>IF('CF表（奥様働けない時）'!CD$3="","",'CF表（奥様働けない時）'!CD42/10000)</f>
        <v/>
      </c>
      <c r="CE42" s="240">
        <f>IF('CF表（奥様働けない時）'!CE$3="","",'CF表（奥様働けない時）'!CE42/10000)</f>
        <v/>
      </c>
      <c r="CF42" s="240">
        <f>IF('CF表（奥様働けない時）'!CF$3="","",'CF表（奥様働けない時）'!CF42/10000)</f>
        <v/>
      </c>
      <c r="CG42" s="240">
        <f>IF('CF表（奥様働けない時）'!CG$3="","",'CF表（奥様働けない時）'!CG42/10000)</f>
        <v/>
      </c>
      <c r="CH42" s="240">
        <f>IF('CF表（奥様働けない時）'!CH$3="","",'CF表（奥様働けない時）'!CH42/10000)</f>
        <v/>
      </c>
      <c r="CI42" s="240">
        <f>IF('CF表（奥様働けない時）'!CI$3="","",'CF表（奥様働けない時）'!CI42/10000)</f>
        <v/>
      </c>
      <c r="CJ42" s="240">
        <f>IF('CF表（奥様働けない時）'!CJ$3="","",'CF表（奥様働けない時）'!CJ42/10000)</f>
        <v/>
      </c>
      <c r="CK42" s="240">
        <f>IF('CF表（奥様働けない時）'!CK$3="","",'CF表（奥様働けない時）'!CK42/10000)</f>
        <v/>
      </c>
      <c r="CL42" s="240">
        <f>IF('CF表（奥様働けない時）'!CL$3="","",'CF表（奥様働けない時）'!CL42/10000)</f>
        <v/>
      </c>
      <c r="CM42" s="240">
        <f>IF('CF表（奥様働けない時）'!CM$3="","",'CF表（奥様働けない時）'!CM42/10000)</f>
        <v/>
      </c>
      <c r="CN42" s="240">
        <f>IF('CF表（奥様働けない時）'!CN$3="","",'CF表（奥様働けない時）'!CN42/10000)</f>
        <v/>
      </c>
      <c r="CO42" s="240">
        <f>IF('CF表（奥様働けない時）'!CO$3="","",'CF表（奥様働けない時）'!CO42/10000)</f>
        <v/>
      </c>
      <c r="CP42" s="240">
        <f>IF('CF表（奥様働けない時）'!CP$3="","",'CF表（奥様働けない時）'!CP42/10000)</f>
        <v/>
      </c>
      <c r="CQ42" s="240">
        <f>IF('CF表（奥様働けない時）'!CQ$3="","",'CF表（奥様働けない時）'!CQ42/10000)</f>
        <v/>
      </c>
      <c r="CR42" s="240">
        <f>IF('CF表（奥様働けない時）'!CR$3="","",'CF表（奥様働けない時）'!CR42/10000)</f>
        <v/>
      </c>
      <c r="CS42" s="240">
        <f>IF('CF表（奥様働けない時）'!CS$3="","",'CF表（奥様働けない時）'!CS42/10000)</f>
        <v/>
      </c>
      <c r="CT42" s="240">
        <f>IF('CF表（奥様働けない時）'!CT$3="","",'CF表（奥様働けない時）'!CT42/10000)</f>
        <v/>
      </c>
      <c r="CU42" s="240">
        <f>IF('CF表（奥様働けない時）'!CU$3="","",'CF表（奥様働けない時）'!CU42/10000)</f>
        <v/>
      </c>
      <c r="CV42" s="240">
        <f>IF('CF表（奥様働けない時）'!CV$3="","",'CF表（奥様働けない時）'!CV42/10000)</f>
        <v/>
      </c>
      <c r="CW42" s="240">
        <f>IF('CF表（奥様働けない時）'!CW$3="","",'CF表（奥様働けない時）'!CW42/10000)</f>
        <v/>
      </c>
    </row>
    <row r="43" hidden="1" ht="16.5" customHeight="1" s="180">
      <c r="A43" s="239" t="inlineStr">
        <is>
          <t>老後不足額(補助)</t>
        </is>
      </c>
      <c r="B43" s="240">
        <f>IF('CF表（奥様働けない時）'!B$3="","",'CF表（奥様働けない時）'!B43/10000)</f>
        <v/>
      </c>
      <c r="C43" s="240">
        <f>IF('CF表（奥様働けない時）'!C$3="","",'CF表（奥様働けない時）'!C43/10000)</f>
        <v/>
      </c>
      <c r="D43" s="240">
        <f>IF('CF表（奥様働けない時）'!D$3="","",'CF表（奥様働けない時）'!D43/10000)</f>
        <v/>
      </c>
      <c r="E43" s="240">
        <f>IF('CF表（奥様働けない時）'!E$3="","",'CF表（奥様働けない時）'!E43/10000)</f>
        <v/>
      </c>
      <c r="F43" s="240">
        <f>IF('CF表（奥様働けない時）'!F$3="","",'CF表（奥様働けない時）'!F43/10000)</f>
        <v/>
      </c>
      <c r="G43" s="240">
        <f>IF('CF表（奥様働けない時）'!G$3="","",'CF表（奥様働けない時）'!G43/10000)</f>
        <v/>
      </c>
      <c r="H43" s="240">
        <f>IF('CF表（奥様働けない時）'!H$3="","",'CF表（奥様働けない時）'!H43/10000)</f>
        <v/>
      </c>
      <c r="I43" s="240">
        <f>IF('CF表（奥様働けない時）'!I$3="","",'CF表（奥様働けない時）'!I43/10000)</f>
        <v/>
      </c>
      <c r="J43" s="240">
        <f>IF('CF表（奥様働けない時）'!J$3="","",'CF表（奥様働けない時）'!J43/10000)</f>
        <v/>
      </c>
      <c r="K43" s="240">
        <f>IF('CF表（奥様働けない時）'!K$3="","",'CF表（奥様働けない時）'!K43/10000)</f>
        <v/>
      </c>
      <c r="L43" s="240">
        <f>IF('CF表（奥様働けない時）'!L$3="","",'CF表（奥様働けない時）'!L43/10000)</f>
        <v/>
      </c>
      <c r="M43" s="240">
        <f>IF('CF表（奥様働けない時）'!M$3="","",'CF表（奥様働けない時）'!M43/10000)</f>
        <v/>
      </c>
      <c r="N43" s="240">
        <f>IF('CF表（奥様働けない時）'!N$3="","",'CF表（奥様働けない時）'!N43/10000)</f>
        <v/>
      </c>
      <c r="O43" s="240">
        <f>IF('CF表（奥様働けない時）'!O$3="","",'CF表（奥様働けない時）'!O43/10000)</f>
        <v/>
      </c>
      <c r="P43" s="240">
        <f>IF('CF表（奥様働けない時）'!P$3="","",'CF表（奥様働けない時）'!P43/10000)</f>
        <v/>
      </c>
      <c r="Q43" s="240">
        <f>IF('CF表（奥様働けない時）'!Q$3="","",'CF表（奥様働けない時）'!Q43/10000)</f>
        <v/>
      </c>
      <c r="R43" s="240">
        <f>IF('CF表（奥様働けない時）'!R$3="","",'CF表（奥様働けない時）'!R43/10000)</f>
        <v/>
      </c>
      <c r="S43" s="240">
        <f>IF('CF表（奥様働けない時）'!S$3="","",'CF表（奥様働けない時）'!S43/10000)</f>
        <v/>
      </c>
      <c r="T43" s="240">
        <f>IF('CF表（奥様働けない時）'!T$3="","",'CF表（奥様働けない時）'!T43/10000)</f>
        <v/>
      </c>
      <c r="U43" s="240">
        <f>IF('CF表（奥様働けない時）'!U$3="","",'CF表（奥様働けない時）'!U43/10000)</f>
        <v/>
      </c>
      <c r="V43" s="240">
        <f>IF('CF表（奥様働けない時）'!V$3="","",'CF表（奥様働けない時）'!V43/10000)</f>
        <v/>
      </c>
      <c r="W43" s="240">
        <f>IF('CF表（奥様働けない時）'!W$3="","",'CF表（奥様働けない時）'!W43/10000)</f>
        <v/>
      </c>
      <c r="X43" s="240">
        <f>IF('CF表（奥様働けない時）'!X$3="","",'CF表（奥様働けない時）'!X43/10000)</f>
        <v/>
      </c>
      <c r="Y43" s="240">
        <f>IF('CF表（奥様働けない時）'!Y$3="","",'CF表（奥様働けない時）'!Y43/10000)</f>
        <v/>
      </c>
      <c r="Z43" s="240">
        <f>IF('CF表（奥様働けない時）'!Z$3="","",'CF表（奥様働けない時）'!Z43/10000)</f>
        <v/>
      </c>
      <c r="AA43" s="240">
        <f>IF('CF表（奥様働けない時）'!AA$3="","",'CF表（奥様働けない時）'!AA43/10000)</f>
        <v/>
      </c>
      <c r="AB43" s="240">
        <f>IF('CF表（奥様働けない時）'!AB$3="","",'CF表（奥様働けない時）'!AB43/10000)</f>
        <v/>
      </c>
      <c r="AC43" s="240">
        <f>IF('CF表（奥様働けない時）'!AC$3="","",'CF表（奥様働けない時）'!AC43/10000)</f>
        <v/>
      </c>
      <c r="AD43" s="240">
        <f>IF('CF表（奥様働けない時）'!AD$3="","",'CF表（奥様働けない時）'!AD43/10000)</f>
        <v/>
      </c>
      <c r="AE43" s="240">
        <f>IF('CF表（奥様働けない時）'!AE$3="","",'CF表（奥様働けない時）'!AE43/10000)</f>
        <v/>
      </c>
      <c r="AF43" s="240">
        <f>IF('CF表（奥様働けない時）'!AF$3="","",'CF表（奥様働けない時）'!AF43/10000)</f>
        <v/>
      </c>
      <c r="AG43" s="240">
        <f>IF('CF表（奥様働けない時）'!AG$3="","",'CF表（奥様働けない時）'!AG43/10000)</f>
        <v/>
      </c>
      <c r="AH43" s="240">
        <f>IF('CF表（奥様働けない時）'!AH$3="","",'CF表（奥様働けない時）'!AH43/10000)</f>
        <v/>
      </c>
      <c r="AI43" s="240">
        <f>IF('CF表（奥様働けない時）'!AI$3="","",'CF表（奥様働けない時）'!AI43/10000)</f>
        <v/>
      </c>
      <c r="AJ43" s="240">
        <f>IF('CF表（奥様働けない時）'!AJ$3="","",'CF表（奥様働けない時）'!AJ43/10000)</f>
        <v/>
      </c>
      <c r="AK43" s="240">
        <f>IF('CF表（奥様働けない時）'!AK$3="","",'CF表（奥様働けない時）'!AK43/10000)</f>
        <v/>
      </c>
      <c r="AL43" s="240">
        <f>IF('CF表（奥様働けない時）'!AL$3="","",'CF表（奥様働けない時）'!AL43/10000)</f>
        <v/>
      </c>
      <c r="AM43" s="240">
        <f>IF('CF表（奥様働けない時）'!AM$3="","",'CF表（奥様働けない時）'!AM43/10000)</f>
        <v/>
      </c>
      <c r="AN43" s="240">
        <f>IF('CF表（奥様働けない時）'!AN$3="","",'CF表（奥様働けない時）'!AN43/10000)</f>
        <v/>
      </c>
      <c r="AO43" s="240">
        <f>IF('CF表（奥様働けない時）'!AO$3="","",'CF表（奥様働けない時）'!AO43/10000)</f>
        <v/>
      </c>
      <c r="AP43" s="240">
        <f>IF('CF表（奥様働けない時）'!AP$3="","",'CF表（奥様働けない時）'!AP43/10000)</f>
        <v/>
      </c>
      <c r="AQ43" s="240">
        <f>IF('CF表（奥様働けない時）'!AQ$3="","",'CF表（奥様働けない時）'!AQ43/10000)</f>
        <v/>
      </c>
      <c r="AR43" s="240">
        <f>IF('CF表（奥様働けない時）'!AR$3="","",'CF表（奥様働けない時）'!AR43/10000)</f>
        <v/>
      </c>
      <c r="AS43" s="240">
        <f>IF('CF表（奥様働けない時）'!AS$3="","",'CF表（奥様働けない時）'!AS43/10000)</f>
        <v/>
      </c>
      <c r="AT43" s="240">
        <f>IF('CF表（奥様働けない時）'!AT$3="","",'CF表（奥様働けない時）'!AT43/10000)</f>
        <v/>
      </c>
      <c r="AU43" s="240">
        <f>IF('CF表（奥様働けない時）'!AU$3="","",'CF表（奥様働けない時）'!AU43/10000)</f>
        <v/>
      </c>
      <c r="AV43" s="240">
        <f>IF('CF表（奥様働けない時）'!AV$3="","",'CF表（奥様働けない時）'!AV43/10000)</f>
        <v/>
      </c>
      <c r="AW43" s="240">
        <f>IF('CF表（奥様働けない時）'!AW$3="","",'CF表（奥様働けない時）'!AW43/10000)</f>
        <v/>
      </c>
      <c r="AX43" s="240">
        <f>IF('CF表（奥様働けない時）'!AX$3="","",'CF表（奥様働けない時）'!AX43/10000)</f>
        <v/>
      </c>
      <c r="AY43" s="240">
        <f>IF('CF表（奥様働けない時）'!AY$3="","",'CF表（奥様働けない時）'!AY43/10000)</f>
        <v/>
      </c>
      <c r="AZ43" s="240">
        <f>IF('CF表（奥様働けない時）'!AZ$3="","",'CF表（奥様働けない時）'!AZ43/10000)</f>
        <v/>
      </c>
      <c r="BA43" s="240">
        <f>IF('CF表（奥様働けない時）'!BA$3="","",'CF表（奥様働けない時）'!BA43/10000)</f>
        <v/>
      </c>
      <c r="BB43" s="240">
        <f>IF('CF表（奥様働けない時）'!BB$3="","",'CF表（奥様働けない時）'!BB43/10000)</f>
        <v/>
      </c>
      <c r="BC43" s="240">
        <f>IF('CF表（奥様働けない時）'!BC$3="","",'CF表（奥様働けない時）'!BC43/10000)</f>
        <v/>
      </c>
      <c r="BD43" s="240">
        <f>IF('CF表（奥様働けない時）'!BD$3="","",'CF表（奥様働けない時）'!BD43/10000)</f>
        <v/>
      </c>
      <c r="BE43" s="240">
        <f>IF('CF表（奥様働けない時）'!BE$3="","",'CF表（奥様働けない時）'!BE43/10000)</f>
        <v/>
      </c>
      <c r="BF43" s="240">
        <f>IF('CF表（奥様働けない時）'!BF$3="","",'CF表（奥様働けない時）'!BF43/10000)</f>
        <v/>
      </c>
      <c r="BG43" s="240">
        <f>IF('CF表（奥様働けない時）'!BG$3="","",'CF表（奥様働けない時）'!BG43/10000)</f>
        <v/>
      </c>
      <c r="BH43" s="240">
        <f>IF('CF表（奥様働けない時）'!BH$3="","",'CF表（奥様働けない時）'!BH43/10000)</f>
        <v/>
      </c>
      <c r="BI43" s="240">
        <f>IF('CF表（奥様働けない時）'!BI$3="","",'CF表（奥様働けない時）'!BI43/10000)</f>
        <v/>
      </c>
      <c r="BJ43" s="240">
        <f>IF('CF表（奥様働けない時）'!BJ$3="","",'CF表（奥様働けない時）'!BJ43/10000)</f>
        <v/>
      </c>
      <c r="BK43" s="240">
        <f>IF('CF表（奥様働けない時）'!BK$3="","",'CF表（奥様働けない時）'!BK43/10000)</f>
        <v/>
      </c>
      <c r="BL43" s="240">
        <f>IF('CF表（奥様働けない時）'!BL$3="","",'CF表（奥様働けない時）'!BL43/10000)</f>
        <v/>
      </c>
      <c r="BM43" s="240">
        <f>IF('CF表（奥様働けない時）'!BM$3="","",'CF表（奥様働けない時）'!BM43/10000)</f>
        <v/>
      </c>
      <c r="BN43" s="240">
        <f>IF('CF表（奥様働けない時）'!BN$3="","",'CF表（奥様働けない時）'!BN43/10000)</f>
        <v/>
      </c>
      <c r="BO43" s="240">
        <f>IF('CF表（奥様働けない時）'!BO$3="","",'CF表（奥様働けない時）'!BO43/10000)</f>
        <v/>
      </c>
      <c r="BP43" s="240">
        <f>IF('CF表（奥様働けない時）'!BP$3="","",'CF表（奥様働けない時）'!BP43/10000)</f>
        <v/>
      </c>
      <c r="BQ43" s="240">
        <f>IF('CF表（奥様働けない時）'!BQ$3="","",'CF表（奥様働けない時）'!BQ43/10000)</f>
        <v/>
      </c>
      <c r="BR43" s="240">
        <f>IF('CF表（奥様働けない時）'!BR$3="","",'CF表（奥様働けない時）'!BR43/10000)</f>
        <v/>
      </c>
      <c r="BS43" s="240">
        <f>IF('CF表（奥様働けない時）'!BS$3="","",'CF表（奥様働けない時）'!BS43/10000)</f>
        <v/>
      </c>
      <c r="BT43" s="240">
        <f>IF('CF表（奥様働けない時）'!BT$3="","",'CF表（奥様働けない時）'!BT43/10000)</f>
        <v/>
      </c>
      <c r="BU43" s="240">
        <f>IF('CF表（奥様働けない時）'!BU$3="","",'CF表（奥様働けない時）'!BU43/10000)</f>
        <v/>
      </c>
      <c r="BV43" s="240">
        <f>IF('CF表（奥様働けない時）'!BV$3="","",'CF表（奥様働けない時）'!BV43/10000)</f>
        <v/>
      </c>
      <c r="BW43" s="240">
        <f>IF('CF表（奥様働けない時）'!BW$3="","",'CF表（奥様働けない時）'!BW43/10000)</f>
        <v/>
      </c>
      <c r="BX43" s="240">
        <f>IF('CF表（奥様働けない時）'!BX$3="","",'CF表（奥様働けない時）'!BX43/10000)</f>
        <v/>
      </c>
      <c r="BY43" s="240">
        <f>IF('CF表（奥様働けない時）'!BY$3="","",'CF表（奥様働けない時）'!BY43/10000)</f>
        <v/>
      </c>
      <c r="BZ43" s="240">
        <f>IF('CF表（奥様働けない時）'!BZ$3="","",'CF表（奥様働けない時）'!BZ43/10000)</f>
        <v/>
      </c>
      <c r="CA43" s="240">
        <f>IF('CF表（奥様働けない時）'!CA$3="","",'CF表（奥様働けない時）'!CA43/10000)</f>
        <v/>
      </c>
      <c r="CB43" s="240">
        <f>IF('CF表（奥様働けない時）'!CB$3="","",'CF表（奥様働けない時）'!CB43/10000)</f>
        <v/>
      </c>
      <c r="CC43" s="240">
        <f>IF('CF表（奥様働けない時）'!CC$3="","",'CF表（奥様働けない時）'!CC43/10000)</f>
        <v/>
      </c>
      <c r="CD43" s="240">
        <f>IF('CF表（奥様働けない時）'!CD$3="","",'CF表（奥様働けない時）'!CD43/10000)</f>
        <v/>
      </c>
      <c r="CE43" s="240">
        <f>IF('CF表（奥様働けない時）'!CE$3="","",'CF表（奥様働けない時）'!CE43/10000)</f>
        <v/>
      </c>
      <c r="CF43" s="240">
        <f>IF('CF表（奥様働けない時）'!CF$3="","",'CF表（奥様働けない時）'!CF43/10000)</f>
        <v/>
      </c>
      <c r="CG43" s="240">
        <f>IF('CF表（奥様働けない時）'!CG$3="","",'CF表（奥様働けない時）'!CG43/10000)</f>
        <v/>
      </c>
      <c r="CH43" s="240">
        <f>IF('CF表（奥様働けない時）'!CH$3="","",'CF表（奥様働けない時）'!CH43/10000)</f>
        <v/>
      </c>
      <c r="CI43" s="240">
        <f>IF('CF表（奥様働けない時）'!CI$3="","",'CF表（奥様働けない時）'!CI43/10000)</f>
        <v/>
      </c>
      <c r="CJ43" s="240">
        <f>IF('CF表（奥様働けない時）'!CJ$3="","",'CF表（奥様働けない時）'!CJ43/10000)</f>
        <v/>
      </c>
      <c r="CK43" s="240">
        <f>IF('CF表（奥様働けない時）'!CK$3="","",'CF表（奥様働けない時）'!CK43/10000)</f>
        <v/>
      </c>
      <c r="CL43" s="240">
        <f>IF('CF表（奥様働けない時）'!CL$3="","",'CF表（奥様働けない時）'!CL43/10000)</f>
        <v/>
      </c>
      <c r="CM43" s="240">
        <f>IF('CF表（奥様働けない時）'!CM$3="","",'CF表（奥様働けない時）'!CM43/10000)</f>
        <v/>
      </c>
      <c r="CN43" s="240">
        <f>IF('CF表（奥様働けない時）'!CN$3="","",'CF表（奥様働けない時）'!CN43/10000)</f>
        <v/>
      </c>
      <c r="CO43" s="240">
        <f>IF('CF表（奥様働けない時）'!CO$3="","",'CF表（奥様働けない時）'!CO43/10000)</f>
        <v/>
      </c>
      <c r="CP43" s="240">
        <f>IF('CF表（奥様働けない時）'!CP$3="","",'CF表（奥様働けない時）'!CP43/10000)</f>
        <v/>
      </c>
      <c r="CQ43" s="240">
        <f>IF('CF表（奥様働けない時）'!CQ$3="","",'CF表（奥様働けない時）'!CQ43/10000)</f>
        <v/>
      </c>
      <c r="CR43" s="240">
        <f>IF('CF表（奥様働けない時）'!CR$3="","",'CF表（奥様働けない時）'!CR43/10000)</f>
        <v/>
      </c>
      <c r="CS43" s="240">
        <f>IF('CF表（奥様働けない時）'!CS$3="","",'CF表（奥様働けない時）'!CS43/10000)</f>
        <v/>
      </c>
      <c r="CT43" s="240">
        <f>IF('CF表（奥様働けない時）'!CT$3="","",'CF表（奥様働けない時）'!CT43/10000)</f>
        <v/>
      </c>
      <c r="CU43" s="240">
        <f>IF('CF表（奥様働けない時）'!CU$3="","",'CF表（奥様働けない時）'!CU43/10000)</f>
        <v/>
      </c>
      <c r="CV43" s="240">
        <f>IF('CF表（奥様働けない時）'!CV$3="","",'CF表（奥様働けない時）'!CV43/10000)</f>
        <v/>
      </c>
      <c r="CW43" s="240">
        <f>IF('CF表（奥様働けない時）'!CW$3="","",'CF表（奥様働けない時）'!CW43/10000)</f>
        <v/>
      </c>
    </row>
    <row r="44" ht="15" customHeight="1" s="180">
      <c r="A44" s="241" t="inlineStr">
        <is>
          <t>保有資産合計（参考）</t>
        </is>
      </c>
      <c r="B44" s="242">
        <f>IF('CF表（奥様働けない時）'!B$3="","",'CF表（奥様働けない時）'!B44/10000)</f>
        <v/>
      </c>
      <c r="C44" s="242">
        <f>IF('CF表（奥様働けない時）'!C$3="","",'CF表（奥様働けない時）'!C44/10000)</f>
        <v/>
      </c>
      <c r="D44" s="242">
        <f>IF('CF表（奥様働けない時）'!D$3="","",'CF表（奥様働けない時）'!D44/10000)</f>
        <v/>
      </c>
      <c r="E44" s="242">
        <f>IF('CF表（奥様働けない時）'!E$3="","",'CF表（奥様働けない時）'!E44/10000)</f>
        <v/>
      </c>
      <c r="F44" s="242">
        <f>IF('CF表（奥様働けない時）'!F$3="","",'CF表（奥様働けない時）'!F44/10000)</f>
        <v/>
      </c>
      <c r="G44" s="242">
        <f>IF('CF表（奥様働けない時）'!G$3="","",'CF表（奥様働けない時）'!G44/10000)</f>
        <v/>
      </c>
      <c r="H44" s="242">
        <f>IF('CF表（奥様働けない時）'!H$3="","",'CF表（奥様働けない時）'!H44/10000)</f>
        <v/>
      </c>
      <c r="I44" s="242">
        <f>IF('CF表（奥様働けない時）'!I$3="","",'CF表（奥様働けない時）'!I44/10000)</f>
        <v/>
      </c>
      <c r="J44" s="242">
        <f>IF('CF表（奥様働けない時）'!J$3="","",'CF表（奥様働けない時）'!J44/10000)</f>
        <v/>
      </c>
      <c r="K44" s="242">
        <f>IF('CF表（奥様働けない時）'!K$3="","",'CF表（奥様働けない時）'!K44/10000)</f>
        <v/>
      </c>
      <c r="L44" s="242">
        <f>IF('CF表（奥様働けない時）'!L$3="","",'CF表（奥様働けない時）'!L44/10000)</f>
        <v/>
      </c>
      <c r="M44" s="242">
        <f>IF('CF表（奥様働けない時）'!M$3="","",'CF表（奥様働けない時）'!M44/10000)</f>
        <v/>
      </c>
      <c r="N44" s="242">
        <f>IF('CF表（奥様働けない時）'!N$3="","",'CF表（奥様働けない時）'!N44/10000)</f>
        <v/>
      </c>
      <c r="O44" s="242">
        <f>IF('CF表（奥様働けない時）'!O$3="","",'CF表（奥様働けない時）'!O44/10000)</f>
        <v/>
      </c>
      <c r="P44" s="242">
        <f>IF('CF表（奥様働けない時）'!P$3="","",'CF表（奥様働けない時）'!P44/10000)</f>
        <v/>
      </c>
      <c r="Q44" s="242">
        <f>IF('CF表（奥様働けない時）'!Q$3="","",'CF表（奥様働けない時）'!Q44/10000)</f>
        <v/>
      </c>
      <c r="R44" s="242">
        <f>IF('CF表（奥様働けない時）'!R$3="","",'CF表（奥様働けない時）'!R44/10000)</f>
        <v/>
      </c>
      <c r="S44" s="242">
        <f>IF('CF表（奥様働けない時）'!S$3="","",'CF表（奥様働けない時）'!S44/10000)</f>
        <v/>
      </c>
      <c r="T44" s="242">
        <f>IF('CF表（奥様働けない時）'!T$3="","",'CF表（奥様働けない時）'!T44/10000)</f>
        <v/>
      </c>
      <c r="U44" s="242">
        <f>IF('CF表（奥様働けない時）'!U$3="","",'CF表（奥様働けない時）'!U44/10000)</f>
        <v/>
      </c>
      <c r="V44" s="242">
        <f>IF('CF表（奥様働けない時）'!V$3="","",'CF表（奥様働けない時）'!V44/10000)</f>
        <v/>
      </c>
      <c r="W44" s="242">
        <f>IF('CF表（奥様働けない時）'!W$3="","",'CF表（奥様働けない時）'!W44/10000)</f>
        <v/>
      </c>
      <c r="X44" s="242">
        <f>IF('CF表（奥様働けない時）'!X$3="","",'CF表（奥様働けない時）'!X44/10000)</f>
        <v/>
      </c>
      <c r="Y44" s="242">
        <f>IF('CF表（奥様働けない時）'!Y$3="","",'CF表（奥様働けない時）'!Y44/10000)</f>
        <v/>
      </c>
      <c r="Z44" s="242">
        <f>IF('CF表（奥様働けない時）'!Z$3="","",'CF表（奥様働けない時）'!Z44/10000)</f>
        <v/>
      </c>
      <c r="AA44" s="242">
        <f>IF('CF表（奥様働けない時）'!AA$3="","",'CF表（奥様働けない時）'!AA44/10000)</f>
        <v/>
      </c>
      <c r="AB44" s="242">
        <f>IF('CF表（奥様働けない時）'!AB$3="","",'CF表（奥様働けない時）'!AB44/10000)</f>
        <v/>
      </c>
      <c r="AC44" s="242">
        <f>IF('CF表（奥様働けない時）'!AC$3="","",'CF表（奥様働けない時）'!AC44/10000)</f>
        <v/>
      </c>
      <c r="AD44" s="242">
        <f>IF('CF表（奥様働けない時）'!AD$3="","",'CF表（奥様働けない時）'!AD44/10000)</f>
        <v/>
      </c>
      <c r="AE44" s="242">
        <f>IF('CF表（奥様働けない時）'!AE$3="","",'CF表（奥様働けない時）'!AE44/10000)</f>
        <v/>
      </c>
      <c r="AF44" s="242">
        <f>IF('CF表（奥様働けない時）'!AF$3="","",'CF表（奥様働けない時）'!AF44/10000)</f>
        <v/>
      </c>
      <c r="AG44" s="242">
        <f>IF('CF表（奥様働けない時）'!AG$3="","",'CF表（奥様働けない時）'!AG44/10000)</f>
        <v/>
      </c>
      <c r="AH44" s="242">
        <f>IF('CF表（奥様働けない時）'!AH$3="","",'CF表（奥様働けない時）'!AH44/10000)</f>
        <v/>
      </c>
      <c r="AI44" s="242">
        <f>IF('CF表（奥様働けない時）'!AI$3="","",'CF表（奥様働けない時）'!AI44/10000)</f>
        <v/>
      </c>
      <c r="AJ44" s="242">
        <f>IF('CF表（奥様働けない時）'!AJ$3="","",'CF表（奥様働けない時）'!AJ44/10000)</f>
        <v/>
      </c>
      <c r="AK44" s="242">
        <f>IF('CF表（奥様働けない時）'!AK$3="","",'CF表（奥様働けない時）'!AK44/10000)</f>
        <v/>
      </c>
      <c r="AL44" s="242">
        <f>IF('CF表（奥様働けない時）'!AL$3="","",'CF表（奥様働けない時）'!AL44/10000)</f>
        <v/>
      </c>
      <c r="AM44" s="242">
        <f>IF('CF表（奥様働けない時）'!AM$3="","",'CF表（奥様働けない時）'!AM44/10000)</f>
        <v/>
      </c>
      <c r="AN44" s="242">
        <f>IF('CF表（奥様働けない時）'!AN$3="","",'CF表（奥様働けない時）'!AN44/10000)</f>
        <v/>
      </c>
      <c r="AO44" s="242">
        <f>IF('CF表（奥様働けない時）'!AO$3="","",'CF表（奥様働けない時）'!AO44/10000)</f>
        <v/>
      </c>
      <c r="AP44" s="242">
        <f>IF('CF表（奥様働けない時）'!AP$3="","",'CF表（奥様働けない時）'!AP44/10000)</f>
        <v/>
      </c>
      <c r="AQ44" s="242">
        <f>IF('CF表（奥様働けない時）'!AQ$3="","",'CF表（奥様働けない時）'!AQ44/10000)</f>
        <v/>
      </c>
      <c r="AR44" s="242">
        <f>IF('CF表（奥様働けない時）'!AR$3="","",'CF表（奥様働けない時）'!AR44/10000)</f>
        <v/>
      </c>
      <c r="AS44" s="242">
        <f>IF('CF表（奥様働けない時）'!AS$3="","",'CF表（奥様働けない時）'!AS44/10000)</f>
        <v/>
      </c>
      <c r="AT44" s="242">
        <f>IF('CF表（奥様働けない時）'!AT$3="","",'CF表（奥様働けない時）'!AT44/10000)</f>
        <v/>
      </c>
      <c r="AU44" s="242">
        <f>IF('CF表（奥様働けない時）'!AU$3="","",'CF表（奥様働けない時）'!AU44/10000)</f>
        <v/>
      </c>
      <c r="AV44" s="242">
        <f>IF('CF表（奥様働けない時）'!AV$3="","",'CF表（奥様働けない時）'!AV44/10000)</f>
        <v/>
      </c>
      <c r="AW44" s="242">
        <f>IF('CF表（奥様働けない時）'!AW$3="","",'CF表（奥様働けない時）'!AW44/10000)</f>
        <v/>
      </c>
      <c r="AX44" s="242">
        <f>IF('CF表（奥様働けない時）'!AX$3="","",'CF表（奥様働けない時）'!AX44/10000)</f>
        <v/>
      </c>
      <c r="AY44" s="242">
        <f>IF('CF表（奥様働けない時）'!AY$3="","",'CF表（奥様働けない時）'!AY44/10000)</f>
        <v/>
      </c>
      <c r="AZ44" s="242">
        <f>IF('CF表（奥様働けない時）'!AZ$3="","",'CF表（奥様働けない時）'!AZ44/10000)</f>
        <v/>
      </c>
      <c r="BA44" s="242">
        <f>IF('CF表（奥様働けない時）'!BA$3="","",'CF表（奥様働けない時）'!BA44/10000)</f>
        <v/>
      </c>
      <c r="BB44" s="242">
        <f>IF('CF表（奥様働けない時）'!BB$3="","",'CF表（奥様働けない時）'!BB44/10000)</f>
        <v/>
      </c>
      <c r="BC44" s="242">
        <f>IF('CF表（奥様働けない時）'!BC$3="","",'CF表（奥様働けない時）'!BC44/10000)</f>
        <v/>
      </c>
      <c r="BD44" s="242">
        <f>IF('CF表（奥様働けない時）'!BD$3="","",'CF表（奥様働けない時）'!BD44/10000)</f>
        <v/>
      </c>
      <c r="BE44" s="242">
        <f>IF('CF表（奥様働けない時）'!BE$3="","",'CF表（奥様働けない時）'!BE44/10000)</f>
        <v/>
      </c>
      <c r="BF44" s="242">
        <f>IF('CF表（奥様働けない時）'!BF$3="","",'CF表（奥様働けない時）'!BF44/10000)</f>
        <v/>
      </c>
      <c r="BG44" s="242">
        <f>IF('CF表（奥様働けない時）'!BG$3="","",'CF表（奥様働けない時）'!BG44/10000)</f>
        <v/>
      </c>
      <c r="BH44" s="242">
        <f>IF('CF表（奥様働けない時）'!BH$3="","",'CF表（奥様働けない時）'!BH44/10000)</f>
        <v/>
      </c>
      <c r="BI44" s="242">
        <f>IF('CF表（奥様働けない時）'!BI$3="","",'CF表（奥様働けない時）'!BI44/10000)</f>
        <v/>
      </c>
      <c r="BJ44" s="242">
        <f>IF('CF表（奥様働けない時）'!BJ$3="","",'CF表（奥様働けない時）'!BJ44/10000)</f>
        <v/>
      </c>
      <c r="BK44" s="242">
        <f>IF('CF表（奥様働けない時）'!BK$3="","",'CF表（奥様働けない時）'!BK44/10000)</f>
        <v/>
      </c>
      <c r="BL44" s="242">
        <f>IF('CF表（奥様働けない時）'!BL$3="","",'CF表（奥様働けない時）'!BL44/10000)</f>
        <v/>
      </c>
      <c r="BM44" s="242">
        <f>IF('CF表（奥様働けない時）'!BM$3="","",'CF表（奥様働けない時）'!BM44/10000)</f>
        <v/>
      </c>
      <c r="BN44" s="242">
        <f>IF('CF表（奥様働けない時）'!BN$3="","",'CF表（奥様働けない時）'!BN44/10000)</f>
        <v/>
      </c>
      <c r="BO44" s="242">
        <f>IF('CF表（奥様働けない時）'!BO$3="","",'CF表（奥様働けない時）'!BO44/10000)</f>
        <v/>
      </c>
      <c r="BP44" s="242">
        <f>IF('CF表（奥様働けない時）'!BP$3="","",'CF表（奥様働けない時）'!BP44/10000)</f>
        <v/>
      </c>
      <c r="BQ44" s="242">
        <f>IF('CF表（奥様働けない時）'!BQ$3="","",'CF表（奥様働けない時）'!BQ44/10000)</f>
        <v/>
      </c>
      <c r="BR44" s="242">
        <f>IF('CF表（奥様働けない時）'!BR$3="","",'CF表（奥様働けない時）'!BR44/10000)</f>
        <v/>
      </c>
      <c r="BS44" s="242">
        <f>IF('CF表（奥様働けない時）'!BS$3="","",'CF表（奥様働けない時）'!BS44/10000)</f>
        <v/>
      </c>
      <c r="BT44" s="242">
        <f>IF('CF表（奥様働けない時）'!BT$3="","",'CF表（奥様働けない時）'!BT44/10000)</f>
        <v/>
      </c>
      <c r="BU44" s="242">
        <f>IF('CF表（奥様働けない時）'!BU$3="","",'CF表（奥様働けない時）'!BU44/10000)</f>
        <v/>
      </c>
      <c r="BV44" s="242">
        <f>IF('CF表（奥様働けない時）'!BV$3="","",'CF表（奥様働けない時）'!BV44/10000)</f>
        <v/>
      </c>
      <c r="BW44" s="242">
        <f>IF('CF表（奥様働けない時）'!BW$3="","",'CF表（奥様働けない時）'!BW44/10000)</f>
        <v/>
      </c>
      <c r="BX44" s="242">
        <f>IF('CF表（奥様働けない時）'!BX$3="","",'CF表（奥様働けない時）'!BX44/10000)</f>
        <v/>
      </c>
      <c r="BY44" s="242">
        <f>IF('CF表（奥様働けない時）'!BY$3="","",'CF表（奥様働けない時）'!BY44/10000)</f>
        <v/>
      </c>
      <c r="BZ44" s="242">
        <f>IF('CF表（奥様働けない時）'!BZ$3="","",'CF表（奥様働けない時）'!BZ44/10000)</f>
        <v/>
      </c>
      <c r="CA44" s="242">
        <f>IF('CF表（奥様働けない時）'!CA$3="","",'CF表（奥様働けない時）'!CA44/10000)</f>
        <v/>
      </c>
      <c r="CB44" s="242">
        <f>IF('CF表（奥様働けない時）'!CB$3="","",'CF表（奥様働けない時）'!CB44/10000)</f>
        <v/>
      </c>
      <c r="CC44" s="242">
        <f>IF('CF表（奥様働けない時）'!CC$3="","",'CF表（奥様働けない時）'!CC44/10000)</f>
        <v/>
      </c>
      <c r="CD44" s="242">
        <f>IF('CF表（奥様働けない時）'!CD$3="","",'CF表（奥様働けない時）'!CD44/10000)</f>
        <v/>
      </c>
      <c r="CE44" s="242">
        <f>IF('CF表（奥様働けない時）'!CE$3="","",'CF表（奥様働けない時）'!CE44/10000)</f>
        <v/>
      </c>
      <c r="CF44" s="242">
        <f>IF('CF表（奥様働けない時）'!CF$3="","",'CF表（奥様働けない時）'!CF44/10000)</f>
        <v/>
      </c>
      <c r="CG44" s="242">
        <f>IF('CF表（奥様働けない時）'!CG$3="","",'CF表（奥様働けない時）'!CG44/10000)</f>
        <v/>
      </c>
      <c r="CH44" s="242">
        <f>IF('CF表（奥様働けない時）'!CH$3="","",'CF表（奥様働けない時）'!CH44/10000)</f>
        <v/>
      </c>
      <c r="CI44" s="242">
        <f>IF('CF表（奥様働けない時）'!CI$3="","",'CF表（奥様働けない時）'!CI44/10000)</f>
        <v/>
      </c>
      <c r="CJ44" s="242">
        <f>IF('CF表（奥様働けない時）'!CJ$3="","",'CF表（奥様働けない時）'!CJ44/10000)</f>
        <v/>
      </c>
      <c r="CK44" s="242">
        <f>IF('CF表（奥様働けない時）'!CK$3="","",'CF表（奥様働けない時）'!CK44/10000)</f>
        <v/>
      </c>
      <c r="CL44" s="242">
        <f>IF('CF表（奥様働けない時）'!CL$3="","",'CF表（奥様働けない時）'!CL44/10000)</f>
        <v/>
      </c>
      <c r="CM44" s="242">
        <f>IF('CF表（奥様働けない時）'!CM$3="","",'CF表（奥様働けない時）'!CM44/10000)</f>
        <v/>
      </c>
      <c r="CN44" s="242">
        <f>IF('CF表（奥様働けない時）'!CN$3="","",'CF表（奥様働けない時）'!CN44/10000)</f>
        <v/>
      </c>
      <c r="CO44" s="242">
        <f>IF('CF表（奥様働けない時）'!CO$3="","",'CF表（奥様働けない時）'!CO44/10000)</f>
        <v/>
      </c>
      <c r="CP44" s="242">
        <f>IF('CF表（奥様働けない時）'!CP$3="","",'CF表（奥様働けない時）'!CP44/10000)</f>
        <v/>
      </c>
      <c r="CQ44" s="242">
        <f>IF('CF表（奥様働けない時）'!CQ$3="","",'CF表（奥様働けない時）'!CQ44/10000)</f>
        <v/>
      </c>
      <c r="CR44" s="242">
        <f>IF('CF表（奥様働けない時）'!CR$3="","",'CF表（奥様働けない時）'!CR44/10000)</f>
        <v/>
      </c>
      <c r="CS44" s="242">
        <f>IF('CF表（奥様働けない時）'!CS$3="","",'CF表（奥様働けない時）'!CS44/10000)</f>
        <v/>
      </c>
      <c r="CT44" s="242">
        <f>IF('CF表（奥様働けない時）'!CT$3="","",'CF表（奥様働けない時）'!CT44/10000)</f>
        <v/>
      </c>
      <c r="CU44" s="242">
        <f>IF('CF表（奥様働けない時）'!CU$3="","",'CF表（奥様働けない時）'!CU44/10000)</f>
        <v/>
      </c>
      <c r="CV44" s="242">
        <f>IF('CF表（奥様働けない時）'!CV$3="","",'CF表（奥様働けない時）'!CV44/10000)</f>
        <v/>
      </c>
      <c r="CW44" s="242">
        <f>IF('CF表（奥様働けない時）'!CW$3="","",'CF表（奥様働けない時）'!CW44/10000)</f>
        <v/>
      </c>
    </row>
    <row r="45" ht="15" customHeight="1" s="180">
      <c r="A45" s="241" t="inlineStr">
        <is>
          <t>負債合計（参考）</t>
        </is>
      </c>
      <c r="B45" s="242">
        <f>IF('CF表（奥様働けない時）'!B$3="","",'CF表（奥様働けない時）'!B45/10000)</f>
        <v/>
      </c>
      <c r="C45" s="242">
        <f>IF('CF表（奥様働けない時）'!C$3="","",'CF表（奥様働けない時）'!C45/10000)</f>
        <v/>
      </c>
      <c r="D45" s="242">
        <f>IF('CF表（奥様働けない時）'!D$3="","",'CF表（奥様働けない時）'!D45/10000)</f>
        <v/>
      </c>
      <c r="E45" s="242">
        <f>IF('CF表（奥様働けない時）'!E$3="","",'CF表（奥様働けない時）'!E45/10000)</f>
        <v/>
      </c>
      <c r="F45" s="242">
        <f>IF('CF表（奥様働けない時）'!F$3="","",'CF表（奥様働けない時）'!F45/10000)</f>
        <v/>
      </c>
      <c r="G45" s="242">
        <f>IF('CF表（奥様働けない時）'!G$3="","",'CF表（奥様働けない時）'!G45/10000)</f>
        <v/>
      </c>
      <c r="H45" s="242">
        <f>IF('CF表（奥様働けない時）'!H$3="","",'CF表（奥様働けない時）'!H45/10000)</f>
        <v/>
      </c>
      <c r="I45" s="242">
        <f>IF('CF表（奥様働けない時）'!I$3="","",'CF表（奥様働けない時）'!I45/10000)</f>
        <v/>
      </c>
      <c r="J45" s="242">
        <f>IF('CF表（奥様働けない時）'!J$3="","",'CF表（奥様働けない時）'!J45/10000)</f>
        <v/>
      </c>
      <c r="K45" s="242">
        <f>IF('CF表（奥様働けない時）'!K$3="","",'CF表（奥様働けない時）'!K45/10000)</f>
        <v/>
      </c>
      <c r="L45" s="242">
        <f>IF('CF表（奥様働けない時）'!L$3="","",'CF表（奥様働けない時）'!L45/10000)</f>
        <v/>
      </c>
      <c r="M45" s="242">
        <f>IF('CF表（奥様働けない時）'!M$3="","",'CF表（奥様働けない時）'!M45/10000)</f>
        <v/>
      </c>
      <c r="N45" s="242">
        <f>IF('CF表（奥様働けない時）'!N$3="","",'CF表（奥様働けない時）'!N45/10000)</f>
        <v/>
      </c>
      <c r="O45" s="242">
        <f>IF('CF表（奥様働けない時）'!O$3="","",'CF表（奥様働けない時）'!O45/10000)</f>
        <v/>
      </c>
      <c r="P45" s="242">
        <f>IF('CF表（奥様働けない時）'!P$3="","",'CF表（奥様働けない時）'!P45/10000)</f>
        <v/>
      </c>
      <c r="Q45" s="242">
        <f>IF('CF表（奥様働けない時）'!Q$3="","",'CF表（奥様働けない時）'!Q45/10000)</f>
        <v/>
      </c>
      <c r="R45" s="242">
        <f>IF('CF表（奥様働けない時）'!R$3="","",'CF表（奥様働けない時）'!R45/10000)</f>
        <v/>
      </c>
      <c r="S45" s="242">
        <f>IF('CF表（奥様働けない時）'!S$3="","",'CF表（奥様働けない時）'!S45/10000)</f>
        <v/>
      </c>
      <c r="T45" s="242">
        <f>IF('CF表（奥様働けない時）'!T$3="","",'CF表（奥様働けない時）'!T45/10000)</f>
        <v/>
      </c>
      <c r="U45" s="242">
        <f>IF('CF表（奥様働けない時）'!U$3="","",'CF表（奥様働けない時）'!U45/10000)</f>
        <v/>
      </c>
      <c r="V45" s="242">
        <f>IF('CF表（奥様働けない時）'!V$3="","",'CF表（奥様働けない時）'!V45/10000)</f>
        <v/>
      </c>
      <c r="W45" s="242">
        <f>IF('CF表（奥様働けない時）'!W$3="","",'CF表（奥様働けない時）'!W45/10000)</f>
        <v/>
      </c>
      <c r="X45" s="242">
        <f>IF('CF表（奥様働けない時）'!X$3="","",'CF表（奥様働けない時）'!X45/10000)</f>
        <v/>
      </c>
      <c r="Y45" s="242">
        <f>IF('CF表（奥様働けない時）'!Y$3="","",'CF表（奥様働けない時）'!Y45/10000)</f>
        <v/>
      </c>
      <c r="Z45" s="242">
        <f>IF('CF表（奥様働けない時）'!Z$3="","",'CF表（奥様働けない時）'!Z45/10000)</f>
        <v/>
      </c>
      <c r="AA45" s="242">
        <f>IF('CF表（奥様働けない時）'!AA$3="","",'CF表（奥様働けない時）'!AA45/10000)</f>
        <v/>
      </c>
      <c r="AB45" s="242">
        <f>IF('CF表（奥様働けない時）'!AB$3="","",'CF表（奥様働けない時）'!AB45/10000)</f>
        <v/>
      </c>
      <c r="AC45" s="242">
        <f>IF('CF表（奥様働けない時）'!AC$3="","",'CF表（奥様働けない時）'!AC45/10000)</f>
        <v/>
      </c>
      <c r="AD45" s="242">
        <f>IF('CF表（奥様働けない時）'!AD$3="","",'CF表（奥様働けない時）'!AD45/10000)</f>
        <v/>
      </c>
      <c r="AE45" s="242">
        <f>IF('CF表（奥様働けない時）'!AE$3="","",'CF表（奥様働けない時）'!AE45/10000)</f>
        <v/>
      </c>
      <c r="AF45" s="242">
        <f>IF('CF表（奥様働けない時）'!AF$3="","",'CF表（奥様働けない時）'!AF45/10000)</f>
        <v/>
      </c>
      <c r="AG45" s="242">
        <f>IF('CF表（奥様働けない時）'!AG$3="","",'CF表（奥様働けない時）'!AG45/10000)</f>
        <v/>
      </c>
      <c r="AH45" s="242">
        <f>IF('CF表（奥様働けない時）'!AH$3="","",'CF表（奥様働けない時）'!AH45/10000)</f>
        <v/>
      </c>
      <c r="AI45" s="242">
        <f>IF('CF表（奥様働けない時）'!AI$3="","",'CF表（奥様働けない時）'!AI45/10000)</f>
        <v/>
      </c>
      <c r="AJ45" s="242">
        <f>IF('CF表（奥様働けない時）'!AJ$3="","",'CF表（奥様働けない時）'!AJ45/10000)</f>
        <v/>
      </c>
      <c r="AK45" s="242">
        <f>IF('CF表（奥様働けない時）'!AK$3="","",'CF表（奥様働けない時）'!AK45/10000)</f>
        <v/>
      </c>
      <c r="AL45" s="242">
        <f>IF('CF表（奥様働けない時）'!AL$3="","",'CF表（奥様働けない時）'!AL45/10000)</f>
        <v/>
      </c>
      <c r="AM45" s="242">
        <f>IF('CF表（奥様働けない時）'!AM$3="","",'CF表（奥様働けない時）'!AM45/10000)</f>
        <v/>
      </c>
      <c r="AN45" s="242">
        <f>IF('CF表（奥様働けない時）'!AN$3="","",'CF表（奥様働けない時）'!AN45/10000)</f>
        <v/>
      </c>
      <c r="AO45" s="242">
        <f>IF('CF表（奥様働けない時）'!AO$3="","",'CF表（奥様働けない時）'!AO45/10000)</f>
        <v/>
      </c>
      <c r="AP45" s="242">
        <f>IF('CF表（奥様働けない時）'!AP$3="","",'CF表（奥様働けない時）'!AP45/10000)</f>
        <v/>
      </c>
      <c r="AQ45" s="242">
        <f>IF('CF表（奥様働けない時）'!AQ$3="","",'CF表（奥様働けない時）'!AQ45/10000)</f>
        <v/>
      </c>
      <c r="AR45" s="242">
        <f>IF('CF表（奥様働けない時）'!AR$3="","",'CF表（奥様働けない時）'!AR45/10000)</f>
        <v/>
      </c>
      <c r="AS45" s="242">
        <f>IF('CF表（奥様働けない時）'!AS$3="","",'CF表（奥様働けない時）'!AS45/10000)</f>
        <v/>
      </c>
      <c r="AT45" s="242">
        <f>IF('CF表（奥様働けない時）'!AT$3="","",'CF表（奥様働けない時）'!AT45/10000)</f>
        <v/>
      </c>
      <c r="AU45" s="242">
        <f>IF('CF表（奥様働けない時）'!AU$3="","",'CF表（奥様働けない時）'!AU45/10000)</f>
        <v/>
      </c>
      <c r="AV45" s="242">
        <f>IF('CF表（奥様働けない時）'!AV$3="","",'CF表（奥様働けない時）'!AV45/10000)</f>
        <v/>
      </c>
      <c r="AW45" s="242">
        <f>IF('CF表（奥様働けない時）'!AW$3="","",'CF表（奥様働けない時）'!AW45/10000)</f>
        <v/>
      </c>
      <c r="AX45" s="242">
        <f>IF('CF表（奥様働けない時）'!AX$3="","",'CF表（奥様働けない時）'!AX45/10000)</f>
        <v/>
      </c>
      <c r="AY45" s="242">
        <f>IF('CF表（奥様働けない時）'!AY$3="","",'CF表（奥様働けない時）'!AY45/10000)</f>
        <v/>
      </c>
      <c r="AZ45" s="242">
        <f>IF('CF表（奥様働けない時）'!AZ$3="","",'CF表（奥様働けない時）'!AZ45/10000)</f>
        <v/>
      </c>
      <c r="BA45" s="242">
        <f>IF('CF表（奥様働けない時）'!BA$3="","",'CF表（奥様働けない時）'!BA45/10000)</f>
        <v/>
      </c>
      <c r="BB45" s="242">
        <f>IF('CF表（奥様働けない時）'!BB$3="","",'CF表（奥様働けない時）'!BB45/10000)</f>
        <v/>
      </c>
      <c r="BC45" s="242">
        <f>IF('CF表（奥様働けない時）'!BC$3="","",'CF表（奥様働けない時）'!BC45/10000)</f>
        <v/>
      </c>
      <c r="BD45" s="242">
        <f>IF('CF表（奥様働けない時）'!BD$3="","",'CF表（奥様働けない時）'!BD45/10000)</f>
        <v/>
      </c>
      <c r="BE45" s="242">
        <f>IF('CF表（奥様働けない時）'!BE$3="","",'CF表（奥様働けない時）'!BE45/10000)</f>
        <v/>
      </c>
      <c r="BF45" s="242">
        <f>IF('CF表（奥様働けない時）'!BF$3="","",'CF表（奥様働けない時）'!BF45/10000)</f>
        <v/>
      </c>
      <c r="BG45" s="242">
        <f>IF('CF表（奥様働けない時）'!BG$3="","",'CF表（奥様働けない時）'!BG45/10000)</f>
        <v/>
      </c>
      <c r="BH45" s="242">
        <f>IF('CF表（奥様働けない時）'!BH$3="","",'CF表（奥様働けない時）'!BH45/10000)</f>
        <v/>
      </c>
      <c r="BI45" s="242">
        <f>IF('CF表（奥様働けない時）'!BI$3="","",'CF表（奥様働けない時）'!BI45/10000)</f>
        <v/>
      </c>
      <c r="BJ45" s="242">
        <f>IF('CF表（奥様働けない時）'!BJ$3="","",'CF表（奥様働けない時）'!BJ45/10000)</f>
        <v/>
      </c>
      <c r="BK45" s="242">
        <f>IF('CF表（奥様働けない時）'!BK$3="","",'CF表（奥様働けない時）'!BK45/10000)</f>
        <v/>
      </c>
      <c r="BL45" s="242">
        <f>IF('CF表（奥様働けない時）'!BL$3="","",'CF表（奥様働けない時）'!BL45/10000)</f>
        <v/>
      </c>
      <c r="BM45" s="242">
        <f>IF('CF表（奥様働けない時）'!BM$3="","",'CF表（奥様働けない時）'!BM45/10000)</f>
        <v/>
      </c>
      <c r="BN45" s="242">
        <f>IF('CF表（奥様働けない時）'!BN$3="","",'CF表（奥様働けない時）'!BN45/10000)</f>
        <v/>
      </c>
      <c r="BO45" s="242">
        <f>IF('CF表（奥様働けない時）'!BO$3="","",'CF表（奥様働けない時）'!BO45/10000)</f>
        <v/>
      </c>
      <c r="BP45" s="242">
        <f>IF('CF表（奥様働けない時）'!BP$3="","",'CF表（奥様働けない時）'!BP45/10000)</f>
        <v/>
      </c>
      <c r="BQ45" s="242">
        <f>IF('CF表（奥様働けない時）'!BQ$3="","",'CF表（奥様働けない時）'!BQ45/10000)</f>
        <v/>
      </c>
      <c r="BR45" s="242">
        <f>IF('CF表（奥様働けない時）'!BR$3="","",'CF表（奥様働けない時）'!BR45/10000)</f>
        <v/>
      </c>
      <c r="BS45" s="242">
        <f>IF('CF表（奥様働けない時）'!BS$3="","",'CF表（奥様働けない時）'!BS45/10000)</f>
        <v/>
      </c>
      <c r="BT45" s="242">
        <f>IF('CF表（奥様働けない時）'!BT$3="","",'CF表（奥様働けない時）'!BT45/10000)</f>
        <v/>
      </c>
      <c r="BU45" s="242">
        <f>IF('CF表（奥様働けない時）'!BU$3="","",'CF表（奥様働けない時）'!BU45/10000)</f>
        <v/>
      </c>
      <c r="BV45" s="242">
        <f>IF('CF表（奥様働けない時）'!BV$3="","",'CF表（奥様働けない時）'!BV45/10000)</f>
        <v/>
      </c>
      <c r="BW45" s="242">
        <f>IF('CF表（奥様働けない時）'!BW$3="","",'CF表（奥様働けない時）'!BW45/10000)</f>
        <v/>
      </c>
      <c r="BX45" s="242">
        <f>IF('CF表（奥様働けない時）'!BX$3="","",'CF表（奥様働けない時）'!BX45/10000)</f>
        <v/>
      </c>
      <c r="BY45" s="242">
        <f>IF('CF表（奥様働けない時）'!BY$3="","",'CF表（奥様働けない時）'!BY45/10000)</f>
        <v/>
      </c>
      <c r="BZ45" s="242">
        <f>IF('CF表（奥様働けない時）'!BZ$3="","",'CF表（奥様働けない時）'!BZ45/10000)</f>
        <v/>
      </c>
      <c r="CA45" s="242">
        <f>IF('CF表（奥様働けない時）'!CA$3="","",'CF表（奥様働けない時）'!CA45/10000)</f>
        <v/>
      </c>
      <c r="CB45" s="242">
        <f>IF('CF表（奥様働けない時）'!CB$3="","",'CF表（奥様働けない時）'!CB45/10000)</f>
        <v/>
      </c>
      <c r="CC45" s="242">
        <f>IF('CF表（奥様働けない時）'!CC$3="","",'CF表（奥様働けない時）'!CC45/10000)</f>
        <v/>
      </c>
      <c r="CD45" s="242">
        <f>IF('CF表（奥様働けない時）'!CD$3="","",'CF表（奥様働けない時）'!CD45/10000)</f>
        <v/>
      </c>
      <c r="CE45" s="242">
        <f>IF('CF表（奥様働けない時）'!CE$3="","",'CF表（奥様働けない時）'!CE45/10000)</f>
        <v/>
      </c>
      <c r="CF45" s="242">
        <f>IF('CF表（奥様働けない時）'!CF$3="","",'CF表（奥様働けない時）'!CF45/10000)</f>
        <v/>
      </c>
      <c r="CG45" s="242">
        <f>IF('CF表（奥様働けない時）'!CG$3="","",'CF表（奥様働けない時）'!CG45/10000)</f>
        <v/>
      </c>
      <c r="CH45" s="242">
        <f>IF('CF表（奥様働けない時）'!CH$3="","",'CF表（奥様働けない時）'!CH45/10000)</f>
        <v/>
      </c>
      <c r="CI45" s="242">
        <f>IF('CF表（奥様働けない時）'!CI$3="","",'CF表（奥様働けない時）'!CI45/10000)</f>
        <v/>
      </c>
      <c r="CJ45" s="242">
        <f>IF('CF表（奥様働けない時）'!CJ$3="","",'CF表（奥様働けない時）'!CJ45/10000)</f>
        <v/>
      </c>
      <c r="CK45" s="242">
        <f>IF('CF表（奥様働けない時）'!CK$3="","",'CF表（奥様働けない時）'!CK45/10000)</f>
        <v/>
      </c>
      <c r="CL45" s="242">
        <f>IF('CF表（奥様働けない時）'!CL$3="","",'CF表（奥様働けない時）'!CL45/10000)</f>
        <v/>
      </c>
      <c r="CM45" s="242">
        <f>IF('CF表（奥様働けない時）'!CM$3="","",'CF表（奥様働けない時）'!CM45/10000)</f>
        <v/>
      </c>
      <c r="CN45" s="242">
        <f>IF('CF表（奥様働けない時）'!CN$3="","",'CF表（奥様働けない時）'!CN45/10000)</f>
        <v/>
      </c>
      <c r="CO45" s="242">
        <f>IF('CF表（奥様働けない時）'!CO$3="","",'CF表（奥様働けない時）'!CO45/10000)</f>
        <v/>
      </c>
      <c r="CP45" s="242">
        <f>IF('CF表（奥様働けない時）'!CP$3="","",'CF表（奥様働けない時）'!CP45/10000)</f>
        <v/>
      </c>
      <c r="CQ45" s="242">
        <f>IF('CF表（奥様働けない時）'!CQ$3="","",'CF表（奥様働けない時）'!CQ45/10000)</f>
        <v/>
      </c>
      <c r="CR45" s="242">
        <f>IF('CF表（奥様働けない時）'!CR$3="","",'CF表（奥様働けない時）'!CR45/10000)</f>
        <v/>
      </c>
      <c r="CS45" s="242">
        <f>IF('CF表（奥様働けない時）'!CS$3="","",'CF表（奥様働けない時）'!CS45/10000)</f>
        <v/>
      </c>
      <c r="CT45" s="242">
        <f>IF('CF表（奥様働けない時）'!CT$3="","",'CF表（奥様働けない時）'!CT45/10000)</f>
        <v/>
      </c>
      <c r="CU45" s="242">
        <f>IF('CF表（奥様働けない時）'!CU$3="","",'CF表（奥様働けない時）'!CU45/10000)</f>
        <v/>
      </c>
      <c r="CV45" s="242">
        <f>IF('CF表（奥様働けない時）'!CV$3="","",'CF表（奥様働けない時）'!CV45/10000)</f>
        <v/>
      </c>
      <c r="CW45" s="242">
        <f>IF('CF表（奥様働けない時）'!CW$3="","",'CF表（奥様働けない時）'!CW45/10000)</f>
        <v/>
      </c>
    </row>
  </sheetData>
  <mergeCells count="1">
    <mergeCell ref="A1:CW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CW4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4" customWidth="1" style="179" min="1" max="1"/>
    <col width="11" customWidth="1" style="179" min="2" max="101"/>
  </cols>
  <sheetData>
    <row r="1" ht="21" customHeight="1" s="180">
      <c r="A1" s="213" t="inlineStr">
        <is>
          <t>CF表（老後1%）（フラット前提 / 年次CF / 左→右に年が進む）</t>
        </is>
      </c>
    </row>
    <row r="2" ht="15" customHeight="1" s="180">
      <c r="A2" s="214" t="inlineStr">
        <is>
          <t>試算終了年</t>
        </is>
      </c>
      <c r="B2" s="179">
        <f>MAX(IF(入力データ!$C$10&lt;&gt;"",YEAR(入力データ!$C$10)+100,0),IF(入力データ!$C$11&lt;&gt;"",YEAR(入力データ!$C$11)+100,0))</f>
        <v/>
      </c>
    </row>
    <row r="3" ht="15" customHeight="1" s="180">
      <c r="A3" s="215" t="inlineStr">
        <is>
          <t>年</t>
        </is>
      </c>
      <c r="B3" s="216">
        <f>IF(YEAR(入力データ!$C$5)&gt;$B$2,"",YEAR(入力データ!$C$5))</f>
        <v/>
      </c>
      <c r="C3" s="216">
        <f>IF(B3="","",IF(B3+1&gt;$B$2,"",B3+1))</f>
        <v/>
      </c>
      <c r="D3" s="216">
        <f>IF(C3="","",IF(C3+1&gt;$B$2,"",C3+1))</f>
        <v/>
      </c>
      <c r="E3" s="216">
        <f>IF(D3="","",IF(D3+1&gt;$B$2,"",D3+1))</f>
        <v/>
      </c>
      <c r="F3" s="216">
        <f>IF(E3="","",IF(E3+1&gt;$B$2,"",E3+1))</f>
        <v/>
      </c>
      <c r="G3" s="216">
        <f>IF(F3="","",IF(F3+1&gt;$B$2,"",F3+1))</f>
        <v/>
      </c>
      <c r="H3" s="216">
        <f>IF(G3="","",IF(G3+1&gt;$B$2,"",G3+1))</f>
        <v/>
      </c>
      <c r="I3" s="216">
        <f>IF(H3="","",IF(H3+1&gt;$B$2,"",H3+1))</f>
        <v/>
      </c>
      <c r="J3" s="216">
        <f>IF(I3="","",IF(I3+1&gt;$B$2,"",I3+1))</f>
        <v/>
      </c>
      <c r="K3" s="216">
        <f>IF(J3="","",IF(J3+1&gt;$B$2,"",J3+1))</f>
        <v/>
      </c>
      <c r="L3" s="216">
        <f>IF(K3="","",IF(K3+1&gt;$B$2,"",K3+1))</f>
        <v/>
      </c>
      <c r="M3" s="216">
        <f>IF(L3="","",IF(L3+1&gt;$B$2,"",L3+1))</f>
        <v/>
      </c>
      <c r="N3" s="216">
        <f>IF(M3="","",IF(M3+1&gt;$B$2,"",M3+1))</f>
        <v/>
      </c>
      <c r="O3" s="216">
        <f>IF(N3="","",IF(N3+1&gt;$B$2,"",N3+1))</f>
        <v/>
      </c>
      <c r="P3" s="216">
        <f>IF(O3="","",IF(O3+1&gt;$B$2,"",O3+1))</f>
        <v/>
      </c>
      <c r="Q3" s="216">
        <f>IF(P3="","",IF(P3+1&gt;$B$2,"",P3+1))</f>
        <v/>
      </c>
      <c r="R3" s="216">
        <f>IF(Q3="","",IF(Q3+1&gt;$B$2,"",Q3+1))</f>
        <v/>
      </c>
      <c r="S3" s="216">
        <f>IF(R3="","",IF(R3+1&gt;$B$2,"",R3+1))</f>
        <v/>
      </c>
      <c r="T3" s="216">
        <f>IF(S3="","",IF(S3+1&gt;$B$2,"",S3+1))</f>
        <v/>
      </c>
      <c r="U3" s="216">
        <f>IF(T3="","",IF(T3+1&gt;$B$2,"",T3+1))</f>
        <v/>
      </c>
      <c r="V3" s="216">
        <f>IF(U3="","",IF(U3+1&gt;$B$2,"",U3+1))</f>
        <v/>
      </c>
      <c r="W3" s="216">
        <f>IF(V3="","",IF(V3+1&gt;$B$2,"",V3+1))</f>
        <v/>
      </c>
      <c r="X3" s="216">
        <f>IF(W3="","",IF(W3+1&gt;$B$2,"",W3+1))</f>
        <v/>
      </c>
      <c r="Y3" s="216">
        <f>IF(X3="","",IF(X3+1&gt;$B$2,"",X3+1))</f>
        <v/>
      </c>
      <c r="Z3" s="216">
        <f>IF(Y3="","",IF(Y3+1&gt;$B$2,"",Y3+1))</f>
        <v/>
      </c>
      <c r="AA3" s="216">
        <f>IF(Z3="","",IF(Z3+1&gt;$B$2,"",Z3+1))</f>
        <v/>
      </c>
      <c r="AB3" s="216">
        <f>IF(AA3="","",IF(AA3+1&gt;$B$2,"",AA3+1))</f>
        <v/>
      </c>
      <c r="AC3" s="216">
        <f>IF(AB3="","",IF(AB3+1&gt;$B$2,"",AB3+1))</f>
        <v/>
      </c>
      <c r="AD3" s="216">
        <f>IF(AC3="","",IF(AC3+1&gt;$B$2,"",AC3+1))</f>
        <v/>
      </c>
      <c r="AE3" s="216">
        <f>IF(AD3="","",IF(AD3+1&gt;$B$2,"",AD3+1))</f>
        <v/>
      </c>
      <c r="AF3" s="216">
        <f>IF(AE3="","",IF(AE3+1&gt;$B$2,"",AE3+1))</f>
        <v/>
      </c>
      <c r="AG3" s="216">
        <f>IF(AF3="","",IF(AF3+1&gt;$B$2,"",AF3+1))</f>
        <v/>
      </c>
      <c r="AH3" s="216">
        <f>IF(AG3="","",IF(AG3+1&gt;$B$2,"",AG3+1))</f>
        <v/>
      </c>
      <c r="AI3" s="216">
        <f>IF(AH3="","",IF(AH3+1&gt;$B$2,"",AH3+1))</f>
        <v/>
      </c>
      <c r="AJ3" s="216">
        <f>IF(AI3="","",IF(AI3+1&gt;$B$2,"",AI3+1))</f>
        <v/>
      </c>
      <c r="AK3" s="216">
        <f>IF(AJ3="","",IF(AJ3+1&gt;$B$2,"",AJ3+1))</f>
        <v/>
      </c>
      <c r="AL3" s="216">
        <f>IF(AK3="","",IF(AK3+1&gt;$B$2,"",AK3+1))</f>
        <v/>
      </c>
      <c r="AM3" s="216">
        <f>IF(AL3="","",IF(AL3+1&gt;$B$2,"",AL3+1))</f>
        <v/>
      </c>
      <c r="AN3" s="216">
        <f>IF(AM3="","",IF(AM3+1&gt;$B$2,"",AM3+1))</f>
        <v/>
      </c>
      <c r="AO3" s="216">
        <f>IF(AN3="","",IF(AN3+1&gt;$B$2,"",AN3+1))</f>
        <v/>
      </c>
      <c r="AP3" s="216">
        <f>IF(AO3="","",IF(AO3+1&gt;$B$2,"",AO3+1))</f>
        <v/>
      </c>
      <c r="AQ3" s="216">
        <f>IF(AP3="","",IF(AP3+1&gt;$B$2,"",AP3+1))</f>
        <v/>
      </c>
      <c r="AR3" s="216">
        <f>IF(AQ3="","",IF(AQ3+1&gt;$B$2,"",AQ3+1))</f>
        <v/>
      </c>
      <c r="AS3" s="216">
        <f>IF(AR3="","",IF(AR3+1&gt;$B$2,"",AR3+1))</f>
        <v/>
      </c>
      <c r="AT3" s="216">
        <f>IF(AS3="","",IF(AS3+1&gt;$B$2,"",AS3+1))</f>
        <v/>
      </c>
      <c r="AU3" s="216">
        <f>IF(AT3="","",IF(AT3+1&gt;$B$2,"",AT3+1))</f>
        <v/>
      </c>
      <c r="AV3" s="216">
        <f>IF(AU3="","",IF(AU3+1&gt;$B$2,"",AU3+1))</f>
        <v/>
      </c>
      <c r="AW3" s="216">
        <f>IF(AV3="","",IF(AV3+1&gt;$B$2,"",AV3+1))</f>
        <v/>
      </c>
      <c r="AX3" s="216">
        <f>IF(AW3="","",IF(AW3+1&gt;$B$2,"",AW3+1))</f>
        <v/>
      </c>
      <c r="AY3" s="216">
        <f>IF(AX3="","",IF(AX3+1&gt;$B$2,"",AX3+1))</f>
        <v/>
      </c>
      <c r="AZ3" s="216">
        <f>IF(AY3="","",IF(AY3+1&gt;$B$2,"",AY3+1))</f>
        <v/>
      </c>
      <c r="BA3" s="216">
        <f>IF(AZ3="","",IF(AZ3+1&gt;$B$2,"",AZ3+1))</f>
        <v/>
      </c>
      <c r="BB3" s="216">
        <f>IF(BA3="","",IF(BA3+1&gt;$B$2,"",BA3+1))</f>
        <v/>
      </c>
      <c r="BC3" s="216">
        <f>IF(BB3="","",IF(BB3+1&gt;$B$2,"",BB3+1))</f>
        <v/>
      </c>
      <c r="BD3" s="216">
        <f>IF(BC3="","",IF(BC3+1&gt;$B$2,"",BC3+1))</f>
        <v/>
      </c>
      <c r="BE3" s="216">
        <f>IF(BD3="","",IF(BD3+1&gt;$B$2,"",BD3+1))</f>
        <v/>
      </c>
      <c r="BF3" s="216">
        <f>IF(BE3="","",IF(BE3+1&gt;$B$2,"",BE3+1))</f>
        <v/>
      </c>
      <c r="BG3" s="216">
        <f>IF(BF3="","",IF(BF3+1&gt;$B$2,"",BF3+1))</f>
        <v/>
      </c>
      <c r="BH3" s="216">
        <f>IF(BG3="","",IF(BG3+1&gt;$B$2,"",BG3+1))</f>
        <v/>
      </c>
      <c r="BI3" s="216">
        <f>IF(BH3="","",IF(BH3+1&gt;$B$2,"",BH3+1))</f>
        <v/>
      </c>
      <c r="BJ3" s="216">
        <f>IF(BI3="","",IF(BI3+1&gt;$B$2,"",BI3+1))</f>
        <v/>
      </c>
      <c r="BK3" s="216">
        <f>IF(BJ3="","",IF(BJ3+1&gt;$B$2,"",BJ3+1))</f>
        <v/>
      </c>
      <c r="BL3" s="216">
        <f>IF(BK3="","",IF(BK3+1&gt;$B$2,"",BK3+1))</f>
        <v/>
      </c>
      <c r="BM3" s="216">
        <f>IF(BL3="","",IF(BL3+1&gt;$B$2,"",BL3+1))</f>
        <v/>
      </c>
      <c r="BN3" s="216">
        <f>IF(BM3="","",IF(BM3+1&gt;$B$2,"",BM3+1))</f>
        <v/>
      </c>
      <c r="BO3" s="216">
        <f>IF(BN3="","",IF(BN3+1&gt;$B$2,"",BN3+1))</f>
        <v/>
      </c>
      <c r="BP3" s="216">
        <f>IF(BO3="","",IF(BO3+1&gt;$B$2,"",BO3+1))</f>
        <v/>
      </c>
      <c r="BQ3" s="216">
        <f>IF(BP3="","",IF(BP3+1&gt;$B$2,"",BP3+1))</f>
        <v/>
      </c>
      <c r="BR3" s="216">
        <f>IF(BQ3="","",IF(BQ3+1&gt;$B$2,"",BQ3+1))</f>
        <v/>
      </c>
      <c r="BS3" s="216">
        <f>IF(BR3="","",IF(BR3+1&gt;$B$2,"",BR3+1))</f>
        <v/>
      </c>
      <c r="BT3" s="216">
        <f>IF(BS3="","",IF(BS3+1&gt;$B$2,"",BS3+1))</f>
        <v/>
      </c>
      <c r="BU3" s="216">
        <f>IF(BT3="","",IF(BT3+1&gt;$B$2,"",BT3+1))</f>
        <v/>
      </c>
      <c r="BV3" s="216">
        <f>IF(BU3="","",IF(BU3+1&gt;$B$2,"",BU3+1))</f>
        <v/>
      </c>
      <c r="BW3" s="216">
        <f>IF(BV3="","",IF(BV3+1&gt;$B$2,"",BV3+1))</f>
        <v/>
      </c>
      <c r="BX3" s="216">
        <f>IF(BW3="","",IF(BW3+1&gt;$B$2,"",BW3+1))</f>
        <v/>
      </c>
      <c r="BY3" s="216">
        <f>IF(BX3="","",IF(BX3+1&gt;$B$2,"",BX3+1))</f>
        <v/>
      </c>
      <c r="BZ3" s="216">
        <f>IF(BY3="","",IF(BY3+1&gt;$B$2,"",BY3+1))</f>
        <v/>
      </c>
      <c r="CA3" s="216">
        <f>IF(BZ3="","",IF(BZ3+1&gt;$B$2,"",BZ3+1))</f>
        <v/>
      </c>
      <c r="CB3" s="216">
        <f>IF(CA3="","",IF(CA3+1&gt;$B$2,"",CA3+1))</f>
        <v/>
      </c>
      <c r="CC3" s="216">
        <f>IF(CB3="","",IF(CB3+1&gt;$B$2,"",CB3+1))</f>
        <v/>
      </c>
      <c r="CD3" s="216">
        <f>IF(CC3="","",IF(CC3+1&gt;$B$2,"",CC3+1))</f>
        <v/>
      </c>
      <c r="CE3" s="216">
        <f>IF(CD3="","",IF(CD3+1&gt;$B$2,"",CD3+1))</f>
        <v/>
      </c>
      <c r="CF3" s="216">
        <f>IF(CE3="","",IF(CE3+1&gt;$B$2,"",CE3+1))</f>
        <v/>
      </c>
      <c r="CG3" s="216">
        <f>IF(CF3="","",IF(CF3+1&gt;$B$2,"",CF3+1))</f>
        <v/>
      </c>
      <c r="CH3" s="216">
        <f>IF(CG3="","",IF(CG3+1&gt;$B$2,"",CG3+1))</f>
        <v/>
      </c>
      <c r="CI3" s="216">
        <f>IF(CH3="","",IF(CH3+1&gt;$B$2,"",CH3+1))</f>
        <v/>
      </c>
      <c r="CJ3" s="216">
        <f>IF(CI3="","",IF(CI3+1&gt;$B$2,"",CI3+1))</f>
        <v/>
      </c>
      <c r="CK3" s="216">
        <f>IF(CJ3="","",IF(CJ3+1&gt;$B$2,"",CJ3+1))</f>
        <v/>
      </c>
      <c r="CL3" s="216">
        <f>IF(CK3="","",IF(CK3+1&gt;$B$2,"",CK3+1))</f>
        <v/>
      </c>
      <c r="CM3" s="216">
        <f>IF(CL3="","",IF(CL3+1&gt;$B$2,"",CL3+1))</f>
        <v/>
      </c>
      <c r="CN3" s="216">
        <f>IF(CM3="","",IF(CM3+1&gt;$B$2,"",CM3+1))</f>
        <v/>
      </c>
      <c r="CO3" s="216">
        <f>IF(CN3="","",IF(CN3+1&gt;$B$2,"",CN3+1))</f>
        <v/>
      </c>
      <c r="CP3" s="216">
        <f>IF(CO3="","",IF(CO3+1&gt;$B$2,"",CO3+1))</f>
        <v/>
      </c>
      <c r="CQ3" s="216">
        <f>IF(CP3="","",IF(CP3+1&gt;$B$2,"",CP3+1))</f>
        <v/>
      </c>
      <c r="CR3" s="216">
        <f>IF(CQ3="","",IF(CQ3+1&gt;$B$2,"",CQ3+1))</f>
        <v/>
      </c>
      <c r="CS3" s="216">
        <f>IF(CR3="","",IF(CR3+1&gt;$B$2,"",CR3+1))</f>
        <v/>
      </c>
      <c r="CT3" s="216">
        <f>IF(CS3="","",IF(CS3+1&gt;$B$2,"",CS3+1))</f>
        <v/>
      </c>
      <c r="CU3" s="216">
        <f>IF(CT3="","",IF(CT3+1&gt;$B$2,"",CT3+1))</f>
        <v/>
      </c>
      <c r="CV3" s="216">
        <f>IF(CU3="","",IF(CU3+1&gt;$B$2,"",CU3+1))</f>
        <v/>
      </c>
      <c r="CW3" s="216">
        <f>IF(CV3="","",IF(CV3+1&gt;$B$2,"",CV3+1))</f>
        <v/>
      </c>
    </row>
    <row r="4" ht="15" customHeight="1" s="180">
      <c r="A4" s="217" t="inlineStr">
        <is>
          <t>ご主人様年齢</t>
        </is>
      </c>
      <c r="B4" s="218">
        <f>IF(B$3="","",IF(入力データ!$C$10="","",YEAR(DATE(B$3,12,31))-YEAR(入力データ!$C$10)-IF(DATE(B$3,12,31)&lt;DATE(B$3,MONTH(入力データ!$C$10),DAY(入力データ!$C$10)),1,0)))</f>
        <v/>
      </c>
      <c r="C4" s="218">
        <f>IF(C$3="","",IF(入力データ!$C$10="","",YEAR(DATE(C$3,12,31))-YEAR(入力データ!$C$10)-IF(DATE(C$3,12,31)&lt;DATE(C$3,MONTH(入力データ!$C$10),DAY(入力データ!$C$10)),1,0)))</f>
        <v/>
      </c>
      <c r="D4" s="218">
        <f>IF(D$3="","",IF(入力データ!$C$10="","",YEAR(DATE(D$3,12,31))-YEAR(入力データ!$C$10)-IF(DATE(D$3,12,31)&lt;DATE(D$3,MONTH(入力データ!$C$10),DAY(入力データ!$C$10)),1,0)))</f>
        <v/>
      </c>
      <c r="E4" s="218">
        <f>IF(E$3="","",IF(入力データ!$C$10="","",YEAR(DATE(E$3,12,31))-YEAR(入力データ!$C$10)-IF(DATE(E$3,12,31)&lt;DATE(E$3,MONTH(入力データ!$C$10),DAY(入力データ!$C$10)),1,0)))</f>
        <v/>
      </c>
      <c r="F4" s="218">
        <f>IF(F$3="","",IF(入力データ!$C$10="","",YEAR(DATE(F$3,12,31))-YEAR(入力データ!$C$10)-IF(DATE(F$3,12,31)&lt;DATE(F$3,MONTH(入力データ!$C$10),DAY(入力データ!$C$10)),1,0)))</f>
        <v/>
      </c>
      <c r="G4" s="218">
        <f>IF(G$3="","",IF(入力データ!$C$10="","",YEAR(DATE(G$3,12,31))-YEAR(入力データ!$C$10)-IF(DATE(G$3,12,31)&lt;DATE(G$3,MONTH(入力データ!$C$10),DAY(入力データ!$C$10)),1,0)))</f>
        <v/>
      </c>
      <c r="H4" s="218">
        <f>IF(H$3="","",IF(入力データ!$C$10="","",YEAR(DATE(H$3,12,31))-YEAR(入力データ!$C$10)-IF(DATE(H$3,12,31)&lt;DATE(H$3,MONTH(入力データ!$C$10),DAY(入力データ!$C$10)),1,0)))</f>
        <v/>
      </c>
      <c r="I4" s="218">
        <f>IF(I$3="","",IF(入力データ!$C$10="","",YEAR(DATE(I$3,12,31))-YEAR(入力データ!$C$10)-IF(DATE(I$3,12,31)&lt;DATE(I$3,MONTH(入力データ!$C$10),DAY(入力データ!$C$10)),1,0)))</f>
        <v/>
      </c>
      <c r="J4" s="218">
        <f>IF(J$3="","",IF(入力データ!$C$10="","",YEAR(DATE(J$3,12,31))-YEAR(入力データ!$C$10)-IF(DATE(J$3,12,31)&lt;DATE(J$3,MONTH(入力データ!$C$10),DAY(入力データ!$C$10)),1,0)))</f>
        <v/>
      </c>
      <c r="K4" s="218">
        <f>IF(K$3="","",IF(入力データ!$C$10="","",YEAR(DATE(K$3,12,31))-YEAR(入力データ!$C$10)-IF(DATE(K$3,12,31)&lt;DATE(K$3,MONTH(入力データ!$C$10),DAY(入力データ!$C$10)),1,0)))</f>
        <v/>
      </c>
      <c r="L4" s="218">
        <f>IF(L$3="","",IF(入力データ!$C$10="","",YEAR(DATE(L$3,12,31))-YEAR(入力データ!$C$10)-IF(DATE(L$3,12,31)&lt;DATE(L$3,MONTH(入力データ!$C$10),DAY(入力データ!$C$10)),1,0)))</f>
        <v/>
      </c>
      <c r="M4" s="218">
        <f>IF(M$3="","",IF(入力データ!$C$10="","",YEAR(DATE(M$3,12,31))-YEAR(入力データ!$C$10)-IF(DATE(M$3,12,31)&lt;DATE(M$3,MONTH(入力データ!$C$10),DAY(入力データ!$C$10)),1,0)))</f>
        <v/>
      </c>
      <c r="N4" s="218">
        <f>IF(N$3="","",IF(入力データ!$C$10="","",YEAR(DATE(N$3,12,31))-YEAR(入力データ!$C$10)-IF(DATE(N$3,12,31)&lt;DATE(N$3,MONTH(入力データ!$C$10),DAY(入力データ!$C$10)),1,0)))</f>
        <v/>
      </c>
      <c r="O4" s="218">
        <f>IF(O$3="","",IF(入力データ!$C$10="","",YEAR(DATE(O$3,12,31))-YEAR(入力データ!$C$10)-IF(DATE(O$3,12,31)&lt;DATE(O$3,MONTH(入力データ!$C$10),DAY(入力データ!$C$10)),1,0)))</f>
        <v/>
      </c>
      <c r="P4" s="218">
        <f>IF(P$3="","",IF(入力データ!$C$10="","",YEAR(DATE(P$3,12,31))-YEAR(入力データ!$C$10)-IF(DATE(P$3,12,31)&lt;DATE(P$3,MONTH(入力データ!$C$10),DAY(入力データ!$C$10)),1,0)))</f>
        <v/>
      </c>
      <c r="Q4" s="218">
        <f>IF(Q$3="","",IF(入力データ!$C$10="","",YEAR(DATE(Q$3,12,31))-YEAR(入力データ!$C$10)-IF(DATE(Q$3,12,31)&lt;DATE(Q$3,MONTH(入力データ!$C$10),DAY(入力データ!$C$10)),1,0)))</f>
        <v/>
      </c>
      <c r="R4" s="218">
        <f>IF(R$3="","",IF(入力データ!$C$10="","",YEAR(DATE(R$3,12,31))-YEAR(入力データ!$C$10)-IF(DATE(R$3,12,31)&lt;DATE(R$3,MONTH(入力データ!$C$10),DAY(入力データ!$C$10)),1,0)))</f>
        <v/>
      </c>
      <c r="S4" s="218">
        <f>IF(S$3="","",IF(入力データ!$C$10="","",YEAR(DATE(S$3,12,31))-YEAR(入力データ!$C$10)-IF(DATE(S$3,12,31)&lt;DATE(S$3,MONTH(入力データ!$C$10),DAY(入力データ!$C$10)),1,0)))</f>
        <v/>
      </c>
      <c r="T4" s="218">
        <f>IF(T$3="","",IF(入力データ!$C$10="","",YEAR(DATE(T$3,12,31))-YEAR(入力データ!$C$10)-IF(DATE(T$3,12,31)&lt;DATE(T$3,MONTH(入力データ!$C$10),DAY(入力データ!$C$10)),1,0)))</f>
        <v/>
      </c>
      <c r="U4" s="218">
        <f>IF(U$3="","",IF(入力データ!$C$10="","",YEAR(DATE(U$3,12,31))-YEAR(入力データ!$C$10)-IF(DATE(U$3,12,31)&lt;DATE(U$3,MONTH(入力データ!$C$10),DAY(入力データ!$C$10)),1,0)))</f>
        <v/>
      </c>
      <c r="V4" s="218">
        <f>IF(V$3="","",IF(入力データ!$C$10="","",YEAR(DATE(V$3,12,31))-YEAR(入力データ!$C$10)-IF(DATE(V$3,12,31)&lt;DATE(V$3,MONTH(入力データ!$C$10),DAY(入力データ!$C$10)),1,0)))</f>
        <v/>
      </c>
      <c r="W4" s="218">
        <f>IF(W$3="","",IF(入力データ!$C$10="","",YEAR(DATE(W$3,12,31))-YEAR(入力データ!$C$10)-IF(DATE(W$3,12,31)&lt;DATE(W$3,MONTH(入力データ!$C$10),DAY(入力データ!$C$10)),1,0)))</f>
        <v/>
      </c>
      <c r="X4" s="218">
        <f>IF(X$3="","",IF(入力データ!$C$10="","",YEAR(DATE(X$3,12,31))-YEAR(入力データ!$C$10)-IF(DATE(X$3,12,31)&lt;DATE(X$3,MONTH(入力データ!$C$10),DAY(入力データ!$C$10)),1,0)))</f>
        <v/>
      </c>
      <c r="Y4" s="218">
        <f>IF(Y$3="","",IF(入力データ!$C$10="","",YEAR(DATE(Y$3,12,31))-YEAR(入力データ!$C$10)-IF(DATE(Y$3,12,31)&lt;DATE(Y$3,MONTH(入力データ!$C$10),DAY(入力データ!$C$10)),1,0)))</f>
        <v/>
      </c>
      <c r="Z4" s="218">
        <f>IF(Z$3="","",IF(入力データ!$C$10="","",YEAR(DATE(Z$3,12,31))-YEAR(入力データ!$C$10)-IF(DATE(Z$3,12,31)&lt;DATE(Z$3,MONTH(入力データ!$C$10),DAY(入力データ!$C$10)),1,0)))</f>
        <v/>
      </c>
      <c r="AA4" s="218">
        <f>IF(AA$3="","",IF(入力データ!$C$10="","",YEAR(DATE(AA$3,12,31))-YEAR(入力データ!$C$10)-IF(DATE(AA$3,12,31)&lt;DATE(AA$3,MONTH(入力データ!$C$10),DAY(入力データ!$C$10)),1,0)))</f>
        <v/>
      </c>
      <c r="AB4" s="218">
        <f>IF(AB$3="","",IF(入力データ!$C$10="","",YEAR(DATE(AB$3,12,31))-YEAR(入力データ!$C$10)-IF(DATE(AB$3,12,31)&lt;DATE(AB$3,MONTH(入力データ!$C$10),DAY(入力データ!$C$10)),1,0)))</f>
        <v/>
      </c>
      <c r="AC4" s="218">
        <f>IF(AC$3="","",IF(入力データ!$C$10="","",YEAR(DATE(AC$3,12,31))-YEAR(入力データ!$C$10)-IF(DATE(AC$3,12,31)&lt;DATE(AC$3,MONTH(入力データ!$C$10),DAY(入力データ!$C$10)),1,0)))</f>
        <v/>
      </c>
      <c r="AD4" s="218">
        <f>IF(AD$3="","",IF(入力データ!$C$10="","",YEAR(DATE(AD$3,12,31))-YEAR(入力データ!$C$10)-IF(DATE(AD$3,12,31)&lt;DATE(AD$3,MONTH(入力データ!$C$10),DAY(入力データ!$C$10)),1,0)))</f>
        <v/>
      </c>
      <c r="AE4" s="218">
        <f>IF(AE$3="","",IF(入力データ!$C$10="","",YEAR(DATE(AE$3,12,31))-YEAR(入力データ!$C$10)-IF(DATE(AE$3,12,31)&lt;DATE(AE$3,MONTH(入力データ!$C$10),DAY(入力データ!$C$10)),1,0)))</f>
        <v/>
      </c>
      <c r="AF4" s="218">
        <f>IF(AF$3="","",IF(入力データ!$C$10="","",YEAR(DATE(AF$3,12,31))-YEAR(入力データ!$C$10)-IF(DATE(AF$3,12,31)&lt;DATE(AF$3,MONTH(入力データ!$C$10),DAY(入力データ!$C$10)),1,0)))</f>
        <v/>
      </c>
      <c r="AG4" s="218">
        <f>IF(AG$3="","",IF(入力データ!$C$10="","",YEAR(DATE(AG$3,12,31))-YEAR(入力データ!$C$10)-IF(DATE(AG$3,12,31)&lt;DATE(AG$3,MONTH(入力データ!$C$10),DAY(入力データ!$C$10)),1,0)))</f>
        <v/>
      </c>
      <c r="AH4" s="218">
        <f>IF(AH$3="","",IF(入力データ!$C$10="","",YEAR(DATE(AH$3,12,31))-YEAR(入力データ!$C$10)-IF(DATE(AH$3,12,31)&lt;DATE(AH$3,MONTH(入力データ!$C$10),DAY(入力データ!$C$10)),1,0)))</f>
        <v/>
      </c>
      <c r="AI4" s="218">
        <f>IF(AI$3="","",IF(入力データ!$C$10="","",YEAR(DATE(AI$3,12,31))-YEAR(入力データ!$C$10)-IF(DATE(AI$3,12,31)&lt;DATE(AI$3,MONTH(入力データ!$C$10),DAY(入力データ!$C$10)),1,0)))</f>
        <v/>
      </c>
      <c r="AJ4" s="218">
        <f>IF(AJ$3="","",IF(入力データ!$C$10="","",YEAR(DATE(AJ$3,12,31))-YEAR(入力データ!$C$10)-IF(DATE(AJ$3,12,31)&lt;DATE(AJ$3,MONTH(入力データ!$C$10),DAY(入力データ!$C$10)),1,0)))</f>
        <v/>
      </c>
      <c r="AK4" s="218">
        <f>IF(AK$3="","",IF(入力データ!$C$10="","",YEAR(DATE(AK$3,12,31))-YEAR(入力データ!$C$10)-IF(DATE(AK$3,12,31)&lt;DATE(AK$3,MONTH(入力データ!$C$10),DAY(入力データ!$C$10)),1,0)))</f>
        <v/>
      </c>
      <c r="AL4" s="218">
        <f>IF(AL$3="","",IF(入力データ!$C$10="","",YEAR(DATE(AL$3,12,31))-YEAR(入力データ!$C$10)-IF(DATE(AL$3,12,31)&lt;DATE(AL$3,MONTH(入力データ!$C$10),DAY(入力データ!$C$10)),1,0)))</f>
        <v/>
      </c>
      <c r="AM4" s="218">
        <f>IF(AM$3="","",IF(入力データ!$C$10="","",YEAR(DATE(AM$3,12,31))-YEAR(入力データ!$C$10)-IF(DATE(AM$3,12,31)&lt;DATE(AM$3,MONTH(入力データ!$C$10),DAY(入力データ!$C$10)),1,0)))</f>
        <v/>
      </c>
      <c r="AN4" s="218">
        <f>IF(AN$3="","",IF(入力データ!$C$10="","",YEAR(DATE(AN$3,12,31))-YEAR(入力データ!$C$10)-IF(DATE(AN$3,12,31)&lt;DATE(AN$3,MONTH(入力データ!$C$10),DAY(入力データ!$C$10)),1,0)))</f>
        <v/>
      </c>
      <c r="AO4" s="218">
        <f>IF(AO$3="","",IF(入力データ!$C$10="","",YEAR(DATE(AO$3,12,31))-YEAR(入力データ!$C$10)-IF(DATE(AO$3,12,31)&lt;DATE(AO$3,MONTH(入力データ!$C$10),DAY(入力データ!$C$10)),1,0)))</f>
        <v/>
      </c>
      <c r="AP4" s="218">
        <f>IF(AP$3="","",IF(入力データ!$C$10="","",YEAR(DATE(AP$3,12,31))-YEAR(入力データ!$C$10)-IF(DATE(AP$3,12,31)&lt;DATE(AP$3,MONTH(入力データ!$C$10),DAY(入力データ!$C$10)),1,0)))</f>
        <v/>
      </c>
      <c r="AQ4" s="218">
        <f>IF(AQ$3="","",IF(入力データ!$C$10="","",YEAR(DATE(AQ$3,12,31))-YEAR(入力データ!$C$10)-IF(DATE(AQ$3,12,31)&lt;DATE(AQ$3,MONTH(入力データ!$C$10),DAY(入力データ!$C$10)),1,0)))</f>
        <v/>
      </c>
      <c r="AR4" s="218">
        <f>IF(AR$3="","",IF(入力データ!$C$10="","",YEAR(DATE(AR$3,12,31))-YEAR(入力データ!$C$10)-IF(DATE(AR$3,12,31)&lt;DATE(AR$3,MONTH(入力データ!$C$10),DAY(入力データ!$C$10)),1,0)))</f>
        <v/>
      </c>
      <c r="AS4" s="218">
        <f>IF(AS$3="","",IF(入力データ!$C$10="","",YEAR(DATE(AS$3,12,31))-YEAR(入力データ!$C$10)-IF(DATE(AS$3,12,31)&lt;DATE(AS$3,MONTH(入力データ!$C$10),DAY(入力データ!$C$10)),1,0)))</f>
        <v/>
      </c>
      <c r="AT4" s="218">
        <f>IF(AT$3="","",IF(入力データ!$C$10="","",YEAR(DATE(AT$3,12,31))-YEAR(入力データ!$C$10)-IF(DATE(AT$3,12,31)&lt;DATE(AT$3,MONTH(入力データ!$C$10),DAY(入力データ!$C$10)),1,0)))</f>
        <v/>
      </c>
      <c r="AU4" s="218">
        <f>IF(AU$3="","",IF(入力データ!$C$10="","",YEAR(DATE(AU$3,12,31))-YEAR(入力データ!$C$10)-IF(DATE(AU$3,12,31)&lt;DATE(AU$3,MONTH(入力データ!$C$10),DAY(入力データ!$C$10)),1,0)))</f>
        <v/>
      </c>
      <c r="AV4" s="218">
        <f>IF(AV$3="","",IF(入力データ!$C$10="","",YEAR(DATE(AV$3,12,31))-YEAR(入力データ!$C$10)-IF(DATE(AV$3,12,31)&lt;DATE(AV$3,MONTH(入力データ!$C$10),DAY(入力データ!$C$10)),1,0)))</f>
        <v/>
      </c>
      <c r="AW4" s="218">
        <f>IF(AW$3="","",IF(入力データ!$C$10="","",YEAR(DATE(AW$3,12,31))-YEAR(入力データ!$C$10)-IF(DATE(AW$3,12,31)&lt;DATE(AW$3,MONTH(入力データ!$C$10),DAY(入力データ!$C$10)),1,0)))</f>
        <v/>
      </c>
      <c r="AX4" s="218">
        <f>IF(AX$3="","",IF(入力データ!$C$10="","",YEAR(DATE(AX$3,12,31))-YEAR(入力データ!$C$10)-IF(DATE(AX$3,12,31)&lt;DATE(AX$3,MONTH(入力データ!$C$10),DAY(入力データ!$C$10)),1,0)))</f>
        <v/>
      </c>
      <c r="AY4" s="218">
        <f>IF(AY$3="","",IF(入力データ!$C$10="","",YEAR(DATE(AY$3,12,31))-YEAR(入力データ!$C$10)-IF(DATE(AY$3,12,31)&lt;DATE(AY$3,MONTH(入力データ!$C$10),DAY(入力データ!$C$10)),1,0)))</f>
        <v/>
      </c>
      <c r="AZ4" s="218">
        <f>IF(AZ$3="","",IF(入力データ!$C$10="","",YEAR(DATE(AZ$3,12,31))-YEAR(入力データ!$C$10)-IF(DATE(AZ$3,12,31)&lt;DATE(AZ$3,MONTH(入力データ!$C$10),DAY(入力データ!$C$10)),1,0)))</f>
        <v/>
      </c>
      <c r="BA4" s="218">
        <f>IF(BA$3="","",IF(入力データ!$C$10="","",YEAR(DATE(BA$3,12,31))-YEAR(入力データ!$C$10)-IF(DATE(BA$3,12,31)&lt;DATE(BA$3,MONTH(入力データ!$C$10),DAY(入力データ!$C$10)),1,0)))</f>
        <v/>
      </c>
      <c r="BB4" s="218">
        <f>IF(BB$3="","",IF(入力データ!$C$10="","",YEAR(DATE(BB$3,12,31))-YEAR(入力データ!$C$10)-IF(DATE(BB$3,12,31)&lt;DATE(BB$3,MONTH(入力データ!$C$10),DAY(入力データ!$C$10)),1,0)))</f>
        <v/>
      </c>
      <c r="BC4" s="218">
        <f>IF(BC$3="","",IF(入力データ!$C$10="","",YEAR(DATE(BC$3,12,31))-YEAR(入力データ!$C$10)-IF(DATE(BC$3,12,31)&lt;DATE(BC$3,MONTH(入力データ!$C$10),DAY(入力データ!$C$10)),1,0)))</f>
        <v/>
      </c>
      <c r="BD4" s="218">
        <f>IF(BD$3="","",IF(入力データ!$C$10="","",YEAR(DATE(BD$3,12,31))-YEAR(入力データ!$C$10)-IF(DATE(BD$3,12,31)&lt;DATE(BD$3,MONTH(入力データ!$C$10),DAY(入力データ!$C$10)),1,0)))</f>
        <v/>
      </c>
      <c r="BE4" s="218">
        <f>IF(BE$3="","",IF(入力データ!$C$10="","",YEAR(DATE(BE$3,12,31))-YEAR(入力データ!$C$10)-IF(DATE(BE$3,12,31)&lt;DATE(BE$3,MONTH(入力データ!$C$10),DAY(入力データ!$C$10)),1,0)))</f>
        <v/>
      </c>
      <c r="BF4" s="218">
        <f>IF(BF$3="","",IF(入力データ!$C$10="","",YEAR(DATE(BF$3,12,31))-YEAR(入力データ!$C$10)-IF(DATE(BF$3,12,31)&lt;DATE(BF$3,MONTH(入力データ!$C$10),DAY(入力データ!$C$10)),1,0)))</f>
        <v/>
      </c>
      <c r="BG4" s="218">
        <f>IF(BG$3="","",IF(入力データ!$C$10="","",YEAR(DATE(BG$3,12,31))-YEAR(入力データ!$C$10)-IF(DATE(BG$3,12,31)&lt;DATE(BG$3,MONTH(入力データ!$C$10),DAY(入力データ!$C$10)),1,0)))</f>
        <v/>
      </c>
      <c r="BH4" s="218">
        <f>IF(BH$3="","",IF(入力データ!$C$10="","",YEAR(DATE(BH$3,12,31))-YEAR(入力データ!$C$10)-IF(DATE(BH$3,12,31)&lt;DATE(BH$3,MONTH(入力データ!$C$10),DAY(入力データ!$C$10)),1,0)))</f>
        <v/>
      </c>
      <c r="BI4" s="218">
        <f>IF(BI$3="","",IF(入力データ!$C$10="","",YEAR(DATE(BI$3,12,31))-YEAR(入力データ!$C$10)-IF(DATE(BI$3,12,31)&lt;DATE(BI$3,MONTH(入力データ!$C$10),DAY(入力データ!$C$10)),1,0)))</f>
        <v/>
      </c>
      <c r="BJ4" s="218">
        <f>IF(BJ$3="","",IF(入力データ!$C$10="","",YEAR(DATE(BJ$3,12,31))-YEAR(入力データ!$C$10)-IF(DATE(BJ$3,12,31)&lt;DATE(BJ$3,MONTH(入力データ!$C$10),DAY(入力データ!$C$10)),1,0)))</f>
        <v/>
      </c>
      <c r="BK4" s="218">
        <f>IF(BK$3="","",IF(入力データ!$C$10="","",YEAR(DATE(BK$3,12,31))-YEAR(入力データ!$C$10)-IF(DATE(BK$3,12,31)&lt;DATE(BK$3,MONTH(入力データ!$C$10),DAY(入力データ!$C$10)),1,0)))</f>
        <v/>
      </c>
      <c r="BL4" s="218">
        <f>IF(BL$3="","",IF(入力データ!$C$10="","",YEAR(DATE(BL$3,12,31))-YEAR(入力データ!$C$10)-IF(DATE(BL$3,12,31)&lt;DATE(BL$3,MONTH(入力データ!$C$10),DAY(入力データ!$C$10)),1,0)))</f>
        <v/>
      </c>
      <c r="BM4" s="218">
        <f>IF(BM$3="","",IF(入力データ!$C$10="","",YEAR(DATE(BM$3,12,31))-YEAR(入力データ!$C$10)-IF(DATE(BM$3,12,31)&lt;DATE(BM$3,MONTH(入力データ!$C$10),DAY(入力データ!$C$10)),1,0)))</f>
        <v/>
      </c>
      <c r="BN4" s="218">
        <f>IF(BN$3="","",IF(入力データ!$C$10="","",YEAR(DATE(BN$3,12,31))-YEAR(入力データ!$C$10)-IF(DATE(BN$3,12,31)&lt;DATE(BN$3,MONTH(入力データ!$C$10),DAY(入力データ!$C$10)),1,0)))</f>
        <v/>
      </c>
      <c r="BO4" s="218">
        <f>IF(BO$3="","",IF(入力データ!$C$10="","",YEAR(DATE(BO$3,12,31))-YEAR(入力データ!$C$10)-IF(DATE(BO$3,12,31)&lt;DATE(BO$3,MONTH(入力データ!$C$10),DAY(入力データ!$C$10)),1,0)))</f>
        <v/>
      </c>
      <c r="BP4" s="218">
        <f>IF(BP$3="","",IF(入力データ!$C$10="","",YEAR(DATE(BP$3,12,31))-YEAR(入力データ!$C$10)-IF(DATE(BP$3,12,31)&lt;DATE(BP$3,MONTH(入力データ!$C$10),DAY(入力データ!$C$10)),1,0)))</f>
        <v/>
      </c>
      <c r="BQ4" s="218">
        <f>IF(BQ$3="","",IF(入力データ!$C$10="","",YEAR(DATE(BQ$3,12,31))-YEAR(入力データ!$C$10)-IF(DATE(BQ$3,12,31)&lt;DATE(BQ$3,MONTH(入力データ!$C$10),DAY(入力データ!$C$10)),1,0)))</f>
        <v/>
      </c>
      <c r="BR4" s="218">
        <f>IF(BR$3="","",IF(入力データ!$C$10="","",YEAR(DATE(BR$3,12,31))-YEAR(入力データ!$C$10)-IF(DATE(BR$3,12,31)&lt;DATE(BR$3,MONTH(入力データ!$C$10),DAY(入力データ!$C$10)),1,0)))</f>
        <v/>
      </c>
      <c r="BS4" s="218">
        <f>IF(BS$3="","",IF(入力データ!$C$10="","",YEAR(DATE(BS$3,12,31))-YEAR(入力データ!$C$10)-IF(DATE(BS$3,12,31)&lt;DATE(BS$3,MONTH(入力データ!$C$10),DAY(入力データ!$C$10)),1,0)))</f>
        <v/>
      </c>
      <c r="BT4" s="218">
        <f>IF(BT$3="","",IF(入力データ!$C$10="","",YEAR(DATE(BT$3,12,31))-YEAR(入力データ!$C$10)-IF(DATE(BT$3,12,31)&lt;DATE(BT$3,MONTH(入力データ!$C$10),DAY(入力データ!$C$10)),1,0)))</f>
        <v/>
      </c>
      <c r="BU4" s="218">
        <f>IF(BU$3="","",IF(入力データ!$C$10="","",YEAR(DATE(BU$3,12,31))-YEAR(入力データ!$C$10)-IF(DATE(BU$3,12,31)&lt;DATE(BU$3,MONTH(入力データ!$C$10),DAY(入力データ!$C$10)),1,0)))</f>
        <v/>
      </c>
      <c r="BV4" s="218">
        <f>IF(BV$3="","",IF(入力データ!$C$10="","",YEAR(DATE(BV$3,12,31))-YEAR(入力データ!$C$10)-IF(DATE(BV$3,12,31)&lt;DATE(BV$3,MONTH(入力データ!$C$10),DAY(入力データ!$C$10)),1,0)))</f>
        <v/>
      </c>
      <c r="BW4" s="218">
        <f>IF(BW$3="","",IF(入力データ!$C$10="","",YEAR(DATE(BW$3,12,31))-YEAR(入力データ!$C$10)-IF(DATE(BW$3,12,31)&lt;DATE(BW$3,MONTH(入力データ!$C$10),DAY(入力データ!$C$10)),1,0)))</f>
        <v/>
      </c>
      <c r="BX4" s="218">
        <f>IF(BX$3="","",IF(入力データ!$C$10="","",YEAR(DATE(BX$3,12,31))-YEAR(入力データ!$C$10)-IF(DATE(BX$3,12,31)&lt;DATE(BX$3,MONTH(入力データ!$C$10),DAY(入力データ!$C$10)),1,0)))</f>
        <v/>
      </c>
      <c r="BY4" s="218">
        <f>IF(BY$3="","",IF(入力データ!$C$10="","",YEAR(DATE(BY$3,12,31))-YEAR(入力データ!$C$10)-IF(DATE(BY$3,12,31)&lt;DATE(BY$3,MONTH(入力データ!$C$10),DAY(入力データ!$C$10)),1,0)))</f>
        <v/>
      </c>
      <c r="BZ4" s="218">
        <f>IF(BZ$3="","",IF(入力データ!$C$10="","",YEAR(DATE(BZ$3,12,31))-YEAR(入力データ!$C$10)-IF(DATE(BZ$3,12,31)&lt;DATE(BZ$3,MONTH(入力データ!$C$10),DAY(入力データ!$C$10)),1,0)))</f>
        <v/>
      </c>
      <c r="CA4" s="218">
        <f>IF(CA$3="","",IF(入力データ!$C$10="","",YEAR(DATE(CA$3,12,31))-YEAR(入力データ!$C$10)-IF(DATE(CA$3,12,31)&lt;DATE(CA$3,MONTH(入力データ!$C$10),DAY(入力データ!$C$10)),1,0)))</f>
        <v/>
      </c>
      <c r="CB4" s="218">
        <f>IF(CB$3="","",IF(入力データ!$C$10="","",YEAR(DATE(CB$3,12,31))-YEAR(入力データ!$C$10)-IF(DATE(CB$3,12,31)&lt;DATE(CB$3,MONTH(入力データ!$C$10),DAY(入力データ!$C$10)),1,0)))</f>
        <v/>
      </c>
      <c r="CC4" s="218">
        <f>IF(CC$3="","",IF(入力データ!$C$10="","",YEAR(DATE(CC$3,12,31))-YEAR(入力データ!$C$10)-IF(DATE(CC$3,12,31)&lt;DATE(CC$3,MONTH(入力データ!$C$10),DAY(入力データ!$C$10)),1,0)))</f>
        <v/>
      </c>
      <c r="CD4" s="218">
        <f>IF(CD$3="","",IF(入力データ!$C$10="","",YEAR(DATE(CD$3,12,31))-YEAR(入力データ!$C$10)-IF(DATE(CD$3,12,31)&lt;DATE(CD$3,MONTH(入力データ!$C$10),DAY(入力データ!$C$10)),1,0)))</f>
        <v/>
      </c>
      <c r="CE4" s="218">
        <f>IF(CE$3="","",IF(入力データ!$C$10="","",YEAR(DATE(CE$3,12,31))-YEAR(入力データ!$C$10)-IF(DATE(CE$3,12,31)&lt;DATE(CE$3,MONTH(入力データ!$C$10),DAY(入力データ!$C$10)),1,0)))</f>
        <v/>
      </c>
      <c r="CF4" s="218">
        <f>IF(CF$3="","",IF(入力データ!$C$10="","",YEAR(DATE(CF$3,12,31))-YEAR(入力データ!$C$10)-IF(DATE(CF$3,12,31)&lt;DATE(CF$3,MONTH(入力データ!$C$10),DAY(入力データ!$C$10)),1,0)))</f>
        <v/>
      </c>
      <c r="CG4" s="218">
        <f>IF(CG$3="","",IF(入力データ!$C$10="","",YEAR(DATE(CG$3,12,31))-YEAR(入力データ!$C$10)-IF(DATE(CG$3,12,31)&lt;DATE(CG$3,MONTH(入力データ!$C$10),DAY(入力データ!$C$10)),1,0)))</f>
        <v/>
      </c>
      <c r="CH4" s="218">
        <f>IF(CH$3="","",IF(入力データ!$C$10="","",YEAR(DATE(CH$3,12,31))-YEAR(入力データ!$C$10)-IF(DATE(CH$3,12,31)&lt;DATE(CH$3,MONTH(入力データ!$C$10),DAY(入力データ!$C$10)),1,0)))</f>
        <v/>
      </c>
      <c r="CI4" s="218">
        <f>IF(CI$3="","",IF(入力データ!$C$10="","",YEAR(DATE(CI$3,12,31))-YEAR(入力データ!$C$10)-IF(DATE(CI$3,12,31)&lt;DATE(CI$3,MONTH(入力データ!$C$10),DAY(入力データ!$C$10)),1,0)))</f>
        <v/>
      </c>
      <c r="CJ4" s="218">
        <f>IF(CJ$3="","",IF(入力データ!$C$10="","",YEAR(DATE(CJ$3,12,31))-YEAR(入力データ!$C$10)-IF(DATE(CJ$3,12,31)&lt;DATE(CJ$3,MONTH(入力データ!$C$10),DAY(入力データ!$C$10)),1,0)))</f>
        <v/>
      </c>
      <c r="CK4" s="218">
        <f>IF(CK$3="","",IF(入力データ!$C$10="","",YEAR(DATE(CK$3,12,31))-YEAR(入力データ!$C$10)-IF(DATE(CK$3,12,31)&lt;DATE(CK$3,MONTH(入力データ!$C$10),DAY(入力データ!$C$10)),1,0)))</f>
        <v/>
      </c>
      <c r="CL4" s="218">
        <f>IF(CL$3="","",IF(入力データ!$C$10="","",YEAR(DATE(CL$3,12,31))-YEAR(入力データ!$C$10)-IF(DATE(CL$3,12,31)&lt;DATE(CL$3,MONTH(入力データ!$C$10),DAY(入力データ!$C$10)),1,0)))</f>
        <v/>
      </c>
      <c r="CM4" s="218">
        <f>IF(CM$3="","",IF(入力データ!$C$10="","",YEAR(DATE(CM$3,12,31))-YEAR(入力データ!$C$10)-IF(DATE(CM$3,12,31)&lt;DATE(CM$3,MONTH(入力データ!$C$10),DAY(入力データ!$C$10)),1,0)))</f>
        <v/>
      </c>
      <c r="CN4" s="218">
        <f>IF(CN$3="","",IF(入力データ!$C$10="","",YEAR(DATE(CN$3,12,31))-YEAR(入力データ!$C$10)-IF(DATE(CN$3,12,31)&lt;DATE(CN$3,MONTH(入力データ!$C$10),DAY(入力データ!$C$10)),1,0)))</f>
        <v/>
      </c>
      <c r="CO4" s="218">
        <f>IF(CO$3="","",IF(入力データ!$C$10="","",YEAR(DATE(CO$3,12,31))-YEAR(入力データ!$C$10)-IF(DATE(CO$3,12,31)&lt;DATE(CO$3,MONTH(入力データ!$C$10),DAY(入力データ!$C$10)),1,0)))</f>
        <v/>
      </c>
      <c r="CP4" s="218">
        <f>IF(CP$3="","",IF(入力データ!$C$10="","",YEAR(DATE(CP$3,12,31))-YEAR(入力データ!$C$10)-IF(DATE(CP$3,12,31)&lt;DATE(CP$3,MONTH(入力データ!$C$10),DAY(入力データ!$C$10)),1,0)))</f>
        <v/>
      </c>
      <c r="CQ4" s="218">
        <f>IF(CQ$3="","",IF(入力データ!$C$10="","",YEAR(DATE(CQ$3,12,31))-YEAR(入力データ!$C$10)-IF(DATE(CQ$3,12,31)&lt;DATE(CQ$3,MONTH(入力データ!$C$10),DAY(入力データ!$C$10)),1,0)))</f>
        <v/>
      </c>
      <c r="CR4" s="218">
        <f>IF(CR$3="","",IF(入力データ!$C$10="","",YEAR(DATE(CR$3,12,31))-YEAR(入力データ!$C$10)-IF(DATE(CR$3,12,31)&lt;DATE(CR$3,MONTH(入力データ!$C$10),DAY(入力データ!$C$10)),1,0)))</f>
        <v/>
      </c>
      <c r="CS4" s="218">
        <f>IF(CS$3="","",IF(入力データ!$C$10="","",YEAR(DATE(CS$3,12,31))-YEAR(入力データ!$C$10)-IF(DATE(CS$3,12,31)&lt;DATE(CS$3,MONTH(入力データ!$C$10),DAY(入力データ!$C$10)),1,0)))</f>
        <v/>
      </c>
      <c r="CT4" s="218">
        <f>IF(CT$3="","",IF(入力データ!$C$10="","",YEAR(DATE(CT$3,12,31))-YEAR(入力データ!$C$10)-IF(DATE(CT$3,12,31)&lt;DATE(CT$3,MONTH(入力データ!$C$10),DAY(入力データ!$C$10)),1,0)))</f>
        <v/>
      </c>
      <c r="CU4" s="218">
        <f>IF(CU$3="","",IF(入力データ!$C$10="","",YEAR(DATE(CU$3,12,31))-YEAR(入力データ!$C$10)-IF(DATE(CU$3,12,31)&lt;DATE(CU$3,MONTH(入力データ!$C$10),DAY(入力データ!$C$10)),1,0)))</f>
        <v/>
      </c>
      <c r="CV4" s="218">
        <f>IF(CV$3="","",IF(入力データ!$C$10="","",YEAR(DATE(CV$3,12,31))-YEAR(入力データ!$C$10)-IF(DATE(CV$3,12,31)&lt;DATE(CV$3,MONTH(入力データ!$C$10),DAY(入力データ!$C$10)),1,0)))</f>
        <v/>
      </c>
      <c r="CW4" s="218">
        <f>IF(CW$3="","",IF(入力データ!$C$10="","",YEAR(DATE(CW$3,12,31))-YEAR(入力データ!$C$10)-IF(DATE(CW$3,12,31)&lt;DATE(CW$3,MONTH(入力データ!$C$10),DAY(入力データ!$C$10)),1,0)))</f>
        <v/>
      </c>
    </row>
    <row r="5" ht="15" customHeight="1" s="180">
      <c r="A5" s="217" t="inlineStr">
        <is>
          <t>奥様年齢</t>
        </is>
      </c>
      <c r="B5" s="218">
        <f>IF(B$3="","",IF(入力データ!$C$11="","",YEAR(DATE(B$3,12,31))-YEAR(入力データ!$C$11)-IF(DATE(B$3,12,31)&lt;DATE(B$3,MONTH(入力データ!$C$11),DAY(入力データ!$C$11)),1,0)))</f>
        <v/>
      </c>
      <c r="C5" s="218">
        <f>IF(C$3="","",IF(入力データ!$C$11="","",YEAR(DATE(C$3,12,31))-YEAR(入力データ!$C$11)-IF(DATE(C$3,12,31)&lt;DATE(C$3,MONTH(入力データ!$C$11),DAY(入力データ!$C$11)),1,0)))</f>
        <v/>
      </c>
      <c r="D5" s="218">
        <f>IF(D$3="","",IF(入力データ!$C$11="","",YEAR(DATE(D$3,12,31))-YEAR(入力データ!$C$11)-IF(DATE(D$3,12,31)&lt;DATE(D$3,MONTH(入力データ!$C$11),DAY(入力データ!$C$11)),1,0)))</f>
        <v/>
      </c>
      <c r="E5" s="218">
        <f>IF(E$3="","",IF(入力データ!$C$11="","",YEAR(DATE(E$3,12,31))-YEAR(入力データ!$C$11)-IF(DATE(E$3,12,31)&lt;DATE(E$3,MONTH(入力データ!$C$11),DAY(入力データ!$C$11)),1,0)))</f>
        <v/>
      </c>
      <c r="F5" s="218">
        <f>IF(F$3="","",IF(入力データ!$C$11="","",YEAR(DATE(F$3,12,31))-YEAR(入力データ!$C$11)-IF(DATE(F$3,12,31)&lt;DATE(F$3,MONTH(入力データ!$C$11),DAY(入力データ!$C$11)),1,0)))</f>
        <v/>
      </c>
      <c r="G5" s="218">
        <f>IF(G$3="","",IF(入力データ!$C$11="","",YEAR(DATE(G$3,12,31))-YEAR(入力データ!$C$11)-IF(DATE(G$3,12,31)&lt;DATE(G$3,MONTH(入力データ!$C$11),DAY(入力データ!$C$11)),1,0)))</f>
        <v/>
      </c>
      <c r="H5" s="218">
        <f>IF(H$3="","",IF(入力データ!$C$11="","",YEAR(DATE(H$3,12,31))-YEAR(入力データ!$C$11)-IF(DATE(H$3,12,31)&lt;DATE(H$3,MONTH(入力データ!$C$11),DAY(入力データ!$C$11)),1,0)))</f>
        <v/>
      </c>
      <c r="I5" s="218">
        <f>IF(I$3="","",IF(入力データ!$C$11="","",YEAR(DATE(I$3,12,31))-YEAR(入力データ!$C$11)-IF(DATE(I$3,12,31)&lt;DATE(I$3,MONTH(入力データ!$C$11),DAY(入力データ!$C$11)),1,0)))</f>
        <v/>
      </c>
      <c r="J5" s="218">
        <f>IF(J$3="","",IF(入力データ!$C$11="","",YEAR(DATE(J$3,12,31))-YEAR(入力データ!$C$11)-IF(DATE(J$3,12,31)&lt;DATE(J$3,MONTH(入力データ!$C$11),DAY(入力データ!$C$11)),1,0)))</f>
        <v/>
      </c>
      <c r="K5" s="218">
        <f>IF(K$3="","",IF(入力データ!$C$11="","",YEAR(DATE(K$3,12,31))-YEAR(入力データ!$C$11)-IF(DATE(K$3,12,31)&lt;DATE(K$3,MONTH(入力データ!$C$11),DAY(入力データ!$C$11)),1,0)))</f>
        <v/>
      </c>
      <c r="L5" s="218">
        <f>IF(L$3="","",IF(入力データ!$C$11="","",YEAR(DATE(L$3,12,31))-YEAR(入力データ!$C$11)-IF(DATE(L$3,12,31)&lt;DATE(L$3,MONTH(入力データ!$C$11),DAY(入力データ!$C$11)),1,0)))</f>
        <v/>
      </c>
      <c r="M5" s="218">
        <f>IF(M$3="","",IF(入力データ!$C$11="","",YEAR(DATE(M$3,12,31))-YEAR(入力データ!$C$11)-IF(DATE(M$3,12,31)&lt;DATE(M$3,MONTH(入力データ!$C$11),DAY(入力データ!$C$11)),1,0)))</f>
        <v/>
      </c>
      <c r="N5" s="218">
        <f>IF(N$3="","",IF(入力データ!$C$11="","",YEAR(DATE(N$3,12,31))-YEAR(入力データ!$C$11)-IF(DATE(N$3,12,31)&lt;DATE(N$3,MONTH(入力データ!$C$11),DAY(入力データ!$C$11)),1,0)))</f>
        <v/>
      </c>
      <c r="O5" s="218">
        <f>IF(O$3="","",IF(入力データ!$C$11="","",YEAR(DATE(O$3,12,31))-YEAR(入力データ!$C$11)-IF(DATE(O$3,12,31)&lt;DATE(O$3,MONTH(入力データ!$C$11),DAY(入力データ!$C$11)),1,0)))</f>
        <v/>
      </c>
      <c r="P5" s="218">
        <f>IF(P$3="","",IF(入力データ!$C$11="","",YEAR(DATE(P$3,12,31))-YEAR(入力データ!$C$11)-IF(DATE(P$3,12,31)&lt;DATE(P$3,MONTH(入力データ!$C$11),DAY(入力データ!$C$11)),1,0)))</f>
        <v/>
      </c>
      <c r="Q5" s="218">
        <f>IF(Q$3="","",IF(入力データ!$C$11="","",YEAR(DATE(Q$3,12,31))-YEAR(入力データ!$C$11)-IF(DATE(Q$3,12,31)&lt;DATE(Q$3,MONTH(入力データ!$C$11),DAY(入力データ!$C$11)),1,0)))</f>
        <v/>
      </c>
      <c r="R5" s="218">
        <f>IF(R$3="","",IF(入力データ!$C$11="","",YEAR(DATE(R$3,12,31))-YEAR(入力データ!$C$11)-IF(DATE(R$3,12,31)&lt;DATE(R$3,MONTH(入力データ!$C$11),DAY(入力データ!$C$11)),1,0)))</f>
        <v/>
      </c>
      <c r="S5" s="218">
        <f>IF(S$3="","",IF(入力データ!$C$11="","",YEAR(DATE(S$3,12,31))-YEAR(入力データ!$C$11)-IF(DATE(S$3,12,31)&lt;DATE(S$3,MONTH(入力データ!$C$11),DAY(入力データ!$C$11)),1,0)))</f>
        <v/>
      </c>
      <c r="T5" s="218">
        <f>IF(T$3="","",IF(入力データ!$C$11="","",YEAR(DATE(T$3,12,31))-YEAR(入力データ!$C$11)-IF(DATE(T$3,12,31)&lt;DATE(T$3,MONTH(入力データ!$C$11),DAY(入力データ!$C$11)),1,0)))</f>
        <v/>
      </c>
      <c r="U5" s="218">
        <f>IF(U$3="","",IF(入力データ!$C$11="","",YEAR(DATE(U$3,12,31))-YEAR(入力データ!$C$11)-IF(DATE(U$3,12,31)&lt;DATE(U$3,MONTH(入力データ!$C$11),DAY(入力データ!$C$11)),1,0)))</f>
        <v/>
      </c>
      <c r="V5" s="218">
        <f>IF(V$3="","",IF(入力データ!$C$11="","",YEAR(DATE(V$3,12,31))-YEAR(入力データ!$C$11)-IF(DATE(V$3,12,31)&lt;DATE(V$3,MONTH(入力データ!$C$11),DAY(入力データ!$C$11)),1,0)))</f>
        <v/>
      </c>
      <c r="W5" s="218">
        <f>IF(W$3="","",IF(入力データ!$C$11="","",YEAR(DATE(W$3,12,31))-YEAR(入力データ!$C$11)-IF(DATE(W$3,12,31)&lt;DATE(W$3,MONTH(入力データ!$C$11),DAY(入力データ!$C$11)),1,0)))</f>
        <v/>
      </c>
      <c r="X5" s="218">
        <f>IF(X$3="","",IF(入力データ!$C$11="","",YEAR(DATE(X$3,12,31))-YEAR(入力データ!$C$11)-IF(DATE(X$3,12,31)&lt;DATE(X$3,MONTH(入力データ!$C$11),DAY(入力データ!$C$11)),1,0)))</f>
        <v/>
      </c>
      <c r="Y5" s="218">
        <f>IF(Y$3="","",IF(入力データ!$C$11="","",YEAR(DATE(Y$3,12,31))-YEAR(入力データ!$C$11)-IF(DATE(Y$3,12,31)&lt;DATE(Y$3,MONTH(入力データ!$C$11),DAY(入力データ!$C$11)),1,0)))</f>
        <v/>
      </c>
      <c r="Z5" s="218">
        <f>IF(Z$3="","",IF(入力データ!$C$11="","",YEAR(DATE(Z$3,12,31))-YEAR(入力データ!$C$11)-IF(DATE(Z$3,12,31)&lt;DATE(Z$3,MONTH(入力データ!$C$11),DAY(入力データ!$C$11)),1,0)))</f>
        <v/>
      </c>
      <c r="AA5" s="218">
        <f>IF(AA$3="","",IF(入力データ!$C$11="","",YEAR(DATE(AA$3,12,31))-YEAR(入力データ!$C$11)-IF(DATE(AA$3,12,31)&lt;DATE(AA$3,MONTH(入力データ!$C$11),DAY(入力データ!$C$11)),1,0)))</f>
        <v/>
      </c>
      <c r="AB5" s="218">
        <f>IF(AB$3="","",IF(入力データ!$C$11="","",YEAR(DATE(AB$3,12,31))-YEAR(入力データ!$C$11)-IF(DATE(AB$3,12,31)&lt;DATE(AB$3,MONTH(入力データ!$C$11),DAY(入力データ!$C$11)),1,0)))</f>
        <v/>
      </c>
      <c r="AC5" s="218">
        <f>IF(AC$3="","",IF(入力データ!$C$11="","",YEAR(DATE(AC$3,12,31))-YEAR(入力データ!$C$11)-IF(DATE(AC$3,12,31)&lt;DATE(AC$3,MONTH(入力データ!$C$11),DAY(入力データ!$C$11)),1,0)))</f>
        <v/>
      </c>
      <c r="AD5" s="218">
        <f>IF(AD$3="","",IF(入力データ!$C$11="","",YEAR(DATE(AD$3,12,31))-YEAR(入力データ!$C$11)-IF(DATE(AD$3,12,31)&lt;DATE(AD$3,MONTH(入力データ!$C$11),DAY(入力データ!$C$11)),1,0)))</f>
        <v/>
      </c>
      <c r="AE5" s="218">
        <f>IF(AE$3="","",IF(入力データ!$C$11="","",YEAR(DATE(AE$3,12,31))-YEAR(入力データ!$C$11)-IF(DATE(AE$3,12,31)&lt;DATE(AE$3,MONTH(入力データ!$C$11),DAY(入力データ!$C$11)),1,0)))</f>
        <v/>
      </c>
      <c r="AF5" s="218">
        <f>IF(AF$3="","",IF(入力データ!$C$11="","",YEAR(DATE(AF$3,12,31))-YEAR(入力データ!$C$11)-IF(DATE(AF$3,12,31)&lt;DATE(AF$3,MONTH(入力データ!$C$11),DAY(入力データ!$C$11)),1,0)))</f>
        <v/>
      </c>
      <c r="AG5" s="218">
        <f>IF(AG$3="","",IF(入力データ!$C$11="","",YEAR(DATE(AG$3,12,31))-YEAR(入力データ!$C$11)-IF(DATE(AG$3,12,31)&lt;DATE(AG$3,MONTH(入力データ!$C$11),DAY(入力データ!$C$11)),1,0)))</f>
        <v/>
      </c>
      <c r="AH5" s="218">
        <f>IF(AH$3="","",IF(入力データ!$C$11="","",YEAR(DATE(AH$3,12,31))-YEAR(入力データ!$C$11)-IF(DATE(AH$3,12,31)&lt;DATE(AH$3,MONTH(入力データ!$C$11),DAY(入力データ!$C$11)),1,0)))</f>
        <v/>
      </c>
      <c r="AI5" s="218">
        <f>IF(AI$3="","",IF(入力データ!$C$11="","",YEAR(DATE(AI$3,12,31))-YEAR(入力データ!$C$11)-IF(DATE(AI$3,12,31)&lt;DATE(AI$3,MONTH(入力データ!$C$11),DAY(入力データ!$C$11)),1,0)))</f>
        <v/>
      </c>
      <c r="AJ5" s="218">
        <f>IF(AJ$3="","",IF(入力データ!$C$11="","",YEAR(DATE(AJ$3,12,31))-YEAR(入力データ!$C$11)-IF(DATE(AJ$3,12,31)&lt;DATE(AJ$3,MONTH(入力データ!$C$11),DAY(入力データ!$C$11)),1,0)))</f>
        <v/>
      </c>
      <c r="AK5" s="218">
        <f>IF(AK$3="","",IF(入力データ!$C$11="","",YEAR(DATE(AK$3,12,31))-YEAR(入力データ!$C$11)-IF(DATE(AK$3,12,31)&lt;DATE(AK$3,MONTH(入力データ!$C$11),DAY(入力データ!$C$11)),1,0)))</f>
        <v/>
      </c>
      <c r="AL5" s="218">
        <f>IF(AL$3="","",IF(入力データ!$C$11="","",YEAR(DATE(AL$3,12,31))-YEAR(入力データ!$C$11)-IF(DATE(AL$3,12,31)&lt;DATE(AL$3,MONTH(入力データ!$C$11),DAY(入力データ!$C$11)),1,0)))</f>
        <v/>
      </c>
      <c r="AM5" s="218">
        <f>IF(AM$3="","",IF(入力データ!$C$11="","",YEAR(DATE(AM$3,12,31))-YEAR(入力データ!$C$11)-IF(DATE(AM$3,12,31)&lt;DATE(AM$3,MONTH(入力データ!$C$11),DAY(入力データ!$C$11)),1,0)))</f>
        <v/>
      </c>
      <c r="AN5" s="218">
        <f>IF(AN$3="","",IF(入力データ!$C$11="","",YEAR(DATE(AN$3,12,31))-YEAR(入力データ!$C$11)-IF(DATE(AN$3,12,31)&lt;DATE(AN$3,MONTH(入力データ!$C$11),DAY(入力データ!$C$11)),1,0)))</f>
        <v/>
      </c>
      <c r="AO5" s="218">
        <f>IF(AO$3="","",IF(入力データ!$C$11="","",YEAR(DATE(AO$3,12,31))-YEAR(入力データ!$C$11)-IF(DATE(AO$3,12,31)&lt;DATE(AO$3,MONTH(入力データ!$C$11),DAY(入力データ!$C$11)),1,0)))</f>
        <v/>
      </c>
      <c r="AP5" s="218">
        <f>IF(AP$3="","",IF(入力データ!$C$11="","",YEAR(DATE(AP$3,12,31))-YEAR(入力データ!$C$11)-IF(DATE(AP$3,12,31)&lt;DATE(AP$3,MONTH(入力データ!$C$11),DAY(入力データ!$C$11)),1,0)))</f>
        <v/>
      </c>
      <c r="AQ5" s="218">
        <f>IF(AQ$3="","",IF(入力データ!$C$11="","",YEAR(DATE(AQ$3,12,31))-YEAR(入力データ!$C$11)-IF(DATE(AQ$3,12,31)&lt;DATE(AQ$3,MONTH(入力データ!$C$11),DAY(入力データ!$C$11)),1,0)))</f>
        <v/>
      </c>
      <c r="AR5" s="218">
        <f>IF(AR$3="","",IF(入力データ!$C$11="","",YEAR(DATE(AR$3,12,31))-YEAR(入力データ!$C$11)-IF(DATE(AR$3,12,31)&lt;DATE(AR$3,MONTH(入力データ!$C$11),DAY(入力データ!$C$11)),1,0)))</f>
        <v/>
      </c>
      <c r="AS5" s="218">
        <f>IF(AS$3="","",IF(入力データ!$C$11="","",YEAR(DATE(AS$3,12,31))-YEAR(入力データ!$C$11)-IF(DATE(AS$3,12,31)&lt;DATE(AS$3,MONTH(入力データ!$C$11),DAY(入力データ!$C$11)),1,0)))</f>
        <v/>
      </c>
      <c r="AT5" s="218">
        <f>IF(AT$3="","",IF(入力データ!$C$11="","",YEAR(DATE(AT$3,12,31))-YEAR(入力データ!$C$11)-IF(DATE(AT$3,12,31)&lt;DATE(AT$3,MONTH(入力データ!$C$11),DAY(入力データ!$C$11)),1,0)))</f>
        <v/>
      </c>
      <c r="AU5" s="218">
        <f>IF(AU$3="","",IF(入力データ!$C$11="","",YEAR(DATE(AU$3,12,31))-YEAR(入力データ!$C$11)-IF(DATE(AU$3,12,31)&lt;DATE(AU$3,MONTH(入力データ!$C$11),DAY(入力データ!$C$11)),1,0)))</f>
        <v/>
      </c>
      <c r="AV5" s="218">
        <f>IF(AV$3="","",IF(入力データ!$C$11="","",YEAR(DATE(AV$3,12,31))-YEAR(入力データ!$C$11)-IF(DATE(AV$3,12,31)&lt;DATE(AV$3,MONTH(入力データ!$C$11),DAY(入力データ!$C$11)),1,0)))</f>
        <v/>
      </c>
      <c r="AW5" s="218">
        <f>IF(AW$3="","",IF(入力データ!$C$11="","",YEAR(DATE(AW$3,12,31))-YEAR(入力データ!$C$11)-IF(DATE(AW$3,12,31)&lt;DATE(AW$3,MONTH(入力データ!$C$11),DAY(入力データ!$C$11)),1,0)))</f>
        <v/>
      </c>
      <c r="AX5" s="218">
        <f>IF(AX$3="","",IF(入力データ!$C$11="","",YEAR(DATE(AX$3,12,31))-YEAR(入力データ!$C$11)-IF(DATE(AX$3,12,31)&lt;DATE(AX$3,MONTH(入力データ!$C$11),DAY(入力データ!$C$11)),1,0)))</f>
        <v/>
      </c>
      <c r="AY5" s="218">
        <f>IF(AY$3="","",IF(入力データ!$C$11="","",YEAR(DATE(AY$3,12,31))-YEAR(入力データ!$C$11)-IF(DATE(AY$3,12,31)&lt;DATE(AY$3,MONTH(入力データ!$C$11),DAY(入力データ!$C$11)),1,0)))</f>
        <v/>
      </c>
      <c r="AZ5" s="218">
        <f>IF(AZ$3="","",IF(入力データ!$C$11="","",YEAR(DATE(AZ$3,12,31))-YEAR(入力データ!$C$11)-IF(DATE(AZ$3,12,31)&lt;DATE(AZ$3,MONTH(入力データ!$C$11),DAY(入力データ!$C$11)),1,0)))</f>
        <v/>
      </c>
      <c r="BA5" s="218">
        <f>IF(BA$3="","",IF(入力データ!$C$11="","",YEAR(DATE(BA$3,12,31))-YEAR(入力データ!$C$11)-IF(DATE(BA$3,12,31)&lt;DATE(BA$3,MONTH(入力データ!$C$11),DAY(入力データ!$C$11)),1,0)))</f>
        <v/>
      </c>
      <c r="BB5" s="218">
        <f>IF(BB$3="","",IF(入力データ!$C$11="","",YEAR(DATE(BB$3,12,31))-YEAR(入力データ!$C$11)-IF(DATE(BB$3,12,31)&lt;DATE(BB$3,MONTH(入力データ!$C$11),DAY(入力データ!$C$11)),1,0)))</f>
        <v/>
      </c>
      <c r="BC5" s="218">
        <f>IF(BC$3="","",IF(入力データ!$C$11="","",YEAR(DATE(BC$3,12,31))-YEAR(入力データ!$C$11)-IF(DATE(BC$3,12,31)&lt;DATE(BC$3,MONTH(入力データ!$C$11),DAY(入力データ!$C$11)),1,0)))</f>
        <v/>
      </c>
      <c r="BD5" s="218">
        <f>IF(BD$3="","",IF(入力データ!$C$11="","",YEAR(DATE(BD$3,12,31))-YEAR(入力データ!$C$11)-IF(DATE(BD$3,12,31)&lt;DATE(BD$3,MONTH(入力データ!$C$11),DAY(入力データ!$C$11)),1,0)))</f>
        <v/>
      </c>
      <c r="BE5" s="218">
        <f>IF(BE$3="","",IF(入力データ!$C$11="","",YEAR(DATE(BE$3,12,31))-YEAR(入力データ!$C$11)-IF(DATE(BE$3,12,31)&lt;DATE(BE$3,MONTH(入力データ!$C$11),DAY(入力データ!$C$11)),1,0)))</f>
        <v/>
      </c>
      <c r="BF5" s="218">
        <f>IF(BF$3="","",IF(入力データ!$C$11="","",YEAR(DATE(BF$3,12,31))-YEAR(入力データ!$C$11)-IF(DATE(BF$3,12,31)&lt;DATE(BF$3,MONTH(入力データ!$C$11),DAY(入力データ!$C$11)),1,0)))</f>
        <v/>
      </c>
      <c r="BG5" s="218">
        <f>IF(BG$3="","",IF(入力データ!$C$11="","",YEAR(DATE(BG$3,12,31))-YEAR(入力データ!$C$11)-IF(DATE(BG$3,12,31)&lt;DATE(BG$3,MONTH(入力データ!$C$11),DAY(入力データ!$C$11)),1,0)))</f>
        <v/>
      </c>
      <c r="BH5" s="218">
        <f>IF(BH$3="","",IF(入力データ!$C$11="","",YEAR(DATE(BH$3,12,31))-YEAR(入力データ!$C$11)-IF(DATE(BH$3,12,31)&lt;DATE(BH$3,MONTH(入力データ!$C$11),DAY(入力データ!$C$11)),1,0)))</f>
        <v/>
      </c>
      <c r="BI5" s="218">
        <f>IF(BI$3="","",IF(入力データ!$C$11="","",YEAR(DATE(BI$3,12,31))-YEAR(入力データ!$C$11)-IF(DATE(BI$3,12,31)&lt;DATE(BI$3,MONTH(入力データ!$C$11),DAY(入力データ!$C$11)),1,0)))</f>
        <v/>
      </c>
      <c r="BJ5" s="218">
        <f>IF(BJ$3="","",IF(入力データ!$C$11="","",YEAR(DATE(BJ$3,12,31))-YEAR(入力データ!$C$11)-IF(DATE(BJ$3,12,31)&lt;DATE(BJ$3,MONTH(入力データ!$C$11),DAY(入力データ!$C$11)),1,0)))</f>
        <v/>
      </c>
      <c r="BK5" s="218">
        <f>IF(BK$3="","",IF(入力データ!$C$11="","",YEAR(DATE(BK$3,12,31))-YEAR(入力データ!$C$11)-IF(DATE(BK$3,12,31)&lt;DATE(BK$3,MONTH(入力データ!$C$11),DAY(入力データ!$C$11)),1,0)))</f>
        <v/>
      </c>
      <c r="BL5" s="218">
        <f>IF(BL$3="","",IF(入力データ!$C$11="","",YEAR(DATE(BL$3,12,31))-YEAR(入力データ!$C$11)-IF(DATE(BL$3,12,31)&lt;DATE(BL$3,MONTH(入力データ!$C$11),DAY(入力データ!$C$11)),1,0)))</f>
        <v/>
      </c>
      <c r="BM5" s="218">
        <f>IF(BM$3="","",IF(入力データ!$C$11="","",YEAR(DATE(BM$3,12,31))-YEAR(入力データ!$C$11)-IF(DATE(BM$3,12,31)&lt;DATE(BM$3,MONTH(入力データ!$C$11),DAY(入力データ!$C$11)),1,0)))</f>
        <v/>
      </c>
      <c r="BN5" s="218">
        <f>IF(BN$3="","",IF(入力データ!$C$11="","",YEAR(DATE(BN$3,12,31))-YEAR(入力データ!$C$11)-IF(DATE(BN$3,12,31)&lt;DATE(BN$3,MONTH(入力データ!$C$11),DAY(入力データ!$C$11)),1,0)))</f>
        <v/>
      </c>
      <c r="BO5" s="218">
        <f>IF(BO$3="","",IF(入力データ!$C$11="","",YEAR(DATE(BO$3,12,31))-YEAR(入力データ!$C$11)-IF(DATE(BO$3,12,31)&lt;DATE(BO$3,MONTH(入力データ!$C$11),DAY(入力データ!$C$11)),1,0)))</f>
        <v/>
      </c>
      <c r="BP5" s="218">
        <f>IF(BP$3="","",IF(入力データ!$C$11="","",YEAR(DATE(BP$3,12,31))-YEAR(入力データ!$C$11)-IF(DATE(BP$3,12,31)&lt;DATE(BP$3,MONTH(入力データ!$C$11),DAY(入力データ!$C$11)),1,0)))</f>
        <v/>
      </c>
      <c r="BQ5" s="218">
        <f>IF(BQ$3="","",IF(入力データ!$C$11="","",YEAR(DATE(BQ$3,12,31))-YEAR(入力データ!$C$11)-IF(DATE(BQ$3,12,31)&lt;DATE(BQ$3,MONTH(入力データ!$C$11),DAY(入力データ!$C$11)),1,0)))</f>
        <v/>
      </c>
      <c r="BR5" s="218">
        <f>IF(BR$3="","",IF(入力データ!$C$11="","",YEAR(DATE(BR$3,12,31))-YEAR(入力データ!$C$11)-IF(DATE(BR$3,12,31)&lt;DATE(BR$3,MONTH(入力データ!$C$11),DAY(入力データ!$C$11)),1,0)))</f>
        <v/>
      </c>
      <c r="BS5" s="218">
        <f>IF(BS$3="","",IF(入力データ!$C$11="","",YEAR(DATE(BS$3,12,31))-YEAR(入力データ!$C$11)-IF(DATE(BS$3,12,31)&lt;DATE(BS$3,MONTH(入力データ!$C$11),DAY(入力データ!$C$11)),1,0)))</f>
        <v/>
      </c>
      <c r="BT5" s="218">
        <f>IF(BT$3="","",IF(入力データ!$C$11="","",YEAR(DATE(BT$3,12,31))-YEAR(入力データ!$C$11)-IF(DATE(BT$3,12,31)&lt;DATE(BT$3,MONTH(入力データ!$C$11),DAY(入力データ!$C$11)),1,0)))</f>
        <v/>
      </c>
      <c r="BU5" s="218">
        <f>IF(BU$3="","",IF(入力データ!$C$11="","",YEAR(DATE(BU$3,12,31))-YEAR(入力データ!$C$11)-IF(DATE(BU$3,12,31)&lt;DATE(BU$3,MONTH(入力データ!$C$11),DAY(入力データ!$C$11)),1,0)))</f>
        <v/>
      </c>
      <c r="BV5" s="218">
        <f>IF(BV$3="","",IF(入力データ!$C$11="","",YEAR(DATE(BV$3,12,31))-YEAR(入力データ!$C$11)-IF(DATE(BV$3,12,31)&lt;DATE(BV$3,MONTH(入力データ!$C$11),DAY(入力データ!$C$11)),1,0)))</f>
        <v/>
      </c>
      <c r="BW5" s="218">
        <f>IF(BW$3="","",IF(入力データ!$C$11="","",YEAR(DATE(BW$3,12,31))-YEAR(入力データ!$C$11)-IF(DATE(BW$3,12,31)&lt;DATE(BW$3,MONTH(入力データ!$C$11),DAY(入力データ!$C$11)),1,0)))</f>
        <v/>
      </c>
      <c r="BX5" s="218">
        <f>IF(BX$3="","",IF(入力データ!$C$11="","",YEAR(DATE(BX$3,12,31))-YEAR(入力データ!$C$11)-IF(DATE(BX$3,12,31)&lt;DATE(BX$3,MONTH(入力データ!$C$11),DAY(入力データ!$C$11)),1,0)))</f>
        <v/>
      </c>
      <c r="BY5" s="218">
        <f>IF(BY$3="","",IF(入力データ!$C$11="","",YEAR(DATE(BY$3,12,31))-YEAR(入力データ!$C$11)-IF(DATE(BY$3,12,31)&lt;DATE(BY$3,MONTH(入力データ!$C$11),DAY(入力データ!$C$11)),1,0)))</f>
        <v/>
      </c>
      <c r="BZ5" s="218">
        <f>IF(BZ$3="","",IF(入力データ!$C$11="","",YEAR(DATE(BZ$3,12,31))-YEAR(入力データ!$C$11)-IF(DATE(BZ$3,12,31)&lt;DATE(BZ$3,MONTH(入力データ!$C$11),DAY(入力データ!$C$11)),1,0)))</f>
        <v/>
      </c>
      <c r="CA5" s="218">
        <f>IF(CA$3="","",IF(入力データ!$C$11="","",YEAR(DATE(CA$3,12,31))-YEAR(入力データ!$C$11)-IF(DATE(CA$3,12,31)&lt;DATE(CA$3,MONTH(入力データ!$C$11),DAY(入力データ!$C$11)),1,0)))</f>
        <v/>
      </c>
      <c r="CB5" s="218">
        <f>IF(CB$3="","",IF(入力データ!$C$11="","",YEAR(DATE(CB$3,12,31))-YEAR(入力データ!$C$11)-IF(DATE(CB$3,12,31)&lt;DATE(CB$3,MONTH(入力データ!$C$11),DAY(入力データ!$C$11)),1,0)))</f>
        <v/>
      </c>
      <c r="CC5" s="218">
        <f>IF(CC$3="","",IF(入力データ!$C$11="","",YEAR(DATE(CC$3,12,31))-YEAR(入力データ!$C$11)-IF(DATE(CC$3,12,31)&lt;DATE(CC$3,MONTH(入力データ!$C$11),DAY(入力データ!$C$11)),1,0)))</f>
        <v/>
      </c>
      <c r="CD5" s="218">
        <f>IF(CD$3="","",IF(入力データ!$C$11="","",YEAR(DATE(CD$3,12,31))-YEAR(入力データ!$C$11)-IF(DATE(CD$3,12,31)&lt;DATE(CD$3,MONTH(入力データ!$C$11),DAY(入力データ!$C$11)),1,0)))</f>
        <v/>
      </c>
      <c r="CE5" s="218">
        <f>IF(CE$3="","",IF(入力データ!$C$11="","",YEAR(DATE(CE$3,12,31))-YEAR(入力データ!$C$11)-IF(DATE(CE$3,12,31)&lt;DATE(CE$3,MONTH(入力データ!$C$11),DAY(入力データ!$C$11)),1,0)))</f>
        <v/>
      </c>
      <c r="CF5" s="218">
        <f>IF(CF$3="","",IF(入力データ!$C$11="","",YEAR(DATE(CF$3,12,31))-YEAR(入力データ!$C$11)-IF(DATE(CF$3,12,31)&lt;DATE(CF$3,MONTH(入力データ!$C$11),DAY(入力データ!$C$11)),1,0)))</f>
        <v/>
      </c>
      <c r="CG5" s="218">
        <f>IF(CG$3="","",IF(入力データ!$C$11="","",YEAR(DATE(CG$3,12,31))-YEAR(入力データ!$C$11)-IF(DATE(CG$3,12,31)&lt;DATE(CG$3,MONTH(入力データ!$C$11),DAY(入力データ!$C$11)),1,0)))</f>
        <v/>
      </c>
      <c r="CH5" s="218">
        <f>IF(CH$3="","",IF(入力データ!$C$11="","",YEAR(DATE(CH$3,12,31))-YEAR(入力データ!$C$11)-IF(DATE(CH$3,12,31)&lt;DATE(CH$3,MONTH(入力データ!$C$11),DAY(入力データ!$C$11)),1,0)))</f>
        <v/>
      </c>
      <c r="CI5" s="218">
        <f>IF(CI$3="","",IF(入力データ!$C$11="","",YEAR(DATE(CI$3,12,31))-YEAR(入力データ!$C$11)-IF(DATE(CI$3,12,31)&lt;DATE(CI$3,MONTH(入力データ!$C$11),DAY(入力データ!$C$11)),1,0)))</f>
        <v/>
      </c>
      <c r="CJ5" s="218">
        <f>IF(CJ$3="","",IF(入力データ!$C$11="","",YEAR(DATE(CJ$3,12,31))-YEAR(入力データ!$C$11)-IF(DATE(CJ$3,12,31)&lt;DATE(CJ$3,MONTH(入力データ!$C$11),DAY(入力データ!$C$11)),1,0)))</f>
        <v/>
      </c>
      <c r="CK5" s="218">
        <f>IF(CK$3="","",IF(入力データ!$C$11="","",YEAR(DATE(CK$3,12,31))-YEAR(入力データ!$C$11)-IF(DATE(CK$3,12,31)&lt;DATE(CK$3,MONTH(入力データ!$C$11),DAY(入力データ!$C$11)),1,0)))</f>
        <v/>
      </c>
      <c r="CL5" s="218">
        <f>IF(CL$3="","",IF(入力データ!$C$11="","",YEAR(DATE(CL$3,12,31))-YEAR(入力データ!$C$11)-IF(DATE(CL$3,12,31)&lt;DATE(CL$3,MONTH(入力データ!$C$11),DAY(入力データ!$C$11)),1,0)))</f>
        <v/>
      </c>
      <c r="CM5" s="218">
        <f>IF(CM$3="","",IF(入力データ!$C$11="","",YEAR(DATE(CM$3,12,31))-YEAR(入力データ!$C$11)-IF(DATE(CM$3,12,31)&lt;DATE(CM$3,MONTH(入力データ!$C$11),DAY(入力データ!$C$11)),1,0)))</f>
        <v/>
      </c>
      <c r="CN5" s="218">
        <f>IF(CN$3="","",IF(入力データ!$C$11="","",YEAR(DATE(CN$3,12,31))-YEAR(入力データ!$C$11)-IF(DATE(CN$3,12,31)&lt;DATE(CN$3,MONTH(入力データ!$C$11),DAY(入力データ!$C$11)),1,0)))</f>
        <v/>
      </c>
      <c r="CO5" s="218">
        <f>IF(CO$3="","",IF(入力データ!$C$11="","",YEAR(DATE(CO$3,12,31))-YEAR(入力データ!$C$11)-IF(DATE(CO$3,12,31)&lt;DATE(CO$3,MONTH(入力データ!$C$11),DAY(入力データ!$C$11)),1,0)))</f>
        <v/>
      </c>
      <c r="CP5" s="218">
        <f>IF(CP$3="","",IF(入力データ!$C$11="","",YEAR(DATE(CP$3,12,31))-YEAR(入力データ!$C$11)-IF(DATE(CP$3,12,31)&lt;DATE(CP$3,MONTH(入力データ!$C$11),DAY(入力データ!$C$11)),1,0)))</f>
        <v/>
      </c>
      <c r="CQ5" s="218">
        <f>IF(CQ$3="","",IF(入力データ!$C$11="","",YEAR(DATE(CQ$3,12,31))-YEAR(入力データ!$C$11)-IF(DATE(CQ$3,12,31)&lt;DATE(CQ$3,MONTH(入力データ!$C$11),DAY(入力データ!$C$11)),1,0)))</f>
        <v/>
      </c>
      <c r="CR5" s="218">
        <f>IF(CR$3="","",IF(入力データ!$C$11="","",YEAR(DATE(CR$3,12,31))-YEAR(入力データ!$C$11)-IF(DATE(CR$3,12,31)&lt;DATE(CR$3,MONTH(入力データ!$C$11),DAY(入力データ!$C$11)),1,0)))</f>
        <v/>
      </c>
      <c r="CS5" s="218">
        <f>IF(CS$3="","",IF(入力データ!$C$11="","",YEAR(DATE(CS$3,12,31))-YEAR(入力データ!$C$11)-IF(DATE(CS$3,12,31)&lt;DATE(CS$3,MONTH(入力データ!$C$11),DAY(入力データ!$C$11)),1,0)))</f>
        <v/>
      </c>
      <c r="CT5" s="218">
        <f>IF(CT$3="","",IF(入力データ!$C$11="","",YEAR(DATE(CT$3,12,31))-YEAR(入力データ!$C$11)-IF(DATE(CT$3,12,31)&lt;DATE(CT$3,MONTH(入力データ!$C$11),DAY(入力データ!$C$11)),1,0)))</f>
        <v/>
      </c>
      <c r="CU5" s="218">
        <f>IF(CU$3="","",IF(入力データ!$C$11="","",YEAR(DATE(CU$3,12,31))-YEAR(入力データ!$C$11)-IF(DATE(CU$3,12,31)&lt;DATE(CU$3,MONTH(入力データ!$C$11),DAY(入力データ!$C$11)),1,0)))</f>
        <v/>
      </c>
      <c r="CV5" s="218">
        <f>IF(CV$3="","",IF(入力データ!$C$11="","",YEAR(DATE(CV$3,12,31))-YEAR(入力データ!$C$11)-IF(DATE(CV$3,12,31)&lt;DATE(CV$3,MONTH(入力データ!$C$11),DAY(入力データ!$C$11)),1,0)))</f>
        <v/>
      </c>
      <c r="CW5" s="218">
        <f>IF(CW$3="","",IF(入力データ!$C$11="","",YEAR(DATE(CW$3,12,31))-YEAR(入力データ!$C$11)-IF(DATE(CW$3,12,31)&lt;DATE(CW$3,MONTH(入力データ!$C$11),DAY(入力データ!$C$11)),1,0)))</f>
        <v/>
      </c>
    </row>
    <row r="6" ht="16.5" customHeight="1" s="180">
      <c r="A6" s="217" t="inlineStr">
        <is>
          <t>子1年齢</t>
        </is>
      </c>
      <c r="B6" s="218">
        <f>IF(B$3="","",IF(入力データ!$C$19="","",YEAR(DATE(B$3,12,31))-YEAR(入力データ!$C$19)-IF(DATE(B$3,12,31)&lt;DATE(B$3,MONTH(入力データ!$C$19),DAY(入力データ!$C$19)),1,0)))</f>
        <v/>
      </c>
      <c r="C6" s="218">
        <f>IF(C$3="","",IF(入力データ!$C$19="","",YEAR(DATE(C$3,12,31))-YEAR(入力データ!$C$19)-IF(DATE(C$3,12,31)&lt;DATE(C$3,MONTH(入力データ!$C$19),DAY(入力データ!$C$19)),1,0)))</f>
        <v/>
      </c>
      <c r="D6" s="218">
        <f>IF(D$3="","",IF(入力データ!$C$19="","",YEAR(DATE(D$3,12,31))-YEAR(入力データ!$C$19)-IF(DATE(D$3,12,31)&lt;DATE(D$3,MONTH(入力データ!$C$19),DAY(入力データ!$C$19)),1,0)))</f>
        <v/>
      </c>
      <c r="E6" s="218">
        <f>IF(E$3="","",IF(入力データ!$C$19="","",YEAR(DATE(E$3,12,31))-YEAR(入力データ!$C$19)-IF(DATE(E$3,12,31)&lt;DATE(E$3,MONTH(入力データ!$C$19),DAY(入力データ!$C$19)),1,0)))</f>
        <v/>
      </c>
      <c r="F6" s="218">
        <f>IF(F$3="","",IF(入力データ!$C$19="","",YEAR(DATE(F$3,12,31))-YEAR(入力データ!$C$19)-IF(DATE(F$3,12,31)&lt;DATE(F$3,MONTH(入力データ!$C$19),DAY(入力データ!$C$19)),1,0)))</f>
        <v/>
      </c>
      <c r="G6" s="218">
        <f>IF(G$3="","",IF(入力データ!$C$19="","",YEAR(DATE(G$3,12,31))-YEAR(入力データ!$C$19)-IF(DATE(G$3,12,31)&lt;DATE(G$3,MONTH(入力データ!$C$19),DAY(入力データ!$C$19)),1,0)))</f>
        <v/>
      </c>
      <c r="H6" s="218">
        <f>IF(H$3="","",IF(入力データ!$C$19="","",YEAR(DATE(H$3,12,31))-YEAR(入力データ!$C$19)-IF(DATE(H$3,12,31)&lt;DATE(H$3,MONTH(入力データ!$C$19),DAY(入力データ!$C$19)),1,0)))</f>
        <v/>
      </c>
      <c r="I6" s="218">
        <f>IF(I$3="","",IF(入力データ!$C$19="","",YEAR(DATE(I$3,12,31))-YEAR(入力データ!$C$19)-IF(DATE(I$3,12,31)&lt;DATE(I$3,MONTH(入力データ!$C$19),DAY(入力データ!$C$19)),1,0)))</f>
        <v/>
      </c>
      <c r="J6" s="218">
        <f>IF(J$3="","",IF(入力データ!$C$19="","",YEAR(DATE(J$3,12,31))-YEAR(入力データ!$C$19)-IF(DATE(J$3,12,31)&lt;DATE(J$3,MONTH(入力データ!$C$19),DAY(入力データ!$C$19)),1,0)))</f>
        <v/>
      </c>
      <c r="K6" s="218">
        <f>IF(K$3="","",IF(入力データ!$C$19="","",YEAR(DATE(K$3,12,31))-YEAR(入力データ!$C$19)-IF(DATE(K$3,12,31)&lt;DATE(K$3,MONTH(入力データ!$C$19),DAY(入力データ!$C$19)),1,0)))</f>
        <v/>
      </c>
      <c r="L6" s="218">
        <f>IF(L$3="","",IF(入力データ!$C$19="","",YEAR(DATE(L$3,12,31))-YEAR(入力データ!$C$19)-IF(DATE(L$3,12,31)&lt;DATE(L$3,MONTH(入力データ!$C$19),DAY(入力データ!$C$19)),1,0)))</f>
        <v/>
      </c>
      <c r="M6" s="218">
        <f>IF(M$3="","",IF(入力データ!$C$19="","",YEAR(DATE(M$3,12,31))-YEAR(入力データ!$C$19)-IF(DATE(M$3,12,31)&lt;DATE(M$3,MONTH(入力データ!$C$19),DAY(入力データ!$C$19)),1,0)))</f>
        <v/>
      </c>
      <c r="N6" s="218">
        <f>IF(N$3="","",IF(入力データ!$C$19="","",YEAR(DATE(N$3,12,31))-YEAR(入力データ!$C$19)-IF(DATE(N$3,12,31)&lt;DATE(N$3,MONTH(入力データ!$C$19),DAY(入力データ!$C$19)),1,0)))</f>
        <v/>
      </c>
      <c r="O6" s="218">
        <f>IF(O$3="","",IF(入力データ!$C$19="","",YEAR(DATE(O$3,12,31))-YEAR(入力データ!$C$19)-IF(DATE(O$3,12,31)&lt;DATE(O$3,MONTH(入力データ!$C$19),DAY(入力データ!$C$19)),1,0)))</f>
        <v/>
      </c>
      <c r="P6" s="218">
        <f>IF(P$3="","",IF(入力データ!$C$19="","",YEAR(DATE(P$3,12,31))-YEAR(入力データ!$C$19)-IF(DATE(P$3,12,31)&lt;DATE(P$3,MONTH(入力データ!$C$19),DAY(入力データ!$C$19)),1,0)))</f>
        <v/>
      </c>
      <c r="Q6" s="218">
        <f>IF(Q$3="","",IF(入力データ!$C$19="","",YEAR(DATE(Q$3,12,31))-YEAR(入力データ!$C$19)-IF(DATE(Q$3,12,31)&lt;DATE(Q$3,MONTH(入力データ!$C$19),DAY(入力データ!$C$19)),1,0)))</f>
        <v/>
      </c>
      <c r="R6" s="218">
        <f>IF(R$3="","",IF(入力データ!$C$19="","",YEAR(DATE(R$3,12,31))-YEAR(入力データ!$C$19)-IF(DATE(R$3,12,31)&lt;DATE(R$3,MONTH(入力データ!$C$19),DAY(入力データ!$C$19)),1,0)))</f>
        <v/>
      </c>
      <c r="S6" s="218">
        <f>IF(S$3="","",IF(入力データ!$C$19="","",YEAR(DATE(S$3,12,31))-YEAR(入力データ!$C$19)-IF(DATE(S$3,12,31)&lt;DATE(S$3,MONTH(入力データ!$C$19),DAY(入力データ!$C$19)),1,0)))</f>
        <v/>
      </c>
      <c r="T6" s="218">
        <f>IF(T$3="","",IF(入力データ!$C$19="","",YEAR(DATE(T$3,12,31))-YEAR(入力データ!$C$19)-IF(DATE(T$3,12,31)&lt;DATE(T$3,MONTH(入力データ!$C$19),DAY(入力データ!$C$19)),1,0)))</f>
        <v/>
      </c>
      <c r="U6" s="218">
        <f>IF(U$3="","",IF(入力データ!$C$19="","",YEAR(DATE(U$3,12,31))-YEAR(入力データ!$C$19)-IF(DATE(U$3,12,31)&lt;DATE(U$3,MONTH(入力データ!$C$19),DAY(入力データ!$C$19)),1,0)))</f>
        <v/>
      </c>
      <c r="V6" s="218">
        <f>IF(V$3="","",IF(入力データ!$C$19="","",YEAR(DATE(V$3,12,31))-YEAR(入力データ!$C$19)-IF(DATE(V$3,12,31)&lt;DATE(V$3,MONTH(入力データ!$C$19),DAY(入力データ!$C$19)),1,0)))</f>
        <v/>
      </c>
      <c r="W6" s="218">
        <f>IF(W$3="","",IF(入力データ!$C$19="","",YEAR(DATE(W$3,12,31))-YEAR(入力データ!$C$19)-IF(DATE(W$3,12,31)&lt;DATE(W$3,MONTH(入力データ!$C$19),DAY(入力データ!$C$19)),1,0)))</f>
        <v/>
      </c>
      <c r="X6" s="218">
        <f>IF(X$3="","",IF(入力データ!$C$19="","",YEAR(DATE(X$3,12,31))-YEAR(入力データ!$C$19)-IF(DATE(X$3,12,31)&lt;DATE(X$3,MONTH(入力データ!$C$19),DAY(入力データ!$C$19)),1,0)))</f>
        <v/>
      </c>
      <c r="Y6" s="218">
        <f>IF(Y$3="","",IF(入力データ!$C$19="","",YEAR(DATE(Y$3,12,31))-YEAR(入力データ!$C$19)-IF(DATE(Y$3,12,31)&lt;DATE(Y$3,MONTH(入力データ!$C$19),DAY(入力データ!$C$19)),1,0)))</f>
        <v/>
      </c>
      <c r="Z6" s="218">
        <f>IF(Z$3="","",IF(入力データ!$C$19="","",YEAR(DATE(Z$3,12,31))-YEAR(入力データ!$C$19)-IF(DATE(Z$3,12,31)&lt;DATE(Z$3,MONTH(入力データ!$C$19),DAY(入力データ!$C$19)),1,0)))</f>
        <v/>
      </c>
      <c r="AA6" s="218">
        <f>IF(AA$3="","",IF(入力データ!$C$19="","",YEAR(DATE(AA$3,12,31))-YEAR(入力データ!$C$19)-IF(DATE(AA$3,12,31)&lt;DATE(AA$3,MONTH(入力データ!$C$19),DAY(入力データ!$C$19)),1,0)))</f>
        <v/>
      </c>
      <c r="AB6" s="218">
        <f>IF(AB$3="","",IF(入力データ!$C$19="","",YEAR(DATE(AB$3,12,31))-YEAR(入力データ!$C$19)-IF(DATE(AB$3,12,31)&lt;DATE(AB$3,MONTH(入力データ!$C$19),DAY(入力データ!$C$19)),1,0)))</f>
        <v/>
      </c>
      <c r="AC6" s="218">
        <f>IF(AC$3="","",IF(入力データ!$C$19="","",YEAR(DATE(AC$3,12,31))-YEAR(入力データ!$C$19)-IF(DATE(AC$3,12,31)&lt;DATE(AC$3,MONTH(入力データ!$C$19),DAY(入力データ!$C$19)),1,0)))</f>
        <v/>
      </c>
      <c r="AD6" s="218">
        <f>IF(AD$3="","",IF(入力データ!$C$19="","",YEAR(DATE(AD$3,12,31))-YEAR(入力データ!$C$19)-IF(DATE(AD$3,12,31)&lt;DATE(AD$3,MONTH(入力データ!$C$19),DAY(入力データ!$C$19)),1,0)))</f>
        <v/>
      </c>
      <c r="AE6" s="218">
        <f>IF(AE$3="","",IF(入力データ!$C$19="","",YEAR(DATE(AE$3,12,31))-YEAR(入力データ!$C$19)-IF(DATE(AE$3,12,31)&lt;DATE(AE$3,MONTH(入力データ!$C$19),DAY(入力データ!$C$19)),1,0)))</f>
        <v/>
      </c>
      <c r="AF6" s="218">
        <f>IF(AF$3="","",IF(入力データ!$C$19="","",YEAR(DATE(AF$3,12,31))-YEAR(入力データ!$C$19)-IF(DATE(AF$3,12,31)&lt;DATE(AF$3,MONTH(入力データ!$C$19),DAY(入力データ!$C$19)),1,0)))</f>
        <v/>
      </c>
      <c r="AG6" s="218">
        <f>IF(AG$3="","",IF(入力データ!$C$19="","",YEAR(DATE(AG$3,12,31))-YEAR(入力データ!$C$19)-IF(DATE(AG$3,12,31)&lt;DATE(AG$3,MONTH(入力データ!$C$19),DAY(入力データ!$C$19)),1,0)))</f>
        <v/>
      </c>
      <c r="AH6" s="218">
        <f>IF(AH$3="","",IF(入力データ!$C$19="","",YEAR(DATE(AH$3,12,31))-YEAR(入力データ!$C$19)-IF(DATE(AH$3,12,31)&lt;DATE(AH$3,MONTH(入力データ!$C$19),DAY(入力データ!$C$19)),1,0)))</f>
        <v/>
      </c>
      <c r="AI6" s="218">
        <f>IF(AI$3="","",IF(入力データ!$C$19="","",YEAR(DATE(AI$3,12,31))-YEAR(入力データ!$C$19)-IF(DATE(AI$3,12,31)&lt;DATE(AI$3,MONTH(入力データ!$C$19),DAY(入力データ!$C$19)),1,0)))</f>
        <v/>
      </c>
      <c r="AJ6" s="218">
        <f>IF(AJ$3="","",IF(入力データ!$C$19="","",YEAR(DATE(AJ$3,12,31))-YEAR(入力データ!$C$19)-IF(DATE(AJ$3,12,31)&lt;DATE(AJ$3,MONTH(入力データ!$C$19),DAY(入力データ!$C$19)),1,0)))</f>
        <v/>
      </c>
      <c r="AK6" s="218">
        <f>IF(AK$3="","",IF(入力データ!$C$19="","",YEAR(DATE(AK$3,12,31))-YEAR(入力データ!$C$19)-IF(DATE(AK$3,12,31)&lt;DATE(AK$3,MONTH(入力データ!$C$19),DAY(入力データ!$C$19)),1,0)))</f>
        <v/>
      </c>
      <c r="AL6" s="218">
        <f>IF(AL$3="","",IF(入力データ!$C$19="","",YEAR(DATE(AL$3,12,31))-YEAR(入力データ!$C$19)-IF(DATE(AL$3,12,31)&lt;DATE(AL$3,MONTH(入力データ!$C$19),DAY(入力データ!$C$19)),1,0)))</f>
        <v/>
      </c>
      <c r="AM6" s="218">
        <f>IF(AM$3="","",IF(入力データ!$C$19="","",YEAR(DATE(AM$3,12,31))-YEAR(入力データ!$C$19)-IF(DATE(AM$3,12,31)&lt;DATE(AM$3,MONTH(入力データ!$C$19),DAY(入力データ!$C$19)),1,0)))</f>
        <v/>
      </c>
      <c r="AN6" s="218">
        <f>IF(AN$3="","",IF(入力データ!$C$19="","",YEAR(DATE(AN$3,12,31))-YEAR(入力データ!$C$19)-IF(DATE(AN$3,12,31)&lt;DATE(AN$3,MONTH(入力データ!$C$19),DAY(入力データ!$C$19)),1,0)))</f>
        <v/>
      </c>
      <c r="AO6" s="218">
        <f>IF(AO$3="","",IF(入力データ!$C$19="","",YEAR(DATE(AO$3,12,31))-YEAR(入力データ!$C$19)-IF(DATE(AO$3,12,31)&lt;DATE(AO$3,MONTH(入力データ!$C$19),DAY(入力データ!$C$19)),1,0)))</f>
        <v/>
      </c>
      <c r="AP6" s="218">
        <f>IF(AP$3="","",IF(入力データ!$C$19="","",YEAR(DATE(AP$3,12,31))-YEAR(入力データ!$C$19)-IF(DATE(AP$3,12,31)&lt;DATE(AP$3,MONTH(入力データ!$C$19),DAY(入力データ!$C$19)),1,0)))</f>
        <v/>
      </c>
      <c r="AQ6" s="218">
        <f>IF(AQ$3="","",IF(入力データ!$C$19="","",YEAR(DATE(AQ$3,12,31))-YEAR(入力データ!$C$19)-IF(DATE(AQ$3,12,31)&lt;DATE(AQ$3,MONTH(入力データ!$C$19),DAY(入力データ!$C$19)),1,0)))</f>
        <v/>
      </c>
      <c r="AR6" s="218">
        <f>IF(AR$3="","",IF(入力データ!$C$19="","",YEAR(DATE(AR$3,12,31))-YEAR(入力データ!$C$19)-IF(DATE(AR$3,12,31)&lt;DATE(AR$3,MONTH(入力データ!$C$19),DAY(入力データ!$C$19)),1,0)))</f>
        <v/>
      </c>
      <c r="AS6" s="218">
        <f>IF(AS$3="","",IF(入力データ!$C$19="","",YEAR(DATE(AS$3,12,31))-YEAR(入力データ!$C$19)-IF(DATE(AS$3,12,31)&lt;DATE(AS$3,MONTH(入力データ!$C$19),DAY(入力データ!$C$19)),1,0)))</f>
        <v/>
      </c>
      <c r="AT6" s="218">
        <f>IF(AT$3="","",IF(入力データ!$C$19="","",YEAR(DATE(AT$3,12,31))-YEAR(入力データ!$C$19)-IF(DATE(AT$3,12,31)&lt;DATE(AT$3,MONTH(入力データ!$C$19),DAY(入力データ!$C$19)),1,0)))</f>
        <v/>
      </c>
      <c r="AU6" s="218">
        <f>IF(AU$3="","",IF(入力データ!$C$19="","",YEAR(DATE(AU$3,12,31))-YEAR(入力データ!$C$19)-IF(DATE(AU$3,12,31)&lt;DATE(AU$3,MONTH(入力データ!$C$19),DAY(入力データ!$C$19)),1,0)))</f>
        <v/>
      </c>
      <c r="AV6" s="218">
        <f>IF(AV$3="","",IF(入力データ!$C$19="","",YEAR(DATE(AV$3,12,31))-YEAR(入力データ!$C$19)-IF(DATE(AV$3,12,31)&lt;DATE(AV$3,MONTH(入力データ!$C$19),DAY(入力データ!$C$19)),1,0)))</f>
        <v/>
      </c>
      <c r="AW6" s="218">
        <f>IF(AW$3="","",IF(入力データ!$C$19="","",YEAR(DATE(AW$3,12,31))-YEAR(入力データ!$C$19)-IF(DATE(AW$3,12,31)&lt;DATE(AW$3,MONTH(入力データ!$C$19),DAY(入力データ!$C$19)),1,0)))</f>
        <v/>
      </c>
      <c r="AX6" s="218">
        <f>IF(AX$3="","",IF(入力データ!$C$19="","",YEAR(DATE(AX$3,12,31))-YEAR(入力データ!$C$19)-IF(DATE(AX$3,12,31)&lt;DATE(AX$3,MONTH(入力データ!$C$19),DAY(入力データ!$C$19)),1,0)))</f>
        <v/>
      </c>
      <c r="AY6" s="218">
        <f>IF(AY$3="","",IF(入力データ!$C$19="","",YEAR(DATE(AY$3,12,31))-YEAR(入力データ!$C$19)-IF(DATE(AY$3,12,31)&lt;DATE(AY$3,MONTH(入力データ!$C$19),DAY(入力データ!$C$19)),1,0)))</f>
        <v/>
      </c>
      <c r="AZ6" s="218">
        <f>IF(AZ$3="","",IF(入力データ!$C$19="","",YEAR(DATE(AZ$3,12,31))-YEAR(入力データ!$C$19)-IF(DATE(AZ$3,12,31)&lt;DATE(AZ$3,MONTH(入力データ!$C$19),DAY(入力データ!$C$19)),1,0)))</f>
        <v/>
      </c>
      <c r="BA6" s="218">
        <f>IF(BA$3="","",IF(入力データ!$C$19="","",YEAR(DATE(BA$3,12,31))-YEAR(入力データ!$C$19)-IF(DATE(BA$3,12,31)&lt;DATE(BA$3,MONTH(入力データ!$C$19),DAY(入力データ!$C$19)),1,0)))</f>
        <v/>
      </c>
      <c r="BB6" s="218">
        <f>IF(BB$3="","",IF(入力データ!$C$19="","",YEAR(DATE(BB$3,12,31))-YEAR(入力データ!$C$19)-IF(DATE(BB$3,12,31)&lt;DATE(BB$3,MONTH(入力データ!$C$19),DAY(入力データ!$C$19)),1,0)))</f>
        <v/>
      </c>
      <c r="BC6" s="218">
        <f>IF(BC$3="","",IF(入力データ!$C$19="","",YEAR(DATE(BC$3,12,31))-YEAR(入力データ!$C$19)-IF(DATE(BC$3,12,31)&lt;DATE(BC$3,MONTH(入力データ!$C$19),DAY(入力データ!$C$19)),1,0)))</f>
        <v/>
      </c>
      <c r="BD6" s="218">
        <f>IF(BD$3="","",IF(入力データ!$C$19="","",YEAR(DATE(BD$3,12,31))-YEAR(入力データ!$C$19)-IF(DATE(BD$3,12,31)&lt;DATE(BD$3,MONTH(入力データ!$C$19),DAY(入力データ!$C$19)),1,0)))</f>
        <v/>
      </c>
      <c r="BE6" s="218">
        <f>IF(BE$3="","",IF(入力データ!$C$19="","",YEAR(DATE(BE$3,12,31))-YEAR(入力データ!$C$19)-IF(DATE(BE$3,12,31)&lt;DATE(BE$3,MONTH(入力データ!$C$19),DAY(入力データ!$C$19)),1,0)))</f>
        <v/>
      </c>
      <c r="BF6" s="218">
        <f>IF(BF$3="","",IF(入力データ!$C$19="","",YEAR(DATE(BF$3,12,31))-YEAR(入力データ!$C$19)-IF(DATE(BF$3,12,31)&lt;DATE(BF$3,MONTH(入力データ!$C$19),DAY(入力データ!$C$19)),1,0)))</f>
        <v/>
      </c>
      <c r="BG6" s="218">
        <f>IF(BG$3="","",IF(入力データ!$C$19="","",YEAR(DATE(BG$3,12,31))-YEAR(入力データ!$C$19)-IF(DATE(BG$3,12,31)&lt;DATE(BG$3,MONTH(入力データ!$C$19),DAY(入力データ!$C$19)),1,0)))</f>
        <v/>
      </c>
      <c r="BH6" s="218">
        <f>IF(BH$3="","",IF(入力データ!$C$19="","",YEAR(DATE(BH$3,12,31))-YEAR(入力データ!$C$19)-IF(DATE(BH$3,12,31)&lt;DATE(BH$3,MONTH(入力データ!$C$19),DAY(入力データ!$C$19)),1,0)))</f>
        <v/>
      </c>
      <c r="BI6" s="218">
        <f>IF(BI$3="","",IF(入力データ!$C$19="","",YEAR(DATE(BI$3,12,31))-YEAR(入力データ!$C$19)-IF(DATE(BI$3,12,31)&lt;DATE(BI$3,MONTH(入力データ!$C$19),DAY(入力データ!$C$19)),1,0)))</f>
        <v/>
      </c>
      <c r="BJ6" s="218">
        <f>IF(BJ$3="","",IF(入力データ!$C$19="","",YEAR(DATE(BJ$3,12,31))-YEAR(入力データ!$C$19)-IF(DATE(BJ$3,12,31)&lt;DATE(BJ$3,MONTH(入力データ!$C$19),DAY(入力データ!$C$19)),1,0)))</f>
        <v/>
      </c>
      <c r="BK6" s="218">
        <f>IF(BK$3="","",IF(入力データ!$C$19="","",YEAR(DATE(BK$3,12,31))-YEAR(入力データ!$C$19)-IF(DATE(BK$3,12,31)&lt;DATE(BK$3,MONTH(入力データ!$C$19),DAY(入力データ!$C$19)),1,0)))</f>
        <v/>
      </c>
      <c r="BL6" s="218">
        <f>IF(BL$3="","",IF(入力データ!$C$19="","",YEAR(DATE(BL$3,12,31))-YEAR(入力データ!$C$19)-IF(DATE(BL$3,12,31)&lt;DATE(BL$3,MONTH(入力データ!$C$19),DAY(入力データ!$C$19)),1,0)))</f>
        <v/>
      </c>
      <c r="BM6" s="218">
        <f>IF(BM$3="","",IF(入力データ!$C$19="","",YEAR(DATE(BM$3,12,31))-YEAR(入力データ!$C$19)-IF(DATE(BM$3,12,31)&lt;DATE(BM$3,MONTH(入力データ!$C$19),DAY(入力データ!$C$19)),1,0)))</f>
        <v/>
      </c>
      <c r="BN6" s="218">
        <f>IF(BN$3="","",IF(入力データ!$C$19="","",YEAR(DATE(BN$3,12,31))-YEAR(入力データ!$C$19)-IF(DATE(BN$3,12,31)&lt;DATE(BN$3,MONTH(入力データ!$C$19),DAY(入力データ!$C$19)),1,0)))</f>
        <v/>
      </c>
      <c r="BO6" s="218">
        <f>IF(BO$3="","",IF(入力データ!$C$19="","",YEAR(DATE(BO$3,12,31))-YEAR(入力データ!$C$19)-IF(DATE(BO$3,12,31)&lt;DATE(BO$3,MONTH(入力データ!$C$19),DAY(入力データ!$C$19)),1,0)))</f>
        <v/>
      </c>
      <c r="BP6" s="218">
        <f>IF(BP$3="","",IF(入力データ!$C$19="","",YEAR(DATE(BP$3,12,31))-YEAR(入力データ!$C$19)-IF(DATE(BP$3,12,31)&lt;DATE(BP$3,MONTH(入力データ!$C$19),DAY(入力データ!$C$19)),1,0)))</f>
        <v/>
      </c>
      <c r="BQ6" s="218">
        <f>IF(BQ$3="","",IF(入力データ!$C$19="","",YEAR(DATE(BQ$3,12,31))-YEAR(入力データ!$C$19)-IF(DATE(BQ$3,12,31)&lt;DATE(BQ$3,MONTH(入力データ!$C$19),DAY(入力データ!$C$19)),1,0)))</f>
        <v/>
      </c>
      <c r="BR6" s="218">
        <f>IF(BR$3="","",IF(入力データ!$C$19="","",YEAR(DATE(BR$3,12,31))-YEAR(入力データ!$C$19)-IF(DATE(BR$3,12,31)&lt;DATE(BR$3,MONTH(入力データ!$C$19),DAY(入力データ!$C$19)),1,0)))</f>
        <v/>
      </c>
      <c r="BS6" s="218">
        <f>IF(BS$3="","",IF(入力データ!$C$19="","",YEAR(DATE(BS$3,12,31))-YEAR(入力データ!$C$19)-IF(DATE(BS$3,12,31)&lt;DATE(BS$3,MONTH(入力データ!$C$19),DAY(入力データ!$C$19)),1,0)))</f>
        <v/>
      </c>
      <c r="BT6" s="218">
        <f>IF(BT$3="","",IF(入力データ!$C$19="","",YEAR(DATE(BT$3,12,31))-YEAR(入力データ!$C$19)-IF(DATE(BT$3,12,31)&lt;DATE(BT$3,MONTH(入力データ!$C$19),DAY(入力データ!$C$19)),1,0)))</f>
        <v/>
      </c>
      <c r="BU6" s="218">
        <f>IF(BU$3="","",IF(入力データ!$C$19="","",YEAR(DATE(BU$3,12,31))-YEAR(入力データ!$C$19)-IF(DATE(BU$3,12,31)&lt;DATE(BU$3,MONTH(入力データ!$C$19),DAY(入力データ!$C$19)),1,0)))</f>
        <v/>
      </c>
      <c r="BV6" s="218">
        <f>IF(BV$3="","",IF(入力データ!$C$19="","",YEAR(DATE(BV$3,12,31))-YEAR(入力データ!$C$19)-IF(DATE(BV$3,12,31)&lt;DATE(BV$3,MONTH(入力データ!$C$19),DAY(入力データ!$C$19)),1,0)))</f>
        <v/>
      </c>
      <c r="BW6" s="218">
        <f>IF(BW$3="","",IF(入力データ!$C$19="","",YEAR(DATE(BW$3,12,31))-YEAR(入力データ!$C$19)-IF(DATE(BW$3,12,31)&lt;DATE(BW$3,MONTH(入力データ!$C$19),DAY(入力データ!$C$19)),1,0)))</f>
        <v/>
      </c>
      <c r="BX6" s="218">
        <f>IF(BX$3="","",IF(入力データ!$C$19="","",YEAR(DATE(BX$3,12,31))-YEAR(入力データ!$C$19)-IF(DATE(BX$3,12,31)&lt;DATE(BX$3,MONTH(入力データ!$C$19),DAY(入力データ!$C$19)),1,0)))</f>
        <v/>
      </c>
      <c r="BY6" s="218">
        <f>IF(BY$3="","",IF(入力データ!$C$19="","",YEAR(DATE(BY$3,12,31))-YEAR(入力データ!$C$19)-IF(DATE(BY$3,12,31)&lt;DATE(BY$3,MONTH(入力データ!$C$19),DAY(入力データ!$C$19)),1,0)))</f>
        <v/>
      </c>
      <c r="BZ6" s="218">
        <f>IF(BZ$3="","",IF(入力データ!$C$19="","",YEAR(DATE(BZ$3,12,31))-YEAR(入力データ!$C$19)-IF(DATE(BZ$3,12,31)&lt;DATE(BZ$3,MONTH(入力データ!$C$19),DAY(入力データ!$C$19)),1,0)))</f>
        <v/>
      </c>
      <c r="CA6" s="218">
        <f>IF(CA$3="","",IF(入力データ!$C$19="","",YEAR(DATE(CA$3,12,31))-YEAR(入力データ!$C$19)-IF(DATE(CA$3,12,31)&lt;DATE(CA$3,MONTH(入力データ!$C$19),DAY(入力データ!$C$19)),1,0)))</f>
        <v/>
      </c>
      <c r="CB6" s="218">
        <f>IF(CB$3="","",IF(入力データ!$C$19="","",YEAR(DATE(CB$3,12,31))-YEAR(入力データ!$C$19)-IF(DATE(CB$3,12,31)&lt;DATE(CB$3,MONTH(入力データ!$C$19),DAY(入力データ!$C$19)),1,0)))</f>
        <v/>
      </c>
      <c r="CC6" s="218">
        <f>IF(CC$3="","",IF(入力データ!$C$19="","",YEAR(DATE(CC$3,12,31))-YEAR(入力データ!$C$19)-IF(DATE(CC$3,12,31)&lt;DATE(CC$3,MONTH(入力データ!$C$19),DAY(入力データ!$C$19)),1,0)))</f>
        <v/>
      </c>
      <c r="CD6" s="218">
        <f>IF(CD$3="","",IF(入力データ!$C$19="","",YEAR(DATE(CD$3,12,31))-YEAR(入力データ!$C$19)-IF(DATE(CD$3,12,31)&lt;DATE(CD$3,MONTH(入力データ!$C$19),DAY(入力データ!$C$19)),1,0)))</f>
        <v/>
      </c>
      <c r="CE6" s="218">
        <f>IF(CE$3="","",IF(入力データ!$C$19="","",YEAR(DATE(CE$3,12,31))-YEAR(入力データ!$C$19)-IF(DATE(CE$3,12,31)&lt;DATE(CE$3,MONTH(入力データ!$C$19),DAY(入力データ!$C$19)),1,0)))</f>
        <v/>
      </c>
      <c r="CF6" s="218">
        <f>IF(CF$3="","",IF(入力データ!$C$19="","",YEAR(DATE(CF$3,12,31))-YEAR(入力データ!$C$19)-IF(DATE(CF$3,12,31)&lt;DATE(CF$3,MONTH(入力データ!$C$19),DAY(入力データ!$C$19)),1,0)))</f>
        <v/>
      </c>
      <c r="CG6" s="218">
        <f>IF(CG$3="","",IF(入力データ!$C$19="","",YEAR(DATE(CG$3,12,31))-YEAR(入力データ!$C$19)-IF(DATE(CG$3,12,31)&lt;DATE(CG$3,MONTH(入力データ!$C$19),DAY(入力データ!$C$19)),1,0)))</f>
        <v/>
      </c>
      <c r="CH6" s="218">
        <f>IF(CH$3="","",IF(入力データ!$C$19="","",YEAR(DATE(CH$3,12,31))-YEAR(入力データ!$C$19)-IF(DATE(CH$3,12,31)&lt;DATE(CH$3,MONTH(入力データ!$C$19),DAY(入力データ!$C$19)),1,0)))</f>
        <v/>
      </c>
      <c r="CI6" s="218">
        <f>IF(CI$3="","",IF(入力データ!$C$19="","",YEAR(DATE(CI$3,12,31))-YEAR(入力データ!$C$19)-IF(DATE(CI$3,12,31)&lt;DATE(CI$3,MONTH(入力データ!$C$19),DAY(入力データ!$C$19)),1,0)))</f>
        <v/>
      </c>
      <c r="CJ6" s="218">
        <f>IF(CJ$3="","",IF(入力データ!$C$19="","",YEAR(DATE(CJ$3,12,31))-YEAR(入力データ!$C$19)-IF(DATE(CJ$3,12,31)&lt;DATE(CJ$3,MONTH(入力データ!$C$19),DAY(入力データ!$C$19)),1,0)))</f>
        <v/>
      </c>
      <c r="CK6" s="218">
        <f>IF(CK$3="","",IF(入力データ!$C$19="","",YEAR(DATE(CK$3,12,31))-YEAR(入力データ!$C$19)-IF(DATE(CK$3,12,31)&lt;DATE(CK$3,MONTH(入力データ!$C$19),DAY(入力データ!$C$19)),1,0)))</f>
        <v/>
      </c>
      <c r="CL6" s="218">
        <f>IF(CL$3="","",IF(入力データ!$C$19="","",YEAR(DATE(CL$3,12,31))-YEAR(入力データ!$C$19)-IF(DATE(CL$3,12,31)&lt;DATE(CL$3,MONTH(入力データ!$C$19),DAY(入力データ!$C$19)),1,0)))</f>
        <v/>
      </c>
      <c r="CM6" s="218">
        <f>IF(CM$3="","",IF(入力データ!$C$19="","",YEAR(DATE(CM$3,12,31))-YEAR(入力データ!$C$19)-IF(DATE(CM$3,12,31)&lt;DATE(CM$3,MONTH(入力データ!$C$19),DAY(入力データ!$C$19)),1,0)))</f>
        <v/>
      </c>
      <c r="CN6" s="218">
        <f>IF(CN$3="","",IF(入力データ!$C$19="","",YEAR(DATE(CN$3,12,31))-YEAR(入力データ!$C$19)-IF(DATE(CN$3,12,31)&lt;DATE(CN$3,MONTH(入力データ!$C$19),DAY(入力データ!$C$19)),1,0)))</f>
        <v/>
      </c>
      <c r="CO6" s="218">
        <f>IF(CO$3="","",IF(入力データ!$C$19="","",YEAR(DATE(CO$3,12,31))-YEAR(入力データ!$C$19)-IF(DATE(CO$3,12,31)&lt;DATE(CO$3,MONTH(入力データ!$C$19),DAY(入力データ!$C$19)),1,0)))</f>
        <v/>
      </c>
      <c r="CP6" s="218">
        <f>IF(CP$3="","",IF(入力データ!$C$19="","",YEAR(DATE(CP$3,12,31))-YEAR(入力データ!$C$19)-IF(DATE(CP$3,12,31)&lt;DATE(CP$3,MONTH(入力データ!$C$19),DAY(入力データ!$C$19)),1,0)))</f>
        <v/>
      </c>
      <c r="CQ6" s="218">
        <f>IF(CQ$3="","",IF(入力データ!$C$19="","",YEAR(DATE(CQ$3,12,31))-YEAR(入力データ!$C$19)-IF(DATE(CQ$3,12,31)&lt;DATE(CQ$3,MONTH(入力データ!$C$19),DAY(入力データ!$C$19)),1,0)))</f>
        <v/>
      </c>
      <c r="CR6" s="218">
        <f>IF(CR$3="","",IF(入力データ!$C$19="","",YEAR(DATE(CR$3,12,31))-YEAR(入力データ!$C$19)-IF(DATE(CR$3,12,31)&lt;DATE(CR$3,MONTH(入力データ!$C$19),DAY(入力データ!$C$19)),1,0)))</f>
        <v/>
      </c>
      <c r="CS6" s="218">
        <f>IF(CS$3="","",IF(入力データ!$C$19="","",YEAR(DATE(CS$3,12,31))-YEAR(入力データ!$C$19)-IF(DATE(CS$3,12,31)&lt;DATE(CS$3,MONTH(入力データ!$C$19),DAY(入力データ!$C$19)),1,0)))</f>
        <v/>
      </c>
      <c r="CT6" s="218">
        <f>IF(CT$3="","",IF(入力データ!$C$19="","",YEAR(DATE(CT$3,12,31))-YEAR(入力データ!$C$19)-IF(DATE(CT$3,12,31)&lt;DATE(CT$3,MONTH(入力データ!$C$19),DAY(入力データ!$C$19)),1,0)))</f>
        <v/>
      </c>
      <c r="CU6" s="218">
        <f>IF(CU$3="","",IF(入力データ!$C$19="","",YEAR(DATE(CU$3,12,31))-YEAR(入力データ!$C$19)-IF(DATE(CU$3,12,31)&lt;DATE(CU$3,MONTH(入力データ!$C$19),DAY(入力データ!$C$19)),1,0)))</f>
        <v/>
      </c>
      <c r="CV6" s="218">
        <f>IF(CV$3="","",IF(入力データ!$C$19="","",YEAR(DATE(CV$3,12,31))-YEAR(入力データ!$C$19)-IF(DATE(CV$3,12,31)&lt;DATE(CV$3,MONTH(入力データ!$C$19),DAY(入力データ!$C$19)),1,0)))</f>
        <v/>
      </c>
      <c r="CW6" s="218">
        <f>IF(CW$3="","",IF(入力データ!$C$19="","",YEAR(DATE(CW$3,12,31))-YEAR(入力データ!$C$19)-IF(DATE(CW$3,12,31)&lt;DATE(CW$3,MONTH(入力データ!$C$19),DAY(入力データ!$C$19)),1,0)))</f>
        <v/>
      </c>
    </row>
    <row r="7" ht="16.5" customHeight="1" s="180">
      <c r="A7" s="217" t="inlineStr">
        <is>
          <t>子2年齢</t>
        </is>
      </c>
      <c r="B7" s="218">
        <f>IF(B$3="","",IF(入力データ!$C$21="","",YEAR(DATE(B$3,12,31))-YEAR(入力データ!$C$21)-IF(DATE(B$3,12,31)&lt;DATE(B$3,MONTH(入力データ!$C$21),DAY(入力データ!$C$21)),1,0)))</f>
        <v/>
      </c>
      <c r="C7" s="218">
        <f>IF(C$3="","",IF(入力データ!$C$21="","",YEAR(DATE(C$3,12,31))-YEAR(入力データ!$C$21)-IF(DATE(C$3,12,31)&lt;DATE(C$3,MONTH(入力データ!$C$21),DAY(入力データ!$C$21)),1,0)))</f>
        <v/>
      </c>
      <c r="D7" s="218">
        <f>IF(D$3="","",IF(入力データ!$C$21="","",YEAR(DATE(D$3,12,31))-YEAR(入力データ!$C$21)-IF(DATE(D$3,12,31)&lt;DATE(D$3,MONTH(入力データ!$C$21),DAY(入力データ!$C$21)),1,0)))</f>
        <v/>
      </c>
      <c r="E7" s="218">
        <f>IF(E$3="","",IF(入力データ!$C$21="","",YEAR(DATE(E$3,12,31))-YEAR(入力データ!$C$21)-IF(DATE(E$3,12,31)&lt;DATE(E$3,MONTH(入力データ!$C$21),DAY(入力データ!$C$21)),1,0)))</f>
        <v/>
      </c>
      <c r="F7" s="218">
        <f>IF(F$3="","",IF(入力データ!$C$21="","",YEAR(DATE(F$3,12,31))-YEAR(入力データ!$C$21)-IF(DATE(F$3,12,31)&lt;DATE(F$3,MONTH(入力データ!$C$21),DAY(入力データ!$C$21)),1,0)))</f>
        <v/>
      </c>
      <c r="G7" s="218">
        <f>IF(G$3="","",IF(入力データ!$C$21="","",YEAR(DATE(G$3,12,31))-YEAR(入力データ!$C$21)-IF(DATE(G$3,12,31)&lt;DATE(G$3,MONTH(入力データ!$C$21),DAY(入力データ!$C$21)),1,0)))</f>
        <v/>
      </c>
      <c r="H7" s="218">
        <f>IF(H$3="","",IF(入力データ!$C$21="","",YEAR(DATE(H$3,12,31))-YEAR(入力データ!$C$21)-IF(DATE(H$3,12,31)&lt;DATE(H$3,MONTH(入力データ!$C$21),DAY(入力データ!$C$21)),1,0)))</f>
        <v/>
      </c>
      <c r="I7" s="218">
        <f>IF(I$3="","",IF(入力データ!$C$21="","",YEAR(DATE(I$3,12,31))-YEAR(入力データ!$C$21)-IF(DATE(I$3,12,31)&lt;DATE(I$3,MONTH(入力データ!$C$21),DAY(入力データ!$C$21)),1,0)))</f>
        <v/>
      </c>
      <c r="J7" s="218">
        <f>IF(J$3="","",IF(入力データ!$C$21="","",YEAR(DATE(J$3,12,31))-YEAR(入力データ!$C$21)-IF(DATE(J$3,12,31)&lt;DATE(J$3,MONTH(入力データ!$C$21),DAY(入力データ!$C$21)),1,0)))</f>
        <v/>
      </c>
      <c r="K7" s="218">
        <f>IF(K$3="","",IF(入力データ!$C$21="","",YEAR(DATE(K$3,12,31))-YEAR(入力データ!$C$21)-IF(DATE(K$3,12,31)&lt;DATE(K$3,MONTH(入力データ!$C$21),DAY(入力データ!$C$21)),1,0)))</f>
        <v/>
      </c>
      <c r="L7" s="218">
        <f>IF(L$3="","",IF(入力データ!$C$21="","",YEAR(DATE(L$3,12,31))-YEAR(入力データ!$C$21)-IF(DATE(L$3,12,31)&lt;DATE(L$3,MONTH(入力データ!$C$21),DAY(入力データ!$C$21)),1,0)))</f>
        <v/>
      </c>
      <c r="M7" s="218">
        <f>IF(M$3="","",IF(入力データ!$C$21="","",YEAR(DATE(M$3,12,31))-YEAR(入力データ!$C$21)-IF(DATE(M$3,12,31)&lt;DATE(M$3,MONTH(入力データ!$C$21),DAY(入力データ!$C$21)),1,0)))</f>
        <v/>
      </c>
      <c r="N7" s="218">
        <f>IF(N$3="","",IF(入力データ!$C$21="","",YEAR(DATE(N$3,12,31))-YEAR(入力データ!$C$21)-IF(DATE(N$3,12,31)&lt;DATE(N$3,MONTH(入力データ!$C$21),DAY(入力データ!$C$21)),1,0)))</f>
        <v/>
      </c>
      <c r="O7" s="218">
        <f>IF(O$3="","",IF(入力データ!$C$21="","",YEAR(DATE(O$3,12,31))-YEAR(入力データ!$C$21)-IF(DATE(O$3,12,31)&lt;DATE(O$3,MONTH(入力データ!$C$21),DAY(入力データ!$C$21)),1,0)))</f>
        <v/>
      </c>
      <c r="P7" s="218">
        <f>IF(P$3="","",IF(入力データ!$C$21="","",YEAR(DATE(P$3,12,31))-YEAR(入力データ!$C$21)-IF(DATE(P$3,12,31)&lt;DATE(P$3,MONTH(入力データ!$C$21),DAY(入力データ!$C$21)),1,0)))</f>
        <v/>
      </c>
      <c r="Q7" s="218">
        <f>IF(Q$3="","",IF(入力データ!$C$21="","",YEAR(DATE(Q$3,12,31))-YEAR(入力データ!$C$21)-IF(DATE(Q$3,12,31)&lt;DATE(Q$3,MONTH(入力データ!$C$21),DAY(入力データ!$C$21)),1,0)))</f>
        <v/>
      </c>
      <c r="R7" s="218">
        <f>IF(R$3="","",IF(入力データ!$C$21="","",YEAR(DATE(R$3,12,31))-YEAR(入力データ!$C$21)-IF(DATE(R$3,12,31)&lt;DATE(R$3,MONTH(入力データ!$C$21),DAY(入力データ!$C$21)),1,0)))</f>
        <v/>
      </c>
      <c r="S7" s="218">
        <f>IF(S$3="","",IF(入力データ!$C$21="","",YEAR(DATE(S$3,12,31))-YEAR(入力データ!$C$21)-IF(DATE(S$3,12,31)&lt;DATE(S$3,MONTH(入力データ!$C$21),DAY(入力データ!$C$21)),1,0)))</f>
        <v/>
      </c>
      <c r="T7" s="218">
        <f>IF(T$3="","",IF(入力データ!$C$21="","",YEAR(DATE(T$3,12,31))-YEAR(入力データ!$C$21)-IF(DATE(T$3,12,31)&lt;DATE(T$3,MONTH(入力データ!$C$21),DAY(入力データ!$C$21)),1,0)))</f>
        <v/>
      </c>
      <c r="U7" s="218">
        <f>IF(U$3="","",IF(入力データ!$C$21="","",YEAR(DATE(U$3,12,31))-YEAR(入力データ!$C$21)-IF(DATE(U$3,12,31)&lt;DATE(U$3,MONTH(入力データ!$C$21),DAY(入力データ!$C$21)),1,0)))</f>
        <v/>
      </c>
      <c r="V7" s="218">
        <f>IF(V$3="","",IF(入力データ!$C$21="","",YEAR(DATE(V$3,12,31))-YEAR(入力データ!$C$21)-IF(DATE(V$3,12,31)&lt;DATE(V$3,MONTH(入力データ!$C$21),DAY(入力データ!$C$21)),1,0)))</f>
        <v/>
      </c>
      <c r="W7" s="218">
        <f>IF(W$3="","",IF(入力データ!$C$21="","",YEAR(DATE(W$3,12,31))-YEAR(入力データ!$C$21)-IF(DATE(W$3,12,31)&lt;DATE(W$3,MONTH(入力データ!$C$21),DAY(入力データ!$C$21)),1,0)))</f>
        <v/>
      </c>
      <c r="X7" s="218">
        <f>IF(X$3="","",IF(入力データ!$C$21="","",YEAR(DATE(X$3,12,31))-YEAR(入力データ!$C$21)-IF(DATE(X$3,12,31)&lt;DATE(X$3,MONTH(入力データ!$C$21),DAY(入力データ!$C$21)),1,0)))</f>
        <v/>
      </c>
      <c r="Y7" s="218">
        <f>IF(Y$3="","",IF(入力データ!$C$21="","",YEAR(DATE(Y$3,12,31))-YEAR(入力データ!$C$21)-IF(DATE(Y$3,12,31)&lt;DATE(Y$3,MONTH(入力データ!$C$21),DAY(入力データ!$C$21)),1,0)))</f>
        <v/>
      </c>
      <c r="Z7" s="218">
        <f>IF(Z$3="","",IF(入力データ!$C$21="","",YEAR(DATE(Z$3,12,31))-YEAR(入力データ!$C$21)-IF(DATE(Z$3,12,31)&lt;DATE(Z$3,MONTH(入力データ!$C$21),DAY(入力データ!$C$21)),1,0)))</f>
        <v/>
      </c>
      <c r="AA7" s="218">
        <f>IF(AA$3="","",IF(入力データ!$C$21="","",YEAR(DATE(AA$3,12,31))-YEAR(入力データ!$C$21)-IF(DATE(AA$3,12,31)&lt;DATE(AA$3,MONTH(入力データ!$C$21),DAY(入力データ!$C$21)),1,0)))</f>
        <v/>
      </c>
      <c r="AB7" s="218">
        <f>IF(AB$3="","",IF(入力データ!$C$21="","",YEAR(DATE(AB$3,12,31))-YEAR(入力データ!$C$21)-IF(DATE(AB$3,12,31)&lt;DATE(AB$3,MONTH(入力データ!$C$21),DAY(入力データ!$C$21)),1,0)))</f>
        <v/>
      </c>
      <c r="AC7" s="218">
        <f>IF(AC$3="","",IF(入力データ!$C$21="","",YEAR(DATE(AC$3,12,31))-YEAR(入力データ!$C$21)-IF(DATE(AC$3,12,31)&lt;DATE(AC$3,MONTH(入力データ!$C$21),DAY(入力データ!$C$21)),1,0)))</f>
        <v/>
      </c>
      <c r="AD7" s="218">
        <f>IF(AD$3="","",IF(入力データ!$C$21="","",YEAR(DATE(AD$3,12,31))-YEAR(入力データ!$C$21)-IF(DATE(AD$3,12,31)&lt;DATE(AD$3,MONTH(入力データ!$C$21),DAY(入力データ!$C$21)),1,0)))</f>
        <v/>
      </c>
      <c r="AE7" s="218">
        <f>IF(AE$3="","",IF(入力データ!$C$21="","",YEAR(DATE(AE$3,12,31))-YEAR(入力データ!$C$21)-IF(DATE(AE$3,12,31)&lt;DATE(AE$3,MONTH(入力データ!$C$21),DAY(入力データ!$C$21)),1,0)))</f>
        <v/>
      </c>
      <c r="AF7" s="218">
        <f>IF(AF$3="","",IF(入力データ!$C$21="","",YEAR(DATE(AF$3,12,31))-YEAR(入力データ!$C$21)-IF(DATE(AF$3,12,31)&lt;DATE(AF$3,MONTH(入力データ!$C$21),DAY(入力データ!$C$21)),1,0)))</f>
        <v/>
      </c>
      <c r="AG7" s="218">
        <f>IF(AG$3="","",IF(入力データ!$C$21="","",YEAR(DATE(AG$3,12,31))-YEAR(入力データ!$C$21)-IF(DATE(AG$3,12,31)&lt;DATE(AG$3,MONTH(入力データ!$C$21),DAY(入力データ!$C$21)),1,0)))</f>
        <v/>
      </c>
      <c r="AH7" s="218">
        <f>IF(AH$3="","",IF(入力データ!$C$21="","",YEAR(DATE(AH$3,12,31))-YEAR(入力データ!$C$21)-IF(DATE(AH$3,12,31)&lt;DATE(AH$3,MONTH(入力データ!$C$21),DAY(入力データ!$C$21)),1,0)))</f>
        <v/>
      </c>
      <c r="AI7" s="218">
        <f>IF(AI$3="","",IF(入力データ!$C$21="","",YEAR(DATE(AI$3,12,31))-YEAR(入力データ!$C$21)-IF(DATE(AI$3,12,31)&lt;DATE(AI$3,MONTH(入力データ!$C$21),DAY(入力データ!$C$21)),1,0)))</f>
        <v/>
      </c>
      <c r="AJ7" s="218">
        <f>IF(AJ$3="","",IF(入力データ!$C$21="","",YEAR(DATE(AJ$3,12,31))-YEAR(入力データ!$C$21)-IF(DATE(AJ$3,12,31)&lt;DATE(AJ$3,MONTH(入力データ!$C$21),DAY(入力データ!$C$21)),1,0)))</f>
        <v/>
      </c>
      <c r="AK7" s="218">
        <f>IF(AK$3="","",IF(入力データ!$C$21="","",YEAR(DATE(AK$3,12,31))-YEAR(入力データ!$C$21)-IF(DATE(AK$3,12,31)&lt;DATE(AK$3,MONTH(入力データ!$C$21),DAY(入力データ!$C$21)),1,0)))</f>
        <v/>
      </c>
      <c r="AL7" s="218">
        <f>IF(AL$3="","",IF(入力データ!$C$21="","",YEAR(DATE(AL$3,12,31))-YEAR(入力データ!$C$21)-IF(DATE(AL$3,12,31)&lt;DATE(AL$3,MONTH(入力データ!$C$21),DAY(入力データ!$C$21)),1,0)))</f>
        <v/>
      </c>
      <c r="AM7" s="218">
        <f>IF(AM$3="","",IF(入力データ!$C$21="","",YEAR(DATE(AM$3,12,31))-YEAR(入力データ!$C$21)-IF(DATE(AM$3,12,31)&lt;DATE(AM$3,MONTH(入力データ!$C$21),DAY(入力データ!$C$21)),1,0)))</f>
        <v/>
      </c>
      <c r="AN7" s="218">
        <f>IF(AN$3="","",IF(入力データ!$C$21="","",YEAR(DATE(AN$3,12,31))-YEAR(入力データ!$C$21)-IF(DATE(AN$3,12,31)&lt;DATE(AN$3,MONTH(入力データ!$C$21),DAY(入力データ!$C$21)),1,0)))</f>
        <v/>
      </c>
      <c r="AO7" s="218">
        <f>IF(AO$3="","",IF(入力データ!$C$21="","",YEAR(DATE(AO$3,12,31))-YEAR(入力データ!$C$21)-IF(DATE(AO$3,12,31)&lt;DATE(AO$3,MONTH(入力データ!$C$21),DAY(入力データ!$C$21)),1,0)))</f>
        <v/>
      </c>
      <c r="AP7" s="218">
        <f>IF(AP$3="","",IF(入力データ!$C$21="","",YEAR(DATE(AP$3,12,31))-YEAR(入力データ!$C$21)-IF(DATE(AP$3,12,31)&lt;DATE(AP$3,MONTH(入力データ!$C$21),DAY(入力データ!$C$21)),1,0)))</f>
        <v/>
      </c>
      <c r="AQ7" s="218">
        <f>IF(AQ$3="","",IF(入力データ!$C$21="","",YEAR(DATE(AQ$3,12,31))-YEAR(入力データ!$C$21)-IF(DATE(AQ$3,12,31)&lt;DATE(AQ$3,MONTH(入力データ!$C$21),DAY(入力データ!$C$21)),1,0)))</f>
        <v/>
      </c>
      <c r="AR7" s="218">
        <f>IF(AR$3="","",IF(入力データ!$C$21="","",YEAR(DATE(AR$3,12,31))-YEAR(入力データ!$C$21)-IF(DATE(AR$3,12,31)&lt;DATE(AR$3,MONTH(入力データ!$C$21),DAY(入力データ!$C$21)),1,0)))</f>
        <v/>
      </c>
      <c r="AS7" s="218">
        <f>IF(AS$3="","",IF(入力データ!$C$21="","",YEAR(DATE(AS$3,12,31))-YEAR(入力データ!$C$21)-IF(DATE(AS$3,12,31)&lt;DATE(AS$3,MONTH(入力データ!$C$21),DAY(入力データ!$C$21)),1,0)))</f>
        <v/>
      </c>
      <c r="AT7" s="218">
        <f>IF(AT$3="","",IF(入力データ!$C$21="","",YEAR(DATE(AT$3,12,31))-YEAR(入力データ!$C$21)-IF(DATE(AT$3,12,31)&lt;DATE(AT$3,MONTH(入力データ!$C$21),DAY(入力データ!$C$21)),1,0)))</f>
        <v/>
      </c>
      <c r="AU7" s="218">
        <f>IF(AU$3="","",IF(入力データ!$C$21="","",YEAR(DATE(AU$3,12,31))-YEAR(入力データ!$C$21)-IF(DATE(AU$3,12,31)&lt;DATE(AU$3,MONTH(入力データ!$C$21),DAY(入力データ!$C$21)),1,0)))</f>
        <v/>
      </c>
      <c r="AV7" s="218">
        <f>IF(AV$3="","",IF(入力データ!$C$21="","",YEAR(DATE(AV$3,12,31))-YEAR(入力データ!$C$21)-IF(DATE(AV$3,12,31)&lt;DATE(AV$3,MONTH(入力データ!$C$21),DAY(入力データ!$C$21)),1,0)))</f>
        <v/>
      </c>
      <c r="AW7" s="218">
        <f>IF(AW$3="","",IF(入力データ!$C$21="","",YEAR(DATE(AW$3,12,31))-YEAR(入力データ!$C$21)-IF(DATE(AW$3,12,31)&lt;DATE(AW$3,MONTH(入力データ!$C$21),DAY(入力データ!$C$21)),1,0)))</f>
        <v/>
      </c>
      <c r="AX7" s="218">
        <f>IF(AX$3="","",IF(入力データ!$C$21="","",YEAR(DATE(AX$3,12,31))-YEAR(入力データ!$C$21)-IF(DATE(AX$3,12,31)&lt;DATE(AX$3,MONTH(入力データ!$C$21),DAY(入力データ!$C$21)),1,0)))</f>
        <v/>
      </c>
      <c r="AY7" s="218">
        <f>IF(AY$3="","",IF(入力データ!$C$21="","",YEAR(DATE(AY$3,12,31))-YEAR(入力データ!$C$21)-IF(DATE(AY$3,12,31)&lt;DATE(AY$3,MONTH(入力データ!$C$21),DAY(入力データ!$C$21)),1,0)))</f>
        <v/>
      </c>
      <c r="AZ7" s="218">
        <f>IF(AZ$3="","",IF(入力データ!$C$21="","",YEAR(DATE(AZ$3,12,31))-YEAR(入力データ!$C$21)-IF(DATE(AZ$3,12,31)&lt;DATE(AZ$3,MONTH(入力データ!$C$21),DAY(入力データ!$C$21)),1,0)))</f>
        <v/>
      </c>
      <c r="BA7" s="218">
        <f>IF(BA$3="","",IF(入力データ!$C$21="","",YEAR(DATE(BA$3,12,31))-YEAR(入力データ!$C$21)-IF(DATE(BA$3,12,31)&lt;DATE(BA$3,MONTH(入力データ!$C$21),DAY(入力データ!$C$21)),1,0)))</f>
        <v/>
      </c>
      <c r="BB7" s="218">
        <f>IF(BB$3="","",IF(入力データ!$C$21="","",YEAR(DATE(BB$3,12,31))-YEAR(入力データ!$C$21)-IF(DATE(BB$3,12,31)&lt;DATE(BB$3,MONTH(入力データ!$C$21),DAY(入力データ!$C$21)),1,0)))</f>
        <v/>
      </c>
      <c r="BC7" s="218">
        <f>IF(BC$3="","",IF(入力データ!$C$21="","",YEAR(DATE(BC$3,12,31))-YEAR(入力データ!$C$21)-IF(DATE(BC$3,12,31)&lt;DATE(BC$3,MONTH(入力データ!$C$21),DAY(入力データ!$C$21)),1,0)))</f>
        <v/>
      </c>
      <c r="BD7" s="218">
        <f>IF(BD$3="","",IF(入力データ!$C$21="","",YEAR(DATE(BD$3,12,31))-YEAR(入力データ!$C$21)-IF(DATE(BD$3,12,31)&lt;DATE(BD$3,MONTH(入力データ!$C$21),DAY(入力データ!$C$21)),1,0)))</f>
        <v/>
      </c>
      <c r="BE7" s="218">
        <f>IF(BE$3="","",IF(入力データ!$C$21="","",YEAR(DATE(BE$3,12,31))-YEAR(入力データ!$C$21)-IF(DATE(BE$3,12,31)&lt;DATE(BE$3,MONTH(入力データ!$C$21),DAY(入力データ!$C$21)),1,0)))</f>
        <v/>
      </c>
      <c r="BF7" s="218">
        <f>IF(BF$3="","",IF(入力データ!$C$21="","",YEAR(DATE(BF$3,12,31))-YEAR(入力データ!$C$21)-IF(DATE(BF$3,12,31)&lt;DATE(BF$3,MONTH(入力データ!$C$21),DAY(入力データ!$C$21)),1,0)))</f>
        <v/>
      </c>
      <c r="BG7" s="218">
        <f>IF(BG$3="","",IF(入力データ!$C$21="","",YEAR(DATE(BG$3,12,31))-YEAR(入力データ!$C$21)-IF(DATE(BG$3,12,31)&lt;DATE(BG$3,MONTH(入力データ!$C$21),DAY(入力データ!$C$21)),1,0)))</f>
        <v/>
      </c>
      <c r="BH7" s="218">
        <f>IF(BH$3="","",IF(入力データ!$C$21="","",YEAR(DATE(BH$3,12,31))-YEAR(入力データ!$C$21)-IF(DATE(BH$3,12,31)&lt;DATE(BH$3,MONTH(入力データ!$C$21),DAY(入力データ!$C$21)),1,0)))</f>
        <v/>
      </c>
      <c r="BI7" s="218">
        <f>IF(BI$3="","",IF(入力データ!$C$21="","",YEAR(DATE(BI$3,12,31))-YEAR(入力データ!$C$21)-IF(DATE(BI$3,12,31)&lt;DATE(BI$3,MONTH(入力データ!$C$21),DAY(入力データ!$C$21)),1,0)))</f>
        <v/>
      </c>
      <c r="BJ7" s="218">
        <f>IF(BJ$3="","",IF(入力データ!$C$21="","",YEAR(DATE(BJ$3,12,31))-YEAR(入力データ!$C$21)-IF(DATE(BJ$3,12,31)&lt;DATE(BJ$3,MONTH(入力データ!$C$21),DAY(入力データ!$C$21)),1,0)))</f>
        <v/>
      </c>
      <c r="BK7" s="218">
        <f>IF(BK$3="","",IF(入力データ!$C$21="","",YEAR(DATE(BK$3,12,31))-YEAR(入力データ!$C$21)-IF(DATE(BK$3,12,31)&lt;DATE(BK$3,MONTH(入力データ!$C$21),DAY(入力データ!$C$21)),1,0)))</f>
        <v/>
      </c>
      <c r="BL7" s="218">
        <f>IF(BL$3="","",IF(入力データ!$C$21="","",YEAR(DATE(BL$3,12,31))-YEAR(入力データ!$C$21)-IF(DATE(BL$3,12,31)&lt;DATE(BL$3,MONTH(入力データ!$C$21),DAY(入力データ!$C$21)),1,0)))</f>
        <v/>
      </c>
      <c r="BM7" s="218">
        <f>IF(BM$3="","",IF(入力データ!$C$21="","",YEAR(DATE(BM$3,12,31))-YEAR(入力データ!$C$21)-IF(DATE(BM$3,12,31)&lt;DATE(BM$3,MONTH(入力データ!$C$21),DAY(入力データ!$C$21)),1,0)))</f>
        <v/>
      </c>
      <c r="BN7" s="218">
        <f>IF(BN$3="","",IF(入力データ!$C$21="","",YEAR(DATE(BN$3,12,31))-YEAR(入力データ!$C$21)-IF(DATE(BN$3,12,31)&lt;DATE(BN$3,MONTH(入力データ!$C$21),DAY(入力データ!$C$21)),1,0)))</f>
        <v/>
      </c>
      <c r="BO7" s="218">
        <f>IF(BO$3="","",IF(入力データ!$C$21="","",YEAR(DATE(BO$3,12,31))-YEAR(入力データ!$C$21)-IF(DATE(BO$3,12,31)&lt;DATE(BO$3,MONTH(入力データ!$C$21),DAY(入力データ!$C$21)),1,0)))</f>
        <v/>
      </c>
      <c r="BP7" s="218">
        <f>IF(BP$3="","",IF(入力データ!$C$21="","",YEAR(DATE(BP$3,12,31))-YEAR(入力データ!$C$21)-IF(DATE(BP$3,12,31)&lt;DATE(BP$3,MONTH(入力データ!$C$21),DAY(入力データ!$C$21)),1,0)))</f>
        <v/>
      </c>
      <c r="BQ7" s="218">
        <f>IF(BQ$3="","",IF(入力データ!$C$21="","",YEAR(DATE(BQ$3,12,31))-YEAR(入力データ!$C$21)-IF(DATE(BQ$3,12,31)&lt;DATE(BQ$3,MONTH(入力データ!$C$21),DAY(入力データ!$C$21)),1,0)))</f>
        <v/>
      </c>
      <c r="BR7" s="218">
        <f>IF(BR$3="","",IF(入力データ!$C$21="","",YEAR(DATE(BR$3,12,31))-YEAR(入力データ!$C$21)-IF(DATE(BR$3,12,31)&lt;DATE(BR$3,MONTH(入力データ!$C$21),DAY(入力データ!$C$21)),1,0)))</f>
        <v/>
      </c>
      <c r="BS7" s="218">
        <f>IF(BS$3="","",IF(入力データ!$C$21="","",YEAR(DATE(BS$3,12,31))-YEAR(入力データ!$C$21)-IF(DATE(BS$3,12,31)&lt;DATE(BS$3,MONTH(入力データ!$C$21),DAY(入力データ!$C$21)),1,0)))</f>
        <v/>
      </c>
      <c r="BT7" s="218">
        <f>IF(BT$3="","",IF(入力データ!$C$21="","",YEAR(DATE(BT$3,12,31))-YEAR(入力データ!$C$21)-IF(DATE(BT$3,12,31)&lt;DATE(BT$3,MONTH(入力データ!$C$21),DAY(入力データ!$C$21)),1,0)))</f>
        <v/>
      </c>
      <c r="BU7" s="218">
        <f>IF(BU$3="","",IF(入力データ!$C$21="","",YEAR(DATE(BU$3,12,31))-YEAR(入力データ!$C$21)-IF(DATE(BU$3,12,31)&lt;DATE(BU$3,MONTH(入力データ!$C$21),DAY(入力データ!$C$21)),1,0)))</f>
        <v/>
      </c>
      <c r="BV7" s="218">
        <f>IF(BV$3="","",IF(入力データ!$C$21="","",YEAR(DATE(BV$3,12,31))-YEAR(入力データ!$C$21)-IF(DATE(BV$3,12,31)&lt;DATE(BV$3,MONTH(入力データ!$C$21),DAY(入力データ!$C$21)),1,0)))</f>
        <v/>
      </c>
      <c r="BW7" s="218">
        <f>IF(BW$3="","",IF(入力データ!$C$21="","",YEAR(DATE(BW$3,12,31))-YEAR(入力データ!$C$21)-IF(DATE(BW$3,12,31)&lt;DATE(BW$3,MONTH(入力データ!$C$21),DAY(入力データ!$C$21)),1,0)))</f>
        <v/>
      </c>
      <c r="BX7" s="218">
        <f>IF(BX$3="","",IF(入力データ!$C$21="","",YEAR(DATE(BX$3,12,31))-YEAR(入力データ!$C$21)-IF(DATE(BX$3,12,31)&lt;DATE(BX$3,MONTH(入力データ!$C$21),DAY(入力データ!$C$21)),1,0)))</f>
        <v/>
      </c>
      <c r="BY7" s="218">
        <f>IF(BY$3="","",IF(入力データ!$C$21="","",YEAR(DATE(BY$3,12,31))-YEAR(入力データ!$C$21)-IF(DATE(BY$3,12,31)&lt;DATE(BY$3,MONTH(入力データ!$C$21),DAY(入力データ!$C$21)),1,0)))</f>
        <v/>
      </c>
      <c r="BZ7" s="218">
        <f>IF(BZ$3="","",IF(入力データ!$C$21="","",YEAR(DATE(BZ$3,12,31))-YEAR(入力データ!$C$21)-IF(DATE(BZ$3,12,31)&lt;DATE(BZ$3,MONTH(入力データ!$C$21),DAY(入力データ!$C$21)),1,0)))</f>
        <v/>
      </c>
      <c r="CA7" s="218">
        <f>IF(CA$3="","",IF(入力データ!$C$21="","",YEAR(DATE(CA$3,12,31))-YEAR(入力データ!$C$21)-IF(DATE(CA$3,12,31)&lt;DATE(CA$3,MONTH(入力データ!$C$21),DAY(入力データ!$C$21)),1,0)))</f>
        <v/>
      </c>
      <c r="CB7" s="218">
        <f>IF(CB$3="","",IF(入力データ!$C$21="","",YEAR(DATE(CB$3,12,31))-YEAR(入力データ!$C$21)-IF(DATE(CB$3,12,31)&lt;DATE(CB$3,MONTH(入力データ!$C$21),DAY(入力データ!$C$21)),1,0)))</f>
        <v/>
      </c>
      <c r="CC7" s="218">
        <f>IF(CC$3="","",IF(入力データ!$C$21="","",YEAR(DATE(CC$3,12,31))-YEAR(入力データ!$C$21)-IF(DATE(CC$3,12,31)&lt;DATE(CC$3,MONTH(入力データ!$C$21),DAY(入力データ!$C$21)),1,0)))</f>
        <v/>
      </c>
      <c r="CD7" s="218">
        <f>IF(CD$3="","",IF(入力データ!$C$21="","",YEAR(DATE(CD$3,12,31))-YEAR(入力データ!$C$21)-IF(DATE(CD$3,12,31)&lt;DATE(CD$3,MONTH(入力データ!$C$21),DAY(入力データ!$C$21)),1,0)))</f>
        <v/>
      </c>
      <c r="CE7" s="218">
        <f>IF(CE$3="","",IF(入力データ!$C$21="","",YEAR(DATE(CE$3,12,31))-YEAR(入力データ!$C$21)-IF(DATE(CE$3,12,31)&lt;DATE(CE$3,MONTH(入力データ!$C$21),DAY(入力データ!$C$21)),1,0)))</f>
        <v/>
      </c>
      <c r="CF7" s="218">
        <f>IF(CF$3="","",IF(入力データ!$C$21="","",YEAR(DATE(CF$3,12,31))-YEAR(入力データ!$C$21)-IF(DATE(CF$3,12,31)&lt;DATE(CF$3,MONTH(入力データ!$C$21),DAY(入力データ!$C$21)),1,0)))</f>
        <v/>
      </c>
      <c r="CG7" s="218">
        <f>IF(CG$3="","",IF(入力データ!$C$21="","",YEAR(DATE(CG$3,12,31))-YEAR(入力データ!$C$21)-IF(DATE(CG$3,12,31)&lt;DATE(CG$3,MONTH(入力データ!$C$21),DAY(入力データ!$C$21)),1,0)))</f>
        <v/>
      </c>
      <c r="CH7" s="218">
        <f>IF(CH$3="","",IF(入力データ!$C$21="","",YEAR(DATE(CH$3,12,31))-YEAR(入力データ!$C$21)-IF(DATE(CH$3,12,31)&lt;DATE(CH$3,MONTH(入力データ!$C$21),DAY(入力データ!$C$21)),1,0)))</f>
        <v/>
      </c>
      <c r="CI7" s="218">
        <f>IF(CI$3="","",IF(入力データ!$C$21="","",YEAR(DATE(CI$3,12,31))-YEAR(入力データ!$C$21)-IF(DATE(CI$3,12,31)&lt;DATE(CI$3,MONTH(入力データ!$C$21),DAY(入力データ!$C$21)),1,0)))</f>
        <v/>
      </c>
      <c r="CJ7" s="218">
        <f>IF(CJ$3="","",IF(入力データ!$C$21="","",YEAR(DATE(CJ$3,12,31))-YEAR(入力データ!$C$21)-IF(DATE(CJ$3,12,31)&lt;DATE(CJ$3,MONTH(入力データ!$C$21),DAY(入力データ!$C$21)),1,0)))</f>
        <v/>
      </c>
      <c r="CK7" s="218">
        <f>IF(CK$3="","",IF(入力データ!$C$21="","",YEAR(DATE(CK$3,12,31))-YEAR(入力データ!$C$21)-IF(DATE(CK$3,12,31)&lt;DATE(CK$3,MONTH(入力データ!$C$21),DAY(入力データ!$C$21)),1,0)))</f>
        <v/>
      </c>
      <c r="CL7" s="218">
        <f>IF(CL$3="","",IF(入力データ!$C$21="","",YEAR(DATE(CL$3,12,31))-YEAR(入力データ!$C$21)-IF(DATE(CL$3,12,31)&lt;DATE(CL$3,MONTH(入力データ!$C$21),DAY(入力データ!$C$21)),1,0)))</f>
        <v/>
      </c>
      <c r="CM7" s="218">
        <f>IF(CM$3="","",IF(入力データ!$C$21="","",YEAR(DATE(CM$3,12,31))-YEAR(入力データ!$C$21)-IF(DATE(CM$3,12,31)&lt;DATE(CM$3,MONTH(入力データ!$C$21),DAY(入力データ!$C$21)),1,0)))</f>
        <v/>
      </c>
      <c r="CN7" s="218">
        <f>IF(CN$3="","",IF(入力データ!$C$21="","",YEAR(DATE(CN$3,12,31))-YEAR(入力データ!$C$21)-IF(DATE(CN$3,12,31)&lt;DATE(CN$3,MONTH(入力データ!$C$21),DAY(入力データ!$C$21)),1,0)))</f>
        <v/>
      </c>
      <c r="CO7" s="218">
        <f>IF(CO$3="","",IF(入力データ!$C$21="","",YEAR(DATE(CO$3,12,31))-YEAR(入力データ!$C$21)-IF(DATE(CO$3,12,31)&lt;DATE(CO$3,MONTH(入力データ!$C$21),DAY(入力データ!$C$21)),1,0)))</f>
        <v/>
      </c>
      <c r="CP7" s="218">
        <f>IF(CP$3="","",IF(入力データ!$C$21="","",YEAR(DATE(CP$3,12,31))-YEAR(入力データ!$C$21)-IF(DATE(CP$3,12,31)&lt;DATE(CP$3,MONTH(入力データ!$C$21),DAY(入力データ!$C$21)),1,0)))</f>
        <v/>
      </c>
      <c r="CQ7" s="218">
        <f>IF(CQ$3="","",IF(入力データ!$C$21="","",YEAR(DATE(CQ$3,12,31))-YEAR(入力データ!$C$21)-IF(DATE(CQ$3,12,31)&lt;DATE(CQ$3,MONTH(入力データ!$C$21),DAY(入力データ!$C$21)),1,0)))</f>
        <v/>
      </c>
      <c r="CR7" s="218">
        <f>IF(CR$3="","",IF(入力データ!$C$21="","",YEAR(DATE(CR$3,12,31))-YEAR(入力データ!$C$21)-IF(DATE(CR$3,12,31)&lt;DATE(CR$3,MONTH(入力データ!$C$21),DAY(入力データ!$C$21)),1,0)))</f>
        <v/>
      </c>
      <c r="CS7" s="218">
        <f>IF(CS$3="","",IF(入力データ!$C$21="","",YEAR(DATE(CS$3,12,31))-YEAR(入力データ!$C$21)-IF(DATE(CS$3,12,31)&lt;DATE(CS$3,MONTH(入力データ!$C$21),DAY(入力データ!$C$21)),1,0)))</f>
        <v/>
      </c>
      <c r="CT7" s="218">
        <f>IF(CT$3="","",IF(入力データ!$C$21="","",YEAR(DATE(CT$3,12,31))-YEAR(入力データ!$C$21)-IF(DATE(CT$3,12,31)&lt;DATE(CT$3,MONTH(入力データ!$C$21),DAY(入力データ!$C$21)),1,0)))</f>
        <v/>
      </c>
      <c r="CU7" s="218">
        <f>IF(CU$3="","",IF(入力データ!$C$21="","",YEAR(DATE(CU$3,12,31))-YEAR(入力データ!$C$21)-IF(DATE(CU$3,12,31)&lt;DATE(CU$3,MONTH(入力データ!$C$21),DAY(入力データ!$C$21)),1,0)))</f>
        <v/>
      </c>
      <c r="CV7" s="218">
        <f>IF(CV$3="","",IF(入力データ!$C$21="","",YEAR(DATE(CV$3,12,31))-YEAR(入力データ!$C$21)-IF(DATE(CV$3,12,31)&lt;DATE(CV$3,MONTH(入力データ!$C$21),DAY(入力データ!$C$21)),1,0)))</f>
        <v/>
      </c>
      <c r="CW7" s="218">
        <f>IF(CW$3="","",IF(入力データ!$C$21="","",YEAR(DATE(CW$3,12,31))-YEAR(入力データ!$C$21)-IF(DATE(CW$3,12,31)&lt;DATE(CW$3,MONTH(入力データ!$C$21),DAY(入力データ!$C$21)),1,0)))</f>
        <v/>
      </c>
    </row>
    <row r="8" ht="16.5" customHeight="1" s="180">
      <c r="A8" s="217" t="inlineStr">
        <is>
          <t>子3年齢</t>
        </is>
      </c>
      <c r="B8" s="218">
        <f>IF(B$3="","",IF(情報入力!$C$23="","",YEAR(DATE(B$3,12,31))-YEAR(情報入力!$C$23)-IF(DATE(B$3,12,31)&lt;DATE(B$3,MONTH(情報入力!$C$23),DAY(情報入力!$C$23)),1,0)))</f>
        <v/>
      </c>
      <c r="C8" s="218">
        <f>IF(C$3="","",IF(情報入力!$C$23="","",YEAR(DATE(C$3,12,31))-YEAR(情報入力!$C$23)-IF(DATE(C$3,12,31)&lt;DATE(C$3,MONTH(情報入力!$C$23),DAY(情報入力!$C$23)),1,0)))</f>
        <v/>
      </c>
      <c r="D8" s="218">
        <f>IF(D$3="","",IF(情報入力!$C$23="","",YEAR(DATE(D$3,12,31))-YEAR(情報入力!$C$23)-IF(DATE(D$3,12,31)&lt;DATE(D$3,MONTH(情報入力!$C$23),DAY(情報入力!$C$23)),1,0)))</f>
        <v/>
      </c>
      <c r="E8" s="218">
        <f>IF(E$3="","",IF(情報入力!$C$23="","",YEAR(DATE(E$3,12,31))-YEAR(情報入力!$C$23)-IF(DATE(E$3,12,31)&lt;DATE(E$3,MONTH(情報入力!$C$23),DAY(情報入力!$C$23)),1,0)))</f>
        <v/>
      </c>
      <c r="F8" s="218">
        <f>IF(F$3="","",IF(情報入力!$C$23="","",YEAR(DATE(F$3,12,31))-YEAR(情報入力!$C$23)-IF(DATE(F$3,12,31)&lt;DATE(F$3,MONTH(情報入力!$C$23),DAY(情報入力!$C$23)),1,0)))</f>
        <v/>
      </c>
      <c r="G8" s="218">
        <f>IF(G$3="","",IF(情報入力!$C$23="","",YEAR(DATE(G$3,12,31))-YEAR(情報入力!$C$23)-IF(DATE(G$3,12,31)&lt;DATE(G$3,MONTH(情報入力!$C$23),DAY(情報入力!$C$23)),1,0)))</f>
        <v/>
      </c>
      <c r="H8" s="218">
        <f>IF(H$3="","",IF(情報入力!$C$23="","",YEAR(DATE(H$3,12,31))-YEAR(情報入力!$C$23)-IF(DATE(H$3,12,31)&lt;DATE(H$3,MONTH(情報入力!$C$23),DAY(情報入力!$C$23)),1,0)))</f>
        <v/>
      </c>
      <c r="I8" s="218">
        <f>IF(I$3="","",IF(情報入力!$C$23="","",YEAR(DATE(I$3,12,31))-YEAR(情報入力!$C$23)-IF(DATE(I$3,12,31)&lt;DATE(I$3,MONTH(情報入力!$C$23),DAY(情報入力!$C$23)),1,0)))</f>
        <v/>
      </c>
      <c r="J8" s="218">
        <f>IF(J$3="","",IF(情報入力!$C$23="","",YEAR(DATE(J$3,12,31))-YEAR(情報入力!$C$23)-IF(DATE(J$3,12,31)&lt;DATE(J$3,MONTH(情報入力!$C$23),DAY(情報入力!$C$23)),1,0)))</f>
        <v/>
      </c>
      <c r="K8" s="218">
        <f>IF(K$3="","",IF(情報入力!$C$23="","",YEAR(DATE(K$3,12,31))-YEAR(情報入力!$C$23)-IF(DATE(K$3,12,31)&lt;DATE(K$3,MONTH(情報入力!$C$23),DAY(情報入力!$C$23)),1,0)))</f>
        <v/>
      </c>
      <c r="L8" s="218">
        <f>IF(L$3="","",IF(情報入力!$C$23="","",YEAR(DATE(L$3,12,31))-YEAR(情報入力!$C$23)-IF(DATE(L$3,12,31)&lt;DATE(L$3,MONTH(情報入力!$C$23),DAY(情報入力!$C$23)),1,0)))</f>
        <v/>
      </c>
      <c r="M8" s="218">
        <f>IF(M$3="","",IF(情報入力!$C$23="","",YEAR(DATE(M$3,12,31))-YEAR(情報入力!$C$23)-IF(DATE(M$3,12,31)&lt;DATE(M$3,MONTH(情報入力!$C$23),DAY(情報入力!$C$23)),1,0)))</f>
        <v/>
      </c>
      <c r="N8" s="218">
        <f>IF(N$3="","",IF(情報入力!$C$23="","",YEAR(DATE(N$3,12,31))-YEAR(情報入力!$C$23)-IF(DATE(N$3,12,31)&lt;DATE(N$3,MONTH(情報入力!$C$23),DAY(情報入力!$C$23)),1,0)))</f>
        <v/>
      </c>
      <c r="O8" s="218">
        <f>IF(O$3="","",IF(情報入力!$C$23="","",YEAR(DATE(O$3,12,31))-YEAR(情報入力!$C$23)-IF(DATE(O$3,12,31)&lt;DATE(O$3,MONTH(情報入力!$C$23),DAY(情報入力!$C$23)),1,0)))</f>
        <v/>
      </c>
      <c r="P8" s="218">
        <f>IF(P$3="","",IF(情報入力!$C$23="","",YEAR(DATE(P$3,12,31))-YEAR(情報入力!$C$23)-IF(DATE(P$3,12,31)&lt;DATE(P$3,MONTH(情報入力!$C$23),DAY(情報入力!$C$23)),1,0)))</f>
        <v/>
      </c>
      <c r="Q8" s="218">
        <f>IF(Q$3="","",IF(情報入力!$C$23="","",YEAR(DATE(Q$3,12,31))-YEAR(情報入力!$C$23)-IF(DATE(Q$3,12,31)&lt;DATE(Q$3,MONTH(情報入力!$C$23),DAY(情報入力!$C$23)),1,0)))</f>
        <v/>
      </c>
      <c r="R8" s="218">
        <f>IF(R$3="","",IF(情報入力!$C$23="","",YEAR(DATE(R$3,12,31))-YEAR(情報入力!$C$23)-IF(DATE(R$3,12,31)&lt;DATE(R$3,MONTH(情報入力!$C$23),DAY(情報入力!$C$23)),1,0)))</f>
        <v/>
      </c>
      <c r="S8" s="218">
        <f>IF(S$3="","",IF(情報入力!$C$23="","",YEAR(DATE(S$3,12,31))-YEAR(情報入力!$C$23)-IF(DATE(S$3,12,31)&lt;DATE(S$3,MONTH(情報入力!$C$23),DAY(情報入力!$C$23)),1,0)))</f>
        <v/>
      </c>
      <c r="T8" s="218">
        <f>IF(T$3="","",IF(情報入力!$C$23="","",YEAR(DATE(T$3,12,31))-YEAR(情報入力!$C$23)-IF(DATE(T$3,12,31)&lt;DATE(T$3,MONTH(情報入力!$C$23),DAY(情報入力!$C$23)),1,0)))</f>
        <v/>
      </c>
      <c r="U8" s="218">
        <f>IF(U$3="","",IF(情報入力!$C$23="","",YEAR(DATE(U$3,12,31))-YEAR(情報入力!$C$23)-IF(DATE(U$3,12,31)&lt;DATE(U$3,MONTH(情報入力!$C$23),DAY(情報入力!$C$23)),1,0)))</f>
        <v/>
      </c>
      <c r="V8" s="218">
        <f>IF(V$3="","",IF(情報入力!$C$23="","",YEAR(DATE(V$3,12,31))-YEAR(情報入力!$C$23)-IF(DATE(V$3,12,31)&lt;DATE(V$3,MONTH(情報入力!$C$23),DAY(情報入力!$C$23)),1,0)))</f>
        <v/>
      </c>
      <c r="W8" s="218">
        <f>IF(W$3="","",IF(情報入力!$C$23="","",YEAR(DATE(W$3,12,31))-YEAR(情報入力!$C$23)-IF(DATE(W$3,12,31)&lt;DATE(W$3,MONTH(情報入力!$C$23),DAY(情報入力!$C$23)),1,0)))</f>
        <v/>
      </c>
      <c r="X8" s="218">
        <f>IF(X$3="","",IF(情報入力!$C$23="","",YEAR(DATE(X$3,12,31))-YEAR(情報入力!$C$23)-IF(DATE(X$3,12,31)&lt;DATE(X$3,MONTH(情報入力!$C$23),DAY(情報入力!$C$23)),1,0)))</f>
        <v/>
      </c>
      <c r="Y8" s="218">
        <f>IF(Y$3="","",IF(情報入力!$C$23="","",YEAR(DATE(Y$3,12,31))-YEAR(情報入力!$C$23)-IF(DATE(Y$3,12,31)&lt;DATE(Y$3,MONTH(情報入力!$C$23),DAY(情報入力!$C$23)),1,0)))</f>
        <v/>
      </c>
      <c r="Z8" s="218">
        <f>IF(Z$3="","",IF(情報入力!$C$23="","",YEAR(DATE(Z$3,12,31))-YEAR(情報入力!$C$23)-IF(DATE(Z$3,12,31)&lt;DATE(Z$3,MONTH(情報入力!$C$23),DAY(情報入力!$C$23)),1,0)))</f>
        <v/>
      </c>
      <c r="AA8" s="218">
        <f>IF(AA$3="","",IF(情報入力!$C$23="","",YEAR(DATE(AA$3,12,31))-YEAR(情報入力!$C$23)-IF(DATE(AA$3,12,31)&lt;DATE(AA$3,MONTH(情報入力!$C$23),DAY(情報入力!$C$23)),1,0)))</f>
        <v/>
      </c>
      <c r="AB8" s="218">
        <f>IF(AB$3="","",IF(情報入力!$C$23="","",YEAR(DATE(AB$3,12,31))-YEAR(情報入力!$C$23)-IF(DATE(AB$3,12,31)&lt;DATE(AB$3,MONTH(情報入力!$C$23),DAY(情報入力!$C$23)),1,0)))</f>
        <v/>
      </c>
      <c r="AC8" s="218">
        <f>IF(AC$3="","",IF(情報入力!$C$23="","",YEAR(DATE(AC$3,12,31))-YEAR(情報入力!$C$23)-IF(DATE(AC$3,12,31)&lt;DATE(AC$3,MONTH(情報入力!$C$23),DAY(情報入力!$C$23)),1,0)))</f>
        <v/>
      </c>
      <c r="AD8" s="218">
        <f>IF(AD$3="","",IF(情報入力!$C$23="","",YEAR(DATE(AD$3,12,31))-YEAR(情報入力!$C$23)-IF(DATE(AD$3,12,31)&lt;DATE(AD$3,MONTH(情報入力!$C$23),DAY(情報入力!$C$23)),1,0)))</f>
        <v/>
      </c>
      <c r="AE8" s="218">
        <f>IF(AE$3="","",IF(情報入力!$C$23="","",YEAR(DATE(AE$3,12,31))-YEAR(情報入力!$C$23)-IF(DATE(AE$3,12,31)&lt;DATE(AE$3,MONTH(情報入力!$C$23),DAY(情報入力!$C$23)),1,0)))</f>
        <v/>
      </c>
      <c r="AF8" s="218">
        <f>IF(AF$3="","",IF(情報入力!$C$23="","",YEAR(DATE(AF$3,12,31))-YEAR(情報入力!$C$23)-IF(DATE(AF$3,12,31)&lt;DATE(AF$3,MONTH(情報入力!$C$23),DAY(情報入力!$C$23)),1,0)))</f>
        <v/>
      </c>
      <c r="AG8" s="218">
        <f>IF(AG$3="","",IF(情報入力!$C$23="","",YEAR(DATE(AG$3,12,31))-YEAR(情報入力!$C$23)-IF(DATE(AG$3,12,31)&lt;DATE(AG$3,MONTH(情報入力!$C$23),DAY(情報入力!$C$23)),1,0)))</f>
        <v/>
      </c>
      <c r="AH8" s="218">
        <f>IF(AH$3="","",IF(情報入力!$C$23="","",YEAR(DATE(AH$3,12,31))-YEAR(情報入力!$C$23)-IF(DATE(AH$3,12,31)&lt;DATE(AH$3,MONTH(情報入力!$C$23),DAY(情報入力!$C$23)),1,0)))</f>
        <v/>
      </c>
      <c r="AI8" s="218">
        <f>IF(AI$3="","",IF(情報入力!$C$23="","",YEAR(DATE(AI$3,12,31))-YEAR(情報入力!$C$23)-IF(DATE(AI$3,12,31)&lt;DATE(AI$3,MONTH(情報入力!$C$23),DAY(情報入力!$C$23)),1,0)))</f>
        <v/>
      </c>
      <c r="AJ8" s="218">
        <f>IF(AJ$3="","",IF(情報入力!$C$23="","",YEAR(DATE(AJ$3,12,31))-YEAR(情報入力!$C$23)-IF(DATE(AJ$3,12,31)&lt;DATE(AJ$3,MONTH(情報入力!$C$23),DAY(情報入力!$C$23)),1,0)))</f>
        <v/>
      </c>
      <c r="AK8" s="218">
        <f>IF(AK$3="","",IF(情報入力!$C$23="","",YEAR(DATE(AK$3,12,31))-YEAR(情報入力!$C$23)-IF(DATE(AK$3,12,31)&lt;DATE(AK$3,MONTH(情報入力!$C$23),DAY(情報入力!$C$23)),1,0)))</f>
        <v/>
      </c>
      <c r="AL8" s="218">
        <f>IF(AL$3="","",IF(情報入力!$C$23="","",YEAR(DATE(AL$3,12,31))-YEAR(情報入力!$C$23)-IF(DATE(AL$3,12,31)&lt;DATE(AL$3,MONTH(情報入力!$C$23),DAY(情報入力!$C$23)),1,0)))</f>
        <v/>
      </c>
      <c r="AM8" s="218">
        <f>IF(AM$3="","",IF(情報入力!$C$23="","",YEAR(DATE(AM$3,12,31))-YEAR(情報入力!$C$23)-IF(DATE(AM$3,12,31)&lt;DATE(AM$3,MONTH(情報入力!$C$23),DAY(情報入力!$C$23)),1,0)))</f>
        <v/>
      </c>
      <c r="AN8" s="218">
        <f>IF(AN$3="","",IF(情報入力!$C$23="","",YEAR(DATE(AN$3,12,31))-YEAR(情報入力!$C$23)-IF(DATE(AN$3,12,31)&lt;DATE(AN$3,MONTH(情報入力!$C$23),DAY(情報入力!$C$23)),1,0)))</f>
        <v/>
      </c>
      <c r="AO8" s="218">
        <f>IF(AO$3="","",IF(情報入力!$C$23="","",YEAR(DATE(AO$3,12,31))-YEAR(情報入力!$C$23)-IF(DATE(AO$3,12,31)&lt;DATE(AO$3,MONTH(情報入力!$C$23),DAY(情報入力!$C$23)),1,0)))</f>
        <v/>
      </c>
      <c r="AP8" s="218">
        <f>IF(AP$3="","",IF(情報入力!$C$23="","",YEAR(DATE(AP$3,12,31))-YEAR(情報入力!$C$23)-IF(DATE(AP$3,12,31)&lt;DATE(AP$3,MONTH(情報入力!$C$23),DAY(情報入力!$C$23)),1,0)))</f>
        <v/>
      </c>
      <c r="AQ8" s="218">
        <f>IF(AQ$3="","",IF(情報入力!$C$23="","",YEAR(DATE(AQ$3,12,31))-YEAR(情報入力!$C$23)-IF(DATE(AQ$3,12,31)&lt;DATE(AQ$3,MONTH(情報入力!$C$23),DAY(情報入力!$C$23)),1,0)))</f>
        <v/>
      </c>
      <c r="AR8" s="218">
        <f>IF(AR$3="","",IF(情報入力!$C$23="","",YEAR(DATE(AR$3,12,31))-YEAR(情報入力!$C$23)-IF(DATE(AR$3,12,31)&lt;DATE(AR$3,MONTH(情報入力!$C$23),DAY(情報入力!$C$23)),1,0)))</f>
        <v/>
      </c>
      <c r="AS8" s="218">
        <f>IF(AS$3="","",IF(情報入力!$C$23="","",YEAR(DATE(AS$3,12,31))-YEAR(情報入力!$C$23)-IF(DATE(AS$3,12,31)&lt;DATE(AS$3,MONTH(情報入力!$C$23),DAY(情報入力!$C$23)),1,0)))</f>
        <v/>
      </c>
      <c r="AT8" s="218">
        <f>IF(AT$3="","",IF(情報入力!$C$23="","",YEAR(DATE(AT$3,12,31))-YEAR(情報入力!$C$23)-IF(DATE(AT$3,12,31)&lt;DATE(AT$3,MONTH(情報入力!$C$23),DAY(情報入力!$C$23)),1,0)))</f>
        <v/>
      </c>
      <c r="AU8" s="218">
        <f>IF(AU$3="","",IF(情報入力!$C$23="","",YEAR(DATE(AU$3,12,31))-YEAR(情報入力!$C$23)-IF(DATE(AU$3,12,31)&lt;DATE(AU$3,MONTH(情報入力!$C$23),DAY(情報入力!$C$23)),1,0)))</f>
        <v/>
      </c>
      <c r="AV8" s="218">
        <f>IF(AV$3="","",IF(情報入力!$C$23="","",YEAR(DATE(AV$3,12,31))-YEAR(情報入力!$C$23)-IF(DATE(AV$3,12,31)&lt;DATE(AV$3,MONTH(情報入力!$C$23),DAY(情報入力!$C$23)),1,0)))</f>
        <v/>
      </c>
      <c r="AW8" s="218">
        <f>IF(AW$3="","",IF(情報入力!$C$23="","",YEAR(DATE(AW$3,12,31))-YEAR(情報入力!$C$23)-IF(DATE(AW$3,12,31)&lt;DATE(AW$3,MONTH(情報入力!$C$23),DAY(情報入力!$C$23)),1,0)))</f>
        <v/>
      </c>
      <c r="AX8" s="218">
        <f>IF(AX$3="","",IF(情報入力!$C$23="","",YEAR(DATE(AX$3,12,31))-YEAR(情報入力!$C$23)-IF(DATE(AX$3,12,31)&lt;DATE(AX$3,MONTH(情報入力!$C$23),DAY(情報入力!$C$23)),1,0)))</f>
        <v/>
      </c>
      <c r="AY8" s="218">
        <f>IF(AY$3="","",IF(情報入力!$C$23="","",YEAR(DATE(AY$3,12,31))-YEAR(情報入力!$C$23)-IF(DATE(AY$3,12,31)&lt;DATE(AY$3,MONTH(情報入力!$C$23),DAY(情報入力!$C$23)),1,0)))</f>
        <v/>
      </c>
      <c r="AZ8" s="218">
        <f>IF(AZ$3="","",IF(情報入力!$C$23="","",YEAR(DATE(AZ$3,12,31))-YEAR(情報入力!$C$23)-IF(DATE(AZ$3,12,31)&lt;DATE(AZ$3,MONTH(情報入力!$C$23),DAY(情報入力!$C$23)),1,0)))</f>
        <v/>
      </c>
      <c r="BA8" s="218">
        <f>IF(BA$3="","",IF(情報入力!$C$23="","",YEAR(DATE(BA$3,12,31))-YEAR(情報入力!$C$23)-IF(DATE(BA$3,12,31)&lt;DATE(BA$3,MONTH(情報入力!$C$23),DAY(情報入力!$C$23)),1,0)))</f>
        <v/>
      </c>
      <c r="BB8" s="218">
        <f>IF(BB$3="","",IF(情報入力!$C$23="","",YEAR(DATE(BB$3,12,31))-YEAR(情報入力!$C$23)-IF(DATE(BB$3,12,31)&lt;DATE(BB$3,MONTH(情報入力!$C$23),DAY(情報入力!$C$23)),1,0)))</f>
        <v/>
      </c>
      <c r="BC8" s="218">
        <f>IF(BC$3="","",IF(情報入力!$C$23="","",YEAR(DATE(BC$3,12,31))-YEAR(情報入力!$C$23)-IF(DATE(BC$3,12,31)&lt;DATE(BC$3,MONTH(情報入力!$C$23),DAY(情報入力!$C$23)),1,0)))</f>
        <v/>
      </c>
      <c r="BD8" s="218">
        <f>IF(BD$3="","",IF(情報入力!$C$23="","",YEAR(DATE(BD$3,12,31))-YEAR(情報入力!$C$23)-IF(DATE(BD$3,12,31)&lt;DATE(BD$3,MONTH(情報入力!$C$23),DAY(情報入力!$C$23)),1,0)))</f>
        <v/>
      </c>
      <c r="BE8" s="218">
        <f>IF(BE$3="","",IF(情報入力!$C$23="","",YEAR(DATE(BE$3,12,31))-YEAR(情報入力!$C$23)-IF(DATE(BE$3,12,31)&lt;DATE(BE$3,MONTH(情報入力!$C$23),DAY(情報入力!$C$23)),1,0)))</f>
        <v/>
      </c>
      <c r="BF8" s="218">
        <f>IF(BF$3="","",IF(情報入力!$C$23="","",YEAR(DATE(BF$3,12,31))-YEAR(情報入力!$C$23)-IF(DATE(BF$3,12,31)&lt;DATE(BF$3,MONTH(情報入力!$C$23),DAY(情報入力!$C$23)),1,0)))</f>
        <v/>
      </c>
      <c r="BG8" s="218">
        <f>IF(BG$3="","",IF(情報入力!$C$23="","",YEAR(DATE(BG$3,12,31))-YEAR(情報入力!$C$23)-IF(DATE(BG$3,12,31)&lt;DATE(BG$3,MONTH(情報入力!$C$23),DAY(情報入力!$C$23)),1,0)))</f>
        <v/>
      </c>
      <c r="BH8" s="218">
        <f>IF(BH$3="","",IF(情報入力!$C$23="","",YEAR(DATE(BH$3,12,31))-YEAR(情報入力!$C$23)-IF(DATE(BH$3,12,31)&lt;DATE(BH$3,MONTH(情報入力!$C$23),DAY(情報入力!$C$23)),1,0)))</f>
        <v/>
      </c>
      <c r="BI8" s="218">
        <f>IF(BI$3="","",IF(情報入力!$C$23="","",YEAR(DATE(BI$3,12,31))-YEAR(情報入力!$C$23)-IF(DATE(BI$3,12,31)&lt;DATE(BI$3,MONTH(情報入力!$C$23),DAY(情報入力!$C$23)),1,0)))</f>
        <v/>
      </c>
      <c r="BJ8" s="218">
        <f>IF(BJ$3="","",IF(情報入力!$C$23="","",YEAR(DATE(BJ$3,12,31))-YEAR(情報入力!$C$23)-IF(DATE(BJ$3,12,31)&lt;DATE(BJ$3,MONTH(情報入力!$C$23),DAY(情報入力!$C$23)),1,0)))</f>
        <v/>
      </c>
      <c r="BK8" s="218">
        <f>IF(BK$3="","",IF(情報入力!$C$23="","",YEAR(DATE(BK$3,12,31))-YEAR(情報入力!$C$23)-IF(DATE(BK$3,12,31)&lt;DATE(BK$3,MONTH(情報入力!$C$23),DAY(情報入力!$C$23)),1,0)))</f>
        <v/>
      </c>
      <c r="BL8" s="218">
        <f>IF(BL$3="","",IF(情報入力!$C$23="","",YEAR(DATE(BL$3,12,31))-YEAR(情報入力!$C$23)-IF(DATE(BL$3,12,31)&lt;DATE(BL$3,MONTH(情報入力!$C$23),DAY(情報入力!$C$23)),1,0)))</f>
        <v/>
      </c>
      <c r="BM8" s="218">
        <f>IF(BM$3="","",IF(情報入力!$C$23="","",YEAR(DATE(BM$3,12,31))-YEAR(情報入力!$C$23)-IF(DATE(BM$3,12,31)&lt;DATE(BM$3,MONTH(情報入力!$C$23),DAY(情報入力!$C$23)),1,0)))</f>
        <v/>
      </c>
      <c r="BN8" s="218">
        <f>IF(BN$3="","",IF(情報入力!$C$23="","",YEAR(DATE(BN$3,12,31))-YEAR(情報入力!$C$23)-IF(DATE(BN$3,12,31)&lt;DATE(BN$3,MONTH(情報入力!$C$23),DAY(情報入力!$C$23)),1,0)))</f>
        <v/>
      </c>
      <c r="BO8" s="218">
        <f>IF(BO$3="","",IF(情報入力!$C$23="","",YEAR(DATE(BO$3,12,31))-YEAR(情報入力!$C$23)-IF(DATE(BO$3,12,31)&lt;DATE(BO$3,MONTH(情報入力!$C$23),DAY(情報入力!$C$23)),1,0)))</f>
        <v/>
      </c>
      <c r="BP8" s="218">
        <f>IF(BP$3="","",IF(情報入力!$C$23="","",YEAR(DATE(BP$3,12,31))-YEAR(情報入力!$C$23)-IF(DATE(BP$3,12,31)&lt;DATE(BP$3,MONTH(情報入力!$C$23),DAY(情報入力!$C$23)),1,0)))</f>
        <v/>
      </c>
      <c r="BQ8" s="218">
        <f>IF(BQ$3="","",IF(情報入力!$C$23="","",YEAR(DATE(BQ$3,12,31))-YEAR(情報入力!$C$23)-IF(DATE(BQ$3,12,31)&lt;DATE(BQ$3,MONTH(情報入力!$C$23),DAY(情報入力!$C$23)),1,0)))</f>
        <v/>
      </c>
      <c r="BR8" s="218">
        <f>IF(BR$3="","",IF(情報入力!$C$23="","",YEAR(DATE(BR$3,12,31))-YEAR(情報入力!$C$23)-IF(DATE(BR$3,12,31)&lt;DATE(BR$3,MONTH(情報入力!$C$23),DAY(情報入力!$C$23)),1,0)))</f>
        <v/>
      </c>
      <c r="BS8" s="218">
        <f>IF(BS$3="","",IF(情報入力!$C$23="","",YEAR(DATE(BS$3,12,31))-YEAR(情報入力!$C$23)-IF(DATE(BS$3,12,31)&lt;DATE(BS$3,MONTH(情報入力!$C$23),DAY(情報入力!$C$23)),1,0)))</f>
        <v/>
      </c>
      <c r="BT8" s="218">
        <f>IF(BT$3="","",IF(情報入力!$C$23="","",YEAR(DATE(BT$3,12,31))-YEAR(情報入力!$C$23)-IF(DATE(BT$3,12,31)&lt;DATE(BT$3,MONTH(情報入力!$C$23),DAY(情報入力!$C$23)),1,0)))</f>
        <v/>
      </c>
      <c r="BU8" s="218">
        <f>IF(BU$3="","",IF(情報入力!$C$23="","",YEAR(DATE(BU$3,12,31))-YEAR(情報入力!$C$23)-IF(DATE(BU$3,12,31)&lt;DATE(BU$3,MONTH(情報入力!$C$23),DAY(情報入力!$C$23)),1,0)))</f>
        <v/>
      </c>
      <c r="BV8" s="218">
        <f>IF(BV$3="","",IF(情報入力!$C$23="","",YEAR(DATE(BV$3,12,31))-YEAR(情報入力!$C$23)-IF(DATE(BV$3,12,31)&lt;DATE(BV$3,MONTH(情報入力!$C$23),DAY(情報入力!$C$23)),1,0)))</f>
        <v/>
      </c>
      <c r="BW8" s="218">
        <f>IF(BW$3="","",IF(情報入力!$C$23="","",YEAR(DATE(BW$3,12,31))-YEAR(情報入力!$C$23)-IF(DATE(BW$3,12,31)&lt;DATE(BW$3,MONTH(情報入力!$C$23),DAY(情報入力!$C$23)),1,0)))</f>
        <v/>
      </c>
      <c r="BX8" s="218">
        <f>IF(BX$3="","",IF(情報入力!$C$23="","",YEAR(DATE(BX$3,12,31))-YEAR(情報入力!$C$23)-IF(DATE(BX$3,12,31)&lt;DATE(BX$3,MONTH(情報入力!$C$23),DAY(情報入力!$C$23)),1,0)))</f>
        <v/>
      </c>
      <c r="BY8" s="218">
        <f>IF(BY$3="","",IF(情報入力!$C$23="","",YEAR(DATE(BY$3,12,31))-YEAR(情報入力!$C$23)-IF(DATE(BY$3,12,31)&lt;DATE(BY$3,MONTH(情報入力!$C$23),DAY(情報入力!$C$23)),1,0)))</f>
        <v/>
      </c>
      <c r="BZ8" s="218">
        <f>IF(BZ$3="","",IF(情報入力!$C$23="","",YEAR(DATE(BZ$3,12,31))-YEAR(情報入力!$C$23)-IF(DATE(BZ$3,12,31)&lt;DATE(BZ$3,MONTH(情報入力!$C$23),DAY(情報入力!$C$23)),1,0)))</f>
        <v/>
      </c>
      <c r="CA8" s="218">
        <f>IF(CA$3="","",IF(情報入力!$C$23="","",YEAR(DATE(CA$3,12,31))-YEAR(情報入力!$C$23)-IF(DATE(CA$3,12,31)&lt;DATE(CA$3,MONTH(情報入力!$C$23),DAY(情報入力!$C$23)),1,0)))</f>
        <v/>
      </c>
      <c r="CB8" s="218">
        <f>IF(CB$3="","",IF(情報入力!$C$23="","",YEAR(DATE(CB$3,12,31))-YEAR(情報入力!$C$23)-IF(DATE(CB$3,12,31)&lt;DATE(CB$3,MONTH(情報入力!$C$23),DAY(情報入力!$C$23)),1,0)))</f>
        <v/>
      </c>
      <c r="CC8" s="218">
        <f>IF(CC$3="","",IF(情報入力!$C$23="","",YEAR(DATE(CC$3,12,31))-YEAR(情報入力!$C$23)-IF(DATE(CC$3,12,31)&lt;DATE(CC$3,MONTH(情報入力!$C$23),DAY(情報入力!$C$23)),1,0)))</f>
        <v/>
      </c>
      <c r="CD8" s="218">
        <f>IF(CD$3="","",IF(情報入力!$C$23="","",YEAR(DATE(CD$3,12,31))-YEAR(情報入力!$C$23)-IF(DATE(CD$3,12,31)&lt;DATE(CD$3,MONTH(情報入力!$C$23),DAY(情報入力!$C$23)),1,0)))</f>
        <v/>
      </c>
      <c r="CE8" s="218">
        <f>IF(CE$3="","",IF(情報入力!$C$23="","",YEAR(DATE(CE$3,12,31))-YEAR(情報入力!$C$23)-IF(DATE(CE$3,12,31)&lt;DATE(CE$3,MONTH(情報入力!$C$23),DAY(情報入力!$C$23)),1,0)))</f>
        <v/>
      </c>
      <c r="CF8" s="218">
        <f>IF(CF$3="","",IF(情報入力!$C$23="","",YEAR(DATE(CF$3,12,31))-YEAR(情報入力!$C$23)-IF(DATE(CF$3,12,31)&lt;DATE(CF$3,MONTH(情報入力!$C$23),DAY(情報入力!$C$23)),1,0)))</f>
        <v/>
      </c>
      <c r="CG8" s="218">
        <f>IF(CG$3="","",IF(情報入力!$C$23="","",YEAR(DATE(CG$3,12,31))-YEAR(情報入力!$C$23)-IF(DATE(CG$3,12,31)&lt;DATE(CG$3,MONTH(情報入力!$C$23),DAY(情報入力!$C$23)),1,0)))</f>
        <v/>
      </c>
      <c r="CH8" s="218">
        <f>IF(CH$3="","",IF(情報入力!$C$23="","",YEAR(DATE(CH$3,12,31))-YEAR(情報入力!$C$23)-IF(DATE(CH$3,12,31)&lt;DATE(CH$3,MONTH(情報入力!$C$23),DAY(情報入力!$C$23)),1,0)))</f>
        <v/>
      </c>
      <c r="CI8" s="218">
        <f>IF(CI$3="","",IF(情報入力!$C$23="","",YEAR(DATE(CI$3,12,31))-YEAR(情報入力!$C$23)-IF(DATE(CI$3,12,31)&lt;DATE(CI$3,MONTH(情報入力!$C$23),DAY(情報入力!$C$23)),1,0)))</f>
        <v/>
      </c>
      <c r="CJ8" s="218">
        <f>IF(CJ$3="","",IF(情報入力!$C$23="","",YEAR(DATE(CJ$3,12,31))-YEAR(情報入力!$C$23)-IF(DATE(CJ$3,12,31)&lt;DATE(CJ$3,MONTH(情報入力!$C$23),DAY(情報入力!$C$23)),1,0)))</f>
        <v/>
      </c>
      <c r="CK8" s="218">
        <f>IF(CK$3="","",IF(情報入力!$C$23="","",YEAR(DATE(CK$3,12,31))-YEAR(情報入力!$C$23)-IF(DATE(CK$3,12,31)&lt;DATE(CK$3,MONTH(情報入力!$C$23),DAY(情報入力!$C$23)),1,0)))</f>
        <v/>
      </c>
      <c r="CL8" s="218">
        <f>IF(CL$3="","",IF(情報入力!$C$23="","",YEAR(DATE(CL$3,12,31))-YEAR(情報入力!$C$23)-IF(DATE(CL$3,12,31)&lt;DATE(CL$3,MONTH(情報入力!$C$23),DAY(情報入力!$C$23)),1,0)))</f>
        <v/>
      </c>
      <c r="CM8" s="218">
        <f>IF(CM$3="","",IF(情報入力!$C$23="","",YEAR(DATE(CM$3,12,31))-YEAR(情報入力!$C$23)-IF(DATE(CM$3,12,31)&lt;DATE(CM$3,MONTH(情報入力!$C$23),DAY(情報入力!$C$23)),1,0)))</f>
        <v/>
      </c>
      <c r="CN8" s="218">
        <f>IF(CN$3="","",IF(情報入力!$C$23="","",YEAR(DATE(CN$3,12,31))-YEAR(情報入力!$C$23)-IF(DATE(CN$3,12,31)&lt;DATE(CN$3,MONTH(情報入力!$C$23),DAY(情報入力!$C$23)),1,0)))</f>
        <v/>
      </c>
      <c r="CO8" s="218">
        <f>IF(CO$3="","",IF(情報入力!$C$23="","",YEAR(DATE(CO$3,12,31))-YEAR(情報入力!$C$23)-IF(DATE(CO$3,12,31)&lt;DATE(CO$3,MONTH(情報入力!$C$23),DAY(情報入力!$C$23)),1,0)))</f>
        <v/>
      </c>
      <c r="CP8" s="218">
        <f>IF(CP$3="","",IF(情報入力!$C$23="","",YEAR(DATE(CP$3,12,31))-YEAR(情報入力!$C$23)-IF(DATE(CP$3,12,31)&lt;DATE(CP$3,MONTH(情報入力!$C$23),DAY(情報入力!$C$23)),1,0)))</f>
        <v/>
      </c>
      <c r="CQ8" s="218">
        <f>IF(CQ$3="","",IF(情報入力!$C$23="","",YEAR(DATE(CQ$3,12,31))-YEAR(情報入力!$C$23)-IF(DATE(CQ$3,12,31)&lt;DATE(CQ$3,MONTH(情報入力!$C$23),DAY(情報入力!$C$23)),1,0)))</f>
        <v/>
      </c>
      <c r="CR8" s="218">
        <f>IF(CR$3="","",IF(情報入力!$C$23="","",YEAR(DATE(CR$3,12,31))-YEAR(情報入力!$C$23)-IF(DATE(CR$3,12,31)&lt;DATE(CR$3,MONTH(情報入力!$C$23),DAY(情報入力!$C$23)),1,0)))</f>
        <v/>
      </c>
      <c r="CS8" s="218">
        <f>IF(CS$3="","",IF(情報入力!$C$23="","",YEAR(DATE(CS$3,12,31))-YEAR(情報入力!$C$23)-IF(DATE(CS$3,12,31)&lt;DATE(CS$3,MONTH(情報入力!$C$23),DAY(情報入力!$C$23)),1,0)))</f>
        <v/>
      </c>
      <c r="CT8" s="218">
        <f>IF(CT$3="","",IF(情報入力!$C$23="","",YEAR(DATE(CT$3,12,31))-YEAR(情報入力!$C$23)-IF(DATE(CT$3,12,31)&lt;DATE(CT$3,MONTH(情報入力!$C$23),DAY(情報入力!$C$23)),1,0)))</f>
        <v/>
      </c>
      <c r="CU8" s="218">
        <f>IF(CU$3="","",IF(情報入力!$C$23="","",YEAR(DATE(CU$3,12,31))-YEAR(情報入力!$C$23)-IF(DATE(CU$3,12,31)&lt;DATE(CU$3,MONTH(情報入力!$C$23),DAY(情報入力!$C$23)),1,0)))</f>
        <v/>
      </c>
      <c r="CV8" s="218">
        <f>IF(CV$3="","",IF(情報入力!$C$23="","",YEAR(DATE(CV$3,12,31))-YEAR(情報入力!$C$23)-IF(DATE(CV$3,12,31)&lt;DATE(CV$3,MONTH(情報入力!$C$23),DAY(情報入力!$C$23)),1,0)))</f>
        <v/>
      </c>
      <c r="CW8" s="218">
        <f>IF(CW$3="","",IF(情報入力!$C$23="","",YEAR(DATE(CW$3,12,31))-YEAR(情報入力!$C$23)-IF(DATE(CW$3,12,31)&lt;DATE(CW$3,MONTH(情報入力!$C$23),DAY(情報入力!$C$23)),1,0)))</f>
        <v/>
      </c>
    </row>
    <row r="9" ht="15" customHeight="1" s="180">
      <c r="A9" s="205" t="inlineStr">
        <is>
          <t>家族年齢</t>
        </is>
      </c>
      <c r="B9" s="219" t="n"/>
      <c r="C9" s="219" t="n"/>
      <c r="D9" s="219" t="n"/>
      <c r="E9" s="219" t="n"/>
      <c r="F9" s="219" t="n"/>
      <c r="G9" s="219" t="n"/>
      <c r="H9" s="219" t="n"/>
      <c r="I9" s="219" t="n"/>
      <c r="J9" s="219" t="n"/>
      <c r="K9" s="219" t="n"/>
      <c r="L9" s="219" t="n"/>
      <c r="M9" s="219" t="n"/>
      <c r="N9" s="219" t="n"/>
      <c r="O9" s="219" t="n"/>
      <c r="P9" s="219" t="n"/>
      <c r="Q9" s="219" t="n"/>
      <c r="R9" s="219" t="n"/>
      <c r="S9" s="219" t="n"/>
      <c r="T9" s="219" t="n"/>
      <c r="U9" s="219" t="n"/>
      <c r="V9" s="219" t="n"/>
      <c r="W9" s="219" t="n"/>
      <c r="X9" s="219" t="n"/>
      <c r="Y9" s="219" t="n"/>
      <c r="Z9" s="219" t="n"/>
      <c r="AA9" s="219" t="n"/>
      <c r="AB9" s="219" t="n"/>
      <c r="AC9" s="219" t="n"/>
      <c r="AD9" s="219" t="n"/>
      <c r="AE9" s="219" t="n"/>
      <c r="AF9" s="219" t="n"/>
      <c r="AG9" s="219" t="n"/>
      <c r="AH9" s="219" t="n"/>
      <c r="AI9" s="219" t="n"/>
      <c r="AJ9" s="219" t="n"/>
      <c r="AK9" s="219" t="n"/>
      <c r="AL9" s="219" t="n"/>
      <c r="AM9" s="219" t="n"/>
      <c r="AN9" s="219" t="n"/>
      <c r="AO9" s="219" t="n"/>
      <c r="AP9" s="219" t="n"/>
      <c r="AQ9" s="219" t="n"/>
      <c r="AR9" s="219" t="n"/>
      <c r="AS9" s="219" t="n"/>
      <c r="AT9" s="219" t="n"/>
      <c r="AU9" s="219" t="n"/>
      <c r="AV9" s="219" t="n"/>
      <c r="AW9" s="219" t="n"/>
      <c r="AX9" s="219" t="n"/>
      <c r="AY9" s="219" t="n"/>
      <c r="AZ9" s="219" t="n"/>
      <c r="BA9" s="219" t="n"/>
      <c r="BB9" s="219" t="n"/>
      <c r="BC9" s="219" t="n"/>
      <c r="BD9" s="219" t="n"/>
      <c r="BE9" s="219" t="n"/>
      <c r="BF9" s="219" t="n"/>
      <c r="BG9" s="219" t="n"/>
      <c r="BH9" s="219" t="n"/>
      <c r="BI9" s="219" t="n"/>
      <c r="BJ9" s="219" t="n"/>
      <c r="BK9" s="219" t="n"/>
      <c r="BL9" s="219" t="n"/>
      <c r="BM9" s="219" t="n"/>
      <c r="BN9" s="219" t="n"/>
      <c r="BO9" s="219" t="n"/>
      <c r="BP9" s="219" t="n"/>
      <c r="BQ9" s="219" t="n"/>
      <c r="BR9" s="219" t="n"/>
      <c r="BS9" s="219" t="n"/>
      <c r="BT9" s="219" t="n"/>
      <c r="BU9" s="219" t="n"/>
      <c r="BV9" s="219" t="n"/>
      <c r="BW9" s="219" t="n"/>
      <c r="BX9" s="219" t="n"/>
      <c r="BY9" s="219" t="n"/>
      <c r="BZ9" s="219" t="n"/>
      <c r="CA9" s="219" t="n"/>
      <c r="CB9" s="219" t="n"/>
      <c r="CC9" s="219" t="n"/>
      <c r="CD9" s="219" t="n"/>
      <c r="CE9" s="219" t="n"/>
      <c r="CF9" s="219" t="n"/>
      <c r="CG9" s="219" t="n"/>
      <c r="CH9" s="219" t="n"/>
      <c r="CI9" s="219" t="n"/>
      <c r="CJ9" s="219" t="n"/>
      <c r="CK9" s="219" t="n"/>
      <c r="CL9" s="219" t="n"/>
      <c r="CM9" s="219" t="n"/>
      <c r="CN9" s="219" t="n"/>
      <c r="CO9" s="219" t="n"/>
      <c r="CP9" s="219" t="n"/>
      <c r="CQ9" s="219" t="n"/>
      <c r="CR9" s="219" t="n"/>
      <c r="CS9" s="219" t="n"/>
      <c r="CT9" s="219" t="n"/>
      <c r="CU9" s="219" t="n"/>
      <c r="CV9" s="219" t="n"/>
      <c r="CW9" s="219" t="n"/>
    </row>
    <row r="10" ht="15" customHeight="1" s="180">
      <c r="A10" s="220" t="inlineStr">
        <is>
          <t>ご主人様収入</t>
        </is>
      </c>
      <c r="B10" s="350">
        <f>IF(B$3="","",IF(B4&lt;入力データ!$C$109,((入力データ!$C$29*12)+IF(入力データ!$C$31="あり",入力データ!$C$32,0))*(1+前提条件!$C$5)^(B$3-$B$3),0))</f>
        <v/>
      </c>
      <c r="C10" s="350">
        <f>IF(C$3="","",IF(C4&lt;入力データ!$C$109,((入力データ!$C$29*12)+IF(入力データ!$C$31="あり",入力データ!$C$32,0))*(1+前提条件!$C$5)^(C$3-$B$3),0))</f>
        <v/>
      </c>
      <c r="D10" s="350">
        <f>IF(D$3="","",IF(D4&lt;入力データ!$C$109,((入力データ!$C$29*12)+IF(入力データ!$C$31="あり",入力データ!$C$32,0))*(1+前提条件!$C$5)^(D$3-$B$3),0))</f>
        <v/>
      </c>
      <c r="E10" s="350">
        <f>IF(E$3="","",IF(E4&lt;入力データ!$C$109,((入力データ!$C$29*12)+IF(入力データ!$C$31="あり",入力データ!$C$32,0))*(1+前提条件!$C$5)^(E$3-$B$3),0))</f>
        <v/>
      </c>
      <c r="F10" s="350">
        <f>IF(F$3="","",IF(F4&lt;入力データ!$C$109,((入力データ!$C$29*12)+IF(入力データ!$C$31="あり",入力データ!$C$32,0))*(1+前提条件!$C$5)^(F$3-$B$3),0))</f>
        <v/>
      </c>
      <c r="G10" s="350">
        <f>IF(G$3="","",IF(G4&lt;入力データ!$C$109,((入力データ!$C$29*12)+IF(入力データ!$C$31="あり",入力データ!$C$32,0))*(1+前提条件!$C$5)^(G$3-$B$3),0))</f>
        <v/>
      </c>
      <c r="H10" s="350">
        <f>IF(H$3="","",IF(H4&lt;入力データ!$C$109,((入力データ!$C$29*12)+IF(入力データ!$C$31="あり",入力データ!$C$32,0))*(1+前提条件!$C$5)^(H$3-$B$3),0))</f>
        <v/>
      </c>
      <c r="I10" s="350">
        <f>IF(I$3="","",IF(I4&lt;入力データ!$C$109,((入力データ!$C$29*12)+IF(入力データ!$C$31="あり",入力データ!$C$32,0))*(1+前提条件!$C$5)^(I$3-$B$3),0))</f>
        <v/>
      </c>
      <c r="J10" s="350">
        <f>IF(J$3="","",IF(J4&lt;入力データ!$C$109,((入力データ!$C$29*12)+IF(入力データ!$C$31="あり",入力データ!$C$32,0))*(1+前提条件!$C$5)^(J$3-$B$3),0))</f>
        <v/>
      </c>
      <c r="K10" s="350">
        <f>IF(K$3="","",IF(K4&lt;入力データ!$C$109,((入力データ!$C$29*12)+IF(入力データ!$C$31="あり",入力データ!$C$32,0))*(1+前提条件!$C$5)^(K$3-$B$3),0))</f>
        <v/>
      </c>
      <c r="L10" s="350">
        <f>IF(L$3="","",IF(L4&lt;入力データ!$C$109,((入力データ!$C$29*12)+IF(入力データ!$C$31="あり",入力データ!$C$32,0))*(1+前提条件!$C$5)^(L$3-$B$3),0))</f>
        <v/>
      </c>
      <c r="M10" s="350">
        <f>IF(M$3="","",IF(M4&lt;入力データ!$C$109,((入力データ!$C$29*12)+IF(入力データ!$C$31="あり",入力データ!$C$32,0))*(1+前提条件!$C$5)^(M$3-$B$3),0))</f>
        <v/>
      </c>
      <c r="N10" s="350">
        <f>IF(N$3="","",IF(N4&lt;入力データ!$C$109,((入力データ!$C$29*12)+IF(入力データ!$C$31="あり",入力データ!$C$32,0))*(1+前提条件!$C$5)^(N$3-$B$3),0))</f>
        <v/>
      </c>
      <c r="O10" s="350">
        <f>IF(O$3="","",IF(O4&lt;入力データ!$C$109,((入力データ!$C$29*12)+IF(入力データ!$C$31="あり",入力データ!$C$32,0))*(1+前提条件!$C$5)^(O$3-$B$3),0))</f>
        <v/>
      </c>
      <c r="P10" s="350">
        <f>IF(P$3="","",IF(P4&lt;入力データ!$C$109,((入力データ!$C$29*12)+IF(入力データ!$C$31="あり",入力データ!$C$32,0))*(1+前提条件!$C$5)^(P$3-$B$3),0))</f>
        <v/>
      </c>
      <c r="Q10" s="350">
        <f>IF(Q$3="","",IF(Q4&lt;入力データ!$C$109,((入力データ!$C$29*12)+IF(入力データ!$C$31="あり",入力データ!$C$32,0))*(1+前提条件!$C$5)^(Q$3-$B$3),0))</f>
        <v/>
      </c>
      <c r="R10" s="350">
        <f>IF(R$3="","",IF(R4&lt;入力データ!$C$109,((入力データ!$C$29*12)+IF(入力データ!$C$31="あり",入力データ!$C$32,0))*(1+前提条件!$C$5)^(R$3-$B$3),0))</f>
        <v/>
      </c>
      <c r="S10" s="350">
        <f>IF(S$3="","",IF(S4&lt;入力データ!$C$109,((入力データ!$C$29*12)+IF(入力データ!$C$31="あり",入力データ!$C$32,0))*(1+前提条件!$C$5)^(S$3-$B$3),0))</f>
        <v/>
      </c>
      <c r="T10" s="350">
        <f>IF(T$3="","",IF(T4&lt;入力データ!$C$109,((入力データ!$C$29*12)+IF(入力データ!$C$31="あり",入力データ!$C$32,0))*(1+前提条件!$C$5)^(T$3-$B$3),0))</f>
        <v/>
      </c>
      <c r="U10" s="350">
        <f>IF(U$3="","",IF(U4&lt;入力データ!$C$109,((入力データ!$C$29*12)+IF(入力データ!$C$31="あり",入力データ!$C$32,0))*(1+前提条件!$C$5)^(U$3-$B$3),0))</f>
        <v/>
      </c>
      <c r="V10" s="350">
        <f>IF(V$3="","",IF(V4&lt;入力データ!$C$109,((入力データ!$C$29*12)+IF(入力データ!$C$31="あり",入力データ!$C$32,0))*(1+前提条件!$C$5)^(V$3-$B$3),0))</f>
        <v/>
      </c>
      <c r="W10" s="350">
        <f>IF(W$3="","",IF(W4&lt;入力データ!$C$109,((入力データ!$C$29*12)+IF(入力データ!$C$31="あり",入力データ!$C$32,0))*(1+前提条件!$C$5)^(W$3-$B$3),0))</f>
        <v/>
      </c>
      <c r="X10" s="350">
        <f>IF(X$3="","",IF(X4&lt;入力データ!$C$109,((入力データ!$C$29*12)+IF(入力データ!$C$31="あり",入力データ!$C$32,0))*(1+前提条件!$C$5)^(X$3-$B$3),0))</f>
        <v/>
      </c>
      <c r="Y10" s="350">
        <f>IF(Y$3="","",IF(Y4&lt;入力データ!$C$109,((入力データ!$C$29*12)+IF(入力データ!$C$31="あり",入力データ!$C$32,0))*(1+前提条件!$C$5)^(Y$3-$B$3),0))</f>
        <v/>
      </c>
      <c r="Z10" s="350">
        <f>IF(Z$3="","",IF(Z4&lt;入力データ!$C$109,((入力データ!$C$29*12)+IF(入力データ!$C$31="あり",入力データ!$C$32,0))*(1+前提条件!$C$5)^(Z$3-$B$3),0))</f>
        <v/>
      </c>
      <c r="AA10" s="350">
        <f>IF(AA$3="","",IF(AA4&lt;入力データ!$C$109,((入力データ!$C$29*12)+IF(入力データ!$C$31="あり",入力データ!$C$32,0))*(1+前提条件!$C$5)^(AA$3-$B$3),0))</f>
        <v/>
      </c>
      <c r="AB10" s="350">
        <f>IF(AB$3="","",IF(AB4&lt;入力データ!$C$109,((入力データ!$C$29*12)+IF(入力データ!$C$31="あり",入力データ!$C$32,0))*(1+前提条件!$C$5)^(AB$3-$B$3),0))</f>
        <v/>
      </c>
      <c r="AC10" s="350">
        <f>IF(AC$3="","",IF(AC4&lt;入力データ!$C$109,((入力データ!$C$29*12)+IF(入力データ!$C$31="あり",入力データ!$C$32,0))*(1+前提条件!$C$5)^(AC$3-$B$3),0))</f>
        <v/>
      </c>
      <c r="AD10" s="350">
        <f>IF(AD$3="","",IF(AD4&lt;入力データ!$C$109,((入力データ!$C$29*12)+IF(入力データ!$C$31="あり",入力データ!$C$32,0))*(1+前提条件!$C$5)^(AD$3-$B$3),0))</f>
        <v/>
      </c>
      <c r="AE10" s="350">
        <f>IF(AE$3="","",IF(AE4&lt;入力データ!$C$109,((入力データ!$C$29*12)+IF(入力データ!$C$31="あり",入力データ!$C$32,0))*(1+前提条件!$C$5)^(AE$3-$B$3),0))</f>
        <v/>
      </c>
      <c r="AF10" s="350">
        <f>IF(AF$3="","",IF(AF4&lt;入力データ!$C$109,((入力データ!$C$29*12)+IF(入力データ!$C$31="あり",入力データ!$C$32,0))*(1+前提条件!$C$5)^(AF$3-$B$3),0))</f>
        <v/>
      </c>
      <c r="AG10" s="350">
        <f>IF(AG$3="","",IF(AG4&lt;入力データ!$C$109,((入力データ!$C$29*12)+IF(入力データ!$C$31="あり",入力データ!$C$32,0))*(1+前提条件!$C$5)^(AG$3-$B$3),0))</f>
        <v/>
      </c>
      <c r="AH10" s="350">
        <f>IF(AH$3="","",IF(AH4&lt;入力データ!$C$109,((入力データ!$C$29*12)+IF(入力データ!$C$31="あり",入力データ!$C$32,0))*(1+前提条件!$C$5)^(AH$3-$B$3),0))</f>
        <v/>
      </c>
      <c r="AI10" s="350">
        <f>IF(AI$3="","",IF(AI4&lt;入力データ!$C$109,((入力データ!$C$29*12)+IF(入力データ!$C$31="あり",入力データ!$C$32,0))*(1+前提条件!$C$5)^(AI$3-$B$3),0))</f>
        <v/>
      </c>
      <c r="AJ10" s="350">
        <f>IF(AJ$3="","",IF(AJ4&lt;入力データ!$C$109,((入力データ!$C$29*12)+IF(入力データ!$C$31="あり",入力データ!$C$32,0))*(1+前提条件!$C$5)^(AJ$3-$B$3),0))</f>
        <v/>
      </c>
      <c r="AK10" s="350">
        <f>IF(AK$3="","",IF(AK4&lt;入力データ!$C$109,((入力データ!$C$29*12)+IF(入力データ!$C$31="あり",入力データ!$C$32,0))*(1+前提条件!$C$5)^(AK$3-$B$3),0))</f>
        <v/>
      </c>
      <c r="AL10" s="350">
        <f>IF(AL$3="","",IF(AL4&lt;入力データ!$C$109,((入力データ!$C$29*12)+IF(入力データ!$C$31="あり",入力データ!$C$32,0))*(1+前提条件!$C$5)^(AL$3-$B$3),0))</f>
        <v/>
      </c>
      <c r="AM10" s="350">
        <f>IF(AM$3="","",IF(AM4&lt;入力データ!$C$109,((入力データ!$C$29*12)+IF(入力データ!$C$31="あり",入力データ!$C$32,0))*(1+前提条件!$C$5)^(AM$3-$B$3),0))</f>
        <v/>
      </c>
      <c r="AN10" s="350">
        <f>IF(AN$3="","",IF(AN4&lt;入力データ!$C$109,((入力データ!$C$29*12)+IF(入力データ!$C$31="あり",入力データ!$C$32,0))*(1+前提条件!$C$5)^(AN$3-$B$3),0))</f>
        <v/>
      </c>
      <c r="AO10" s="350">
        <f>IF(AO$3="","",IF(AO4&lt;入力データ!$C$109,((入力データ!$C$29*12)+IF(入力データ!$C$31="あり",入力データ!$C$32,0))*(1+前提条件!$C$5)^(AO$3-$B$3),0))</f>
        <v/>
      </c>
      <c r="AP10" s="350">
        <f>IF(AP$3="","",IF(AP4&lt;入力データ!$C$109,((入力データ!$C$29*12)+IF(入力データ!$C$31="あり",入力データ!$C$32,0))*(1+前提条件!$C$5)^(AP$3-$B$3),0))</f>
        <v/>
      </c>
      <c r="AQ10" s="350">
        <f>IF(AQ$3="","",IF(AQ4&lt;入力データ!$C$109,((入力データ!$C$29*12)+IF(入力データ!$C$31="あり",入力データ!$C$32,0))*(1+前提条件!$C$5)^(AQ$3-$B$3),0))</f>
        <v/>
      </c>
      <c r="AR10" s="350">
        <f>IF(AR$3="","",IF(AR4&lt;入力データ!$C$109,((入力データ!$C$29*12)+IF(入力データ!$C$31="あり",入力データ!$C$32,0))*(1+前提条件!$C$5)^(AR$3-$B$3),0))</f>
        <v/>
      </c>
      <c r="AS10" s="350">
        <f>IF(AS$3="","",IF(AS4&lt;入力データ!$C$109,((入力データ!$C$29*12)+IF(入力データ!$C$31="あり",入力データ!$C$32,0))*(1+前提条件!$C$5)^(AS$3-$B$3),0))</f>
        <v/>
      </c>
      <c r="AT10" s="350">
        <f>IF(AT$3="","",IF(AT4&lt;入力データ!$C$109,((入力データ!$C$29*12)+IF(入力データ!$C$31="あり",入力データ!$C$32,0))*(1+前提条件!$C$5)^(AT$3-$B$3),0))</f>
        <v/>
      </c>
      <c r="AU10" s="350">
        <f>IF(AU$3="","",IF(AU4&lt;入力データ!$C$109,((入力データ!$C$29*12)+IF(入力データ!$C$31="あり",入力データ!$C$32,0))*(1+前提条件!$C$5)^(AU$3-$B$3),0))</f>
        <v/>
      </c>
      <c r="AV10" s="350">
        <f>IF(AV$3="","",IF(AV4&lt;入力データ!$C$109,((入力データ!$C$29*12)+IF(入力データ!$C$31="あり",入力データ!$C$32,0))*(1+前提条件!$C$5)^(AV$3-$B$3),0))</f>
        <v/>
      </c>
      <c r="AW10" s="350">
        <f>IF(AW$3="","",IF(AW4&lt;入力データ!$C$109,((入力データ!$C$29*12)+IF(入力データ!$C$31="あり",入力データ!$C$32,0))*(1+前提条件!$C$5)^(AW$3-$B$3),0))</f>
        <v/>
      </c>
      <c r="AX10" s="350">
        <f>IF(AX$3="","",IF(AX4&lt;入力データ!$C$109,((入力データ!$C$29*12)+IF(入力データ!$C$31="あり",入力データ!$C$32,0))*(1+前提条件!$C$5)^(AX$3-$B$3),0))</f>
        <v/>
      </c>
      <c r="AY10" s="350">
        <f>IF(AY$3="","",IF(AY4&lt;入力データ!$C$109,((入力データ!$C$29*12)+IF(入力データ!$C$31="あり",入力データ!$C$32,0))*(1+前提条件!$C$5)^(AY$3-$B$3),0))</f>
        <v/>
      </c>
      <c r="AZ10" s="350">
        <f>IF(AZ$3="","",IF(AZ4&lt;入力データ!$C$109,((入力データ!$C$29*12)+IF(入力データ!$C$31="あり",入力データ!$C$32,0))*(1+前提条件!$C$5)^(AZ$3-$B$3),0))</f>
        <v/>
      </c>
      <c r="BA10" s="350">
        <f>IF(BA$3="","",IF(BA4&lt;入力データ!$C$109,((入力データ!$C$29*12)+IF(入力データ!$C$31="あり",入力データ!$C$32,0))*(1+前提条件!$C$5)^(BA$3-$B$3),0))</f>
        <v/>
      </c>
      <c r="BB10" s="350">
        <f>IF(BB$3="","",IF(BB4&lt;入力データ!$C$109,((入力データ!$C$29*12)+IF(入力データ!$C$31="あり",入力データ!$C$32,0))*(1+前提条件!$C$5)^(BB$3-$B$3),0))</f>
        <v/>
      </c>
      <c r="BC10" s="350">
        <f>IF(BC$3="","",IF(BC4&lt;入力データ!$C$109,((入力データ!$C$29*12)+IF(入力データ!$C$31="あり",入力データ!$C$32,0))*(1+前提条件!$C$5)^(BC$3-$B$3),0))</f>
        <v/>
      </c>
      <c r="BD10" s="350">
        <f>IF(BD$3="","",IF(BD4&lt;入力データ!$C$109,((入力データ!$C$29*12)+IF(入力データ!$C$31="あり",入力データ!$C$32,0))*(1+前提条件!$C$5)^(BD$3-$B$3),0))</f>
        <v/>
      </c>
      <c r="BE10" s="350">
        <f>IF(BE$3="","",IF(BE4&lt;入力データ!$C$109,((入力データ!$C$29*12)+IF(入力データ!$C$31="あり",入力データ!$C$32,0))*(1+前提条件!$C$5)^(BE$3-$B$3),0))</f>
        <v/>
      </c>
      <c r="BF10" s="350">
        <f>IF(BF$3="","",IF(BF4&lt;入力データ!$C$109,((入力データ!$C$29*12)+IF(入力データ!$C$31="あり",入力データ!$C$32,0))*(1+前提条件!$C$5)^(BF$3-$B$3),0))</f>
        <v/>
      </c>
      <c r="BG10" s="350">
        <f>IF(BG$3="","",IF(BG4&lt;入力データ!$C$109,((入力データ!$C$29*12)+IF(入力データ!$C$31="あり",入力データ!$C$32,0))*(1+前提条件!$C$5)^(BG$3-$B$3),0))</f>
        <v/>
      </c>
      <c r="BH10" s="350">
        <f>IF(BH$3="","",IF(BH4&lt;入力データ!$C$109,((入力データ!$C$29*12)+IF(入力データ!$C$31="あり",入力データ!$C$32,0))*(1+前提条件!$C$5)^(BH$3-$B$3),0))</f>
        <v/>
      </c>
      <c r="BI10" s="350">
        <f>IF(BI$3="","",IF(BI4&lt;入力データ!$C$109,((入力データ!$C$29*12)+IF(入力データ!$C$31="あり",入力データ!$C$32,0))*(1+前提条件!$C$5)^(BI$3-$B$3),0))</f>
        <v/>
      </c>
      <c r="BJ10" s="350">
        <f>IF(BJ$3="","",IF(BJ4&lt;入力データ!$C$109,((入力データ!$C$29*12)+IF(入力データ!$C$31="あり",入力データ!$C$32,0))*(1+前提条件!$C$5)^(BJ$3-$B$3),0))</f>
        <v/>
      </c>
      <c r="BK10" s="350">
        <f>IF(BK$3="","",IF(BK4&lt;入力データ!$C$109,((入力データ!$C$29*12)+IF(入力データ!$C$31="あり",入力データ!$C$32,0))*(1+前提条件!$C$5)^(BK$3-$B$3),0))</f>
        <v/>
      </c>
      <c r="BL10" s="350">
        <f>IF(BL$3="","",IF(BL4&lt;入力データ!$C$109,((入力データ!$C$29*12)+IF(入力データ!$C$31="あり",入力データ!$C$32,0))*(1+前提条件!$C$5)^(BL$3-$B$3),0))</f>
        <v/>
      </c>
      <c r="BM10" s="350">
        <f>IF(BM$3="","",IF(BM4&lt;入力データ!$C$109,((入力データ!$C$29*12)+IF(入力データ!$C$31="あり",入力データ!$C$32,0))*(1+前提条件!$C$5)^(BM$3-$B$3),0))</f>
        <v/>
      </c>
      <c r="BN10" s="350">
        <f>IF(BN$3="","",IF(BN4&lt;入力データ!$C$109,((入力データ!$C$29*12)+IF(入力データ!$C$31="あり",入力データ!$C$32,0))*(1+前提条件!$C$5)^(BN$3-$B$3),0))</f>
        <v/>
      </c>
      <c r="BO10" s="350">
        <f>IF(BO$3="","",IF(BO4&lt;入力データ!$C$109,((入力データ!$C$29*12)+IF(入力データ!$C$31="あり",入力データ!$C$32,0))*(1+前提条件!$C$5)^(BO$3-$B$3),0))</f>
        <v/>
      </c>
      <c r="BP10" s="350">
        <f>IF(BP$3="","",IF(BP4&lt;入力データ!$C$109,((入力データ!$C$29*12)+IF(入力データ!$C$31="あり",入力データ!$C$32,0))*(1+前提条件!$C$5)^(BP$3-$B$3),0))</f>
        <v/>
      </c>
      <c r="BQ10" s="350">
        <f>IF(BQ$3="","",IF(BQ4&lt;入力データ!$C$109,((入力データ!$C$29*12)+IF(入力データ!$C$31="あり",入力データ!$C$32,0))*(1+前提条件!$C$5)^(BQ$3-$B$3),0))</f>
        <v/>
      </c>
      <c r="BR10" s="350">
        <f>IF(BR$3="","",IF(BR4&lt;入力データ!$C$109,((入力データ!$C$29*12)+IF(入力データ!$C$31="あり",入力データ!$C$32,0))*(1+前提条件!$C$5)^(BR$3-$B$3),0))</f>
        <v/>
      </c>
      <c r="BS10" s="350">
        <f>IF(BS$3="","",IF(BS4&lt;入力データ!$C$109,((入力データ!$C$29*12)+IF(入力データ!$C$31="あり",入力データ!$C$32,0))*(1+前提条件!$C$5)^(BS$3-$B$3),0))</f>
        <v/>
      </c>
      <c r="BT10" s="350">
        <f>IF(BT$3="","",IF(BT4&lt;入力データ!$C$109,((入力データ!$C$29*12)+IF(入力データ!$C$31="あり",入力データ!$C$32,0))*(1+前提条件!$C$5)^(BT$3-$B$3),0))</f>
        <v/>
      </c>
      <c r="BU10" s="350">
        <f>IF(BU$3="","",IF(BU4&lt;入力データ!$C$109,((入力データ!$C$29*12)+IF(入力データ!$C$31="あり",入力データ!$C$32,0))*(1+前提条件!$C$5)^(BU$3-$B$3),0))</f>
        <v/>
      </c>
      <c r="BV10" s="350">
        <f>IF(BV$3="","",IF(BV4&lt;入力データ!$C$109,((入力データ!$C$29*12)+IF(入力データ!$C$31="あり",入力データ!$C$32,0))*(1+前提条件!$C$5)^(BV$3-$B$3),0))</f>
        <v/>
      </c>
      <c r="BW10" s="350">
        <f>IF(BW$3="","",IF(BW4&lt;入力データ!$C$109,((入力データ!$C$29*12)+IF(入力データ!$C$31="あり",入力データ!$C$32,0))*(1+前提条件!$C$5)^(BW$3-$B$3),0))</f>
        <v/>
      </c>
      <c r="BX10" s="350">
        <f>IF(BX$3="","",IF(BX4&lt;入力データ!$C$109,((入力データ!$C$29*12)+IF(入力データ!$C$31="あり",入力データ!$C$32,0))*(1+前提条件!$C$5)^(BX$3-$B$3),0))</f>
        <v/>
      </c>
      <c r="BY10" s="350">
        <f>IF(BY$3="","",IF(BY4&lt;入力データ!$C$109,((入力データ!$C$29*12)+IF(入力データ!$C$31="あり",入力データ!$C$32,0))*(1+前提条件!$C$5)^(BY$3-$B$3),0))</f>
        <v/>
      </c>
      <c r="BZ10" s="350">
        <f>IF(BZ$3="","",IF(BZ4&lt;入力データ!$C$109,((入力データ!$C$29*12)+IF(入力データ!$C$31="あり",入力データ!$C$32,0))*(1+前提条件!$C$5)^(BZ$3-$B$3),0))</f>
        <v/>
      </c>
      <c r="CA10" s="350">
        <f>IF(CA$3="","",IF(CA4&lt;入力データ!$C$109,((入力データ!$C$29*12)+IF(入力データ!$C$31="あり",入力データ!$C$32,0))*(1+前提条件!$C$5)^(CA$3-$B$3),0))</f>
        <v/>
      </c>
      <c r="CB10" s="350">
        <f>IF(CB$3="","",IF(CB4&lt;入力データ!$C$109,((入力データ!$C$29*12)+IF(入力データ!$C$31="あり",入力データ!$C$32,0))*(1+前提条件!$C$5)^(CB$3-$B$3),0))</f>
        <v/>
      </c>
      <c r="CC10" s="350">
        <f>IF(CC$3="","",IF(CC4&lt;入力データ!$C$109,((入力データ!$C$29*12)+IF(入力データ!$C$31="あり",入力データ!$C$32,0))*(1+前提条件!$C$5)^(CC$3-$B$3),0))</f>
        <v/>
      </c>
      <c r="CD10" s="350">
        <f>IF(CD$3="","",IF(CD4&lt;入力データ!$C$109,((入力データ!$C$29*12)+IF(入力データ!$C$31="あり",入力データ!$C$32,0))*(1+前提条件!$C$5)^(CD$3-$B$3),0))</f>
        <v/>
      </c>
      <c r="CE10" s="350">
        <f>IF(CE$3="","",IF(CE4&lt;入力データ!$C$109,((入力データ!$C$29*12)+IF(入力データ!$C$31="あり",入力データ!$C$32,0))*(1+前提条件!$C$5)^(CE$3-$B$3),0))</f>
        <v/>
      </c>
      <c r="CF10" s="350">
        <f>IF(CF$3="","",IF(CF4&lt;入力データ!$C$109,((入力データ!$C$29*12)+IF(入力データ!$C$31="あり",入力データ!$C$32,0))*(1+前提条件!$C$5)^(CF$3-$B$3),0))</f>
        <v/>
      </c>
      <c r="CG10" s="350">
        <f>IF(CG$3="","",IF(CG4&lt;入力データ!$C$109,((入力データ!$C$29*12)+IF(入力データ!$C$31="あり",入力データ!$C$32,0))*(1+前提条件!$C$5)^(CG$3-$B$3),0))</f>
        <v/>
      </c>
      <c r="CH10" s="350">
        <f>IF(CH$3="","",IF(CH4&lt;入力データ!$C$109,((入力データ!$C$29*12)+IF(入力データ!$C$31="あり",入力データ!$C$32,0))*(1+前提条件!$C$5)^(CH$3-$B$3),0))</f>
        <v/>
      </c>
      <c r="CI10" s="350">
        <f>IF(CI$3="","",IF(CI4&lt;入力データ!$C$109,((入力データ!$C$29*12)+IF(入力データ!$C$31="あり",入力データ!$C$32,0))*(1+前提条件!$C$5)^(CI$3-$B$3),0))</f>
        <v/>
      </c>
      <c r="CJ10" s="350">
        <f>IF(CJ$3="","",IF(CJ4&lt;入力データ!$C$109,((入力データ!$C$29*12)+IF(入力データ!$C$31="あり",入力データ!$C$32,0))*(1+前提条件!$C$5)^(CJ$3-$B$3),0))</f>
        <v/>
      </c>
      <c r="CK10" s="350">
        <f>IF(CK$3="","",IF(CK4&lt;入力データ!$C$109,((入力データ!$C$29*12)+IF(入力データ!$C$31="あり",入力データ!$C$32,0))*(1+前提条件!$C$5)^(CK$3-$B$3),0))</f>
        <v/>
      </c>
      <c r="CL10" s="350">
        <f>IF(CL$3="","",IF(CL4&lt;入力データ!$C$109,((入力データ!$C$29*12)+IF(入力データ!$C$31="あり",入力データ!$C$32,0))*(1+前提条件!$C$5)^(CL$3-$B$3),0))</f>
        <v/>
      </c>
      <c r="CM10" s="350">
        <f>IF(CM$3="","",IF(CM4&lt;入力データ!$C$109,((入力データ!$C$29*12)+IF(入力データ!$C$31="あり",入力データ!$C$32,0))*(1+前提条件!$C$5)^(CM$3-$B$3),0))</f>
        <v/>
      </c>
      <c r="CN10" s="350">
        <f>IF(CN$3="","",IF(CN4&lt;入力データ!$C$109,((入力データ!$C$29*12)+IF(入力データ!$C$31="あり",入力データ!$C$32,0))*(1+前提条件!$C$5)^(CN$3-$B$3),0))</f>
        <v/>
      </c>
      <c r="CO10" s="350">
        <f>IF(CO$3="","",IF(CO4&lt;入力データ!$C$109,((入力データ!$C$29*12)+IF(入力データ!$C$31="あり",入力データ!$C$32,0))*(1+前提条件!$C$5)^(CO$3-$B$3),0))</f>
        <v/>
      </c>
      <c r="CP10" s="350">
        <f>IF(CP$3="","",IF(CP4&lt;入力データ!$C$109,((入力データ!$C$29*12)+IF(入力データ!$C$31="あり",入力データ!$C$32,0))*(1+前提条件!$C$5)^(CP$3-$B$3),0))</f>
        <v/>
      </c>
      <c r="CQ10" s="350">
        <f>IF(CQ$3="","",IF(CQ4&lt;入力データ!$C$109,((入力データ!$C$29*12)+IF(入力データ!$C$31="あり",入力データ!$C$32,0))*(1+前提条件!$C$5)^(CQ$3-$B$3),0))</f>
        <v/>
      </c>
      <c r="CR10" s="350">
        <f>IF(CR$3="","",IF(CR4&lt;入力データ!$C$109,((入力データ!$C$29*12)+IF(入力データ!$C$31="あり",入力データ!$C$32,0))*(1+前提条件!$C$5)^(CR$3-$B$3),0))</f>
        <v/>
      </c>
      <c r="CS10" s="350">
        <f>IF(CS$3="","",IF(CS4&lt;入力データ!$C$109,((入力データ!$C$29*12)+IF(入力データ!$C$31="あり",入力データ!$C$32,0))*(1+前提条件!$C$5)^(CS$3-$B$3),0))</f>
        <v/>
      </c>
      <c r="CT10" s="350">
        <f>IF(CT$3="","",IF(CT4&lt;入力データ!$C$109,((入力データ!$C$29*12)+IF(入力データ!$C$31="あり",入力データ!$C$32,0))*(1+前提条件!$C$5)^(CT$3-$B$3),0))</f>
        <v/>
      </c>
      <c r="CU10" s="350">
        <f>IF(CU$3="","",IF(CU4&lt;入力データ!$C$109,((入力データ!$C$29*12)+IF(入力データ!$C$31="あり",入力データ!$C$32,0))*(1+前提条件!$C$5)^(CU$3-$B$3),0))</f>
        <v/>
      </c>
      <c r="CV10" s="350">
        <f>IF(CV$3="","",IF(CV4&lt;入力データ!$C$109,((入力データ!$C$29*12)+IF(入力データ!$C$31="あり",入力データ!$C$32,0))*(1+前提条件!$C$5)^(CV$3-$B$3),0))</f>
        <v/>
      </c>
      <c r="CW10" s="350">
        <f>IF(CW$3="","",IF(CW4&lt;入力データ!$C$109,((入力データ!$C$29*12)+IF(入力データ!$C$31="あり",入力データ!$C$32,0))*(1+前提条件!$C$5)^(CW$3-$B$3),0))</f>
        <v/>
      </c>
    </row>
    <row r="11" ht="15" customHeight="1" s="180">
      <c r="A11" s="220" t="inlineStr">
        <is>
          <t>奥様収入</t>
        </is>
      </c>
      <c r="B11" s="350">
        <f>IF(B$3="","",IF(B5&lt;入力データ!$C$110,((入力データ!$C$30*12)+IF(入力データ!$C$31="あり",入力データ!$C$33,0))*(1+前提条件!$C$6)^(B$3-$B$3),0))</f>
        <v/>
      </c>
      <c r="C11" s="350">
        <f>IF(C$3="","",IF(C5&lt;入力データ!$C$110,((入力データ!$C$30*12)+IF(入力データ!$C$31="あり",入力データ!$C$33,0))*(1+前提条件!$C$6)^(C$3-$B$3),0))</f>
        <v/>
      </c>
      <c r="D11" s="350">
        <f>IF(D$3="","",IF(D5&lt;入力データ!$C$110,((入力データ!$C$30*12)+IF(入力データ!$C$31="あり",入力データ!$C$33,0))*(1+前提条件!$C$6)^(D$3-$B$3),0))</f>
        <v/>
      </c>
      <c r="E11" s="350">
        <f>IF(E$3="","",IF(E5&lt;入力データ!$C$110,((入力データ!$C$30*12)+IF(入力データ!$C$31="あり",入力データ!$C$33,0))*(1+前提条件!$C$6)^(E$3-$B$3),0))</f>
        <v/>
      </c>
      <c r="F11" s="350">
        <f>IF(F$3="","",IF(F5&lt;入力データ!$C$110,((入力データ!$C$30*12)+IF(入力データ!$C$31="あり",入力データ!$C$33,0))*(1+前提条件!$C$6)^(F$3-$B$3),0))</f>
        <v/>
      </c>
      <c r="G11" s="350">
        <f>IF(G$3="","",IF(G5&lt;入力データ!$C$110,((入力データ!$C$30*12)+IF(入力データ!$C$31="あり",入力データ!$C$33,0))*(1+前提条件!$C$6)^(G$3-$B$3),0))</f>
        <v/>
      </c>
      <c r="H11" s="350">
        <f>IF(H$3="","",IF(H5&lt;入力データ!$C$110,((入力データ!$C$30*12)+IF(入力データ!$C$31="あり",入力データ!$C$33,0))*(1+前提条件!$C$6)^(H$3-$B$3),0))</f>
        <v/>
      </c>
      <c r="I11" s="350">
        <f>IF(I$3="","",IF(I5&lt;入力データ!$C$110,((入力データ!$C$30*12)+IF(入力データ!$C$31="あり",入力データ!$C$33,0))*(1+前提条件!$C$6)^(I$3-$B$3),0))</f>
        <v/>
      </c>
      <c r="J11" s="350">
        <f>IF(J$3="","",IF(J5&lt;入力データ!$C$110,((入力データ!$C$30*12)+IF(入力データ!$C$31="あり",入力データ!$C$33,0))*(1+前提条件!$C$6)^(J$3-$B$3),0))</f>
        <v/>
      </c>
      <c r="K11" s="350">
        <f>IF(K$3="","",IF(K5&lt;入力データ!$C$110,((入力データ!$C$30*12)+IF(入力データ!$C$31="あり",入力データ!$C$33,0))*(1+前提条件!$C$6)^(K$3-$B$3),0))</f>
        <v/>
      </c>
      <c r="L11" s="350">
        <f>IF(L$3="","",IF(L5&lt;入力データ!$C$110,((入力データ!$C$30*12)+IF(入力データ!$C$31="あり",入力データ!$C$33,0))*(1+前提条件!$C$6)^(L$3-$B$3),0))</f>
        <v/>
      </c>
      <c r="M11" s="350">
        <f>IF(M$3="","",IF(M5&lt;入力データ!$C$110,((入力データ!$C$30*12)+IF(入力データ!$C$31="あり",入力データ!$C$33,0))*(1+前提条件!$C$6)^(M$3-$B$3),0))</f>
        <v/>
      </c>
      <c r="N11" s="350">
        <f>IF(N$3="","",IF(N5&lt;入力データ!$C$110,((入力データ!$C$30*12)+IF(入力データ!$C$31="あり",入力データ!$C$33,0))*(1+前提条件!$C$6)^(N$3-$B$3),0))</f>
        <v/>
      </c>
      <c r="O11" s="350">
        <f>IF(O$3="","",IF(O5&lt;入力データ!$C$110,((入力データ!$C$30*12)+IF(入力データ!$C$31="あり",入力データ!$C$33,0))*(1+前提条件!$C$6)^(O$3-$B$3),0))</f>
        <v/>
      </c>
      <c r="P11" s="350">
        <f>IF(P$3="","",IF(P5&lt;入力データ!$C$110,((入力データ!$C$30*12)+IF(入力データ!$C$31="あり",入力データ!$C$33,0))*(1+前提条件!$C$6)^(P$3-$B$3),0))</f>
        <v/>
      </c>
      <c r="Q11" s="350">
        <f>IF(Q$3="","",IF(Q5&lt;入力データ!$C$110,((入力データ!$C$30*12)+IF(入力データ!$C$31="あり",入力データ!$C$33,0))*(1+前提条件!$C$6)^(Q$3-$B$3),0))</f>
        <v/>
      </c>
      <c r="R11" s="350">
        <f>IF(R$3="","",IF(R5&lt;入力データ!$C$110,((入力データ!$C$30*12)+IF(入力データ!$C$31="あり",入力データ!$C$33,0))*(1+前提条件!$C$6)^(R$3-$B$3),0))</f>
        <v/>
      </c>
      <c r="S11" s="350">
        <f>IF(S$3="","",IF(S5&lt;入力データ!$C$110,((入力データ!$C$30*12)+IF(入力データ!$C$31="あり",入力データ!$C$33,0))*(1+前提条件!$C$6)^(S$3-$B$3),0))</f>
        <v/>
      </c>
      <c r="T11" s="350">
        <f>IF(T$3="","",IF(T5&lt;入力データ!$C$110,((入力データ!$C$30*12)+IF(入力データ!$C$31="あり",入力データ!$C$33,0))*(1+前提条件!$C$6)^(T$3-$B$3),0))</f>
        <v/>
      </c>
      <c r="U11" s="350">
        <f>IF(U$3="","",IF(U5&lt;入力データ!$C$110,((入力データ!$C$30*12)+IF(入力データ!$C$31="あり",入力データ!$C$33,0))*(1+前提条件!$C$6)^(U$3-$B$3),0))</f>
        <v/>
      </c>
      <c r="V11" s="350">
        <f>IF(V$3="","",IF(V5&lt;入力データ!$C$110,((入力データ!$C$30*12)+IF(入力データ!$C$31="あり",入力データ!$C$33,0))*(1+前提条件!$C$6)^(V$3-$B$3),0))</f>
        <v/>
      </c>
      <c r="W11" s="350">
        <f>IF(W$3="","",IF(W5&lt;入力データ!$C$110,((入力データ!$C$30*12)+IF(入力データ!$C$31="あり",入力データ!$C$33,0))*(1+前提条件!$C$6)^(W$3-$B$3),0))</f>
        <v/>
      </c>
      <c r="X11" s="350">
        <f>IF(X$3="","",IF(X5&lt;入力データ!$C$110,((入力データ!$C$30*12)+IF(入力データ!$C$31="あり",入力データ!$C$33,0))*(1+前提条件!$C$6)^(X$3-$B$3),0))</f>
        <v/>
      </c>
      <c r="Y11" s="350">
        <f>IF(Y$3="","",IF(Y5&lt;入力データ!$C$110,((入力データ!$C$30*12)+IF(入力データ!$C$31="あり",入力データ!$C$33,0))*(1+前提条件!$C$6)^(Y$3-$B$3),0))</f>
        <v/>
      </c>
      <c r="Z11" s="350">
        <f>IF(Z$3="","",IF(Z5&lt;入力データ!$C$110,((入力データ!$C$30*12)+IF(入力データ!$C$31="あり",入力データ!$C$33,0))*(1+前提条件!$C$6)^(Z$3-$B$3),0))</f>
        <v/>
      </c>
      <c r="AA11" s="350">
        <f>IF(AA$3="","",IF(AA5&lt;入力データ!$C$110,((入力データ!$C$30*12)+IF(入力データ!$C$31="あり",入力データ!$C$33,0))*(1+前提条件!$C$6)^(AA$3-$B$3),0))</f>
        <v/>
      </c>
      <c r="AB11" s="350">
        <f>IF(AB$3="","",IF(AB5&lt;入力データ!$C$110,((入力データ!$C$30*12)+IF(入力データ!$C$31="あり",入力データ!$C$33,0))*(1+前提条件!$C$6)^(AB$3-$B$3),0))</f>
        <v/>
      </c>
      <c r="AC11" s="350">
        <f>IF(AC$3="","",IF(AC5&lt;入力データ!$C$110,((入力データ!$C$30*12)+IF(入力データ!$C$31="あり",入力データ!$C$33,0))*(1+前提条件!$C$6)^(AC$3-$B$3),0))</f>
        <v/>
      </c>
      <c r="AD11" s="350">
        <f>IF(AD$3="","",IF(AD5&lt;入力データ!$C$110,((入力データ!$C$30*12)+IF(入力データ!$C$31="あり",入力データ!$C$33,0))*(1+前提条件!$C$6)^(AD$3-$B$3),0))</f>
        <v/>
      </c>
      <c r="AE11" s="350">
        <f>IF(AE$3="","",IF(AE5&lt;入力データ!$C$110,((入力データ!$C$30*12)+IF(入力データ!$C$31="あり",入力データ!$C$33,0))*(1+前提条件!$C$6)^(AE$3-$B$3),0))</f>
        <v/>
      </c>
      <c r="AF11" s="350">
        <f>IF(AF$3="","",IF(AF5&lt;入力データ!$C$110,((入力データ!$C$30*12)+IF(入力データ!$C$31="あり",入力データ!$C$33,0))*(1+前提条件!$C$6)^(AF$3-$B$3),0))</f>
        <v/>
      </c>
      <c r="AG11" s="350">
        <f>IF(AG$3="","",IF(AG5&lt;入力データ!$C$110,((入力データ!$C$30*12)+IF(入力データ!$C$31="あり",入力データ!$C$33,0))*(1+前提条件!$C$6)^(AG$3-$B$3),0))</f>
        <v/>
      </c>
      <c r="AH11" s="350">
        <f>IF(AH$3="","",IF(AH5&lt;入力データ!$C$110,((入力データ!$C$30*12)+IF(入力データ!$C$31="あり",入力データ!$C$33,0))*(1+前提条件!$C$6)^(AH$3-$B$3),0))</f>
        <v/>
      </c>
      <c r="AI11" s="350">
        <f>IF(AI$3="","",IF(AI5&lt;入力データ!$C$110,((入力データ!$C$30*12)+IF(入力データ!$C$31="あり",入力データ!$C$33,0))*(1+前提条件!$C$6)^(AI$3-$B$3),0))</f>
        <v/>
      </c>
      <c r="AJ11" s="350">
        <f>IF(AJ$3="","",IF(AJ5&lt;入力データ!$C$110,((入力データ!$C$30*12)+IF(入力データ!$C$31="あり",入力データ!$C$33,0))*(1+前提条件!$C$6)^(AJ$3-$B$3),0))</f>
        <v/>
      </c>
      <c r="AK11" s="350">
        <f>IF(AK$3="","",IF(AK5&lt;入力データ!$C$110,((入力データ!$C$30*12)+IF(入力データ!$C$31="あり",入力データ!$C$33,0))*(1+前提条件!$C$6)^(AK$3-$B$3),0))</f>
        <v/>
      </c>
      <c r="AL11" s="350">
        <f>IF(AL$3="","",IF(AL5&lt;入力データ!$C$110,((入力データ!$C$30*12)+IF(入力データ!$C$31="あり",入力データ!$C$33,0))*(1+前提条件!$C$6)^(AL$3-$B$3),0))</f>
        <v/>
      </c>
      <c r="AM11" s="350">
        <f>IF(AM$3="","",IF(AM5&lt;入力データ!$C$110,((入力データ!$C$30*12)+IF(入力データ!$C$31="あり",入力データ!$C$33,0))*(1+前提条件!$C$6)^(AM$3-$B$3),0))</f>
        <v/>
      </c>
      <c r="AN11" s="350">
        <f>IF(AN$3="","",IF(AN5&lt;入力データ!$C$110,((入力データ!$C$30*12)+IF(入力データ!$C$31="あり",入力データ!$C$33,0))*(1+前提条件!$C$6)^(AN$3-$B$3),0))</f>
        <v/>
      </c>
      <c r="AO11" s="350">
        <f>IF(AO$3="","",IF(AO5&lt;入力データ!$C$110,((入力データ!$C$30*12)+IF(入力データ!$C$31="あり",入力データ!$C$33,0))*(1+前提条件!$C$6)^(AO$3-$B$3),0))</f>
        <v/>
      </c>
      <c r="AP11" s="350">
        <f>IF(AP$3="","",IF(AP5&lt;入力データ!$C$110,((入力データ!$C$30*12)+IF(入力データ!$C$31="あり",入力データ!$C$33,0))*(1+前提条件!$C$6)^(AP$3-$B$3),0))</f>
        <v/>
      </c>
      <c r="AQ11" s="350">
        <f>IF(AQ$3="","",IF(AQ5&lt;入力データ!$C$110,((入力データ!$C$30*12)+IF(入力データ!$C$31="あり",入力データ!$C$33,0))*(1+前提条件!$C$6)^(AQ$3-$B$3),0))</f>
        <v/>
      </c>
      <c r="AR11" s="350">
        <f>IF(AR$3="","",IF(AR5&lt;入力データ!$C$110,((入力データ!$C$30*12)+IF(入力データ!$C$31="あり",入力データ!$C$33,0))*(1+前提条件!$C$6)^(AR$3-$B$3),0))</f>
        <v/>
      </c>
      <c r="AS11" s="350">
        <f>IF(AS$3="","",IF(AS5&lt;入力データ!$C$110,((入力データ!$C$30*12)+IF(入力データ!$C$31="あり",入力データ!$C$33,0))*(1+前提条件!$C$6)^(AS$3-$B$3),0))</f>
        <v/>
      </c>
      <c r="AT11" s="350">
        <f>IF(AT$3="","",IF(AT5&lt;入力データ!$C$110,((入力データ!$C$30*12)+IF(入力データ!$C$31="あり",入力データ!$C$33,0))*(1+前提条件!$C$6)^(AT$3-$B$3),0))</f>
        <v/>
      </c>
      <c r="AU11" s="350">
        <f>IF(AU$3="","",IF(AU5&lt;入力データ!$C$110,((入力データ!$C$30*12)+IF(入力データ!$C$31="あり",入力データ!$C$33,0))*(1+前提条件!$C$6)^(AU$3-$B$3),0))</f>
        <v/>
      </c>
      <c r="AV11" s="350">
        <f>IF(AV$3="","",IF(AV5&lt;入力データ!$C$110,((入力データ!$C$30*12)+IF(入力データ!$C$31="あり",入力データ!$C$33,0))*(1+前提条件!$C$6)^(AV$3-$B$3),0))</f>
        <v/>
      </c>
      <c r="AW11" s="350">
        <f>IF(AW$3="","",IF(AW5&lt;入力データ!$C$110,((入力データ!$C$30*12)+IF(入力データ!$C$31="あり",入力データ!$C$33,0))*(1+前提条件!$C$6)^(AW$3-$B$3),0))</f>
        <v/>
      </c>
      <c r="AX11" s="350">
        <f>IF(AX$3="","",IF(AX5&lt;入力データ!$C$110,((入力データ!$C$30*12)+IF(入力データ!$C$31="あり",入力データ!$C$33,0))*(1+前提条件!$C$6)^(AX$3-$B$3),0))</f>
        <v/>
      </c>
      <c r="AY11" s="350">
        <f>IF(AY$3="","",IF(AY5&lt;入力データ!$C$110,((入力データ!$C$30*12)+IF(入力データ!$C$31="あり",入力データ!$C$33,0))*(1+前提条件!$C$6)^(AY$3-$B$3),0))</f>
        <v/>
      </c>
      <c r="AZ11" s="350">
        <f>IF(AZ$3="","",IF(AZ5&lt;入力データ!$C$110,((入力データ!$C$30*12)+IF(入力データ!$C$31="あり",入力データ!$C$33,0))*(1+前提条件!$C$6)^(AZ$3-$B$3),0))</f>
        <v/>
      </c>
      <c r="BA11" s="350">
        <f>IF(BA$3="","",IF(BA5&lt;入力データ!$C$110,((入力データ!$C$30*12)+IF(入力データ!$C$31="あり",入力データ!$C$33,0))*(1+前提条件!$C$6)^(BA$3-$B$3),0))</f>
        <v/>
      </c>
      <c r="BB11" s="350">
        <f>IF(BB$3="","",IF(BB5&lt;入力データ!$C$110,((入力データ!$C$30*12)+IF(入力データ!$C$31="あり",入力データ!$C$33,0))*(1+前提条件!$C$6)^(BB$3-$B$3),0))</f>
        <v/>
      </c>
      <c r="BC11" s="350">
        <f>IF(BC$3="","",IF(BC5&lt;入力データ!$C$110,((入力データ!$C$30*12)+IF(入力データ!$C$31="あり",入力データ!$C$33,0))*(1+前提条件!$C$6)^(BC$3-$B$3),0))</f>
        <v/>
      </c>
      <c r="BD11" s="350">
        <f>IF(BD$3="","",IF(BD5&lt;入力データ!$C$110,((入力データ!$C$30*12)+IF(入力データ!$C$31="あり",入力データ!$C$33,0))*(1+前提条件!$C$6)^(BD$3-$B$3),0))</f>
        <v/>
      </c>
      <c r="BE11" s="350">
        <f>IF(BE$3="","",IF(BE5&lt;入力データ!$C$110,((入力データ!$C$30*12)+IF(入力データ!$C$31="あり",入力データ!$C$33,0))*(1+前提条件!$C$6)^(BE$3-$B$3),0))</f>
        <v/>
      </c>
      <c r="BF11" s="350">
        <f>IF(BF$3="","",IF(BF5&lt;入力データ!$C$110,((入力データ!$C$30*12)+IF(入力データ!$C$31="あり",入力データ!$C$33,0))*(1+前提条件!$C$6)^(BF$3-$B$3),0))</f>
        <v/>
      </c>
      <c r="BG11" s="350">
        <f>IF(BG$3="","",IF(BG5&lt;入力データ!$C$110,((入力データ!$C$30*12)+IF(入力データ!$C$31="あり",入力データ!$C$33,0))*(1+前提条件!$C$6)^(BG$3-$B$3),0))</f>
        <v/>
      </c>
      <c r="BH11" s="350">
        <f>IF(BH$3="","",IF(BH5&lt;入力データ!$C$110,((入力データ!$C$30*12)+IF(入力データ!$C$31="あり",入力データ!$C$33,0))*(1+前提条件!$C$6)^(BH$3-$B$3),0))</f>
        <v/>
      </c>
      <c r="BI11" s="350">
        <f>IF(BI$3="","",IF(BI5&lt;入力データ!$C$110,((入力データ!$C$30*12)+IF(入力データ!$C$31="あり",入力データ!$C$33,0))*(1+前提条件!$C$6)^(BI$3-$B$3),0))</f>
        <v/>
      </c>
      <c r="BJ11" s="350">
        <f>IF(BJ$3="","",IF(BJ5&lt;入力データ!$C$110,((入力データ!$C$30*12)+IF(入力データ!$C$31="あり",入力データ!$C$33,0))*(1+前提条件!$C$6)^(BJ$3-$B$3),0))</f>
        <v/>
      </c>
      <c r="BK11" s="350">
        <f>IF(BK$3="","",IF(BK5&lt;入力データ!$C$110,((入力データ!$C$30*12)+IF(入力データ!$C$31="あり",入力データ!$C$33,0))*(1+前提条件!$C$6)^(BK$3-$B$3),0))</f>
        <v/>
      </c>
      <c r="BL11" s="350">
        <f>IF(BL$3="","",IF(BL5&lt;入力データ!$C$110,((入力データ!$C$30*12)+IF(入力データ!$C$31="あり",入力データ!$C$33,0))*(1+前提条件!$C$6)^(BL$3-$B$3),0))</f>
        <v/>
      </c>
      <c r="BM11" s="350">
        <f>IF(BM$3="","",IF(BM5&lt;入力データ!$C$110,((入力データ!$C$30*12)+IF(入力データ!$C$31="あり",入力データ!$C$33,0))*(1+前提条件!$C$6)^(BM$3-$B$3),0))</f>
        <v/>
      </c>
      <c r="BN11" s="350">
        <f>IF(BN$3="","",IF(BN5&lt;入力データ!$C$110,((入力データ!$C$30*12)+IF(入力データ!$C$31="あり",入力データ!$C$33,0))*(1+前提条件!$C$6)^(BN$3-$B$3),0))</f>
        <v/>
      </c>
      <c r="BO11" s="350">
        <f>IF(BO$3="","",IF(BO5&lt;入力データ!$C$110,((入力データ!$C$30*12)+IF(入力データ!$C$31="あり",入力データ!$C$33,0))*(1+前提条件!$C$6)^(BO$3-$B$3),0))</f>
        <v/>
      </c>
      <c r="BP11" s="350">
        <f>IF(BP$3="","",IF(BP5&lt;入力データ!$C$110,((入力データ!$C$30*12)+IF(入力データ!$C$31="あり",入力データ!$C$33,0))*(1+前提条件!$C$6)^(BP$3-$B$3),0))</f>
        <v/>
      </c>
      <c r="BQ11" s="350">
        <f>IF(BQ$3="","",IF(BQ5&lt;入力データ!$C$110,((入力データ!$C$30*12)+IF(入力データ!$C$31="あり",入力データ!$C$33,0))*(1+前提条件!$C$6)^(BQ$3-$B$3),0))</f>
        <v/>
      </c>
      <c r="BR11" s="350">
        <f>IF(BR$3="","",IF(BR5&lt;入力データ!$C$110,((入力データ!$C$30*12)+IF(入力データ!$C$31="あり",入力データ!$C$33,0))*(1+前提条件!$C$6)^(BR$3-$B$3),0))</f>
        <v/>
      </c>
      <c r="BS11" s="350">
        <f>IF(BS$3="","",IF(BS5&lt;入力データ!$C$110,((入力データ!$C$30*12)+IF(入力データ!$C$31="あり",入力データ!$C$33,0))*(1+前提条件!$C$6)^(BS$3-$B$3),0))</f>
        <v/>
      </c>
      <c r="BT11" s="350">
        <f>IF(BT$3="","",IF(BT5&lt;入力データ!$C$110,((入力データ!$C$30*12)+IF(入力データ!$C$31="あり",入力データ!$C$33,0))*(1+前提条件!$C$6)^(BT$3-$B$3),0))</f>
        <v/>
      </c>
      <c r="BU11" s="350">
        <f>IF(BU$3="","",IF(BU5&lt;入力データ!$C$110,((入力データ!$C$30*12)+IF(入力データ!$C$31="あり",入力データ!$C$33,0))*(1+前提条件!$C$6)^(BU$3-$B$3),0))</f>
        <v/>
      </c>
      <c r="BV11" s="350">
        <f>IF(BV$3="","",IF(BV5&lt;入力データ!$C$110,((入力データ!$C$30*12)+IF(入力データ!$C$31="あり",入力データ!$C$33,0))*(1+前提条件!$C$6)^(BV$3-$B$3),0))</f>
        <v/>
      </c>
      <c r="BW11" s="350">
        <f>IF(BW$3="","",IF(BW5&lt;入力データ!$C$110,((入力データ!$C$30*12)+IF(入力データ!$C$31="あり",入力データ!$C$33,0))*(1+前提条件!$C$6)^(BW$3-$B$3),0))</f>
        <v/>
      </c>
      <c r="BX11" s="350">
        <f>IF(BX$3="","",IF(BX5&lt;入力データ!$C$110,((入力データ!$C$30*12)+IF(入力データ!$C$31="あり",入力データ!$C$33,0))*(1+前提条件!$C$6)^(BX$3-$B$3),0))</f>
        <v/>
      </c>
      <c r="BY11" s="350">
        <f>IF(BY$3="","",IF(BY5&lt;入力データ!$C$110,((入力データ!$C$30*12)+IF(入力データ!$C$31="あり",入力データ!$C$33,0))*(1+前提条件!$C$6)^(BY$3-$B$3),0))</f>
        <v/>
      </c>
      <c r="BZ11" s="350">
        <f>IF(BZ$3="","",IF(BZ5&lt;入力データ!$C$110,((入力データ!$C$30*12)+IF(入力データ!$C$31="あり",入力データ!$C$33,0))*(1+前提条件!$C$6)^(BZ$3-$B$3),0))</f>
        <v/>
      </c>
      <c r="CA11" s="350">
        <f>IF(CA$3="","",IF(CA5&lt;入力データ!$C$110,((入力データ!$C$30*12)+IF(入力データ!$C$31="あり",入力データ!$C$33,0))*(1+前提条件!$C$6)^(CA$3-$B$3),0))</f>
        <v/>
      </c>
      <c r="CB11" s="350">
        <f>IF(CB$3="","",IF(CB5&lt;入力データ!$C$110,((入力データ!$C$30*12)+IF(入力データ!$C$31="あり",入力データ!$C$33,0))*(1+前提条件!$C$6)^(CB$3-$B$3),0))</f>
        <v/>
      </c>
      <c r="CC11" s="350">
        <f>IF(CC$3="","",IF(CC5&lt;入力データ!$C$110,((入力データ!$C$30*12)+IF(入力データ!$C$31="あり",入力データ!$C$33,0))*(1+前提条件!$C$6)^(CC$3-$B$3),0))</f>
        <v/>
      </c>
      <c r="CD11" s="350">
        <f>IF(CD$3="","",IF(CD5&lt;入力データ!$C$110,((入力データ!$C$30*12)+IF(入力データ!$C$31="あり",入力データ!$C$33,0))*(1+前提条件!$C$6)^(CD$3-$B$3),0))</f>
        <v/>
      </c>
      <c r="CE11" s="350">
        <f>IF(CE$3="","",IF(CE5&lt;入力データ!$C$110,((入力データ!$C$30*12)+IF(入力データ!$C$31="あり",入力データ!$C$33,0))*(1+前提条件!$C$6)^(CE$3-$B$3),0))</f>
        <v/>
      </c>
      <c r="CF11" s="350">
        <f>IF(CF$3="","",IF(CF5&lt;入力データ!$C$110,((入力データ!$C$30*12)+IF(入力データ!$C$31="あり",入力データ!$C$33,0))*(1+前提条件!$C$6)^(CF$3-$B$3),0))</f>
        <v/>
      </c>
      <c r="CG11" s="350">
        <f>IF(CG$3="","",IF(CG5&lt;入力データ!$C$110,((入力データ!$C$30*12)+IF(入力データ!$C$31="あり",入力データ!$C$33,0))*(1+前提条件!$C$6)^(CG$3-$B$3),0))</f>
        <v/>
      </c>
      <c r="CH11" s="350">
        <f>IF(CH$3="","",IF(CH5&lt;入力データ!$C$110,((入力データ!$C$30*12)+IF(入力データ!$C$31="あり",入力データ!$C$33,0))*(1+前提条件!$C$6)^(CH$3-$B$3),0))</f>
        <v/>
      </c>
      <c r="CI11" s="350">
        <f>IF(CI$3="","",IF(CI5&lt;入力データ!$C$110,((入力データ!$C$30*12)+IF(入力データ!$C$31="あり",入力データ!$C$33,0))*(1+前提条件!$C$6)^(CI$3-$B$3),0))</f>
        <v/>
      </c>
      <c r="CJ11" s="350">
        <f>IF(CJ$3="","",IF(CJ5&lt;入力データ!$C$110,((入力データ!$C$30*12)+IF(入力データ!$C$31="あり",入力データ!$C$33,0))*(1+前提条件!$C$6)^(CJ$3-$B$3),0))</f>
        <v/>
      </c>
      <c r="CK11" s="350">
        <f>IF(CK$3="","",IF(CK5&lt;入力データ!$C$110,((入力データ!$C$30*12)+IF(入力データ!$C$31="あり",入力データ!$C$33,0))*(1+前提条件!$C$6)^(CK$3-$B$3),0))</f>
        <v/>
      </c>
      <c r="CL11" s="350">
        <f>IF(CL$3="","",IF(CL5&lt;入力データ!$C$110,((入力データ!$C$30*12)+IF(入力データ!$C$31="あり",入力データ!$C$33,0))*(1+前提条件!$C$6)^(CL$3-$B$3),0))</f>
        <v/>
      </c>
      <c r="CM11" s="350">
        <f>IF(CM$3="","",IF(CM5&lt;入力データ!$C$110,((入力データ!$C$30*12)+IF(入力データ!$C$31="あり",入力データ!$C$33,0))*(1+前提条件!$C$6)^(CM$3-$B$3),0))</f>
        <v/>
      </c>
      <c r="CN11" s="350">
        <f>IF(CN$3="","",IF(CN5&lt;入力データ!$C$110,((入力データ!$C$30*12)+IF(入力データ!$C$31="あり",入力データ!$C$33,0))*(1+前提条件!$C$6)^(CN$3-$B$3),0))</f>
        <v/>
      </c>
      <c r="CO11" s="350">
        <f>IF(CO$3="","",IF(CO5&lt;入力データ!$C$110,((入力データ!$C$30*12)+IF(入力データ!$C$31="あり",入力データ!$C$33,0))*(1+前提条件!$C$6)^(CO$3-$B$3),0))</f>
        <v/>
      </c>
      <c r="CP11" s="350">
        <f>IF(CP$3="","",IF(CP5&lt;入力データ!$C$110,((入力データ!$C$30*12)+IF(入力データ!$C$31="あり",入力データ!$C$33,0))*(1+前提条件!$C$6)^(CP$3-$B$3),0))</f>
        <v/>
      </c>
      <c r="CQ11" s="350">
        <f>IF(CQ$3="","",IF(CQ5&lt;入力データ!$C$110,((入力データ!$C$30*12)+IF(入力データ!$C$31="あり",入力データ!$C$33,0))*(1+前提条件!$C$6)^(CQ$3-$B$3),0))</f>
        <v/>
      </c>
      <c r="CR11" s="350">
        <f>IF(CR$3="","",IF(CR5&lt;入力データ!$C$110,((入力データ!$C$30*12)+IF(入力データ!$C$31="あり",入力データ!$C$33,0))*(1+前提条件!$C$6)^(CR$3-$B$3),0))</f>
        <v/>
      </c>
      <c r="CS11" s="350">
        <f>IF(CS$3="","",IF(CS5&lt;入力データ!$C$110,((入力データ!$C$30*12)+IF(入力データ!$C$31="あり",入力データ!$C$33,0))*(1+前提条件!$C$6)^(CS$3-$B$3),0))</f>
        <v/>
      </c>
      <c r="CT11" s="350">
        <f>IF(CT$3="","",IF(CT5&lt;入力データ!$C$110,((入力データ!$C$30*12)+IF(入力データ!$C$31="あり",入力データ!$C$33,0))*(1+前提条件!$C$6)^(CT$3-$B$3),0))</f>
        <v/>
      </c>
      <c r="CU11" s="350">
        <f>IF(CU$3="","",IF(CU5&lt;入力データ!$C$110,((入力データ!$C$30*12)+IF(入力データ!$C$31="あり",入力データ!$C$33,0))*(1+前提条件!$C$6)^(CU$3-$B$3),0))</f>
        <v/>
      </c>
      <c r="CV11" s="350">
        <f>IF(CV$3="","",IF(CV5&lt;入力データ!$C$110,((入力データ!$C$30*12)+IF(入力データ!$C$31="あり",入力データ!$C$33,0))*(1+前提条件!$C$6)^(CV$3-$B$3),0))</f>
        <v/>
      </c>
      <c r="CW11" s="350">
        <f>IF(CW$3="","",IF(CW5&lt;入力データ!$C$110,((入力データ!$C$30*12)+IF(入力データ!$C$31="あり",入力データ!$C$33,0))*(1+前提条件!$C$6)^(CW$3-$B$3),0))</f>
        <v/>
      </c>
    </row>
    <row r="12" ht="15" customHeight="1" s="180">
      <c r="A12" s="220" t="inlineStr">
        <is>
          <t>児童手当</t>
        </is>
      </c>
      <c r="B12" s="350">
        <f>IF(B$3="","",IF(AND(B6&lt;&gt;"",B6&lt;=前提条件!$C$8),IF(1&gt;=3,30000,IF(B6&lt;3,15000,10000))*6,0)+IF(AND(B7&lt;&gt;"",B7&lt;=前提条件!$C$8),IF(2&gt;=3,30000,IF(B7&lt;3,15000,10000))*6,0)+IF(AND(B8&lt;&gt;"",B8&lt;=前提条件!$C$8),30000*6,0))</f>
        <v/>
      </c>
      <c r="C12" s="350">
        <f>IF(C$3="","",IF(AND(C6&lt;&gt;"",C6&lt;=前提条件!$C$8),IF(1&gt;=3,30000,IF(C6&lt;3,15000,10000))*6,0)+IF(AND(C7&lt;&gt;"",C7&lt;=前提条件!$C$8),IF(2&gt;=3,30000,IF(C7&lt;3,15000,10000))*6,0)+IF(AND(C8&lt;&gt;"",C8&lt;=前提条件!$C$8),30000*6,0))</f>
        <v/>
      </c>
      <c r="D12" s="350">
        <f>IF(D$3="","",IF(AND(D6&lt;&gt;"",D6&lt;=前提条件!$C$8),IF(1&gt;=3,30000,IF(D6&lt;3,15000,10000))*6,0)+IF(AND(D7&lt;&gt;"",D7&lt;=前提条件!$C$8),IF(2&gt;=3,30000,IF(D7&lt;3,15000,10000))*6,0)+IF(AND(D8&lt;&gt;"",D8&lt;=前提条件!$C$8),30000*6,0))</f>
        <v/>
      </c>
      <c r="E12" s="350">
        <f>IF(E$3="","",IF(AND(E6&lt;&gt;"",E6&lt;=前提条件!$C$8),IF(1&gt;=3,30000,IF(E6&lt;3,15000,10000))*6,0)+IF(AND(E7&lt;&gt;"",E7&lt;=前提条件!$C$8),IF(2&gt;=3,30000,IF(E7&lt;3,15000,10000))*6,0)+IF(AND(E8&lt;&gt;"",E8&lt;=前提条件!$C$8),30000*6,0))</f>
        <v/>
      </c>
      <c r="F12" s="350">
        <f>IF(F$3="","",IF(AND(F6&lt;&gt;"",F6&lt;=前提条件!$C$8),IF(1&gt;=3,30000,IF(F6&lt;3,15000,10000))*6,0)+IF(AND(F7&lt;&gt;"",F7&lt;=前提条件!$C$8),IF(2&gt;=3,30000,IF(F7&lt;3,15000,10000))*6,0)+IF(AND(F8&lt;&gt;"",F8&lt;=前提条件!$C$8),30000*6,0))</f>
        <v/>
      </c>
      <c r="G12" s="350">
        <f>IF(G$3="","",IF(AND(G6&lt;&gt;"",G6&lt;=前提条件!$C$8),IF(1&gt;=3,30000,IF(G6&lt;3,15000,10000))*6,0)+IF(AND(G7&lt;&gt;"",G7&lt;=前提条件!$C$8),IF(2&gt;=3,30000,IF(G7&lt;3,15000,10000))*6,0)+IF(AND(G8&lt;&gt;"",G8&lt;=前提条件!$C$8),30000*6,0))</f>
        <v/>
      </c>
      <c r="H12" s="350">
        <f>IF(H$3="","",IF(AND(H6&lt;&gt;"",H6&lt;=前提条件!$C$8),IF(1&gt;=3,30000,IF(H6&lt;3,15000,10000))*6,0)+IF(AND(H7&lt;&gt;"",H7&lt;=前提条件!$C$8),IF(2&gt;=3,30000,IF(H7&lt;3,15000,10000))*6,0)+IF(AND(H8&lt;&gt;"",H8&lt;=前提条件!$C$8),30000*6,0))</f>
        <v/>
      </c>
      <c r="I12" s="350">
        <f>IF(I$3="","",IF(AND(I6&lt;&gt;"",I6&lt;=前提条件!$C$8),IF(1&gt;=3,30000,IF(I6&lt;3,15000,10000))*6,0)+IF(AND(I7&lt;&gt;"",I7&lt;=前提条件!$C$8),IF(2&gt;=3,30000,IF(I7&lt;3,15000,10000))*6,0)+IF(AND(I8&lt;&gt;"",I8&lt;=前提条件!$C$8),30000*6,0))</f>
        <v/>
      </c>
      <c r="J12" s="350">
        <f>IF(J$3="","",IF(AND(J6&lt;&gt;"",J6&lt;=前提条件!$C$8),IF(1&gt;=3,30000,IF(J6&lt;3,15000,10000))*6,0)+IF(AND(J7&lt;&gt;"",J7&lt;=前提条件!$C$8),IF(2&gt;=3,30000,IF(J7&lt;3,15000,10000))*6,0)+IF(AND(J8&lt;&gt;"",J8&lt;=前提条件!$C$8),30000*6,0))</f>
        <v/>
      </c>
      <c r="K12" s="350">
        <f>IF(K$3="","",IF(AND(K6&lt;&gt;"",K6&lt;=前提条件!$C$8),IF(1&gt;=3,30000,IF(K6&lt;3,15000,10000))*6,0)+IF(AND(K7&lt;&gt;"",K7&lt;=前提条件!$C$8),IF(2&gt;=3,30000,IF(K7&lt;3,15000,10000))*6,0)+IF(AND(K8&lt;&gt;"",K8&lt;=前提条件!$C$8),30000*6,0))</f>
        <v/>
      </c>
      <c r="L12" s="350">
        <f>IF(L$3="","",IF(AND(L6&lt;&gt;"",L6&lt;=前提条件!$C$8),IF(1&gt;=3,30000,IF(L6&lt;3,15000,10000))*6,0)+IF(AND(L7&lt;&gt;"",L7&lt;=前提条件!$C$8),IF(2&gt;=3,30000,IF(L7&lt;3,15000,10000))*6,0)+IF(AND(L8&lt;&gt;"",L8&lt;=前提条件!$C$8),30000*6,0))</f>
        <v/>
      </c>
      <c r="M12" s="350">
        <f>IF(M$3="","",IF(AND(M6&lt;&gt;"",M6&lt;=前提条件!$C$8),IF(1&gt;=3,30000,IF(M6&lt;3,15000,10000))*6,0)+IF(AND(M7&lt;&gt;"",M7&lt;=前提条件!$C$8),IF(2&gt;=3,30000,IF(M7&lt;3,15000,10000))*6,0)+IF(AND(M8&lt;&gt;"",M8&lt;=前提条件!$C$8),30000*6,0))</f>
        <v/>
      </c>
      <c r="N12" s="350">
        <f>IF(N$3="","",IF(AND(N6&lt;&gt;"",N6&lt;=前提条件!$C$8),IF(1&gt;=3,30000,IF(N6&lt;3,15000,10000))*6,0)+IF(AND(N7&lt;&gt;"",N7&lt;=前提条件!$C$8),IF(2&gt;=3,30000,IF(N7&lt;3,15000,10000))*6,0)+IF(AND(N8&lt;&gt;"",N8&lt;=前提条件!$C$8),30000*6,0))</f>
        <v/>
      </c>
      <c r="O12" s="350">
        <f>IF(O$3="","",IF(AND(O6&lt;&gt;"",O6&lt;=前提条件!$C$8),IF(1&gt;=3,30000,IF(O6&lt;3,15000,10000))*6,0)+IF(AND(O7&lt;&gt;"",O7&lt;=前提条件!$C$8),IF(2&gt;=3,30000,IF(O7&lt;3,15000,10000))*6,0)+IF(AND(O8&lt;&gt;"",O8&lt;=前提条件!$C$8),30000*6,0))</f>
        <v/>
      </c>
      <c r="P12" s="350">
        <f>IF(P$3="","",IF(AND(P6&lt;&gt;"",P6&lt;=前提条件!$C$8),IF(1&gt;=3,30000,IF(P6&lt;3,15000,10000))*6,0)+IF(AND(P7&lt;&gt;"",P7&lt;=前提条件!$C$8),IF(2&gt;=3,30000,IF(P7&lt;3,15000,10000))*6,0)+IF(AND(P8&lt;&gt;"",P8&lt;=前提条件!$C$8),30000*6,0))</f>
        <v/>
      </c>
      <c r="Q12" s="350">
        <f>IF(Q$3="","",IF(AND(Q6&lt;&gt;"",Q6&lt;=前提条件!$C$8),IF(1&gt;=3,30000,IF(Q6&lt;3,15000,10000))*6,0)+IF(AND(Q7&lt;&gt;"",Q7&lt;=前提条件!$C$8),IF(2&gt;=3,30000,IF(Q7&lt;3,15000,10000))*6,0)+IF(AND(Q8&lt;&gt;"",Q8&lt;=前提条件!$C$8),30000*6,0))</f>
        <v/>
      </c>
      <c r="R12" s="350">
        <f>IF(R$3="","",IF(AND(R6&lt;&gt;"",R6&lt;=前提条件!$C$8),IF(1&gt;=3,30000,IF(R6&lt;3,15000,10000))*6,0)+IF(AND(R7&lt;&gt;"",R7&lt;=前提条件!$C$8),IF(2&gt;=3,30000,IF(R7&lt;3,15000,10000))*6,0)+IF(AND(R8&lt;&gt;"",R8&lt;=前提条件!$C$8),30000*6,0))</f>
        <v/>
      </c>
      <c r="S12" s="350">
        <f>IF(S$3="","",IF(AND(S6&lt;&gt;"",S6&lt;=前提条件!$C$8),IF(1&gt;=3,30000,IF(S6&lt;3,15000,10000))*6,0)+IF(AND(S7&lt;&gt;"",S7&lt;=前提条件!$C$8),IF(2&gt;=3,30000,IF(S7&lt;3,15000,10000))*6,0)+IF(AND(S8&lt;&gt;"",S8&lt;=前提条件!$C$8),30000*6,0))</f>
        <v/>
      </c>
      <c r="T12" s="350">
        <f>IF(T$3="","",IF(AND(T6&lt;&gt;"",T6&lt;=前提条件!$C$8),IF(1&gt;=3,30000,IF(T6&lt;3,15000,10000))*6,0)+IF(AND(T7&lt;&gt;"",T7&lt;=前提条件!$C$8),IF(2&gt;=3,30000,IF(T7&lt;3,15000,10000))*6,0)+IF(AND(T8&lt;&gt;"",T8&lt;=前提条件!$C$8),30000*6,0))</f>
        <v/>
      </c>
      <c r="U12" s="350">
        <f>IF(U$3="","",IF(AND(U6&lt;&gt;"",U6&lt;=前提条件!$C$8),IF(1&gt;=3,30000,IF(U6&lt;3,15000,10000))*6,0)+IF(AND(U7&lt;&gt;"",U7&lt;=前提条件!$C$8),IF(2&gt;=3,30000,IF(U7&lt;3,15000,10000))*6,0)+IF(AND(U8&lt;&gt;"",U8&lt;=前提条件!$C$8),30000*6,0))</f>
        <v/>
      </c>
      <c r="V12" s="350">
        <f>IF(V$3="","",IF(AND(V6&lt;&gt;"",V6&lt;=前提条件!$C$8),IF(1&gt;=3,30000,IF(V6&lt;3,15000,10000))*6,0)+IF(AND(V7&lt;&gt;"",V7&lt;=前提条件!$C$8),IF(2&gt;=3,30000,IF(V7&lt;3,15000,10000))*6,0)+IF(AND(V8&lt;&gt;"",V8&lt;=前提条件!$C$8),30000*6,0))</f>
        <v/>
      </c>
      <c r="W12" s="350">
        <f>IF(W$3="","",IF(AND(W6&lt;&gt;"",W6&lt;=前提条件!$C$8),IF(1&gt;=3,30000,IF(W6&lt;3,15000,10000))*6,0)+IF(AND(W7&lt;&gt;"",W7&lt;=前提条件!$C$8),IF(2&gt;=3,30000,IF(W7&lt;3,15000,10000))*6,0)+IF(AND(W8&lt;&gt;"",W8&lt;=前提条件!$C$8),30000*6,0))</f>
        <v/>
      </c>
      <c r="X12" s="350">
        <f>IF(X$3="","",IF(AND(X6&lt;&gt;"",X6&lt;=前提条件!$C$8),IF(1&gt;=3,30000,IF(X6&lt;3,15000,10000))*6,0)+IF(AND(X7&lt;&gt;"",X7&lt;=前提条件!$C$8),IF(2&gt;=3,30000,IF(X7&lt;3,15000,10000))*6,0)+IF(AND(X8&lt;&gt;"",X8&lt;=前提条件!$C$8),30000*6,0))</f>
        <v/>
      </c>
      <c r="Y12" s="350">
        <f>IF(Y$3="","",IF(AND(Y6&lt;&gt;"",Y6&lt;=前提条件!$C$8),IF(1&gt;=3,30000,IF(Y6&lt;3,15000,10000))*6,0)+IF(AND(Y7&lt;&gt;"",Y7&lt;=前提条件!$C$8),IF(2&gt;=3,30000,IF(Y7&lt;3,15000,10000))*6,0)+IF(AND(Y8&lt;&gt;"",Y8&lt;=前提条件!$C$8),30000*6,0))</f>
        <v/>
      </c>
      <c r="Z12" s="350">
        <f>IF(Z$3="","",IF(AND(Z6&lt;&gt;"",Z6&lt;=前提条件!$C$8),IF(1&gt;=3,30000,IF(Z6&lt;3,15000,10000))*6,0)+IF(AND(Z7&lt;&gt;"",Z7&lt;=前提条件!$C$8),IF(2&gt;=3,30000,IF(Z7&lt;3,15000,10000))*6,0)+IF(AND(Z8&lt;&gt;"",Z8&lt;=前提条件!$C$8),30000*6,0))</f>
        <v/>
      </c>
      <c r="AA12" s="350">
        <f>IF(AA$3="","",IF(AND(AA6&lt;&gt;"",AA6&lt;=前提条件!$C$8),IF(1&gt;=3,30000,IF(AA6&lt;3,15000,10000))*6,0)+IF(AND(AA7&lt;&gt;"",AA7&lt;=前提条件!$C$8),IF(2&gt;=3,30000,IF(AA7&lt;3,15000,10000))*6,0)+IF(AND(AA8&lt;&gt;"",AA8&lt;=前提条件!$C$8),30000*6,0))</f>
        <v/>
      </c>
      <c r="AB12" s="350">
        <f>IF(AB$3="","",IF(AND(AB6&lt;&gt;"",AB6&lt;=前提条件!$C$8),IF(1&gt;=3,30000,IF(AB6&lt;3,15000,10000))*6,0)+IF(AND(AB7&lt;&gt;"",AB7&lt;=前提条件!$C$8),IF(2&gt;=3,30000,IF(AB7&lt;3,15000,10000))*6,0)+IF(AND(AB8&lt;&gt;"",AB8&lt;=前提条件!$C$8),30000*6,0))</f>
        <v/>
      </c>
      <c r="AC12" s="350">
        <f>IF(AC$3="","",IF(AND(AC6&lt;&gt;"",AC6&lt;=前提条件!$C$8),IF(1&gt;=3,30000,IF(AC6&lt;3,15000,10000))*6,0)+IF(AND(AC7&lt;&gt;"",AC7&lt;=前提条件!$C$8),IF(2&gt;=3,30000,IF(AC7&lt;3,15000,10000))*6,0)+IF(AND(AC8&lt;&gt;"",AC8&lt;=前提条件!$C$8),30000*6,0))</f>
        <v/>
      </c>
      <c r="AD12" s="350">
        <f>IF(AD$3="","",IF(AND(AD6&lt;&gt;"",AD6&lt;=前提条件!$C$8),IF(1&gt;=3,30000,IF(AD6&lt;3,15000,10000))*6,0)+IF(AND(AD7&lt;&gt;"",AD7&lt;=前提条件!$C$8),IF(2&gt;=3,30000,IF(AD7&lt;3,15000,10000))*6,0)+IF(AND(AD8&lt;&gt;"",AD8&lt;=前提条件!$C$8),30000*6,0))</f>
        <v/>
      </c>
      <c r="AE12" s="350">
        <f>IF(AE$3="","",IF(AND(AE6&lt;&gt;"",AE6&lt;=前提条件!$C$8),IF(1&gt;=3,30000,IF(AE6&lt;3,15000,10000))*6,0)+IF(AND(AE7&lt;&gt;"",AE7&lt;=前提条件!$C$8),IF(2&gt;=3,30000,IF(AE7&lt;3,15000,10000))*6,0)+IF(AND(AE8&lt;&gt;"",AE8&lt;=前提条件!$C$8),30000*6,0))</f>
        <v/>
      </c>
      <c r="AF12" s="350">
        <f>IF(AF$3="","",IF(AND(AF6&lt;&gt;"",AF6&lt;=前提条件!$C$8),IF(1&gt;=3,30000,IF(AF6&lt;3,15000,10000))*6,0)+IF(AND(AF7&lt;&gt;"",AF7&lt;=前提条件!$C$8),IF(2&gt;=3,30000,IF(AF7&lt;3,15000,10000))*6,0)+IF(AND(AF8&lt;&gt;"",AF8&lt;=前提条件!$C$8),30000*6,0))</f>
        <v/>
      </c>
      <c r="AG12" s="350">
        <f>IF(AG$3="","",IF(AND(AG6&lt;&gt;"",AG6&lt;=前提条件!$C$8),IF(1&gt;=3,30000,IF(AG6&lt;3,15000,10000))*6,0)+IF(AND(AG7&lt;&gt;"",AG7&lt;=前提条件!$C$8),IF(2&gt;=3,30000,IF(AG7&lt;3,15000,10000))*6,0)+IF(AND(AG8&lt;&gt;"",AG8&lt;=前提条件!$C$8),30000*6,0))</f>
        <v/>
      </c>
      <c r="AH12" s="350">
        <f>IF(AH$3="","",IF(AND(AH6&lt;&gt;"",AH6&lt;=前提条件!$C$8),IF(1&gt;=3,30000,IF(AH6&lt;3,15000,10000))*6,0)+IF(AND(AH7&lt;&gt;"",AH7&lt;=前提条件!$C$8),IF(2&gt;=3,30000,IF(AH7&lt;3,15000,10000))*6,0)+IF(AND(AH8&lt;&gt;"",AH8&lt;=前提条件!$C$8),30000*6,0))</f>
        <v/>
      </c>
      <c r="AI12" s="350">
        <f>IF(AI$3="","",IF(AND(AI6&lt;&gt;"",AI6&lt;=前提条件!$C$8),IF(1&gt;=3,30000,IF(AI6&lt;3,15000,10000))*6,0)+IF(AND(AI7&lt;&gt;"",AI7&lt;=前提条件!$C$8),IF(2&gt;=3,30000,IF(AI7&lt;3,15000,10000))*6,0)+IF(AND(AI8&lt;&gt;"",AI8&lt;=前提条件!$C$8),30000*6,0))</f>
        <v/>
      </c>
      <c r="AJ12" s="350">
        <f>IF(AJ$3="","",IF(AND(AJ6&lt;&gt;"",AJ6&lt;=前提条件!$C$8),IF(1&gt;=3,30000,IF(AJ6&lt;3,15000,10000))*6,0)+IF(AND(AJ7&lt;&gt;"",AJ7&lt;=前提条件!$C$8),IF(2&gt;=3,30000,IF(AJ7&lt;3,15000,10000))*6,0)+IF(AND(AJ8&lt;&gt;"",AJ8&lt;=前提条件!$C$8),30000*6,0))</f>
        <v/>
      </c>
      <c r="AK12" s="350">
        <f>IF(AK$3="","",IF(AND(AK6&lt;&gt;"",AK6&lt;=前提条件!$C$8),IF(1&gt;=3,30000,IF(AK6&lt;3,15000,10000))*6,0)+IF(AND(AK7&lt;&gt;"",AK7&lt;=前提条件!$C$8),IF(2&gt;=3,30000,IF(AK7&lt;3,15000,10000))*6,0)+IF(AND(AK8&lt;&gt;"",AK8&lt;=前提条件!$C$8),30000*6,0))</f>
        <v/>
      </c>
      <c r="AL12" s="350">
        <f>IF(AL$3="","",IF(AND(AL6&lt;&gt;"",AL6&lt;=前提条件!$C$8),IF(1&gt;=3,30000,IF(AL6&lt;3,15000,10000))*6,0)+IF(AND(AL7&lt;&gt;"",AL7&lt;=前提条件!$C$8),IF(2&gt;=3,30000,IF(AL7&lt;3,15000,10000))*6,0)+IF(AND(AL8&lt;&gt;"",AL8&lt;=前提条件!$C$8),30000*6,0))</f>
        <v/>
      </c>
      <c r="AM12" s="350">
        <f>IF(AM$3="","",IF(AND(AM6&lt;&gt;"",AM6&lt;=前提条件!$C$8),IF(1&gt;=3,30000,IF(AM6&lt;3,15000,10000))*6,0)+IF(AND(AM7&lt;&gt;"",AM7&lt;=前提条件!$C$8),IF(2&gt;=3,30000,IF(AM7&lt;3,15000,10000))*6,0)+IF(AND(AM8&lt;&gt;"",AM8&lt;=前提条件!$C$8),30000*6,0))</f>
        <v/>
      </c>
      <c r="AN12" s="350">
        <f>IF(AN$3="","",IF(AND(AN6&lt;&gt;"",AN6&lt;=前提条件!$C$8),IF(1&gt;=3,30000,IF(AN6&lt;3,15000,10000))*6,0)+IF(AND(AN7&lt;&gt;"",AN7&lt;=前提条件!$C$8),IF(2&gt;=3,30000,IF(AN7&lt;3,15000,10000))*6,0)+IF(AND(AN8&lt;&gt;"",AN8&lt;=前提条件!$C$8),30000*6,0))</f>
        <v/>
      </c>
      <c r="AO12" s="350">
        <f>IF(AO$3="","",IF(AND(AO6&lt;&gt;"",AO6&lt;=前提条件!$C$8),IF(1&gt;=3,30000,IF(AO6&lt;3,15000,10000))*6,0)+IF(AND(AO7&lt;&gt;"",AO7&lt;=前提条件!$C$8),IF(2&gt;=3,30000,IF(AO7&lt;3,15000,10000))*6,0)+IF(AND(AO8&lt;&gt;"",AO8&lt;=前提条件!$C$8),30000*6,0))</f>
        <v/>
      </c>
      <c r="AP12" s="350">
        <f>IF(AP$3="","",IF(AND(AP6&lt;&gt;"",AP6&lt;=前提条件!$C$8),IF(1&gt;=3,30000,IF(AP6&lt;3,15000,10000))*6,0)+IF(AND(AP7&lt;&gt;"",AP7&lt;=前提条件!$C$8),IF(2&gt;=3,30000,IF(AP7&lt;3,15000,10000))*6,0)+IF(AND(AP8&lt;&gt;"",AP8&lt;=前提条件!$C$8),30000*6,0))</f>
        <v/>
      </c>
      <c r="AQ12" s="350">
        <f>IF(AQ$3="","",IF(AND(AQ6&lt;&gt;"",AQ6&lt;=前提条件!$C$8),IF(1&gt;=3,30000,IF(AQ6&lt;3,15000,10000))*6,0)+IF(AND(AQ7&lt;&gt;"",AQ7&lt;=前提条件!$C$8),IF(2&gt;=3,30000,IF(AQ7&lt;3,15000,10000))*6,0)+IF(AND(AQ8&lt;&gt;"",AQ8&lt;=前提条件!$C$8),30000*6,0))</f>
        <v/>
      </c>
      <c r="AR12" s="350">
        <f>IF(AR$3="","",IF(AND(AR6&lt;&gt;"",AR6&lt;=前提条件!$C$8),IF(1&gt;=3,30000,IF(AR6&lt;3,15000,10000))*6,0)+IF(AND(AR7&lt;&gt;"",AR7&lt;=前提条件!$C$8),IF(2&gt;=3,30000,IF(AR7&lt;3,15000,10000))*6,0)+IF(AND(AR8&lt;&gt;"",AR8&lt;=前提条件!$C$8),30000*6,0))</f>
        <v/>
      </c>
      <c r="AS12" s="350">
        <f>IF(AS$3="","",IF(AND(AS6&lt;&gt;"",AS6&lt;=前提条件!$C$8),IF(1&gt;=3,30000,IF(AS6&lt;3,15000,10000))*6,0)+IF(AND(AS7&lt;&gt;"",AS7&lt;=前提条件!$C$8),IF(2&gt;=3,30000,IF(AS7&lt;3,15000,10000))*6,0)+IF(AND(AS8&lt;&gt;"",AS8&lt;=前提条件!$C$8),30000*6,0))</f>
        <v/>
      </c>
      <c r="AT12" s="350">
        <f>IF(AT$3="","",IF(AND(AT6&lt;&gt;"",AT6&lt;=前提条件!$C$8),IF(1&gt;=3,30000,IF(AT6&lt;3,15000,10000))*6,0)+IF(AND(AT7&lt;&gt;"",AT7&lt;=前提条件!$C$8),IF(2&gt;=3,30000,IF(AT7&lt;3,15000,10000))*6,0)+IF(AND(AT8&lt;&gt;"",AT8&lt;=前提条件!$C$8),30000*6,0))</f>
        <v/>
      </c>
      <c r="AU12" s="350">
        <f>IF(AU$3="","",IF(AND(AU6&lt;&gt;"",AU6&lt;=前提条件!$C$8),IF(1&gt;=3,30000,IF(AU6&lt;3,15000,10000))*6,0)+IF(AND(AU7&lt;&gt;"",AU7&lt;=前提条件!$C$8),IF(2&gt;=3,30000,IF(AU7&lt;3,15000,10000))*6,0)+IF(AND(AU8&lt;&gt;"",AU8&lt;=前提条件!$C$8),30000*6,0))</f>
        <v/>
      </c>
      <c r="AV12" s="350">
        <f>IF(AV$3="","",IF(AND(AV6&lt;&gt;"",AV6&lt;=前提条件!$C$8),IF(1&gt;=3,30000,IF(AV6&lt;3,15000,10000))*6,0)+IF(AND(AV7&lt;&gt;"",AV7&lt;=前提条件!$C$8),IF(2&gt;=3,30000,IF(AV7&lt;3,15000,10000))*6,0)+IF(AND(AV8&lt;&gt;"",AV8&lt;=前提条件!$C$8),30000*6,0))</f>
        <v/>
      </c>
      <c r="AW12" s="350">
        <f>IF(AW$3="","",IF(AND(AW6&lt;&gt;"",AW6&lt;=前提条件!$C$8),IF(1&gt;=3,30000,IF(AW6&lt;3,15000,10000))*6,0)+IF(AND(AW7&lt;&gt;"",AW7&lt;=前提条件!$C$8),IF(2&gt;=3,30000,IF(AW7&lt;3,15000,10000))*6,0)+IF(AND(AW8&lt;&gt;"",AW8&lt;=前提条件!$C$8),30000*6,0))</f>
        <v/>
      </c>
      <c r="AX12" s="350">
        <f>IF(AX$3="","",IF(AND(AX6&lt;&gt;"",AX6&lt;=前提条件!$C$8),IF(1&gt;=3,30000,IF(AX6&lt;3,15000,10000))*6,0)+IF(AND(AX7&lt;&gt;"",AX7&lt;=前提条件!$C$8),IF(2&gt;=3,30000,IF(AX7&lt;3,15000,10000))*6,0)+IF(AND(AX8&lt;&gt;"",AX8&lt;=前提条件!$C$8),30000*6,0))</f>
        <v/>
      </c>
      <c r="AY12" s="350">
        <f>IF(AY$3="","",IF(AND(AY6&lt;&gt;"",AY6&lt;=前提条件!$C$8),IF(1&gt;=3,30000,IF(AY6&lt;3,15000,10000))*6,0)+IF(AND(AY7&lt;&gt;"",AY7&lt;=前提条件!$C$8),IF(2&gt;=3,30000,IF(AY7&lt;3,15000,10000))*6,0)+IF(AND(AY8&lt;&gt;"",AY8&lt;=前提条件!$C$8),30000*6,0))</f>
        <v/>
      </c>
      <c r="AZ12" s="350">
        <f>IF(AZ$3="","",IF(AND(AZ6&lt;&gt;"",AZ6&lt;=前提条件!$C$8),IF(1&gt;=3,30000,IF(AZ6&lt;3,15000,10000))*6,0)+IF(AND(AZ7&lt;&gt;"",AZ7&lt;=前提条件!$C$8),IF(2&gt;=3,30000,IF(AZ7&lt;3,15000,10000))*6,0)+IF(AND(AZ8&lt;&gt;"",AZ8&lt;=前提条件!$C$8),30000*6,0))</f>
        <v/>
      </c>
      <c r="BA12" s="350">
        <f>IF(BA$3="","",IF(AND(BA6&lt;&gt;"",BA6&lt;=前提条件!$C$8),IF(1&gt;=3,30000,IF(BA6&lt;3,15000,10000))*6,0)+IF(AND(BA7&lt;&gt;"",BA7&lt;=前提条件!$C$8),IF(2&gt;=3,30000,IF(BA7&lt;3,15000,10000))*6,0)+IF(AND(BA8&lt;&gt;"",BA8&lt;=前提条件!$C$8),30000*6,0))</f>
        <v/>
      </c>
      <c r="BB12" s="350">
        <f>IF(BB$3="","",IF(AND(BB6&lt;&gt;"",BB6&lt;=前提条件!$C$8),IF(1&gt;=3,30000,IF(BB6&lt;3,15000,10000))*6,0)+IF(AND(BB7&lt;&gt;"",BB7&lt;=前提条件!$C$8),IF(2&gt;=3,30000,IF(BB7&lt;3,15000,10000))*6,0)+IF(AND(BB8&lt;&gt;"",BB8&lt;=前提条件!$C$8),30000*6,0))</f>
        <v/>
      </c>
      <c r="BC12" s="350">
        <f>IF(BC$3="","",IF(AND(BC6&lt;&gt;"",BC6&lt;=前提条件!$C$8),IF(1&gt;=3,30000,IF(BC6&lt;3,15000,10000))*6,0)+IF(AND(BC7&lt;&gt;"",BC7&lt;=前提条件!$C$8),IF(2&gt;=3,30000,IF(BC7&lt;3,15000,10000))*6,0)+IF(AND(BC8&lt;&gt;"",BC8&lt;=前提条件!$C$8),30000*6,0))</f>
        <v/>
      </c>
      <c r="BD12" s="350">
        <f>IF(BD$3="","",IF(AND(BD6&lt;&gt;"",BD6&lt;=前提条件!$C$8),IF(1&gt;=3,30000,IF(BD6&lt;3,15000,10000))*6,0)+IF(AND(BD7&lt;&gt;"",BD7&lt;=前提条件!$C$8),IF(2&gt;=3,30000,IF(BD7&lt;3,15000,10000))*6,0)+IF(AND(BD8&lt;&gt;"",BD8&lt;=前提条件!$C$8),30000*6,0))</f>
        <v/>
      </c>
      <c r="BE12" s="350">
        <f>IF(BE$3="","",IF(AND(BE6&lt;&gt;"",BE6&lt;=前提条件!$C$8),IF(1&gt;=3,30000,IF(BE6&lt;3,15000,10000))*6,0)+IF(AND(BE7&lt;&gt;"",BE7&lt;=前提条件!$C$8),IF(2&gt;=3,30000,IF(BE7&lt;3,15000,10000))*6,0)+IF(AND(BE8&lt;&gt;"",BE8&lt;=前提条件!$C$8),30000*6,0))</f>
        <v/>
      </c>
      <c r="BF12" s="350">
        <f>IF(BF$3="","",IF(AND(BF6&lt;&gt;"",BF6&lt;=前提条件!$C$8),IF(1&gt;=3,30000,IF(BF6&lt;3,15000,10000))*6,0)+IF(AND(BF7&lt;&gt;"",BF7&lt;=前提条件!$C$8),IF(2&gt;=3,30000,IF(BF7&lt;3,15000,10000))*6,0)+IF(AND(BF8&lt;&gt;"",BF8&lt;=前提条件!$C$8),30000*6,0))</f>
        <v/>
      </c>
      <c r="BG12" s="350">
        <f>IF(BG$3="","",IF(AND(BG6&lt;&gt;"",BG6&lt;=前提条件!$C$8),IF(1&gt;=3,30000,IF(BG6&lt;3,15000,10000))*6,0)+IF(AND(BG7&lt;&gt;"",BG7&lt;=前提条件!$C$8),IF(2&gt;=3,30000,IF(BG7&lt;3,15000,10000))*6,0)+IF(AND(BG8&lt;&gt;"",BG8&lt;=前提条件!$C$8),30000*6,0))</f>
        <v/>
      </c>
      <c r="BH12" s="350">
        <f>IF(BH$3="","",IF(AND(BH6&lt;&gt;"",BH6&lt;=前提条件!$C$8),IF(1&gt;=3,30000,IF(BH6&lt;3,15000,10000))*6,0)+IF(AND(BH7&lt;&gt;"",BH7&lt;=前提条件!$C$8),IF(2&gt;=3,30000,IF(BH7&lt;3,15000,10000))*6,0)+IF(AND(BH8&lt;&gt;"",BH8&lt;=前提条件!$C$8),30000*6,0))</f>
        <v/>
      </c>
      <c r="BI12" s="350">
        <f>IF(BI$3="","",IF(AND(BI6&lt;&gt;"",BI6&lt;=前提条件!$C$8),IF(1&gt;=3,30000,IF(BI6&lt;3,15000,10000))*6,0)+IF(AND(BI7&lt;&gt;"",BI7&lt;=前提条件!$C$8),IF(2&gt;=3,30000,IF(BI7&lt;3,15000,10000))*6,0)+IF(AND(BI8&lt;&gt;"",BI8&lt;=前提条件!$C$8),30000*6,0))</f>
        <v/>
      </c>
      <c r="BJ12" s="350">
        <f>IF(BJ$3="","",IF(AND(BJ6&lt;&gt;"",BJ6&lt;=前提条件!$C$8),IF(1&gt;=3,30000,IF(BJ6&lt;3,15000,10000))*6,0)+IF(AND(BJ7&lt;&gt;"",BJ7&lt;=前提条件!$C$8),IF(2&gt;=3,30000,IF(BJ7&lt;3,15000,10000))*6,0)+IF(AND(BJ8&lt;&gt;"",BJ8&lt;=前提条件!$C$8),30000*6,0))</f>
        <v/>
      </c>
      <c r="BK12" s="350">
        <f>IF(BK$3="","",IF(AND(BK6&lt;&gt;"",BK6&lt;=前提条件!$C$8),IF(1&gt;=3,30000,IF(BK6&lt;3,15000,10000))*6,0)+IF(AND(BK7&lt;&gt;"",BK7&lt;=前提条件!$C$8),IF(2&gt;=3,30000,IF(BK7&lt;3,15000,10000))*6,0)+IF(AND(BK8&lt;&gt;"",BK8&lt;=前提条件!$C$8),30000*6,0))</f>
        <v/>
      </c>
      <c r="BL12" s="350">
        <f>IF(BL$3="","",IF(AND(BL6&lt;&gt;"",BL6&lt;=前提条件!$C$8),IF(1&gt;=3,30000,IF(BL6&lt;3,15000,10000))*6,0)+IF(AND(BL7&lt;&gt;"",BL7&lt;=前提条件!$C$8),IF(2&gt;=3,30000,IF(BL7&lt;3,15000,10000))*6,0)+IF(AND(BL8&lt;&gt;"",BL8&lt;=前提条件!$C$8),30000*6,0))</f>
        <v/>
      </c>
      <c r="BM12" s="350">
        <f>IF(BM$3="","",IF(AND(BM6&lt;&gt;"",BM6&lt;=前提条件!$C$8),IF(1&gt;=3,30000,IF(BM6&lt;3,15000,10000))*6,0)+IF(AND(BM7&lt;&gt;"",BM7&lt;=前提条件!$C$8),IF(2&gt;=3,30000,IF(BM7&lt;3,15000,10000))*6,0)+IF(AND(BM8&lt;&gt;"",BM8&lt;=前提条件!$C$8),30000*6,0))</f>
        <v/>
      </c>
      <c r="BN12" s="350">
        <f>IF(BN$3="","",IF(AND(BN6&lt;&gt;"",BN6&lt;=前提条件!$C$8),IF(1&gt;=3,30000,IF(BN6&lt;3,15000,10000))*6,0)+IF(AND(BN7&lt;&gt;"",BN7&lt;=前提条件!$C$8),IF(2&gt;=3,30000,IF(BN7&lt;3,15000,10000))*6,0)+IF(AND(BN8&lt;&gt;"",BN8&lt;=前提条件!$C$8),30000*6,0))</f>
        <v/>
      </c>
      <c r="BO12" s="350">
        <f>IF(BO$3="","",IF(AND(BO6&lt;&gt;"",BO6&lt;=前提条件!$C$8),IF(1&gt;=3,30000,IF(BO6&lt;3,15000,10000))*6,0)+IF(AND(BO7&lt;&gt;"",BO7&lt;=前提条件!$C$8),IF(2&gt;=3,30000,IF(BO7&lt;3,15000,10000))*6,0)+IF(AND(BO8&lt;&gt;"",BO8&lt;=前提条件!$C$8),30000*6,0))</f>
        <v/>
      </c>
      <c r="BP12" s="350">
        <f>IF(BP$3="","",IF(AND(BP6&lt;&gt;"",BP6&lt;=前提条件!$C$8),IF(1&gt;=3,30000,IF(BP6&lt;3,15000,10000))*6,0)+IF(AND(BP7&lt;&gt;"",BP7&lt;=前提条件!$C$8),IF(2&gt;=3,30000,IF(BP7&lt;3,15000,10000))*6,0)+IF(AND(BP8&lt;&gt;"",BP8&lt;=前提条件!$C$8),30000*6,0))</f>
        <v/>
      </c>
      <c r="BQ12" s="350">
        <f>IF(BQ$3="","",IF(AND(BQ6&lt;&gt;"",BQ6&lt;=前提条件!$C$8),IF(1&gt;=3,30000,IF(BQ6&lt;3,15000,10000))*6,0)+IF(AND(BQ7&lt;&gt;"",BQ7&lt;=前提条件!$C$8),IF(2&gt;=3,30000,IF(BQ7&lt;3,15000,10000))*6,0)+IF(AND(BQ8&lt;&gt;"",BQ8&lt;=前提条件!$C$8),30000*6,0))</f>
        <v/>
      </c>
      <c r="BR12" s="350">
        <f>IF(BR$3="","",IF(AND(BR6&lt;&gt;"",BR6&lt;=前提条件!$C$8),IF(1&gt;=3,30000,IF(BR6&lt;3,15000,10000))*6,0)+IF(AND(BR7&lt;&gt;"",BR7&lt;=前提条件!$C$8),IF(2&gt;=3,30000,IF(BR7&lt;3,15000,10000))*6,0)+IF(AND(BR8&lt;&gt;"",BR8&lt;=前提条件!$C$8),30000*6,0))</f>
        <v/>
      </c>
      <c r="BS12" s="350">
        <f>IF(BS$3="","",IF(AND(BS6&lt;&gt;"",BS6&lt;=前提条件!$C$8),IF(1&gt;=3,30000,IF(BS6&lt;3,15000,10000))*6,0)+IF(AND(BS7&lt;&gt;"",BS7&lt;=前提条件!$C$8),IF(2&gt;=3,30000,IF(BS7&lt;3,15000,10000))*6,0)+IF(AND(BS8&lt;&gt;"",BS8&lt;=前提条件!$C$8),30000*6,0))</f>
        <v/>
      </c>
      <c r="BT12" s="350">
        <f>IF(BT$3="","",IF(AND(BT6&lt;&gt;"",BT6&lt;=前提条件!$C$8),IF(1&gt;=3,30000,IF(BT6&lt;3,15000,10000))*6,0)+IF(AND(BT7&lt;&gt;"",BT7&lt;=前提条件!$C$8),IF(2&gt;=3,30000,IF(BT7&lt;3,15000,10000))*6,0)+IF(AND(BT8&lt;&gt;"",BT8&lt;=前提条件!$C$8),30000*6,0))</f>
        <v/>
      </c>
      <c r="BU12" s="350">
        <f>IF(BU$3="","",IF(AND(BU6&lt;&gt;"",BU6&lt;=前提条件!$C$8),IF(1&gt;=3,30000,IF(BU6&lt;3,15000,10000))*6,0)+IF(AND(BU7&lt;&gt;"",BU7&lt;=前提条件!$C$8),IF(2&gt;=3,30000,IF(BU7&lt;3,15000,10000))*6,0)+IF(AND(BU8&lt;&gt;"",BU8&lt;=前提条件!$C$8),30000*6,0))</f>
        <v/>
      </c>
      <c r="BV12" s="350">
        <f>IF(BV$3="","",IF(AND(BV6&lt;&gt;"",BV6&lt;=前提条件!$C$8),IF(1&gt;=3,30000,IF(BV6&lt;3,15000,10000))*6,0)+IF(AND(BV7&lt;&gt;"",BV7&lt;=前提条件!$C$8),IF(2&gt;=3,30000,IF(BV7&lt;3,15000,10000))*6,0)+IF(AND(BV8&lt;&gt;"",BV8&lt;=前提条件!$C$8),30000*6,0))</f>
        <v/>
      </c>
      <c r="BW12" s="350">
        <f>IF(BW$3="","",IF(AND(BW6&lt;&gt;"",BW6&lt;=前提条件!$C$8),IF(1&gt;=3,30000,IF(BW6&lt;3,15000,10000))*6,0)+IF(AND(BW7&lt;&gt;"",BW7&lt;=前提条件!$C$8),IF(2&gt;=3,30000,IF(BW7&lt;3,15000,10000))*6,0)+IF(AND(BW8&lt;&gt;"",BW8&lt;=前提条件!$C$8),30000*6,0))</f>
        <v/>
      </c>
      <c r="BX12" s="350">
        <f>IF(BX$3="","",IF(AND(BX6&lt;&gt;"",BX6&lt;=前提条件!$C$8),IF(1&gt;=3,30000,IF(BX6&lt;3,15000,10000))*6,0)+IF(AND(BX7&lt;&gt;"",BX7&lt;=前提条件!$C$8),IF(2&gt;=3,30000,IF(BX7&lt;3,15000,10000))*6,0)+IF(AND(BX8&lt;&gt;"",BX8&lt;=前提条件!$C$8),30000*6,0))</f>
        <v/>
      </c>
      <c r="BY12" s="350">
        <f>IF(BY$3="","",IF(AND(BY6&lt;&gt;"",BY6&lt;=前提条件!$C$8),IF(1&gt;=3,30000,IF(BY6&lt;3,15000,10000))*6,0)+IF(AND(BY7&lt;&gt;"",BY7&lt;=前提条件!$C$8),IF(2&gt;=3,30000,IF(BY7&lt;3,15000,10000))*6,0)+IF(AND(BY8&lt;&gt;"",BY8&lt;=前提条件!$C$8),30000*6,0))</f>
        <v/>
      </c>
      <c r="BZ12" s="350">
        <f>IF(BZ$3="","",IF(AND(BZ6&lt;&gt;"",BZ6&lt;=前提条件!$C$8),IF(1&gt;=3,30000,IF(BZ6&lt;3,15000,10000))*6,0)+IF(AND(BZ7&lt;&gt;"",BZ7&lt;=前提条件!$C$8),IF(2&gt;=3,30000,IF(BZ7&lt;3,15000,10000))*6,0)+IF(AND(BZ8&lt;&gt;"",BZ8&lt;=前提条件!$C$8),30000*6,0))</f>
        <v/>
      </c>
      <c r="CA12" s="350">
        <f>IF(CA$3="","",IF(AND(CA6&lt;&gt;"",CA6&lt;=前提条件!$C$8),IF(1&gt;=3,30000,IF(CA6&lt;3,15000,10000))*6,0)+IF(AND(CA7&lt;&gt;"",CA7&lt;=前提条件!$C$8),IF(2&gt;=3,30000,IF(CA7&lt;3,15000,10000))*6,0)+IF(AND(CA8&lt;&gt;"",CA8&lt;=前提条件!$C$8),30000*6,0))</f>
        <v/>
      </c>
      <c r="CB12" s="350">
        <f>IF(CB$3="","",IF(AND(CB6&lt;&gt;"",CB6&lt;=前提条件!$C$8),IF(1&gt;=3,30000,IF(CB6&lt;3,15000,10000))*6,0)+IF(AND(CB7&lt;&gt;"",CB7&lt;=前提条件!$C$8),IF(2&gt;=3,30000,IF(CB7&lt;3,15000,10000))*6,0)+IF(AND(CB8&lt;&gt;"",CB8&lt;=前提条件!$C$8),30000*6,0))</f>
        <v/>
      </c>
      <c r="CC12" s="350">
        <f>IF(CC$3="","",IF(AND(CC6&lt;&gt;"",CC6&lt;=前提条件!$C$8),IF(1&gt;=3,30000,IF(CC6&lt;3,15000,10000))*6,0)+IF(AND(CC7&lt;&gt;"",CC7&lt;=前提条件!$C$8),IF(2&gt;=3,30000,IF(CC7&lt;3,15000,10000))*6,0)+IF(AND(CC8&lt;&gt;"",CC8&lt;=前提条件!$C$8),30000*6,0))</f>
        <v/>
      </c>
      <c r="CD12" s="350">
        <f>IF(CD$3="","",IF(AND(CD6&lt;&gt;"",CD6&lt;=前提条件!$C$8),IF(1&gt;=3,30000,IF(CD6&lt;3,15000,10000))*6,0)+IF(AND(CD7&lt;&gt;"",CD7&lt;=前提条件!$C$8),IF(2&gt;=3,30000,IF(CD7&lt;3,15000,10000))*6,0)+IF(AND(CD8&lt;&gt;"",CD8&lt;=前提条件!$C$8),30000*6,0))</f>
        <v/>
      </c>
      <c r="CE12" s="350">
        <f>IF(CE$3="","",IF(AND(CE6&lt;&gt;"",CE6&lt;=前提条件!$C$8),IF(1&gt;=3,30000,IF(CE6&lt;3,15000,10000))*6,0)+IF(AND(CE7&lt;&gt;"",CE7&lt;=前提条件!$C$8),IF(2&gt;=3,30000,IF(CE7&lt;3,15000,10000))*6,0)+IF(AND(CE8&lt;&gt;"",CE8&lt;=前提条件!$C$8),30000*6,0))</f>
        <v/>
      </c>
      <c r="CF12" s="350">
        <f>IF(CF$3="","",IF(AND(CF6&lt;&gt;"",CF6&lt;=前提条件!$C$8),IF(1&gt;=3,30000,IF(CF6&lt;3,15000,10000))*6,0)+IF(AND(CF7&lt;&gt;"",CF7&lt;=前提条件!$C$8),IF(2&gt;=3,30000,IF(CF7&lt;3,15000,10000))*6,0)+IF(AND(CF8&lt;&gt;"",CF8&lt;=前提条件!$C$8),30000*6,0))</f>
        <v/>
      </c>
      <c r="CG12" s="350">
        <f>IF(CG$3="","",IF(AND(CG6&lt;&gt;"",CG6&lt;=前提条件!$C$8),IF(1&gt;=3,30000,IF(CG6&lt;3,15000,10000))*6,0)+IF(AND(CG7&lt;&gt;"",CG7&lt;=前提条件!$C$8),IF(2&gt;=3,30000,IF(CG7&lt;3,15000,10000))*6,0)+IF(AND(CG8&lt;&gt;"",CG8&lt;=前提条件!$C$8),30000*6,0))</f>
        <v/>
      </c>
      <c r="CH12" s="350">
        <f>IF(CH$3="","",IF(AND(CH6&lt;&gt;"",CH6&lt;=前提条件!$C$8),IF(1&gt;=3,30000,IF(CH6&lt;3,15000,10000))*6,0)+IF(AND(CH7&lt;&gt;"",CH7&lt;=前提条件!$C$8),IF(2&gt;=3,30000,IF(CH7&lt;3,15000,10000))*6,0)+IF(AND(CH8&lt;&gt;"",CH8&lt;=前提条件!$C$8),30000*6,0))</f>
        <v/>
      </c>
      <c r="CI12" s="350">
        <f>IF(CI$3="","",IF(AND(CI6&lt;&gt;"",CI6&lt;=前提条件!$C$8),IF(1&gt;=3,30000,IF(CI6&lt;3,15000,10000))*6,0)+IF(AND(CI7&lt;&gt;"",CI7&lt;=前提条件!$C$8),IF(2&gt;=3,30000,IF(CI7&lt;3,15000,10000))*6,0)+IF(AND(CI8&lt;&gt;"",CI8&lt;=前提条件!$C$8),30000*6,0))</f>
        <v/>
      </c>
      <c r="CJ12" s="350">
        <f>IF(CJ$3="","",IF(AND(CJ6&lt;&gt;"",CJ6&lt;=前提条件!$C$8),IF(1&gt;=3,30000,IF(CJ6&lt;3,15000,10000))*6,0)+IF(AND(CJ7&lt;&gt;"",CJ7&lt;=前提条件!$C$8),IF(2&gt;=3,30000,IF(CJ7&lt;3,15000,10000))*6,0)+IF(AND(CJ8&lt;&gt;"",CJ8&lt;=前提条件!$C$8),30000*6,0))</f>
        <v/>
      </c>
      <c r="CK12" s="350">
        <f>IF(CK$3="","",IF(AND(CK6&lt;&gt;"",CK6&lt;=前提条件!$C$8),IF(1&gt;=3,30000,IF(CK6&lt;3,15000,10000))*6,0)+IF(AND(CK7&lt;&gt;"",CK7&lt;=前提条件!$C$8),IF(2&gt;=3,30000,IF(CK7&lt;3,15000,10000))*6,0)+IF(AND(CK8&lt;&gt;"",CK8&lt;=前提条件!$C$8),30000*6,0))</f>
        <v/>
      </c>
      <c r="CL12" s="350">
        <f>IF(CL$3="","",IF(AND(CL6&lt;&gt;"",CL6&lt;=前提条件!$C$8),IF(1&gt;=3,30000,IF(CL6&lt;3,15000,10000))*6,0)+IF(AND(CL7&lt;&gt;"",CL7&lt;=前提条件!$C$8),IF(2&gt;=3,30000,IF(CL7&lt;3,15000,10000))*6,0)+IF(AND(CL8&lt;&gt;"",CL8&lt;=前提条件!$C$8),30000*6,0))</f>
        <v/>
      </c>
      <c r="CM12" s="350">
        <f>IF(CM$3="","",IF(AND(CM6&lt;&gt;"",CM6&lt;=前提条件!$C$8),IF(1&gt;=3,30000,IF(CM6&lt;3,15000,10000))*6,0)+IF(AND(CM7&lt;&gt;"",CM7&lt;=前提条件!$C$8),IF(2&gt;=3,30000,IF(CM7&lt;3,15000,10000))*6,0)+IF(AND(CM8&lt;&gt;"",CM8&lt;=前提条件!$C$8),30000*6,0))</f>
        <v/>
      </c>
      <c r="CN12" s="350">
        <f>IF(CN$3="","",IF(AND(CN6&lt;&gt;"",CN6&lt;=前提条件!$C$8),IF(1&gt;=3,30000,IF(CN6&lt;3,15000,10000))*6,0)+IF(AND(CN7&lt;&gt;"",CN7&lt;=前提条件!$C$8),IF(2&gt;=3,30000,IF(CN7&lt;3,15000,10000))*6,0)+IF(AND(CN8&lt;&gt;"",CN8&lt;=前提条件!$C$8),30000*6,0))</f>
        <v/>
      </c>
      <c r="CO12" s="350">
        <f>IF(CO$3="","",IF(AND(CO6&lt;&gt;"",CO6&lt;=前提条件!$C$8),IF(1&gt;=3,30000,IF(CO6&lt;3,15000,10000))*6,0)+IF(AND(CO7&lt;&gt;"",CO7&lt;=前提条件!$C$8),IF(2&gt;=3,30000,IF(CO7&lt;3,15000,10000))*6,0)+IF(AND(CO8&lt;&gt;"",CO8&lt;=前提条件!$C$8),30000*6,0))</f>
        <v/>
      </c>
      <c r="CP12" s="350">
        <f>IF(CP$3="","",IF(AND(CP6&lt;&gt;"",CP6&lt;=前提条件!$C$8),IF(1&gt;=3,30000,IF(CP6&lt;3,15000,10000))*6,0)+IF(AND(CP7&lt;&gt;"",CP7&lt;=前提条件!$C$8),IF(2&gt;=3,30000,IF(CP7&lt;3,15000,10000))*6,0)+IF(AND(CP8&lt;&gt;"",CP8&lt;=前提条件!$C$8),30000*6,0))</f>
        <v/>
      </c>
      <c r="CQ12" s="350">
        <f>IF(CQ$3="","",IF(AND(CQ6&lt;&gt;"",CQ6&lt;=前提条件!$C$8),IF(1&gt;=3,30000,IF(CQ6&lt;3,15000,10000))*6,0)+IF(AND(CQ7&lt;&gt;"",CQ7&lt;=前提条件!$C$8),IF(2&gt;=3,30000,IF(CQ7&lt;3,15000,10000))*6,0)+IF(AND(CQ8&lt;&gt;"",CQ8&lt;=前提条件!$C$8),30000*6,0))</f>
        <v/>
      </c>
      <c r="CR12" s="350">
        <f>IF(CR$3="","",IF(AND(CR6&lt;&gt;"",CR6&lt;=前提条件!$C$8),IF(1&gt;=3,30000,IF(CR6&lt;3,15000,10000))*6,0)+IF(AND(CR7&lt;&gt;"",CR7&lt;=前提条件!$C$8),IF(2&gt;=3,30000,IF(CR7&lt;3,15000,10000))*6,0)+IF(AND(CR8&lt;&gt;"",CR8&lt;=前提条件!$C$8),30000*6,0))</f>
        <v/>
      </c>
      <c r="CS12" s="350">
        <f>IF(CS$3="","",IF(AND(CS6&lt;&gt;"",CS6&lt;=前提条件!$C$8),IF(1&gt;=3,30000,IF(CS6&lt;3,15000,10000))*6,0)+IF(AND(CS7&lt;&gt;"",CS7&lt;=前提条件!$C$8),IF(2&gt;=3,30000,IF(CS7&lt;3,15000,10000))*6,0)+IF(AND(CS8&lt;&gt;"",CS8&lt;=前提条件!$C$8),30000*6,0))</f>
        <v/>
      </c>
      <c r="CT12" s="350">
        <f>IF(CT$3="","",IF(AND(CT6&lt;&gt;"",CT6&lt;=前提条件!$C$8),IF(1&gt;=3,30000,IF(CT6&lt;3,15000,10000))*6,0)+IF(AND(CT7&lt;&gt;"",CT7&lt;=前提条件!$C$8),IF(2&gt;=3,30000,IF(CT7&lt;3,15000,10000))*6,0)+IF(AND(CT8&lt;&gt;"",CT8&lt;=前提条件!$C$8),30000*6,0))</f>
        <v/>
      </c>
      <c r="CU12" s="350">
        <f>IF(CU$3="","",IF(AND(CU6&lt;&gt;"",CU6&lt;=前提条件!$C$8),IF(1&gt;=3,30000,IF(CU6&lt;3,15000,10000))*6,0)+IF(AND(CU7&lt;&gt;"",CU7&lt;=前提条件!$C$8),IF(2&gt;=3,30000,IF(CU7&lt;3,15000,10000))*6,0)+IF(AND(CU8&lt;&gt;"",CU8&lt;=前提条件!$C$8),30000*6,0))</f>
        <v/>
      </c>
      <c r="CV12" s="350">
        <f>IF(CV$3="","",IF(AND(CV6&lt;&gt;"",CV6&lt;=前提条件!$C$8),IF(1&gt;=3,30000,IF(CV6&lt;3,15000,10000))*6,0)+IF(AND(CV7&lt;&gt;"",CV7&lt;=前提条件!$C$8),IF(2&gt;=3,30000,IF(CV7&lt;3,15000,10000))*6,0)+IF(AND(CV8&lt;&gt;"",CV8&lt;=前提条件!$C$8),30000*6,0))</f>
        <v/>
      </c>
      <c r="CW12" s="350">
        <f>IF(CW$3="","",IF(AND(CW6&lt;&gt;"",CW6&lt;=前提条件!$C$8),入力データ!$C$34*6,0)+IF(AND(CW7&lt;&gt;"",CW7&lt;=前提条件!$C$8),入力データ!$C$34*6,0)+IF(AND(CW8&lt;&gt;"",CW8&lt;=前提条件!$C$8),入力データ!$C$34*6,0))</f>
        <v/>
      </c>
    </row>
    <row r="13" ht="15" customHeight="1" s="180">
      <c r="A13" s="220" t="inlineStr">
        <is>
          <t>その他収入</t>
        </is>
      </c>
      <c r="B13" s="350">
        <f>IF(B$3="","",入力データ!$C$35*12)</f>
        <v/>
      </c>
      <c r="C13" s="350">
        <f>IF(C$3="","",入力データ!$C$35*12)</f>
        <v/>
      </c>
      <c r="D13" s="350">
        <f>IF(D$3="","",入力データ!$C$35*12)</f>
        <v/>
      </c>
      <c r="E13" s="350">
        <f>IF(E$3="","",入力データ!$C$35*12)</f>
        <v/>
      </c>
      <c r="F13" s="350">
        <f>IF(F$3="","",入力データ!$C$35*12)</f>
        <v/>
      </c>
      <c r="G13" s="350">
        <f>IF(G$3="","",入力データ!$C$35*12)</f>
        <v/>
      </c>
      <c r="H13" s="350">
        <f>IF(H$3="","",入力データ!$C$35*12)</f>
        <v/>
      </c>
      <c r="I13" s="350">
        <f>IF(I$3="","",入力データ!$C$35*12)</f>
        <v/>
      </c>
      <c r="J13" s="350">
        <f>IF(J$3="","",入力データ!$C$35*12)</f>
        <v/>
      </c>
      <c r="K13" s="350">
        <f>IF(K$3="","",入力データ!$C$35*12)</f>
        <v/>
      </c>
      <c r="L13" s="350">
        <f>IF(L$3="","",入力データ!$C$35*12)</f>
        <v/>
      </c>
      <c r="M13" s="350">
        <f>IF(M$3="","",入力データ!$C$35*12)</f>
        <v/>
      </c>
      <c r="N13" s="350">
        <f>IF(N$3="","",入力データ!$C$35*12)</f>
        <v/>
      </c>
      <c r="O13" s="350">
        <f>IF(O$3="","",入力データ!$C$35*12)</f>
        <v/>
      </c>
      <c r="P13" s="350">
        <f>IF(P$3="","",入力データ!$C$35*12)</f>
        <v/>
      </c>
      <c r="Q13" s="350">
        <f>IF(Q$3="","",入力データ!$C$35*12)</f>
        <v/>
      </c>
      <c r="R13" s="350">
        <f>IF(R$3="","",入力データ!$C$35*12)</f>
        <v/>
      </c>
      <c r="S13" s="350">
        <f>IF(S$3="","",入力データ!$C$35*12)</f>
        <v/>
      </c>
      <c r="T13" s="350">
        <f>IF(T$3="","",入力データ!$C$35*12)</f>
        <v/>
      </c>
      <c r="U13" s="350">
        <f>IF(U$3="","",入力データ!$C$35*12)</f>
        <v/>
      </c>
      <c r="V13" s="350">
        <f>IF(V$3="","",入力データ!$C$35*12)</f>
        <v/>
      </c>
      <c r="W13" s="350">
        <f>IF(W$3="","",入力データ!$C$35*12)</f>
        <v/>
      </c>
      <c r="X13" s="350">
        <f>IF(X$3="","",入力データ!$C$35*12)</f>
        <v/>
      </c>
      <c r="Y13" s="350">
        <f>IF(Y$3="","",入力データ!$C$35*12)</f>
        <v/>
      </c>
      <c r="Z13" s="350">
        <f>IF(Z$3="","",入力データ!$C$35*12)</f>
        <v/>
      </c>
      <c r="AA13" s="350">
        <f>IF(AA$3="","",入力データ!$C$35*12)</f>
        <v/>
      </c>
      <c r="AB13" s="350">
        <f>IF(AB$3="","",入力データ!$C$35*12)</f>
        <v/>
      </c>
      <c r="AC13" s="350">
        <f>IF(AC$3="","",入力データ!$C$35*12)</f>
        <v/>
      </c>
      <c r="AD13" s="350">
        <f>IF(AD$3="","",入力データ!$C$35*12)</f>
        <v/>
      </c>
      <c r="AE13" s="350">
        <f>IF(AE$3="","",入力データ!$C$35*12)</f>
        <v/>
      </c>
      <c r="AF13" s="350">
        <f>IF(AF$3="","",入力データ!$C$35*12)</f>
        <v/>
      </c>
      <c r="AG13" s="350">
        <f>IF(AG$3="","",入力データ!$C$35*12)</f>
        <v/>
      </c>
      <c r="AH13" s="350">
        <f>IF(AH$3="","",入力データ!$C$35*12)</f>
        <v/>
      </c>
      <c r="AI13" s="350">
        <f>IF(AI$3="","",入力データ!$C$35*12)</f>
        <v/>
      </c>
      <c r="AJ13" s="350">
        <f>IF(AJ$3="","",入力データ!$C$35*12)</f>
        <v/>
      </c>
      <c r="AK13" s="350">
        <f>IF(AK$3="","",入力データ!$C$35*12)</f>
        <v/>
      </c>
      <c r="AL13" s="350">
        <f>IF(AL$3="","",入力データ!$C$35*12)</f>
        <v/>
      </c>
      <c r="AM13" s="350">
        <f>IF(AM$3="","",入力データ!$C$35*12)</f>
        <v/>
      </c>
      <c r="AN13" s="350">
        <f>IF(AN$3="","",入力データ!$C$35*12)</f>
        <v/>
      </c>
      <c r="AO13" s="350">
        <f>IF(AO$3="","",入力データ!$C$35*12)</f>
        <v/>
      </c>
      <c r="AP13" s="350">
        <f>IF(AP$3="","",入力データ!$C$35*12)</f>
        <v/>
      </c>
      <c r="AQ13" s="350">
        <f>IF(AQ$3="","",入力データ!$C$35*12)</f>
        <v/>
      </c>
      <c r="AR13" s="350">
        <f>IF(AR$3="","",入力データ!$C$35*12)</f>
        <v/>
      </c>
      <c r="AS13" s="350">
        <f>IF(AS$3="","",入力データ!$C$35*12)</f>
        <v/>
      </c>
      <c r="AT13" s="350">
        <f>IF(AT$3="","",入力データ!$C$35*12)</f>
        <v/>
      </c>
      <c r="AU13" s="350">
        <f>IF(AU$3="","",入力データ!$C$35*12)</f>
        <v/>
      </c>
      <c r="AV13" s="350">
        <f>IF(AV$3="","",入力データ!$C$35*12)</f>
        <v/>
      </c>
      <c r="AW13" s="350">
        <f>IF(AW$3="","",入力データ!$C$35*12)</f>
        <v/>
      </c>
      <c r="AX13" s="350">
        <f>IF(AX$3="","",入力データ!$C$35*12)</f>
        <v/>
      </c>
      <c r="AY13" s="350">
        <f>IF(AY$3="","",入力データ!$C$35*12)</f>
        <v/>
      </c>
      <c r="AZ13" s="350">
        <f>IF(AZ$3="","",入力データ!$C$35*12)</f>
        <v/>
      </c>
      <c r="BA13" s="350">
        <f>IF(BA$3="","",入力データ!$C$35*12)</f>
        <v/>
      </c>
      <c r="BB13" s="350">
        <f>IF(BB$3="","",入力データ!$C$35*12)</f>
        <v/>
      </c>
      <c r="BC13" s="350">
        <f>IF(BC$3="","",入力データ!$C$35*12)</f>
        <v/>
      </c>
      <c r="BD13" s="350">
        <f>IF(BD$3="","",入力データ!$C$35*12)</f>
        <v/>
      </c>
      <c r="BE13" s="350">
        <f>IF(BE$3="","",入力データ!$C$35*12)</f>
        <v/>
      </c>
      <c r="BF13" s="350">
        <f>IF(BF$3="","",入力データ!$C$35*12)</f>
        <v/>
      </c>
      <c r="BG13" s="350">
        <f>IF(BG$3="","",入力データ!$C$35*12)</f>
        <v/>
      </c>
      <c r="BH13" s="350">
        <f>IF(BH$3="","",入力データ!$C$35*12)</f>
        <v/>
      </c>
      <c r="BI13" s="350">
        <f>IF(BI$3="","",入力データ!$C$35*12)</f>
        <v/>
      </c>
      <c r="BJ13" s="350">
        <f>IF(BJ$3="","",入力データ!$C$35*12)</f>
        <v/>
      </c>
      <c r="BK13" s="350">
        <f>IF(BK$3="","",入力データ!$C$35*12)</f>
        <v/>
      </c>
      <c r="BL13" s="350">
        <f>IF(BL$3="","",入力データ!$C$35*12)</f>
        <v/>
      </c>
      <c r="BM13" s="350">
        <f>IF(BM$3="","",入力データ!$C$35*12)</f>
        <v/>
      </c>
      <c r="BN13" s="350">
        <f>IF(BN$3="","",入力データ!$C$35*12)</f>
        <v/>
      </c>
      <c r="BO13" s="350">
        <f>IF(BO$3="","",入力データ!$C$35*12)</f>
        <v/>
      </c>
      <c r="BP13" s="350">
        <f>IF(BP$3="","",入力データ!$C$35*12)</f>
        <v/>
      </c>
      <c r="BQ13" s="350">
        <f>IF(BQ$3="","",入力データ!$C$35*12)</f>
        <v/>
      </c>
      <c r="BR13" s="350">
        <f>IF(BR$3="","",入力データ!$C$35*12)</f>
        <v/>
      </c>
      <c r="BS13" s="350">
        <f>IF(BS$3="","",入力データ!$C$35*12)</f>
        <v/>
      </c>
      <c r="BT13" s="350">
        <f>IF(BT$3="","",入力データ!$C$35*12)</f>
        <v/>
      </c>
      <c r="BU13" s="350">
        <f>IF(BU$3="","",入力データ!$C$35*12)</f>
        <v/>
      </c>
      <c r="BV13" s="350">
        <f>IF(BV$3="","",入力データ!$C$35*12)</f>
        <v/>
      </c>
      <c r="BW13" s="350">
        <f>IF(BW$3="","",入力データ!$C$35*12)</f>
        <v/>
      </c>
      <c r="BX13" s="350">
        <f>IF(BX$3="","",入力データ!$C$35*12)</f>
        <v/>
      </c>
      <c r="BY13" s="350">
        <f>IF(BY$3="","",入力データ!$C$35*12)</f>
        <v/>
      </c>
      <c r="BZ13" s="350">
        <f>IF(BZ$3="","",入力データ!$C$35*12)</f>
        <v/>
      </c>
      <c r="CA13" s="350">
        <f>IF(CA$3="","",入力データ!$C$35*12)</f>
        <v/>
      </c>
      <c r="CB13" s="350">
        <f>IF(CB$3="","",入力データ!$C$35*12)</f>
        <v/>
      </c>
      <c r="CC13" s="350">
        <f>IF(CC$3="","",入力データ!$C$35*12)</f>
        <v/>
      </c>
      <c r="CD13" s="350">
        <f>IF(CD$3="","",入力データ!$C$35*12)</f>
        <v/>
      </c>
      <c r="CE13" s="350">
        <f>IF(CE$3="","",入力データ!$C$35*12)</f>
        <v/>
      </c>
      <c r="CF13" s="350">
        <f>IF(CF$3="","",入力データ!$C$35*12)</f>
        <v/>
      </c>
      <c r="CG13" s="350">
        <f>IF(CG$3="","",入力データ!$C$35*12)</f>
        <v/>
      </c>
      <c r="CH13" s="350">
        <f>IF(CH$3="","",入力データ!$C$35*12)</f>
        <v/>
      </c>
      <c r="CI13" s="350">
        <f>IF(CI$3="","",入力データ!$C$35*12)</f>
        <v/>
      </c>
      <c r="CJ13" s="350">
        <f>IF(CJ$3="","",入力データ!$C$35*12)</f>
        <v/>
      </c>
      <c r="CK13" s="350">
        <f>IF(CK$3="","",入力データ!$C$35*12)</f>
        <v/>
      </c>
      <c r="CL13" s="350">
        <f>IF(CL$3="","",入力データ!$C$35*12)</f>
        <v/>
      </c>
      <c r="CM13" s="350">
        <f>IF(CM$3="","",入力データ!$C$35*12)</f>
        <v/>
      </c>
      <c r="CN13" s="350">
        <f>IF(CN$3="","",入力データ!$C$35*12)</f>
        <v/>
      </c>
      <c r="CO13" s="350">
        <f>IF(CO$3="","",入力データ!$C$35*12)</f>
        <v/>
      </c>
      <c r="CP13" s="350">
        <f>IF(CP$3="","",入力データ!$C$35*12)</f>
        <v/>
      </c>
      <c r="CQ13" s="350">
        <f>IF(CQ$3="","",入力データ!$C$35*12)</f>
        <v/>
      </c>
      <c r="CR13" s="350">
        <f>IF(CR$3="","",入力データ!$C$35*12)</f>
        <v/>
      </c>
      <c r="CS13" s="350">
        <f>IF(CS$3="","",入力データ!$C$35*12)</f>
        <v/>
      </c>
      <c r="CT13" s="350">
        <f>IF(CT$3="","",入力データ!$C$35*12)</f>
        <v/>
      </c>
      <c r="CU13" s="350">
        <f>IF(CU$3="","",入力データ!$C$35*12)</f>
        <v/>
      </c>
      <c r="CV13" s="350">
        <f>IF(CV$3="","",入力データ!$C$35*12)</f>
        <v/>
      </c>
      <c r="CW13" s="350">
        <f>IF(CW$3="","",入力データ!$C$35*12)</f>
        <v/>
      </c>
    </row>
    <row r="14" ht="15" customHeight="1" s="180">
      <c r="A14" s="220" t="inlineStr">
        <is>
          <t>ご主人様退職金</t>
        </is>
      </c>
      <c r="B14" s="350">
        <f>IF(B$3="","",IF(B4=入力データ!$C$109,入力データ!$C$36,0))</f>
        <v/>
      </c>
      <c r="C14" s="350">
        <f>IF(C$3="","",IF(C4=入力データ!$C$109,入力データ!$C$36,0))</f>
        <v/>
      </c>
      <c r="D14" s="350">
        <f>IF(D$3="","",IF(D4=入力データ!$C$109,入力データ!$C$36,0))</f>
        <v/>
      </c>
      <c r="E14" s="350">
        <f>IF(E$3="","",IF(E4=入力データ!$C$109,入力データ!$C$36,0))</f>
        <v/>
      </c>
      <c r="F14" s="350">
        <f>IF(F$3="","",IF(F4=入力データ!$C$109,入力データ!$C$36,0))</f>
        <v/>
      </c>
      <c r="G14" s="350">
        <f>IF(G$3="","",IF(G4=入力データ!$C$109,入力データ!$C$36,0))</f>
        <v/>
      </c>
      <c r="H14" s="350">
        <f>IF(H$3="","",IF(H4=入力データ!$C$109,入力データ!$C$36,0))</f>
        <v/>
      </c>
      <c r="I14" s="350">
        <f>IF(I$3="","",IF(I4=入力データ!$C$109,入力データ!$C$36,0))</f>
        <v/>
      </c>
      <c r="J14" s="350">
        <f>IF(J$3="","",IF(J4=入力データ!$C$109,入力データ!$C$36,0))</f>
        <v/>
      </c>
      <c r="K14" s="350">
        <f>IF(K$3="","",IF(K4=入力データ!$C$109,入力データ!$C$36,0))</f>
        <v/>
      </c>
      <c r="L14" s="350">
        <f>IF(L$3="","",IF(L4=入力データ!$C$109,入力データ!$C$36,0))</f>
        <v/>
      </c>
      <c r="M14" s="350">
        <f>IF(M$3="","",IF(M4=入力データ!$C$109,入力データ!$C$36,0))</f>
        <v/>
      </c>
      <c r="N14" s="350">
        <f>IF(N$3="","",IF(N4=入力データ!$C$109,入力データ!$C$36,0))</f>
        <v/>
      </c>
      <c r="O14" s="350">
        <f>IF(O$3="","",IF(O4=入力データ!$C$109,入力データ!$C$36,0))</f>
        <v/>
      </c>
      <c r="P14" s="350">
        <f>IF(P$3="","",IF(P4=入力データ!$C$109,入力データ!$C$36,0))</f>
        <v/>
      </c>
      <c r="Q14" s="350">
        <f>IF(Q$3="","",IF(Q4=入力データ!$C$109,入力データ!$C$36,0))</f>
        <v/>
      </c>
      <c r="R14" s="350">
        <f>IF(R$3="","",IF(R4=入力データ!$C$109,入力データ!$C$36,0))</f>
        <v/>
      </c>
      <c r="S14" s="350">
        <f>IF(S$3="","",IF(S4=入力データ!$C$109,入力データ!$C$36,0))</f>
        <v/>
      </c>
      <c r="T14" s="350">
        <f>IF(T$3="","",IF(T4=入力データ!$C$109,入力データ!$C$36,0))</f>
        <v/>
      </c>
      <c r="U14" s="350">
        <f>IF(U$3="","",IF(U4=入力データ!$C$109,入力データ!$C$36,0))</f>
        <v/>
      </c>
      <c r="V14" s="350">
        <f>IF(V$3="","",IF(V4=入力データ!$C$109,入力データ!$C$36,0))</f>
        <v/>
      </c>
      <c r="W14" s="350">
        <f>IF(W$3="","",IF(W4=入力データ!$C$109,入力データ!$C$36,0))</f>
        <v/>
      </c>
      <c r="X14" s="350">
        <f>IF(X$3="","",IF(X4=入力データ!$C$109,入力データ!$C$36,0))</f>
        <v/>
      </c>
      <c r="Y14" s="350">
        <f>IF(Y$3="","",IF(Y4=入力データ!$C$109,入力データ!$C$36,0))</f>
        <v/>
      </c>
      <c r="Z14" s="350">
        <f>IF(Z$3="","",IF(Z4=入力データ!$C$109,入力データ!$C$36,0))</f>
        <v/>
      </c>
      <c r="AA14" s="350">
        <f>IF(AA$3="","",IF(AA4=入力データ!$C$109,入力データ!$C$36,0))</f>
        <v/>
      </c>
      <c r="AB14" s="350">
        <f>IF(AB$3="","",IF(AB4=入力データ!$C$109,入力データ!$C$36,0))</f>
        <v/>
      </c>
      <c r="AC14" s="350">
        <f>IF(AC$3="","",IF(AC4=入力データ!$C$109,入力データ!$C$36,0))</f>
        <v/>
      </c>
      <c r="AD14" s="350">
        <f>IF(AD$3="","",IF(AD4=入力データ!$C$109,入力データ!$C$36,0))</f>
        <v/>
      </c>
      <c r="AE14" s="350">
        <f>IF(AE$3="","",IF(AE4=入力データ!$C$109,入力データ!$C$36,0))</f>
        <v/>
      </c>
      <c r="AF14" s="350">
        <f>IF(AF$3="","",IF(AF4=入力データ!$C$109,入力データ!$C$36,0))</f>
        <v/>
      </c>
      <c r="AG14" s="350">
        <f>IF(AG$3="","",IF(AG4=入力データ!$C$109,入力データ!$C$36,0))</f>
        <v/>
      </c>
      <c r="AH14" s="350">
        <f>IF(AH$3="","",IF(AH4=入力データ!$C$109,入力データ!$C$36,0))</f>
        <v/>
      </c>
      <c r="AI14" s="350">
        <f>IF(AI$3="","",IF(AI4=入力データ!$C$109,入力データ!$C$36,0))</f>
        <v/>
      </c>
      <c r="AJ14" s="350">
        <f>IF(AJ$3="","",IF(AJ4=入力データ!$C$109,入力データ!$C$36,0))</f>
        <v/>
      </c>
      <c r="AK14" s="350">
        <f>IF(AK$3="","",IF(AK4=入力データ!$C$109,入力データ!$C$36,0))</f>
        <v/>
      </c>
      <c r="AL14" s="350">
        <f>IF(AL$3="","",IF(AL4=入力データ!$C$109,入力データ!$C$36,0))</f>
        <v/>
      </c>
      <c r="AM14" s="350">
        <f>IF(AM$3="","",IF(AM4=入力データ!$C$109,入力データ!$C$36,0))</f>
        <v/>
      </c>
      <c r="AN14" s="350">
        <f>IF(AN$3="","",IF(AN4=入力データ!$C$109,入力データ!$C$36,0))</f>
        <v/>
      </c>
      <c r="AO14" s="350">
        <f>IF(AO$3="","",IF(AO4=入力データ!$C$109,入力データ!$C$36,0))</f>
        <v/>
      </c>
      <c r="AP14" s="350">
        <f>IF(AP$3="","",IF(AP4=入力データ!$C$109,入力データ!$C$36,0))</f>
        <v/>
      </c>
      <c r="AQ14" s="350">
        <f>IF(AQ$3="","",IF(AQ4=入力データ!$C$109,入力データ!$C$36,0))</f>
        <v/>
      </c>
      <c r="AR14" s="350">
        <f>IF(AR$3="","",IF(AR4=入力データ!$C$109,入力データ!$C$36,0))</f>
        <v/>
      </c>
      <c r="AS14" s="350">
        <f>IF(AS$3="","",IF(AS4=入力データ!$C$109,入力データ!$C$36,0))</f>
        <v/>
      </c>
      <c r="AT14" s="350">
        <f>IF(AT$3="","",IF(AT4=入力データ!$C$109,入力データ!$C$36,0))</f>
        <v/>
      </c>
      <c r="AU14" s="350">
        <f>IF(AU$3="","",IF(AU4=入力データ!$C$109,入力データ!$C$36,0))</f>
        <v/>
      </c>
      <c r="AV14" s="350">
        <f>IF(AV$3="","",IF(AV4=入力データ!$C$109,入力データ!$C$36,0))</f>
        <v/>
      </c>
      <c r="AW14" s="350">
        <f>IF(AW$3="","",IF(AW4=入力データ!$C$109,入力データ!$C$36,0))</f>
        <v/>
      </c>
      <c r="AX14" s="350">
        <f>IF(AX$3="","",IF(AX4=入力データ!$C$109,入力データ!$C$36,0))</f>
        <v/>
      </c>
      <c r="AY14" s="350">
        <f>IF(AY$3="","",IF(AY4=入力データ!$C$109,入力データ!$C$36,0))</f>
        <v/>
      </c>
      <c r="AZ14" s="350">
        <f>IF(AZ$3="","",IF(AZ4=入力データ!$C$109,入力データ!$C$36,0))</f>
        <v/>
      </c>
      <c r="BA14" s="350">
        <f>IF(BA$3="","",IF(BA4=入力データ!$C$109,入力データ!$C$36,0))</f>
        <v/>
      </c>
      <c r="BB14" s="350">
        <f>IF(BB$3="","",IF(BB4=入力データ!$C$109,入力データ!$C$36,0))</f>
        <v/>
      </c>
      <c r="BC14" s="350">
        <f>IF(BC$3="","",IF(BC4=入力データ!$C$109,入力データ!$C$36,0))</f>
        <v/>
      </c>
      <c r="BD14" s="350">
        <f>IF(BD$3="","",IF(BD4=入力データ!$C$109,入力データ!$C$36,0))</f>
        <v/>
      </c>
      <c r="BE14" s="350">
        <f>IF(BE$3="","",IF(BE4=入力データ!$C$109,入力データ!$C$36,0))</f>
        <v/>
      </c>
      <c r="BF14" s="350">
        <f>IF(BF$3="","",IF(BF4=入力データ!$C$109,入力データ!$C$36,0))</f>
        <v/>
      </c>
      <c r="BG14" s="350">
        <f>IF(BG$3="","",IF(BG4=入力データ!$C$109,入力データ!$C$36,0))</f>
        <v/>
      </c>
      <c r="BH14" s="350">
        <f>IF(BH$3="","",IF(BH4=入力データ!$C$109,入力データ!$C$36,0))</f>
        <v/>
      </c>
      <c r="BI14" s="350">
        <f>IF(BI$3="","",IF(BI4=入力データ!$C$109,入力データ!$C$36,0))</f>
        <v/>
      </c>
      <c r="BJ14" s="350">
        <f>IF(BJ$3="","",IF(BJ4=入力データ!$C$109,入力データ!$C$36,0))</f>
        <v/>
      </c>
      <c r="BK14" s="350">
        <f>IF(BK$3="","",IF(BK4=入力データ!$C$109,入力データ!$C$36,0))</f>
        <v/>
      </c>
      <c r="BL14" s="350">
        <f>IF(BL$3="","",IF(BL4=入力データ!$C$109,入力データ!$C$36,0))</f>
        <v/>
      </c>
      <c r="BM14" s="350">
        <f>IF(BM$3="","",IF(BM4=入力データ!$C$109,入力データ!$C$36,0))</f>
        <v/>
      </c>
      <c r="BN14" s="350">
        <f>IF(BN$3="","",IF(BN4=入力データ!$C$109,入力データ!$C$36,0))</f>
        <v/>
      </c>
      <c r="BO14" s="350">
        <f>IF(BO$3="","",IF(BO4=入力データ!$C$109,入力データ!$C$36,0))</f>
        <v/>
      </c>
      <c r="BP14" s="350">
        <f>IF(BP$3="","",IF(BP4=入力データ!$C$109,入力データ!$C$36,0))</f>
        <v/>
      </c>
      <c r="BQ14" s="350">
        <f>IF(BQ$3="","",IF(BQ4=入力データ!$C$109,入力データ!$C$36,0))</f>
        <v/>
      </c>
      <c r="BR14" s="350">
        <f>IF(BR$3="","",IF(BR4=入力データ!$C$109,入力データ!$C$36,0))</f>
        <v/>
      </c>
      <c r="BS14" s="350">
        <f>IF(BS$3="","",IF(BS4=入力データ!$C$109,入力データ!$C$36,0))</f>
        <v/>
      </c>
      <c r="BT14" s="350">
        <f>IF(BT$3="","",IF(BT4=入力データ!$C$109,入力データ!$C$36,0))</f>
        <v/>
      </c>
      <c r="BU14" s="350">
        <f>IF(BU$3="","",IF(BU4=入力データ!$C$109,入力データ!$C$36,0))</f>
        <v/>
      </c>
      <c r="BV14" s="350">
        <f>IF(BV$3="","",IF(BV4=入力データ!$C$109,入力データ!$C$36,0))</f>
        <v/>
      </c>
      <c r="BW14" s="350">
        <f>IF(BW$3="","",IF(BW4=入力データ!$C$109,入力データ!$C$36,0))</f>
        <v/>
      </c>
      <c r="BX14" s="350">
        <f>IF(BX$3="","",IF(BX4=入力データ!$C$109,入力データ!$C$36,0))</f>
        <v/>
      </c>
      <c r="BY14" s="350">
        <f>IF(BY$3="","",IF(BY4=入力データ!$C$109,入力データ!$C$36,0))</f>
        <v/>
      </c>
      <c r="BZ14" s="350">
        <f>IF(BZ$3="","",IF(BZ4=入力データ!$C$109,入力データ!$C$36,0))</f>
        <v/>
      </c>
      <c r="CA14" s="350">
        <f>IF(CA$3="","",IF(CA4=入力データ!$C$109,入力データ!$C$36,0))</f>
        <v/>
      </c>
      <c r="CB14" s="350">
        <f>IF(CB$3="","",IF(CB4=入力データ!$C$109,入力データ!$C$36,0))</f>
        <v/>
      </c>
      <c r="CC14" s="350">
        <f>IF(CC$3="","",IF(CC4=入力データ!$C$109,入力データ!$C$36,0))</f>
        <v/>
      </c>
      <c r="CD14" s="350">
        <f>IF(CD$3="","",IF(CD4=入力データ!$C$109,入力データ!$C$36,0))</f>
        <v/>
      </c>
      <c r="CE14" s="350">
        <f>IF(CE$3="","",IF(CE4=入力データ!$C$109,入力データ!$C$36,0))</f>
        <v/>
      </c>
      <c r="CF14" s="350">
        <f>IF(CF$3="","",IF(CF4=入力データ!$C$109,入力データ!$C$36,0))</f>
        <v/>
      </c>
      <c r="CG14" s="350">
        <f>IF(CG$3="","",IF(CG4=入力データ!$C$109,入力データ!$C$36,0))</f>
        <v/>
      </c>
      <c r="CH14" s="350">
        <f>IF(CH$3="","",IF(CH4=入力データ!$C$109,入力データ!$C$36,0))</f>
        <v/>
      </c>
      <c r="CI14" s="350">
        <f>IF(CI$3="","",IF(CI4=入力データ!$C$109,入力データ!$C$36,0))</f>
        <v/>
      </c>
      <c r="CJ14" s="350">
        <f>IF(CJ$3="","",IF(CJ4=入力データ!$C$109,入力データ!$C$36,0))</f>
        <v/>
      </c>
      <c r="CK14" s="350">
        <f>IF(CK$3="","",IF(CK4=入力データ!$C$109,入力データ!$C$36,0))</f>
        <v/>
      </c>
      <c r="CL14" s="350">
        <f>IF(CL$3="","",IF(CL4=入力データ!$C$109,入力データ!$C$36,0))</f>
        <v/>
      </c>
      <c r="CM14" s="350">
        <f>IF(CM$3="","",IF(CM4=入力データ!$C$109,入力データ!$C$36,0))</f>
        <v/>
      </c>
      <c r="CN14" s="350">
        <f>IF(CN$3="","",IF(CN4=入力データ!$C$109,入力データ!$C$36,0))</f>
        <v/>
      </c>
      <c r="CO14" s="350">
        <f>IF(CO$3="","",IF(CO4=入力データ!$C$109,入力データ!$C$36,0))</f>
        <v/>
      </c>
      <c r="CP14" s="350">
        <f>IF(CP$3="","",IF(CP4=入力データ!$C$109,入力データ!$C$36,0))</f>
        <v/>
      </c>
      <c r="CQ14" s="350">
        <f>IF(CQ$3="","",IF(CQ4=入力データ!$C$109,入力データ!$C$36,0))</f>
        <v/>
      </c>
      <c r="CR14" s="350">
        <f>IF(CR$3="","",IF(CR4=入力データ!$C$109,入力データ!$C$36,0))</f>
        <v/>
      </c>
      <c r="CS14" s="350">
        <f>IF(CS$3="","",IF(CS4=入力データ!$C$109,入力データ!$C$36,0))</f>
        <v/>
      </c>
      <c r="CT14" s="350">
        <f>IF(CT$3="","",IF(CT4=入力データ!$C$109,入力データ!$C$36,0))</f>
        <v/>
      </c>
      <c r="CU14" s="350">
        <f>IF(CU$3="","",IF(CU4=入力データ!$C$109,入力データ!$C$36,0))</f>
        <v/>
      </c>
      <c r="CV14" s="350">
        <f>IF(CV$3="","",IF(CV4=入力データ!$C$109,入力データ!$C$36,0))</f>
        <v/>
      </c>
      <c r="CW14" s="350">
        <f>IF(CW$3="","",IF(CW4=入力データ!$C$109,入力データ!$C$36,0))</f>
        <v/>
      </c>
    </row>
    <row r="15" ht="15" customHeight="1" s="180">
      <c r="A15" s="220" t="inlineStr">
        <is>
          <t>奥様退職金</t>
        </is>
      </c>
      <c r="B15" s="350">
        <f>IF(B$3="","",IF(B5=入力データ!$C$110,入力データ!$C$37,0))</f>
        <v/>
      </c>
      <c r="C15" s="350">
        <f>IF(C$3="","",IF(C5=入力データ!$C$110,入力データ!$C$37,0))</f>
        <v/>
      </c>
      <c r="D15" s="350">
        <f>IF(D$3="","",IF(D5=入力データ!$C$110,入力データ!$C$37,0))</f>
        <v/>
      </c>
      <c r="E15" s="350">
        <f>IF(E$3="","",IF(E5=入力データ!$C$110,入力データ!$C$37,0))</f>
        <v/>
      </c>
      <c r="F15" s="350">
        <f>IF(F$3="","",IF(F5=入力データ!$C$110,入力データ!$C$37,0))</f>
        <v/>
      </c>
      <c r="G15" s="350">
        <f>IF(G$3="","",IF(G5=入力データ!$C$110,入力データ!$C$37,0))</f>
        <v/>
      </c>
      <c r="H15" s="350">
        <f>IF(H$3="","",IF(H5=入力データ!$C$110,入力データ!$C$37,0))</f>
        <v/>
      </c>
      <c r="I15" s="350">
        <f>IF(I$3="","",IF(I5=入力データ!$C$110,入力データ!$C$37,0))</f>
        <v/>
      </c>
      <c r="J15" s="350">
        <f>IF(J$3="","",IF(J5=入力データ!$C$110,入力データ!$C$37,0))</f>
        <v/>
      </c>
      <c r="K15" s="350">
        <f>IF(K$3="","",IF(K5=入力データ!$C$110,入力データ!$C$37,0))</f>
        <v/>
      </c>
      <c r="L15" s="350">
        <f>IF(L$3="","",IF(L5=入力データ!$C$110,入力データ!$C$37,0))</f>
        <v/>
      </c>
      <c r="M15" s="350">
        <f>IF(M$3="","",IF(M5=入力データ!$C$110,入力データ!$C$37,0))</f>
        <v/>
      </c>
      <c r="N15" s="350">
        <f>IF(N$3="","",IF(N5=入力データ!$C$110,入力データ!$C$37,0))</f>
        <v/>
      </c>
      <c r="O15" s="350">
        <f>IF(O$3="","",IF(O5=入力データ!$C$110,入力データ!$C$37,0))</f>
        <v/>
      </c>
      <c r="P15" s="350">
        <f>IF(P$3="","",IF(P5=入力データ!$C$110,入力データ!$C$37,0))</f>
        <v/>
      </c>
      <c r="Q15" s="350">
        <f>IF(Q$3="","",IF(Q5=入力データ!$C$110,入力データ!$C$37,0))</f>
        <v/>
      </c>
      <c r="R15" s="350">
        <f>IF(R$3="","",IF(R5=入力データ!$C$110,入力データ!$C$37,0))</f>
        <v/>
      </c>
      <c r="S15" s="350">
        <f>IF(S$3="","",IF(S5=入力データ!$C$110,入力データ!$C$37,0))</f>
        <v/>
      </c>
      <c r="T15" s="350">
        <f>IF(T$3="","",IF(T5=入力データ!$C$110,入力データ!$C$37,0))</f>
        <v/>
      </c>
      <c r="U15" s="350">
        <f>IF(U$3="","",IF(U5=入力データ!$C$110,入力データ!$C$37,0))</f>
        <v/>
      </c>
      <c r="V15" s="350">
        <f>IF(V$3="","",IF(V5=入力データ!$C$110,入力データ!$C$37,0))</f>
        <v/>
      </c>
      <c r="W15" s="350">
        <f>IF(W$3="","",IF(W5=入力データ!$C$110,入力データ!$C$37,0))</f>
        <v/>
      </c>
      <c r="X15" s="350">
        <f>IF(X$3="","",IF(X5=入力データ!$C$110,入力データ!$C$37,0))</f>
        <v/>
      </c>
      <c r="Y15" s="350">
        <f>IF(Y$3="","",IF(Y5=入力データ!$C$110,入力データ!$C$37,0))</f>
        <v/>
      </c>
      <c r="Z15" s="350">
        <f>IF(Z$3="","",IF(Z5=入力データ!$C$110,入力データ!$C$37,0))</f>
        <v/>
      </c>
      <c r="AA15" s="350">
        <f>IF(AA$3="","",IF(AA5=入力データ!$C$110,入力データ!$C$37,0))</f>
        <v/>
      </c>
      <c r="AB15" s="350">
        <f>IF(AB$3="","",IF(AB5=入力データ!$C$110,入力データ!$C$37,0))</f>
        <v/>
      </c>
      <c r="AC15" s="350">
        <f>IF(AC$3="","",IF(AC5=入力データ!$C$110,入力データ!$C$37,0))</f>
        <v/>
      </c>
      <c r="AD15" s="350">
        <f>IF(AD$3="","",IF(AD5=入力データ!$C$110,入力データ!$C$37,0))</f>
        <v/>
      </c>
      <c r="AE15" s="350">
        <f>IF(AE$3="","",IF(AE5=入力データ!$C$110,入力データ!$C$37,0))</f>
        <v/>
      </c>
      <c r="AF15" s="350">
        <f>IF(AF$3="","",IF(AF5=入力データ!$C$110,入力データ!$C$37,0))</f>
        <v/>
      </c>
      <c r="AG15" s="350">
        <f>IF(AG$3="","",IF(AG5=入力データ!$C$110,入力データ!$C$37,0))</f>
        <v/>
      </c>
      <c r="AH15" s="350">
        <f>IF(AH$3="","",IF(AH5=入力データ!$C$110,入力データ!$C$37,0))</f>
        <v/>
      </c>
      <c r="AI15" s="350">
        <f>IF(AI$3="","",IF(AI5=入力データ!$C$110,入力データ!$C$37,0))</f>
        <v/>
      </c>
      <c r="AJ15" s="350">
        <f>IF(AJ$3="","",IF(AJ5=入力データ!$C$110,入力データ!$C$37,0))</f>
        <v/>
      </c>
      <c r="AK15" s="350">
        <f>IF(AK$3="","",IF(AK5=入力データ!$C$110,入力データ!$C$37,0))</f>
        <v/>
      </c>
      <c r="AL15" s="350">
        <f>IF(AL$3="","",IF(AL5=入力データ!$C$110,入力データ!$C$37,0))</f>
        <v/>
      </c>
      <c r="AM15" s="350">
        <f>IF(AM$3="","",IF(AM5=入力データ!$C$110,入力データ!$C$37,0))</f>
        <v/>
      </c>
      <c r="AN15" s="350">
        <f>IF(AN$3="","",IF(AN5=入力データ!$C$110,入力データ!$C$37,0))</f>
        <v/>
      </c>
      <c r="AO15" s="350">
        <f>IF(AO$3="","",IF(AO5=入力データ!$C$110,入力データ!$C$37,0))</f>
        <v/>
      </c>
      <c r="AP15" s="350">
        <f>IF(AP$3="","",IF(AP5=入力データ!$C$110,入力データ!$C$37,0))</f>
        <v/>
      </c>
      <c r="AQ15" s="350">
        <f>IF(AQ$3="","",IF(AQ5=入力データ!$C$110,入力データ!$C$37,0))</f>
        <v/>
      </c>
      <c r="AR15" s="350">
        <f>IF(AR$3="","",IF(AR5=入力データ!$C$110,入力データ!$C$37,0))</f>
        <v/>
      </c>
      <c r="AS15" s="350">
        <f>IF(AS$3="","",IF(AS5=入力データ!$C$110,入力データ!$C$37,0))</f>
        <v/>
      </c>
      <c r="AT15" s="350">
        <f>IF(AT$3="","",IF(AT5=入力データ!$C$110,入力データ!$C$37,0))</f>
        <v/>
      </c>
      <c r="AU15" s="350">
        <f>IF(AU$3="","",IF(AU5=入力データ!$C$110,入力データ!$C$37,0))</f>
        <v/>
      </c>
      <c r="AV15" s="350">
        <f>IF(AV$3="","",IF(AV5=入力データ!$C$110,入力データ!$C$37,0))</f>
        <v/>
      </c>
      <c r="AW15" s="350">
        <f>IF(AW$3="","",IF(AW5=入力データ!$C$110,入力データ!$C$37,0))</f>
        <v/>
      </c>
      <c r="AX15" s="350">
        <f>IF(AX$3="","",IF(AX5=入力データ!$C$110,入力データ!$C$37,0))</f>
        <v/>
      </c>
      <c r="AY15" s="350">
        <f>IF(AY$3="","",IF(AY5=入力データ!$C$110,入力データ!$C$37,0))</f>
        <v/>
      </c>
      <c r="AZ15" s="350">
        <f>IF(AZ$3="","",IF(AZ5=入力データ!$C$110,入力データ!$C$37,0))</f>
        <v/>
      </c>
      <c r="BA15" s="350">
        <f>IF(BA$3="","",IF(BA5=入力データ!$C$110,入力データ!$C$37,0))</f>
        <v/>
      </c>
      <c r="BB15" s="350">
        <f>IF(BB$3="","",IF(BB5=入力データ!$C$110,入力データ!$C$37,0))</f>
        <v/>
      </c>
      <c r="BC15" s="350">
        <f>IF(BC$3="","",IF(BC5=入力データ!$C$110,入力データ!$C$37,0))</f>
        <v/>
      </c>
      <c r="BD15" s="350">
        <f>IF(BD$3="","",IF(BD5=入力データ!$C$110,入力データ!$C$37,0))</f>
        <v/>
      </c>
      <c r="BE15" s="350">
        <f>IF(BE$3="","",IF(BE5=入力データ!$C$110,入力データ!$C$37,0))</f>
        <v/>
      </c>
      <c r="BF15" s="350">
        <f>IF(BF$3="","",IF(BF5=入力データ!$C$110,入力データ!$C$37,0))</f>
        <v/>
      </c>
      <c r="BG15" s="350">
        <f>IF(BG$3="","",IF(BG5=入力データ!$C$110,入力データ!$C$37,0))</f>
        <v/>
      </c>
      <c r="BH15" s="350">
        <f>IF(BH$3="","",IF(BH5=入力データ!$C$110,入力データ!$C$37,0))</f>
        <v/>
      </c>
      <c r="BI15" s="350">
        <f>IF(BI$3="","",IF(BI5=入力データ!$C$110,入力データ!$C$37,0))</f>
        <v/>
      </c>
      <c r="BJ15" s="350">
        <f>IF(BJ$3="","",IF(BJ5=入力データ!$C$110,入力データ!$C$37,0))</f>
        <v/>
      </c>
      <c r="BK15" s="350">
        <f>IF(BK$3="","",IF(BK5=入力データ!$C$110,入力データ!$C$37,0))</f>
        <v/>
      </c>
      <c r="BL15" s="350">
        <f>IF(BL$3="","",IF(BL5=入力データ!$C$110,入力データ!$C$37,0))</f>
        <v/>
      </c>
      <c r="BM15" s="350">
        <f>IF(BM$3="","",IF(BM5=入力データ!$C$110,入力データ!$C$37,0))</f>
        <v/>
      </c>
      <c r="BN15" s="350">
        <f>IF(BN$3="","",IF(BN5=入力データ!$C$110,入力データ!$C$37,0))</f>
        <v/>
      </c>
      <c r="BO15" s="350">
        <f>IF(BO$3="","",IF(BO5=入力データ!$C$110,入力データ!$C$37,0))</f>
        <v/>
      </c>
      <c r="BP15" s="350">
        <f>IF(BP$3="","",IF(BP5=入力データ!$C$110,入力データ!$C$37,0))</f>
        <v/>
      </c>
      <c r="BQ15" s="350">
        <f>IF(BQ$3="","",IF(BQ5=入力データ!$C$110,入力データ!$C$37,0))</f>
        <v/>
      </c>
      <c r="BR15" s="350">
        <f>IF(BR$3="","",IF(BR5=入力データ!$C$110,入力データ!$C$37,0))</f>
        <v/>
      </c>
      <c r="BS15" s="350">
        <f>IF(BS$3="","",IF(BS5=入力データ!$C$110,入力データ!$C$37,0))</f>
        <v/>
      </c>
      <c r="BT15" s="350">
        <f>IF(BT$3="","",IF(BT5=入力データ!$C$110,入力データ!$C$37,0))</f>
        <v/>
      </c>
      <c r="BU15" s="350">
        <f>IF(BU$3="","",IF(BU5=入力データ!$C$110,入力データ!$C$37,0))</f>
        <v/>
      </c>
      <c r="BV15" s="350">
        <f>IF(BV$3="","",IF(BV5=入力データ!$C$110,入力データ!$C$37,0))</f>
        <v/>
      </c>
      <c r="BW15" s="350">
        <f>IF(BW$3="","",IF(BW5=入力データ!$C$110,入力データ!$C$37,0))</f>
        <v/>
      </c>
      <c r="BX15" s="350">
        <f>IF(BX$3="","",IF(BX5=入力データ!$C$110,入力データ!$C$37,0))</f>
        <v/>
      </c>
      <c r="BY15" s="350">
        <f>IF(BY$3="","",IF(BY5=入力データ!$C$110,入力データ!$C$37,0))</f>
        <v/>
      </c>
      <c r="BZ15" s="350">
        <f>IF(BZ$3="","",IF(BZ5=入力データ!$C$110,入力データ!$C$37,0))</f>
        <v/>
      </c>
      <c r="CA15" s="350">
        <f>IF(CA$3="","",IF(CA5=入力データ!$C$110,入力データ!$C$37,0))</f>
        <v/>
      </c>
      <c r="CB15" s="350">
        <f>IF(CB$3="","",IF(CB5=入力データ!$C$110,入力データ!$C$37,0))</f>
        <v/>
      </c>
      <c r="CC15" s="350">
        <f>IF(CC$3="","",IF(CC5=入力データ!$C$110,入力データ!$C$37,0))</f>
        <v/>
      </c>
      <c r="CD15" s="350">
        <f>IF(CD$3="","",IF(CD5=入力データ!$C$110,入力データ!$C$37,0))</f>
        <v/>
      </c>
      <c r="CE15" s="350">
        <f>IF(CE$3="","",IF(CE5=入力データ!$C$110,入力データ!$C$37,0))</f>
        <v/>
      </c>
      <c r="CF15" s="350">
        <f>IF(CF$3="","",IF(CF5=入力データ!$C$110,入力データ!$C$37,0))</f>
        <v/>
      </c>
      <c r="CG15" s="350">
        <f>IF(CG$3="","",IF(CG5=入力データ!$C$110,入力データ!$C$37,0))</f>
        <v/>
      </c>
      <c r="CH15" s="350">
        <f>IF(CH$3="","",IF(CH5=入力データ!$C$110,入力データ!$C$37,0))</f>
        <v/>
      </c>
      <c r="CI15" s="350">
        <f>IF(CI$3="","",IF(CI5=入力データ!$C$110,入力データ!$C$37,0))</f>
        <v/>
      </c>
      <c r="CJ15" s="350">
        <f>IF(CJ$3="","",IF(CJ5=入力データ!$C$110,入力データ!$C$37,0))</f>
        <v/>
      </c>
      <c r="CK15" s="350">
        <f>IF(CK$3="","",IF(CK5=入力データ!$C$110,入力データ!$C$37,0))</f>
        <v/>
      </c>
      <c r="CL15" s="350">
        <f>IF(CL$3="","",IF(CL5=入力データ!$C$110,入力データ!$C$37,0))</f>
        <v/>
      </c>
      <c r="CM15" s="350">
        <f>IF(CM$3="","",IF(CM5=入力データ!$C$110,入力データ!$C$37,0))</f>
        <v/>
      </c>
      <c r="CN15" s="350">
        <f>IF(CN$3="","",IF(CN5=入力データ!$C$110,入力データ!$C$37,0))</f>
        <v/>
      </c>
      <c r="CO15" s="350">
        <f>IF(CO$3="","",IF(CO5=入力データ!$C$110,入力データ!$C$37,0))</f>
        <v/>
      </c>
      <c r="CP15" s="350">
        <f>IF(CP$3="","",IF(CP5=入力データ!$C$110,入力データ!$C$37,0))</f>
        <v/>
      </c>
      <c r="CQ15" s="350">
        <f>IF(CQ$3="","",IF(CQ5=入力データ!$C$110,入力データ!$C$37,0))</f>
        <v/>
      </c>
      <c r="CR15" s="350">
        <f>IF(CR$3="","",IF(CR5=入力データ!$C$110,入力データ!$C$37,0))</f>
        <v/>
      </c>
      <c r="CS15" s="350">
        <f>IF(CS$3="","",IF(CS5=入力データ!$C$110,入力データ!$C$37,0))</f>
        <v/>
      </c>
      <c r="CT15" s="350">
        <f>IF(CT$3="","",IF(CT5=入力データ!$C$110,入力データ!$C$37,0))</f>
        <v/>
      </c>
      <c r="CU15" s="350">
        <f>IF(CU$3="","",IF(CU5=入力データ!$C$110,入力データ!$C$37,0))</f>
        <v/>
      </c>
      <c r="CV15" s="350">
        <f>IF(CV$3="","",IF(CV5=入力データ!$C$110,入力データ!$C$37,0))</f>
        <v/>
      </c>
      <c r="CW15" s="350">
        <f>IF(CW$3="","",IF(CW5=入力データ!$C$110,入力データ!$C$37,0))</f>
        <v/>
      </c>
    </row>
    <row r="16" ht="15" customHeight="1" s="180">
      <c r="A16" s="220" t="inlineStr">
        <is>
          <t>ご主人様年金収入</t>
        </is>
      </c>
      <c r="B16" s="350">
        <f>IF(B$3="","",IF(B4&gt;=前提条件!$C$37,前提条件!$C$39*12,0))</f>
        <v/>
      </c>
      <c r="C16" s="350">
        <f>IF(C$3="","",IF(C4&gt;=前提条件!$C$37,前提条件!$C$39*12,0))</f>
        <v/>
      </c>
      <c r="D16" s="350">
        <f>IF(D$3="","",IF(D4&gt;=前提条件!$C$37,前提条件!$C$39*12,0))</f>
        <v/>
      </c>
      <c r="E16" s="350">
        <f>IF(E$3="","",IF(E4&gt;=前提条件!$C$37,前提条件!$C$39*12,0))</f>
        <v/>
      </c>
      <c r="F16" s="350">
        <f>IF(F$3="","",IF(F4&gt;=前提条件!$C$37,前提条件!$C$39*12,0))</f>
        <v/>
      </c>
      <c r="G16" s="350">
        <f>IF(G$3="","",IF(G4&gt;=前提条件!$C$37,前提条件!$C$39*12,0))</f>
        <v/>
      </c>
      <c r="H16" s="350">
        <f>IF(H$3="","",IF(H4&gt;=前提条件!$C$37,前提条件!$C$39*12,0))</f>
        <v/>
      </c>
      <c r="I16" s="350">
        <f>IF(I$3="","",IF(I4&gt;=前提条件!$C$37,前提条件!$C$39*12,0))</f>
        <v/>
      </c>
      <c r="J16" s="350">
        <f>IF(J$3="","",IF(J4&gt;=前提条件!$C$37,前提条件!$C$39*12,0))</f>
        <v/>
      </c>
      <c r="K16" s="350">
        <f>IF(K$3="","",IF(K4&gt;=前提条件!$C$37,前提条件!$C$39*12,0))</f>
        <v/>
      </c>
      <c r="L16" s="350">
        <f>IF(L$3="","",IF(L4&gt;=前提条件!$C$37,前提条件!$C$39*12,0))</f>
        <v/>
      </c>
      <c r="M16" s="350">
        <f>IF(M$3="","",IF(M4&gt;=前提条件!$C$37,前提条件!$C$39*12,0))</f>
        <v/>
      </c>
      <c r="N16" s="350">
        <f>IF(N$3="","",IF(N4&gt;=前提条件!$C$37,前提条件!$C$39*12,0))</f>
        <v/>
      </c>
      <c r="O16" s="350">
        <f>IF(O$3="","",IF(O4&gt;=前提条件!$C$37,前提条件!$C$39*12,0))</f>
        <v/>
      </c>
      <c r="P16" s="350">
        <f>IF(P$3="","",IF(P4&gt;=前提条件!$C$37,前提条件!$C$39*12,0))</f>
        <v/>
      </c>
      <c r="Q16" s="350">
        <f>IF(Q$3="","",IF(Q4&gt;=前提条件!$C$37,前提条件!$C$39*12,0))</f>
        <v/>
      </c>
      <c r="R16" s="350">
        <f>IF(R$3="","",IF(R4&gt;=前提条件!$C$37,前提条件!$C$39*12,0))</f>
        <v/>
      </c>
      <c r="S16" s="350">
        <f>IF(S$3="","",IF(S4&gt;=前提条件!$C$37,前提条件!$C$39*12,0))</f>
        <v/>
      </c>
      <c r="T16" s="350">
        <f>IF(T$3="","",IF(T4&gt;=前提条件!$C$37,前提条件!$C$39*12,0))</f>
        <v/>
      </c>
      <c r="U16" s="350">
        <f>IF(U$3="","",IF(U4&gt;=前提条件!$C$37,前提条件!$C$39*12,0))</f>
        <v/>
      </c>
      <c r="V16" s="350">
        <f>IF(V$3="","",IF(V4&gt;=前提条件!$C$37,前提条件!$C$39*12,0))</f>
        <v/>
      </c>
      <c r="W16" s="350">
        <f>IF(W$3="","",IF(W4&gt;=前提条件!$C$37,前提条件!$C$39*12,0))</f>
        <v/>
      </c>
      <c r="X16" s="350">
        <f>IF(X$3="","",IF(X4&gt;=前提条件!$C$37,前提条件!$C$39*12,0))</f>
        <v/>
      </c>
      <c r="Y16" s="350">
        <f>IF(Y$3="","",IF(Y4&gt;=前提条件!$C$37,前提条件!$C$39*12,0))</f>
        <v/>
      </c>
      <c r="Z16" s="350">
        <f>IF(Z$3="","",IF(Z4&gt;=前提条件!$C$37,前提条件!$C$39*12,0))</f>
        <v/>
      </c>
      <c r="AA16" s="350">
        <f>IF(AA$3="","",IF(AA4&gt;=前提条件!$C$37,前提条件!$C$39*12,0))</f>
        <v/>
      </c>
      <c r="AB16" s="350">
        <f>IF(AB$3="","",IF(AB4&gt;=前提条件!$C$37,前提条件!$C$39*12,0))</f>
        <v/>
      </c>
      <c r="AC16" s="350">
        <f>IF(AC$3="","",IF(AC4&gt;=前提条件!$C$37,前提条件!$C$39*12,0))</f>
        <v/>
      </c>
      <c r="AD16" s="350">
        <f>IF(AD$3="","",IF(AD4&gt;=前提条件!$C$37,前提条件!$C$39*12,0))</f>
        <v/>
      </c>
      <c r="AE16" s="350">
        <f>IF(AE$3="","",IF(AE4&gt;=前提条件!$C$37,前提条件!$C$39*12,0))</f>
        <v/>
      </c>
      <c r="AF16" s="350">
        <f>IF(AF$3="","",IF(AF4&gt;=前提条件!$C$37,前提条件!$C$39*12,0))</f>
        <v/>
      </c>
      <c r="AG16" s="350">
        <f>IF(AG$3="","",IF(AG4&gt;=前提条件!$C$37,前提条件!$C$39*12,0))</f>
        <v/>
      </c>
      <c r="AH16" s="350">
        <f>IF(AH$3="","",IF(AH4&gt;=前提条件!$C$37,前提条件!$C$39*12,0))</f>
        <v/>
      </c>
      <c r="AI16" s="350">
        <f>IF(AI$3="","",IF(AI4&gt;=前提条件!$C$37,前提条件!$C$39*12,0))</f>
        <v/>
      </c>
      <c r="AJ16" s="350">
        <f>IF(AJ$3="","",IF(AJ4&gt;=前提条件!$C$37,前提条件!$C$39*12,0))</f>
        <v/>
      </c>
      <c r="AK16" s="350">
        <f>IF(AK$3="","",IF(AK4&gt;=前提条件!$C$37,前提条件!$C$39*12,0))</f>
        <v/>
      </c>
      <c r="AL16" s="350">
        <f>IF(AL$3="","",IF(AL4&gt;=前提条件!$C$37,前提条件!$C$39*12,0))</f>
        <v/>
      </c>
      <c r="AM16" s="350">
        <f>IF(AM$3="","",IF(AM4&gt;=前提条件!$C$37,前提条件!$C$39*12,0))</f>
        <v/>
      </c>
      <c r="AN16" s="350">
        <f>IF(AN$3="","",IF(AN4&gt;=前提条件!$C$37,前提条件!$C$39*12,0))</f>
        <v/>
      </c>
      <c r="AO16" s="350">
        <f>IF(AO$3="","",IF(AO4&gt;=前提条件!$C$37,前提条件!$C$39*12,0))</f>
        <v/>
      </c>
      <c r="AP16" s="350">
        <f>IF(AP$3="","",IF(AP4&gt;=前提条件!$C$37,前提条件!$C$39*12,0))</f>
        <v/>
      </c>
      <c r="AQ16" s="350">
        <f>IF(AQ$3="","",IF(AQ4&gt;=前提条件!$C$37,前提条件!$C$39*12,0))</f>
        <v/>
      </c>
      <c r="AR16" s="350">
        <f>IF(AR$3="","",IF(AR4&gt;=前提条件!$C$37,前提条件!$C$39*12,0))</f>
        <v/>
      </c>
      <c r="AS16" s="350">
        <f>IF(AS$3="","",IF(AS4&gt;=前提条件!$C$37,前提条件!$C$39*12,0))</f>
        <v/>
      </c>
      <c r="AT16" s="350">
        <f>IF(AT$3="","",IF(AT4&gt;=前提条件!$C$37,前提条件!$C$39*12,0))</f>
        <v/>
      </c>
      <c r="AU16" s="350">
        <f>IF(AU$3="","",IF(AU4&gt;=前提条件!$C$37,前提条件!$C$39*12,0))</f>
        <v/>
      </c>
      <c r="AV16" s="350">
        <f>IF(AV$3="","",IF(AV4&gt;=前提条件!$C$37,前提条件!$C$39*12,0))</f>
        <v/>
      </c>
      <c r="AW16" s="350">
        <f>IF(AW$3="","",IF(AW4&gt;=前提条件!$C$37,前提条件!$C$39*12,0))</f>
        <v/>
      </c>
      <c r="AX16" s="350">
        <f>IF(AX$3="","",IF(AX4&gt;=前提条件!$C$37,前提条件!$C$39*12,0))</f>
        <v/>
      </c>
      <c r="AY16" s="350">
        <f>IF(AY$3="","",IF(AY4&gt;=前提条件!$C$37,前提条件!$C$39*12,0))</f>
        <v/>
      </c>
      <c r="AZ16" s="350">
        <f>IF(AZ$3="","",IF(AZ4&gt;=前提条件!$C$37,前提条件!$C$39*12,0))</f>
        <v/>
      </c>
      <c r="BA16" s="350">
        <f>IF(BA$3="","",IF(BA4&gt;=前提条件!$C$37,前提条件!$C$39*12,0))</f>
        <v/>
      </c>
      <c r="BB16" s="350">
        <f>IF(BB$3="","",IF(BB4&gt;=前提条件!$C$37,前提条件!$C$39*12,0))</f>
        <v/>
      </c>
      <c r="BC16" s="350">
        <f>IF(BC$3="","",IF(BC4&gt;=前提条件!$C$37,前提条件!$C$39*12,0))</f>
        <v/>
      </c>
      <c r="BD16" s="350">
        <f>IF(BD$3="","",IF(BD4&gt;=前提条件!$C$37,前提条件!$C$39*12,0))</f>
        <v/>
      </c>
      <c r="BE16" s="350">
        <f>IF(BE$3="","",IF(BE4&gt;=前提条件!$C$37,前提条件!$C$39*12,0))</f>
        <v/>
      </c>
      <c r="BF16" s="350">
        <f>IF(BF$3="","",IF(BF4&gt;=前提条件!$C$37,前提条件!$C$39*12,0))</f>
        <v/>
      </c>
      <c r="BG16" s="350">
        <f>IF(BG$3="","",IF(BG4&gt;=前提条件!$C$37,前提条件!$C$39*12,0))</f>
        <v/>
      </c>
      <c r="BH16" s="350">
        <f>IF(BH$3="","",IF(BH4&gt;=前提条件!$C$37,前提条件!$C$39*12,0))</f>
        <v/>
      </c>
      <c r="BI16" s="350">
        <f>IF(BI$3="","",IF(BI4&gt;=前提条件!$C$37,前提条件!$C$39*12,0))</f>
        <v/>
      </c>
      <c r="BJ16" s="350">
        <f>IF(BJ$3="","",IF(BJ4&gt;=前提条件!$C$37,前提条件!$C$39*12,0))</f>
        <v/>
      </c>
      <c r="BK16" s="350">
        <f>IF(BK$3="","",IF(BK4&gt;=前提条件!$C$37,前提条件!$C$39*12,0))</f>
        <v/>
      </c>
      <c r="BL16" s="350">
        <f>IF(BL$3="","",IF(BL4&gt;=前提条件!$C$37,前提条件!$C$39*12,0))</f>
        <v/>
      </c>
      <c r="BM16" s="350">
        <f>IF(BM$3="","",IF(BM4&gt;=前提条件!$C$37,前提条件!$C$39*12,0))</f>
        <v/>
      </c>
      <c r="BN16" s="350">
        <f>IF(BN$3="","",IF(BN4&gt;=前提条件!$C$37,前提条件!$C$39*12,0))</f>
        <v/>
      </c>
      <c r="BO16" s="350">
        <f>IF(BO$3="","",IF(BO4&gt;=前提条件!$C$37,前提条件!$C$39*12,0))</f>
        <v/>
      </c>
      <c r="BP16" s="350">
        <f>IF(BP$3="","",IF(BP4&gt;=前提条件!$C$37,前提条件!$C$39*12,0))</f>
        <v/>
      </c>
      <c r="BQ16" s="350">
        <f>IF(BQ$3="","",IF(BQ4&gt;=前提条件!$C$37,前提条件!$C$39*12,0))</f>
        <v/>
      </c>
      <c r="BR16" s="350">
        <f>IF(BR$3="","",IF(BR4&gt;=前提条件!$C$37,前提条件!$C$39*12,0))</f>
        <v/>
      </c>
      <c r="BS16" s="350">
        <f>IF(BS$3="","",IF(BS4&gt;=前提条件!$C$37,前提条件!$C$39*12,0))</f>
        <v/>
      </c>
      <c r="BT16" s="350">
        <f>IF(BT$3="","",IF(BT4&gt;=前提条件!$C$37,前提条件!$C$39*12,0))</f>
        <v/>
      </c>
      <c r="BU16" s="350">
        <f>IF(BU$3="","",IF(BU4&gt;=前提条件!$C$37,前提条件!$C$39*12,0))</f>
        <v/>
      </c>
      <c r="BV16" s="350">
        <f>IF(BV$3="","",IF(BV4&gt;=前提条件!$C$37,前提条件!$C$39*12,0))</f>
        <v/>
      </c>
      <c r="BW16" s="350">
        <f>IF(BW$3="","",IF(BW4&gt;=前提条件!$C$37,前提条件!$C$39*12,0))</f>
        <v/>
      </c>
      <c r="BX16" s="350">
        <f>IF(BX$3="","",IF(BX4&gt;=前提条件!$C$37,前提条件!$C$39*12,0))</f>
        <v/>
      </c>
      <c r="BY16" s="350">
        <f>IF(BY$3="","",IF(BY4&gt;=前提条件!$C$37,前提条件!$C$39*12,0))</f>
        <v/>
      </c>
      <c r="BZ16" s="350">
        <f>IF(BZ$3="","",IF(BZ4&gt;=前提条件!$C$37,前提条件!$C$39*12,0))</f>
        <v/>
      </c>
      <c r="CA16" s="350">
        <f>IF(CA$3="","",IF(CA4&gt;=前提条件!$C$37,前提条件!$C$39*12,0))</f>
        <v/>
      </c>
      <c r="CB16" s="350">
        <f>IF(CB$3="","",IF(CB4&gt;=前提条件!$C$37,前提条件!$C$39*12,0))</f>
        <v/>
      </c>
      <c r="CC16" s="350">
        <f>IF(CC$3="","",IF(CC4&gt;=前提条件!$C$37,前提条件!$C$39*12,0))</f>
        <v/>
      </c>
      <c r="CD16" s="350">
        <f>IF(CD$3="","",IF(CD4&gt;=前提条件!$C$37,前提条件!$C$39*12,0))</f>
        <v/>
      </c>
      <c r="CE16" s="350">
        <f>IF(CE$3="","",IF(CE4&gt;=前提条件!$C$37,前提条件!$C$39*12,0))</f>
        <v/>
      </c>
      <c r="CF16" s="350">
        <f>IF(CF$3="","",IF(CF4&gt;=前提条件!$C$37,前提条件!$C$39*12,0))</f>
        <v/>
      </c>
      <c r="CG16" s="350">
        <f>IF(CG$3="","",IF(CG4&gt;=前提条件!$C$37,前提条件!$C$39*12,0))</f>
        <v/>
      </c>
      <c r="CH16" s="350">
        <f>IF(CH$3="","",IF(CH4&gt;=前提条件!$C$37,前提条件!$C$39*12,0))</f>
        <v/>
      </c>
      <c r="CI16" s="350">
        <f>IF(CI$3="","",IF(CI4&gt;=前提条件!$C$37,前提条件!$C$39*12,0))</f>
        <v/>
      </c>
      <c r="CJ16" s="350">
        <f>IF(CJ$3="","",IF(CJ4&gt;=前提条件!$C$37,前提条件!$C$39*12,0))</f>
        <v/>
      </c>
      <c r="CK16" s="350">
        <f>IF(CK$3="","",IF(CK4&gt;=前提条件!$C$37,前提条件!$C$39*12,0))</f>
        <v/>
      </c>
      <c r="CL16" s="350">
        <f>IF(CL$3="","",IF(CL4&gt;=前提条件!$C$37,前提条件!$C$39*12,0))</f>
        <v/>
      </c>
      <c r="CM16" s="350">
        <f>IF(CM$3="","",IF(CM4&gt;=前提条件!$C$37,前提条件!$C$39*12,0))</f>
        <v/>
      </c>
      <c r="CN16" s="350">
        <f>IF(CN$3="","",IF(CN4&gt;=前提条件!$C$37,前提条件!$C$39*12,0))</f>
        <v/>
      </c>
      <c r="CO16" s="350">
        <f>IF(CO$3="","",IF(CO4&gt;=前提条件!$C$37,前提条件!$C$39*12,0))</f>
        <v/>
      </c>
      <c r="CP16" s="350">
        <f>IF(CP$3="","",IF(CP4&gt;=前提条件!$C$37,前提条件!$C$39*12,0))</f>
        <v/>
      </c>
      <c r="CQ16" s="350">
        <f>IF(CQ$3="","",IF(CQ4&gt;=前提条件!$C$37,前提条件!$C$39*12,0))</f>
        <v/>
      </c>
      <c r="CR16" s="350">
        <f>IF(CR$3="","",IF(CR4&gt;=前提条件!$C$37,前提条件!$C$39*12,0))</f>
        <v/>
      </c>
      <c r="CS16" s="350">
        <f>IF(CS$3="","",IF(CS4&gt;=前提条件!$C$37,前提条件!$C$39*12,0))</f>
        <v/>
      </c>
      <c r="CT16" s="350">
        <f>IF(CT$3="","",IF(CT4&gt;=前提条件!$C$37,前提条件!$C$39*12,0))</f>
        <v/>
      </c>
      <c r="CU16" s="350">
        <f>IF(CU$3="","",IF(CU4&gt;=前提条件!$C$37,前提条件!$C$39*12,0))</f>
        <v/>
      </c>
      <c r="CV16" s="350">
        <f>IF(CV$3="","",IF(CV4&gt;=前提条件!$C$37,前提条件!$C$39*12,0))</f>
        <v/>
      </c>
      <c r="CW16" s="350">
        <f>IF(CW$3="","",IF(CW4&gt;=前提条件!$C$37,前提条件!$C$39*12,0))</f>
        <v/>
      </c>
    </row>
    <row r="17" ht="15" customHeight="1" s="180">
      <c r="A17" s="220" t="inlineStr">
        <is>
          <t>奥様年金収入</t>
        </is>
      </c>
      <c r="B17" s="350">
        <f>IF(B$3="","",IF(B5&gt;=前提条件!$C$38,前提条件!$C$40*12,0))</f>
        <v/>
      </c>
      <c r="C17" s="350">
        <f>IF(C$3="","",IF(C5&gt;=前提条件!$C$38,前提条件!$C$40*12,0))</f>
        <v/>
      </c>
      <c r="D17" s="350">
        <f>IF(D$3="","",IF(D5&gt;=前提条件!$C$38,前提条件!$C$40*12,0))</f>
        <v/>
      </c>
      <c r="E17" s="350">
        <f>IF(E$3="","",IF(E5&gt;=前提条件!$C$38,前提条件!$C$40*12,0))</f>
        <v/>
      </c>
      <c r="F17" s="350">
        <f>IF(F$3="","",IF(F5&gt;=前提条件!$C$38,前提条件!$C$40*12,0))</f>
        <v/>
      </c>
      <c r="G17" s="350">
        <f>IF(G$3="","",IF(G5&gt;=前提条件!$C$38,前提条件!$C$40*12,0))</f>
        <v/>
      </c>
      <c r="H17" s="350">
        <f>IF(H$3="","",IF(H5&gt;=前提条件!$C$38,前提条件!$C$40*12,0))</f>
        <v/>
      </c>
      <c r="I17" s="350">
        <f>IF(I$3="","",IF(I5&gt;=前提条件!$C$38,前提条件!$C$40*12,0))</f>
        <v/>
      </c>
      <c r="J17" s="350">
        <f>IF(J$3="","",IF(J5&gt;=前提条件!$C$38,前提条件!$C$40*12,0))</f>
        <v/>
      </c>
      <c r="K17" s="350">
        <f>IF(K$3="","",IF(K5&gt;=前提条件!$C$38,前提条件!$C$40*12,0))</f>
        <v/>
      </c>
      <c r="L17" s="350">
        <f>IF(L$3="","",IF(L5&gt;=前提条件!$C$38,前提条件!$C$40*12,0))</f>
        <v/>
      </c>
      <c r="M17" s="350">
        <f>IF(M$3="","",IF(M5&gt;=前提条件!$C$38,前提条件!$C$40*12,0))</f>
        <v/>
      </c>
      <c r="N17" s="350">
        <f>IF(N$3="","",IF(N5&gt;=前提条件!$C$38,前提条件!$C$40*12,0))</f>
        <v/>
      </c>
      <c r="O17" s="350">
        <f>IF(O$3="","",IF(O5&gt;=前提条件!$C$38,前提条件!$C$40*12,0))</f>
        <v/>
      </c>
      <c r="P17" s="350">
        <f>IF(P$3="","",IF(P5&gt;=前提条件!$C$38,前提条件!$C$40*12,0))</f>
        <v/>
      </c>
      <c r="Q17" s="350">
        <f>IF(Q$3="","",IF(Q5&gt;=前提条件!$C$38,前提条件!$C$40*12,0))</f>
        <v/>
      </c>
      <c r="R17" s="350">
        <f>IF(R$3="","",IF(R5&gt;=前提条件!$C$38,前提条件!$C$40*12,0))</f>
        <v/>
      </c>
      <c r="S17" s="350">
        <f>IF(S$3="","",IF(S5&gt;=前提条件!$C$38,前提条件!$C$40*12,0))</f>
        <v/>
      </c>
      <c r="T17" s="350">
        <f>IF(T$3="","",IF(T5&gt;=前提条件!$C$38,前提条件!$C$40*12,0))</f>
        <v/>
      </c>
      <c r="U17" s="350">
        <f>IF(U$3="","",IF(U5&gt;=前提条件!$C$38,前提条件!$C$40*12,0))</f>
        <v/>
      </c>
      <c r="V17" s="350">
        <f>IF(V$3="","",IF(V5&gt;=前提条件!$C$38,前提条件!$C$40*12,0))</f>
        <v/>
      </c>
      <c r="W17" s="350">
        <f>IF(W$3="","",IF(W5&gt;=前提条件!$C$38,前提条件!$C$40*12,0))</f>
        <v/>
      </c>
      <c r="X17" s="350">
        <f>IF(X$3="","",IF(X5&gt;=前提条件!$C$38,前提条件!$C$40*12,0))</f>
        <v/>
      </c>
      <c r="Y17" s="350">
        <f>IF(Y$3="","",IF(Y5&gt;=前提条件!$C$38,前提条件!$C$40*12,0))</f>
        <v/>
      </c>
      <c r="Z17" s="350">
        <f>IF(Z$3="","",IF(Z5&gt;=前提条件!$C$38,前提条件!$C$40*12,0))</f>
        <v/>
      </c>
      <c r="AA17" s="350">
        <f>IF(AA$3="","",IF(AA5&gt;=前提条件!$C$38,前提条件!$C$40*12,0))</f>
        <v/>
      </c>
      <c r="AB17" s="350">
        <f>IF(AB$3="","",IF(AB5&gt;=前提条件!$C$38,前提条件!$C$40*12,0))</f>
        <v/>
      </c>
      <c r="AC17" s="350">
        <f>IF(AC$3="","",IF(AC5&gt;=前提条件!$C$38,前提条件!$C$40*12,0))</f>
        <v/>
      </c>
      <c r="AD17" s="350">
        <f>IF(AD$3="","",IF(AD5&gt;=前提条件!$C$38,前提条件!$C$40*12,0))</f>
        <v/>
      </c>
      <c r="AE17" s="350">
        <f>IF(AE$3="","",IF(AE5&gt;=前提条件!$C$38,前提条件!$C$40*12,0))</f>
        <v/>
      </c>
      <c r="AF17" s="350">
        <f>IF(AF$3="","",IF(AF5&gt;=前提条件!$C$38,前提条件!$C$40*12,0))</f>
        <v/>
      </c>
      <c r="AG17" s="350">
        <f>IF(AG$3="","",IF(AG5&gt;=前提条件!$C$38,前提条件!$C$40*12,0))</f>
        <v/>
      </c>
      <c r="AH17" s="350">
        <f>IF(AH$3="","",IF(AH5&gt;=前提条件!$C$38,前提条件!$C$40*12,0))</f>
        <v/>
      </c>
      <c r="AI17" s="350">
        <f>IF(AI$3="","",IF(AI5&gt;=前提条件!$C$38,前提条件!$C$40*12,0))</f>
        <v/>
      </c>
      <c r="AJ17" s="350">
        <f>IF(AJ$3="","",IF(AJ5&gt;=前提条件!$C$38,前提条件!$C$40*12,0))</f>
        <v/>
      </c>
      <c r="AK17" s="350">
        <f>IF(AK$3="","",IF(AK5&gt;=前提条件!$C$38,前提条件!$C$40*12,0))</f>
        <v/>
      </c>
      <c r="AL17" s="350">
        <f>IF(AL$3="","",IF(AL5&gt;=前提条件!$C$38,前提条件!$C$40*12,0))</f>
        <v/>
      </c>
      <c r="AM17" s="350">
        <f>IF(AM$3="","",IF(AM5&gt;=前提条件!$C$38,前提条件!$C$40*12,0))</f>
        <v/>
      </c>
      <c r="AN17" s="350">
        <f>IF(AN$3="","",IF(AN5&gt;=前提条件!$C$38,前提条件!$C$40*12,0))</f>
        <v/>
      </c>
      <c r="AO17" s="350">
        <f>IF(AO$3="","",IF(AO5&gt;=前提条件!$C$38,前提条件!$C$40*12,0))</f>
        <v/>
      </c>
      <c r="AP17" s="350">
        <f>IF(AP$3="","",IF(AP5&gt;=前提条件!$C$38,前提条件!$C$40*12,0))</f>
        <v/>
      </c>
      <c r="AQ17" s="350">
        <f>IF(AQ$3="","",IF(AQ5&gt;=前提条件!$C$38,前提条件!$C$40*12,0))</f>
        <v/>
      </c>
      <c r="AR17" s="350">
        <f>IF(AR$3="","",IF(AR5&gt;=前提条件!$C$38,前提条件!$C$40*12,0))</f>
        <v/>
      </c>
      <c r="AS17" s="350">
        <f>IF(AS$3="","",IF(AS5&gt;=前提条件!$C$38,前提条件!$C$40*12,0))</f>
        <v/>
      </c>
      <c r="AT17" s="350">
        <f>IF(AT$3="","",IF(AT5&gt;=前提条件!$C$38,前提条件!$C$40*12,0))</f>
        <v/>
      </c>
      <c r="AU17" s="350">
        <f>IF(AU$3="","",IF(AU5&gt;=前提条件!$C$38,前提条件!$C$40*12,0))</f>
        <v/>
      </c>
      <c r="AV17" s="350">
        <f>IF(AV$3="","",IF(AV5&gt;=前提条件!$C$38,前提条件!$C$40*12,0))</f>
        <v/>
      </c>
      <c r="AW17" s="350">
        <f>IF(AW$3="","",IF(AW5&gt;=前提条件!$C$38,前提条件!$C$40*12,0))</f>
        <v/>
      </c>
      <c r="AX17" s="350">
        <f>IF(AX$3="","",IF(AX5&gt;=前提条件!$C$38,前提条件!$C$40*12,0))</f>
        <v/>
      </c>
      <c r="AY17" s="350">
        <f>IF(AY$3="","",IF(AY5&gt;=前提条件!$C$38,前提条件!$C$40*12,0))</f>
        <v/>
      </c>
      <c r="AZ17" s="350">
        <f>IF(AZ$3="","",IF(AZ5&gt;=前提条件!$C$38,前提条件!$C$40*12,0))</f>
        <v/>
      </c>
      <c r="BA17" s="350">
        <f>IF(BA$3="","",IF(BA5&gt;=前提条件!$C$38,前提条件!$C$40*12,0))</f>
        <v/>
      </c>
      <c r="BB17" s="350">
        <f>IF(BB$3="","",IF(BB5&gt;=前提条件!$C$38,前提条件!$C$40*12,0))</f>
        <v/>
      </c>
      <c r="BC17" s="350">
        <f>IF(BC$3="","",IF(BC5&gt;=前提条件!$C$38,前提条件!$C$40*12,0))</f>
        <v/>
      </c>
      <c r="BD17" s="350">
        <f>IF(BD$3="","",IF(BD5&gt;=前提条件!$C$38,前提条件!$C$40*12,0))</f>
        <v/>
      </c>
      <c r="BE17" s="350">
        <f>IF(BE$3="","",IF(BE5&gt;=前提条件!$C$38,前提条件!$C$40*12,0))</f>
        <v/>
      </c>
      <c r="BF17" s="350">
        <f>IF(BF$3="","",IF(BF5&gt;=前提条件!$C$38,前提条件!$C$40*12,0))</f>
        <v/>
      </c>
      <c r="BG17" s="350">
        <f>IF(BG$3="","",IF(BG5&gt;=前提条件!$C$38,前提条件!$C$40*12,0))</f>
        <v/>
      </c>
      <c r="BH17" s="350">
        <f>IF(BH$3="","",IF(BH5&gt;=前提条件!$C$38,前提条件!$C$40*12,0))</f>
        <v/>
      </c>
      <c r="BI17" s="350">
        <f>IF(BI$3="","",IF(BI5&gt;=前提条件!$C$38,前提条件!$C$40*12,0))</f>
        <v/>
      </c>
      <c r="BJ17" s="350">
        <f>IF(BJ$3="","",IF(BJ5&gt;=前提条件!$C$38,前提条件!$C$40*12,0))</f>
        <v/>
      </c>
      <c r="BK17" s="350">
        <f>IF(BK$3="","",IF(BK5&gt;=前提条件!$C$38,前提条件!$C$40*12,0))</f>
        <v/>
      </c>
      <c r="BL17" s="350">
        <f>IF(BL$3="","",IF(BL5&gt;=前提条件!$C$38,前提条件!$C$40*12,0))</f>
        <v/>
      </c>
      <c r="BM17" s="350">
        <f>IF(BM$3="","",IF(BM5&gt;=前提条件!$C$38,前提条件!$C$40*12,0))</f>
        <v/>
      </c>
      <c r="BN17" s="350">
        <f>IF(BN$3="","",IF(BN5&gt;=前提条件!$C$38,前提条件!$C$40*12,0))</f>
        <v/>
      </c>
      <c r="BO17" s="350">
        <f>IF(BO$3="","",IF(BO5&gt;=前提条件!$C$38,前提条件!$C$40*12,0))</f>
        <v/>
      </c>
      <c r="BP17" s="350">
        <f>IF(BP$3="","",IF(BP5&gt;=前提条件!$C$38,前提条件!$C$40*12,0))</f>
        <v/>
      </c>
      <c r="BQ17" s="350">
        <f>IF(BQ$3="","",IF(BQ5&gt;=前提条件!$C$38,前提条件!$C$40*12,0))</f>
        <v/>
      </c>
      <c r="BR17" s="350">
        <f>IF(BR$3="","",IF(BR5&gt;=前提条件!$C$38,前提条件!$C$40*12,0))</f>
        <v/>
      </c>
      <c r="BS17" s="350">
        <f>IF(BS$3="","",IF(BS5&gt;=前提条件!$C$38,前提条件!$C$40*12,0))</f>
        <v/>
      </c>
      <c r="BT17" s="350">
        <f>IF(BT$3="","",IF(BT5&gt;=前提条件!$C$38,前提条件!$C$40*12,0))</f>
        <v/>
      </c>
      <c r="BU17" s="350">
        <f>IF(BU$3="","",IF(BU5&gt;=前提条件!$C$38,前提条件!$C$40*12,0))</f>
        <v/>
      </c>
      <c r="BV17" s="350">
        <f>IF(BV$3="","",IF(BV5&gt;=前提条件!$C$38,前提条件!$C$40*12,0))</f>
        <v/>
      </c>
      <c r="BW17" s="350">
        <f>IF(BW$3="","",IF(BW5&gt;=前提条件!$C$38,前提条件!$C$40*12,0))</f>
        <v/>
      </c>
      <c r="BX17" s="350">
        <f>IF(BX$3="","",IF(BX5&gt;=前提条件!$C$38,前提条件!$C$40*12,0))</f>
        <v/>
      </c>
      <c r="BY17" s="350">
        <f>IF(BY$3="","",IF(BY5&gt;=前提条件!$C$38,前提条件!$C$40*12,0))</f>
        <v/>
      </c>
      <c r="BZ17" s="350">
        <f>IF(BZ$3="","",IF(BZ5&gt;=前提条件!$C$38,前提条件!$C$40*12,0))</f>
        <v/>
      </c>
      <c r="CA17" s="350">
        <f>IF(CA$3="","",IF(CA5&gt;=前提条件!$C$38,前提条件!$C$40*12,0))</f>
        <v/>
      </c>
      <c r="CB17" s="350">
        <f>IF(CB$3="","",IF(CB5&gt;=前提条件!$C$38,前提条件!$C$40*12,0))</f>
        <v/>
      </c>
      <c r="CC17" s="350">
        <f>IF(CC$3="","",IF(CC5&gt;=前提条件!$C$38,前提条件!$C$40*12,0))</f>
        <v/>
      </c>
      <c r="CD17" s="350">
        <f>IF(CD$3="","",IF(CD5&gt;=前提条件!$C$38,前提条件!$C$40*12,0))</f>
        <v/>
      </c>
      <c r="CE17" s="350">
        <f>IF(CE$3="","",IF(CE5&gt;=前提条件!$C$38,前提条件!$C$40*12,0))</f>
        <v/>
      </c>
      <c r="CF17" s="350">
        <f>IF(CF$3="","",IF(CF5&gt;=前提条件!$C$38,前提条件!$C$40*12,0))</f>
        <v/>
      </c>
      <c r="CG17" s="350">
        <f>IF(CG$3="","",IF(CG5&gt;=前提条件!$C$38,前提条件!$C$40*12,0))</f>
        <v/>
      </c>
      <c r="CH17" s="350">
        <f>IF(CH$3="","",IF(CH5&gt;=前提条件!$C$38,前提条件!$C$40*12,0))</f>
        <v/>
      </c>
      <c r="CI17" s="350">
        <f>IF(CI$3="","",IF(CI5&gt;=前提条件!$C$38,前提条件!$C$40*12,0))</f>
        <v/>
      </c>
      <c r="CJ17" s="350">
        <f>IF(CJ$3="","",IF(CJ5&gt;=前提条件!$C$38,前提条件!$C$40*12,0))</f>
        <v/>
      </c>
      <c r="CK17" s="350">
        <f>IF(CK$3="","",IF(CK5&gt;=前提条件!$C$38,前提条件!$C$40*12,0))</f>
        <v/>
      </c>
      <c r="CL17" s="350">
        <f>IF(CL$3="","",IF(CL5&gt;=前提条件!$C$38,前提条件!$C$40*12,0))</f>
        <v/>
      </c>
      <c r="CM17" s="350">
        <f>IF(CM$3="","",IF(CM5&gt;=前提条件!$C$38,前提条件!$C$40*12,0))</f>
        <v/>
      </c>
      <c r="CN17" s="350">
        <f>IF(CN$3="","",IF(CN5&gt;=前提条件!$C$38,前提条件!$C$40*12,0))</f>
        <v/>
      </c>
      <c r="CO17" s="350">
        <f>IF(CO$3="","",IF(CO5&gt;=前提条件!$C$38,前提条件!$C$40*12,0))</f>
        <v/>
      </c>
      <c r="CP17" s="350">
        <f>IF(CP$3="","",IF(CP5&gt;=前提条件!$C$38,前提条件!$C$40*12,0))</f>
        <v/>
      </c>
      <c r="CQ17" s="350">
        <f>IF(CQ$3="","",IF(CQ5&gt;=前提条件!$C$38,前提条件!$C$40*12,0))</f>
        <v/>
      </c>
      <c r="CR17" s="350">
        <f>IF(CR$3="","",IF(CR5&gt;=前提条件!$C$38,前提条件!$C$40*12,0))</f>
        <v/>
      </c>
      <c r="CS17" s="350">
        <f>IF(CS$3="","",IF(CS5&gt;=前提条件!$C$38,前提条件!$C$40*12,0))</f>
        <v/>
      </c>
      <c r="CT17" s="350">
        <f>IF(CT$3="","",IF(CT5&gt;=前提条件!$C$38,前提条件!$C$40*12,0))</f>
        <v/>
      </c>
      <c r="CU17" s="350">
        <f>IF(CU$3="","",IF(CU5&gt;=前提条件!$C$38,前提条件!$C$40*12,0))</f>
        <v/>
      </c>
      <c r="CV17" s="350">
        <f>IF(CV$3="","",IF(CV5&gt;=前提条件!$C$38,前提条件!$C$40*12,0))</f>
        <v/>
      </c>
      <c r="CW17" s="350">
        <f>IF(CW$3="","",IF(CW5&gt;=前提条件!$C$38,前提条件!$C$40*12,0))</f>
        <v/>
      </c>
    </row>
    <row r="18" ht="15" customHeight="1" s="180">
      <c r="A18" s="222" t="inlineStr">
        <is>
          <t>世帯収入合計</t>
        </is>
      </c>
      <c r="B18" s="351">
        <f>IF(B$3="","",SUM(B10:B17))</f>
        <v/>
      </c>
      <c r="C18" s="351">
        <f>IF(C$3="","",SUM(C10:C17))</f>
        <v/>
      </c>
      <c r="D18" s="351">
        <f>IF(D$3="","",SUM(D10:D17))</f>
        <v/>
      </c>
      <c r="E18" s="351">
        <f>IF(E$3="","",SUM(E10:E17))</f>
        <v/>
      </c>
      <c r="F18" s="351">
        <f>IF(F$3="","",SUM(F10:F17))</f>
        <v/>
      </c>
      <c r="G18" s="351">
        <f>IF(G$3="","",SUM(G10:G17))</f>
        <v/>
      </c>
      <c r="H18" s="351">
        <f>IF(H$3="","",SUM(H10:H17))</f>
        <v/>
      </c>
      <c r="I18" s="351">
        <f>IF(I$3="","",SUM(I10:I17))</f>
        <v/>
      </c>
      <c r="J18" s="351">
        <f>IF(J$3="","",SUM(J10:J17))</f>
        <v/>
      </c>
      <c r="K18" s="351">
        <f>IF(K$3="","",SUM(K10:K17))</f>
        <v/>
      </c>
      <c r="L18" s="351">
        <f>IF(L$3="","",SUM(L10:L17))</f>
        <v/>
      </c>
      <c r="M18" s="351">
        <f>IF(M$3="","",SUM(M10:M17))</f>
        <v/>
      </c>
      <c r="N18" s="351">
        <f>IF(N$3="","",SUM(N10:N17))</f>
        <v/>
      </c>
      <c r="O18" s="351">
        <f>IF(O$3="","",SUM(O10:O17))</f>
        <v/>
      </c>
      <c r="P18" s="351">
        <f>IF(P$3="","",SUM(P10:P17))</f>
        <v/>
      </c>
      <c r="Q18" s="351">
        <f>IF(Q$3="","",SUM(Q10:Q17))</f>
        <v/>
      </c>
      <c r="R18" s="351">
        <f>IF(R$3="","",SUM(R10:R17))</f>
        <v/>
      </c>
      <c r="S18" s="351">
        <f>IF(S$3="","",SUM(S10:S17))</f>
        <v/>
      </c>
      <c r="T18" s="351">
        <f>IF(T$3="","",SUM(T10:T17))</f>
        <v/>
      </c>
      <c r="U18" s="351">
        <f>IF(U$3="","",SUM(U10:U17))</f>
        <v/>
      </c>
      <c r="V18" s="351">
        <f>IF(V$3="","",SUM(V10:V17))</f>
        <v/>
      </c>
      <c r="W18" s="351">
        <f>IF(W$3="","",SUM(W10:W17))</f>
        <v/>
      </c>
      <c r="X18" s="351">
        <f>IF(X$3="","",SUM(X10:X17))</f>
        <v/>
      </c>
      <c r="Y18" s="351">
        <f>IF(Y$3="","",SUM(Y10:Y17))</f>
        <v/>
      </c>
      <c r="Z18" s="351">
        <f>IF(Z$3="","",SUM(Z10:Z17))</f>
        <v/>
      </c>
      <c r="AA18" s="351">
        <f>IF(AA$3="","",SUM(AA10:AA17))</f>
        <v/>
      </c>
      <c r="AB18" s="351">
        <f>IF(AB$3="","",SUM(AB10:AB17))</f>
        <v/>
      </c>
      <c r="AC18" s="351">
        <f>IF(AC$3="","",SUM(AC10:AC17))</f>
        <v/>
      </c>
      <c r="AD18" s="351">
        <f>IF(AD$3="","",SUM(AD10:AD17))</f>
        <v/>
      </c>
      <c r="AE18" s="351">
        <f>IF(AE$3="","",SUM(AE10:AE17))</f>
        <v/>
      </c>
      <c r="AF18" s="351">
        <f>IF(AF$3="","",SUM(AF10:AF17))</f>
        <v/>
      </c>
      <c r="AG18" s="351">
        <f>IF(AG$3="","",SUM(AG10:AG17))</f>
        <v/>
      </c>
      <c r="AH18" s="351">
        <f>IF(AH$3="","",SUM(AH10:AH17))</f>
        <v/>
      </c>
      <c r="AI18" s="351">
        <f>IF(AI$3="","",SUM(AI10:AI17))</f>
        <v/>
      </c>
      <c r="AJ18" s="351">
        <f>IF(AJ$3="","",SUM(AJ10:AJ17))</f>
        <v/>
      </c>
      <c r="AK18" s="351">
        <f>IF(AK$3="","",SUM(AK10:AK17))</f>
        <v/>
      </c>
      <c r="AL18" s="351">
        <f>IF(AL$3="","",SUM(AL10:AL17))</f>
        <v/>
      </c>
      <c r="AM18" s="351">
        <f>IF(AM$3="","",SUM(AM10:AM17))</f>
        <v/>
      </c>
      <c r="AN18" s="351">
        <f>IF(AN$3="","",SUM(AN10:AN17))</f>
        <v/>
      </c>
      <c r="AO18" s="351">
        <f>IF(AO$3="","",SUM(AO10:AO17))</f>
        <v/>
      </c>
      <c r="AP18" s="351">
        <f>IF(AP$3="","",SUM(AP10:AP17))</f>
        <v/>
      </c>
      <c r="AQ18" s="351">
        <f>IF(AQ$3="","",SUM(AQ10:AQ17))</f>
        <v/>
      </c>
      <c r="AR18" s="351">
        <f>IF(AR$3="","",SUM(AR10:AR17))</f>
        <v/>
      </c>
      <c r="AS18" s="351">
        <f>IF(AS$3="","",SUM(AS10:AS17))</f>
        <v/>
      </c>
      <c r="AT18" s="351">
        <f>IF(AT$3="","",SUM(AT10:AT17))</f>
        <v/>
      </c>
      <c r="AU18" s="351">
        <f>IF(AU$3="","",SUM(AU10:AU17))</f>
        <v/>
      </c>
      <c r="AV18" s="351">
        <f>IF(AV$3="","",SUM(AV10:AV17))</f>
        <v/>
      </c>
      <c r="AW18" s="351">
        <f>IF(AW$3="","",SUM(AW10:AW17))</f>
        <v/>
      </c>
      <c r="AX18" s="351">
        <f>IF(AX$3="","",SUM(AX10:AX17))</f>
        <v/>
      </c>
      <c r="AY18" s="351">
        <f>IF(AY$3="","",SUM(AY10:AY17))</f>
        <v/>
      </c>
      <c r="AZ18" s="351">
        <f>IF(AZ$3="","",SUM(AZ10:AZ17))</f>
        <v/>
      </c>
      <c r="BA18" s="351">
        <f>IF(BA$3="","",SUM(BA10:BA17))</f>
        <v/>
      </c>
      <c r="BB18" s="351">
        <f>IF(BB$3="","",SUM(BB10:BB17))</f>
        <v/>
      </c>
      <c r="BC18" s="351">
        <f>IF(BC$3="","",SUM(BC10:BC17))</f>
        <v/>
      </c>
      <c r="BD18" s="351">
        <f>IF(BD$3="","",SUM(BD10:BD17))</f>
        <v/>
      </c>
      <c r="BE18" s="351">
        <f>IF(BE$3="","",SUM(BE10:BE17))</f>
        <v/>
      </c>
      <c r="BF18" s="351">
        <f>IF(BF$3="","",SUM(BF10:BF17))</f>
        <v/>
      </c>
      <c r="BG18" s="351">
        <f>IF(BG$3="","",SUM(BG10:BG17))</f>
        <v/>
      </c>
      <c r="BH18" s="351">
        <f>IF(BH$3="","",SUM(BH10:BH17))</f>
        <v/>
      </c>
      <c r="BI18" s="351">
        <f>IF(BI$3="","",SUM(BI10:BI17))</f>
        <v/>
      </c>
      <c r="BJ18" s="351">
        <f>IF(BJ$3="","",SUM(BJ10:BJ17))</f>
        <v/>
      </c>
      <c r="BK18" s="351">
        <f>IF(BK$3="","",SUM(BK10:BK17))</f>
        <v/>
      </c>
      <c r="BL18" s="351">
        <f>IF(BL$3="","",SUM(BL10:BL17))</f>
        <v/>
      </c>
      <c r="BM18" s="351">
        <f>IF(BM$3="","",SUM(BM10:BM17))</f>
        <v/>
      </c>
      <c r="BN18" s="351">
        <f>IF(BN$3="","",SUM(BN10:BN17))</f>
        <v/>
      </c>
      <c r="BO18" s="351">
        <f>IF(BO$3="","",SUM(BO10:BO17))</f>
        <v/>
      </c>
      <c r="BP18" s="351">
        <f>IF(BP$3="","",SUM(BP10:BP17))</f>
        <v/>
      </c>
      <c r="BQ18" s="351">
        <f>IF(BQ$3="","",SUM(BQ10:BQ17))</f>
        <v/>
      </c>
      <c r="BR18" s="351">
        <f>IF(BR$3="","",SUM(BR10:BR17))</f>
        <v/>
      </c>
      <c r="BS18" s="351">
        <f>IF(BS$3="","",SUM(BS10:BS17))</f>
        <v/>
      </c>
      <c r="BT18" s="351">
        <f>IF(BT$3="","",SUM(BT10:BT17))</f>
        <v/>
      </c>
      <c r="BU18" s="351">
        <f>IF(BU$3="","",SUM(BU10:BU17))</f>
        <v/>
      </c>
      <c r="BV18" s="351">
        <f>IF(BV$3="","",SUM(BV10:BV17))</f>
        <v/>
      </c>
      <c r="BW18" s="351">
        <f>IF(BW$3="","",SUM(BW10:BW17))</f>
        <v/>
      </c>
      <c r="BX18" s="351">
        <f>IF(BX$3="","",SUM(BX10:BX17))</f>
        <v/>
      </c>
      <c r="BY18" s="351">
        <f>IF(BY$3="","",SUM(BY10:BY17))</f>
        <v/>
      </c>
      <c r="BZ18" s="351">
        <f>IF(BZ$3="","",SUM(BZ10:BZ17))</f>
        <v/>
      </c>
      <c r="CA18" s="351">
        <f>IF(CA$3="","",SUM(CA10:CA17))</f>
        <v/>
      </c>
      <c r="CB18" s="351">
        <f>IF(CB$3="","",SUM(CB10:CB17))</f>
        <v/>
      </c>
      <c r="CC18" s="351">
        <f>IF(CC$3="","",SUM(CC10:CC17))</f>
        <v/>
      </c>
      <c r="CD18" s="351">
        <f>IF(CD$3="","",SUM(CD10:CD17))</f>
        <v/>
      </c>
      <c r="CE18" s="351">
        <f>IF(CE$3="","",SUM(CE10:CE17))</f>
        <v/>
      </c>
      <c r="CF18" s="351">
        <f>IF(CF$3="","",SUM(CF10:CF17))</f>
        <v/>
      </c>
      <c r="CG18" s="351">
        <f>IF(CG$3="","",SUM(CG10:CG17))</f>
        <v/>
      </c>
      <c r="CH18" s="351">
        <f>IF(CH$3="","",SUM(CH10:CH17))</f>
        <v/>
      </c>
      <c r="CI18" s="351">
        <f>IF(CI$3="","",SUM(CI10:CI17))</f>
        <v/>
      </c>
      <c r="CJ18" s="351">
        <f>IF(CJ$3="","",SUM(CJ10:CJ17))</f>
        <v/>
      </c>
      <c r="CK18" s="351">
        <f>IF(CK$3="","",SUM(CK10:CK17))</f>
        <v/>
      </c>
      <c r="CL18" s="351">
        <f>IF(CL$3="","",SUM(CL10:CL17))</f>
        <v/>
      </c>
      <c r="CM18" s="351">
        <f>IF(CM$3="","",SUM(CM10:CM17))</f>
        <v/>
      </c>
      <c r="CN18" s="351">
        <f>IF(CN$3="","",SUM(CN10:CN17))</f>
        <v/>
      </c>
      <c r="CO18" s="351">
        <f>IF(CO$3="","",SUM(CO10:CO17))</f>
        <v/>
      </c>
      <c r="CP18" s="351">
        <f>IF(CP$3="","",SUM(CP10:CP17))</f>
        <v/>
      </c>
      <c r="CQ18" s="351">
        <f>IF(CQ$3="","",SUM(CQ10:CQ17))</f>
        <v/>
      </c>
      <c r="CR18" s="351">
        <f>IF(CR$3="","",SUM(CR10:CR17))</f>
        <v/>
      </c>
      <c r="CS18" s="351">
        <f>IF(CS$3="","",SUM(CS10:CS17))</f>
        <v/>
      </c>
      <c r="CT18" s="351">
        <f>IF(CT$3="","",SUM(CT10:CT17))</f>
        <v/>
      </c>
      <c r="CU18" s="351">
        <f>IF(CU$3="","",SUM(CU10:CU17))</f>
        <v/>
      </c>
      <c r="CV18" s="351">
        <f>IF(CV$3="","",SUM(CV10:CV17))</f>
        <v/>
      </c>
      <c r="CW18" s="351">
        <f>IF(CW$3="","",SUM(CW10:CW17))</f>
        <v/>
      </c>
    </row>
    <row r="19" ht="15" customHeight="1" s="180">
      <c r="A19" s="205" t="inlineStr">
        <is>
          <t>収入</t>
        </is>
      </c>
      <c r="B19" s="219" t="n"/>
      <c r="C19" s="219" t="n"/>
      <c r="D19" s="219" t="n"/>
      <c r="E19" s="219" t="n"/>
      <c r="F19" s="219" t="n"/>
      <c r="G19" s="219" t="n"/>
      <c r="H19" s="219" t="n"/>
      <c r="I19" s="219" t="n"/>
      <c r="J19" s="219" t="n"/>
      <c r="K19" s="219" t="n"/>
      <c r="L19" s="219" t="n"/>
      <c r="M19" s="219" t="n"/>
      <c r="N19" s="219" t="n"/>
      <c r="O19" s="219" t="n"/>
      <c r="P19" s="219" t="n"/>
      <c r="Q19" s="219" t="n"/>
      <c r="R19" s="219" t="n"/>
      <c r="S19" s="219" t="n"/>
      <c r="T19" s="219" t="n"/>
      <c r="U19" s="219" t="n"/>
      <c r="V19" s="219" t="n"/>
      <c r="W19" s="219" t="n"/>
      <c r="X19" s="219" t="n"/>
      <c r="Y19" s="219" t="n"/>
      <c r="Z19" s="219" t="n"/>
      <c r="AA19" s="219" t="n"/>
      <c r="AB19" s="219" t="n"/>
      <c r="AC19" s="219" t="n"/>
      <c r="AD19" s="219" t="n"/>
      <c r="AE19" s="219" t="n"/>
      <c r="AF19" s="219" t="n"/>
      <c r="AG19" s="219" t="n"/>
      <c r="AH19" s="219" t="n"/>
      <c r="AI19" s="219" t="n"/>
      <c r="AJ19" s="219" t="n"/>
      <c r="AK19" s="219" t="n"/>
      <c r="AL19" s="219" t="n"/>
      <c r="AM19" s="219" t="n"/>
      <c r="AN19" s="219" t="n"/>
      <c r="AO19" s="219" t="n"/>
      <c r="AP19" s="219" t="n"/>
      <c r="AQ19" s="219" t="n"/>
      <c r="AR19" s="219" t="n"/>
      <c r="AS19" s="219" t="n"/>
      <c r="AT19" s="219" t="n"/>
      <c r="AU19" s="219" t="n"/>
      <c r="AV19" s="219" t="n"/>
      <c r="AW19" s="219" t="n"/>
      <c r="AX19" s="219" t="n"/>
      <c r="AY19" s="219" t="n"/>
      <c r="AZ19" s="219" t="n"/>
      <c r="BA19" s="219" t="n"/>
      <c r="BB19" s="219" t="n"/>
      <c r="BC19" s="219" t="n"/>
      <c r="BD19" s="219" t="n"/>
      <c r="BE19" s="219" t="n"/>
      <c r="BF19" s="219" t="n"/>
      <c r="BG19" s="219" t="n"/>
      <c r="BH19" s="219" t="n"/>
      <c r="BI19" s="219" t="n"/>
      <c r="BJ19" s="219" t="n"/>
      <c r="BK19" s="219" t="n"/>
      <c r="BL19" s="219" t="n"/>
      <c r="BM19" s="219" t="n"/>
      <c r="BN19" s="219" t="n"/>
      <c r="BO19" s="219" t="n"/>
      <c r="BP19" s="219" t="n"/>
      <c r="BQ19" s="219" t="n"/>
      <c r="BR19" s="219" t="n"/>
      <c r="BS19" s="219" t="n"/>
      <c r="BT19" s="219" t="n"/>
      <c r="BU19" s="219" t="n"/>
      <c r="BV19" s="219" t="n"/>
      <c r="BW19" s="219" t="n"/>
      <c r="BX19" s="219" t="n"/>
      <c r="BY19" s="219" t="n"/>
      <c r="BZ19" s="219" t="n"/>
      <c r="CA19" s="219" t="n"/>
      <c r="CB19" s="219" t="n"/>
      <c r="CC19" s="219" t="n"/>
      <c r="CD19" s="219" t="n"/>
      <c r="CE19" s="219" t="n"/>
      <c r="CF19" s="219" t="n"/>
      <c r="CG19" s="219" t="n"/>
      <c r="CH19" s="219" t="n"/>
      <c r="CI19" s="219" t="n"/>
      <c r="CJ19" s="219" t="n"/>
      <c r="CK19" s="219" t="n"/>
      <c r="CL19" s="219" t="n"/>
      <c r="CM19" s="219" t="n"/>
      <c r="CN19" s="219" t="n"/>
      <c r="CO19" s="219" t="n"/>
      <c r="CP19" s="219" t="n"/>
      <c r="CQ19" s="219" t="n"/>
      <c r="CR19" s="219" t="n"/>
      <c r="CS19" s="219" t="n"/>
      <c r="CT19" s="219" t="n"/>
      <c r="CU19" s="219" t="n"/>
      <c r="CV19" s="219" t="n"/>
      <c r="CW19" s="219" t="n"/>
    </row>
    <row r="20" ht="15" customHeight="1" s="180">
      <c r="A20" s="224" t="inlineStr">
        <is>
          <t>基本生活費</t>
        </is>
      </c>
      <c r="B20" s="352">
        <f>IF(B$3="","",SUM(入力データ!$C$41:$C$52)*12)</f>
        <v/>
      </c>
      <c r="C20" s="352">
        <f>IF(C$3="","",SUM(入力データ!$C$41:$C$52)*12)</f>
        <v/>
      </c>
      <c r="D20" s="352">
        <f>IF(D$3="","",SUM(入力データ!$C$41:$C$52)*12)</f>
        <v/>
      </c>
      <c r="E20" s="352">
        <f>IF(E$3="","",SUM(入力データ!$C$41:$C$52)*12)</f>
        <v/>
      </c>
      <c r="F20" s="352">
        <f>IF(F$3="","",SUM(入力データ!$C$41:$C$52)*12)</f>
        <v/>
      </c>
      <c r="G20" s="352">
        <f>IF(G$3="","",SUM(入力データ!$C$41:$C$52)*12)</f>
        <v/>
      </c>
      <c r="H20" s="352">
        <f>IF(H$3="","",SUM(入力データ!$C$41:$C$52)*12)</f>
        <v/>
      </c>
      <c r="I20" s="352">
        <f>IF(I$3="","",SUM(入力データ!$C$41:$C$52)*12)</f>
        <v/>
      </c>
      <c r="J20" s="352">
        <f>IF(J$3="","",SUM(入力データ!$C$41:$C$52)*12)</f>
        <v/>
      </c>
      <c r="K20" s="352">
        <f>IF(K$3="","",SUM(入力データ!$C$41:$C$52)*12)</f>
        <v/>
      </c>
      <c r="L20" s="352">
        <f>IF(L$3="","",SUM(入力データ!$C$41:$C$52)*12)</f>
        <v/>
      </c>
      <c r="M20" s="352">
        <f>IF(M$3="","",SUM(入力データ!$C$41:$C$52)*12)</f>
        <v/>
      </c>
      <c r="N20" s="352">
        <f>IF(N$3="","",SUM(入力データ!$C$41:$C$52)*12)</f>
        <v/>
      </c>
      <c r="O20" s="352">
        <f>IF(O$3="","",SUM(入力データ!$C$41:$C$52)*12)</f>
        <v/>
      </c>
      <c r="P20" s="352">
        <f>IF(P$3="","",SUM(入力データ!$C$41:$C$52)*12)</f>
        <v/>
      </c>
      <c r="Q20" s="352">
        <f>IF(Q$3="","",SUM(入力データ!$C$41:$C$52)*12)</f>
        <v/>
      </c>
      <c r="R20" s="352">
        <f>IF(R$3="","",SUM(入力データ!$C$41:$C$52)*12)</f>
        <v/>
      </c>
      <c r="S20" s="352">
        <f>IF(S$3="","",SUM(入力データ!$C$41:$C$52)*12)</f>
        <v/>
      </c>
      <c r="T20" s="352">
        <f>IF(T$3="","",SUM(入力データ!$C$41:$C$52)*12)</f>
        <v/>
      </c>
      <c r="U20" s="352">
        <f>IF(U$3="","",SUM(入力データ!$C$41:$C$52)*12)</f>
        <v/>
      </c>
      <c r="V20" s="352">
        <f>IF(V$3="","",SUM(入力データ!$C$41:$C$52)*12)</f>
        <v/>
      </c>
      <c r="W20" s="352">
        <f>IF(W$3="","",SUM(入力データ!$C$41:$C$52)*12)</f>
        <v/>
      </c>
      <c r="X20" s="352">
        <f>IF(X$3="","",SUM(入力データ!$C$41:$C$52)*12)</f>
        <v/>
      </c>
      <c r="Y20" s="352">
        <f>IF(Y$3="","",SUM(入力データ!$C$41:$C$52)*12)</f>
        <v/>
      </c>
      <c r="Z20" s="352">
        <f>IF(Z$3="","",SUM(入力データ!$C$41:$C$52)*12)</f>
        <v/>
      </c>
      <c r="AA20" s="352">
        <f>IF(AA$3="","",SUM(入力データ!$C$41:$C$52)*12)</f>
        <v/>
      </c>
      <c r="AB20" s="352">
        <f>IF(AB$3="","",SUM(入力データ!$C$41:$C$52)*12)</f>
        <v/>
      </c>
      <c r="AC20" s="352">
        <f>IF(AC$3="","",SUM(入力データ!$C$41:$C$52)*12)</f>
        <v/>
      </c>
      <c r="AD20" s="352">
        <f>IF(AD$3="","",SUM(入力データ!$C$41:$C$52)*12)</f>
        <v/>
      </c>
      <c r="AE20" s="352">
        <f>IF(AE$3="","",SUM(入力データ!$C$41:$C$52)*12)</f>
        <v/>
      </c>
      <c r="AF20" s="352">
        <f>IF(AF$3="","",SUM(入力データ!$C$41:$C$52)*12)</f>
        <v/>
      </c>
      <c r="AG20" s="352">
        <f>IF(AG$3="","",SUM(入力データ!$C$41:$C$52)*12)</f>
        <v/>
      </c>
      <c r="AH20" s="352">
        <f>IF(AH$3="","",SUM(入力データ!$C$41:$C$52)*12)</f>
        <v/>
      </c>
      <c r="AI20" s="352">
        <f>IF(AI$3="","",SUM(入力データ!$C$41:$C$52)*12)</f>
        <v/>
      </c>
      <c r="AJ20" s="352">
        <f>IF(AJ$3="","",SUM(入力データ!$C$41:$C$52)*12)</f>
        <v/>
      </c>
      <c r="AK20" s="352">
        <f>IF(AK$3="","",SUM(入力データ!$C$41:$C$52)*12)</f>
        <v/>
      </c>
      <c r="AL20" s="352">
        <f>IF(AL$3="","",SUM(入力データ!$C$41:$C$52)*12)</f>
        <v/>
      </c>
      <c r="AM20" s="352">
        <f>IF(AM$3="","",SUM(入力データ!$C$41:$C$52)*12)</f>
        <v/>
      </c>
      <c r="AN20" s="352">
        <f>IF(AN$3="","",SUM(入力データ!$C$41:$C$52)*12)</f>
        <v/>
      </c>
      <c r="AO20" s="352">
        <f>IF(AO$3="","",SUM(入力データ!$C$41:$C$52)*12)</f>
        <v/>
      </c>
      <c r="AP20" s="352">
        <f>IF(AP$3="","",SUM(入力データ!$C$41:$C$52)*12)</f>
        <v/>
      </c>
      <c r="AQ20" s="352">
        <f>IF(AQ$3="","",SUM(入力データ!$C$41:$C$52)*12)</f>
        <v/>
      </c>
      <c r="AR20" s="352">
        <f>IF(AR$3="","",SUM(入力データ!$C$41:$C$52)*12)</f>
        <v/>
      </c>
      <c r="AS20" s="352">
        <f>IF(AS$3="","",SUM(入力データ!$C$41:$C$52)*12)</f>
        <v/>
      </c>
      <c r="AT20" s="352">
        <f>IF(AT$3="","",SUM(入力データ!$C$41:$C$52)*12)</f>
        <v/>
      </c>
      <c r="AU20" s="352">
        <f>IF(AU$3="","",SUM(入力データ!$C$41:$C$52)*12)</f>
        <v/>
      </c>
      <c r="AV20" s="352">
        <f>IF(AV$3="","",SUM(入力データ!$C$41:$C$52)*12)</f>
        <v/>
      </c>
      <c r="AW20" s="352">
        <f>IF(AW$3="","",SUM(入力データ!$C$41:$C$52)*12)</f>
        <v/>
      </c>
      <c r="AX20" s="352">
        <f>IF(AX$3="","",SUM(入力データ!$C$41:$C$52)*12)</f>
        <v/>
      </c>
      <c r="AY20" s="352">
        <f>IF(AY$3="","",SUM(入力データ!$C$41:$C$52)*12)</f>
        <v/>
      </c>
      <c r="AZ20" s="352">
        <f>IF(AZ$3="","",SUM(入力データ!$C$41:$C$52)*12)</f>
        <v/>
      </c>
      <c r="BA20" s="352">
        <f>IF(BA$3="","",SUM(入力データ!$C$41:$C$52)*12)</f>
        <v/>
      </c>
      <c r="BB20" s="352">
        <f>IF(BB$3="","",SUM(入力データ!$C$41:$C$52)*12)</f>
        <v/>
      </c>
      <c r="BC20" s="352">
        <f>IF(BC$3="","",SUM(入力データ!$C$41:$C$52)*12)</f>
        <v/>
      </c>
      <c r="BD20" s="352">
        <f>IF(BD$3="","",SUM(入力データ!$C$41:$C$52)*12)</f>
        <v/>
      </c>
      <c r="BE20" s="352">
        <f>IF(BE$3="","",SUM(入力データ!$C$41:$C$52)*12)</f>
        <v/>
      </c>
      <c r="BF20" s="352">
        <f>IF(BF$3="","",SUM(入力データ!$C$41:$C$52)*12)</f>
        <v/>
      </c>
      <c r="BG20" s="352">
        <f>IF(BG$3="","",SUM(入力データ!$C$41:$C$52)*12)</f>
        <v/>
      </c>
      <c r="BH20" s="352">
        <f>IF(BH$3="","",SUM(入力データ!$C$41:$C$52)*12)</f>
        <v/>
      </c>
      <c r="BI20" s="352">
        <f>IF(BI$3="","",SUM(入力データ!$C$41:$C$52)*12)</f>
        <v/>
      </c>
      <c r="BJ20" s="352">
        <f>IF(BJ$3="","",SUM(入力データ!$C$41:$C$52)*12)</f>
        <v/>
      </c>
      <c r="BK20" s="352">
        <f>IF(BK$3="","",SUM(入力データ!$C$41:$C$52)*12)</f>
        <v/>
      </c>
      <c r="BL20" s="352">
        <f>IF(BL$3="","",SUM(入力データ!$C$41:$C$52)*12)</f>
        <v/>
      </c>
      <c r="BM20" s="352">
        <f>IF(BM$3="","",SUM(入力データ!$C$41:$C$52)*12)</f>
        <v/>
      </c>
      <c r="BN20" s="352">
        <f>IF(BN$3="","",SUM(入力データ!$C$41:$C$52)*12)</f>
        <v/>
      </c>
      <c r="BO20" s="352">
        <f>IF(BO$3="","",SUM(入力データ!$C$41:$C$52)*12)</f>
        <v/>
      </c>
      <c r="BP20" s="352">
        <f>IF(BP$3="","",SUM(入力データ!$C$41:$C$52)*12)</f>
        <v/>
      </c>
      <c r="BQ20" s="352">
        <f>IF(BQ$3="","",SUM(入力データ!$C$41:$C$52)*12)</f>
        <v/>
      </c>
      <c r="BR20" s="352">
        <f>IF(BR$3="","",SUM(入力データ!$C$41:$C$52)*12)</f>
        <v/>
      </c>
      <c r="BS20" s="352">
        <f>IF(BS$3="","",SUM(入力データ!$C$41:$C$52)*12)</f>
        <v/>
      </c>
      <c r="BT20" s="352">
        <f>IF(BT$3="","",SUM(入力データ!$C$41:$C$52)*12)</f>
        <v/>
      </c>
      <c r="BU20" s="352">
        <f>IF(BU$3="","",SUM(入力データ!$C$41:$C$52)*12)</f>
        <v/>
      </c>
      <c r="BV20" s="352">
        <f>IF(BV$3="","",SUM(入力データ!$C$41:$C$52)*12)</f>
        <v/>
      </c>
      <c r="BW20" s="352">
        <f>IF(BW$3="","",SUM(入力データ!$C$41:$C$52)*12)</f>
        <v/>
      </c>
      <c r="BX20" s="352">
        <f>IF(BX$3="","",SUM(入力データ!$C$41:$C$52)*12)</f>
        <v/>
      </c>
      <c r="BY20" s="352">
        <f>IF(BY$3="","",SUM(入力データ!$C$41:$C$52)*12)</f>
        <v/>
      </c>
      <c r="BZ20" s="352">
        <f>IF(BZ$3="","",SUM(入力データ!$C$41:$C$52)*12)</f>
        <v/>
      </c>
      <c r="CA20" s="352">
        <f>IF(CA$3="","",SUM(入力データ!$C$41:$C$52)*12)</f>
        <v/>
      </c>
      <c r="CB20" s="352">
        <f>IF(CB$3="","",SUM(入力データ!$C$41:$C$52)*12)</f>
        <v/>
      </c>
      <c r="CC20" s="352">
        <f>IF(CC$3="","",SUM(入力データ!$C$41:$C$52)*12)</f>
        <v/>
      </c>
      <c r="CD20" s="352">
        <f>IF(CD$3="","",SUM(入力データ!$C$41:$C$52)*12)</f>
        <v/>
      </c>
      <c r="CE20" s="352">
        <f>IF(CE$3="","",SUM(入力データ!$C$41:$C$52)*12)</f>
        <v/>
      </c>
      <c r="CF20" s="352">
        <f>IF(CF$3="","",SUM(入力データ!$C$41:$C$52)*12)</f>
        <v/>
      </c>
      <c r="CG20" s="352">
        <f>IF(CG$3="","",SUM(入力データ!$C$41:$C$52)*12)</f>
        <v/>
      </c>
      <c r="CH20" s="352">
        <f>IF(CH$3="","",SUM(入力データ!$C$41:$C$52)*12)</f>
        <v/>
      </c>
      <c r="CI20" s="352">
        <f>IF(CI$3="","",SUM(入力データ!$C$41:$C$52)*12)</f>
        <v/>
      </c>
      <c r="CJ20" s="352">
        <f>IF(CJ$3="","",SUM(入力データ!$C$41:$C$52)*12)</f>
        <v/>
      </c>
      <c r="CK20" s="352">
        <f>IF(CK$3="","",SUM(入力データ!$C$41:$C$52)*12)</f>
        <v/>
      </c>
      <c r="CL20" s="352">
        <f>IF(CL$3="","",SUM(入力データ!$C$41:$C$52)*12)</f>
        <v/>
      </c>
      <c r="CM20" s="352">
        <f>IF(CM$3="","",SUM(入力データ!$C$41:$C$52)*12)</f>
        <v/>
      </c>
      <c r="CN20" s="352">
        <f>IF(CN$3="","",SUM(入力データ!$C$41:$C$52)*12)</f>
        <v/>
      </c>
      <c r="CO20" s="352">
        <f>IF(CO$3="","",SUM(入力データ!$C$41:$C$52)*12)</f>
        <v/>
      </c>
      <c r="CP20" s="352">
        <f>IF(CP$3="","",SUM(入力データ!$C$41:$C$52)*12)</f>
        <v/>
      </c>
      <c r="CQ20" s="352">
        <f>IF(CQ$3="","",SUM(入力データ!$C$41:$C$52)*12)</f>
        <v/>
      </c>
      <c r="CR20" s="352">
        <f>IF(CR$3="","",SUM(入力データ!$C$41:$C$52)*12)</f>
        <v/>
      </c>
      <c r="CS20" s="352">
        <f>IF(CS$3="","",SUM(入力データ!$C$41:$C$52)*12)</f>
        <v/>
      </c>
      <c r="CT20" s="352">
        <f>IF(CT$3="","",SUM(入力データ!$C$41:$C$52)*12)</f>
        <v/>
      </c>
      <c r="CU20" s="352">
        <f>IF(CU$3="","",SUM(入力データ!$C$41:$C$52)*12)</f>
        <v/>
      </c>
      <c r="CV20" s="352">
        <f>IF(CV$3="","",SUM(入力データ!$C$41:$C$52)*12)</f>
        <v/>
      </c>
      <c r="CW20" s="352">
        <f>IF(CW$3="","",SUM(入力データ!$C$41:$C$52)*12)</f>
        <v/>
      </c>
    </row>
    <row r="21" ht="15" customHeight="1" s="180">
      <c r="A21" s="224" t="inlineStr">
        <is>
          <t>住居費</t>
        </is>
      </c>
      <c r="B21" s="352">
        <f>IF(B$3="","",((IF(入力データ!$C$13="持ち家",IF(B4&lt;=前提条件!$C$44,入力データ!$C$53,0),入力データ!$C$53)+入力データ!$C$54+入力データ!$C$55+入力データ!$C$56)*12+IF(入力データ!$C$13="持ち家",入力データ!$C$83+前提条件!$C$47,入力データ!$C$84+前提条件!$C$48))*(1+前提条件!$C$15)^(B$3-$B$3))</f>
        <v/>
      </c>
      <c r="C21" s="352">
        <f>IF(C$3="","",((IF(入力データ!$C$13="持ち家",IF(C4&lt;=前提条件!$C$44,入力データ!$C$53,0),入力データ!$C$53)+入力データ!$C$54+入力データ!$C$55+入力データ!$C$56)*12+IF(入力データ!$C$13="持ち家",入力データ!$C$83+前提条件!$C$47,入力データ!$C$84+前提条件!$C$48))*(1+前提条件!$C$15)^(C$3-$B$3))</f>
        <v/>
      </c>
      <c r="D21" s="352">
        <f>IF(D$3="","",((IF(入力データ!$C$13="持ち家",IF(D4&lt;=前提条件!$C$44,入力データ!$C$53,0),入力データ!$C$53)+入力データ!$C$54+入力データ!$C$55+入力データ!$C$56)*12+IF(入力データ!$C$13="持ち家",入力データ!$C$83+前提条件!$C$47,入力データ!$C$84+前提条件!$C$48))*(1+前提条件!$C$15)^(D$3-$B$3))</f>
        <v/>
      </c>
      <c r="E21" s="352">
        <f>IF(E$3="","",((IF(入力データ!$C$13="持ち家",IF(E4&lt;=前提条件!$C$44,入力データ!$C$53,0),入力データ!$C$53)+入力データ!$C$54+入力データ!$C$55+入力データ!$C$56)*12+IF(入力データ!$C$13="持ち家",入力データ!$C$83+前提条件!$C$47,入力データ!$C$84+前提条件!$C$48))*(1+前提条件!$C$15)^(E$3-$B$3))</f>
        <v/>
      </c>
      <c r="F21" s="352">
        <f>IF(F$3="","",((IF(入力データ!$C$13="持ち家",IF(F4&lt;=前提条件!$C$44,入力データ!$C$53,0),入力データ!$C$53)+入力データ!$C$54+入力データ!$C$55+入力データ!$C$56)*12+IF(入力データ!$C$13="持ち家",入力データ!$C$83+前提条件!$C$47,入力データ!$C$84+前提条件!$C$48))*(1+前提条件!$C$15)^(F$3-$B$3))</f>
        <v/>
      </c>
      <c r="G21" s="352">
        <f>IF(G$3="","",((IF(入力データ!$C$13="持ち家",IF(G4&lt;=前提条件!$C$44,入力データ!$C$53,0),入力データ!$C$53)+入力データ!$C$54+入力データ!$C$55+入力データ!$C$56)*12+IF(入力データ!$C$13="持ち家",入力データ!$C$83+前提条件!$C$47,入力データ!$C$84+前提条件!$C$48))*(1+前提条件!$C$15)^(G$3-$B$3))</f>
        <v/>
      </c>
      <c r="H21" s="352">
        <f>IF(H$3="","",((IF(入力データ!$C$13="持ち家",IF(H4&lt;=前提条件!$C$44,入力データ!$C$53,0),入力データ!$C$53)+入力データ!$C$54+入力データ!$C$55+入力データ!$C$56)*12+IF(入力データ!$C$13="持ち家",入力データ!$C$83+前提条件!$C$47,入力データ!$C$84+前提条件!$C$48))*(1+前提条件!$C$15)^(H$3-$B$3))</f>
        <v/>
      </c>
      <c r="I21" s="352">
        <f>IF(I$3="","",((IF(入力データ!$C$13="持ち家",IF(I4&lt;=前提条件!$C$44,入力データ!$C$53,0),入力データ!$C$53)+入力データ!$C$54+入力データ!$C$55+入力データ!$C$56)*12+IF(入力データ!$C$13="持ち家",入力データ!$C$83+前提条件!$C$47,入力データ!$C$84+前提条件!$C$48))*(1+前提条件!$C$15)^(I$3-$B$3))</f>
        <v/>
      </c>
      <c r="J21" s="352">
        <f>IF(J$3="","",((IF(入力データ!$C$13="持ち家",IF(J4&lt;=前提条件!$C$44,入力データ!$C$53,0),入力データ!$C$53)+入力データ!$C$54+入力データ!$C$55+入力データ!$C$56)*12+IF(入力データ!$C$13="持ち家",入力データ!$C$83+前提条件!$C$47,入力データ!$C$84+前提条件!$C$48))*(1+前提条件!$C$15)^(J$3-$B$3))</f>
        <v/>
      </c>
      <c r="K21" s="352">
        <f>IF(K$3="","",((IF(入力データ!$C$13="持ち家",IF(K4&lt;=前提条件!$C$44,入力データ!$C$53,0),入力データ!$C$53)+入力データ!$C$54+入力データ!$C$55+入力データ!$C$56)*12+IF(入力データ!$C$13="持ち家",入力データ!$C$83+前提条件!$C$47,入力データ!$C$84+前提条件!$C$48))*(1+前提条件!$C$15)^(K$3-$B$3))</f>
        <v/>
      </c>
      <c r="L21" s="352">
        <f>IF(L$3="","",((IF(入力データ!$C$13="持ち家",IF(L4&lt;=前提条件!$C$44,入力データ!$C$53,0),入力データ!$C$53)+入力データ!$C$54+入力データ!$C$55+入力データ!$C$56)*12+IF(入力データ!$C$13="持ち家",入力データ!$C$83+前提条件!$C$47,入力データ!$C$84+前提条件!$C$48))*(1+前提条件!$C$15)^(L$3-$B$3))</f>
        <v/>
      </c>
      <c r="M21" s="352">
        <f>IF(M$3="","",((IF(入力データ!$C$13="持ち家",IF(M4&lt;=前提条件!$C$44,入力データ!$C$53,0),入力データ!$C$53)+入力データ!$C$54+入力データ!$C$55+入力データ!$C$56)*12+IF(入力データ!$C$13="持ち家",入力データ!$C$83+前提条件!$C$47,入力データ!$C$84+前提条件!$C$48))*(1+前提条件!$C$15)^(M$3-$B$3))</f>
        <v/>
      </c>
      <c r="N21" s="352">
        <f>IF(N$3="","",((IF(入力データ!$C$13="持ち家",IF(N4&lt;=前提条件!$C$44,入力データ!$C$53,0),入力データ!$C$53)+入力データ!$C$54+入力データ!$C$55+入力データ!$C$56)*12+IF(入力データ!$C$13="持ち家",入力データ!$C$83+前提条件!$C$47,入力データ!$C$84+前提条件!$C$48))*(1+前提条件!$C$15)^(N$3-$B$3))</f>
        <v/>
      </c>
      <c r="O21" s="352">
        <f>IF(O$3="","",((IF(入力データ!$C$13="持ち家",IF(O4&lt;=前提条件!$C$44,入力データ!$C$53,0),入力データ!$C$53)+入力データ!$C$54+入力データ!$C$55+入力データ!$C$56)*12+IF(入力データ!$C$13="持ち家",入力データ!$C$83+前提条件!$C$47,入力データ!$C$84+前提条件!$C$48))*(1+前提条件!$C$15)^(O$3-$B$3))</f>
        <v/>
      </c>
      <c r="P21" s="352">
        <f>IF(P$3="","",((IF(入力データ!$C$13="持ち家",IF(P4&lt;=前提条件!$C$44,入力データ!$C$53,0),入力データ!$C$53)+入力データ!$C$54+入力データ!$C$55+入力データ!$C$56)*12+IF(入力データ!$C$13="持ち家",入力データ!$C$83+前提条件!$C$47,入力データ!$C$84+前提条件!$C$48))*(1+前提条件!$C$15)^(P$3-$B$3))</f>
        <v/>
      </c>
      <c r="Q21" s="352">
        <f>IF(Q$3="","",((IF(入力データ!$C$13="持ち家",IF(Q4&lt;=前提条件!$C$44,入力データ!$C$53,0),入力データ!$C$53)+入力データ!$C$54+入力データ!$C$55+入力データ!$C$56)*12+IF(入力データ!$C$13="持ち家",入力データ!$C$83+前提条件!$C$47,入力データ!$C$84+前提条件!$C$48))*(1+前提条件!$C$15)^(Q$3-$B$3))</f>
        <v/>
      </c>
      <c r="R21" s="352">
        <f>IF(R$3="","",((IF(入力データ!$C$13="持ち家",IF(R4&lt;=前提条件!$C$44,入力データ!$C$53,0),入力データ!$C$53)+入力データ!$C$54+入力データ!$C$55+入力データ!$C$56)*12+IF(入力データ!$C$13="持ち家",入力データ!$C$83+前提条件!$C$47,入力データ!$C$84+前提条件!$C$48))*(1+前提条件!$C$15)^(R$3-$B$3))</f>
        <v/>
      </c>
      <c r="S21" s="352">
        <f>IF(S$3="","",((IF(入力データ!$C$13="持ち家",IF(S4&lt;=前提条件!$C$44,入力データ!$C$53,0),入力データ!$C$53)+入力データ!$C$54+入力データ!$C$55+入力データ!$C$56)*12+IF(入力データ!$C$13="持ち家",入力データ!$C$83+前提条件!$C$47,入力データ!$C$84+前提条件!$C$48))*(1+前提条件!$C$15)^(S$3-$B$3))</f>
        <v/>
      </c>
      <c r="T21" s="352">
        <f>IF(T$3="","",((IF(入力データ!$C$13="持ち家",IF(T4&lt;=前提条件!$C$44,入力データ!$C$53,0),入力データ!$C$53)+入力データ!$C$54+入力データ!$C$55+入力データ!$C$56)*12+IF(入力データ!$C$13="持ち家",入力データ!$C$83+前提条件!$C$47,入力データ!$C$84+前提条件!$C$48))*(1+前提条件!$C$15)^(T$3-$B$3))</f>
        <v/>
      </c>
      <c r="U21" s="352">
        <f>IF(U$3="","",((IF(入力データ!$C$13="持ち家",IF(U4&lt;=前提条件!$C$44,入力データ!$C$53,0),入力データ!$C$53)+入力データ!$C$54+入力データ!$C$55+入力データ!$C$56)*12+IF(入力データ!$C$13="持ち家",入力データ!$C$83+前提条件!$C$47,入力データ!$C$84+前提条件!$C$48))*(1+前提条件!$C$15)^(U$3-$B$3))</f>
        <v/>
      </c>
      <c r="V21" s="352">
        <f>IF(V$3="","",((IF(入力データ!$C$13="持ち家",IF(V4&lt;=前提条件!$C$44,入力データ!$C$53,0),入力データ!$C$53)+入力データ!$C$54+入力データ!$C$55+入力データ!$C$56)*12+IF(入力データ!$C$13="持ち家",入力データ!$C$83+前提条件!$C$47,入力データ!$C$84+前提条件!$C$48))*(1+前提条件!$C$15)^(V$3-$B$3))</f>
        <v/>
      </c>
      <c r="W21" s="352">
        <f>IF(W$3="","",((IF(入力データ!$C$13="持ち家",IF(W4&lt;=前提条件!$C$44,入力データ!$C$53,0),入力データ!$C$53)+入力データ!$C$54+入力データ!$C$55+入力データ!$C$56)*12+IF(入力データ!$C$13="持ち家",入力データ!$C$83+前提条件!$C$47,入力データ!$C$84+前提条件!$C$48))*(1+前提条件!$C$15)^(W$3-$B$3))</f>
        <v/>
      </c>
      <c r="X21" s="352">
        <f>IF(X$3="","",((IF(入力データ!$C$13="持ち家",IF(X4&lt;=前提条件!$C$44,入力データ!$C$53,0),入力データ!$C$53)+入力データ!$C$54+入力データ!$C$55+入力データ!$C$56)*12+IF(入力データ!$C$13="持ち家",入力データ!$C$83+前提条件!$C$47,入力データ!$C$84+前提条件!$C$48))*(1+前提条件!$C$15)^(X$3-$B$3))</f>
        <v/>
      </c>
      <c r="Y21" s="352">
        <f>IF(Y$3="","",((IF(入力データ!$C$13="持ち家",IF(Y4&lt;=前提条件!$C$44,入力データ!$C$53,0),入力データ!$C$53)+入力データ!$C$54+入力データ!$C$55+入力データ!$C$56)*12+IF(入力データ!$C$13="持ち家",入力データ!$C$83+前提条件!$C$47,入力データ!$C$84+前提条件!$C$48))*(1+前提条件!$C$15)^(Y$3-$B$3))</f>
        <v/>
      </c>
      <c r="Z21" s="352">
        <f>IF(Z$3="","",((IF(入力データ!$C$13="持ち家",IF(Z4&lt;=前提条件!$C$44,入力データ!$C$53,0),入力データ!$C$53)+入力データ!$C$54+入力データ!$C$55+入力データ!$C$56)*12+IF(入力データ!$C$13="持ち家",入力データ!$C$83+前提条件!$C$47,入力データ!$C$84+前提条件!$C$48))*(1+前提条件!$C$15)^(Z$3-$B$3))</f>
        <v/>
      </c>
      <c r="AA21" s="352">
        <f>IF(AA$3="","",((IF(入力データ!$C$13="持ち家",IF(AA4&lt;=前提条件!$C$44,入力データ!$C$53,0),入力データ!$C$53)+入力データ!$C$54+入力データ!$C$55+入力データ!$C$56)*12+IF(入力データ!$C$13="持ち家",入力データ!$C$83+前提条件!$C$47,入力データ!$C$84+前提条件!$C$48))*(1+前提条件!$C$15)^(AA$3-$B$3))</f>
        <v/>
      </c>
      <c r="AB21" s="352">
        <f>IF(AB$3="","",((IF(入力データ!$C$13="持ち家",IF(AB4&lt;=前提条件!$C$44,入力データ!$C$53,0),入力データ!$C$53)+入力データ!$C$54+入力データ!$C$55+入力データ!$C$56)*12+IF(入力データ!$C$13="持ち家",入力データ!$C$83+前提条件!$C$47,入力データ!$C$84+前提条件!$C$48))*(1+前提条件!$C$15)^(AB$3-$B$3))</f>
        <v/>
      </c>
      <c r="AC21" s="352">
        <f>IF(AC$3="","",((IF(入力データ!$C$13="持ち家",IF(AC4&lt;=前提条件!$C$44,入力データ!$C$53,0),入力データ!$C$53)+入力データ!$C$54+入力データ!$C$55+入力データ!$C$56)*12+IF(入力データ!$C$13="持ち家",入力データ!$C$83+前提条件!$C$47,入力データ!$C$84+前提条件!$C$48))*(1+前提条件!$C$15)^(AC$3-$B$3))</f>
        <v/>
      </c>
      <c r="AD21" s="352">
        <f>IF(AD$3="","",((IF(入力データ!$C$13="持ち家",IF(AD4&lt;=前提条件!$C$44,入力データ!$C$53,0),入力データ!$C$53)+入力データ!$C$54+入力データ!$C$55+入力データ!$C$56)*12+IF(入力データ!$C$13="持ち家",入力データ!$C$83+前提条件!$C$47,入力データ!$C$84+前提条件!$C$48))*(1+前提条件!$C$15)^(AD$3-$B$3))</f>
        <v/>
      </c>
      <c r="AE21" s="352">
        <f>IF(AE$3="","",((IF(入力データ!$C$13="持ち家",IF(AE4&lt;=前提条件!$C$44,入力データ!$C$53,0),入力データ!$C$53)+入力データ!$C$54+入力データ!$C$55+入力データ!$C$56)*12+IF(入力データ!$C$13="持ち家",入力データ!$C$83+前提条件!$C$47,入力データ!$C$84+前提条件!$C$48))*(1+前提条件!$C$15)^(AE$3-$B$3))</f>
        <v/>
      </c>
      <c r="AF21" s="352">
        <f>IF(AF$3="","",((IF(入力データ!$C$13="持ち家",IF(AF4&lt;=前提条件!$C$44,入力データ!$C$53,0),入力データ!$C$53)+入力データ!$C$54+入力データ!$C$55+入力データ!$C$56)*12+IF(入力データ!$C$13="持ち家",入力データ!$C$83+前提条件!$C$47,入力データ!$C$84+前提条件!$C$48))*(1+前提条件!$C$15)^(AF$3-$B$3))</f>
        <v/>
      </c>
      <c r="AG21" s="352">
        <f>IF(AG$3="","",((IF(入力データ!$C$13="持ち家",IF(AG4&lt;=前提条件!$C$44,入力データ!$C$53,0),入力データ!$C$53)+入力データ!$C$54+入力データ!$C$55+入力データ!$C$56)*12+IF(入力データ!$C$13="持ち家",入力データ!$C$83+前提条件!$C$47,入力データ!$C$84+前提条件!$C$48))*(1+前提条件!$C$15)^(AG$3-$B$3))</f>
        <v/>
      </c>
      <c r="AH21" s="352">
        <f>IF(AH$3="","",((IF(入力データ!$C$13="持ち家",IF(AH4&lt;=前提条件!$C$44,入力データ!$C$53,0),入力データ!$C$53)+入力データ!$C$54+入力データ!$C$55+入力データ!$C$56)*12+IF(入力データ!$C$13="持ち家",入力データ!$C$83+前提条件!$C$47,入力データ!$C$84+前提条件!$C$48))*(1+前提条件!$C$15)^(AH$3-$B$3))</f>
        <v/>
      </c>
      <c r="AI21" s="352">
        <f>IF(AI$3="","",((IF(入力データ!$C$13="持ち家",IF(AI4&lt;=前提条件!$C$44,入力データ!$C$53,0),入力データ!$C$53)+入力データ!$C$54+入力データ!$C$55+入力データ!$C$56)*12+IF(入力データ!$C$13="持ち家",入力データ!$C$83+前提条件!$C$47,入力データ!$C$84+前提条件!$C$48))*(1+前提条件!$C$15)^(AI$3-$B$3))</f>
        <v/>
      </c>
      <c r="AJ21" s="352">
        <f>IF(AJ$3="","",((IF(入力データ!$C$13="持ち家",IF(AJ4&lt;=前提条件!$C$44,入力データ!$C$53,0),入力データ!$C$53)+入力データ!$C$54+入力データ!$C$55+入力データ!$C$56)*12+IF(入力データ!$C$13="持ち家",入力データ!$C$83+前提条件!$C$47,入力データ!$C$84+前提条件!$C$48))*(1+前提条件!$C$15)^(AJ$3-$B$3))</f>
        <v/>
      </c>
      <c r="AK21" s="352">
        <f>IF(AK$3="","",((IF(入力データ!$C$13="持ち家",IF(AK4&lt;=前提条件!$C$44,入力データ!$C$53,0),入力データ!$C$53)+入力データ!$C$54+入力データ!$C$55+入力データ!$C$56)*12+IF(入力データ!$C$13="持ち家",入力データ!$C$83+前提条件!$C$47,入力データ!$C$84+前提条件!$C$48))*(1+前提条件!$C$15)^(AK$3-$B$3))</f>
        <v/>
      </c>
      <c r="AL21" s="352">
        <f>IF(AL$3="","",((IF(入力データ!$C$13="持ち家",IF(AL4&lt;=前提条件!$C$44,入力データ!$C$53,0),入力データ!$C$53)+入力データ!$C$54+入力データ!$C$55+入力データ!$C$56)*12+IF(入力データ!$C$13="持ち家",入力データ!$C$83+前提条件!$C$47,入力データ!$C$84+前提条件!$C$48))*(1+前提条件!$C$15)^(AL$3-$B$3))</f>
        <v/>
      </c>
      <c r="AM21" s="352">
        <f>IF(AM$3="","",((IF(入力データ!$C$13="持ち家",IF(AM4&lt;=前提条件!$C$44,入力データ!$C$53,0),入力データ!$C$53)+入力データ!$C$54+入力データ!$C$55+入力データ!$C$56)*12+IF(入力データ!$C$13="持ち家",入力データ!$C$83+前提条件!$C$47,入力データ!$C$84+前提条件!$C$48))*(1+前提条件!$C$15)^(AM$3-$B$3))</f>
        <v/>
      </c>
      <c r="AN21" s="352">
        <f>IF(AN$3="","",((IF(入力データ!$C$13="持ち家",IF(AN4&lt;=前提条件!$C$44,入力データ!$C$53,0),入力データ!$C$53)+入力データ!$C$54+入力データ!$C$55+入力データ!$C$56)*12+IF(入力データ!$C$13="持ち家",入力データ!$C$83+前提条件!$C$47,入力データ!$C$84+前提条件!$C$48))*(1+前提条件!$C$15)^(AN$3-$B$3))</f>
        <v/>
      </c>
      <c r="AO21" s="352">
        <f>IF(AO$3="","",((IF(入力データ!$C$13="持ち家",IF(AO4&lt;=前提条件!$C$44,入力データ!$C$53,0),入力データ!$C$53)+入力データ!$C$54+入力データ!$C$55+入力データ!$C$56)*12+IF(入力データ!$C$13="持ち家",入力データ!$C$83+前提条件!$C$47,入力データ!$C$84+前提条件!$C$48))*(1+前提条件!$C$15)^(AO$3-$B$3))</f>
        <v/>
      </c>
      <c r="AP21" s="352">
        <f>IF(AP$3="","",((IF(入力データ!$C$13="持ち家",IF(AP4&lt;=前提条件!$C$44,入力データ!$C$53,0),入力データ!$C$53)+入力データ!$C$54+入力データ!$C$55+入力データ!$C$56)*12+IF(入力データ!$C$13="持ち家",入力データ!$C$83+前提条件!$C$47,入力データ!$C$84+前提条件!$C$48))*(1+前提条件!$C$15)^(AP$3-$B$3))</f>
        <v/>
      </c>
      <c r="AQ21" s="352">
        <f>IF(AQ$3="","",((IF(入力データ!$C$13="持ち家",IF(AQ4&lt;=前提条件!$C$44,入力データ!$C$53,0),入力データ!$C$53)+入力データ!$C$54+入力データ!$C$55+入力データ!$C$56)*12+IF(入力データ!$C$13="持ち家",入力データ!$C$83+前提条件!$C$47,入力データ!$C$84+前提条件!$C$48))*(1+前提条件!$C$15)^(AQ$3-$B$3))</f>
        <v/>
      </c>
      <c r="AR21" s="352">
        <f>IF(AR$3="","",((IF(入力データ!$C$13="持ち家",IF(AR4&lt;=前提条件!$C$44,入力データ!$C$53,0),入力データ!$C$53)+入力データ!$C$54+入力データ!$C$55+入力データ!$C$56)*12+IF(入力データ!$C$13="持ち家",入力データ!$C$83+前提条件!$C$47,入力データ!$C$84+前提条件!$C$48))*(1+前提条件!$C$15)^(AR$3-$B$3))</f>
        <v/>
      </c>
      <c r="AS21" s="352">
        <f>IF(AS$3="","",((IF(入力データ!$C$13="持ち家",IF(AS4&lt;=前提条件!$C$44,入力データ!$C$53,0),入力データ!$C$53)+入力データ!$C$54+入力データ!$C$55+入力データ!$C$56)*12+IF(入力データ!$C$13="持ち家",入力データ!$C$83+前提条件!$C$47,入力データ!$C$84+前提条件!$C$48))*(1+前提条件!$C$15)^(AS$3-$B$3))</f>
        <v/>
      </c>
      <c r="AT21" s="352">
        <f>IF(AT$3="","",((IF(入力データ!$C$13="持ち家",IF(AT4&lt;=前提条件!$C$44,入力データ!$C$53,0),入力データ!$C$53)+入力データ!$C$54+入力データ!$C$55+入力データ!$C$56)*12+IF(入力データ!$C$13="持ち家",入力データ!$C$83+前提条件!$C$47,入力データ!$C$84+前提条件!$C$48))*(1+前提条件!$C$15)^(AT$3-$B$3))</f>
        <v/>
      </c>
      <c r="AU21" s="352">
        <f>IF(AU$3="","",((IF(入力データ!$C$13="持ち家",IF(AU4&lt;=前提条件!$C$44,入力データ!$C$53,0),入力データ!$C$53)+入力データ!$C$54+入力データ!$C$55+入力データ!$C$56)*12+IF(入力データ!$C$13="持ち家",入力データ!$C$83+前提条件!$C$47,入力データ!$C$84+前提条件!$C$48))*(1+前提条件!$C$15)^(AU$3-$B$3))</f>
        <v/>
      </c>
      <c r="AV21" s="352">
        <f>IF(AV$3="","",((IF(入力データ!$C$13="持ち家",IF(AV4&lt;=前提条件!$C$44,入力データ!$C$53,0),入力データ!$C$53)+入力データ!$C$54+入力データ!$C$55+入力データ!$C$56)*12+IF(入力データ!$C$13="持ち家",入力データ!$C$83+前提条件!$C$47,入力データ!$C$84+前提条件!$C$48))*(1+前提条件!$C$15)^(AV$3-$B$3))</f>
        <v/>
      </c>
      <c r="AW21" s="352">
        <f>IF(AW$3="","",((IF(入力データ!$C$13="持ち家",IF(AW4&lt;=前提条件!$C$44,入力データ!$C$53,0),入力データ!$C$53)+入力データ!$C$54+入力データ!$C$55+入力データ!$C$56)*12+IF(入力データ!$C$13="持ち家",入力データ!$C$83+前提条件!$C$47,入力データ!$C$84+前提条件!$C$48))*(1+前提条件!$C$15)^(AW$3-$B$3))</f>
        <v/>
      </c>
      <c r="AX21" s="352">
        <f>IF(AX$3="","",((IF(入力データ!$C$13="持ち家",IF(AX4&lt;=前提条件!$C$44,入力データ!$C$53,0),入力データ!$C$53)+入力データ!$C$54+入力データ!$C$55+入力データ!$C$56)*12+IF(入力データ!$C$13="持ち家",入力データ!$C$83+前提条件!$C$47,入力データ!$C$84+前提条件!$C$48))*(1+前提条件!$C$15)^(AX$3-$B$3))</f>
        <v/>
      </c>
      <c r="AY21" s="352">
        <f>IF(AY$3="","",((IF(入力データ!$C$13="持ち家",IF(AY4&lt;=前提条件!$C$44,入力データ!$C$53,0),入力データ!$C$53)+入力データ!$C$54+入力データ!$C$55+入力データ!$C$56)*12+IF(入力データ!$C$13="持ち家",入力データ!$C$83+前提条件!$C$47,入力データ!$C$84+前提条件!$C$48))*(1+前提条件!$C$15)^(AY$3-$B$3))</f>
        <v/>
      </c>
      <c r="AZ21" s="352">
        <f>IF(AZ$3="","",((IF(入力データ!$C$13="持ち家",IF(AZ4&lt;=前提条件!$C$44,入力データ!$C$53,0),入力データ!$C$53)+入力データ!$C$54+入力データ!$C$55+入力データ!$C$56)*12+IF(入力データ!$C$13="持ち家",入力データ!$C$83+前提条件!$C$47,入力データ!$C$84+前提条件!$C$48))*(1+前提条件!$C$15)^(AZ$3-$B$3))</f>
        <v/>
      </c>
      <c r="BA21" s="352">
        <f>IF(BA$3="","",((IF(入力データ!$C$13="持ち家",IF(BA4&lt;=前提条件!$C$44,入力データ!$C$53,0),入力データ!$C$53)+入力データ!$C$54+入力データ!$C$55+入力データ!$C$56)*12+IF(入力データ!$C$13="持ち家",入力データ!$C$83+前提条件!$C$47,入力データ!$C$84+前提条件!$C$48))*(1+前提条件!$C$15)^(BA$3-$B$3))</f>
        <v/>
      </c>
      <c r="BB21" s="352">
        <f>IF(BB$3="","",((IF(入力データ!$C$13="持ち家",IF(BB4&lt;=前提条件!$C$44,入力データ!$C$53,0),入力データ!$C$53)+入力データ!$C$54+入力データ!$C$55+入力データ!$C$56)*12+IF(入力データ!$C$13="持ち家",入力データ!$C$83+前提条件!$C$47,入力データ!$C$84+前提条件!$C$48))*(1+前提条件!$C$15)^(BB$3-$B$3))</f>
        <v/>
      </c>
      <c r="BC21" s="352">
        <f>IF(BC$3="","",((IF(入力データ!$C$13="持ち家",IF(BC4&lt;=前提条件!$C$44,入力データ!$C$53,0),入力データ!$C$53)+入力データ!$C$54+入力データ!$C$55+入力データ!$C$56)*12+IF(入力データ!$C$13="持ち家",入力データ!$C$83+前提条件!$C$47,入力データ!$C$84+前提条件!$C$48))*(1+前提条件!$C$15)^(BC$3-$B$3))</f>
        <v/>
      </c>
      <c r="BD21" s="352">
        <f>IF(BD$3="","",((IF(入力データ!$C$13="持ち家",IF(BD4&lt;=前提条件!$C$44,入力データ!$C$53,0),入力データ!$C$53)+入力データ!$C$54+入力データ!$C$55+入力データ!$C$56)*12+IF(入力データ!$C$13="持ち家",入力データ!$C$83+前提条件!$C$47,入力データ!$C$84+前提条件!$C$48))*(1+前提条件!$C$15)^(BD$3-$B$3))</f>
        <v/>
      </c>
      <c r="BE21" s="352">
        <f>IF(BE$3="","",((IF(入力データ!$C$13="持ち家",IF(BE4&lt;=前提条件!$C$44,入力データ!$C$53,0),入力データ!$C$53)+入力データ!$C$54+入力データ!$C$55+入力データ!$C$56)*12+IF(入力データ!$C$13="持ち家",入力データ!$C$83+前提条件!$C$47,入力データ!$C$84+前提条件!$C$48))*(1+前提条件!$C$15)^(BE$3-$B$3))</f>
        <v/>
      </c>
      <c r="BF21" s="352">
        <f>IF(BF$3="","",((IF(入力データ!$C$13="持ち家",IF(BF4&lt;=前提条件!$C$44,入力データ!$C$53,0),入力データ!$C$53)+入力データ!$C$54+入力データ!$C$55+入力データ!$C$56)*12+IF(入力データ!$C$13="持ち家",入力データ!$C$83+前提条件!$C$47,入力データ!$C$84+前提条件!$C$48))*(1+前提条件!$C$15)^(BF$3-$B$3))</f>
        <v/>
      </c>
      <c r="BG21" s="352">
        <f>IF(BG$3="","",((IF(入力データ!$C$13="持ち家",IF(BG4&lt;=前提条件!$C$44,入力データ!$C$53,0),入力データ!$C$53)+入力データ!$C$54+入力データ!$C$55+入力データ!$C$56)*12+IF(入力データ!$C$13="持ち家",入力データ!$C$83+前提条件!$C$47,入力データ!$C$84+前提条件!$C$48))*(1+前提条件!$C$15)^(BG$3-$B$3))</f>
        <v/>
      </c>
      <c r="BH21" s="352">
        <f>IF(BH$3="","",((IF(入力データ!$C$13="持ち家",IF(BH4&lt;=前提条件!$C$44,入力データ!$C$53,0),入力データ!$C$53)+入力データ!$C$54+入力データ!$C$55+入力データ!$C$56)*12+IF(入力データ!$C$13="持ち家",入力データ!$C$83+前提条件!$C$47,入力データ!$C$84+前提条件!$C$48))*(1+前提条件!$C$15)^(BH$3-$B$3))</f>
        <v/>
      </c>
      <c r="BI21" s="352">
        <f>IF(BI$3="","",((IF(入力データ!$C$13="持ち家",IF(BI4&lt;=前提条件!$C$44,入力データ!$C$53,0),入力データ!$C$53)+入力データ!$C$54+入力データ!$C$55+入力データ!$C$56)*12+IF(入力データ!$C$13="持ち家",入力データ!$C$83+前提条件!$C$47,入力データ!$C$84+前提条件!$C$48))*(1+前提条件!$C$15)^(BI$3-$B$3))</f>
        <v/>
      </c>
      <c r="BJ21" s="352">
        <f>IF(BJ$3="","",((IF(入力データ!$C$13="持ち家",IF(BJ4&lt;=前提条件!$C$44,入力データ!$C$53,0),入力データ!$C$53)+入力データ!$C$54+入力データ!$C$55+入力データ!$C$56)*12+IF(入力データ!$C$13="持ち家",入力データ!$C$83+前提条件!$C$47,入力データ!$C$84+前提条件!$C$48))*(1+前提条件!$C$15)^(BJ$3-$B$3))</f>
        <v/>
      </c>
      <c r="BK21" s="352">
        <f>IF(BK$3="","",((IF(入力データ!$C$13="持ち家",IF(BK4&lt;=前提条件!$C$44,入力データ!$C$53,0),入力データ!$C$53)+入力データ!$C$54+入力データ!$C$55+入力データ!$C$56)*12+IF(入力データ!$C$13="持ち家",入力データ!$C$83+前提条件!$C$47,入力データ!$C$84+前提条件!$C$48))*(1+前提条件!$C$15)^(BK$3-$B$3))</f>
        <v/>
      </c>
      <c r="BL21" s="352">
        <f>IF(BL$3="","",((IF(入力データ!$C$13="持ち家",IF(BL4&lt;=前提条件!$C$44,入力データ!$C$53,0),入力データ!$C$53)+入力データ!$C$54+入力データ!$C$55+入力データ!$C$56)*12+IF(入力データ!$C$13="持ち家",入力データ!$C$83+前提条件!$C$47,入力データ!$C$84+前提条件!$C$48))*(1+前提条件!$C$15)^(BL$3-$B$3))</f>
        <v/>
      </c>
      <c r="BM21" s="352">
        <f>IF(BM$3="","",((IF(入力データ!$C$13="持ち家",IF(BM4&lt;=前提条件!$C$44,入力データ!$C$53,0),入力データ!$C$53)+入力データ!$C$54+入力データ!$C$55+入力データ!$C$56)*12+IF(入力データ!$C$13="持ち家",入力データ!$C$83+前提条件!$C$47,入力データ!$C$84+前提条件!$C$48))*(1+前提条件!$C$15)^(BM$3-$B$3))</f>
        <v/>
      </c>
      <c r="BN21" s="352">
        <f>IF(BN$3="","",((IF(入力データ!$C$13="持ち家",IF(BN4&lt;=前提条件!$C$44,入力データ!$C$53,0),入力データ!$C$53)+入力データ!$C$54+入力データ!$C$55+入力データ!$C$56)*12+IF(入力データ!$C$13="持ち家",入力データ!$C$83+前提条件!$C$47,入力データ!$C$84+前提条件!$C$48))*(1+前提条件!$C$15)^(BN$3-$B$3))</f>
        <v/>
      </c>
      <c r="BO21" s="352">
        <f>IF(BO$3="","",((IF(入力データ!$C$13="持ち家",IF(BO4&lt;=前提条件!$C$44,入力データ!$C$53,0),入力データ!$C$53)+入力データ!$C$54+入力データ!$C$55+入力データ!$C$56)*12+IF(入力データ!$C$13="持ち家",入力データ!$C$83+前提条件!$C$47,入力データ!$C$84+前提条件!$C$48))*(1+前提条件!$C$15)^(BO$3-$B$3))</f>
        <v/>
      </c>
      <c r="BP21" s="352">
        <f>IF(BP$3="","",((IF(入力データ!$C$13="持ち家",IF(BP4&lt;=前提条件!$C$44,入力データ!$C$53,0),入力データ!$C$53)+入力データ!$C$54+入力データ!$C$55+入力データ!$C$56)*12+IF(入力データ!$C$13="持ち家",入力データ!$C$83+前提条件!$C$47,入力データ!$C$84+前提条件!$C$48))*(1+前提条件!$C$15)^(BP$3-$B$3))</f>
        <v/>
      </c>
      <c r="BQ21" s="352">
        <f>IF(BQ$3="","",((IF(入力データ!$C$13="持ち家",IF(BQ4&lt;=前提条件!$C$44,入力データ!$C$53,0),入力データ!$C$53)+入力データ!$C$54+入力データ!$C$55+入力データ!$C$56)*12+IF(入力データ!$C$13="持ち家",入力データ!$C$83+前提条件!$C$47,入力データ!$C$84+前提条件!$C$48))*(1+前提条件!$C$15)^(BQ$3-$B$3))</f>
        <v/>
      </c>
      <c r="BR21" s="352">
        <f>IF(BR$3="","",((IF(入力データ!$C$13="持ち家",IF(BR4&lt;=前提条件!$C$44,入力データ!$C$53,0),入力データ!$C$53)+入力データ!$C$54+入力データ!$C$55+入力データ!$C$56)*12+IF(入力データ!$C$13="持ち家",入力データ!$C$83+前提条件!$C$47,入力データ!$C$84+前提条件!$C$48))*(1+前提条件!$C$15)^(BR$3-$B$3))</f>
        <v/>
      </c>
      <c r="BS21" s="352">
        <f>IF(BS$3="","",((IF(入力データ!$C$13="持ち家",IF(BS4&lt;=前提条件!$C$44,入力データ!$C$53,0),入力データ!$C$53)+入力データ!$C$54+入力データ!$C$55+入力データ!$C$56)*12+IF(入力データ!$C$13="持ち家",入力データ!$C$83+前提条件!$C$47,入力データ!$C$84+前提条件!$C$48))*(1+前提条件!$C$15)^(BS$3-$B$3))</f>
        <v/>
      </c>
      <c r="BT21" s="352">
        <f>IF(BT$3="","",((IF(入力データ!$C$13="持ち家",IF(BT4&lt;=前提条件!$C$44,入力データ!$C$53,0),入力データ!$C$53)+入力データ!$C$54+入力データ!$C$55+入力データ!$C$56)*12+IF(入力データ!$C$13="持ち家",入力データ!$C$83+前提条件!$C$47,入力データ!$C$84+前提条件!$C$48))*(1+前提条件!$C$15)^(BT$3-$B$3))</f>
        <v/>
      </c>
      <c r="BU21" s="352">
        <f>IF(BU$3="","",((IF(入力データ!$C$13="持ち家",IF(BU4&lt;=前提条件!$C$44,入力データ!$C$53,0),入力データ!$C$53)+入力データ!$C$54+入力データ!$C$55+入力データ!$C$56)*12+IF(入力データ!$C$13="持ち家",入力データ!$C$83+前提条件!$C$47,入力データ!$C$84+前提条件!$C$48))*(1+前提条件!$C$15)^(BU$3-$B$3))</f>
        <v/>
      </c>
      <c r="BV21" s="352">
        <f>IF(BV$3="","",((IF(入力データ!$C$13="持ち家",IF(BV4&lt;=前提条件!$C$44,入力データ!$C$53,0),入力データ!$C$53)+入力データ!$C$54+入力データ!$C$55+入力データ!$C$56)*12+IF(入力データ!$C$13="持ち家",入力データ!$C$83+前提条件!$C$47,入力データ!$C$84+前提条件!$C$48))*(1+前提条件!$C$15)^(BV$3-$B$3))</f>
        <v/>
      </c>
      <c r="BW21" s="352">
        <f>IF(BW$3="","",((IF(入力データ!$C$13="持ち家",IF(BW4&lt;=前提条件!$C$44,入力データ!$C$53,0),入力データ!$C$53)+入力データ!$C$54+入力データ!$C$55+入力データ!$C$56)*12+IF(入力データ!$C$13="持ち家",入力データ!$C$83+前提条件!$C$47,入力データ!$C$84+前提条件!$C$48))*(1+前提条件!$C$15)^(BW$3-$B$3))</f>
        <v/>
      </c>
      <c r="BX21" s="352">
        <f>IF(BX$3="","",((IF(入力データ!$C$13="持ち家",IF(BX4&lt;=前提条件!$C$44,入力データ!$C$53,0),入力データ!$C$53)+入力データ!$C$54+入力データ!$C$55+入力データ!$C$56)*12+IF(入力データ!$C$13="持ち家",入力データ!$C$83+前提条件!$C$47,入力データ!$C$84+前提条件!$C$48))*(1+前提条件!$C$15)^(BX$3-$B$3))</f>
        <v/>
      </c>
      <c r="BY21" s="352">
        <f>IF(BY$3="","",((IF(入力データ!$C$13="持ち家",IF(BY4&lt;=前提条件!$C$44,入力データ!$C$53,0),入力データ!$C$53)+入力データ!$C$54+入力データ!$C$55+入力データ!$C$56)*12+IF(入力データ!$C$13="持ち家",入力データ!$C$83+前提条件!$C$47,入力データ!$C$84+前提条件!$C$48))*(1+前提条件!$C$15)^(BY$3-$B$3))</f>
        <v/>
      </c>
      <c r="BZ21" s="352">
        <f>IF(BZ$3="","",((IF(入力データ!$C$13="持ち家",IF(BZ4&lt;=前提条件!$C$44,入力データ!$C$53,0),入力データ!$C$53)+入力データ!$C$54+入力データ!$C$55+入力データ!$C$56)*12+IF(入力データ!$C$13="持ち家",入力データ!$C$83+前提条件!$C$47,入力データ!$C$84+前提条件!$C$48))*(1+前提条件!$C$15)^(BZ$3-$B$3))</f>
        <v/>
      </c>
      <c r="CA21" s="352">
        <f>IF(CA$3="","",((IF(入力データ!$C$13="持ち家",IF(CA4&lt;=前提条件!$C$44,入力データ!$C$53,0),入力データ!$C$53)+入力データ!$C$54+入力データ!$C$55+入力データ!$C$56)*12+IF(入力データ!$C$13="持ち家",入力データ!$C$83+前提条件!$C$47,入力データ!$C$84+前提条件!$C$48))*(1+前提条件!$C$15)^(CA$3-$B$3))</f>
        <v/>
      </c>
      <c r="CB21" s="352">
        <f>IF(CB$3="","",((IF(入力データ!$C$13="持ち家",IF(CB4&lt;=前提条件!$C$44,入力データ!$C$53,0),入力データ!$C$53)+入力データ!$C$54+入力データ!$C$55+入力データ!$C$56)*12+IF(入力データ!$C$13="持ち家",入力データ!$C$83+前提条件!$C$47,入力データ!$C$84+前提条件!$C$48))*(1+前提条件!$C$15)^(CB$3-$B$3))</f>
        <v/>
      </c>
      <c r="CC21" s="352">
        <f>IF(CC$3="","",((IF(入力データ!$C$13="持ち家",IF(CC4&lt;=前提条件!$C$44,入力データ!$C$53,0),入力データ!$C$53)+入力データ!$C$54+入力データ!$C$55+入力データ!$C$56)*12+IF(入力データ!$C$13="持ち家",入力データ!$C$83+前提条件!$C$47,入力データ!$C$84+前提条件!$C$48))*(1+前提条件!$C$15)^(CC$3-$B$3))</f>
        <v/>
      </c>
      <c r="CD21" s="352">
        <f>IF(CD$3="","",((IF(入力データ!$C$13="持ち家",IF(CD4&lt;=前提条件!$C$44,入力データ!$C$53,0),入力データ!$C$53)+入力データ!$C$54+入力データ!$C$55+入力データ!$C$56)*12+IF(入力データ!$C$13="持ち家",入力データ!$C$83+前提条件!$C$47,入力データ!$C$84+前提条件!$C$48))*(1+前提条件!$C$15)^(CD$3-$B$3))</f>
        <v/>
      </c>
      <c r="CE21" s="352">
        <f>IF(CE$3="","",((IF(入力データ!$C$13="持ち家",IF(CE4&lt;=前提条件!$C$44,入力データ!$C$53,0),入力データ!$C$53)+入力データ!$C$54+入力データ!$C$55+入力データ!$C$56)*12+IF(入力データ!$C$13="持ち家",入力データ!$C$83+前提条件!$C$47,入力データ!$C$84+前提条件!$C$48))*(1+前提条件!$C$15)^(CE$3-$B$3))</f>
        <v/>
      </c>
      <c r="CF21" s="352">
        <f>IF(CF$3="","",((IF(入力データ!$C$13="持ち家",IF(CF4&lt;=前提条件!$C$44,入力データ!$C$53,0),入力データ!$C$53)+入力データ!$C$54+入力データ!$C$55+入力データ!$C$56)*12+IF(入力データ!$C$13="持ち家",入力データ!$C$83+前提条件!$C$47,入力データ!$C$84+前提条件!$C$48))*(1+前提条件!$C$15)^(CF$3-$B$3))</f>
        <v/>
      </c>
      <c r="CG21" s="352">
        <f>IF(CG$3="","",((IF(入力データ!$C$13="持ち家",IF(CG4&lt;=前提条件!$C$44,入力データ!$C$53,0),入力データ!$C$53)+入力データ!$C$54+入力データ!$C$55+入力データ!$C$56)*12+IF(入力データ!$C$13="持ち家",入力データ!$C$83+前提条件!$C$47,入力データ!$C$84+前提条件!$C$48))*(1+前提条件!$C$15)^(CG$3-$B$3))</f>
        <v/>
      </c>
      <c r="CH21" s="352">
        <f>IF(CH$3="","",((IF(入力データ!$C$13="持ち家",IF(CH4&lt;=前提条件!$C$44,入力データ!$C$53,0),入力データ!$C$53)+入力データ!$C$54+入力データ!$C$55+入力データ!$C$56)*12+IF(入力データ!$C$13="持ち家",入力データ!$C$83+前提条件!$C$47,入力データ!$C$84+前提条件!$C$48))*(1+前提条件!$C$15)^(CH$3-$B$3))</f>
        <v/>
      </c>
      <c r="CI21" s="352">
        <f>IF(CI$3="","",((IF(入力データ!$C$13="持ち家",IF(CI4&lt;=前提条件!$C$44,入力データ!$C$53,0),入力データ!$C$53)+入力データ!$C$54+入力データ!$C$55+入力データ!$C$56)*12+IF(入力データ!$C$13="持ち家",入力データ!$C$83+前提条件!$C$47,入力データ!$C$84+前提条件!$C$48))*(1+前提条件!$C$15)^(CI$3-$B$3))</f>
        <v/>
      </c>
      <c r="CJ21" s="352">
        <f>IF(CJ$3="","",((IF(入力データ!$C$13="持ち家",IF(CJ4&lt;=前提条件!$C$44,入力データ!$C$53,0),入力データ!$C$53)+入力データ!$C$54+入力データ!$C$55+入力データ!$C$56)*12+IF(入力データ!$C$13="持ち家",入力データ!$C$83+前提条件!$C$47,入力データ!$C$84+前提条件!$C$48))*(1+前提条件!$C$15)^(CJ$3-$B$3))</f>
        <v/>
      </c>
      <c r="CK21" s="352">
        <f>IF(CK$3="","",((IF(入力データ!$C$13="持ち家",IF(CK4&lt;=前提条件!$C$44,入力データ!$C$53,0),入力データ!$C$53)+入力データ!$C$54+入力データ!$C$55+入力データ!$C$56)*12+IF(入力データ!$C$13="持ち家",入力データ!$C$83+前提条件!$C$47,入力データ!$C$84+前提条件!$C$48))*(1+前提条件!$C$15)^(CK$3-$B$3))</f>
        <v/>
      </c>
      <c r="CL21" s="352">
        <f>IF(CL$3="","",((IF(入力データ!$C$13="持ち家",IF(CL4&lt;=前提条件!$C$44,入力データ!$C$53,0),入力データ!$C$53)+入力データ!$C$54+入力データ!$C$55+入力データ!$C$56)*12+IF(入力データ!$C$13="持ち家",入力データ!$C$83+前提条件!$C$47,入力データ!$C$84+前提条件!$C$48))*(1+前提条件!$C$15)^(CL$3-$B$3))</f>
        <v/>
      </c>
      <c r="CM21" s="352">
        <f>IF(CM$3="","",((IF(入力データ!$C$13="持ち家",IF(CM4&lt;=前提条件!$C$44,入力データ!$C$53,0),入力データ!$C$53)+入力データ!$C$54+入力データ!$C$55+入力データ!$C$56)*12+IF(入力データ!$C$13="持ち家",入力データ!$C$83+前提条件!$C$47,入力データ!$C$84+前提条件!$C$48))*(1+前提条件!$C$15)^(CM$3-$B$3))</f>
        <v/>
      </c>
      <c r="CN21" s="352">
        <f>IF(CN$3="","",((IF(入力データ!$C$13="持ち家",IF(CN4&lt;=前提条件!$C$44,入力データ!$C$53,0),入力データ!$C$53)+入力データ!$C$54+入力データ!$C$55+入力データ!$C$56)*12+IF(入力データ!$C$13="持ち家",入力データ!$C$83+前提条件!$C$47,入力データ!$C$84+前提条件!$C$48))*(1+前提条件!$C$15)^(CN$3-$B$3))</f>
        <v/>
      </c>
      <c r="CO21" s="352">
        <f>IF(CO$3="","",((IF(入力データ!$C$13="持ち家",IF(CO4&lt;=前提条件!$C$44,入力データ!$C$53,0),入力データ!$C$53)+入力データ!$C$54+入力データ!$C$55+入力データ!$C$56)*12+IF(入力データ!$C$13="持ち家",入力データ!$C$83+前提条件!$C$47,入力データ!$C$84+前提条件!$C$48))*(1+前提条件!$C$15)^(CO$3-$B$3))</f>
        <v/>
      </c>
      <c r="CP21" s="352">
        <f>IF(CP$3="","",((IF(入力データ!$C$13="持ち家",IF(CP4&lt;=前提条件!$C$44,入力データ!$C$53,0),入力データ!$C$53)+入力データ!$C$54+入力データ!$C$55+入力データ!$C$56)*12+IF(入力データ!$C$13="持ち家",入力データ!$C$83+前提条件!$C$47,入力データ!$C$84+前提条件!$C$48))*(1+前提条件!$C$15)^(CP$3-$B$3))</f>
        <v/>
      </c>
      <c r="CQ21" s="352">
        <f>IF(CQ$3="","",((IF(入力データ!$C$13="持ち家",IF(CQ4&lt;=前提条件!$C$44,入力データ!$C$53,0),入力データ!$C$53)+入力データ!$C$54+入力データ!$C$55+入力データ!$C$56)*12+IF(入力データ!$C$13="持ち家",入力データ!$C$83+前提条件!$C$47,入力データ!$C$84+前提条件!$C$48))*(1+前提条件!$C$15)^(CQ$3-$B$3))</f>
        <v/>
      </c>
      <c r="CR21" s="352">
        <f>IF(CR$3="","",((IF(入力データ!$C$13="持ち家",IF(CR4&lt;=前提条件!$C$44,入力データ!$C$53,0),入力データ!$C$53)+入力データ!$C$54+入力データ!$C$55+入力データ!$C$56)*12+IF(入力データ!$C$13="持ち家",入力データ!$C$83+前提条件!$C$47,入力データ!$C$84+前提条件!$C$48))*(1+前提条件!$C$15)^(CR$3-$B$3))</f>
        <v/>
      </c>
      <c r="CS21" s="352">
        <f>IF(CS$3="","",((IF(入力データ!$C$13="持ち家",IF(CS4&lt;=前提条件!$C$44,入力データ!$C$53,0),入力データ!$C$53)+入力データ!$C$54+入力データ!$C$55+入力データ!$C$56)*12+IF(入力データ!$C$13="持ち家",入力データ!$C$83+前提条件!$C$47,入力データ!$C$84+前提条件!$C$48))*(1+前提条件!$C$15)^(CS$3-$B$3))</f>
        <v/>
      </c>
      <c r="CT21" s="352">
        <f>IF(CT$3="","",((IF(入力データ!$C$13="持ち家",IF(CT4&lt;=前提条件!$C$44,入力データ!$C$53,0),入力データ!$C$53)+入力データ!$C$54+入力データ!$C$55+入力データ!$C$56)*12+IF(入力データ!$C$13="持ち家",入力データ!$C$83+前提条件!$C$47,入力データ!$C$84+前提条件!$C$48))*(1+前提条件!$C$15)^(CT$3-$B$3))</f>
        <v/>
      </c>
      <c r="CU21" s="352">
        <f>IF(CU$3="","",((IF(入力データ!$C$13="持ち家",IF(CU4&lt;=前提条件!$C$44,入力データ!$C$53,0),入力データ!$C$53)+入力データ!$C$54+入力データ!$C$55+入力データ!$C$56)*12+IF(入力データ!$C$13="持ち家",入力データ!$C$83+前提条件!$C$47,入力データ!$C$84+前提条件!$C$48))*(1+前提条件!$C$15)^(CU$3-$B$3))</f>
        <v/>
      </c>
      <c r="CV21" s="352">
        <f>IF(CV$3="","",((IF(入力データ!$C$13="持ち家",IF(CV4&lt;=前提条件!$C$44,入力データ!$C$53,0),入力データ!$C$53)+入力データ!$C$54+入力データ!$C$55+入力データ!$C$56)*12+IF(入力データ!$C$13="持ち家",入力データ!$C$83+前提条件!$C$47,入力データ!$C$84+前提条件!$C$48))*(1+前提条件!$C$15)^(CV$3-$B$3))</f>
        <v/>
      </c>
      <c r="CW21" s="352">
        <f>IF(CW$3="","",((IF(入力データ!$C$13="持ち家",IF(CW4&lt;=前提条件!$C$44,入力データ!$C$53,0),入力データ!$C$53)+入力データ!$C$54+入力データ!$C$55+入力データ!$C$56)*12+IF(入力データ!$C$13="持ち家",入力データ!$C$83+前提条件!$C$47,入力データ!$C$84+前提条件!$C$48))*(1+前提条件!$C$15)^(CW$3-$B$3))</f>
        <v/>
      </c>
    </row>
    <row r="22" ht="15" customHeight="1" s="180">
      <c r="A22" s="224" t="inlineStr">
        <is>
          <t>終身系保険料</t>
        </is>
      </c>
      <c r="B22" s="352">
        <f>IF(B$3="","",SUMPRODUCT(--ISNUMBER(SEARCH("終身",入力データ!$F$5:$F$20)),--(IFERROR(YEAR(入力データ!$J$5:$J$20),0)&lt;=B$3),--(IFERROR(YEAR(入力データ!$K$5:$K$20),9999)&gt;=B$3),入力データ!$M$5:$M$20)*12)</f>
        <v/>
      </c>
      <c r="C22" s="352">
        <f>IF(C$3="","",SUMPRODUCT(--ISNUMBER(SEARCH("終身",入力データ!$F$5:$F$20)),--(IFERROR(YEAR(入力データ!$J$5:$J$20),0)&lt;=C$3),--(IFERROR(YEAR(入力データ!$K$5:$K$20),9999)&gt;=C$3),入力データ!$M$5:$M$20)*12)</f>
        <v/>
      </c>
      <c r="D22" s="352">
        <f>IF(D$3="","",SUMPRODUCT(--ISNUMBER(SEARCH("終身",入力データ!$F$5:$F$20)),--(IFERROR(YEAR(入力データ!$J$5:$J$20),0)&lt;=D$3),--(IFERROR(YEAR(入力データ!$K$5:$K$20),9999)&gt;=D$3),入力データ!$M$5:$M$20)*12)</f>
        <v/>
      </c>
      <c r="E22" s="352">
        <f>IF(E$3="","",SUMPRODUCT(--ISNUMBER(SEARCH("終身",入力データ!$F$5:$F$20)),--(IFERROR(YEAR(入力データ!$J$5:$J$20),0)&lt;=E$3),--(IFERROR(YEAR(入力データ!$K$5:$K$20),9999)&gt;=E$3),入力データ!$M$5:$M$20)*12)</f>
        <v/>
      </c>
      <c r="F22" s="352">
        <f>IF(F$3="","",SUMPRODUCT(--ISNUMBER(SEARCH("終身",入力データ!$F$5:$F$20)),--(IFERROR(YEAR(入力データ!$J$5:$J$20),0)&lt;=F$3),--(IFERROR(YEAR(入力データ!$K$5:$K$20),9999)&gt;=F$3),入力データ!$M$5:$M$20)*12)</f>
        <v/>
      </c>
      <c r="G22" s="352">
        <f>IF(G$3="","",SUMPRODUCT(--ISNUMBER(SEARCH("終身",入力データ!$F$5:$F$20)),--(IFERROR(YEAR(入力データ!$J$5:$J$20),0)&lt;=G$3),--(IFERROR(YEAR(入力データ!$K$5:$K$20),9999)&gt;=G$3),入力データ!$M$5:$M$20)*12)</f>
        <v/>
      </c>
      <c r="H22" s="352">
        <f>IF(H$3="","",SUMPRODUCT(--ISNUMBER(SEARCH("終身",入力データ!$F$5:$F$20)),--(IFERROR(YEAR(入力データ!$J$5:$J$20),0)&lt;=H$3),--(IFERROR(YEAR(入力データ!$K$5:$K$20),9999)&gt;=H$3),入力データ!$M$5:$M$20)*12)</f>
        <v/>
      </c>
      <c r="I22" s="352">
        <f>IF(I$3="","",SUMPRODUCT(--ISNUMBER(SEARCH("終身",入力データ!$F$5:$F$20)),--(IFERROR(YEAR(入力データ!$J$5:$J$20),0)&lt;=I$3),--(IFERROR(YEAR(入力データ!$K$5:$K$20),9999)&gt;=I$3),入力データ!$M$5:$M$20)*12)</f>
        <v/>
      </c>
      <c r="J22" s="352">
        <f>IF(J$3="","",SUMPRODUCT(--ISNUMBER(SEARCH("終身",入力データ!$F$5:$F$20)),--(IFERROR(YEAR(入力データ!$J$5:$J$20),0)&lt;=J$3),--(IFERROR(YEAR(入力データ!$K$5:$K$20),9999)&gt;=J$3),入力データ!$M$5:$M$20)*12)</f>
        <v/>
      </c>
      <c r="K22" s="352">
        <f>IF(K$3="","",SUMPRODUCT(--ISNUMBER(SEARCH("終身",入力データ!$F$5:$F$20)),--(IFERROR(YEAR(入力データ!$J$5:$J$20),0)&lt;=K$3),--(IFERROR(YEAR(入力データ!$K$5:$K$20),9999)&gt;=K$3),入力データ!$M$5:$M$20)*12)</f>
        <v/>
      </c>
      <c r="L22" s="352">
        <f>IF(L$3="","",SUMPRODUCT(--ISNUMBER(SEARCH("終身",入力データ!$F$5:$F$20)),--(IFERROR(YEAR(入力データ!$J$5:$J$20),0)&lt;=L$3),--(IFERROR(YEAR(入力データ!$K$5:$K$20),9999)&gt;=L$3),入力データ!$M$5:$M$20)*12)</f>
        <v/>
      </c>
      <c r="M22" s="352">
        <f>IF(M$3="","",SUMPRODUCT(--ISNUMBER(SEARCH("終身",入力データ!$F$5:$F$20)),--(IFERROR(YEAR(入力データ!$J$5:$J$20),0)&lt;=M$3),--(IFERROR(YEAR(入力データ!$K$5:$K$20),9999)&gt;=M$3),入力データ!$M$5:$M$20)*12)</f>
        <v/>
      </c>
      <c r="N22" s="352">
        <f>IF(N$3="","",SUMPRODUCT(--ISNUMBER(SEARCH("終身",入力データ!$F$5:$F$20)),--(IFERROR(YEAR(入力データ!$J$5:$J$20),0)&lt;=N$3),--(IFERROR(YEAR(入力データ!$K$5:$K$20),9999)&gt;=N$3),入力データ!$M$5:$M$20)*12)</f>
        <v/>
      </c>
      <c r="O22" s="352">
        <f>IF(O$3="","",SUMPRODUCT(--ISNUMBER(SEARCH("終身",入力データ!$F$5:$F$20)),--(IFERROR(YEAR(入力データ!$J$5:$J$20),0)&lt;=O$3),--(IFERROR(YEAR(入力データ!$K$5:$K$20),9999)&gt;=O$3),入力データ!$M$5:$M$20)*12)</f>
        <v/>
      </c>
      <c r="P22" s="352">
        <f>IF(P$3="","",SUMPRODUCT(--ISNUMBER(SEARCH("終身",入力データ!$F$5:$F$20)),--(IFERROR(YEAR(入力データ!$J$5:$J$20),0)&lt;=P$3),--(IFERROR(YEAR(入力データ!$K$5:$K$20),9999)&gt;=P$3),入力データ!$M$5:$M$20)*12)</f>
        <v/>
      </c>
      <c r="Q22" s="352">
        <f>IF(Q$3="","",SUMPRODUCT(--ISNUMBER(SEARCH("終身",入力データ!$F$5:$F$20)),--(IFERROR(YEAR(入力データ!$J$5:$J$20),0)&lt;=Q$3),--(IFERROR(YEAR(入力データ!$K$5:$K$20),9999)&gt;=Q$3),入力データ!$M$5:$M$20)*12)</f>
        <v/>
      </c>
      <c r="R22" s="352">
        <f>IF(R$3="","",SUMPRODUCT(--ISNUMBER(SEARCH("終身",入力データ!$F$5:$F$20)),--(IFERROR(YEAR(入力データ!$J$5:$J$20),0)&lt;=R$3),--(IFERROR(YEAR(入力データ!$K$5:$K$20),9999)&gt;=R$3),入力データ!$M$5:$M$20)*12)</f>
        <v/>
      </c>
      <c r="S22" s="352">
        <f>IF(S$3="","",SUMPRODUCT(--ISNUMBER(SEARCH("終身",入力データ!$F$5:$F$20)),--(IFERROR(YEAR(入力データ!$J$5:$J$20),0)&lt;=S$3),--(IFERROR(YEAR(入力データ!$K$5:$K$20),9999)&gt;=S$3),入力データ!$M$5:$M$20)*12)</f>
        <v/>
      </c>
      <c r="T22" s="352">
        <f>IF(T$3="","",SUMPRODUCT(--ISNUMBER(SEARCH("終身",入力データ!$F$5:$F$20)),--(IFERROR(YEAR(入力データ!$J$5:$J$20),0)&lt;=T$3),--(IFERROR(YEAR(入力データ!$K$5:$K$20),9999)&gt;=T$3),入力データ!$M$5:$M$20)*12)</f>
        <v/>
      </c>
      <c r="U22" s="352">
        <f>IF(U$3="","",SUMPRODUCT(--ISNUMBER(SEARCH("終身",入力データ!$F$5:$F$20)),--(IFERROR(YEAR(入力データ!$J$5:$J$20),0)&lt;=U$3),--(IFERROR(YEAR(入力データ!$K$5:$K$20),9999)&gt;=U$3),入力データ!$M$5:$M$20)*12)</f>
        <v/>
      </c>
      <c r="V22" s="352">
        <f>IF(V$3="","",SUMPRODUCT(--ISNUMBER(SEARCH("終身",入力データ!$F$5:$F$20)),--(IFERROR(YEAR(入力データ!$J$5:$J$20),0)&lt;=V$3),--(IFERROR(YEAR(入力データ!$K$5:$K$20),9999)&gt;=V$3),入力データ!$M$5:$M$20)*12)</f>
        <v/>
      </c>
      <c r="W22" s="352">
        <f>IF(W$3="","",SUMPRODUCT(--ISNUMBER(SEARCH("終身",入力データ!$F$5:$F$20)),--(IFERROR(YEAR(入力データ!$J$5:$J$20),0)&lt;=W$3),--(IFERROR(YEAR(入力データ!$K$5:$K$20),9999)&gt;=W$3),入力データ!$M$5:$M$20)*12)</f>
        <v/>
      </c>
      <c r="X22" s="352">
        <f>IF(X$3="","",SUMPRODUCT(--ISNUMBER(SEARCH("終身",入力データ!$F$5:$F$20)),--(IFERROR(YEAR(入力データ!$J$5:$J$20),0)&lt;=X$3),--(IFERROR(YEAR(入力データ!$K$5:$K$20),9999)&gt;=X$3),入力データ!$M$5:$M$20)*12)</f>
        <v/>
      </c>
      <c r="Y22" s="352">
        <f>IF(Y$3="","",SUMPRODUCT(--ISNUMBER(SEARCH("終身",入力データ!$F$5:$F$20)),--(IFERROR(YEAR(入力データ!$J$5:$J$20),0)&lt;=Y$3),--(IFERROR(YEAR(入力データ!$K$5:$K$20),9999)&gt;=Y$3),入力データ!$M$5:$M$20)*12)</f>
        <v/>
      </c>
      <c r="Z22" s="352">
        <f>IF(Z$3="","",SUMPRODUCT(--ISNUMBER(SEARCH("終身",入力データ!$F$5:$F$20)),--(IFERROR(YEAR(入力データ!$J$5:$J$20),0)&lt;=Z$3),--(IFERROR(YEAR(入力データ!$K$5:$K$20),9999)&gt;=Z$3),入力データ!$M$5:$M$20)*12)</f>
        <v/>
      </c>
      <c r="AA22" s="352">
        <f>IF(AA$3="","",SUMPRODUCT(--ISNUMBER(SEARCH("終身",入力データ!$F$5:$F$20)),--(IFERROR(YEAR(入力データ!$J$5:$J$20),0)&lt;=AA$3),--(IFERROR(YEAR(入力データ!$K$5:$K$20),9999)&gt;=AA$3),入力データ!$M$5:$M$20)*12)</f>
        <v/>
      </c>
      <c r="AB22" s="352">
        <f>IF(AB$3="","",SUMPRODUCT(--ISNUMBER(SEARCH("終身",入力データ!$F$5:$F$20)),--(IFERROR(YEAR(入力データ!$J$5:$J$20),0)&lt;=AB$3),--(IFERROR(YEAR(入力データ!$K$5:$K$20),9999)&gt;=AB$3),入力データ!$M$5:$M$20)*12)</f>
        <v/>
      </c>
      <c r="AC22" s="352">
        <f>IF(AC$3="","",SUMPRODUCT(--ISNUMBER(SEARCH("終身",入力データ!$F$5:$F$20)),--(IFERROR(YEAR(入力データ!$J$5:$J$20),0)&lt;=AC$3),--(IFERROR(YEAR(入力データ!$K$5:$K$20),9999)&gt;=AC$3),入力データ!$M$5:$M$20)*12)</f>
        <v/>
      </c>
      <c r="AD22" s="352">
        <f>IF(AD$3="","",SUMPRODUCT(--ISNUMBER(SEARCH("終身",入力データ!$F$5:$F$20)),--(IFERROR(YEAR(入力データ!$J$5:$J$20),0)&lt;=AD$3),--(IFERROR(YEAR(入力データ!$K$5:$K$20),9999)&gt;=AD$3),入力データ!$M$5:$M$20)*12)</f>
        <v/>
      </c>
      <c r="AE22" s="352">
        <f>IF(AE$3="","",SUMPRODUCT(--ISNUMBER(SEARCH("終身",入力データ!$F$5:$F$20)),--(IFERROR(YEAR(入力データ!$J$5:$J$20),0)&lt;=AE$3),--(IFERROR(YEAR(入力データ!$K$5:$K$20),9999)&gt;=AE$3),入力データ!$M$5:$M$20)*12)</f>
        <v/>
      </c>
      <c r="AF22" s="352">
        <f>IF(AF$3="","",SUMPRODUCT(--ISNUMBER(SEARCH("終身",入力データ!$F$5:$F$20)),--(IFERROR(YEAR(入力データ!$J$5:$J$20),0)&lt;=AF$3),--(IFERROR(YEAR(入力データ!$K$5:$K$20),9999)&gt;=AF$3),入力データ!$M$5:$M$20)*12)</f>
        <v/>
      </c>
      <c r="AG22" s="352">
        <f>IF(AG$3="","",SUMPRODUCT(--ISNUMBER(SEARCH("終身",入力データ!$F$5:$F$20)),--(IFERROR(YEAR(入力データ!$J$5:$J$20),0)&lt;=AG$3),--(IFERROR(YEAR(入力データ!$K$5:$K$20),9999)&gt;=AG$3),入力データ!$M$5:$M$20)*12)</f>
        <v/>
      </c>
      <c r="AH22" s="352">
        <f>IF(AH$3="","",SUMPRODUCT(--ISNUMBER(SEARCH("終身",入力データ!$F$5:$F$20)),--(IFERROR(YEAR(入力データ!$J$5:$J$20),0)&lt;=AH$3),--(IFERROR(YEAR(入力データ!$K$5:$K$20),9999)&gt;=AH$3),入力データ!$M$5:$M$20)*12)</f>
        <v/>
      </c>
      <c r="AI22" s="352">
        <f>IF(AI$3="","",SUMPRODUCT(--ISNUMBER(SEARCH("終身",入力データ!$F$5:$F$20)),--(IFERROR(YEAR(入力データ!$J$5:$J$20),0)&lt;=AI$3),--(IFERROR(YEAR(入力データ!$K$5:$K$20),9999)&gt;=AI$3),入力データ!$M$5:$M$20)*12)</f>
        <v/>
      </c>
      <c r="AJ22" s="352">
        <f>IF(AJ$3="","",SUMPRODUCT(--ISNUMBER(SEARCH("終身",入力データ!$F$5:$F$20)),--(IFERROR(YEAR(入力データ!$J$5:$J$20),0)&lt;=AJ$3),--(IFERROR(YEAR(入力データ!$K$5:$K$20),9999)&gt;=AJ$3),入力データ!$M$5:$M$20)*12)</f>
        <v/>
      </c>
      <c r="AK22" s="352">
        <f>IF(AK$3="","",SUMPRODUCT(--ISNUMBER(SEARCH("終身",入力データ!$F$5:$F$20)),--(IFERROR(YEAR(入力データ!$J$5:$J$20),0)&lt;=AK$3),--(IFERROR(YEAR(入力データ!$K$5:$K$20),9999)&gt;=AK$3),入力データ!$M$5:$M$20)*12)</f>
        <v/>
      </c>
      <c r="AL22" s="352">
        <f>IF(AL$3="","",SUMPRODUCT(--ISNUMBER(SEARCH("終身",入力データ!$F$5:$F$20)),--(IFERROR(YEAR(入力データ!$J$5:$J$20),0)&lt;=AL$3),--(IFERROR(YEAR(入力データ!$K$5:$K$20),9999)&gt;=AL$3),入力データ!$M$5:$M$20)*12)</f>
        <v/>
      </c>
      <c r="AM22" s="352">
        <f>IF(AM$3="","",SUMPRODUCT(--ISNUMBER(SEARCH("終身",入力データ!$F$5:$F$20)),--(IFERROR(YEAR(入力データ!$J$5:$J$20),0)&lt;=AM$3),--(IFERROR(YEAR(入力データ!$K$5:$K$20),9999)&gt;=AM$3),入力データ!$M$5:$M$20)*12)</f>
        <v/>
      </c>
      <c r="AN22" s="352">
        <f>IF(AN$3="","",SUMPRODUCT(--ISNUMBER(SEARCH("終身",入力データ!$F$5:$F$20)),--(IFERROR(YEAR(入力データ!$J$5:$J$20),0)&lt;=AN$3),--(IFERROR(YEAR(入力データ!$K$5:$K$20),9999)&gt;=AN$3),入力データ!$M$5:$M$20)*12)</f>
        <v/>
      </c>
      <c r="AO22" s="352">
        <f>IF(AO$3="","",SUMPRODUCT(--ISNUMBER(SEARCH("終身",入力データ!$F$5:$F$20)),--(IFERROR(YEAR(入力データ!$J$5:$J$20),0)&lt;=AO$3),--(IFERROR(YEAR(入力データ!$K$5:$K$20),9999)&gt;=AO$3),入力データ!$M$5:$M$20)*12)</f>
        <v/>
      </c>
      <c r="AP22" s="352">
        <f>IF(AP$3="","",SUMPRODUCT(--ISNUMBER(SEARCH("終身",入力データ!$F$5:$F$20)),--(IFERROR(YEAR(入力データ!$J$5:$J$20),0)&lt;=AP$3),--(IFERROR(YEAR(入力データ!$K$5:$K$20),9999)&gt;=AP$3),入力データ!$M$5:$M$20)*12)</f>
        <v/>
      </c>
      <c r="AQ22" s="352">
        <f>IF(AQ$3="","",SUMPRODUCT(--ISNUMBER(SEARCH("終身",入力データ!$F$5:$F$20)),--(IFERROR(YEAR(入力データ!$J$5:$J$20),0)&lt;=AQ$3),--(IFERROR(YEAR(入力データ!$K$5:$K$20),9999)&gt;=AQ$3),入力データ!$M$5:$M$20)*12)</f>
        <v/>
      </c>
      <c r="AR22" s="352">
        <f>IF(AR$3="","",SUMPRODUCT(--ISNUMBER(SEARCH("終身",入力データ!$F$5:$F$20)),--(IFERROR(YEAR(入力データ!$J$5:$J$20),0)&lt;=AR$3),--(IFERROR(YEAR(入力データ!$K$5:$K$20),9999)&gt;=AR$3),入力データ!$M$5:$M$20)*12)</f>
        <v/>
      </c>
      <c r="AS22" s="352">
        <f>IF(AS$3="","",SUMPRODUCT(--ISNUMBER(SEARCH("終身",入力データ!$F$5:$F$20)),--(IFERROR(YEAR(入力データ!$J$5:$J$20),0)&lt;=AS$3),--(IFERROR(YEAR(入力データ!$K$5:$K$20),9999)&gt;=AS$3),入力データ!$M$5:$M$20)*12)</f>
        <v/>
      </c>
      <c r="AT22" s="352">
        <f>IF(AT$3="","",SUMPRODUCT(--ISNUMBER(SEARCH("終身",入力データ!$F$5:$F$20)),--(IFERROR(YEAR(入力データ!$J$5:$J$20),0)&lt;=AT$3),--(IFERROR(YEAR(入力データ!$K$5:$K$20),9999)&gt;=AT$3),入力データ!$M$5:$M$20)*12)</f>
        <v/>
      </c>
      <c r="AU22" s="352">
        <f>IF(AU$3="","",SUMPRODUCT(--ISNUMBER(SEARCH("終身",入力データ!$F$5:$F$20)),--(IFERROR(YEAR(入力データ!$J$5:$J$20),0)&lt;=AU$3),--(IFERROR(YEAR(入力データ!$K$5:$K$20),9999)&gt;=AU$3),入力データ!$M$5:$M$20)*12)</f>
        <v/>
      </c>
      <c r="AV22" s="352">
        <f>IF(AV$3="","",SUMPRODUCT(--ISNUMBER(SEARCH("終身",入力データ!$F$5:$F$20)),--(IFERROR(YEAR(入力データ!$J$5:$J$20),0)&lt;=AV$3),--(IFERROR(YEAR(入力データ!$K$5:$K$20),9999)&gt;=AV$3),入力データ!$M$5:$M$20)*12)</f>
        <v/>
      </c>
      <c r="AW22" s="352">
        <f>IF(AW$3="","",SUMPRODUCT(--ISNUMBER(SEARCH("終身",入力データ!$F$5:$F$20)),--(IFERROR(YEAR(入力データ!$J$5:$J$20),0)&lt;=AW$3),--(IFERROR(YEAR(入力データ!$K$5:$K$20),9999)&gt;=AW$3),入力データ!$M$5:$M$20)*12)</f>
        <v/>
      </c>
      <c r="AX22" s="352">
        <f>IF(AX$3="","",SUMPRODUCT(--ISNUMBER(SEARCH("終身",入力データ!$F$5:$F$20)),--(IFERROR(YEAR(入力データ!$J$5:$J$20),0)&lt;=AX$3),--(IFERROR(YEAR(入力データ!$K$5:$K$20),9999)&gt;=AX$3),入力データ!$M$5:$M$20)*12)</f>
        <v/>
      </c>
      <c r="AY22" s="352">
        <f>IF(AY$3="","",SUMPRODUCT(--ISNUMBER(SEARCH("終身",入力データ!$F$5:$F$20)),--(IFERROR(YEAR(入力データ!$J$5:$J$20),0)&lt;=AY$3),--(IFERROR(YEAR(入力データ!$K$5:$K$20),9999)&gt;=AY$3),入力データ!$M$5:$M$20)*12)</f>
        <v/>
      </c>
      <c r="AZ22" s="352">
        <f>IF(AZ$3="","",SUMPRODUCT(--ISNUMBER(SEARCH("終身",入力データ!$F$5:$F$20)),--(IFERROR(YEAR(入力データ!$J$5:$J$20),0)&lt;=AZ$3),--(IFERROR(YEAR(入力データ!$K$5:$K$20),9999)&gt;=AZ$3),入力データ!$M$5:$M$20)*12)</f>
        <v/>
      </c>
      <c r="BA22" s="352">
        <f>IF(BA$3="","",SUMPRODUCT(--ISNUMBER(SEARCH("終身",入力データ!$F$5:$F$20)),--(IFERROR(YEAR(入力データ!$J$5:$J$20),0)&lt;=BA$3),--(IFERROR(YEAR(入力データ!$K$5:$K$20),9999)&gt;=BA$3),入力データ!$M$5:$M$20)*12)</f>
        <v/>
      </c>
      <c r="BB22" s="352">
        <f>IF(BB$3="","",SUMPRODUCT(--ISNUMBER(SEARCH("終身",入力データ!$F$5:$F$20)),--(IFERROR(YEAR(入力データ!$J$5:$J$20),0)&lt;=BB$3),--(IFERROR(YEAR(入力データ!$K$5:$K$20),9999)&gt;=BB$3),入力データ!$M$5:$M$20)*12)</f>
        <v/>
      </c>
      <c r="BC22" s="352">
        <f>IF(BC$3="","",SUMPRODUCT(--ISNUMBER(SEARCH("終身",入力データ!$F$5:$F$20)),--(IFERROR(YEAR(入力データ!$J$5:$J$20),0)&lt;=BC$3),--(IFERROR(YEAR(入力データ!$K$5:$K$20),9999)&gt;=BC$3),入力データ!$M$5:$M$20)*12)</f>
        <v/>
      </c>
      <c r="BD22" s="352">
        <f>IF(BD$3="","",SUMPRODUCT(--ISNUMBER(SEARCH("終身",入力データ!$F$5:$F$20)),--(IFERROR(YEAR(入力データ!$J$5:$J$20),0)&lt;=BD$3),--(IFERROR(YEAR(入力データ!$K$5:$K$20),9999)&gt;=BD$3),入力データ!$M$5:$M$20)*12)</f>
        <v/>
      </c>
      <c r="BE22" s="352">
        <f>IF(BE$3="","",SUMPRODUCT(--ISNUMBER(SEARCH("終身",入力データ!$F$5:$F$20)),--(IFERROR(YEAR(入力データ!$J$5:$J$20),0)&lt;=BE$3),--(IFERROR(YEAR(入力データ!$K$5:$K$20),9999)&gt;=BE$3),入力データ!$M$5:$M$20)*12)</f>
        <v/>
      </c>
      <c r="BF22" s="352">
        <f>IF(BF$3="","",SUMPRODUCT(--ISNUMBER(SEARCH("終身",入力データ!$F$5:$F$20)),--(IFERROR(YEAR(入力データ!$J$5:$J$20),0)&lt;=BF$3),--(IFERROR(YEAR(入力データ!$K$5:$K$20),9999)&gt;=BF$3),入力データ!$M$5:$M$20)*12)</f>
        <v/>
      </c>
      <c r="BG22" s="352">
        <f>IF(BG$3="","",SUMPRODUCT(--ISNUMBER(SEARCH("終身",入力データ!$F$5:$F$20)),--(IFERROR(YEAR(入力データ!$J$5:$J$20),0)&lt;=BG$3),--(IFERROR(YEAR(入力データ!$K$5:$K$20),9999)&gt;=BG$3),入力データ!$M$5:$M$20)*12)</f>
        <v/>
      </c>
      <c r="BH22" s="352">
        <f>IF(BH$3="","",SUMPRODUCT(--ISNUMBER(SEARCH("終身",入力データ!$F$5:$F$20)),--(IFERROR(YEAR(入力データ!$J$5:$J$20),0)&lt;=BH$3),--(IFERROR(YEAR(入力データ!$K$5:$K$20),9999)&gt;=BH$3),入力データ!$M$5:$M$20)*12)</f>
        <v/>
      </c>
      <c r="BI22" s="352">
        <f>IF(BI$3="","",SUMPRODUCT(--ISNUMBER(SEARCH("終身",入力データ!$F$5:$F$20)),--(IFERROR(YEAR(入力データ!$J$5:$J$20),0)&lt;=BI$3),--(IFERROR(YEAR(入力データ!$K$5:$K$20),9999)&gt;=BI$3),入力データ!$M$5:$M$20)*12)</f>
        <v/>
      </c>
      <c r="BJ22" s="352">
        <f>IF(BJ$3="","",SUMPRODUCT(--ISNUMBER(SEARCH("終身",入力データ!$F$5:$F$20)),--(IFERROR(YEAR(入力データ!$J$5:$J$20),0)&lt;=BJ$3),--(IFERROR(YEAR(入力データ!$K$5:$K$20),9999)&gt;=BJ$3),入力データ!$M$5:$M$20)*12)</f>
        <v/>
      </c>
      <c r="BK22" s="352">
        <f>IF(BK$3="","",SUMPRODUCT(--ISNUMBER(SEARCH("終身",入力データ!$F$5:$F$20)),--(IFERROR(YEAR(入力データ!$J$5:$J$20),0)&lt;=BK$3),--(IFERROR(YEAR(入力データ!$K$5:$K$20),9999)&gt;=BK$3),入力データ!$M$5:$M$20)*12)</f>
        <v/>
      </c>
      <c r="BL22" s="352">
        <f>IF(BL$3="","",SUMPRODUCT(--ISNUMBER(SEARCH("終身",入力データ!$F$5:$F$20)),--(IFERROR(YEAR(入力データ!$J$5:$J$20),0)&lt;=BL$3),--(IFERROR(YEAR(入力データ!$K$5:$K$20),9999)&gt;=BL$3),入力データ!$M$5:$M$20)*12)</f>
        <v/>
      </c>
      <c r="BM22" s="352">
        <f>IF(BM$3="","",SUMPRODUCT(--ISNUMBER(SEARCH("終身",入力データ!$F$5:$F$20)),--(IFERROR(YEAR(入力データ!$J$5:$J$20),0)&lt;=BM$3),--(IFERROR(YEAR(入力データ!$K$5:$K$20),9999)&gt;=BM$3),入力データ!$M$5:$M$20)*12)</f>
        <v/>
      </c>
      <c r="BN22" s="352">
        <f>IF(BN$3="","",SUMPRODUCT(--ISNUMBER(SEARCH("終身",入力データ!$F$5:$F$20)),--(IFERROR(YEAR(入力データ!$J$5:$J$20),0)&lt;=BN$3),--(IFERROR(YEAR(入力データ!$K$5:$K$20),9999)&gt;=BN$3),入力データ!$M$5:$M$20)*12)</f>
        <v/>
      </c>
      <c r="BO22" s="352">
        <f>IF(BO$3="","",SUMPRODUCT(--ISNUMBER(SEARCH("終身",入力データ!$F$5:$F$20)),--(IFERROR(YEAR(入力データ!$J$5:$J$20),0)&lt;=BO$3),--(IFERROR(YEAR(入力データ!$K$5:$K$20),9999)&gt;=BO$3),入力データ!$M$5:$M$20)*12)</f>
        <v/>
      </c>
      <c r="BP22" s="352">
        <f>IF(BP$3="","",SUMPRODUCT(--ISNUMBER(SEARCH("終身",入力データ!$F$5:$F$20)),--(IFERROR(YEAR(入力データ!$J$5:$J$20),0)&lt;=BP$3),--(IFERROR(YEAR(入力データ!$K$5:$K$20),9999)&gt;=BP$3),入力データ!$M$5:$M$20)*12)</f>
        <v/>
      </c>
      <c r="BQ22" s="352">
        <f>IF(BQ$3="","",SUMPRODUCT(--ISNUMBER(SEARCH("終身",入力データ!$F$5:$F$20)),--(IFERROR(YEAR(入力データ!$J$5:$J$20),0)&lt;=BQ$3),--(IFERROR(YEAR(入力データ!$K$5:$K$20),9999)&gt;=BQ$3),入力データ!$M$5:$M$20)*12)</f>
        <v/>
      </c>
      <c r="BR22" s="352">
        <f>IF(BR$3="","",SUMPRODUCT(--ISNUMBER(SEARCH("終身",入力データ!$F$5:$F$20)),--(IFERROR(YEAR(入力データ!$J$5:$J$20),0)&lt;=BR$3),--(IFERROR(YEAR(入力データ!$K$5:$K$20),9999)&gt;=BR$3),入力データ!$M$5:$M$20)*12)</f>
        <v/>
      </c>
      <c r="BS22" s="352">
        <f>IF(BS$3="","",SUMPRODUCT(--ISNUMBER(SEARCH("終身",入力データ!$F$5:$F$20)),--(IFERROR(YEAR(入力データ!$J$5:$J$20),0)&lt;=BS$3),--(IFERROR(YEAR(入力データ!$K$5:$K$20),9999)&gt;=BS$3),入力データ!$M$5:$M$20)*12)</f>
        <v/>
      </c>
      <c r="BT22" s="352">
        <f>IF(BT$3="","",SUMPRODUCT(--ISNUMBER(SEARCH("終身",入力データ!$F$5:$F$20)),--(IFERROR(YEAR(入力データ!$J$5:$J$20),0)&lt;=BT$3),--(IFERROR(YEAR(入力データ!$K$5:$K$20),9999)&gt;=BT$3),入力データ!$M$5:$M$20)*12)</f>
        <v/>
      </c>
      <c r="BU22" s="352">
        <f>IF(BU$3="","",SUMPRODUCT(--ISNUMBER(SEARCH("終身",入力データ!$F$5:$F$20)),--(IFERROR(YEAR(入力データ!$J$5:$J$20),0)&lt;=BU$3),--(IFERROR(YEAR(入力データ!$K$5:$K$20),9999)&gt;=BU$3),入力データ!$M$5:$M$20)*12)</f>
        <v/>
      </c>
      <c r="BV22" s="352">
        <f>IF(BV$3="","",SUMPRODUCT(--ISNUMBER(SEARCH("終身",入力データ!$F$5:$F$20)),--(IFERROR(YEAR(入力データ!$J$5:$J$20),0)&lt;=BV$3),--(IFERROR(YEAR(入力データ!$K$5:$K$20),9999)&gt;=BV$3),入力データ!$M$5:$M$20)*12)</f>
        <v/>
      </c>
      <c r="BW22" s="352">
        <f>IF(BW$3="","",SUMPRODUCT(--ISNUMBER(SEARCH("終身",入力データ!$F$5:$F$20)),--(IFERROR(YEAR(入力データ!$J$5:$J$20),0)&lt;=BW$3),--(IFERROR(YEAR(入力データ!$K$5:$K$20),9999)&gt;=BW$3),入力データ!$M$5:$M$20)*12)</f>
        <v/>
      </c>
      <c r="BX22" s="352">
        <f>IF(BX$3="","",SUMPRODUCT(--ISNUMBER(SEARCH("終身",入力データ!$F$5:$F$20)),--(IFERROR(YEAR(入力データ!$J$5:$J$20),0)&lt;=BX$3),--(IFERROR(YEAR(入力データ!$K$5:$K$20),9999)&gt;=BX$3),入力データ!$M$5:$M$20)*12)</f>
        <v/>
      </c>
      <c r="BY22" s="352">
        <f>IF(BY$3="","",SUMPRODUCT(--ISNUMBER(SEARCH("終身",入力データ!$F$5:$F$20)),--(IFERROR(YEAR(入力データ!$J$5:$J$20),0)&lt;=BY$3),--(IFERROR(YEAR(入力データ!$K$5:$K$20),9999)&gt;=BY$3),入力データ!$M$5:$M$20)*12)</f>
        <v/>
      </c>
      <c r="BZ22" s="352">
        <f>IF(BZ$3="","",SUMPRODUCT(--ISNUMBER(SEARCH("終身",入力データ!$F$5:$F$20)),--(IFERROR(YEAR(入力データ!$J$5:$J$20),0)&lt;=BZ$3),--(IFERROR(YEAR(入力データ!$K$5:$K$20),9999)&gt;=BZ$3),入力データ!$M$5:$M$20)*12)</f>
        <v/>
      </c>
      <c r="CA22" s="352">
        <f>IF(CA$3="","",SUMPRODUCT(--ISNUMBER(SEARCH("終身",入力データ!$F$5:$F$20)),--(IFERROR(YEAR(入力データ!$J$5:$J$20),0)&lt;=CA$3),--(IFERROR(YEAR(入力データ!$K$5:$K$20),9999)&gt;=CA$3),入力データ!$M$5:$M$20)*12)</f>
        <v/>
      </c>
      <c r="CB22" s="352">
        <f>IF(CB$3="","",SUMPRODUCT(--ISNUMBER(SEARCH("終身",入力データ!$F$5:$F$20)),--(IFERROR(YEAR(入力データ!$J$5:$J$20),0)&lt;=CB$3),--(IFERROR(YEAR(入力データ!$K$5:$K$20),9999)&gt;=CB$3),入力データ!$M$5:$M$20)*12)</f>
        <v/>
      </c>
      <c r="CC22" s="352">
        <f>IF(CC$3="","",SUMPRODUCT(--ISNUMBER(SEARCH("終身",入力データ!$F$5:$F$20)),--(IFERROR(YEAR(入力データ!$J$5:$J$20),0)&lt;=CC$3),--(IFERROR(YEAR(入力データ!$K$5:$K$20),9999)&gt;=CC$3),入力データ!$M$5:$M$20)*12)</f>
        <v/>
      </c>
      <c r="CD22" s="352">
        <f>IF(CD$3="","",SUMPRODUCT(--ISNUMBER(SEARCH("終身",入力データ!$F$5:$F$20)),--(IFERROR(YEAR(入力データ!$J$5:$J$20),0)&lt;=CD$3),--(IFERROR(YEAR(入力データ!$K$5:$K$20),9999)&gt;=CD$3),入力データ!$M$5:$M$20)*12)</f>
        <v/>
      </c>
      <c r="CE22" s="352">
        <f>IF(CE$3="","",SUMPRODUCT(--ISNUMBER(SEARCH("終身",入力データ!$F$5:$F$20)),--(IFERROR(YEAR(入力データ!$J$5:$J$20),0)&lt;=CE$3),--(IFERROR(YEAR(入力データ!$K$5:$K$20),9999)&gt;=CE$3),入力データ!$M$5:$M$20)*12)</f>
        <v/>
      </c>
      <c r="CF22" s="352">
        <f>IF(CF$3="","",SUMPRODUCT(--ISNUMBER(SEARCH("終身",入力データ!$F$5:$F$20)),--(IFERROR(YEAR(入力データ!$J$5:$J$20),0)&lt;=CF$3),--(IFERROR(YEAR(入力データ!$K$5:$K$20),9999)&gt;=CF$3),入力データ!$M$5:$M$20)*12)</f>
        <v/>
      </c>
      <c r="CG22" s="352">
        <f>IF(CG$3="","",SUMPRODUCT(--ISNUMBER(SEARCH("終身",入力データ!$F$5:$F$20)),--(IFERROR(YEAR(入力データ!$J$5:$J$20),0)&lt;=CG$3),--(IFERROR(YEAR(入力データ!$K$5:$K$20),9999)&gt;=CG$3),入力データ!$M$5:$M$20)*12)</f>
        <v/>
      </c>
      <c r="CH22" s="352">
        <f>IF(CH$3="","",SUMPRODUCT(--ISNUMBER(SEARCH("終身",入力データ!$F$5:$F$20)),--(IFERROR(YEAR(入力データ!$J$5:$J$20),0)&lt;=CH$3),--(IFERROR(YEAR(入力データ!$K$5:$K$20),9999)&gt;=CH$3),入力データ!$M$5:$M$20)*12)</f>
        <v/>
      </c>
      <c r="CI22" s="352">
        <f>IF(CI$3="","",SUMPRODUCT(--ISNUMBER(SEARCH("終身",入力データ!$F$5:$F$20)),--(IFERROR(YEAR(入力データ!$J$5:$J$20),0)&lt;=CI$3),--(IFERROR(YEAR(入力データ!$K$5:$K$20),9999)&gt;=CI$3),入力データ!$M$5:$M$20)*12)</f>
        <v/>
      </c>
      <c r="CJ22" s="352">
        <f>IF(CJ$3="","",SUMPRODUCT(--ISNUMBER(SEARCH("終身",入力データ!$F$5:$F$20)),--(IFERROR(YEAR(入力データ!$J$5:$J$20),0)&lt;=CJ$3),--(IFERROR(YEAR(入力データ!$K$5:$K$20),9999)&gt;=CJ$3),入力データ!$M$5:$M$20)*12)</f>
        <v/>
      </c>
      <c r="CK22" s="352">
        <f>IF(CK$3="","",SUMPRODUCT(--ISNUMBER(SEARCH("終身",入力データ!$F$5:$F$20)),--(IFERROR(YEAR(入力データ!$J$5:$J$20),0)&lt;=CK$3),--(IFERROR(YEAR(入力データ!$K$5:$K$20),9999)&gt;=CK$3),入力データ!$M$5:$M$20)*12)</f>
        <v/>
      </c>
      <c r="CL22" s="352">
        <f>IF(CL$3="","",SUMPRODUCT(--ISNUMBER(SEARCH("終身",入力データ!$F$5:$F$20)),--(IFERROR(YEAR(入力データ!$J$5:$J$20),0)&lt;=CL$3),--(IFERROR(YEAR(入力データ!$K$5:$K$20),9999)&gt;=CL$3),入力データ!$M$5:$M$20)*12)</f>
        <v/>
      </c>
      <c r="CM22" s="352">
        <f>IF(CM$3="","",SUMPRODUCT(--ISNUMBER(SEARCH("終身",入力データ!$F$5:$F$20)),--(IFERROR(YEAR(入力データ!$J$5:$J$20),0)&lt;=CM$3),--(IFERROR(YEAR(入力データ!$K$5:$K$20),9999)&gt;=CM$3),入力データ!$M$5:$M$20)*12)</f>
        <v/>
      </c>
      <c r="CN22" s="352">
        <f>IF(CN$3="","",SUMPRODUCT(--ISNUMBER(SEARCH("終身",入力データ!$F$5:$F$20)),--(IFERROR(YEAR(入力データ!$J$5:$J$20),0)&lt;=CN$3),--(IFERROR(YEAR(入力データ!$K$5:$K$20),9999)&gt;=CN$3),入力データ!$M$5:$M$20)*12)</f>
        <v/>
      </c>
      <c r="CO22" s="352">
        <f>IF(CO$3="","",SUMPRODUCT(--ISNUMBER(SEARCH("終身",入力データ!$F$5:$F$20)),--(IFERROR(YEAR(入力データ!$J$5:$J$20),0)&lt;=CO$3),--(IFERROR(YEAR(入力データ!$K$5:$K$20),9999)&gt;=CO$3),入力データ!$M$5:$M$20)*12)</f>
        <v/>
      </c>
      <c r="CP22" s="352">
        <f>IF(CP$3="","",SUMPRODUCT(--ISNUMBER(SEARCH("終身",入力データ!$F$5:$F$20)),--(IFERROR(YEAR(入力データ!$J$5:$J$20),0)&lt;=CP$3),--(IFERROR(YEAR(入力データ!$K$5:$K$20),9999)&gt;=CP$3),入力データ!$M$5:$M$20)*12)</f>
        <v/>
      </c>
      <c r="CQ22" s="352">
        <f>IF(CQ$3="","",SUMPRODUCT(--ISNUMBER(SEARCH("終身",入力データ!$F$5:$F$20)),--(IFERROR(YEAR(入力データ!$J$5:$J$20),0)&lt;=CQ$3),--(IFERROR(YEAR(入力データ!$K$5:$K$20),9999)&gt;=CQ$3),入力データ!$M$5:$M$20)*12)</f>
        <v/>
      </c>
      <c r="CR22" s="352">
        <f>IF(CR$3="","",SUMPRODUCT(--ISNUMBER(SEARCH("終身",入力データ!$F$5:$F$20)),--(IFERROR(YEAR(入力データ!$J$5:$J$20),0)&lt;=CR$3),--(IFERROR(YEAR(入力データ!$K$5:$K$20),9999)&gt;=CR$3),入力データ!$M$5:$M$20)*12)</f>
        <v/>
      </c>
      <c r="CS22" s="352">
        <f>IF(CS$3="","",SUMPRODUCT(--ISNUMBER(SEARCH("終身",入力データ!$F$5:$F$20)),--(IFERROR(YEAR(入力データ!$J$5:$J$20),0)&lt;=CS$3),--(IFERROR(YEAR(入力データ!$K$5:$K$20),9999)&gt;=CS$3),入力データ!$M$5:$M$20)*12)</f>
        <v/>
      </c>
      <c r="CT22" s="352">
        <f>IF(CT$3="","",SUMPRODUCT(--ISNUMBER(SEARCH("終身",入力データ!$F$5:$F$20)),--(IFERROR(YEAR(入力データ!$J$5:$J$20),0)&lt;=CT$3),--(IFERROR(YEAR(入力データ!$K$5:$K$20),9999)&gt;=CT$3),入力データ!$M$5:$M$20)*12)</f>
        <v/>
      </c>
      <c r="CU22" s="352">
        <f>IF(CU$3="","",SUMPRODUCT(--ISNUMBER(SEARCH("終身",入力データ!$F$5:$F$20)),--(IFERROR(YEAR(入力データ!$J$5:$J$20),0)&lt;=CU$3),--(IFERROR(YEAR(入力データ!$K$5:$K$20),9999)&gt;=CU$3),入力データ!$M$5:$M$20)*12)</f>
        <v/>
      </c>
      <c r="CV22" s="352">
        <f>IF(CV$3="","",SUMPRODUCT(--ISNUMBER(SEARCH("終身",入力データ!$F$5:$F$20)),--(IFERROR(YEAR(入力データ!$J$5:$J$20),0)&lt;=CV$3),--(IFERROR(YEAR(入力データ!$K$5:$K$20),9999)&gt;=CV$3),入力データ!$M$5:$M$20)*12)</f>
        <v/>
      </c>
      <c r="CW22" s="352">
        <f>IF(CW$3="","",SUMPRODUCT(--ISNUMBER(SEARCH("終身",入力データ!$F$5:$F$20)),--(IFERROR(YEAR(入力データ!$J$5:$J$20),0)&lt;=CW$3),--(IFERROR(YEAR(入力データ!$K$5:$K$20),9999)&gt;=CW$3),入力データ!$M$5:$M$20)*12)</f>
        <v/>
      </c>
    </row>
    <row r="23" ht="15" customHeight="1" s="180">
      <c r="A23" s="224" t="inlineStr">
        <is>
          <t>定期系保険料</t>
        </is>
      </c>
      <c r="B23" s="352">
        <f>IF(B$3="","",SUMPRODUCT(--ISERROR(SEARCH("終身",入力データ!$F$5:$F$20)),--(IFERROR(YEAR(入力データ!$J$5:$J$20),0)&lt;=B$3),--(IFERROR(YEAR(入力データ!$K$5:$K$20),9999)&gt;=B$3),入力データ!$M$5:$M$20)*12)</f>
        <v/>
      </c>
      <c r="C23" s="352">
        <f>IF(C$3="","",SUMPRODUCT(--ISERROR(SEARCH("終身",入力データ!$F$5:$F$20)),--(IFERROR(YEAR(入力データ!$J$5:$J$20),0)&lt;=C$3),--(IFERROR(YEAR(入力データ!$K$5:$K$20),9999)&gt;=C$3),入力データ!$M$5:$M$20)*12)</f>
        <v/>
      </c>
      <c r="D23" s="352">
        <f>IF(D$3="","",SUMPRODUCT(--ISERROR(SEARCH("終身",入力データ!$F$5:$F$20)),--(IFERROR(YEAR(入力データ!$J$5:$J$20),0)&lt;=D$3),--(IFERROR(YEAR(入力データ!$K$5:$K$20),9999)&gt;=D$3),入力データ!$M$5:$M$20)*12)</f>
        <v/>
      </c>
      <c r="E23" s="352">
        <f>IF(E$3="","",SUMPRODUCT(--ISERROR(SEARCH("終身",入力データ!$F$5:$F$20)),--(IFERROR(YEAR(入力データ!$J$5:$J$20),0)&lt;=E$3),--(IFERROR(YEAR(入力データ!$K$5:$K$20),9999)&gt;=E$3),入力データ!$M$5:$M$20)*12)</f>
        <v/>
      </c>
      <c r="F23" s="352">
        <f>IF(F$3="","",SUMPRODUCT(--ISERROR(SEARCH("終身",入力データ!$F$5:$F$20)),--(IFERROR(YEAR(入力データ!$J$5:$J$20),0)&lt;=F$3),--(IFERROR(YEAR(入力データ!$K$5:$K$20),9999)&gt;=F$3),入力データ!$M$5:$M$20)*12)</f>
        <v/>
      </c>
      <c r="G23" s="352">
        <f>IF(G$3="","",SUMPRODUCT(--ISERROR(SEARCH("終身",入力データ!$F$5:$F$20)),--(IFERROR(YEAR(入力データ!$J$5:$J$20),0)&lt;=G$3),--(IFERROR(YEAR(入力データ!$K$5:$K$20),9999)&gt;=G$3),入力データ!$M$5:$M$20)*12)</f>
        <v/>
      </c>
      <c r="H23" s="352">
        <f>IF(H$3="","",SUMPRODUCT(--ISERROR(SEARCH("終身",入力データ!$F$5:$F$20)),--(IFERROR(YEAR(入力データ!$J$5:$J$20),0)&lt;=H$3),--(IFERROR(YEAR(入力データ!$K$5:$K$20),9999)&gt;=H$3),入力データ!$M$5:$M$20)*12)</f>
        <v/>
      </c>
      <c r="I23" s="352">
        <f>IF(I$3="","",SUMPRODUCT(--ISERROR(SEARCH("終身",入力データ!$F$5:$F$20)),--(IFERROR(YEAR(入力データ!$J$5:$J$20),0)&lt;=I$3),--(IFERROR(YEAR(入力データ!$K$5:$K$20),9999)&gt;=I$3),入力データ!$M$5:$M$20)*12)</f>
        <v/>
      </c>
      <c r="J23" s="352">
        <f>IF(J$3="","",SUMPRODUCT(--ISERROR(SEARCH("終身",入力データ!$F$5:$F$20)),--(IFERROR(YEAR(入力データ!$J$5:$J$20),0)&lt;=J$3),--(IFERROR(YEAR(入力データ!$K$5:$K$20),9999)&gt;=J$3),入力データ!$M$5:$M$20)*12)</f>
        <v/>
      </c>
      <c r="K23" s="352">
        <f>IF(K$3="","",SUMPRODUCT(--ISERROR(SEARCH("終身",入力データ!$F$5:$F$20)),--(IFERROR(YEAR(入力データ!$J$5:$J$20),0)&lt;=K$3),--(IFERROR(YEAR(入力データ!$K$5:$K$20),9999)&gt;=K$3),入力データ!$M$5:$M$20)*12)</f>
        <v/>
      </c>
      <c r="L23" s="352">
        <f>IF(L$3="","",SUMPRODUCT(--ISERROR(SEARCH("終身",入力データ!$F$5:$F$20)),--(IFERROR(YEAR(入力データ!$J$5:$J$20),0)&lt;=L$3),--(IFERROR(YEAR(入力データ!$K$5:$K$20),9999)&gt;=L$3),入力データ!$M$5:$M$20)*12)</f>
        <v/>
      </c>
      <c r="M23" s="352">
        <f>IF(M$3="","",SUMPRODUCT(--ISERROR(SEARCH("終身",入力データ!$F$5:$F$20)),--(IFERROR(YEAR(入力データ!$J$5:$J$20),0)&lt;=M$3),--(IFERROR(YEAR(入力データ!$K$5:$K$20),9999)&gt;=M$3),入力データ!$M$5:$M$20)*12)</f>
        <v/>
      </c>
      <c r="N23" s="352">
        <f>IF(N$3="","",SUMPRODUCT(--ISERROR(SEARCH("終身",入力データ!$F$5:$F$20)),--(IFERROR(YEAR(入力データ!$J$5:$J$20),0)&lt;=N$3),--(IFERROR(YEAR(入力データ!$K$5:$K$20),9999)&gt;=N$3),入力データ!$M$5:$M$20)*12)</f>
        <v/>
      </c>
      <c r="O23" s="352">
        <f>IF(O$3="","",SUMPRODUCT(--ISERROR(SEARCH("終身",入力データ!$F$5:$F$20)),--(IFERROR(YEAR(入力データ!$J$5:$J$20),0)&lt;=O$3),--(IFERROR(YEAR(入力データ!$K$5:$K$20),9999)&gt;=O$3),入力データ!$M$5:$M$20)*12)</f>
        <v/>
      </c>
      <c r="P23" s="352">
        <f>IF(P$3="","",SUMPRODUCT(--ISERROR(SEARCH("終身",入力データ!$F$5:$F$20)),--(IFERROR(YEAR(入力データ!$J$5:$J$20),0)&lt;=P$3),--(IFERROR(YEAR(入力データ!$K$5:$K$20),9999)&gt;=P$3),入力データ!$M$5:$M$20)*12)</f>
        <v/>
      </c>
      <c r="Q23" s="352">
        <f>IF(Q$3="","",SUMPRODUCT(--ISERROR(SEARCH("終身",入力データ!$F$5:$F$20)),--(IFERROR(YEAR(入力データ!$J$5:$J$20),0)&lt;=Q$3),--(IFERROR(YEAR(入力データ!$K$5:$K$20),9999)&gt;=Q$3),入力データ!$M$5:$M$20)*12)</f>
        <v/>
      </c>
      <c r="R23" s="352">
        <f>IF(R$3="","",SUMPRODUCT(--ISERROR(SEARCH("終身",入力データ!$F$5:$F$20)),--(IFERROR(YEAR(入力データ!$J$5:$J$20),0)&lt;=R$3),--(IFERROR(YEAR(入力データ!$K$5:$K$20),9999)&gt;=R$3),入力データ!$M$5:$M$20)*12)</f>
        <v/>
      </c>
      <c r="S23" s="352">
        <f>IF(S$3="","",SUMPRODUCT(--ISERROR(SEARCH("終身",入力データ!$F$5:$F$20)),--(IFERROR(YEAR(入力データ!$J$5:$J$20),0)&lt;=S$3),--(IFERROR(YEAR(入力データ!$K$5:$K$20),9999)&gt;=S$3),入力データ!$M$5:$M$20)*12)</f>
        <v/>
      </c>
      <c r="T23" s="352">
        <f>IF(T$3="","",SUMPRODUCT(--ISERROR(SEARCH("終身",入力データ!$F$5:$F$20)),--(IFERROR(YEAR(入力データ!$J$5:$J$20),0)&lt;=T$3),--(IFERROR(YEAR(入力データ!$K$5:$K$20),9999)&gt;=T$3),入力データ!$M$5:$M$20)*12)</f>
        <v/>
      </c>
      <c r="U23" s="352">
        <f>IF(U$3="","",SUMPRODUCT(--ISERROR(SEARCH("終身",入力データ!$F$5:$F$20)),--(IFERROR(YEAR(入力データ!$J$5:$J$20),0)&lt;=U$3),--(IFERROR(YEAR(入力データ!$K$5:$K$20),9999)&gt;=U$3),入力データ!$M$5:$M$20)*12)</f>
        <v/>
      </c>
      <c r="V23" s="352">
        <f>IF(V$3="","",SUMPRODUCT(--ISERROR(SEARCH("終身",入力データ!$F$5:$F$20)),--(IFERROR(YEAR(入力データ!$J$5:$J$20),0)&lt;=V$3),--(IFERROR(YEAR(入力データ!$K$5:$K$20),9999)&gt;=V$3),入力データ!$M$5:$M$20)*12)</f>
        <v/>
      </c>
      <c r="W23" s="352">
        <f>IF(W$3="","",SUMPRODUCT(--ISERROR(SEARCH("終身",入力データ!$F$5:$F$20)),--(IFERROR(YEAR(入力データ!$J$5:$J$20),0)&lt;=W$3),--(IFERROR(YEAR(入力データ!$K$5:$K$20),9999)&gt;=W$3),入力データ!$M$5:$M$20)*12)</f>
        <v/>
      </c>
      <c r="X23" s="352">
        <f>IF(X$3="","",SUMPRODUCT(--ISERROR(SEARCH("終身",入力データ!$F$5:$F$20)),--(IFERROR(YEAR(入力データ!$J$5:$J$20),0)&lt;=X$3),--(IFERROR(YEAR(入力データ!$K$5:$K$20),9999)&gt;=X$3),入力データ!$M$5:$M$20)*12)</f>
        <v/>
      </c>
      <c r="Y23" s="352">
        <f>IF(Y$3="","",SUMPRODUCT(--ISERROR(SEARCH("終身",入力データ!$F$5:$F$20)),--(IFERROR(YEAR(入力データ!$J$5:$J$20),0)&lt;=Y$3),--(IFERROR(YEAR(入力データ!$K$5:$K$20),9999)&gt;=Y$3),入力データ!$M$5:$M$20)*12)</f>
        <v/>
      </c>
      <c r="Z23" s="352">
        <f>IF(Z$3="","",SUMPRODUCT(--ISERROR(SEARCH("終身",入力データ!$F$5:$F$20)),--(IFERROR(YEAR(入力データ!$J$5:$J$20),0)&lt;=Z$3),--(IFERROR(YEAR(入力データ!$K$5:$K$20),9999)&gt;=Z$3),入力データ!$M$5:$M$20)*12)</f>
        <v/>
      </c>
      <c r="AA23" s="352">
        <f>IF(AA$3="","",SUMPRODUCT(--ISERROR(SEARCH("終身",入力データ!$F$5:$F$20)),--(IFERROR(YEAR(入力データ!$J$5:$J$20),0)&lt;=AA$3),--(IFERROR(YEAR(入力データ!$K$5:$K$20),9999)&gt;=AA$3),入力データ!$M$5:$M$20)*12)</f>
        <v/>
      </c>
      <c r="AB23" s="352">
        <f>IF(AB$3="","",SUMPRODUCT(--ISERROR(SEARCH("終身",入力データ!$F$5:$F$20)),--(IFERROR(YEAR(入力データ!$J$5:$J$20),0)&lt;=AB$3),--(IFERROR(YEAR(入力データ!$K$5:$K$20),9999)&gt;=AB$3),入力データ!$M$5:$M$20)*12)</f>
        <v/>
      </c>
      <c r="AC23" s="352">
        <f>IF(AC$3="","",SUMPRODUCT(--ISERROR(SEARCH("終身",入力データ!$F$5:$F$20)),--(IFERROR(YEAR(入力データ!$J$5:$J$20),0)&lt;=AC$3),--(IFERROR(YEAR(入力データ!$K$5:$K$20),9999)&gt;=AC$3),入力データ!$M$5:$M$20)*12)</f>
        <v/>
      </c>
      <c r="AD23" s="352">
        <f>IF(AD$3="","",SUMPRODUCT(--ISERROR(SEARCH("終身",入力データ!$F$5:$F$20)),--(IFERROR(YEAR(入力データ!$J$5:$J$20),0)&lt;=AD$3),--(IFERROR(YEAR(入力データ!$K$5:$K$20),9999)&gt;=AD$3),入力データ!$M$5:$M$20)*12)</f>
        <v/>
      </c>
      <c r="AE23" s="352">
        <f>IF(AE$3="","",SUMPRODUCT(--ISERROR(SEARCH("終身",入力データ!$F$5:$F$20)),--(IFERROR(YEAR(入力データ!$J$5:$J$20),0)&lt;=AE$3),--(IFERROR(YEAR(入力データ!$K$5:$K$20),9999)&gt;=AE$3),入力データ!$M$5:$M$20)*12)</f>
        <v/>
      </c>
      <c r="AF23" s="352">
        <f>IF(AF$3="","",SUMPRODUCT(--ISERROR(SEARCH("終身",入力データ!$F$5:$F$20)),--(IFERROR(YEAR(入力データ!$J$5:$J$20),0)&lt;=AF$3),--(IFERROR(YEAR(入力データ!$K$5:$K$20),9999)&gt;=AF$3),入力データ!$M$5:$M$20)*12)</f>
        <v/>
      </c>
      <c r="AG23" s="352">
        <f>IF(AG$3="","",SUMPRODUCT(--ISERROR(SEARCH("終身",入力データ!$F$5:$F$20)),--(IFERROR(YEAR(入力データ!$J$5:$J$20),0)&lt;=AG$3),--(IFERROR(YEAR(入力データ!$K$5:$K$20),9999)&gt;=AG$3),入力データ!$M$5:$M$20)*12)</f>
        <v/>
      </c>
      <c r="AH23" s="352">
        <f>IF(AH$3="","",SUMPRODUCT(--ISERROR(SEARCH("終身",入力データ!$F$5:$F$20)),--(IFERROR(YEAR(入力データ!$J$5:$J$20),0)&lt;=AH$3),--(IFERROR(YEAR(入力データ!$K$5:$K$20),9999)&gt;=AH$3),入力データ!$M$5:$M$20)*12)</f>
        <v/>
      </c>
      <c r="AI23" s="352">
        <f>IF(AI$3="","",SUMPRODUCT(--ISERROR(SEARCH("終身",入力データ!$F$5:$F$20)),--(IFERROR(YEAR(入力データ!$J$5:$J$20),0)&lt;=AI$3),--(IFERROR(YEAR(入力データ!$K$5:$K$20),9999)&gt;=AI$3),入力データ!$M$5:$M$20)*12)</f>
        <v/>
      </c>
      <c r="AJ23" s="352">
        <f>IF(AJ$3="","",SUMPRODUCT(--ISERROR(SEARCH("終身",入力データ!$F$5:$F$20)),--(IFERROR(YEAR(入力データ!$J$5:$J$20),0)&lt;=AJ$3),--(IFERROR(YEAR(入力データ!$K$5:$K$20),9999)&gt;=AJ$3),入力データ!$M$5:$M$20)*12)</f>
        <v/>
      </c>
      <c r="AK23" s="352">
        <f>IF(AK$3="","",SUMPRODUCT(--ISERROR(SEARCH("終身",入力データ!$F$5:$F$20)),--(IFERROR(YEAR(入力データ!$J$5:$J$20),0)&lt;=AK$3),--(IFERROR(YEAR(入力データ!$K$5:$K$20),9999)&gt;=AK$3),入力データ!$M$5:$M$20)*12)</f>
        <v/>
      </c>
      <c r="AL23" s="352">
        <f>IF(AL$3="","",SUMPRODUCT(--ISERROR(SEARCH("終身",入力データ!$F$5:$F$20)),--(IFERROR(YEAR(入力データ!$J$5:$J$20),0)&lt;=AL$3),--(IFERROR(YEAR(入力データ!$K$5:$K$20),9999)&gt;=AL$3),入力データ!$M$5:$M$20)*12)</f>
        <v/>
      </c>
      <c r="AM23" s="352">
        <f>IF(AM$3="","",SUMPRODUCT(--ISERROR(SEARCH("終身",入力データ!$F$5:$F$20)),--(IFERROR(YEAR(入力データ!$J$5:$J$20),0)&lt;=AM$3),--(IFERROR(YEAR(入力データ!$K$5:$K$20),9999)&gt;=AM$3),入力データ!$M$5:$M$20)*12)</f>
        <v/>
      </c>
      <c r="AN23" s="352">
        <f>IF(AN$3="","",SUMPRODUCT(--ISERROR(SEARCH("終身",入力データ!$F$5:$F$20)),--(IFERROR(YEAR(入力データ!$J$5:$J$20),0)&lt;=AN$3),--(IFERROR(YEAR(入力データ!$K$5:$K$20),9999)&gt;=AN$3),入力データ!$M$5:$M$20)*12)</f>
        <v/>
      </c>
      <c r="AO23" s="352">
        <f>IF(AO$3="","",SUMPRODUCT(--ISERROR(SEARCH("終身",入力データ!$F$5:$F$20)),--(IFERROR(YEAR(入力データ!$J$5:$J$20),0)&lt;=AO$3),--(IFERROR(YEAR(入力データ!$K$5:$K$20),9999)&gt;=AO$3),入力データ!$M$5:$M$20)*12)</f>
        <v/>
      </c>
      <c r="AP23" s="352">
        <f>IF(AP$3="","",SUMPRODUCT(--ISERROR(SEARCH("終身",入力データ!$F$5:$F$20)),--(IFERROR(YEAR(入力データ!$J$5:$J$20),0)&lt;=AP$3),--(IFERROR(YEAR(入力データ!$K$5:$K$20),9999)&gt;=AP$3),入力データ!$M$5:$M$20)*12)</f>
        <v/>
      </c>
      <c r="AQ23" s="352">
        <f>IF(AQ$3="","",SUMPRODUCT(--ISERROR(SEARCH("終身",入力データ!$F$5:$F$20)),--(IFERROR(YEAR(入力データ!$J$5:$J$20),0)&lt;=AQ$3),--(IFERROR(YEAR(入力データ!$K$5:$K$20),9999)&gt;=AQ$3),入力データ!$M$5:$M$20)*12)</f>
        <v/>
      </c>
      <c r="AR23" s="352">
        <f>IF(AR$3="","",SUMPRODUCT(--ISERROR(SEARCH("終身",入力データ!$F$5:$F$20)),--(IFERROR(YEAR(入力データ!$J$5:$J$20),0)&lt;=AR$3),--(IFERROR(YEAR(入力データ!$K$5:$K$20),9999)&gt;=AR$3),入力データ!$M$5:$M$20)*12)</f>
        <v/>
      </c>
      <c r="AS23" s="352">
        <f>IF(AS$3="","",SUMPRODUCT(--ISERROR(SEARCH("終身",入力データ!$F$5:$F$20)),--(IFERROR(YEAR(入力データ!$J$5:$J$20),0)&lt;=AS$3),--(IFERROR(YEAR(入力データ!$K$5:$K$20),9999)&gt;=AS$3),入力データ!$M$5:$M$20)*12)</f>
        <v/>
      </c>
      <c r="AT23" s="352">
        <f>IF(AT$3="","",SUMPRODUCT(--ISERROR(SEARCH("終身",入力データ!$F$5:$F$20)),--(IFERROR(YEAR(入力データ!$J$5:$J$20),0)&lt;=AT$3),--(IFERROR(YEAR(入力データ!$K$5:$K$20),9999)&gt;=AT$3),入力データ!$M$5:$M$20)*12)</f>
        <v/>
      </c>
      <c r="AU23" s="352">
        <f>IF(AU$3="","",SUMPRODUCT(--ISERROR(SEARCH("終身",入力データ!$F$5:$F$20)),--(IFERROR(YEAR(入力データ!$J$5:$J$20),0)&lt;=AU$3),--(IFERROR(YEAR(入力データ!$K$5:$K$20),9999)&gt;=AU$3),入力データ!$M$5:$M$20)*12)</f>
        <v/>
      </c>
      <c r="AV23" s="352">
        <f>IF(AV$3="","",SUMPRODUCT(--ISERROR(SEARCH("終身",入力データ!$F$5:$F$20)),--(IFERROR(YEAR(入力データ!$J$5:$J$20),0)&lt;=AV$3),--(IFERROR(YEAR(入力データ!$K$5:$K$20),9999)&gt;=AV$3),入力データ!$M$5:$M$20)*12)</f>
        <v/>
      </c>
      <c r="AW23" s="352">
        <f>IF(AW$3="","",SUMPRODUCT(--ISERROR(SEARCH("終身",入力データ!$F$5:$F$20)),--(IFERROR(YEAR(入力データ!$J$5:$J$20),0)&lt;=AW$3),--(IFERROR(YEAR(入力データ!$K$5:$K$20),9999)&gt;=AW$3),入力データ!$M$5:$M$20)*12)</f>
        <v/>
      </c>
      <c r="AX23" s="352">
        <f>IF(AX$3="","",SUMPRODUCT(--ISERROR(SEARCH("終身",入力データ!$F$5:$F$20)),--(IFERROR(YEAR(入力データ!$J$5:$J$20),0)&lt;=AX$3),--(IFERROR(YEAR(入力データ!$K$5:$K$20),9999)&gt;=AX$3),入力データ!$M$5:$M$20)*12)</f>
        <v/>
      </c>
      <c r="AY23" s="352">
        <f>IF(AY$3="","",SUMPRODUCT(--ISERROR(SEARCH("終身",入力データ!$F$5:$F$20)),--(IFERROR(YEAR(入力データ!$J$5:$J$20),0)&lt;=AY$3),--(IFERROR(YEAR(入力データ!$K$5:$K$20),9999)&gt;=AY$3),入力データ!$M$5:$M$20)*12)</f>
        <v/>
      </c>
      <c r="AZ23" s="352">
        <f>IF(AZ$3="","",SUMPRODUCT(--ISERROR(SEARCH("終身",入力データ!$F$5:$F$20)),--(IFERROR(YEAR(入力データ!$J$5:$J$20),0)&lt;=AZ$3),--(IFERROR(YEAR(入力データ!$K$5:$K$20),9999)&gt;=AZ$3),入力データ!$M$5:$M$20)*12)</f>
        <v/>
      </c>
      <c r="BA23" s="352">
        <f>IF(BA$3="","",SUMPRODUCT(--ISERROR(SEARCH("終身",入力データ!$F$5:$F$20)),--(IFERROR(YEAR(入力データ!$J$5:$J$20),0)&lt;=BA$3),--(IFERROR(YEAR(入力データ!$K$5:$K$20),9999)&gt;=BA$3),入力データ!$M$5:$M$20)*12)</f>
        <v/>
      </c>
      <c r="BB23" s="352">
        <f>IF(BB$3="","",SUMPRODUCT(--ISERROR(SEARCH("終身",入力データ!$F$5:$F$20)),--(IFERROR(YEAR(入力データ!$J$5:$J$20),0)&lt;=BB$3),--(IFERROR(YEAR(入力データ!$K$5:$K$20),9999)&gt;=BB$3),入力データ!$M$5:$M$20)*12)</f>
        <v/>
      </c>
      <c r="BC23" s="352">
        <f>IF(BC$3="","",SUMPRODUCT(--ISERROR(SEARCH("終身",入力データ!$F$5:$F$20)),--(IFERROR(YEAR(入力データ!$J$5:$J$20),0)&lt;=BC$3),--(IFERROR(YEAR(入力データ!$K$5:$K$20),9999)&gt;=BC$3),入力データ!$M$5:$M$20)*12)</f>
        <v/>
      </c>
      <c r="BD23" s="352">
        <f>IF(BD$3="","",SUMPRODUCT(--ISERROR(SEARCH("終身",入力データ!$F$5:$F$20)),--(IFERROR(YEAR(入力データ!$J$5:$J$20),0)&lt;=BD$3),--(IFERROR(YEAR(入力データ!$K$5:$K$20),9999)&gt;=BD$3),入力データ!$M$5:$M$20)*12)</f>
        <v/>
      </c>
      <c r="BE23" s="352">
        <f>IF(BE$3="","",SUMPRODUCT(--ISERROR(SEARCH("終身",入力データ!$F$5:$F$20)),--(IFERROR(YEAR(入力データ!$J$5:$J$20),0)&lt;=BE$3),--(IFERROR(YEAR(入力データ!$K$5:$K$20),9999)&gt;=BE$3),入力データ!$M$5:$M$20)*12)</f>
        <v/>
      </c>
      <c r="BF23" s="352">
        <f>IF(BF$3="","",SUMPRODUCT(--ISERROR(SEARCH("終身",入力データ!$F$5:$F$20)),--(IFERROR(YEAR(入力データ!$J$5:$J$20),0)&lt;=BF$3),--(IFERROR(YEAR(入力データ!$K$5:$K$20),9999)&gt;=BF$3),入力データ!$M$5:$M$20)*12)</f>
        <v/>
      </c>
      <c r="BG23" s="352">
        <f>IF(BG$3="","",SUMPRODUCT(--ISERROR(SEARCH("終身",入力データ!$F$5:$F$20)),--(IFERROR(YEAR(入力データ!$J$5:$J$20),0)&lt;=BG$3),--(IFERROR(YEAR(入力データ!$K$5:$K$20),9999)&gt;=BG$3),入力データ!$M$5:$M$20)*12)</f>
        <v/>
      </c>
      <c r="BH23" s="352">
        <f>IF(BH$3="","",SUMPRODUCT(--ISERROR(SEARCH("終身",入力データ!$F$5:$F$20)),--(IFERROR(YEAR(入力データ!$J$5:$J$20),0)&lt;=BH$3),--(IFERROR(YEAR(入力データ!$K$5:$K$20),9999)&gt;=BH$3),入力データ!$M$5:$M$20)*12)</f>
        <v/>
      </c>
      <c r="BI23" s="352">
        <f>IF(BI$3="","",SUMPRODUCT(--ISERROR(SEARCH("終身",入力データ!$F$5:$F$20)),--(IFERROR(YEAR(入力データ!$J$5:$J$20),0)&lt;=BI$3),--(IFERROR(YEAR(入力データ!$K$5:$K$20),9999)&gt;=BI$3),入力データ!$M$5:$M$20)*12)</f>
        <v/>
      </c>
      <c r="BJ23" s="352">
        <f>IF(BJ$3="","",SUMPRODUCT(--ISERROR(SEARCH("終身",入力データ!$F$5:$F$20)),--(IFERROR(YEAR(入力データ!$J$5:$J$20),0)&lt;=BJ$3),--(IFERROR(YEAR(入力データ!$K$5:$K$20),9999)&gt;=BJ$3),入力データ!$M$5:$M$20)*12)</f>
        <v/>
      </c>
      <c r="BK23" s="352">
        <f>IF(BK$3="","",SUMPRODUCT(--ISERROR(SEARCH("終身",入力データ!$F$5:$F$20)),--(IFERROR(YEAR(入力データ!$J$5:$J$20),0)&lt;=BK$3),--(IFERROR(YEAR(入力データ!$K$5:$K$20),9999)&gt;=BK$3),入力データ!$M$5:$M$20)*12)</f>
        <v/>
      </c>
      <c r="BL23" s="352">
        <f>IF(BL$3="","",SUMPRODUCT(--ISERROR(SEARCH("終身",入力データ!$F$5:$F$20)),--(IFERROR(YEAR(入力データ!$J$5:$J$20),0)&lt;=BL$3),--(IFERROR(YEAR(入力データ!$K$5:$K$20),9999)&gt;=BL$3),入力データ!$M$5:$M$20)*12)</f>
        <v/>
      </c>
      <c r="BM23" s="352">
        <f>IF(BM$3="","",SUMPRODUCT(--ISERROR(SEARCH("終身",入力データ!$F$5:$F$20)),--(IFERROR(YEAR(入力データ!$J$5:$J$20),0)&lt;=BM$3),--(IFERROR(YEAR(入力データ!$K$5:$K$20),9999)&gt;=BM$3),入力データ!$M$5:$M$20)*12)</f>
        <v/>
      </c>
      <c r="BN23" s="352">
        <f>IF(BN$3="","",SUMPRODUCT(--ISERROR(SEARCH("終身",入力データ!$F$5:$F$20)),--(IFERROR(YEAR(入力データ!$J$5:$J$20),0)&lt;=BN$3),--(IFERROR(YEAR(入力データ!$K$5:$K$20),9999)&gt;=BN$3),入力データ!$M$5:$M$20)*12)</f>
        <v/>
      </c>
      <c r="BO23" s="352">
        <f>IF(BO$3="","",SUMPRODUCT(--ISERROR(SEARCH("終身",入力データ!$F$5:$F$20)),--(IFERROR(YEAR(入力データ!$J$5:$J$20),0)&lt;=BO$3),--(IFERROR(YEAR(入力データ!$K$5:$K$20),9999)&gt;=BO$3),入力データ!$M$5:$M$20)*12)</f>
        <v/>
      </c>
      <c r="BP23" s="352">
        <f>IF(BP$3="","",SUMPRODUCT(--ISERROR(SEARCH("終身",入力データ!$F$5:$F$20)),--(IFERROR(YEAR(入力データ!$J$5:$J$20),0)&lt;=BP$3),--(IFERROR(YEAR(入力データ!$K$5:$K$20),9999)&gt;=BP$3),入力データ!$M$5:$M$20)*12)</f>
        <v/>
      </c>
      <c r="BQ23" s="352">
        <f>IF(BQ$3="","",SUMPRODUCT(--ISERROR(SEARCH("終身",入力データ!$F$5:$F$20)),--(IFERROR(YEAR(入力データ!$J$5:$J$20),0)&lt;=BQ$3),--(IFERROR(YEAR(入力データ!$K$5:$K$20),9999)&gt;=BQ$3),入力データ!$M$5:$M$20)*12)</f>
        <v/>
      </c>
      <c r="BR23" s="352">
        <f>IF(BR$3="","",SUMPRODUCT(--ISERROR(SEARCH("終身",入力データ!$F$5:$F$20)),--(IFERROR(YEAR(入力データ!$J$5:$J$20),0)&lt;=BR$3),--(IFERROR(YEAR(入力データ!$K$5:$K$20),9999)&gt;=BR$3),入力データ!$M$5:$M$20)*12)</f>
        <v/>
      </c>
      <c r="BS23" s="352">
        <f>IF(BS$3="","",SUMPRODUCT(--ISERROR(SEARCH("終身",入力データ!$F$5:$F$20)),--(IFERROR(YEAR(入力データ!$J$5:$J$20),0)&lt;=BS$3),--(IFERROR(YEAR(入力データ!$K$5:$K$20),9999)&gt;=BS$3),入力データ!$M$5:$M$20)*12)</f>
        <v/>
      </c>
      <c r="BT23" s="352">
        <f>IF(BT$3="","",SUMPRODUCT(--ISERROR(SEARCH("終身",入力データ!$F$5:$F$20)),--(IFERROR(YEAR(入力データ!$J$5:$J$20),0)&lt;=BT$3),--(IFERROR(YEAR(入力データ!$K$5:$K$20),9999)&gt;=BT$3),入力データ!$M$5:$M$20)*12)</f>
        <v/>
      </c>
      <c r="BU23" s="352">
        <f>IF(BU$3="","",SUMPRODUCT(--ISERROR(SEARCH("終身",入力データ!$F$5:$F$20)),--(IFERROR(YEAR(入力データ!$J$5:$J$20),0)&lt;=BU$3),--(IFERROR(YEAR(入力データ!$K$5:$K$20),9999)&gt;=BU$3),入力データ!$M$5:$M$20)*12)</f>
        <v/>
      </c>
      <c r="BV23" s="352">
        <f>IF(BV$3="","",SUMPRODUCT(--ISERROR(SEARCH("終身",入力データ!$F$5:$F$20)),--(IFERROR(YEAR(入力データ!$J$5:$J$20),0)&lt;=BV$3),--(IFERROR(YEAR(入力データ!$K$5:$K$20),9999)&gt;=BV$3),入力データ!$M$5:$M$20)*12)</f>
        <v/>
      </c>
      <c r="BW23" s="352">
        <f>IF(BW$3="","",SUMPRODUCT(--ISERROR(SEARCH("終身",入力データ!$F$5:$F$20)),--(IFERROR(YEAR(入力データ!$J$5:$J$20),0)&lt;=BW$3),--(IFERROR(YEAR(入力データ!$K$5:$K$20),9999)&gt;=BW$3),入力データ!$M$5:$M$20)*12)</f>
        <v/>
      </c>
      <c r="BX23" s="352">
        <f>IF(BX$3="","",SUMPRODUCT(--ISERROR(SEARCH("終身",入力データ!$F$5:$F$20)),--(IFERROR(YEAR(入力データ!$J$5:$J$20),0)&lt;=BX$3),--(IFERROR(YEAR(入力データ!$K$5:$K$20),9999)&gt;=BX$3),入力データ!$M$5:$M$20)*12)</f>
        <v/>
      </c>
      <c r="BY23" s="352">
        <f>IF(BY$3="","",SUMPRODUCT(--ISERROR(SEARCH("終身",入力データ!$F$5:$F$20)),--(IFERROR(YEAR(入力データ!$J$5:$J$20),0)&lt;=BY$3),--(IFERROR(YEAR(入力データ!$K$5:$K$20),9999)&gt;=BY$3),入力データ!$M$5:$M$20)*12)</f>
        <v/>
      </c>
      <c r="BZ23" s="352">
        <f>IF(BZ$3="","",SUMPRODUCT(--ISERROR(SEARCH("終身",入力データ!$F$5:$F$20)),--(IFERROR(YEAR(入力データ!$J$5:$J$20),0)&lt;=BZ$3),--(IFERROR(YEAR(入力データ!$K$5:$K$20),9999)&gt;=BZ$3),入力データ!$M$5:$M$20)*12)</f>
        <v/>
      </c>
      <c r="CA23" s="352">
        <f>IF(CA$3="","",SUMPRODUCT(--ISERROR(SEARCH("終身",入力データ!$F$5:$F$20)),--(IFERROR(YEAR(入力データ!$J$5:$J$20),0)&lt;=CA$3),--(IFERROR(YEAR(入力データ!$K$5:$K$20),9999)&gt;=CA$3),入力データ!$M$5:$M$20)*12)</f>
        <v/>
      </c>
      <c r="CB23" s="352">
        <f>IF(CB$3="","",SUMPRODUCT(--ISERROR(SEARCH("終身",入力データ!$F$5:$F$20)),--(IFERROR(YEAR(入力データ!$J$5:$J$20),0)&lt;=CB$3),--(IFERROR(YEAR(入力データ!$K$5:$K$20),9999)&gt;=CB$3),入力データ!$M$5:$M$20)*12)</f>
        <v/>
      </c>
      <c r="CC23" s="352">
        <f>IF(CC$3="","",SUMPRODUCT(--ISERROR(SEARCH("終身",入力データ!$F$5:$F$20)),--(IFERROR(YEAR(入力データ!$J$5:$J$20),0)&lt;=CC$3),--(IFERROR(YEAR(入力データ!$K$5:$K$20),9999)&gt;=CC$3),入力データ!$M$5:$M$20)*12)</f>
        <v/>
      </c>
      <c r="CD23" s="352">
        <f>IF(CD$3="","",SUMPRODUCT(--ISERROR(SEARCH("終身",入力データ!$F$5:$F$20)),--(IFERROR(YEAR(入力データ!$J$5:$J$20),0)&lt;=CD$3),--(IFERROR(YEAR(入力データ!$K$5:$K$20),9999)&gt;=CD$3),入力データ!$M$5:$M$20)*12)</f>
        <v/>
      </c>
      <c r="CE23" s="352">
        <f>IF(CE$3="","",SUMPRODUCT(--ISERROR(SEARCH("終身",入力データ!$F$5:$F$20)),--(IFERROR(YEAR(入力データ!$J$5:$J$20),0)&lt;=CE$3),--(IFERROR(YEAR(入力データ!$K$5:$K$20),9999)&gt;=CE$3),入力データ!$M$5:$M$20)*12)</f>
        <v/>
      </c>
      <c r="CF23" s="352">
        <f>IF(CF$3="","",SUMPRODUCT(--ISERROR(SEARCH("終身",入力データ!$F$5:$F$20)),--(IFERROR(YEAR(入力データ!$J$5:$J$20),0)&lt;=CF$3),--(IFERROR(YEAR(入力データ!$K$5:$K$20),9999)&gt;=CF$3),入力データ!$M$5:$M$20)*12)</f>
        <v/>
      </c>
      <c r="CG23" s="352">
        <f>IF(CG$3="","",SUMPRODUCT(--ISERROR(SEARCH("終身",入力データ!$F$5:$F$20)),--(IFERROR(YEAR(入力データ!$J$5:$J$20),0)&lt;=CG$3),--(IFERROR(YEAR(入力データ!$K$5:$K$20),9999)&gt;=CG$3),入力データ!$M$5:$M$20)*12)</f>
        <v/>
      </c>
      <c r="CH23" s="352">
        <f>IF(CH$3="","",SUMPRODUCT(--ISERROR(SEARCH("終身",入力データ!$F$5:$F$20)),--(IFERROR(YEAR(入力データ!$J$5:$J$20),0)&lt;=CH$3),--(IFERROR(YEAR(入力データ!$K$5:$K$20),9999)&gt;=CH$3),入力データ!$M$5:$M$20)*12)</f>
        <v/>
      </c>
      <c r="CI23" s="352">
        <f>IF(CI$3="","",SUMPRODUCT(--ISERROR(SEARCH("終身",入力データ!$F$5:$F$20)),--(IFERROR(YEAR(入力データ!$J$5:$J$20),0)&lt;=CI$3),--(IFERROR(YEAR(入力データ!$K$5:$K$20),9999)&gt;=CI$3),入力データ!$M$5:$M$20)*12)</f>
        <v/>
      </c>
      <c r="CJ23" s="352">
        <f>IF(CJ$3="","",SUMPRODUCT(--ISERROR(SEARCH("終身",入力データ!$F$5:$F$20)),--(IFERROR(YEAR(入力データ!$J$5:$J$20),0)&lt;=CJ$3),--(IFERROR(YEAR(入力データ!$K$5:$K$20),9999)&gt;=CJ$3),入力データ!$M$5:$M$20)*12)</f>
        <v/>
      </c>
      <c r="CK23" s="352">
        <f>IF(CK$3="","",SUMPRODUCT(--ISERROR(SEARCH("終身",入力データ!$F$5:$F$20)),--(IFERROR(YEAR(入力データ!$J$5:$J$20),0)&lt;=CK$3),--(IFERROR(YEAR(入力データ!$K$5:$K$20),9999)&gt;=CK$3),入力データ!$M$5:$M$20)*12)</f>
        <v/>
      </c>
      <c r="CL23" s="352">
        <f>IF(CL$3="","",SUMPRODUCT(--ISERROR(SEARCH("終身",入力データ!$F$5:$F$20)),--(IFERROR(YEAR(入力データ!$J$5:$J$20),0)&lt;=CL$3),--(IFERROR(YEAR(入力データ!$K$5:$K$20),9999)&gt;=CL$3),入力データ!$M$5:$M$20)*12)</f>
        <v/>
      </c>
      <c r="CM23" s="352">
        <f>IF(CM$3="","",SUMPRODUCT(--ISERROR(SEARCH("終身",入力データ!$F$5:$F$20)),--(IFERROR(YEAR(入力データ!$J$5:$J$20),0)&lt;=CM$3),--(IFERROR(YEAR(入力データ!$K$5:$K$20),9999)&gt;=CM$3),入力データ!$M$5:$M$20)*12)</f>
        <v/>
      </c>
      <c r="CN23" s="352">
        <f>IF(CN$3="","",SUMPRODUCT(--ISERROR(SEARCH("終身",入力データ!$F$5:$F$20)),--(IFERROR(YEAR(入力データ!$J$5:$J$20),0)&lt;=CN$3),--(IFERROR(YEAR(入力データ!$K$5:$K$20),9999)&gt;=CN$3),入力データ!$M$5:$M$20)*12)</f>
        <v/>
      </c>
      <c r="CO23" s="352">
        <f>IF(CO$3="","",SUMPRODUCT(--ISERROR(SEARCH("終身",入力データ!$F$5:$F$20)),--(IFERROR(YEAR(入力データ!$J$5:$J$20),0)&lt;=CO$3),--(IFERROR(YEAR(入力データ!$K$5:$K$20),9999)&gt;=CO$3),入力データ!$M$5:$M$20)*12)</f>
        <v/>
      </c>
      <c r="CP23" s="352">
        <f>IF(CP$3="","",SUMPRODUCT(--ISERROR(SEARCH("終身",入力データ!$F$5:$F$20)),--(IFERROR(YEAR(入力データ!$J$5:$J$20),0)&lt;=CP$3),--(IFERROR(YEAR(入力データ!$K$5:$K$20),9999)&gt;=CP$3),入力データ!$M$5:$M$20)*12)</f>
        <v/>
      </c>
      <c r="CQ23" s="352">
        <f>IF(CQ$3="","",SUMPRODUCT(--ISERROR(SEARCH("終身",入力データ!$F$5:$F$20)),--(IFERROR(YEAR(入力データ!$J$5:$J$20),0)&lt;=CQ$3),--(IFERROR(YEAR(入力データ!$K$5:$K$20),9999)&gt;=CQ$3),入力データ!$M$5:$M$20)*12)</f>
        <v/>
      </c>
      <c r="CR23" s="352">
        <f>IF(CR$3="","",SUMPRODUCT(--ISERROR(SEARCH("終身",入力データ!$F$5:$F$20)),--(IFERROR(YEAR(入力データ!$J$5:$J$20),0)&lt;=CR$3),--(IFERROR(YEAR(入力データ!$K$5:$K$20),9999)&gt;=CR$3),入力データ!$M$5:$M$20)*12)</f>
        <v/>
      </c>
      <c r="CS23" s="352">
        <f>IF(CS$3="","",SUMPRODUCT(--ISERROR(SEARCH("終身",入力データ!$F$5:$F$20)),--(IFERROR(YEAR(入力データ!$J$5:$J$20),0)&lt;=CS$3),--(IFERROR(YEAR(入力データ!$K$5:$K$20),9999)&gt;=CS$3),入力データ!$M$5:$M$20)*12)</f>
        <v/>
      </c>
      <c r="CT23" s="352">
        <f>IF(CT$3="","",SUMPRODUCT(--ISERROR(SEARCH("終身",入力データ!$F$5:$F$20)),--(IFERROR(YEAR(入力データ!$J$5:$J$20),0)&lt;=CT$3),--(IFERROR(YEAR(入力データ!$K$5:$K$20),9999)&gt;=CT$3),入力データ!$M$5:$M$20)*12)</f>
        <v/>
      </c>
      <c r="CU23" s="352">
        <f>IF(CU$3="","",SUMPRODUCT(--ISERROR(SEARCH("終身",入力データ!$F$5:$F$20)),--(IFERROR(YEAR(入力データ!$J$5:$J$20),0)&lt;=CU$3),--(IFERROR(YEAR(入力データ!$K$5:$K$20),9999)&gt;=CU$3),入力データ!$M$5:$M$20)*12)</f>
        <v/>
      </c>
      <c r="CV23" s="352">
        <f>IF(CV$3="","",SUMPRODUCT(--ISERROR(SEARCH("終身",入力データ!$F$5:$F$20)),--(IFERROR(YEAR(入力データ!$J$5:$J$20),0)&lt;=CV$3),--(IFERROR(YEAR(入力データ!$K$5:$K$20),9999)&gt;=CV$3),入力データ!$M$5:$M$20)*12)</f>
        <v/>
      </c>
      <c r="CW23" s="352">
        <f>IF(CW$3="","",SUMPRODUCT(--ISERROR(SEARCH("終身",入力データ!$F$5:$F$20)),--(IFERROR(YEAR(入力データ!$J$5:$J$20),0)&lt;=CW$3),--(IFERROR(YEAR(入力データ!$K$5:$K$20),9999)&gt;=CW$3),入力データ!$M$5:$M$20)*12)</f>
        <v/>
      </c>
    </row>
    <row r="24" ht="15" customHeight="1" s="180">
      <c r="A24" s="224" t="inlineStr">
        <is>
          <t>教育費</t>
        </is>
      </c>
      <c r="B24" s="352">
        <f>IF(B$3="","",((SUM(入力データ!$C$58:$C$61)*12)+IF(B6="",0,IF(B6&lt;=5,IF(入力データ!$G$25="私立",前提条件!$C$22,前提条件!$C$21),IF(B6&lt;=11,IF(入力データ!$H$25="私立",前提条件!$C$24,前提条件!$C$23),IF(B6&lt;=14,IF(入力データ!$I$25="私立",前提条件!$C$26,前提条件!$C$25),IF(B6&lt;=17,IF(入力データ!$J$25="私立",前提条件!$C$28,前提条件!$C$27),IF(B6&lt;=21,IF(入力データ!$K$25="国公立",前提条件!$C$29,IF(入力データ!$K$25="私立理系",前提条件!$C$31,前提条件!$C$30))+IF(入力データ!$L$25="下宿",前提条件!$C$32,0)+IF(B6=18,前提条件!$C$33,0),0))))))+IF(B7="",0,IF(B7&lt;=5,IF(入力データ!$G$26="私立",前提条件!$C$22,前提条件!$C$21),IF(B7&lt;=11,IF(入力データ!$H$26="私立",前提条件!$C$24,前提条件!$C$23),IF(B7&lt;=14,IF(入力データ!$I$26="私立",前提条件!$C$26,前提条件!$C$25),IF(B7&lt;=17,IF(入力データ!$J$26="私立",前提条件!$C$28,前提条件!$C$27),IF(B7&lt;=21,IF(入力データ!$K$26="国公立",前提条件!$C$29,IF(入力データ!$K$26="私立理系",前提条件!$C$31,前提条件!$C$30))+IF(入力データ!$L$26="下宿",前提条件!$C$32,0)+IF(B7=18,前提条件!$C$33,0),0))))))+IF(B8="",0,IF(B8&lt;=5,IF(入力データ!$G$27="私立",前提条件!$C$22,前提条件!$C$21),IF(B8&lt;=11,IF(入力データ!$H$27="私立",前提条件!$C$24,前提条件!$C$23),IF(B8&lt;=14,IF(入力データ!$I$27="私立",前提条件!$C$26,前提条件!$C$25),IF(B8&lt;=17,IF(入力データ!$J$27="私立",前提条件!$C$28,前提条件!$C$27),IF(B8&lt;=21,IF(入力データ!$K$27="国公立",前提条件!$C$29,IF(入力データ!$K$27="私立理系",前提条件!$C$31,前提条件!$C$30))+IF(入力データ!$L$27="下宿",前提条件!$C$32,0)+IF(B8=18,前提条件!$C$33,0),0)))))))*(1+前提条件!$C$13)^(B$3-$B$3))</f>
        <v/>
      </c>
      <c r="C24" s="352">
        <f>IF(C$3="","",((SUM(入力データ!$C$58:$C$61)*12)+IF(C6="",0,IF(C6&lt;=5,IF(入力データ!$G$25="私立",前提条件!$C$22,前提条件!$C$21),IF(C6&lt;=11,IF(入力データ!$H$25="私立",前提条件!$C$24,前提条件!$C$23),IF(C6&lt;=14,IF(入力データ!$I$25="私立",前提条件!$C$26,前提条件!$C$25),IF(C6&lt;=17,IF(入力データ!$J$25="私立",前提条件!$C$28,前提条件!$C$27),IF(C6&lt;=21,IF(入力データ!$K$25="国公立",前提条件!$C$29,IF(入力データ!$K$25="私立理系",前提条件!$C$31,前提条件!$C$30))+IF(入力データ!$L$25="下宿",前提条件!$C$32,0)+IF(C6=18,前提条件!$C$33,0),0))))))+IF(C7="",0,IF(C7&lt;=5,IF(入力データ!$G$26="私立",前提条件!$C$22,前提条件!$C$21),IF(C7&lt;=11,IF(入力データ!$H$26="私立",前提条件!$C$24,前提条件!$C$23),IF(C7&lt;=14,IF(入力データ!$I$26="私立",前提条件!$C$26,前提条件!$C$25),IF(C7&lt;=17,IF(入力データ!$J$26="私立",前提条件!$C$28,前提条件!$C$27),IF(C7&lt;=21,IF(入力データ!$K$26="国公立",前提条件!$C$29,IF(入力データ!$K$26="私立理系",前提条件!$C$31,前提条件!$C$30))+IF(入力データ!$L$26="下宿",前提条件!$C$32,0)+IF(C7=18,前提条件!$C$33,0),0))))))+IF(C8="",0,IF(C8&lt;=5,IF(入力データ!$G$27="私立",前提条件!$C$22,前提条件!$C$21),IF(C8&lt;=11,IF(入力データ!$H$27="私立",前提条件!$C$24,前提条件!$C$23),IF(C8&lt;=14,IF(入力データ!$I$27="私立",前提条件!$C$26,前提条件!$C$25),IF(C8&lt;=17,IF(入力データ!$J$27="私立",前提条件!$C$28,前提条件!$C$27),IF(C8&lt;=21,IF(入力データ!$K$27="国公立",前提条件!$C$29,IF(入力データ!$K$27="私立理系",前提条件!$C$31,前提条件!$C$30))+IF(入力データ!$L$27="下宿",前提条件!$C$32,0)+IF(C8=18,前提条件!$C$33,0),0)))))))*(1+前提条件!$C$13)^(C$3-$B$3))</f>
        <v/>
      </c>
      <c r="D24" s="352">
        <f>IF(D$3="","",((SUM(入力データ!$C$58:$C$61)*12)+IF(D6="",0,IF(D6&lt;=5,IF(入力データ!$G$25="私立",前提条件!$C$22,前提条件!$C$21),IF(D6&lt;=11,IF(入力データ!$H$25="私立",前提条件!$C$24,前提条件!$C$23),IF(D6&lt;=14,IF(入力データ!$I$25="私立",前提条件!$C$26,前提条件!$C$25),IF(D6&lt;=17,IF(入力データ!$J$25="私立",前提条件!$C$28,前提条件!$C$27),IF(D6&lt;=21,IF(入力データ!$K$25="国公立",前提条件!$C$29,IF(入力データ!$K$25="私立理系",前提条件!$C$31,前提条件!$C$30))+IF(入力データ!$L$25="下宿",前提条件!$C$32,0)+IF(D6=18,前提条件!$C$33,0),0))))))+IF(D7="",0,IF(D7&lt;=5,IF(入力データ!$G$26="私立",前提条件!$C$22,前提条件!$C$21),IF(D7&lt;=11,IF(入力データ!$H$26="私立",前提条件!$C$24,前提条件!$C$23),IF(D7&lt;=14,IF(入力データ!$I$26="私立",前提条件!$C$26,前提条件!$C$25),IF(D7&lt;=17,IF(入力データ!$J$26="私立",前提条件!$C$28,前提条件!$C$27),IF(D7&lt;=21,IF(入力データ!$K$26="国公立",前提条件!$C$29,IF(入力データ!$K$26="私立理系",前提条件!$C$31,前提条件!$C$30))+IF(入力データ!$L$26="下宿",前提条件!$C$32,0)+IF(D7=18,前提条件!$C$33,0),0))))))+IF(D8="",0,IF(D8&lt;=5,IF(入力データ!$G$27="私立",前提条件!$C$22,前提条件!$C$21),IF(D8&lt;=11,IF(入力データ!$H$27="私立",前提条件!$C$24,前提条件!$C$23),IF(D8&lt;=14,IF(入力データ!$I$27="私立",前提条件!$C$26,前提条件!$C$25),IF(D8&lt;=17,IF(入力データ!$J$27="私立",前提条件!$C$28,前提条件!$C$27),IF(D8&lt;=21,IF(入力データ!$K$27="国公立",前提条件!$C$29,IF(入力データ!$K$27="私立理系",前提条件!$C$31,前提条件!$C$30))+IF(入力データ!$L$27="下宿",前提条件!$C$32,0)+IF(D8=18,前提条件!$C$33,0),0)))))))*(1+前提条件!$C$13)^(D$3-$B$3))</f>
        <v/>
      </c>
      <c r="E24" s="352">
        <f>IF(E$3="","",((SUM(入力データ!$C$58:$C$61)*12)+IF(E6="",0,IF(E6&lt;=5,IF(入力データ!$G$25="私立",前提条件!$C$22,前提条件!$C$21),IF(E6&lt;=11,IF(入力データ!$H$25="私立",前提条件!$C$24,前提条件!$C$23),IF(E6&lt;=14,IF(入力データ!$I$25="私立",前提条件!$C$26,前提条件!$C$25),IF(E6&lt;=17,IF(入力データ!$J$25="私立",前提条件!$C$28,前提条件!$C$27),IF(E6&lt;=21,IF(入力データ!$K$25="国公立",前提条件!$C$29,IF(入力データ!$K$25="私立理系",前提条件!$C$31,前提条件!$C$30))+IF(入力データ!$L$25="下宿",前提条件!$C$32,0)+IF(E6=18,前提条件!$C$33,0),0))))))+IF(E7="",0,IF(E7&lt;=5,IF(入力データ!$G$26="私立",前提条件!$C$22,前提条件!$C$21),IF(E7&lt;=11,IF(入力データ!$H$26="私立",前提条件!$C$24,前提条件!$C$23),IF(E7&lt;=14,IF(入力データ!$I$26="私立",前提条件!$C$26,前提条件!$C$25),IF(E7&lt;=17,IF(入力データ!$J$26="私立",前提条件!$C$28,前提条件!$C$27),IF(E7&lt;=21,IF(入力データ!$K$26="国公立",前提条件!$C$29,IF(入力データ!$K$26="私立理系",前提条件!$C$31,前提条件!$C$30))+IF(入力データ!$L$26="下宿",前提条件!$C$32,0)+IF(E7=18,前提条件!$C$33,0),0))))))+IF(E8="",0,IF(E8&lt;=5,IF(入力データ!$G$27="私立",前提条件!$C$22,前提条件!$C$21),IF(E8&lt;=11,IF(入力データ!$H$27="私立",前提条件!$C$24,前提条件!$C$23),IF(E8&lt;=14,IF(入力データ!$I$27="私立",前提条件!$C$26,前提条件!$C$25),IF(E8&lt;=17,IF(入力データ!$J$27="私立",前提条件!$C$28,前提条件!$C$27),IF(E8&lt;=21,IF(入力データ!$K$27="国公立",前提条件!$C$29,IF(入力データ!$K$27="私立理系",前提条件!$C$31,前提条件!$C$30))+IF(入力データ!$L$27="下宿",前提条件!$C$32,0)+IF(E8=18,前提条件!$C$33,0),0)))))))*(1+前提条件!$C$13)^(E$3-$B$3))</f>
        <v/>
      </c>
      <c r="F24" s="352">
        <f>IF(F$3="","",((SUM(入力データ!$C$58:$C$61)*12)+IF(F6="",0,IF(F6&lt;=5,IF(入力データ!$G$25="私立",前提条件!$C$22,前提条件!$C$21),IF(F6&lt;=11,IF(入力データ!$H$25="私立",前提条件!$C$24,前提条件!$C$23),IF(F6&lt;=14,IF(入力データ!$I$25="私立",前提条件!$C$26,前提条件!$C$25),IF(F6&lt;=17,IF(入力データ!$J$25="私立",前提条件!$C$28,前提条件!$C$27),IF(F6&lt;=21,IF(入力データ!$K$25="国公立",前提条件!$C$29,IF(入力データ!$K$25="私立理系",前提条件!$C$31,前提条件!$C$30))+IF(入力データ!$L$25="下宿",前提条件!$C$32,0)+IF(F6=18,前提条件!$C$33,0),0))))))+IF(F7="",0,IF(F7&lt;=5,IF(入力データ!$G$26="私立",前提条件!$C$22,前提条件!$C$21),IF(F7&lt;=11,IF(入力データ!$H$26="私立",前提条件!$C$24,前提条件!$C$23),IF(F7&lt;=14,IF(入力データ!$I$26="私立",前提条件!$C$26,前提条件!$C$25),IF(F7&lt;=17,IF(入力データ!$J$26="私立",前提条件!$C$28,前提条件!$C$27),IF(F7&lt;=21,IF(入力データ!$K$26="国公立",前提条件!$C$29,IF(入力データ!$K$26="私立理系",前提条件!$C$31,前提条件!$C$30))+IF(入力データ!$L$26="下宿",前提条件!$C$32,0)+IF(F7=18,前提条件!$C$33,0),0))))))+IF(F8="",0,IF(F8&lt;=5,IF(入力データ!$G$27="私立",前提条件!$C$22,前提条件!$C$21),IF(F8&lt;=11,IF(入力データ!$H$27="私立",前提条件!$C$24,前提条件!$C$23),IF(F8&lt;=14,IF(入力データ!$I$27="私立",前提条件!$C$26,前提条件!$C$25),IF(F8&lt;=17,IF(入力データ!$J$27="私立",前提条件!$C$28,前提条件!$C$27),IF(F8&lt;=21,IF(入力データ!$K$27="国公立",前提条件!$C$29,IF(入力データ!$K$27="私立理系",前提条件!$C$31,前提条件!$C$30))+IF(入力データ!$L$27="下宿",前提条件!$C$32,0)+IF(F8=18,前提条件!$C$33,0),0)))))))*(1+前提条件!$C$13)^(F$3-$B$3))</f>
        <v/>
      </c>
      <c r="G24" s="352">
        <f>IF(G$3="","",((SUM(入力データ!$C$58:$C$61)*12)+IF(G6="",0,IF(G6&lt;=5,IF(入力データ!$G$25="私立",前提条件!$C$22,前提条件!$C$21),IF(G6&lt;=11,IF(入力データ!$H$25="私立",前提条件!$C$24,前提条件!$C$23),IF(G6&lt;=14,IF(入力データ!$I$25="私立",前提条件!$C$26,前提条件!$C$25),IF(G6&lt;=17,IF(入力データ!$J$25="私立",前提条件!$C$28,前提条件!$C$27),IF(G6&lt;=21,IF(入力データ!$K$25="国公立",前提条件!$C$29,IF(入力データ!$K$25="私立理系",前提条件!$C$31,前提条件!$C$30))+IF(入力データ!$L$25="下宿",前提条件!$C$32,0)+IF(G6=18,前提条件!$C$33,0),0))))))+IF(G7="",0,IF(G7&lt;=5,IF(入力データ!$G$26="私立",前提条件!$C$22,前提条件!$C$21),IF(G7&lt;=11,IF(入力データ!$H$26="私立",前提条件!$C$24,前提条件!$C$23),IF(G7&lt;=14,IF(入力データ!$I$26="私立",前提条件!$C$26,前提条件!$C$25),IF(G7&lt;=17,IF(入力データ!$J$26="私立",前提条件!$C$28,前提条件!$C$27),IF(G7&lt;=21,IF(入力データ!$K$26="国公立",前提条件!$C$29,IF(入力データ!$K$26="私立理系",前提条件!$C$31,前提条件!$C$30))+IF(入力データ!$L$26="下宿",前提条件!$C$32,0)+IF(G7=18,前提条件!$C$33,0),0))))))+IF(G8="",0,IF(G8&lt;=5,IF(入力データ!$G$27="私立",前提条件!$C$22,前提条件!$C$21),IF(G8&lt;=11,IF(入力データ!$H$27="私立",前提条件!$C$24,前提条件!$C$23),IF(G8&lt;=14,IF(入力データ!$I$27="私立",前提条件!$C$26,前提条件!$C$25),IF(G8&lt;=17,IF(入力データ!$J$27="私立",前提条件!$C$28,前提条件!$C$27),IF(G8&lt;=21,IF(入力データ!$K$27="国公立",前提条件!$C$29,IF(入力データ!$K$27="私立理系",前提条件!$C$31,前提条件!$C$30))+IF(入力データ!$L$27="下宿",前提条件!$C$32,0)+IF(G8=18,前提条件!$C$33,0),0)))))))*(1+前提条件!$C$13)^(G$3-$B$3))</f>
        <v/>
      </c>
      <c r="H24" s="352">
        <f>IF(H$3="","",((SUM(入力データ!$C$58:$C$61)*12)+IF(H6="",0,IF(H6&lt;=5,IF(入力データ!$G$25="私立",前提条件!$C$22,前提条件!$C$21),IF(H6&lt;=11,IF(入力データ!$H$25="私立",前提条件!$C$24,前提条件!$C$23),IF(H6&lt;=14,IF(入力データ!$I$25="私立",前提条件!$C$26,前提条件!$C$25),IF(H6&lt;=17,IF(入力データ!$J$25="私立",前提条件!$C$28,前提条件!$C$27),IF(H6&lt;=21,IF(入力データ!$K$25="国公立",前提条件!$C$29,IF(入力データ!$K$25="私立理系",前提条件!$C$31,前提条件!$C$30))+IF(入力データ!$L$25="下宿",前提条件!$C$32,0)+IF(H6=18,前提条件!$C$33,0),0))))))+IF(H7="",0,IF(H7&lt;=5,IF(入力データ!$G$26="私立",前提条件!$C$22,前提条件!$C$21),IF(H7&lt;=11,IF(入力データ!$H$26="私立",前提条件!$C$24,前提条件!$C$23),IF(H7&lt;=14,IF(入力データ!$I$26="私立",前提条件!$C$26,前提条件!$C$25),IF(H7&lt;=17,IF(入力データ!$J$26="私立",前提条件!$C$28,前提条件!$C$27),IF(H7&lt;=21,IF(入力データ!$K$26="国公立",前提条件!$C$29,IF(入力データ!$K$26="私立理系",前提条件!$C$31,前提条件!$C$30))+IF(入力データ!$L$26="下宿",前提条件!$C$32,0)+IF(H7=18,前提条件!$C$33,0),0))))))+IF(H8="",0,IF(H8&lt;=5,IF(入力データ!$G$27="私立",前提条件!$C$22,前提条件!$C$21),IF(H8&lt;=11,IF(入力データ!$H$27="私立",前提条件!$C$24,前提条件!$C$23),IF(H8&lt;=14,IF(入力データ!$I$27="私立",前提条件!$C$26,前提条件!$C$25),IF(H8&lt;=17,IF(入力データ!$J$27="私立",前提条件!$C$28,前提条件!$C$27),IF(H8&lt;=21,IF(入力データ!$K$27="国公立",前提条件!$C$29,IF(入力データ!$K$27="私立理系",前提条件!$C$31,前提条件!$C$30))+IF(入力データ!$L$27="下宿",前提条件!$C$32,0)+IF(H8=18,前提条件!$C$33,0),0)))))))*(1+前提条件!$C$13)^(H$3-$B$3))</f>
        <v/>
      </c>
      <c r="I24" s="352">
        <f>IF(I$3="","",((SUM(入力データ!$C$58:$C$61)*12)+IF(I6="",0,IF(I6&lt;=5,IF(入力データ!$G$25="私立",前提条件!$C$22,前提条件!$C$21),IF(I6&lt;=11,IF(入力データ!$H$25="私立",前提条件!$C$24,前提条件!$C$23),IF(I6&lt;=14,IF(入力データ!$I$25="私立",前提条件!$C$26,前提条件!$C$25),IF(I6&lt;=17,IF(入力データ!$J$25="私立",前提条件!$C$28,前提条件!$C$27),IF(I6&lt;=21,IF(入力データ!$K$25="国公立",前提条件!$C$29,IF(入力データ!$K$25="私立理系",前提条件!$C$31,前提条件!$C$30))+IF(入力データ!$L$25="下宿",前提条件!$C$32,0)+IF(I6=18,前提条件!$C$33,0),0))))))+IF(I7="",0,IF(I7&lt;=5,IF(入力データ!$G$26="私立",前提条件!$C$22,前提条件!$C$21),IF(I7&lt;=11,IF(入力データ!$H$26="私立",前提条件!$C$24,前提条件!$C$23),IF(I7&lt;=14,IF(入力データ!$I$26="私立",前提条件!$C$26,前提条件!$C$25),IF(I7&lt;=17,IF(入力データ!$J$26="私立",前提条件!$C$28,前提条件!$C$27),IF(I7&lt;=21,IF(入力データ!$K$26="国公立",前提条件!$C$29,IF(入力データ!$K$26="私立理系",前提条件!$C$31,前提条件!$C$30))+IF(入力データ!$L$26="下宿",前提条件!$C$32,0)+IF(I7=18,前提条件!$C$33,0),0))))))+IF(I8="",0,IF(I8&lt;=5,IF(入力データ!$G$27="私立",前提条件!$C$22,前提条件!$C$21),IF(I8&lt;=11,IF(入力データ!$H$27="私立",前提条件!$C$24,前提条件!$C$23),IF(I8&lt;=14,IF(入力データ!$I$27="私立",前提条件!$C$26,前提条件!$C$25),IF(I8&lt;=17,IF(入力データ!$J$27="私立",前提条件!$C$28,前提条件!$C$27),IF(I8&lt;=21,IF(入力データ!$K$27="国公立",前提条件!$C$29,IF(入力データ!$K$27="私立理系",前提条件!$C$31,前提条件!$C$30))+IF(入力データ!$L$27="下宿",前提条件!$C$32,0)+IF(I8=18,前提条件!$C$33,0),0)))))))*(1+前提条件!$C$13)^(I$3-$B$3))</f>
        <v/>
      </c>
      <c r="J24" s="352">
        <f>IF(J$3="","",((SUM(入力データ!$C$58:$C$61)*12)+IF(J6="",0,IF(J6&lt;=5,IF(入力データ!$G$25="私立",前提条件!$C$22,前提条件!$C$21),IF(J6&lt;=11,IF(入力データ!$H$25="私立",前提条件!$C$24,前提条件!$C$23),IF(J6&lt;=14,IF(入力データ!$I$25="私立",前提条件!$C$26,前提条件!$C$25),IF(J6&lt;=17,IF(入力データ!$J$25="私立",前提条件!$C$28,前提条件!$C$27),IF(J6&lt;=21,IF(入力データ!$K$25="国公立",前提条件!$C$29,IF(入力データ!$K$25="私立理系",前提条件!$C$31,前提条件!$C$30))+IF(入力データ!$L$25="下宿",前提条件!$C$32,0)+IF(J6=18,前提条件!$C$33,0),0))))))+IF(J7="",0,IF(J7&lt;=5,IF(入力データ!$G$26="私立",前提条件!$C$22,前提条件!$C$21),IF(J7&lt;=11,IF(入力データ!$H$26="私立",前提条件!$C$24,前提条件!$C$23),IF(J7&lt;=14,IF(入力データ!$I$26="私立",前提条件!$C$26,前提条件!$C$25),IF(J7&lt;=17,IF(入力データ!$J$26="私立",前提条件!$C$28,前提条件!$C$27),IF(J7&lt;=21,IF(入力データ!$K$26="国公立",前提条件!$C$29,IF(入力データ!$K$26="私立理系",前提条件!$C$31,前提条件!$C$30))+IF(入力データ!$L$26="下宿",前提条件!$C$32,0)+IF(J7=18,前提条件!$C$33,0),0))))))+IF(J8="",0,IF(J8&lt;=5,IF(入力データ!$G$27="私立",前提条件!$C$22,前提条件!$C$21),IF(J8&lt;=11,IF(入力データ!$H$27="私立",前提条件!$C$24,前提条件!$C$23),IF(J8&lt;=14,IF(入力データ!$I$27="私立",前提条件!$C$26,前提条件!$C$25),IF(J8&lt;=17,IF(入力データ!$J$27="私立",前提条件!$C$28,前提条件!$C$27),IF(J8&lt;=21,IF(入力データ!$K$27="国公立",前提条件!$C$29,IF(入力データ!$K$27="私立理系",前提条件!$C$31,前提条件!$C$30))+IF(入力データ!$L$27="下宿",前提条件!$C$32,0)+IF(J8=18,前提条件!$C$33,0),0)))))))*(1+前提条件!$C$13)^(J$3-$B$3))</f>
        <v/>
      </c>
      <c r="K24" s="352">
        <f>IF(K$3="","",((SUM(入力データ!$C$58:$C$61)*12)+IF(K6="",0,IF(K6&lt;=5,IF(入力データ!$G$25="私立",前提条件!$C$22,前提条件!$C$21),IF(K6&lt;=11,IF(入力データ!$H$25="私立",前提条件!$C$24,前提条件!$C$23),IF(K6&lt;=14,IF(入力データ!$I$25="私立",前提条件!$C$26,前提条件!$C$25),IF(K6&lt;=17,IF(入力データ!$J$25="私立",前提条件!$C$28,前提条件!$C$27),IF(K6&lt;=21,IF(入力データ!$K$25="国公立",前提条件!$C$29,IF(入力データ!$K$25="私立理系",前提条件!$C$31,前提条件!$C$30))+IF(入力データ!$L$25="下宿",前提条件!$C$32,0)+IF(K6=18,前提条件!$C$33,0),0))))))+IF(K7="",0,IF(K7&lt;=5,IF(入力データ!$G$26="私立",前提条件!$C$22,前提条件!$C$21),IF(K7&lt;=11,IF(入力データ!$H$26="私立",前提条件!$C$24,前提条件!$C$23),IF(K7&lt;=14,IF(入力データ!$I$26="私立",前提条件!$C$26,前提条件!$C$25),IF(K7&lt;=17,IF(入力データ!$J$26="私立",前提条件!$C$28,前提条件!$C$27),IF(K7&lt;=21,IF(入力データ!$K$26="国公立",前提条件!$C$29,IF(入力データ!$K$26="私立理系",前提条件!$C$31,前提条件!$C$30))+IF(入力データ!$L$26="下宿",前提条件!$C$32,0)+IF(K7=18,前提条件!$C$33,0),0))))))+IF(K8="",0,IF(K8&lt;=5,IF(入力データ!$G$27="私立",前提条件!$C$22,前提条件!$C$21),IF(K8&lt;=11,IF(入力データ!$H$27="私立",前提条件!$C$24,前提条件!$C$23),IF(K8&lt;=14,IF(入力データ!$I$27="私立",前提条件!$C$26,前提条件!$C$25),IF(K8&lt;=17,IF(入力データ!$J$27="私立",前提条件!$C$28,前提条件!$C$27),IF(K8&lt;=21,IF(入力データ!$K$27="国公立",前提条件!$C$29,IF(入力データ!$K$27="私立理系",前提条件!$C$31,前提条件!$C$30))+IF(入力データ!$L$27="下宿",前提条件!$C$32,0)+IF(K8=18,前提条件!$C$33,0),0)))))))*(1+前提条件!$C$13)^(K$3-$B$3))</f>
        <v/>
      </c>
      <c r="L24" s="352">
        <f>IF(L$3="","",((SUM(入力データ!$C$58:$C$61)*12)+IF(L6="",0,IF(L6&lt;=5,IF(入力データ!$G$25="私立",前提条件!$C$22,前提条件!$C$21),IF(L6&lt;=11,IF(入力データ!$H$25="私立",前提条件!$C$24,前提条件!$C$23),IF(L6&lt;=14,IF(入力データ!$I$25="私立",前提条件!$C$26,前提条件!$C$25),IF(L6&lt;=17,IF(入力データ!$J$25="私立",前提条件!$C$28,前提条件!$C$27),IF(L6&lt;=21,IF(入力データ!$K$25="国公立",前提条件!$C$29,IF(入力データ!$K$25="私立理系",前提条件!$C$31,前提条件!$C$30))+IF(入力データ!$L$25="下宿",前提条件!$C$32,0)+IF(L6=18,前提条件!$C$33,0),0))))))+IF(L7="",0,IF(L7&lt;=5,IF(入力データ!$G$26="私立",前提条件!$C$22,前提条件!$C$21),IF(L7&lt;=11,IF(入力データ!$H$26="私立",前提条件!$C$24,前提条件!$C$23),IF(L7&lt;=14,IF(入力データ!$I$26="私立",前提条件!$C$26,前提条件!$C$25),IF(L7&lt;=17,IF(入力データ!$J$26="私立",前提条件!$C$28,前提条件!$C$27),IF(L7&lt;=21,IF(入力データ!$K$26="国公立",前提条件!$C$29,IF(入力データ!$K$26="私立理系",前提条件!$C$31,前提条件!$C$30))+IF(入力データ!$L$26="下宿",前提条件!$C$32,0)+IF(L7=18,前提条件!$C$33,0),0))))))+IF(L8="",0,IF(L8&lt;=5,IF(入力データ!$G$27="私立",前提条件!$C$22,前提条件!$C$21),IF(L8&lt;=11,IF(入力データ!$H$27="私立",前提条件!$C$24,前提条件!$C$23),IF(L8&lt;=14,IF(入力データ!$I$27="私立",前提条件!$C$26,前提条件!$C$25),IF(L8&lt;=17,IF(入力データ!$J$27="私立",前提条件!$C$28,前提条件!$C$27),IF(L8&lt;=21,IF(入力データ!$K$27="国公立",前提条件!$C$29,IF(入力データ!$K$27="私立理系",前提条件!$C$31,前提条件!$C$30))+IF(入力データ!$L$27="下宿",前提条件!$C$32,0)+IF(L8=18,前提条件!$C$33,0),0)))))))*(1+前提条件!$C$13)^(L$3-$B$3))</f>
        <v/>
      </c>
      <c r="M24" s="352">
        <f>IF(M$3="","",((SUM(入力データ!$C$58:$C$61)*12)+IF(M6="",0,IF(M6&lt;=5,IF(入力データ!$G$25="私立",前提条件!$C$22,前提条件!$C$21),IF(M6&lt;=11,IF(入力データ!$H$25="私立",前提条件!$C$24,前提条件!$C$23),IF(M6&lt;=14,IF(入力データ!$I$25="私立",前提条件!$C$26,前提条件!$C$25),IF(M6&lt;=17,IF(入力データ!$J$25="私立",前提条件!$C$28,前提条件!$C$27),IF(M6&lt;=21,IF(入力データ!$K$25="国公立",前提条件!$C$29,IF(入力データ!$K$25="私立理系",前提条件!$C$31,前提条件!$C$30))+IF(入力データ!$L$25="下宿",前提条件!$C$32,0)+IF(M6=18,前提条件!$C$33,0),0))))))+IF(M7="",0,IF(M7&lt;=5,IF(入力データ!$G$26="私立",前提条件!$C$22,前提条件!$C$21),IF(M7&lt;=11,IF(入力データ!$H$26="私立",前提条件!$C$24,前提条件!$C$23),IF(M7&lt;=14,IF(入力データ!$I$26="私立",前提条件!$C$26,前提条件!$C$25),IF(M7&lt;=17,IF(入力データ!$J$26="私立",前提条件!$C$28,前提条件!$C$27),IF(M7&lt;=21,IF(入力データ!$K$26="国公立",前提条件!$C$29,IF(入力データ!$K$26="私立理系",前提条件!$C$31,前提条件!$C$30))+IF(入力データ!$L$26="下宿",前提条件!$C$32,0)+IF(M7=18,前提条件!$C$33,0),0))))))+IF(M8="",0,IF(M8&lt;=5,IF(入力データ!$G$27="私立",前提条件!$C$22,前提条件!$C$21),IF(M8&lt;=11,IF(入力データ!$H$27="私立",前提条件!$C$24,前提条件!$C$23),IF(M8&lt;=14,IF(入力データ!$I$27="私立",前提条件!$C$26,前提条件!$C$25),IF(M8&lt;=17,IF(入力データ!$J$27="私立",前提条件!$C$28,前提条件!$C$27),IF(M8&lt;=21,IF(入力データ!$K$27="国公立",前提条件!$C$29,IF(入力データ!$K$27="私立理系",前提条件!$C$31,前提条件!$C$30))+IF(入力データ!$L$27="下宿",前提条件!$C$32,0)+IF(M8=18,前提条件!$C$33,0),0)))))))*(1+前提条件!$C$13)^(M$3-$B$3))</f>
        <v/>
      </c>
      <c r="N24" s="352">
        <f>IF(N$3="","",((SUM(入力データ!$C$58:$C$61)*12)+IF(N6="",0,IF(N6&lt;=5,IF(入力データ!$G$25="私立",前提条件!$C$22,前提条件!$C$21),IF(N6&lt;=11,IF(入力データ!$H$25="私立",前提条件!$C$24,前提条件!$C$23),IF(N6&lt;=14,IF(入力データ!$I$25="私立",前提条件!$C$26,前提条件!$C$25),IF(N6&lt;=17,IF(入力データ!$J$25="私立",前提条件!$C$28,前提条件!$C$27),IF(N6&lt;=21,IF(入力データ!$K$25="国公立",前提条件!$C$29,IF(入力データ!$K$25="私立理系",前提条件!$C$31,前提条件!$C$30))+IF(入力データ!$L$25="下宿",前提条件!$C$32,0)+IF(N6=18,前提条件!$C$33,0),0))))))+IF(N7="",0,IF(N7&lt;=5,IF(入力データ!$G$26="私立",前提条件!$C$22,前提条件!$C$21),IF(N7&lt;=11,IF(入力データ!$H$26="私立",前提条件!$C$24,前提条件!$C$23),IF(N7&lt;=14,IF(入力データ!$I$26="私立",前提条件!$C$26,前提条件!$C$25),IF(N7&lt;=17,IF(入力データ!$J$26="私立",前提条件!$C$28,前提条件!$C$27),IF(N7&lt;=21,IF(入力データ!$K$26="国公立",前提条件!$C$29,IF(入力データ!$K$26="私立理系",前提条件!$C$31,前提条件!$C$30))+IF(入力データ!$L$26="下宿",前提条件!$C$32,0)+IF(N7=18,前提条件!$C$33,0),0))))))+IF(N8="",0,IF(N8&lt;=5,IF(入力データ!$G$27="私立",前提条件!$C$22,前提条件!$C$21),IF(N8&lt;=11,IF(入力データ!$H$27="私立",前提条件!$C$24,前提条件!$C$23),IF(N8&lt;=14,IF(入力データ!$I$27="私立",前提条件!$C$26,前提条件!$C$25),IF(N8&lt;=17,IF(入力データ!$J$27="私立",前提条件!$C$28,前提条件!$C$27),IF(N8&lt;=21,IF(入力データ!$K$27="国公立",前提条件!$C$29,IF(入力データ!$K$27="私立理系",前提条件!$C$31,前提条件!$C$30))+IF(入力データ!$L$27="下宿",前提条件!$C$32,0)+IF(N8=18,前提条件!$C$33,0),0)))))))*(1+前提条件!$C$13)^(N$3-$B$3))</f>
        <v/>
      </c>
      <c r="O24" s="352">
        <f>IF(O$3="","",((SUM(入力データ!$C$58:$C$61)*12)+IF(O6="",0,IF(O6&lt;=5,IF(入力データ!$G$25="私立",前提条件!$C$22,前提条件!$C$21),IF(O6&lt;=11,IF(入力データ!$H$25="私立",前提条件!$C$24,前提条件!$C$23),IF(O6&lt;=14,IF(入力データ!$I$25="私立",前提条件!$C$26,前提条件!$C$25),IF(O6&lt;=17,IF(入力データ!$J$25="私立",前提条件!$C$28,前提条件!$C$27),IF(O6&lt;=21,IF(入力データ!$K$25="国公立",前提条件!$C$29,IF(入力データ!$K$25="私立理系",前提条件!$C$31,前提条件!$C$30))+IF(入力データ!$L$25="下宿",前提条件!$C$32,0)+IF(O6=18,前提条件!$C$33,0),0))))))+IF(O7="",0,IF(O7&lt;=5,IF(入力データ!$G$26="私立",前提条件!$C$22,前提条件!$C$21),IF(O7&lt;=11,IF(入力データ!$H$26="私立",前提条件!$C$24,前提条件!$C$23),IF(O7&lt;=14,IF(入力データ!$I$26="私立",前提条件!$C$26,前提条件!$C$25),IF(O7&lt;=17,IF(入力データ!$J$26="私立",前提条件!$C$28,前提条件!$C$27),IF(O7&lt;=21,IF(入力データ!$K$26="国公立",前提条件!$C$29,IF(入力データ!$K$26="私立理系",前提条件!$C$31,前提条件!$C$30))+IF(入力データ!$L$26="下宿",前提条件!$C$32,0)+IF(O7=18,前提条件!$C$33,0),0))))))+IF(O8="",0,IF(O8&lt;=5,IF(入力データ!$G$27="私立",前提条件!$C$22,前提条件!$C$21),IF(O8&lt;=11,IF(入力データ!$H$27="私立",前提条件!$C$24,前提条件!$C$23),IF(O8&lt;=14,IF(入力データ!$I$27="私立",前提条件!$C$26,前提条件!$C$25),IF(O8&lt;=17,IF(入力データ!$J$27="私立",前提条件!$C$28,前提条件!$C$27),IF(O8&lt;=21,IF(入力データ!$K$27="国公立",前提条件!$C$29,IF(入力データ!$K$27="私立理系",前提条件!$C$31,前提条件!$C$30))+IF(入力データ!$L$27="下宿",前提条件!$C$32,0)+IF(O8=18,前提条件!$C$33,0),0)))))))*(1+前提条件!$C$13)^(O$3-$B$3))</f>
        <v/>
      </c>
      <c r="P24" s="352">
        <f>IF(P$3="","",((SUM(入力データ!$C$58:$C$61)*12)+IF(P6="",0,IF(P6&lt;=5,IF(入力データ!$G$25="私立",前提条件!$C$22,前提条件!$C$21),IF(P6&lt;=11,IF(入力データ!$H$25="私立",前提条件!$C$24,前提条件!$C$23),IF(P6&lt;=14,IF(入力データ!$I$25="私立",前提条件!$C$26,前提条件!$C$25),IF(P6&lt;=17,IF(入力データ!$J$25="私立",前提条件!$C$28,前提条件!$C$27),IF(P6&lt;=21,IF(入力データ!$K$25="国公立",前提条件!$C$29,IF(入力データ!$K$25="私立理系",前提条件!$C$31,前提条件!$C$30))+IF(入力データ!$L$25="下宿",前提条件!$C$32,0)+IF(P6=18,前提条件!$C$33,0),0))))))+IF(P7="",0,IF(P7&lt;=5,IF(入力データ!$G$26="私立",前提条件!$C$22,前提条件!$C$21),IF(P7&lt;=11,IF(入力データ!$H$26="私立",前提条件!$C$24,前提条件!$C$23),IF(P7&lt;=14,IF(入力データ!$I$26="私立",前提条件!$C$26,前提条件!$C$25),IF(P7&lt;=17,IF(入力データ!$J$26="私立",前提条件!$C$28,前提条件!$C$27),IF(P7&lt;=21,IF(入力データ!$K$26="国公立",前提条件!$C$29,IF(入力データ!$K$26="私立理系",前提条件!$C$31,前提条件!$C$30))+IF(入力データ!$L$26="下宿",前提条件!$C$32,0)+IF(P7=18,前提条件!$C$33,0),0))))))+IF(P8="",0,IF(P8&lt;=5,IF(入力データ!$G$27="私立",前提条件!$C$22,前提条件!$C$21),IF(P8&lt;=11,IF(入力データ!$H$27="私立",前提条件!$C$24,前提条件!$C$23),IF(P8&lt;=14,IF(入力データ!$I$27="私立",前提条件!$C$26,前提条件!$C$25),IF(P8&lt;=17,IF(入力データ!$J$27="私立",前提条件!$C$28,前提条件!$C$27),IF(P8&lt;=21,IF(入力データ!$K$27="国公立",前提条件!$C$29,IF(入力データ!$K$27="私立理系",前提条件!$C$31,前提条件!$C$30))+IF(入力データ!$L$27="下宿",前提条件!$C$32,0)+IF(P8=18,前提条件!$C$33,0),0)))))))*(1+前提条件!$C$13)^(P$3-$B$3))</f>
        <v/>
      </c>
      <c r="Q24" s="352">
        <f>IF(Q$3="","",((SUM(入力データ!$C$58:$C$61)*12)+IF(Q6="",0,IF(Q6&lt;=5,IF(入力データ!$G$25="私立",前提条件!$C$22,前提条件!$C$21),IF(Q6&lt;=11,IF(入力データ!$H$25="私立",前提条件!$C$24,前提条件!$C$23),IF(Q6&lt;=14,IF(入力データ!$I$25="私立",前提条件!$C$26,前提条件!$C$25),IF(Q6&lt;=17,IF(入力データ!$J$25="私立",前提条件!$C$28,前提条件!$C$27),IF(Q6&lt;=21,IF(入力データ!$K$25="国公立",前提条件!$C$29,IF(入力データ!$K$25="私立理系",前提条件!$C$31,前提条件!$C$30))+IF(入力データ!$L$25="下宿",前提条件!$C$32,0)+IF(Q6=18,前提条件!$C$33,0),0))))))+IF(Q7="",0,IF(Q7&lt;=5,IF(入力データ!$G$26="私立",前提条件!$C$22,前提条件!$C$21),IF(Q7&lt;=11,IF(入力データ!$H$26="私立",前提条件!$C$24,前提条件!$C$23),IF(Q7&lt;=14,IF(入力データ!$I$26="私立",前提条件!$C$26,前提条件!$C$25),IF(Q7&lt;=17,IF(入力データ!$J$26="私立",前提条件!$C$28,前提条件!$C$27),IF(Q7&lt;=21,IF(入力データ!$K$26="国公立",前提条件!$C$29,IF(入力データ!$K$26="私立理系",前提条件!$C$31,前提条件!$C$30))+IF(入力データ!$L$26="下宿",前提条件!$C$32,0)+IF(Q7=18,前提条件!$C$33,0),0))))))+IF(Q8="",0,IF(Q8&lt;=5,IF(入力データ!$G$27="私立",前提条件!$C$22,前提条件!$C$21),IF(Q8&lt;=11,IF(入力データ!$H$27="私立",前提条件!$C$24,前提条件!$C$23),IF(Q8&lt;=14,IF(入力データ!$I$27="私立",前提条件!$C$26,前提条件!$C$25),IF(Q8&lt;=17,IF(入力データ!$J$27="私立",前提条件!$C$28,前提条件!$C$27),IF(Q8&lt;=21,IF(入力データ!$K$27="国公立",前提条件!$C$29,IF(入力データ!$K$27="私立理系",前提条件!$C$31,前提条件!$C$30))+IF(入力データ!$L$27="下宿",前提条件!$C$32,0)+IF(Q8=18,前提条件!$C$33,0),0)))))))*(1+前提条件!$C$13)^(Q$3-$B$3))</f>
        <v/>
      </c>
      <c r="R24" s="352">
        <f>IF(R$3="","",((SUM(入力データ!$C$58:$C$61)*12)+IF(R6="",0,IF(R6&lt;=5,IF(入力データ!$G$25="私立",前提条件!$C$22,前提条件!$C$21),IF(R6&lt;=11,IF(入力データ!$H$25="私立",前提条件!$C$24,前提条件!$C$23),IF(R6&lt;=14,IF(入力データ!$I$25="私立",前提条件!$C$26,前提条件!$C$25),IF(R6&lt;=17,IF(入力データ!$J$25="私立",前提条件!$C$28,前提条件!$C$27),IF(R6&lt;=21,IF(入力データ!$K$25="国公立",前提条件!$C$29,IF(入力データ!$K$25="私立理系",前提条件!$C$31,前提条件!$C$30))+IF(入力データ!$L$25="下宿",前提条件!$C$32,0)+IF(R6=18,前提条件!$C$33,0),0))))))+IF(R7="",0,IF(R7&lt;=5,IF(入力データ!$G$26="私立",前提条件!$C$22,前提条件!$C$21),IF(R7&lt;=11,IF(入力データ!$H$26="私立",前提条件!$C$24,前提条件!$C$23),IF(R7&lt;=14,IF(入力データ!$I$26="私立",前提条件!$C$26,前提条件!$C$25),IF(R7&lt;=17,IF(入力データ!$J$26="私立",前提条件!$C$28,前提条件!$C$27),IF(R7&lt;=21,IF(入力データ!$K$26="国公立",前提条件!$C$29,IF(入力データ!$K$26="私立理系",前提条件!$C$31,前提条件!$C$30))+IF(入力データ!$L$26="下宿",前提条件!$C$32,0)+IF(R7=18,前提条件!$C$33,0),0))))))+IF(R8="",0,IF(R8&lt;=5,IF(入力データ!$G$27="私立",前提条件!$C$22,前提条件!$C$21),IF(R8&lt;=11,IF(入力データ!$H$27="私立",前提条件!$C$24,前提条件!$C$23),IF(R8&lt;=14,IF(入力データ!$I$27="私立",前提条件!$C$26,前提条件!$C$25),IF(R8&lt;=17,IF(入力データ!$J$27="私立",前提条件!$C$28,前提条件!$C$27),IF(R8&lt;=21,IF(入力データ!$K$27="国公立",前提条件!$C$29,IF(入力データ!$K$27="私立理系",前提条件!$C$31,前提条件!$C$30))+IF(入力データ!$L$27="下宿",前提条件!$C$32,0)+IF(R8=18,前提条件!$C$33,0),0)))))))*(1+前提条件!$C$13)^(R$3-$B$3))</f>
        <v/>
      </c>
      <c r="S24" s="352">
        <f>IF(S$3="","",((SUM(入力データ!$C$58:$C$61)*12)+IF(S6="",0,IF(S6&lt;=5,IF(入力データ!$G$25="私立",前提条件!$C$22,前提条件!$C$21),IF(S6&lt;=11,IF(入力データ!$H$25="私立",前提条件!$C$24,前提条件!$C$23),IF(S6&lt;=14,IF(入力データ!$I$25="私立",前提条件!$C$26,前提条件!$C$25),IF(S6&lt;=17,IF(入力データ!$J$25="私立",前提条件!$C$28,前提条件!$C$27),IF(S6&lt;=21,IF(入力データ!$K$25="国公立",前提条件!$C$29,IF(入力データ!$K$25="私立理系",前提条件!$C$31,前提条件!$C$30))+IF(入力データ!$L$25="下宿",前提条件!$C$32,0)+IF(S6=18,前提条件!$C$33,0),0))))))+IF(S7="",0,IF(S7&lt;=5,IF(入力データ!$G$26="私立",前提条件!$C$22,前提条件!$C$21),IF(S7&lt;=11,IF(入力データ!$H$26="私立",前提条件!$C$24,前提条件!$C$23),IF(S7&lt;=14,IF(入力データ!$I$26="私立",前提条件!$C$26,前提条件!$C$25),IF(S7&lt;=17,IF(入力データ!$J$26="私立",前提条件!$C$28,前提条件!$C$27),IF(S7&lt;=21,IF(入力データ!$K$26="国公立",前提条件!$C$29,IF(入力データ!$K$26="私立理系",前提条件!$C$31,前提条件!$C$30))+IF(入力データ!$L$26="下宿",前提条件!$C$32,0)+IF(S7=18,前提条件!$C$33,0),0))))))+IF(S8="",0,IF(S8&lt;=5,IF(入力データ!$G$27="私立",前提条件!$C$22,前提条件!$C$21),IF(S8&lt;=11,IF(入力データ!$H$27="私立",前提条件!$C$24,前提条件!$C$23),IF(S8&lt;=14,IF(入力データ!$I$27="私立",前提条件!$C$26,前提条件!$C$25),IF(S8&lt;=17,IF(入力データ!$J$27="私立",前提条件!$C$28,前提条件!$C$27),IF(S8&lt;=21,IF(入力データ!$K$27="国公立",前提条件!$C$29,IF(入力データ!$K$27="私立理系",前提条件!$C$31,前提条件!$C$30))+IF(入力データ!$L$27="下宿",前提条件!$C$32,0)+IF(S8=18,前提条件!$C$33,0),0)))))))*(1+前提条件!$C$13)^(S$3-$B$3))</f>
        <v/>
      </c>
      <c r="T24" s="352">
        <f>IF(T$3="","",((SUM(入力データ!$C$58:$C$61)*12)+IF(T6="",0,IF(T6&lt;=5,IF(入力データ!$G$25="私立",前提条件!$C$22,前提条件!$C$21),IF(T6&lt;=11,IF(入力データ!$H$25="私立",前提条件!$C$24,前提条件!$C$23),IF(T6&lt;=14,IF(入力データ!$I$25="私立",前提条件!$C$26,前提条件!$C$25),IF(T6&lt;=17,IF(入力データ!$J$25="私立",前提条件!$C$28,前提条件!$C$27),IF(T6&lt;=21,IF(入力データ!$K$25="国公立",前提条件!$C$29,IF(入力データ!$K$25="私立理系",前提条件!$C$31,前提条件!$C$30))+IF(入力データ!$L$25="下宿",前提条件!$C$32,0)+IF(T6=18,前提条件!$C$33,0),0))))))+IF(T7="",0,IF(T7&lt;=5,IF(入力データ!$G$26="私立",前提条件!$C$22,前提条件!$C$21),IF(T7&lt;=11,IF(入力データ!$H$26="私立",前提条件!$C$24,前提条件!$C$23),IF(T7&lt;=14,IF(入力データ!$I$26="私立",前提条件!$C$26,前提条件!$C$25),IF(T7&lt;=17,IF(入力データ!$J$26="私立",前提条件!$C$28,前提条件!$C$27),IF(T7&lt;=21,IF(入力データ!$K$26="国公立",前提条件!$C$29,IF(入力データ!$K$26="私立理系",前提条件!$C$31,前提条件!$C$30))+IF(入力データ!$L$26="下宿",前提条件!$C$32,0)+IF(T7=18,前提条件!$C$33,0),0))))))+IF(T8="",0,IF(T8&lt;=5,IF(入力データ!$G$27="私立",前提条件!$C$22,前提条件!$C$21),IF(T8&lt;=11,IF(入力データ!$H$27="私立",前提条件!$C$24,前提条件!$C$23),IF(T8&lt;=14,IF(入力データ!$I$27="私立",前提条件!$C$26,前提条件!$C$25),IF(T8&lt;=17,IF(入力データ!$J$27="私立",前提条件!$C$28,前提条件!$C$27),IF(T8&lt;=21,IF(入力データ!$K$27="国公立",前提条件!$C$29,IF(入力データ!$K$27="私立理系",前提条件!$C$31,前提条件!$C$30))+IF(入力データ!$L$27="下宿",前提条件!$C$32,0)+IF(T8=18,前提条件!$C$33,0),0)))))))*(1+前提条件!$C$13)^(T$3-$B$3))</f>
        <v/>
      </c>
      <c r="U24" s="352">
        <f>IF(U$3="","",((SUM(入力データ!$C$58:$C$61)*12)+IF(U6="",0,IF(U6&lt;=5,IF(入力データ!$G$25="私立",前提条件!$C$22,前提条件!$C$21),IF(U6&lt;=11,IF(入力データ!$H$25="私立",前提条件!$C$24,前提条件!$C$23),IF(U6&lt;=14,IF(入力データ!$I$25="私立",前提条件!$C$26,前提条件!$C$25),IF(U6&lt;=17,IF(入力データ!$J$25="私立",前提条件!$C$28,前提条件!$C$27),IF(U6&lt;=21,IF(入力データ!$K$25="国公立",前提条件!$C$29,IF(入力データ!$K$25="私立理系",前提条件!$C$31,前提条件!$C$30))+IF(入力データ!$L$25="下宿",前提条件!$C$32,0)+IF(U6=18,前提条件!$C$33,0),0))))))+IF(U7="",0,IF(U7&lt;=5,IF(入力データ!$G$26="私立",前提条件!$C$22,前提条件!$C$21),IF(U7&lt;=11,IF(入力データ!$H$26="私立",前提条件!$C$24,前提条件!$C$23),IF(U7&lt;=14,IF(入力データ!$I$26="私立",前提条件!$C$26,前提条件!$C$25),IF(U7&lt;=17,IF(入力データ!$J$26="私立",前提条件!$C$28,前提条件!$C$27),IF(U7&lt;=21,IF(入力データ!$K$26="国公立",前提条件!$C$29,IF(入力データ!$K$26="私立理系",前提条件!$C$31,前提条件!$C$30))+IF(入力データ!$L$26="下宿",前提条件!$C$32,0)+IF(U7=18,前提条件!$C$33,0),0))))))+IF(U8="",0,IF(U8&lt;=5,IF(入力データ!$G$27="私立",前提条件!$C$22,前提条件!$C$21),IF(U8&lt;=11,IF(入力データ!$H$27="私立",前提条件!$C$24,前提条件!$C$23),IF(U8&lt;=14,IF(入力データ!$I$27="私立",前提条件!$C$26,前提条件!$C$25),IF(U8&lt;=17,IF(入力データ!$J$27="私立",前提条件!$C$28,前提条件!$C$27),IF(U8&lt;=21,IF(入力データ!$K$27="国公立",前提条件!$C$29,IF(入力データ!$K$27="私立理系",前提条件!$C$31,前提条件!$C$30))+IF(入力データ!$L$27="下宿",前提条件!$C$32,0)+IF(U8=18,前提条件!$C$33,0),0)))))))*(1+前提条件!$C$13)^(U$3-$B$3))</f>
        <v/>
      </c>
      <c r="V24" s="352">
        <f>IF(V$3="","",((SUM(入力データ!$C$58:$C$61)*12)+IF(V6="",0,IF(V6&lt;=5,IF(入力データ!$G$25="私立",前提条件!$C$22,前提条件!$C$21),IF(V6&lt;=11,IF(入力データ!$H$25="私立",前提条件!$C$24,前提条件!$C$23),IF(V6&lt;=14,IF(入力データ!$I$25="私立",前提条件!$C$26,前提条件!$C$25),IF(V6&lt;=17,IF(入力データ!$J$25="私立",前提条件!$C$28,前提条件!$C$27),IF(V6&lt;=21,IF(入力データ!$K$25="国公立",前提条件!$C$29,IF(入力データ!$K$25="私立理系",前提条件!$C$31,前提条件!$C$30))+IF(入力データ!$L$25="下宿",前提条件!$C$32,0)+IF(V6=18,前提条件!$C$33,0),0))))))+IF(V7="",0,IF(V7&lt;=5,IF(入力データ!$G$26="私立",前提条件!$C$22,前提条件!$C$21),IF(V7&lt;=11,IF(入力データ!$H$26="私立",前提条件!$C$24,前提条件!$C$23),IF(V7&lt;=14,IF(入力データ!$I$26="私立",前提条件!$C$26,前提条件!$C$25),IF(V7&lt;=17,IF(入力データ!$J$26="私立",前提条件!$C$28,前提条件!$C$27),IF(V7&lt;=21,IF(入力データ!$K$26="国公立",前提条件!$C$29,IF(入力データ!$K$26="私立理系",前提条件!$C$31,前提条件!$C$30))+IF(入力データ!$L$26="下宿",前提条件!$C$32,0)+IF(V7=18,前提条件!$C$33,0),0))))))+IF(V8="",0,IF(V8&lt;=5,IF(入力データ!$G$27="私立",前提条件!$C$22,前提条件!$C$21),IF(V8&lt;=11,IF(入力データ!$H$27="私立",前提条件!$C$24,前提条件!$C$23),IF(V8&lt;=14,IF(入力データ!$I$27="私立",前提条件!$C$26,前提条件!$C$25),IF(V8&lt;=17,IF(入力データ!$J$27="私立",前提条件!$C$28,前提条件!$C$27),IF(V8&lt;=21,IF(入力データ!$K$27="国公立",前提条件!$C$29,IF(入力データ!$K$27="私立理系",前提条件!$C$31,前提条件!$C$30))+IF(入力データ!$L$27="下宿",前提条件!$C$32,0)+IF(V8=18,前提条件!$C$33,0),0)))))))*(1+前提条件!$C$13)^(V$3-$B$3))</f>
        <v/>
      </c>
      <c r="W24" s="352">
        <f>IF(W$3="","",((SUM(入力データ!$C$58:$C$61)*12)+IF(W6="",0,IF(W6&lt;=5,IF(入力データ!$G$25="私立",前提条件!$C$22,前提条件!$C$21),IF(W6&lt;=11,IF(入力データ!$H$25="私立",前提条件!$C$24,前提条件!$C$23),IF(W6&lt;=14,IF(入力データ!$I$25="私立",前提条件!$C$26,前提条件!$C$25),IF(W6&lt;=17,IF(入力データ!$J$25="私立",前提条件!$C$28,前提条件!$C$27),IF(W6&lt;=21,IF(入力データ!$K$25="国公立",前提条件!$C$29,IF(入力データ!$K$25="私立理系",前提条件!$C$31,前提条件!$C$30))+IF(入力データ!$L$25="下宿",前提条件!$C$32,0)+IF(W6=18,前提条件!$C$33,0),0))))))+IF(W7="",0,IF(W7&lt;=5,IF(入力データ!$G$26="私立",前提条件!$C$22,前提条件!$C$21),IF(W7&lt;=11,IF(入力データ!$H$26="私立",前提条件!$C$24,前提条件!$C$23),IF(W7&lt;=14,IF(入力データ!$I$26="私立",前提条件!$C$26,前提条件!$C$25),IF(W7&lt;=17,IF(入力データ!$J$26="私立",前提条件!$C$28,前提条件!$C$27),IF(W7&lt;=21,IF(入力データ!$K$26="国公立",前提条件!$C$29,IF(入力データ!$K$26="私立理系",前提条件!$C$31,前提条件!$C$30))+IF(入力データ!$L$26="下宿",前提条件!$C$32,0)+IF(W7=18,前提条件!$C$33,0),0))))))+IF(W8="",0,IF(W8&lt;=5,IF(入力データ!$G$27="私立",前提条件!$C$22,前提条件!$C$21),IF(W8&lt;=11,IF(入力データ!$H$27="私立",前提条件!$C$24,前提条件!$C$23),IF(W8&lt;=14,IF(入力データ!$I$27="私立",前提条件!$C$26,前提条件!$C$25),IF(W8&lt;=17,IF(入力データ!$J$27="私立",前提条件!$C$28,前提条件!$C$27),IF(W8&lt;=21,IF(入力データ!$K$27="国公立",前提条件!$C$29,IF(入力データ!$K$27="私立理系",前提条件!$C$31,前提条件!$C$30))+IF(入力データ!$L$27="下宿",前提条件!$C$32,0)+IF(W8=18,前提条件!$C$33,0),0)))))))*(1+前提条件!$C$13)^(W$3-$B$3))</f>
        <v/>
      </c>
      <c r="X24" s="352">
        <f>IF(X$3="","",((SUM(入力データ!$C$58:$C$61)*12)+IF(X6="",0,IF(X6&lt;=5,IF(入力データ!$G$25="私立",前提条件!$C$22,前提条件!$C$21),IF(X6&lt;=11,IF(入力データ!$H$25="私立",前提条件!$C$24,前提条件!$C$23),IF(X6&lt;=14,IF(入力データ!$I$25="私立",前提条件!$C$26,前提条件!$C$25),IF(X6&lt;=17,IF(入力データ!$J$25="私立",前提条件!$C$28,前提条件!$C$27),IF(X6&lt;=21,IF(入力データ!$K$25="国公立",前提条件!$C$29,IF(入力データ!$K$25="私立理系",前提条件!$C$31,前提条件!$C$30))+IF(入力データ!$L$25="下宿",前提条件!$C$32,0)+IF(X6=18,前提条件!$C$33,0),0))))))+IF(X7="",0,IF(X7&lt;=5,IF(入力データ!$G$26="私立",前提条件!$C$22,前提条件!$C$21),IF(X7&lt;=11,IF(入力データ!$H$26="私立",前提条件!$C$24,前提条件!$C$23),IF(X7&lt;=14,IF(入力データ!$I$26="私立",前提条件!$C$26,前提条件!$C$25),IF(X7&lt;=17,IF(入力データ!$J$26="私立",前提条件!$C$28,前提条件!$C$27),IF(X7&lt;=21,IF(入力データ!$K$26="国公立",前提条件!$C$29,IF(入力データ!$K$26="私立理系",前提条件!$C$31,前提条件!$C$30))+IF(入力データ!$L$26="下宿",前提条件!$C$32,0)+IF(X7=18,前提条件!$C$33,0),0))))))+IF(X8="",0,IF(X8&lt;=5,IF(入力データ!$G$27="私立",前提条件!$C$22,前提条件!$C$21),IF(X8&lt;=11,IF(入力データ!$H$27="私立",前提条件!$C$24,前提条件!$C$23),IF(X8&lt;=14,IF(入力データ!$I$27="私立",前提条件!$C$26,前提条件!$C$25),IF(X8&lt;=17,IF(入力データ!$J$27="私立",前提条件!$C$28,前提条件!$C$27),IF(X8&lt;=21,IF(入力データ!$K$27="国公立",前提条件!$C$29,IF(入力データ!$K$27="私立理系",前提条件!$C$31,前提条件!$C$30))+IF(入力データ!$L$27="下宿",前提条件!$C$32,0)+IF(X8=18,前提条件!$C$33,0),0)))))))*(1+前提条件!$C$13)^(X$3-$B$3))</f>
        <v/>
      </c>
      <c r="Y24" s="352">
        <f>IF(Y$3="","",((SUM(入力データ!$C$58:$C$61)*12)+IF(Y6="",0,IF(Y6&lt;=5,IF(入力データ!$G$25="私立",前提条件!$C$22,前提条件!$C$21),IF(Y6&lt;=11,IF(入力データ!$H$25="私立",前提条件!$C$24,前提条件!$C$23),IF(Y6&lt;=14,IF(入力データ!$I$25="私立",前提条件!$C$26,前提条件!$C$25),IF(Y6&lt;=17,IF(入力データ!$J$25="私立",前提条件!$C$28,前提条件!$C$27),IF(Y6&lt;=21,IF(入力データ!$K$25="国公立",前提条件!$C$29,IF(入力データ!$K$25="私立理系",前提条件!$C$31,前提条件!$C$30))+IF(入力データ!$L$25="下宿",前提条件!$C$32,0)+IF(Y6=18,前提条件!$C$33,0),0))))))+IF(Y7="",0,IF(Y7&lt;=5,IF(入力データ!$G$26="私立",前提条件!$C$22,前提条件!$C$21),IF(Y7&lt;=11,IF(入力データ!$H$26="私立",前提条件!$C$24,前提条件!$C$23),IF(Y7&lt;=14,IF(入力データ!$I$26="私立",前提条件!$C$26,前提条件!$C$25),IF(Y7&lt;=17,IF(入力データ!$J$26="私立",前提条件!$C$28,前提条件!$C$27),IF(Y7&lt;=21,IF(入力データ!$K$26="国公立",前提条件!$C$29,IF(入力データ!$K$26="私立理系",前提条件!$C$31,前提条件!$C$30))+IF(入力データ!$L$26="下宿",前提条件!$C$32,0)+IF(Y7=18,前提条件!$C$33,0),0))))))+IF(Y8="",0,IF(Y8&lt;=5,IF(入力データ!$G$27="私立",前提条件!$C$22,前提条件!$C$21),IF(Y8&lt;=11,IF(入力データ!$H$27="私立",前提条件!$C$24,前提条件!$C$23),IF(Y8&lt;=14,IF(入力データ!$I$27="私立",前提条件!$C$26,前提条件!$C$25),IF(Y8&lt;=17,IF(入力データ!$J$27="私立",前提条件!$C$28,前提条件!$C$27),IF(Y8&lt;=21,IF(入力データ!$K$27="国公立",前提条件!$C$29,IF(入力データ!$K$27="私立理系",前提条件!$C$31,前提条件!$C$30))+IF(入力データ!$L$27="下宿",前提条件!$C$32,0)+IF(Y8=18,前提条件!$C$33,0),0)))))))*(1+前提条件!$C$13)^(Y$3-$B$3))</f>
        <v/>
      </c>
      <c r="Z24" s="352">
        <f>IF(Z$3="","",((SUM(入力データ!$C$58:$C$61)*12)+IF(Z6="",0,IF(Z6&lt;=5,IF(入力データ!$G$25="私立",前提条件!$C$22,前提条件!$C$21),IF(Z6&lt;=11,IF(入力データ!$H$25="私立",前提条件!$C$24,前提条件!$C$23),IF(Z6&lt;=14,IF(入力データ!$I$25="私立",前提条件!$C$26,前提条件!$C$25),IF(Z6&lt;=17,IF(入力データ!$J$25="私立",前提条件!$C$28,前提条件!$C$27),IF(Z6&lt;=21,IF(入力データ!$K$25="国公立",前提条件!$C$29,IF(入力データ!$K$25="私立理系",前提条件!$C$31,前提条件!$C$30))+IF(入力データ!$L$25="下宿",前提条件!$C$32,0)+IF(Z6=18,前提条件!$C$33,0),0))))))+IF(Z7="",0,IF(Z7&lt;=5,IF(入力データ!$G$26="私立",前提条件!$C$22,前提条件!$C$21),IF(Z7&lt;=11,IF(入力データ!$H$26="私立",前提条件!$C$24,前提条件!$C$23),IF(Z7&lt;=14,IF(入力データ!$I$26="私立",前提条件!$C$26,前提条件!$C$25),IF(Z7&lt;=17,IF(入力データ!$J$26="私立",前提条件!$C$28,前提条件!$C$27),IF(Z7&lt;=21,IF(入力データ!$K$26="国公立",前提条件!$C$29,IF(入力データ!$K$26="私立理系",前提条件!$C$31,前提条件!$C$30))+IF(入力データ!$L$26="下宿",前提条件!$C$32,0)+IF(Z7=18,前提条件!$C$33,0),0))))))+IF(Z8="",0,IF(Z8&lt;=5,IF(入力データ!$G$27="私立",前提条件!$C$22,前提条件!$C$21),IF(Z8&lt;=11,IF(入力データ!$H$27="私立",前提条件!$C$24,前提条件!$C$23),IF(Z8&lt;=14,IF(入力データ!$I$27="私立",前提条件!$C$26,前提条件!$C$25),IF(Z8&lt;=17,IF(入力データ!$J$27="私立",前提条件!$C$28,前提条件!$C$27),IF(Z8&lt;=21,IF(入力データ!$K$27="国公立",前提条件!$C$29,IF(入力データ!$K$27="私立理系",前提条件!$C$31,前提条件!$C$30))+IF(入力データ!$L$27="下宿",前提条件!$C$32,0)+IF(Z8=18,前提条件!$C$33,0),0)))))))*(1+前提条件!$C$13)^(Z$3-$B$3))</f>
        <v/>
      </c>
      <c r="AA24" s="352">
        <f>IF(AA$3="","",((SUM(入力データ!$C$58:$C$61)*12)+IF(AA6="",0,IF(AA6&lt;=5,IF(入力データ!$G$25="私立",前提条件!$C$22,前提条件!$C$21),IF(AA6&lt;=11,IF(入力データ!$H$25="私立",前提条件!$C$24,前提条件!$C$23),IF(AA6&lt;=14,IF(入力データ!$I$25="私立",前提条件!$C$26,前提条件!$C$25),IF(AA6&lt;=17,IF(入力データ!$J$25="私立",前提条件!$C$28,前提条件!$C$27),IF(AA6&lt;=21,IF(入力データ!$K$25="国公立",前提条件!$C$29,IF(入力データ!$K$25="私立理系",前提条件!$C$31,前提条件!$C$30))+IF(入力データ!$L$25="下宿",前提条件!$C$32,0)+IF(AA6=18,前提条件!$C$33,0),0))))))+IF(AA7="",0,IF(AA7&lt;=5,IF(入力データ!$G$26="私立",前提条件!$C$22,前提条件!$C$21),IF(AA7&lt;=11,IF(入力データ!$H$26="私立",前提条件!$C$24,前提条件!$C$23),IF(AA7&lt;=14,IF(入力データ!$I$26="私立",前提条件!$C$26,前提条件!$C$25),IF(AA7&lt;=17,IF(入力データ!$J$26="私立",前提条件!$C$28,前提条件!$C$27),IF(AA7&lt;=21,IF(入力データ!$K$26="国公立",前提条件!$C$29,IF(入力データ!$K$26="私立理系",前提条件!$C$31,前提条件!$C$30))+IF(入力データ!$L$26="下宿",前提条件!$C$32,0)+IF(AA7=18,前提条件!$C$33,0),0))))))+IF(AA8="",0,IF(AA8&lt;=5,IF(入力データ!$G$27="私立",前提条件!$C$22,前提条件!$C$21),IF(AA8&lt;=11,IF(入力データ!$H$27="私立",前提条件!$C$24,前提条件!$C$23),IF(AA8&lt;=14,IF(入力データ!$I$27="私立",前提条件!$C$26,前提条件!$C$25),IF(AA8&lt;=17,IF(入力データ!$J$27="私立",前提条件!$C$28,前提条件!$C$27),IF(AA8&lt;=21,IF(入力データ!$K$27="国公立",前提条件!$C$29,IF(入力データ!$K$27="私立理系",前提条件!$C$31,前提条件!$C$30))+IF(入力データ!$L$27="下宿",前提条件!$C$32,0)+IF(AA8=18,前提条件!$C$33,0),0)))))))*(1+前提条件!$C$13)^(AA$3-$B$3))</f>
        <v/>
      </c>
      <c r="AB24" s="352">
        <f>IF(AB$3="","",((SUM(入力データ!$C$58:$C$61)*12)+IF(AB6="",0,IF(AB6&lt;=5,IF(入力データ!$G$25="私立",前提条件!$C$22,前提条件!$C$21),IF(AB6&lt;=11,IF(入力データ!$H$25="私立",前提条件!$C$24,前提条件!$C$23),IF(AB6&lt;=14,IF(入力データ!$I$25="私立",前提条件!$C$26,前提条件!$C$25),IF(AB6&lt;=17,IF(入力データ!$J$25="私立",前提条件!$C$28,前提条件!$C$27),IF(AB6&lt;=21,IF(入力データ!$K$25="国公立",前提条件!$C$29,IF(入力データ!$K$25="私立理系",前提条件!$C$31,前提条件!$C$30))+IF(入力データ!$L$25="下宿",前提条件!$C$32,0)+IF(AB6=18,前提条件!$C$33,0),0))))))+IF(AB7="",0,IF(AB7&lt;=5,IF(入力データ!$G$26="私立",前提条件!$C$22,前提条件!$C$21),IF(AB7&lt;=11,IF(入力データ!$H$26="私立",前提条件!$C$24,前提条件!$C$23),IF(AB7&lt;=14,IF(入力データ!$I$26="私立",前提条件!$C$26,前提条件!$C$25),IF(AB7&lt;=17,IF(入力データ!$J$26="私立",前提条件!$C$28,前提条件!$C$27),IF(AB7&lt;=21,IF(入力データ!$K$26="国公立",前提条件!$C$29,IF(入力データ!$K$26="私立理系",前提条件!$C$31,前提条件!$C$30))+IF(入力データ!$L$26="下宿",前提条件!$C$32,0)+IF(AB7=18,前提条件!$C$33,0),0))))))+IF(AB8="",0,IF(AB8&lt;=5,IF(入力データ!$G$27="私立",前提条件!$C$22,前提条件!$C$21),IF(AB8&lt;=11,IF(入力データ!$H$27="私立",前提条件!$C$24,前提条件!$C$23),IF(AB8&lt;=14,IF(入力データ!$I$27="私立",前提条件!$C$26,前提条件!$C$25),IF(AB8&lt;=17,IF(入力データ!$J$27="私立",前提条件!$C$28,前提条件!$C$27),IF(AB8&lt;=21,IF(入力データ!$K$27="国公立",前提条件!$C$29,IF(入力データ!$K$27="私立理系",前提条件!$C$31,前提条件!$C$30))+IF(入力データ!$L$27="下宿",前提条件!$C$32,0)+IF(AB8=18,前提条件!$C$33,0),0)))))))*(1+前提条件!$C$13)^(AB$3-$B$3))</f>
        <v/>
      </c>
      <c r="AC24" s="352">
        <f>IF(AC$3="","",((SUM(入力データ!$C$58:$C$61)*12)+IF(AC6="",0,IF(AC6&lt;=5,IF(入力データ!$G$25="私立",前提条件!$C$22,前提条件!$C$21),IF(AC6&lt;=11,IF(入力データ!$H$25="私立",前提条件!$C$24,前提条件!$C$23),IF(AC6&lt;=14,IF(入力データ!$I$25="私立",前提条件!$C$26,前提条件!$C$25),IF(AC6&lt;=17,IF(入力データ!$J$25="私立",前提条件!$C$28,前提条件!$C$27),IF(AC6&lt;=21,IF(入力データ!$K$25="国公立",前提条件!$C$29,IF(入力データ!$K$25="私立理系",前提条件!$C$31,前提条件!$C$30))+IF(入力データ!$L$25="下宿",前提条件!$C$32,0)+IF(AC6=18,前提条件!$C$33,0),0))))))+IF(AC7="",0,IF(AC7&lt;=5,IF(入力データ!$G$26="私立",前提条件!$C$22,前提条件!$C$21),IF(AC7&lt;=11,IF(入力データ!$H$26="私立",前提条件!$C$24,前提条件!$C$23),IF(AC7&lt;=14,IF(入力データ!$I$26="私立",前提条件!$C$26,前提条件!$C$25),IF(AC7&lt;=17,IF(入力データ!$J$26="私立",前提条件!$C$28,前提条件!$C$27),IF(AC7&lt;=21,IF(入力データ!$K$26="国公立",前提条件!$C$29,IF(入力データ!$K$26="私立理系",前提条件!$C$31,前提条件!$C$30))+IF(入力データ!$L$26="下宿",前提条件!$C$32,0)+IF(AC7=18,前提条件!$C$33,0),0))))))+IF(AC8="",0,IF(AC8&lt;=5,IF(入力データ!$G$27="私立",前提条件!$C$22,前提条件!$C$21),IF(AC8&lt;=11,IF(入力データ!$H$27="私立",前提条件!$C$24,前提条件!$C$23),IF(AC8&lt;=14,IF(入力データ!$I$27="私立",前提条件!$C$26,前提条件!$C$25),IF(AC8&lt;=17,IF(入力データ!$J$27="私立",前提条件!$C$28,前提条件!$C$27),IF(AC8&lt;=21,IF(入力データ!$K$27="国公立",前提条件!$C$29,IF(入力データ!$K$27="私立理系",前提条件!$C$31,前提条件!$C$30))+IF(入力データ!$L$27="下宿",前提条件!$C$32,0)+IF(AC8=18,前提条件!$C$33,0),0)))))))*(1+前提条件!$C$13)^(AC$3-$B$3))</f>
        <v/>
      </c>
      <c r="AD24" s="352">
        <f>IF(AD$3="","",((SUM(入力データ!$C$58:$C$61)*12)+IF(AD6="",0,IF(AD6&lt;=5,IF(入力データ!$G$25="私立",前提条件!$C$22,前提条件!$C$21),IF(AD6&lt;=11,IF(入力データ!$H$25="私立",前提条件!$C$24,前提条件!$C$23),IF(AD6&lt;=14,IF(入力データ!$I$25="私立",前提条件!$C$26,前提条件!$C$25),IF(AD6&lt;=17,IF(入力データ!$J$25="私立",前提条件!$C$28,前提条件!$C$27),IF(AD6&lt;=21,IF(入力データ!$K$25="国公立",前提条件!$C$29,IF(入力データ!$K$25="私立理系",前提条件!$C$31,前提条件!$C$30))+IF(入力データ!$L$25="下宿",前提条件!$C$32,0)+IF(AD6=18,前提条件!$C$33,0),0))))))+IF(AD7="",0,IF(AD7&lt;=5,IF(入力データ!$G$26="私立",前提条件!$C$22,前提条件!$C$21),IF(AD7&lt;=11,IF(入力データ!$H$26="私立",前提条件!$C$24,前提条件!$C$23),IF(AD7&lt;=14,IF(入力データ!$I$26="私立",前提条件!$C$26,前提条件!$C$25),IF(AD7&lt;=17,IF(入力データ!$J$26="私立",前提条件!$C$28,前提条件!$C$27),IF(AD7&lt;=21,IF(入力データ!$K$26="国公立",前提条件!$C$29,IF(入力データ!$K$26="私立理系",前提条件!$C$31,前提条件!$C$30))+IF(入力データ!$L$26="下宿",前提条件!$C$32,0)+IF(AD7=18,前提条件!$C$33,0),0))))))+IF(AD8="",0,IF(AD8&lt;=5,IF(入力データ!$G$27="私立",前提条件!$C$22,前提条件!$C$21),IF(AD8&lt;=11,IF(入力データ!$H$27="私立",前提条件!$C$24,前提条件!$C$23),IF(AD8&lt;=14,IF(入力データ!$I$27="私立",前提条件!$C$26,前提条件!$C$25),IF(AD8&lt;=17,IF(入力データ!$J$27="私立",前提条件!$C$28,前提条件!$C$27),IF(AD8&lt;=21,IF(入力データ!$K$27="国公立",前提条件!$C$29,IF(入力データ!$K$27="私立理系",前提条件!$C$31,前提条件!$C$30))+IF(入力データ!$L$27="下宿",前提条件!$C$32,0)+IF(AD8=18,前提条件!$C$33,0),0)))))))*(1+前提条件!$C$13)^(AD$3-$B$3))</f>
        <v/>
      </c>
      <c r="AE24" s="352">
        <f>IF(AE$3="","",((SUM(入力データ!$C$58:$C$61)*12)+IF(AE6="",0,IF(AE6&lt;=5,IF(入力データ!$G$25="私立",前提条件!$C$22,前提条件!$C$21),IF(AE6&lt;=11,IF(入力データ!$H$25="私立",前提条件!$C$24,前提条件!$C$23),IF(AE6&lt;=14,IF(入力データ!$I$25="私立",前提条件!$C$26,前提条件!$C$25),IF(AE6&lt;=17,IF(入力データ!$J$25="私立",前提条件!$C$28,前提条件!$C$27),IF(AE6&lt;=21,IF(入力データ!$K$25="国公立",前提条件!$C$29,IF(入力データ!$K$25="私立理系",前提条件!$C$31,前提条件!$C$30))+IF(入力データ!$L$25="下宿",前提条件!$C$32,0)+IF(AE6=18,前提条件!$C$33,0),0))))))+IF(AE7="",0,IF(AE7&lt;=5,IF(入力データ!$G$26="私立",前提条件!$C$22,前提条件!$C$21),IF(AE7&lt;=11,IF(入力データ!$H$26="私立",前提条件!$C$24,前提条件!$C$23),IF(AE7&lt;=14,IF(入力データ!$I$26="私立",前提条件!$C$26,前提条件!$C$25),IF(AE7&lt;=17,IF(入力データ!$J$26="私立",前提条件!$C$28,前提条件!$C$27),IF(AE7&lt;=21,IF(入力データ!$K$26="国公立",前提条件!$C$29,IF(入力データ!$K$26="私立理系",前提条件!$C$31,前提条件!$C$30))+IF(入力データ!$L$26="下宿",前提条件!$C$32,0)+IF(AE7=18,前提条件!$C$33,0),0))))))+IF(AE8="",0,IF(AE8&lt;=5,IF(入力データ!$G$27="私立",前提条件!$C$22,前提条件!$C$21),IF(AE8&lt;=11,IF(入力データ!$H$27="私立",前提条件!$C$24,前提条件!$C$23),IF(AE8&lt;=14,IF(入力データ!$I$27="私立",前提条件!$C$26,前提条件!$C$25),IF(AE8&lt;=17,IF(入力データ!$J$27="私立",前提条件!$C$28,前提条件!$C$27),IF(AE8&lt;=21,IF(入力データ!$K$27="国公立",前提条件!$C$29,IF(入力データ!$K$27="私立理系",前提条件!$C$31,前提条件!$C$30))+IF(入力データ!$L$27="下宿",前提条件!$C$32,0)+IF(AE8=18,前提条件!$C$33,0),0)))))))*(1+前提条件!$C$13)^(AE$3-$B$3))</f>
        <v/>
      </c>
      <c r="AF24" s="352">
        <f>IF(AF$3="","",((SUM(入力データ!$C$58:$C$61)*12)+IF(AF6="",0,IF(AF6&lt;=5,IF(入力データ!$G$25="私立",前提条件!$C$22,前提条件!$C$21),IF(AF6&lt;=11,IF(入力データ!$H$25="私立",前提条件!$C$24,前提条件!$C$23),IF(AF6&lt;=14,IF(入力データ!$I$25="私立",前提条件!$C$26,前提条件!$C$25),IF(AF6&lt;=17,IF(入力データ!$J$25="私立",前提条件!$C$28,前提条件!$C$27),IF(AF6&lt;=21,IF(入力データ!$K$25="国公立",前提条件!$C$29,IF(入力データ!$K$25="私立理系",前提条件!$C$31,前提条件!$C$30))+IF(入力データ!$L$25="下宿",前提条件!$C$32,0)+IF(AF6=18,前提条件!$C$33,0),0))))))+IF(AF7="",0,IF(AF7&lt;=5,IF(入力データ!$G$26="私立",前提条件!$C$22,前提条件!$C$21),IF(AF7&lt;=11,IF(入力データ!$H$26="私立",前提条件!$C$24,前提条件!$C$23),IF(AF7&lt;=14,IF(入力データ!$I$26="私立",前提条件!$C$26,前提条件!$C$25),IF(AF7&lt;=17,IF(入力データ!$J$26="私立",前提条件!$C$28,前提条件!$C$27),IF(AF7&lt;=21,IF(入力データ!$K$26="国公立",前提条件!$C$29,IF(入力データ!$K$26="私立理系",前提条件!$C$31,前提条件!$C$30))+IF(入力データ!$L$26="下宿",前提条件!$C$32,0)+IF(AF7=18,前提条件!$C$33,0),0))))))+IF(AF8="",0,IF(AF8&lt;=5,IF(入力データ!$G$27="私立",前提条件!$C$22,前提条件!$C$21),IF(AF8&lt;=11,IF(入力データ!$H$27="私立",前提条件!$C$24,前提条件!$C$23),IF(AF8&lt;=14,IF(入力データ!$I$27="私立",前提条件!$C$26,前提条件!$C$25),IF(AF8&lt;=17,IF(入力データ!$J$27="私立",前提条件!$C$28,前提条件!$C$27),IF(AF8&lt;=21,IF(入力データ!$K$27="国公立",前提条件!$C$29,IF(入力データ!$K$27="私立理系",前提条件!$C$31,前提条件!$C$30))+IF(入力データ!$L$27="下宿",前提条件!$C$32,0)+IF(AF8=18,前提条件!$C$33,0),0)))))))*(1+前提条件!$C$13)^(AF$3-$B$3))</f>
        <v/>
      </c>
      <c r="AG24" s="352">
        <f>IF(AG$3="","",((SUM(入力データ!$C$58:$C$61)*12)+IF(AG6="",0,IF(AG6&lt;=5,IF(入力データ!$G$25="私立",前提条件!$C$22,前提条件!$C$21),IF(AG6&lt;=11,IF(入力データ!$H$25="私立",前提条件!$C$24,前提条件!$C$23),IF(AG6&lt;=14,IF(入力データ!$I$25="私立",前提条件!$C$26,前提条件!$C$25),IF(AG6&lt;=17,IF(入力データ!$J$25="私立",前提条件!$C$28,前提条件!$C$27),IF(AG6&lt;=21,IF(入力データ!$K$25="国公立",前提条件!$C$29,IF(入力データ!$K$25="私立理系",前提条件!$C$31,前提条件!$C$30))+IF(入力データ!$L$25="下宿",前提条件!$C$32,0)+IF(AG6=18,前提条件!$C$33,0),0))))))+IF(AG7="",0,IF(AG7&lt;=5,IF(入力データ!$G$26="私立",前提条件!$C$22,前提条件!$C$21),IF(AG7&lt;=11,IF(入力データ!$H$26="私立",前提条件!$C$24,前提条件!$C$23),IF(AG7&lt;=14,IF(入力データ!$I$26="私立",前提条件!$C$26,前提条件!$C$25),IF(AG7&lt;=17,IF(入力データ!$J$26="私立",前提条件!$C$28,前提条件!$C$27),IF(AG7&lt;=21,IF(入力データ!$K$26="国公立",前提条件!$C$29,IF(入力データ!$K$26="私立理系",前提条件!$C$31,前提条件!$C$30))+IF(入力データ!$L$26="下宿",前提条件!$C$32,0)+IF(AG7=18,前提条件!$C$33,0),0))))))+IF(AG8="",0,IF(AG8&lt;=5,IF(入力データ!$G$27="私立",前提条件!$C$22,前提条件!$C$21),IF(AG8&lt;=11,IF(入力データ!$H$27="私立",前提条件!$C$24,前提条件!$C$23),IF(AG8&lt;=14,IF(入力データ!$I$27="私立",前提条件!$C$26,前提条件!$C$25),IF(AG8&lt;=17,IF(入力データ!$J$27="私立",前提条件!$C$28,前提条件!$C$27),IF(AG8&lt;=21,IF(入力データ!$K$27="国公立",前提条件!$C$29,IF(入力データ!$K$27="私立理系",前提条件!$C$31,前提条件!$C$30))+IF(入力データ!$L$27="下宿",前提条件!$C$32,0)+IF(AG8=18,前提条件!$C$33,0),0)))))))*(1+前提条件!$C$13)^(AG$3-$B$3))</f>
        <v/>
      </c>
      <c r="AH24" s="352">
        <f>IF(AH$3="","",((SUM(入力データ!$C$58:$C$61)*12)+IF(AH6="",0,IF(AH6&lt;=5,IF(入力データ!$G$25="私立",前提条件!$C$22,前提条件!$C$21),IF(AH6&lt;=11,IF(入力データ!$H$25="私立",前提条件!$C$24,前提条件!$C$23),IF(AH6&lt;=14,IF(入力データ!$I$25="私立",前提条件!$C$26,前提条件!$C$25),IF(AH6&lt;=17,IF(入力データ!$J$25="私立",前提条件!$C$28,前提条件!$C$27),IF(AH6&lt;=21,IF(入力データ!$K$25="国公立",前提条件!$C$29,IF(入力データ!$K$25="私立理系",前提条件!$C$31,前提条件!$C$30))+IF(入力データ!$L$25="下宿",前提条件!$C$32,0)+IF(AH6=18,前提条件!$C$33,0),0))))))+IF(AH7="",0,IF(AH7&lt;=5,IF(入力データ!$G$26="私立",前提条件!$C$22,前提条件!$C$21),IF(AH7&lt;=11,IF(入力データ!$H$26="私立",前提条件!$C$24,前提条件!$C$23),IF(AH7&lt;=14,IF(入力データ!$I$26="私立",前提条件!$C$26,前提条件!$C$25),IF(AH7&lt;=17,IF(入力データ!$J$26="私立",前提条件!$C$28,前提条件!$C$27),IF(AH7&lt;=21,IF(入力データ!$K$26="国公立",前提条件!$C$29,IF(入力データ!$K$26="私立理系",前提条件!$C$31,前提条件!$C$30))+IF(入力データ!$L$26="下宿",前提条件!$C$32,0)+IF(AH7=18,前提条件!$C$33,0),0))))))+IF(AH8="",0,IF(AH8&lt;=5,IF(入力データ!$G$27="私立",前提条件!$C$22,前提条件!$C$21),IF(AH8&lt;=11,IF(入力データ!$H$27="私立",前提条件!$C$24,前提条件!$C$23),IF(AH8&lt;=14,IF(入力データ!$I$27="私立",前提条件!$C$26,前提条件!$C$25),IF(AH8&lt;=17,IF(入力データ!$J$27="私立",前提条件!$C$28,前提条件!$C$27),IF(AH8&lt;=21,IF(入力データ!$K$27="国公立",前提条件!$C$29,IF(入力データ!$K$27="私立理系",前提条件!$C$31,前提条件!$C$30))+IF(入力データ!$L$27="下宿",前提条件!$C$32,0)+IF(AH8=18,前提条件!$C$33,0),0)))))))*(1+前提条件!$C$13)^(AH$3-$B$3))</f>
        <v/>
      </c>
      <c r="AI24" s="352">
        <f>IF(AI$3="","",((SUM(入力データ!$C$58:$C$61)*12)+IF(AI6="",0,IF(AI6&lt;=5,IF(入力データ!$G$25="私立",前提条件!$C$22,前提条件!$C$21),IF(AI6&lt;=11,IF(入力データ!$H$25="私立",前提条件!$C$24,前提条件!$C$23),IF(AI6&lt;=14,IF(入力データ!$I$25="私立",前提条件!$C$26,前提条件!$C$25),IF(AI6&lt;=17,IF(入力データ!$J$25="私立",前提条件!$C$28,前提条件!$C$27),IF(AI6&lt;=21,IF(入力データ!$K$25="国公立",前提条件!$C$29,IF(入力データ!$K$25="私立理系",前提条件!$C$31,前提条件!$C$30))+IF(入力データ!$L$25="下宿",前提条件!$C$32,0)+IF(AI6=18,前提条件!$C$33,0),0))))))+IF(AI7="",0,IF(AI7&lt;=5,IF(入力データ!$G$26="私立",前提条件!$C$22,前提条件!$C$21),IF(AI7&lt;=11,IF(入力データ!$H$26="私立",前提条件!$C$24,前提条件!$C$23),IF(AI7&lt;=14,IF(入力データ!$I$26="私立",前提条件!$C$26,前提条件!$C$25),IF(AI7&lt;=17,IF(入力データ!$J$26="私立",前提条件!$C$28,前提条件!$C$27),IF(AI7&lt;=21,IF(入力データ!$K$26="国公立",前提条件!$C$29,IF(入力データ!$K$26="私立理系",前提条件!$C$31,前提条件!$C$30))+IF(入力データ!$L$26="下宿",前提条件!$C$32,0)+IF(AI7=18,前提条件!$C$33,0),0))))))+IF(AI8="",0,IF(AI8&lt;=5,IF(入力データ!$G$27="私立",前提条件!$C$22,前提条件!$C$21),IF(AI8&lt;=11,IF(入力データ!$H$27="私立",前提条件!$C$24,前提条件!$C$23),IF(AI8&lt;=14,IF(入力データ!$I$27="私立",前提条件!$C$26,前提条件!$C$25),IF(AI8&lt;=17,IF(入力データ!$J$27="私立",前提条件!$C$28,前提条件!$C$27),IF(AI8&lt;=21,IF(入力データ!$K$27="国公立",前提条件!$C$29,IF(入力データ!$K$27="私立理系",前提条件!$C$31,前提条件!$C$30))+IF(入力データ!$L$27="下宿",前提条件!$C$32,0)+IF(AI8=18,前提条件!$C$33,0),0)))))))*(1+前提条件!$C$13)^(AI$3-$B$3))</f>
        <v/>
      </c>
      <c r="AJ24" s="352">
        <f>IF(AJ$3="","",((SUM(入力データ!$C$58:$C$61)*12)+IF(AJ6="",0,IF(AJ6&lt;=5,IF(入力データ!$G$25="私立",前提条件!$C$22,前提条件!$C$21),IF(AJ6&lt;=11,IF(入力データ!$H$25="私立",前提条件!$C$24,前提条件!$C$23),IF(AJ6&lt;=14,IF(入力データ!$I$25="私立",前提条件!$C$26,前提条件!$C$25),IF(AJ6&lt;=17,IF(入力データ!$J$25="私立",前提条件!$C$28,前提条件!$C$27),IF(AJ6&lt;=21,IF(入力データ!$K$25="国公立",前提条件!$C$29,IF(入力データ!$K$25="私立理系",前提条件!$C$31,前提条件!$C$30))+IF(入力データ!$L$25="下宿",前提条件!$C$32,0)+IF(AJ6=18,前提条件!$C$33,0),0))))))+IF(AJ7="",0,IF(AJ7&lt;=5,IF(入力データ!$G$26="私立",前提条件!$C$22,前提条件!$C$21),IF(AJ7&lt;=11,IF(入力データ!$H$26="私立",前提条件!$C$24,前提条件!$C$23),IF(AJ7&lt;=14,IF(入力データ!$I$26="私立",前提条件!$C$26,前提条件!$C$25),IF(AJ7&lt;=17,IF(入力データ!$J$26="私立",前提条件!$C$28,前提条件!$C$27),IF(AJ7&lt;=21,IF(入力データ!$K$26="国公立",前提条件!$C$29,IF(入力データ!$K$26="私立理系",前提条件!$C$31,前提条件!$C$30))+IF(入力データ!$L$26="下宿",前提条件!$C$32,0)+IF(AJ7=18,前提条件!$C$33,0),0))))))+IF(AJ8="",0,IF(AJ8&lt;=5,IF(入力データ!$G$27="私立",前提条件!$C$22,前提条件!$C$21),IF(AJ8&lt;=11,IF(入力データ!$H$27="私立",前提条件!$C$24,前提条件!$C$23),IF(AJ8&lt;=14,IF(入力データ!$I$27="私立",前提条件!$C$26,前提条件!$C$25),IF(AJ8&lt;=17,IF(入力データ!$J$27="私立",前提条件!$C$28,前提条件!$C$27),IF(AJ8&lt;=21,IF(入力データ!$K$27="国公立",前提条件!$C$29,IF(入力データ!$K$27="私立理系",前提条件!$C$31,前提条件!$C$30))+IF(入力データ!$L$27="下宿",前提条件!$C$32,0)+IF(AJ8=18,前提条件!$C$33,0),0)))))))*(1+前提条件!$C$13)^(AJ$3-$B$3))</f>
        <v/>
      </c>
      <c r="AK24" s="352">
        <f>IF(AK$3="","",((SUM(入力データ!$C$58:$C$61)*12)+IF(AK6="",0,IF(AK6&lt;=5,IF(入力データ!$G$25="私立",前提条件!$C$22,前提条件!$C$21),IF(AK6&lt;=11,IF(入力データ!$H$25="私立",前提条件!$C$24,前提条件!$C$23),IF(AK6&lt;=14,IF(入力データ!$I$25="私立",前提条件!$C$26,前提条件!$C$25),IF(AK6&lt;=17,IF(入力データ!$J$25="私立",前提条件!$C$28,前提条件!$C$27),IF(AK6&lt;=21,IF(入力データ!$K$25="国公立",前提条件!$C$29,IF(入力データ!$K$25="私立理系",前提条件!$C$31,前提条件!$C$30))+IF(入力データ!$L$25="下宿",前提条件!$C$32,0)+IF(AK6=18,前提条件!$C$33,0),0))))))+IF(AK7="",0,IF(AK7&lt;=5,IF(入力データ!$G$26="私立",前提条件!$C$22,前提条件!$C$21),IF(AK7&lt;=11,IF(入力データ!$H$26="私立",前提条件!$C$24,前提条件!$C$23),IF(AK7&lt;=14,IF(入力データ!$I$26="私立",前提条件!$C$26,前提条件!$C$25),IF(AK7&lt;=17,IF(入力データ!$J$26="私立",前提条件!$C$28,前提条件!$C$27),IF(AK7&lt;=21,IF(入力データ!$K$26="国公立",前提条件!$C$29,IF(入力データ!$K$26="私立理系",前提条件!$C$31,前提条件!$C$30))+IF(入力データ!$L$26="下宿",前提条件!$C$32,0)+IF(AK7=18,前提条件!$C$33,0),0))))))+IF(AK8="",0,IF(AK8&lt;=5,IF(入力データ!$G$27="私立",前提条件!$C$22,前提条件!$C$21),IF(AK8&lt;=11,IF(入力データ!$H$27="私立",前提条件!$C$24,前提条件!$C$23),IF(AK8&lt;=14,IF(入力データ!$I$27="私立",前提条件!$C$26,前提条件!$C$25),IF(AK8&lt;=17,IF(入力データ!$J$27="私立",前提条件!$C$28,前提条件!$C$27),IF(AK8&lt;=21,IF(入力データ!$K$27="国公立",前提条件!$C$29,IF(入力データ!$K$27="私立理系",前提条件!$C$31,前提条件!$C$30))+IF(入力データ!$L$27="下宿",前提条件!$C$32,0)+IF(AK8=18,前提条件!$C$33,0),0)))))))*(1+前提条件!$C$13)^(AK$3-$B$3))</f>
        <v/>
      </c>
      <c r="AL24" s="352">
        <f>IF(AL$3="","",((SUM(入力データ!$C$58:$C$61)*12)+IF(AL6="",0,IF(AL6&lt;=5,IF(入力データ!$G$25="私立",前提条件!$C$22,前提条件!$C$21),IF(AL6&lt;=11,IF(入力データ!$H$25="私立",前提条件!$C$24,前提条件!$C$23),IF(AL6&lt;=14,IF(入力データ!$I$25="私立",前提条件!$C$26,前提条件!$C$25),IF(AL6&lt;=17,IF(入力データ!$J$25="私立",前提条件!$C$28,前提条件!$C$27),IF(AL6&lt;=21,IF(入力データ!$K$25="国公立",前提条件!$C$29,IF(入力データ!$K$25="私立理系",前提条件!$C$31,前提条件!$C$30))+IF(入力データ!$L$25="下宿",前提条件!$C$32,0)+IF(AL6=18,前提条件!$C$33,0),0))))))+IF(AL7="",0,IF(AL7&lt;=5,IF(入力データ!$G$26="私立",前提条件!$C$22,前提条件!$C$21),IF(AL7&lt;=11,IF(入力データ!$H$26="私立",前提条件!$C$24,前提条件!$C$23),IF(AL7&lt;=14,IF(入力データ!$I$26="私立",前提条件!$C$26,前提条件!$C$25),IF(AL7&lt;=17,IF(入力データ!$J$26="私立",前提条件!$C$28,前提条件!$C$27),IF(AL7&lt;=21,IF(入力データ!$K$26="国公立",前提条件!$C$29,IF(入力データ!$K$26="私立理系",前提条件!$C$31,前提条件!$C$30))+IF(入力データ!$L$26="下宿",前提条件!$C$32,0)+IF(AL7=18,前提条件!$C$33,0),0))))))+IF(AL8="",0,IF(AL8&lt;=5,IF(入力データ!$G$27="私立",前提条件!$C$22,前提条件!$C$21),IF(AL8&lt;=11,IF(入力データ!$H$27="私立",前提条件!$C$24,前提条件!$C$23),IF(AL8&lt;=14,IF(入力データ!$I$27="私立",前提条件!$C$26,前提条件!$C$25),IF(AL8&lt;=17,IF(入力データ!$J$27="私立",前提条件!$C$28,前提条件!$C$27),IF(AL8&lt;=21,IF(入力データ!$K$27="国公立",前提条件!$C$29,IF(入力データ!$K$27="私立理系",前提条件!$C$31,前提条件!$C$30))+IF(入力データ!$L$27="下宿",前提条件!$C$32,0)+IF(AL8=18,前提条件!$C$33,0),0)))))))*(1+前提条件!$C$13)^(AL$3-$B$3))</f>
        <v/>
      </c>
      <c r="AM24" s="352">
        <f>IF(AM$3="","",((SUM(入力データ!$C$58:$C$61)*12)+IF(AM6="",0,IF(AM6&lt;=5,IF(入力データ!$G$25="私立",前提条件!$C$22,前提条件!$C$21),IF(AM6&lt;=11,IF(入力データ!$H$25="私立",前提条件!$C$24,前提条件!$C$23),IF(AM6&lt;=14,IF(入力データ!$I$25="私立",前提条件!$C$26,前提条件!$C$25),IF(AM6&lt;=17,IF(入力データ!$J$25="私立",前提条件!$C$28,前提条件!$C$27),IF(AM6&lt;=21,IF(入力データ!$K$25="国公立",前提条件!$C$29,IF(入力データ!$K$25="私立理系",前提条件!$C$31,前提条件!$C$30))+IF(入力データ!$L$25="下宿",前提条件!$C$32,0)+IF(AM6=18,前提条件!$C$33,0),0))))))+IF(AM7="",0,IF(AM7&lt;=5,IF(入力データ!$G$26="私立",前提条件!$C$22,前提条件!$C$21),IF(AM7&lt;=11,IF(入力データ!$H$26="私立",前提条件!$C$24,前提条件!$C$23),IF(AM7&lt;=14,IF(入力データ!$I$26="私立",前提条件!$C$26,前提条件!$C$25),IF(AM7&lt;=17,IF(入力データ!$J$26="私立",前提条件!$C$28,前提条件!$C$27),IF(AM7&lt;=21,IF(入力データ!$K$26="国公立",前提条件!$C$29,IF(入力データ!$K$26="私立理系",前提条件!$C$31,前提条件!$C$30))+IF(入力データ!$L$26="下宿",前提条件!$C$32,0)+IF(AM7=18,前提条件!$C$33,0),0))))))+IF(AM8="",0,IF(AM8&lt;=5,IF(入力データ!$G$27="私立",前提条件!$C$22,前提条件!$C$21),IF(AM8&lt;=11,IF(入力データ!$H$27="私立",前提条件!$C$24,前提条件!$C$23),IF(AM8&lt;=14,IF(入力データ!$I$27="私立",前提条件!$C$26,前提条件!$C$25),IF(AM8&lt;=17,IF(入力データ!$J$27="私立",前提条件!$C$28,前提条件!$C$27),IF(AM8&lt;=21,IF(入力データ!$K$27="国公立",前提条件!$C$29,IF(入力データ!$K$27="私立理系",前提条件!$C$31,前提条件!$C$30))+IF(入力データ!$L$27="下宿",前提条件!$C$32,0)+IF(AM8=18,前提条件!$C$33,0),0)))))))*(1+前提条件!$C$13)^(AM$3-$B$3))</f>
        <v/>
      </c>
      <c r="AN24" s="352">
        <f>IF(AN$3="","",((SUM(入力データ!$C$58:$C$61)*12)+IF(AN6="",0,IF(AN6&lt;=5,IF(入力データ!$G$25="私立",前提条件!$C$22,前提条件!$C$21),IF(AN6&lt;=11,IF(入力データ!$H$25="私立",前提条件!$C$24,前提条件!$C$23),IF(AN6&lt;=14,IF(入力データ!$I$25="私立",前提条件!$C$26,前提条件!$C$25),IF(AN6&lt;=17,IF(入力データ!$J$25="私立",前提条件!$C$28,前提条件!$C$27),IF(AN6&lt;=21,IF(入力データ!$K$25="国公立",前提条件!$C$29,IF(入力データ!$K$25="私立理系",前提条件!$C$31,前提条件!$C$30))+IF(入力データ!$L$25="下宿",前提条件!$C$32,0)+IF(AN6=18,前提条件!$C$33,0),0))))))+IF(AN7="",0,IF(AN7&lt;=5,IF(入力データ!$G$26="私立",前提条件!$C$22,前提条件!$C$21),IF(AN7&lt;=11,IF(入力データ!$H$26="私立",前提条件!$C$24,前提条件!$C$23),IF(AN7&lt;=14,IF(入力データ!$I$26="私立",前提条件!$C$26,前提条件!$C$25),IF(AN7&lt;=17,IF(入力データ!$J$26="私立",前提条件!$C$28,前提条件!$C$27),IF(AN7&lt;=21,IF(入力データ!$K$26="国公立",前提条件!$C$29,IF(入力データ!$K$26="私立理系",前提条件!$C$31,前提条件!$C$30))+IF(入力データ!$L$26="下宿",前提条件!$C$32,0)+IF(AN7=18,前提条件!$C$33,0),0))))))+IF(AN8="",0,IF(AN8&lt;=5,IF(入力データ!$G$27="私立",前提条件!$C$22,前提条件!$C$21),IF(AN8&lt;=11,IF(入力データ!$H$27="私立",前提条件!$C$24,前提条件!$C$23),IF(AN8&lt;=14,IF(入力データ!$I$27="私立",前提条件!$C$26,前提条件!$C$25),IF(AN8&lt;=17,IF(入力データ!$J$27="私立",前提条件!$C$28,前提条件!$C$27),IF(AN8&lt;=21,IF(入力データ!$K$27="国公立",前提条件!$C$29,IF(入力データ!$K$27="私立理系",前提条件!$C$31,前提条件!$C$30))+IF(入力データ!$L$27="下宿",前提条件!$C$32,0)+IF(AN8=18,前提条件!$C$33,0),0)))))))*(1+前提条件!$C$13)^(AN$3-$B$3))</f>
        <v/>
      </c>
      <c r="AO24" s="352">
        <f>IF(AO$3="","",((SUM(入力データ!$C$58:$C$61)*12)+IF(AO6="",0,IF(AO6&lt;=5,IF(入力データ!$G$25="私立",前提条件!$C$22,前提条件!$C$21),IF(AO6&lt;=11,IF(入力データ!$H$25="私立",前提条件!$C$24,前提条件!$C$23),IF(AO6&lt;=14,IF(入力データ!$I$25="私立",前提条件!$C$26,前提条件!$C$25),IF(AO6&lt;=17,IF(入力データ!$J$25="私立",前提条件!$C$28,前提条件!$C$27),IF(AO6&lt;=21,IF(入力データ!$K$25="国公立",前提条件!$C$29,IF(入力データ!$K$25="私立理系",前提条件!$C$31,前提条件!$C$30))+IF(入力データ!$L$25="下宿",前提条件!$C$32,0)+IF(AO6=18,前提条件!$C$33,0),0))))))+IF(AO7="",0,IF(AO7&lt;=5,IF(入力データ!$G$26="私立",前提条件!$C$22,前提条件!$C$21),IF(AO7&lt;=11,IF(入力データ!$H$26="私立",前提条件!$C$24,前提条件!$C$23),IF(AO7&lt;=14,IF(入力データ!$I$26="私立",前提条件!$C$26,前提条件!$C$25),IF(AO7&lt;=17,IF(入力データ!$J$26="私立",前提条件!$C$28,前提条件!$C$27),IF(AO7&lt;=21,IF(入力データ!$K$26="国公立",前提条件!$C$29,IF(入力データ!$K$26="私立理系",前提条件!$C$31,前提条件!$C$30))+IF(入力データ!$L$26="下宿",前提条件!$C$32,0)+IF(AO7=18,前提条件!$C$33,0),0))))))+IF(AO8="",0,IF(AO8&lt;=5,IF(入力データ!$G$27="私立",前提条件!$C$22,前提条件!$C$21),IF(AO8&lt;=11,IF(入力データ!$H$27="私立",前提条件!$C$24,前提条件!$C$23),IF(AO8&lt;=14,IF(入力データ!$I$27="私立",前提条件!$C$26,前提条件!$C$25),IF(AO8&lt;=17,IF(入力データ!$J$27="私立",前提条件!$C$28,前提条件!$C$27),IF(AO8&lt;=21,IF(入力データ!$K$27="国公立",前提条件!$C$29,IF(入力データ!$K$27="私立理系",前提条件!$C$31,前提条件!$C$30))+IF(入力データ!$L$27="下宿",前提条件!$C$32,0)+IF(AO8=18,前提条件!$C$33,0),0)))))))*(1+前提条件!$C$13)^(AO$3-$B$3))</f>
        <v/>
      </c>
      <c r="AP24" s="352">
        <f>IF(AP$3="","",((SUM(入力データ!$C$58:$C$61)*12)+IF(AP6="",0,IF(AP6&lt;=5,IF(入力データ!$G$25="私立",前提条件!$C$22,前提条件!$C$21),IF(AP6&lt;=11,IF(入力データ!$H$25="私立",前提条件!$C$24,前提条件!$C$23),IF(AP6&lt;=14,IF(入力データ!$I$25="私立",前提条件!$C$26,前提条件!$C$25),IF(AP6&lt;=17,IF(入力データ!$J$25="私立",前提条件!$C$28,前提条件!$C$27),IF(AP6&lt;=21,IF(入力データ!$K$25="国公立",前提条件!$C$29,IF(入力データ!$K$25="私立理系",前提条件!$C$31,前提条件!$C$30))+IF(入力データ!$L$25="下宿",前提条件!$C$32,0)+IF(AP6=18,前提条件!$C$33,0),0))))))+IF(AP7="",0,IF(AP7&lt;=5,IF(入力データ!$G$26="私立",前提条件!$C$22,前提条件!$C$21),IF(AP7&lt;=11,IF(入力データ!$H$26="私立",前提条件!$C$24,前提条件!$C$23),IF(AP7&lt;=14,IF(入力データ!$I$26="私立",前提条件!$C$26,前提条件!$C$25),IF(AP7&lt;=17,IF(入力データ!$J$26="私立",前提条件!$C$28,前提条件!$C$27),IF(AP7&lt;=21,IF(入力データ!$K$26="国公立",前提条件!$C$29,IF(入力データ!$K$26="私立理系",前提条件!$C$31,前提条件!$C$30))+IF(入力データ!$L$26="下宿",前提条件!$C$32,0)+IF(AP7=18,前提条件!$C$33,0),0))))))+IF(AP8="",0,IF(AP8&lt;=5,IF(入力データ!$G$27="私立",前提条件!$C$22,前提条件!$C$21),IF(AP8&lt;=11,IF(入力データ!$H$27="私立",前提条件!$C$24,前提条件!$C$23),IF(AP8&lt;=14,IF(入力データ!$I$27="私立",前提条件!$C$26,前提条件!$C$25),IF(AP8&lt;=17,IF(入力データ!$J$27="私立",前提条件!$C$28,前提条件!$C$27),IF(AP8&lt;=21,IF(入力データ!$K$27="国公立",前提条件!$C$29,IF(入力データ!$K$27="私立理系",前提条件!$C$31,前提条件!$C$30))+IF(入力データ!$L$27="下宿",前提条件!$C$32,0)+IF(AP8=18,前提条件!$C$33,0),0)))))))*(1+前提条件!$C$13)^(AP$3-$B$3))</f>
        <v/>
      </c>
      <c r="AQ24" s="352">
        <f>IF(AQ$3="","",((SUM(入力データ!$C$58:$C$61)*12)+IF(AQ6="",0,IF(AQ6&lt;=5,IF(入力データ!$G$25="私立",前提条件!$C$22,前提条件!$C$21),IF(AQ6&lt;=11,IF(入力データ!$H$25="私立",前提条件!$C$24,前提条件!$C$23),IF(AQ6&lt;=14,IF(入力データ!$I$25="私立",前提条件!$C$26,前提条件!$C$25),IF(AQ6&lt;=17,IF(入力データ!$J$25="私立",前提条件!$C$28,前提条件!$C$27),IF(AQ6&lt;=21,IF(入力データ!$K$25="国公立",前提条件!$C$29,IF(入力データ!$K$25="私立理系",前提条件!$C$31,前提条件!$C$30))+IF(入力データ!$L$25="下宿",前提条件!$C$32,0)+IF(AQ6=18,前提条件!$C$33,0),0))))))+IF(AQ7="",0,IF(AQ7&lt;=5,IF(入力データ!$G$26="私立",前提条件!$C$22,前提条件!$C$21),IF(AQ7&lt;=11,IF(入力データ!$H$26="私立",前提条件!$C$24,前提条件!$C$23),IF(AQ7&lt;=14,IF(入力データ!$I$26="私立",前提条件!$C$26,前提条件!$C$25),IF(AQ7&lt;=17,IF(入力データ!$J$26="私立",前提条件!$C$28,前提条件!$C$27),IF(AQ7&lt;=21,IF(入力データ!$K$26="国公立",前提条件!$C$29,IF(入力データ!$K$26="私立理系",前提条件!$C$31,前提条件!$C$30))+IF(入力データ!$L$26="下宿",前提条件!$C$32,0)+IF(AQ7=18,前提条件!$C$33,0),0))))))+IF(AQ8="",0,IF(AQ8&lt;=5,IF(入力データ!$G$27="私立",前提条件!$C$22,前提条件!$C$21),IF(AQ8&lt;=11,IF(入力データ!$H$27="私立",前提条件!$C$24,前提条件!$C$23),IF(AQ8&lt;=14,IF(入力データ!$I$27="私立",前提条件!$C$26,前提条件!$C$25),IF(AQ8&lt;=17,IF(入力データ!$J$27="私立",前提条件!$C$28,前提条件!$C$27),IF(AQ8&lt;=21,IF(入力データ!$K$27="国公立",前提条件!$C$29,IF(入力データ!$K$27="私立理系",前提条件!$C$31,前提条件!$C$30))+IF(入力データ!$L$27="下宿",前提条件!$C$32,0)+IF(AQ8=18,前提条件!$C$33,0),0)))))))*(1+前提条件!$C$13)^(AQ$3-$B$3))</f>
        <v/>
      </c>
      <c r="AR24" s="352">
        <f>IF(AR$3="","",((SUM(入力データ!$C$58:$C$61)*12)+IF(AR6="",0,IF(AR6&lt;=5,IF(入力データ!$G$25="私立",前提条件!$C$22,前提条件!$C$21),IF(AR6&lt;=11,IF(入力データ!$H$25="私立",前提条件!$C$24,前提条件!$C$23),IF(AR6&lt;=14,IF(入力データ!$I$25="私立",前提条件!$C$26,前提条件!$C$25),IF(AR6&lt;=17,IF(入力データ!$J$25="私立",前提条件!$C$28,前提条件!$C$27),IF(AR6&lt;=21,IF(入力データ!$K$25="国公立",前提条件!$C$29,IF(入力データ!$K$25="私立理系",前提条件!$C$31,前提条件!$C$30))+IF(入力データ!$L$25="下宿",前提条件!$C$32,0)+IF(AR6=18,前提条件!$C$33,0),0))))))+IF(AR7="",0,IF(AR7&lt;=5,IF(入力データ!$G$26="私立",前提条件!$C$22,前提条件!$C$21),IF(AR7&lt;=11,IF(入力データ!$H$26="私立",前提条件!$C$24,前提条件!$C$23),IF(AR7&lt;=14,IF(入力データ!$I$26="私立",前提条件!$C$26,前提条件!$C$25),IF(AR7&lt;=17,IF(入力データ!$J$26="私立",前提条件!$C$28,前提条件!$C$27),IF(AR7&lt;=21,IF(入力データ!$K$26="国公立",前提条件!$C$29,IF(入力データ!$K$26="私立理系",前提条件!$C$31,前提条件!$C$30))+IF(入力データ!$L$26="下宿",前提条件!$C$32,0)+IF(AR7=18,前提条件!$C$33,0),0))))))+IF(AR8="",0,IF(AR8&lt;=5,IF(入力データ!$G$27="私立",前提条件!$C$22,前提条件!$C$21),IF(AR8&lt;=11,IF(入力データ!$H$27="私立",前提条件!$C$24,前提条件!$C$23),IF(AR8&lt;=14,IF(入力データ!$I$27="私立",前提条件!$C$26,前提条件!$C$25),IF(AR8&lt;=17,IF(入力データ!$J$27="私立",前提条件!$C$28,前提条件!$C$27),IF(AR8&lt;=21,IF(入力データ!$K$27="国公立",前提条件!$C$29,IF(入力データ!$K$27="私立理系",前提条件!$C$31,前提条件!$C$30))+IF(入力データ!$L$27="下宿",前提条件!$C$32,0)+IF(AR8=18,前提条件!$C$33,0),0)))))))*(1+前提条件!$C$13)^(AR$3-$B$3))</f>
        <v/>
      </c>
      <c r="AS24" s="352">
        <f>IF(AS$3="","",((SUM(入力データ!$C$58:$C$61)*12)+IF(AS6="",0,IF(AS6&lt;=5,IF(入力データ!$G$25="私立",前提条件!$C$22,前提条件!$C$21),IF(AS6&lt;=11,IF(入力データ!$H$25="私立",前提条件!$C$24,前提条件!$C$23),IF(AS6&lt;=14,IF(入力データ!$I$25="私立",前提条件!$C$26,前提条件!$C$25),IF(AS6&lt;=17,IF(入力データ!$J$25="私立",前提条件!$C$28,前提条件!$C$27),IF(AS6&lt;=21,IF(入力データ!$K$25="国公立",前提条件!$C$29,IF(入力データ!$K$25="私立理系",前提条件!$C$31,前提条件!$C$30))+IF(入力データ!$L$25="下宿",前提条件!$C$32,0)+IF(AS6=18,前提条件!$C$33,0),0))))))+IF(AS7="",0,IF(AS7&lt;=5,IF(入力データ!$G$26="私立",前提条件!$C$22,前提条件!$C$21),IF(AS7&lt;=11,IF(入力データ!$H$26="私立",前提条件!$C$24,前提条件!$C$23),IF(AS7&lt;=14,IF(入力データ!$I$26="私立",前提条件!$C$26,前提条件!$C$25),IF(AS7&lt;=17,IF(入力データ!$J$26="私立",前提条件!$C$28,前提条件!$C$27),IF(AS7&lt;=21,IF(入力データ!$K$26="国公立",前提条件!$C$29,IF(入力データ!$K$26="私立理系",前提条件!$C$31,前提条件!$C$30))+IF(入力データ!$L$26="下宿",前提条件!$C$32,0)+IF(AS7=18,前提条件!$C$33,0),0))))))+IF(AS8="",0,IF(AS8&lt;=5,IF(入力データ!$G$27="私立",前提条件!$C$22,前提条件!$C$21),IF(AS8&lt;=11,IF(入力データ!$H$27="私立",前提条件!$C$24,前提条件!$C$23),IF(AS8&lt;=14,IF(入力データ!$I$27="私立",前提条件!$C$26,前提条件!$C$25),IF(AS8&lt;=17,IF(入力データ!$J$27="私立",前提条件!$C$28,前提条件!$C$27),IF(AS8&lt;=21,IF(入力データ!$K$27="国公立",前提条件!$C$29,IF(入力データ!$K$27="私立理系",前提条件!$C$31,前提条件!$C$30))+IF(入力データ!$L$27="下宿",前提条件!$C$32,0)+IF(AS8=18,前提条件!$C$33,0),0)))))))*(1+前提条件!$C$13)^(AS$3-$B$3))</f>
        <v/>
      </c>
      <c r="AT24" s="352">
        <f>IF(AT$3="","",((SUM(入力データ!$C$58:$C$61)*12)+IF(AT6="",0,IF(AT6&lt;=5,IF(入力データ!$G$25="私立",前提条件!$C$22,前提条件!$C$21),IF(AT6&lt;=11,IF(入力データ!$H$25="私立",前提条件!$C$24,前提条件!$C$23),IF(AT6&lt;=14,IF(入力データ!$I$25="私立",前提条件!$C$26,前提条件!$C$25),IF(AT6&lt;=17,IF(入力データ!$J$25="私立",前提条件!$C$28,前提条件!$C$27),IF(AT6&lt;=21,IF(入力データ!$K$25="国公立",前提条件!$C$29,IF(入力データ!$K$25="私立理系",前提条件!$C$31,前提条件!$C$30))+IF(入力データ!$L$25="下宿",前提条件!$C$32,0)+IF(AT6=18,前提条件!$C$33,0),0))))))+IF(AT7="",0,IF(AT7&lt;=5,IF(入力データ!$G$26="私立",前提条件!$C$22,前提条件!$C$21),IF(AT7&lt;=11,IF(入力データ!$H$26="私立",前提条件!$C$24,前提条件!$C$23),IF(AT7&lt;=14,IF(入力データ!$I$26="私立",前提条件!$C$26,前提条件!$C$25),IF(AT7&lt;=17,IF(入力データ!$J$26="私立",前提条件!$C$28,前提条件!$C$27),IF(AT7&lt;=21,IF(入力データ!$K$26="国公立",前提条件!$C$29,IF(入力データ!$K$26="私立理系",前提条件!$C$31,前提条件!$C$30))+IF(入力データ!$L$26="下宿",前提条件!$C$32,0)+IF(AT7=18,前提条件!$C$33,0),0))))))+IF(AT8="",0,IF(AT8&lt;=5,IF(入力データ!$G$27="私立",前提条件!$C$22,前提条件!$C$21),IF(AT8&lt;=11,IF(入力データ!$H$27="私立",前提条件!$C$24,前提条件!$C$23),IF(AT8&lt;=14,IF(入力データ!$I$27="私立",前提条件!$C$26,前提条件!$C$25),IF(AT8&lt;=17,IF(入力データ!$J$27="私立",前提条件!$C$28,前提条件!$C$27),IF(AT8&lt;=21,IF(入力データ!$K$27="国公立",前提条件!$C$29,IF(入力データ!$K$27="私立理系",前提条件!$C$31,前提条件!$C$30))+IF(入力データ!$L$27="下宿",前提条件!$C$32,0)+IF(AT8=18,前提条件!$C$33,0),0)))))))*(1+前提条件!$C$13)^(AT$3-$B$3))</f>
        <v/>
      </c>
      <c r="AU24" s="352">
        <f>IF(AU$3="","",((SUM(入力データ!$C$58:$C$61)*12)+IF(AU6="",0,IF(AU6&lt;=5,IF(入力データ!$G$25="私立",前提条件!$C$22,前提条件!$C$21),IF(AU6&lt;=11,IF(入力データ!$H$25="私立",前提条件!$C$24,前提条件!$C$23),IF(AU6&lt;=14,IF(入力データ!$I$25="私立",前提条件!$C$26,前提条件!$C$25),IF(AU6&lt;=17,IF(入力データ!$J$25="私立",前提条件!$C$28,前提条件!$C$27),IF(AU6&lt;=21,IF(入力データ!$K$25="国公立",前提条件!$C$29,IF(入力データ!$K$25="私立理系",前提条件!$C$31,前提条件!$C$30))+IF(入力データ!$L$25="下宿",前提条件!$C$32,0)+IF(AU6=18,前提条件!$C$33,0),0))))))+IF(AU7="",0,IF(AU7&lt;=5,IF(入力データ!$G$26="私立",前提条件!$C$22,前提条件!$C$21),IF(AU7&lt;=11,IF(入力データ!$H$26="私立",前提条件!$C$24,前提条件!$C$23),IF(AU7&lt;=14,IF(入力データ!$I$26="私立",前提条件!$C$26,前提条件!$C$25),IF(AU7&lt;=17,IF(入力データ!$J$26="私立",前提条件!$C$28,前提条件!$C$27),IF(AU7&lt;=21,IF(入力データ!$K$26="国公立",前提条件!$C$29,IF(入力データ!$K$26="私立理系",前提条件!$C$31,前提条件!$C$30))+IF(入力データ!$L$26="下宿",前提条件!$C$32,0)+IF(AU7=18,前提条件!$C$33,0),0))))))+IF(AU8="",0,IF(AU8&lt;=5,IF(入力データ!$G$27="私立",前提条件!$C$22,前提条件!$C$21),IF(AU8&lt;=11,IF(入力データ!$H$27="私立",前提条件!$C$24,前提条件!$C$23),IF(AU8&lt;=14,IF(入力データ!$I$27="私立",前提条件!$C$26,前提条件!$C$25),IF(AU8&lt;=17,IF(入力データ!$J$27="私立",前提条件!$C$28,前提条件!$C$27),IF(AU8&lt;=21,IF(入力データ!$K$27="国公立",前提条件!$C$29,IF(入力データ!$K$27="私立理系",前提条件!$C$31,前提条件!$C$30))+IF(入力データ!$L$27="下宿",前提条件!$C$32,0)+IF(AU8=18,前提条件!$C$33,0),0)))))))*(1+前提条件!$C$13)^(AU$3-$B$3))</f>
        <v/>
      </c>
      <c r="AV24" s="352">
        <f>IF(AV$3="","",((SUM(入力データ!$C$58:$C$61)*12)+IF(AV6="",0,IF(AV6&lt;=5,IF(入力データ!$G$25="私立",前提条件!$C$22,前提条件!$C$21),IF(AV6&lt;=11,IF(入力データ!$H$25="私立",前提条件!$C$24,前提条件!$C$23),IF(AV6&lt;=14,IF(入力データ!$I$25="私立",前提条件!$C$26,前提条件!$C$25),IF(AV6&lt;=17,IF(入力データ!$J$25="私立",前提条件!$C$28,前提条件!$C$27),IF(AV6&lt;=21,IF(入力データ!$K$25="国公立",前提条件!$C$29,IF(入力データ!$K$25="私立理系",前提条件!$C$31,前提条件!$C$30))+IF(入力データ!$L$25="下宿",前提条件!$C$32,0)+IF(AV6=18,前提条件!$C$33,0),0))))))+IF(AV7="",0,IF(AV7&lt;=5,IF(入力データ!$G$26="私立",前提条件!$C$22,前提条件!$C$21),IF(AV7&lt;=11,IF(入力データ!$H$26="私立",前提条件!$C$24,前提条件!$C$23),IF(AV7&lt;=14,IF(入力データ!$I$26="私立",前提条件!$C$26,前提条件!$C$25),IF(AV7&lt;=17,IF(入力データ!$J$26="私立",前提条件!$C$28,前提条件!$C$27),IF(AV7&lt;=21,IF(入力データ!$K$26="国公立",前提条件!$C$29,IF(入力データ!$K$26="私立理系",前提条件!$C$31,前提条件!$C$30))+IF(入力データ!$L$26="下宿",前提条件!$C$32,0)+IF(AV7=18,前提条件!$C$33,0),0))))))+IF(AV8="",0,IF(AV8&lt;=5,IF(入力データ!$G$27="私立",前提条件!$C$22,前提条件!$C$21),IF(AV8&lt;=11,IF(入力データ!$H$27="私立",前提条件!$C$24,前提条件!$C$23),IF(AV8&lt;=14,IF(入力データ!$I$27="私立",前提条件!$C$26,前提条件!$C$25),IF(AV8&lt;=17,IF(入力データ!$J$27="私立",前提条件!$C$28,前提条件!$C$27),IF(AV8&lt;=21,IF(入力データ!$K$27="国公立",前提条件!$C$29,IF(入力データ!$K$27="私立理系",前提条件!$C$31,前提条件!$C$30))+IF(入力データ!$L$27="下宿",前提条件!$C$32,0)+IF(AV8=18,前提条件!$C$33,0),0)))))))*(1+前提条件!$C$13)^(AV$3-$B$3))</f>
        <v/>
      </c>
      <c r="AW24" s="352">
        <f>IF(AW$3="","",((SUM(入力データ!$C$58:$C$61)*12)+IF(AW6="",0,IF(AW6&lt;=5,IF(入力データ!$G$25="私立",前提条件!$C$22,前提条件!$C$21),IF(AW6&lt;=11,IF(入力データ!$H$25="私立",前提条件!$C$24,前提条件!$C$23),IF(AW6&lt;=14,IF(入力データ!$I$25="私立",前提条件!$C$26,前提条件!$C$25),IF(AW6&lt;=17,IF(入力データ!$J$25="私立",前提条件!$C$28,前提条件!$C$27),IF(AW6&lt;=21,IF(入力データ!$K$25="国公立",前提条件!$C$29,IF(入力データ!$K$25="私立理系",前提条件!$C$31,前提条件!$C$30))+IF(入力データ!$L$25="下宿",前提条件!$C$32,0)+IF(AW6=18,前提条件!$C$33,0),0))))))+IF(AW7="",0,IF(AW7&lt;=5,IF(入力データ!$G$26="私立",前提条件!$C$22,前提条件!$C$21),IF(AW7&lt;=11,IF(入力データ!$H$26="私立",前提条件!$C$24,前提条件!$C$23),IF(AW7&lt;=14,IF(入力データ!$I$26="私立",前提条件!$C$26,前提条件!$C$25),IF(AW7&lt;=17,IF(入力データ!$J$26="私立",前提条件!$C$28,前提条件!$C$27),IF(AW7&lt;=21,IF(入力データ!$K$26="国公立",前提条件!$C$29,IF(入力データ!$K$26="私立理系",前提条件!$C$31,前提条件!$C$30))+IF(入力データ!$L$26="下宿",前提条件!$C$32,0)+IF(AW7=18,前提条件!$C$33,0),0))))))+IF(AW8="",0,IF(AW8&lt;=5,IF(入力データ!$G$27="私立",前提条件!$C$22,前提条件!$C$21),IF(AW8&lt;=11,IF(入力データ!$H$27="私立",前提条件!$C$24,前提条件!$C$23),IF(AW8&lt;=14,IF(入力データ!$I$27="私立",前提条件!$C$26,前提条件!$C$25),IF(AW8&lt;=17,IF(入力データ!$J$27="私立",前提条件!$C$28,前提条件!$C$27),IF(AW8&lt;=21,IF(入力データ!$K$27="国公立",前提条件!$C$29,IF(入力データ!$K$27="私立理系",前提条件!$C$31,前提条件!$C$30))+IF(入力データ!$L$27="下宿",前提条件!$C$32,0)+IF(AW8=18,前提条件!$C$33,0),0)))))))*(1+前提条件!$C$13)^(AW$3-$B$3))</f>
        <v/>
      </c>
      <c r="AX24" s="352">
        <f>IF(AX$3="","",((SUM(入力データ!$C$58:$C$61)*12)+IF(AX6="",0,IF(AX6&lt;=5,IF(入力データ!$G$25="私立",前提条件!$C$22,前提条件!$C$21),IF(AX6&lt;=11,IF(入力データ!$H$25="私立",前提条件!$C$24,前提条件!$C$23),IF(AX6&lt;=14,IF(入力データ!$I$25="私立",前提条件!$C$26,前提条件!$C$25),IF(AX6&lt;=17,IF(入力データ!$J$25="私立",前提条件!$C$28,前提条件!$C$27),IF(AX6&lt;=21,IF(入力データ!$K$25="国公立",前提条件!$C$29,IF(入力データ!$K$25="私立理系",前提条件!$C$31,前提条件!$C$30))+IF(入力データ!$L$25="下宿",前提条件!$C$32,0)+IF(AX6=18,前提条件!$C$33,0),0))))))+IF(AX7="",0,IF(AX7&lt;=5,IF(入力データ!$G$26="私立",前提条件!$C$22,前提条件!$C$21),IF(AX7&lt;=11,IF(入力データ!$H$26="私立",前提条件!$C$24,前提条件!$C$23),IF(AX7&lt;=14,IF(入力データ!$I$26="私立",前提条件!$C$26,前提条件!$C$25),IF(AX7&lt;=17,IF(入力データ!$J$26="私立",前提条件!$C$28,前提条件!$C$27),IF(AX7&lt;=21,IF(入力データ!$K$26="国公立",前提条件!$C$29,IF(入力データ!$K$26="私立理系",前提条件!$C$31,前提条件!$C$30))+IF(入力データ!$L$26="下宿",前提条件!$C$32,0)+IF(AX7=18,前提条件!$C$33,0),0))))))+IF(AX8="",0,IF(AX8&lt;=5,IF(入力データ!$G$27="私立",前提条件!$C$22,前提条件!$C$21),IF(AX8&lt;=11,IF(入力データ!$H$27="私立",前提条件!$C$24,前提条件!$C$23),IF(AX8&lt;=14,IF(入力データ!$I$27="私立",前提条件!$C$26,前提条件!$C$25),IF(AX8&lt;=17,IF(入力データ!$J$27="私立",前提条件!$C$28,前提条件!$C$27),IF(AX8&lt;=21,IF(入力データ!$K$27="国公立",前提条件!$C$29,IF(入力データ!$K$27="私立理系",前提条件!$C$31,前提条件!$C$30))+IF(入力データ!$L$27="下宿",前提条件!$C$32,0)+IF(AX8=18,前提条件!$C$33,0),0)))))))*(1+前提条件!$C$13)^(AX$3-$B$3))</f>
        <v/>
      </c>
      <c r="AY24" s="352">
        <f>IF(AY$3="","",((SUM(入力データ!$C$58:$C$61)*12)+IF(AY6="",0,IF(AY6&lt;=5,IF(入力データ!$G$25="私立",前提条件!$C$22,前提条件!$C$21),IF(AY6&lt;=11,IF(入力データ!$H$25="私立",前提条件!$C$24,前提条件!$C$23),IF(AY6&lt;=14,IF(入力データ!$I$25="私立",前提条件!$C$26,前提条件!$C$25),IF(AY6&lt;=17,IF(入力データ!$J$25="私立",前提条件!$C$28,前提条件!$C$27),IF(AY6&lt;=21,IF(入力データ!$K$25="国公立",前提条件!$C$29,IF(入力データ!$K$25="私立理系",前提条件!$C$31,前提条件!$C$30))+IF(入力データ!$L$25="下宿",前提条件!$C$32,0)+IF(AY6=18,前提条件!$C$33,0),0))))))+IF(AY7="",0,IF(AY7&lt;=5,IF(入力データ!$G$26="私立",前提条件!$C$22,前提条件!$C$21),IF(AY7&lt;=11,IF(入力データ!$H$26="私立",前提条件!$C$24,前提条件!$C$23),IF(AY7&lt;=14,IF(入力データ!$I$26="私立",前提条件!$C$26,前提条件!$C$25),IF(AY7&lt;=17,IF(入力データ!$J$26="私立",前提条件!$C$28,前提条件!$C$27),IF(AY7&lt;=21,IF(入力データ!$K$26="国公立",前提条件!$C$29,IF(入力データ!$K$26="私立理系",前提条件!$C$31,前提条件!$C$30))+IF(入力データ!$L$26="下宿",前提条件!$C$32,0)+IF(AY7=18,前提条件!$C$33,0),0))))))+IF(AY8="",0,IF(AY8&lt;=5,IF(入力データ!$G$27="私立",前提条件!$C$22,前提条件!$C$21),IF(AY8&lt;=11,IF(入力データ!$H$27="私立",前提条件!$C$24,前提条件!$C$23),IF(AY8&lt;=14,IF(入力データ!$I$27="私立",前提条件!$C$26,前提条件!$C$25),IF(AY8&lt;=17,IF(入力データ!$J$27="私立",前提条件!$C$28,前提条件!$C$27),IF(AY8&lt;=21,IF(入力データ!$K$27="国公立",前提条件!$C$29,IF(入力データ!$K$27="私立理系",前提条件!$C$31,前提条件!$C$30))+IF(入力データ!$L$27="下宿",前提条件!$C$32,0)+IF(AY8=18,前提条件!$C$33,0),0)))))))*(1+前提条件!$C$13)^(AY$3-$B$3))</f>
        <v/>
      </c>
      <c r="AZ24" s="352">
        <f>IF(AZ$3="","",((SUM(入力データ!$C$58:$C$61)*12)+IF(AZ6="",0,IF(AZ6&lt;=5,IF(入力データ!$G$25="私立",前提条件!$C$22,前提条件!$C$21),IF(AZ6&lt;=11,IF(入力データ!$H$25="私立",前提条件!$C$24,前提条件!$C$23),IF(AZ6&lt;=14,IF(入力データ!$I$25="私立",前提条件!$C$26,前提条件!$C$25),IF(AZ6&lt;=17,IF(入力データ!$J$25="私立",前提条件!$C$28,前提条件!$C$27),IF(AZ6&lt;=21,IF(入力データ!$K$25="国公立",前提条件!$C$29,IF(入力データ!$K$25="私立理系",前提条件!$C$31,前提条件!$C$30))+IF(入力データ!$L$25="下宿",前提条件!$C$32,0)+IF(AZ6=18,前提条件!$C$33,0),0))))))+IF(AZ7="",0,IF(AZ7&lt;=5,IF(入力データ!$G$26="私立",前提条件!$C$22,前提条件!$C$21),IF(AZ7&lt;=11,IF(入力データ!$H$26="私立",前提条件!$C$24,前提条件!$C$23),IF(AZ7&lt;=14,IF(入力データ!$I$26="私立",前提条件!$C$26,前提条件!$C$25),IF(AZ7&lt;=17,IF(入力データ!$J$26="私立",前提条件!$C$28,前提条件!$C$27),IF(AZ7&lt;=21,IF(入力データ!$K$26="国公立",前提条件!$C$29,IF(入力データ!$K$26="私立理系",前提条件!$C$31,前提条件!$C$30))+IF(入力データ!$L$26="下宿",前提条件!$C$32,0)+IF(AZ7=18,前提条件!$C$33,0),0))))))+IF(AZ8="",0,IF(AZ8&lt;=5,IF(入力データ!$G$27="私立",前提条件!$C$22,前提条件!$C$21),IF(AZ8&lt;=11,IF(入力データ!$H$27="私立",前提条件!$C$24,前提条件!$C$23),IF(AZ8&lt;=14,IF(入力データ!$I$27="私立",前提条件!$C$26,前提条件!$C$25),IF(AZ8&lt;=17,IF(入力データ!$J$27="私立",前提条件!$C$28,前提条件!$C$27),IF(AZ8&lt;=21,IF(入力データ!$K$27="国公立",前提条件!$C$29,IF(入力データ!$K$27="私立理系",前提条件!$C$31,前提条件!$C$30))+IF(入力データ!$L$27="下宿",前提条件!$C$32,0)+IF(AZ8=18,前提条件!$C$33,0),0)))))))*(1+前提条件!$C$13)^(AZ$3-$B$3))</f>
        <v/>
      </c>
      <c r="BA24" s="352">
        <f>IF(BA$3="","",((SUM(入力データ!$C$58:$C$61)*12)+IF(BA6="",0,IF(BA6&lt;=5,IF(入力データ!$G$25="私立",前提条件!$C$22,前提条件!$C$21),IF(BA6&lt;=11,IF(入力データ!$H$25="私立",前提条件!$C$24,前提条件!$C$23),IF(BA6&lt;=14,IF(入力データ!$I$25="私立",前提条件!$C$26,前提条件!$C$25),IF(BA6&lt;=17,IF(入力データ!$J$25="私立",前提条件!$C$28,前提条件!$C$27),IF(BA6&lt;=21,IF(入力データ!$K$25="国公立",前提条件!$C$29,IF(入力データ!$K$25="私立理系",前提条件!$C$31,前提条件!$C$30))+IF(入力データ!$L$25="下宿",前提条件!$C$32,0)+IF(BA6=18,前提条件!$C$33,0),0))))))+IF(BA7="",0,IF(BA7&lt;=5,IF(入力データ!$G$26="私立",前提条件!$C$22,前提条件!$C$21),IF(BA7&lt;=11,IF(入力データ!$H$26="私立",前提条件!$C$24,前提条件!$C$23),IF(BA7&lt;=14,IF(入力データ!$I$26="私立",前提条件!$C$26,前提条件!$C$25),IF(BA7&lt;=17,IF(入力データ!$J$26="私立",前提条件!$C$28,前提条件!$C$27),IF(BA7&lt;=21,IF(入力データ!$K$26="国公立",前提条件!$C$29,IF(入力データ!$K$26="私立理系",前提条件!$C$31,前提条件!$C$30))+IF(入力データ!$L$26="下宿",前提条件!$C$32,0)+IF(BA7=18,前提条件!$C$33,0),0))))))+IF(BA8="",0,IF(BA8&lt;=5,IF(入力データ!$G$27="私立",前提条件!$C$22,前提条件!$C$21),IF(BA8&lt;=11,IF(入力データ!$H$27="私立",前提条件!$C$24,前提条件!$C$23),IF(BA8&lt;=14,IF(入力データ!$I$27="私立",前提条件!$C$26,前提条件!$C$25),IF(BA8&lt;=17,IF(入力データ!$J$27="私立",前提条件!$C$28,前提条件!$C$27),IF(BA8&lt;=21,IF(入力データ!$K$27="国公立",前提条件!$C$29,IF(入力データ!$K$27="私立理系",前提条件!$C$31,前提条件!$C$30))+IF(入力データ!$L$27="下宿",前提条件!$C$32,0)+IF(BA8=18,前提条件!$C$33,0),0)))))))*(1+前提条件!$C$13)^(BA$3-$B$3))</f>
        <v/>
      </c>
      <c r="BB24" s="352">
        <f>IF(BB$3="","",((SUM(入力データ!$C$58:$C$61)*12)+IF(BB6="",0,IF(BB6&lt;=5,IF(入力データ!$G$25="私立",前提条件!$C$22,前提条件!$C$21),IF(BB6&lt;=11,IF(入力データ!$H$25="私立",前提条件!$C$24,前提条件!$C$23),IF(BB6&lt;=14,IF(入力データ!$I$25="私立",前提条件!$C$26,前提条件!$C$25),IF(BB6&lt;=17,IF(入力データ!$J$25="私立",前提条件!$C$28,前提条件!$C$27),IF(BB6&lt;=21,IF(入力データ!$K$25="国公立",前提条件!$C$29,IF(入力データ!$K$25="私立理系",前提条件!$C$31,前提条件!$C$30))+IF(入力データ!$L$25="下宿",前提条件!$C$32,0)+IF(BB6=18,前提条件!$C$33,0),0))))))+IF(BB7="",0,IF(BB7&lt;=5,IF(入力データ!$G$26="私立",前提条件!$C$22,前提条件!$C$21),IF(BB7&lt;=11,IF(入力データ!$H$26="私立",前提条件!$C$24,前提条件!$C$23),IF(BB7&lt;=14,IF(入力データ!$I$26="私立",前提条件!$C$26,前提条件!$C$25),IF(BB7&lt;=17,IF(入力データ!$J$26="私立",前提条件!$C$28,前提条件!$C$27),IF(BB7&lt;=21,IF(入力データ!$K$26="国公立",前提条件!$C$29,IF(入力データ!$K$26="私立理系",前提条件!$C$31,前提条件!$C$30))+IF(入力データ!$L$26="下宿",前提条件!$C$32,0)+IF(BB7=18,前提条件!$C$33,0),0))))))+IF(BB8="",0,IF(BB8&lt;=5,IF(入力データ!$G$27="私立",前提条件!$C$22,前提条件!$C$21),IF(BB8&lt;=11,IF(入力データ!$H$27="私立",前提条件!$C$24,前提条件!$C$23),IF(BB8&lt;=14,IF(入力データ!$I$27="私立",前提条件!$C$26,前提条件!$C$25),IF(BB8&lt;=17,IF(入力データ!$J$27="私立",前提条件!$C$28,前提条件!$C$27),IF(BB8&lt;=21,IF(入力データ!$K$27="国公立",前提条件!$C$29,IF(入力データ!$K$27="私立理系",前提条件!$C$31,前提条件!$C$30))+IF(入力データ!$L$27="下宿",前提条件!$C$32,0)+IF(BB8=18,前提条件!$C$33,0),0)))))))*(1+前提条件!$C$13)^(BB$3-$B$3))</f>
        <v/>
      </c>
      <c r="BC24" s="352">
        <f>IF(BC$3="","",((SUM(入力データ!$C$58:$C$61)*12)+IF(BC6="",0,IF(BC6&lt;=5,IF(入力データ!$G$25="私立",前提条件!$C$22,前提条件!$C$21),IF(BC6&lt;=11,IF(入力データ!$H$25="私立",前提条件!$C$24,前提条件!$C$23),IF(BC6&lt;=14,IF(入力データ!$I$25="私立",前提条件!$C$26,前提条件!$C$25),IF(BC6&lt;=17,IF(入力データ!$J$25="私立",前提条件!$C$28,前提条件!$C$27),IF(BC6&lt;=21,IF(入力データ!$K$25="国公立",前提条件!$C$29,IF(入力データ!$K$25="私立理系",前提条件!$C$31,前提条件!$C$30))+IF(入力データ!$L$25="下宿",前提条件!$C$32,0)+IF(BC6=18,前提条件!$C$33,0),0))))))+IF(BC7="",0,IF(BC7&lt;=5,IF(入力データ!$G$26="私立",前提条件!$C$22,前提条件!$C$21),IF(BC7&lt;=11,IF(入力データ!$H$26="私立",前提条件!$C$24,前提条件!$C$23),IF(BC7&lt;=14,IF(入力データ!$I$26="私立",前提条件!$C$26,前提条件!$C$25),IF(BC7&lt;=17,IF(入力データ!$J$26="私立",前提条件!$C$28,前提条件!$C$27),IF(BC7&lt;=21,IF(入力データ!$K$26="国公立",前提条件!$C$29,IF(入力データ!$K$26="私立理系",前提条件!$C$31,前提条件!$C$30))+IF(入力データ!$L$26="下宿",前提条件!$C$32,0)+IF(BC7=18,前提条件!$C$33,0),0))))))+IF(BC8="",0,IF(BC8&lt;=5,IF(入力データ!$G$27="私立",前提条件!$C$22,前提条件!$C$21),IF(BC8&lt;=11,IF(入力データ!$H$27="私立",前提条件!$C$24,前提条件!$C$23),IF(BC8&lt;=14,IF(入力データ!$I$27="私立",前提条件!$C$26,前提条件!$C$25),IF(BC8&lt;=17,IF(入力データ!$J$27="私立",前提条件!$C$28,前提条件!$C$27),IF(BC8&lt;=21,IF(入力データ!$K$27="国公立",前提条件!$C$29,IF(入力データ!$K$27="私立理系",前提条件!$C$31,前提条件!$C$30))+IF(入力データ!$L$27="下宿",前提条件!$C$32,0)+IF(BC8=18,前提条件!$C$33,0),0)))))))*(1+前提条件!$C$13)^(BC$3-$B$3))</f>
        <v/>
      </c>
      <c r="BD24" s="352">
        <f>IF(BD$3="","",((SUM(入力データ!$C$58:$C$61)*12)+IF(BD6="",0,IF(BD6&lt;=5,IF(入力データ!$G$25="私立",前提条件!$C$22,前提条件!$C$21),IF(BD6&lt;=11,IF(入力データ!$H$25="私立",前提条件!$C$24,前提条件!$C$23),IF(BD6&lt;=14,IF(入力データ!$I$25="私立",前提条件!$C$26,前提条件!$C$25),IF(BD6&lt;=17,IF(入力データ!$J$25="私立",前提条件!$C$28,前提条件!$C$27),IF(BD6&lt;=21,IF(入力データ!$K$25="国公立",前提条件!$C$29,IF(入力データ!$K$25="私立理系",前提条件!$C$31,前提条件!$C$30))+IF(入力データ!$L$25="下宿",前提条件!$C$32,0)+IF(BD6=18,前提条件!$C$33,0),0))))))+IF(BD7="",0,IF(BD7&lt;=5,IF(入力データ!$G$26="私立",前提条件!$C$22,前提条件!$C$21),IF(BD7&lt;=11,IF(入力データ!$H$26="私立",前提条件!$C$24,前提条件!$C$23),IF(BD7&lt;=14,IF(入力データ!$I$26="私立",前提条件!$C$26,前提条件!$C$25),IF(BD7&lt;=17,IF(入力データ!$J$26="私立",前提条件!$C$28,前提条件!$C$27),IF(BD7&lt;=21,IF(入力データ!$K$26="国公立",前提条件!$C$29,IF(入力データ!$K$26="私立理系",前提条件!$C$31,前提条件!$C$30))+IF(入力データ!$L$26="下宿",前提条件!$C$32,0)+IF(BD7=18,前提条件!$C$33,0),0))))))+IF(BD8="",0,IF(BD8&lt;=5,IF(入力データ!$G$27="私立",前提条件!$C$22,前提条件!$C$21),IF(BD8&lt;=11,IF(入力データ!$H$27="私立",前提条件!$C$24,前提条件!$C$23),IF(BD8&lt;=14,IF(入力データ!$I$27="私立",前提条件!$C$26,前提条件!$C$25),IF(BD8&lt;=17,IF(入力データ!$J$27="私立",前提条件!$C$28,前提条件!$C$27),IF(BD8&lt;=21,IF(入力データ!$K$27="国公立",前提条件!$C$29,IF(入力データ!$K$27="私立理系",前提条件!$C$31,前提条件!$C$30))+IF(入力データ!$L$27="下宿",前提条件!$C$32,0)+IF(BD8=18,前提条件!$C$33,0),0)))))))*(1+前提条件!$C$13)^(BD$3-$B$3))</f>
        <v/>
      </c>
      <c r="BE24" s="352">
        <f>IF(BE$3="","",((SUM(入力データ!$C$58:$C$61)*12)+IF(BE6="",0,IF(BE6&lt;=5,IF(入力データ!$G$25="私立",前提条件!$C$22,前提条件!$C$21),IF(BE6&lt;=11,IF(入力データ!$H$25="私立",前提条件!$C$24,前提条件!$C$23),IF(BE6&lt;=14,IF(入力データ!$I$25="私立",前提条件!$C$26,前提条件!$C$25),IF(BE6&lt;=17,IF(入力データ!$J$25="私立",前提条件!$C$28,前提条件!$C$27),IF(BE6&lt;=21,IF(入力データ!$K$25="国公立",前提条件!$C$29,IF(入力データ!$K$25="私立理系",前提条件!$C$31,前提条件!$C$30))+IF(入力データ!$L$25="下宿",前提条件!$C$32,0)+IF(BE6=18,前提条件!$C$33,0),0))))))+IF(BE7="",0,IF(BE7&lt;=5,IF(入力データ!$G$26="私立",前提条件!$C$22,前提条件!$C$21),IF(BE7&lt;=11,IF(入力データ!$H$26="私立",前提条件!$C$24,前提条件!$C$23),IF(BE7&lt;=14,IF(入力データ!$I$26="私立",前提条件!$C$26,前提条件!$C$25),IF(BE7&lt;=17,IF(入力データ!$J$26="私立",前提条件!$C$28,前提条件!$C$27),IF(BE7&lt;=21,IF(入力データ!$K$26="国公立",前提条件!$C$29,IF(入力データ!$K$26="私立理系",前提条件!$C$31,前提条件!$C$30))+IF(入力データ!$L$26="下宿",前提条件!$C$32,0)+IF(BE7=18,前提条件!$C$33,0),0))))))+IF(BE8="",0,IF(BE8&lt;=5,IF(入力データ!$G$27="私立",前提条件!$C$22,前提条件!$C$21),IF(BE8&lt;=11,IF(入力データ!$H$27="私立",前提条件!$C$24,前提条件!$C$23),IF(BE8&lt;=14,IF(入力データ!$I$27="私立",前提条件!$C$26,前提条件!$C$25),IF(BE8&lt;=17,IF(入力データ!$J$27="私立",前提条件!$C$28,前提条件!$C$27),IF(BE8&lt;=21,IF(入力データ!$K$27="国公立",前提条件!$C$29,IF(入力データ!$K$27="私立理系",前提条件!$C$31,前提条件!$C$30))+IF(入力データ!$L$27="下宿",前提条件!$C$32,0)+IF(BE8=18,前提条件!$C$33,0),0)))))))*(1+前提条件!$C$13)^(BE$3-$B$3))</f>
        <v/>
      </c>
      <c r="BF24" s="352">
        <f>IF(BF$3="","",((SUM(入力データ!$C$58:$C$61)*12)+IF(BF6="",0,IF(BF6&lt;=5,IF(入力データ!$G$25="私立",前提条件!$C$22,前提条件!$C$21),IF(BF6&lt;=11,IF(入力データ!$H$25="私立",前提条件!$C$24,前提条件!$C$23),IF(BF6&lt;=14,IF(入力データ!$I$25="私立",前提条件!$C$26,前提条件!$C$25),IF(BF6&lt;=17,IF(入力データ!$J$25="私立",前提条件!$C$28,前提条件!$C$27),IF(BF6&lt;=21,IF(入力データ!$K$25="国公立",前提条件!$C$29,IF(入力データ!$K$25="私立理系",前提条件!$C$31,前提条件!$C$30))+IF(入力データ!$L$25="下宿",前提条件!$C$32,0)+IF(BF6=18,前提条件!$C$33,0),0))))))+IF(BF7="",0,IF(BF7&lt;=5,IF(入力データ!$G$26="私立",前提条件!$C$22,前提条件!$C$21),IF(BF7&lt;=11,IF(入力データ!$H$26="私立",前提条件!$C$24,前提条件!$C$23),IF(BF7&lt;=14,IF(入力データ!$I$26="私立",前提条件!$C$26,前提条件!$C$25),IF(BF7&lt;=17,IF(入力データ!$J$26="私立",前提条件!$C$28,前提条件!$C$27),IF(BF7&lt;=21,IF(入力データ!$K$26="国公立",前提条件!$C$29,IF(入力データ!$K$26="私立理系",前提条件!$C$31,前提条件!$C$30))+IF(入力データ!$L$26="下宿",前提条件!$C$32,0)+IF(BF7=18,前提条件!$C$33,0),0))))))+IF(BF8="",0,IF(BF8&lt;=5,IF(入力データ!$G$27="私立",前提条件!$C$22,前提条件!$C$21),IF(BF8&lt;=11,IF(入力データ!$H$27="私立",前提条件!$C$24,前提条件!$C$23),IF(BF8&lt;=14,IF(入力データ!$I$27="私立",前提条件!$C$26,前提条件!$C$25),IF(BF8&lt;=17,IF(入力データ!$J$27="私立",前提条件!$C$28,前提条件!$C$27),IF(BF8&lt;=21,IF(入力データ!$K$27="国公立",前提条件!$C$29,IF(入力データ!$K$27="私立理系",前提条件!$C$31,前提条件!$C$30))+IF(入力データ!$L$27="下宿",前提条件!$C$32,0)+IF(BF8=18,前提条件!$C$33,0),0)))))))*(1+前提条件!$C$13)^(BF$3-$B$3))</f>
        <v/>
      </c>
      <c r="BG24" s="352">
        <f>IF(BG$3="","",((SUM(入力データ!$C$58:$C$61)*12)+IF(BG6="",0,IF(BG6&lt;=5,IF(入力データ!$G$25="私立",前提条件!$C$22,前提条件!$C$21),IF(BG6&lt;=11,IF(入力データ!$H$25="私立",前提条件!$C$24,前提条件!$C$23),IF(BG6&lt;=14,IF(入力データ!$I$25="私立",前提条件!$C$26,前提条件!$C$25),IF(BG6&lt;=17,IF(入力データ!$J$25="私立",前提条件!$C$28,前提条件!$C$27),IF(BG6&lt;=21,IF(入力データ!$K$25="国公立",前提条件!$C$29,IF(入力データ!$K$25="私立理系",前提条件!$C$31,前提条件!$C$30))+IF(入力データ!$L$25="下宿",前提条件!$C$32,0)+IF(BG6=18,前提条件!$C$33,0),0))))))+IF(BG7="",0,IF(BG7&lt;=5,IF(入力データ!$G$26="私立",前提条件!$C$22,前提条件!$C$21),IF(BG7&lt;=11,IF(入力データ!$H$26="私立",前提条件!$C$24,前提条件!$C$23),IF(BG7&lt;=14,IF(入力データ!$I$26="私立",前提条件!$C$26,前提条件!$C$25),IF(BG7&lt;=17,IF(入力データ!$J$26="私立",前提条件!$C$28,前提条件!$C$27),IF(BG7&lt;=21,IF(入力データ!$K$26="国公立",前提条件!$C$29,IF(入力データ!$K$26="私立理系",前提条件!$C$31,前提条件!$C$30))+IF(入力データ!$L$26="下宿",前提条件!$C$32,0)+IF(BG7=18,前提条件!$C$33,0),0))))))+IF(BG8="",0,IF(BG8&lt;=5,IF(入力データ!$G$27="私立",前提条件!$C$22,前提条件!$C$21),IF(BG8&lt;=11,IF(入力データ!$H$27="私立",前提条件!$C$24,前提条件!$C$23),IF(BG8&lt;=14,IF(入力データ!$I$27="私立",前提条件!$C$26,前提条件!$C$25),IF(BG8&lt;=17,IF(入力データ!$J$27="私立",前提条件!$C$28,前提条件!$C$27),IF(BG8&lt;=21,IF(入力データ!$K$27="国公立",前提条件!$C$29,IF(入力データ!$K$27="私立理系",前提条件!$C$31,前提条件!$C$30))+IF(入力データ!$L$27="下宿",前提条件!$C$32,0)+IF(BG8=18,前提条件!$C$33,0),0)))))))*(1+前提条件!$C$13)^(BG$3-$B$3))</f>
        <v/>
      </c>
      <c r="BH24" s="352">
        <f>IF(BH$3="","",((SUM(入力データ!$C$58:$C$61)*12)+IF(BH6="",0,IF(BH6&lt;=5,IF(入力データ!$G$25="私立",前提条件!$C$22,前提条件!$C$21),IF(BH6&lt;=11,IF(入力データ!$H$25="私立",前提条件!$C$24,前提条件!$C$23),IF(BH6&lt;=14,IF(入力データ!$I$25="私立",前提条件!$C$26,前提条件!$C$25),IF(BH6&lt;=17,IF(入力データ!$J$25="私立",前提条件!$C$28,前提条件!$C$27),IF(BH6&lt;=21,IF(入力データ!$K$25="国公立",前提条件!$C$29,IF(入力データ!$K$25="私立理系",前提条件!$C$31,前提条件!$C$30))+IF(入力データ!$L$25="下宿",前提条件!$C$32,0)+IF(BH6=18,前提条件!$C$33,0),0))))))+IF(BH7="",0,IF(BH7&lt;=5,IF(入力データ!$G$26="私立",前提条件!$C$22,前提条件!$C$21),IF(BH7&lt;=11,IF(入力データ!$H$26="私立",前提条件!$C$24,前提条件!$C$23),IF(BH7&lt;=14,IF(入力データ!$I$26="私立",前提条件!$C$26,前提条件!$C$25),IF(BH7&lt;=17,IF(入力データ!$J$26="私立",前提条件!$C$28,前提条件!$C$27),IF(BH7&lt;=21,IF(入力データ!$K$26="国公立",前提条件!$C$29,IF(入力データ!$K$26="私立理系",前提条件!$C$31,前提条件!$C$30))+IF(入力データ!$L$26="下宿",前提条件!$C$32,0)+IF(BH7=18,前提条件!$C$33,0),0))))))+IF(BH8="",0,IF(BH8&lt;=5,IF(入力データ!$G$27="私立",前提条件!$C$22,前提条件!$C$21),IF(BH8&lt;=11,IF(入力データ!$H$27="私立",前提条件!$C$24,前提条件!$C$23),IF(BH8&lt;=14,IF(入力データ!$I$27="私立",前提条件!$C$26,前提条件!$C$25),IF(BH8&lt;=17,IF(入力データ!$J$27="私立",前提条件!$C$28,前提条件!$C$27),IF(BH8&lt;=21,IF(入力データ!$K$27="国公立",前提条件!$C$29,IF(入力データ!$K$27="私立理系",前提条件!$C$31,前提条件!$C$30))+IF(入力データ!$L$27="下宿",前提条件!$C$32,0)+IF(BH8=18,前提条件!$C$33,0),0)))))))*(1+前提条件!$C$13)^(BH$3-$B$3))</f>
        <v/>
      </c>
      <c r="BI24" s="352">
        <f>IF(BI$3="","",((SUM(入力データ!$C$58:$C$61)*12)+IF(BI6="",0,IF(BI6&lt;=5,IF(入力データ!$G$25="私立",前提条件!$C$22,前提条件!$C$21),IF(BI6&lt;=11,IF(入力データ!$H$25="私立",前提条件!$C$24,前提条件!$C$23),IF(BI6&lt;=14,IF(入力データ!$I$25="私立",前提条件!$C$26,前提条件!$C$25),IF(BI6&lt;=17,IF(入力データ!$J$25="私立",前提条件!$C$28,前提条件!$C$27),IF(BI6&lt;=21,IF(入力データ!$K$25="国公立",前提条件!$C$29,IF(入力データ!$K$25="私立理系",前提条件!$C$31,前提条件!$C$30))+IF(入力データ!$L$25="下宿",前提条件!$C$32,0)+IF(BI6=18,前提条件!$C$33,0),0))))))+IF(BI7="",0,IF(BI7&lt;=5,IF(入力データ!$G$26="私立",前提条件!$C$22,前提条件!$C$21),IF(BI7&lt;=11,IF(入力データ!$H$26="私立",前提条件!$C$24,前提条件!$C$23),IF(BI7&lt;=14,IF(入力データ!$I$26="私立",前提条件!$C$26,前提条件!$C$25),IF(BI7&lt;=17,IF(入力データ!$J$26="私立",前提条件!$C$28,前提条件!$C$27),IF(BI7&lt;=21,IF(入力データ!$K$26="国公立",前提条件!$C$29,IF(入力データ!$K$26="私立理系",前提条件!$C$31,前提条件!$C$30))+IF(入力データ!$L$26="下宿",前提条件!$C$32,0)+IF(BI7=18,前提条件!$C$33,0),0))))))+IF(BI8="",0,IF(BI8&lt;=5,IF(入力データ!$G$27="私立",前提条件!$C$22,前提条件!$C$21),IF(BI8&lt;=11,IF(入力データ!$H$27="私立",前提条件!$C$24,前提条件!$C$23),IF(BI8&lt;=14,IF(入力データ!$I$27="私立",前提条件!$C$26,前提条件!$C$25),IF(BI8&lt;=17,IF(入力データ!$J$27="私立",前提条件!$C$28,前提条件!$C$27),IF(BI8&lt;=21,IF(入力データ!$K$27="国公立",前提条件!$C$29,IF(入力データ!$K$27="私立理系",前提条件!$C$31,前提条件!$C$30))+IF(入力データ!$L$27="下宿",前提条件!$C$32,0)+IF(BI8=18,前提条件!$C$33,0),0)))))))*(1+前提条件!$C$13)^(BI$3-$B$3))</f>
        <v/>
      </c>
      <c r="BJ24" s="352">
        <f>IF(BJ$3="","",((SUM(入力データ!$C$58:$C$61)*12)+IF(BJ6="",0,IF(BJ6&lt;=5,IF(入力データ!$G$25="私立",前提条件!$C$22,前提条件!$C$21),IF(BJ6&lt;=11,IF(入力データ!$H$25="私立",前提条件!$C$24,前提条件!$C$23),IF(BJ6&lt;=14,IF(入力データ!$I$25="私立",前提条件!$C$26,前提条件!$C$25),IF(BJ6&lt;=17,IF(入力データ!$J$25="私立",前提条件!$C$28,前提条件!$C$27),IF(BJ6&lt;=21,IF(入力データ!$K$25="国公立",前提条件!$C$29,IF(入力データ!$K$25="私立理系",前提条件!$C$31,前提条件!$C$30))+IF(入力データ!$L$25="下宿",前提条件!$C$32,0)+IF(BJ6=18,前提条件!$C$33,0),0))))))+IF(BJ7="",0,IF(BJ7&lt;=5,IF(入力データ!$G$26="私立",前提条件!$C$22,前提条件!$C$21),IF(BJ7&lt;=11,IF(入力データ!$H$26="私立",前提条件!$C$24,前提条件!$C$23),IF(BJ7&lt;=14,IF(入力データ!$I$26="私立",前提条件!$C$26,前提条件!$C$25),IF(BJ7&lt;=17,IF(入力データ!$J$26="私立",前提条件!$C$28,前提条件!$C$27),IF(BJ7&lt;=21,IF(入力データ!$K$26="国公立",前提条件!$C$29,IF(入力データ!$K$26="私立理系",前提条件!$C$31,前提条件!$C$30))+IF(入力データ!$L$26="下宿",前提条件!$C$32,0)+IF(BJ7=18,前提条件!$C$33,0),0))))))+IF(BJ8="",0,IF(BJ8&lt;=5,IF(入力データ!$G$27="私立",前提条件!$C$22,前提条件!$C$21),IF(BJ8&lt;=11,IF(入力データ!$H$27="私立",前提条件!$C$24,前提条件!$C$23),IF(BJ8&lt;=14,IF(入力データ!$I$27="私立",前提条件!$C$26,前提条件!$C$25),IF(BJ8&lt;=17,IF(入力データ!$J$27="私立",前提条件!$C$28,前提条件!$C$27),IF(BJ8&lt;=21,IF(入力データ!$K$27="国公立",前提条件!$C$29,IF(入力データ!$K$27="私立理系",前提条件!$C$31,前提条件!$C$30))+IF(入力データ!$L$27="下宿",前提条件!$C$32,0)+IF(BJ8=18,前提条件!$C$33,0),0)))))))*(1+前提条件!$C$13)^(BJ$3-$B$3))</f>
        <v/>
      </c>
      <c r="BK24" s="352">
        <f>IF(BK$3="","",((SUM(入力データ!$C$58:$C$61)*12)+IF(BK6="",0,IF(BK6&lt;=5,IF(入力データ!$G$25="私立",前提条件!$C$22,前提条件!$C$21),IF(BK6&lt;=11,IF(入力データ!$H$25="私立",前提条件!$C$24,前提条件!$C$23),IF(BK6&lt;=14,IF(入力データ!$I$25="私立",前提条件!$C$26,前提条件!$C$25),IF(BK6&lt;=17,IF(入力データ!$J$25="私立",前提条件!$C$28,前提条件!$C$27),IF(BK6&lt;=21,IF(入力データ!$K$25="国公立",前提条件!$C$29,IF(入力データ!$K$25="私立理系",前提条件!$C$31,前提条件!$C$30))+IF(入力データ!$L$25="下宿",前提条件!$C$32,0)+IF(BK6=18,前提条件!$C$33,0),0))))))+IF(BK7="",0,IF(BK7&lt;=5,IF(入力データ!$G$26="私立",前提条件!$C$22,前提条件!$C$21),IF(BK7&lt;=11,IF(入力データ!$H$26="私立",前提条件!$C$24,前提条件!$C$23),IF(BK7&lt;=14,IF(入力データ!$I$26="私立",前提条件!$C$26,前提条件!$C$25),IF(BK7&lt;=17,IF(入力データ!$J$26="私立",前提条件!$C$28,前提条件!$C$27),IF(BK7&lt;=21,IF(入力データ!$K$26="国公立",前提条件!$C$29,IF(入力データ!$K$26="私立理系",前提条件!$C$31,前提条件!$C$30))+IF(入力データ!$L$26="下宿",前提条件!$C$32,0)+IF(BK7=18,前提条件!$C$33,0),0))))))+IF(BK8="",0,IF(BK8&lt;=5,IF(入力データ!$G$27="私立",前提条件!$C$22,前提条件!$C$21),IF(BK8&lt;=11,IF(入力データ!$H$27="私立",前提条件!$C$24,前提条件!$C$23),IF(BK8&lt;=14,IF(入力データ!$I$27="私立",前提条件!$C$26,前提条件!$C$25),IF(BK8&lt;=17,IF(入力データ!$J$27="私立",前提条件!$C$28,前提条件!$C$27),IF(BK8&lt;=21,IF(入力データ!$K$27="国公立",前提条件!$C$29,IF(入力データ!$K$27="私立理系",前提条件!$C$31,前提条件!$C$30))+IF(入力データ!$L$27="下宿",前提条件!$C$32,0)+IF(BK8=18,前提条件!$C$33,0),0)))))))*(1+前提条件!$C$13)^(BK$3-$B$3))</f>
        <v/>
      </c>
      <c r="BL24" s="352">
        <f>IF(BL$3="","",((SUM(入力データ!$C$58:$C$61)*12)+IF(BL6="",0,IF(BL6&lt;=5,IF(入力データ!$G$25="私立",前提条件!$C$22,前提条件!$C$21),IF(BL6&lt;=11,IF(入力データ!$H$25="私立",前提条件!$C$24,前提条件!$C$23),IF(BL6&lt;=14,IF(入力データ!$I$25="私立",前提条件!$C$26,前提条件!$C$25),IF(BL6&lt;=17,IF(入力データ!$J$25="私立",前提条件!$C$28,前提条件!$C$27),IF(BL6&lt;=21,IF(入力データ!$K$25="国公立",前提条件!$C$29,IF(入力データ!$K$25="私立理系",前提条件!$C$31,前提条件!$C$30))+IF(入力データ!$L$25="下宿",前提条件!$C$32,0)+IF(BL6=18,前提条件!$C$33,0),0))))))+IF(BL7="",0,IF(BL7&lt;=5,IF(入力データ!$G$26="私立",前提条件!$C$22,前提条件!$C$21),IF(BL7&lt;=11,IF(入力データ!$H$26="私立",前提条件!$C$24,前提条件!$C$23),IF(BL7&lt;=14,IF(入力データ!$I$26="私立",前提条件!$C$26,前提条件!$C$25),IF(BL7&lt;=17,IF(入力データ!$J$26="私立",前提条件!$C$28,前提条件!$C$27),IF(BL7&lt;=21,IF(入力データ!$K$26="国公立",前提条件!$C$29,IF(入力データ!$K$26="私立理系",前提条件!$C$31,前提条件!$C$30))+IF(入力データ!$L$26="下宿",前提条件!$C$32,0)+IF(BL7=18,前提条件!$C$33,0),0))))))+IF(BL8="",0,IF(BL8&lt;=5,IF(入力データ!$G$27="私立",前提条件!$C$22,前提条件!$C$21),IF(BL8&lt;=11,IF(入力データ!$H$27="私立",前提条件!$C$24,前提条件!$C$23),IF(BL8&lt;=14,IF(入力データ!$I$27="私立",前提条件!$C$26,前提条件!$C$25),IF(BL8&lt;=17,IF(入力データ!$J$27="私立",前提条件!$C$28,前提条件!$C$27),IF(BL8&lt;=21,IF(入力データ!$K$27="国公立",前提条件!$C$29,IF(入力データ!$K$27="私立理系",前提条件!$C$31,前提条件!$C$30))+IF(入力データ!$L$27="下宿",前提条件!$C$32,0)+IF(BL8=18,前提条件!$C$33,0),0)))))))*(1+前提条件!$C$13)^(BL$3-$B$3))</f>
        <v/>
      </c>
      <c r="BM24" s="352">
        <f>IF(BM$3="","",((SUM(入力データ!$C$58:$C$61)*12)+IF(BM6="",0,IF(BM6&lt;=5,IF(入力データ!$G$25="私立",前提条件!$C$22,前提条件!$C$21),IF(BM6&lt;=11,IF(入力データ!$H$25="私立",前提条件!$C$24,前提条件!$C$23),IF(BM6&lt;=14,IF(入力データ!$I$25="私立",前提条件!$C$26,前提条件!$C$25),IF(BM6&lt;=17,IF(入力データ!$J$25="私立",前提条件!$C$28,前提条件!$C$27),IF(BM6&lt;=21,IF(入力データ!$K$25="国公立",前提条件!$C$29,IF(入力データ!$K$25="私立理系",前提条件!$C$31,前提条件!$C$30))+IF(入力データ!$L$25="下宿",前提条件!$C$32,0)+IF(BM6=18,前提条件!$C$33,0),0))))))+IF(BM7="",0,IF(BM7&lt;=5,IF(入力データ!$G$26="私立",前提条件!$C$22,前提条件!$C$21),IF(BM7&lt;=11,IF(入力データ!$H$26="私立",前提条件!$C$24,前提条件!$C$23),IF(BM7&lt;=14,IF(入力データ!$I$26="私立",前提条件!$C$26,前提条件!$C$25),IF(BM7&lt;=17,IF(入力データ!$J$26="私立",前提条件!$C$28,前提条件!$C$27),IF(BM7&lt;=21,IF(入力データ!$K$26="国公立",前提条件!$C$29,IF(入力データ!$K$26="私立理系",前提条件!$C$31,前提条件!$C$30))+IF(入力データ!$L$26="下宿",前提条件!$C$32,0)+IF(BM7=18,前提条件!$C$33,0),0))))))+IF(BM8="",0,IF(BM8&lt;=5,IF(入力データ!$G$27="私立",前提条件!$C$22,前提条件!$C$21),IF(BM8&lt;=11,IF(入力データ!$H$27="私立",前提条件!$C$24,前提条件!$C$23),IF(BM8&lt;=14,IF(入力データ!$I$27="私立",前提条件!$C$26,前提条件!$C$25),IF(BM8&lt;=17,IF(入力データ!$J$27="私立",前提条件!$C$28,前提条件!$C$27),IF(BM8&lt;=21,IF(入力データ!$K$27="国公立",前提条件!$C$29,IF(入力データ!$K$27="私立理系",前提条件!$C$31,前提条件!$C$30))+IF(入力データ!$L$27="下宿",前提条件!$C$32,0)+IF(BM8=18,前提条件!$C$33,0),0)))))))*(1+前提条件!$C$13)^(BM$3-$B$3))</f>
        <v/>
      </c>
      <c r="BN24" s="352">
        <f>IF(BN$3="","",((SUM(入力データ!$C$58:$C$61)*12)+IF(BN6="",0,IF(BN6&lt;=5,IF(入力データ!$G$25="私立",前提条件!$C$22,前提条件!$C$21),IF(BN6&lt;=11,IF(入力データ!$H$25="私立",前提条件!$C$24,前提条件!$C$23),IF(BN6&lt;=14,IF(入力データ!$I$25="私立",前提条件!$C$26,前提条件!$C$25),IF(BN6&lt;=17,IF(入力データ!$J$25="私立",前提条件!$C$28,前提条件!$C$27),IF(BN6&lt;=21,IF(入力データ!$K$25="国公立",前提条件!$C$29,IF(入力データ!$K$25="私立理系",前提条件!$C$31,前提条件!$C$30))+IF(入力データ!$L$25="下宿",前提条件!$C$32,0)+IF(BN6=18,前提条件!$C$33,0),0))))))+IF(BN7="",0,IF(BN7&lt;=5,IF(入力データ!$G$26="私立",前提条件!$C$22,前提条件!$C$21),IF(BN7&lt;=11,IF(入力データ!$H$26="私立",前提条件!$C$24,前提条件!$C$23),IF(BN7&lt;=14,IF(入力データ!$I$26="私立",前提条件!$C$26,前提条件!$C$25),IF(BN7&lt;=17,IF(入力データ!$J$26="私立",前提条件!$C$28,前提条件!$C$27),IF(BN7&lt;=21,IF(入力データ!$K$26="国公立",前提条件!$C$29,IF(入力データ!$K$26="私立理系",前提条件!$C$31,前提条件!$C$30))+IF(入力データ!$L$26="下宿",前提条件!$C$32,0)+IF(BN7=18,前提条件!$C$33,0),0))))))+IF(BN8="",0,IF(BN8&lt;=5,IF(入力データ!$G$27="私立",前提条件!$C$22,前提条件!$C$21),IF(BN8&lt;=11,IF(入力データ!$H$27="私立",前提条件!$C$24,前提条件!$C$23),IF(BN8&lt;=14,IF(入力データ!$I$27="私立",前提条件!$C$26,前提条件!$C$25),IF(BN8&lt;=17,IF(入力データ!$J$27="私立",前提条件!$C$28,前提条件!$C$27),IF(BN8&lt;=21,IF(入力データ!$K$27="国公立",前提条件!$C$29,IF(入力データ!$K$27="私立理系",前提条件!$C$31,前提条件!$C$30))+IF(入力データ!$L$27="下宿",前提条件!$C$32,0)+IF(BN8=18,前提条件!$C$33,0),0)))))))*(1+前提条件!$C$13)^(BN$3-$B$3))</f>
        <v/>
      </c>
      <c r="BO24" s="352">
        <f>IF(BO$3="","",((SUM(入力データ!$C$58:$C$61)*12)+IF(BO6="",0,IF(BO6&lt;=5,IF(入力データ!$G$25="私立",前提条件!$C$22,前提条件!$C$21),IF(BO6&lt;=11,IF(入力データ!$H$25="私立",前提条件!$C$24,前提条件!$C$23),IF(BO6&lt;=14,IF(入力データ!$I$25="私立",前提条件!$C$26,前提条件!$C$25),IF(BO6&lt;=17,IF(入力データ!$J$25="私立",前提条件!$C$28,前提条件!$C$27),IF(BO6&lt;=21,IF(入力データ!$K$25="国公立",前提条件!$C$29,IF(入力データ!$K$25="私立理系",前提条件!$C$31,前提条件!$C$30))+IF(入力データ!$L$25="下宿",前提条件!$C$32,0)+IF(BO6=18,前提条件!$C$33,0),0))))))+IF(BO7="",0,IF(BO7&lt;=5,IF(入力データ!$G$26="私立",前提条件!$C$22,前提条件!$C$21),IF(BO7&lt;=11,IF(入力データ!$H$26="私立",前提条件!$C$24,前提条件!$C$23),IF(BO7&lt;=14,IF(入力データ!$I$26="私立",前提条件!$C$26,前提条件!$C$25),IF(BO7&lt;=17,IF(入力データ!$J$26="私立",前提条件!$C$28,前提条件!$C$27),IF(BO7&lt;=21,IF(入力データ!$K$26="国公立",前提条件!$C$29,IF(入力データ!$K$26="私立理系",前提条件!$C$31,前提条件!$C$30))+IF(入力データ!$L$26="下宿",前提条件!$C$32,0)+IF(BO7=18,前提条件!$C$33,0),0))))))+IF(BO8="",0,IF(BO8&lt;=5,IF(入力データ!$G$27="私立",前提条件!$C$22,前提条件!$C$21),IF(BO8&lt;=11,IF(入力データ!$H$27="私立",前提条件!$C$24,前提条件!$C$23),IF(BO8&lt;=14,IF(入力データ!$I$27="私立",前提条件!$C$26,前提条件!$C$25),IF(BO8&lt;=17,IF(入力データ!$J$27="私立",前提条件!$C$28,前提条件!$C$27),IF(BO8&lt;=21,IF(入力データ!$K$27="国公立",前提条件!$C$29,IF(入力データ!$K$27="私立理系",前提条件!$C$31,前提条件!$C$30))+IF(入力データ!$L$27="下宿",前提条件!$C$32,0)+IF(BO8=18,前提条件!$C$33,0),0)))))))*(1+前提条件!$C$13)^(BO$3-$B$3))</f>
        <v/>
      </c>
      <c r="BP24" s="352">
        <f>IF(BP$3="","",((SUM(入力データ!$C$58:$C$61)*12)+IF(BP6="",0,IF(BP6&lt;=5,IF(入力データ!$G$25="私立",前提条件!$C$22,前提条件!$C$21),IF(BP6&lt;=11,IF(入力データ!$H$25="私立",前提条件!$C$24,前提条件!$C$23),IF(BP6&lt;=14,IF(入力データ!$I$25="私立",前提条件!$C$26,前提条件!$C$25),IF(BP6&lt;=17,IF(入力データ!$J$25="私立",前提条件!$C$28,前提条件!$C$27),IF(BP6&lt;=21,IF(入力データ!$K$25="国公立",前提条件!$C$29,IF(入力データ!$K$25="私立理系",前提条件!$C$31,前提条件!$C$30))+IF(入力データ!$L$25="下宿",前提条件!$C$32,0)+IF(BP6=18,前提条件!$C$33,0),0))))))+IF(BP7="",0,IF(BP7&lt;=5,IF(入力データ!$G$26="私立",前提条件!$C$22,前提条件!$C$21),IF(BP7&lt;=11,IF(入力データ!$H$26="私立",前提条件!$C$24,前提条件!$C$23),IF(BP7&lt;=14,IF(入力データ!$I$26="私立",前提条件!$C$26,前提条件!$C$25),IF(BP7&lt;=17,IF(入力データ!$J$26="私立",前提条件!$C$28,前提条件!$C$27),IF(BP7&lt;=21,IF(入力データ!$K$26="国公立",前提条件!$C$29,IF(入力データ!$K$26="私立理系",前提条件!$C$31,前提条件!$C$30))+IF(入力データ!$L$26="下宿",前提条件!$C$32,0)+IF(BP7=18,前提条件!$C$33,0),0))))))+IF(BP8="",0,IF(BP8&lt;=5,IF(入力データ!$G$27="私立",前提条件!$C$22,前提条件!$C$21),IF(BP8&lt;=11,IF(入力データ!$H$27="私立",前提条件!$C$24,前提条件!$C$23),IF(BP8&lt;=14,IF(入力データ!$I$27="私立",前提条件!$C$26,前提条件!$C$25),IF(BP8&lt;=17,IF(入力データ!$J$27="私立",前提条件!$C$28,前提条件!$C$27),IF(BP8&lt;=21,IF(入力データ!$K$27="国公立",前提条件!$C$29,IF(入力データ!$K$27="私立理系",前提条件!$C$31,前提条件!$C$30))+IF(入力データ!$L$27="下宿",前提条件!$C$32,0)+IF(BP8=18,前提条件!$C$33,0),0)))))))*(1+前提条件!$C$13)^(BP$3-$B$3))</f>
        <v/>
      </c>
      <c r="BQ24" s="352">
        <f>IF(BQ$3="","",((SUM(入力データ!$C$58:$C$61)*12)+IF(BQ6="",0,IF(BQ6&lt;=5,IF(入力データ!$G$25="私立",前提条件!$C$22,前提条件!$C$21),IF(BQ6&lt;=11,IF(入力データ!$H$25="私立",前提条件!$C$24,前提条件!$C$23),IF(BQ6&lt;=14,IF(入力データ!$I$25="私立",前提条件!$C$26,前提条件!$C$25),IF(BQ6&lt;=17,IF(入力データ!$J$25="私立",前提条件!$C$28,前提条件!$C$27),IF(BQ6&lt;=21,IF(入力データ!$K$25="国公立",前提条件!$C$29,IF(入力データ!$K$25="私立理系",前提条件!$C$31,前提条件!$C$30))+IF(入力データ!$L$25="下宿",前提条件!$C$32,0)+IF(BQ6=18,前提条件!$C$33,0),0))))))+IF(BQ7="",0,IF(BQ7&lt;=5,IF(入力データ!$G$26="私立",前提条件!$C$22,前提条件!$C$21),IF(BQ7&lt;=11,IF(入力データ!$H$26="私立",前提条件!$C$24,前提条件!$C$23),IF(BQ7&lt;=14,IF(入力データ!$I$26="私立",前提条件!$C$26,前提条件!$C$25),IF(BQ7&lt;=17,IF(入力データ!$J$26="私立",前提条件!$C$28,前提条件!$C$27),IF(BQ7&lt;=21,IF(入力データ!$K$26="国公立",前提条件!$C$29,IF(入力データ!$K$26="私立理系",前提条件!$C$31,前提条件!$C$30))+IF(入力データ!$L$26="下宿",前提条件!$C$32,0)+IF(BQ7=18,前提条件!$C$33,0),0))))))+IF(BQ8="",0,IF(BQ8&lt;=5,IF(入力データ!$G$27="私立",前提条件!$C$22,前提条件!$C$21),IF(BQ8&lt;=11,IF(入力データ!$H$27="私立",前提条件!$C$24,前提条件!$C$23),IF(BQ8&lt;=14,IF(入力データ!$I$27="私立",前提条件!$C$26,前提条件!$C$25),IF(BQ8&lt;=17,IF(入力データ!$J$27="私立",前提条件!$C$28,前提条件!$C$27),IF(BQ8&lt;=21,IF(入力データ!$K$27="国公立",前提条件!$C$29,IF(入力データ!$K$27="私立理系",前提条件!$C$31,前提条件!$C$30))+IF(入力データ!$L$27="下宿",前提条件!$C$32,0)+IF(BQ8=18,前提条件!$C$33,0),0)))))))*(1+前提条件!$C$13)^(BQ$3-$B$3))</f>
        <v/>
      </c>
      <c r="BR24" s="352">
        <f>IF(BR$3="","",((SUM(入力データ!$C$58:$C$61)*12)+IF(BR6="",0,IF(BR6&lt;=5,IF(入力データ!$G$25="私立",前提条件!$C$22,前提条件!$C$21),IF(BR6&lt;=11,IF(入力データ!$H$25="私立",前提条件!$C$24,前提条件!$C$23),IF(BR6&lt;=14,IF(入力データ!$I$25="私立",前提条件!$C$26,前提条件!$C$25),IF(BR6&lt;=17,IF(入力データ!$J$25="私立",前提条件!$C$28,前提条件!$C$27),IF(BR6&lt;=21,IF(入力データ!$K$25="国公立",前提条件!$C$29,IF(入力データ!$K$25="私立理系",前提条件!$C$31,前提条件!$C$30))+IF(入力データ!$L$25="下宿",前提条件!$C$32,0)+IF(BR6=18,前提条件!$C$33,0),0))))))+IF(BR7="",0,IF(BR7&lt;=5,IF(入力データ!$G$26="私立",前提条件!$C$22,前提条件!$C$21),IF(BR7&lt;=11,IF(入力データ!$H$26="私立",前提条件!$C$24,前提条件!$C$23),IF(BR7&lt;=14,IF(入力データ!$I$26="私立",前提条件!$C$26,前提条件!$C$25),IF(BR7&lt;=17,IF(入力データ!$J$26="私立",前提条件!$C$28,前提条件!$C$27),IF(BR7&lt;=21,IF(入力データ!$K$26="国公立",前提条件!$C$29,IF(入力データ!$K$26="私立理系",前提条件!$C$31,前提条件!$C$30))+IF(入力データ!$L$26="下宿",前提条件!$C$32,0)+IF(BR7=18,前提条件!$C$33,0),0))))))+IF(BR8="",0,IF(BR8&lt;=5,IF(入力データ!$G$27="私立",前提条件!$C$22,前提条件!$C$21),IF(BR8&lt;=11,IF(入力データ!$H$27="私立",前提条件!$C$24,前提条件!$C$23),IF(BR8&lt;=14,IF(入力データ!$I$27="私立",前提条件!$C$26,前提条件!$C$25),IF(BR8&lt;=17,IF(入力データ!$J$27="私立",前提条件!$C$28,前提条件!$C$27),IF(BR8&lt;=21,IF(入力データ!$K$27="国公立",前提条件!$C$29,IF(入力データ!$K$27="私立理系",前提条件!$C$31,前提条件!$C$30))+IF(入力データ!$L$27="下宿",前提条件!$C$32,0)+IF(BR8=18,前提条件!$C$33,0),0)))))))*(1+前提条件!$C$13)^(BR$3-$B$3))</f>
        <v/>
      </c>
      <c r="BS24" s="352">
        <f>IF(BS$3="","",((SUM(入力データ!$C$58:$C$61)*12)+IF(BS6="",0,IF(BS6&lt;=5,IF(入力データ!$G$25="私立",前提条件!$C$22,前提条件!$C$21),IF(BS6&lt;=11,IF(入力データ!$H$25="私立",前提条件!$C$24,前提条件!$C$23),IF(BS6&lt;=14,IF(入力データ!$I$25="私立",前提条件!$C$26,前提条件!$C$25),IF(BS6&lt;=17,IF(入力データ!$J$25="私立",前提条件!$C$28,前提条件!$C$27),IF(BS6&lt;=21,IF(入力データ!$K$25="国公立",前提条件!$C$29,IF(入力データ!$K$25="私立理系",前提条件!$C$31,前提条件!$C$30))+IF(入力データ!$L$25="下宿",前提条件!$C$32,0)+IF(BS6=18,前提条件!$C$33,0),0))))))+IF(BS7="",0,IF(BS7&lt;=5,IF(入力データ!$G$26="私立",前提条件!$C$22,前提条件!$C$21),IF(BS7&lt;=11,IF(入力データ!$H$26="私立",前提条件!$C$24,前提条件!$C$23),IF(BS7&lt;=14,IF(入力データ!$I$26="私立",前提条件!$C$26,前提条件!$C$25),IF(BS7&lt;=17,IF(入力データ!$J$26="私立",前提条件!$C$28,前提条件!$C$27),IF(BS7&lt;=21,IF(入力データ!$K$26="国公立",前提条件!$C$29,IF(入力データ!$K$26="私立理系",前提条件!$C$31,前提条件!$C$30))+IF(入力データ!$L$26="下宿",前提条件!$C$32,0)+IF(BS7=18,前提条件!$C$33,0),0))))))+IF(BS8="",0,IF(BS8&lt;=5,IF(入力データ!$G$27="私立",前提条件!$C$22,前提条件!$C$21),IF(BS8&lt;=11,IF(入力データ!$H$27="私立",前提条件!$C$24,前提条件!$C$23),IF(BS8&lt;=14,IF(入力データ!$I$27="私立",前提条件!$C$26,前提条件!$C$25),IF(BS8&lt;=17,IF(入力データ!$J$27="私立",前提条件!$C$28,前提条件!$C$27),IF(BS8&lt;=21,IF(入力データ!$K$27="国公立",前提条件!$C$29,IF(入力データ!$K$27="私立理系",前提条件!$C$31,前提条件!$C$30))+IF(入力データ!$L$27="下宿",前提条件!$C$32,0)+IF(BS8=18,前提条件!$C$33,0),0)))))))*(1+前提条件!$C$13)^(BS$3-$B$3))</f>
        <v/>
      </c>
      <c r="BT24" s="352">
        <f>IF(BT$3="","",((SUM(入力データ!$C$58:$C$61)*12)+IF(BT6="",0,IF(BT6&lt;=5,IF(入力データ!$G$25="私立",前提条件!$C$22,前提条件!$C$21),IF(BT6&lt;=11,IF(入力データ!$H$25="私立",前提条件!$C$24,前提条件!$C$23),IF(BT6&lt;=14,IF(入力データ!$I$25="私立",前提条件!$C$26,前提条件!$C$25),IF(BT6&lt;=17,IF(入力データ!$J$25="私立",前提条件!$C$28,前提条件!$C$27),IF(BT6&lt;=21,IF(入力データ!$K$25="国公立",前提条件!$C$29,IF(入力データ!$K$25="私立理系",前提条件!$C$31,前提条件!$C$30))+IF(入力データ!$L$25="下宿",前提条件!$C$32,0)+IF(BT6=18,前提条件!$C$33,0),0))))))+IF(BT7="",0,IF(BT7&lt;=5,IF(入力データ!$G$26="私立",前提条件!$C$22,前提条件!$C$21),IF(BT7&lt;=11,IF(入力データ!$H$26="私立",前提条件!$C$24,前提条件!$C$23),IF(BT7&lt;=14,IF(入力データ!$I$26="私立",前提条件!$C$26,前提条件!$C$25),IF(BT7&lt;=17,IF(入力データ!$J$26="私立",前提条件!$C$28,前提条件!$C$27),IF(BT7&lt;=21,IF(入力データ!$K$26="国公立",前提条件!$C$29,IF(入力データ!$K$26="私立理系",前提条件!$C$31,前提条件!$C$30))+IF(入力データ!$L$26="下宿",前提条件!$C$32,0)+IF(BT7=18,前提条件!$C$33,0),0))))))+IF(BT8="",0,IF(BT8&lt;=5,IF(入力データ!$G$27="私立",前提条件!$C$22,前提条件!$C$21),IF(BT8&lt;=11,IF(入力データ!$H$27="私立",前提条件!$C$24,前提条件!$C$23),IF(BT8&lt;=14,IF(入力データ!$I$27="私立",前提条件!$C$26,前提条件!$C$25),IF(BT8&lt;=17,IF(入力データ!$J$27="私立",前提条件!$C$28,前提条件!$C$27),IF(BT8&lt;=21,IF(入力データ!$K$27="国公立",前提条件!$C$29,IF(入力データ!$K$27="私立理系",前提条件!$C$31,前提条件!$C$30))+IF(入力データ!$L$27="下宿",前提条件!$C$32,0)+IF(BT8=18,前提条件!$C$33,0),0)))))))*(1+前提条件!$C$13)^(BT$3-$B$3))</f>
        <v/>
      </c>
      <c r="BU24" s="352">
        <f>IF(BU$3="","",((SUM(入力データ!$C$58:$C$61)*12)+IF(BU6="",0,IF(BU6&lt;=5,IF(入力データ!$G$25="私立",前提条件!$C$22,前提条件!$C$21),IF(BU6&lt;=11,IF(入力データ!$H$25="私立",前提条件!$C$24,前提条件!$C$23),IF(BU6&lt;=14,IF(入力データ!$I$25="私立",前提条件!$C$26,前提条件!$C$25),IF(BU6&lt;=17,IF(入力データ!$J$25="私立",前提条件!$C$28,前提条件!$C$27),IF(BU6&lt;=21,IF(入力データ!$K$25="国公立",前提条件!$C$29,IF(入力データ!$K$25="私立理系",前提条件!$C$31,前提条件!$C$30))+IF(入力データ!$L$25="下宿",前提条件!$C$32,0)+IF(BU6=18,前提条件!$C$33,0),0))))))+IF(BU7="",0,IF(BU7&lt;=5,IF(入力データ!$G$26="私立",前提条件!$C$22,前提条件!$C$21),IF(BU7&lt;=11,IF(入力データ!$H$26="私立",前提条件!$C$24,前提条件!$C$23),IF(BU7&lt;=14,IF(入力データ!$I$26="私立",前提条件!$C$26,前提条件!$C$25),IF(BU7&lt;=17,IF(入力データ!$J$26="私立",前提条件!$C$28,前提条件!$C$27),IF(BU7&lt;=21,IF(入力データ!$K$26="国公立",前提条件!$C$29,IF(入力データ!$K$26="私立理系",前提条件!$C$31,前提条件!$C$30))+IF(入力データ!$L$26="下宿",前提条件!$C$32,0)+IF(BU7=18,前提条件!$C$33,0),0))))))+IF(BU8="",0,IF(BU8&lt;=5,IF(入力データ!$G$27="私立",前提条件!$C$22,前提条件!$C$21),IF(BU8&lt;=11,IF(入力データ!$H$27="私立",前提条件!$C$24,前提条件!$C$23),IF(BU8&lt;=14,IF(入力データ!$I$27="私立",前提条件!$C$26,前提条件!$C$25),IF(BU8&lt;=17,IF(入力データ!$J$27="私立",前提条件!$C$28,前提条件!$C$27),IF(BU8&lt;=21,IF(入力データ!$K$27="国公立",前提条件!$C$29,IF(入力データ!$K$27="私立理系",前提条件!$C$31,前提条件!$C$30))+IF(入力データ!$L$27="下宿",前提条件!$C$32,0)+IF(BU8=18,前提条件!$C$33,0),0)))))))*(1+前提条件!$C$13)^(BU$3-$B$3))</f>
        <v/>
      </c>
      <c r="BV24" s="352">
        <f>IF(BV$3="","",((SUM(入力データ!$C$58:$C$61)*12)+IF(BV6="",0,IF(BV6&lt;=5,IF(入力データ!$G$25="私立",前提条件!$C$22,前提条件!$C$21),IF(BV6&lt;=11,IF(入力データ!$H$25="私立",前提条件!$C$24,前提条件!$C$23),IF(BV6&lt;=14,IF(入力データ!$I$25="私立",前提条件!$C$26,前提条件!$C$25),IF(BV6&lt;=17,IF(入力データ!$J$25="私立",前提条件!$C$28,前提条件!$C$27),IF(BV6&lt;=21,IF(入力データ!$K$25="国公立",前提条件!$C$29,IF(入力データ!$K$25="私立理系",前提条件!$C$31,前提条件!$C$30))+IF(入力データ!$L$25="下宿",前提条件!$C$32,0)+IF(BV6=18,前提条件!$C$33,0),0))))))+IF(BV7="",0,IF(BV7&lt;=5,IF(入力データ!$G$26="私立",前提条件!$C$22,前提条件!$C$21),IF(BV7&lt;=11,IF(入力データ!$H$26="私立",前提条件!$C$24,前提条件!$C$23),IF(BV7&lt;=14,IF(入力データ!$I$26="私立",前提条件!$C$26,前提条件!$C$25),IF(BV7&lt;=17,IF(入力データ!$J$26="私立",前提条件!$C$28,前提条件!$C$27),IF(BV7&lt;=21,IF(入力データ!$K$26="国公立",前提条件!$C$29,IF(入力データ!$K$26="私立理系",前提条件!$C$31,前提条件!$C$30))+IF(入力データ!$L$26="下宿",前提条件!$C$32,0)+IF(BV7=18,前提条件!$C$33,0),0))))))+IF(BV8="",0,IF(BV8&lt;=5,IF(入力データ!$G$27="私立",前提条件!$C$22,前提条件!$C$21),IF(BV8&lt;=11,IF(入力データ!$H$27="私立",前提条件!$C$24,前提条件!$C$23),IF(BV8&lt;=14,IF(入力データ!$I$27="私立",前提条件!$C$26,前提条件!$C$25),IF(BV8&lt;=17,IF(入力データ!$J$27="私立",前提条件!$C$28,前提条件!$C$27),IF(BV8&lt;=21,IF(入力データ!$K$27="国公立",前提条件!$C$29,IF(入力データ!$K$27="私立理系",前提条件!$C$31,前提条件!$C$30))+IF(入力データ!$L$27="下宿",前提条件!$C$32,0)+IF(BV8=18,前提条件!$C$33,0),0)))))))*(1+前提条件!$C$13)^(BV$3-$B$3))</f>
        <v/>
      </c>
      <c r="BW24" s="352">
        <f>IF(BW$3="","",((SUM(入力データ!$C$58:$C$61)*12)+IF(BW6="",0,IF(BW6&lt;=5,IF(入力データ!$G$25="私立",前提条件!$C$22,前提条件!$C$21),IF(BW6&lt;=11,IF(入力データ!$H$25="私立",前提条件!$C$24,前提条件!$C$23),IF(BW6&lt;=14,IF(入力データ!$I$25="私立",前提条件!$C$26,前提条件!$C$25),IF(BW6&lt;=17,IF(入力データ!$J$25="私立",前提条件!$C$28,前提条件!$C$27),IF(BW6&lt;=21,IF(入力データ!$K$25="国公立",前提条件!$C$29,IF(入力データ!$K$25="私立理系",前提条件!$C$31,前提条件!$C$30))+IF(入力データ!$L$25="下宿",前提条件!$C$32,0)+IF(BW6=18,前提条件!$C$33,0),0))))))+IF(BW7="",0,IF(BW7&lt;=5,IF(入力データ!$G$26="私立",前提条件!$C$22,前提条件!$C$21),IF(BW7&lt;=11,IF(入力データ!$H$26="私立",前提条件!$C$24,前提条件!$C$23),IF(BW7&lt;=14,IF(入力データ!$I$26="私立",前提条件!$C$26,前提条件!$C$25),IF(BW7&lt;=17,IF(入力データ!$J$26="私立",前提条件!$C$28,前提条件!$C$27),IF(BW7&lt;=21,IF(入力データ!$K$26="国公立",前提条件!$C$29,IF(入力データ!$K$26="私立理系",前提条件!$C$31,前提条件!$C$30))+IF(入力データ!$L$26="下宿",前提条件!$C$32,0)+IF(BW7=18,前提条件!$C$33,0),0))))))+IF(BW8="",0,IF(BW8&lt;=5,IF(入力データ!$G$27="私立",前提条件!$C$22,前提条件!$C$21),IF(BW8&lt;=11,IF(入力データ!$H$27="私立",前提条件!$C$24,前提条件!$C$23),IF(BW8&lt;=14,IF(入力データ!$I$27="私立",前提条件!$C$26,前提条件!$C$25),IF(BW8&lt;=17,IF(入力データ!$J$27="私立",前提条件!$C$28,前提条件!$C$27),IF(BW8&lt;=21,IF(入力データ!$K$27="国公立",前提条件!$C$29,IF(入力データ!$K$27="私立理系",前提条件!$C$31,前提条件!$C$30))+IF(入力データ!$L$27="下宿",前提条件!$C$32,0)+IF(BW8=18,前提条件!$C$33,0),0)))))))*(1+前提条件!$C$13)^(BW$3-$B$3))</f>
        <v/>
      </c>
      <c r="BX24" s="352">
        <f>IF(BX$3="","",((SUM(入力データ!$C$58:$C$61)*12)+IF(BX6="",0,IF(BX6&lt;=5,IF(入力データ!$G$25="私立",前提条件!$C$22,前提条件!$C$21),IF(BX6&lt;=11,IF(入力データ!$H$25="私立",前提条件!$C$24,前提条件!$C$23),IF(BX6&lt;=14,IF(入力データ!$I$25="私立",前提条件!$C$26,前提条件!$C$25),IF(BX6&lt;=17,IF(入力データ!$J$25="私立",前提条件!$C$28,前提条件!$C$27),IF(BX6&lt;=21,IF(入力データ!$K$25="国公立",前提条件!$C$29,IF(入力データ!$K$25="私立理系",前提条件!$C$31,前提条件!$C$30))+IF(入力データ!$L$25="下宿",前提条件!$C$32,0)+IF(BX6=18,前提条件!$C$33,0),0))))))+IF(BX7="",0,IF(BX7&lt;=5,IF(入力データ!$G$26="私立",前提条件!$C$22,前提条件!$C$21),IF(BX7&lt;=11,IF(入力データ!$H$26="私立",前提条件!$C$24,前提条件!$C$23),IF(BX7&lt;=14,IF(入力データ!$I$26="私立",前提条件!$C$26,前提条件!$C$25),IF(BX7&lt;=17,IF(入力データ!$J$26="私立",前提条件!$C$28,前提条件!$C$27),IF(BX7&lt;=21,IF(入力データ!$K$26="国公立",前提条件!$C$29,IF(入力データ!$K$26="私立理系",前提条件!$C$31,前提条件!$C$30))+IF(入力データ!$L$26="下宿",前提条件!$C$32,0)+IF(BX7=18,前提条件!$C$33,0),0))))))+IF(BX8="",0,IF(BX8&lt;=5,IF(入力データ!$G$27="私立",前提条件!$C$22,前提条件!$C$21),IF(BX8&lt;=11,IF(入力データ!$H$27="私立",前提条件!$C$24,前提条件!$C$23),IF(BX8&lt;=14,IF(入力データ!$I$27="私立",前提条件!$C$26,前提条件!$C$25),IF(BX8&lt;=17,IF(入力データ!$J$27="私立",前提条件!$C$28,前提条件!$C$27),IF(BX8&lt;=21,IF(入力データ!$K$27="国公立",前提条件!$C$29,IF(入力データ!$K$27="私立理系",前提条件!$C$31,前提条件!$C$30))+IF(入力データ!$L$27="下宿",前提条件!$C$32,0)+IF(BX8=18,前提条件!$C$33,0),0)))))))*(1+前提条件!$C$13)^(BX$3-$B$3))</f>
        <v/>
      </c>
      <c r="BY24" s="352">
        <f>IF(BY$3="","",((SUM(入力データ!$C$58:$C$61)*12)+IF(BY6="",0,IF(BY6&lt;=5,IF(入力データ!$G$25="私立",前提条件!$C$22,前提条件!$C$21),IF(BY6&lt;=11,IF(入力データ!$H$25="私立",前提条件!$C$24,前提条件!$C$23),IF(BY6&lt;=14,IF(入力データ!$I$25="私立",前提条件!$C$26,前提条件!$C$25),IF(BY6&lt;=17,IF(入力データ!$J$25="私立",前提条件!$C$28,前提条件!$C$27),IF(BY6&lt;=21,IF(入力データ!$K$25="国公立",前提条件!$C$29,IF(入力データ!$K$25="私立理系",前提条件!$C$31,前提条件!$C$30))+IF(入力データ!$L$25="下宿",前提条件!$C$32,0)+IF(BY6=18,前提条件!$C$33,0),0))))))+IF(BY7="",0,IF(BY7&lt;=5,IF(入力データ!$G$26="私立",前提条件!$C$22,前提条件!$C$21),IF(BY7&lt;=11,IF(入力データ!$H$26="私立",前提条件!$C$24,前提条件!$C$23),IF(BY7&lt;=14,IF(入力データ!$I$26="私立",前提条件!$C$26,前提条件!$C$25),IF(BY7&lt;=17,IF(入力データ!$J$26="私立",前提条件!$C$28,前提条件!$C$27),IF(BY7&lt;=21,IF(入力データ!$K$26="国公立",前提条件!$C$29,IF(入力データ!$K$26="私立理系",前提条件!$C$31,前提条件!$C$30))+IF(入力データ!$L$26="下宿",前提条件!$C$32,0)+IF(BY7=18,前提条件!$C$33,0),0))))))+IF(BY8="",0,IF(BY8&lt;=5,IF(入力データ!$G$27="私立",前提条件!$C$22,前提条件!$C$21),IF(BY8&lt;=11,IF(入力データ!$H$27="私立",前提条件!$C$24,前提条件!$C$23),IF(BY8&lt;=14,IF(入力データ!$I$27="私立",前提条件!$C$26,前提条件!$C$25),IF(BY8&lt;=17,IF(入力データ!$J$27="私立",前提条件!$C$28,前提条件!$C$27),IF(BY8&lt;=21,IF(入力データ!$K$27="国公立",前提条件!$C$29,IF(入力データ!$K$27="私立理系",前提条件!$C$31,前提条件!$C$30))+IF(入力データ!$L$27="下宿",前提条件!$C$32,0)+IF(BY8=18,前提条件!$C$33,0),0)))))))*(1+前提条件!$C$13)^(BY$3-$B$3))</f>
        <v/>
      </c>
      <c r="BZ24" s="352">
        <f>IF(BZ$3="","",((SUM(入力データ!$C$58:$C$61)*12)+IF(BZ6="",0,IF(BZ6&lt;=5,IF(入力データ!$G$25="私立",前提条件!$C$22,前提条件!$C$21),IF(BZ6&lt;=11,IF(入力データ!$H$25="私立",前提条件!$C$24,前提条件!$C$23),IF(BZ6&lt;=14,IF(入力データ!$I$25="私立",前提条件!$C$26,前提条件!$C$25),IF(BZ6&lt;=17,IF(入力データ!$J$25="私立",前提条件!$C$28,前提条件!$C$27),IF(BZ6&lt;=21,IF(入力データ!$K$25="国公立",前提条件!$C$29,IF(入力データ!$K$25="私立理系",前提条件!$C$31,前提条件!$C$30))+IF(入力データ!$L$25="下宿",前提条件!$C$32,0)+IF(BZ6=18,前提条件!$C$33,0),0))))))+IF(BZ7="",0,IF(BZ7&lt;=5,IF(入力データ!$G$26="私立",前提条件!$C$22,前提条件!$C$21),IF(BZ7&lt;=11,IF(入力データ!$H$26="私立",前提条件!$C$24,前提条件!$C$23),IF(BZ7&lt;=14,IF(入力データ!$I$26="私立",前提条件!$C$26,前提条件!$C$25),IF(BZ7&lt;=17,IF(入力データ!$J$26="私立",前提条件!$C$28,前提条件!$C$27),IF(BZ7&lt;=21,IF(入力データ!$K$26="国公立",前提条件!$C$29,IF(入力データ!$K$26="私立理系",前提条件!$C$31,前提条件!$C$30))+IF(入力データ!$L$26="下宿",前提条件!$C$32,0)+IF(BZ7=18,前提条件!$C$33,0),0))))))+IF(BZ8="",0,IF(BZ8&lt;=5,IF(入力データ!$G$27="私立",前提条件!$C$22,前提条件!$C$21),IF(BZ8&lt;=11,IF(入力データ!$H$27="私立",前提条件!$C$24,前提条件!$C$23),IF(BZ8&lt;=14,IF(入力データ!$I$27="私立",前提条件!$C$26,前提条件!$C$25),IF(BZ8&lt;=17,IF(入力データ!$J$27="私立",前提条件!$C$28,前提条件!$C$27),IF(BZ8&lt;=21,IF(入力データ!$K$27="国公立",前提条件!$C$29,IF(入力データ!$K$27="私立理系",前提条件!$C$31,前提条件!$C$30))+IF(入力データ!$L$27="下宿",前提条件!$C$32,0)+IF(BZ8=18,前提条件!$C$33,0),0)))))))*(1+前提条件!$C$13)^(BZ$3-$B$3))</f>
        <v/>
      </c>
      <c r="CA24" s="352">
        <f>IF(CA$3="","",((SUM(入力データ!$C$58:$C$61)*12)+IF(CA6="",0,IF(CA6&lt;=5,IF(入力データ!$G$25="私立",前提条件!$C$22,前提条件!$C$21),IF(CA6&lt;=11,IF(入力データ!$H$25="私立",前提条件!$C$24,前提条件!$C$23),IF(CA6&lt;=14,IF(入力データ!$I$25="私立",前提条件!$C$26,前提条件!$C$25),IF(CA6&lt;=17,IF(入力データ!$J$25="私立",前提条件!$C$28,前提条件!$C$27),IF(CA6&lt;=21,IF(入力データ!$K$25="国公立",前提条件!$C$29,IF(入力データ!$K$25="私立理系",前提条件!$C$31,前提条件!$C$30))+IF(入力データ!$L$25="下宿",前提条件!$C$32,0)+IF(CA6=18,前提条件!$C$33,0),0))))))+IF(CA7="",0,IF(CA7&lt;=5,IF(入力データ!$G$26="私立",前提条件!$C$22,前提条件!$C$21),IF(CA7&lt;=11,IF(入力データ!$H$26="私立",前提条件!$C$24,前提条件!$C$23),IF(CA7&lt;=14,IF(入力データ!$I$26="私立",前提条件!$C$26,前提条件!$C$25),IF(CA7&lt;=17,IF(入力データ!$J$26="私立",前提条件!$C$28,前提条件!$C$27),IF(CA7&lt;=21,IF(入力データ!$K$26="国公立",前提条件!$C$29,IF(入力データ!$K$26="私立理系",前提条件!$C$31,前提条件!$C$30))+IF(入力データ!$L$26="下宿",前提条件!$C$32,0)+IF(CA7=18,前提条件!$C$33,0),0))))))+IF(CA8="",0,IF(CA8&lt;=5,IF(入力データ!$G$27="私立",前提条件!$C$22,前提条件!$C$21),IF(CA8&lt;=11,IF(入力データ!$H$27="私立",前提条件!$C$24,前提条件!$C$23),IF(CA8&lt;=14,IF(入力データ!$I$27="私立",前提条件!$C$26,前提条件!$C$25),IF(CA8&lt;=17,IF(入力データ!$J$27="私立",前提条件!$C$28,前提条件!$C$27),IF(CA8&lt;=21,IF(入力データ!$K$27="国公立",前提条件!$C$29,IF(入力データ!$K$27="私立理系",前提条件!$C$31,前提条件!$C$30))+IF(入力データ!$L$27="下宿",前提条件!$C$32,0)+IF(CA8=18,前提条件!$C$33,0),0)))))))*(1+前提条件!$C$13)^(CA$3-$B$3))</f>
        <v/>
      </c>
      <c r="CB24" s="352">
        <f>IF(CB$3="","",((SUM(入力データ!$C$58:$C$61)*12)+IF(CB6="",0,IF(CB6&lt;=5,IF(入力データ!$G$25="私立",前提条件!$C$22,前提条件!$C$21),IF(CB6&lt;=11,IF(入力データ!$H$25="私立",前提条件!$C$24,前提条件!$C$23),IF(CB6&lt;=14,IF(入力データ!$I$25="私立",前提条件!$C$26,前提条件!$C$25),IF(CB6&lt;=17,IF(入力データ!$J$25="私立",前提条件!$C$28,前提条件!$C$27),IF(CB6&lt;=21,IF(入力データ!$K$25="国公立",前提条件!$C$29,IF(入力データ!$K$25="私立理系",前提条件!$C$31,前提条件!$C$30))+IF(入力データ!$L$25="下宿",前提条件!$C$32,0)+IF(CB6=18,前提条件!$C$33,0),0))))))+IF(CB7="",0,IF(CB7&lt;=5,IF(入力データ!$G$26="私立",前提条件!$C$22,前提条件!$C$21),IF(CB7&lt;=11,IF(入力データ!$H$26="私立",前提条件!$C$24,前提条件!$C$23),IF(CB7&lt;=14,IF(入力データ!$I$26="私立",前提条件!$C$26,前提条件!$C$25),IF(CB7&lt;=17,IF(入力データ!$J$26="私立",前提条件!$C$28,前提条件!$C$27),IF(CB7&lt;=21,IF(入力データ!$K$26="国公立",前提条件!$C$29,IF(入力データ!$K$26="私立理系",前提条件!$C$31,前提条件!$C$30))+IF(入力データ!$L$26="下宿",前提条件!$C$32,0)+IF(CB7=18,前提条件!$C$33,0),0))))))+IF(CB8="",0,IF(CB8&lt;=5,IF(入力データ!$G$27="私立",前提条件!$C$22,前提条件!$C$21),IF(CB8&lt;=11,IF(入力データ!$H$27="私立",前提条件!$C$24,前提条件!$C$23),IF(CB8&lt;=14,IF(入力データ!$I$27="私立",前提条件!$C$26,前提条件!$C$25),IF(CB8&lt;=17,IF(入力データ!$J$27="私立",前提条件!$C$28,前提条件!$C$27),IF(CB8&lt;=21,IF(入力データ!$K$27="国公立",前提条件!$C$29,IF(入力データ!$K$27="私立理系",前提条件!$C$31,前提条件!$C$30))+IF(入力データ!$L$27="下宿",前提条件!$C$32,0)+IF(CB8=18,前提条件!$C$33,0),0)))))))*(1+前提条件!$C$13)^(CB$3-$B$3))</f>
        <v/>
      </c>
      <c r="CC24" s="352">
        <f>IF(CC$3="","",((SUM(入力データ!$C$58:$C$61)*12)+IF(CC6="",0,IF(CC6&lt;=5,IF(入力データ!$G$25="私立",前提条件!$C$22,前提条件!$C$21),IF(CC6&lt;=11,IF(入力データ!$H$25="私立",前提条件!$C$24,前提条件!$C$23),IF(CC6&lt;=14,IF(入力データ!$I$25="私立",前提条件!$C$26,前提条件!$C$25),IF(CC6&lt;=17,IF(入力データ!$J$25="私立",前提条件!$C$28,前提条件!$C$27),IF(CC6&lt;=21,IF(入力データ!$K$25="国公立",前提条件!$C$29,IF(入力データ!$K$25="私立理系",前提条件!$C$31,前提条件!$C$30))+IF(入力データ!$L$25="下宿",前提条件!$C$32,0)+IF(CC6=18,前提条件!$C$33,0),0))))))+IF(CC7="",0,IF(CC7&lt;=5,IF(入力データ!$G$26="私立",前提条件!$C$22,前提条件!$C$21),IF(CC7&lt;=11,IF(入力データ!$H$26="私立",前提条件!$C$24,前提条件!$C$23),IF(CC7&lt;=14,IF(入力データ!$I$26="私立",前提条件!$C$26,前提条件!$C$25),IF(CC7&lt;=17,IF(入力データ!$J$26="私立",前提条件!$C$28,前提条件!$C$27),IF(CC7&lt;=21,IF(入力データ!$K$26="国公立",前提条件!$C$29,IF(入力データ!$K$26="私立理系",前提条件!$C$31,前提条件!$C$30))+IF(入力データ!$L$26="下宿",前提条件!$C$32,0)+IF(CC7=18,前提条件!$C$33,0),0))))))+IF(CC8="",0,IF(CC8&lt;=5,IF(入力データ!$G$27="私立",前提条件!$C$22,前提条件!$C$21),IF(CC8&lt;=11,IF(入力データ!$H$27="私立",前提条件!$C$24,前提条件!$C$23),IF(CC8&lt;=14,IF(入力データ!$I$27="私立",前提条件!$C$26,前提条件!$C$25),IF(CC8&lt;=17,IF(入力データ!$J$27="私立",前提条件!$C$28,前提条件!$C$27),IF(CC8&lt;=21,IF(入力データ!$K$27="国公立",前提条件!$C$29,IF(入力データ!$K$27="私立理系",前提条件!$C$31,前提条件!$C$30))+IF(入力データ!$L$27="下宿",前提条件!$C$32,0)+IF(CC8=18,前提条件!$C$33,0),0)))))))*(1+前提条件!$C$13)^(CC$3-$B$3))</f>
        <v/>
      </c>
      <c r="CD24" s="352">
        <f>IF(CD$3="","",((SUM(入力データ!$C$58:$C$61)*12)+IF(CD6="",0,IF(CD6&lt;=5,IF(入力データ!$G$25="私立",前提条件!$C$22,前提条件!$C$21),IF(CD6&lt;=11,IF(入力データ!$H$25="私立",前提条件!$C$24,前提条件!$C$23),IF(CD6&lt;=14,IF(入力データ!$I$25="私立",前提条件!$C$26,前提条件!$C$25),IF(CD6&lt;=17,IF(入力データ!$J$25="私立",前提条件!$C$28,前提条件!$C$27),IF(CD6&lt;=21,IF(入力データ!$K$25="国公立",前提条件!$C$29,IF(入力データ!$K$25="私立理系",前提条件!$C$31,前提条件!$C$30))+IF(入力データ!$L$25="下宿",前提条件!$C$32,0)+IF(CD6=18,前提条件!$C$33,0),0))))))+IF(CD7="",0,IF(CD7&lt;=5,IF(入力データ!$G$26="私立",前提条件!$C$22,前提条件!$C$21),IF(CD7&lt;=11,IF(入力データ!$H$26="私立",前提条件!$C$24,前提条件!$C$23),IF(CD7&lt;=14,IF(入力データ!$I$26="私立",前提条件!$C$26,前提条件!$C$25),IF(CD7&lt;=17,IF(入力データ!$J$26="私立",前提条件!$C$28,前提条件!$C$27),IF(CD7&lt;=21,IF(入力データ!$K$26="国公立",前提条件!$C$29,IF(入力データ!$K$26="私立理系",前提条件!$C$31,前提条件!$C$30))+IF(入力データ!$L$26="下宿",前提条件!$C$32,0)+IF(CD7=18,前提条件!$C$33,0),0))))))+IF(CD8="",0,IF(CD8&lt;=5,IF(入力データ!$G$27="私立",前提条件!$C$22,前提条件!$C$21),IF(CD8&lt;=11,IF(入力データ!$H$27="私立",前提条件!$C$24,前提条件!$C$23),IF(CD8&lt;=14,IF(入力データ!$I$27="私立",前提条件!$C$26,前提条件!$C$25),IF(CD8&lt;=17,IF(入力データ!$J$27="私立",前提条件!$C$28,前提条件!$C$27),IF(CD8&lt;=21,IF(入力データ!$K$27="国公立",前提条件!$C$29,IF(入力データ!$K$27="私立理系",前提条件!$C$31,前提条件!$C$30))+IF(入力データ!$L$27="下宿",前提条件!$C$32,0)+IF(CD8=18,前提条件!$C$33,0),0)))))))*(1+前提条件!$C$13)^(CD$3-$B$3))</f>
        <v/>
      </c>
      <c r="CE24" s="352">
        <f>IF(CE$3="","",((SUM(入力データ!$C$58:$C$61)*12)+IF(CE6="",0,IF(CE6&lt;=5,IF(入力データ!$G$25="私立",前提条件!$C$22,前提条件!$C$21),IF(CE6&lt;=11,IF(入力データ!$H$25="私立",前提条件!$C$24,前提条件!$C$23),IF(CE6&lt;=14,IF(入力データ!$I$25="私立",前提条件!$C$26,前提条件!$C$25),IF(CE6&lt;=17,IF(入力データ!$J$25="私立",前提条件!$C$28,前提条件!$C$27),IF(CE6&lt;=21,IF(入力データ!$K$25="国公立",前提条件!$C$29,IF(入力データ!$K$25="私立理系",前提条件!$C$31,前提条件!$C$30))+IF(入力データ!$L$25="下宿",前提条件!$C$32,0)+IF(CE6=18,前提条件!$C$33,0),0))))))+IF(CE7="",0,IF(CE7&lt;=5,IF(入力データ!$G$26="私立",前提条件!$C$22,前提条件!$C$21),IF(CE7&lt;=11,IF(入力データ!$H$26="私立",前提条件!$C$24,前提条件!$C$23),IF(CE7&lt;=14,IF(入力データ!$I$26="私立",前提条件!$C$26,前提条件!$C$25),IF(CE7&lt;=17,IF(入力データ!$J$26="私立",前提条件!$C$28,前提条件!$C$27),IF(CE7&lt;=21,IF(入力データ!$K$26="国公立",前提条件!$C$29,IF(入力データ!$K$26="私立理系",前提条件!$C$31,前提条件!$C$30))+IF(入力データ!$L$26="下宿",前提条件!$C$32,0)+IF(CE7=18,前提条件!$C$33,0),0))))))+IF(CE8="",0,IF(CE8&lt;=5,IF(入力データ!$G$27="私立",前提条件!$C$22,前提条件!$C$21),IF(CE8&lt;=11,IF(入力データ!$H$27="私立",前提条件!$C$24,前提条件!$C$23),IF(CE8&lt;=14,IF(入力データ!$I$27="私立",前提条件!$C$26,前提条件!$C$25),IF(CE8&lt;=17,IF(入力データ!$J$27="私立",前提条件!$C$28,前提条件!$C$27),IF(CE8&lt;=21,IF(入力データ!$K$27="国公立",前提条件!$C$29,IF(入力データ!$K$27="私立理系",前提条件!$C$31,前提条件!$C$30))+IF(入力データ!$L$27="下宿",前提条件!$C$32,0)+IF(CE8=18,前提条件!$C$33,0),0)))))))*(1+前提条件!$C$13)^(CE$3-$B$3))</f>
        <v/>
      </c>
      <c r="CF24" s="352">
        <f>IF(CF$3="","",((SUM(入力データ!$C$58:$C$61)*12)+IF(CF6="",0,IF(CF6&lt;=5,IF(入力データ!$G$25="私立",前提条件!$C$22,前提条件!$C$21),IF(CF6&lt;=11,IF(入力データ!$H$25="私立",前提条件!$C$24,前提条件!$C$23),IF(CF6&lt;=14,IF(入力データ!$I$25="私立",前提条件!$C$26,前提条件!$C$25),IF(CF6&lt;=17,IF(入力データ!$J$25="私立",前提条件!$C$28,前提条件!$C$27),IF(CF6&lt;=21,IF(入力データ!$K$25="国公立",前提条件!$C$29,IF(入力データ!$K$25="私立理系",前提条件!$C$31,前提条件!$C$30))+IF(入力データ!$L$25="下宿",前提条件!$C$32,0)+IF(CF6=18,前提条件!$C$33,0),0))))))+IF(CF7="",0,IF(CF7&lt;=5,IF(入力データ!$G$26="私立",前提条件!$C$22,前提条件!$C$21),IF(CF7&lt;=11,IF(入力データ!$H$26="私立",前提条件!$C$24,前提条件!$C$23),IF(CF7&lt;=14,IF(入力データ!$I$26="私立",前提条件!$C$26,前提条件!$C$25),IF(CF7&lt;=17,IF(入力データ!$J$26="私立",前提条件!$C$28,前提条件!$C$27),IF(CF7&lt;=21,IF(入力データ!$K$26="国公立",前提条件!$C$29,IF(入力データ!$K$26="私立理系",前提条件!$C$31,前提条件!$C$30))+IF(入力データ!$L$26="下宿",前提条件!$C$32,0)+IF(CF7=18,前提条件!$C$33,0),0))))))+IF(CF8="",0,IF(CF8&lt;=5,IF(入力データ!$G$27="私立",前提条件!$C$22,前提条件!$C$21),IF(CF8&lt;=11,IF(入力データ!$H$27="私立",前提条件!$C$24,前提条件!$C$23),IF(CF8&lt;=14,IF(入力データ!$I$27="私立",前提条件!$C$26,前提条件!$C$25),IF(CF8&lt;=17,IF(入力データ!$J$27="私立",前提条件!$C$28,前提条件!$C$27),IF(CF8&lt;=21,IF(入力データ!$K$27="国公立",前提条件!$C$29,IF(入力データ!$K$27="私立理系",前提条件!$C$31,前提条件!$C$30))+IF(入力データ!$L$27="下宿",前提条件!$C$32,0)+IF(CF8=18,前提条件!$C$33,0),0)))))))*(1+前提条件!$C$13)^(CF$3-$B$3))</f>
        <v/>
      </c>
      <c r="CG24" s="352">
        <f>IF(CG$3="","",((SUM(入力データ!$C$58:$C$61)*12)+IF(CG6="",0,IF(CG6&lt;=5,IF(入力データ!$G$25="私立",前提条件!$C$22,前提条件!$C$21),IF(CG6&lt;=11,IF(入力データ!$H$25="私立",前提条件!$C$24,前提条件!$C$23),IF(CG6&lt;=14,IF(入力データ!$I$25="私立",前提条件!$C$26,前提条件!$C$25),IF(CG6&lt;=17,IF(入力データ!$J$25="私立",前提条件!$C$28,前提条件!$C$27),IF(CG6&lt;=21,IF(入力データ!$K$25="国公立",前提条件!$C$29,IF(入力データ!$K$25="私立理系",前提条件!$C$31,前提条件!$C$30))+IF(入力データ!$L$25="下宿",前提条件!$C$32,0)+IF(CG6=18,前提条件!$C$33,0),0))))))+IF(CG7="",0,IF(CG7&lt;=5,IF(入力データ!$G$26="私立",前提条件!$C$22,前提条件!$C$21),IF(CG7&lt;=11,IF(入力データ!$H$26="私立",前提条件!$C$24,前提条件!$C$23),IF(CG7&lt;=14,IF(入力データ!$I$26="私立",前提条件!$C$26,前提条件!$C$25),IF(CG7&lt;=17,IF(入力データ!$J$26="私立",前提条件!$C$28,前提条件!$C$27),IF(CG7&lt;=21,IF(入力データ!$K$26="国公立",前提条件!$C$29,IF(入力データ!$K$26="私立理系",前提条件!$C$31,前提条件!$C$30))+IF(入力データ!$L$26="下宿",前提条件!$C$32,0)+IF(CG7=18,前提条件!$C$33,0),0))))))+IF(CG8="",0,IF(CG8&lt;=5,IF(入力データ!$G$27="私立",前提条件!$C$22,前提条件!$C$21),IF(CG8&lt;=11,IF(入力データ!$H$27="私立",前提条件!$C$24,前提条件!$C$23),IF(CG8&lt;=14,IF(入力データ!$I$27="私立",前提条件!$C$26,前提条件!$C$25),IF(CG8&lt;=17,IF(入力データ!$J$27="私立",前提条件!$C$28,前提条件!$C$27),IF(CG8&lt;=21,IF(入力データ!$K$27="国公立",前提条件!$C$29,IF(入力データ!$K$27="私立理系",前提条件!$C$31,前提条件!$C$30))+IF(入力データ!$L$27="下宿",前提条件!$C$32,0)+IF(CG8=18,前提条件!$C$33,0),0)))))))*(1+前提条件!$C$13)^(CG$3-$B$3))</f>
        <v/>
      </c>
      <c r="CH24" s="352">
        <f>IF(CH$3="","",((SUM(入力データ!$C$58:$C$61)*12)+IF(CH6="",0,IF(CH6&lt;=5,IF(入力データ!$G$25="私立",前提条件!$C$22,前提条件!$C$21),IF(CH6&lt;=11,IF(入力データ!$H$25="私立",前提条件!$C$24,前提条件!$C$23),IF(CH6&lt;=14,IF(入力データ!$I$25="私立",前提条件!$C$26,前提条件!$C$25),IF(CH6&lt;=17,IF(入力データ!$J$25="私立",前提条件!$C$28,前提条件!$C$27),IF(CH6&lt;=21,IF(入力データ!$K$25="国公立",前提条件!$C$29,IF(入力データ!$K$25="私立理系",前提条件!$C$31,前提条件!$C$30))+IF(入力データ!$L$25="下宿",前提条件!$C$32,0)+IF(CH6=18,前提条件!$C$33,0),0))))))+IF(CH7="",0,IF(CH7&lt;=5,IF(入力データ!$G$26="私立",前提条件!$C$22,前提条件!$C$21),IF(CH7&lt;=11,IF(入力データ!$H$26="私立",前提条件!$C$24,前提条件!$C$23),IF(CH7&lt;=14,IF(入力データ!$I$26="私立",前提条件!$C$26,前提条件!$C$25),IF(CH7&lt;=17,IF(入力データ!$J$26="私立",前提条件!$C$28,前提条件!$C$27),IF(CH7&lt;=21,IF(入力データ!$K$26="国公立",前提条件!$C$29,IF(入力データ!$K$26="私立理系",前提条件!$C$31,前提条件!$C$30))+IF(入力データ!$L$26="下宿",前提条件!$C$32,0)+IF(CH7=18,前提条件!$C$33,0),0))))))+IF(CH8="",0,IF(CH8&lt;=5,IF(入力データ!$G$27="私立",前提条件!$C$22,前提条件!$C$21),IF(CH8&lt;=11,IF(入力データ!$H$27="私立",前提条件!$C$24,前提条件!$C$23),IF(CH8&lt;=14,IF(入力データ!$I$27="私立",前提条件!$C$26,前提条件!$C$25),IF(CH8&lt;=17,IF(入力データ!$J$27="私立",前提条件!$C$28,前提条件!$C$27),IF(CH8&lt;=21,IF(入力データ!$K$27="国公立",前提条件!$C$29,IF(入力データ!$K$27="私立理系",前提条件!$C$31,前提条件!$C$30))+IF(入力データ!$L$27="下宿",前提条件!$C$32,0)+IF(CH8=18,前提条件!$C$33,0),0)))))))*(1+前提条件!$C$13)^(CH$3-$B$3))</f>
        <v/>
      </c>
      <c r="CI24" s="352">
        <f>IF(CI$3="","",((SUM(入力データ!$C$58:$C$61)*12)+IF(CI6="",0,IF(CI6&lt;=5,IF(入力データ!$G$25="私立",前提条件!$C$22,前提条件!$C$21),IF(CI6&lt;=11,IF(入力データ!$H$25="私立",前提条件!$C$24,前提条件!$C$23),IF(CI6&lt;=14,IF(入力データ!$I$25="私立",前提条件!$C$26,前提条件!$C$25),IF(CI6&lt;=17,IF(入力データ!$J$25="私立",前提条件!$C$28,前提条件!$C$27),IF(CI6&lt;=21,IF(入力データ!$K$25="国公立",前提条件!$C$29,IF(入力データ!$K$25="私立理系",前提条件!$C$31,前提条件!$C$30))+IF(入力データ!$L$25="下宿",前提条件!$C$32,0)+IF(CI6=18,前提条件!$C$33,0),0))))))+IF(CI7="",0,IF(CI7&lt;=5,IF(入力データ!$G$26="私立",前提条件!$C$22,前提条件!$C$21),IF(CI7&lt;=11,IF(入力データ!$H$26="私立",前提条件!$C$24,前提条件!$C$23),IF(CI7&lt;=14,IF(入力データ!$I$26="私立",前提条件!$C$26,前提条件!$C$25),IF(CI7&lt;=17,IF(入力データ!$J$26="私立",前提条件!$C$28,前提条件!$C$27),IF(CI7&lt;=21,IF(入力データ!$K$26="国公立",前提条件!$C$29,IF(入力データ!$K$26="私立理系",前提条件!$C$31,前提条件!$C$30))+IF(入力データ!$L$26="下宿",前提条件!$C$32,0)+IF(CI7=18,前提条件!$C$33,0),0))))))+IF(CI8="",0,IF(CI8&lt;=5,IF(入力データ!$G$27="私立",前提条件!$C$22,前提条件!$C$21),IF(CI8&lt;=11,IF(入力データ!$H$27="私立",前提条件!$C$24,前提条件!$C$23),IF(CI8&lt;=14,IF(入力データ!$I$27="私立",前提条件!$C$26,前提条件!$C$25),IF(CI8&lt;=17,IF(入力データ!$J$27="私立",前提条件!$C$28,前提条件!$C$27),IF(CI8&lt;=21,IF(入力データ!$K$27="国公立",前提条件!$C$29,IF(入力データ!$K$27="私立理系",前提条件!$C$31,前提条件!$C$30))+IF(入力データ!$L$27="下宿",前提条件!$C$32,0)+IF(CI8=18,前提条件!$C$33,0),0)))))))*(1+前提条件!$C$13)^(CI$3-$B$3))</f>
        <v/>
      </c>
      <c r="CJ24" s="352">
        <f>IF(CJ$3="","",((SUM(入力データ!$C$58:$C$61)*12)+IF(CJ6="",0,IF(CJ6&lt;=5,IF(入力データ!$G$25="私立",前提条件!$C$22,前提条件!$C$21),IF(CJ6&lt;=11,IF(入力データ!$H$25="私立",前提条件!$C$24,前提条件!$C$23),IF(CJ6&lt;=14,IF(入力データ!$I$25="私立",前提条件!$C$26,前提条件!$C$25),IF(CJ6&lt;=17,IF(入力データ!$J$25="私立",前提条件!$C$28,前提条件!$C$27),IF(CJ6&lt;=21,IF(入力データ!$K$25="国公立",前提条件!$C$29,IF(入力データ!$K$25="私立理系",前提条件!$C$31,前提条件!$C$30))+IF(入力データ!$L$25="下宿",前提条件!$C$32,0)+IF(CJ6=18,前提条件!$C$33,0),0))))))+IF(CJ7="",0,IF(CJ7&lt;=5,IF(入力データ!$G$26="私立",前提条件!$C$22,前提条件!$C$21),IF(CJ7&lt;=11,IF(入力データ!$H$26="私立",前提条件!$C$24,前提条件!$C$23),IF(CJ7&lt;=14,IF(入力データ!$I$26="私立",前提条件!$C$26,前提条件!$C$25),IF(CJ7&lt;=17,IF(入力データ!$J$26="私立",前提条件!$C$28,前提条件!$C$27),IF(CJ7&lt;=21,IF(入力データ!$K$26="国公立",前提条件!$C$29,IF(入力データ!$K$26="私立理系",前提条件!$C$31,前提条件!$C$30))+IF(入力データ!$L$26="下宿",前提条件!$C$32,0)+IF(CJ7=18,前提条件!$C$33,0),0))))))+IF(CJ8="",0,IF(CJ8&lt;=5,IF(入力データ!$G$27="私立",前提条件!$C$22,前提条件!$C$21),IF(CJ8&lt;=11,IF(入力データ!$H$27="私立",前提条件!$C$24,前提条件!$C$23),IF(CJ8&lt;=14,IF(入力データ!$I$27="私立",前提条件!$C$26,前提条件!$C$25),IF(CJ8&lt;=17,IF(入力データ!$J$27="私立",前提条件!$C$28,前提条件!$C$27),IF(CJ8&lt;=21,IF(入力データ!$K$27="国公立",前提条件!$C$29,IF(入力データ!$K$27="私立理系",前提条件!$C$31,前提条件!$C$30))+IF(入力データ!$L$27="下宿",前提条件!$C$32,0)+IF(CJ8=18,前提条件!$C$33,0),0)))))))*(1+前提条件!$C$13)^(CJ$3-$B$3))</f>
        <v/>
      </c>
      <c r="CK24" s="352">
        <f>IF(CK$3="","",((SUM(入力データ!$C$58:$C$61)*12)+IF(CK6="",0,IF(CK6&lt;=5,IF(入力データ!$G$25="私立",前提条件!$C$22,前提条件!$C$21),IF(CK6&lt;=11,IF(入力データ!$H$25="私立",前提条件!$C$24,前提条件!$C$23),IF(CK6&lt;=14,IF(入力データ!$I$25="私立",前提条件!$C$26,前提条件!$C$25),IF(CK6&lt;=17,IF(入力データ!$J$25="私立",前提条件!$C$28,前提条件!$C$27),IF(CK6&lt;=21,IF(入力データ!$K$25="国公立",前提条件!$C$29,IF(入力データ!$K$25="私立理系",前提条件!$C$31,前提条件!$C$30))+IF(入力データ!$L$25="下宿",前提条件!$C$32,0)+IF(CK6=18,前提条件!$C$33,0),0))))))+IF(CK7="",0,IF(CK7&lt;=5,IF(入力データ!$G$26="私立",前提条件!$C$22,前提条件!$C$21),IF(CK7&lt;=11,IF(入力データ!$H$26="私立",前提条件!$C$24,前提条件!$C$23),IF(CK7&lt;=14,IF(入力データ!$I$26="私立",前提条件!$C$26,前提条件!$C$25),IF(CK7&lt;=17,IF(入力データ!$J$26="私立",前提条件!$C$28,前提条件!$C$27),IF(CK7&lt;=21,IF(入力データ!$K$26="国公立",前提条件!$C$29,IF(入力データ!$K$26="私立理系",前提条件!$C$31,前提条件!$C$30))+IF(入力データ!$L$26="下宿",前提条件!$C$32,0)+IF(CK7=18,前提条件!$C$33,0),0))))))+IF(CK8="",0,IF(CK8&lt;=5,IF(入力データ!$G$27="私立",前提条件!$C$22,前提条件!$C$21),IF(CK8&lt;=11,IF(入力データ!$H$27="私立",前提条件!$C$24,前提条件!$C$23),IF(CK8&lt;=14,IF(入力データ!$I$27="私立",前提条件!$C$26,前提条件!$C$25),IF(CK8&lt;=17,IF(入力データ!$J$27="私立",前提条件!$C$28,前提条件!$C$27),IF(CK8&lt;=21,IF(入力データ!$K$27="国公立",前提条件!$C$29,IF(入力データ!$K$27="私立理系",前提条件!$C$31,前提条件!$C$30))+IF(入力データ!$L$27="下宿",前提条件!$C$32,0)+IF(CK8=18,前提条件!$C$33,0),0)))))))*(1+前提条件!$C$13)^(CK$3-$B$3))</f>
        <v/>
      </c>
      <c r="CL24" s="352">
        <f>IF(CL$3="","",((SUM(入力データ!$C$58:$C$61)*12)+IF(CL6="",0,IF(CL6&lt;=5,IF(入力データ!$G$25="私立",前提条件!$C$22,前提条件!$C$21),IF(CL6&lt;=11,IF(入力データ!$H$25="私立",前提条件!$C$24,前提条件!$C$23),IF(CL6&lt;=14,IF(入力データ!$I$25="私立",前提条件!$C$26,前提条件!$C$25),IF(CL6&lt;=17,IF(入力データ!$J$25="私立",前提条件!$C$28,前提条件!$C$27),IF(CL6&lt;=21,IF(入力データ!$K$25="国公立",前提条件!$C$29,IF(入力データ!$K$25="私立理系",前提条件!$C$31,前提条件!$C$30))+IF(入力データ!$L$25="下宿",前提条件!$C$32,0)+IF(CL6=18,前提条件!$C$33,0),0))))))+IF(CL7="",0,IF(CL7&lt;=5,IF(入力データ!$G$26="私立",前提条件!$C$22,前提条件!$C$21),IF(CL7&lt;=11,IF(入力データ!$H$26="私立",前提条件!$C$24,前提条件!$C$23),IF(CL7&lt;=14,IF(入力データ!$I$26="私立",前提条件!$C$26,前提条件!$C$25),IF(CL7&lt;=17,IF(入力データ!$J$26="私立",前提条件!$C$28,前提条件!$C$27),IF(CL7&lt;=21,IF(入力データ!$K$26="国公立",前提条件!$C$29,IF(入力データ!$K$26="私立理系",前提条件!$C$31,前提条件!$C$30))+IF(入力データ!$L$26="下宿",前提条件!$C$32,0)+IF(CL7=18,前提条件!$C$33,0),0))))))+IF(CL8="",0,IF(CL8&lt;=5,IF(入力データ!$G$27="私立",前提条件!$C$22,前提条件!$C$21),IF(CL8&lt;=11,IF(入力データ!$H$27="私立",前提条件!$C$24,前提条件!$C$23),IF(CL8&lt;=14,IF(入力データ!$I$27="私立",前提条件!$C$26,前提条件!$C$25),IF(CL8&lt;=17,IF(入力データ!$J$27="私立",前提条件!$C$28,前提条件!$C$27),IF(CL8&lt;=21,IF(入力データ!$K$27="国公立",前提条件!$C$29,IF(入力データ!$K$27="私立理系",前提条件!$C$31,前提条件!$C$30))+IF(入力データ!$L$27="下宿",前提条件!$C$32,0)+IF(CL8=18,前提条件!$C$33,0),0)))))))*(1+前提条件!$C$13)^(CL$3-$B$3))</f>
        <v/>
      </c>
      <c r="CM24" s="352">
        <f>IF(CM$3="","",((SUM(入力データ!$C$58:$C$61)*12)+IF(CM6="",0,IF(CM6&lt;=5,IF(入力データ!$G$25="私立",前提条件!$C$22,前提条件!$C$21),IF(CM6&lt;=11,IF(入力データ!$H$25="私立",前提条件!$C$24,前提条件!$C$23),IF(CM6&lt;=14,IF(入力データ!$I$25="私立",前提条件!$C$26,前提条件!$C$25),IF(CM6&lt;=17,IF(入力データ!$J$25="私立",前提条件!$C$28,前提条件!$C$27),IF(CM6&lt;=21,IF(入力データ!$K$25="国公立",前提条件!$C$29,IF(入力データ!$K$25="私立理系",前提条件!$C$31,前提条件!$C$30))+IF(入力データ!$L$25="下宿",前提条件!$C$32,0)+IF(CM6=18,前提条件!$C$33,0),0))))))+IF(CM7="",0,IF(CM7&lt;=5,IF(入力データ!$G$26="私立",前提条件!$C$22,前提条件!$C$21),IF(CM7&lt;=11,IF(入力データ!$H$26="私立",前提条件!$C$24,前提条件!$C$23),IF(CM7&lt;=14,IF(入力データ!$I$26="私立",前提条件!$C$26,前提条件!$C$25),IF(CM7&lt;=17,IF(入力データ!$J$26="私立",前提条件!$C$28,前提条件!$C$27),IF(CM7&lt;=21,IF(入力データ!$K$26="国公立",前提条件!$C$29,IF(入力データ!$K$26="私立理系",前提条件!$C$31,前提条件!$C$30))+IF(入力データ!$L$26="下宿",前提条件!$C$32,0)+IF(CM7=18,前提条件!$C$33,0),0))))))+IF(CM8="",0,IF(CM8&lt;=5,IF(入力データ!$G$27="私立",前提条件!$C$22,前提条件!$C$21),IF(CM8&lt;=11,IF(入力データ!$H$27="私立",前提条件!$C$24,前提条件!$C$23),IF(CM8&lt;=14,IF(入力データ!$I$27="私立",前提条件!$C$26,前提条件!$C$25),IF(CM8&lt;=17,IF(入力データ!$J$27="私立",前提条件!$C$28,前提条件!$C$27),IF(CM8&lt;=21,IF(入力データ!$K$27="国公立",前提条件!$C$29,IF(入力データ!$K$27="私立理系",前提条件!$C$31,前提条件!$C$30))+IF(入力データ!$L$27="下宿",前提条件!$C$32,0)+IF(CM8=18,前提条件!$C$33,0),0)))))))*(1+前提条件!$C$13)^(CM$3-$B$3))</f>
        <v/>
      </c>
      <c r="CN24" s="352">
        <f>IF(CN$3="","",((SUM(入力データ!$C$58:$C$61)*12)+IF(CN6="",0,IF(CN6&lt;=5,IF(入力データ!$G$25="私立",前提条件!$C$22,前提条件!$C$21),IF(CN6&lt;=11,IF(入力データ!$H$25="私立",前提条件!$C$24,前提条件!$C$23),IF(CN6&lt;=14,IF(入力データ!$I$25="私立",前提条件!$C$26,前提条件!$C$25),IF(CN6&lt;=17,IF(入力データ!$J$25="私立",前提条件!$C$28,前提条件!$C$27),IF(CN6&lt;=21,IF(入力データ!$K$25="国公立",前提条件!$C$29,IF(入力データ!$K$25="私立理系",前提条件!$C$31,前提条件!$C$30))+IF(入力データ!$L$25="下宿",前提条件!$C$32,0)+IF(CN6=18,前提条件!$C$33,0),0))))))+IF(CN7="",0,IF(CN7&lt;=5,IF(入力データ!$G$26="私立",前提条件!$C$22,前提条件!$C$21),IF(CN7&lt;=11,IF(入力データ!$H$26="私立",前提条件!$C$24,前提条件!$C$23),IF(CN7&lt;=14,IF(入力データ!$I$26="私立",前提条件!$C$26,前提条件!$C$25),IF(CN7&lt;=17,IF(入力データ!$J$26="私立",前提条件!$C$28,前提条件!$C$27),IF(CN7&lt;=21,IF(入力データ!$K$26="国公立",前提条件!$C$29,IF(入力データ!$K$26="私立理系",前提条件!$C$31,前提条件!$C$30))+IF(入力データ!$L$26="下宿",前提条件!$C$32,0)+IF(CN7=18,前提条件!$C$33,0),0))))))+IF(CN8="",0,IF(CN8&lt;=5,IF(入力データ!$G$27="私立",前提条件!$C$22,前提条件!$C$21),IF(CN8&lt;=11,IF(入力データ!$H$27="私立",前提条件!$C$24,前提条件!$C$23),IF(CN8&lt;=14,IF(入力データ!$I$27="私立",前提条件!$C$26,前提条件!$C$25),IF(CN8&lt;=17,IF(入力データ!$J$27="私立",前提条件!$C$28,前提条件!$C$27),IF(CN8&lt;=21,IF(入力データ!$K$27="国公立",前提条件!$C$29,IF(入力データ!$K$27="私立理系",前提条件!$C$31,前提条件!$C$30))+IF(入力データ!$L$27="下宿",前提条件!$C$32,0)+IF(CN8=18,前提条件!$C$33,0),0)))))))*(1+前提条件!$C$13)^(CN$3-$B$3))</f>
        <v/>
      </c>
      <c r="CO24" s="352">
        <f>IF(CO$3="","",((SUM(入力データ!$C$58:$C$61)*12)+IF(CO6="",0,IF(CO6&lt;=5,IF(入力データ!$G$25="私立",前提条件!$C$22,前提条件!$C$21),IF(CO6&lt;=11,IF(入力データ!$H$25="私立",前提条件!$C$24,前提条件!$C$23),IF(CO6&lt;=14,IF(入力データ!$I$25="私立",前提条件!$C$26,前提条件!$C$25),IF(CO6&lt;=17,IF(入力データ!$J$25="私立",前提条件!$C$28,前提条件!$C$27),IF(CO6&lt;=21,IF(入力データ!$K$25="国公立",前提条件!$C$29,IF(入力データ!$K$25="私立理系",前提条件!$C$31,前提条件!$C$30))+IF(入力データ!$L$25="下宿",前提条件!$C$32,0)+IF(CO6=18,前提条件!$C$33,0),0))))))+IF(CO7="",0,IF(CO7&lt;=5,IF(入力データ!$G$26="私立",前提条件!$C$22,前提条件!$C$21),IF(CO7&lt;=11,IF(入力データ!$H$26="私立",前提条件!$C$24,前提条件!$C$23),IF(CO7&lt;=14,IF(入力データ!$I$26="私立",前提条件!$C$26,前提条件!$C$25),IF(CO7&lt;=17,IF(入力データ!$J$26="私立",前提条件!$C$28,前提条件!$C$27),IF(CO7&lt;=21,IF(入力データ!$K$26="国公立",前提条件!$C$29,IF(入力データ!$K$26="私立理系",前提条件!$C$31,前提条件!$C$30))+IF(入力データ!$L$26="下宿",前提条件!$C$32,0)+IF(CO7=18,前提条件!$C$33,0),0))))))+IF(CO8="",0,IF(CO8&lt;=5,IF(入力データ!$G$27="私立",前提条件!$C$22,前提条件!$C$21),IF(CO8&lt;=11,IF(入力データ!$H$27="私立",前提条件!$C$24,前提条件!$C$23),IF(CO8&lt;=14,IF(入力データ!$I$27="私立",前提条件!$C$26,前提条件!$C$25),IF(CO8&lt;=17,IF(入力データ!$J$27="私立",前提条件!$C$28,前提条件!$C$27),IF(CO8&lt;=21,IF(入力データ!$K$27="国公立",前提条件!$C$29,IF(入力データ!$K$27="私立理系",前提条件!$C$31,前提条件!$C$30))+IF(入力データ!$L$27="下宿",前提条件!$C$32,0)+IF(CO8=18,前提条件!$C$33,0),0)))))))*(1+前提条件!$C$13)^(CO$3-$B$3))</f>
        <v/>
      </c>
      <c r="CP24" s="352">
        <f>IF(CP$3="","",((SUM(入力データ!$C$58:$C$61)*12)+IF(CP6="",0,IF(CP6&lt;=5,IF(入力データ!$G$25="私立",前提条件!$C$22,前提条件!$C$21),IF(CP6&lt;=11,IF(入力データ!$H$25="私立",前提条件!$C$24,前提条件!$C$23),IF(CP6&lt;=14,IF(入力データ!$I$25="私立",前提条件!$C$26,前提条件!$C$25),IF(CP6&lt;=17,IF(入力データ!$J$25="私立",前提条件!$C$28,前提条件!$C$27),IF(CP6&lt;=21,IF(入力データ!$K$25="国公立",前提条件!$C$29,IF(入力データ!$K$25="私立理系",前提条件!$C$31,前提条件!$C$30))+IF(入力データ!$L$25="下宿",前提条件!$C$32,0)+IF(CP6=18,前提条件!$C$33,0),0))))))+IF(CP7="",0,IF(CP7&lt;=5,IF(入力データ!$G$26="私立",前提条件!$C$22,前提条件!$C$21),IF(CP7&lt;=11,IF(入力データ!$H$26="私立",前提条件!$C$24,前提条件!$C$23),IF(CP7&lt;=14,IF(入力データ!$I$26="私立",前提条件!$C$26,前提条件!$C$25),IF(CP7&lt;=17,IF(入力データ!$J$26="私立",前提条件!$C$28,前提条件!$C$27),IF(CP7&lt;=21,IF(入力データ!$K$26="国公立",前提条件!$C$29,IF(入力データ!$K$26="私立理系",前提条件!$C$31,前提条件!$C$30))+IF(入力データ!$L$26="下宿",前提条件!$C$32,0)+IF(CP7=18,前提条件!$C$33,0),0))))))+IF(CP8="",0,IF(CP8&lt;=5,IF(入力データ!$G$27="私立",前提条件!$C$22,前提条件!$C$21),IF(CP8&lt;=11,IF(入力データ!$H$27="私立",前提条件!$C$24,前提条件!$C$23),IF(CP8&lt;=14,IF(入力データ!$I$27="私立",前提条件!$C$26,前提条件!$C$25),IF(CP8&lt;=17,IF(入力データ!$J$27="私立",前提条件!$C$28,前提条件!$C$27),IF(CP8&lt;=21,IF(入力データ!$K$27="国公立",前提条件!$C$29,IF(入力データ!$K$27="私立理系",前提条件!$C$31,前提条件!$C$30))+IF(入力データ!$L$27="下宿",前提条件!$C$32,0)+IF(CP8=18,前提条件!$C$33,0),0)))))))*(1+前提条件!$C$13)^(CP$3-$B$3))</f>
        <v/>
      </c>
      <c r="CQ24" s="352">
        <f>IF(CQ$3="","",((SUM(入力データ!$C$58:$C$61)*12)+IF(CQ6="",0,IF(CQ6&lt;=5,IF(入力データ!$G$25="私立",前提条件!$C$22,前提条件!$C$21),IF(CQ6&lt;=11,IF(入力データ!$H$25="私立",前提条件!$C$24,前提条件!$C$23),IF(CQ6&lt;=14,IF(入力データ!$I$25="私立",前提条件!$C$26,前提条件!$C$25),IF(CQ6&lt;=17,IF(入力データ!$J$25="私立",前提条件!$C$28,前提条件!$C$27),IF(CQ6&lt;=21,IF(入力データ!$K$25="国公立",前提条件!$C$29,IF(入力データ!$K$25="私立理系",前提条件!$C$31,前提条件!$C$30))+IF(入力データ!$L$25="下宿",前提条件!$C$32,0)+IF(CQ6=18,前提条件!$C$33,0),0))))))+IF(CQ7="",0,IF(CQ7&lt;=5,IF(入力データ!$G$26="私立",前提条件!$C$22,前提条件!$C$21),IF(CQ7&lt;=11,IF(入力データ!$H$26="私立",前提条件!$C$24,前提条件!$C$23),IF(CQ7&lt;=14,IF(入力データ!$I$26="私立",前提条件!$C$26,前提条件!$C$25),IF(CQ7&lt;=17,IF(入力データ!$J$26="私立",前提条件!$C$28,前提条件!$C$27),IF(CQ7&lt;=21,IF(入力データ!$K$26="国公立",前提条件!$C$29,IF(入力データ!$K$26="私立理系",前提条件!$C$31,前提条件!$C$30))+IF(入力データ!$L$26="下宿",前提条件!$C$32,0)+IF(CQ7=18,前提条件!$C$33,0),0))))))+IF(CQ8="",0,IF(CQ8&lt;=5,IF(入力データ!$G$27="私立",前提条件!$C$22,前提条件!$C$21),IF(CQ8&lt;=11,IF(入力データ!$H$27="私立",前提条件!$C$24,前提条件!$C$23),IF(CQ8&lt;=14,IF(入力データ!$I$27="私立",前提条件!$C$26,前提条件!$C$25),IF(CQ8&lt;=17,IF(入力データ!$J$27="私立",前提条件!$C$28,前提条件!$C$27),IF(CQ8&lt;=21,IF(入力データ!$K$27="国公立",前提条件!$C$29,IF(入力データ!$K$27="私立理系",前提条件!$C$31,前提条件!$C$30))+IF(入力データ!$L$27="下宿",前提条件!$C$32,0)+IF(CQ8=18,前提条件!$C$33,0),0)))))))*(1+前提条件!$C$13)^(CQ$3-$B$3))</f>
        <v/>
      </c>
      <c r="CR24" s="352">
        <f>IF(CR$3="","",((SUM(入力データ!$C$58:$C$61)*12)+IF(CR6="",0,IF(CR6&lt;=5,IF(入力データ!$G$25="私立",前提条件!$C$22,前提条件!$C$21),IF(CR6&lt;=11,IF(入力データ!$H$25="私立",前提条件!$C$24,前提条件!$C$23),IF(CR6&lt;=14,IF(入力データ!$I$25="私立",前提条件!$C$26,前提条件!$C$25),IF(CR6&lt;=17,IF(入力データ!$J$25="私立",前提条件!$C$28,前提条件!$C$27),IF(CR6&lt;=21,IF(入力データ!$K$25="国公立",前提条件!$C$29,IF(入力データ!$K$25="私立理系",前提条件!$C$31,前提条件!$C$30))+IF(入力データ!$L$25="下宿",前提条件!$C$32,0)+IF(CR6=18,前提条件!$C$33,0),0))))))+IF(CR7="",0,IF(CR7&lt;=5,IF(入力データ!$G$26="私立",前提条件!$C$22,前提条件!$C$21),IF(CR7&lt;=11,IF(入力データ!$H$26="私立",前提条件!$C$24,前提条件!$C$23),IF(CR7&lt;=14,IF(入力データ!$I$26="私立",前提条件!$C$26,前提条件!$C$25),IF(CR7&lt;=17,IF(入力データ!$J$26="私立",前提条件!$C$28,前提条件!$C$27),IF(CR7&lt;=21,IF(入力データ!$K$26="国公立",前提条件!$C$29,IF(入力データ!$K$26="私立理系",前提条件!$C$31,前提条件!$C$30))+IF(入力データ!$L$26="下宿",前提条件!$C$32,0)+IF(CR7=18,前提条件!$C$33,0),0))))))+IF(CR8="",0,IF(CR8&lt;=5,IF(入力データ!$G$27="私立",前提条件!$C$22,前提条件!$C$21),IF(CR8&lt;=11,IF(入力データ!$H$27="私立",前提条件!$C$24,前提条件!$C$23),IF(CR8&lt;=14,IF(入力データ!$I$27="私立",前提条件!$C$26,前提条件!$C$25),IF(CR8&lt;=17,IF(入力データ!$J$27="私立",前提条件!$C$28,前提条件!$C$27),IF(CR8&lt;=21,IF(入力データ!$K$27="国公立",前提条件!$C$29,IF(入力データ!$K$27="私立理系",前提条件!$C$31,前提条件!$C$30))+IF(入力データ!$L$27="下宿",前提条件!$C$32,0)+IF(CR8=18,前提条件!$C$33,0),0)))))))*(1+前提条件!$C$13)^(CR$3-$B$3))</f>
        <v/>
      </c>
      <c r="CS24" s="352">
        <f>IF(CS$3="","",((SUM(入力データ!$C$58:$C$61)*12)+IF(CS6="",0,IF(CS6&lt;=5,IF(入力データ!$G$25="私立",前提条件!$C$22,前提条件!$C$21),IF(CS6&lt;=11,IF(入力データ!$H$25="私立",前提条件!$C$24,前提条件!$C$23),IF(CS6&lt;=14,IF(入力データ!$I$25="私立",前提条件!$C$26,前提条件!$C$25),IF(CS6&lt;=17,IF(入力データ!$J$25="私立",前提条件!$C$28,前提条件!$C$27),IF(CS6&lt;=21,IF(入力データ!$K$25="国公立",前提条件!$C$29,IF(入力データ!$K$25="私立理系",前提条件!$C$31,前提条件!$C$30))+IF(入力データ!$L$25="下宿",前提条件!$C$32,0)+IF(CS6=18,前提条件!$C$33,0),0))))))+IF(CS7="",0,IF(CS7&lt;=5,IF(入力データ!$G$26="私立",前提条件!$C$22,前提条件!$C$21),IF(CS7&lt;=11,IF(入力データ!$H$26="私立",前提条件!$C$24,前提条件!$C$23),IF(CS7&lt;=14,IF(入力データ!$I$26="私立",前提条件!$C$26,前提条件!$C$25),IF(CS7&lt;=17,IF(入力データ!$J$26="私立",前提条件!$C$28,前提条件!$C$27),IF(CS7&lt;=21,IF(入力データ!$K$26="国公立",前提条件!$C$29,IF(入力データ!$K$26="私立理系",前提条件!$C$31,前提条件!$C$30))+IF(入力データ!$L$26="下宿",前提条件!$C$32,0)+IF(CS7=18,前提条件!$C$33,0),0))))))+IF(CS8="",0,IF(CS8&lt;=5,IF(入力データ!$G$27="私立",前提条件!$C$22,前提条件!$C$21),IF(CS8&lt;=11,IF(入力データ!$H$27="私立",前提条件!$C$24,前提条件!$C$23),IF(CS8&lt;=14,IF(入力データ!$I$27="私立",前提条件!$C$26,前提条件!$C$25),IF(CS8&lt;=17,IF(入力データ!$J$27="私立",前提条件!$C$28,前提条件!$C$27),IF(CS8&lt;=21,IF(入力データ!$K$27="国公立",前提条件!$C$29,IF(入力データ!$K$27="私立理系",前提条件!$C$31,前提条件!$C$30))+IF(入力データ!$L$27="下宿",前提条件!$C$32,0)+IF(CS8=18,前提条件!$C$33,0),0)))))))*(1+前提条件!$C$13)^(CS$3-$B$3))</f>
        <v/>
      </c>
      <c r="CT24" s="352">
        <f>IF(CT$3="","",((SUM(入力データ!$C$58:$C$61)*12)+IF(CT6="",0,IF(CT6&lt;=5,IF(入力データ!$G$25="私立",前提条件!$C$22,前提条件!$C$21),IF(CT6&lt;=11,IF(入力データ!$H$25="私立",前提条件!$C$24,前提条件!$C$23),IF(CT6&lt;=14,IF(入力データ!$I$25="私立",前提条件!$C$26,前提条件!$C$25),IF(CT6&lt;=17,IF(入力データ!$J$25="私立",前提条件!$C$28,前提条件!$C$27),IF(CT6&lt;=21,IF(入力データ!$K$25="国公立",前提条件!$C$29,IF(入力データ!$K$25="私立理系",前提条件!$C$31,前提条件!$C$30))+IF(入力データ!$L$25="下宿",前提条件!$C$32,0)+IF(CT6=18,前提条件!$C$33,0),0))))))+IF(CT7="",0,IF(CT7&lt;=5,IF(入力データ!$G$26="私立",前提条件!$C$22,前提条件!$C$21),IF(CT7&lt;=11,IF(入力データ!$H$26="私立",前提条件!$C$24,前提条件!$C$23),IF(CT7&lt;=14,IF(入力データ!$I$26="私立",前提条件!$C$26,前提条件!$C$25),IF(CT7&lt;=17,IF(入力データ!$J$26="私立",前提条件!$C$28,前提条件!$C$27),IF(CT7&lt;=21,IF(入力データ!$K$26="国公立",前提条件!$C$29,IF(入力データ!$K$26="私立理系",前提条件!$C$31,前提条件!$C$30))+IF(入力データ!$L$26="下宿",前提条件!$C$32,0)+IF(CT7=18,前提条件!$C$33,0),0))))))+IF(CT8="",0,IF(CT8&lt;=5,IF(入力データ!$G$27="私立",前提条件!$C$22,前提条件!$C$21),IF(CT8&lt;=11,IF(入力データ!$H$27="私立",前提条件!$C$24,前提条件!$C$23),IF(CT8&lt;=14,IF(入力データ!$I$27="私立",前提条件!$C$26,前提条件!$C$25),IF(CT8&lt;=17,IF(入力データ!$J$27="私立",前提条件!$C$28,前提条件!$C$27),IF(CT8&lt;=21,IF(入力データ!$K$27="国公立",前提条件!$C$29,IF(入力データ!$K$27="私立理系",前提条件!$C$31,前提条件!$C$30))+IF(入力データ!$L$27="下宿",前提条件!$C$32,0)+IF(CT8=18,前提条件!$C$33,0),0)))))))*(1+前提条件!$C$13)^(CT$3-$B$3))</f>
        <v/>
      </c>
      <c r="CU24" s="352">
        <f>IF(CU$3="","",((SUM(入力データ!$C$58:$C$61)*12)+IF(CU6="",0,IF(CU6&lt;=5,IF(入力データ!$G$25="私立",前提条件!$C$22,前提条件!$C$21),IF(CU6&lt;=11,IF(入力データ!$H$25="私立",前提条件!$C$24,前提条件!$C$23),IF(CU6&lt;=14,IF(入力データ!$I$25="私立",前提条件!$C$26,前提条件!$C$25),IF(CU6&lt;=17,IF(入力データ!$J$25="私立",前提条件!$C$28,前提条件!$C$27),IF(CU6&lt;=21,IF(入力データ!$K$25="国公立",前提条件!$C$29,IF(入力データ!$K$25="私立理系",前提条件!$C$31,前提条件!$C$30))+IF(入力データ!$L$25="下宿",前提条件!$C$32,0)+IF(CU6=18,前提条件!$C$33,0),0))))))+IF(CU7="",0,IF(CU7&lt;=5,IF(入力データ!$G$26="私立",前提条件!$C$22,前提条件!$C$21),IF(CU7&lt;=11,IF(入力データ!$H$26="私立",前提条件!$C$24,前提条件!$C$23),IF(CU7&lt;=14,IF(入力データ!$I$26="私立",前提条件!$C$26,前提条件!$C$25),IF(CU7&lt;=17,IF(入力データ!$J$26="私立",前提条件!$C$28,前提条件!$C$27),IF(CU7&lt;=21,IF(入力データ!$K$26="国公立",前提条件!$C$29,IF(入力データ!$K$26="私立理系",前提条件!$C$31,前提条件!$C$30))+IF(入力データ!$L$26="下宿",前提条件!$C$32,0)+IF(CU7=18,前提条件!$C$33,0),0))))))+IF(CU8="",0,IF(CU8&lt;=5,IF(入力データ!$G$27="私立",前提条件!$C$22,前提条件!$C$21),IF(CU8&lt;=11,IF(入力データ!$H$27="私立",前提条件!$C$24,前提条件!$C$23),IF(CU8&lt;=14,IF(入力データ!$I$27="私立",前提条件!$C$26,前提条件!$C$25),IF(CU8&lt;=17,IF(入力データ!$J$27="私立",前提条件!$C$28,前提条件!$C$27),IF(CU8&lt;=21,IF(入力データ!$K$27="国公立",前提条件!$C$29,IF(入力データ!$K$27="私立理系",前提条件!$C$31,前提条件!$C$30))+IF(入力データ!$L$27="下宿",前提条件!$C$32,0)+IF(CU8=18,前提条件!$C$33,0),0)))))))*(1+前提条件!$C$13)^(CU$3-$B$3))</f>
        <v/>
      </c>
      <c r="CV24" s="352">
        <f>IF(CV$3="","",((SUM(入力データ!$C$58:$C$61)*12)+IF(CV6="",0,IF(CV6&lt;=5,IF(入力データ!$G$25="私立",前提条件!$C$22,前提条件!$C$21),IF(CV6&lt;=11,IF(入力データ!$H$25="私立",前提条件!$C$24,前提条件!$C$23),IF(CV6&lt;=14,IF(入力データ!$I$25="私立",前提条件!$C$26,前提条件!$C$25),IF(CV6&lt;=17,IF(入力データ!$J$25="私立",前提条件!$C$28,前提条件!$C$27),IF(CV6&lt;=21,IF(入力データ!$K$25="国公立",前提条件!$C$29,IF(入力データ!$K$25="私立理系",前提条件!$C$31,前提条件!$C$30))+IF(入力データ!$L$25="下宿",前提条件!$C$32,0)+IF(CV6=18,前提条件!$C$33,0),0))))))+IF(CV7="",0,IF(CV7&lt;=5,IF(入力データ!$G$26="私立",前提条件!$C$22,前提条件!$C$21),IF(CV7&lt;=11,IF(入力データ!$H$26="私立",前提条件!$C$24,前提条件!$C$23),IF(CV7&lt;=14,IF(入力データ!$I$26="私立",前提条件!$C$26,前提条件!$C$25),IF(CV7&lt;=17,IF(入力データ!$J$26="私立",前提条件!$C$28,前提条件!$C$27),IF(CV7&lt;=21,IF(入力データ!$K$26="国公立",前提条件!$C$29,IF(入力データ!$K$26="私立理系",前提条件!$C$31,前提条件!$C$30))+IF(入力データ!$L$26="下宿",前提条件!$C$32,0)+IF(CV7=18,前提条件!$C$33,0),0))))))+IF(CV8="",0,IF(CV8&lt;=5,IF(入力データ!$G$27="私立",前提条件!$C$22,前提条件!$C$21),IF(CV8&lt;=11,IF(入力データ!$H$27="私立",前提条件!$C$24,前提条件!$C$23),IF(CV8&lt;=14,IF(入力データ!$I$27="私立",前提条件!$C$26,前提条件!$C$25),IF(CV8&lt;=17,IF(入力データ!$J$27="私立",前提条件!$C$28,前提条件!$C$27),IF(CV8&lt;=21,IF(入力データ!$K$27="国公立",前提条件!$C$29,IF(入力データ!$K$27="私立理系",前提条件!$C$31,前提条件!$C$30))+IF(入力データ!$L$27="下宿",前提条件!$C$32,0)+IF(CV8=18,前提条件!$C$33,0),0)))))))*(1+前提条件!$C$13)^(CV$3-$B$3))</f>
        <v/>
      </c>
      <c r="CW24" s="352">
        <f>IF(CW$3="","",((SUM(入力データ!$C$58:$C$61)*12)+IF(CW6="",0,IF(CW6&lt;=5,IF(入力データ!$G$25="私立",前提条件!$C$22,前提条件!$C$21),IF(CW6&lt;=11,IF(入力データ!$H$25="私立",前提条件!$C$24,前提条件!$C$23),IF(CW6&lt;=14,IF(入力データ!$I$25="私立",前提条件!$C$26,前提条件!$C$25),IF(CW6&lt;=17,IF(入力データ!$J$25="私立",前提条件!$C$28,前提条件!$C$27),IF(CW6&lt;=21,IF(入力データ!$K$25="国公立",前提条件!$C$29,IF(入力データ!$K$25="私立理系",前提条件!$C$31,前提条件!$C$30))+IF(入力データ!$L$25="下宿",前提条件!$C$32,0)+IF(CW6=18,前提条件!$C$33,0),0))))))+IF(CW7="",0,IF(CW7&lt;=5,IF(入力データ!$G$26="私立",前提条件!$C$22,前提条件!$C$21),IF(CW7&lt;=11,IF(入力データ!$H$26="私立",前提条件!$C$24,前提条件!$C$23),IF(CW7&lt;=14,IF(入力データ!$I$26="私立",前提条件!$C$26,前提条件!$C$25),IF(CW7&lt;=17,IF(入力データ!$J$26="私立",前提条件!$C$28,前提条件!$C$27),IF(CW7&lt;=21,IF(入力データ!$K$26="国公立",前提条件!$C$29,IF(入力データ!$K$26="私立理系",前提条件!$C$31,前提条件!$C$30))+IF(入力データ!$L$26="下宿",前提条件!$C$32,0)+IF(CW7=18,前提条件!$C$33,0),0))))))+IF(CW8="",0,IF(CW8&lt;=5,IF(入力データ!$G$27="私立",前提条件!$C$22,前提条件!$C$21),IF(CW8&lt;=11,IF(入力データ!$H$27="私立",前提条件!$C$24,前提条件!$C$23),IF(CW8&lt;=14,IF(入力データ!$I$27="私立",前提条件!$C$26,前提条件!$C$25),IF(CW8&lt;=17,IF(入力データ!$J$27="私立",前提条件!$C$28,前提条件!$C$27),IF(CW8&lt;=21,IF(入力データ!$K$27="国公立",前提条件!$C$29,IF(入力データ!$K$27="私立理系",前提条件!$C$31,前提条件!$C$30))+IF(入力データ!$L$27="下宿",前提条件!$C$32,0)+IF(CW8=18,前提条件!$C$33,0),0)))))))*(1+前提条件!$C$13)^(CW$3-$B$3))</f>
        <v/>
      </c>
    </row>
    <row r="25" ht="15" customHeight="1" s="180">
      <c r="A25" s="224" t="inlineStr">
        <is>
          <t>車関連費</t>
        </is>
      </c>
      <c r="B25" s="352">
        <f>IF(B$3="","",SUM(入力データ!$C$66:$C$70)*12*(1+前提条件!$C$12)^(B$3-$B$3))</f>
        <v/>
      </c>
      <c r="C25" s="352">
        <f>IF(C$3="","",SUM(入力データ!$C$66:$C$70)*12*(1+前提条件!$C$12)^(C$3-$B$3))</f>
        <v/>
      </c>
      <c r="D25" s="352">
        <f>IF(D$3="","",SUM(入力データ!$C$66:$C$70)*12*(1+前提条件!$C$12)^(D$3-$B$3))</f>
        <v/>
      </c>
      <c r="E25" s="352">
        <f>IF(E$3="","",SUM(入力データ!$C$66:$C$70)*12*(1+前提条件!$C$12)^(E$3-$B$3))</f>
        <v/>
      </c>
      <c r="F25" s="352">
        <f>IF(F$3="","",SUM(入力データ!$C$66:$C$70)*12*(1+前提条件!$C$12)^(F$3-$B$3))</f>
        <v/>
      </c>
      <c r="G25" s="352">
        <f>IF(G$3="","",SUM(入力データ!$C$66:$C$70)*12*(1+前提条件!$C$12)^(G$3-$B$3))</f>
        <v/>
      </c>
      <c r="H25" s="352">
        <f>IF(H$3="","",SUM(入力データ!$C$66:$C$70)*12*(1+前提条件!$C$12)^(H$3-$B$3))</f>
        <v/>
      </c>
      <c r="I25" s="352">
        <f>IF(I$3="","",SUM(入力データ!$C$66:$C$70)*12*(1+前提条件!$C$12)^(I$3-$B$3))</f>
        <v/>
      </c>
      <c r="J25" s="352">
        <f>IF(J$3="","",SUM(入力データ!$C$66:$C$70)*12*(1+前提条件!$C$12)^(J$3-$B$3))</f>
        <v/>
      </c>
      <c r="K25" s="352">
        <f>IF(K$3="","",SUM(入力データ!$C$66:$C$70)*12*(1+前提条件!$C$12)^(K$3-$B$3))</f>
        <v/>
      </c>
      <c r="L25" s="352">
        <f>IF(L$3="","",SUM(入力データ!$C$66:$C$70)*12*(1+前提条件!$C$12)^(L$3-$B$3))</f>
        <v/>
      </c>
      <c r="M25" s="352">
        <f>IF(M$3="","",SUM(入力データ!$C$66:$C$70)*12*(1+前提条件!$C$12)^(M$3-$B$3))</f>
        <v/>
      </c>
      <c r="N25" s="352">
        <f>IF(N$3="","",SUM(入力データ!$C$66:$C$70)*12*(1+前提条件!$C$12)^(N$3-$B$3))</f>
        <v/>
      </c>
      <c r="O25" s="352">
        <f>IF(O$3="","",SUM(入力データ!$C$66:$C$70)*12*(1+前提条件!$C$12)^(O$3-$B$3))</f>
        <v/>
      </c>
      <c r="P25" s="352">
        <f>IF(P$3="","",SUM(入力データ!$C$66:$C$70)*12*(1+前提条件!$C$12)^(P$3-$B$3))</f>
        <v/>
      </c>
      <c r="Q25" s="352">
        <f>IF(Q$3="","",SUM(入力データ!$C$66:$C$70)*12*(1+前提条件!$C$12)^(Q$3-$B$3))</f>
        <v/>
      </c>
      <c r="R25" s="352">
        <f>IF(R$3="","",SUM(入力データ!$C$66:$C$70)*12*(1+前提条件!$C$12)^(R$3-$B$3))</f>
        <v/>
      </c>
      <c r="S25" s="352">
        <f>IF(S$3="","",SUM(入力データ!$C$66:$C$70)*12*(1+前提条件!$C$12)^(S$3-$B$3))</f>
        <v/>
      </c>
      <c r="T25" s="352">
        <f>IF(T$3="","",SUM(入力データ!$C$66:$C$70)*12*(1+前提条件!$C$12)^(T$3-$B$3))</f>
        <v/>
      </c>
      <c r="U25" s="352">
        <f>IF(U$3="","",SUM(入力データ!$C$66:$C$70)*12*(1+前提条件!$C$12)^(U$3-$B$3))</f>
        <v/>
      </c>
      <c r="V25" s="352">
        <f>IF(V$3="","",SUM(入力データ!$C$66:$C$70)*12*(1+前提条件!$C$12)^(V$3-$B$3))</f>
        <v/>
      </c>
      <c r="W25" s="352">
        <f>IF(W$3="","",SUM(入力データ!$C$66:$C$70)*12*(1+前提条件!$C$12)^(W$3-$B$3))</f>
        <v/>
      </c>
      <c r="X25" s="352">
        <f>IF(X$3="","",SUM(入力データ!$C$66:$C$70)*12*(1+前提条件!$C$12)^(X$3-$B$3))</f>
        <v/>
      </c>
      <c r="Y25" s="352">
        <f>IF(Y$3="","",SUM(入力データ!$C$66:$C$70)*12*(1+前提条件!$C$12)^(Y$3-$B$3))</f>
        <v/>
      </c>
      <c r="Z25" s="352">
        <f>IF(Z$3="","",SUM(入力データ!$C$66:$C$70)*12*(1+前提条件!$C$12)^(Z$3-$B$3))</f>
        <v/>
      </c>
      <c r="AA25" s="352">
        <f>IF(AA$3="","",SUM(入力データ!$C$66:$C$70)*12*(1+前提条件!$C$12)^(AA$3-$B$3))</f>
        <v/>
      </c>
      <c r="AB25" s="352">
        <f>IF(AB$3="","",SUM(入力データ!$C$66:$C$70)*12*(1+前提条件!$C$12)^(AB$3-$B$3))</f>
        <v/>
      </c>
      <c r="AC25" s="352">
        <f>IF(AC$3="","",SUM(入力データ!$C$66:$C$70)*12*(1+前提条件!$C$12)^(AC$3-$B$3))</f>
        <v/>
      </c>
      <c r="AD25" s="352">
        <f>IF(AD$3="","",SUM(入力データ!$C$66:$C$70)*12*(1+前提条件!$C$12)^(AD$3-$B$3))</f>
        <v/>
      </c>
      <c r="AE25" s="352">
        <f>IF(AE$3="","",SUM(入力データ!$C$66:$C$70)*12*(1+前提条件!$C$12)^(AE$3-$B$3))</f>
        <v/>
      </c>
      <c r="AF25" s="352">
        <f>IF(AF$3="","",SUM(入力データ!$C$66:$C$70)*12*(1+前提条件!$C$12)^(AF$3-$B$3))</f>
        <v/>
      </c>
      <c r="AG25" s="352">
        <f>IF(AG$3="","",SUM(入力データ!$C$66:$C$70)*12*(1+前提条件!$C$12)^(AG$3-$B$3))</f>
        <v/>
      </c>
      <c r="AH25" s="352">
        <f>IF(AH$3="","",SUM(入力データ!$C$66:$C$70)*12*(1+前提条件!$C$12)^(AH$3-$B$3))</f>
        <v/>
      </c>
      <c r="AI25" s="352">
        <f>IF(AI$3="","",SUM(入力データ!$C$66:$C$70)*12*(1+前提条件!$C$12)^(AI$3-$B$3))</f>
        <v/>
      </c>
      <c r="AJ25" s="352">
        <f>IF(AJ$3="","",SUM(入力データ!$C$66:$C$70)*12*(1+前提条件!$C$12)^(AJ$3-$B$3))</f>
        <v/>
      </c>
      <c r="AK25" s="352">
        <f>IF(AK$3="","",SUM(入力データ!$C$66:$C$70)*12*(1+前提条件!$C$12)^(AK$3-$B$3))</f>
        <v/>
      </c>
      <c r="AL25" s="352">
        <f>IF(AL$3="","",SUM(入力データ!$C$66:$C$70)*12*(1+前提条件!$C$12)^(AL$3-$B$3))</f>
        <v/>
      </c>
      <c r="AM25" s="352">
        <f>IF(AM$3="","",SUM(入力データ!$C$66:$C$70)*12*(1+前提条件!$C$12)^(AM$3-$B$3))</f>
        <v/>
      </c>
      <c r="AN25" s="352">
        <f>IF(AN$3="","",SUM(入力データ!$C$66:$C$70)*12*(1+前提条件!$C$12)^(AN$3-$B$3))</f>
        <v/>
      </c>
      <c r="AO25" s="352">
        <f>IF(AO$3="","",SUM(入力データ!$C$66:$C$70)*12*(1+前提条件!$C$12)^(AO$3-$B$3))</f>
        <v/>
      </c>
      <c r="AP25" s="352">
        <f>IF(AP$3="","",SUM(入力データ!$C$66:$C$70)*12*(1+前提条件!$C$12)^(AP$3-$B$3))</f>
        <v/>
      </c>
      <c r="AQ25" s="352">
        <f>IF(AQ$3="","",SUM(入力データ!$C$66:$C$70)*12*(1+前提条件!$C$12)^(AQ$3-$B$3))</f>
        <v/>
      </c>
      <c r="AR25" s="352">
        <f>IF(AR$3="","",SUM(入力データ!$C$66:$C$70)*12*(1+前提条件!$C$12)^(AR$3-$B$3))</f>
        <v/>
      </c>
      <c r="AS25" s="352">
        <f>IF(AS$3="","",SUM(入力データ!$C$66:$C$70)*12*(1+前提条件!$C$12)^(AS$3-$B$3))</f>
        <v/>
      </c>
      <c r="AT25" s="352">
        <f>IF(AT$3="","",SUM(入力データ!$C$66:$C$70)*12*(1+前提条件!$C$12)^(AT$3-$B$3))</f>
        <v/>
      </c>
      <c r="AU25" s="352">
        <f>IF(AU$3="","",SUM(入力データ!$C$66:$C$70)*12*(1+前提条件!$C$12)^(AU$3-$B$3))</f>
        <v/>
      </c>
      <c r="AV25" s="352">
        <f>IF(AV$3="","",SUM(入力データ!$C$66:$C$70)*12*(1+前提条件!$C$12)^(AV$3-$B$3))</f>
        <v/>
      </c>
      <c r="AW25" s="352">
        <f>IF(AW$3="","",SUM(入力データ!$C$66:$C$70)*12*(1+前提条件!$C$12)^(AW$3-$B$3))</f>
        <v/>
      </c>
      <c r="AX25" s="352">
        <f>IF(AX$3="","",SUM(入力データ!$C$66:$C$70)*12*(1+前提条件!$C$12)^(AX$3-$B$3))</f>
        <v/>
      </c>
      <c r="AY25" s="352">
        <f>IF(AY$3="","",SUM(入力データ!$C$66:$C$70)*12*(1+前提条件!$C$12)^(AY$3-$B$3))</f>
        <v/>
      </c>
      <c r="AZ25" s="352">
        <f>IF(AZ$3="","",SUM(入力データ!$C$66:$C$70)*12*(1+前提条件!$C$12)^(AZ$3-$B$3))</f>
        <v/>
      </c>
      <c r="BA25" s="352">
        <f>IF(BA$3="","",SUM(入力データ!$C$66:$C$70)*12*(1+前提条件!$C$12)^(BA$3-$B$3))</f>
        <v/>
      </c>
      <c r="BB25" s="352">
        <f>IF(BB$3="","",SUM(入力データ!$C$66:$C$70)*12*(1+前提条件!$C$12)^(BB$3-$B$3))</f>
        <v/>
      </c>
      <c r="BC25" s="352">
        <f>IF(BC$3="","",SUM(入力データ!$C$66:$C$70)*12*(1+前提条件!$C$12)^(BC$3-$B$3))</f>
        <v/>
      </c>
      <c r="BD25" s="352">
        <f>IF(BD$3="","",SUM(入力データ!$C$66:$C$70)*12*(1+前提条件!$C$12)^(BD$3-$B$3))</f>
        <v/>
      </c>
      <c r="BE25" s="352">
        <f>IF(BE$3="","",SUM(入力データ!$C$66:$C$70)*12*(1+前提条件!$C$12)^(BE$3-$B$3))</f>
        <v/>
      </c>
      <c r="BF25" s="352">
        <f>IF(BF$3="","",SUM(入力データ!$C$66:$C$70)*12*(1+前提条件!$C$12)^(BF$3-$B$3))</f>
        <v/>
      </c>
      <c r="BG25" s="352">
        <f>IF(BG$3="","",SUM(入力データ!$C$66:$C$70)*12*(1+前提条件!$C$12)^(BG$3-$B$3))</f>
        <v/>
      </c>
      <c r="BH25" s="352">
        <f>IF(BH$3="","",SUM(入力データ!$C$66:$C$70)*12*(1+前提条件!$C$12)^(BH$3-$B$3))</f>
        <v/>
      </c>
      <c r="BI25" s="352">
        <f>IF(BI$3="","",SUM(入力データ!$C$66:$C$70)*12*(1+前提条件!$C$12)^(BI$3-$B$3))</f>
        <v/>
      </c>
      <c r="BJ25" s="352">
        <f>IF(BJ$3="","",SUM(入力データ!$C$66:$C$70)*12*(1+前提条件!$C$12)^(BJ$3-$B$3))</f>
        <v/>
      </c>
      <c r="BK25" s="352">
        <f>IF(BK$3="","",SUM(入力データ!$C$66:$C$70)*12*(1+前提条件!$C$12)^(BK$3-$B$3))</f>
        <v/>
      </c>
      <c r="BL25" s="352">
        <f>IF(BL$3="","",SUM(入力データ!$C$66:$C$70)*12*(1+前提条件!$C$12)^(BL$3-$B$3))</f>
        <v/>
      </c>
      <c r="BM25" s="352">
        <f>IF(BM$3="","",SUM(入力データ!$C$66:$C$70)*12*(1+前提条件!$C$12)^(BM$3-$B$3))</f>
        <v/>
      </c>
      <c r="BN25" s="352">
        <f>IF(BN$3="","",SUM(入力データ!$C$66:$C$70)*12*(1+前提条件!$C$12)^(BN$3-$B$3))</f>
        <v/>
      </c>
      <c r="BO25" s="352">
        <f>IF(BO$3="","",SUM(入力データ!$C$66:$C$70)*12*(1+前提条件!$C$12)^(BO$3-$B$3))</f>
        <v/>
      </c>
      <c r="BP25" s="352">
        <f>IF(BP$3="","",SUM(入力データ!$C$66:$C$70)*12*(1+前提条件!$C$12)^(BP$3-$B$3))</f>
        <v/>
      </c>
      <c r="BQ25" s="352">
        <f>IF(BQ$3="","",SUM(入力データ!$C$66:$C$70)*12*(1+前提条件!$C$12)^(BQ$3-$B$3))</f>
        <v/>
      </c>
      <c r="BR25" s="352">
        <f>IF(BR$3="","",SUM(入力データ!$C$66:$C$70)*12*(1+前提条件!$C$12)^(BR$3-$B$3))</f>
        <v/>
      </c>
      <c r="BS25" s="352">
        <f>IF(BS$3="","",SUM(入力データ!$C$66:$C$70)*12*(1+前提条件!$C$12)^(BS$3-$B$3))</f>
        <v/>
      </c>
      <c r="BT25" s="352">
        <f>IF(BT$3="","",SUM(入力データ!$C$66:$C$70)*12*(1+前提条件!$C$12)^(BT$3-$B$3))</f>
        <v/>
      </c>
      <c r="BU25" s="352">
        <f>IF(BU$3="","",SUM(入力データ!$C$66:$C$70)*12*(1+前提条件!$C$12)^(BU$3-$B$3))</f>
        <v/>
      </c>
      <c r="BV25" s="352">
        <f>IF(BV$3="","",SUM(入力データ!$C$66:$C$70)*12*(1+前提条件!$C$12)^(BV$3-$B$3))</f>
        <v/>
      </c>
      <c r="BW25" s="352">
        <f>IF(BW$3="","",SUM(入力データ!$C$66:$C$70)*12*(1+前提条件!$C$12)^(BW$3-$B$3))</f>
        <v/>
      </c>
      <c r="BX25" s="352">
        <f>IF(BX$3="","",SUM(入力データ!$C$66:$C$70)*12*(1+前提条件!$C$12)^(BX$3-$B$3))</f>
        <v/>
      </c>
      <c r="BY25" s="352">
        <f>IF(BY$3="","",SUM(入力データ!$C$66:$C$70)*12*(1+前提条件!$C$12)^(BY$3-$B$3))</f>
        <v/>
      </c>
      <c r="BZ25" s="352">
        <f>IF(BZ$3="","",SUM(入力データ!$C$66:$C$70)*12*(1+前提条件!$C$12)^(BZ$3-$B$3))</f>
        <v/>
      </c>
      <c r="CA25" s="352">
        <f>IF(CA$3="","",SUM(入力データ!$C$66:$C$70)*12*(1+前提条件!$C$12)^(CA$3-$B$3))</f>
        <v/>
      </c>
      <c r="CB25" s="352">
        <f>IF(CB$3="","",SUM(入力データ!$C$66:$C$70)*12*(1+前提条件!$C$12)^(CB$3-$B$3))</f>
        <v/>
      </c>
      <c r="CC25" s="352">
        <f>IF(CC$3="","",SUM(入力データ!$C$66:$C$70)*12*(1+前提条件!$C$12)^(CC$3-$B$3))</f>
        <v/>
      </c>
      <c r="CD25" s="352">
        <f>IF(CD$3="","",SUM(入力データ!$C$66:$C$70)*12*(1+前提条件!$C$12)^(CD$3-$B$3))</f>
        <v/>
      </c>
      <c r="CE25" s="352">
        <f>IF(CE$3="","",SUM(入力データ!$C$66:$C$70)*12*(1+前提条件!$C$12)^(CE$3-$B$3))</f>
        <v/>
      </c>
      <c r="CF25" s="352">
        <f>IF(CF$3="","",SUM(入力データ!$C$66:$C$70)*12*(1+前提条件!$C$12)^(CF$3-$B$3))</f>
        <v/>
      </c>
      <c r="CG25" s="352">
        <f>IF(CG$3="","",SUM(入力データ!$C$66:$C$70)*12*(1+前提条件!$C$12)^(CG$3-$B$3))</f>
        <v/>
      </c>
      <c r="CH25" s="352">
        <f>IF(CH$3="","",SUM(入力データ!$C$66:$C$70)*12*(1+前提条件!$C$12)^(CH$3-$B$3))</f>
        <v/>
      </c>
      <c r="CI25" s="352">
        <f>IF(CI$3="","",SUM(入力データ!$C$66:$C$70)*12*(1+前提条件!$C$12)^(CI$3-$B$3))</f>
        <v/>
      </c>
      <c r="CJ25" s="352">
        <f>IF(CJ$3="","",SUM(入力データ!$C$66:$C$70)*12*(1+前提条件!$C$12)^(CJ$3-$B$3))</f>
        <v/>
      </c>
      <c r="CK25" s="352">
        <f>IF(CK$3="","",SUM(入力データ!$C$66:$C$70)*12*(1+前提条件!$C$12)^(CK$3-$B$3))</f>
        <v/>
      </c>
      <c r="CL25" s="352">
        <f>IF(CL$3="","",SUM(入力データ!$C$66:$C$70)*12*(1+前提条件!$C$12)^(CL$3-$B$3))</f>
        <v/>
      </c>
      <c r="CM25" s="352">
        <f>IF(CM$3="","",SUM(入力データ!$C$66:$C$70)*12*(1+前提条件!$C$12)^(CM$3-$B$3))</f>
        <v/>
      </c>
      <c r="CN25" s="352">
        <f>IF(CN$3="","",SUM(入力データ!$C$66:$C$70)*12*(1+前提条件!$C$12)^(CN$3-$B$3))</f>
        <v/>
      </c>
      <c r="CO25" s="352">
        <f>IF(CO$3="","",SUM(入力データ!$C$66:$C$70)*12*(1+前提条件!$C$12)^(CO$3-$B$3))</f>
        <v/>
      </c>
      <c r="CP25" s="352">
        <f>IF(CP$3="","",SUM(入力データ!$C$66:$C$70)*12*(1+前提条件!$C$12)^(CP$3-$B$3))</f>
        <v/>
      </c>
      <c r="CQ25" s="352">
        <f>IF(CQ$3="","",SUM(入力データ!$C$66:$C$70)*12*(1+前提条件!$C$12)^(CQ$3-$B$3))</f>
        <v/>
      </c>
      <c r="CR25" s="352">
        <f>IF(CR$3="","",SUM(入力データ!$C$66:$C$70)*12*(1+前提条件!$C$12)^(CR$3-$B$3))</f>
        <v/>
      </c>
      <c r="CS25" s="352">
        <f>IF(CS$3="","",SUM(入力データ!$C$66:$C$70)*12*(1+前提条件!$C$12)^(CS$3-$B$3))</f>
        <v/>
      </c>
      <c r="CT25" s="352">
        <f>IF(CT$3="","",SUM(入力データ!$C$66:$C$70)*12*(1+前提条件!$C$12)^(CT$3-$B$3))</f>
        <v/>
      </c>
      <c r="CU25" s="352">
        <f>IF(CU$3="","",SUM(入力データ!$C$66:$C$70)*12*(1+前提条件!$C$12)^(CU$3-$B$3))</f>
        <v/>
      </c>
      <c r="CV25" s="352">
        <f>IF(CV$3="","",SUM(入力データ!$C$66:$C$70)*12*(1+前提条件!$C$12)^(CV$3-$B$3))</f>
        <v/>
      </c>
      <c r="CW25" s="352">
        <f>IF(CW$3="","",SUM(入力データ!$C$66:$C$70)*12*(1+前提条件!$C$12)^(CW$3-$B$3))</f>
        <v/>
      </c>
    </row>
    <row r="26" ht="15" customHeight="1" s="180">
      <c r="A26" s="224" t="inlineStr">
        <is>
          <t>その他支出</t>
        </is>
      </c>
      <c r="B26" s="352">
        <f>IF(B$3="","",SUM(入力データ!$C$71:$C$74)*12*(1+前提条件!$C$12)^(B$3-$B$3))</f>
        <v/>
      </c>
      <c r="C26" s="352">
        <f>IF(C$3="","",SUM(入力データ!$C$71:$C$74)*12*(1+前提条件!$C$12)^(C$3-$B$3))</f>
        <v/>
      </c>
      <c r="D26" s="352">
        <f>IF(D$3="","",SUM(入力データ!$C$71:$C$74)*12*(1+前提条件!$C$12)^(D$3-$B$3))</f>
        <v/>
      </c>
      <c r="E26" s="352">
        <f>IF(E$3="","",SUM(入力データ!$C$71:$C$74)*12*(1+前提条件!$C$12)^(E$3-$B$3))</f>
        <v/>
      </c>
      <c r="F26" s="352">
        <f>IF(F$3="","",SUM(入力データ!$C$71:$C$74)*12*(1+前提条件!$C$12)^(F$3-$B$3))</f>
        <v/>
      </c>
      <c r="G26" s="352">
        <f>IF(G$3="","",SUM(入力データ!$C$71:$C$74)*12*(1+前提条件!$C$12)^(G$3-$B$3))</f>
        <v/>
      </c>
      <c r="H26" s="352">
        <f>IF(H$3="","",SUM(入力データ!$C$71:$C$74)*12*(1+前提条件!$C$12)^(H$3-$B$3))</f>
        <v/>
      </c>
      <c r="I26" s="352">
        <f>IF(I$3="","",SUM(入力データ!$C$71:$C$74)*12*(1+前提条件!$C$12)^(I$3-$B$3))</f>
        <v/>
      </c>
      <c r="J26" s="352">
        <f>IF(J$3="","",SUM(入力データ!$C$71:$C$74)*12*(1+前提条件!$C$12)^(J$3-$B$3))</f>
        <v/>
      </c>
      <c r="K26" s="352">
        <f>IF(K$3="","",SUM(入力データ!$C$71:$C$74)*12*(1+前提条件!$C$12)^(K$3-$B$3))</f>
        <v/>
      </c>
      <c r="L26" s="352">
        <f>IF(L$3="","",SUM(入力データ!$C$71:$C$74)*12*(1+前提条件!$C$12)^(L$3-$B$3))</f>
        <v/>
      </c>
      <c r="M26" s="352">
        <f>IF(M$3="","",SUM(入力データ!$C$71:$C$74)*12*(1+前提条件!$C$12)^(M$3-$B$3))</f>
        <v/>
      </c>
      <c r="N26" s="352">
        <f>IF(N$3="","",SUM(入力データ!$C$71:$C$74)*12*(1+前提条件!$C$12)^(N$3-$B$3))</f>
        <v/>
      </c>
      <c r="O26" s="352">
        <f>IF(O$3="","",SUM(入力データ!$C$71:$C$74)*12*(1+前提条件!$C$12)^(O$3-$B$3))</f>
        <v/>
      </c>
      <c r="P26" s="352">
        <f>IF(P$3="","",SUM(入力データ!$C$71:$C$74)*12*(1+前提条件!$C$12)^(P$3-$B$3))</f>
        <v/>
      </c>
      <c r="Q26" s="352">
        <f>IF(Q$3="","",SUM(入力データ!$C$71:$C$74)*12*(1+前提条件!$C$12)^(Q$3-$B$3))</f>
        <v/>
      </c>
      <c r="R26" s="352">
        <f>IF(R$3="","",SUM(入力データ!$C$71:$C$74)*12*(1+前提条件!$C$12)^(R$3-$B$3))</f>
        <v/>
      </c>
      <c r="S26" s="352">
        <f>IF(S$3="","",SUM(入力データ!$C$71:$C$74)*12*(1+前提条件!$C$12)^(S$3-$B$3))</f>
        <v/>
      </c>
      <c r="T26" s="352">
        <f>IF(T$3="","",SUM(入力データ!$C$71:$C$74)*12*(1+前提条件!$C$12)^(T$3-$B$3))</f>
        <v/>
      </c>
      <c r="U26" s="352">
        <f>IF(U$3="","",SUM(入力データ!$C$71:$C$74)*12*(1+前提条件!$C$12)^(U$3-$B$3))</f>
        <v/>
      </c>
      <c r="V26" s="352">
        <f>IF(V$3="","",SUM(入力データ!$C$71:$C$74)*12*(1+前提条件!$C$12)^(V$3-$B$3))</f>
        <v/>
      </c>
      <c r="W26" s="352">
        <f>IF(W$3="","",SUM(入力データ!$C$71:$C$74)*12*(1+前提条件!$C$12)^(W$3-$B$3))</f>
        <v/>
      </c>
      <c r="X26" s="352">
        <f>IF(X$3="","",SUM(入力データ!$C$71:$C$74)*12*(1+前提条件!$C$12)^(X$3-$B$3))</f>
        <v/>
      </c>
      <c r="Y26" s="352">
        <f>IF(Y$3="","",SUM(入力データ!$C$71:$C$74)*12*(1+前提条件!$C$12)^(Y$3-$B$3))</f>
        <v/>
      </c>
      <c r="Z26" s="352">
        <f>IF(Z$3="","",SUM(入力データ!$C$71:$C$74)*12*(1+前提条件!$C$12)^(Z$3-$B$3))</f>
        <v/>
      </c>
      <c r="AA26" s="352">
        <f>IF(AA$3="","",SUM(入力データ!$C$71:$C$74)*12*(1+前提条件!$C$12)^(AA$3-$B$3))</f>
        <v/>
      </c>
      <c r="AB26" s="352">
        <f>IF(AB$3="","",SUM(入力データ!$C$71:$C$74)*12*(1+前提条件!$C$12)^(AB$3-$B$3))</f>
        <v/>
      </c>
      <c r="AC26" s="352">
        <f>IF(AC$3="","",SUM(入力データ!$C$71:$C$74)*12*(1+前提条件!$C$12)^(AC$3-$B$3))</f>
        <v/>
      </c>
      <c r="AD26" s="352">
        <f>IF(AD$3="","",SUM(入力データ!$C$71:$C$74)*12*(1+前提条件!$C$12)^(AD$3-$B$3))</f>
        <v/>
      </c>
      <c r="AE26" s="352">
        <f>IF(AE$3="","",SUM(入力データ!$C$71:$C$74)*12*(1+前提条件!$C$12)^(AE$3-$B$3))</f>
        <v/>
      </c>
      <c r="AF26" s="352">
        <f>IF(AF$3="","",SUM(入力データ!$C$71:$C$74)*12*(1+前提条件!$C$12)^(AF$3-$B$3))</f>
        <v/>
      </c>
      <c r="AG26" s="352">
        <f>IF(AG$3="","",SUM(入力データ!$C$71:$C$74)*12*(1+前提条件!$C$12)^(AG$3-$B$3))</f>
        <v/>
      </c>
      <c r="AH26" s="352">
        <f>IF(AH$3="","",SUM(入力データ!$C$71:$C$74)*12*(1+前提条件!$C$12)^(AH$3-$B$3))</f>
        <v/>
      </c>
      <c r="AI26" s="352">
        <f>IF(AI$3="","",SUM(入力データ!$C$71:$C$74)*12*(1+前提条件!$C$12)^(AI$3-$B$3))</f>
        <v/>
      </c>
      <c r="AJ26" s="352">
        <f>IF(AJ$3="","",SUM(入力データ!$C$71:$C$74)*12*(1+前提条件!$C$12)^(AJ$3-$B$3))</f>
        <v/>
      </c>
      <c r="AK26" s="352">
        <f>IF(AK$3="","",SUM(入力データ!$C$71:$C$74)*12*(1+前提条件!$C$12)^(AK$3-$B$3))</f>
        <v/>
      </c>
      <c r="AL26" s="352">
        <f>IF(AL$3="","",SUM(入力データ!$C$71:$C$74)*12*(1+前提条件!$C$12)^(AL$3-$B$3))</f>
        <v/>
      </c>
      <c r="AM26" s="352">
        <f>IF(AM$3="","",SUM(入力データ!$C$71:$C$74)*12*(1+前提条件!$C$12)^(AM$3-$B$3))</f>
        <v/>
      </c>
      <c r="AN26" s="352">
        <f>IF(AN$3="","",SUM(入力データ!$C$71:$C$74)*12*(1+前提条件!$C$12)^(AN$3-$B$3))</f>
        <v/>
      </c>
      <c r="AO26" s="352">
        <f>IF(AO$3="","",SUM(入力データ!$C$71:$C$74)*12*(1+前提条件!$C$12)^(AO$3-$B$3))</f>
        <v/>
      </c>
      <c r="AP26" s="352">
        <f>IF(AP$3="","",SUM(入力データ!$C$71:$C$74)*12*(1+前提条件!$C$12)^(AP$3-$B$3))</f>
        <v/>
      </c>
      <c r="AQ26" s="352">
        <f>IF(AQ$3="","",SUM(入力データ!$C$71:$C$74)*12*(1+前提条件!$C$12)^(AQ$3-$B$3))</f>
        <v/>
      </c>
      <c r="AR26" s="352">
        <f>IF(AR$3="","",SUM(入力データ!$C$71:$C$74)*12*(1+前提条件!$C$12)^(AR$3-$B$3))</f>
        <v/>
      </c>
      <c r="AS26" s="352">
        <f>IF(AS$3="","",SUM(入力データ!$C$71:$C$74)*12*(1+前提条件!$C$12)^(AS$3-$B$3))</f>
        <v/>
      </c>
      <c r="AT26" s="352">
        <f>IF(AT$3="","",SUM(入力データ!$C$71:$C$74)*12*(1+前提条件!$C$12)^(AT$3-$B$3))</f>
        <v/>
      </c>
      <c r="AU26" s="352">
        <f>IF(AU$3="","",SUM(入力データ!$C$71:$C$74)*12*(1+前提条件!$C$12)^(AU$3-$B$3))</f>
        <v/>
      </c>
      <c r="AV26" s="352">
        <f>IF(AV$3="","",SUM(入力データ!$C$71:$C$74)*12*(1+前提条件!$C$12)^(AV$3-$B$3))</f>
        <v/>
      </c>
      <c r="AW26" s="352">
        <f>IF(AW$3="","",SUM(入力データ!$C$71:$C$74)*12*(1+前提条件!$C$12)^(AW$3-$B$3))</f>
        <v/>
      </c>
      <c r="AX26" s="352">
        <f>IF(AX$3="","",SUM(入力データ!$C$71:$C$74)*12*(1+前提条件!$C$12)^(AX$3-$B$3))</f>
        <v/>
      </c>
      <c r="AY26" s="352">
        <f>IF(AY$3="","",SUM(入力データ!$C$71:$C$74)*12*(1+前提条件!$C$12)^(AY$3-$B$3))</f>
        <v/>
      </c>
      <c r="AZ26" s="352">
        <f>IF(AZ$3="","",SUM(入力データ!$C$71:$C$74)*12*(1+前提条件!$C$12)^(AZ$3-$B$3))</f>
        <v/>
      </c>
      <c r="BA26" s="352">
        <f>IF(BA$3="","",SUM(入力データ!$C$71:$C$74)*12*(1+前提条件!$C$12)^(BA$3-$B$3))</f>
        <v/>
      </c>
      <c r="BB26" s="352">
        <f>IF(BB$3="","",SUM(入力データ!$C$71:$C$74)*12*(1+前提条件!$C$12)^(BB$3-$B$3))</f>
        <v/>
      </c>
      <c r="BC26" s="352">
        <f>IF(BC$3="","",SUM(入力データ!$C$71:$C$74)*12*(1+前提条件!$C$12)^(BC$3-$B$3))</f>
        <v/>
      </c>
      <c r="BD26" s="352">
        <f>IF(BD$3="","",SUM(入力データ!$C$71:$C$74)*12*(1+前提条件!$C$12)^(BD$3-$B$3))</f>
        <v/>
      </c>
      <c r="BE26" s="352">
        <f>IF(BE$3="","",SUM(入力データ!$C$71:$C$74)*12*(1+前提条件!$C$12)^(BE$3-$B$3))</f>
        <v/>
      </c>
      <c r="BF26" s="352">
        <f>IF(BF$3="","",SUM(入力データ!$C$71:$C$74)*12*(1+前提条件!$C$12)^(BF$3-$B$3))</f>
        <v/>
      </c>
      <c r="BG26" s="352">
        <f>IF(BG$3="","",SUM(入力データ!$C$71:$C$74)*12*(1+前提条件!$C$12)^(BG$3-$B$3))</f>
        <v/>
      </c>
      <c r="BH26" s="352">
        <f>IF(BH$3="","",SUM(入力データ!$C$71:$C$74)*12*(1+前提条件!$C$12)^(BH$3-$B$3))</f>
        <v/>
      </c>
      <c r="BI26" s="352">
        <f>IF(BI$3="","",SUM(入力データ!$C$71:$C$74)*12*(1+前提条件!$C$12)^(BI$3-$B$3))</f>
        <v/>
      </c>
      <c r="BJ26" s="352">
        <f>IF(BJ$3="","",SUM(入力データ!$C$71:$C$74)*12*(1+前提条件!$C$12)^(BJ$3-$B$3))</f>
        <v/>
      </c>
      <c r="BK26" s="352">
        <f>IF(BK$3="","",SUM(入力データ!$C$71:$C$74)*12*(1+前提条件!$C$12)^(BK$3-$B$3))</f>
        <v/>
      </c>
      <c r="BL26" s="352">
        <f>IF(BL$3="","",SUM(入力データ!$C$71:$C$74)*12*(1+前提条件!$C$12)^(BL$3-$B$3))</f>
        <v/>
      </c>
      <c r="BM26" s="352">
        <f>IF(BM$3="","",SUM(入力データ!$C$71:$C$74)*12*(1+前提条件!$C$12)^(BM$3-$B$3))</f>
        <v/>
      </c>
      <c r="BN26" s="352">
        <f>IF(BN$3="","",SUM(入力データ!$C$71:$C$74)*12*(1+前提条件!$C$12)^(BN$3-$B$3))</f>
        <v/>
      </c>
      <c r="BO26" s="352">
        <f>IF(BO$3="","",SUM(入力データ!$C$71:$C$74)*12*(1+前提条件!$C$12)^(BO$3-$B$3))</f>
        <v/>
      </c>
      <c r="BP26" s="352">
        <f>IF(BP$3="","",SUM(入力データ!$C$71:$C$74)*12*(1+前提条件!$C$12)^(BP$3-$B$3))</f>
        <v/>
      </c>
      <c r="BQ26" s="352">
        <f>IF(BQ$3="","",SUM(入力データ!$C$71:$C$74)*12*(1+前提条件!$C$12)^(BQ$3-$B$3))</f>
        <v/>
      </c>
      <c r="BR26" s="352">
        <f>IF(BR$3="","",SUM(入力データ!$C$71:$C$74)*12*(1+前提条件!$C$12)^(BR$3-$B$3))</f>
        <v/>
      </c>
      <c r="BS26" s="352">
        <f>IF(BS$3="","",SUM(入力データ!$C$71:$C$74)*12*(1+前提条件!$C$12)^(BS$3-$B$3))</f>
        <v/>
      </c>
      <c r="BT26" s="352">
        <f>IF(BT$3="","",SUM(入力データ!$C$71:$C$74)*12*(1+前提条件!$C$12)^(BT$3-$B$3))</f>
        <v/>
      </c>
      <c r="BU26" s="352">
        <f>IF(BU$3="","",SUM(入力データ!$C$71:$C$74)*12*(1+前提条件!$C$12)^(BU$3-$B$3))</f>
        <v/>
      </c>
      <c r="BV26" s="352">
        <f>IF(BV$3="","",SUM(入力データ!$C$71:$C$74)*12*(1+前提条件!$C$12)^(BV$3-$B$3))</f>
        <v/>
      </c>
      <c r="BW26" s="352">
        <f>IF(BW$3="","",SUM(入力データ!$C$71:$C$74)*12*(1+前提条件!$C$12)^(BW$3-$B$3))</f>
        <v/>
      </c>
      <c r="BX26" s="352">
        <f>IF(BX$3="","",SUM(入力データ!$C$71:$C$74)*12*(1+前提条件!$C$12)^(BX$3-$B$3))</f>
        <v/>
      </c>
      <c r="BY26" s="352">
        <f>IF(BY$3="","",SUM(入力データ!$C$71:$C$74)*12*(1+前提条件!$C$12)^(BY$3-$B$3))</f>
        <v/>
      </c>
      <c r="BZ26" s="352">
        <f>IF(BZ$3="","",SUM(入力データ!$C$71:$C$74)*12*(1+前提条件!$C$12)^(BZ$3-$B$3))</f>
        <v/>
      </c>
      <c r="CA26" s="352">
        <f>IF(CA$3="","",SUM(入力データ!$C$71:$C$74)*12*(1+前提条件!$C$12)^(CA$3-$B$3))</f>
        <v/>
      </c>
      <c r="CB26" s="352">
        <f>IF(CB$3="","",SUM(入力データ!$C$71:$C$74)*12*(1+前提条件!$C$12)^(CB$3-$B$3))</f>
        <v/>
      </c>
      <c r="CC26" s="352">
        <f>IF(CC$3="","",SUM(入力データ!$C$71:$C$74)*12*(1+前提条件!$C$12)^(CC$3-$B$3))</f>
        <v/>
      </c>
      <c r="CD26" s="352">
        <f>IF(CD$3="","",SUM(入力データ!$C$71:$C$74)*12*(1+前提条件!$C$12)^(CD$3-$B$3))</f>
        <v/>
      </c>
      <c r="CE26" s="352">
        <f>IF(CE$3="","",SUM(入力データ!$C$71:$C$74)*12*(1+前提条件!$C$12)^(CE$3-$B$3))</f>
        <v/>
      </c>
      <c r="CF26" s="352">
        <f>IF(CF$3="","",SUM(入力データ!$C$71:$C$74)*12*(1+前提条件!$C$12)^(CF$3-$B$3))</f>
        <v/>
      </c>
      <c r="CG26" s="352">
        <f>IF(CG$3="","",SUM(入力データ!$C$71:$C$74)*12*(1+前提条件!$C$12)^(CG$3-$B$3))</f>
        <v/>
      </c>
      <c r="CH26" s="352">
        <f>IF(CH$3="","",SUM(入力データ!$C$71:$C$74)*12*(1+前提条件!$C$12)^(CH$3-$B$3))</f>
        <v/>
      </c>
      <c r="CI26" s="352">
        <f>IF(CI$3="","",SUM(入力データ!$C$71:$C$74)*12*(1+前提条件!$C$12)^(CI$3-$B$3))</f>
        <v/>
      </c>
      <c r="CJ26" s="352">
        <f>IF(CJ$3="","",SUM(入力データ!$C$71:$C$74)*12*(1+前提条件!$C$12)^(CJ$3-$B$3))</f>
        <v/>
      </c>
      <c r="CK26" s="352">
        <f>IF(CK$3="","",SUM(入力データ!$C$71:$C$74)*12*(1+前提条件!$C$12)^(CK$3-$B$3))</f>
        <v/>
      </c>
      <c r="CL26" s="352">
        <f>IF(CL$3="","",SUM(入力データ!$C$71:$C$74)*12*(1+前提条件!$C$12)^(CL$3-$B$3))</f>
        <v/>
      </c>
      <c r="CM26" s="352">
        <f>IF(CM$3="","",SUM(入力データ!$C$71:$C$74)*12*(1+前提条件!$C$12)^(CM$3-$B$3))</f>
        <v/>
      </c>
      <c r="CN26" s="352">
        <f>IF(CN$3="","",SUM(入力データ!$C$71:$C$74)*12*(1+前提条件!$C$12)^(CN$3-$B$3))</f>
        <v/>
      </c>
      <c r="CO26" s="352">
        <f>IF(CO$3="","",SUM(入力データ!$C$71:$C$74)*12*(1+前提条件!$C$12)^(CO$3-$B$3))</f>
        <v/>
      </c>
      <c r="CP26" s="352">
        <f>IF(CP$3="","",SUM(入力データ!$C$71:$C$74)*12*(1+前提条件!$C$12)^(CP$3-$B$3))</f>
        <v/>
      </c>
      <c r="CQ26" s="352">
        <f>IF(CQ$3="","",SUM(入力データ!$C$71:$C$74)*12*(1+前提条件!$C$12)^(CQ$3-$B$3))</f>
        <v/>
      </c>
      <c r="CR26" s="352">
        <f>IF(CR$3="","",SUM(入力データ!$C$71:$C$74)*12*(1+前提条件!$C$12)^(CR$3-$B$3))</f>
        <v/>
      </c>
      <c r="CS26" s="352">
        <f>IF(CS$3="","",SUM(入力データ!$C$71:$C$74)*12*(1+前提条件!$C$12)^(CS$3-$B$3))</f>
        <v/>
      </c>
      <c r="CT26" s="352">
        <f>IF(CT$3="","",SUM(入力データ!$C$71:$C$74)*12*(1+前提条件!$C$12)^(CT$3-$B$3))</f>
        <v/>
      </c>
      <c r="CU26" s="352">
        <f>IF(CU$3="","",SUM(入力データ!$C$71:$C$74)*12*(1+前提条件!$C$12)^(CU$3-$B$3))</f>
        <v/>
      </c>
      <c r="CV26" s="352">
        <f>IF(CV$3="","",SUM(入力データ!$C$71:$C$74)*12*(1+前提条件!$C$12)^(CV$3-$B$3))</f>
        <v/>
      </c>
      <c r="CW26" s="352">
        <f>IF(CW$3="","",SUM(入力データ!$C$71:$C$74)*12*(1+前提条件!$C$12)^(CW$3-$B$3))</f>
        <v/>
      </c>
    </row>
    <row r="27" ht="15" customHeight="1" s="180">
      <c r="A27" s="224" t="inlineStr">
        <is>
          <t>一時支出</t>
        </is>
      </c>
      <c r="B27" s="352">
        <f>IF(B$3="","",SUM(入力データ!$C$78:$C$82))</f>
        <v/>
      </c>
      <c r="C27" s="352">
        <f>IF(C$3="","",SUM(入力データ!$C$78:$C$82))</f>
        <v/>
      </c>
      <c r="D27" s="352">
        <f>IF(D$3="","",SUM(入力データ!$C$78:$C$82))</f>
        <v/>
      </c>
      <c r="E27" s="352">
        <f>IF(E$3="","",SUM(入力データ!$C$78:$C$82))</f>
        <v/>
      </c>
      <c r="F27" s="352">
        <f>IF(F$3="","",SUM(入力データ!$C$78:$C$82))</f>
        <v/>
      </c>
      <c r="G27" s="352">
        <f>IF(G$3="","",SUM(入力データ!$C$78:$C$82))</f>
        <v/>
      </c>
      <c r="H27" s="352">
        <f>IF(H$3="","",SUM(入力データ!$C$78:$C$82))</f>
        <v/>
      </c>
      <c r="I27" s="352">
        <f>IF(I$3="","",SUM(入力データ!$C$78:$C$82))</f>
        <v/>
      </c>
      <c r="J27" s="352">
        <f>IF(J$3="","",SUM(入力データ!$C$78:$C$82))</f>
        <v/>
      </c>
      <c r="K27" s="352">
        <f>IF(K$3="","",SUM(入力データ!$C$78:$C$82))</f>
        <v/>
      </c>
      <c r="L27" s="352">
        <f>IF(L$3="","",SUM(入力データ!$C$78:$C$82))</f>
        <v/>
      </c>
      <c r="M27" s="352">
        <f>IF(M$3="","",SUM(入力データ!$C$78:$C$82))</f>
        <v/>
      </c>
      <c r="N27" s="352">
        <f>IF(N$3="","",SUM(入力データ!$C$78:$C$82))</f>
        <v/>
      </c>
      <c r="O27" s="352">
        <f>IF(O$3="","",SUM(入力データ!$C$78:$C$82))</f>
        <v/>
      </c>
      <c r="P27" s="352">
        <f>IF(P$3="","",SUM(入力データ!$C$78:$C$82))</f>
        <v/>
      </c>
      <c r="Q27" s="352">
        <f>IF(Q$3="","",SUM(入力データ!$C$78:$C$82))</f>
        <v/>
      </c>
      <c r="R27" s="352">
        <f>IF(R$3="","",SUM(入力データ!$C$78:$C$82))</f>
        <v/>
      </c>
      <c r="S27" s="352">
        <f>IF(S$3="","",SUM(入力データ!$C$78:$C$82))</f>
        <v/>
      </c>
      <c r="T27" s="352">
        <f>IF(T$3="","",SUM(入力データ!$C$78:$C$82))</f>
        <v/>
      </c>
      <c r="U27" s="352">
        <f>IF(U$3="","",SUM(入力データ!$C$78:$C$82))</f>
        <v/>
      </c>
      <c r="V27" s="352">
        <f>IF(V$3="","",SUM(入力データ!$C$78:$C$82))</f>
        <v/>
      </c>
      <c r="W27" s="352">
        <f>IF(W$3="","",SUM(入力データ!$C$78:$C$82))</f>
        <v/>
      </c>
      <c r="X27" s="352">
        <f>IF(X$3="","",SUM(入力データ!$C$78:$C$82))</f>
        <v/>
      </c>
      <c r="Y27" s="352">
        <f>IF(Y$3="","",SUM(入力データ!$C$78:$C$82))</f>
        <v/>
      </c>
      <c r="Z27" s="352">
        <f>IF(Z$3="","",SUM(入力データ!$C$78:$C$82))</f>
        <v/>
      </c>
      <c r="AA27" s="352">
        <f>IF(AA$3="","",SUM(入力データ!$C$78:$C$82))</f>
        <v/>
      </c>
      <c r="AB27" s="352">
        <f>IF(AB$3="","",SUM(入力データ!$C$78:$C$82))</f>
        <v/>
      </c>
      <c r="AC27" s="352">
        <f>IF(AC$3="","",SUM(入力データ!$C$78:$C$82))</f>
        <v/>
      </c>
      <c r="AD27" s="352">
        <f>IF(AD$3="","",SUM(入力データ!$C$78:$C$82))</f>
        <v/>
      </c>
      <c r="AE27" s="352">
        <f>IF(AE$3="","",SUM(入力データ!$C$78:$C$82))</f>
        <v/>
      </c>
      <c r="AF27" s="352">
        <f>IF(AF$3="","",SUM(入力データ!$C$78:$C$82))</f>
        <v/>
      </c>
      <c r="AG27" s="352">
        <f>IF(AG$3="","",SUM(入力データ!$C$78:$C$82))</f>
        <v/>
      </c>
      <c r="AH27" s="352">
        <f>IF(AH$3="","",SUM(入力データ!$C$78:$C$82))</f>
        <v/>
      </c>
      <c r="AI27" s="352">
        <f>IF(AI$3="","",SUM(入力データ!$C$78:$C$82))</f>
        <v/>
      </c>
      <c r="AJ27" s="352">
        <f>IF(AJ$3="","",SUM(入力データ!$C$78:$C$82))</f>
        <v/>
      </c>
      <c r="AK27" s="352">
        <f>IF(AK$3="","",SUM(入力データ!$C$78:$C$82))</f>
        <v/>
      </c>
      <c r="AL27" s="352">
        <f>IF(AL$3="","",SUM(入力データ!$C$78:$C$82))</f>
        <v/>
      </c>
      <c r="AM27" s="352">
        <f>IF(AM$3="","",SUM(入力データ!$C$78:$C$82))</f>
        <v/>
      </c>
      <c r="AN27" s="352">
        <f>IF(AN$3="","",SUM(入力データ!$C$78:$C$82))</f>
        <v/>
      </c>
      <c r="AO27" s="352">
        <f>IF(AO$3="","",SUM(入力データ!$C$78:$C$82))</f>
        <v/>
      </c>
      <c r="AP27" s="352">
        <f>IF(AP$3="","",SUM(入力データ!$C$78:$C$82))</f>
        <v/>
      </c>
      <c r="AQ27" s="352">
        <f>IF(AQ$3="","",SUM(入力データ!$C$78:$C$82))</f>
        <v/>
      </c>
      <c r="AR27" s="352">
        <f>IF(AR$3="","",SUM(入力データ!$C$78:$C$82))</f>
        <v/>
      </c>
      <c r="AS27" s="352">
        <f>IF(AS$3="","",SUM(入力データ!$C$78:$C$82))</f>
        <v/>
      </c>
      <c r="AT27" s="352">
        <f>IF(AT$3="","",SUM(入力データ!$C$78:$C$82))</f>
        <v/>
      </c>
      <c r="AU27" s="352">
        <f>IF(AU$3="","",SUM(入力データ!$C$78:$C$82))</f>
        <v/>
      </c>
      <c r="AV27" s="352">
        <f>IF(AV$3="","",SUM(入力データ!$C$78:$C$82))</f>
        <v/>
      </c>
      <c r="AW27" s="352">
        <f>IF(AW$3="","",SUM(入力データ!$C$78:$C$82))</f>
        <v/>
      </c>
      <c r="AX27" s="352">
        <f>IF(AX$3="","",SUM(入力データ!$C$78:$C$82))</f>
        <v/>
      </c>
      <c r="AY27" s="352">
        <f>IF(AY$3="","",SUM(入力データ!$C$78:$C$82))</f>
        <v/>
      </c>
      <c r="AZ27" s="352">
        <f>IF(AZ$3="","",SUM(入力データ!$C$78:$C$82))</f>
        <v/>
      </c>
      <c r="BA27" s="352">
        <f>IF(BA$3="","",SUM(入力データ!$C$78:$C$82))</f>
        <v/>
      </c>
      <c r="BB27" s="352">
        <f>IF(BB$3="","",SUM(入力データ!$C$78:$C$82))</f>
        <v/>
      </c>
      <c r="BC27" s="352">
        <f>IF(BC$3="","",SUM(入力データ!$C$78:$C$82))</f>
        <v/>
      </c>
      <c r="BD27" s="352">
        <f>IF(BD$3="","",SUM(入力データ!$C$78:$C$82))</f>
        <v/>
      </c>
      <c r="BE27" s="352">
        <f>IF(BE$3="","",SUM(入力データ!$C$78:$C$82))</f>
        <v/>
      </c>
      <c r="BF27" s="352">
        <f>IF(BF$3="","",SUM(入力データ!$C$78:$C$82))</f>
        <v/>
      </c>
      <c r="BG27" s="352">
        <f>IF(BG$3="","",SUM(入力データ!$C$78:$C$82))</f>
        <v/>
      </c>
      <c r="BH27" s="352">
        <f>IF(BH$3="","",SUM(入力データ!$C$78:$C$82))</f>
        <v/>
      </c>
      <c r="BI27" s="352">
        <f>IF(BI$3="","",SUM(入力データ!$C$78:$C$82))</f>
        <v/>
      </c>
      <c r="BJ27" s="352">
        <f>IF(BJ$3="","",SUM(入力データ!$C$78:$C$82))</f>
        <v/>
      </c>
      <c r="BK27" s="352">
        <f>IF(BK$3="","",SUM(入力データ!$C$78:$C$82))</f>
        <v/>
      </c>
      <c r="BL27" s="352">
        <f>IF(BL$3="","",SUM(入力データ!$C$78:$C$82))</f>
        <v/>
      </c>
      <c r="BM27" s="352">
        <f>IF(BM$3="","",SUM(入力データ!$C$78:$C$82))</f>
        <v/>
      </c>
      <c r="BN27" s="352">
        <f>IF(BN$3="","",SUM(入力データ!$C$78:$C$82))</f>
        <v/>
      </c>
      <c r="BO27" s="352">
        <f>IF(BO$3="","",SUM(入力データ!$C$78:$C$82))</f>
        <v/>
      </c>
      <c r="BP27" s="352">
        <f>IF(BP$3="","",SUM(入力データ!$C$78:$C$82))</f>
        <v/>
      </c>
      <c r="BQ27" s="352">
        <f>IF(BQ$3="","",SUM(入力データ!$C$78:$C$82))</f>
        <v/>
      </c>
      <c r="BR27" s="352">
        <f>IF(BR$3="","",SUM(入力データ!$C$78:$C$82))</f>
        <v/>
      </c>
      <c r="BS27" s="352">
        <f>IF(BS$3="","",SUM(入力データ!$C$78:$C$82))</f>
        <v/>
      </c>
      <c r="BT27" s="352">
        <f>IF(BT$3="","",SUM(入力データ!$C$78:$C$82))</f>
        <v/>
      </c>
      <c r="BU27" s="352">
        <f>IF(BU$3="","",SUM(入力データ!$C$78:$C$82))</f>
        <v/>
      </c>
      <c r="BV27" s="352">
        <f>IF(BV$3="","",SUM(入力データ!$C$78:$C$82))</f>
        <v/>
      </c>
      <c r="BW27" s="352">
        <f>IF(BW$3="","",SUM(入力データ!$C$78:$C$82))</f>
        <v/>
      </c>
      <c r="BX27" s="352">
        <f>IF(BX$3="","",SUM(入力データ!$C$78:$C$82))</f>
        <v/>
      </c>
      <c r="BY27" s="352">
        <f>IF(BY$3="","",SUM(入力データ!$C$78:$C$82))</f>
        <v/>
      </c>
      <c r="BZ27" s="352">
        <f>IF(BZ$3="","",SUM(入力データ!$C$78:$C$82))</f>
        <v/>
      </c>
      <c r="CA27" s="352">
        <f>IF(CA$3="","",SUM(入力データ!$C$78:$C$82))</f>
        <v/>
      </c>
      <c r="CB27" s="352">
        <f>IF(CB$3="","",SUM(入力データ!$C$78:$C$82))</f>
        <v/>
      </c>
      <c r="CC27" s="352">
        <f>IF(CC$3="","",SUM(入力データ!$C$78:$C$82))</f>
        <v/>
      </c>
      <c r="CD27" s="352">
        <f>IF(CD$3="","",SUM(入力データ!$C$78:$C$82))</f>
        <v/>
      </c>
      <c r="CE27" s="352">
        <f>IF(CE$3="","",SUM(入力データ!$C$78:$C$82))</f>
        <v/>
      </c>
      <c r="CF27" s="352">
        <f>IF(CF$3="","",SUM(入力データ!$C$78:$C$82))</f>
        <v/>
      </c>
      <c r="CG27" s="352">
        <f>IF(CG$3="","",SUM(入力データ!$C$78:$C$82))</f>
        <v/>
      </c>
      <c r="CH27" s="352">
        <f>IF(CH$3="","",SUM(入力データ!$C$78:$C$82))</f>
        <v/>
      </c>
      <c r="CI27" s="352">
        <f>IF(CI$3="","",SUM(入力データ!$C$78:$C$82))</f>
        <v/>
      </c>
      <c r="CJ27" s="352">
        <f>IF(CJ$3="","",SUM(入力データ!$C$78:$C$82))</f>
        <v/>
      </c>
      <c r="CK27" s="352">
        <f>IF(CK$3="","",SUM(入力データ!$C$78:$C$82))</f>
        <v/>
      </c>
      <c r="CL27" s="352">
        <f>IF(CL$3="","",SUM(入力データ!$C$78:$C$82))</f>
        <v/>
      </c>
      <c r="CM27" s="352">
        <f>IF(CM$3="","",SUM(入力データ!$C$78:$C$82))</f>
        <v/>
      </c>
      <c r="CN27" s="352">
        <f>IF(CN$3="","",SUM(入力データ!$C$78:$C$82))</f>
        <v/>
      </c>
      <c r="CO27" s="352">
        <f>IF(CO$3="","",SUM(入力データ!$C$78:$C$82))</f>
        <v/>
      </c>
      <c r="CP27" s="352">
        <f>IF(CP$3="","",SUM(入力データ!$C$78:$C$82))</f>
        <v/>
      </c>
      <c r="CQ27" s="352">
        <f>IF(CQ$3="","",SUM(入力データ!$C$78:$C$82))</f>
        <v/>
      </c>
      <c r="CR27" s="352">
        <f>IF(CR$3="","",SUM(入力データ!$C$78:$C$82))</f>
        <v/>
      </c>
      <c r="CS27" s="352">
        <f>IF(CS$3="","",SUM(入力データ!$C$78:$C$82))</f>
        <v/>
      </c>
      <c r="CT27" s="352">
        <f>IF(CT$3="","",SUM(入力データ!$C$78:$C$82))</f>
        <v/>
      </c>
      <c r="CU27" s="352">
        <f>IF(CU$3="","",SUM(入力データ!$C$78:$C$82))</f>
        <v/>
      </c>
      <c r="CV27" s="352">
        <f>IF(CV$3="","",SUM(入力データ!$C$78:$C$82))</f>
        <v/>
      </c>
      <c r="CW27" s="352">
        <f>IF(CW$3="","",SUM(入力データ!$C$78:$C$82))</f>
        <v/>
      </c>
    </row>
    <row r="28" ht="15" customHeight="1" s="180">
      <c r="A28" s="226" t="inlineStr">
        <is>
          <t>支出合計</t>
        </is>
      </c>
      <c r="B28" s="353">
        <f>IF(B$3="","",SUM(B20:B27))</f>
        <v/>
      </c>
      <c r="C28" s="353">
        <f>IF(C$3="","",SUM(C20:C27))</f>
        <v/>
      </c>
      <c r="D28" s="353">
        <f>IF(D$3="","",SUM(D20:D27))</f>
        <v/>
      </c>
      <c r="E28" s="353">
        <f>IF(E$3="","",SUM(E20:E27))</f>
        <v/>
      </c>
      <c r="F28" s="353">
        <f>IF(F$3="","",SUM(F20:F27))</f>
        <v/>
      </c>
      <c r="G28" s="353">
        <f>IF(G$3="","",SUM(G20:G27))</f>
        <v/>
      </c>
      <c r="H28" s="353">
        <f>IF(H$3="","",SUM(H20:H27))</f>
        <v/>
      </c>
      <c r="I28" s="353">
        <f>IF(I$3="","",SUM(I20:I27))</f>
        <v/>
      </c>
      <c r="J28" s="353">
        <f>IF(J$3="","",SUM(J20:J27))</f>
        <v/>
      </c>
      <c r="K28" s="353">
        <f>IF(K$3="","",SUM(K20:K27))</f>
        <v/>
      </c>
      <c r="L28" s="353">
        <f>IF(L$3="","",SUM(L20:L27))</f>
        <v/>
      </c>
      <c r="M28" s="353">
        <f>IF(M$3="","",SUM(M20:M27))</f>
        <v/>
      </c>
      <c r="N28" s="353">
        <f>IF(N$3="","",SUM(N20:N27))</f>
        <v/>
      </c>
      <c r="O28" s="353">
        <f>IF(O$3="","",SUM(O20:O27))</f>
        <v/>
      </c>
      <c r="P28" s="353">
        <f>IF(P$3="","",SUM(P20:P27))</f>
        <v/>
      </c>
      <c r="Q28" s="353">
        <f>IF(Q$3="","",SUM(Q20:Q27))</f>
        <v/>
      </c>
      <c r="R28" s="353">
        <f>IF(R$3="","",SUM(R20:R27))</f>
        <v/>
      </c>
      <c r="S28" s="353">
        <f>IF(S$3="","",SUM(S20:S27))</f>
        <v/>
      </c>
      <c r="T28" s="353">
        <f>IF(T$3="","",SUM(T20:T27))</f>
        <v/>
      </c>
      <c r="U28" s="353">
        <f>IF(U$3="","",SUM(U20:U27))</f>
        <v/>
      </c>
      <c r="V28" s="353">
        <f>IF(V$3="","",SUM(V20:V27))</f>
        <v/>
      </c>
      <c r="W28" s="353">
        <f>IF(W$3="","",SUM(W20:W27))</f>
        <v/>
      </c>
      <c r="X28" s="353">
        <f>IF(X$3="","",SUM(X20:X27))</f>
        <v/>
      </c>
      <c r="Y28" s="353">
        <f>IF(Y$3="","",SUM(Y20:Y27))</f>
        <v/>
      </c>
      <c r="Z28" s="353">
        <f>IF(Z$3="","",SUM(Z20:Z27))</f>
        <v/>
      </c>
      <c r="AA28" s="353">
        <f>IF(AA$3="","",SUM(AA20:AA27))</f>
        <v/>
      </c>
      <c r="AB28" s="353">
        <f>IF(AB$3="","",SUM(AB20:AB27))</f>
        <v/>
      </c>
      <c r="AC28" s="353">
        <f>IF(AC$3="","",SUM(AC20:AC27))</f>
        <v/>
      </c>
      <c r="AD28" s="353">
        <f>IF(AD$3="","",SUM(AD20:AD27))</f>
        <v/>
      </c>
      <c r="AE28" s="353">
        <f>IF(AE$3="","",SUM(AE20:AE27))</f>
        <v/>
      </c>
      <c r="AF28" s="353">
        <f>IF(AF$3="","",SUM(AF20:AF27))</f>
        <v/>
      </c>
      <c r="AG28" s="353">
        <f>IF(AG$3="","",SUM(AG20:AG27))</f>
        <v/>
      </c>
      <c r="AH28" s="353">
        <f>IF(AH$3="","",SUM(AH20:AH27))</f>
        <v/>
      </c>
      <c r="AI28" s="353">
        <f>IF(AI$3="","",SUM(AI20:AI27))</f>
        <v/>
      </c>
      <c r="AJ28" s="353">
        <f>IF(AJ$3="","",SUM(AJ20:AJ27))</f>
        <v/>
      </c>
      <c r="AK28" s="353">
        <f>IF(AK$3="","",SUM(AK20:AK27))</f>
        <v/>
      </c>
      <c r="AL28" s="353">
        <f>IF(AL$3="","",SUM(AL20:AL27))</f>
        <v/>
      </c>
      <c r="AM28" s="353">
        <f>IF(AM$3="","",SUM(AM20:AM27))</f>
        <v/>
      </c>
      <c r="AN28" s="353">
        <f>IF(AN$3="","",SUM(AN20:AN27))</f>
        <v/>
      </c>
      <c r="AO28" s="353">
        <f>IF(AO$3="","",SUM(AO20:AO27))</f>
        <v/>
      </c>
      <c r="AP28" s="353">
        <f>IF(AP$3="","",SUM(AP20:AP27))</f>
        <v/>
      </c>
      <c r="AQ28" s="353">
        <f>IF(AQ$3="","",SUM(AQ20:AQ27))</f>
        <v/>
      </c>
      <c r="AR28" s="353">
        <f>IF(AR$3="","",SUM(AR20:AR27))</f>
        <v/>
      </c>
      <c r="AS28" s="353">
        <f>IF(AS$3="","",SUM(AS20:AS27))</f>
        <v/>
      </c>
      <c r="AT28" s="353">
        <f>IF(AT$3="","",SUM(AT20:AT27))</f>
        <v/>
      </c>
      <c r="AU28" s="353">
        <f>IF(AU$3="","",SUM(AU20:AU27))</f>
        <v/>
      </c>
      <c r="AV28" s="353">
        <f>IF(AV$3="","",SUM(AV20:AV27))</f>
        <v/>
      </c>
      <c r="AW28" s="353">
        <f>IF(AW$3="","",SUM(AW20:AW27))</f>
        <v/>
      </c>
      <c r="AX28" s="353">
        <f>IF(AX$3="","",SUM(AX20:AX27))</f>
        <v/>
      </c>
      <c r="AY28" s="353">
        <f>IF(AY$3="","",SUM(AY20:AY27))</f>
        <v/>
      </c>
      <c r="AZ28" s="353">
        <f>IF(AZ$3="","",SUM(AZ20:AZ27))</f>
        <v/>
      </c>
      <c r="BA28" s="353">
        <f>IF(BA$3="","",SUM(BA20:BA27))</f>
        <v/>
      </c>
      <c r="BB28" s="353">
        <f>IF(BB$3="","",SUM(BB20:BB27))</f>
        <v/>
      </c>
      <c r="BC28" s="353">
        <f>IF(BC$3="","",SUM(BC20:BC27))</f>
        <v/>
      </c>
      <c r="BD28" s="353">
        <f>IF(BD$3="","",SUM(BD20:BD27))</f>
        <v/>
      </c>
      <c r="BE28" s="353">
        <f>IF(BE$3="","",SUM(BE20:BE27))</f>
        <v/>
      </c>
      <c r="BF28" s="353">
        <f>IF(BF$3="","",SUM(BF20:BF27))</f>
        <v/>
      </c>
      <c r="BG28" s="353">
        <f>IF(BG$3="","",SUM(BG20:BG27))</f>
        <v/>
      </c>
      <c r="BH28" s="353">
        <f>IF(BH$3="","",SUM(BH20:BH27))</f>
        <v/>
      </c>
      <c r="BI28" s="353">
        <f>IF(BI$3="","",SUM(BI20:BI27))</f>
        <v/>
      </c>
      <c r="BJ28" s="353">
        <f>IF(BJ$3="","",SUM(BJ20:BJ27))</f>
        <v/>
      </c>
      <c r="BK28" s="353">
        <f>IF(BK$3="","",SUM(BK20:BK27))</f>
        <v/>
      </c>
      <c r="BL28" s="353">
        <f>IF(BL$3="","",SUM(BL20:BL27))</f>
        <v/>
      </c>
      <c r="BM28" s="353">
        <f>IF(BM$3="","",SUM(BM20:BM27))</f>
        <v/>
      </c>
      <c r="BN28" s="353">
        <f>IF(BN$3="","",SUM(BN20:BN27))</f>
        <v/>
      </c>
      <c r="BO28" s="353">
        <f>IF(BO$3="","",SUM(BO20:BO27))</f>
        <v/>
      </c>
      <c r="BP28" s="353">
        <f>IF(BP$3="","",SUM(BP20:BP27))</f>
        <v/>
      </c>
      <c r="BQ28" s="353">
        <f>IF(BQ$3="","",SUM(BQ20:BQ27))</f>
        <v/>
      </c>
      <c r="BR28" s="353">
        <f>IF(BR$3="","",SUM(BR20:BR27))</f>
        <v/>
      </c>
      <c r="BS28" s="353">
        <f>IF(BS$3="","",SUM(BS20:BS27))</f>
        <v/>
      </c>
      <c r="BT28" s="353">
        <f>IF(BT$3="","",SUM(BT20:BT27))</f>
        <v/>
      </c>
      <c r="BU28" s="353">
        <f>IF(BU$3="","",SUM(BU20:BU27))</f>
        <v/>
      </c>
      <c r="BV28" s="353">
        <f>IF(BV$3="","",SUM(BV20:BV27))</f>
        <v/>
      </c>
      <c r="BW28" s="353">
        <f>IF(BW$3="","",SUM(BW20:BW27))</f>
        <v/>
      </c>
      <c r="BX28" s="353">
        <f>IF(BX$3="","",SUM(BX20:BX27))</f>
        <v/>
      </c>
      <c r="BY28" s="353">
        <f>IF(BY$3="","",SUM(BY20:BY27))</f>
        <v/>
      </c>
      <c r="BZ28" s="353">
        <f>IF(BZ$3="","",SUM(BZ20:BZ27))</f>
        <v/>
      </c>
      <c r="CA28" s="353">
        <f>IF(CA$3="","",SUM(CA20:CA27))</f>
        <v/>
      </c>
      <c r="CB28" s="353">
        <f>IF(CB$3="","",SUM(CB20:CB27))</f>
        <v/>
      </c>
      <c r="CC28" s="353">
        <f>IF(CC$3="","",SUM(CC20:CC27))</f>
        <v/>
      </c>
      <c r="CD28" s="353">
        <f>IF(CD$3="","",SUM(CD20:CD27))</f>
        <v/>
      </c>
      <c r="CE28" s="353">
        <f>IF(CE$3="","",SUM(CE20:CE27))</f>
        <v/>
      </c>
      <c r="CF28" s="353">
        <f>IF(CF$3="","",SUM(CF20:CF27))</f>
        <v/>
      </c>
      <c r="CG28" s="353">
        <f>IF(CG$3="","",SUM(CG20:CG27))</f>
        <v/>
      </c>
      <c r="CH28" s="353">
        <f>IF(CH$3="","",SUM(CH20:CH27))</f>
        <v/>
      </c>
      <c r="CI28" s="353">
        <f>IF(CI$3="","",SUM(CI20:CI27))</f>
        <v/>
      </c>
      <c r="CJ28" s="353">
        <f>IF(CJ$3="","",SUM(CJ20:CJ27))</f>
        <v/>
      </c>
      <c r="CK28" s="353">
        <f>IF(CK$3="","",SUM(CK20:CK27))</f>
        <v/>
      </c>
      <c r="CL28" s="353">
        <f>IF(CL$3="","",SUM(CL20:CL27))</f>
        <v/>
      </c>
      <c r="CM28" s="353">
        <f>IF(CM$3="","",SUM(CM20:CM27))</f>
        <v/>
      </c>
      <c r="CN28" s="353">
        <f>IF(CN$3="","",SUM(CN20:CN27))</f>
        <v/>
      </c>
      <c r="CO28" s="353">
        <f>IF(CO$3="","",SUM(CO20:CO27))</f>
        <v/>
      </c>
      <c r="CP28" s="353">
        <f>IF(CP$3="","",SUM(CP20:CP27))</f>
        <v/>
      </c>
      <c r="CQ28" s="353">
        <f>IF(CQ$3="","",SUM(CQ20:CQ27))</f>
        <v/>
      </c>
      <c r="CR28" s="353">
        <f>IF(CR$3="","",SUM(CR20:CR27))</f>
        <v/>
      </c>
      <c r="CS28" s="353">
        <f>IF(CS$3="","",SUM(CS20:CS27))</f>
        <v/>
      </c>
      <c r="CT28" s="353">
        <f>IF(CT$3="","",SUM(CT20:CT27))</f>
        <v/>
      </c>
      <c r="CU28" s="353">
        <f>IF(CU$3="","",SUM(CU20:CU27))</f>
        <v/>
      </c>
      <c r="CV28" s="353">
        <f>IF(CV$3="","",SUM(CV20:CV27))</f>
        <v/>
      </c>
      <c r="CW28" s="353">
        <f>IF(CW$3="","",SUM(CW20:CW27))</f>
        <v/>
      </c>
    </row>
    <row r="29" ht="15" customHeight="1" s="180">
      <c r="A29" s="205" t="inlineStr">
        <is>
          <t>収支・資産</t>
        </is>
      </c>
      <c r="B29" s="219" t="n"/>
      <c r="C29" s="219" t="n"/>
      <c r="D29" s="219" t="n"/>
      <c r="E29" s="219" t="n"/>
      <c r="F29" s="219" t="n"/>
      <c r="G29" s="219" t="n"/>
      <c r="H29" s="219" t="n"/>
      <c r="I29" s="219" t="n"/>
      <c r="J29" s="219" t="n"/>
      <c r="K29" s="219" t="n"/>
      <c r="L29" s="219" t="n"/>
      <c r="M29" s="219" t="n"/>
      <c r="N29" s="219" t="n"/>
      <c r="O29" s="219" t="n"/>
      <c r="P29" s="219" t="n"/>
      <c r="Q29" s="219" t="n"/>
      <c r="R29" s="219" t="n"/>
      <c r="S29" s="219" t="n"/>
      <c r="T29" s="219" t="n"/>
      <c r="U29" s="219" t="n"/>
      <c r="V29" s="219" t="n"/>
      <c r="W29" s="219" t="n"/>
      <c r="X29" s="219" t="n"/>
      <c r="Y29" s="219" t="n"/>
      <c r="Z29" s="219" t="n"/>
      <c r="AA29" s="219" t="n"/>
      <c r="AB29" s="219" t="n"/>
      <c r="AC29" s="219" t="n"/>
      <c r="AD29" s="219" t="n"/>
      <c r="AE29" s="219" t="n"/>
      <c r="AF29" s="219" t="n"/>
      <c r="AG29" s="219" t="n"/>
      <c r="AH29" s="219" t="n"/>
      <c r="AI29" s="219" t="n"/>
      <c r="AJ29" s="219" t="n"/>
      <c r="AK29" s="219" t="n"/>
      <c r="AL29" s="219" t="n"/>
      <c r="AM29" s="219" t="n"/>
      <c r="AN29" s="219" t="n"/>
      <c r="AO29" s="219" t="n"/>
      <c r="AP29" s="219" t="n"/>
      <c r="AQ29" s="219" t="n"/>
      <c r="AR29" s="219" t="n"/>
      <c r="AS29" s="219" t="n"/>
      <c r="AT29" s="219" t="n"/>
      <c r="AU29" s="219" t="n"/>
      <c r="AV29" s="219" t="n"/>
      <c r="AW29" s="219" t="n"/>
      <c r="AX29" s="219" t="n"/>
      <c r="AY29" s="219" t="n"/>
      <c r="AZ29" s="219" t="n"/>
      <c r="BA29" s="219" t="n"/>
      <c r="BB29" s="219" t="n"/>
      <c r="BC29" s="219" t="n"/>
      <c r="BD29" s="219" t="n"/>
      <c r="BE29" s="219" t="n"/>
      <c r="BF29" s="219" t="n"/>
      <c r="BG29" s="219" t="n"/>
      <c r="BH29" s="219" t="n"/>
      <c r="BI29" s="219" t="n"/>
      <c r="BJ29" s="219" t="n"/>
      <c r="BK29" s="219" t="n"/>
      <c r="BL29" s="219" t="n"/>
      <c r="BM29" s="219" t="n"/>
      <c r="BN29" s="219" t="n"/>
      <c r="BO29" s="219" t="n"/>
      <c r="BP29" s="219" t="n"/>
      <c r="BQ29" s="219" t="n"/>
      <c r="BR29" s="219" t="n"/>
      <c r="BS29" s="219" t="n"/>
      <c r="BT29" s="219" t="n"/>
      <c r="BU29" s="219" t="n"/>
      <c r="BV29" s="219" t="n"/>
      <c r="BW29" s="219" t="n"/>
      <c r="BX29" s="219" t="n"/>
      <c r="BY29" s="219" t="n"/>
      <c r="BZ29" s="219" t="n"/>
      <c r="CA29" s="219" t="n"/>
      <c r="CB29" s="219" t="n"/>
      <c r="CC29" s="219" t="n"/>
      <c r="CD29" s="219" t="n"/>
      <c r="CE29" s="219" t="n"/>
      <c r="CF29" s="219" t="n"/>
      <c r="CG29" s="219" t="n"/>
      <c r="CH29" s="219" t="n"/>
      <c r="CI29" s="219" t="n"/>
      <c r="CJ29" s="219" t="n"/>
      <c r="CK29" s="219" t="n"/>
      <c r="CL29" s="219" t="n"/>
      <c r="CM29" s="219" t="n"/>
      <c r="CN29" s="219" t="n"/>
      <c r="CO29" s="219" t="n"/>
      <c r="CP29" s="219" t="n"/>
      <c r="CQ29" s="219" t="n"/>
      <c r="CR29" s="219" t="n"/>
      <c r="CS29" s="219" t="n"/>
      <c r="CT29" s="219" t="n"/>
      <c r="CU29" s="219" t="n"/>
      <c r="CV29" s="219" t="n"/>
      <c r="CW29" s="219" t="n"/>
    </row>
    <row r="30" ht="21.75" customHeight="1" s="180">
      <c r="A30" s="229" t="inlineStr">
        <is>
          <t>年間収支</t>
        </is>
      </c>
      <c r="B30" s="354">
        <f>IF(B$3="","",B18-B28)</f>
        <v/>
      </c>
      <c r="C30" s="354">
        <f>IF(C$3="","",C18-C28)</f>
        <v/>
      </c>
      <c r="D30" s="354">
        <f>IF(D$3="","",D18-D28)</f>
        <v/>
      </c>
      <c r="E30" s="354">
        <f>IF(E$3="","",E18-E28)</f>
        <v/>
      </c>
      <c r="F30" s="354">
        <f>IF(F$3="","",F18-F28)</f>
        <v/>
      </c>
      <c r="G30" s="354">
        <f>IF(G$3="","",G18-G28)</f>
        <v/>
      </c>
      <c r="H30" s="354">
        <f>IF(H$3="","",H18-H28)</f>
        <v/>
      </c>
      <c r="I30" s="354">
        <f>IF(I$3="","",I18-I28)</f>
        <v/>
      </c>
      <c r="J30" s="354">
        <f>IF(J$3="","",J18-J28)</f>
        <v/>
      </c>
      <c r="K30" s="354">
        <f>IF(K$3="","",K18-K28)</f>
        <v/>
      </c>
      <c r="L30" s="354">
        <f>IF(L$3="","",L18-L28)</f>
        <v/>
      </c>
      <c r="M30" s="354">
        <f>IF(M$3="","",M18-M28)</f>
        <v/>
      </c>
      <c r="N30" s="354">
        <f>IF(N$3="","",N18-N28)</f>
        <v/>
      </c>
      <c r="O30" s="354">
        <f>IF(O$3="","",O18-O28)</f>
        <v/>
      </c>
      <c r="P30" s="354">
        <f>IF(P$3="","",P18-P28)</f>
        <v/>
      </c>
      <c r="Q30" s="354">
        <f>IF(Q$3="","",Q18-Q28)</f>
        <v/>
      </c>
      <c r="R30" s="354">
        <f>IF(R$3="","",R18-R28)</f>
        <v/>
      </c>
      <c r="S30" s="354">
        <f>IF(S$3="","",S18-S28)</f>
        <v/>
      </c>
      <c r="T30" s="354">
        <f>IF(T$3="","",T18-T28)</f>
        <v/>
      </c>
      <c r="U30" s="354">
        <f>IF(U$3="","",U18-U28)</f>
        <v/>
      </c>
      <c r="V30" s="354">
        <f>IF(V$3="","",V18-V28)</f>
        <v/>
      </c>
      <c r="W30" s="354">
        <f>IF(W$3="","",W18-W28)</f>
        <v/>
      </c>
      <c r="X30" s="354">
        <f>IF(X$3="","",X18-X28)</f>
        <v/>
      </c>
      <c r="Y30" s="354">
        <f>IF(Y$3="","",Y18-Y28)</f>
        <v/>
      </c>
      <c r="Z30" s="354">
        <f>IF(Z$3="","",Z18-Z28)</f>
        <v/>
      </c>
      <c r="AA30" s="354">
        <f>IF(AA$3="","",AA18-AA28)</f>
        <v/>
      </c>
      <c r="AB30" s="354">
        <f>IF(AB$3="","",AB18-AB28)</f>
        <v/>
      </c>
      <c r="AC30" s="354">
        <f>IF(AC$3="","",AC18-AC28)</f>
        <v/>
      </c>
      <c r="AD30" s="354">
        <f>IF(AD$3="","",AD18-AD28)</f>
        <v/>
      </c>
      <c r="AE30" s="354">
        <f>IF(AE$3="","",AE18-AE28)</f>
        <v/>
      </c>
      <c r="AF30" s="354">
        <f>IF(AF$3="","",AF18-AF28)</f>
        <v/>
      </c>
      <c r="AG30" s="354">
        <f>IF(AG$3="","",AG18-AG28)</f>
        <v/>
      </c>
      <c r="AH30" s="354">
        <f>IF(AH$3="","",AH18-AH28)</f>
        <v/>
      </c>
      <c r="AI30" s="354">
        <f>IF(AI$3="","",AI18-AI28)</f>
        <v/>
      </c>
      <c r="AJ30" s="354">
        <f>IF(AJ$3="","",AJ18-AJ28)</f>
        <v/>
      </c>
      <c r="AK30" s="354">
        <f>IF(AK$3="","",AK18-AK28)</f>
        <v/>
      </c>
      <c r="AL30" s="354">
        <f>IF(AL$3="","",AL18-AL28)</f>
        <v/>
      </c>
      <c r="AM30" s="354">
        <f>IF(AM$3="","",AM18-AM28)</f>
        <v/>
      </c>
      <c r="AN30" s="354">
        <f>IF(AN$3="","",AN18-AN28)</f>
        <v/>
      </c>
      <c r="AO30" s="354">
        <f>IF(AO$3="","",AO18-AO28)</f>
        <v/>
      </c>
      <c r="AP30" s="354">
        <f>IF(AP$3="","",AP18-AP28)</f>
        <v/>
      </c>
      <c r="AQ30" s="354">
        <f>IF(AQ$3="","",AQ18-AQ28)</f>
        <v/>
      </c>
      <c r="AR30" s="354">
        <f>IF(AR$3="","",AR18-AR28)</f>
        <v/>
      </c>
      <c r="AS30" s="354">
        <f>IF(AS$3="","",AS18-AS28)</f>
        <v/>
      </c>
      <c r="AT30" s="354">
        <f>IF(AT$3="","",AT18-AT28)</f>
        <v/>
      </c>
      <c r="AU30" s="354">
        <f>IF(AU$3="","",AU18-AU28)</f>
        <v/>
      </c>
      <c r="AV30" s="354">
        <f>IF(AV$3="","",AV18-AV28)</f>
        <v/>
      </c>
      <c r="AW30" s="354">
        <f>IF(AW$3="","",AW18-AW28)</f>
        <v/>
      </c>
      <c r="AX30" s="354">
        <f>IF(AX$3="","",AX18-AX28)</f>
        <v/>
      </c>
      <c r="AY30" s="354">
        <f>IF(AY$3="","",AY18-AY28)</f>
        <v/>
      </c>
      <c r="AZ30" s="354">
        <f>IF(AZ$3="","",AZ18-AZ28)</f>
        <v/>
      </c>
      <c r="BA30" s="354">
        <f>IF(BA$3="","",BA18-BA28)</f>
        <v/>
      </c>
      <c r="BB30" s="354">
        <f>IF(BB$3="","",BB18-BB28)</f>
        <v/>
      </c>
      <c r="BC30" s="354">
        <f>IF(BC$3="","",BC18-BC28)</f>
        <v/>
      </c>
      <c r="BD30" s="354">
        <f>IF(BD$3="","",BD18-BD28)</f>
        <v/>
      </c>
      <c r="BE30" s="354">
        <f>IF(BE$3="","",BE18-BE28)</f>
        <v/>
      </c>
      <c r="BF30" s="354">
        <f>IF(BF$3="","",BF18-BF28)</f>
        <v/>
      </c>
      <c r="BG30" s="354">
        <f>IF(BG$3="","",BG18-BG28)</f>
        <v/>
      </c>
      <c r="BH30" s="354">
        <f>IF(BH$3="","",BH18-BH28)</f>
        <v/>
      </c>
      <c r="BI30" s="354">
        <f>IF(BI$3="","",BI18-BI28)</f>
        <v/>
      </c>
      <c r="BJ30" s="354">
        <f>IF(BJ$3="","",BJ18-BJ28)</f>
        <v/>
      </c>
      <c r="BK30" s="354">
        <f>IF(BK$3="","",BK18-BK28)</f>
        <v/>
      </c>
      <c r="BL30" s="354">
        <f>IF(BL$3="","",BL18-BL28)</f>
        <v/>
      </c>
      <c r="BM30" s="354">
        <f>IF(BM$3="","",BM18-BM28)</f>
        <v/>
      </c>
      <c r="BN30" s="354">
        <f>IF(BN$3="","",BN18-BN28)</f>
        <v/>
      </c>
      <c r="BO30" s="354">
        <f>IF(BO$3="","",BO18-BO28)</f>
        <v/>
      </c>
      <c r="BP30" s="354">
        <f>IF(BP$3="","",BP18-BP28)</f>
        <v/>
      </c>
      <c r="BQ30" s="354">
        <f>IF(BQ$3="","",BQ18-BQ28)</f>
        <v/>
      </c>
      <c r="BR30" s="354">
        <f>IF(BR$3="","",BR18-BR28)</f>
        <v/>
      </c>
      <c r="BS30" s="354">
        <f>IF(BS$3="","",BS18-BS28)</f>
        <v/>
      </c>
      <c r="BT30" s="354">
        <f>IF(BT$3="","",BT18-BT28)</f>
        <v/>
      </c>
      <c r="BU30" s="354">
        <f>IF(BU$3="","",BU18-BU28)</f>
        <v/>
      </c>
      <c r="BV30" s="354">
        <f>IF(BV$3="","",BV18-BV28)</f>
        <v/>
      </c>
      <c r="BW30" s="354">
        <f>IF(BW$3="","",BW18-BW28)</f>
        <v/>
      </c>
      <c r="BX30" s="354">
        <f>IF(BX$3="","",BX18-BX28)</f>
        <v/>
      </c>
      <c r="BY30" s="354">
        <f>IF(BY$3="","",BY18-BY28)</f>
        <v/>
      </c>
      <c r="BZ30" s="354">
        <f>IF(BZ$3="","",BZ18-BZ28)</f>
        <v/>
      </c>
      <c r="CA30" s="354">
        <f>IF(CA$3="","",CA18-CA28)</f>
        <v/>
      </c>
      <c r="CB30" s="354">
        <f>IF(CB$3="","",CB18-CB28)</f>
        <v/>
      </c>
      <c r="CC30" s="354">
        <f>IF(CC$3="","",CC18-CC28)</f>
        <v/>
      </c>
      <c r="CD30" s="354">
        <f>IF(CD$3="","",CD18-CD28)</f>
        <v/>
      </c>
      <c r="CE30" s="354">
        <f>IF(CE$3="","",CE18-CE28)</f>
        <v/>
      </c>
      <c r="CF30" s="354">
        <f>IF(CF$3="","",CF18-CF28)</f>
        <v/>
      </c>
      <c r="CG30" s="354">
        <f>IF(CG$3="","",CG18-CG28)</f>
        <v/>
      </c>
      <c r="CH30" s="354">
        <f>IF(CH$3="","",CH18-CH28)</f>
        <v/>
      </c>
      <c r="CI30" s="354">
        <f>IF(CI$3="","",CI18-CI28)</f>
        <v/>
      </c>
      <c r="CJ30" s="354">
        <f>IF(CJ$3="","",CJ18-CJ28)</f>
        <v/>
      </c>
      <c r="CK30" s="354">
        <f>IF(CK$3="","",CK18-CK28)</f>
        <v/>
      </c>
      <c r="CL30" s="354">
        <f>IF(CL$3="","",CL18-CL28)</f>
        <v/>
      </c>
      <c r="CM30" s="354">
        <f>IF(CM$3="","",CM18-CM28)</f>
        <v/>
      </c>
      <c r="CN30" s="354">
        <f>IF(CN$3="","",CN18-CN28)</f>
        <v/>
      </c>
      <c r="CO30" s="354">
        <f>IF(CO$3="","",CO18-CO28)</f>
        <v/>
      </c>
      <c r="CP30" s="354">
        <f>IF(CP$3="","",CP18-CP28)</f>
        <v/>
      </c>
      <c r="CQ30" s="354">
        <f>IF(CQ$3="","",CQ18-CQ28)</f>
        <v/>
      </c>
      <c r="CR30" s="354">
        <f>IF(CR$3="","",CR18-CR28)</f>
        <v/>
      </c>
      <c r="CS30" s="354">
        <f>IF(CS$3="","",CS18-CS28)</f>
        <v/>
      </c>
      <c r="CT30" s="354">
        <f>IF(CT$3="","",CT18-CT28)</f>
        <v/>
      </c>
      <c r="CU30" s="354">
        <f>IF(CU$3="","",CU18-CU28)</f>
        <v/>
      </c>
      <c r="CV30" s="354">
        <f>IF(CV$3="","",CV18-CV28)</f>
        <v/>
      </c>
      <c r="CW30" s="354">
        <f>IF(CW$3="","",CW18-CW28)</f>
        <v/>
      </c>
    </row>
    <row r="31" ht="15" customHeight="1" s="180">
      <c r="A31" s="231" t="inlineStr">
        <is>
          <t>預貯金残高</t>
        </is>
      </c>
      <c r="B31" s="355">
        <f>IF(B$3="","",B38)</f>
        <v/>
      </c>
      <c r="C31" s="355">
        <f>IF(C$3="","",C38)</f>
        <v/>
      </c>
      <c r="D31" s="355">
        <f>IF(D$3="","",D38)</f>
        <v/>
      </c>
      <c r="E31" s="355">
        <f>IF(E$3="","",E38)</f>
        <v/>
      </c>
      <c r="F31" s="355">
        <f>IF(F$3="","",F38)</f>
        <v/>
      </c>
      <c r="G31" s="355">
        <f>IF(G$3="","",G38)</f>
        <v/>
      </c>
      <c r="H31" s="355">
        <f>IF(H$3="","",H38)</f>
        <v/>
      </c>
      <c r="I31" s="355">
        <f>IF(I$3="","",I38)</f>
        <v/>
      </c>
      <c r="J31" s="355">
        <f>IF(J$3="","",J38)</f>
        <v/>
      </c>
      <c r="K31" s="355">
        <f>IF(K$3="","",K38)</f>
        <v/>
      </c>
      <c r="L31" s="355">
        <f>IF(L$3="","",L38)</f>
        <v/>
      </c>
      <c r="M31" s="355">
        <f>IF(M$3="","",M38)</f>
        <v/>
      </c>
      <c r="N31" s="355">
        <f>IF(N$3="","",N38)</f>
        <v/>
      </c>
      <c r="O31" s="355">
        <f>IF(O$3="","",O38)</f>
        <v/>
      </c>
      <c r="P31" s="355">
        <f>IF(P$3="","",P38)</f>
        <v/>
      </c>
      <c r="Q31" s="355">
        <f>IF(Q$3="","",Q38)</f>
        <v/>
      </c>
      <c r="R31" s="355">
        <f>IF(R$3="","",R38)</f>
        <v/>
      </c>
      <c r="S31" s="355">
        <f>IF(S$3="","",S38)</f>
        <v/>
      </c>
      <c r="T31" s="355">
        <f>IF(T$3="","",T38)</f>
        <v/>
      </c>
      <c r="U31" s="355">
        <f>IF(U$3="","",U38)</f>
        <v/>
      </c>
      <c r="V31" s="355">
        <f>IF(V$3="","",V38)</f>
        <v/>
      </c>
      <c r="W31" s="355">
        <f>IF(W$3="","",W38)</f>
        <v/>
      </c>
      <c r="X31" s="355">
        <f>IF(X$3="","",X38)</f>
        <v/>
      </c>
      <c r="Y31" s="355">
        <f>IF(Y$3="","",Y38)</f>
        <v/>
      </c>
      <c r="Z31" s="355">
        <f>IF(Z$3="","",Z38)</f>
        <v/>
      </c>
      <c r="AA31" s="355">
        <f>IF(AA$3="","",AA38)</f>
        <v/>
      </c>
      <c r="AB31" s="355">
        <f>IF(AB$3="","",AB38)</f>
        <v/>
      </c>
      <c r="AC31" s="355">
        <f>IF(AC$3="","",AC38)</f>
        <v/>
      </c>
      <c r="AD31" s="355">
        <f>IF(AD$3="","",AD38)</f>
        <v/>
      </c>
      <c r="AE31" s="355">
        <f>IF(AE$3="","",AE38)</f>
        <v/>
      </c>
      <c r="AF31" s="355">
        <f>IF(AF$3="","",AF38)</f>
        <v/>
      </c>
      <c r="AG31" s="355">
        <f>IF(AG$3="","",AG38)</f>
        <v/>
      </c>
      <c r="AH31" s="355">
        <f>IF(AH$3="","",AH38)</f>
        <v/>
      </c>
      <c r="AI31" s="355">
        <f>IF(AI$3="","",AI38)</f>
        <v/>
      </c>
      <c r="AJ31" s="355">
        <f>IF(AJ$3="","",AJ38)</f>
        <v/>
      </c>
      <c r="AK31" s="355">
        <f>IF(AK$3="","",AK38)</f>
        <v/>
      </c>
      <c r="AL31" s="355">
        <f>IF(AL$3="","",AL38)</f>
        <v/>
      </c>
      <c r="AM31" s="355">
        <f>IF(AM$3="","",AM38)</f>
        <v/>
      </c>
      <c r="AN31" s="355">
        <f>IF(AN$3="","",AN38)</f>
        <v/>
      </c>
      <c r="AO31" s="355">
        <f>IF(AO$3="","",AO38)</f>
        <v/>
      </c>
      <c r="AP31" s="355">
        <f>IF(AP$3="","",AP38)</f>
        <v/>
      </c>
      <c r="AQ31" s="355">
        <f>IF(AQ$3="","",AQ38)</f>
        <v/>
      </c>
      <c r="AR31" s="355">
        <f>IF(AR$3="","",AR38)</f>
        <v/>
      </c>
      <c r="AS31" s="355">
        <f>IF(AS$3="","",AS38)</f>
        <v/>
      </c>
      <c r="AT31" s="355">
        <f>IF(AT$3="","",AT38)</f>
        <v/>
      </c>
      <c r="AU31" s="355">
        <f>IF(AU$3="","",AU38)</f>
        <v/>
      </c>
      <c r="AV31" s="355">
        <f>IF(AV$3="","",AV38)</f>
        <v/>
      </c>
      <c r="AW31" s="355">
        <f>IF(AW$3="","",AW38)</f>
        <v/>
      </c>
      <c r="AX31" s="355">
        <f>IF(AX$3="","",AX38)</f>
        <v/>
      </c>
      <c r="AY31" s="355">
        <f>IF(AY$3="","",AY38)</f>
        <v/>
      </c>
      <c r="AZ31" s="355">
        <f>IF(AZ$3="","",AZ38)</f>
        <v/>
      </c>
      <c r="BA31" s="355">
        <f>IF(BA$3="","",BA38)</f>
        <v/>
      </c>
      <c r="BB31" s="355">
        <f>IF(BB$3="","",BB38)</f>
        <v/>
      </c>
      <c r="BC31" s="355">
        <f>IF(BC$3="","",BC38)</f>
        <v/>
      </c>
      <c r="BD31" s="355">
        <f>IF(BD$3="","",BD38)</f>
        <v/>
      </c>
      <c r="BE31" s="355">
        <f>IF(BE$3="","",BE38)</f>
        <v/>
      </c>
      <c r="BF31" s="355">
        <f>IF(BF$3="","",BF38)</f>
        <v/>
      </c>
      <c r="BG31" s="355">
        <f>IF(BG$3="","",BG38)</f>
        <v/>
      </c>
      <c r="BH31" s="355">
        <f>IF(BH$3="","",BH38)</f>
        <v/>
      </c>
      <c r="BI31" s="355">
        <f>IF(BI$3="","",BI38)</f>
        <v/>
      </c>
      <c r="BJ31" s="355">
        <f>IF(BJ$3="","",BJ38)</f>
        <v/>
      </c>
      <c r="BK31" s="355">
        <f>IF(BK$3="","",BK38)</f>
        <v/>
      </c>
      <c r="BL31" s="355">
        <f>IF(BL$3="","",BL38)</f>
        <v/>
      </c>
      <c r="BM31" s="355">
        <f>IF(BM$3="","",BM38)</f>
        <v/>
      </c>
      <c r="BN31" s="355">
        <f>IF(BN$3="","",BN38)</f>
        <v/>
      </c>
      <c r="BO31" s="355">
        <f>IF(BO$3="","",BO38)</f>
        <v/>
      </c>
      <c r="BP31" s="355">
        <f>IF(BP$3="","",BP38)</f>
        <v/>
      </c>
      <c r="BQ31" s="355">
        <f>IF(BQ$3="","",BQ38)</f>
        <v/>
      </c>
      <c r="BR31" s="355">
        <f>IF(BR$3="","",BR38)</f>
        <v/>
      </c>
      <c r="BS31" s="355">
        <f>IF(BS$3="","",BS38)</f>
        <v/>
      </c>
      <c r="BT31" s="355">
        <f>IF(BT$3="","",BT38)</f>
        <v/>
      </c>
      <c r="BU31" s="355">
        <f>IF(BU$3="","",BU38)</f>
        <v/>
      </c>
      <c r="BV31" s="355">
        <f>IF(BV$3="","",BV38)</f>
        <v/>
      </c>
      <c r="BW31" s="355">
        <f>IF(BW$3="","",BW38)</f>
        <v/>
      </c>
      <c r="BX31" s="355">
        <f>IF(BX$3="","",BX38)</f>
        <v/>
      </c>
      <c r="BY31" s="355">
        <f>IF(BY$3="","",BY38)</f>
        <v/>
      </c>
      <c r="BZ31" s="355">
        <f>IF(BZ$3="","",BZ38)</f>
        <v/>
      </c>
      <c r="CA31" s="355">
        <f>IF(CA$3="","",CA38)</f>
        <v/>
      </c>
      <c r="CB31" s="355">
        <f>IF(CB$3="","",CB38)</f>
        <v/>
      </c>
      <c r="CC31" s="355">
        <f>IF(CC$3="","",CC38)</f>
        <v/>
      </c>
      <c r="CD31" s="355">
        <f>IF(CD$3="","",CD38)</f>
        <v/>
      </c>
      <c r="CE31" s="355">
        <f>IF(CE$3="","",CE38)</f>
        <v/>
      </c>
      <c r="CF31" s="355">
        <f>IF(CF$3="","",CF38)</f>
        <v/>
      </c>
      <c r="CG31" s="355">
        <f>IF(CG$3="","",CG38)</f>
        <v/>
      </c>
      <c r="CH31" s="355">
        <f>IF(CH$3="","",CH38)</f>
        <v/>
      </c>
      <c r="CI31" s="355">
        <f>IF(CI$3="","",CI38)</f>
        <v/>
      </c>
      <c r="CJ31" s="355">
        <f>IF(CJ$3="","",CJ38)</f>
        <v/>
      </c>
      <c r="CK31" s="355">
        <f>IF(CK$3="","",CK38)</f>
        <v/>
      </c>
      <c r="CL31" s="355">
        <f>IF(CL$3="","",CL38)</f>
        <v/>
      </c>
      <c r="CM31" s="355">
        <f>IF(CM$3="","",CM38)</f>
        <v/>
      </c>
      <c r="CN31" s="355">
        <f>IF(CN$3="","",CN38)</f>
        <v/>
      </c>
      <c r="CO31" s="355">
        <f>IF(CO$3="","",CO38)</f>
        <v/>
      </c>
      <c r="CP31" s="355">
        <f>IF(CP$3="","",CP38)</f>
        <v/>
      </c>
      <c r="CQ31" s="355">
        <f>IF(CQ$3="","",CQ38)</f>
        <v/>
      </c>
      <c r="CR31" s="355">
        <f>IF(CR$3="","",CR38)</f>
        <v/>
      </c>
      <c r="CS31" s="355">
        <f>IF(CS$3="","",CS38)</f>
        <v/>
      </c>
      <c r="CT31" s="355">
        <f>IF(CT$3="","",CT38)</f>
        <v/>
      </c>
      <c r="CU31" s="355">
        <f>IF(CU$3="","",CU38)</f>
        <v/>
      </c>
      <c r="CV31" s="355">
        <f>IF(CV$3="","",CV38)</f>
        <v/>
      </c>
      <c r="CW31" s="355">
        <f>IF(CW$3="","",CW38)</f>
        <v/>
      </c>
    </row>
    <row r="32" ht="15" customHeight="1" s="180">
      <c r="A32" s="233" t="inlineStr">
        <is>
          <t>投資資産残高</t>
        </is>
      </c>
      <c r="B32" s="356">
        <f>IF(B$3="","",((SUM(入力データ!$C$90:$C$92,入力データ!$C$94)*(1+前提条件!$C$60))+B36-B39))</f>
        <v/>
      </c>
      <c r="C32" s="356">
        <f>IF(C$3="","",((SUM(入力データ!$C$90:$C$92,入力データ!$C$94)*(1+前提条件!$C$60))+C36-C39))</f>
        <v/>
      </c>
      <c r="D32" s="356">
        <f>IF(D$3="","",((SUM(入力データ!$C$90:$C$92,入力データ!$C$94)*(1+前提条件!$C$60))+D36-D39))</f>
        <v/>
      </c>
      <c r="E32" s="356">
        <f>IF(E$3="","",((SUM(入力データ!$C$90:$C$92,入力データ!$C$94)*(1+前提条件!$C$60))+E36-E39))</f>
        <v/>
      </c>
      <c r="F32" s="356">
        <f>IF(F$3="","",((SUM(入力データ!$C$90:$C$92,入力データ!$C$94)*(1+前提条件!$C$60))+F36-F39))</f>
        <v/>
      </c>
      <c r="G32" s="356">
        <f>IF(G$3="","",((SUM(入力データ!$C$90:$C$92,入力データ!$C$94)*(1+前提条件!$C$60))+G36-G39))</f>
        <v/>
      </c>
      <c r="H32" s="356">
        <f>IF(H$3="","",((SUM(入力データ!$C$90:$C$92,入力データ!$C$94)*(1+前提条件!$C$60))+H36-H39))</f>
        <v/>
      </c>
      <c r="I32" s="356">
        <f>IF(I$3="","",((SUM(入力データ!$C$90:$C$92,入力データ!$C$94)*(1+前提条件!$C$60))+I36-I39))</f>
        <v/>
      </c>
      <c r="J32" s="356">
        <f>IF(J$3="","",((SUM(入力データ!$C$90:$C$92,入力データ!$C$94)*(1+前提条件!$C$60))+J36-J39))</f>
        <v/>
      </c>
      <c r="K32" s="356">
        <f>IF(K$3="","",((SUM(入力データ!$C$90:$C$92,入力データ!$C$94)*(1+前提条件!$C$60))+K36-K39))</f>
        <v/>
      </c>
      <c r="L32" s="356">
        <f>IF(L$3="","",((SUM(入力データ!$C$90:$C$92,入力データ!$C$94)*(1+前提条件!$C$60))+L36-L39))</f>
        <v/>
      </c>
      <c r="M32" s="356">
        <f>IF(M$3="","",((SUM(入力データ!$C$90:$C$92,入力データ!$C$94)*(1+前提条件!$C$60))+M36-M39))</f>
        <v/>
      </c>
      <c r="N32" s="356">
        <f>IF(N$3="","",((SUM(入力データ!$C$90:$C$92,入力データ!$C$94)*(1+前提条件!$C$60))+N36-N39))</f>
        <v/>
      </c>
      <c r="O32" s="356">
        <f>IF(O$3="","",((SUM(入力データ!$C$90:$C$92,入力データ!$C$94)*(1+前提条件!$C$60))+O36-O39))</f>
        <v/>
      </c>
      <c r="P32" s="356">
        <f>IF(P$3="","",((SUM(入力データ!$C$90:$C$92,入力データ!$C$94)*(1+前提条件!$C$60))+P36-P39))</f>
        <v/>
      </c>
      <c r="Q32" s="356">
        <f>IF(Q$3="","",((SUM(入力データ!$C$90:$C$92,入力データ!$C$94)*(1+前提条件!$C$60))+Q36-Q39))</f>
        <v/>
      </c>
      <c r="R32" s="356">
        <f>IF(R$3="","",((SUM(入力データ!$C$90:$C$92,入力データ!$C$94)*(1+前提条件!$C$60))+R36-R39))</f>
        <v/>
      </c>
      <c r="S32" s="356">
        <f>IF(S$3="","",((SUM(入力データ!$C$90:$C$92,入力データ!$C$94)*(1+前提条件!$C$60))+S36-S39))</f>
        <v/>
      </c>
      <c r="T32" s="356">
        <f>IF(T$3="","",((SUM(入力データ!$C$90:$C$92,入力データ!$C$94)*(1+前提条件!$C$60))+T36-T39))</f>
        <v/>
      </c>
      <c r="U32" s="356">
        <f>IF(U$3="","",((SUM(入力データ!$C$90:$C$92,入力データ!$C$94)*(1+前提条件!$C$60))+U36-U39))</f>
        <v/>
      </c>
      <c r="V32" s="356">
        <f>IF(V$3="","",((SUM(入力データ!$C$90:$C$92,入力データ!$C$94)*(1+前提条件!$C$60))+V36-V39))</f>
        <v/>
      </c>
      <c r="W32" s="356">
        <f>IF(W$3="","",((SUM(入力データ!$C$90:$C$92,入力データ!$C$94)*(1+前提条件!$C$60))+W36-W39))</f>
        <v/>
      </c>
      <c r="X32" s="356">
        <f>IF(X$3="","",((SUM(入力データ!$C$90:$C$92,入力データ!$C$94)*(1+前提条件!$C$60))+X36-X39))</f>
        <v/>
      </c>
      <c r="Y32" s="356">
        <f>IF(Y$3="","",((SUM(入力データ!$C$90:$C$92,入力データ!$C$94)*(1+前提条件!$C$60))+Y36-Y39))</f>
        <v/>
      </c>
      <c r="Z32" s="356">
        <f>IF(Z$3="","",((SUM(入力データ!$C$90:$C$92,入力データ!$C$94)*(1+前提条件!$C$60))+Z36-Z39))</f>
        <v/>
      </c>
      <c r="AA32" s="356">
        <f>IF(AA$3="","",((SUM(入力データ!$C$90:$C$92,入力データ!$C$94)*(1+前提条件!$C$60))+AA36-AA39))</f>
        <v/>
      </c>
      <c r="AB32" s="356">
        <f>IF(AB$3="","",((SUM(入力データ!$C$90:$C$92,入力データ!$C$94)*(1+前提条件!$C$60))+AB36-AB39))</f>
        <v/>
      </c>
      <c r="AC32" s="356">
        <f>IF(AC$3="","",((SUM(入力データ!$C$90:$C$92,入力データ!$C$94)*(1+前提条件!$C$60))+AC36-AC39))</f>
        <v/>
      </c>
      <c r="AD32" s="356">
        <f>IF(AD$3="","",((SUM(入力データ!$C$90:$C$92,入力データ!$C$94)*(1+前提条件!$C$60))+AD36-AD39))</f>
        <v/>
      </c>
      <c r="AE32" s="356">
        <f>IF(AE$3="","",((SUM(入力データ!$C$90:$C$92,入力データ!$C$94)*(1+前提条件!$C$60))+AE36-AE39))</f>
        <v/>
      </c>
      <c r="AF32" s="356">
        <f>IF(AF$3="","",((SUM(入力データ!$C$90:$C$92,入力データ!$C$94)*(1+前提条件!$C$60))+AF36-AF39))</f>
        <v/>
      </c>
      <c r="AG32" s="356">
        <f>IF(AG$3="","",((SUM(入力データ!$C$90:$C$92,入力データ!$C$94)*(1+前提条件!$C$60))+AG36-AG39))</f>
        <v/>
      </c>
      <c r="AH32" s="356">
        <f>IF(AH$3="","",((SUM(入力データ!$C$90:$C$92,入力データ!$C$94)*(1+前提条件!$C$60))+AH36-AH39))</f>
        <v/>
      </c>
      <c r="AI32" s="356">
        <f>IF(AI$3="","",((SUM(入力データ!$C$90:$C$92,入力データ!$C$94)*(1+前提条件!$C$60))+AI36-AI39))</f>
        <v/>
      </c>
      <c r="AJ32" s="356">
        <f>IF(AJ$3="","",((SUM(入力データ!$C$90:$C$92,入力データ!$C$94)*(1+前提条件!$C$60))+AJ36-AJ39))</f>
        <v/>
      </c>
      <c r="AK32" s="356">
        <f>IF(AK$3="","",((SUM(入力データ!$C$90:$C$92,入力データ!$C$94)*(1+前提条件!$C$60))+AK36-AK39))</f>
        <v/>
      </c>
      <c r="AL32" s="356">
        <f>IF(AL$3="","",((SUM(入力データ!$C$90:$C$92,入力データ!$C$94)*(1+前提条件!$C$60))+AL36-AL39))</f>
        <v/>
      </c>
      <c r="AM32" s="356">
        <f>IF(AM$3="","",((SUM(入力データ!$C$90:$C$92,入力データ!$C$94)*(1+前提条件!$C$60))+AM36-AM39))</f>
        <v/>
      </c>
      <c r="AN32" s="356">
        <f>IF(AN$3="","",((SUM(入力データ!$C$90:$C$92,入力データ!$C$94)*(1+前提条件!$C$60))+AN36-AN39))</f>
        <v/>
      </c>
      <c r="AO32" s="356">
        <f>IF(AO$3="","",((SUM(入力データ!$C$90:$C$92,入力データ!$C$94)*(1+前提条件!$C$60))+AO36-AO39))</f>
        <v/>
      </c>
      <c r="AP32" s="356">
        <f>IF(AP$3="","",((SUM(入力データ!$C$90:$C$92,入力データ!$C$94)*(1+前提条件!$C$60))+AP36-AP39))</f>
        <v/>
      </c>
      <c r="AQ32" s="356">
        <f>IF(AQ$3="","",((SUM(入力データ!$C$90:$C$92,入力データ!$C$94)*(1+前提条件!$C$60))+AQ36-AQ39))</f>
        <v/>
      </c>
      <c r="AR32" s="356">
        <f>IF(AR$3="","",((SUM(入力データ!$C$90:$C$92,入力データ!$C$94)*(1+前提条件!$C$60))+AR36-AR39))</f>
        <v/>
      </c>
      <c r="AS32" s="356">
        <f>IF(AS$3="","",((SUM(入力データ!$C$90:$C$92,入力データ!$C$94)*(1+前提条件!$C$60))+AS36-AS39))</f>
        <v/>
      </c>
      <c r="AT32" s="356">
        <f>IF(AT$3="","",((SUM(入力データ!$C$90:$C$92,入力データ!$C$94)*(1+前提条件!$C$60))+AT36-AT39))</f>
        <v/>
      </c>
      <c r="AU32" s="356">
        <f>IF(AU$3="","",((SUM(入力データ!$C$90:$C$92,入力データ!$C$94)*(1+前提条件!$C$60))+AU36-AU39))</f>
        <v/>
      </c>
      <c r="AV32" s="356">
        <f>IF(AV$3="","",((SUM(入力データ!$C$90:$C$92,入力データ!$C$94)*(1+前提条件!$C$60))+AV36-AV39))</f>
        <v/>
      </c>
      <c r="AW32" s="356">
        <f>IF(AW$3="","",((SUM(入力データ!$C$90:$C$92,入力データ!$C$94)*(1+前提条件!$C$60))+AW36-AW39))</f>
        <v/>
      </c>
      <c r="AX32" s="356">
        <f>IF(AX$3="","",((SUM(入力データ!$C$90:$C$92,入力データ!$C$94)*(1+前提条件!$C$60))+AX36-AX39))</f>
        <v/>
      </c>
      <c r="AY32" s="356">
        <f>IF(AY$3="","",((SUM(入力データ!$C$90:$C$92,入力データ!$C$94)*(1+前提条件!$C$60))+AY36-AY39))</f>
        <v/>
      </c>
      <c r="AZ32" s="356">
        <f>IF(AZ$3="","",((SUM(入力データ!$C$90:$C$92,入力データ!$C$94)*(1+前提条件!$C$60))+AZ36-AZ39))</f>
        <v/>
      </c>
      <c r="BA32" s="356">
        <f>IF(BA$3="","",((SUM(入力データ!$C$90:$C$92,入力データ!$C$94)*(1+前提条件!$C$60))+BA36-BA39))</f>
        <v/>
      </c>
      <c r="BB32" s="356">
        <f>IF(BB$3="","",((SUM(入力データ!$C$90:$C$92,入力データ!$C$94)*(1+前提条件!$C$60))+BB36-BB39))</f>
        <v/>
      </c>
      <c r="BC32" s="356">
        <f>IF(BC$3="","",((SUM(入力データ!$C$90:$C$92,入力データ!$C$94)*(1+前提条件!$C$60))+BC36-BC39))</f>
        <v/>
      </c>
      <c r="BD32" s="356">
        <f>IF(BD$3="","",((SUM(入力データ!$C$90:$C$92,入力データ!$C$94)*(1+前提条件!$C$60))+BD36-BD39))</f>
        <v/>
      </c>
      <c r="BE32" s="356">
        <f>IF(BE$3="","",((SUM(入力データ!$C$90:$C$92,入力データ!$C$94)*(1+前提条件!$C$60))+BE36-BE39))</f>
        <v/>
      </c>
      <c r="BF32" s="356">
        <f>IF(BF$3="","",((SUM(入力データ!$C$90:$C$92,入力データ!$C$94)*(1+前提条件!$C$60))+BF36-BF39))</f>
        <v/>
      </c>
      <c r="BG32" s="356">
        <f>IF(BG$3="","",((SUM(入力データ!$C$90:$C$92,入力データ!$C$94)*(1+前提条件!$C$60))+BG36-BG39))</f>
        <v/>
      </c>
      <c r="BH32" s="356">
        <f>IF(BH$3="","",((SUM(入力データ!$C$90:$C$92,入力データ!$C$94)*(1+前提条件!$C$60))+BH36-BH39))</f>
        <v/>
      </c>
      <c r="BI32" s="356">
        <f>IF(BI$3="","",((SUM(入力データ!$C$90:$C$92,入力データ!$C$94)*(1+前提条件!$C$60))+BI36-BI39))</f>
        <v/>
      </c>
      <c r="BJ32" s="356">
        <f>IF(BJ$3="","",((SUM(入力データ!$C$90:$C$92,入力データ!$C$94)*(1+前提条件!$C$60))+BJ36-BJ39))</f>
        <v/>
      </c>
      <c r="BK32" s="356">
        <f>IF(BK$3="","",((SUM(入力データ!$C$90:$C$92,入力データ!$C$94)*(1+前提条件!$C$60))+BK36-BK39))</f>
        <v/>
      </c>
      <c r="BL32" s="356">
        <f>IF(BL$3="","",((SUM(入力データ!$C$90:$C$92,入力データ!$C$94)*(1+前提条件!$C$60))+BL36-BL39))</f>
        <v/>
      </c>
      <c r="BM32" s="356">
        <f>IF(BM$3="","",((SUM(入力データ!$C$90:$C$92,入力データ!$C$94)*(1+前提条件!$C$60))+BM36-BM39))</f>
        <v/>
      </c>
      <c r="BN32" s="356">
        <f>IF(BN$3="","",((SUM(入力データ!$C$90:$C$92,入力データ!$C$94)*(1+前提条件!$C$60))+BN36-BN39))</f>
        <v/>
      </c>
      <c r="BO32" s="356">
        <f>IF(BO$3="","",((SUM(入力データ!$C$90:$C$92,入力データ!$C$94)*(1+前提条件!$C$60))+BO36-BO39))</f>
        <v/>
      </c>
      <c r="BP32" s="356">
        <f>IF(BP$3="","",((SUM(入力データ!$C$90:$C$92,入力データ!$C$94)*(1+前提条件!$C$60))+BP36-BP39))</f>
        <v/>
      </c>
      <c r="BQ32" s="356">
        <f>IF(BQ$3="","",((SUM(入力データ!$C$90:$C$92,入力データ!$C$94)*(1+前提条件!$C$60))+BQ36-BQ39))</f>
        <v/>
      </c>
      <c r="BR32" s="356">
        <f>IF(BR$3="","",((SUM(入力データ!$C$90:$C$92,入力データ!$C$94)*(1+前提条件!$C$60))+BR36-BR39))</f>
        <v/>
      </c>
      <c r="BS32" s="356">
        <f>IF(BS$3="","",((SUM(入力データ!$C$90:$C$92,入力データ!$C$94)*(1+前提条件!$C$60))+BS36-BS39))</f>
        <v/>
      </c>
      <c r="BT32" s="356">
        <f>IF(BT$3="","",((SUM(入力データ!$C$90:$C$92,入力データ!$C$94)*(1+前提条件!$C$60))+BT36-BT39))</f>
        <v/>
      </c>
      <c r="BU32" s="356">
        <f>IF(BU$3="","",((SUM(入力データ!$C$90:$C$92,入力データ!$C$94)*(1+前提条件!$C$60))+BU36-BU39))</f>
        <v/>
      </c>
      <c r="BV32" s="356">
        <f>IF(BV$3="","",((SUM(入力データ!$C$90:$C$92,入力データ!$C$94)*(1+前提条件!$C$60))+BV36-BV39))</f>
        <v/>
      </c>
      <c r="BW32" s="356">
        <f>IF(BW$3="","",((SUM(入力データ!$C$90:$C$92,入力データ!$C$94)*(1+前提条件!$C$60))+BW36-BW39))</f>
        <v/>
      </c>
      <c r="BX32" s="356">
        <f>IF(BX$3="","",((SUM(入力データ!$C$90:$C$92,入力データ!$C$94)*(1+前提条件!$C$60))+BX36-BX39))</f>
        <v/>
      </c>
      <c r="BY32" s="356">
        <f>IF(BY$3="","",((SUM(入力データ!$C$90:$C$92,入力データ!$C$94)*(1+前提条件!$C$60))+BY36-BY39))</f>
        <v/>
      </c>
      <c r="BZ32" s="356">
        <f>IF(BZ$3="","",((SUM(入力データ!$C$90:$C$92,入力データ!$C$94)*(1+前提条件!$C$60))+BZ36-BZ39))</f>
        <v/>
      </c>
      <c r="CA32" s="356">
        <f>IF(CA$3="","",((SUM(入力データ!$C$90:$C$92,入力データ!$C$94)*(1+前提条件!$C$60))+CA36-CA39))</f>
        <v/>
      </c>
      <c r="CB32" s="356">
        <f>IF(CB$3="","",((SUM(入力データ!$C$90:$C$92,入力データ!$C$94)*(1+前提条件!$C$60))+CB36-CB39))</f>
        <v/>
      </c>
      <c r="CC32" s="356">
        <f>IF(CC$3="","",((SUM(入力データ!$C$90:$C$92,入力データ!$C$94)*(1+前提条件!$C$60))+CC36-CC39))</f>
        <v/>
      </c>
      <c r="CD32" s="356">
        <f>IF(CD$3="","",((SUM(入力データ!$C$90:$C$92,入力データ!$C$94)*(1+前提条件!$C$60))+CD36-CD39))</f>
        <v/>
      </c>
      <c r="CE32" s="356">
        <f>IF(CE$3="","",((SUM(入力データ!$C$90:$C$92,入力データ!$C$94)*(1+前提条件!$C$60))+CE36-CE39))</f>
        <v/>
      </c>
      <c r="CF32" s="356">
        <f>IF(CF$3="","",((SUM(入力データ!$C$90:$C$92,入力データ!$C$94)*(1+前提条件!$C$60))+CF36-CF39))</f>
        <v/>
      </c>
      <c r="CG32" s="356">
        <f>IF(CG$3="","",((SUM(入力データ!$C$90:$C$92,入力データ!$C$94)*(1+前提条件!$C$60))+CG36-CG39))</f>
        <v/>
      </c>
      <c r="CH32" s="356">
        <f>IF(CH$3="","",((SUM(入力データ!$C$90:$C$92,入力データ!$C$94)*(1+前提条件!$C$60))+CH36-CH39))</f>
        <v/>
      </c>
      <c r="CI32" s="356">
        <f>IF(CI$3="","",((SUM(入力データ!$C$90:$C$92,入力データ!$C$94)*(1+前提条件!$C$60))+CI36-CI39))</f>
        <v/>
      </c>
      <c r="CJ32" s="356">
        <f>IF(CJ$3="","",((SUM(入力データ!$C$90:$C$92,入力データ!$C$94)*(1+前提条件!$C$60))+CJ36-CJ39))</f>
        <v/>
      </c>
      <c r="CK32" s="356">
        <f>IF(CK$3="","",((SUM(入力データ!$C$90:$C$92,入力データ!$C$94)*(1+前提条件!$C$60))+CK36-CK39))</f>
        <v/>
      </c>
      <c r="CL32" s="356">
        <f>IF(CL$3="","",((SUM(入力データ!$C$90:$C$92,入力データ!$C$94)*(1+前提条件!$C$60))+CL36-CL39))</f>
        <v/>
      </c>
      <c r="CM32" s="356">
        <f>IF(CM$3="","",((SUM(入力データ!$C$90:$C$92,入力データ!$C$94)*(1+前提条件!$C$60))+CM36-CM39))</f>
        <v/>
      </c>
      <c r="CN32" s="356">
        <f>IF(CN$3="","",((SUM(入力データ!$C$90:$C$92,入力データ!$C$94)*(1+前提条件!$C$60))+CN36-CN39))</f>
        <v/>
      </c>
      <c r="CO32" s="356">
        <f>IF(CO$3="","",((SUM(入力データ!$C$90:$C$92,入力データ!$C$94)*(1+前提条件!$C$60))+CO36-CO39))</f>
        <v/>
      </c>
      <c r="CP32" s="356">
        <f>IF(CP$3="","",((SUM(入力データ!$C$90:$C$92,入力データ!$C$94)*(1+前提条件!$C$60))+CP36-CP39))</f>
        <v/>
      </c>
      <c r="CQ32" s="356">
        <f>IF(CQ$3="","",((SUM(入力データ!$C$90:$C$92,入力データ!$C$94)*(1+前提条件!$C$60))+CQ36-CQ39))</f>
        <v/>
      </c>
      <c r="CR32" s="356">
        <f>IF(CR$3="","",((SUM(入力データ!$C$90:$C$92,入力データ!$C$94)*(1+前提条件!$C$60))+CR36-CR39))</f>
        <v/>
      </c>
      <c r="CS32" s="356">
        <f>IF(CS$3="","",((SUM(入力データ!$C$90:$C$92,入力データ!$C$94)*(1+前提条件!$C$60))+CS36-CS39))</f>
        <v/>
      </c>
      <c r="CT32" s="356">
        <f>IF(CT$3="","",((SUM(入力データ!$C$90:$C$92,入力データ!$C$94)*(1+前提条件!$C$60))+CT36-CT39))</f>
        <v/>
      </c>
      <c r="CU32" s="356">
        <f>IF(CU$3="","",((SUM(入力データ!$C$90:$C$92,入力データ!$C$94)*(1+前提条件!$C$60))+CU36-CU39))</f>
        <v/>
      </c>
      <c r="CV32" s="356">
        <f>IF(CV$3="","",((SUM(入力データ!$C$90:$C$92,入力データ!$C$94)*(1+前提条件!$C$60))+CV36-CV39))</f>
        <v/>
      </c>
      <c r="CW32" s="356">
        <f>IF(CW$3="","",((SUM(入力データ!$C$90:$C$92,入力データ!$C$94)*(1+前提条件!$C$60))+CW36-CW39))</f>
        <v/>
      </c>
    </row>
    <row r="33" ht="15" customHeight="1" s="180">
      <c r="A33" s="233" t="inlineStr">
        <is>
          <t>解約返戻金残高</t>
        </is>
      </c>
      <c r="B33" s="356">
        <f>IF(B$3="","",((入力データ!$C$93*(1+前提条件!$C$61))+B37-B40))</f>
        <v/>
      </c>
      <c r="C33" s="356">
        <f>IF(C$3="","",((入力データ!$C$93*(1+前提条件!$C$61))+C37-C40))</f>
        <v/>
      </c>
      <c r="D33" s="356">
        <f>IF(D$3="","",((入力データ!$C$93*(1+前提条件!$C$61))+D37-D40))</f>
        <v/>
      </c>
      <c r="E33" s="356">
        <f>IF(E$3="","",((入力データ!$C$93*(1+前提条件!$C$61))+E37-E40))</f>
        <v/>
      </c>
      <c r="F33" s="356">
        <f>IF(F$3="","",((入力データ!$C$93*(1+前提条件!$C$61))+F37-F40))</f>
        <v/>
      </c>
      <c r="G33" s="356">
        <f>IF(G$3="","",((入力データ!$C$93*(1+前提条件!$C$61))+G37-G40))</f>
        <v/>
      </c>
      <c r="H33" s="356">
        <f>IF(H$3="","",((入力データ!$C$93*(1+前提条件!$C$61))+H37-H40))</f>
        <v/>
      </c>
      <c r="I33" s="356">
        <f>IF(I$3="","",((入力データ!$C$93*(1+前提条件!$C$61))+I37-I40))</f>
        <v/>
      </c>
      <c r="J33" s="356">
        <f>IF(J$3="","",((入力データ!$C$93*(1+前提条件!$C$61))+J37-J40))</f>
        <v/>
      </c>
      <c r="K33" s="356">
        <f>IF(K$3="","",((入力データ!$C$93*(1+前提条件!$C$61))+K37-K40))</f>
        <v/>
      </c>
      <c r="L33" s="356">
        <f>IF(L$3="","",((入力データ!$C$93*(1+前提条件!$C$61))+L37-L40))</f>
        <v/>
      </c>
      <c r="M33" s="356">
        <f>IF(M$3="","",((入力データ!$C$93*(1+前提条件!$C$61))+M37-M40))</f>
        <v/>
      </c>
      <c r="N33" s="356">
        <f>IF(N$3="","",((入力データ!$C$93*(1+前提条件!$C$61))+N37-N40))</f>
        <v/>
      </c>
      <c r="O33" s="356">
        <f>IF(O$3="","",((入力データ!$C$93*(1+前提条件!$C$61))+O37-O40))</f>
        <v/>
      </c>
      <c r="P33" s="356">
        <f>IF(P$3="","",((入力データ!$C$93*(1+前提条件!$C$61))+P37-P40))</f>
        <v/>
      </c>
      <c r="Q33" s="356">
        <f>IF(Q$3="","",((入力データ!$C$93*(1+前提条件!$C$61))+Q37-Q40))</f>
        <v/>
      </c>
      <c r="R33" s="356">
        <f>IF(R$3="","",((入力データ!$C$93*(1+前提条件!$C$61))+R37-R40))</f>
        <v/>
      </c>
      <c r="S33" s="356">
        <f>IF(S$3="","",((入力データ!$C$93*(1+前提条件!$C$61))+S37-S40))</f>
        <v/>
      </c>
      <c r="T33" s="356">
        <f>IF(T$3="","",((入力データ!$C$93*(1+前提条件!$C$61))+T37-T40))</f>
        <v/>
      </c>
      <c r="U33" s="356">
        <f>IF(U$3="","",((入力データ!$C$93*(1+前提条件!$C$61))+U37-U40))</f>
        <v/>
      </c>
      <c r="V33" s="356">
        <f>IF(V$3="","",((入力データ!$C$93*(1+前提条件!$C$61))+V37-V40))</f>
        <v/>
      </c>
      <c r="W33" s="356">
        <f>IF(W$3="","",((入力データ!$C$93*(1+前提条件!$C$61))+W37-W40))</f>
        <v/>
      </c>
      <c r="X33" s="356">
        <f>IF(X$3="","",((入力データ!$C$93*(1+前提条件!$C$61))+X37-X40))</f>
        <v/>
      </c>
      <c r="Y33" s="356">
        <f>IF(Y$3="","",((入力データ!$C$93*(1+前提条件!$C$61))+Y37-Y40))</f>
        <v/>
      </c>
      <c r="Z33" s="356">
        <f>IF(Z$3="","",((入力データ!$C$93*(1+前提条件!$C$61))+Z37-Z40))</f>
        <v/>
      </c>
      <c r="AA33" s="356">
        <f>IF(AA$3="","",((入力データ!$C$93*(1+前提条件!$C$61))+AA37-AA40))</f>
        <v/>
      </c>
      <c r="AB33" s="356">
        <f>IF(AB$3="","",((入力データ!$C$93*(1+前提条件!$C$61))+AB37-AB40))</f>
        <v/>
      </c>
      <c r="AC33" s="356">
        <f>IF(AC$3="","",((入力データ!$C$93*(1+前提条件!$C$61))+AC37-AC40))</f>
        <v/>
      </c>
      <c r="AD33" s="356">
        <f>IF(AD$3="","",((入力データ!$C$93*(1+前提条件!$C$61))+AD37-AD40))</f>
        <v/>
      </c>
      <c r="AE33" s="356">
        <f>IF(AE$3="","",((入力データ!$C$93*(1+前提条件!$C$61))+AE37-AE40))</f>
        <v/>
      </c>
      <c r="AF33" s="356">
        <f>IF(AF$3="","",((入力データ!$C$93*(1+前提条件!$C$61))+AF37-AF40))</f>
        <v/>
      </c>
      <c r="AG33" s="356">
        <f>IF(AG$3="","",((入力データ!$C$93*(1+前提条件!$C$61))+AG37-AG40))</f>
        <v/>
      </c>
      <c r="AH33" s="356">
        <f>IF(AH$3="","",((入力データ!$C$93*(1+前提条件!$C$61))+AH37-AH40))</f>
        <v/>
      </c>
      <c r="AI33" s="356">
        <f>IF(AI$3="","",((入力データ!$C$93*(1+前提条件!$C$61))+AI37-AI40))</f>
        <v/>
      </c>
      <c r="AJ33" s="356">
        <f>IF(AJ$3="","",((入力データ!$C$93*(1+前提条件!$C$61))+AJ37-AJ40))</f>
        <v/>
      </c>
      <c r="AK33" s="356">
        <f>IF(AK$3="","",((入力データ!$C$93*(1+前提条件!$C$61))+AK37-AK40))</f>
        <v/>
      </c>
      <c r="AL33" s="356">
        <f>IF(AL$3="","",((入力データ!$C$93*(1+前提条件!$C$61))+AL37-AL40))</f>
        <v/>
      </c>
      <c r="AM33" s="356">
        <f>IF(AM$3="","",((入力データ!$C$93*(1+前提条件!$C$61))+AM37-AM40))</f>
        <v/>
      </c>
      <c r="AN33" s="356">
        <f>IF(AN$3="","",((入力データ!$C$93*(1+前提条件!$C$61))+AN37-AN40))</f>
        <v/>
      </c>
      <c r="AO33" s="356">
        <f>IF(AO$3="","",((入力データ!$C$93*(1+前提条件!$C$61))+AO37-AO40))</f>
        <v/>
      </c>
      <c r="AP33" s="356">
        <f>IF(AP$3="","",((入力データ!$C$93*(1+前提条件!$C$61))+AP37-AP40))</f>
        <v/>
      </c>
      <c r="AQ33" s="356">
        <f>IF(AQ$3="","",((入力データ!$C$93*(1+前提条件!$C$61))+AQ37-AQ40))</f>
        <v/>
      </c>
      <c r="AR33" s="356">
        <f>IF(AR$3="","",((入力データ!$C$93*(1+前提条件!$C$61))+AR37-AR40))</f>
        <v/>
      </c>
      <c r="AS33" s="356">
        <f>IF(AS$3="","",((入力データ!$C$93*(1+前提条件!$C$61))+AS37-AS40))</f>
        <v/>
      </c>
      <c r="AT33" s="356">
        <f>IF(AT$3="","",((入力データ!$C$93*(1+前提条件!$C$61))+AT37-AT40))</f>
        <v/>
      </c>
      <c r="AU33" s="356">
        <f>IF(AU$3="","",((入力データ!$C$93*(1+前提条件!$C$61))+AU37-AU40))</f>
        <v/>
      </c>
      <c r="AV33" s="356">
        <f>IF(AV$3="","",((入力データ!$C$93*(1+前提条件!$C$61))+AV37-AV40))</f>
        <v/>
      </c>
      <c r="AW33" s="356">
        <f>IF(AW$3="","",((入力データ!$C$93*(1+前提条件!$C$61))+AW37-AW40))</f>
        <v/>
      </c>
      <c r="AX33" s="356">
        <f>IF(AX$3="","",((入力データ!$C$93*(1+前提条件!$C$61))+AX37-AX40))</f>
        <v/>
      </c>
      <c r="AY33" s="356">
        <f>IF(AY$3="","",((入力データ!$C$93*(1+前提条件!$C$61))+AY37-AY40))</f>
        <v/>
      </c>
      <c r="AZ33" s="356">
        <f>IF(AZ$3="","",((入力データ!$C$93*(1+前提条件!$C$61))+AZ37-AZ40))</f>
        <v/>
      </c>
      <c r="BA33" s="356">
        <f>IF(BA$3="","",((入力データ!$C$93*(1+前提条件!$C$61))+BA37-BA40))</f>
        <v/>
      </c>
      <c r="BB33" s="356">
        <f>IF(BB$3="","",((入力データ!$C$93*(1+前提条件!$C$61))+BB37-BB40))</f>
        <v/>
      </c>
      <c r="BC33" s="356">
        <f>IF(BC$3="","",((入力データ!$C$93*(1+前提条件!$C$61))+BC37-BC40))</f>
        <v/>
      </c>
      <c r="BD33" s="356">
        <f>IF(BD$3="","",((入力データ!$C$93*(1+前提条件!$C$61))+BD37-BD40))</f>
        <v/>
      </c>
      <c r="BE33" s="356">
        <f>IF(BE$3="","",((入力データ!$C$93*(1+前提条件!$C$61))+BE37-BE40))</f>
        <v/>
      </c>
      <c r="BF33" s="356">
        <f>IF(BF$3="","",((入力データ!$C$93*(1+前提条件!$C$61))+BF37-BF40))</f>
        <v/>
      </c>
      <c r="BG33" s="356">
        <f>IF(BG$3="","",((入力データ!$C$93*(1+前提条件!$C$61))+BG37-BG40))</f>
        <v/>
      </c>
      <c r="BH33" s="356">
        <f>IF(BH$3="","",((入力データ!$C$93*(1+前提条件!$C$61))+BH37-BH40))</f>
        <v/>
      </c>
      <c r="BI33" s="356">
        <f>IF(BI$3="","",((入力データ!$C$93*(1+前提条件!$C$61))+BI37-BI40))</f>
        <v/>
      </c>
      <c r="BJ33" s="356">
        <f>IF(BJ$3="","",((入力データ!$C$93*(1+前提条件!$C$61))+BJ37-BJ40))</f>
        <v/>
      </c>
      <c r="BK33" s="356">
        <f>IF(BK$3="","",((入力データ!$C$93*(1+前提条件!$C$61))+BK37-BK40))</f>
        <v/>
      </c>
      <c r="BL33" s="356">
        <f>IF(BL$3="","",((入力データ!$C$93*(1+前提条件!$C$61))+BL37-BL40))</f>
        <v/>
      </c>
      <c r="BM33" s="356">
        <f>IF(BM$3="","",((入力データ!$C$93*(1+前提条件!$C$61))+BM37-BM40))</f>
        <v/>
      </c>
      <c r="BN33" s="356">
        <f>IF(BN$3="","",((入力データ!$C$93*(1+前提条件!$C$61))+BN37-BN40))</f>
        <v/>
      </c>
      <c r="BO33" s="356">
        <f>IF(BO$3="","",((入力データ!$C$93*(1+前提条件!$C$61))+BO37-BO40))</f>
        <v/>
      </c>
      <c r="BP33" s="356">
        <f>IF(BP$3="","",((入力データ!$C$93*(1+前提条件!$C$61))+BP37-BP40))</f>
        <v/>
      </c>
      <c r="BQ33" s="356">
        <f>IF(BQ$3="","",((入力データ!$C$93*(1+前提条件!$C$61))+BQ37-BQ40))</f>
        <v/>
      </c>
      <c r="BR33" s="356">
        <f>IF(BR$3="","",((入力データ!$C$93*(1+前提条件!$C$61))+BR37-BR40))</f>
        <v/>
      </c>
      <c r="BS33" s="356">
        <f>IF(BS$3="","",((入力データ!$C$93*(1+前提条件!$C$61))+BS37-BS40))</f>
        <v/>
      </c>
      <c r="BT33" s="356">
        <f>IF(BT$3="","",((入力データ!$C$93*(1+前提条件!$C$61))+BT37-BT40))</f>
        <v/>
      </c>
      <c r="BU33" s="356">
        <f>IF(BU$3="","",((入力データ!$C$93*(1+前提条件!$C$61))+BU37-BU40))</f>
        <v/>
      </c>
      <c r="BV33" s="356">
        <f>IF(BV$3="","",((入力データ!$C$93*(1+前提条件!$C$61))+BV37-BV40))</f>
        <v/>
      </c>
      <c r="BW33" s="356">
        <f>IF(BW$3="","",((入力データ!$C$93*(1+前提条件!$C$61))+BW37-BW40))</f>
        <v/>
      </c>
      <c r="BX33" s="356">
        <f>IF(BX$3="","",((入力データ!$C$93*(1+前提条件!$C$61))+BX37-BX40))</f>
        <v/>
      </c>
      <c r="BY33" s="356">
        <f>IF(BY$3="","",((入力データ!$C$93*(1+前提条件!$C$61))+BY37-BY40))</f>
        <v/>
      </c>
      <c r="BZ33" s="356">
        <f>IF(BZ$3="","",((入力データ!$C$93*(1+前提条件!$C$61))+BZ37-BZ40))</f>
        <v/>
      </c>
      <c r="CA33" s="356">
        <f>IF(CA$3="","",((入力データ!$C$93*(1+前提条件!$C$61))+CA37-CA40))</f>
        <v/>
      </c>
      <c r="CB33" s="356">
        <f>IF(CB$3="","",((入力データ!$C$93*(1+前提条件!$C$61))+CB37-CB40))</f>
        <v/>
      </c>
      <c r="CC33" s="356">
        <f>IF(CC$3="","",((入力データ!$C$93*(1+前提条件!$C$61))+CC37-CC40))</f>
        <v/>
      </c>
      <c r="CD33" s="356">
        <f>IF(CD$3="","",((入力データ!$C$93*(1+前提条件!$C$61))+CD37-CD40))</f>
        <v/>
      </c>
      <c r="CE33" s="356">
        <f>IF(CE$3="","",((入力データ!$C$93*(1+前提条件!$C$61))+CE37-CE40))</f>
        <v/>
      </c>
      <c r="CF33" s="356">
        <f>IF(CF$3="","",((入力データ!$C$93*(1+前提条件!$C$61))+CF37-CF40))</f>
        <v/>
      </c>
      <c r="CG33" s="356">
        <f>IF(CG$3="","",((入力データ!$C$93*(1+前提条件!$C$61))+CG37-CG40))</f>
        <v/>
      </c>
      <c r="CH33" s="356">
        <f>IF(CH$3="","",((入力データ!$C$93*(1+前提条件!$C$61))+CH37-CH40))</f>
        <v/>
      </c>
      <c r="CI33" s="356">
        <f>IF(CI$3="","",((入力データ!$C$93*(1+前提条件!$C$61))+CI37-CI40))</f>
        <v/>
      </c>
      <c r="CJ33" s="356">
        <f>IF(CJ$3="","",((入力データ!$C$93*(1+前提条件!$C$61))+CJ37-CJ40))</f>
        <v/>
      </c>
      <c r="CK33" s="356">
        <f>IF(CK$3="","",((入力データ!$C$93*(1+前提条件!$C$61))+CK37-CK40))</f>
        <v/>
      </c>
      <c r="CL33" s="356">
        <f>IF(CL$3="","",((入力データ!$C$93*(1+前提条件!$C$61))+CL37-CL40))</f>
        <v/>
      </c>
      <c r="CM33" s="356">
        <f>IF(CM$3="","",((入力データ!$C$93*(1+前提条件!$C$61))+CM37-CM40))</f>
        <v/>
      </c>
      <c r="CN33" s="356">
        <f>IF(CN$3="","",((入力データ!$C$93*(1+前提条件!$C$61))+CN37-CN40))</f>
        <v/>
      </c>
      <c r="CO33" s="356">
        <f>IF(CO$3="","",((入力データ!$C$93*(1+前提条件!$C$61))+CO37-CO40))</f>
        <v/>
      </c>
      <c r="CP33" s="356">
        <f>IF(CP$3="","",((入力データ!$C$93*(1+前提条件!$C$61))+CP37-CP40))</f>
        <v/>
      </c>
      <c r="CQ33" s="356">
        <f>IF(CQ$3="","",((入力データ!$C$93*(1+前提条件!$C$61))+CQ37-CQ40))</f>
        <v/>
      </c>
      <c r="CR33" s="356">
        <f>IF(CR$3="","",((入力データ!$C$93*(1+前提条件!$C$61))+CR37-CR40))</f>
        <v/>
      </c>
      <c r="CS33" s="356">
        <f>IF(CS$3="","",((入力データ!$C$93*(1+前提条件!$C$61))+CS37-CS40))</f>
        <v/>
      </c>
      <c r="CT33" s="356">
        <f>IF(CT$3="","",((入力データ!$C$93*(1+前提条件!$C$61))+CT37-CT40))</f>
        <v/>
      </c>
      <c r="CU33" s="356">
        <f>IF(CU$3="","",((入力データ!$C$93*(1+前提条件!$C$61))+CU37-CU40))</f>
        <v/>
      </c>
      <c r="CV33" s="356">
        <f>IF(CV$3="","",((入力データ!$C$93*(1+前提条件!$C$61))+CV37-CV40))</f>
        <v/>
      </c>
      <c r="CW33" s="356">
        <f>IF(CW$3="","",((入力データ!$C$93*(1+前提条件!$C$61))+CW37-CW40))</f>
        <v/>
      </c>
    </row>
    <row r="34" ht="15" customHeight="1" s="180">
      <c r="A34" s="235" t="inlineStr">
        <is>
          <t>住宅ローン残高</t>
        </is>
      </c>
      <c r="B34" s="357">
        <f>IF(B$3="","",MAX(入力データ!$C$95-B41,0))</f>
        <v/>
      </c>
      <c r="C34" s="357">
        <f>IF(C$3="","",MAX(B34-C41,0))</f>
        <v/>
      </c>
      <c r="D34" s="357">
        <f>IF(D$3="","",MAX(C34-D41,0))</f>
        <v/>
      </c>
      <c r="E34" s="357">
        <f>IF(E$3="","",MAX(D34-E41,0))</f>
        <v/>
      </c>
      <c r="F34" s="357">
        <f>IF(F$3="","",MAX(E34-F41,0))</f>
        <v/>
      </c>
      <c r="G34" s="357">
        <f>IF(G$3="","",MAX(F34-G41,0))</f>
        <v/>
      </c>
      <c r="H34" s="357">
        <f>IF(H$3="","",MAX(G34-H41,0))</f>
        <v/>
      </c>
      <c r="I34" s="357">
        <f>IF(I$3="","",MAX(H34-I41,0))</f>
        <v/>
      </c>
      <c r="J34" s="357">
        <f>IF(J$3="","",MAX(I34-J41,0))</f>
        <v/>
      </c>
      <c r="K34" s="357">
        <f>IF(K$3="","",MAX(J34-K41,0))</f>
        <v/>
      </c>
      <c r="L34" s="357">
        <f>IF(L$3="","",MAX(K34-L41,0))</f>
        <v/>
      </c>
      <c r="M34" s="357">
        <f>IF(M$3="","",MAX(L34-M41,0))</f>
        <v/>
      </c>
      <c r="N34" s="357">
        <f>IF(N$3="","",MAX(M34-N41,0))</f>
        <v/>
      </c>
      <c r="O34" s="357">
        <f>IF(O$3="","",MAX(N34-O41,0))</f>
        <v/>
      </c>
      <c r="P34" s="357">
        <f>IF(P$3="","",MAX(O34-P41,0))</f>
        <v/>
      </c>
      <c r="Q34" s="357">
        <f>IF(Q$3="","",MAX(P34-Q41,0))</f>
        <v/>
      </c>
      <c r="R34" s="357">
        <f>IF(R$3="","",MAX(Q34-R41,0))</f>
        <v/>
      </c>
      <c r="S34" s="357">
        <f>IF(S$3="","",MAX(R34-S41,0))</f>
        <v/>
      </c>
      <c r="T34" s="357">
        <f>IF(T$3="","",MAX(S34-T41,0))</f>
        <v/>
      </c>
      <c r="U34" s="357">
        <f>IF(U$3="","",MAX(T34-U41,0))</f>
        <v/>
      </c>
      <c r="V34" s="357">
        <f>IF(V$3="","",MAX(U34-V41,0))</f>
        <v/>
      </c>
      <c r="W34" s="357">
        <f>IF(W$3="","",MAX(V34-W41,0))</f>
        <v/>
      </c>
      <c r="X34" s="357">
        <f>IF(X$3="","",MAX(W34-X41,0))</f>
        <v/>
      </c>
      <c r="Y34" s="357">
        <f>IF(Y$3="","",MAX(X34-Y41,0))</f>
        <v/>
      </c>
      <c r="Z34" s="357">
        <f>IF(Z$3="","",MAX(Y34-Z41,0))</f>
        <v/>
      </c>
      <c r="AA34" s="357">
        <f>IF(AA$3="","",MAX(Z34-AA41,0))</f>
        <v/>
      </c>
      <c r="AB34" s="357">
        <f>IF(AB$3="","",MAX(AA34-AB41,0))</f>
        <v/>
      </c>
      <c r="AC34" s="357">
        <f>IF(AC$3="","",MAX(AB34-AC41,0))</f>
        <v/>
      </c>
      <c r="AD34" s="357">
        <f>IF(AD$3="","",MAX(AC34-AD41,0))</f>
        <v/>
      </c>
      <c r="AE34" s="357">
        <f>IF(AE$3="","",MAX(AD34-AE41,0))</f>
        <v/>
      </c>
      <c r="AF34" s="357">
        <f>IF(AF$3="","",MAX(AE34-AF41,0))</f>
        <v/>
      </c>
      <c r="AG34" s="357">
        <f>IF(AG$3="","",MAX(AF34-AG41,0))</f>
        <v/>
      </c>
      <c r="AH34" s="357">
        <f>IF(AH$3="","",MAX(AG34-AH41,0))</f>
        <v/>
      </c>
      <c r="AI34" s="357">
        <f>IF(AI$3="","",MAX(AH34-AI41,0))</f>
        <v/>
      </c>
      <c r="AJ34" s="357">
        <f>IF(AJ$3="","",MAX(AI34-AJ41,0))</f>
        <v/>
      </c>
      <c r="AK34" s="357">
        <f>IF(AK$3="","",MAX(AJ34-AK41,0))</f>
        <v/>
      </c>
      <c r="AL34" s="357">
        <f>IF(AL$3="","",MAX(AK34-AL41,0))</f>
        <v/>
      </c>
      <c r="AM34" s="357">
        <f>IF(AM$3="","",MAX(AL34-AM41,0))</f>
        <v/>
      </c>
      <c r="AN34" s="357">
        <f>IF(AN$3="","",MAX(AM34-AN41,0))</f>
        <v/>
      </c>
      <c r="AO34" s="357">
        <f>IF(AO$3="","",MAX(AN34-AO41,0))</f>
        <v/>
      </c>
      <c r="AP34" s="357">
        <f>IF(AP$3="","",MAX(AO34-AP41,0))</f>
        <v/>
      </c>
      <c r="AQ34" s="357">
        <f>IF(AQ$3="","",MAX(AP34-AQ41,0))</f>
        <v/>
      </c>
      <c r="AR34" s="357">
        <f>IF(AR$3="","",MAX(AQ34-AR41,0))</f>
        <v/>
      </c>
      <c r="AS34" s="357">
        <f>IF(AS$3="","",MAX(AR34-AS41,0))</f>
        <v/>
      </c>
      <c r="AT34" s="357">
        <f>IF(AT$3="","",MAX(AS34-AT41,0))</f>
        <v/>
      </c>
      <c r="AU34" s="357">
        <f>IF(AU$3="","",MAX(AT34-AU41,0))</f>
        <v/>
      </c>
      <c r="AV34" s="357">
        <f>IF(AV$3="","",MAX(AU34-AV41,0))</f>
        <v/>
      </c>
      <c r="AW34" s="357">
        <f>IF(AW$3="","",MAX(AV34-AW41,0))</f>
        <v/>
      </c>
      <c r="AX34" s="357">
        <f>IF(AX$3="","",MAX(AW34-AX41,0))</f>
        <v/>
      </c>
      <c r="AY34" s="357">
        <f>IF(AY$3="","",MAX(AX34-AY41,0))</f>
        <v/>
      </c>
      <c r="AZ34" s="357">
        <f>IF(AZ$3="","",MAX(AY34-AZ41,0))</f>
        <v/>
      </c>
      <c r="BA34" s="357">
        <f>IF(BA$3="","",MAX(AZ34-BA41,0))</f>
        <v/>
      </c>
      <c r="BB34" s="357">
        <f>IF(BB$3="","",MAX(BA34-BB41,0))</f>
        <v/>
      </c>
      <c r="BC34" s="357">
        <f>IF(BC$3="","",MAX(BB34-BC41,0))</f>
        <v/>
      </c>
      <c r="BD34" s="357">
        <f>IF(BD$3="","",MAX(BC34-BD41,0))</f>
        <v/>
      </c>
      <c r="BE34" s="357">
        <f>IF(BE$3="","",MAX(BD34-BE41,0))</f>
        <v/>
      </c>
      <c r="BF34" s="357">
        <f>IF(BF$3="","",MAX(BE34-BF41,0))</f>
        <v/>
      </c>
      <c r="BG34" s="357">
        <f>IF(BG$3="","",MAX(BF34-BG41,0))</f>
        <v/>
      </c>
      <c r="BH34" s="357">
        <f>IF(BH$3="","",MAX(BG34-BH41,0))</f>
        <v/>
      </c>
      <c r="BI34" s="357">
        <f>IF(BI$3="","",MAX(BH34-BI41,0))</f>
        <v/>
      </c>
      <c r="BJ34" s="357">
        <f>IF(BJ$3="","",MAX(BI34-BJ41,0))</f>
        <v/>
      </c>
      <c r="BK34" s="357">
        <f>IF(BK$3="","",MAX(BJ34-BK41,0))</f>
        <v/>
      </c>
      <c r="BL34" s="357">
        <f>IF(BL$3="","",MAX(BK34-BL41,0))</f>
        <v/>
      </c>
      <c r="BM34" s="357">
        <f>IF(BM$3="","",MAX(BL34-BM41,0))</f>
        <v/>
      </c>
      <c r="BN34" s="357">
        <f>IF(BN$3="","",MAX(BM34-BN41,0))</f>
        <v/>
      </c>
      <c r="BO34" s="357">
        <f>IF(BO$3="","",MAX(BN34-BO41,0))</f>
        <v/>
      </c>
      <c r="BP34" s="357">
        <f>IF(BP$3="","",MAX(BO34-BP41,0))</f>
        <v/>
      </c>
      <c r="BQ34" s="357">
        <f>IF(BQ$3="","",MAX(BP34-BQ41,0))</f>
        <v/>
      </c>
      <c r="BR34" s="357">
        <f>IF(BR$3="","",MAX(BQ34-BR41,0))</f>
        <v/>
      </c>
      <c r="BS34" s="357">
        <f>IF(BS$3="","",MAX(BR34-BS41,0))</f>
        <v/>
      </c>
      <c r="BT34" s="357">
        <f>IF(BT$3="","",MAX(BS34-BT41,0))</f>
        <v/>
      </c>
      <c r="BU34" s="357">
        <f>IF(BU$3="","",MAX(BT34-BU41,0))</f>
        <v/>
      </c>
      <c r="BV34" s="357">
        <f>IF(BV$3="","",MAX(BU34-BV41,0))</f>
        <v/>
      </c>
      <c r="BW34" s="357">
        <f>IF(BW$3="","",MAX(BV34-BW41,0))</f>
        <v/>
      </c>
      <c r="BX34" s="357">
        <f>IF(BX$3="","",MAX(BW34-BX41,0))</f>
        <v/>
      </c>
      <c r="BY34" s="357">
        <f>IF(BY$3="","",MAX(BX34-BY41,0))</f>
        <v/>
      </c>
      <c r="BZ34" s="357">
        <f>IF(BZ$3="","",MAX(BY34-BZ41,0))</f>
        <v/>
      </c>
      <c r="CA34" s="357">
        <f>IF(CA$3="","",MAX(BZ34-CA41,0))</f>
        <v/>
      </c>
      <c r="CB34" s="357">
        <f>IF(CB$3="","",MAX(CA34-CB41,0))</f>
        <v/>
      </c>
      <c r="CC34" s="357">
        <f>IF(CC$3="","",MAX(CB34-CC41,0))</f>
        <v/>
      </c>
      <c r="CD34" s="357">
        <f>IF(CD$3="","",MAX(CC34-CD41,0))</f>
        <v/>
      </c>
      <c r="CE34" s="357">
        <f>IF(CE$3="","",MAX(CD34-CE41,0))</f>
        <v/>
      </c>
      <c r="CF34" s="357">
        <f>IF(CF$3="","",MAX(CE34-CF41,0))</f>
        <v/>
      </c>
      <c r="CG34" s="357">
        <f>IF(CG$3="","",MAX(CF34-CG41,0))</f>
        <v/>
      </c>
      <c r="CH34" s="357">
        <f>IF(CH$3="","",MAX(CG34-CH41,0))</f>
        <v/>
      </c>
      <c r="CI34" s="357">
        <f>IF(CI$3="","",MAX(CH34-CI41,0))</f>
        <v/>
      </c>
      <c r="CJ34" s="357">
        <f>IF(CJ$3="","",MAX(CI34-CJ41,0))</f>
        <v/>
      </c>
      <c r="CK34" s="357">
        <f>IF(CK$3="","",MAX(CJ34-CK41,0))</f>
        <v/>
      </c>
      <c r="CL34" s="357">
        <f>IF(CL$3="","",MAX(CK34-CL41,0))</f>
        <v/>
      </c>
      <c r="CM34" s="357">
        <f>IF(CM$3="","",MAX(CL34-CM41,0))</f>
        <v/>
      </c>
      <c r="CN34" s="357">
        <f>IF(CN$3="","",MAX(CM34-CN41,0))</f>
        <v/>
      </c>
      <c r="CO34" s="357">
        <f>IF(CO$3="","",MAX(CN34-CO41,0))</f>
        <v/>
      </c>
      <c r="CP34" s="357">
        <f>IF(CP$3="","",MAX(CO34-CP41,0))</f>
        <v/>
      </c>
      <c r="CQ34" s="357">
        <f>IF(CQ$3="","",MAX(CP34-CQ41,0))</f>
        <v/>
      </c>
      <c r="CR34" s="357">
        <f>IF(CR$3="","",MAX(CQ34-CR41,0))</f>
        <v/>
      </c>
      <c r="CS34" s="357">
        <f>IF(CS$3="","",MAX(CR34-CS41,0))</f>
        <v/>
      </c>
      <c r="CT34" s="357">
        <f>IF(CT$3="","",MAX(CS34-CT41,0))</f>
        <v/>
      </c>
      <c r="CU34" s="357">
        <f>IF(CU$3="","",MAX(CT34-CU41,0))</f>
        <v/>
      </c>
      <c r="CV34" s="357">
        <f>IF(CV$3="","",MAX(CU34-CV41,0))</f>
        <v/>
      </c>
      <c r="CW34" s="357">
        <f>IF(CW$3="","",MAX(CV34-CW41,0))</f>
        <v/>
      </c>
    </row>
    <row r="35" ht="21.75" customHeight="1" s="180">
      <c r="A35" s="237" t="inlineStr">
        <is>
          <t>保有資産合計（ローン除く）</t>
        </is>
      </c>
      <c r="B35" s="358">
        <f>IF(B$3="","",B31+B32+B33)</f>
        <v/>
      </c>
      <c r="C35" s="358">
        <f>IF(C$3="","",C31+C32+C33)</f>
        <v/>
      </c>
      <c r="D35" s="358">
        <f>IF(D$3="","",D31+D32+D33)</f>
        <v/>
      </c>
      <c r="E35" s="358">
        <f>IF(E$3="","",E31+E32+E33)</f>
        <v/>
      </c>
      <c r="F35" s="358">
        <f>IF(F$3="","",F31+F32+F33)</f>
        <v/>
      </c>
      <c r="G35" s="358">
        <f>IF(G$3="","",G31+G32+G33)</f>
        <v/>
      </c>
      <c r="H35" s="358">
        <f>IF(H$3="","",H31+H32+H33)</f>
        <v/>
      </c>
      <c r="I35" s="358">
        <f>IF(I$3="","",I31+I32+I33)</f>
        <v/>
      </c>
      <c r="J35" s="358">
        <f>IF(J$3="","",J31+J32+J33)</f>
        <v/>
      </c>
      <c r="K35" s="358">
        <f>IF(K$3="","",K31+K32+K33)</f>
        <v/>
      </c>
      <c r="L35" s="358">
        <f>IF(L$3="","",L31+L32+L33)</f>
        <v/>
      </c>
      <c r="M35" s="358">
        <f>IF(M$3="","",M31+M32+M33)</f>
        <v/>
      </c>
      <c r="N35" s="358">
        <f>IF(N$3="","",N31+N32+N33)</f>
        <v/>
      </c>
      <c r="O35" s="358">
        <f>IF(O$3="","",O31+O32+O33)</f>
        <v/>
      </c>
      <c r="P35" s="358">
        <f>IF(P$3="","",P31+P32+P33)</f>
        <v/>
      </c>
      <c r="Q35" s="358">
        <f>IF(Q$3="","",Q31+Q32+Q33)</f>
        <v/>
      </c>
      <c r="R35" s="358">
        <f>IF(R$3="","",R31+R32+R33)</f>
        <v/>
      </c>
      <c r="S35" s="358">
        <f>IF(S$3="","",S31+S32+S33)</f>
        <v/>
      </c>
      <c r="T35" s="358">
        <f>IF(T$3="","",T31+T32+T33)</f>
        <v/>
      </c>
      <c r="U35" s="358">
        <f>IF(U$3="","",U31+U32+U33)</f>
        <v/>
      </c>
      <c r="V35" s="358">
        <f>IF(V$3="","",V31+V32+V33)</f>
        <v/>
      </c>
      <c r="W35" s="358">
        <f>IF(W$3="","",W31+W32+W33)</f>
        <v/>
      </c>
      <c r="X35" s="358">
        <f>IF(X$3="","",X31+X32+X33)</f>
        <v/>
      </c>
      <c r="Y35" s="358">
        <f>IF(Y$3="","",Y31+Y32+Y33)</f>
        <v/>
      </c>
      <c r="Z35" s="358">
        <f>IF(Z$3="","",Z31+Z32+Z33)</f>
        <v/>
      </c>
      <c r="AA35" s="358">
        <f>IF(AA$3="","",AA31+AA32+AA33)</f>
        <v/>
      </c>
      <c r="AB35" s="358">
        <f>IF(AB$3="","",AB31+AB32+AB33)</f>
        <v/>
      </c>
      <c r="AC35" s="358">
        <f>IF(AC$3="","",AC31+AC32+AC33)</f>
        <v/>
      </c>
      <c r="AD35" s="358">
        <f>IF(AD$3="","",AD31+AD32+AD33)</f>
        <v/>
      </c>
      <c r="AE35" s="358">
        <f>IF(AE$3="","",AE31+AE32+AE33)</f>
        <v/>
      </c>
      <c r="AF35" s="358">
        <f>IF(AF$3="","",AF31+AF32+AF33)</f>
        <v/>
      </c>
      <c r="AG35" s="358">
        <f>IF(AG$3="","",AG31+AG32+AG33)</f>
        <v/>
      </c>
      <c r="AH35" s="358">
        <f>IF(AH$3="","",AH31+AH32+AH33)</f>
        <v/>
      </c>
      <c r="AI35" s="358">
        <f>IF(AI$3="","",AI31+AI32+AI33)</f>
        <v/>
      </c>
      <c r="AJ35" s="358">
        <f>IF(AJ$3="","",AJ31+AJ32+AJ33)</f>
        <v/>
      </c>
      <c r="AK35" s="358">
        <f>IF(AK$3="","",AK31+AK32+AK33)</f>
        <v/>
      </c>
      <c r="AL35" s="358">
        <f>IF(AL$3="","",AL31+AL32+AL33)</f>
        <v/>
      </c>
      <c r="AM35" s="358">
        <f>IF(AM$3="","",AM31+AM32+AM33)</f>
        <v/>
      </c>
      <c r="AN35" s="358">
        <f>IF(AN$3="","",AN31+AN32+AN33)</f>
        <v/>
      </c>
      <c r="AO35" s="358">
        <f>IF(AO$3="","",AO31+AO32+AO33)</f>
        <v/>
      </c>
      <c r="AP35" s="358">
        <f>IF(AP$3="","",AP31+AP32+AP33)</f>
        <v/>
      </c>
      <c r="AQ35" s="358">
        <f>IF(AQ$3="","",AQ31+AQ32+AQ33)</f>
        <v/>
      </c>
      <c r="AR35" s="358">
        <f>IF(AR$3="","",AR31+AR32+AR33)</f>
        <v/>
      </c>
      <c r="AS35" s="358">
        <f>IF(AS$3="","",AS31+AS32+AS33)</f>
        <v/>
      </c>
      <c r="AT35" s="358">
        <f>IF(AT$3="","",AT31+AT32+AT33)</f>
        <v/>
      </c>
      <c r="AU35" s="358">
        <f>IF(AU$3="","",AU31+AU32+AU33)</f>
        <v/>
      </c>
      <c r="AV35" s="358">
        <f>IF(AV$3="","",AV31+AV32+AV33)</f>
        <v/>
      </c>
      <c r="AW35" s="358">
        <f>IF(AW$3="","",AW31+AW32+AW33)</f>
        <v/>
      </c>
      <c r="AX35" s="358">
        <f>IF(AX$3="","",AX31+AX32+AX33)</f>
        <v/>
      </c>
      <c r="AY35" s="358">
        <f>IF(AY$3="","",AY31+AY32+AY33)</f>
        <v/>
      </c>
      <c r="AZ35" s="358">
        <f>IF(AZ$3="","",AZ31+AZ32+AZ33)</f>
        <v/>
      </c>
      <c r="BA35" s="358">
        <f>IF(BA$3="","",BA31+BA32+BA33)</f>
        <v/>
      </c>
      <c r="BB35" s="358">
        <f>IF(BB$3="","",BB31+BB32+BB33)</f>
        <v/>
      </c>
      <c r="BC35" s="358">
        <f>IF(BC$3="","",BC31+BC32+BC33)</f>
        <v/>
      </c>
      <c r="BD35" s="358">
        <f>IF(BD$3="","",BD31+BD32+BD33)</f>
        <v/>
      </c>
      <c r="BE35" s="358">
        <f>IF(BE$3="","",BE31+BE32+BE33)</f>
        <v/>
      </c>
      <c r="BF35" s="358">
        <f>IF(BF$3="","",BF31+BF32+BF33)</f>
        <v/>
      </c>
      <c r="BG35" s="358">
        <f>IF(BG$3="","",BG31+BG32+BG33)</f>
        <v/>
      </c>
      <c r="BH35" s="358">
        <f>IF(BH$3="","",BH31+BH32+BH33)</f>
        <v/>
      </c>
      <c r="BI35" s="358">
        <f>IF(BI$3="","",BI31+BI32+BI33)</f>
        <v/>
      </c>
      <c r="BJ35" s="358">
        <f>IF(BJ$3="","",BJ31+BJ32+BJ33)</f>
        <v/>
      </c>
      <c r="BK35" s="358">
        <f>IF(BK$3="","",BK31+BK32+BK33)</f>
        <v/>
      </c>
      <c r="BL35" s="358">
        <f>IF(BL$3="","",BL31+BL32+BL33)</f>
        <v/>
      </c>
      <c r="BM35" s="358">
        <f>IF(BM$3="","",BM31+BM32+BM33)</f>
        <v/>
      </c>
      <c r="BN35" s="358">
        <f>IF(BN$3="","",BN31+BN32+BN33)</f>
        <v/>
      </c>
      <c r="BO35" s="358">
        <f>IF(BO$3="","",BO31+BO32+BO33)</f>
        <v/>
      </c>
      <c r="BP35" s="358">
        <f>IF(BP$3="","",BP31+BP32+BP33)</f>
        <v/>
      </c>
      <c r="BQ35" s="358">
        <f>IF(BQ$3="","",BQ31+BQ32+BQ33)</f>
        <v/>
      </c>
      <c r="BR35" s="358">
        <f>IF(BR$3="","",BR31+BR32+BR33)</f>
        <v/>
      </c>
      <c r="BS35" s="358">
        <f>IF(BS$3="","",BS31+BS32+BS33)</f>
        <v/>
      </c>
      <c r="BT35" s="358">
        <f>IF(BT$3="","",BT31+BT32+BT33)</f>
        <v/>
      </c>
      <c r="BU35" s="358">
        <f>IF(BU$3="","",BU31+BU32+BU33)</f>
        <v/>
      </c>
      <c r="BV35" s="358">
        <f>IF(BV$3="","",BV31+BV32+BV33)</f>
        <v/>
      </c>
      <c r="BW35" s="358">
        <f>IF(BW$3="","",BW31+BW32+BW33)</f>
        <v/>
      </c>
      <c r="BX35" s="358">
        <f>IF(BX$3="","",BX31+BX32+BX33)</f>
        <v/>
      </c>
      <c r="BY35" s="358">
        <f>IF(BY$3="","",BY31+BY32+BY33)</f>
        <v/>
      </c>
      <c r="BZ35" s="358">
        <f>IF(BZ$3="","",BZ31+BZ32+BZ33)</f>
        <v/>
      </c>
      <c r="CA35" s="358">
        <f>IF(CA$3="","",CA31+CA32+CA33)</f>
        <v/>
      </c>
      <c r="CB35" s="358">
        <f>IF(CB$3="","",CB31+CB32+CB33)</f>
        <v/>
      </c>
      <c r="CC35" s="358">
        <f>IF(CC$3="","",CC31+CC32+CC33)</f>
        <v/>
      </c>
      <c r="CD35" s="358">
        <f>IF(CD$3="","",CD31+CD32+CD33)</f>
        <v/>
      </c>
      <c r="CE35" s="358">
        <f>IF(CE$3="","",CE31+CE32+CE33)</f>
        <v/>
      </c>
      <c r="CF35" s="358">
        <f>IF(CF$3="","",CF31+CF32+CF33)</f>
        <v/>
      </c>
      <c r="CG35" s="358">
        <f>IF(CG$3="","",CG31+CG32+CG33)</f>
        <v/>
      </c>
      <c r="CH35" s="358">
        <f>IF(CH$3="","",CH31+CH32+CH33)</f>
        <v/>
      </c>
      <c r="CI35" s="358">
        <f>IF(CI$3="","",CI31+CI32+CI33)</f>
        <v/>
      </c>
      <c r="CJ35" s="358">
        <f>IF(CJ$3="","",CJ31+CJ32+CJ33)</f>
        <v/>
      </c>
      <c r="CK35" s="358">
        <f>IF(CK$3="","",CK31+CK32+CK33)</f>
        <v/>
      </c>
      <c r="CL35" s="358">
        <f>IF(CL$3="","",CL31+CL32+CL33)</f>
        <v/>
      </c>
      <c r="CM35" s="358">
        <f>IF(CM$3="","",CM31+CM32+CM33)</f>
        <v/>
      </c>
      <c r="CN35" s="358">
        <f>IF(CN$3="","",CN31+CN32+CN33)</f>
        <v/>
      </c>
      <c r="CO35" s="358">
        <f>IF(CO$3="","",CO31+CO32+CO33)</f>
        <v/>
      </c>
      <c r="CP35" s="358">
        <f>IF(CP$3="","",CP31+CP32+CP33)</f>
        <v/>
      </c>
      <c r="CQ35" s="358">
        <f>IF(CQ$3="","",CQ31+CQ32+CQ33)</f>
        <v/>
      </c>
      <c r="CR35" s="358">
        <f>IF(CR$3="","",CR31+CR32+CR33)</f>
        <v/>
      </c>
      <c r="CS35" s="358">
        <f>IF(CS$3="","",CS31+CS32+CS33)</f>
        <v/>
      </c>
      <c r="CT35" s="358">
        <f>IF(CT$3="","",CT31+CT32+CT33)</f>
        <v/>
      </c>
      <c r="CU35" s="358">
        <f>IF(CU$3="","",CU31+CU32+CU33)</f>
        <v/>
      </c>
      <c r="CV35" s="358">
        <f>IF(CV$3="","",CV31+CV32+CV33)</f>
        <v/>
      </c>
      <c r="CW35" s="358">
        <f>IF(CW$3="","",CW31+CW32+CW33)</f>
        <v/>
      </c>
    </row>
    <row r="36" hidden="1" ht="16.5" customHeight="1" s="180">
      <c r="A36" s="239" t="inlineStr">
        <is>
          <t>投資積立年額(補助)</t>
        </is>
      </c>
      <c r="B36" s="359">
        <f>IF(B$3="","",SUM(入力データ!$C$101:$C$103,入力データ!$C$105)*12)</f>
        <v/>
      </c>
      <c r="C36" s="359">
        <f>IF(C$3="","",SUM(入力データ!$C$101:$C$103,入力データ!$C$105)*12)</f>
        <v/>
      </c>
      <c r="D36" s="359">
        <f>IF(D$3="","",SUM(入力データ!$C$101:$C$103,入力データ!$C$105)*12)</f>
        <v/>
      </c>
      <c r="E36" s="359">
        <f>IF(E$3="","",SUM(入力データ!$C$101:$C$103,入力データ!$C$105)*12)</f>
        <v/>
      </c>
      <c r="F36" s="359">
        <f>IF(F$3="","",SUM(入力データ!$C$101:$C$103,入力データ!$C$105)*12)</f>
        <v/>
      </c>
      <c r="G36" s="359">
        <f>IF(G$3="","",SUM(入力データ!$C$101:$C$103,入力データ!$C$105)*12)</f>
        <v/>
      </c>
      <c r="H36" s="359">
        <f>IF(H$3="","",SUM(入力データ!$C$101:$C$103,入力データ!$C$105)*12)</f>
        <v/>
      </c>
      <c r="I36" s="359">
        <f>IF(I$3="","",SUM(入力データ!$C$101:$C$103,入力データ!$C$105)*12)</f>
        <v/>
      </c>
      <c r="J36" s="359">
        <f>IF(J$3="","",SUM(入力データ!$C$101:$C$103,入力データ!$C$105)*12)</f>
        <v/>
      </c>
      <c r="K36" s="359">
        <f>IF(K$3="","",SUM(入力データ!$C$101:$C$103,入力データ!$C$105)*12)</f>
        <v/>
      </c>
      <c r="L36" s="359">
        <f>IF(L$3="","",SUM(入力データ!$C$101:$C$103,入力データ!$C$105)*12)</f>
        <v/>
      </c>
      <c r="M36" s="359">
        <f>IF(M$3="","",SUM(入力データ!$C$101:$C$103,入力データ!$C$105)*12)</f>
        <v/>
      </c>
      <c r="N36" s="359">
        <f>IF(N$3="","",SUM(入力データ!$C$101:$C$103,入力データ!$C$105)*12)</f>
        <v/>
      </c>
      <c r="O36" s="359">
        <f>IF(O$3="","",SUM(入力データ!$C$101:$C$103,入力データ!$C$105)*12)</f>
        <v/>
      </c>
      <c r="P36" s="359">
        <f>IF(P$3="","",SUM(入力データ!$C$101:$C$103,入力データ!$C$105)*12)</f>
        <v/>
      </c>
      <c r="Q36" s="359">
        <f>IF(Q$3="","",SUM(入力データ!$C$101:$C$103,入力データ!$C$105)*12)</f>
        <v/>
      </c>
      <c r="R36" s="359">
        <f>IF(R$3="","",SUM(入力データ!$C$101:$C$103,入力データ!$C$105)*12)</f>
        <v/>
      </c>
      <c r="S36" s="359">
        <f>IF(S$3="","",SUM(入力データ!$C$101:$C$103,入力データ!$C$105)*12)</f>
        <v/>
      </c>
      <c r="T36" s="359">
        <f>IF(T$3="","",SUM(入力データ!$C$101:$C$103,入力データ!$C$105)*12)</f>
        <v/>
      </c>
      <c r="U36" s="359">
        <f>IF(U$3="","",SUM(入力データ!$C$101:$C$103,入力データ!$C$105)*12)</f>
        <v/>
      </c>
      <c r="V36" s="359">
        <f>IF(V$3="","",SUM(入力データ!$C$101:$C$103,入力データ!$C$105)*12)</f>
        <v/>
      </c>
      <c r="W36" s="359">
        <f>IF(W$3="","",SUM(入力データ!$C$101:$C$103,入力データ!$C$105)*12)</f>
        <v/>
      </c>
      <c r="X36" s="359">
        <f>IF(X$3="","",SUM(入力データ!$C$101:$C$103,入力データ!$C$105)*12)</f>
        <v/>
      </c>
      <c r="Y36" s="359">
        <f>IF(Y$3="","",SUM(入力データ!$C$101:$C$103,入力データ!$C$105)*12)</f>
        <v/>
      </c>
      <c r="Z36" s="359">
        <f>IF(Z$3="","",SUM(入力データ!$C$101:$C$103,入力データ!$C$105)*12)</f>
        <v/>
      </c>
      <c r="AA36" s="359">
        <f>IF(AA$3="","",SUM(入力データ!$C$101:$C$103,入力データ!$C$105)*12)</f>
        <v/>
      </c>
      <c r="AB36" s="359">
        <f>IF(AB$3="","",SUM(入力データ!$C$101:$C$103,入力データ!$C$105)*12)</f>
        <v/>
      </c>
      <c r="AC36" s="359">
        <f>IF(AC$3="","",SUM(入力データ!$C$101:$C$103,入力データ!$C$105)*12)</f>
        <v/>
      </c>
      <c r="AD36" s="359">
        <f>IF(AD$3="","",SUM(入力データ!$C$101:$C$103,入力データ!$C$105)*12)</f>
        <v/>
      </c>
      <c r="AE36" s="359">
        <f>IF(AE$3="","",SUM(入力データ!$C$101:$C$103,入力データ!$C$105)*12)</f>
        <v/>
      </c>
      <c r="AF36" s="359">
        <f>IF(AF$3="","",SUM(入力データ!$C$101:$C$103,入力データ!$C$105)*12)</f>
        <v/>
      </c>
      <c r="AG36" s="359">
        <f>IF(AG$3="","",SUM(入力データ!$C$101:$C$103,入力データ!$C$105)*12)</f>
        <v/>
      </c>
      <c r="AH36" s="359">
        <f>IF(AH$3="","",SUM(入力データ!$C$101:$C$103,入力データ!$C$105)*12)</f>
        <v/>
      </c>
      <c r="AI36" s="359">
        <f>IF(AI$3="","",SUM(入力データ!$C$101:$C$103,入力データ!$C$105)*12)</f>
        <v/>
      </c>
      <c r="AJ36" s="359">
        <f>IF(AJ$3="","",SUM(入力データ!$C$101:$C$103,入力データ!$C$105)*12)</f>
        <v/>
      </c>
      <c r="AK36" s="359">
        <f>IF(AK$3="","",SUM(入力データ!$C$101:$C$103,入力データ!$C$105)*12)</f>
        <v/>
      </c>
      <c r="AL36" s="359">
        <f>IF(AL$3="","",SUM(入力データ!$C$101:$C$103,入力データ!$C$105)*12)</f>
        <v/>
      </c>
      <c r="AM36" s="359">
        <f>IF(AM$3="","",SUM(入力データ!$C$101:$C$103,入力データ!$C$105)*12)</f>
        <v/>
      </c>
      <c r="AN36" s="359">
        <f>IF(AN$3="","",SUM(入力データ!$C$101:$C$103,入力データ!$C$105)*12)</f>
        <v/>
      </c>
      <c r="AO36" s="359">
        <f>IF(AO$3="","",SUM(入力データ!$C$101:$C$103,入力データ!$C$105)*12)</f>
        <v/>
      </c>
      <c r="AP36" s="359">
        <f>IF(AP$3="","",SUM(入力データ!$C$101:$C$103,入力データ!$C$105)*12)</f>
        <v/>
      </c>
      <c r="AQ36" s="359">
        <f>IF(AQ$3="","",SUM(入力データ!$C$101:$C$103,入力データ!$C$105)*12)</f>
        <v/>
      </c>
      <c r="AR36" s="359">
        <f>IF(AR$3="","",SUM(入力データ!$C$101:$C$103,入力データ!$C$105)*12)</f>
        <v/>
      </c>
      <c r="AS36" s="359">
        <f>IF(AS$3="","",SUM(入力データ!$C$101:$C$103,入力データ!$C$105)*12)</f>
        <v/>
      </c>
      <c r="AT36" s="359">
        <f>IF(AT$3="","",SUM(入力データ!$C$101:$C$103,入力データ!$C$105)*12)</f>
        <v/>
      </c>
      <c r="AU36" s="359">
        <f>IF(AU$3="","",SUM(入力データ!$C$101:$C$103,入力データ!$C$105)*12)</f>
        <v/>
      </c>
      <c r="AV36" s="359">
        <f>IF(AV$3="","",SUM(入力データ!$C$101:$C$103,入力データ!$C$105)*12)</f>
        <v/>
      </c>
      <c r="AW36" s="359">
        <f>IF(AW$3="","",SUM(入力データ!$C$101:$C$103,入力データ!$C$105)*12)</f>
        <v/>
      </c>
      <c r="AX36" s="359">
        <f>IF(AX$3="","",SUM(入力データ!$C$101:$C$103,入力データ!$C$105)*12)</f>
        <v/>
      </c>
      <c r="AY36" s="359">
        <f>IF(AY$3="","",SUM(入力データ!$C$101:$C$103,入力データ!$C$105)*12)</f>
        <v/>
      </c>
      <c r="AZ36" s="359">
        <f>IF(AZ$3="","",SUM(入力データ!$C$101:$C$103,入力データ!$C$105)*12)</f>
        <v/>
      </c>
      <c r="BA36" s="359">
        <f>IF(BA$3="","",SUM(入力データ!$C$101:$C$103,入力データ!$C$105)*12)</f>
        <v/>
      </c>
      <c r="BB36" s="359">
        <f>IF(BB$3="","",SUM(入力データ!$C$101:$C$103,入力データ!$C$105)*12)</f>
        <v/>
      </c>
      <c r="BC36" s="359">
        <f>IF(BC$3="","",SUM(入力データ!$C$101:$C$103,入力データ!$C$105)*12)</f>
        <v/>
      </c>
      <c r="BD36" s="359">
        <f>IF(BD$3="","",SUM(入力データ!$C$101:$C$103,入力データ!$C$105)*12)</f>
        <v/>
      </c>
      <c r="BE36" s="359">
        <f>IF(BE$3="","",SUM(入力データ!$C$101:$C$103,入力データ!$C$105)*12)</f>
        <v/>
      </c>
      <c r="BF36" s="359">
        <f>IF(BF$3="","",SUM(入力データ!$C$101:$C$103,入力データ!$C$105)*12)</f>
        <v/>
      </c>
      <c r="BG36" s="359">
        <f>IF(BG$3="","",SUM(入力データ!$C$101:$C$103,入力データ!$C$105)*12)</f>
        <v/>
      </c>
      <c r="BH36" s="359">
        <f>IF(BH$3="","",SUM(入力データ!$C$101:$C$103,入力データ!$C$105)*12)</f>
        <v/>
      </c>
      <c r="BI36" s="359">
        <f>IF(BI$3="","",SUM(入力データ!$C$101:$C$103,入力データ!$C$105)*12)</f>
        <v/>
      </c>
      <c r="BJ36" s="359">
        <f>IF(BJ$3="","",SUM(入力データ!$C$101:$C$103,入力データ!$C$105)*12)</f>
        <v/>
      </c>
      <c r="BK36" s="359">
        <f>IF(BK$3="","",SUM(入力データ!$C$101:$C$103,入力データ!$C$105)*12)</f>
        <v/>
      </c>
      <c r="BL36" s="359">
        <f>IF(BL$3="","",SUM(入力データ!$C$101:$C$103,入力データ!$C$105)*12)</f>
        <v/>
      </c>
      <c r="BM36" s="359">
        <f>IF(BM$3="","",SUM(入力データ!$C$101:$C$103,入力データ!$C$105)*12)</f>
        <v/>
      </c>
      <c r="BN36" s="359">
        <f>IF(BN$3="","",SUM(入力データ!$C$101:$C$103,入力データ!$C$105)*12)</f>
        <v/>
      </c>
      <c r="BO36" s="359">
        <f>IF(BO$3="","",SUM(入力データ!$C$101:$C$103,入力データ!$C$105)*12)</f>
        <v/>
      </c>
      <c r="BP36" s="359">
        <f>IF(BP$3="","",SUM(入力データ!$C$101:$C$103,入力データ!$C$105)*12)</f>
        <v/>
      </c>
      <c r="BQ36" s="359">
        <f>IF(BQ$3="","",SUM(入力データ!$C$101:$C$103,入力データ!$C$105)*12)</f>
        <v/>
      </c>
      <c r="BR36" s="359">
        <f>IF(BR$3="","",SUM(入力データ!$C$101:$C$103,入力データ!$C$105)*12)</f>
        <v/>
      </c>
      <c r="BS36" s="359">
        <f>IF(BS$3="","",SUM(入力データ!$C$101:$C$103,入力データ!$C$105)*12)</f>
        <v/>
      </c>
      <c r="BT36" s="359">
        <f>IF(BT$3="","",SUM(入力データ!$C$101:$C$103,入力データ!$C$105)*12)</f>
        <v/>
      </c>
      <c r="BU36" s="359">
        <f>IF(BU$3="","",SUM(入力データ!$C$101:$C$103,入力データ!$C$105)*12)</f>
        <v/>
      </c>
      <c r="BV36" s="359">
        <f>IF(BV$3="","",SUM(入力データ!$C$101:$C$103,入力データ!$C$105)*12)</f>
        <v/>
      </c>
      <c r="BW36" s="359">
        <f>IF(BW$3="","",SUM(入力データ!$C$101:$C$103,入力データ!$C$105)*12)</f>
        <v/>
      </c>
      <c r="BX36" s="359">
        <f>IF(BX$3="","",SUM(入力データ!$C$101:$C$103,入力データ!$C$105)*12)</f>
        <v/>
      </c>
      <c r="BY36" s="359">
        <f>IF(BY$3="","",SUM(入力データ!$C$101:$C$103,入力データ!$C$105)*12)</f>
        <v/>
      </c>
      <c r="BZ36" s="359">
        <f>IF(BZ$3="","",SUM(入力データ!$C$101:$C$103,入力データ!$C$105)*12)</f>
        <v/>
      </c>
      <c r="CA36" s="359">
        <f>IF(CA$3="","",SUM(入力データ!$C$101:$C$103,入力データ!$C$105)*12)</f>
        <v/>
      </c>
      <c r="CB36" s="359">
        <f>IF(CB$3="","",SUM(入力データ!$C$101:$C$103,入力データ!$C$105)*12)</f>
        <v/>
      </c>
      <c r="CC36" s="359">
        <f>IF(CC$3="","",SUM(入力データ!$C$101:$C$103,入力データ!$C$105)*12)</f>
        <v/>
      </c>
      <c r="CD36" s="359">
        <f>IF(CD$3="","",SUM(入力データ!$C$101:$C$103,入力データ!$C$105)*12)</f>
        <v/>
      </c>
      <c r="CE36" s="359">
        <f>IF(CE$3="","",SUM(入力データ!$C$101:$C$103,入力データ!$C$105)*12)</f>
        <v/>
      </c>
      <c r="CF36" s="359">
        <f>IF(CF$3="","",SUM(入力データ!$C$101:$C$103,入力データ!$C$105)*12)</f>
        <v/>
      </c>
      <c r="CG36" s="359">
        <f>IF(CG$3="","",SUM(入力データ!$C$101:$C$103,入力データ!$C$105)*12)</f>
        <v/>
      </c>
      <c r="CH36" s="359">
        <f>IF(CH$3="","",SUM(入力データ!$C$101:$C$103,入力データ!$C$105)*12)</f>
        <v/>
      </c>
      <c r="CI36" s="359">
        <f>IF(CI$3="","",SUM(入力データ!$C$101:$C$103,入力データ!$C$105)*12)</f>
        <v/>
      </c>
      <c r="CJ36" s="359">
        <f>IF(CJ$3="","",SUM(入力データ!$C$101:$C$103,入力データ!$C$105)*12)</f>
        <v/>
      </c>
      <c r="CK36" s="359">
        <f>IF(CK$3="","",SUM(入力データ!$C$101:$C$103,入力データ!$C$105)*12)</f>
        <v/>
      </c>
      <c r="CL36" s="359">
        <f>IF(CL$3="","",SUM(入力データ!$C$101:$C$103,入力データ!$C$105)*12)</f>
        <v/>
      </c>
      <c r="CM36" s="359">
        <f>IF(CM$3="","",SUM(入力データ!$C$101:$C$103,入力データ!$C$105)*12)</f>
        <v/>
      </c>
      <c r="CN36" s="359">
        <f>IF(CN$3="","",SUM(入力データ!$C$101:$C$103,入力データ!$C$105)*12)</f>
        <v/>
      </c>
      <c r="CO36" s="359">
        <f>IF(CO$3="","",SUM(入力データ!$C$101:$C$103,入力データ!$C$105)*12)</f>
        <v/>
      </c>
      <c r="CP36" s="359">
        <f>IF(CP$3="","",SUM(入力データ!$C$101:$C$103,入力データ!$C$105)*12)</f>
        <v/>
      </c>
      <c r="CQ36" s="359">
        <f>IF(CQ$3="","",SUM(入力データ!$C$101:$C$103,入力データ!$C$105)*12)</f>
        <v/>
      </c>
      <c r="CR36" s="359">
        <f>IF(CR$3="","",SUM(入力データ!$C$101:$C$103,入力データ!$C$105)*12)</f>
        <v/>
      </c>
      <c r="CS36" s="359">
        <f>IF(CS$3="","",SUM(入力データ!$C$101:$C$103,入力データ!$C$105)*12)</f>
        <v/>
      </c>
      <c r="CT36" s="359">
        <f>IF(CT$3="","",SUM(入力データ!$C$101:$C$103,入力データ!$C$105)*12)</f>
        <v/>
      </c>
      <c r="CU36" s="359">
        <f>IF(CU$3="","",SUM(入力データ!$C$101:$C$103,入力データ!$C$105)*12)</f>
        <v/>
      </c>
      <c r="CV36" s="359">
        <f>IF(CV$3="","",SUM(入力データ!$C$101:$C$103,入力データ!$C$105)*12)</f>
        <v/>
      </c>
      <c r="CW36" s="359">
        <f>IF(CW$3="","",SUM(入力データ!$C$101:$C$103,入力データ!$C$105)*12)</f>
        <v/>
      </c>
    </row>
    <row r="37" hidden="1" ht="16.5" customHeight="1" s="180">
      <c r="A37" s="239" t="inlineStr">
        <is>
          <t>返戻金積立年額(補助)</t>
        </is>
      </c>
      <c r="B37" s="359">
        <f>IF(B$3="","",入力データ!$C$104*12)</f>
        <v/>
      </c>
      <c r="C37" s="359">
        <f>IF(C$3="","",入力データ!$C$104*12)</f>
        <v/>
      </c>
      <c r="D37" s="359">
        <f>IF(D$3="","",入力データ!$C$104*12)</f>
        <v/>
      </c>
      <c r="E37" s="359">
        <f>IF(E$3="","",入力データ!$C$104*12)</f>
        <v/>
      </c>
      <c r="F37" s="359">
        <f>IF(F$3="","",入力データ!$C$104*12)</f>
        <v/>
      </c>
      <c r="G37" s="359">
        <f>IF(G$3="","",入力データ!$C$104*12)</f>
        <v/>
      </c>
      <c r="H37" s="359">
        <f>IF(H$3="","",入力データ!$C$104*12)</f>
        <v/>
      </c>
      <c r="I37" s="359">
        <f>IF(I$3="","",入力データ!$C$104*12)</f>
        <v/>
      </c>
      <c r="J37" s="359">
        <f>IF(J$3="","",入力データ!$C$104*12)</f>
        <v/>
      </c>
      <c r="K37" s="359">
        <f>IF(K$3="","",入力データ!$C$104*12)</f>
        <v/>
      </c>
      <c r="L37" s="359">
        <f>IF(L$3="","",入力データ!$C$104*12)</f>
        <v/>
      </c>
      <c r="M37" s="359">
        <f>IF(M$3="","",入力データ!$C$104*12)</f>
        <v/>
      </c>
      <c r="N37" s="359">
        <f>IF(N$3="","",入力データ!$C$104*12)</f>
        <v/>
      </c>
      <c r="O37" s="359">
        <f>IF(O$3="","",入力データ!$C$104*12)</f>
        <v/>
      </c>
      <c r="P37" s="359">
        <f>IF(P$3="","",入力データ!$C$104*12)</f>
        <v/>
      </c>
      <c r="Q37" s="359">
        <f>IF(Q$3="","",入力データ!$C$104*12)</f>
        <v/>
      </c>
      <c r="R37" s="359">
        <f>IF(R$3="","",入力データ!$C$104*12)</f>
        <v/>
      </c>
      <c r="S37" s="359">
        <f>IF(S$3="","",入力データ!$C$104*12)</f>
        <v/>
      </c>
      <c r="T37" s="359">
        <f>IF(T$3="","",入力データ!$C$104*12)</f>
        <v/>
      </c>
      <c r="U37" s="359">
        <f>IF(U$3="","",入力データ!$C$104*12)</f>
        <v/>
      </c>
      <c r="V37" s="359">
        <f>IF(V$3="","",入力データ!$C$104*12)</f>
        <v/>
      </c>
      <c r="W37" s="359">
        <f>IF(W$3="","",入力データ!$C$104*12)</f>
        <v/>
      </c>
      <c r="X37" s="359">
        <f>IF(X$3="","",入力データ!$C$104*12)</f>
        <v/>
      </c>
      <c r="Y37" s="359">
        <f>IF(Y$3="","",入力データ!$C$104*12)</f>
        <v/>
      </c>
      <c r="Z37" s="359">
        <f>IF(Z$3="","",入力データ!$C$104*12)</f>
        <v/>
      </c>
      <c r="AA37" s="359">
        <f>IF(AA$3="","",入力データ!$C$104*12)</f>
        <v/>
      </c>
      <c r="AB37" s="359">
        <f>IF(AB$3="","",入力データ!$C$104*12)</f>
        <v/>
      </c>
      <c r="AC37" s="359">
        <f>IF(AC$3="","",入力データ!$C$104*12)</f>
        <v/>
      </c>
      <c r="AD37" s="359">
        <f>IF(AD$3="","",入力データ!$C$104*12)</f>
        <v/>
      </c>
      <c r="AE37" s="359">
        <f>IF(AE$3="","",入力データ!$C$104*12)</f>
        <v/>
      </c>
      <c r="AF37" s="359">
        <f>IF(AF$3="","",入力データ!$C$104*12)</f>
        <v/>
      </c>
      <c r="AG37" s="359">
        <f>IF(AG$3="","",入力データ!$C$104*12)</f>
        <v/>
      </c>
      <c r="AH37" s="359">
        <f>IF(AH$3="","",入力データ!$C$104*12)</f>
        <v/>
      </c>
      <c r="AI37" s="359">
        <f>IF(AI$3="","",入力データ!$C$104*12)</f>
        <v/>
      </c>
      <c r="AJ37" s="359">
        <f>IF(AJ$3="","",入力データ!$C$104*12)</f>
        <v/>
      </c>
      <c r="AK37" s="359">
        <f>IF(AK$3="","",入力データ!$C$104*12)</f>
        <v/>
      </c>
      <c r="AL37" s="359">
        <f>IF(AL$3="","",入力データ!$C$104*12)</f>
        <v/>
      </c>
      <c r="AM37" s="359">
        <f>IF(AM$3="","",入力データ!$C$104*12)</f>
        <v/>
      </c>
      <c r="AN37" s="359">
        <f>IF(AN$3="","",入力データ!$C$104*12)</f>
        <v/>
      </c>
      <c r="AO37" s="359">
        <f>IF(AO$3="","",入力データ!$C$104*12)</f>
        <v/>
      </c>
      <c r="AP37" s="359">
        <f>IF(AP$3="","",入力データ!$C$104*12)</f>
        <v/>
      </c>
      <c r="AQ37" s="359">
        <f>IF(AQ$3="","",入力データ!$C$104*12)</f>
        <v/>
      </c>
      <c r="AR37" s="359">
        <f>IF(AR$3="","",入力データ!$C$104*12)</f>
        <v/>
      </c>
      <c r="AS37" s="359">
        <f>IF(AS$3="","",入力データ!$C$104*12)</f>
        <v/>
      </c>
      <c r="AT37" s="359">
        <f>IF(AT$3="","",入力データ!$C$104*12)</f>
        <v/>
      </c>
      <c r="AU37" s="359">
        <f>IF(AU$3="","",入力データ!$C$104*12)</f>
        <v/>
      </c>
      <c r="AV37" s="359">
        <f>IF(AV$3="","",入力データ!$C$104*12)</f>
        <v/>
      </c>
      <c r="AW37" s="359">
        <f>IF(AW$3="","",入力データ!$C$104*12)</f>
        <v/>
      </c>
      <c r="AX37" s="359">
        <f>IF(AX$3="","",入力データ!$C$104*12)</f>
        <v/>
      </c>
      <c r="AY37" s="359">
        <f>IF(AY$3="","",入力データ!$C$104*12)</f>
        <v/>
      </c>
      <c r="AZ37" s="359">
        <f>IF(AZ$3="","",入力データ!$C$104*12)</f>
        <v/>
      </c>
      <c r="BA37" s="359">
        <f>IF(BA$3="","",入力データ!$C$104*12)</f>
        <v/>
      </c>
      <c r="BB37" s="359">
        <f>IF(BB$3="","",入力データ!$C$104*12)</f>
        <v/>
      </c>
      <c r="BC37" s="359">
        <f>IF(BC$3="","",入力データ!$C$104*12)</f>
        <v/>
      </c>
      <c r="BD37" s="359">
        <f>IF(BD$3="","",入力データ!$C$104*12)</f>
        <v/>
      </c>
      <c r="BE37" s="359">
        <f>IF(BE$3="","",入力データ!$C$104*12)</f>
        <v/>
      </c>
      <c r="BF37" s="359">
        <f>IF(BF$3="","",入力データ!$C$104*12)</f>
        <v/>
      </c>
      <c r="BG37" s="359">
        <f>IF(BG$3="","",入力データ!$C$104*12)</f>
        <v/>
      </c>
      <c r="BH37" s="359">
        <f>IF(BH$3="","",入力データ!$C$104*12)</f>
        <v/>
      </c>
      <c r="BI37" s="359">
        <f>IF(BI$3="","",入力データ!$C$104*12)</f>
        <v/>
      </c>
      <c r="BJ37" s="359">
        <f>IF(BJ$3="","",入力データ!$C$104*12)</f>
        <v/>
      </c>
      <c r="BK37" s="359">
        <f>IF(BK$3="","",入力データ!$C$104*12)</f>
        <v/>
      </c>
      <c r="BL37" s="359">
        <f>IF(BL$3="","",入力データ!$C$104*12)</f>
        <v/>
      </c>
      <c r="BM37" s="359">
        <f>IF(BM$3="","",入力データ!$C$104*12)</f>
        <v/>
      </c>
      <c r="BN37" s="359">
        <f>IF(BN$3="","",入力データ!$C$104*12)</f>
        <v/>
      </c>
      <c r="BO37" s="359">
        <f>IF(BO$3="","",入力データ!$C$104*12)</f>
        <v/>
      </c>
      <c r="BP37" s="359">
        <f>IF(BP$3="","",入力データ!$C$104*12)</f>
        <v/>
      </c>
      <c r="BQ37" s="359">
        <f>IF(BQ$3="","",入力データ!$C$104*12)</f>
        <v/>
      </c>
      <c r="BR37" s="359">
        <f>IF(BR$3="","",入力データ!$C$104*12)</f>
        <v/>
      </c>
      <c r="BS37" s="359">
        <f>IF(BS$3="","",入力データ!$C$104*12)</f>
        <v/>
      </c>
      <c r="BT37" s="359">
        <f>IF(BT$3="","",入力データ!$C$104*12)</f>
        <v/>
      </c>
      <c r="BU37" s="359">
        <f>IF(BU$3="","",入力データ!$C$104*12)</f>
        <v/>
      </c>
      <c r="BV37" s="359">
        <f>IF(BV$3="","",入力データ!$C$104*12)</f>
        <v/>
      </c>
      <c r="BW37" s="359">
        <f>IF(BW$3="","",入力データ!$C$104*12)</f>
        <v/>
      </c>
      <c r="BX37" s="359">
        <f>IF(BX$3="","",入力データ!$C$104*12)</f>
        <v/>
      </c>
      <c r="BY37" s="359">
        <f>IF(BY$3="","",入力データ!$C$104*12)</f>
        <v/>
      </c>
      <c r="BZ37" s="359">
        <f>IF(BZ$3="","",入力データ!$C$104*12)</f>
        <v/>
      </c>
      <c r="CA37" s="359">
        <f>IF(CA$3="","",入力データ!$C$104*12)</f>
        <v/>
      </c>
      <c r="CB37" s="359">
        <f>IF(CB$3="","",入力データ!$C$104*12)</f>
        <v/>
      </c>
      <c r="CC37" s="359">
        <f>IF(CC$3="","",入力データ!$C$104*12)</f>
        <v/>
      </c>
      <c r="CD37" s="359">
        <f>IF(CD$3="","",入力データ!$C$104*12)</f>
        <v/>
      </c>
      <c r="CE37" s="359">
        <f>IF(CE$3="","",入力データ!$C$104*12)</f>
        <v/>
      </c>
      <c r="CF37" s="359">
        <f>IF(CF$3="","",入力データ!$C$104*12)</f>
        <v/>
      </c>
      <c r="CG37" s="359">
        <f>IF(CG$3="","",入力データ!$C$104*12)</f>
        <v/>
      </c>
      <c r="CH37" s="359">
        <f>IF(CH$3="","",入力データ!$C$104*12)</f>
        <v/>
      </c>
      <c r="CI37" s="359">
        <f>IF(CI$3="","",入力データ!$C$104*12)</f>
        <v/>
      </c>
      <c r="CJ37" s="359">
        <f>IF(CJ$3="","",入力データ!$C$104*12)</f>
        <v/>
      </c>
      <c r="CK37" s="359">
        <f>IF(CK$3="","",入力データ!$C$104*12)</f>
        <v/>
      </c>
      <c r="CL37" s="359">
        <f>IF(CL$3="","",入力データ!$C$104*12)</f>
        <v/>
      </c>
      <c r="CM37" s="359">
        <f>IF(CM$3="","",入力データ!$C$104*12)</f>
        <v/>
      </c>
      <c r="CN37" s="359">
        <f>IF(CN$3="","",入力データ!$C$104*12)</f>
        <v/>
      </c>
      <c r="CO37" s="359">
        <f>IF(CO$3="","",入力データ!$C$104*12)</f>
        <v/>
      </c>
      <c r="CP37" s="359">
        <f>IF(CP$3="","",入力データ!$C$104*12)</f>
        <v/>
      </c>
      <c r="CQ37" s="359">
        <f>IF(CQ$3="","",入力データ!$C$104*12)</f>
        <v/>
      </c>
      <c r="CR37" s="359">
        <f>IF(CR$3="","",入力データ!$C$104*12)</f>
        <v/>
      </c>
      <c r="CS37" s="359">
        <f>IF(CS$3="","",入力データ!$C$104*12)</f>
        <v/>
      </c>
      <c r="CT37" s="359">
        <f>IF(CT$3="","",入力データ!$C$104*12)</f>
        <v/>
      </c>
      <c r="CU37" s="359">
        <f>IF(CU$3="","",入力データ!$C$104*12)</f>
        <v/>
      </c>
      <c r="CV37" s="359">
        <f>IF(CV$3="","",入力データ!$C$104*12)</f>
        <v/>
      </c>
      <c r="CW37" s="359">
        <f>IF(CW$3="","",入力データ!$C$104*12)</f>
        <v/>
      </c>
    </row>
    <row r="38" hidden="1" ht="16.5" customHeight="1" s="180">
      <c r="A38" s="239" t="inlineStr">
        <is>
          <t>預貯金前年差引前(補助)</t>
        </is>
      </c>
      <c r="B38" s="359">
        <f>IF(B$3="","",SUM(入力データ!$C$88:$C$89)+B30-B36-B37)</f>
        <v/>
      </c>
      <c r="C38" s="359">
        <f>IF(C$3="","",B31+C30-C36-C37)</f>
        <v/>
      </c>
      <c r="D38" s="359">
        <f>IF(D$3="","",C31+D30-D36-D37)</f>
        <v/>
      </c>
      <c r="E38" s="359">
        <f>IF(E$3="","",D31+E30-E36-E37)</f>
        <v/>
      </c>
      <c r="F38" s="359">
        <f>IF(F$3="","",E31+F30-F36-F37)</f>
        <v/>
      </c>
      <c r="G38" s="359">
        <f>IF(G$3="","",F31+G30-G36-G37)</f>
        <v/>
      </c>
      <c r="H38" s="359">
        <f>IF(H$3="","",G31+H30-H36-H37)</f>
        <v/>
      </c>
      <c r="I38" s="359">
        <f>IF(I$3="","",H31+I30-I36-I37)</f>
        <v/>
      </c>
      <c r="J38" s="359">
        <f>IF(J$3="","",I31+J30-J36-J37)</f>
        <v/>
      </c>
      <c r="K38" s="359">
        <f>IF(K$3="","",J31+K30-K36-K37)</f>
        <v/>
      </c>
      <c r="L38" s="359">
        <f>IF(L$3="","",K31+L30-L36-L37)</f>
        <v/>
      </c>
      <c r="M38" s="359">
        <f>IF(M$3="","",L31+M30-M36-M37)</f>
        <v/>
      </c>
      <c r="N38" s="359">
        <f>IF(N$3="","",M31+N30-N36-N37)</f>
        <v/>
      </c>
      <c r="O38" s="359">
        <f>IF(O$3="","",N31+O30-O36-O37)</f>
        <v/>
      </c>
      <c r="P38" s="359">
        <f>IF(P$3="","",O31+P30-P36-P37)</f>
        <v/>
      </c>
      <c r="Q38" s="359">
        <f>IF(Q$3="","",P31+Q30-Q36-Q37)</f>
        <v/>
      </c>
      <c r="R38" s="359">
        <f>IF(R$3="","",Q31+R30-R36-R37)</f>
        <v/>
      </c>
      <c r="S38" s="359">
        <f>IF(S$3="","",R31+S30-S36-S37)</f>
        <v/>
      </c>
      <c r="T38" s="359">
        <f>IF(T$3="","",S31+T30-T36-T37)</f>
        <v/>
      </c>
      <c r="U38" s="359">
        <f>IF(U$3="","",T31+U30-U36-U37)</f>
        <v/>
      </c>
      <c r="V38" s="359">
        <f>IF(V$3="","",U31+V30-V36-V37)</f>
        <v/>
      </c>
      <c r="W38" s="359">
        <f>IF(W$3="","",V31+W30-W36-W37)</f>
        <v/>
      </c>
      <c r="X38" s="359">
        <f>IF(X$3="","",W31+X30-X36-X37)</f>
        <v/>
      </c>
      <c r="Y38" s="359">
        <f>IF(Y$3="","",X31+Y30-Y36-Y37)</f>
        <v/>
      </c>
      <c r="Z38" s="359">
        <f>IF(Z$3="","",Y31+Z30-Z36-Z37)</f>
        <v/>
      </c>
      <c r="AA38" s="359">
        <f>IF(AA$3="","",Z31+AA30-AA36-AA37)</f>
        <v/>
      </c>
      <c r="AB38" s="359">
        <f>IF(AB$3="","",AA31+AB30-AB36-AB37)</f>
        <v/>
      </c>
      <c r="AC38" s="359">
        <f>IF(AC$3="","",AB31+AC30-AC36-AC37)</f>
        <v/>
      </c>
      <c r="AD38" s="359">
        <f>IF(AD$3="","",AC31+AD30-AD36-AD37)</f>
        <v/>
      </c>
      <c r="AE38" s="359">
        <f>IF(AE$3="","",AD31+AE30-AE36-AE37)</f>
        <v/>
      </c>
      <c r="AF38" s="359">
        <f>IF(AF$3="","",AE31+AF30-AF36-AF37)</f>
        <v/>
      </c>
      <c r="AG38" s="359">
        <f>IF(AG$3="","",AF31+AG30-AG36-AG37)</f>
        <v/>
      </c>
      <c r="AH38" s="359">
        <f>IF(AH$3="","",AG31+AH30-AH36-AH37)</f>
        <v/>
      </c>
      <c r="AI38" s="359">
        <f>IF(AI$3="","",AH31+AI30-AI36-AI37)</f>
        <v/>
      </c>
      <c r="AJ38" s="359">
        <f>IF(AJ$3="","",AI31+AJ30-AJ36-AJ37)</f>
        <v/>
      </c>
      <c r="AK38" s="359">
        <f>IF(AK$3="","",AJ31+AK30-AK36-AK37)</f>
        <v/>
      </c>
      <c r="AL38" s="359">
        <f>IF(AL$3="","",AK31+AL30-AL36-AL37)</f>
        <v/>
      </c>
      <c r="AM38" s="359">
        <f>IF(AM$3="","",AL31+AM30-AM36-AM37)</f>
        <v/>
      </c>
      <c r="AN38" s="359">
        <f>IF(AN$3="","",AM31+AN30-AN36-AN37)</f>
        <v/>
      </c>
      <c r="AO38" s="359">
        <f>IF(AO$3="","",AN31+AO30-AO36-AO37)</f>
        <v/>
      </c>
      <c r="AP38" s="359">
        <f>IF(AP$3="","",AO31+AP30-AP36-AP37)</f>
        <v/>
      </c>
      <c r="AQ38" s="359">
        <f>IF(AQ$3="","",AP31+AQ30-AQ36-AQ37)</f>
        <v/>
      </c>
      <c r="AR38" s="359">
        <f>IF(AR$3="","",AQ31+AR30-AR36-AR37)</f>
        <v/>
      </c>
      <c r="AS38" s="359">
        <f>IF(AS$3="","",AR31+AS30-AS36-AS37)</f>
        <v/>
      </c>
      <c r="AT38" s="359">
        <f>IF(AT$3="","",AS31+AT30-AT36-AT37)</f>
        <v/>
      </c>
      <c r="AU38" s="359">
        <f>IF(AU$3="","",AT31+AU30-AU36-AU37)</f>
        <v/>
      </c>
      <c r="AV38" s="359">
        <f>IF(AV$3="","",AU31+AV30-AV36-AV37)</f>
        <v/>
      </c>
      <c r="AW38" s="359">
        <f>IF(AW$3="","",AV31+AW30-AW36-AW37)</f>
        <v/>
      </c>
      <c r="AX38" s="359">
        <f>IF(AX$3="","",AW31+AX30-AX36-AX37)</f>
        <v/>
      </c>
      <c r="AY38" s="359">
        <f>IF(AY$3="","",AX31+AY30-AY36-AY37)</f>
        <v/>
      </c>
      <c r="AZ38" s="359">
        <f>IF(AZ$3="","",AY31+AZ30-AZ36-AZ37)</f>
        <v/>
      </c>
      <c r="BA38" s="359">
        <f>IF(BA$3="","",AZ31+BA30-BA36-BA37)</f>
        <v/>
      </c>
      <c r="BB38" s="359">
        <f>IF(BB$3="","",BA31+BB30-BB36-BB37)</f>
        <v/>
      </c>
      <c r="BC38" s="359">
        <f>IF(BC$3="","",BB31+BC30-BC36-BC37)</f>
        <v/>
      </c>
      <c r="BD38" s="359">
        <f>IF(BD$3="","",BC31+BD30-BD36-BD37)</f>
        <v/>
      </c>
      <c r="BE38" s="359">
        <f>IF(BE$3="","",BD31+BE30-BE36-BE37)</f>
        <v/>
      </c>
      <c r="BF38" s="359">
        <f>IF(BF$3="","",BE31+BF30-BF36-BF37)</f>
        <v/>
      </c>
      <c r="BG38" s="359">
        <f>IF(BG$3="","",BF31+BG30-BG36-BG37)</f>
        <v/>
      </c>
      <c r="BH38" s="359">
        <f>IF(BH$3="","",BG31+BH30-BH36-BH37)</f>
        <v/>
      </c>
      <c r="BI38" s="359">
        <f>IF(BI$3="","",BH31+BI30-BI36-BI37)</f>
        <v/>
      </c>
      <c r="BJ38" s="359">
        <f>IF(BJ$3="","",BI31+BJ30-BJ36-BJ37)</f>
        <v/>
      </c>
      <c r="BK38" s="359">
        <f>IF(BK$3="","",BJ31+BK30-BK36-BK37)</f>
        <v/>
      </c>
      <c r="BL38" s="359">
        <f>IF(BL$3="","",BK31+BL30-BL36-BL37)</f>
        <v/>
      </c>
      <c r="BM38" s="359">
        <f>IF(BM$3="","",BL31+BM30-BM36-BM37)</f>
        <v/>
      </c>
      <c r="BN38" s="359">
        <f>IF(BN$3="","",BM31+BN30-BN36-BN37)</f>
        <v/>
      </c>
      <c r="BO38" s="359">
        <f>IF(BO$3="","",BN31+BO30-BO36-BO37)</f>
        <v/>
      </c>
      <c r="BP38" s="359">
        <f>IF(BP$3="","",BO31+BP30-BP36-BP37)</f>
        <v/>
      </c>
      <c r="BQ38" s="359">
        <f>IF(BQ$3="","",BP31+BQ30-BQ36-BQ37)</f>
        <v/>
      </c>
      <c r="BR38" s="359">
        <f>IF(BR$3="","",BQ31+BR30-BR36-BR37)</f>
        <v/>
      </c>
      <c r="BS38" s="359">
        <f>IF(BS$3="","",BR31+BS30-BS36-BS37)</f>
        <v/>
      </c>
      <c r="BT38" s="359">
        <f>IF(BT$3="","",BS31+BT30-BT36-BT37)</f>
        <v/>
      </c>
      <c r="BU38" s="359">
        <f>IF(BU$3="","",BT31+BU30-BU36-BU37)</f>
        <v/>
      </c>
      <c r="BV38" s="359">
        <f>IF(BV$3="","",BU31+BV30-BV36-BV37)</f>
        <v/>
      </c>
      <c r="BW38" s="359">
        <f>IF(BW$3="","",BV31+BW30-BW36-BW37)</f>
        <v/>
      </c>
      <c r="BX38" s="359">
        <f>IF(BX$3="","",BW31+BX30-BX36-BX37)</f>
        <v/>
      </c>
      <c r="BY38" s="359">
        <f>IF(BY$3="","",BX31+BY30-BY36-BY37)</f>
        <v/>
      </c>
      <c r="BZ38" s="359">
        <f>IF(BZ$3="","",BY31+BZ30-BZ36-BZ37)</f>
        <v/>
      </c>
      <c r="CA38" s="359">
        <f>IF(CA$3="","",BZ31+CA30-CA36-CA37)</f>
        <v/>
      </c>
      <c r="CB38" s="359">
        <f>IF(CB$3="","",CA31+CB30-CB36-CB37)</f>
        <v/>
      </c>
      <c r="CC38" s="359">
        <f>IF(CC$3="","",CB31+CC30-CC36-CC37)</f>
        <v/>
      </c>
      <c r="CD38" s="359">
        <f>IF(CD$3="","",CC31+CD30-CD36-CD37)</f>
        <v/>
      </c>
      <c r="CE38" s="359">
        <f>IF(CE$3="","",CD31+CE30-CE36-CE37)</f>
        <v/>
      </c>
      <c r="CF38" s="359">
        <f>IF(CF$3="","",CE31+CF30-CF36-CF37)</f>
        <v/>
      </c>
      <c r="CG38" s="359">
        <f>IF(CG$3="","",CF31+CG30-CG36-CG37)</f>
        <v/>
      </c>
      <c r="CH38" s="359">
        <f>IF(CH$3="","",CG31+CH30-CH36-CH37)</f>
        <v/>
      </c>
      <c r="CI38" s="359">
        <f>IF(CI$3="","",CH31+CI30-CI36-CI37)</f>
        <v/>
      </c>
      <c r="CJ38" s="359">
        <f>IF(CJ$3="","",CI31+CJ30-CJ36-CJ37)</f>
        <v/>
      </c>
      <c r="CK38" s="359">
        <f>IF(CK$3="","",CJ31+CK30-CK36-CK37)</f>
        <v/>
      </c>
      <c r="CL38" s="359">
        <f>IF(CL$3="","",CK31+CL30-CL36-CL37)</f>
        <v/>
      </c>
      <c r="CM38" s="359">
        <f>IF(CM$3="","",CL31+CM30-CM36-CM37)</f>
        <v/>
      </c>
      <c r="CN38" s="359">
        <f>IF(CN$3="","",CM31+CN30-CN36-CN37)</f>
        <v/>
      </c>
      <c r="CO38" s="359">
        <f>IF(CO$3="","",CN31+CO30-CO36-CO37)</f>
        <v/>
      </c>
      <c r="CP38" s="359">
        <f>IF(CP$3="","",CO31+CP30-CP36-CP37)</f>
        <v/>
      </c>
      <c r="CQ38" s="359">
        <f>IF(CQ$3="","",CP31+CQ30-CQ36-CQ37)</f>
        <v/>
      </c>
      <c r="CR38" s="359">
        <f>IF(CR$3="","",CQ31+CR30-CR36-CR37)</f>
        <v/>
      </c>
      <c r="CS38" s="359">
        <f>IF(CS$3="","",CR31+CS30-CS36-CS37)</f>
        <v/>
      </c>
      <c r="CT38" s="359">
        <f>IF(CT$3="","",CS31+CT30-CT36-CT37)</f>
        <v/>
      </c>
      <c r="CU38" s="359">
        <f>IF(CU$3="","",CT31+CU30-CU36-CU37)</f>
        <v/>
      </c>
      <c r="CV38" s="359">
        <f>IF(CV$3="","",CU31+CV30-CV36-CV37)</f>
        <v/>
      </c>
      <c r="CW38" s="359">
        <f>IF(CW$3="","",CV31+CW30-CW36-CW37)</f>
        <v/>
      </c>
    </row>
    <row r="39" hidden="1" ht="16.5" customHeight="1" s="180">
      <c r="A39" s="239" t="inlineStr">
        <is>
          <t>投資取り崩し額(補助)</t>
        </is>
      </c>
      <c r="B39" s="359">
        <f>IF(B$3="","",MAX(0,-B38))</f>
        <v/>
      </c>
      <c r="C39" s="359">
        <f>IF(C$3="","",MAX(0,-C38))</f>
        <v/>
      </c>
      <c r="D39" s="359">
        <f>IF(D$3="","",MAX(0,-D38))</f>
        <v/>
      </c>
      <c r="E39" s="359">
        <f>IF(E$3="","",MAX(0,-E38))</f>
        <v/>
      </c>
      <c r="F39" s="359">
        <f>IF(F$3="","",MAX(0,-F38))</f>
        <v/>
      </c>
      <c r="G39" s="359">
        <f>IF(G$3="","",MAX(0,-G38))</f>
        <v/>
      </c>
      <c r="H39" s="359">
        <f>IF(H$3="","",MAX(0,-H38))</f>
        <v/>
      </c>
      <c r="I39" s="359">
        <f>IF(I$3="","",MAX(0,-I38))</f>
        <v/>
      </c>
      <c r="J39" s="359">
        <f>IF(J$3="","",MAX(0,-J38))</f>
        <v/>
      </c>
      <c r="K39" s="359">
        <f>IF(K$3="","",MAX(0,-K38))</f>
        <v/>
      </c>
      <c r="L39" s="359">
        <f>IF(L$3="","",MAX(0,-L38))</f>
        <v/>
      </c>
      <c r="M39" s="359">
        <f>IF(M$3="","",MAX(0,-M38))</f>
        <v/>
      </c>
      <c r="N39" s="359">
        <f>IF(N$3="","",MAX(0,-N38))</f>
        <v/>
      </c>
      <c r="O39" s="359">
        <f>IF(O$3="","",MAX(0,-O38))</f>
        <v/>
      </c>
      <c r="P39" s="359">
        <f>IF(P$3="","",MAX(0,-P38))</f>
        <v/>
      </c>
      <c r="Q39" s="359">
        <f>IF(Q$3="","",MAX(0,-Q38))</f>
        <v/>
      </c>
      <c r="R39" s="359">
        <f>IF(R$3="","",MAX(0,-R38))</f>
        <v/>
      </c>
      <c r="S39" s="359">
        <f>IF(S$3="","",MAX(0,-S38))</f>
        <v/>
      </c>
      <c r="T39" s="359">
        <f>IF(T$3="","",MAX(0,-T38))</f>
        <v/>
      </c>
      <c r="U39" s="359">
        <f>IF(U$3="","",MAX(0,-U38))</f>
        <v/>
      </c>
      <c r="V39" s="359">
        <f>IF(V$3="","",MAX(0,-V38))</f>
        <v/>
      </c>
      <c r="W39" s="359">
        <f>IF(W$3="","",MAX(0,-W38))</f>
        <v/>
      </c>
      <c r="X39" s="359">
        <f>IF(X$3="","",MAX(0,-X38))</f>
        <v/>
      </c>
      <c r="Y39" s="359">
        <f>IF(Y$3="","",MAX(0,-Y38))</f>
        <v/>
      </c>
      <c r="Z39" s="359">
        <f>IF(Z$3="","",MAX(0,-Z38))</f>
        <v/>
      </c>
      <c r="AA39" s="359">
        <f>IF(AA$3="","",MAX(0,-AA38))</f>
        <v/>
      </c>
      <c r="AB39" s="359">
        <f>IF(AB$3="","",MAX(0,-AB38))</f>
        <v/>
      </c>
      <c r="AC39" s="359">
        <f>IF(AC$3="","",MAX(0,-AC38))</f>
        <v/>
      </c>
      <c r="AD39" s="359">
        <f>IF(AD$3="","",MAX(0,-AD38))</f>
        <v/>
      </c>
      <c r="AE39" s="359">
        <f>IF(AE$3="","",MAX(0,-AE38))</f>
        <v/>
      </c>
      <c r="AF39" s="359">
        <f>IF(AF$3="","",MAX(0,-AF38))</f>
        <v/>
      </c>
      <c r="AG39" s="359">
        <f>IF(AG$3="","",MAX(0,-AG38))</f>
        <v/>
      </c>
      <c r="AH39" s="359">
        <f>IF(AH$3="","",MAX(0,-AH38))</f>
        <v/>
      </c>
      <c r="AI39" s="359">
        <f>IF(AI$3="","",MAX(0,-AI38))</f>
        <v/>
      </c>
      <c r="AJ39" s="359">
        <f>IF(AJ$3="","",MAX(0,-AJ38))</f>
        <v/>
      </c>
      <c r="AK39" s="359">
        <f>IF(AK$3="","",MAX(0,-AK38))</f>
        <v/>
      </c>
      <c r="AL39" s="359">
        <f>IF(AL$3="","",MAX(0,-AL38))</f>
        <v/>
      </c>
      <c r="AM39" s="359">
        <f>IF(AM$3="","",MAX(0,-AM38))</f>
        <v/>
      </c>
      <c r="AN39" s="359">
        <f>IF(AN$3="","",MAX(0,-AN38))</f>
        <v/>
      </c>
      <c r="AO39" s="359">
        <f>IF(AO$3="","",MAX(0,-AO38))</f>
        <v/>
      </c>
      <c r="AP39" s="359">
        <f>IF(AP$3="","",MAX(0,-AP38))</f>
        <v/>
      </c>
      <c r="AQ39" s="359">
        <f>IF(AQ$3="","",MAX(0,-AQ38))</f>
        <v/>
      </c>
      <c r="AR39" s="359">
        <f>IF(AR$3="","",MAX(0,-AR38))</f>
        <v/>
      </c>
      <c r="AS39" s="359">
        <f>IF(AS$3="","",MAX(0,-AS38))</f>
        <v/>
      </c>
      <c r="AT39" s="359">
        <f>IF(AT$3="","",MAX(0,-AT38))</f>
        <v/>
      </c>
      <c r="AU39" s="359">
        <f>IF(AU$3="","",MAX(0,-AU38))</f>
        <v/>
      </c>
      <c r="AV39" s="359">
        <f>IF(AV$3="","",MAX(0,-AV38))</f>
        <v/>
      </c>
      <c r="AW39" s="359">
        <f>IF(AW$3="","",MAX(0,-AW38))</f>
        <v/>
      </c>
      <c r="AX39" s="359">
        <f>IF(AX$3="","",MAX(0,-AX38))</f>
        <v/>
      </c>
      <c r="AY39" s="359">
        <f>IF(AY$3="","",MAX(0,-AY38))</f>
        <v/>
      </c>
      <c r="AZ39" s="359">
        <f>IF(AZ$3="","",MAX(0,-AZ38))</f>
        <v/>
      </c>
      <c r="BA39" s="359">
        <f>IF(BA$3="","",MAX(0,-BA38))</f>
        <v/>
      </c>
      <c r="BB39" s="359">
        <f>IF(BB$3="","",MAX(0,-BB38))</f>
        <v/>
      </c>
      <c r="BC39" s="359">
        <f>IF(BC$3="","",MAX(0,-BC38))</f>
        <v/>
      </c>
      <c r="BD39" s="359">
        <f>IF(BD$3="","",MAX(0,-BD38))</f>
        <v/>
      </c>
      <c r="BE39" s="359">
        <f>IF(BE$3="","",MAX(0,-BE38))</f>
        <v/>
      </c>
      <c r="BF39" s="359">
        <f>IF(BF$3="","",MAX(0,-BF38))</f>
        <v/>
      </c>
      <c r="BG39" s="359">
        <f>IF(BG$3="","",MAX(0,-BG38))</f>
        <v/>
      </c>
      <c r="BH39" s="359">
        <f>IF(BH$3="","",MAX(0,-BH38))</f>
        <v/>
      </c>
      <c r="BI39" s="359">
        <f>IF(BI$3="","",MAX(0,-BI38))</f>
        <v/>
      </c>
      <c r="BJ39" s="359">
        <f>IF(BJ$3="","",MAX(0,-BJ38))</f>
        <v/>
      </c>
      <c r="BK39" s="359">
        <f>IF(BK$3="","",MAX(0,-BK38))</f>
        <v/>
      </c>
      <c r="BL39" s="359">
        <f>IF(BL$3="","",MAX(0,-BL38))</f>
        <v/>
      </c>
      <c r="BM39" s="359">
        <f>IF(BM$3="","",MAX(0,-BM38))</f>
        <v/>
      </c>
      <c r="BN39" s="359">
        <f>IF(BN$3="","",MAX(0,-BN38))</f>
        <v/>
      </c>
      <c r="BO39" s="359">
        <f>IF(BO$3="","",MAX(0,-BO38))</f>
        <v/>
      </c>
      <c r="BP39" s="359">
        <f>IF(BP$3="","",MAX(0,-BP38))</f>
        <v/>
      </c>
      <c r="BQ39" s="359">
        <f>IF(BQ$3="","",MAX(0,-BQ38))</f>
        <v/>
      </c>
      <c r="BR39" s="359">
        <f>IF(BR$3="","",MAX(0,-BR38))</f>
        <v/>
      </c>
      <c r="BS39" s="359">
        <f>IF(BS$3="","",MAX(0,-BS38))</f>
        <v/>
      </c>
      <c r="BT39" s="359">
        <f>IF(BT$3="","",MAX(0,-BT38))</f>
        <v/>
      </c>
      <c r="BU39" s="359">
        <f>IF(BU$3="","",MAX(0,-BU38))</f>
        <v/>
      </c>
      <c r="BV39" s="359">
        <f>IF(BV$3="","",MAX(0,-BV38))</f>
        <v/>
      </c>
      <c r="BW39" s="359">
        <f>IF(BW$3="","",MAX(0,-BW38))</f>
        <v/>
      </c>
      <c r="BX39" s="359">
        <f>IF(BX$3="","",MAX(0,-BX38))</f>
        <v/>
      </c>
      <c r="BY39" s="359">
        <f>IF(BY$3="","",MAX(0,-BY38))</f>
        <v/>
      </c>
      <c r="BZ39" s="359">
        <f>IF(BZ$3="","",MAX(0,-BZ38))</f>
        <v/>
      </c>
      <c r="CA39" s="359">
        <f>IF(CA$3="","",MAX(0,-CA38))</f>
        <v/>
      </c>
      <c r="CB39" s="359">
        <f>IF(CB$3="","",MAX(0,-CB38))</f>
        <v/>
      </c>
      <c r="CC39" s="359">
        <f>IF(CC$3="","",MAX(0,-CC38))</f>
        <v/>
      </c>
      <c r="CD39" s="359">
        <f>IF(CD$3="","",MAX(0,-CD38))</f>
        <v/>
      </c>
      <c r="CE39" s="359">
        <f>IF(CE$3="","",MAX(0,-CE38))</f>
        <v/>
      </c>
      <c r="CF39" s="359">
        <f>IF(CF$3="","",MAX(0,-CF38))</f>
        <v/>
      </c>
      <c r="CG39" s="359">
        <f>IF(CG$3="","",MAX(0,-CG38))</f>
        <v/>
      </c>
      <c r="CH39" s="359">
        <f>IF(CH$3="","",MAX(0,-CH38))</f>
        <v/>
      </c>
      <c r="CI39" s="359">
        <f>IF(CI$3="","",MAX(0,-CI38))</f>
        <v/>
      </c>
      <c r="CJ39" s="359">
        <f>IF(CJ$3="","",MAX(0,-CJ38))</f>
        <v/>
      </c>
      <c r="CK39" s="359">
        <f>IF(CK$3="","",MAX(0,-CK38))</f>
        <v/>
      </c>
      <c r="CL39" s="359">
        <f>IF(CL$3="","",MAX(0,-CL38))</f>
        <v/>
      </c>
      <c r="CM39" s="359">
        <f>IF(CM$3="","",MAX(0,-CM38))</f>
        <v/>
      </c>
      <c r="CN39" s="359">
        <f>IF(CN$3="","",MAX(0,-CN38))</f>
        <v/>
      </c>
      <c r="CO39" s="359">
        <f>IF(CO$3="","",MAX(0,-CO38))</f>
        <v/>
      </c>
      <c r="CP39" s="359">
        <f>IF(CP$3="","",MAX(0,-CP38))</f>
        <v/>
      </c>
      <c r="CQ39" s="359">
        <f>IF(CQ$3="","",MAX(0,-CQ38))</f>
        <v/>
      </c>
      <c r="CR39" s="359">
        <f>IF(CR$3="","",MAX(0,-CR38))</f>
        <v/>
      </c>
      <c r="CS39" s="359">
        <f>IF(CS$3="","",MAX(0,-CS38))</f>
        <v/>
      </c>
      <c r="CT39" s="359">
        <f>IF(CT$3="","",MAX(0,-CT38))</f>
        <v/>
      </c>
      <c r="CU39" s="359">
        <f>IF(CU$3="","",MAX(0,-CU38))</f>
        <v/>
      </c>
      <c r="CV39" s="359">
        <f>IF(CV$3="","",MAX(0,-CV38))</f>
        <v/>
      </c>
      <c r="CW39" s="359">
        <f>IF(CW$3="","",MAX(0,-CW38))</f>
        <v/>
      </c>
    </row>
    <row r="40" hidden="1" ht="16.5" customHeight="1" s="180">
      <c r="A40" s="239" t="inlineStr">
        <is>
          <t>返戻金取り崩し額(補助)</t>
        </is>
      </c>
      <c r="B40" s="359">
        <f>IF(B$3="","",MAX(0,B39-((SUM(入力データ!$C$90:$C$92,入力データ!$C$94)*(1+前提条件!$C$60))+B36)))</f>
        <v/>
      </c>
      <c r="C40" s="359">
        <f>IF(C$3="","",MAX(0,C39-((B32*(1+前提条件!$C$60))+C36)))</f>
        <v/>
      </c>
      <c r="D40" s="359">
        <f>IF(D$3="","",MAX(0,D39-((C32*(1+前提条件!$C$60))+D36)))</f>
        <v/>
      </c>
      <c r="E40" s="359">
        <f>IF(E$3="","",MAX(0,E39-((D32*(1+前提条件!$C$60))+E36)))</f>
        <v/>
      </c>
      <c r="F40" s="359">
        <f>IF(F$3="","",MAX(0,F39-((E32*(1+前提条件!$C$60))+F36)))</f>
        <v/>
      </c>
      <c r="G40" s="359">
        <f>IF(G$3="","",MAX(0,G39-((F32*(1+前提条件!$C$60))+G36)))</f>
        <v/>
      </c>
      <c r="H40" s="359">
        <f>IF(H$3="","",MAX(0,H39-((G32*(1+前提条件!$C$60))+H36)))</f>
        <v/>
      </c>
      <c r="I40" s="359">
        <f>IF(I$3="","",MAX(0,I39-((H32*(1+前提条件!$C$60))+I36)))</f>
        <v/>
      </c>
      <c r="J40" s="359">
        <f>IF(J$3="","",MAX(0,J39-((I32*(1+前提条件!$C$60))+J36)))</f>
        <v/>
      </c>
      <c r="K40" s="359">
        <f>IF(K$3="","",MAX(0,K39-((J32*(1+前提条件!$C$60))+K36)))</f>
        <v/>
      </c>
      <c r="L40" s="359">
        <f>IF(L$3="","",MAX(0,L39-((K32*(1+前提条件!$C$60))+L36)))</f>
        <v/>
      </c>
      <c r="M40" s="359">
        <f>IF(M$3="","",MAX(0,M39-((L32*(1+前提条件!$C$60))+M36)))</f>
        <v/>
      </c>
      <c r="N40" s="359">
        <f>IF(N$3="","",MAX(0,N39-((M32*(1+前提条件!$C$60))+N36)))</f>
        <v/>
      </c>
      <c r="O40" s="359">
        <f>IF(O$3="","",MAX(0,O39-((N32*(1+前提条件!$C$60))+O36)))</f>
        <v/>
      </c>
      <c r="P40" s="359">
        <f>IF(P$3="","",MAX(0,P39-((O32*(1+前提条件!$C$60))+P36)))</f>
        <v/>
      </c>
      <c r="Q40" s="359">
        <f>IF(Q$3="","",MAX(0,Q39-((P32*(1+前提条件!$C$60))+Q36)))</f>
        <v/>
      </c>
      <c r="R40" s="359">
        <f>IF(R$3="","",MAX(0,R39-((Q32*(1+前提条件!$C$60))+R36)))</f>
        <v/>
      </c>
      <c r="S40" s="359">
        <f>IF(S$3="","",MAX(0,S39-((R32*(1+前提条件!$C$60))+S36)))</f>
        <v/>
      </c>
      <c r="T40" s="359">
        <f>IF(T$3="","",MAX(0,T39-((S32*(1+前提条件!$C$60))+T36)))</f>
        <v/>
      </c>
      <c r="U40" s="359">
        <f>IF(U$3="","",MAX(0,U39-((T32*(1+前提条件!$C$60))+U36)))</f>
        <v/>
      </c>
      <c r="V40" s="359">
        <f>IF(V$3="","",MAX(0,V39-((U32*(1+前提条件!$C$60))+V36)))</f>
        <v/>
      </c>
      <c r="W40" s="359">
        <f>IF(W$3="","",MAX(0,W39-((V32*(1+前提条件!$C$60))+W36)))</f>
        <v/>
      </c>
      <c r="X40" s="359">
        <f>IF(X$3="","",MAX(0,X39-((W32*(1+前提条件!$C$60))+X36)))</f>
        <v/>
      </c>
      <c r="Y40" s="359">
        <f>IF(Y$3="","",MAX(0,Y39-((X32*(1+前提条件!$C$60))+Y36)))</f>
        <v/>
      </c>
      <c r="Z40" s="359">
        <f>IF(Z$3="","",MAX(0,Z39-((Y32*(1+前提条件!$C$60))+Z36)))</f>
        <v/>
      </c>
      <c r="AA40" s="359">
        <f>IF(AA$3="","",MAX(0,AA39-((Z32*(1+前提条件!$C$60))+AA36)))</f>
        <v/>
      </c>
      <c r="AB40" s="359">
        <f>IF(AB$3="","",MAX(0,AB39-((AA32*(1+前提条件!$C$60))+AB36)))</f>
        <v/>
      </c>
      <c r="AC40" s="359">
        <f>IF(AC$3="","",MAX(0,AC39-((AB32*(1+前提条件!$C$60))+AC36)))</f>
        <v/>
      </c>
      <c r="AD40" s="359">
        <f>IF(AD$3="","",MAX(0,AD39-((AC32*(1+前提条件!$C$60))+AD36)))</f>
        <v/>
      </c>
      <c r="AE40" s="359">
        <f>IF(AE$3="","",MAX(0,AE39-((AD32*(1+前提条件!$C$60))+AE36)))</f>
        <v/>
      </c>
      <c r="AF40" s="359">
        <f>IF(AF$3="","",MAX(0,AF39-((AE32*(1+前提条件!$C$60))+AF36)))</f>
        <v/>
      </c>
      <c r="AG40" s="359">
        <f>IF(AG$3="","",MAX(0,AG39-((AF32*(1+前提条件!$C$60))+AG36)))</f>
        <v/>
      </c>
      <c r="AH40" s="359">
        <f>IF(AH$3="","",MAX(0,AH39-((AG32*(1+前提条件!$C$60))+AH36)))</f>
        <v/>
      </c>
      <c r="AI40" s="359">
        <f>IF(AI$3="","",MAX(0,AI39-((AH32*(1+前提条件!$C$60))+AI36)))</f>
        <v/>
      </c>
      <c r="AJ40" s="359">
        <f>IF(AJ$3="","",MAX(0,AJ39-((AI32*(1+前提条件!$C$60))+AJ36)))</f>
        <v/>
      </c>
      <c r="AK40" s="359">
        <f>IF(AK$3="","",MAX(0,AK39-((AJ32*(1+前提条件!$C$60))+AK36)))</f>
        <v/>
      </c>
      <c r="AL40" s="359">
        <f>IF(AL$3="","",MAX(0,AL39-((AK32*(1+前提条件!$C$60))+AL36)))</f>
        <v/>
      </c>
      <c r="AM40" s="359">
        <f>IF(AM$3="","",MAX(0,AM39-((AL32*(1+前提条件!$C$60))+AM36)))</f>
        <v/>
      </c>
      <c r="AN40" s="359">
        <f>IF(AN$3="","",MAX(0,AN39-((AM32*(1+前提条件!$C$60))+AN36)))</f>
        <v/>
      </c>
      <c r="AO40" s="359">
        <f>IF(AO$3="","",MAX(0,AO39-((AN32*(1+前提条件!$C$60))+AO36)))</f>
        <v/>
      </c>
      <c r="AP40" s="359">
        <f>IF(AP$3="","",MAX(0,AP39-((AO32*(1+前提条件!$C$60))+AP36)))</f>
        <v/>
      </c>
      <c r="AQ40" s="359">
        <f>IF(AQ$3="","",MAX(0,AQ39-((AP32*(1+前提条件!$C$60))+AQ36)))</f>
        <v/>
      </c>
      <c r="AR40" s="359">
        <f>IF(AR$3="","",MAX(0,AR39-((AQ32*(1+前提条件!$C$60))+AR36)))</f>
        <v/>
      </c>
      <c r="AS40" s="359">
        <f>IF(AS$3="","",MAX(0,AS39-((AR32*(1+前提条件!$C$60))+AS36)))</f>
        <v/>
      </c>
      <c r="AT40" s="359">
        <f>IF(AT$3="","",MAX(0,AT39-((AS32*(1+前提条件!$C$60))+AT36)))</f>
        <v/>
      </c>
      <c r="AU40" s="359">
        <f>IF(AU$3="","",MAX(0,AU39-((AT32*(1+前提条件!$C$60))+AU36)))</f>
        <v/>
      </c>
      <c r="AV40" s="359">
        <f>IF(AV$3="","",MAX(0,AV39-((AU32*(1+前提条件!$C$60))+AV36)))</f>
        <v/>
      </c>
      <c r="AW40" s="359">
        <f>IF(AW$3="","",MAX(0,AW39-((AV32*(1+前提条件!$C$60))+AW36)))</f>
        <v/>
      </c>
      <c r="AX40" s="359">
        <f>IF(AX$3="","",MAX(0,AX39-((AW32*(1+前提条件!$C$60))+AX36)))</f>
        <v/>
      </c>
      <c r="AY40" s="359">
        <f>IF(AY$3="","",MAX(0,AY39-((AX32*(1+前提条件!$C$60))+AY36)))</f>
        <v/>
      </c>
      <c r="AZ40" s="359">
        <f>IF(AZ$3="","",MAX(0,AZ39-((AY32*(1+前提条件!$C$60))+AZ36)))</f>
        <v/>
      </c>
      <c r="BA40" s="359">
        <f>IF(BA$3="","",MAX(0,BA39-((AZ32*(1+前提条件!$C$60))+BA36)))</f>
        <v/>
      </c>
      <c r="BB40" s="359">
        <f>IF(BB$3="","",MAX(0,BB39-((BA32*(1+前提条件!$C$60))+BB36)))</f>
        <v/>
      </c>
      <c r="BC40" s="359">
        <f>IF(BC$3="","",MAX(0,BC39-((BB32*(1+前提条件!$C$60))+BC36)))</f>
        <v/>
      </c>
      <c r="BD40" s="359">
        <f>IF(BD$3="","",MAX(0,BD39-((BC32*(1+前提条件!$C$60))+BD36)))</f>
        <v/>
      </c>
      <c r="BE40" s="359">
        <f>IF(BE$3="","",MAX(0,BE39-((BD32*(1+前提条件!$C$60))+BE36)))</f>
        <v/>
      </c>
      <c r="BF40" s="359">
        <f>IF(BF$3="","",MAX(0,BF39-((BE32*(1+前提条件!$C$60))+BF36)))</f>
        <v/>
      </c>
      <c r="BG40" s="359">
        <f>IF(BG$3="","",MAX(0,BG39-((BF32*(1+前提条件!$C$60))+BG36)))</f>
        <v/>
      </c>
      <c r="BH40" s="359">
        <f>IF(BH$3="","",MAX(0,BH39-((BG32*(1+前提条件!$C$60))+BH36)))</f>
        <v/>
      </c>
      <c r="BI40" s="359">
        <f>IF(BI$3="","",MAX(0,BI39-((BH32*(1+前提条件!$C$60))+BI36)))</f>
        <v/>
      </c>
      <c r="BJ40" s="359">
        <f>IF(BJ$3="","",MAX(0,BJ39-((BI32*(1+前提条件!$C$60))+BJ36)))</f>
        <v/>
      </c>
      <c r="BK40" s="359">
        <f>IF(BK$3="","",MAX(0,BK39-((BJ32*(1+前提条件!$C$60))+BK36)))</f>
        <v/>
      </c>
      <c r="BL40" s="359">
        <f>IF(BL$3="","",MAX(0,BL39-((BK32*(1+前提条件!$C$60))+BL36)))</f>
        <v/>
      </c>
      <c r="BM40" s="359">
        <f>IF(BM$3="","",MAX(0,BM39-((BL32*(1+前提条件!$C$60))+BM36)))</f>
        <v/>
      </c>
      <c r="BN40" s="359">
        <f>IF(BN$3="","",MAX(0,BN39-((BM32*(1+前提条件!$C$60))+BN36)))</f>
        <v/>
      </c>
      <c r="BO40" s="359">
        <f>IF(BO$3="","",MAX(0,BO39-((BN32*(1+前提条件!$C$60))+BO36)))</f>
        <v/>
      </c>
      <c r="BP40" s="359">
        <f>IF(BP$3="","",MAX(0,BP39-((BO32*(1+前提条件!$C$60))+BP36)))</f>
        <v/>
      </c>
      <c r="BQ40" s="359">
        <f>IF(BQ$3="","",MAX(0,BQ39-((BP32*(1+前提条件!$C$60))+BQ36)))</f>
        <v/>
      </c>
      <c r="BR40" s="359">
        <f>IF(BR$3="","",MAX(0,BR39-((BQ32*(1+前提条件!$C$60))+BR36)))</f>
        <v/>
      </c>
      <c r="BS40" s="359">
        <f>IF(BS$3="","",MAX(0,BS39-((BR32*(1+前提条件!$C$60))+BS36)))</f>
        <v/>
      </c>
      <c r="BT40" s="359">
        <f>IF(BT$3="","",MAX(0,BT39-((BS32*(1+前提条件!$C$60))+BT36)))</f>
        <v/>
      </c>
      <c r="BU40" s="359">
        <f>IF(BU$3="","",MAX(0,BU39-((BT32*(1+前提条件!$C$60))+BU36)))</f>
        <v/>
      </c>
      <c r="BV40" s="359">
        <f>IF(BV$3="","",MAX(0,BV39-((BU32*(1+前提条件!$C$60))+BV36)))</f>
        <v/>
      </c>
      <c r="BW40" s="359">
        <f>IF(BW$3="","",MAX(0,BW39-((BV32*(1+前提条件!$C$60))+BW36)))</f>
        <v/>
      </c>
      <c r="BX40" s="359">
        <f>IF(BX$3="","",MAX(0,BX39-((BW32*(1+前提条件!$C$60))+BX36)))</f>
        <v/>
      </c>
      <c r="BY40" s="359">
        <f>IF(BY$3="","",MAX(0,BY39-((BX32*(1+前提条件!$C$60))+BY36)))</f>
        <v/>
      </c>
      <c r="BZ40" s="359">
        <f>IF(BZ$3="","",MAX(0,BZ39-((BY32*(1+前提条件!$C$60))+BZ36)))</f>
        <v/>
      </c>
      <c r="CA40" s="359">
        <f>IF(CA$3="","",MAX(0,CA39-((BZ32*(1+前提条件!$C$60))+CA36)))</f>
        <v/>
      </c>
      <c r="CB40" s="359">
        <f>IF(CB$3="","",MAX(0,CB39-((CA32*(1+前提条件!$C$60))+CB36)))</f>
        <v/>
      </c>
      <c r="CC40" s="359">
        <f>IF(CC$3="","",MAX(0,CC39-((CB32*(1+前提条件!$C$60))+CC36)))</f>
        <v/>
      </c>
      <c r="CD40" s="359">
        <f>IF(CD$3="","",MAX(0,CD39-((CC32*(1+前提条件!$C$60))+CD36)))</f>
        <v/>
      </c>
      <c r="CE40" s="359">
        <f>IF(CE$3="","",MAX(0,CE39-((CD32*(1+前提条件!$C$60))+CE36)))</f>
        <v/>
      </c>
      <c r="CF40" s="359">
        <f>IF(CF$3="","",MAX(0,CF39-((CE32*(1+前提条件!$C$60))+CF36)))</f>
        <v/>
      </c>
      <c r="CG40" s="359">
        <f>IF(CG$3="","",MAX(0,CG39-((CF32*(1+前提条件!$C$60))+CG36)))</f>
        <v/>
      </c>
      <c r="CH40" s="359">
        <f>IF(CH$3="","",MAX(0,CH39-((CG32*(1+前提条件!$C$60))+CH36)))</f>
        <v/>
      </c>
      <c r="CI40" s="359">
        <f>IF(CI$3="","",MAX(0,CI39-((CH32*(1+前提条件!$C$60))+CI36)))</f>
        <v/>
      </c>
      <c r="CJ40" s="359">
        <f>IF(CJ$3="","",MAX(0,CJ39-((CI32*(1+前提条件!$C$60))+CJ36)))</f>
        <v/>
      </c>
      <c r="CK40" s="359">
        <f>IF(CK$3="","",MAX(0,CK39-((CJ32*(1+前提条件!$C$60))+CK36)))</f>
        <v/>
      </c>
      <c r="CL40" s="359">
        <f>IF(CL$3="","",MAX(0,CL39-((CK32*(1+前提条件!$C$60))+CL36)))</f>
        <v/>
      </c>
      <c r="CM40" s="359">
        <f>IF(CM$3="","",MAX(0,CM39-((CL32*(1+前提条件!$C$60))+CM36)))</f>
        <v/>
      </c>
      <c r="CN40" s="359">
        <f>IF(CN$3="","",MAX(0,CN39-((CM32*(1+前提条件!$C$60))+CN36)))</f>
        <v/>
      </c>
      <c r="CO40" s="359">
        <f>IF(CO$3="","",MAX(0,CO39-((CN32*(1+前提条件!$C$60))+CO36)))</f>
        <v/>
      </c>
      <c r="CP40" s="359">
        <f>IF(CP$3="","",MAX(0,CP39-((CO32*(1+前提条件!$C$60))+CP36)))</f>
        <v/>
      </c>
      <c r="CQ40" s="359">
        <f>IF(CQ$3="","",MAX(0,CQ39-((CP32*(1+前提条件!$C$60))+CQ36)))</f>
        <v/>
      </c>
      <c r="CR40" s="359">
        <f>IF(CR$3="","",MAX(0,CR39-((CQ32*(1+前提条件!$C$60))+CR36)))</f>
        <v/>
      </c>
      <c r="CS40" s="359">
        <f>IF(CS$3="","",MAX(0,CS39-((CR32*(1+前提条件!$C$60))+CS36)))</f>
        <v/>
      </c>
      <c r="CT40" s="359">
        <f>IF(CT$3="","",MAX(0,CT39-((CS32*(1+前提条件!$C$60))+CT36)))</f>
        <v/>
      </c>
      <c r="CU40" s="359">
        <f>IF(CU$3="","",MAX(0,CU39-((CT32*(1+前提条件!$C$60))+CU36)))</f>
        <v/>
      </c>
      <c r="CV40" s="359">
        <f>IF(CV$3="","",MAX(0,CV39-((CU32*(1+前提条件!$C$60))+CV36)))</f>
        <v/>
      </c>
      <c r="CW40" s="359">
        <f>IF(CW$3="","",MAX(0,CW39-((CV32*(1+前提条件!$C$60))+CW36)))</f>
        <v/>
      </c>
    </row>
    <row r="41" hidden="1" ht="16.5" customHeight="1" s="180">
      <c r="A41" s="239" t="inlineStr">
        <is>
          <t>年間住宅ローン元本返済(補助)</t>
        </is>
      </c>
      <c r="B41" s="359">
        <f>IF(B$3="","",IF(AND(B4&lt;&gt;"",B4&lt;=前提条件!$C$44,入力データ!$C$95&gt;0),入力データ!$C$95/MAX(1,前提条件!$C$44-B4+1),0))</f>
        <v/>
      </c>
      <c r="C41" s="359">
        <f>IF(C$3="","",IF(C4&lt;=前提条件!$C$44,$B$41,0))</f>
        <v/>
      </c>
      <c r="D41" s="359">
        <f>IF(D$3="","",IF(D4&lt;=前提条件!$C$44,$B$41,0))</f>
        <v/>
      </c>
      <c r="E41" s="359">
        <f>IF(E$3="","",IF(E4&lt;=前提条件!$C$44,$B$41,0))</f>
        <v/>
      </c>
      <c r="F41" s="359">
        <f>IF(F$3="","",IF(F4&lt;=前提条件!$C$44,$B$41,0))</f>
        <v/>
      </c>
      <c r="G41" s="359">
        <f>IF(G$3="","",IF(G4&lt;=前提条件!$C$44,$B$41,0))</f>
        <v/>
      </c>
      <c r="H41" s="359">
        <f>IF(H$3="","",IF(H4&lt;=前提条件!$C$44,$B$41,0))</f>
        <v/>
      </c>
      <c r="I41" s="359">
        <f>IF(I$3="","",IF(I4&lt;=前提条件!$C$44,$B$41,0))</f>
        <v/>
      </c>
      <c r="J41" s="359">
        <f>IF(J$3="","",IF(J4&lt;=前提条件!$C$44,$B$41,0))</f>
        <v/>
      </c>
      <c r="K41" s="359">
        <f>IF(K$3="","",IF(K4&lt;=前提条件!$C$44,$B$41,0))</f>
        <v/>
      </c>
      <c r="L41" s="359">
        <f>IF(L$3="","",IF(L4&lt;=前提条件!$C$44,$B$41,0))</f>
        <v/>
      </c>
      <c r="M41" s="359">
        <f>IF(M$3="","",IF(M4&lt;=前提条件!$C$44,$B$41,0))</f>
        <v/>
      </c>
      <c r="N41" s="359">
        <f>IF(N$3="","",IF(N4&lt;=前提条件!$C$44,$B$41,0))</f>
        <v/>
      </c>
      <c r="O41" s="359">
        <f>IF(O$3="","",IF(O4&lt;=前提条件!$C$44,$B$41,0))</f>
        <v/>
      </c>
      <c r="P41" s="359">
        <f>IF(P$3="","",IF(P4&lt;=前提条件!$C$44,$B$41,0))</f>
        <v/>
      </c>
      <c r="Q41" s="359">
        <f>IF(Q$3="","",IF(Q4&lt;=前提条件!$C$44,$B$41,0))</f>
        <v/>
      </c>
      <c r="R41" s="359">
        <f>IF(R$3="","",IF(R4&lt;=前提条件!$C$44,$B$41,0))</f>
        <v/>
      </c>
      <c r="S41" s="359">
        <f>IF(S$3="","",IF(S4&lt;=前提条件!$C$44,$B$41,0))</f>
        <v/>
      </c>
      <c r="T41" s="359">
        <f>IF(T$3="","",IF(T4&lt;=前提条件!$C$44,$B$41,0))</f>
        <v/>
      </c>
      <c r="U41" s="359">
        <f>IF(U$3="","",IF(U4&lt;=前提条件!$C$44,$B$41,0))</f>
        <v/>
      </c>
      <c r="V41" s="359">
        <f>IF(V$3="","",IF(V4&lt;=前提条件!$C$44,$B$41,0))</f>
        <v/>
      </c>
      <c r="W41" s="359">
        <f>IF(W$3="","",IF(W4&lt;=前提条件!$C$44,$B$41,0))</f>
        <v/>
      </c>
      <c r="X41" s="359">
        <f>IF(X$3="","",IF(X4&lt;=前提条件!$C$44,$B$41,0))</f>
        <v/>
      </c>
      <c r="Y41" s="359">
        <f>IF(Y$3="","",IF(Y4&lt;=前提条件!$C$44,$B$41,0))</f>
        <v/>
      </c>
      <c r="Z41" s="359">
        <f>IF(Z$3="","",IF(Z4&lt;=前提条件!$C$44,$B$41,0))</f>
        <v/>
      </c>
      <c r="AA41" s="359">
        <f>IF(AA$3="","",IF(AA4&lt;=前提条件!$C$44,$B$41,0))</f>
        <v/>
      </c>
      <c r="AB41" s="359">
        <f>IF(AB$3="","",IF(AB4&lt;=前提条件!$C$44,$B$41,0))</f>
        <v/>
      </c>
      <c r="AC41" s="359">
        <f>IF(AC$3="","",IF(AC4&lt;=前提条件!$C$44,$B$41,0))</f>
        <v/>
      </c>
      <c r="AD41" s="359">
        <f>IF(AD$3="","",IF(AD4&lt;=前提条件!$C$44,$B$41,0))</f>
        <v/>
      </c>
      <c r="AE41" s="359">
        <f>IF(AE$3="","",IF(AE4&lt;=前提条件!$C$44,$B$41,0))</f>
        <v/>
      </c>
      <c r="AF41" s="359">
        <f>IF(AF$3="","",IF(AF4&lt;=前提条件!$C$44,$B$41,0))</f>
        <v/>
      </c>
      <c r="AG41" s="359">
        <f>IF(AG$3="","",IF(AG4&lt;=前提条件!$C$44,$B$41,0))</f>
        <v/>
      </c>
      <c r="AH41" s="359">
        <f>IF(AH$3="","",IF(AH4&lt;=前提条件!$C$44,$B$41,0))</f>
        <v/>
      </c>
      <c r="AI41" s="359">
        <f>IF(AI$3="","",IF(AI4&lt;=前提条件!$C$44,$B$41,0))</f>
        <v/>
      </c>
      <c r="AJ41" s="359">
        <f>IF(AJ$3="","",IF(AJ4&lt;=前提条件!$C$44,$B$41,0))</f>
        <v/>
      </c>
      <c r="AK41" s="359">
        <f>IF(AK$3="","",IF(AK4&lt;=前提条件!$C$44,$B$41,0))</f>
        <v/>
      </c>
      <c r="AL41" s="359">
        <f>IF(AL$3="","",IF(AL4&lt;=前提条件!$C$44,$B$41,0))</f>
        <v/>
      </c>
      <c r="AM41" s="359">
        <f>IF(AM$3="","",IF(AM4&lt;=前提条件!$C$44,$B$41,0))</f>
        <v/>
      </c>
      <c r="AN41" s="359">
        <f>IF(AN$3="","",IF(AN4&lt;=前提条件!$C$44,$B$41,0))</f>
        <v/>
      </c>
      <c r="AO41" s="359">
        <f>IF(AO$3="","",IF(AO4&lt;=前提条件!$C$44,$B$41,0))</f>
        <v/>
      </c>
      <c r="AP41" s="359">
        <f>IF(AP$3="","",IF(AP4&lt;=前提条件!$C$44,$B$41,0))</f>
        <v/>
      </c>
      <c r="AQ41" s="359">
        <f>IF(AQ$3="","",IF(AQ4&lt;=前提条件!$C$44,$B$41,0))</f>
        <v/>
      </c>
      <c r="AR41" s="359">
        <f>IF(AR$3="","",IF(AR4&lt;=前提条件!$C$44,$B$41,0))</f>
        <v/>
      </c>
      <c r="AS41" s="359">
        <f>IF(AS$3="","",IF(AS4&lt;=前提条件!$C$44,$B$41,0))</f>
        <v/>
      </c>
      <c r="AT41" s="359">
        <f>IF(AT$3="","",IF(AT4&lt;=前提条件!$C$44,$B$41,0))</f>
        <v/>
      </c>
      <c r="AU41" s="359">
        <f>IF(AU$3="","",IF(AU4&lt;=前提条件!$C$44,$B$41,0))</f>
        <v/>
      </c>
      <c r="AV41" s="359">
        <f>IF(AV$3="","",IF(AV4&lt;=前提条件!$C$44,$B$41,0))</f>
        <v/>
      </c>
      <c r="AW41" s="359">
        <f>IF(AW$3="","",IF(AW4&lt;=前提条件!$C$44,$B$41,0))</f>
        <v/>
      </c>
      <c r="AX41" s="359">
        <f>IF(AX$3="","",IF(AX4&lt;=前提条件!$C$44,$B$41,0))</f>
        <v/>
      </c>
      <c r="AY41" s="359">
        <f>IF(AY$3="","",IF(AY4&lt;=前提条件!$C$44,$B$41,0))</f>
        <v/>
      </c>
      <c r="AZ41" s="359">
        <f>IF(AZ$3="","",IF(AZ4&lt;=前提条件!$C$44,$B$41,0))</f>
        <v/>
      </c>
      <c r="BA41" s="359">
        <f>IF(BA$3="","",IF(BA4&lt;=前提条件!$C$44,$B$41,0))</f>
        <v/>
      </c>
      <c r="BB41" s="359">
        <f>IF(BB$3="","",IF(BB4&lt;=前提条件!$C$44,$B$41,0))</f>
        <v/>
      </c>
      <c r="BC41" s="359">
        <f>IF(BC$3="","",IF(BC4&lt;=前提条件!$C$44,$B$41,0))</f>
        <v/>
      </c>
      <c r="BD41" s="359">
        <f>IF(BD$3="","",IF(BD4&lt;=前提条件!$C$44,$B$41,0))</f>
        <v/>
      </c>
      <c r="BE41" s="359">
        <f>IF(BE$3="","",IF(BE4&lt;=前提条件!$C$44,$B$41,0))</f>
        <v/>
      </c>
      <c r="BF41" s="359">
        <f>IF(BF$3="","",IF(BF4&lt;=前提条件!$C$44,$B$41,0))</f>
        <v/>
      </c>
      <c r="BG41" s="359">
        <f>IF(BG$3="","",IF(BG4&lt;=前提条件!$C$44,$B$41,0))</f>
        <v/>
      </c>
      <c r="BH41" s="359">
        <f>IF(BH$3="","",IF(BH4&lt;=前提条件!$C$44,$B$41,0))</f>
        <v/>
      </c>
      <c r="BI41" s="359">
        <f>IF(BI$3="","",IF(BI4&lt;=前提条件!$C$44,$B$41,0))</f>
        <v/>
      </c>
      <c r="BJ41" s="359">
        <f>IF(BJ$3="","",IF(BJ4&lt;=前提条件!$C$44,$B$41,0))</f>
        <v/>
      </c>
      <c r="BK41" s="359">
        <f>IF(BK$3="","",IF(BK4&lt;=前提条件!$C$44,$B$41,0))</f>
        <v/>
      </c>
      <c r="BL41" s="359">
        <f>IF(BL$3="","",IF(BL4&lt;=前提条件!$C$44,$B$41,0))</f>
        <v/>
      </c>
      <c r="BM41" s="359">
        <f>IF(BM$3="","",IF(BM4&lt;=前提条件!$C$44,$B$41,0))</f>
        <v/>
      </c>
      <c r="BN41" s="359">
        <f>IF(BN$3="","",IF(BN4&lt;=前提条件!$C$44,$B$41,0))</f>
        <v/>
      </c>
      <c r="BO41" s="359">
        <f>IF(BO$3="","",IF(BO4&lt;=前提条件!$C$44,$B$41,0))</f>
        <v/>
      </c>
      <c r="BP41" s="359">
        <f>IF(BP$3="","",IF(BP4&lt;=前提条件!$C$44,$B$41,0))</f>
        <v/>
      </c>
      <c r="BQ41" s="359">
        <f>IF(BQ$3="","",IF(BQ4&lt;=前提条件!$C$44,$B$41,0))</f>
        <v/>
      </c>
      <c r="BR41" s="359">
        <f>IF(BR$3="","",IF(BR4&lt;=前提条件!$C$44,$B$41,0))</f>
        <v/>
      </c>
      <c r="BS41" s="359">
        <f>IF(BS$3="","",IF(BS4&lt;=前提条件!$C$44,$B$41,0))</f>
        <v/>
      </c>
      <c r="BT41" s="359">
        <f>IF(BT$3="","",IF(BT4&lt;=前提条件!$C$44,$B$41,0))</f>
        <v/>
      </c>
      <c r="BU41" s="359">
        <f>IF(BU$3="","",IF(BU4&lt;=前提条件!$C$44,$B$41,0))</f>
        <v/>
      </c>
      <c r="BV41" s="359">
        <f>IF(BV$3="","",IF(BV4&lt;=前提条件!$C$44,$B$41,0))</f>
        <v/>
      </c>
      <c r="BW41" s="359">
        <f>IF(BW$3="","",IF(BW4&lt;=前提条件!$C$44,$B$41,0))</f>
        <v/>
      </c>
      <c r="BX41" s="359">
        <f>IF(BX$3="","",IF(BX4&lt;=前提条件!$C$44,$B$41,0))</f>
        <v/>
      </c>
      <c r="BY41" s="359">
        <f>IF(BY$3="","",IF(BY4&lt;=前提条件!$C$44,$B$41,0))</f>
        <v/>
      </c>
      <c r="BZ41" s="359">
        <f>IF(BZ$3="","",IF(BZ4&lt;=前提条件!$C$44,$B$41,0))</f>
        <v/>
      </c>
      <c r="CA41" s="359">
        <f>IF(CA$3="","",IF(CA4&lt;=前提条件!$C$44,$B$41,0))</f>
        <v/>
      </c>
      <c r="CB41" s="359">
        <f>IF(CB$3="","",IF(CB4&lt;=前提条件!$C$44,$B$41,0))</f>
        <v/>
      </c>
      <c r="CC41" s="359">
        <f>IF(CC$3="","",IF(CC4&lt;=前提条件!$C$44,$B$41,0))</f>
        <v/>
      </c>
      <c r="CD41" s="359">
        <f>IF(CD$3="","",IF(CD4&lt;=前提条件!$C$44,$B$41,0))</f>
        <v/>
      </c>
      <c r="CE41" s="359">
        <f>IF(CE$3="","",IF(CE4&lt;=前提条件!$C$44,$B$41,0))</f>
        <v/>
      </c>
      <c r="CF41" s="359">
        <f>IF(CF$3="","",IF(CF4&lt;=前提条件!$C$44,$B$41,0))</f>
        <v/>
      </c>
      <c r="CG41" s="359">
        <f>IF(CG$3="","",IF(CG4&lt;=前提条件!$C$44,$B$41,0))</f>
        <v/>
      </c>
      <c r="CH41" s="359">
        <f>IF(CH$3="","",IF(CH4&lt;=前提条件!$C$44,$B$41,0))</f>
        <v/>
      </c>
      <c r="CI41" s="359">
        <f>IF(CI$3="","",IF(CI4&lt;=前提条件!$C$44,$B$41,0))</f>
        <v/>
      </c>
      <c r="CJ41" s="359">
        <f>IF(CJ$3="","",IF(CJ4&lt;=前提条件!$C$44,$B$41,0))</f>
        <v/>
      </c>
      <c r="CK41" s="359">
        <f>IF(CK$3="","",IF(CK4&lt;=前提条件!$C$44,$B$41,0))</f>
        <v/>
      </c>
      <c r="CL41" s="359">
        <f>IF(CL$3="","",IF(CL4&lt;=前提条件!$C$44,$B$41,0))</f>
        <v/>
      </c>
      <c r="CM41" s="359">
        <f>IF(CM$3="","",IF(CM4&lt;=前提条件!$C$44,$B$41,0))</f>
        <v/>
      </c>
      <c r="CN41" s="359">
        <f>IF(CN$3="","",IF(CN4&lt;=前提条件!$C$44,$B$41,0))</f>
        <v/>
      </c>
      <c r="CO41" s="359">
        <f>IF(CO$3="","",IF(CO4&lt;=前提条件!$C$44,$B$41,0))</f>
        <v/>
      </c>
      <c r="CP41" s="359">
        <f>IF(CP$3="","",IF(CP4&lt;=前提条件!$C$44,$B$41,0))</f>
        <v/>
      </c>
      <c r="CQ41" s="359">
        <f>IF(CQ$3="","",IF(CQ4&lt;=前提条件!$C$44,$B$41,0))</f>
        <v/>
      </c>
      <c r="CR41" s="359">
        <f>IF(CR$3="","",IF(CR4&lt;=前提条件!$C$44,$B$41,0))</f>
        <v/>
      </c>
      <c r="CS41" s="359">
        <f>IF(CS$3="","",IF(CS4&lt;=前提条件!$C$44,$B$41,0))</f>
        <v/>
      </c>
      <c r="CT41" s="359">
        <f>IF(CT$3="","",IF(CT4&lt;=前提条件!$C$44,$B$41,0))</f>
        <v/>
      </c>
      <c r="CU41" s="359">
        <f>IF(CU$3="","",IF(CU4&lt;=前提条件!$C$44,$B$41,0))</f>
        <v/>
      </c>
      <c r="CV41" s="359">
        <f>IF(CV$3="","",IF(CV4&lt;=前提条件!$C$44,$B$41,0))</f>
        <v/>
      </c>
      <c r="CW41" s="359">
        <f>IF(CW$3="","",IF(CW4&lt;=前提条件!$C$44,$B$41,0))</f>
        <v/>
      </c>
    </row>
    <row r="42" hidden="1" ht="16.5" customHeight="1" s="180">
      <c r="A42" s="239" t="inlineStr">
        <is>
          <t>老後期フラグ(補助)</t>
        </is>
      </c>
      <c r="B42" s="360">
        <f>IF(B$3="","",IF(AND(B4&gt;=入力データ!$C$111,B5&gt;=入力データ!$C$111),1,0))</f>
        <v/>
      </c>
      <c r="C42" s="360">
        <f>IF(C$3="","",IF(AND(C4&gt;=入力データ!$C$111,C5&gt;=入力データ!$C$111),1,0))</f>
        <v/>
      </c>
      <c r="D42" s="360">
        <f>IF(D$3="","",IF(AND(D4&gt;=入力データ!$C$111,D5&gt;=入力データ!$C$111),1,0))</f>
        <v/>
      </c>
      <c r="E42" s="360">
        <f>IF(E$3="","",IF(AND(E4&gt;=入力データ!$C$111,E5&gt;=入力データ!$C$111),1,0))</f>
        <v/>
      </c>
      <c r="F42" s="360">
        <f>IF(F$3="","",IF(AND(F4&gt;=入力データ!$C$111,F5&gt;=入力データ!$C$111),1,0))</f>
        <v/>
      </c>
      <c r="G42" s="360">
        <f>IF(G$3="","",IF(AND(G4&gt;=入力データ!$C$111,G5&gt;=入力データ!$C$111),1,0))</f>
        <v/>
      </c>
      <c r="H42" s="360">
        <f>IF(H$3="","",IF(AND(H4&gt;=入力データ!$C$111,H5&gt;=入力データ!$C$111),1,0))</f>
        <v/>
      </c>
      <c r="I42" s="360">
        <f>IF(I$3="","",IF(AND(I4&gt;=入力データ!$C$111,I5&gt;=入力データ!$C$111),1,0))</f>
        <v/>
      </c>
      <c r="J42" s="360">
        <f>IF(J$3="","",IF(AND(J4&gt;=入力データ!$C$111,J5&gt;=入力データ!$C$111),1,0))</f>
        <v/>
      </c>
      <c r="K42" s="360">
        <f>IF(K$3="","",IF(AND(K4&gt;=入力データ!$C$111,K5&gt;=入力データ!$C$111),1,0))</f>
        <v/>
      </c>
      <c r="L42" s="360">
        <f>IF(L$3="","",IF(AND(L4&gt;=入力データ!$C$111,L5&gt;=入力データ!$C$111),1,0))</f>
        <v/>
      </c>
      <c r="M42" s="360">
        <f>IF(M$3="","",IF(AND(M4&gt;=入力データ!$C$111,M5&gt;=入力データ!$C$111),1,0))</f>
        <v/>
      </c>
      <c r="N42" s="360">
        <f>IF(N$3="","",IF(AND(N4&gt;=入力データ!$C$111,N5&gt;=入力データ!$C$111),1,0))</f>
        <v/>
      </c>
      <c r="O42" s="360">
        <f>IF(O$3="","",IF(AND(O4&gt;=入力データ!$C$111,O5&gt;=入力データ!$C$111),1,0))</f>
        <v/>
      </c>
      <c r="P42" s="360">
        <f>IF(P$3="","",IF(AND(P4&gt;=入力データ!$C$111,P5&gt;=入力データ!$C$111),1,0))</f>
        <v/>
      </c>
      <c r="Q42" s="360">
        <f>IF(Q$3="","",IF(AND(Q4&gt;=入力データ!$C$111,Q5&gt;=入力データ!$C$111),1,0))</f>
        <v/>
      </c>
      <c r="R42" s="360">
        <f>IF(R$3="","",IF(AND(R4&gt;=入力データ!$C$111,R5&gt;=入力データ!$C$111),1,0))</f>
        <v/>
      </c>
      <c r="S42" s="360">
        <f>IF(S$3="","",IF(AND(S4&gt;=入力データ!$C$111,S5&gt;=入力データ!$C$111),1,0))</f>
        <v/>
      </c>
      <c r="T42" s="360">
        <f>IF(T$3="","",IF(AND(T4&gt;=入力データ!$C$111,T5&gt;=入力データ!$C$111),1,0))</f>
        <v/>
      </c>
      <c r="U42" s="360">
        <f>IF(U$3="","",IF(AND(U4&gt;=入力データ!$C$111,U5&gt;=入力データ!$C$111),1,0))</f>
        <v/>
      </c>
      <c r="V42" s="360">
        <f>IF(V$3="","",IF(AND(V4&gt;=入力データ!$C$111,V5&gt;=入力データ!$C$111),1,0))</f>
        <v/>
      </c>
      <c r="W42" s="360">
        <f>IF(W$3="","",IF(AND(W4&gt;=入力データ!$C$111,W5&gt;=入力データ!$C$111),1,0))</f>
        <v/>
      </c>
      <c r="X42" s="360">
        <f>IF(X$3="","",IF(AND(X4&gt;=入力データ!$C$111,X5&gt;=入力データ!$C$111),1,0))</f>
        <v/>
      </c>
      <c r="Y42" s="360">
        <f>IF(Y$3="","",IF(AND(Y4&gt;=入力データ!$C$111,Y5&gt;=入力データ!$C$111),1,0))</f>
        <v/>
      </c>
      <c r="Z42" s="360">
        <f>IF(Z$3="","",IF(AND(Z4&gt;=入力データ!$C$111,Z5&gt;=入力データ!$C$111),1,0))</f>
        <v/>
      </c>
      <c r="AA42" s="360">
        <f>IF(AA$3="","",IF(AND(AA4&gt;=入力データ!$C$111,AA5&gt;=入力データ!$C$111),1,0))</f>
        <v/>
      </c>
      <c r="AB42" s="360">
        <f>IF(AB$3="","",IF(AND(AB4&gt;=入力データ!$C$111,AB5&gt;=入力データ!$C$111),1,0))</f>
        <v/>
      </c>
      <c r="AC42" s="360">
        <f>IF(AC$3="","",IF(AND(AC4&gt;=入力データ!$C$111,AC5&gt;=入力データ!$C$111),1,0))</f>
        <v/>
      </c>
      <c r="AD42" s="360">
        <f>IF(AD$3="","",IF(AND(AD4&gt;=入力データ!$C$111,AD5&gt;=入力データ!$C$111),1,0))</f>
        <v/>
      </c>
      <c r="AE42" s="360">
        <f>IF(AE$3="","",IF(AND(AE4&gt;=入力データ!$C$111,AE5&gt;=入力データ!$C$111),1,0))</f>
        <v/>
      </c>
      <c r="AF42" s="360">
        <f>IF(AF$3="","",IF(AND(AF4&gt;=入力データ!$C$111,AF5&gt;=入力データ!$C$111),1,0))</f>
        <v/>
      </c>
      <c r="AG42" s="360">
        <f>IF(AG$3="","",IF(AND(AG4&gt;=入力データ!$C$111,AG5&gt;=入力データ!$C$111),1,0))</f>
        <v/>
      </c>
      <c r="AH42" s="360">
        <f>IF(AH$3="","",IF(AND(AH4&gt;=入力データ!$C$111,AH5&gt;=入力データ!$C$111),1,0))</f>
        <v/>
      </c>
      <c r="AI42" s="360">
        <f>IF(AI$3="","",IF(AND(AI4&gt;=入力データ!$C$111,AI5&gt;=入力データ!$C$111),1,0))</f>
        <v/>
      </c>
      <c r="AJ42" s="360">
        <f>IF(AJ$3="","",IF(AND(AJ4&gt;=入力データ!$C$111,AJ5&gt;=入力データ!$C$111),1,0))</f>
        <v/>
      </c>
      <c r="AK42" s="360">
        <f>IF(AK$3="","",IF(AND(AK4&gt;=入力データ!$C$111,AK5&gt;=入力データ!$C$111),1,0))</f>
        <v/>
      </c>
      <c r="AL42" s="360">
        <f>IF(AL$3="","",IF(AND(AL4&gt;=入力データ!$C$111,AL5&gt;=入力データ!$C$111),1,0))</f>
        <v/>
      </c>
      <c r="AM42" s="360">
        <f>IF(AM$3="","",IF(AND(AM4&gt;=入力データ!$C$111,AM5&gt;=入力データ!$C$111),1,0))</f>
        <v/>
      </c>
      <c r="AN42" s="360">
        <f>IF(AN$3="","",IF(AND(AN4&gt;=入力データ!$C$111,AN5&gt;=入力データ!$C$111),1,0))</f>
        <v/>
      </c>
      <c r="AO42" s="360">
        <f>IF(AO$3="","",IF(AND(AO4&gt;=入力データ!$C$111,AO5&gt;=入力データ!$C$111),1,0))</f>
        <v/>
      </c>
      <c r="AP42" s="360">
        <f>IF(AP$3="","",IF(AND(AP4&gt;=入力データ!$C$111,AP5&gt;=入力データ!$C$111),1,0))</f>
        <v/>
      </c>
      <c r="AQ42" s="360">
        <f>IF(AQ$3="","",IF(AND(AQ4&gt;=入力データ!$C$111,AQ5&gt;=入力データ!$C$111),1,0))</f>
        <v/>
      </c>
      <c r="AR42" s="360">
        <f>IF(AR$3="","",IF(AND(AR4&gt;=入力データ!$C$111,AR5&gt;=入力データ!$C$111),1,0))</f>
        <v/>
      </c>
      <c r="AS42" s="360">
        <f>IF(AS$3="","",IF(AND(AS4&gt;=入力データ!$C$111,AS5&gt;=入力データ!$C$111),1,0))</f>
        <v/>
      </c>
      <c r="AT42" s="360">
        <f>IF(AT$3="","",IF(AND(AT4&gt;=入力データ!$C$111,AT5&gt;=入力データ!$C$111),1,0))</f>
        <v/>
      </c>
      <c r="AU42" s="360">
        <f>IF(AU$3="","",IF(AND(AU4&gt;=入力データ!$C$111,AU5&gt;=入力データ!$C$111),1,0))</f>
        <v/>
      </c>
      <c r="AV42" s="360">
        <f>IF(AV$3="","",IF(AND(AV4&gt;=入力データ!$C$111,AV5&gt;=入力データ!$C$111),1,0))</f>
        <v/>
      </c>
      <c r="AW42" s="360">
        <f>IF(AW$3="","",IF(AND(AW4&gt;=入力データ!$C$111,AW5&gt;=入力データ!$C$111),1,0))</f>
        <v/>
      </c>
      <c r="AX42" s="360">
        <f>IF(AX$3="","",IF(AND(AX4&gt;=入力データ!$C$111,AX5&gt;=入力データ!$C$111),1,0))</f>
        <v/>
      </c>
      <c r="AY42" s="360">
        <f>IF(AY$3="","",IF(AND(AY4&gt;=入力データ!$C$111,AY5&gt;=入力データ!$C$111),1,0))</f>
        <v/>
      </c>
      <c r="AZ42" s="360">
        <f>IF(AZ$3="","",IF(AND(AZ4&gt;=入力データ!$C$111,AZ5&gt;=入力データ!$C$111),1,0))</f>
        <v/>
      </c>
      <c r="BA42" s="360">
        <f>IF(BA$3="","",IF(AND(BA4&gt;=入力データ!$C$111,BA5&gt;=入力データ!$C$111),1,0))</f>
        <v/>
      </c>
      <c r="BB42" s="360">
        <f>IF(BB$3="","",IF(AND(BB4&gt;=入力データ!$C$111,BB5&gt;=入力データ!$C$111),1,0))</f>
        <v/>
      </c>
      <c r="BC42" s="360">
        <f>IF(BC$3="","",IF(AND(BC4&gt;=入力データ!$C$111,BC5&gt;=入力データ!$C$111),1,0))</f>
        <v/>
      </c>
      <c r="BD42" s="360">
        <f>IF(BD$3="","",IF(AND(BD4&gt;=入力データ!$C$111,BD5&gt;=入力データ!$C$111),1,0))</f>
        <v/>
      </c>
      <c r="BE42" s="360">
        <f>IF(BE$3="","",IF(AND(BE4&gt;=入力データ!$C$111,BE5&gt;=入力データ!$C$111),1,0))</f>
        <v/>
      </c>
      <c r="BF42" s="360">
        <f>IF(BF$3="","",IF(AND(BF4&gt;=入力データ!$C$111,BF5&gt;=入力データ!$C$111),1,0))</f>
        <v/>
      </c>
      <c r="BG42" s="360">
        <f>IF(BG$3="","",IF(AND(BG4&gt;=入力データ!$C$111,BG5&gt;=入力データ!$C$111),1,0))</f>
        <v/>
      </c>
      <c r="BH42" s="360">
        <f>IF(BH$3="","",IF(AND(BH4&gt;=入力データ!$C$111,BH5&gt;=入力データ!$C$111),1,0))</f>
        <v/>
      </c>
      <c r="BI42" s="360">
        <f>IF(BI$3="","",IF(AND(BI4&gt;=入力データ!$C$111,BI5&gt;=入力データ!$C$111),1,0))</f>
        <v/>
      </c>
      <c r="BJ42" s="360">
        <f>IF(BJ$3="","",IF(AND(BJ4&gt;=入力データ!$C$111,BJ5&gt;=入力データ!$C$111),1,0))</f>
        <v/>
      </c>
      <c r="BK42" s="360">
        <f>IF(BK$3="","",IF(AND(BK4&gt;=入力データ!$C$111,BK5&gt;=入力データ!$C$111),1,0))</f>
        <v/>
      </c>
      <c r="BL42" s="360">
        <f>IF(BL$3="","",IF(AND(BL4&gt;=入力データ!$C$111,BL5&gt;=入力データ!$C$111),1,0))</f>
        <v/>
      </c>
      <c r="BM42" s="360">
        <f>IF(BM$3="","",IF(AND(BM4&gt;=入力データ!$C$111,BM5&gt;=入力データ!$C$111),1,0))</f>
        <v/>
      </c>
      <c r="BN42" s="360">
        <f>IF(BN$3="","",IF(AND(BN4&gt;=入力データ!$C$111,BN5&gt;=入力データ!$C$111),1,0))</f>
        <v/>
      </c>
      <c r="BO42" s="360">
        <f>IF(BO$3="","",IF(AND(BO4&gt;=入力データ!$C$111,BO5&gt;=入力データ!$C$111),1,0))</f>
        <v/>
      </c>
      <c r="BP42" s="360">
        <f>IF(BP$3="","",IF(AND(BP4&gt;=入力データ!$C$111,BP5&gt;=入力データ!$C$111),1,0))</f>
        <v/>
      </c>
      <c r="BQ42" s="360">
        <f>IF(BQ$3="","",IF(AND(BQ4&gt;=入力データ!$C$111,BQ5&gt;=入力データ!$C$111),1,0))</f>
        <v/>
      </c>
      <c r="BR42" s="360">
        <f>IF(BR$3="","",IF(AND(BR4&gt;=入力データ!$C$111,BR5&gt;=入力データ!$C$111),1,0))</f>
        <v/>
      </c>
      <c r="BS42" s="360">
        <f>IF(BS$3="","",IF(AND(BS4&gt;=入力データ!$C$111,BS5&gt;=入力データ!$C$111),1,0))</f>
        <v/>
      </c>
      <c r="BT42" s="360">
        <f>IF(BT$3="","",IF(AND(BT4&gt;=入力データ!$C$111,BT5&gt;=入力データ!$C$111),1,0))</f>
        <v/>
      </c>
      <c r="BU42" s="360">
        <f>IF(BU$3="","",IF(AND(BU4&gt;=入力データ!$C$111,BU5&gt;=入力データ!$C$111),1,0))</f>
        <v/>
      </c>
      <c r="BV42" s="360">
        <f>IF(BV$3="","",IF(AND(BV4&gt;=入力データ!$C$111,BV5&gt;=入力データ!$C$111),1,0))</f>
        <v/>
      </c>
      <c r="BW42" s="360">
        <f>IF(BW$3="","",IF(AND(BW4&gt;=入力データ!$C$111,BW5&gt;=入力データ!$C$111),1,0))</f>
        <v/>
      </c>
      <c r="BX42" s="360">
        <f>IF(BX$3="","",IF(AND(BX4&gt;=入力データ!$C$111,BX5&gt;=入力データ!$C$111),1,0))</f>
        <v/>
      </c>
      <c r="BY42" s="360">
        <f>IF(BY$3="","",IF(AND(BY4&gt;=入力データ!$C$111,BY5&gt;=入力データ!$C$111),1,0))</f>
        <v/>
      </c>
      <c r="BZ42" s="360">
        <f>IF(BZ$3="","",IF(AND(BZ4&gt;=入力データ!$C$111,BZ5&gt;=入力データ!$C$111),1,0))</f>
        <v/>
      </c>
      <c r="CA42" s="360">
        <f>IF(CA$3="","",IF(AND(CA4&gt;=入力データ!$C$111,CA5&gt;=入力データ!$C$111),1,0))</f>
        <v/>
      </c>
      <c r="CB42" s="360">
        <f>IF(CB$3="","",IF(AND(CB4&gt;=入力データ!$C$111,CB5&gt;=入力データ!$C$111),1,0))</f>
        <v/>
      </c>
      <c r="CC42" s="360">
        <f>IF(CC$3="","",IF(AND(CC4&gt;=入力データ!$C$111,CC5&gt;=入力データ!$C$111),1,0))</f>
        <v/>
      </c>
      <c r="CD42" s="360">
        <f>IF(CD$3="","",IF(AND(CD4&gt;=入力データ!$C$111,CD5&gt;=入力データ!$C$111),1,0))</f>
        <v/>
      </c>
      <c r="CE42" s="360">
        <f>IF(CE$3="","",IF(AND(CE4&gt;=入力データ!$C$111,CE5&gt;=入力データ!$C$111),1,0))</f>
        <v/>
      </c>
      <c r="CF42" s="360">
        <f>IF(CF$3="","",IF(AND(CF4&gt;=入力データ!$C$111,CF5&gt;=入力データ!$C$111),1,0))</f>
        <v/>
      </c>
      <c r="CG42" s="360">
        <f>IF(CG$3="","",IF(AND(CG4&gt;=入力データ!$C$111,CG5&gt;=入力データ!$C$111),1,0))</f>
        <v/>
      </c>
      <c r="CH42" s="360">
        <f>IF(CH$3="","",IF(AND(CH4&gt;=入力データ!$C$111,CH5&gt;=入力データ!$C$111),1,0))</f>
        <v/>
      </c>
      <c r="CI42" s="360">
        <f>IF(CI$3="","",IF(AND(CI4&gt;=入力データ!$C$111,CI5&gt;=入力データ!$C$111),1,0))</f>
        <v/>
      </c>
      <c r="CJ42" s="360">
        <f>IF(CJ$3="","",IF(AND(CJ4&gt;=入力データ!$C$111,CJ5&gt;=入力データ!$C$111),1,0))</f>
        <v/>
      </c>
      <c r="CK42" s="360">
        <f>IF(CK$3="","",IF(AND(CK4&gt;=入力データ!$C$111,CK5&gt;=入力データ!$C$111),1,0))</f>
        <v/>
      </c>
      <c r="CL42" s="360">
        <f>IF(CL$3="","",IF(AND(CL4&gt;=入力データ!$C$111,CL5&gt;=入力データ!$C$111),1,0))</f>
        <v/>
      </c>
      <c r="CM42" s="360">
        <f>IF(CM$3="","",IF(AND(CM4&gt;=入力データ!$C$111,CM5&gt;=入力データ!$C$111),1,0))</f>
        <v/>
      </c>
      <c r="CN42" s="360">
        <f>IF(CN$3="","",IF(AND(CN4&gt;=入力データ!$C$111,CN5&gt;=入力データ!$C$111),1,0))</f>
        <v/>
      </c>
      <c r="CO42" s="360">
        <f>IF(CO$3="","",IF(AND(CO4&gt;=入力データ!$C$111,CO5&gt;=入力データ!$C$111),1,0))</f>
        <v/>
      </c>
      <c r="CP42" s="360">
        <f>IF(CP$3="","",IF(AND(CP4&gt;=入力データ!$C$111,CP5&gt;=入力データ!$C$111),1,0))</f>
        <v/>
      </c>
      <c r="CQ42" s="360">
        <f>IF(CQ$3="","",IF(AND(CQ4&gt;=入力データ!$C$111,CQ5&gt;=入力データ!$C$111),1,0))</f>
        <v/>
      </c>
      <c r="CR42" s="360">
        <f>IF(CR$3="","",IF(AND(CR4&gt;=入力データ!$C$111,CR5&gt;=入力データ!$C$111),1,0))</f>
        <v/>
      </c>
      <c r="CS42" s="360">
        <f>IF(CS$3="","",IF(AND(CS4&gt;=入力データ!$C$111,CS5&gt;=入力データ!$C$111),1,0))</f>
        <v/>
      </c>
      <c r="CT42" s="360">
        <f>IF(CT$3="","",IF(AND(CT4&gt;=入力データ!$C$111,CT5&gt;=入力データ!$C$111),1,0))</f>
        <v/>
      </c>
      <c r="CU42" s="360">
        <f>IF(CU$3="","",IF(AND(CU4&gt;=入力データ!$C$111,CU5&gt;=入力データ!$C$111),1,0))</f>
        <v/>
      </c>
      <c r="CV42" s="360">
        <f>IF(CV$3="","",IF(AND(CV4&gt;=入力データ!$C$111,CV5&gt;=入力データ!$C$111),1,0))</f>
        <v/>
      </c>
      <c r="CW42" s="360">
        <f>IF(CW$3="","",IF(AND(CW4&gt;=入力データ!$C$111,CW5&gt;=入力データ!$C$111),1,0))</f>
        <v/>
      </c>
    </row>
    <row r="43" hidden="1" ht="16.5" customHeight="1" s="180">
      <c r="A43" s="239" t="inlineStr">
        <is>
          <t>老後不足額(補助)</t>
        </is>
      </c>
      <c r="B43" s="359">
        <f>IF(B$3="","",IF(B42=1,MAX(0,-B30),0))</f>
        <v/>
      </c>
      <c r="C43" s="359">
        <f>IF(C$3="","",IF(C42=1,MAX(0,-C30),0))</f>
        <v/>
      </c>
      <c r="D43" s="359">
        <f>IF(D$3="","",IF(D42=1,MAX(0,-D30),0))</f>
        <v/>
      </c>
      <c r="E43" s="359">
        <f>IF(E$3="","",IF(E42=1,MAX(0,-E30),0))</f>
        <v/>
      </c>
      <c r="F43" s="359">
        <f>IF(F$3="","",IF(F42=1,MAX(0,-F30),0))</f>
        <v/>
      </c>
      <c r="G43" s="359">
        <f>IF(G$3="","",IF(G42=1,MAX(0,-G30),0))</f>
        <v/>
      </c>
      <c r="H43" s="359">
        <f>IF(H$3="","",IF(H42=1,MAX(0,-H30),0))</f>
        <v/>
      </c>
      <c r="I43" s="359">
        <f>IF(I$3="","",IF(I42=1,MAX(0,-I30),0))</f>
        <v/>
      </c>
      <c r="J43" s="359">
        <f>IF(J$3="","",IF(J42=1,MAX(0,-J30),0))</f>
        <v/>
      </c>
      <c r="K43" s="359">
        <f>IF(K$3="","",IF(K42=1,MAX(0,-K30),0))</f>
        <v/>
      </c>
      <c r="L43" s="359">
        <f>IF(L$3="","",IF(L42=1,MAX(0,-L30),0))</f>
        <v/>
      </c>
      <c r="M43" s="359">
        <f>IF(M$3="","",IF(M42=1,MAX(0,-M30),0))</f>
        <v/>
      </c>
      <c r="N43" s="359">
        <f>IF(N$3="","",IF(N42=1,MAX(0,-N30),0))</f>
        <v/>
      </c>
      <c r="O43" s="359">
        <f>IF(O$3="","",IF(O42=1,MAX(0,-O30),0))</f>
        <v/>
      </c>
      <c r="P43" s="359">
        <f>IF(P$3="","",IF(P42=1,MAX(0,-P30),0))</f>
        <v/>
      </c>
      <c r="Q43" s="359">
        <f>IF(Q$3="","",IF(Q42=1,MAX(0,-Q30),0))</f>
        <v/>
      </c>
      <c r="R43" s="359">
        <f>IF(R$3="","",IF(R42=1,MAX(0,-R30),0))</f>
        <v/>
      </c>
      <c r="S43" s="359">
        <f>IF(S$3="","",IF(S42=1,MAX(0,-S30),0))</f>
        <v/>
      </c>
      <c r="T43" s="359">
        <f>IF(T$3="","",IF(T42=1,MAX(0,-T30),0))</f>
        <v/>
      </c>
      <c r="U43" s="359">
        <f>IF(U$3="","",IF(U42=1,MAX(0,-U30),0))</f>
        <v/>
      </c>
      <c r="V43" s="359">
        <f>IF(V$3="","",IF(V42=1,MAX(0,-V30),0))</f>
        <v/>
      </c>
      <c r="W43" s="359">
        <f>IF(W$3="","",IF(W42=1,MAX(0,-W30),0))</f>
        <v/>
      </c>
      <c r="X43" s="359">
        <f>IF(X$3="","",IF(X42=1,MAX(0,-X30),0))</f>
        <v/>
      </c>
      <c r="Y43" s="359">
        <f>IF(Y$3="","",IF(Y42=1,MAX(0,-Y30),0))</f>
        <v/>
      </c>
      <c r="Z43" s="359">
        <f>IF(Z$3="","",IF(Z42=1,MAX(0,-Z30),0))</f>
        <v/>
      </c>
      <c r="AA43" s="359">
        <f>IF(AA$3="","",IF(AA42=1,MAX(0,-AA30),0))</f>
        <v/>
      </c>
      <c r="AB43" s="359">
        <f>IF(AB$3="","",IF(AB42=1,MAX(0,-AB30),0))</f>
        <v/>
      </c>
      <c r="AC43" s="359">
        <f>IF(AC$3="","",IF(AC42=1,MAX(0,-AC30),0))</f>
        <v/>
      </c>
      <c r="AD43" s="359">
        <f>IF(AD$3="","",IF(AD42=1,MAX(0,-AD30),0))</f>
        <v/>
      </c>
      <c r="AE43" s="359">
        <f>IF(AE$3="","",IF(AE42=1,MAX(0,-AE30),0))</f>
        <v/>
      </c>
      <c r="AF43" s="359">
        <f>IF(AF$3="","",IF(AF42=1,MAX(0,-AF30),0))</f>
        <v/>
      </c>
      <c r="AG43" s="359">
        <f>IF(AG$3="","",IF(AG42=1,MAX(0,-AG30),0))</f>
        <v/>
      </c>
      <c r="AH43" s="359">
        <f>IF(AH$3="","",IF(AH42=1,MAX(0,-AH30),0))</f>
        <v/>
      </c>
      <c r="AI43" s="359">
        <f>IF(AI$3="","",IF(AI42=1,MAX(0,-AI30),0))</f>
        <v/>
      </c>
      <c r="AJ43" s="359">
        <f>IF(AJ$3="","",IF(AJ42=1,MAX(0,-AJ30),0))</f>
        <v/>
      </c>
      <c r="AK43" s="359">
        <f>IF(AK$3="","",IF(AK42=1,MAX(0,-AK30),0))</f>
        <v/>
      </c>
      <c r="AL43" s="359">
        <f>IF(AL$3="","",IF(AL42=1,MAX(0,-AL30),0))</f>
        <v/>
      </c>
      <c r="AM43" s="359">
        <f>IF(AM$3="","",IF(AM42=1,MAX(0,-AM30),0))</f>
        <v/>
      </c>
      <c r="AN43" s="359">
        <f>IF(AN$3="","",IF(AN42=1,MAX(0,-AN30),0))</f>
        <v/>
      </c>
      <c r="AO43" s="359">
        <f>IF(AO$3="","",IF(AO42=1,MAX(0,-AO30),0))</f>
        <v/>
      </c>
      <c r="AP43" s="359">
        <f>IF(AP$3="","",IF(AP42=1,MAX(0,-AP30),0))</f>
        <v/>
      </c>
      <c r="AQ43" s="359">
        <f>IF(AQ$3="","",IF(AQ42=1,MAX(0,-AQ30),0))</f>
        <v/>
      </c>
      <c r="AR43" s="359">
        <f>IF(AR$3="","",IF(AR42=1,MAX(0,-AR30),0))</f>
        <v/>
      </c>
      <c r="AS43" s="359">
        <f>IF(AS$3="","",IF(AS42=1,MAX(0,-AS30),0))</f>
        <v/>
      </c>
      <c r="AT43" s="359">
        <f>IF(AT$3="","",IF(AT42=1,MAX(0,-AT30),0))</f>
        <v/>
      </c>
      <c r="AU43" s="359">
        <f>IF(AU$3="","",IF(AU42=1,MAX(0,-AU30),0))</f>
        <v/>
      </c>
      <c r="AV43" s="359">
        <f>IF(AV$3="","",IF(AV42=1,MAX(0,-AV30),0))</f>
        <v/>
      </c>
      <c r="AW43" s="359">
        <f>IF(AW$3="","",IF(AW42=1,MAX(0,-AW30),0))</f>
        <v/>
      </c>
      <c r="AX43" s="359">
        <f>IF(AX$3="","",IF(AX42=1,MAX(0,-AX30),0))</f>
        <v/>
      </c>
      <c r="AY43" s="359">
        <f>IF(AY$3="","",IF(AY42=1,MAX(0,-AY30),0))</f>
        <v/>
      </c>
      <c r="AZ43" s="359">
        <f>IF(AZ$3="","",IF(AZ42=1,MAX(0,-AZ30),0))</f>
        <v/>
      </c>
      <c r="BA43" s="359">
        <f>IF(BA$3="","",IF(BA42=1,MAX(0,-BA30),0))</f>
        <v/>
      </c>
      <c r="BB43" s="359">
        <f>IF(BB$3="","",IF(BB42=1,MAX(0,-BB30),0))</f>
        <v/>
      </c>
      <c r="BC43" s="359">
        <f>IF(BC$3="","",IF(BC42=1,MAX(0,-BC30),0))</f>
        <v/>
      </c>
      <c r="BD43" s="359">
        <f>IF(BD$3="","",IF(BD42=1,MAX(0,-BD30),0))</f>
        <v/>
      </c>
      <c r="BE43" s="359">
        <f>IF(BE$3="","",IF(BE42=1,MAX(0,-BE30),0))</f>
        <v/>
      </c>
      <c r="BF43" s="359">
        <f>IF(BF$3="","",IF(BF42=1,MAX(0,-BF30),0))</f>
        <v/>
      </c>
      <c r="BG43" s="359">
        <f>IF(BG$3="","",IF(BG42=1,MAX(0,-BG30),0))</f>
        <v/>
      </c>
      <c r="BH43" s="359">
        <f>IF(BH$3="","",IF(BH42=1,MAX(0,-BH30),0))</f>
        <v/>
      </c>
      <c r="BI43" s="359">
        <f>IF(BI$3="","",IF(BI42=1,MAX(0,-BI30),0))</f>
        <v/>
      </c>
      <c r="BJ43" s="359">
        <f>IF(BJ$3="","",IF(BJ42=1,MAX(0,-BJ30),0))</f>
        <v/>
      </c>
      <c r="BK43" s="359">
        <f>IF(BK$3="","",IF(BK42=1,MAX(0,-BK30),0))</f>
        <v/>
      </c>
      <c r="BL43" s="359">
        <f>IF(BL$3="","",IF(BL42=1,MAX(0,-BL30),0))</f>
        <v/>
      </c>
      <c r="BM43" s="359">
        <f>IF(BM$3="","",IF(BM42=1,MAX(0,-BM30),0))</f>
        <v/>
      </c>
      <c r="BN43" s="359">
        <f>IF(BN$3="","",IF(BN42=1,MAX(0,-BN30),0))</f>
        <v/>
      </c>
      <c r="BO43" s="359">
        <f>IF(BO$3="","",IF(BO42=1,MAX(0,-BO30),0))</f>
        <v/>
      </c>
      <c r="BP43" s="359">
        <f>IF(BP$3="","",IF(BP42=1,MAX(0,-BP30),0))</f>
        <v/>
      </c>
      <c r="BQ43" s="359">
        <f>IF(BQ$3="","",IF(BQ42=1,MAX(0,-BQ30),0))</f>
        <v/>
      </c>
      <c r="BR43" s="359">
        <f>IF(BR$3="","",IF(BR42=1,MAX(0,-BR30),0))</f>
        <v/>
      </c>
      <c r="BS43" s="359">
        <f>IF(BS$3="","",IF(BS42=1,MAX(0,-BS30),0))</f>
        <v/>
      </c>
      <c r="BT43" s="359">
        <f>IF(BT$3="","",IF(BT42=1,MAX(0,-BT30),0))</f>
        <v/>
      </c>
      <c r="BU43" s="359">
        <f>IF(BU$3="","",IF(BU42=1,MAX(0,-BU30),0))</f>
        <v/>
      </c>
      <c r="BV43" s="359">
        <f>IF(BV$3="","",IF(BV42=1,MAX(0,-BV30),0))</f>
        <v/>
      </c>
      <c r="BW43" s="359">
        <f>IF(BW$3="","",IF(BW42=1,MAX(0,-BW30),0))</f>
        <v/>
      </c>
      <c r="BX43" s="359">
        <f>IF(BX$3="","",IF(BX42=1,MAX(0,-BX30),0))</f>
        <v/>
      </c>
      <c r="BY43" s="359">
        <f>IF(BY$3="","",IF(BY42=1,MAX(0,-BY30),0))</f>
        <v/>
      </c>
      <c r="BZ43" s="359">
        <f>IF(BZ$3="","",IF(BZ42=1,MAX(0,-BZ30),0))</f>
        <v/>
      </c>
      <c r="CA43" s="359">
        <f>IF(CA$3="","",IF(CA42=1,MAX(0,-CA30),0))</f>
        <v/>
      </c>
      <c r="CB43" s="359">
        <f>IF(CB$3="","",IF(CB42=1,MAX(0,-CB30),0))</f>
        <v/>
      </c>
      <c r="CC43" s="359">
        <f>IF(CC$3="","",IF(CC42=1,MAX(0,-CC30),0))</f>
        <v/>
      </c>
      <c r="CD43" s="359">
        <f>IF(CD$3="","",IF(CD42=1,MAX(0,-CD30),0))</f>
        <v/>
      </c>
      <c r="CE43" s="359">
        <f>IF(CE$3="","",IF(CE42=1,MAX(0,-CE30),0))</f>
        <v/>
      </c>
      <c r="CF43" s="359">
        <f>IF(CF$3="","",IF(CF42=1,MAX(0,-CF30),0))</f>
        <v/>
      </c>
      <c r="CG43" s="359">
        <f>IF(CG$3="","",IF(CG42=1,MAX(0,-CG30),0))</f>
        <v/>
      </c>
      <c r="CH43" s="359">
        <f>IF(CH$3="","",IF(CH42=1,MAX(0,-CH30),0))</f>
        <v/>
      </c>
      <c r="CI43" s="359">
        <f>IF(CI$3="","",IF(CI42=1,MAX(0,-CI30),0))</f>
        <v/>
      </c>
      <c r="CJ43" s="359">
        <f>IF(CJ$3="","",IF(CJ42=1,MAX(0,-CJ30),0))</f>
        <v/>
      </c>
      <c r="CK43" s="359">
        <f>IF(CK$3="","",IF(CK42=1,MAX(0,-CK30),0))</f>
        <v/>
      </c>
      <c r="CL43" s="359">
        <f>IF(CL$3="","",IF(CL42=1,MAX(0,-CL30),0))</f>
        <v/>
      </c>
      <c r="CM43" s="359">
        <f>IF(CM$3="","",IF(CM42=1,MAX(0,-CM30),0))</f>
        <v/>
      </c>
      <c r="CN43" s="359">
        <f>IF(CN$3="","",IF(CN42=1,MAX(0,-CN30),0))</f>
        <v/>
      </c>
      <c r="CO43" s="359">
        <f>IF(CO$3="","",IF(CO42=1,MAX(0,-CO30),0))</f>
        <v/>
      </c>
      <c r="CP43" s="359">
        <f>IF(CP$3="","",IF(CP42=1,MAX(0,-CP30),0))</f>
        <v/>
      </c>
      <c r="CQ43" s="359">
        <f>IF(CQ$3="","",IF(CQ42=1,MAX(0,-CQ30),0))</f>
        <v/>
      </c>
      <c r="CR43" s="359">
        <f>IF(CR$3="","",IF(CR42=1,MAX(0,-CR30),0))</f>
        <v/>
      </c>
      <c r="CS43" s="359">
        <f>IF(CS$3="","",IF(CS42=1,MAX(0,-CS30),0))</f>
        <v/>
      </c>
      <c r="CT43" s="359">
        <f>IF(CT$3="","",IF(CT42=1,MAX(0,-CT30),0))</f>
        <v/>
      </c>
      <c r="CU43" s="359">
        <f>IF(CU$3="","",IF(CU42=1,MAX(0,-CU30),0))</f>
        <v/>
      </c>
      <c r="CV43" s="359">
        <f>IF(CV$3="","",IF(CV42=1,MAX(0,-CV30),0))</f>
        <v/>
      </c>
      <c r="CW43" s="359">
        <f>IF(CW$3="","",IF(CW42=1,MAX(0,-CW30),0))</f>
        <v/>
      </c>
    </row>
    <row r="44" ht="15" customHeight="1" s="180">
      <c r="A44" s="241" t="inlineStr">
        <is>
          <t>保有資産合計（参考）</t>
        </is>
      </c>
      <c r="B44" s="361">
        <f>IF(B$3="","",B31+B32+B33)</f>
        <v/>
      </c>
      <c r="C44" s="361">
        <f>IF(C$3="","",C31+C32+C33)</f>
        <v/>
      </c>
      <c r="D44" s="361">
        <f>IF(D$3="","",D31+D32+D33)</f>
        <v/>
      </c>
      <c r="E44" s="361">
        <f>IF(E$3="","",E31+E32+E33)</f>
        <v/>
      </c>
      <c r="F44" s="361">
        <f>IF(F$3="","",F31+F32+F33)</f>
        <v/>
      </c>
      <c r="G44" s="361">
        <f>IF(G$3="","",G31+G32+G33)</f>
        <v/>
      </c>
      <c r="H44" s="361">
        <f>IF(H$3="","",H31+H32+H33)</f>
        <v/>
      </c>
      <c r="I44" s="361">
        <f>IF(I$3="","",I31+I32+I33)</f>
        <v/>
      </c>
      <c r="J44" s="361">
        <f>IF(J$3="","",J31+J32+J33)</f>
        <v/>
      </c>
      <c r="K44" s="361">
        <f>IF(K$3="","",K31+K32+K33)</f>
        <v/>
      </c>
      <c r="L44" s="361">
        <f>IF(L$3="","",L31+L32+L33)</f>
        <v/>
      </c>
      <c r="M44" s="361">
        <f>IF(M$3="","",M31+M32+M33)</f>
        <v/>
      </c>
      <c r="N44" s="361">
        <f>IF(N$3="","",N31+N32+N33)</f>
        <v/>
      </c>
      <c r="O44" s="361">
        <f>IF(O$3="","",O31+O32+O33)</f>
        <v/>
      </c>
      <c r="P44" s="361">
        <f>IF(P$3="","",P31+P32+P33)</f>
        <v/>
      </c>
      <c r="Q44" s="361">
        <f>IF(Q$3="","",Q31+Q32+Q33)</f>
        <v/>
      </c>
      <c r="R44" s="361">
        <f>IF(R$3="","",R31+R32+R33)</f>
        <v/>
      </c>
      <c r="S44" s="361">
        <f>IF(S$3="","",S31+S32+S33)</f>
        <v/>
      </c>
      <c r="T44" s="361">
        <f>IF(T$3="","",T31+T32+T33)</f>
        <v/>
      </c>
      <c r="U44" s="361">
        <f>IF(U$3="","",U31+U32+U33)</f>
        <v/>
      </c>
      <c r="V44" s="361">
        <f>IF(V$3="","",V31+V32+V33)</f>
        <v/>
      </c>
      <c r="W44" s="361">
        <f>IF(W$3="","",W31+W32+W33)</f>
        <v/>
      </c>
      <c r="X44" s="361">
        <f>IF(X$3="","",X31+X32+X33)</f>
        <v/>
      </c>
      <c r="Y44" s="361">
        <f>IF(Y$3="","",Y31+Y32+Y33)</f>
        <v/>
      </c>
      <c r="Z44" s="361">
        <f>IF(Z$3="","",Z31+Z32+Z33)</f>
        <v/>
      </c>
      <c r="AA44" s="361">
        <f>IF(AA$3="","",AA31+AA32+AA33)</f>
        <v/>
      </c>
      <c r="AB44" s="361">
        <f>IF(AB$3="","",AB31+AB32+AB33)</f>
        <v/>
      </c>
      <c r="AC44" s="361">
        <f>IF(AC$3="","",AC31+AC32+AC33)</f>
        <v/>
      </c>
      <c r="AD44" s="361">
        <f>IF(AD$3="","",AD31+AD32+AD33)</f>
        <v/>
      </c>
      <c r="AE44" s="361">
        <f>IF(AE$3="","",AE31+AE32+AE33)</f>
        <v/>
      </c>
      <c r="AF44" s="361">
        <f>IF(AF$3="","",AF31+AF32+AF33)</f>
        <v/>
      </c>
      <c r="AG44" s="361">
        <f>IF(AG$3="","",AG31+AG32+AG33)</f>
        <v/>
      </c>
      <c r="AH44" s="361">
        <f>IF(AH$3="","",AH31+AH32+AH33)</f>
        <v/>
      </c>
      <c r="AI44" s="361">
        <f>IF(AI$3="","",AI31+AI32+AI33)</f>
        <v/>
      </c>
      <c r="AJ44" s="361">
        <f>IF(AJ$3="","",AJ31+AJ32+AJ33)</f>
        <v/>
      </c>
      <c r="AK44" s="361">
        <f>IF(AK$3="","",AK31+AK32+AK33)</f>
        <v/>
      </c>
      <c r="AL44" s="361">
        <f>IF(AL$3="","",AL31+AL32+AL33)</f>
        <v/>
      </c>
      <c r="AM44" s="361">
        <f>IF(AM$3="","",AM31+AM32+AM33)</f>
        <v/>
      </c>
      <c r="AN44" s="361">
        <f>IF(AN$3="","",AN31+AN32+AN33)</f>
        <v/>
      </c>
      <c r="AO44" s="361">
        <f>IF(AO$3="","",AO31+AO32+AO33)</f>
        <v/>
      </c>
      <c r="AP44" s="361">
        <f>IF(AP$3="","",AP31+AP32+AP33)</f>
        <v/>
      </c>
      <c r="AQ44" s="361">
        <f>IF(AQ$3="","",AQ31+AQ32+AQ33)</f>
        <v/>
      </c>
      <c r="AR44" s="361">
        <f>IF(AR$3="","",AR31+AR32+AR33)</f>
        <v/>
      </c>
      <c r="AS44" s="361">
        <f>IF(AS$3="","",AS31+AS32+AS33)</f>
        <v/>
      </c>
      <c r="AT44" s="361">
        <f>IF(AT$3="","",AT31+AT32+AT33)</f>
        <v/>
      </c>
      <c r="AU44" s="361">
        <f>IF(AU$3="","",AU31+AU32+AU33)</f>
        <v/>
      </c>
      <c r="AV44" s="361">
        <f>IF(AV$3="","",AV31+AV32+AV33)</f>
        <v/>
      </c>
      <c r="AW44" s="361">
        <f>IF(AW$3="","",AW31+AW32+AW33)</f>
        <v/>
      </c>
      <c r="AX44" s="361">
        <f>IF(AX$3="","",AX31+AX32+AX33)</f>
        <v/>
      </c>
      <c r="AY44" s="361">
        <f>IF(AY$3="","",AY31+AY32+AY33)</f>
        <v/>
      </c>
      <c r="AZ44" s="361">
        <f>IF(AZ$3="","",AZ31+AZ32+AZ33)</f>
        <v/>
      </c>
      <c r="BA44" s="361">
        <f>IF(BA$3="","",BA31+BA32+BA33)</f>
        <v/>
      </c>
      <c r="BB44" s="361">
        <f>IF(BB$3="","",BB31+BB32+BB33)</f>
        <v/>
      </c>
      <c r="BC44" s="361">
        <f>IF(BC$3="","",BC31+BC32+BC33)</f>
        <v/>
      </c>
      <c r="BD44" s="361">
        <f>IF(BD$3="","",BD31+BD32+BD33)</f>
        <v/>
      </c>
      <c r="BE44" s="361">
        <f>IF(BE$3="","",BE31+BE32+BE33)</f>
        <v/>
      </c>
      <c r="BF44" s="361">
        <f>IF(BF$3="","",BF31+BF32+BF33)</f>
        <v/>
      </c>
      <c r="BG44" s="361">
        <f>IF(BG$3="","",BG31+BG32+BG33)</f>
        <v/>
      </c>
      <c r="BH44" s="361">
        <f>IF(BH$3="","",BH31+BH32+BH33)</f>
        <v/>
      </c>
      <c r="BI44" s="361">
        <f>IF(BI$3="","",BI31+BI32+BI33)</f>
        <v/>
      </c>
      <c r="BJ44" s="361">
        <f>IF(BJ$3="","",BJ31+BJ32+BJ33)</f>
        <v/>
      </c>
      <c r="BK44" s="361">
        <f>IF(BK$3="","",BK31+BK32+BK33)</f>
        <v/>
      </c>
      <c r="BL44" s="361">
        <f>IF(BL$3="","",BL31+BL32+BL33)</f>
        <v/>
      </c>
      <c r="BM44" s="361">
        <f>IF(BM$3="","",BM31+BM32+BM33)</f>
        <v/>
      </c>
      <c r="BN44" s="361">
        <f>IF(BN$3="","",BN31+BN32+BN33)</f>
        <v/>
      </c>
      <c r="BO44" s="361">
        <f>IF(BO$3="","",BO31+BO32+BO33)</f>
        <v/>
      </c>
      <c r="BP44" s="361">
        <f>IF(BP$3="","",BP31+BP32+BP33)</f>
        <v/>
      </c>
      <c r="BQ44" s="361">
        <f>IF(BQ$3="","",BQ31+BQ32+BQ33)</f>
        <v/>
      </c>
      <c r="BR44" s="361">
        <f>IF(BR$3="","",BR31+BR32+BR33)</f>
        <v/>
      </c>
      <c r="BS44" s="361">
        <f>IF(BS$3="","",BS31+BS32+BS33)</f>
        <v/>
      </c>
      <c r="BT44" s="361">
        <f>IF(BT$3="","",BT31+BT32+BT33)</f>
        <v/>
      </c>
      <c r="BU44" s="361">
        <f>IF(BU$3="","",BU31+BU32+BU33)</f>
        <v/>
      </c>
      <c r="BV44" s="361">
        <f>IF(BV$3="","",BV31+BV32+BV33)</f>
        <v/>
      </c>
      <c r="BW44" s="361">
        <f>IF(BW$3="","",BW31+BW32+BW33)</f>
        <v/>
      </c>
      <c r="BX44" s="361">
        <f>IF(BX$3="","",BX31+BX32+BX33)</f>
        <v/>
      </c>
      <c r="BY44" s="361">
        <f>IF(BY$3="","",BY31+BY32+BY33)</f>
        <v/>
      </c>
      <c r="BZ44" s="361">
        <f>IF(BZ$3="","",BZ31+BZ32+BZ33)</f>
        <v/>
      </c>
      <c r="CA44" s="361">
        <f>IF(CA$3="","",CA31+CA32+CA33)</f>
        <v/>
      </c>
      <c r="CB44" s="361">
        <f>IF(CB$3="","",CB31+CB32+CB33)</f>
        <v/>
      </c>
      <c r="CC44" s="361">
        <f>IF(CC$3="","",CC31+CC32+CC33)</f>
        <v/>
      </c>
      <c r="CD44" s="361">
        <f>IF(CD$3="","",CD31+CD32+CD33)</f>
        <v/>
      </c>
      <c r="CE44" s="361">
        <f>IF(CE$3="","",CE31+CE32+CE33)</f>
        <v/>
      </c>
      <c r="CF44" s="361">
        <f>IF(CF$3="","",CF31+CF32+CF33)</f>
        <v/>
      </c>
      <c r="CG44" s="361">
        <f>IF(CG$3="","",CG31+CG32+CG33)</f>
        <v/>
      </c>
      <c r="CH44" s="361">
        <f>IF(CH$3="","",CH31+CH32+CH33)</f>
        <v/>
      </c>
      <c r="CI44" s="361">
        <f>IF(CI$3="","",CI31+CI32+CI33)</f>
        <v/>
      </c>
      <c r="CJ44" s="361">
        <f>IF(CJ$3="","",CJ31+CJ32+CJ33)</f>
        <v/>
      </c>
      <c r="CK44" s="361">
        <f>IF(CK$3="","",CK31+CK32+CK33)</f>
        <v/>
      </c>
      <c r="CL44" s="361">
        <f>IF(CL$3="","",CL31+CL32+CL33)</f>
        <v/>
      </c>
      <c r="CM44" s="361">
        <f>IF(CM$3="","",CM31+CM32+CM33)</f>
        <v/>
      </c>
      <c r="CN44" s="361">
        <f>IF(CN$3="","",CN31+CN32+CN33)</f>
        <v/>
      </c>
      <c r="CO44" s="361">
        <f>IF(CO$3="","",CO31+CO32+CO33)</f>
        <v/>
      </c>
      <c r="CP44" s="361">
        <f>IF(CP$3="","",CP31+CP32+CP33)</f>
        <v/>
      </c>
      <c r="CQ44" s="361">
        <f>IF(CQ$3="","",CQ31+CQ32+CQ33)</f>
        <v/>
      </c>
      <c r="CR44" s="361">
        <f>IF(CR$3="","",CR31+CR32+CR33)</f>
        <v/>
      </c>
      <c r="CS44" s="361">
        <f>IF(CS$3="","",CS31+CS32+CS33)</f>
        <v/>
      </c>
      <c r="CT44" s="361">
        <f>IF(CT$3="","",CT31+CT32+CT33)</f>
        <v/>
      </c>
      <c r="CU44" s="361">
        <f>IF(CU$3="","",CU31+CU32+CU33)</f>
        <v/>
      </c>
      <c r="CV44" s="361">
        <f>IF(CV$3="","",CV31+CV32+CV33)</f>
        <v/>
      </c>
      <c r="CW44" s="361">
        <f>IF(CW$3="","",CW31+CW32+CW33)</f>
        <v/>
      </c>
    </row>
    <row r="45" ht="15" customHeight="1" s="180">
      <c r="A45" s="241" t="inlineStr">
        <is>
          <t>負債合計（参考）</t>
        </is>
      </c>
      <c r="B45" s="362">
        <f>IF(B$3="","",B34)</f>
        <v/>
      </c>
      <c r="C45" s="362">
        <f>IF(C$3="","",C34)</f>
        <v/>
      </c>
      <c r="D45" s="362">
        <f>IF(D$3="","",D34)</f>
        <v/>
      </c>
      <c r="E45" s="362">
        <f>IF(E$3="","",E34)</f>
        <v/>
      </c>
      <c r="F45" s="362">
        <f>IF(F$3="","",F34)</f>
        <v/>
      </c>
      <c r="G45" s="362">
        <f>IF(G$3="","",G34)</f>
        <v/>
      </c>
      <c r="H45" s="362">
        <f>IF(H$3="","",H34)</f>
        <v/>
      </c>
      <c r="I45" s="362">
        <f>IF(I$3="","",I34)</f>
        <v/>
      </c>
      <c r="J45" s="362">
        <f>IF(J$3="","",J34)</f>
        <v/>
      </c>
      <c r="K45" s="362">
        <f>IF(K$3="","",K34)</f>
        <v/>
      </c>
      <c r="L45" s="362">
        <f>IF(L$3="","",L34)</f>
        <v/>
      </c>
      <c r="M45" s="362">
        <f>IF(M$3="","",M34)</f>
        <v/>
      </c>
      <c r="N45" s="362">
        <f>IF(N$3="","",N34)</f>
        <v/>
      </c>
      <c r="O45" s="362">
        <f>IF(O$3="","",O34)</f>
        <v/>
      </c>
      <c r="P45" s="362">
        <f>IF(P$3="","",P34)</f>
        <v/>
      </c>
      <c r="Q45" s="362">
        <f>IF(Q$3="","",Q34)</f>
        <v/>
      </c>
      <c r="R45" s="362">
        <f>IF(R$3="","",R34)</f>
        <v/>
      </c>
      <c r="S45" s="362">
        <f>IF(S$3="","",S34)</f>
        <v/>
      </c>
      <c r="T45" s="362">
        <f>IF(T$3="","",T34)</f>
        <v/>
      </c>
      <c r="U45" s="362">
        <f>IF(U$3="","",U34)</f>
        <v/>
      </c>
      <c r="V45" s="362">
        <f>IF(V$3="","",V34)</f>
        <v/>
      </c>
      <c r="W45" s="362">
        <f>IF(W$3="","",W34)</f>
        <v/>
      </c>
      <c r="X45" s="362">
        <f>IF(X$3="","",X34)</f>
        <v/>
      </c>
      <c r="Y45" s="362">
        <f>IF(Y$3="","",Y34)</f>
        <v/>
      </c>
      <c r="Z45" s="362">
        <f>IF(Z$3="","",Z34)</f>
        <v/>
      </c>
      <c r="AA45" s="362">
        <f>IF(AA$3="","",AA34)</f>
        <v/>
      </c>
      <c r="AB45" s="362">
        <f>IF(AB$3="","",AB34)</f>
        <v/>
      </c>
      <c r="AC45" s="362">
        <f>IF(AC$3="","",AC34)</f>
        <v/>
      </c>
      <c r="AD45" s="362">
        <f>IF(AD$3="","",AD34)</f>
        <v/>
      </c>
      <c r="AE45" s="362">
        <f>IF(AE$3="","",AE34)</f>
        <v/>
      </c>
      <c r="AF45" s="362">
        <f>IF(AF$3="","",AF34)</f>
        <v/>
      </c>
      <c r="AG45" s="362">
        <f>IF(AG$3="","",AG34)</f>
        <v/>
      </c>
      <c r="AH45" s="362">
        <f>IF(AH$3="","",AH34)</f>
        <v/>
      </c>
      <c r="AI45" s="362">
        <f>IF(AI$3="","",AI34)</f>
        <v/>
      </c>
      <c r="AJ45" s="362">
        <f>IF(AJ$3="","",AJ34)</f>
        <v/>
      </c>
      <c r="AK45" s="362">
        <f>IF(AK$3="","",AK34)</f>
        <v/>
      </c>
      <c r="AL45" s="362">
        <f>IF(AL$3="","",AL34)</f>
        <v/>
      </c>
      <c r="AM45" s="362">
        <f>IF(AM$3="","",AM34)</f>
        <v/>
      </c>
      <c r="AN45" s="362">
        <f>IF(AN$3="","",AN34)</f>
        <v/>
      </c>
      <c r="AO45" s="362">
        <f>IF(AO$3="","",AO34)</f>
        <v/>
      </c>
      <c r="AP45" s="362">
        <f>IF(AP$3="","",AP34)</f>
        <v/>
      </c>
      <c r="AQ45" s="362">
        <f>IF(AQ$3="","",AQ34)</f>
        <v/>
      </c>
      <c r="AR45" s="362">
        <f>IF(AR$3="","",AR34)</f>
        <v/>
      </c>
      <c r="AS45" s="362">
        <f>IF(AS$3="","",AS34)</f>
        <v/>
      </c>
      <c r="AT45" s="362">
        <f>IF(AT$3="","",AT34)</f>
        <v/>
      </c>
      <c r="AU45" s="362">
        <f>IF(AU$3="","",AU34)</f>
        <v/>
      </c>
      <c r="AV45" s="362">
        <f>IF(AV$3="","",AV34)</f>
        <v/>
      </c>
      <c r="AW45" s="362">
        <f>IF(AW$3="","",AW34)</f>
        <v/>
      </c>
      <c r="AX45" s="362">
        <f>IF(AX$3="","",AX34)</f>
        <v/>
      </c>
      <c r="AY45" s="362">
        <f>IF(AY$3="","",AY34)</f>
        <v/>
      </c>
      <c r="AZ45" s="362">
        <f>IF(AZ$3="","",AZ34)</f>
        <v/>
      </c>
      <c r="BA45" s="362">
        <f>IF(BA$3="","",BA34)</f>
        <v/>
      </c>
      <c r="BB45" s="362">
        <f>IF(BB$3="","",BB34)</f>
        <v/>
      </c>
      <c r="BC45" s="362">
        <f>IF(BC$3="","",BC34)</f>
        <v/>
      </c>
      <c r="BD45" s="362">
        <f>IF(BD$3="","",BD34)</f>
        <v/>
      </c>
      <c r="BE45" s="362">
        <f>IF(BE$3="","",BE34)</f>
        <v/>
      </c>
      <c r="BF45" s="362">
        <f>IF(BF$3="","",BF34)</f>
        <v/>
      </c>
      <c r="BG45" s="362">
        <f>IF(BG$3="","",BG34)</f>
        <v/>
      </c>
      <c r="BH45" s="362">
        <f>IF(BH$3="","",BH34)</f>
        <v/>
      </c>
      <c r="BI45" s="362">
        <f>IF(BI$3="","",BI34)</f>
        <v/>
      </c>
      <c r="BJ45" s="362">
        <f>IF(BJ$3="","",BJ34)</f>
        <v/>
      </c>
      <c r="BK45" s="362">
        <f>IF(BK$3="","",BK34)</f>
        <v/>
      </c>
      <c r="BL45" s="362">
        <f>IF(BL$3="","",BL34)</f>
        <v/>
      </c>
      <c r="BM45" s="362">
        <f>IF(BM$3="","",BM34)</f>
        <v/>
      </c>
      <c r="BN45" s="362">
        <f>IF(BN$3="","",BN34)</f>
        <v/>
      </c>
      <c r="BO45" s="362">
        <f>IF(BO$3="","",BO34)</f>
        <v/>
      </c>
      <c r="BP45" s="362">
        <f>IF(BP$3="","",BP34)</f>
        <v/>
      </c>
      <c r="BQ45" s="361">
        <f>IF(BQ$3="","",BQ34)</f>
        <v/>
      </c>
      <c r="BR45" s="361">
        <f>IF(BR$3="","",BR34)</f>
        <v/>
      </c>
      <c r="BS45" s="361">
        <f>IF(BS$3="","",BS34)</f>
        <v/>
      </c>
      <c r="BT45" s="361">
        <f>IF(BT$3="","",BT34)</f>
        <v/>
      </c>
      <c r="BU45" s="361">
        <f>IF(BU$3="","",BU34)</f>
        <v/>
      </c>
      <c r="BV45" s="361">
        <f>IF(BV$3="","",BV34)</f>
        <v/>
      </c>
      <c r="BW45" s="361">
        <f>IF(BW$3="","",BW34)</f>
        <v/>
      </c>
      <c r="BX45" s="361">
        <f>IF(BX$3="","",BX34)</f>
        <v/>
      </c>
      <c r="BY45" s="361">
        <f>IF(BY$3="","",BY34)</f>
        <v/>
      </c>
      <c r="BZ45" s="361">
        <f>IF(BZ$3="","",BZ34)</f>
        <v/>
      </c>
      <c r="CA45" s="361">
        <f>IF(CA$3="","",CA34)</f>
        <v/>
      </c>
      <c r="CB45" s="361">
        <f>IF(CB$3="","",CB34)</f>
        <v/>
      </c>
      <c r="CC45" s="361">
        <f>IF(CC$3="","",CC34)</f>
        <v/>
      </c>
      <c r="CD45" s="361">
        <f>IF(CD$3="","",CD34)</f>
        <v/>
      </c>
      <c r="CE45" s="361">
        <f>IF(CE$3="","",CE34)</f>
        <v/>
      </c>
      <c r="CF45" s="361">
        <f>IF(CF$3="","",CF34)</f>
        <v/>
      </c>
      <c r="CG45" s="361">
        <f>IF(CG$3="","",CG34)</f>
        <v/>
      </c>
      <c r="CH45" s="361">
        <f>IF(CH$3="","",CH34)</f>
        <v/>
      </c>
      <c r="CI45" s="361">
        <f>IF(CI$3="","",CI34)</f>
        <v/>
      </c>
      <c r="CJ45" s="361">
        <f>IF(CJ$3="","",CJ34)</f>
        <v/>
      </c>
      <c r="CK45" s="361">
        <f>IF(CK$3="","",CK34)</f>
        <v/>
      </c>
      <c r="CL45" s="361">
        <f>IF(CL$3="","",CL34)</f>
        <v/>
      </c>
      <c r="CM45" s="361">
        <f>IF(CM$3="","",CM34)</f>
        <v/>
      </c>
      <c r="CN45" s="361">
        <f>IF(CN$3="","",CN34)</f>
        <v/>
      </c>
      <c r="CO45" s="361">
        <f>IF(CO$3="","",CO34)</f>
        <v/>
      </c>
      <c r="CP45" s="361">
        <f>IF(CP$3="","",CP34)</f>
        <v/>
      </c>
      <c r="CQ45" s="361">
        <f>IF(CQ$3="","",CQ34)</f>
        <v/>
      </c>
      <c r="CR45" s="361">
        <f>IF(CR$3="","",CR34)</f>
        <v/>
      </c>
      <c r="CS45" s="361">
        <f>IF(CS$3="","",CS34)</f>
        <v/>
      </c>
      <c r="CT45" s="361">
        <f>IF(CT$3="","",CT34)</f>
        <v/>
      </c>
      <c r="CU45" s="361">
        <f>IF(CU$3="","",CU34)</f>
        <v/>
      </c>
      <c r="CV45" s="361">
        <f>IF(CV$3="","",CV34)</f>
        <v/>
      </c>
      <c r="CW45" s="361">
        <f>IF(CW$3="","",CW34)</f>
        <v/>
      </c>
    </row>
  </sheetData>
  <mergeCells count="1">
    <mergeCell ref="A1:CW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CW4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4" customWidth="1" style="179" min="1" max="1"/>
    <col width="11" customWidth="1" style="179" min="2" max="101"/>
  </cols>
  <sheetData>
    <row r="1" ht="21" customHeight="1" s="180">
      <c r="A1" s="213" t="inlineStr">
        <is>
          <t>CF表（老後2%）（フラット前提 / 年次CF / 左→右に年が進む）</t>
        </is>
      </c>
    </row>
    <row r="2" ht="15" customHeight="1" s="180">
      <c r="A2" s="214" t="inlineStr">
        <is>
          <t>試算終了年</t>
        </is>
      </c>
      <c r="B2" s="179">
        <f>MAX(IF(入力データ!$C$10&lt;&gt;"",YEAR(入力データ!$C$10)+100,0),IF(入力データ!$C$11&lt;&gt;"",YEAR(入力データ!$C$11)+100,0))</f>
        <v/>
      </c>
    </row>
    <row r="3" ht="15" customHeight="1" s="180">
      <c r="A3" s="215" t="inlineStr">
        <is>
          <t>年</t>
        </is>
      </c>
      <c r="B3" s="216">
        <f>IF(YEAR(入力データ!$C$5)&gt;$B$2,"",YEAR(入力データ!$C$5))</f>
        <v/>
      </c>
      <c r="C3" s="216">
        <f>IF(B3="","",IF(B3+1&gt;$B$2,"",B3+1))</f>
        <v/>
      </c>
      <c r="D3" s="216">
        <f>IF(C3="","",IF(C3+1&gt;$B$2,"",C3+1))</f>
        <v/>
      </c>
      <c r="E3" s="216">
        <f>IF(D3="","",IF(D3+1&gt;$B$2,"",D3+1))</f>
        <v/>
      </c>
      <c r="F3" s="216">
        <f>IF(E3="","",IF(E3+1&gt;$B$2,"",E3+1))</f>
        <v/>
      </c>
      <c r="G3" s="216">
        <f>IF(F3="","",IF(F3+1&gt;$B$2,"",F3+1))</f>
        <v/>
      </c>
      <c r="H3" s="216">
        <f>IF(G3="","",IF(G3+1&gt;$B$2,"",G3+1))</f>
        <v/>
      </c>
      <c r="I3" s="216">
        <f>IF(H3="","",IF(H3+1&gt;$B$2,"",H3+1))</f>
        <v/>
      </c>
      <c r="J3" s="216">
        <f>IF(I3="","",IF(I3+1&gt;$B$2,"",I3+1))</f>
        <v/>
      </c>
      <c r="K3" s="216">
        <f>IF(J3="","",IF(J3+1&gt;$B$2,"",J3+1))</f>
        <v/>
      </c>
      <c r="L3" s="216">
        <f>IF(K3="","",IF(K3+1&gt;$B$2,"",K3+1))</f>
        <v/>
      </c>
      <c r="M3" s="216">
        <f>IF(L3="","",IF(L3+1&gt;$B$2,"",L3+1))</f>
        <v/>
      </c>
      <c r="N3" s="216">
        <f>IF(M3="","",IF(M3+1&gt;$B$2,"",M3+1))</f>
        <v/>
      </c>
      <c r="O3" s="216">
        <f>IF(N3="","",IF(N3+1&gt;$B$2,"",N3+1))</f>
        <v/>
      </c>
      <c r="P3" s="216">
        <f>IF(O3="","",IF(O3+1&gt;$B$2,"",O3+1))</f>
        <v/>
      </c>
      <c r="Q3" s="216">
        <f>IF(P3="","",IF(P3+1&gt;$B$2,"",P3+1))</f>
        <v/>
      </c>
      <c r="R3" s="216">
        <f>IF(Q3="","",IF(Q3+1&gt;$B$2,"",Q3+1))</f>
        <v/>
      </c>
      <c r="S3" s="216">
        <f>IF(R3="","",IF(R3+1&gt;$B$2,"",R3+1))</f>
        <v/>
      </c>
      <c r="T3" s="216">
        <f>IF(S3="","",IF(S3+1&gt;$B$2,"",S3+1))</f>
        <v/>
      </c>
      <c r="U3" s="216">
        <f>IF(T3="","",IF(T3+1&gt;$B$2,"",T3+1))</f>
        <v/>
      </c>
      <c r="V3" s="216">
        <f>IF(U3="","",IF(U3+1&gt;$B$2,"",U3+1))</f>
        <v/>
      </c>
      <c r="W3" s="216">
        <f>IF(V3="","",IF(V3+1&gt;$B$2,"",V3+1))</f>
        <v/>
      </c>
      <c r="X3" s="216">
        <f>IF(W3="","",IF(W3+1&gt;$B$2,"",W3+1))</f>
        <v/>
      </c>
      <c r="Y3" s="216">
        <f>IF(X3="","",IF(X3+1&gt;$B$2,"",X3+1))</f>
        <v/>
      </c>
      <c r="Z3" s="216">
        <f>IF(Y3="","",IF(Y3+1&gt;$B$2,"",Y3+1))</f>
        <v/>
      </c>
      <c r="AA3" s="216">
        <f>IF(Z3="","",IF(Z3+1&gt;$B$2,"",Z3+1))</f>
        <v/>
      </c>
      <c r="AB3" s="216">
        <f>IF(AA3="","",IF(AA3+1&gt;$B$2,"",AA3+1))</f>
        <v/>
      </c>
      <c r="AC3" s="216">
        <f>IF(AB3="","",IF(AB3+1&gt;$B$2,"",AB3+1))</f>
        <v/>
      </c>
      <c r="AD3" s="216">
        <f>IF(AC3="","",IF(AC3+1&gt;$B$2,"",AC3+1))</f>
        <v/>
      </c>
      <c r="AE3" s="216">
        <f>IF(AD3="","",IF(AD3+1&gt;$B$2,"",AD3+1))</f>
        <v/>
      </c>
      <c r="AF3" s="216">
        <f>IF(AE3="","",IF(AE3+1&gt;$B$2,"",AE3+1))</f>
        <v/>
      </c>
      <c r="AG3" s="216">
        <f>IF(AF3="","",IF(AF3+1&gt;$B$2,"",AF3+1))</f>
        <v/>
      </c>
      <c r="AH3" s="216">
        <f>IF(AG3="","",IF(AG3+1&gt;$B$2,"",AG3+1))</f>
        <v/>
      </c>
      <c r="AI3" s="216">
        <f>IF(AH3="","",IF(AH3+1&gt;$B$2,"",AH3+1))</f>
        <v/>
      </c>
      <c r="AJ3" s="216">
        <f>IF(AI3="","",IF(AI3+1&gt;$B$2,"",AI3+1))</f>
        <v/>
      </c>
      <c r="AK3" s="216">
        <f>IF(AJ3="","",IF(AJ3+1&gt;$B$2,"",AJ3+1))</f>
        <v/>
      </c>
      <c r="AL3" s="216">
        <f>IF(AK3="","",IF(AK3+1&gt;$B$2,"",AK3+1))</f>
        <v/>
      </c>
      <c r="AM3" s="216">
        <f>IF(AL3="","",IF(AL3+1&gt;$B$2,"",AL3+1))</f>
        <v/>
      </c>
      <c r="AN3" s="216">
        <f>IF(AM3="","",IF(AM3+1&gt;$B$2,"",AM3+1))</f>
        <v/>
      </c>
      <c r="AO3" s="216">
        <f>IF(AN3="","",IF(AN3+1&gt;$B$2,"",AN3+1))</f>
        <v/>
      </c>
      <c r="AP3" s="216">
        <f>IF(AO3="","",IF(AO3+1&gt;$B$2,"",AO3+1))</f>
        <v/>
      </c>
      <c r="AQ3" s="216">
        <f>IF(AP3="","",IF(AP3+1&gt;$B$2,"",AP3+1))</f>
        <v/>
      </c>
      <c r="AR3" s="216">
        <f>IF(AQ3="","",IF(AQ3+1&gt;$B$2,"",AQ3+1))</f>
        <v/>
      </c>
      <c r="AS3" s="216">
        <f>IF(AR3="","",IF(AR3+1&gt;$B$2,"",AR3+1))</f>
        <v/>
      </c>
      <c r="AT3" s="216">
        <f>IF(AS3="","",IF(AS3+1&gt;$B$2,"",AS3+1))</f>
        <v/>
      </c>
      <c r="AU3" s="216">
        <f>IF(AT3="","",IF(AT3+1&gt;$B$2,"",AT3+1))</f>
        <v/>
      </c>
      <c r="AV3" s="216">
        <f>IF(AU3="","",IF(AU3+1&gt;$B$2,"",AU3+1))</f>
        <v/>
      </c>
      <c r="AW3" s="216">
        <f>IF(AV3="","",IF(AV3+1&gt;$B$2,"",AV3+1))</f>
        <v/>
      </c>
      <c r="AX3" s="216">
        <f>IF(AW3="","",IF(AW3+1&gt;$B$2,"",AW3+1))</f>
        <v/>
      </c>
      <c r="AY3" s="216">
        <f>IF(AX3="","",IF(AX3+1&gt;$B$2,"",AX3+1))</f>
        <v/>
      </c>
      <c r="AZ3" s="216">
        <f>IF(AY3="","",IF(AY3+1&gt;$B$2,"",AY3+1))</f>
        <v/>
      </c>
      <c r="BA3" s="216">
        <f>IF(AZ3="","",IF(AZ3+1&gt;$B$2,"",AZ3+1))</f>
        <v/>
      </c>
      <c r="BB3" s="216">
        <f>IF(BA3="","",IF(BA3+1&gt;$B$2,"",BA3+1))</f>
        <v/>
      </c>
      <c r="BC3" s="216">
        <f>IF(BB3="","",IF(BB3+1&gt;$B$2,"",BB3+1))</f>
        <v/>
      </c>
      <c r="BD3" s="216">
        <f>IF(BC3="","",IF(BC3+1&gt;$B$2,"",BC3+1))</f>
        <v/>
      </c>
      <c r="BE3" s="216">
        <f>IF(BD3="","",IF(BD3+1&gt;$B$2,"",BD3+1))</f>
        <v/>
      </c>
      <c r="BF3" s="216">
        <f>IF(BE3="","",IF(BE3+1&gt;$B$2,"",BE3+1))</f>
        <v/>
      </c>
      <c r="BG3" s="216">
        <f>IF(BF3="","",IF(BF3+1&gt;$B$2,"",BF3+1))</f>
        <v/>
      </c>
      <c r="BH3" s="216">
        <f>IF(BG3="","",IF(BG3+1&gt;$B$2,"",BG3+1))</f>
        <v/>
      </c>
      <c r="BI3" s="216">
        <f>IF(BH3="","",IF(BH3+1&gt;$B$2,"",BH3+1))</f>
        <v/>
      </c>
      <c r="BJ3" s="216">
        <f>IF(BI3="","",IF(BI3+1&gt;$B$2,"",BI3+1))</f>
        <v/>
      </c>
      <c r="BK3" s="216">
        <f>IF(BJ3="","",IF(BJ3+1&gt;$B$2,"",BJ3+1))</f>
        <v/>
      </c>
      <c r="BL3" s="216">
        <f>IF(BK3="","",IF(BK3+1&gt;$B$2,"",BK3+1))</f>
        <v/>
      </c>
      <c r="BM3" s="216">
        <f>IF(BL3="","",IF(BL3+1&gt;$B$2,"",BL3+1))</f>
        <v/>
      </c>
      <c r="BN3" s="216">
        <f>IF(BM3="","",IF(BM3+1&gt;$B$2,"",BM3+1))</f>
        <v/>
      </c>
      <c r="BO3" s="216">
        <f>IF(BN3="","",IF(BN3+1&gt;$B$2,"",BN3+1))</f>
        <v/>
      </c>
      <c r="BP3" s="216">
        <f>IF(BO3="","",IF(BO3+1&gt;$B$2,"",BO3+1))</f>
        <v/>
      </c>
      <c r="BQ3" s="216">
        <f>IF(BP3="","",IF(BP3+1&gt;$B$2,"",BP3+1))</f>
        <v/>
      </c>
      <c r="BR3" s="216">
        <f>IF(BQ3="","",IF(BQ3+1&gt;$B$2,"",BQ3+1))</f>
        <v/>
      </c>
      <c r="BS3" s="216">
        <f>IF(BR3="","",IF(BR3+1&gt;$B$2,"",BR3+1))</f>
        <v/>
      </c>
      <c r="BT3" s="216">
        <f>IF(BS3="","",IF(BS3+1&gt;$B$2,"",BS3+1))</f>
        <v/>
      </c>
      <c r="BU3" s="216">
        <f>IF(BT3="","",IF(BT3+1&gt;$B$2,"",BT3+1))</f>
        <v/>
      </c>
      <c r="BV3" s="216">
        <f>IF(BU3="","",IF(BU3+1&gt;$B$2,"",BU3+1))</f>
        <v/>
      </c>
      <c r="BW3" s="216">
        <f>IF(BV3="","",IF(BV3+1&gt;$B$2,"",BV3+1))</f>
        <v/>
      </c>
      <c r="BX3" s="216">
        <f>IF(BW3="","",IF(BW3+1&gt;$B$2,"",BW3+1))</f>
        <v/>
      </c>
      <c r="BY3" s="216">
        <f>IF(BX3="","",IF(BX3+1&gt;$B$2,"",BX3+1))</f>
        <v/>
      </c>
      <c r="BZ3" s="216">
        <f>IF(BY3="","",IF(BY3+1&gt;$B$2,"",BY3+1))</f>
        <v/>
      </c>
      <c r="CA3" s="216">
        <f>IF(BZ3="","",IF(BZ3+1&gt;$B$2,"",BZ3+1))</f>
        <v/>
      </c>
      <c r="CB3" s="216">
        <f>IF(CA3="","",IF(CA3+1&gt;$B$2,"",CA3+1))</f>
        <v/>
      </c>
      <c r="CC3" s="216">
        <f>IF(CB3="","",IF(CB3+1&gt;$B$2,"",CB3+1))</f>
        <v/>
      </c>
      <c r="CD3" s="216">
        <f>IF(CC3="","",IF(CC3+1&gt;$B$2,"",CC3+1))</f>
        <v/>
      </c>
      <c r="CE3" s="216">
        <f>IF(CD3="","",IF(CD3+1&gt;$B$2,"",CD3+1))</f>
        <v/>
      </c>
      <c r="CF3" s="216">
        <f>IF(CE3="","",IF(CE3+1&gt;$B$2,"",CE3+1))</f>
        <v/>
      </c>
      <c r="CG3" s="216">
        <f>IF(CF3="","",IF(CF3+1&gt;$B$2,"",CF3+1))</f>
        <v/>
      </c>
      <c r="CH3" s="216">
        <f>IF(CG3="","",IF(CG3+1&gt;$B$2,"",CG3+1))</f>
        <v/>
      </c>
      <c r="CI3" s="216">
        <f>IF(CH3="","",IF(CH3+1&gt;$B$2,"",CH3+1))</f>
        <v/>
      </c>
      <c r="CJ3" s="216">
        <f>IF(CI3="","",IF(CI3+1&gt;$B$2,"",CI3+1))</f>
        <v/>
      </c>
      <c r="CK3" s="216">
        <f>IF(CJ3="","",IF(CJ3+1&gt;$B$2,"",CJ3+1))</f>
        <v/>
      </c>
      <c r="CL3" s="216">
        <f>IF(CK3="","",IF(CK3+1&gt;$B$2,"",CK3+1))</f>
        <v/>
      </c>
      <c r="CM3" s="216">
        <f>IF(CL3="","",IF(CL3+1&gt;$B$2,"",CL3+1))</f>
        <v/>
      </c>
      <c r="CN3" s="216">
        <f>IF(CM3="","",IF(CM3+1&gt;$B$2,"",CM3+1))</f>
        <v/>
      </c>
      <c r="CO3" s="216">
        <f>IF(CN3="","",IF(CN3+1&gt;$B$2,"",CN3+1))</f>
        <v/>
      </c>
      <c r="CP3" s="216">
        <f>IF(CO3="","",IF(CO3+1&gt;$B$2,"",CO3+1))</f>
        <v/>
      </c>
      <c r="CQ3" s="216">
        <f>IF(CP3="","",IF(CP3+1&gt;$B$2,"",CP3+1))</f>
        <v/>
      </c>
      <c r="CR3" s="216">
        <f>IF(CQ3="","",IF(CQ3+1&gt;$B$2,"",CQ3+1))</f>
        <v/>
      </c>
      <c r="CS3" s="216">
        <f>IF(CR3="","",IF(CR3+1&gt;$B$2,"",CR3+1))</f>
        <v/>
      </c>
      <c r="CT3" s="216">
        <f>IF(CS3="","",IF(CS3+1&gt;$B$2,"",CS3+1))</f>
        <v/>
      </c>
      <c r="CU3" s="216">
        <f>IF(CT3="","",IF(CT3+1&gt;$B$2,"",CT3+1))</f>
        <v/>
      </c>
      <c r="CV3" s="216">
        <f>IF(CU3="","",IF(CU3+1&gt;$B$2,"",CU3+1))</f>
        <v/>
      </c>
      <c r="CW3" s="216">
        <f>IF(CV3="","",IF(CV3+1&gt;$B$2,"",CV3+1))</f>
        <v/>
      </c>
    </row>
    <row r="4" ht="15" customHeight="1" s="180">
      <c r="A4" s="217" t="inlineStr">
        <is>
          <t>ご主人様年齢</t>
        </is>
      </c>
      <c r="B4" s="218">
        <f>IF(B$3="","",IF(入力データ!$C$10="","",YEAR(DATE(B$3,12,31))-YEAR(入力データ!$C$10)-IF(DATE(B$3,12,31)&lt;DATE(B$3,MONTH(入力データ!$C$10),DAY(入力データ!$C$10)),1,0)))</f>
        <v/>
      </c>
      <c r="C4" s="218">
        <f>IF(C$3="","",IF(入力データ!$C$10="","",YEAR(DATE(C$3,12,31))-YEAR(入力データ!$C$10)-IF(DATE(C$3,12,31)&lt;DATE(C$3,MONTH(入力データ!$C$10),DAY(入力データ!$C$10)),1,0)))</f>
        <v/>
      </c>
      <c r="D4" s="218">
        <f>IF(D$3="","",IF(入力データ!$C$10="","",YEAR(DATE(D$3,12,31))-YEAR(入力データ!$C$10)-IF(DATE(D$3,12,31)&lt;DATE(D$3,MONTH(入力データ!$C$10),DAY(入力データ!$C$10)),1,0)))</f>
        <v/>
      </c>
      <c r="E4" s="218">
        <f>IF(E$3="","",IF(入力データ!$C$10="","",YEAR(DATE(E$3,12,31))-YEAR(入力データ!$C$10)-IF(DATE(E$3,12,31)&lt;DATE(E$3,MONTH(入力データ!$C$10),DAY(入力データ!$C$10)),1,0)))</f>
        <v/>
      </c>
      <c r="F4" s="218">
        <f>IF(F$3="","",IF(入力データ!$C$10="","",YEAR(DATE(F$3,12,31))-YEAR(入力データ!$C$10)-IF(DATE(F$3,12,31)&lt;DATE(F$3,MONTH(入力データ!$C$10),DAY(入力データ!$C$10)),1,0)))</f>
        <v/>
      </c>
      <c r="G4" s="218">
        <f>IF(G$3="","",IF(入力データ!$C$10="","",YEAR(DATE(G$3,12,31))-YEAR(入力データ!$C$10)-IF(DATE(G$3,12,31)&lt;DATE(G$3,MONTH(入力データ!$C$10),DAY(入力データ!$C$10)),1,0)))</f>
        <v/>
      </c>
      <c r="H4" s="218">
        <f>IF(H$3="","",IF(入力データ!$C$10="","",YEAR(DATE(H$3,12,31))-YEAR(入力データ!$C$10)-IF(DATE(H$3,12,31)&lt;DATE(H$3,MONTH(入力データ!$C$10),DAY(入力データ!$C$10)),1,0)))</f>
        <v/>
      </c>
      <c r="I4" s="218">
        <f>IF(I$3="","",IF(入力データ!$C$10="","",YEAR(DATE(I$3,12,31))-YEAR(入力データ!$C$10)-IF(DATE(I$3,12,31)&lt;DATE(I$3,MONTH(入力データ!$C$10),DAY(入力データ!$C$10)),1,0)))</f>
        <v/>
      </c>
      <c r="J4" s="218">
        <f>IF(J$3="","",IF(入力データ!$C$10="","",YEAR(DATE(J$3,12,31))-YEAR(入力データ!$C$10)-IF(DATE(J$3,12,31)&lt;DATE(J$3,MONTH(入力データ!$C$10),DAY(入力データ!$C$10)),1,0)))</f>
        <v/>
      </c>
      <c r="K4" s="218">
        <f>IF(K$3="","",IF(入力データ!$C$10="","",YEAR(DATE(K$3,12,31))-YEAR(入力データ!$C$10)-IF(DATE(K$3,12,31)&lt;DATE(K$3,MONTH(入力データ!$C$10),DAY(入力データ!$C$10)),1,0)))</f>
        <v/>
      </c>
      <c r="L4" s="218">
        <f>IF(L$3="","",IF(入力データ!$C$10="","",YEAR(DATE(L$3,12,31))-YEAR(入力データ!$C$10)-IF(DATE(L$3,12,31)&lt;DATE(L$3,MONTH(入力データ!$C$10),DAY(入力データ!$C$10)),1,0)))</f>
        <v/>
      </c>
      <c r="M4" s="218">
        <f>IF(M$3="","",IF(入力データ!$C$10="","",YEAR(DATE(M$3,12,31))-YEAR(入力データ!$C$10)-IF(DATE(M$3,12,31)&lt;DATE(M$3,MONTH(入力データ!$C$10),DAY(入力データ!$C$10)),1,0)))</f>
        <v/>
      </c>
      <c r="N4" s="218">
        <f>IF(N$3="","",IF(入力データ!$C$10="","",YEAR(DATE(N$3,12,31))-YEAR(入力データ!$C$10)-IF(DATE(N$3,12,31)&lt;DATE(N$3,MONTH(入力データ!$C$10),DAY(入力データ!$C$10)),1,0)))</f>
        <v/>
      </c>
      <c r="O4" s="218">
        <f>IF(O$3="","",IF(入力データ!$C$10="","",YEAR(DATE(O$3,12,31))-YEAR(入力データ!$C$10)-IF(DATE(O$3,12,31)&lt;DATE(O$3,MONTH(入力データ!$C$10),DAY(入力データ!$C$10)),1,0)))</f>
        <v/>
      </c>
      <c r="P4" s="218">
        <f>IF(P$3="","",IF(入力データ!$C$10="","",YEAR(DATE(P$3,12,31))-YEAR(入力データ!$C$10)-IF(DATE(P$3,12,31)&lt;DATE(P$3,MONTH(入力データ!$C$10),DAY(入力データ!$C$10)),1,0)))</f>
        <v/>
      </c>
      <c r="Q4" s="218">
        <f>IF(Q$3="","",IF(入力データ!$C$10="","",YEAR(DATE(Q$3,12,31))-YEAR(入力データ!$C$10)-IF(DATE(Q$3,12,31)&lt;DATE(Q$3,MONTH(入力データ!$C$10),DAY(入力データ!$C$10)),1,0)))</f>
        <v/>
      </c>
      <c r="R4" s="218">
        <f>IF(R$3="","",IF(入力データ!$C$10="","",YEAR(DATE(R$3,12,31))-YEAR(入力データ!$C$10)-IF(DATE(R$3,12,31)&lt;DATE(R$3,MONTH(入力データ!$C$10),DAY(入力データ!$C$10)),1,0)))</f>
        <v/>
      </c>
      <c r="S4" s="218">
        <f>IF(S$3="","",IF(入力データ!$C$10="","",YEAR(DATE(S$3,12,31))-YEAR(入力データ!$C$10)-IF(DATE(S$3,12,31)&lt;DATE(S$3,MONTH(入力データ!$C$10),DAY(入力データ!$C$10)),1,0)))</f>
        <v/>
      </c>
      <c r="T4" s="218">
        <f>IF(T$3="","",IF(入力データ!$C$10="","",YEAR(DATE(T$3,12,31))-YEAR(入力データ!$C$10)-IF(DATE(T$3,12,31)&lt;DATE(T$3,MONTH(入力データ!$C$10),DAY(入力データ!$C$10)),1,0)))</f>
        <v/>
      </c>
      <c r="U4" s="218">
        <f>IF(U$3="","",IF(入力データ!$C$10="","",YEAR(DATE(U$3,12,31))-YEAR(入力データ!$C$10)-IF(DATE(U$3,12,31)&lt;DATE(U$3,MONTH(入力データ!$C$10),DAY(入力データ!$C$10)),1,0)))</f>
        <v/>
      </c>
      <c r="V4" s="218">
        <f>IF(V$3="","",IF(入力データ!$C$10="","",YEAR(DATE(V$3,12,31))-YEAR(入力データ!$C$10)-IF(DATE(V$3,12,31)&lt;DATE(V$3,MONTH(入力データ!$C$10),DAY(入力データ!$C$10)),1,0)))</f>
        <v/>
      </c>
      <c r="W4" s="218">
        <f>IF(W$3="","",IF(入力データ!$C$10="","",YEAR(DATE(W$3,12,31))-YEAR(入力データ!$C$10)-IF(DATE(W$3,12,31)&lt;DATE(W$3,MONTH(入力データ!$C$10),DAY(入力データ!$C$10)),1,0)))</f>
        <v/>
      </c>
      <c r="X4" s="218">
        <f>IF(X$3="","",IF(入力データ!$C$10="","",YEAR(DATE(X$3,12,31))-YEAR(入力データ!$C$10)-IF(DATE(X$3,12,31)&lt;DATE(X$3,MONTH(入力データ!$C$10),DAY(入力データ!$C$10)),1,0)))</f>
        <v/>
      </c>
      <c r="Y4" s="218">
        <f>IF(Y$3="","",IF(入力データ!$C$10="","",YEAR(DATE(Y$3,12,31))-YEAR(入力データ!$C$10)-IF(DATE(Y$3,12,31)&lt;DATE(Y$3,MONTH(入力データ!$C$10),DAY(入力データ!$C$10)),1,0)))</f>
        <v/>
      </c>
      <c r="Z4" s="218">
        <f>IF(Z$3="","",IF(入力データ!$C$10="","",YEAR(DATE(Z$3,12,31))-YEAR(入力データ!$C$10)-IF(DATE(Z$3,12,31)&lt;DATE(Z$3,MONTH(入力データ!$C$10),DAY(入力データ!$C$10)),1,0)))</f>
        <v/>
      </c>
      <c r="AA4" s="218">
        <f>IF(AA$3="","",IF(入力データ!$C$10="","",YEAR(DATE(AA$3,12,31))-YEAR(入力データ!$C$10)-IF(DATE(AA$3,12,31)&lt;DATE(AA$3,MONTH(入力データ!$C$10),DAY(入力データ!$C$10)),1,0)))</f>
        <v/>
      </c>
      <c r="AB4" s="218">
        <f>IF(AB$3="","",IF(入力データ!$C$10="","",YEAR(DATE(AB$3,12,31))-YEAR(入力データ!$C$10)-IF(DATE(AB$3,12,31)&lt;DATE(AB$3,MONTH(入力データ!$C$10),DAY(入力データ!$C$10)),1,0)))</f>
        <v/>
      </c>
      <c r="AC4" s="218">
        <f>IF(AC$3="","",IF(入力データ!$C$10="","",YEAR(DATE(AC$3,12,31))-YEAR(入力データ!$C$10)-IF(DATE(AC$3,12,31)&lt;DATE(AC$3,MONTH(入力データ!$C$10),DAY(入力データ!$C$10)),1,0)))</f>
        <v/>
      </c>
      <c r="AD4" s="218">
        <f>IF(AD$3="","",IF(入力データ!$C$10="","",YEAR(DATE(AD$3,12,31))-YEAR(入力データ!$C$10)-IF(DATE(AD$3,12,31)&lt;DATE(AD$3,MONTH(入力データ!$C$10),DAY(入力データ!$C$10)),1,0)))</f>
        <v/>
      </c>
      <c r="AE4" s="218">
        <f>IF(AE$3="","",IF(入力データ!$C$10="","",YEAR(DATE(AE$3,12,31))-YEAR(入力データ!$C$10)-IF(DATE(AE$3,12,31)&lt;DATE(AE$3,MONTH(入力データ!$C$10),DAY(入力データ!$C$10)),1,0)))</f>
        <v/>
      </c>
      <c r="AF4" s="218">
        <f>IF(AF$3="","",IF(入力データ!$C$10="","",YEAR(DATE(AF$3,12,31))-YEAR(入力データ!$C$10)-IF(DATE(AF$3,12,31)&lt;DATE(AF$3,MONTH(入力データ!$C$10),DAY(入力データ!$C$10)),1,0)))</f>
        <v/>
      </c>
      <c r="AG4" s="218">
        <f>IF(AG$3="","",IF(入力データ!$C$10="","",YEAR(DATE(AG$3,12,31))-YEAR(入力データ!$C$10)-IF(DATE(AG$3,12,31)&lt;DATE(AG$3,MONTH(入力データ!$C$10),DAY(入力データ!$C$10)),1,0)))</f>
        <v/>
      </c>
      <c r="AH4" s="218">
        <f>IF(AH$3="","",IF(入力データ!$C$10="","",YEAR(DATE(AH$3,12,31))-YEAR(入力データ!$C$10)-IF(DATE(AH$3,12,31)&lt;DATE(AH$3,MONTH(入力データ!$C$10),DAY(入力データ!$C$10)),1,0)))</f>
        <v/>
      </c>
      <c r="AI4" s="218">
        <f>IF(AI$3="","",IF(入力データ!$C$10="","",YEAR(DATE(AI$3,12,31))-YEAR(入力データ!$C$10)-IF(DATE(AI$3,12,31)&lt;DATE(AI$3,MONTH(入力データ!$C$10),DAY(入力データ!$C$10)),1,0)))</f>
        <v/>
      </c>
      <c r="AJ4" s="218">
        <f>IF(AJ$3="","",IF(入力データ!$C$10="","",YEAR(DATE(AJ$3,12,31))-YEAR(入力データ!$C$10)-IF(DATE(AJ$3,12,31)&lt;DATE(AJ$3,MONTH(入力データ!$C$10),DAY(入力データ!$C$10)),1,0)))</f>
        <v/>
      </c>
      <c r="AK4" s="218">
        <f>IF(AK$3="","",IF(入力データ!$C$10="","",YEAR(DATE(AK$3,12,31))-YEAR(入力データ!$C$10)-IF(DATE(AK$3,12,31)&lt;DATE(AK$3,MONTH(入力データ!$C$10),DAY(入力データ!$C$10)),1,0)))</f>
        <v/>
      </c>
      <c r="AL4" s="218">
        <f>IF(AL$3="","",IF(入力データ!$C$10="","",YEAR(DATE(AL$3,12,31))-YEAR(入力データ!$C$10)-IF(DATE(AL$3,12,31)&lt;DATE(AL$3,MONTH(入力データ!$C$10),DAY(入力データ!$C$10)),1,0)))</f>
        <v/>
      </c>
      <c r="AM4" s="218">
        <f>IF(AM$3="","",IF(入力データ!$C$10="","",YEAR(DATE(AM$3,12,31))-YEAR(入力データ!$C$10)-IF(DATE(AM$3,12,31)&lt;DATE(AM$3,MONTH(入力データ!$C$10),DAY(入力データ!$C$10)),1,0)))</f>
        <v/>
      </c>
      <c r="AN4" s="218">
        <f>IF(AN$3="","",IF(入力データ!$C$10="","",YEAR(DATE(AN$3,12,31))-YEAR(入力データ!$C$10)-IF(DATE(AN$3,12,31)&lt;DATE(AN$3,MONTH(入力データ!$C$10),DAY(入力データ!$C$10)),1,0)))</f>
        <v/>
      </c>
      <c r="AO4" s="218">
        <f>IF(AO$3="","",IF(入力データ!$C$10="","",YEAR(DATE(AO$3,12,31))-YEAR(入力データ!$C$10)-IF(DATE(AO$3,12,31)&lt;DATE(AO$3,MONTH(入力データ!$C$10),DAY(入力データ!$C$10)),1,0)))</f>
        <v/>
      </c>
      <c r="AP4" s="218">
        <f>IF(AP$3="","",IF(入力データ!$C$10="","",YEAR(DATE(AP$3,12,31))-YEAR(入力データ!$C$10)-IF(DATE(AP$3,12,31)&lt;DATE(AP$3,MONTH(入力データ!$C$10),DAY(入力データ!$C$10)),1,0)))</f>
        <v/>
      </c>
      <c r="AQ4" s="218">
        <f>IF(AQ$3="","",IF(入力データ!$C$10="","",YEAR(DATE(AQ$3,12,31))-YEAR(入力データ!$C$10)-IF(DATE(AQ$3,12,31)&lt;DATE(AQ$3,MONTH(入力データ!$C$10),DAY(入力データ!$C$10)),1,0)))</f>
        <v/>
      </c>
      <c r="AR4" s="218">
        <f>IF(AR$3="","",IF(入力データ!$C$10="","",YEAR(DATE(AR$3,12,31))-YEAR(入力データ!$C$10)-IF(DATE(AR$3,12,31)&lt;DATE(AR$3,MONTH(入力データ!$C$10),DAY(入力データ!$C$10)),1,0)))</f>
        <v/>
      </c>
      <c r="AS4" s="218">
        <f>IF(AS$3="","",IF(入力データ!$C$10="","",YEAR(DATE(AS$3,12,31))-YEAR(入力データ!$C$10)-IF(DATE(AS$3,12,31)&lt;DATE(AS$3,MONTH(入力データ!$C$10),DAY(入力データ!$C$10)),1,0)))</f>
        <v/>
      </c>
      <c r="AT4" s="218">
        <f>IF(AT$3="","",IF(入力データ!$C$10="","",YEAR(DATE(AT$3,12,31))-YEAR(入力データ!$C$10)-IF(DATE(AT$3,12,31)&lt;DATE(AT$3,MONTH(入力データ!$C$10),DAY(入力データ!$C$10)),1,0)))</f>
        <v/>
      </c>
      <c r="AU4" s="218">
        <f>IF(AU$3="","",IF(入力データ!$C$10="","",YEAR(DATE(AU$3,12,31))-YEAR(入力データ!$C$10)-IF(DATE(AU$3,12,31)&lt;DATE(AU$3,MONTH(入力データ!$C$10),DAY(入力データ!$C$10)),1,0)))</f>
        <v/>
      </c>
      <c r="AV4" s="218">
        <f>IF(AV$3="","",IF(入力データ!$C$10="","",YEAR(DATE(AV$3,12,31))-YEAR(入力データ!$C$10)-IF(DATE(AV$3,12,31)&lt;DATE(AV$3,MONTH(入力データ!$C$10),DAY(入力データ!$C$10)),1,0)))</f>
        <v/>
      </c>
      <c r="AW4" s="218">
        <f>IF(AW$3="","",IF(入力データ!$C$10="","",YEAR(DATE(AW$3,12,31))-YEAR(入力データ!$C$10)-IF(DATE(AW$3,12,31)&lt;DATE(AW$3,MONTH(入力データ!$C$10),DAY(入力データ!$C$10)),1,0)))</f>
        <v/>
      </c>
      <c r="AX4" s="218">
        <f>IF(AX$3="","",IF(入力データ!$C$10="","",YEAR(DATE(AX$3,12,31))-YEAR(入力データ!$C$10)-IF(DATE(AX$3,12,31)&lt;DATE(AX$3,MONTH(入力データ!$C$10),DAY(入力データ!$C$10)),1,0)))</f>
        <v/>
      </c>
      <c r="AY4" s="218">
        <f>IF(AY$3="","",IF(入力データ!$C$10="","",YEAR(DATE(AY$3,12,31))-YEAR(入力データ!$C$10)-IF(DATE(AY$3,12,31)&lt;DATE(AY$3,MONTH(入力データ!$C$10),DAY(入力データ!$C$10)),1,0)))</f>
        <v/>
      </c>
      <c r="AZ4" s="218">
        <f>IF(AZ$3="","",IF(入力データ!$C$10="","",YEAR(DATE(AZ$3,12,31))-YEAR(入力データ!$C$10)-IF(DATE(AZ$3,12,31)&lt;DATE(AZ$3,MONTH(入力データ!$C$10),DAY(入力データ!$C$10)),1,0)))</f>
        <v/>
      </c>
      <c r="BA4" s="218">
        <f>IF(BA$3="","",IF(入力データ!$C$10="","",YEAR(DATE(BA$3,12,31))-YEAR(入力データ!$C$10)-IF(DATE(BA$3,12,31)&lt;DATE(BA$3,MONTH(入力データ!$C$10),DAY(入力データ!$C$10)),1,0)))</f>
        <v/>
      </c>
      <c r="BB4" s="218">
        <f>IF(BB$3="","",IF(入力データ!$C$10="","",YEAR(DATE(BB$3,12,31))-YEAR(入力データ!$C$10)-IF(DATE(BB$3,12,31)&lt;DATE(BB$3,MONTH(入力データ!$C$10),DAY(入力データ!$C$10)),1,0)))</f>
        <v/>
      </c>
      <c r="BC4" s="218">
        <f>IF(BC$3="","",IF(入力データ!$C$10="","",YEAR(DATE(BC$3,12,31))-YEAR(入力データ!$C$10)-IF(DATE(BC$3,12,31)&lt;DATE(BC$3,MONTH(入力データ!$C$10),DAY(入力データ!$C$10)),1,0)))</f>
        <v/>
      </c>
      <c r="BD4" s="218">
        <f>IF(BD$3="","",IF(入力データ!$C$10="","",YEAR(DATE(BD$3,12,31))-YEAR(入力データ!$C$10)-IF(DATE(BD$3,12,31)&lt;DATE(BD$3,MONTH(入力データ!$C$10),DAY(入力データ!$C$10)),1,0)))</f>
        <v/>
      </c>
      <c r="BE4" s="218">
        <f>IF(BE$3="","",IF(入力データ!$C$10="","",YEAR(DATE(BE$3,12,31))-YEAR(入力データ!$C$10)-IF(DATE(BE$3,12,31)&lt;DATE(BE$3,MONTH(入力データ!$C$10),DAY(入力データ!$C$10)),1,0)))</f>
        <v/>
      </c>
      <c r="BF4" s="218">
        <f>IF(BF$3="","",IF(入力データ!$C$10="","",YEAR(DATE(BF$3,12,31))-YEAR(入力データ!$C$10)-IF(DATE(BF$3,12,31)&lt;DATE(BF$3,MONTH(入力データ!$C$10),DAY(入力データ!$C$10)),1,0)))</f>
        <v/>
      </c>
      <c r="BG4" s="218">
        <f>IF(BG$3="","",IF(入力データ!$C$10="","",YEAR(DATE(BG$3,12,31))-YEAR(入力データ!$C$10)-IF(DATE(BG$3,12,31)&lt;DATE(BG$3,MONTH(入力データ!$C$10),DAY(入力データ!$C$10)),1,0)))</f>
        <v/>
      </c>
      <c r="BH4" s="218">
        <f>IF(BH$3="","",IF(入力データ!$C$10="","",YEAR(DATE(BH$3,12,31))-YEAR(入力データ!$C$10)-IF(DATE(BH$3,12,31)&lt;DATE(BH$3,MONTH(入力データ!$C$10),DAY(入力データ!$C$10)),1,0)))</f>
        <v/>
      </c>
      <c r="BI4" s="218">
        <f>IF(BI$3="","",IF(入力データ!$C$10="","",YEAR(DATE(BI$3,12,31))-YEAR(入力データ!$C$10)-IF(DATE(BI$3,12,31)&lt;DATE(BI$3,MONTH(入力データ!$C$10),DAY(入力データ!$C$10)),1,0)))</f>
        <v/>
      </c>
      <c r="BJ4" s="218">
        <f>IF(BJ$3="","",IF(入力データ!$C$10="","",YEAR(DATE(BJ$3,12,31))-YEAR(入力データ!$C$10)-IF(DATE(BJ$3,12,31)&lt;DATE(BJ$3,MONTH(入力データ!$C$10),DAY(入力データ!$C$10)),1,0)))</f>
        <v/>
      </c>
      <c r="BK4" s="218">
        <f>IF(BK$3="","",IF(入力データ!$C$10="","",YEAR(DATE(BK$3,12,31))-YEAR(入力データ!$C$10)-IF(DATE(BK$3,12,31)&lt;DATE(BK$3,MONTH(入力データ!$C$10),DAY(入力データ!$C$10)),1,0)))</f>
        <v/>
      </c>
      <c r="BL4" s="218">
        <f>IF(BL$3="","",IF(入力データ!$C$10="","",YEAR(DATE(BL$3,12,31))-YEAR(入力データ!$C$10)-IF(DATE(BL$3,12,31)&lt;DATE(BL$3,MONTH(入力データ!$C$10),DAY(入力データ!$C$10)),1,0)))</f>
        <v/>
      </c>
      <c r="BM4" s="218">
        <f>IF(BM$3="","",IF(入力データ!$C$10="","",YEAR(DATE(BM$3,12,31))-YEAR(入力データ!$C$10)-IF(DATE(BM$3,12,31)&lt;DATE(BM$3,MONTH(入力データ!$C$10),DAY(入力データ!$C$10)),1,0)))</f>
        <v/>
      </c>
      <c r="BN4" s="218">
        <f>IF(BN$3="","",IF(入力データ!$C$10="","",YEAR(DATE(BN$3,12,31))-YEAR(入力データ!$C$10)-IF(DATE(BN$3,12,31)&lt;DATE(BN$3,MONTH(入力データ!$C$10),DAY(入力データ!$C$10)),1,0)))</f>
        <v/>
      </c>
      <c r="BO4" s="218">
        <f>IF(BO$3="","",IF(入力データ!$C$10="","",YEAR(DATE(BO$3,12,31))-YEAR(入力データ!$C$10)-IF(DATE(BO$3,12,31)&lt;DATE(BO$3,MONTH(入力データ!$C$10),DAY(入力データ!$C$10)),1,0)))</f>
        <v/>
      </c>
      <c r="BP4" s="218">
        <f>IF(BP$3="","",IF(入力データ!$C$10="","",YEAR(DATE(BP$3,12,31))-YEAR(入力データ!$C$10)-IF(DATE(BP$3,12,31)&lt;DATE(BP$3,MONTH(入力データ!$C$10),DAY(入力データ!$C$10)),1,0)))</f>
        <v/>
      </c>
      <c r="BQ4" s="218">
        <f>IF(BQ$3="","",IF(入力データ!$C$10="","",YEAR(DATE(BQ$3,12,31))-YEAR(入力データ!$C$10)-IF(DATE(BQ$3,12,31)&lt;DATE(BQ$3,MONTH(入力データ!$C$10),DAY(入力データ!$C$10)),1,0)))</f>
        <v/>
      </c>
      <c r="BR4" s="218">
        <f>IF(BR$3="","",IF(入力データ!$C$10="","",YEAR(DATE(BR$3,12,31))-YEAR(入力データ!$C$10)-IF(DATE(BR$3,12,31)&lt;DATE(BR$3,MONTH(入力データ!$C$10),DAY(入力データ!$C$10)),1,0)))</f>
        <v/>
      </c>
      <c r="BS4" s="218">
        <f>IF(BS$3="","",IF(入力データ!$C$10="","",YEAR(DATE(BS$3,12,31))-YEAR(入力データ!$C$10)-IF(DATE(BS$3,12,31)&lt;DATE(BS$3,MONTH(入力データ!$C$10),DAY(入力データ!$C$10)),1,0)))</f>
        <v/>
      </c>
      <c r="BT4" s="218">
        <f>IF(BT$3="","",IF(入力データ!$C$10="","",YEAR(DATE(BT$3,12,31))-YEAR(入力データ!$C$10)-IF(DATE(BT$3,12,31)&lt;DATE(BT$3,MONTH(入力データ!$C$10),DAY(入力データ!$C$10)),1,0)))</f>
        <v/>
      </c>
      <c r="BU4" s="218">
        <f>IF(BU$3="","",IF(入力データ!$C$10="","",YEAR(DATE(BU$3,12,31))-YEAR(入力データ!$C$10)-IF(DATE(BU$3,12,31)&lt;DATE(BU$3,MONTH(入力データ!$C$10),DAY(入力データ!$C$10)),1,0)))</f>
        <v/>
      </c>
      <c r="BV4" s="218">
        <f>IF(BV$3="","",IF(入力データ!$C$10="","",YEAR(DATE(BV$3,12,31))-YEAR(入力データ!$C$10)-IF(DATE(BV$3,12,31)&lt;DATE(BV$3,MONTH(入力データ!$C$10),DAY(入力データ!$C$10)),1,0)))</f>
        <v/>
      </c>
      <c r="BW4" s="218">
        <f>IF(BW$3="","",IF(入力データ!$C$10="","",YEAR(DATE(BW$3,12,31))-YEAR(入力データ!$C$10)-IF(DATE(BW$3,12,31)&lt;DATE(BW$3,MONTH(入力データ!$C$10),DAY(入力データ!$C$10)),1,0)))</f>
        <v/>
      </c>
      <c r="BX4" s="218">
        <f>IF(BX$3="","",IF(入力データ!$C$10="","",YEAR(DATE(BX$3,12,31))-YEAR(入力データ!$C$10)-IF(DATE(BX$3,12,31)&lt;DATE(BX$3,MONTH(入力データ!$C$10),DAY(入力データ!$C$10)),1,0)))</f>
        <v/>
      </c>
      <c r="BY4" s="218">
        <f>IF(BY$3="","",IF(入力データ!$C$10="","",YEAR(DATE(BY$3,12,31))-YEAR(入力データ!$C$10)-IF(DATE(BY$3,12,31)&lt;DATE(BY$3,MONTH(入力データ!$C$10),DAY(入力データ!$C$10)),1,0)))</f>
        <v/>
      </c>
      <c r="BZ4" s="218">
        <f>IF(BZ$3="","",IF(入力データ!$C$10="","",YEAR(DATE(BZ$3,12,31))-YEAR(入力データ!$C$10)-IF(DATE(BZ$3,12,31)&lt;DATE(BZ$3,MONTH(入力データ!$C$10),DAY(入力データ!$C$10)),1,0)))</f>
        <v/>
      </c>
      <c r="CA4" s="218">
        <f>IF(CA$3="","",IF(入力データ!$C$10="","",YEAR(DATE(CA$3,12,31))-YEAR(入力データ!$C$10)-IF(DATE(CA$3,12,31)&lt;DATE(CA$3,MONTH(入力データ!$C$10),DAY(入力データ!$C$10)),1,0)))</f>
        <v/>
      </c>
      <c r="CB4" s="218">
        <f>IF(CB$3="","",IF(入力データ!$C$10="","",YEAR(DATE(CB$3,12,31))-YEAR(入力データ!$C$10)-IF(DATE(CB$3,12,31)&lt;DATE(CB$3,MONTH(入力データ!$C$10),DAY(入力データ!$C$10)),1,0)))</f>
        <v/>
      </c>
      <c r="CC4" s="218">
        <f>IF(CC$3="","",IF(入力データ!$C$10="","",YEAR(DATE(CC$3,12,31))-YEAR(入力データ!$C$10)-IF(DATE(CC$3,12,31)&lt;DATE(CC$3,MONTH(入力データ!$C$10),DAY(入力データ!$C$10)),1,0)))</f>
        <v/>
      </c>
      <c r="CD4" s="218">
        <f>IF(CD$3="","",IF(入力データ!$C$10="","",YEAR(DATE(CD$3,12,31))-YEAR(入力データ!$C$10)-IF(DATE(CD$3,12,31)&lt;DATE(CD$3,MONTH(入力データ!$C$10),DAY(入力データ!$C$10)),1,0)))</f>
        <v/>
      </c>
      <c r="CE4" s="218">
        <f>IF(CE$3="","",IF(入力データ!$C$10="","",YEAR(DATE(CE$3,12,31))-YEAR(入力データ!$C$10)-IF(DATE(CE$3,12,31)&lt;DATE(CE$3,MONTH(入力データ!$C$10),DAY(入力データ!$C$10)),1,0)))</f>
        <v/>
      </c>
      <c r="CF4" s="218">
        <f>IF(CF$3="","",IF(入力データ!$C$10="","",YEAR(DATE(CF$3,12,31))-YEAR(入力データ!$C$10)-IF(DATE(CF$3,12,31)&lt;DATE(CF$3,MONTH(入力データ!$C$10),DAY(入力データ!$C$10)),1,0)))</f>
        <v/>
      </c>
      <c r="CG4" s="218">
        <f>IF(CG$3="","",IF(入力データ!$C$10="","",YEAR(DATE(CG$3,12,31))-YEAR(入力データ!$C$10)-IF(DATE(CG$3,12,31)&lt;DATE(CG$3,MONTH(入力データ!$C$10),DAY(入力データ!$C$10)),1,0)))</f>
        <v/>
      </c>
      <c r="CH4" s="218">
        <f>IF(CH$3="","",IF(入力データ!$C$10="","",YEAR(DATE(CH$3,12,31))-YEAR(入力データ!$C$10)-IF(DATE(CH$3,12,31)&lt;DATE(CH$3,MONTH(入力データ!$C$10),DAY(入力データ!$C$10)),1,0)))</f>
        <v/>
      </c>
      <c r="CI4" s="218">
        <f>IF(CI$3="","",IF(入力データ!$C$10="","",YEAR(DATE(CI$3,12,31))-YEAR(入力データ!$C$10)-IF(DATE(CI$3,12,31)&lt;DATE(CI$3,MONTH(入力データ!$C$10),DAY(入力データ!$C$10)),1,0)))</f>
        <v/>
      </c>
      <c r="CJ4" s="218">
        <f>IF(CJ$3="","",IF(入力データ!$C$10="","",YEAR(DATE(CJ$3,12,31))-YEAR(入力データ!$C$10)-IF(DATE(CJ$3,12,31)&lt;DATE(CJ$3,MONTH(入力データ!$C$10),DAY(入力データ!$C$10)),1,0)))</f>
        <v/>
      </c>
      <c r="CK4" s="218">
        <f>IF(CK$3="","",IF(入力データ!$C$10="","",YEAR(DATE(CK$3,12,31))-YEAR(入力データ!$C$10)-IF(DATE(CK$3,12,31)&lt;DATE(CK$3,MONTH(入力データ!$C$10),DAY(入力データ!$C$10)),1,0)))</f>
        <v/>
      </c>
      <c r="CL4" s="218">
        <f>IF(CL$3="","",IF(入力データ!$C$10="","",YEAR(DATE(CL$3,12,31))-YEAR(入力データ!$C$10)-IF(DATE(CL$3,12,31)&lt;DATE(CL$3,MONTH(入力データ!$C$10),DAY(入力データ!$C$10)),1,0)))</f>
        <v/>
      </c>
      <c r="CM4" s="218">
        <f>IF(CM$3="","",IF(入力データ!$C$10="","",YEAR(DATE(CM$3,12,31))-YEAR(入力データ!$C$10)-IF(DATE(CM$3,12,31)&lt;DATE(CM$3,MONTH(入力データ!$C$10),DAY(入力データ!$C$10)),1,0)))</f>
        <v/>
      </c>
      <c r="CN4" s="218">
        <f>IF(CN$3="","",IF(入力データ!$C$10="","",YEAR(DATE(CN$3,12,31))-YEAR(入力データ!$C$10)-IF(DATE(CN$3,12,31)&lt;DATE(CN$3,MONTH(入力データ!$C$10),DAY(入力データ!$C$10)),1,0)))</f>
        <v/>
      </c>
      <c r="CO4" s="218">
        <f>IF(CO$3="","",IF(入力データ!$C$10="","",YEAR(DATE(CO$3,12,31))-YEAR(入力データ!$C$10)-IF(DATE(CO$3,12,31)&lt;DATE(CO$3,MONTH(入力データ!$C$10),DAY(入力データ!$C$10)),1,0)))</f>
        <v/>
      </c>
      <c r="CP4" s="218">
        <f>IF(CP$3="","",IF(入力データ!$C$10="","",YEAR(DATE(CP$3,12,31))-YEAR(入力データ!$C$10)-IF(DATE(CP$3,12,31)&lt;DATE(CP$3,MONTH(入力データ!$C$10),DAY(入力データ!$C$10)),1,0)))</f>
        <v/>
      </c>
      <c r="CQ4" s="218">
        <f>IF(CQ$3="","",IF(入力データ!$C$10="","",YEAR(DATE(CQ$3,12,31))-YEAR(入力データ!$C$10)-IF(DATE(CQ$3,12,31)&lt;DATE(CQ$3,MONTH(入力データ!$C$10),DAY(入力データ!$C$10)),1,0)))</f>
        <v/>
      </c>
      <c r="CR4" s="218">
        <f>IF(CR$3="","",IF(入力データ!$C$10="","",YEAR(DATE(CR$3,12,31))-YEAR(入力データ!$C$10)-IF(DATE(CR$3,12,31)&lt;DATE(CR$3,MONTH(入力データ!$C$10),DAY(入力データ!$C$10)),1,0)))</f>
        <v/>
      </c>
      <c r="CS4" s="218">
        <f>IF(CS$3="","",IF(入力データ!$C$10="","",YEAR(DATE(CS$3,12,31))-YEAR(入力データ!$C$10)-IF(DATE(CS$3,12,31)&lt;DATE(CS$3,MONTH(入力データ!$C$10),DAY(入力データ!$C$10)),1,0)))</f>
        <v/>
      </c>
      <c r="CT4" s="218">
        <f>IF(CT$3="","",IF(入力データ!$C$10="","",YEAR(DATE(CT$3,12,31))-YEAR(入力データ!$C$10)-IF(DATE(CT$3,12,31)&lt;DATE(CT$3,MONTH(入力データ!$C$10),DAY(入力データ!$C$10)),1,0)))</f>
        <v/>
      </c>
      <c r="CU4" s="218">
        <f>IF(CU$3="","",IF(入力データ!$C$10="","",YEAR(DATE(CU$3,12,31))-YEAR(入力データ!$C$10)-IF(DATE(CU$3,12,31)&lt;DATE(CU$3,MONTH(入力データ!$C$10),DAY(入力データ!$C$10)),1,0)))</f>
        <v/>
      </c>
      <c r="CV4" s="218">
        <f>IF(CV$3="","",IF(入力データ!$C$10="","",YEAR(DATE(CV$3,12,31))-YEAR(入力データ!$C$10)-IF(DATE(CV$3,12,31)&lt;DATE(CV$3,MONTH(入力データ!$C$10),DAY(入力データ!$C$10)),1,0)))</f>
        <v/>
      </c>
      <c r="CW4" s="218">
        <f>IF(CW$3="","",IF(入力データ!$C$10="","",YEAR(DATE(CW$3,12,31))-YEAR(入力データ!$C$10)-IF(DATE(CW$3,12,31)&lt;DATE(CW$3,MONTH(入力データ!$C$10),DAY(入力データ!$C$10)),1,0)))</f>
        <v/>
      </c>
    </row>
    <row r="5" ht="15" customHeight="1" s="180">
      <c r="A5" s="217" t="inlineStr">
        <is>
          <t>奥様年齢</t>
        </is>
      </c>
      <c r="B5" s="218">
        <f>IF(B$3="","",IF(入力データ!$C$11="","",YEAR(DATE(B$3,12,31))-YEAR(入力データ!$C$11)-IF(DATE(B$3,12,31)&lt;DATE(B$3,MONTH(入力データ!$C$11),DAY(入力データ!$C$11)),1,0)))</f>
        <v/>
      </c>
      <c r="C5" s="218">
        <f>IF(C$3="","",IF(入力データ!$C$11="","",YEAR(DATE(C$3,12,31))-YEAR(入力データ!$C$11)-IF(DATE(C$3,12,31)&lt;DATE(C$3,MONTH(入力データ!$C$11),DAY(入力データ!$C$11)),1,0)))</f>
        <v/>
      </c>
      <c r="D5" s="218">
        <f>IF(D$3="","",IF(入力データ!$C$11="","",YEAR(DATE(D$3,12,31))-YEAR(入力データ!$C$11)-IF(DATE(D$3,12,31)&lt;DATE(D$3,MONTH(入力データ!$C$11),DAY(入力データ!$C$11)),1,0)))</f>
        <v/>
      </c>
      <c r="E5" s="218">
        <f>IF(E$3="","",IF(入力データ!$C$11="","",YEAR(DATE(E$3,12,31))-YEAR(入力データ!$C$11)-IF(DATE(E$3,12,31)&lt;DATE(E$3,MONTH(入力データ!$C$11),DAY(入力データ!$C$11)),1,0)))</f>
        <v/>
      </c>
      <c r="F5" s="218">
        <f>IF(F$3="","",IF(入力データ!$C$11="","",YEAR(DATE(F$3,12,31))-YEAR(入力データ!$C$11)-IF(DATE(F$3,12,31)&lt;DATE(F$3,MONTH(入力データ!$C$11),DAY(入力データ!$C$11)),1,0)))</f>
        <v/>
      </c>
      <c r="G5" s="218">
        <f>IF(G$3="","",IF(入力データ!$C$11="","",YEAR(DATE(G$3,12,31))-YEAR(入力データ!$C$11)-IF(DATE(G$3,12,31)&lt;DATE(G$3,MONTH(入力データ!$C$11),DAY(入力データ!$C$11)),1,0)))</f>
        <v/>
      </c>
      <c r="H5" s="218">
        <f>IF(H$3="","",IF(入力データ!$C$11="","",YEAR(DATE(H$3,12,31))-YEAR(入力データ!$C$11)-IF(DATE(H$3,12,31)&lt;DATE(H$3,MONTH(入力データ!$C$11),DAY(入力データ!$C$11)),1,0)))</f>
        <v/>
      </c>
      <c r="I5" s="218">
        <f>IF(I$3="","",IF(入力データ!$C$11="","",YEAR(DATE(I$3,12,31))-YEAR(入力データ!$C$11)-IF(DATE(I$3,12,31)&lt;DATE(I$3,MONTH(入力データ!$C$11),DAY(入力データ!$C$11)),1,0)))</f>
        <v/>
      </c>
      <c r="J5" s="218">
        <f>IF(J$3="","",IF(入力データ!$C$11="","",YEAR(DATE(J$3,12,31))-YEAR(入力データ!$C$11)-IF(DATE(J$3,12,31)&lt;DATE(J$3,MONTH(入力データ!$C$11),DAY(入力データ!$C$11)),1,0)))</f>
        <v/>
      </c>
      <c r="K5" s="218">
        <f>IF(K$3="","",IF(入力データ!$C$11="","",YEAR(DATE(K$3,12,31))-YEAR(入力データ!$C$11)-IF(DATE(K$3,12,31)&lt;DATE(K$3,MONTH(入力データ!$C$11),DAY(入力データ!$C$11)),1,0)))</f>
        <v/>
      </c>
      <c r="L5" s="218">
        <f>IF(L$3="","",IF(入力データ!$C$11="","",YEAR(DATE(L$3,12,31))-YEAR(入力データ!$C$11)-IF(DATE(L$3,12,31)&lt;DATE(L$3,MONTH(入力データ!$C$11),DAY(入力データ!$C$11)),1,0)))</f>
        <v/>
      </c>
      <c r="M5" s="218">
        <f>IF(M$3="","",IF(入力データ!$C$11="","",YEAR(DATE(M$3,12,31))-YEAR(入力データ!$C$11)-IF(DATE(M$3,12,31)&lt;DATE(M$3,MONTH(入力データ!$C$11),DAY(入力データ!$C$11)),1,0)))</f>
        <v/>
      </c>
      <c r="N5" s="218">
        <f>IF(N$3="","",IF(入力データ!$C$11="","",YEAR(DATE(N$3,12,31))-YEAR(入力データ!$C$11)-IF(DATE(N$3,12,31)&lt;DATE(N$3,MONTH(入力データ!$C$11),DAY(入力データ!$C$11)),1,0)))</f>
        <v/>
      </c>
      <c r="O5" s="218">
        <f>IF(O$3="","",IF(入力データ!$C$11="","",YEAR(DATE(O$3,12,31))-YEAR(入力データ!$C$11)-IF(DATE(O$3,12,31)&lt;DATE(O$3,MONTH(入力データ!$C$11),DAY(入力データ!$C$11)),1,0)))</f>
        <v/>
      </c>
      <c r="P5" s="218">
        <f>IF(P$3="","",IF(入力データ!$C$11="","",YEAR(DATE(P$3,12,31))-YEAR(入力データ!$C$11)-IF(DATE(P$3,12,31)&lt;DATE(P$3,MONTH(入力データ!$C$11),DAY(入力データ!$C$11)),1,0)))</f>
        <v/>
      </c>
      <c r="Q5" s="218">
        <f>IF(Q$3="","",IF(入力データ!$C$11="","",YEAR(DATE(Q$3,12,31))-YEAR(入力データ!$C$11)-IF(DATE(Q$3,12,31)&lt;DATE(Q$3,MONTH(入力データ!$C$11),DAY(入力データ!$C$11)),1,0)))</f>
        <v/>
      </c>
      <c r="R5" s="218">
        <f>IF(R$3="","",IF(入力データ!$C$11="","",YEAR(DATE(R$3,12,31))-YEAR(入力データ!$C$11)-IF(DATE(R$3,12,31)&lt;DATE(R$3,MONTH(入力データ!$C$11),DAY(入力データ!$C$11)),1,0)))</f>
        <v/>
      </c>
      <c r="S5" s="218">
        <f>IF(S$3="","",IF(入力データ!$C$11="","",YEAR(DATE(S$3,12,31))-YEAR(入力データ!$C$11)-IF(DATE(S$3,12,31)&lt;DATE(S$3,MONTH(入力データ!$C$11),DAY(入力データ!$C$11)),1,0)))</f>
        <v/>
      </c>
      <c r="T5" s="218">
        <f>IF(T$3="","",IF(入力データ!$C$11="","",YEAR(DATE(T$3,12,31))-YEAR(入力データ!$C$11)-IF(DATE(T$3,12,31)&lt;DATE(T$3,MONTH(入力データ!$C$11),DAY(入力データ!$C$11)),1,0)))</f>
        <v/>
      </c>
      <c r="U5" s="218">
        <f>IF(U$3="","",IF(入力データ!$C$11="","",YEAR(DATE(U$3,12,31))-YEAR(入力データ!$C$11)-IF(DATE(U$3,12,31)&lt;DATE(U$3,MONTH(入力データ!$C$11),DAY(入力データ!$C$11)),1,0)))</f>
        <v/>
      </c>
      <c r="V5" s="218">
        <f>IF(V$3="","",IF(入力データ!$C$11="","",YEAR(DATE(V$3,12,31))-YEAR(入力データ!$C$11)-IF(DATE(V$3,12,31)&lt;DATE(V$3,MONTH(入力データ!$C$11),DAY(入力データ!$C$11)),1,0)))</f>
        <v/>
      </c>
      <c r="W5" s="218">
        <f>IF(W$3="","",IF(入力データ!$C$11="","",YEAR(DATE(W$3,12,31))-YEAR(入力データ!$C$11)-IF(DATE(W$3,12,31)&lt;DATE(W$3,MONTH(入力データ!$C$11),DAY(入力データ!$C$11)),1,0)))</f>
        <v/>
      </c>
      <c r="X5" s="218">
        <f>IF(X$3="","",IF(入力データ!$C$11="","",YEAR(DATE(X$3,12,31))-YEAR(入力データ!$C$11)-IF(DATE(X$3,12,31)&lt;DATE(X$3,MONTH(入力データ!$C$11),DAY(入力データ!$C$11)),1,0)))</f>
        <v/>
      </c>
      <c r="Y5" s="218">
        <f>IF(Y$3="","",IF(入力データ!$C$11="","",YEAR(DATE(Y$3,12,31))-YEAR(入力データ!$C$11)-IF(DATE(Y$3,12,31)&lt;DATE(Y$3,MONTH(入力データ!$C$11),DAY(入力データ!$C$11)),1,0)))</f>
        <v/>
      </c>
      <c r="Z5" s="218">
        <f>IF(Z$3="","",IF(入力データ!$C$11="","",YEAR(DATE(Z$3,12,31))-YEAR(入力データ!$C$11)-IF(DATE(Z$3,12,31)&lt;DATE(Z$3,MONTH(入力データ!$C$11),DAY(入力データ!$C$11)),1,0)))</f>
        <v/>
      </c>
      <c r="AA5" s="218">
        <f>IF(AA$3="","",IF(入力データ!$C$11="","",YEAR(DATE(AA$3,12,31))-YEAR(入力データ!$C$11)-IF(DATE(AA$3,12,31)&lt;DATE(AA$3,MONTH(入力データ!$C$11),DAY(入力データ!$C$11)),1,0)))</f>
        <v/>
      </c>
      <c r="AB5" s="218">
        <f>IF(AB$3="","",IF(入力データ!$C$11="","",YEAR(DATE(AB$3,12,31))-YEAR(入力データ!$C$11)-IF(DATE(AB$3,12,31)&lt;DATE(AB$3,MONTH(入力データ!$C$11),DAY(入力データ!$C$11)),1,0)))</f>
        <v/>
      </c>
      <c r="AC5" s="218">
        <f>IF(AC$3="","",IF(入力データ!$C$11="","",YEAR(DATE(AC$3,12,31))-YEAR(入力データ!$C$11)-IF(DATE(AC$3,12,31)&lt;DATE(AC$3,MONTH(入力データ!$C$11),DAY(入力データ!$C$11)),1,0)))</f>
        <v/>
      </c>
      <c r="AD5" s="218">
        <f>IF(AD$3="","",IF(入力データ!$C$11="","",YEAR(DATE(AD$3,12,31))-YEAR(入力データ!$C$11)-IF(DATE(AD$3,12,31)&lt;DATE(AD$3,MONTH(入力データ!$C$11),DAY(入力データ!$C$11)),1,0)))</f>
        <v/>
      </c>
      <c r="AE5" s="218">
        <f>IF(AE$3="","",IF(入力データ!$C$11="","",YEAR(DATE(AE$3,12,31))-YEAR(入力データ!$C$11)-IF(DATE(AE$3,12,31)&lt;DATE(AE$3,MONTH(入力データ!$C$11),DAY(入力データ!$C$11)),1,0)))</f>
        <v/>
      </c>
      <c r="AF5" s="218">
        <f>IF(AF$3="","",IF(入力データ!$C$11="","",YEAR(DATE(AF$3,12,31))-YEAR(入力データ!$C$11)-IF(DATE(AF$3,12,31)&lt;DATE(AF$3,MONTH(入力データ!$C$11),DAY(入力データ!$C$11)),1,0)))</f>
        <v/>
      </c>
      <c r="AG5" s="218">
        <f>IF(AG$3="","",IF(入力データ!$C$11="","",YEAR(DATE(AG$3,12,31))-YEAR(入力データ!$C$11)-IF(DATE(AG$3,12,31)&lt;DATE(AG$3,MONTH(入力データ!$C$11),DAY(入力データ!$C$11)),1,0)))</f>
        <v/>
      </c>
      <c r="AH5" s="218">
        <f>IF(AH$3="","",IF(入力データ!$C$11="","",YEAR(DATE(AH$3,12,31))-YEAR(入力データ!$C$11)-IF(DATE(AH$3,12,31)&lt;DATE(AH$3,MONTH(入力データ!$C$11),DAY(入力データ!$C$11)),1,0)))</f>
        <v/>
      </c>
      <c r="AI5" s="218">
        <f>IF(AI$3="","",IF(入力データ!$C$11="","",YEAR(DATE(AI$3,12,31))-YEAR(入力データ!$C$11)-IF(DATE(AI$3,12,31)&lt;DATE(AI$3,MONTH(入力データ!$C$11),DAY(入力データ!$C$11)),1,0)))</f>
        <v/>
      </c>
      <c r="AJ5" s="218">
        <f>IF(AJ$3="","",IF(入力データ!$C$11="","",YEAR(DATE(AJ$3,12,31))-YEAR(入力データ!$C$11)-IF(DATE(AJ$3,12,31)&lt;DATE(AJ$3,MONTH(入力データ!$C$11),DAY(入力データ!$C$11)),1,0)))</f>
        <v/>
      </c>
      <c r="AK5" s="218">
        <f>IF(AK$3="","",IF(入力データ!$C$11="","",YEAR(DATE(AK$3,12,31))-YEAR(入力データ!$C$11)-IF(DATE(AK$3,12,31)&lt;DATE(AK$3,MONTH(入力データ!$C$11),DAY(入力データ!$C$11)),1,0)))</f>
        <v/>
      </c>
      <c r="AL5" s="218">
        <f>IF(AL$3="","",IF(入力データ!$C$11="","",YEAR(DATE(AL$3,12,31))-YEAR(入力データ!$C$11)-IF(DATE(AL$3,12,31)&lt;DATE(AL$3,MONTH(入力データ!$C$11),DAY(入力データ!$C$11)),1,0)))</f>
        <v/>
      </c>
      <c r="AM5" s="218">
        <f>IF(AM$3="","",IF(入力データ!$C$11="","",YEAR(DATE(AM$3,12,31))-YEAR(入力データ!$C$11)-IF(DATE(AM$3,12,31)&lt;DATE(AM$3,MONTH(入力データ!$C$11),DAY(入力データ!$C$11)),1,0)))</f>
        <v/>
      </c>
      <c r="AN5" s="218">
        <f>IF(AN$3="","",IF(入力データ!$C$11="","",YEAR(DATE(AN$3,12,31))-YEAR(入力データ!$C$11)-IF(DATE(AN$3,12,31)&lt;DATE(AN$3,MONTH(入力データ!$C$11),DAY(入力データ!$C$11)),1,0)))</f>
        <v/>
      </c>
      <c r="AO5" s="218">
        <f>IF(AO$3="","",IF(入力データ!$C$11="","",YEAR(DATE(AO$3,12,31))-YEAR(入力データ!$C$11)-IF(DATE(AO$3,12,31)&lt;DATE(AO$3,MONTH(入力データ!$C$11),DAY(入力データ!$C$11)),1,0)))</f>
        <v/>
      </c>
      <c r="AP5" s="218">
        <f>IF(AP$3="","",IF(入力データ!$C$11="","",YEAR(DATE(AP$3,12,31))-YEAR(入力データ!$C$11)-IF(DATE(AP$3,12,31)&lt;DATE(AP$3,MONTH(入力データ!$C$11),DAY(入力データ!$C$11)),1,0)))</f>
        <v/>
      </c>
      <c r="AQ5" s="218">
        <f>IF(AQ$3="","",IF(入力データ!$C$11="","",YEAR(DATE(AQ$3,12,31))-YEAR(入力データ!$C$11)-IF(DATE(AQ$3,12,31)&lt;DATE(AQ$3,MONTH(入力データ!$C$11),DAY(入力データ!$C$11)),1,0)))</f>
        <v/>
      </c>
      <c r="AR5" s="218">
        <f>IF(AR$3="","",IF(入力データ!$C$11="","",YEAR(DATE(AR$3,12,31))-YEAR(入力データ!$C$11)-IF(DATE(AR$3,12,31)&lt;DATE(AR$3,MONTH(入力データ!$C$11),DAY(入力データ!$C$11)),1,0)))</f>
        <v/>
      </c>
      <c r="AS5" s="218">
        <f>IF(AS$3="","",IF(入力データ!$C$11="","",YEAR(DATE(AS$3,12,31))-YEAR(入力データ!$C$11)-IF(DATE(AS$3,12,31)&lt;DATE(AS$3,MONTH(入力データ!$C$11),DAY(入力データ!$C$11)),1,0)))</f>
        <v/>
      </c>
      <c r="AT5" s="218">
        <f>IF(AT$3="","",IF(入力データ!$C$11="","",YEAR(DATE(AT$3,12,31))-YEAR(入力データ!$C$11)-IF(DATE(AT$3,12,31)&lt;DATE(AT$3,MONTH(入力データ!$C$11),DAY(入力データ!$C$11)),1,0)))</f>
        <v/>
      </c>
      <c r="AU5" s="218">
        <f>IF(AU$3="","",IF(入力データ!$C$11="","",YEAR(DATE(AU$3,12,31))-YEAR(入力データ!$C$11)-IF(DATE(AU$3,12,31)&lt;DATE(AU$3,MONTH(入力データ!$C$11),DAY(入力データ!$C$11)),1,0)))</f>
        <v/>
      </c>
      <c r="AV5" s="218">
        <f>IF(AV$3="","",IF(入力データ!$C$11="","",YEAR(DATE(AV$3,12,31))-YEAR(入力データ!$C$11)-IF(DATE(AV$3,12,31)&lt;DATE(AV$3,MONTH(入力データ!$C$11),DAY(入力データ!$C$11)),1,0)))</f>
        <v/>
      </c>
      <c r="AW5" s="218">
        <f>IF(AW$3="","",IF(入力データ!$C$11="","",YEAR(DATE(AW$3,12,31))-YEAR(入力データ!$C$11)-IF(DATE(AW$3,12,31)&lt;DATE(AW$3,MONTH(入力データ!$C$11),DAY(入力データ!$C$11)),1,0)))</f>
        <v/>
      </c>
      <c r="AX5" s="218">
        <f>IF(AX$3="","",IF(入力データ!$C$11="","",YEAR(DATE(AX$3,12,31))-YEAR(入力データ!$C$11)-IF(DATE(AX$3,12,31)&lt;DATE(AX$3,MONTH(入力データ!$C$11),DAY(入力データ!$C$11)),1,0)))</f>
        <v/>
      </c>
      <c r="AY5" s="218">
        <f>IF(AY$3="","",IF(入力データ!$C$11="","",YEAR(DATE(AY$3,12,31))-YEAR(入力データ!$C$11)-IF(DATE(AY$3,12,31)&lt;DATE(AY$3,MONTH(入力データ!$C$11),DAY(入力データ!$C$11)),1,0)))</f>
        <v/>
      </c>
      <c r="AZ5" s="218">
        <f>IF(AZ$3="","",IF(入力データ!$C$11="","",YEAR(DATE(AZ$3,12,31))-YEAR(入力データ!$C$11)-IF(DATE(AZ$3,12,31)&lt;DATE(AZ$3,MONTH(入力データ!$C$11),DAY(入力データ!$C$11)),1,0)))</f>
        <v/>
      </c>
      <c r="BA5" s="218">
        <f>IF(BA$3="","",IF(入力データ!$C$11="","",YEAR(DATE(BA$3,12,31))-YEAR(入力データ!$C$11)-IF(DATE(BA$3,12,31)&lt;DATE(BA$3,MONTH(入力データ!$C$11),DAY(入力データ!$C$11)),1,0)))</f>
        <v/>
      </c>
      <c r="BB5" s="218">
        <f>IF(BB$3="","",IF(入力データ!$C$11="","",YEAR(DATE(BB$3,12,31))-YEAR(入力データ!$C$11)-IF(DATE(BB$3,12,31)&lt;DATE(BB$3,MONTH(入力データ!$C$11),DAY(入力データ!$C$11)),1,0)))</f>
        <v/>
      </c>
      <c r="BC5" s="218">
        <f>IF(BC$3="","",IF(入力データ!$C$11="","",YEAR(DATE(BC$3,12,31))-YEAR(入力データ!$C$11)-IF(DATE(BC$3,12,31)&lt;DATE(BC$3,MONTH(入力データ!$C$11),DAY(入力データ!$C$11)),1,0)))</f>
        <v/>
      </c>
      <c r="BD5" s="218">
        <f>IF(BD$3="","",IF(入力データ!$C$11="","",YEAR(DATE(BD$3,12,31))-YEAR(入力データ!$C$11)-IF(DATE(BD$3,12,31)&lt;DATE(BD$3,MONTH(入力データ!$C$11),DAY(入力データ!$C$11)),1,0)))</f>
        <v/>
      </c>
      <c r="BE5" s="218">
        <f>IF(BE$3="","",IF(入力データ!$C$11="","",YEAR(DATE(BE$3,12,31))-YEAR(入力データ!$C$11)-IF(DATE(BE$3,12,31)&lt;DATE(BE$3,MONTH(入力データ!$C$11),DAY(入力データ!$C$11)),1,0)))</f>
        <v/>
      </c>
      <c r="BF5" s="218">
        <f>IF(BF$3="","",IF(入力データ!$C$11="","",YEAR(DATE(BF$3,12,31))-YEAR(入力データ!$C$11)-IF(DATE(BF$3,12,31)&lt;DATE(BF$3,MONTH(入力データ!$C$11),DAY(入力データ!$C$11)),1,0)))</f>
        <v/>
      </c>
      <c r="BG5" s="218">
        <f>IF(BG$3="","",IF(入力データ!$C$11="","",YEAR(DATE(BG$3,12,31))-YEAR(入力データ!$C$11)-IF(DATE(BG$3,12,31)&lt;DATE(BG$3,MONTH(入力データ!$C$11),DAY(入力データ!$C$11)),1,0)))</f>
        <v/>
      </c>
      <c r="BH5" s="218">
        <f>IF(BH$3="","",IF(入力データ!$C$11="","",YEAR(DATE(BH$3,12,31))-YEAR(入力データ!$C$11)-IF(DATE(BH$3,12,31)&lt;DATE(BH$3,MONTH(入力データ!$C$11),DAY(入力データ!$C$11)),1,0)))</f>
        <v/>
      </c>
      <c r="BI5" s="218">
        <f>IF(BI$3="","",IF(入力データ!$C$11="","",YEAR(DATE(BI$3,12,31))-YEAR(入力データ!$C$11)-IF(DATE(BI$3,12,31)&lt;DATE(BI$3,MONTH(入力データ!$C$11),DAY(入力データ!$C$11)),1,0)))</f>
        <v/>
      </c>
      <c r="BJ5" s="218">
        <f>IF(BJ$3="","",IF(入力データ!$C$11="","",YEAR(DATE(BJ$3,12,31))-YEAR(入力データ!$C$11)-IF(DATE(BJ$3,12,31)&lt;DATE(BJ$3,MONTH(入力データ!$C$11),DAY(入力データ!$C$11)),1,0)))</f>
        <v/>
      </c>
      <c r="BK5" s="218">
        <f>IF(BK$3="","",IF(入力データ!$C$11="","",YEAR(DATE(BK$3,12,31))-YEAR(入力データ!$C$11)-IF(DATE(BK$3,12,31)&lt;DATE(BK$3,MONTH(入力データ!$C$11),DAY(入力データ!$C$11)),1,0)))</f>
        <v/>
      </c>
      <c r="BL5" s="218">
        <f>IF(BL$3="","",IF(入力データ!$C$11="","",YEAR(DATE(BL$3,12,31))-YEAR(入力データ!$C$11)-IF(DATE(BL$3,12,31)&lt;DATE(BL$3,MONTH(入力データ!$C$11),DAY(入力データ!$C$11)),1,0)))</f>
        <v/>
      </c>
      <c r="BM5" s="218">
        <f>IF(BM$3="","",IF(入力データ!$C$11="","",YEAR(DATE(BM$3,12,31))-YEAR(入力データ!$C$11)-IF(DATE(BM$3,12,31)&lt;DATE(BM$3,MONTH(入力データ!$C$11),DAY(入力データ!$C$11)),1,0)))</f>
        <v/>
      </c>
      <c r="BN5" s="218">
        <f>IF(BN$3="","",IF(入力データ!$C$11="","",YEAR(DATE(BN$3,12,31))-YEAR(入力データ!$C$11)-IF(DATE(BN$3,12,31)&lt;DATE(BN$3,MONTH(入力データ!$C$11),DAY(入力データ!$C$11)),1,0)))</f>
        <v/>
      </c>
      <c r="BO5" s="218">
        <f>IF(BO$3="","",IF(入力データ!$C$11="","",YEAR(DATE(BO$3,12,31))-YEAR(入力データ!$C$11)-IF(DATE(BO$3,12,31)&lt;DATE(BO$3,MONTH(入力データ!$C$11),DAY(入力データ!$C$11)),1,0)))</f>
        <v/>
      </c>
      <c r="BP5" s="218">
        <f>IF(BP$3="","",IF(入力データ!$C$11="","",YEAR(DATE(BP$3,12,31))-YEAR(入力データ!$C$11)-IF(DATE(BP$3,12,31)&lt;DATE(BP$3,MONTH(入力データ!$C$11),DAY(入力データ!$C$11)),1,0)))</f>
        <v/>
      </c>
      <c r="BQ5" s="218">
        <f>IF(BQ$3="","",IF(入力データ!$C$11="","",YEAR(DATE(BQ$3,12,31))-YEAR(入力データ!$C$11)-IF(DATE(BQ$3,12,31)&lt;DATE(BQ$3,MONTH(入力データ!$C$11),DAY(入力データ!$C$11)),1,0)))</f>
        <v/>
      </c>
      <c r="BR5" s="218">
        <f>IF(BR$3="","",IF(入力データ!$C$11="","",YEAR(DATE(BR$3,12,31))-YEAR(入力データ!$C$11)-IF(DATE(BR$3,12,31)&lt;DATE(BR$3,MONTH(入力データ!$C$11),DAY(入力データ!$C$11)),1,0)))</f>
        <v/>
      </c>
      <c r="BS5" s="218">
        <f>IF(BS$3="","",IF(入力データ!$C$11="","",YEAR(DATE(BS$3,12,31))-YEAR(入力データ!$C$11)-IF(DATE(BS$3,12,31)&lt;DATE(BS$3,MONTH(入力データ!$C$11),DAY(入力データ!$C$11)),1,0)))</f>
        <v/>
      </c>
      <c r="BT5" s="218">
        <f>IF(BT$3="","",IF(入力データ!$C$11="","",YEAR(DATE(BT$3,12,31))-YEAR(入力データ!$C$11)-IF(DATE(BT$3,12,31)&lt;DATE(BT$3,MONTH(入力データ!$C$11),DAY(入力データ!$C$11)),1,0)))</f>
        <v/>
      </c>
      <c r="BU5" s="218">
        <f>IF(BU$3="","",IF(入力データ!$C$11="","",YEAR(DATE(BU$3,12,31))-YEAR(入力データ!$C$11)-IF(DATE(BU$3,12,31)&lt;DATE(BU$3,MONTH(入力データ!$C$11),DAY(入力データ!$C$11)),1,0)))</f>
        <v/>
      </c>
      <c r="BV5" s="218">
        <f>IF(BV$3="","",IF(入力データ!$C$11="","",YEAR(DATE(BV$3,12,31))-YEAR(入力データ!$C$11)-IF(DATE(BV$3,12,31)&lt;DATE(BV$3,MONTH(入力データ!$C$11),DAY(入力データ!$C$11)),1,0)))</f>
        <v/>
      </c>
      <c r="BW5" s="218">
        <f>IF(BW$3="","",IF(入力データ!$C$11="","",YEAR(DATE(BW$3,12,31))-YEAR(入力データ!$C$11)-IF(DATE(BW$3,12,31)&lt;DATE(BW$3,MONTH(入力データ!$C$11),DAY(入力データ!$C$11)),1,0)))</f>
        <v/>
      </c>
      <c r="BX5" s="218">
        <f>IF(BX$3="","",IF(入力データ!$C$11="","",YEAR(DATE(BX$3,12,31))-YEAR(入力データ!$C$11)-IF(DATE(BX$3,12,31)&lt;DATE(BX$3,MONTH(入力データ!$C$11),DAY(入力データ!$C$11)),1,0)))</f>
        <v/>
      </c>
      <c r="BY5" s="218">
        <f>IF(BY$3="","",IF(入力データ!$C$11="","",YEAR(DATE(BY$3,12,31))-YEAR(入力データ!$C$11)-IF(DATE(BY$3,12,31)&lt;DATE(BY$3,MONTH(入力データ!$C$11),DAY(入力データ!$C$11)),1,0)))</f>
        <v/>
      </c>
      <c r="BZ5" s="218">
        <f>IF(BZ$3="","",IF(入力データ!$C$11="","",YEAR(DATE(BZ$3,12,31))-YEAR(入力データ!$C$11)-IF(DATE(BZ$3,12,31)&lt;DATE(BZ$3,MONTH(入力データ!$C$11),DAY(入力データ!$C$11)),1,0)))</f>
        <v/>
      </c>
      <c r="CA5" s="218">
        <f>IF(CA$3="","",IF(入力データ!$C$11="","",YEAR(DATE(CA$3,12,31))-YEAR(入力データ!$C$11)-IF(DATE(CA$3,12,31)&lt;DATE(CA$3,MONTH(入力データ!$C$11),DAY(入力データ!$C$11)),1,0)))</f>
        <v/>
      </c>
      <c r="CB5" s="218">
        <f>IF(CB$3="","",IF(入力データ!$C$11="","",YEAR(DATE(CB$3,12,31))-YEAR(入力データ!$C$11)-IF(DATE(CB$3,12,31)&lt;DATE(CB$3,MONTH(入力データ!$C$11),DAY(入力データ!$C$11)),1,0)))</f>
        <v/>
      </c>
      <c r="CC5" s="218">
        <f>IF(CC$3="","",IF(入力データ!$C$11="","",YEAR(DATE(CC$3,12,31))-YEAR(入力データ!$C$11)-IF(DATE(CC$3,12,31)&lt;DATE(CC$3,MONTH(入力データ!$C$11),DAY(入力データ!$C$11)),1,0)))</f>
        <v/>
      </c>
      <c r="CD5" s="218">
        <f>IF(CD$3="","",IF(入力データ!$C$11="","",YEAR(DATE(CD$3,12,31))-YEAR(入力データ!$C$11)-IF(DATE(CD$3,12,31)&lt;DATE(CD$3,MONTH(入力データ!$C$11),DAY(入力データ!$C$11)),1,0)))</f>
        <v/>
      </c>
      <c r="CE5" s="218">
        <f>IF(CE$3="","",IF(入力データ!$C$11="","",YEAR(DATE(CE$3,12,31))-YEAR(入力データ!$C$11)-IF(DATE(CE$3,12,31)&lt;DATE(CE$3,MONTH(入力データ!$C$11),DAY(入力データ!$C$11)),1,0)))</f>
        <v/>
      </c>
      <c r="CF5" s="218">
        <f>IF(CF$3="","",IF(入力データ!$C$11="","",YEAR(DATE(CF$3,12,31))-YEAR(入力データ!$C$11)-IF(DATE(CF$3,12,31)&lt;DATE(CF$3,MONTH(入力データ!$C$11),DAY(入力データ!$C$11)),1,0)))</f>
        <v/>
      </c>
      <c r="CG5" s="218">
        <f>IF(CG$3="","",IF(入力データ!$C$11="","",YEAR(DATE(CG$3,12,31))-YEAR(入力データ!$C$11)-IF(DATE(CG$3,12,31)&lt;DATE(CG$3,MONTH(入力データ!$C$11),DAY(入力データ!$C$11)),1,0)))</f>
        <v/>
      </c>
      <c r="CH5" s="218">
        <f>IF(CH$3="","",IF(入力データ!$C$11="","",YEAR(DATE(CH$3,12,31))-YEAR(入力データ!$C$11)-IF(DATE(CH$3,12,31)&lt;DATE(CH$3,MONTH(入力データ!$C$11),DAY(入力データ!$C$11)),1,0)))</f>
        <v/>
      </c>
      <c r="CI5" s="218">
        <f>IF(CI$3="","",IF(入力データ!$C$11="","",YEAR(DATE(CI$3,12,31))-YEAR(入力データ!$C$11)-IF(DATE(CI$3,12,31)&lt;DATE(CI$3,MONTH(入力データ!$C$11),DAY(入力データ!$C$11)),1,0)))</f>
        <v/>
      </c>
      <c r="CJ5" s="218">
        <f>IF(CJ$3="","",IF(入力データ!$C$11="","",YEAR(DATE(CJ$3,12,31))-YEAR(入力データ!$C$11)-IF(DATE(CJ$3,12,31)&lt;DATE(CJ$3,MONTH(入力データ!$C$11),DAY(入力データ!$C$11)),1,0)))</f>
        <v/>
      </c>
      <c r="CK5" s="218">
        <f>IF(CK$3="","",IF(入力データ!$C$11="","",YEAR(DATE(CK$3,12,31))-YEAR(入力データ!$C$11)-IF(DATE(CK$3,12,31)&lt;DATE(CK$3,MONTH(入力データ!$C$11),DAY(入力データ!$C$11)),1,0)))</f>
        <v/>
      </c>
      <c r="CL5" s="218">
        <f>IF(CL$3="","",IF(入力データ!$C$11="","",YEAR(DATE(CL$3,12,31))-YEAR(入力データ!$C$11)-IF(DATE(CL$3,12,31)&lt;DATE(CL$3,MONTH(入力データ!$C$11),DAY(入力データ!$C$11)),1,0)))</f>
        <v/>
      </c>
      <c r="CM5" s="218">
        <f>IF(CM$3="","",IF(入力データ!$C$11="","",YEAR(DATE(CM$3,12,31))-YEAR(入力データ!$C$11)-IF(DATE(CM$3,12,31)&lt;DATE(CM$3,MONTH(入力データ!$C$11),DAY(入力データ!$C$11)),1,0)))</f>
        <v/>
      </c>
      <c r="CN5" s="218">
        <f>IF(CN$3="","",IF(入力データ!$C$11="","",YEAR(DATE(CN$3,12,31))-YEAR(入力データ!$C$11)-IF(DATE(CN$3,12,31)&lt;DATE(CN$3,MONTH(入力データ!$C$11),DAY(入力データ!$C$11)),1,0)))</f>
        <v/>
      </c>
      <c r="CO5" s="218">
        <f>IF(CO$3="","",IF(入力データ!$C$11="","",YEAR(DATE(CO$3,12,31))-YEAR(入力データ!$C$11)-IF(DATE(CO$3,12,31)&lt;DATE(CO$3,MONTH(入力データ!$C$11),DAY(入力データ!$C$11)),1,0)))</f>
        <v/>
      </c>
      <c r="CP5" s="218">
        <f>IF(CP$3="","",IF(入力データ!$C$11="","",YEAR(DATE(CP$3,12,31))-YEAR(入力データ!$C$11)-IF(DATE(CP$3,12,31)&lt;DATE(CP$3,MONTH(入力データ!$C$11),DAY(入力データ!$C$11)),1,0)))</f>
        <v/>
      </c>
      <c r="CQ5" s="218">
        <f>IF(CQ$3="","",IF(入力データ!$C$11="","",YEAR(DATE(CQ$3,12,31))-YEAR(入力データ!$C$11)-IF(DATE(CQ$3,12,31)&lt;DATE(CQ$3,MONTH(入力データ!$C$11),DAY(入力データ!$C$11)),1,0)))</f>
        <v/>
      </c>
      <c r="CR5" s="218">
        <f>IF(CR$3="","",IF(入力データ!$C$11="","",YEAR(DATE(CR$3,12,31))-YEAR(入力データ!$C$11)-IF(DATE(CR$3,12,31)&lt;DATE(CR$3,MONTH(入力データ!$C$11),DAY(入力データ!$C$11)),1,0)))</f>
        <v/>
      </c>
      <c r="CS5" s="218">
        <f>IF(CS$3="","",IF(入力データ!$C$11="","",YEAR(DATE(CS$3,12,31))-YEAR(入力データ!$C$11)-IF(DATE(CS$3,12,31)&lt;DATE(CS$3,MONTH(入力データ!$C$11),DAY(入力データ!$C$11)),1,0)))</f>
        <v/>
      </c>
      <c r="CT5" s="218">
        <f>IF(CT$3="","",IF(入力データ!$C$11="","",YEAR(DATE(CT$3,12,31))-YEAR(入力データ!$C$11)-IF(DATE(CT$3,12,31)&lt;DATE(CT$3,MONTH(入力データ!$C$11),DAY(入力データ!$C$11)),1,0)))</f>
        <v/>
      </c>
      <c r="CU5" s="218">
        <f>IF(CU$3="","",IF(入力データ!$C$11="","",YEAR(DATE(CU$3,12,31))-YEAR(入力データ!$C$11)-IF(DATE(CU$3,12,31)&lt;DATE(CU$3,MONTH(入力データ!$C$11),DAY(入力データ!$C$11)),1,0)))</f>
        <v/>
      </c>
      <c r="CV5" s="218">
        <f>IF(CV$3="","",IF(入力データ!$C$11="","",YEAR(DATE(CV$3,12,31))-YEAR(入力データ!$C$11)-IF(DATE(CV$3,12,31)&lt;DATE(CV$3,MONTH(入力データ!$C$11),DAY(入力データ!$C$11)),1,0)))</f>
        <v/>
      </c>
      <c r="CW5" s="218">
        <f>IF(CW$3="","",IF(入力データ!$C$11="","",YEAR(DATE(CW$3,12,31))-YEAR(入力データ!$C$11)-IF(DATE(CW$3,12,31)&lt;DATE(CW$3,MONTH(入力データ!$C$11),DAY(入力データ!$C$11)),1,0)))</f>
        <v/>
      </c>
    </row>
    <row r="6" ht="16.5" customHeight="1" s="180">
      <c r="A6" s="217" t="inlineStr">
        <is>
          <t>子1年齢</t>
        </is>
      </c>
      <c r="B6" s="218">
        <f>IF(B$3="","",IF(入力データ!$C$19="","",YEAR(DATE(B$3,12,31))-YEAR(入力データ!$C$19)-IF(DATE(B$3,12,31)&lt;DATE(B$3,MONTH(入力データ!$C$19),DAY(入力データ!$C$19)),1,0)))</f>
        <v/>
      </c>
      <c r="C6" s="218">
        <f>IF(C$3="","",IF(入力データ!$C$19="","",YEAR(DATE(C$3,12,31))-YEAR(入力データ!$C$19)-IF(DATE(C$3,12,31)&lt;DATE(C$3,MONTH(入力データ!$C$19),DAY(入力データ!$C$19)),1,0)))</f>
        <v/>
      </c>
      <c r="D6" s="218">
        <f>IF(D$3="","",IF(入力データ!$C$19="","",YEAR(DATE(D$3,12,31))-YEAR(入力データ!$C$19)-IF(DATE(D$3,12,31)&lt;DATE(D$3,MONTH(入力データ!$C$19),DAY(入力データ!$C$19)),1,0)))</f>
        <v/>
      </c>
      <c r="E6" s="218">
        <f>IF(E$3="","",IF(入力データ!$C$19="","",YEAR(DATE(E$3,12,31))-YEAR(入力データ!$C$19)-IF(DATE(E$3,12,31)&lt;DATE(E$3,MONTH(入力データ!$C$19),DAY(入力データ!$C$19)),1,0)))</f>
        <v/>
      </c>
      <c r="F6" s="218">
        <f>IF(F$3="","",IF(入力データ!$C$19="","",YEAR(DATE(F$3,12,31))-YEAR(入力データ!$C$19)-IF(DATE(F$3,12,31)&lt;DATE(F$3,MONTH(入力データ!$C$19),DAY(入力データ!$C$19)),1,0)))</f>
        <v/>
      </c>
      <c r="G6" s="218">
        <f>IF(G$3="","",IF(入力データ!$C$19="","",YEAR(DATE(G$3,12,31))-YEAR(入力データ!$C$19)-IF(DATE(G$3,12,31)&lt;DATE(G$3,MONTH(入力データ!$C$19),DAY(入力データ!$C$19)),1,0)))</f>
        <v/>
      </c>
      <c r="H6" s="218">
        <f>IF(H$3="","",IF(入力データ!$C$19="","",YEAR(DATE(H$3,12,31))-YEAR(入力データ!$C$19)-IF(DATE(H$3,12,31)&lt;DATE(H$3,MONTH(入力データ!$C$19),DAY(入力データ!$C$19)),1,0)))</f>
        <v/>
      </c>
      <c r="I6" s="218">
        <f>IF(I$3="","",IF(入力データ!$C$19="","",YEAR(DATE(I$3,12,31))-YEAR(入力データ!$C$19)-IF(DATE(I$3,12,31)&lt;DATE(I$3,MONTH(入力データ!$C$19),DAY(入力データ!$C$19)),1,0)))</f>
        <v/>
      </c>
      <c r="J6" s="218">
        <f>IF(J$3="","",IF(入力データ!$C$19="","",YEAR(DATE(J$3,12,31))-YEAR(入力データ!$C$19)-IF(DATE(J$3,12,31)&lt;DATE(J$3,MONTH(入力データ!$C$19),DAY(入力データ!$C$19)),1,0)))</f>
        <v/>
      </c>
      <c r="K6" s="218">
        <f>IF(K$3="","",IF(入力データ!$C$19="","",YEAR(DATE(K$3,12,31))-YEAR(入力データ!$C$19)-IF(DATE(K$3,12,31)&lt;DATE(K$3,MONTH(入力データ!$C$19),DAY(入力データ!$C$19)),1,0)))</f>
        <v/>
      </c>
      <c r="L6" s="218">
        <f>IF(L$3="","",IF(入力データ!$C$19="","",YEAR(DATE(L$3,12,31))-YEAR(入力データ!$C$19)-IF(DATE(L$3,12,31)&lt;DATE(L$3,MONTH(入力データ!$C$19),DAY(入力データ!$C$19)),1,0)))</f>
        <v/>
      </c>
      <c r="M6" s="218">
        <f>IF(M$3="","",IF(入力データ!$C$19="","",YEAR(DATE(M$3,12,31))-YEAR(入力データ!$C$19)-IF(DATE(M$3,12,31)&lt;DATE(M$3,MONTH(入力データ!$C$19),DAY(入力データ!$C$19)),1,0)))</f>
        <v/>
      </c>
      <c r="N6" s="218">
        <f>IF(N$3="","",IF(入力データ!$C$19="","",YEAR(DATE(N$3,12,31))-YEAR(入力データ!$C$19)-IF(DATE(N$3,12,31)&lt;DATE(N$3,MONTH(入力データ!$C$19),DAY(入力データ!$C$19)),1,0)))</f>
        <v/>
      </c>
      <c r="O6" s="218">
        <f>IF(O$3="","",IF(入力データ!$C$19="","",YEAR(DATE(O$3,12,31))-YEAR(入力データ!$C$19)-IF(DATE(O$3,12,31)&lt;DATE(O$3,MONTH(入力データ!$C$19),DAY(入力データ!$C$19)),1,0)))</f>
        <v/>
      </c>
      <c r="P6" s="218">
        <f>IF(P$3="","",IF(入力データ!$C$19="","",YEAR(DATE(P$3,12,31))-YEAR(入力データ!$C$19)-IF(DATE(P$3,12,31)&lt;DATE(P$3,MONTH(入力データ!$C$19),DAY(入力データ!$C$19)),1,0)))</f>
        <v/>
      </c>
      <c r="Q6" s="218">
        <f>IF(Q$3="","",IF(入力データ!$C$19="","",YEAR(DATE(Q$3,12,31))-YEAR(入力データ!$C$19)-IF(DATE(Q$3,12,31)&lt;DATE(Q$3,MONTH(入力データ!$C$19),DAY(入力データ!$C$19)),1,0)))</f>
        <v/>
      </c>
      <c r="R6" s="218">
        <f>IF(R$3="","",IF(入力データ!$C$19="","",YEAR(DATE(R$3,12,31))-YEAR(入力データ!$C$19)-IF(DATE(R$3,12,31)&lt;DATE(R$3,MONTH(入力データ!$C$19),DAY(入力データ!$C$19)),1,0)))</f>
        <v/>
      </c>
      <c r="S6" s="218">
        <f>IF(S$3="","",IF(入力データ!$C$19="","",YEAR(DATE(S$3,12,31))-YEAR(入力データ!$C$19)-IF(DATE(S$3,12,31)&lt;DATE(S$3,MONTH(入力データ!$C$19),DAY(入力データ!$C$19)),1,0)))</f>
        <v/>
      </c>
      <c r="T6" s="218">
        <f>IF(T$3="","",IF(入力データ!$C$19="","",YEAR(DATE(T$3,12,31))-YEAR(入力データ!$C$19)-IF(DATE(T$3,12,31)&lt;DATE(T$3,MONTH(入力データ!$C$19),DAY(入力データ!$C$19)),1,0)))</f>
        <v/>
      </c>
      <c r="U6" s="218">
        <f>IF(U$3="","",IF(入力データ!$C$19="","",YEAR(DATE(U$3,12,31))-YEAR(入力データ!$C$19)-IF(DATE(U$3,12,31)&lt;DATE(U$3,MONTH(入力データ!$C$19),DAY(入力データ!$C$19)),1,0)))</f>
        <v/>
      </c>
      <c r="V6" s="218">
        <f>IF(V$3="","",IF(入力データ!$C$19="","",YEAR(DATE(V$3,12,31))-YEAR(入力データ!$C$19)-IF(DATE(V$3,12,31)&lt;DATE(V$3,MONTH(入力データ!$C$19),DAY(入力データ!$C$19)),1,0)))</f>
        <v/>
      </c>
      <c r="W6" s="218">
        <f>IF(W$3="","",IF(入力データ!$C$19="","",YEAR(DATE(W$3,12,31))-YEAR(入力データ!$C$19)-IF(DATE(W$3,12,31)&lt;DATE(W$3,MONTH(入力データ!$C$19),DAY(入力データ!$C$19)),1,0)))</f>
        <v/>
      </c>
      <c r="X6" s="218">
        <f>IF(X$3="","",IF(入力データ!$C$19="","",YEAR(DATE(X$3,12,31))-YEAR(入力データ!$C$19)-IF(DATE(X$3,12,31)&lt;DATE(X$3,MONTH(入力データ!$C$19),DAY(入力データ!$C$19)),1,0)))</f>
        <v/>
      </c>
      <c r="Y6" s="218">
        <f>IF(Y$3="","",IF(入力データ!$C$19="","",YEAR(DATE(Y$3,12,31))-YEAR(入力データ!$C$19)-IF(DATE(Y$3,12,31)&lt;DATE(Y$3,MONTH(入力データ!$C$19),DAY(入力データ!$C$19)),1,0)))</f>
        <v/>
      </c>
      <c r="Z6" s="218">
        <f>IF(Z$3="","",IF(入力データ!$C$19="","",YEAR(DATE(Z$3,12,31))-YEAR(入力データ!$C$19)-IF(DATE(Z$3,12,31)&lt;DATE(Z$3,MONTH(入力データ!$C$19),DAY(入力データ!$C$19)),1,0)))</f>
        <v/>
      </c>
      <c r="AA6" s="218">
        <f>IF(AA$3="","",IF(入力データ!$C$19="","",YEAR(DATE(AA$3,12,31))-YEAR(入力データ!$C$19)-IF(DATE(AA$3,12,31)&lt;DATE(AA$3,MONTH(入力データ!$C$19),DAY(入力データ!$C$19)),1,0)))</f>
        <v/>
      </c>
      <c r="AB6" s="218">
        <f>IF(AB$3="","",IF(入力データ!$C$19="","",YEAR(DATE(AB$3,12,31))-YEAR(入力データ!$C$19)-IF(DATE(AB$3,12,31)&lt;DATE(AB$3,MONTH(入力データ!$C$19),DAY(入力データ!$C$19)),1,0)))</f>
        <v/>
      </c>
      <c r="AC6" s="218">
        <f>IF(AC$3="","",IF(入力データ!$C$19="","",YEAR(DATE(AC$3,12,31))-YEAR(入力データ!$C$19)-IF(DATE(AC$3,12,31)&lt;DATE(AC$3,MONTH(入力データ!$C$19),DAY(入力データ!$C$19)),1,0)))</f>
        <v/>
      </c>
      <c r="AD6" s="218">
        <f>IF(AD$3="","",IF(入力データ!$C$19="","",YEAR(DATE(AD$3,12,31))-YEAR(入力データ!$C$19)-IF(DATE(AD$3,12,31)&lt;DATE(AD$3,MONTH(入力データ!$C$19),DAY(入力データ!$C$19)),1,0)))</f>
        <v/>
      </c>
      <c r="AE6" s="218">
        <f>IF(AE$3="","",IF(入力データ!$C$19="","",YEAR(DATE(AE$3,12,31))-YEAR(入力データ!$C$19)-IF(DATE(AE$3,12,31)&lt;DATE(AE$3,MONTH(入力データ!$C$19),DAY(入力データ!$C$19)),1,0)))</f>
        <v/>
      </c>
      <c r="AF6" s="218">
        <f>IF(AF$3="","",IF(入力データ!$C$19="","",YEAR(DATE(AF$3,12,31))-YEAR(入力データ!$C$19)-IF(DATE(AF$3,12,31)&lt;DATE(AF$3,MONTH(入力データ!$C$19),DAY(入力データ!$C$19)),1,0)))</f>
        <v/>
      </c>
      <c r="AG6" s="218">
        <f>IF(AG$3="","",IF(入力データ!$C$19="","",YEAR(DATE(AG$3,12,31))-YEAR(入力データ!$C$19)-IF(DATE(AG$3,12,31)&lt;DATE(AG$3,MONTH(入力データ!$C$19),DAY(入力データ!$C$19)),1,0)))</f>
        <v/>
      </c>
      <c r="AH6" s="218">
        <f>IF(AH$3="","",IF(入力データ!$C$19="","",YEAR(DATE(AH$3,12,31))-YEAR(入力データ!$C$19)-IF(DATE(AH$3,12,31)&lt;DATE(AH$3,MONTH(入力データ!$C$19),DAY(入力データ!$C$19)),1,0)))</f>
        <v/>
      </c>
      <c r="AI6" s="218">
        <f>IF(AI$3="","",IF(入力データ!$C$19="","",YEAR(DATE(AI$3,12,31))-YEAR(入力データ!$C$19)-IF(DATE(AI$3,12,31)&lt;DATE(AI$3,MONTH(入力データ!$C$19),DAY(入力データ!$C$19)),1,0)))</f>
        <v/>
      </c>
      <c r="AJ6" s="218">
        <f>IF(AJ$3="","",IF(入力データ!$C$19="","",YEAR(DATE(AJ$3,12,31))-YEAR(入力データ!$C$19)-IF(DATE(AJ$3,12,31)&lt;DATE(AJ$3,MONTH(入力データ!$C$19),DAY(入力データ!$C$19)),1,0)))</f>
        <v/>
      </c>
      <c r="AK6" s="218">
        <f>IF(AK$3="","",IF(入力データ!$C$19="","",YEAR(DATE(AK$3,12,31))-YEAR(入力データ!$C$19)-IF(DATE(AK$3,12,31)&lt;DATE(AK$3,MONTH(入力データ!$C$19),DAY(入力データ!$C$19)),1,0)))</f>
        <v/>
      </c>
      <c r="AL6" s="218">
        <f>IF(AL$3="","",IF(入力データ!$C$19="","",YEAR(DATE(AL$3,12,31))-YEAR(入力データ!$C$19)-IF(DATE(AL$3,12,31)&lt;DATE(AL$3,MONTH(入力データ!$C$19),DAY(入力データ!$C$19)),1,0)))</f>
        <v/>
      </c>
      <c r="AM6" s="218">
        <f>IF(AM$3="","",IF(入力データ!$C$19="","",YEAR(DATE(AM$3,12,31))-YEAR(入力データ!$C$19)-IF(DATE(AM$3,12,31)&lt;DATE(AM$3,MONTH(入力データ!$C$19),DAY(入力データ!$C$19)),1,0)))</f>
        <v/>
      </c>
      <c r="AN6" s="218">
        <f>IF(AN$3="","",IF(入力データ!$C$19="","",YEAR(DATE(AN$3,12,31))-YEAR(入力データ!$C$19)-IF(DATE(AN$3,12,31)&lt;DATE(AN$3,MONTH(入力データ!$C$19),DAY(入力データ!$C$19)),1,0)))</f>
        <v/>
      </c>
      <c r="AO6" s="218">
        <f>IF(AO$3="","",IF(入力データ!$C$19="","",YEAR(DATE(AO$3,12,31))-YEAR(入力データ!$C$19)-IF(DATE(AO$3,12,31)&lt;DATE(AO$3,MONTH(入力データ!$C$19),DAY(入力データ!$C$19)),1,0)))</f>
        <v/>
      </c>
      <c r="AP6" s="218">
        <f>IF(AP$3="","",IF(入力データ!$C$19="","",YEAR(DATE(AP$3,12,31))-YEAR(入力データ!$C$19)-IF(DATE(AP$3,12,31)&lt;DATE(AP$3,MONTH(入力データ!$C$19),DAY(入力データ!$C$19)),1,0)))</f>
        <v/>
      </c>
      <c r="AQ6" s="218">
        <f>IF(AQ$3="","",IF(入力データ!$C$19="","",YEAR(DATE(AQ$3,12,31))-YEAR(入力データ!$C$19)-IF(DATE(AQ$3,12,31)&lt;DATE(AQ$3,MONTH(入力データ!$C$19),DAY(入力データ!$C$19)),1,0)))</f>
        <v/>
      </c>
      <c r="AR6" s="218">
        <f>IF(AR$3="","",IF(入力データ!$C$19="","",YEAR(DATE(AR$3,12,31))-YEAR(入力データ!$C$19)-IF(DATE(AR$3,12,31)&lt;DATE(AR$3,MONTH(入力データ!$C$19),DAY(入力データ!$C$19)),1,0)))</f>
        <v/>
      </c>
      <c r="AS6" s="218">
        <f>IF(AS$3="","",IF(入力データ!$C$19="","",YEAR(DATE(AS$3,12,31))-YEAR(入力データ!$C$19)-IF(DATE(AS$3,12,31)&lt;DATE(AS$3,MONTH(入力データ!$C$19),DAY(入力データ!$C$19)),1,0)))</f>
        <v/>
      </c>
      <c r="AT6" s="218">
        <f>IF(AT$3="","",IF(入力データ!$C$19="","",YEAR(DATE(AT$3,12,31))-YEAR(入力データ!$C$19)-IF(DATE(AT$3,12,31)&lt;DATE(AT$3,MONTH(入力データ!$C$19),DAY(入力データ!$C$19)),1,0)))</f>
        <v/>
      </c>
      <c r="AU6" s="218">
        <f>IF(AU$3="","",IF(入力データ!$C$19="","",YEAR(DATE(AU$3,12,31))-YEAR(入力データ!$C$19)-IF(DATE(AU$3,12,31)&lt;DATE(AU$3,MONTH(入力データ!$C$19),DAY(入力データ!$C$19)),1,0)))</f>
        <v/>
      </c>
      <c r="AV6" s="218">
        <f>IF(AV$3="","",IF(入力データ!$C$19="","",YEAR(DATE(AV$3,12,31))-YEAR(入力データ!$C$19)-IF(DATE(AV$3,12,31)&lt;DATE(AV$3,MONTH(入力データ!$C$19),DAY(入力データ!$C$19)),1,0)))</f>
        <v/>
      </c>
      <c r="AW6" s="218">
        <f>IF(AW$3="","",IF(入力データ!$C$19="","",YEAR(DATE(AW$3,12,31))-YEAR(入力データ!$C$19)-IF(DATE(AW$3,12,31)&lt;DATE(AW$3,MONTH(入力データ!$C$19),DAY(入力データ!$C$19)),1,0)))</f>
        <v/>
      </c>
      <c r="AX6" s="218">
        <f>IF(AX$3="","",IF(入力データ!$C$19="","",YEAR(DATE(AX$3,12,31))-YEAR(入力データ!$C$19)-IF(DATE(AX$3,12,31)&lt;DATE(AX$3,MONTH(入力データ!$C$19),DAY(入力データ!$C$19)),1,0)))</f>
        <v/>
      </c>
      <c r="AY6" s="218">
        <f>IF(AY$3="","",IF(入力データ!$C$19="","",YEAR(DATE(AY$3,12,31))-YEAR(入力データ!$C$19)-IF(DATE(AY$3,12,31)&lt;DATE(AY$3,MONTH(入力データ!$C$19),DAY(入力データ!$C$19)),1,0)))</f>
        <v/>
      </c>
      <c r="AZ6" s="218">
        <f>IF(AZ$3="","",IF(入力データ!$C$19="","",YEAR(DATE(AZ$3,12,31))-YEAR(入力データ!$C$19)-IF(DATE(AZ$3,12,31)&lt;DATE(AZ$3,MONTH(入力データ!$C$19),DAY(入力データ!$C$19)),1,0)))</f>
        <v/>
      </c>
      <c r="BA6" s="218">
        <f>IF(BA$3="","",IF(入力データ!$C$19="","",YEAR(DATE(BA$3,12,31))-YEAR(入力データ!$C$19)-IF(DATE(BA$3,12,31)&lt;DATE(BA$3,MONTH(入力データ!$C$19),DAY(入力データ!$C$19)),1,0)))</f>
        <v/>
      </c>
      <c r="BB6" s="218">
        <f>IF(BB$3="","",IF(入力データ!$C$19="","",YEAR(DATE(BB$3,12,31))-YEAR(入力データ!$C$19)-IF(DATE(BB$3,12,31)&lt;DATE(BB$3,MONTH(入力データ!$C$19),DAY(入力データ!$C$19)),1,0)))</f>
        <v/>
      </c>
      <c r="BC6" s="218">
        <f>IF(BC$3="","",IF(入力データ!$C$19="","",YEAR(DATE(BC$3,12,31))-YEAR(入力データ!$C$19)-IF(DATE(BC$3,12,31)&lt;DATE(BC$3,MONTH(入力データ!$C$19),DAY(入力データ!$C$19)),1,0)))</f>
        <v/>
      </c>
      <c r="BD6" s="218">
        <f>IF(BD$3="","",IF(入力データ!$C$19="","",YEAR(DATE(BD$3,12,31))-YEAR(入力データ!$C$19)-IF(DATE(BD$3,12,31)&lt;DATE(BD$3,MONTH(入力データ!$C$19),DAY(入力データ!$C$19)),1,0)))</f>
        <v/>
      </c>
      <c r="BE6" s="218">
        <f>IF(BE$3="","",IF(入力データ!$C$19="","",YEAR(DATE(BE$3,12,31))-YEAR(入力データ!$C$19)-IF(DATE(BE$3,12,31)&lt;DATE(BE$3,MONTH(入力データ!$C$19),DAY(入力データ!$C$19)),1,0)))</f>
        <v/>
      </c>
      <c r="BF6" s="218">
        <f>IF(BF$3="","",IF(入力データ!$C$19="","",YEAR(DATE(BF$3,12,31))-YEAR(入力データ!$C$19)-IF(DATE(BF$3,12,31)&lt;DATE(BF$3,MONTH(入力データ!$C$19),DAY(入力データ!$C$19)),1,0)))</f>
        <v/>
      </c>
      <c r="BG6" s="218">
        <f>IF(BG$3="","",IF(入力データ!$C$19="","",YEAR(DATE(BG$3,12,31))-YEAR(入力データ!$C$19)-IF(DATE(BG$3,12,31)&lt;DATE(BG$3,MONTH(入力データ!$C$19),DAY(入力データ!$C$19)),1,0)))</f>
        <v/>
      </c>
      <c r="BH6" s="218">
        <f>IF(BH$3="","",IF(入力データ!$C$19="","",YEAR(DATE(BH$3,12,31))-YEAR(入力データ!$C$19)-IF(DATE(BH$3,12,31)&lt;DATE(BH$3,MONTH(入力データ!$C$19),DAY(入力データ!$C$19)),1,0)))</f>
        <v/>
      </c>
      <c r="BI6" s="218">
        <f>IF(BI$3="","",IF(入力データ!$C$19="","",YEAR(DATE(BI$3,12,31))-YEAR(入力データ!$C$19)-IF(DATE(BI$3,12,31)&lt;DATE(BI$3,MONTH(入力データ!$C$19),DAY(入力データ!$C$19)),1,0)))</f>
        <v/>
      </c>
      <c r="BJ6" s="218">
        <f>IF(BJ$3="","",IF(入力データ!$C$19="","",YEAR(DATE(BJ$3,12,31))-YEAR(入力データ!$C$19)-IF(DATE(BJ$3,12,31)&lt;DATE(BJ$3,MONTH(入力データ!$C$19),DAY(入力データ!$C$19)),1,0)))</f>
        <v/>
      </c>
      <c r="BK6" s="218">
        <f>IF(BK$3="","",IF(入力データ!$C$19="","",YEAR(DATE(BK$3,12,31))-YEAR(入力データ!$C$19)-IF(DATE(BK$3,12,31)&lt;DATE(BK$3,MONTH(入力データ!$C$19),DAY(入力データ!$C$19)),1,0)))</f>
        <v/>
      </c>
      <c r="BL6" s="218">
        <f>IF(BL$3="","",IF(入力データ!$C$19="","",YEAR(DATE(BL$3,12,31))-YEAR(入力データ!$C$19)-IF(DATE(BL$3,12,31)&lt;DATE(BL$3,MONTH(入力データ!$C$19),DAY(入力データ!$C$19)),1,0)))</f>
        <v/>
      </c>
      <c r="BM6" s="218">
        <f>IF(BM$3="","",IF(入力データ!$C$19="","",YEAR(DATE(BM$3,12,31))-YEAR(入力データ!$C$19)-IF(DATE(BM$3,12,31)&lt;DATE(BM$3,MONTH(入力データ!$C$19),DAY(入力データ!$C$19)),1,0)))</f>
        <v/>
      </c>
      <c r="BN6" s="218">
        <f>IF(BN$3="","",IF(入力データ!$C$19="","",YEAR(DATE(BN$3,12,31))-YEAR(入力データ!$C$19)-IF(DATE(BN$3,12,31)&lt;DATE(BN$3,MONTH(入力データ!$C$19),DAY(入力データ!$C$19)),1,0)))</f>
        <v/>
      </c>
      <c r="BO6" s="218">
        <f>IF(BO$3="","",IF(入力データ!$C$19="","",YEAR(DATE(BO$3,12,31))-YEAR(入力データ!$C$19)-IF(DATE(BO$3,12,31)&lt;DATE(BO$3,MONTH(入力データ!$C$19),DAY(入力データ!$C$19)),1,0)))</f>
        <v/>
      </c>
      <c r="BP6" s="218">
        <f>IF(BP$3="","",IF(入力データ!$C$19="","",YEAR(DATE(BP$3,12,31))-YEAR(入力データ!$C$19)-IF(DATE(BP$3,12,31)&lt;DATE(BP$3,MONTH(入力データ!$C$19),DAY(入力データ!$C$19)),1,0)))</f>
        <v/>
      </c>
      <c r="BQ6" s="218">
        <f>IF(BQ$3="","",IF(入力データ!$C$19="","",YEAR(DATE(BQ$3,12,31))-YEAR(入力データ!$C$19)-IF(DATE(BQ$3,12,31)&lt;DATE(BQ$3,MONTH(入力データ!$C$19),DAY(入力データ!$C$19)),1,0)))</f>
        <v/>
      </c>
      <c r="BR6" s="218">
        <f>IF(BR$3="","",IF(入力データ!$C$19="","",YEAR(DATE(BR$3,12,31))-YEAR(入力データ!$C$19)-IF(DATE(BR$3,12,31)&lt;DATE(BR$3,MONTH(入力データ!$C$19),DAY(入力データ!$C$19)),1,0)))</f>
        <v/>
      </c>
      <c r="BS6" s="218">
        <f>IF(BS$3="","",IF(入力データ!$C$19="","",YEAR(DATE(BS$3,12,31))-YEAR(入力データ!$C$19)-IF(DATE(BS$3,12,31)&lt;DATE(BS$3,MONTH(入力データ!$C$19),DAY(入力データ!$C$19)),1,0)))</f>
        <v/>
      </c>
      <c r="BT6" s="218">
        <f>IF(BT$3="","",IF(入力データ!$C$19="","",YEAR(DATE(BT$3,12,31))-YEAR(入力データ!$C$19)-IF(DATE(BT$3,12,31)&lt;DATE(BT$3,MONTH(入力データ!$C$19),DAY(入力データ!$C$19)),1,0)))</f>
        <v/>
      </c>
      <c r="BU6" s="218">
        <f>IF(BU$3="","",IF(入力データ!$C$19="","",YEAR(DATE(BU$3,12,31))-YEAR(入力データ!$C$19)-IF(DATE(BU$3,12,31)&lt;DATE(BU$3,MONTH(入力データ!$C$19),DAY(入力データ!$C$19)),1,0)))</f>
        <v/>
      </c>
      <c r="BV6" s="218">
        <f>IF(BV$3="","",IF(入力データ!$C$19="","",YEAR(DATE(BV$3,12,31))-YEAR(入力データ!$C$19)-IF(DATE(BV$3,12,31)&lt;DATE(BV$3,MONTH(入力データ!$C$19),DAY(入力データ!$C$19)),1,0)))</f>
        <v/>
      </c>
      <c r="BW6" s="218">
        <f>IF(BW$3="","",IF(入力データ!$C$19="","",YEAR(DATE(BW$3,12,31))-YEAR(入力データ!$C$19)-IF(DATE(BW$3,12,31)&lt;DATE(BW$3,MONTH(入力データ!$C$19),DAY(入力データ!$C$19)),1,0)))</f>
        <v/>
      </c>
      <c r="BX6" s="218">
        <f>IF(BX$3="","",IF(入力データ!$C$19="","",YEAR(DATE(BX$3,12,31))-YEAR(入力データ!$C$19)-IF(DATE(BX$3,12,31)&lt;DATE(BX$3,MONTH(入力データ!$C$19),DAY(入力データ!$C$19)),1,0)))</f>
        <v/>
      </c>
      <c r="BY6" s="218">
        <f>IF(BY$3="","",IF(入力データ!$C$19="","",YEAR(DATE(BY$3,12,31))-YEAR(入力データ!$C$19)-IF(DATE(BY$3,12,31)&lt;DATE(BY$3,MONTH(入力データ!$C$19),DAY(入力データ!$C$19)),1,0)))</f>
        <v/>
      </c>
      <c r="BZ6" s="218">
        <f>IF(BZ$3="","",IF(入力データ!$C$19="","",YEAR(DATE(BZ$3,12,31))-YEAR(入力データ!$C$19)-IF(DATE(BZ$3,12,31)&lt;DATE(BZ$3,MONTH(入力データ!$C$19),DAY(入力データ!$C$19)),1,0)))</f>
        <v/>
      </c>
      <c r="CA6" s="218">
        <f>IF(CA$3="","",IF(入力データ!$C$19="","",YEAR(DATE(CA$3,12,31))-YEAR(入力データ!$C$19)-IF(DATE(CA$3,12,31)&lt;DATE(CA$3,MONTH(入力データ!$C$19),DAY(入力データ!$C$19)),1,0)))</f>
        <v/>
      </c>
      <c r="CB6" s="218">
        <f>IF(CB$3="","",IF(入力データ!$C$19="","",YEAR(DATE(CB$3,12,31))-YEAR(入力データ!$C$19)-IF(DATE(CB$3,12,31)&lt;DATE(CB$3,MONTH(入力データ!$C$19),DAY(入力データ!$C$19)),1,0)))</f>
        <v/>
      </c>
      <c r="CC6" s="218">
        <f>IF(CC$3="","",IF(入力データ!$C$19="","",YEAR(DATE(CC$3,12,31))-YEAR(入力データ!$C$19)-IF(DATE(CC$3,12,31)&lt;DATE(CC$3,MONTH(入力データ!$C$19),DAY(入力データ!$C$19)),1,0)))</f>
        <v/>
      </c>
      <c r="CD6" s="218">
        <f>IF(CD$3="","",IF(入力データ!$C$19="","",YEAR(DATE(CD$3,12,31))-YEAR(入力データ!$C$19)-IF(DATE(CD$3,12,31)&lt;DATE(CD$3,MONTH(入力データ!$C$19),DAY(入力データ!$C$19)),1,0)))</f>
        <v/>
      </c>
      <c r="CE6" s="218">
        <f>IF(CE$3="","",IF(入力データ!$C$19="","",YEAR(DATE(CE$3,12,31))-YEAR(入力データ!$C$19)-IF(DATE(CE$3,12,31)&lt;DATE(CE$3,MONTH(入力データ!$C$19),DAY(入力データ!$C$19)),1,0)))</f>
        <v/>
      </c>
      <c r="CF6" s="218">
        <f>IF(CF$3="","",IF(入力データ!$C$19="","",YEAR(DATE(CF$3,12,31))-YEAR(入力データ!$C$19)-IF(DATE(CF$3,12,31)&lt;DATE(CF$3,MONTH(入力データ!$C$19),DAY(入力データ!$C$19)),1,0)))</f>
        <v/>
      </c>
      <c r="CG6" s="218">
        <f>IF(CG$3="","",IF(入力データ!$C$19="","",YEAR(DATE(CG$3,12,31))-YEAR(入力データ!$C$19)-IF(DATE(CG$3,12,31)&lt;DATE(CG$3,MONTH(入力データ!$C$19),DAY(入力データ!$C$19)),1,0)))</f>
        <v/>
      </c>
      <c r="CH6" s="218">
        <f>IF(CH$3="","",IF(入力データ!$C$19="","",YEAR(DATE(CH$3,12,31))-YEAR(入力データ!$C$19)-IF(DATE(CH$3,12,31)&lt;DATE(CH$3,MONTH(入力データ!$C$19),DAY(入力データ!$C$19)),1,0)))</f>
        <v/>
      </c>
      <c r="CI6" s="218">
        <f>IF(CI$3="","",IF(入力データ!$C$19="","",YEAR(DATE(CI$3,12,31))-YEAR(入力データ!$C$19)-IF(DATE(CI$3,12,31)&lt;DATE(CI$3,MONTH(入力データ!$C$19),DAY(入力データ!$C$19)),1,0)))</f>
        <v/>
      </c>
      <c r="CJ6" s="218">
        <f>IF(CJ$3="","",IF(入力データ!$C$19="","",YEAR(DATE(CJ$3,12,31))-YEAR(入力データ!$C$19)-IF(DATE(CJ$3,12,31)&lt;DATE(CJ$3,MONTH(入力データ!$C$19),DAY(入力データ!$C$19)),1,0)))</f>
        <v/>
      </c>
      <c r="CK6" s="218">
        <f>IF(CK$3="","",IF(入力データ!$C$19="","",YEAR(DATE(CK$3,12,31))-YEAR(入力データ!$C$19)-IF(DATE(CK$3,12,31)&lt;DATE(CK$3,MONTH(入力データ!$C$19),DAY(入力データ!$C$19)),1,0)))</f>
        <v/>
      </c>
      <c r="CL6" s="218">
        <f>IF(CL$3="","",IF(入力データ!$C$19="","",YEAR(DATE(CL$3,12,31))-YEAR(入力データ!$C$19)-IF(DATE(CL$3,12,31)&lt;DATE(CL$3,MONTH(入力データ!$C$19),DAY(入力データ!$C$19)),1,0)))</f>
        <v/>
      </c>
      <c r="CM6" s="218">
        <f>IF(CM$3="","",IF(入力データ!$C$19="","",YEAR(DATE(CM$3,12,31))-YEAR(入力データ!$C$19)-IF(DATE(CM$3,12,31)&lt;DATE(CM$3,MONTH(入力データ!$C$19),DAY(入力データ!$C$19)),1,0)))</f>
        <v/>
      </c>
      <c r="CN6" s="218">
        <f>IF(CN$3="","",IF(入力データ!$C$19="","",YEAR(DATE(CN$3,12,31))-YEAR(入力データ!$C$19)-IF(DATE(CN$3,12,31)&lt;DATE(CN$3,MONTH(入力データ!$C$19),DAY(入力データ!$C$19)),1,0)))</f>
        <v/>
      </c>
      <c r="CO6" s="218">
        <f>IF(CO$3="","",IF(入力データ!$C$19="","",YEAR(DATE(CO$3,12,31))-YEAR(入力データ!$C$19)-IF(DATE(CO$3,12,31)&lt;DATE(CO$3,MONTH(入力データ!$C$19),DAY(入力データ!$C$19)),1,0)))</f>
        <v/>
      </c>
      <c r="CP6" s="218">
        <f>IF(CP$3="","",IF(入力データ!$C$19="","",YEAR(DATE(CP$3,12,31))-YEAR(入力データ!$C$19)-IF(DATE(CP$3,12,31)&lt;DATE(CP$3,MONTH(入力データ!$C$19),DAY(入力データ!$C$19)),1,0)))</f>
        <v/>
      </c>
      <c r="CQ6" s="218">
        <f>IF(CQ$3="","",IF(入力データ!$C$19="","",YEAR(DATE(CQ$3,12,31))-YEAR(入力データ!$C$19)-IF(DATE(CQ$3,12,31)&lt;DATE(CQ$3,MONTH(入力データ!$C$19),DAY(入力データ!$C$19)),1,0)))</f>
        <v/>
      </c>
      <c r="CR6" s="218">
        <f>IF(CR$3="","",IF(入力データ!$C$19="","",YEAR(DATE(CR$3,12,31))-YEAR(入力データ!$C$19)-IF(DATE(CR$3,12,31)&lt;DATE(CR$3,MONTH(入力データ!$C$19),DAY(入力データ!$C$19)),1,0)))</f>
        <v/>
      </c>
      <c r="CS6" s="218">
        <f>IF(CS$3="","",IF(入力データ!$C$19="","",YEAR(DATE(CS$3,12,31))-YEAR(入力データ!$C$19)-IF(DATE(CS$3,12,31)&lt;DATE(CS$3,MONTH(入力データ!$C$19),DAY(入力データ!$C$19)),1,0)))</f>
        <v/>
      </c>
      <c r="CT6" s="218">
        <f>IF(CT$3="","",IF(入力データ!$C$19="","",YEAR(DATE(CT$3,12,31))-YEAR(入力データ!$C$19)-IF(DATE(CT$3,12,31)&lt;DATE(CT$3,MONTH(入力データ!$C$19),DAY(入力データ!$C$19)),1,0)))</f>
        <v/>
      </c>
      <c r="CU6" s="218">
        <f>IF(CU$3="","",IF(入力データ!$C$19="","",YEAR(DATE(CU$3,12,31))-YEAR(入力データ!$C$19)-IF(DATE(CU$3,12,31)&lt;DATE(CU$3,MONTH(入力データ!$C$19),DAY(入力データ!$C$19)),1,0)))</f>
        <v/>
      </c>
      <c r="CV6" s="218">
        <f>IF(CV$3="","",IF(入力データ!$C$19="","",YEAR(DATE(CV$3,12,31))-YEAR(入力データ!$C$19)-IF(DATE(CV$3,12,31)&lt;DATE(CV$3,MONTH(入力データ!$C$19),DAY(入力データ!$C$19)),1,0)))</f>
        <v/>
      </c>
      <c r="CW6" s="218">
        <f>IF(CW$3="","",IF(入力データ!$C$19="","",YEAR(DATE(CW$3,12,31))-YEAR(入力データ!$C$19)-IF(DATE(CW$3,12,31)&lt;DATE(CW$3,MONTH(入力データ!$C$19),DAY(入力データ!$C$19)),1,0)))</f>
        <v/>
      </c>
    </row>
    <row r="7" ht="16.5" customHeight="1" s="180">
      <c r="A7" s="217" t="inlineStr">
        <is>
          <t>子2年齢</t>
        </is>
      </c>
      <c r="B7" s="218">
        <f>IF(B$3="","",IF(入力データ!$C$21="","",YEAR(DATE(B$3,12,31))-YEAR(入力データ!$C$21)-IF(DATE(B$3,12,31)&lt;DATE(B$3,MONTH(入力データ!$C$21),DAY(入力データ!$C$21)),1,0)))</f>
        <v/>
      </c>
      <c r="C7" s="218">
        <f>IF(C$3="","",IF(入力データ!$C$21="","",YEAR(DATE(C$3,12,31))-YEAR(入力データ!$C$21)-IF(DATE(C$3,12,31)&lt;DATE(C$3,MONTH(入力データ!$C$21),DAY(入力データ!$C$21)),1,0)))</f>
        <v/>
      </c>
      <c r="D7" s="218">
        <f>IF(D$3="","",IF(入力データ!$C$21="","",YEAR(DATE(D$3,12,31))-YEAR(入力データ!$C$21)-IF(DATE(D$3,12,31)&lt;DATE(D$3,MONTH(入力データ!$C$21),DAY(入力データ!$C$21)),1,0)))</f>
        <v/>
      </c>
      <c r="E7" s="218">
        <f>IF(E$3="","",IF(入力データ!$C$21="","",YEAR(DATE(E$3,12,31))-YEAR(入力データ!$C$21)-IF(DATE(E$3,12,31)&lt;DATE(E$3,MONTH(入力データ!$C$21),DAY(入力データ!$C$21)),1,0)))</f>
        <v/>
      </c>
      <c r="F7" s="218">
        <f>IF(F$3="","",IF(入力データ!$C$21="","",YEAR(DATE(F$3,12,31))-YEAR(入力データ!$C$21)-IF(DATE(F$3,12,31)&lt;DATE(F$3,MONTH(入力データ!$C$21),DAY(入力データ!$C$21)),1,0)))</f>
        <v/>
      </c>
      <c r="G7" s="218">
        <f>IF(G$3="","",IF(入力データ!$C$21="","",YEAR(DATE(G$3,12,31))-YEAR(入力データ!$C$21)-IF(DATE(G$3,12,31)&lt;DATE(G$3,MONTH(入力データ!$C$21),DAY(入力データ!$C$21)),1,0)))</f>
        <v/>
      </c>
      <c r="H7" s="218">
        <f>IF(H$3="","",IF(入力データ!$C$21="","",YEAR(DATE(H$3,12,31))-YEAR(入力データ!$C$21)-IF(DATE(H$3,12,31)&lt;DATE(H$3,MONTH(入力データ!$C$21),DAY(入力データ!$C$21)),1,0)))</f>
        <v/>
      </c>
      <c r="I7" s="218">
        <f>IF(I$3="","",IF(入力データ!$C$21="","",YEAR(DATE(I$3,12,31))-YEAR(入力データ!$C$21)-IF(DATE(I$3,12,31)&lt;DATE(I$3,MONTH(入力データ!$C$21),DAY(入力データ!$C$21)),1,0)))</f>
        <v/>
      </c>
      <c r="J7" s="218">
        <f>IF(J$3="","",IF(入力データ!$C$21="","",YEAR(DATE(J$3,12,31))-YEAR(入力データ!$C$21)-IF(DATE(J$3,12,31)&lt;DATE(J$3,MONTH(入力データ!$C$21),DAY(入力データ!$C$21)),1,0)))</f>
        <v/>
      </c>
      <c r="K7" s="218">
        <f>IF(K$3="","",IF(入力データ!$C$21="","",YEAR(DATE(K$3,12,31))-YEAR(入力データ!$C$21)-IF(DATE(K$3,12,31)&lt;DATE(K$3,MONTH(入力データ!$C$21),DAY(入力データ!$C$21)),1,0)))</f>
        <v/>
      </c>
      <c r="L7" s="218">
        <f>IF(L$3="","",IF(入力データ!$C$21="","",YEAR(DATE(L$3,12,31))-YEAR(入力データ!$C$21)-IF(DATE(L$3,12,31)&lt;DATE(L$3,MONTH(入力データ!$C$21),DAY(入力データ!$C$21)),1,0)))</f>
        <v/>
      </c>
      <c r="M7" s="218">
        <f>IF(M$3="","",IF(入力データ!$C$21="","",YEAR(DATE(M$3,12,31))-YEAR(入力データ!$C$21)-IF(DATE(M$3,12,31)&lt;DATE(M$3,MONTH(入力データ!$C$21),DAY(入力データ!$C$21)),1,0)))</f>
        <v/>
      </c>
      <c r="N7" s="218">
        <f>IF(N$3="","",IF(入力データ!$C$21="","",YEAR(DATE(N$3,12,31))-YEAR(入力データ!$C$21)-IF(DATE(N$3,12,31)&lt;DATE(N$3,MONTH(入力データ!$C$21),DAY(入力データ!$C$21)),1,0)))</f>
        <v/>
      </c>
      <c r="O7" s="218">
        <f>IF(O$3="","",IF(入力データ!$C$21="","",YEAR(DATE(O$3,12,31))-YEAR(入力データ!$C$21)-IF(DATE(O$3,12,31)&lt;DATE(O$3,MONTH(入力データ!$C$21),DAY(入力データ!$C$21)),1,0)))</f>
        <v/>
      </c>
      <c r="P7" s="218">
        <f>IF(P$3="","",IF(入力データ!$C$21="","",YEAR(DATE(P$3,12,31))-YEAR(入力データ!$C$21)-IF(DATE(P$3,12,31)&lt;DATE(P$3,MONTH(入力データ!$C$21),DAY(入力データ!$C$21)),1,0)))</f>
        <v/>
      </c>
      <c r="Q7" s="218">
        <f>IF(Q$3="","",IF(入力データ!$C$21="","",YEAR(DATE(Q$3,12,31))-YEAR(入力データ!$C$21)-IF(DATE(Q$3,12,31)&lt;DATE(Q$3,MONTH(入力データ!$C$21),DAY(入力データ!$C$21)),1,0)))</f>
        <v/>
      </c>
      <c r="R7" s="218">
        <f>IF(R$3="","",IF(入力データ!$C$21="","",YEAR(DATE(R$3,12,31))-YEAR(入力データ!$C$21)-IF(DATE(R$3,12,31)&lt;DATE(R$3,MONTH(入力データ!$C$21),DAY(入力データ!$C$21)),1,0)))</f>
        <v/>
      </c>
      <c r="S7" s="218">
        <f>IF(S$3="","",IF(入力データ!$C$21="","",YEAR(DATE(S$3,12,31))-YEAR(入力データ!$C$21)-IF(DATE(S$3,12,31)&lt;DATE(S$3,MONTH(入力データ!$C$21),DAY(入力データ!$C$21)),1,0)))</f>
        <v/>
      </c>
      <c r="T7" s="218">
        <f>IF(T$3="","",IF(入力データ!$C$21="","",YEAR(DATE(T$3,12,31))-YEAR(入力データ!$C$21)-IF(DATE(T$3,12,31)&lt;DATE(T$3,MONTH(入力データ!$C$21),DAY(入力データ!$C$21)),1,0)))</f>
        <v/>
      </c>
      <c r="U7" s="218">
        <f>IF(U$3="","",IF(入力データ!$C$21="","",YEAR(DATE(U$3,12,31))-YEAR(入力データ!$C$21)-IF(DATE(U$3,12,31)&lt;DATE(U$3,MONTH(入力データ!$C$21),DAY(入力データ!$C$21)),1,0)))</f>
        <v/>
      </c>
      <c r="V7" s="218">
        <f>IF(V$3="","",IF(入力データ!$C$21="","",YEAR(DATE(V$3,12,31))-YEAR(入力データ!$C$21)-IF(DATE(V$3,12,31)&lt;DATE(V$3,MONTH(入力データ!$C$21),DAY(入力データ!$C$21)),1,0)))</f>
        <v/>
      </c>
      <c r="W7" s="218">
        <f>IF(W$3="","",IF(入力データ!$C$21="","",YEAR(DATE(W$3,12,31))-YEAR(入力データ!$C$21)-IF(DATE(W$3,12,31)&lt;DATE(W$3,MONTH(入力データ!$C$21),DAY(入力データ!$C$21)),1,0)))</f>
        <v/>
      </c>
      <c r="X7" s="218">
        <f>IF(X$3="","",IF(入力データ!$C$21="","",YEAR(DATE(X$3,12,31))-YEAR(入力データ!$C$21)-IF(DATE(X$3,12,31)&lt;DATE(X$3,MONTH(入力データ!$C$21),DAY(入力データ!$C$21)),1,0)))</f>
        <v/>
      </c>
      <c r="Y7" s="218">
        <f>IF(Y$3="","",IF(入力データ!$C$21="","",YEAR(DATE(Y$3,12,31))-YEAR(入力データ!$C$21)-IF(DATE(Y$3,12,31)&lt;DATE(Y$3,MONTH(入力データ!$C$21),DAY(入力データ!$C$21)),1,0)))</f>
        <v/>
      </c>
      <c r="Z7" s="218">
        <f>IF(Z$3="","",IF(入力データ!$C$21="","",YEAR(DATE(Z$3,12,31))-YEAR(入力データ!$C$21)-IF(DATE(Z$3,12,31)&lt;DATE(Z$3,MONTH(入力データ!$C$21),DAY(入力データ!$C$21)),1,0)))</f>
        <v/>
      </c>
      <c r="AA7" s="218">
        <f>IF(AA$3="","",IF(入力データ!$C$21="","",YEAR(DATE(AA$3,12,31))-YEAR(入力データ!$C$21)-IF(DATE(AA$3,12,31)&lt;DATE(AA$3,MONTH(入力データ!$C$21),DAY(入力データ!$C$21)),1,0)))</f>
        <v/>
      </c>
      <c r="AB7" s="218">
        <f>IF(AB$3="","",IF(入力データ!$C$21="","",YEAR(DATE(AB$3,12,31))-YEAR(入力データ!$C$21)-IF(DATE(AB$3,12,31)&lt;DATE(AB$3,MONTH(入力データ!$C$21),DAY(入力データ!$C$21)),1,0)))</f>
        <v/>
      </c>
      <c r="AC7" s="218">
        <f>IF(AC$3="","",IF(入力データ!$C$21="","",YEAR(DATE(AC$3,12,31))-YEAR(入力データ!$C$21)-IF(DATE(AC$3,12,31)&lt;DATE(AC$3,MONTH(入力データ!$C$21),DAY(入力データ!$C$21)),1,0)))</f>
        <v/>
      </c>
      <c r="AD7" s="218">
        <f>IF(AD$3="","",IF(入力データ!$C$21="","",YEAR(DATE(AD$3,12,31))-YEAR(入力データ!$C$21)-IF(DATE(AD$3,12,31)&lt;DATE(AD$3,MONTH(入力データ!$C$21),DAY(入力データ!$C$21)),1,0)))</f>
        <v/>
      </c>
      <c r="AE7" s="218">
        <f>IF(AE$3="","",IF(入力データ!$C$21="","",YEAR(DATE(AE$3,12,31))-YEAR(入力データ!$C$21)-IF(DATE(AE$3,12,31)&lt;DATE(AE$3,MONTH(入力データ!$C$21),DAY(入力データ!$C$21)),1,0)))</f>
        <v/>
      </c>
      <c r="AF7" s="218">
        <f>IF(AF$3="","",IF(入力データ!$C$21="","",YEAR(DATE(AF$3,12,31))-YEAR(入力データ!$C$21)-IF(DATE(AF$3,12,31)&lt;DATE(AF$3,MONTH(入力データ!$C$21),DAY(入力データ!$C$21)),1,0)))</f>
        <v/>
      </c>
      <c r="AG7" s="218">
        <f>IF(AG$3="","",IF(入力データ!$C$21="","",YEAR(DATE(AG$3,12,31))-YEAR(入力データ!$C$21)-IF(DATE(AG$3,12,31)&lt;DATE(AG$3,MONTH(入力データ!$C$21),DAY(入力データ!$C$21)),1,0)))</f>
        <v/>
      </c>
      <c r="AH7" s="218">
        <f>IF(AH$3="","",IF(入力データ!$C$21="","",YEAR(DATE(AH$3,12,31))-YEAR(入力データ!$C$21)-IF(DATE(AH$3,12,31)&lt;DATE(AH$3,MONTH(入力データ!$C$21),DAY(入力データ!$C$21)),1,0)))</f>
        <v/>
      </c>
      <c r="AI7" s="218">
        <f>IF(AI$3="","",IF(入力データ!$C$21="","",YEAR(DATE(AI$3,12,31))-YEAR(入力データ!$C$21)-IF(DATE(AI$3,12,31)&lt;DATE(AI$3,MONTH(入力データ!$C$21),DAY(入力データ!$C$21)),1,0)))</f>
        <v/>
      </c>
      <c r="AJ7" s="218">
        <f>IF(AJ$3="","",IF(入力データ!$C$21="","",YEAR(DATE(AJ$3,12,31))-YEAR(入力データ!$C$21)-IF(DATE(AJ$3,12,31)&lt;DATE(AJ$3,MONTH(入力データ!$C$21),DAY(入力データ!$C$21)),1,0)))</f>
        <v/>
      </c>
      <c r="AK7" s="218">
        <f>IF(AK$3="","",IF(入力データ!$C$21="","",YEAR(DATE(AK$3,12,31))-YEAR(入力データ!$C$21)-IF(DATE(AK$3,12,31)&lt;DATE(AK$3,MONTH(入力データ!$C$21),DAY(入力データ!$C$21)),1,0)))</f>
        <v/>
      </c>
      <c r="AL7" s="218">
        <f>IF(AL$3="","",IF(入力データ!$C$21="","",YEAR(DATE(AL$3,12,31))-YEAR(入力データ!$C$21)-IF(DATE(AL$3,12,31)&lt;DATE(AL$3,MONTH(入力データ!$C$21),DAY(入力データ!$C$21)),1,0)))</f>
        <v/>
      </c>
      <c r="AM7" s="218">
        <f>IF(AM$3="","",IF(入力データ!$C$21="","",YEAR(DATE(AM$3,12,31))-YEAR(入力データ!$C$21)-IF(DATE(AM$3,12,31)&lt;DATE(AM$3,MONTH(入力データ!$C$21),DAY(入力データ!$C$21)),1,0)))</f>
        <v/>
      </c>
      <c r="AN7" s="218">
        <f>IF(AN$3="","",IF(入力データ!$C$21="","",YEAR(DATE(AN$3,12,31))-YEAR(入力データ!$C$21)-IF(DATE(AN$3,12,31)&lt;DATE(AN$3,MONTH(入力データ!$C$21),DAY(入力データ!$C$21)),1,0)))</f>
        <v/>
      </c>
      <c r="AO7" s="218">
        <f>IF(AO$3="","",IF(入力データ!$C$21="","",YEAR(DATE(AO$3,12,31))-YEAR(入力データ!$C$21)-IF(DATE(AO$3,12,31)&lt;DATE(AO$3,MONTH(入力データ!$C$21),DAY(入力データ!$C$21)),1,0)))</f>
        <v/>
      </c>
      <c r="AP7" s="218">
        <f>IF(AP$3="","",IF(入力データ!$C$21="","",YEAR(DATE(AP$3,12,31))-YEAR(入力データ!$C$21)-IF(DATE(AP$3,12,31)&lt;DATE(AP$3,MONTH(入力データ!$C$21),DAY(入力データ!$C$21)),1,0)))</f>
        <v/>
      </c>
      <c r="AQ7" s="218">
        <f>IF(AQ$3="","",IF(入力データ!$C$21="","",YEAR(DATE(AQ$3,12,31))-YEAR(入力データ!$C$21)-IF(DATE(AQ$3,12,31)&lt;DATE(AQ$3,MONTH(入力データ!$C$21),DAY(入力データ!$C$21)),1,0)))</f>
        <v/>
      </c>
      <c r="AR7" s="218">
        <f>IF(AR$3="","",IF(入力データ!$C$21="","",YEAR(DATE(AR$3,12,31))-YEAR(入力データ!$C$21)-IF(DATE(AR$3,12,31)&lt;DATE(AR$3,MONTH(入力データ!$C$21),DAY(入力データ!$C$21)),1,0)))</f>
        <v/>
      </c>
      <c r="AS7" s="218">
        <f>IF(AS$3="","",IF(入力データ!$C$21="","",YEAR(DATE(AS$3,12,31))-YEAR(入力データ!$C$21)-IF(DATE(AS$3,12,31)&lt;DATE(AS$3,MONTH(入力データ!$C$21),DAY(入力データ!$C$21)),1,0)))</f>
        <v/>
      </c>
      <c r="AT7" s="218">
        <f>IF(AT$3="","",IF(入力データ!$C$21="","",YEAR(DATE(AT$3,12,31))-YEAR(入力データ!$C$21)-IF(DATE(AT$3,12,31)&lt;DATE(AT$3,MONTH(入力データ!$C$21),DAY(入力データ!$C$21)),1,0)))</f>
        <v/>
      </c>
      <c r="AU7" s="218">
        <f>IF(AU$3="","",IF(入力データ!$C$21="","",YEAR(DATE(AU$3,12,31))-YEAR(入力データ!$C$21)-IF(DATE(AU$3,12,31)&lt;DATE(AU$3,MONTH(入力データ!$C$21),DAY(入力データ!$C$21)),1,0)))</f>
        <v/>
      </c>
      <c r="AV7" s="218">
        <f>IF(AV$3="","",IF(入力データ!$C$21="","",YEAR(DATE(AV$3,12,31))-YEAR(入力データ!$C$21)-IF(DATE(AV$3,12,31)&lt;DATE(AV$3,MONTH(入力データ!$C$21),DAY(入力データ!$C$21)),1,0)))</f>
        <v/>
      </c>
      <c r="AW7" s="218">
        <f>IF(AW$3="","",IF(入力データ!$C$21="","",YEAR(DATE(AW$3,12,31))-YEAR(入力データ!$C$21)-IF(DATE(AW$3,12,31)&lt;DATE(AW$3,MONTH(入力データ!$C$21),DAY(入力データ!$C$21)),1,0)))</f>
        <v/>
      </c>
      <c r="AX7" s="218">
        <f>IF(AX$3="","",IF(入力データ!$C$21="","",YEAR(DATE(AX$3,12,31))-YEAR(入力データ!$C$21)-IF(DATE(AX$3,12,31)&lt;DATE(AX$3,MONTH(入力データ!$C$21),DAY(入力データ!$C$21)),1,0)))</f>
        <v/>
      </c>
      <c r="AY7" s="218">
        <f>IF(AY$3="","",IF(入力データ!$C$21="","",YEAR(DATE(AY$3,12,31))-YEAR(入力データ!$C$21)-IF(DATE(AY$3,12,31)&lt;DATE(AY$3,MONTH(入力データ!$C$21),DAY(入力データ!$C$21)),1,0)))</f>
        <v/>
      </c>
      <c r="AZ7" s="218">
        <f>IF(AZ$3="","",IF(入力データ!$C$21="","",YEAR(DATE(AZ$3,12,31))-YEAR(入力データ!$C$21)-IF(DATE(AZ$3,12,31)&lt;DATE(AZ$3,MONTH(入力データ!$C$21),DAY(入力データ!$C$21)),1,0)))</f>
        <v/>
      </c>
      <c r="BA7" s="218">
        <f>IF(BA$3="","",IF(入力データ!$C$21="","",YEAR(DATE(BA$3,12,31))-YEAR(入力データ!$C$21)-IF(DATE(BA$3,12,31)&lt;DATE(BA$3,MONTH(入力データ!$C$21),DAY(入力データ!$C$21)),1,0)))</f>
        <v/>
      </c>
      <c r="BB7" s="218">
        <f>IF(BB$3="","",IF(入力データ!$C$21="","",YEAR(DATE(BB$3,12,31))-YEAR(入力データ!$C$21)-IF(DATE(BB$3,12,31)&lt;DATE(BB$3,MONTH(入力データ!$C$21),DAY(入力データ!$C$21)),1,0)))</f>
        <v/>
      </c>
      <c r="BC7" s="218">
        <f>IF(BC$3="","",IF(入力データ!$C$21="","",YEAR(DATE(BC$3,12,31))-YEAR(入力データ!$C$21)-IF(DATE(BC$3,12,31)&lt;DATE(BC$3,MONTH(入力データ!$C$21),DAY(入力データ!$C$21)),1,0)))</f>
        <v/>
      </c>
      <c r="BD7" s="218">
        <f>IF(BD$3="","",IF(入力データ!$C$21="","",YEAR(DATE(BD$3,12,31))-YEAR(入力データ!$C$21)-IF(DATE(BD$3,12,31)&lt;DATE(BD$3,MONTH(入力データ!$C$21),DAY(入力データ!$C$21)),1,0)))</f>
        <v/>
      </c>
      <c r="BE7" s="218">
        <f>IF(BE$3="","",IF(入力データ!$C$21="","",YEAR(DATE(BE$3,12,31))-YEAR(入力データ!$C$21)-IF(DATE(BE$3,12,31)&lt;DATE(BE$3,MONTH(入力データ!$C$21),DAY(入力データ!$C$21)),1,0)))</f>
        <v/>
      </c>
      <c r="BF7" s="218">
        <f>IF(BF$3="","",IF(入力データ!$C$21="","",YEAR(DATE(BF$3,12,31))-YEAR(入力データ!$C$21)-IF(DATE(BF$3,12,31)&lt;DATE(BF$3,MONTH(入力データ!$C$21),DAY(入力データ!$C$21)),1,0)))</f>
        <v/>
      </c>
      <c r="BG7" s="218">
        <f>IF(BG$3="","",IF(入力データ!$C$21="","",YEAR(DATE(BG$3,12,31))-YEAR(入力データ!$C$21)-IF(DATE(BG$3,12,31)&lt;DATE(BG$3,MONTH(入力データ!$C$21),DAY(入力データ!$C$21)),1,0)))</f>
        <v/>
      </c>
      <c r="BH7" s="218">
        <f>IF(BH$3="","",IF(入力データ!$C$21="","",YEAR(DATE(BH$3,12,31))-YEAR(入力データ!$C$21)-IF(DATE(BH$3,12,31)&lt;DATE(BH$3,MONTH(入力データ!$C$21),DAY(入力データ!$C$21)),1,0)))</f>
        <v/>
      </c>
      <c r="BI7" s="218">
        <f>IF(BI$3="","",IF(入力データ!$C$21="","",YEAR(DATE(BI$3,12,31))-YEAR(入力データ!$C$21)-IF(DATE(BI$3,12,31)&lt;DATE(BI$3,MONTH(入力データ!$C$21),DAY(入力データ!$C$21)),1,0)))</f>
        <v/>
      </c>
      <c r="BJ7" s="218">
        <f>IF(BJ$3="","",IF(入力データ!$C$21="","",YEAR(DATE(BJ$3,12,31))-YEAR(入力データ!$C$21)-IF(DATE(BJ$3,12,31)&lt;DATE(BJ$3,MONTH(入力データ!$C$21),DAY(入力データ!$C$21)),1,0)))</f>
        <v/>
      </c>
      <c r="BK7" s="218">
        <f>IF(BK$3="","",IF(入力データ!$C$21="","",YEAR(DATE(BK$3,12,31))-YEAR(入力データ!$C$21)-IF(DATE(BK$3,12,31)&lt;DATE(BK$3,MONTH(入力データ!$C$21),DAY(入力データ!$C$21)),1,0)))</f>
        <v/>
      </c>
      <c r="BL7" s="218">
        <f>IF(BL$3="","",IF(入力データ!$C$21="","",YEAR(DATE(BL$3,12,31))-YEAR(入力データ!$C$21)-IF(DATE(BL$3,12,31)&lt;DATE(BL$3,MONTH(入力データ!$C$21),DAY(入力データ!$C$21)),1,0)))</f>
        <v/>
      </c>
      <c r="BM7" s="218">
        <f>IF(BM$3="","",IF(入力データ!$C$21="","",YEAR(DATE(BM$3,12,31))-YEAR(入力データ!$C$21)-IF(DATE(BM$3,12,31)&lt;DATE(BM$3,MONTH(入力データ!$C$21),DAY(入力データ!$C$21)),1,0)))</f>
        <v/>
      </c>
      <c r="BN7" s="218">
        <f>IF(BN$3="","",IF(入力データ!$C$21="","",YEAR(DATE(BN$3,12,31))-YEAR(入力データ!$C$21)-IF(DATE(BN$3,12,31)&lt;DATE(BN$3,MONTH(入力データ!$C$21),DAY(入力データ!$C$21)),1,0)))</f>
        <v/>
      </c>
      <c r="BO7" s="218">
        <f>IF(BO$3="","",IF(入力データ!$C$21="","",YEAR(DATE(BO$3,12,31))-YEAR(入力データ!$C$21)-IF(DATE(BO$3,12,31)&lt;DATE(BO$3,MONTH(入力データ!$C$21),DAY(入力データ!$C$21)),1,0)))</f>
        <v/>
      </c>
      <c r="BP7" s="218">
        <f>IF(BP$3="","",IF(入力データ!$C$21="","",YEAR(DATE(BP$3,12,31))-YEAR(入力データ!$C$21)-IF(DATE(BP$3,12,31)&lt;DATE(BP$3,MONTH(入力データ!$C$21),DAY(入力データ!$C$21)),1,0)))</f>
        <v/>
      </c>
      <c r="BQ7" s="218">
        <f>IF(BQ$3="","",IF(入力データ!$C$21="","",YEAR(DATE(BQ$3,12,31))-YEAR(入力データ!$C$21)-IF(DATE(BQ$3,12,31)&lt;DATE(BQ$3,MONTH(入力データ!$C$21),DAY(入力データ!$C$21)),1,0)))</f>
        <v/>
      </c>
      <c r="BR7" s="218">
        <f>IF(BR$3="","",IF(入力データ!$C$21="","",YEAR(DATE(BR$3,12,31))-YEAR(入力データ!$C$21)-IF(DATE(BR$3,12,31)&lt;DATE(BR$3,MONTH(入力データ!$C$21),DAY(入力データ!$C$21)),1,0)))</f>
        <v/>
      </c>
      <c r="BS7" s="218">
        <f>IF(BS$3="","",IF(入力データ!$C$21="","",YEAR(DATE(BS$3,12,31))-YEAR(入力データ!$C$21)-IF(DATE(BS$3,12,31)&lt;DATE(BS$3,MONTH(入力データ!$C$21),DAY(入力データ!$C$21)),1,0)))</f>
        <v/>
      </c>
      <c r="BT7" s="218">
        <f>IF(BT$3="","",IF(入力データ!$C$21="","",YEAR(DATE(BT$3,12,31))-YEAR(入力データ!$C$21)-IF(DATE(BT$3,12,31)&lt;DATE(BT$3,MONTH(入力データ!$C$21),DAY(入力データ!$C$21)),1,0)))</f>
        <v/>
      </c>
      <c r="BU7" s="218">
        <f>IF(BU$3="","",IF(入力データ!$C$21="","",YEAR(DATE(BU$3,12,31))-YEAR(入力データ!$C$21)-IF(DATE(BU$3,12,31)&lt;DATE(BU$3,MONTH(入力データ!$C$21),DAY(入力データ!$C$21)),1,0)))</f>
        <v/>
      </c>
      <c r="BV7" s="218">
        <f>IF(BV$3="","",IF(入力データ!$C$21="","",YEAR(DATE(BV$3,12,31))-YEAR(入力データ!$C$21)-IF(DATE(BV$3,12,31)&lt;DATE(BV$3,MONTH(入力データ!$C$21),DAY(入力データ!$C$21)),1,0)))</f>
        <v/>
      </c>
      <c r="BW7" s="218">
        <f>IF(BW$3="","",IF(入力データ!$C$21="","",YEAR(DATE(BW$3,12,31))-YEAR(入力データ!$C$21)-IF(DATE(BW$3,12,31)&lt;DATE(BW$3,MONTH(入力データ!$C$21),DAY(入力データ!$C$21)),1,0)))</f>
        <v/>
      </c>
      <c r="BX7" s="218">
        <f>IF(BX$3="","",IF(入力データ!$C$21="","",YEAR(DATE(BX$3,12,31))-YEAR(入力データ!$C$21)-IF(DATE(BX$3,12,31)&lt;DATE(BX$3,MONTH(入力データ!$C$21),DAY(入力データ!$C$21)),1,0)))</f>
        <v/>
      </c>
      <c r="BY7" s="218">
        <f>IF(BY$3="","",IF(入力データ!$C$21="","",YEAR(DATE(BY$3,12,31))-YEAR(入力データ!$C$21)-IF(DATE(BY$3,12,31)&lt;DATE(BY$3,MONTH(入力データ!$C$21),DAY(入力データ!$C$21)),1,0)))</f>
        <v/>
      </c>
      <c r="BZ7" s="218">
        <f>IF(BZ$3="","",IF(入力データ!$C$21="","",YEAR(DATE(BZ$3,12,31))-YEAR(入力データ!$C$21)-IF(DATE(BZ$3,12,31)&lt;DATE(BZ$3,MONTH(入力データ!$C$21),DAY(入力データ!$C$21)),1,0)))</f>
        <v/>
      </c>
      <c r="CA7" s="218">
        <f>IF(CA$3="","",IF(入力データ!$C$21="","",YEAR(DATE(CA$3,12,31))-YEAR(入力データ!$C$21)-IF(DATE(CA$3,12,31)&lt;DATE(CA$3,MONTH(入力データ!$C$21),DAY(入力データ!$C$21)),1,0)))</f>
        <v/>
      </c>
      <c r="CB7" s="218">
        <f>IF(CB$3="","",IF(入力データ!$C$21="","",YEAR(DATE(CB$3,12,31))-YEAR(入力データ!$C$21)-IF(DATE(CB$3,12,31)&lt;DATE(CB$3,MONTH(入力データ!$C$21),DAY(入力データ!$C$21)),1,0)))</f>
        <v/>
      </c>
      <c r="CC7" s="218">
        <f>IF(CC$3="","",IF(入力データ!$C$21="","",YEAR(DATE(CC$3,12,31))-YEAR(入力データ!$C$21)-IF(DATE(CC$3,12,31)&lt;DATE(CC$3,MONTH(入力データ!$C$21),DAY(入力データ!$C$21)),1,0)))</f>
        <v/>
      </c>
      <c r="CD7" s="218">
        <f>IF(CD$3="","",IF(入力データ!$C$21="","",YEAR(DATE(CD$3,12,31))-YEAR(入力データ!$C$21)-IF(DATE(CD$3,12,31)&lt;DATE(CD$3,MONTH(入力データ!$C$21),DAY(入力データ!$C$21)),1,0)))</f>
        <v/>
      </c>
      <c r="CE7" s="218">
        <f>IF(CE$3="","",IF(入力データ!$C$21="","",YEAR(DATE(CE$3,12,31))-YEAR(入力データ!$C$21)-IF(DATE(CE$3,12,31)&lt;DATE(CE$3,MONTH(入力データ!$C$21),DAY(入力データ!$C$21)),1,0)))</f>
        <v/>
      </c>
      <c r="CF7" s="218">
        <f>IF(CF$3="","",IF(入力データ!$C$21="","",YEAR(DATE(CF$3,12,31))-YEAR(入力データ!$C$21)-IF(DATE(CF$3,12,31)&lt;DATE(CF$3,MONTH(入力データ!$C$21),DAY(入力データ!$C$21)),1,0)))</f>
        <v/>
      </c>
      <c r="CG7" s="218">
        <f>IF(CG$3="","",IF(入力データ!$C$21="","",YEAR(DATE(CG$3,12,31))-YEAR(入力データ!$C$21)-IF(DATE(CG$3,12,31)&lt;DATE(CG$3,MONTH(入力データ!$C$21),DAY(入力データ!$C$21)),1,0)))</f>
        <v/>
      </c>
      <c r="CH7" s="218">
        <f>IF(CH$3="","",IF(入力データ!$C$21="","",YEAR(DATE(CH$3,12,31))-YEAR(入力データ!$C$21)-IF(DATE(CH$3,12,31)&lt;DATE(CH$3,MONTH(入力データ!$C$21),DAY(入力データ!$C$21)),1,0)))</f>
        <v/>
      </c>
      <c r="CI7" s="218">
        <f>IF(CI$3="","",IF(入力データ!$C$21="","",YEAR(DATE(CI$3,12,31))-YEAR(入力データ!$C$21)-IF(DATE(CI$3,12,31)&lt;DATE(CI$3,MONTH(入力データ!$C$21),DAY(入力データ!$C$21)),1,0)))</f>
        <v/>
      </c>
      <c r="CJ7" s="218">
        <f>IF(CJ$3="","",IF(入力データ!$C$21="","",YEAR(DATE(CJ$3,12,31))-YEAR(入力データ!$C$21)-IF(DATE(CJ$3,12,31)&lt;DATE(CJ$3,MONTH(入力データ!$C$21),DAY(入力データ!$C$21)),1,0)))</f>
        <v/>
      </c>
      <c r="CK7" s="218">
        <f>IF(CK$3="","",IF(入力データ!$C$21="","",YEAR(DATE(CK$3,12,31))-YEAR(入力データ!$C$21)-IF(DATE(CK$3,12,31)&lt;DATE(CK$3,MONTH(入力データ!$C$21),DAY(入力データ!$C$21)),1,0)))</f>
        <v/>
      </c>
      <c r="CL7" s="218">
        <f>IF(CL$3="","",IF(入力データ!$C$21="","",YEAR(DATE(CL$3,12,31))-YEAR(入力データ!$C$21)-IF(DATE(CL$3,12,31)&lt;DATE(CL$3,MONTH(入力データ!$C$21),DAY(入力データ!$C$21)),1,0)))</f>
        <v/>
      </c>
      <c r="CM7" s="218">
        <f>IF(CM$3="","",IF(入力データ!$C$21="","",YEAR(DATE(CM$3,12,31))-YEAR(入力データ!$C$21)-IF(DATE(CM$3,12,31)&lt;DATE(CM$3,MONTH(入力データ!$C$21),DAY(入力データ!$C$21)),1,0)))</f>
        <v/>
      </c>
      <c r="CN7" s="218">
        <f>IF(CN$3="","",IF(入力データ!$C$21="","",YEAR(DATE(CN$3,12,31))-YEAR(入力データ!$C$21)-IF(DATE(CN$3,12,31)&lt;DATE(CN$3,MONTH(入力データ!$C$21),DAY(入力データ!$C$21)),1,0)))</f>
        <v/>
      </c>
      <c r="CO7" s="218">
        <f>IF(CO$3="","",IF(入力データ!$C$21="","",YEAR(DATE(CO$3,12,31))-YEAR(入力データ!$C$21)-IF(DATE(CO$3,12,31)&lt;DATE(CO$3,MONTH(入力データ!$C$21),DAY(入力データ!$C$21)),1,0)))</f>
        <v/>
      </c>
      <c r="CP7" s="218">
        <f>IF(CP$3="","",IF(入力データ!$C$21="","",YEAR(DATE(CP$3,12,31))-YEAR(入力データ!$C$21)-IF(DATE(CP$3,12,31)&lt;DATE(CP$3,MONTH(入力データ!$C$21),DAY(入力データ!$C$21)),1,0)))</f>
        <v/>
      </c>
      <c r="CQ7" s="218">
        <f>IF(CQ$3="","",IF(入力データ!$C$21="","",YEAR(DATE(CQ$3,12,31))-YEAR(入力データ!$C$21)-IF(DATE(CQ$3,12,31)&lt;DATE(CQ$3,MONTH(入力データ!$C$21),DAY(入力データ!$C$21)),1,0)))</f>
        <v/>
      </c>
      <c r="CR7" s="218">
        <f>IF(CR$3="","",IF(入力データ!$C$21="","",YEAR(DATE(CR$3,12,31))-YEAR(入力データ!$C$21)-IF(DATE(CR$3,12,31)&lt;DATE(CR$3,MONTH(入力データ!$C$21),DAY(入力データ!$C$21)),1,0)))</f>
        <v/>
      </c>
      <c r="CS7" s="218">
        <f>IF(CS$3="","",IF(入力データ!$C$21="","",YEAR(DATE(CS$3,12,31))-YEAR(入力データ!$C$21)-IF(DATE(CS$3,12,31)&lt;DATE(CS$3,MONTH(入力データ!$C$21),DAY(入力データ!$C$21)),1,0)))</f>
        <v/>
      </c>
      <c r="CT7" s="218">
        <f>IF(CT$3="","",IF(入力データ!$C$21="","",YEAR(DATE(CT$3,12,31))-YEAR(入力データ!$C$21)-IF(DATE(CT$3,12,31)&lt;DATE(CT$3,MONTH(入力データ!$C$21),DAY(入力データ!$C$21)),1,0)))</f>
        <v/>
      </c>
      <c r="CU7" s="218">
        <f>IF(CU$3="","",IF(入力データ!$C$21="","",YEAR(DATE(CU$3,12,31))-YEAR(入力データ!$C$21)-IF(DATE(CU$3,12,31)&lt;DATE(CU$3,MONTH(入力データ!$C$21),DAY(入力データ!$C$21)),1,0)))</f>
        <v/>
      </c>
      <c r="CV7" s="218">
        <f>IF(CV$3="","",IF(入力データ!$C$21="","",YEAR(DATE(CV$3,12,31))-YEAR(入力データ!$C$21)-IF(DATE(CV$3,12,31)&lt;DATE(CV$3,MONTH(入力データ!$C$21),DAY(入力データ!$C$21)),1,0)))</f>
        <v/>
      </c>
      <c r="CW7" s="218">
        <f>IF(CW$3="","",IF(入力データ!$C$21="","",YEAR(DATE(CW$3,12,31))-YEAR(入力データ!$C$21)-IF(DATE(CW$3,12,31)&lt;DATE(CW$3,MONTH(入力データ!$C$21),DAY(入力データ!$C$21)),1,0)))</f>
        <v/>
      </c>
    </row>
    <row r="8" ht="16.5" customHeight="1" s="180">
      <c r="A8" s="217" t="inlineStr">
        <is>
          <t>子3年齢</t>
        </is>
      </c>
      <c r="B8" s="218">
        <f>IF(B$3="","",IF(情報入力!$C$23="","",YEAR(DATE(B$3,12,31))-YEAR(情報入力!$C$23)-IF(DATE(B$3,12,31)&lt;DATE(B$3,MONTH(情報入力!$C$23),DAY(情報入力!$C$23)),1,0)))</f>
        <v/>
      </c>
      <c r="C8" s="218">
        <f>IF(C$3="","",IF(情報入力!$C$23="","",YEAR(DATE(C$3,12,31))-YEAR(情報入力!$C$23)-IF(DATE(C$3,12,31)&lt;DATE(C$3,MONTH(情報入力!$C$23),DAY(情報入力!$C$23)),1,0)))</f>
        <v/>
      </c>
      <c r="D8" s="218">
        <f>IF(D$3="","",IF(情報入力!$C$23="","",YEAR(DATE(D$3,12,31))-YEAR(情報入力!$C$23)-IF(DATE(D$3,12,31)&lt;DATE(D$3,MONTH(情報入力!$C$23),DAY(情報入力!$C$23)),1,0)))</f>
        <v/>
      </c>
      <c r="E8" s="218">
        <f>IF(E$3="","",IF(情報入力!$C$23="","",YEAR(DATE(E$3,12,31))-YEAR(情報入力!$C$23)-IF(DATE(E$3,12,31)&lt;DATE(E$3,MONTH(情報入力!$C$23),DAY(情報入力!$C$23)),1,0)))</f>
        <v/>
      </c>
      <c r="F8" s="218">
        <f>IF(F$3="","",IF(情報入力!$C$23="","",YEAR(DATE(F$3,12,31))-YEAR(情報入力!$C$23)-IF(DATE(F$3,12,31)&lt;DATE(F$3,MONTH(情報入力!$C$23),DAY(情報入力!$C$23)),1,0)))</f>
        <v/>
      </c>
      <c r="G8" s="218">
        <f>IF(G$3="","",IF(情報入力!$C$23="","",YEAR(DATE(G$3,12,31))-YEAR(情報入力!$C$23)-IF(DATE(G$3,12,31)&lt;DATE(G$3,MONTH(情報入力!$C$23),DAY(情報入力!$C$23)),1,0)))</f>
        <v/>
      </c>
      <c r="H8" s="218">
        <f>IF(H$3="","",IF(情報入力!$C$23="","",YEAR(DATE(H$3,12,31))-YEAR(情報入力!$C$23)-IF(DATE(H$3,12,31)&lt;DATE(H$3,MONTH(情報入力!$C$23),DAY(情報入力!$C$23)),1,0)))</f>
        <v/>
      </c>
      <c r="I8" s="218">
        <f>IF(I$3="","",IF(情報入力!$C$23="","",YEAR(DATE(I$3,12,31))-YEAR(情報入力!$C$23)-IF(DATE(I$3,12,31)&lt;DATE(I$3,MONTH(情報入力!$C$23),DAY(情報入力!$C$23)),1,0)))</f>
        <v/>
      </c>
      <c r="J8" s="218">
        <f>IF(J$3="","",IF(情報入力!$C$23="","",YEAR(DATE(J$3,12,31))-YEAR(情報入力!$C$23)-IF(DATE(J$3,12,31)&lt;DATE(J$3,MONTH(情報入力!$C$23),DAY(情報入力!$C$23)),1,0)))</f>
        <v/>
      </c>
      <c r="K8" s="218">
        <f>IF(K$3="","",IF(情報入力!$C$23="","",YEAR(DATE(K$3,12,31))-YEAR(情報入力!$C$23)-IF(DATE(K$3,12,31)&lt;DATE(K$3,MONTH(情報入力!$C$23),DAY(情報入力!$C$23)),1,0)))</f>
        <v/>
      </c>
      <c r="L8" s="218">
        <f>IF(L$3="","",IF(情報入力!$C$23="","",YEAR(DATE(L$3,12,31))-YEAR(情報入力!$C$23)-IF(DATE(L$3,12,31)&lt;DATE(L$3,MONTH(情報入力!$C$23),DAY(情報入力!$C$23)),1,0)))</f>
        <v/>
      </c>
      <c r="M8" s="218">
        <f>IF(M$3="","",IF(情報入力!$C$23="","",YEAR(DATE(M$3,12,31))-YEAR(情報入力!$C$23)-IF(DATE(M$3,12,31)&lt;DATE(M$3,MONTH(情報入力!$C$23),DAY(情報入力!$C$23)),1,0)))</f>
        <v/>
      </c>
      <c r="N8" s="218">
        <f>IF(N$3="","",IF(情報入力!$C$23="","",YEAR(DATE(N$3,12,31))-YEAR(情報入力!$C$23)-IF(DATE(N$3,12,31)&lt;DATE(N$3,MONTH(情報入力!$C$23),DAY(情報入力!$C$23)),1,0)))</f>
        <v/>
      </c>
      <c r="O8" s="218">
        <f>IF(O$3="","",IF(情報入力!$C$23="","",YEAR(DATE(O$3,12,31))-YEAR(情報入力!$C$23)-IF(DATE(O$3,12,31)&lt;DATE(O$3,MONTH(情報入力!$C$23),DAY(情報入力!$C$23)),1,0)))</f>
        <v/>
      </c>
      <c r="P8" s="218">
        <f>IF(P$3="","",IF(情報入力!$C$23="","",YEAR(DATE(P$3,12,31))-YEAR(情報入力!$C$23)-IF(DATE(P$3,12,31)&lt;DATE(P$3,MONTH(情報入力!$C$23),DAY(情報入力!$C$23)),1,0)))</f>
        <v/>
      </c>
      <c r="Q8" s="218">
        <f>IF(Q$3="","",IF(情報入力!$C$23="","",YEAR(DATE(Q$3,12,31))-YEAR(情報入力!$C$23)-IF(DATE(Q$3,12,31)&lt;DATE(Q$3,MONTH(情報入力!$C$23),DAY(情報入力!$C$23)),1,0)))</f>
        <v/>
      </c>
      <c r="R8" s="218">
        <f>IF(R$3="","",IF(情報入力!$C$23="","",YEAR(DATE(R$3,12,31))-YEAR(情報入力!$C$23)-IF(DATE(R$3,12,31)&lt;DATE(R$3,MONTH(情報入力!$C$23),DAY(情報入力!$C$23)),1,0)))</f>
        <v/>
      </c>
      <c r="S8" s="218">
        <f>IF(S$3="","",IF(情報入力!$C$23="","",YEAR(DATE(S$3,12,31))-YEAR(情報入力!$C$23)-IF(DATE(S$3,12,31)&lt;DATE(S$3,MONTH(情報入力!$C$23),DAY(情報入力!$C$23)),1,0)))</f>
        <v/>
      </c>
      <c r="T8" s="218">
        <f>IF(T$3="","",IF(情報入力!$C$23="","",YEAR(DATE(T$3,12,31))-YEAR(情報入力!$C$23)-IF(DATE(T$3,12,31)&lt;DATE(T$3,MONTH(情報入力!$C$23),DAY(情報入力!$C$23)),1,0)))</f>
        <v/>
      </c>
      <c r="U8" s="218">
        <f>IF(U$3="","",IF(情報入力!$C$23="","",YEAR(DATE(U$3,12,31))-YEAR(情報入力!$C$23)-IF(DATE(U$3,12,31)&lt;DATE(U$3,MONTH(情報入力!$C$23),DAY(情報入力!$C$23)),1,0)))</f>
        <v/>
      </c>
      <c r="V8" s="218">
        <f>IF(V$3="","",IF(情報入力!$C$23="","",YEAR(DATE(V$3,12,31))-YEAR(情報入力!$C$23)-IF(DATE(V$3,12,31)&lt;DATE(V$3,MONTH(情報入力!$C$23),DAY(情報入力!$C$23)),1,0)))</f>
        <v/>
      </c>
      <c r="W8" s="218">
        <f>IF(W$3="","",IF(情報入力!$C$23="","",YEAR(DATE(W$3,12,31))-YEAR(情報入力!$C$23)-IF(DATE(W$3,12,31)&lt;DATE(W$3,MONTH(情報入力!$C$23),DAY(情報入力!$C$23)),1,0)))</f>
        <v/>
      </c>
      <c r="X8" s="218">
        <f>IF(X$3="","",IF(情報入力!$C$23="","",YEAR(DATE(X$3,12,31))-YEAR(情報入力!$C$23)-IF(DATE(X$3,12,31)&lt;DATE(X$3,MONTH(情報入力!$C$23),DAY(情報入力!$C$23)),1,0)))</f>
        <v/>
      </c>
      <c r="Y8" s="218">
        <f>IF(Y$3="","",IF(情報入力!$C$23="","",YEAR(DATE(Y$3,12,31))-YEAR(情報入力!$C$23)-IF(DATE(Y$3,12,31)&lt;DATE(Y$3,MONTH(情報入力!$C$23),DAY(情報入力!$C$23)),1,0)))</f>
        <v/>
      </c>
      <c r="Z8" s="218">
        <f>IF(Z$3="","",IF(情報入力!$C$23="","",YEAR(DATE(Z$3,12,31))-YEAR(情報入力!$C$23)-IF(DATE(Z$3,12,31)&lt;DATE(Z$3,MONTH(情報入力!$C$23),DAY(情報入力!$C$23)),1,0)))</f>
        <v/>
      </c>
      <c r="AA8" s="218">
        <f>IF(AA$3="","",IF(情報入力!$C$23="","",YEAR(DATE(AA$3,12,31))-YEAR(情報入力!$C$23)-IF(DATE(AA$3,12,31)&lt;DATE(AA$3,MONTH(情報入力!$C$23),DAY(情報入力!$C$23)),1,0)))</f>
        <v/>
      </c>
      <c r="AB8" s="218">
        <f>IF(AB$3="","",IF(情報入力!$C$23="","",YEAR(DATE(AB$3,12,31))-YEAR(情報入力!$C$23)-IF(DATE(AB$3,12,31)&lt;DATE(AB$3,MONTH(情報入力!$C$23),DAY(情報入力!$C$23)),1,0)))</f>
        <v/>
      </c>
      <c r="AC8" s="218">
        <f>IF(AC$3="","",IF(情報入力!$C$23="","",YEAR(DATE(AC$3,12,31))-YEAR(情報入力!$C$23)-IF(DATE(AC$3,12,31)&lt;DATE(AC$3,MONTH(情報入力!$C$23),DAY(情報入力!$C$23)),1,0)))</f>
        <v/>
      </c>
      <c r="AD8" s="218">
        <f>IF(AD$3="","",IF(情報入力!$C$23="","",YEAR(DATE(AD$3,12,31))-YEAR(情報入力!$C$23)-IF(DATE(AD$3,12,31)&lt;DATE(AD$3,MONTH(情報入力!$C$23),DAY(情報入力!$C$23)),1,0)))</f>
        <v/>
      </c>
      <c r="AE8" s="218">
        <f>IF(AE$3="","",IF(情報入力!$C$23="","",YEAR(DATE(AE$3,12,31))-YEAR(情報入力!$C$23)-IF(DATE(AE$3,12,31)&lt;DATE(AE$3,MONTH(情報入力!$C$23),DAY(情報入力!$C$23)),1,0)))</f>
        <v/>
      </c>
      <c r="AF8" s="218">
        <f>IF(AF$3="","",IF(情報入力!$C$23="","",YEAR(DATE(AF$3,12,31))-YEAR(情報入力!$C$23)-IF(DATE(AF$3,12,31)&lt;DATE(AF$3,MONTH(情報入力!$C$23),DAY(情報入力!$C$23)),1,0)))</f>
        <v/>
      </c>
      <c r="AG8" s="218">
        <f>IF(AG$3="","",IF(情報入力!$C$23="","",YEAR(DATE(AG$3,12,31))-YEAR(情報入力!$C$23)-IF(DATE(AG$3,12,31)&lt;DATE(AG$3,MONTH(情報入力!$C$23),DAY(情報入力!$C$23)),1,0)))</f>
        <v/>
      </c>
      <c r="AH8" s="218">
        <f>IF(AH$3="","",IF(情報入力!$C$23="","",YEAR(DATE(AH$3,12,31))-YEAR(情報入力!$C$23)-IF(DATE(AH$3,12,31)&lt;DATE(AH$3,MONTH(情報入力!$C$23),DAY(情報入力!$C$23)),1,0)))</f>
        <v/>
      </c>
      <c r="AI8" s="218">
        <f>IF(AI$3="","",IF(情報入力!$C$23="","",YEAR(DATE(AI$3,12,31))-YEAR(情報入力!$C$23)-IF(DATE(AI$3,12,31)&lt;DATE(AI$3,MONTH(情報入力!$C$23),DAY(情報入力!$C$23)),1,0)))</f>
        <v/>
      </c>
      <c r="AJ8" s="218">
        <f>IF(AJ$3="","",IF(情報入力!$C$23="","",YEAR(DATE(AJ$3,12,31))-YEAR(情報入力!$C$23)-IF(DATE(AJ$3,12,31)&lt;DATE(AJ$3,MONTH(情報入力!$C$23),DAY(情報入力!$C$23)),1,0)))</f>
        <v/>
      </c>
      <c r="AK8" s="218">
        <f>IF(AK$3="","",IF(情報入力!$C$23="","",YEAR(DATE(AK$3,12,31))-YEAR(情報入力!$C$23)-IF(DATE(AK$3,12,31)&lt;DATE(AK$3,MONTH(情報入力!$C$23),DAY(情報入力!$C$23)),1,0)))</f>
        <v/>
      </c>
      <c r="AL8" s="218">
        <f>IF(AL$3="","",IF(情報入力!$C$23="","",YEAR(DATE(AL$3,12,31))-YEAR(情報入力!$C$23)-IF(DATE(AL$3,12,31)&lt;DATE(AL$3,MONTH(情報入力!$C$23),DAY(情報入力!$C$23)),1,0)))</f>
        <v/>
      </c>
      <c r="AM8" s="218">
        <f>IF(AM$3="","",IF(情報入力!$C$23="","",YEAR(DATE(AM$3,12,31))-YEAR(情報入力!$C$23)-IF(DATE(AM$3,12,31)&lt;DATE(AM$3,MONTH(情報入力!$C$23),DAY(情報入力!$C$23)),1,0)))</f>
        <v/>
      </c>
      <c r="AN8" s="218">
        <f>IF(AN$3="","",IF(情報入力!$C$23="","",YEAR(DATE(AN$3,12,31))-YEAR(情報入力!$C$23)-IF(DATE(AN$3,12,31)&lt;DATE(AN$3,MONTH(情報入力!$C$23),DAY(情報入力!$C$23)),1,0)))</f>
        <v/>
      </c>
      <c r="AO8" s="218">
        <f>IF(AO$3="","",IF(情報入力!$C$23="","",YEAR(DATE(AO$3,12,31))-YEAR(情報入力!$C$23)-IF(DATE(AO$3,12,31)&lt;DATE(AO$3,MONTH(情報入力!$C$23),DAY(情報入力!$C$23)),1,0)))</f>
        <v/>
      </c>
      <c r="AP8" s="218">
        <f>IF(AP$3="","",IF(情報入力!$C$23="","",YEAR(DATE(AP$3,12,31))-YEAR(情報入力!$C$23)-IF(DATE(AP$3,12,31)&lt;DATE(AP$3,MONTH(情報入力!$C$23),DAY(情報入力!$C$23)),1,0)))</f>
        <v/>
      </c>
      <c r="AQ8" s="218">
        <f>IF(AQ$3="","",IF(情報入力!$C$23="","",YEAR(DATE(AQ$3,12,31))-YEAR(情報入力!$C$23)-IF(DATE(AQ$3,12,31)&lt;DATE(AQ$3,MONTH(情報入力!$C$23),DAY(情報入力!$C$23)),1,0)))</f>
        <v/>
      </c>
      <c r="AR8" s="218">
        <f>IF(AR$3="","",IF(情報入力!$C$23="","",YEAR(DATE(AR$3,12,31))-YEAR(情報入力!$C$23)-IF(DATE(AR$3,12,31)&lt;DATE(AR$3,MONTH(情報入力!$C$23),DAY(情報入力!$C$23)),1,0)))</f>
        <v/>
      </c>
      <c r="AS8" s="218">
        <f>IF(AS$3="","",IF(情報入力!$C$23="","",YEAR(DATE(AS$3,12,31))-YEAR(情報入力!$C$23)-IF(DATE(AS$3,12,31)&lt;DATE(AS$3,MONTH(情報入力!$C$23),DAY(情報入力!$C$23)),1,0)))</f>
        <v/>
      </c>
      <c r="AT8" s="218">
        <f>IF(AT$3="","",IF(情報入力!$C$23="","",YEAR(DATE(AT$3,12,31))-YEAR(情報入力!$C$23)-IF(DATE(AT$3,12,31)&lt;DATE(AT$3,MONTH(情報入力!$C$23),DAY(情報入力!$C$23)),1,0)))</f>
        <v/>
      </c>
      <c r="AU8" s="218">
        <f>IF(AU$3="","",IF(情報入力!$C$23="","",YEAR(DATE(AU$3,12,31))-YEAR(情報入力!$C$23)-IF(DATE(AU$3,12,31)&lt;DATE(AU$3,MONTH(情報入力!$C$23),DAY(情報入力!$C$23)),1,0)))</f>
        <v/>
      </c>
      <c r="AV8" s="218">
        <f>IF(AV$3="","",IF(情報入力!$C$23="","",YEAR(DATE(AV$3,12,31))-YEAR(情報入力!$C$23)-IF(DATE(AV$3,12,31)&lt;DATE(AV$3,MONTH(情報入力!$C$23),DAY(情報入力!$C$23)),1,0)))</f>
        <v/>
      </c>
      <c r="AW8" s="218">
        <f>IF(AW$3="","",IF(情報入力!$C$23="","",YEAR(DATE(AW$3,12,31))-YEAR(情報入力!$C$23)-IF(DATE(AW$3,12,31)&lt;DATE(AW$3,MONTH(情報入力!$C$23),DAY(情報入力!$C$23)),1,0)))</f>
        <v/>
      </c>
      <c r="AX8" s="218">
        <f>IF(AX$3="","",IF(情報入力!$C$23="","",YEAR(DATE(AX$3,12,31))-YEAR(情報入力!$C$23)-IF(DATE(AX$3,12,31)&lt;DATE(AX$3,MONTH(情報入力!$C$23),DAY(情報入力!$C$23)),1,0)))</f>
        <v/>
      </c>
      <c r="AY8" s="218">
        <f>IF(AY$3="","",IF(情報入力!$C$23="","",YEAR(DATE(AY$3,12,31))-YEAR(情報入力!$C$23)-IF(DATE(AY$3,12,31)&lt;DATE(AY$3,MONTH(情報入力!$C$23),DAY(情報入力!$C$23)),1,0)))</f>
        <v/>
      </c>
      <c r="AZ8" s="218">
        <f>IF(AZ$3="","",IF(情報入力!$C$23="","",YEAR(DATE(AZ$3,12,31))-YEAR(情報入力!$C$23)-IF(DATE(AZ$3,12,31)&lt;DATE(AZ$3,MONTH(情報入力!$C$23),DAY(情報入力!$C$23)),1,0)))</f>
        <v/>
      </c>
      <c r="BA8" s="218">
        <f>IF(BA$3="","",IF(情報入力!$C$23="","",YEAR(DATE(BA$3,12,31))-YEAR(情報入力!$C$23)-IF(DATE(BA$3,12,31)&lt;DATE(BA$3,MONTH(情報入力!$C$23),DAY(情報入力!$C$23)),1,0)))</f>
        <v/>
      </c>
      <c r="BB8" s="218">
        <f>IF(BB$3="","",IF(情報入力!$C$23="","",YEAR(DATE(BB$3,12,31))-YEAR(情報入力!$C$23)-IF(DATE(BB$3,12,31)&lt;DATE(BB$3,MONTH(情報入力!$C$23),DAY(情報入力!$C$23)),1,0)))</f>
        <v/>
      </c>
      <c r="BC8" s="218">
        <f>IF(BC$3="","",IF(情報入力!$C$23="","",YEAR(DATE(BC$3,12,31))-YEAR(情報入力!$C$23)-IF(DATE(BC$3,12,31)&lt;DATE(BC$3,MONTH(情報入力!$C$23),DAY(情報入力!$C$23)),1,0)))</f>
        <v/>
      </c>
      <c r="BD8" s="218">
        <f>IF(BD$3="","",IF(情報入力!$C$23="","",YEAR(DATE(BD$3,12,31))-YEAR(情報入力!$C$23)-IF(DATE(BD$3,12,31)&lt;DATE(BD$3,MONTH(情報入力!$C$23),DAY(情報入力!$C$23)),1,0)))</f>
        <v/>
      </c>
      <c r="BE8" s="218">
        <f>IF(BE$3="","",IF(情報入力!$C$23="","",YEAR(DATE(BE$3,12,31))-YEAR(情報入力!$C$23)-IF(DATE(BE$3,12,31)&lt;DATE(BE$3,MONTH(情報入力!$C$23),DAY(情報入力!$C$23)),1,0)))</f>
        <v/>
      </c>
      <c r="BF8" s="218">
        <f>IF(BF$3="","",IF(情報入力!$C$23="","",YEAR(DATE(BF$3,12,31))-YEAR(情報入力!$C$23)-IF(DATE(BF$3,12,31)&lt;DATE(BF$3,MONTH(情報入力!$C$23),DAY(情報入力!$C$23)),1,0)))</f>
        <v/>
      </c>
      <c r="BG8" s="218">
        <f>IF(BG$3="","",IF(情報入力!$C$23="","",YEAR(DATE(BG$3,12,31))-YEAR(情報入力!$C$23)-IF(DATE(BG$3,12,31)&lt;DATE(BG$3,MONTH(情報入力!$C$23),DAY(情報入力!$C$23)),1,0)))</f>
        <v/>
      </c>
      <c r="BH8" s="218">
        <f>IF(BH$3="","",IF(情報入力!$C$23="","",YEAR(DATE(BH$3,12,31))-YEAR(情報入力!$C$23)-IF(DATE(BH$3,12,31)&lt;DATE(BH$3,MONTH(情報入力!$C$23),DAY(情報入力!$C$23)),1,0)))</f>
        <v/>
      </c>
      <c r="BI8" s="218">
        <f>IF(BI$3="","",IF(情報入力!$C$23="","",YEAR(DATE(BI$3,12,31))-YEAR(情報入力!$C$23)-IF(DATE(BI$3,12,31)&lt;DATE(BI$3,MONTH(情報入力!$C$23),DAY(情報入力!$C$23)),1,0)))</f>
        <v/>
      </c>
      <c r="BJ8" s="218">
        <f>IF(BJ$3="","",IF(情報入力!$C$23="","",YEAR(DATE(BJ$3,12,31))-YEAR(情報入力!$C$23)-IF(DATE(BJ$3,12,31)&lt;DATE(BJ$3,MONTH(情報入力!$C$23),DAY(情報入力!$C$23)),1,0)))</f>
        <v/>
      </c>
      <c r="BK8" s="218">
        <f>IF(BK$3="","",IF(情報入力!$C$23="","",YEAR(DATE(BK$3,12,31))-YEAR(情報入力!$C$23)-IF(DATE(BK$3,12,31)&lt;DATE(BK$3,MONTH(情報入力!$C$23),DAY(情報入力!$C$23)),1,0)))</f>
        <v/>
      </c>
      <c r="BL8" s="218">
        <f>IF(BL$3="","",IF(情報入力!$C$23="","",YEAR(DATE(BL$3,12,31))-YEAR(情報入力!$C$23)-IF(DATE(BL$3,12,31)&lt;DATE(BL$3,MONTH(情報入力!$C$23),DAY(情報入力!$C$23)),1,0)))</f>
        <v/>
      </c>
      <c r="BM8" s="218">
        <f>IF(BM$3="","",IF(情報入力!$C$23="","",YEAR(DATE(BM$3,12,31))-YEAR(情報入力!$C$23)-IF(DATE(BM$3,12,31)&lt;DATE(BM$3,MONTH(情報入力!$C$23),DAY(情報入力!$C$23)),1,0)))</f>
        <v/>
      </c>
      <c r="BN8" s="218">
        <f>IF(BN$3="","",IF(情報入力!$C$23="","",YEAR(DATE(BN$3,12,31))-YEAR(情報入力!$C$23)-IF(DATE(BN$3,12,31)&lt;DATE(BN$3,MONTH(情報入力!$C$23),DAY(情報入力!$C$23)),1,0)))</f>
        <v/>
      </c>
      <c r="BO8" s="218">
        <f>IF(BO$3="","",IF(情報入力!$C$23="","",YEAR(DATE(BO$3,12,31))-YEAR(情報入力!$C$23)-IF(DATE(BO$3,12,31)&lt;DATE(BO$3,MONTH(情報入力!$C$23),DAY(情報入力!$C$23)),1,0)))</f>
        <v/>
      </c>
      <c r="BP8" s="218">
        <f>IF(BP$3="","",IF(情報入力!$C$23="","",YEAR(DATE(BP$3,12,31))-YEAR(情報入力!$C$23)-IF(DATE(BP$3,12,31)&lt;DATE(BP$3,MONTH(情報入力!$C$23),DAY(情報入力!$C$23)),1,0)))</f>
        <v/>
      </c>
      <c r="BQ8" s="218">
        <f>IF(BQ$3="","",IF(情報入力!$C$23="","",YEAR(DATE(BQ$3,12,31))-YEAR(情報入力!$C$23)-IF(DATE(BQ$3,12,31)&lt;DATE(BQ$3,MONTH(情報入力!$C$23),DAY(情報入力!$C$23)),1,0)))</f>
        <v/>
      </c>
      <c r="BR8" s="218">
        <f>IF(BR$3="","",IF(情報入力!$C$23="","",YEAR(DATE(BR$3,12,31))-YEAR(情報入力!$C$23)-IF(DATE(BR$3,12,31)&lt;DATE(BR$3,MONTH(情報入力!$C$23),DAY(情報入力!$C$23)),1,0)))</f>
        <v/>
      </c>
      <c r="BS8" s="218">
        <f>IF(BS$3="","",IF(情報入力!$C$23="","",YEAR(DATE(BS$3,12,31))-YEAR(情報入力!$C$23)-IF(DATE(BS$3,12,31)&lt;DATE(BS$3,MONTH(情報入力!$C$23),DAY(情報入力!$C$23)),1,0)))</f>
        <v/>
      </c>
      <c r="BT8" s="218">
        <f>IF(BT$3="","",IF(情報入力!$C$23="","",YEAR(DATE(BT$3,12,31))-YEAR(情報入力!$C$23)-IF(DATE(BT$3,12,31)&lt;DATE(BT$3,MONTH(情報入力!$C$23),DAY(情報入力!$C$23)),1,0)))</f>
        <v/>
      </c>
      <c r="BU8" s="218">
        <f>IF(BU$3="","",IF(情報入力!$C$23="","",YEAR(DATE(BU$3,12,31))-YEAR(情報入力!$C$23)-IF(DATE(BU$3,12,31)&lt;DATE(BU$3,MONTH(情報入力!$C$23),DAY(情報入力!$C$23)),1,0)))</f>
        <v/>
      </c>
      <c r="BV8" s="218">
        <f>IF(BV$3="","",IF(情報入力!$C$23="","",YEAR(DATE(BV$3,12,31))-YEAR(情報入力!$C$23)-IF(DATE(BV$3,12,31)&lt;DATE(BV$3,MONTH(情報入力!$C$23),DAY(情報入力!$C$23)),1,0)))</f>
        <v/>
      </c>
      <c r="BW8" s="218">
        <f>IF(BW$3="","",IF(情報入力!$C$23="","",YEAR(DATE(BW$3,12,31))-YEAR(情報入力!$C$23)-IF(DATE(BW$3,12,31)&lt;DATE(BW$3,MONTH(情報入力!$C$23),DAY(情報入力!$C$23)),1,0)))</f>
        <v/>
      </c>
      <c r="BX8" s="218">
        <f>IF(BX$3="","",IF(情報入力!$C$23="","",YEAR(DATE(BX$3,12,31))-YEAR(情報入力!$C$23)-IF(DATE(BX$3,12,31)&lt;DATE(BX$3,MONTH(情報入力!$C$23),DAY(情報入力!$C$23)),1,0)))</f>
        <v/>
      </c>
      <c r="BY8" s="218">
        <f>IF(BY$3="","",IF(情報入力!$C$23="","",YEAR(DATE(BY$3,12,31))-YEAR(情報入力!$C$23)-IF(DATE(BY$3,12,31)&lt;DATE(BY$3,MONTH(情報入力!$C$23),DAY(情報入力!$C$23)),1,0)))</f>
        <v/>
      </c>
      <c r="BZ8" s="218">
        <f>IF(BZ$3="","",IF(情報入力!$C$23="","",YEAR(DATE(BZ$3,12,31))-YEAR(情報入力!$C$23)-IF(DATE(BZ$3,12,31)&lt;DATE(BZ$3,MONTH(情報入力!$C$23),DAY(情報入力!$C$23)),1,0)))</f>
        <v/>
      </c>
      <c r="CA8" s="218">
        <f>IF(CA$3="","",IF(情報入力!$C$23="","",YEAR(DATE(CA$3,12,31))-YEAR(情報入力!$C$23)-IF(DATE(CA$3,12,31)&lt;DATE(CA$3,MONTH(情報入力!$C$23),DAY(情報入力!$C$23)),1,0)))</f>
        <v/>
      </c>
      <c r="CB8" s="218">
        <f>IF(CB$3="","",IF(情報入力!$C$23="","",YEAR(DATE(CB$3,12,31))-YEAR(情報入力!$C$23)-IF(DATE(CB$3,12,31)&lt;DATE(CB$3,MONTH(情報入力!$C$23),DAY(情報入力!$C$23)),1,0)))</f>
        <v/>
      </c>
      <c r="CC8" s="218">
        <f>IF(CC$3="","",IF(情報入力!$C$23="","",YEAR(DATE(CC$3,12,31))-YEAR(情報入力!$C$23)-IF(DATE(CC$3,12,31)&lt;DATE(CC$3,MONTH(情報入力!$C$23),DAY(情報入力!$C$23)),1,0)))</f>
        <v/>
      </c>
      <c r="CD8" s="218">
        <f>IF(CD$3="","",IF(情報入力!$C$23="","",YEAR(DATE(CD$3,12,31))-YEAR(情報入力!$C$23)-IF(DATE(CD$3,12,31)&lt;DATE(CD$3,MONTH(情報入力!$C$23),DAY(情報入力!$C$23)),1,0)))</f>
        <v/>
      </c>
      <c r="CE8" s="218">
        <f>IF(CE$3="","",IF(情報入力!$C$23="","",YEAR(DATE(CE$3,12,31))-YEAR(情報入力!$C$23)-IF(DATE(CE$3,12,31)&lt;DATE(CE$3,MONTH(情報入力!$C$23),DAY(情報入力!$C$23)),1,0)))</f>
        <v/>
      </c>
      <c r="CF8" s="218">
        <f>IF(CF$3="","",IF(情報入力!$C$23="","",YEAR(DATE(CF$3,12,31))-YEAR(情報入力!$C$23)-IF(DATE(CF$3,12,31)&lt;DATE(CF$3,MONTH(情報入力!$C$23),DAY(情報入力!$C$23)),1,0)))</f>
        <v/>
      </c>
      <c r="CG8" s="218">
        <f>IF(CG$3="","",IF(情報入力!$C$23="","",YEAR(DATE(CG$3,12,31))-YEAR(情報入力!$C$23)-IF(DATE(CG$3,12,31)&lt;DATE(CG$3,MONTH(情報入力!$C$23),DAY(情報入力!$C$23)),1,0)))</f>
        <v/>
      </c>
      <c r="CH8" s="218">
        <f>IF(CH$3="","",IF(情報入力!$C$23="","",YEAR(DATE(CH$3,12,31))-YEAR(情報入力!$C$23)-IF(DATE(CH$3,12,31)&lt;DATE(CH$3,MONTH(情報入力!$C$23),DAY(情報入力!$C$23)),1,0)))</f>
        <v/>
      </c>
      <c r="CI8" s="218">
        <f>IF(CI$3="","",IF(情報入力!$C$23="","",YEAR(DATE(CI$3,12,31))-YEAR(情報入力!$C$23)-IF(DATE(CI$3,12,31)&lt;DATE(CI$3,MONTH(情報入力!$C$23),DAY(情報入力!$C$23)),1,0)))</f>
        <v/>
      </c>
      <c r="CJ8" s="218">
        <f>IF(CJ$3="","",IF(情報入力!$C$23="","",YEAR(DATE(CJ$3,12,31))-YEAR(情報入力!$C$23)-IF(DATE(CJ$3,12,31)&lt;DATE(CJ$3,MONTH(情報入力!$C$23),DAY(情報入力!$C$23)),1,0)))</f>
        <v/>
      </c>
      <c r="CK8" s="218">
        <f>IF(CK$3="","",IF(情報入力!$C$23="","",YEAR(DATE(CK$3,12,31))-YEAR(情報入力!$C$23)-IF(DATE(CK$3,12,31)&lt;DATE(CK$3,MONTH(情報入力!$C$23),DAY(情報入力!$C$23)),1,0)))</f>
        <v/>
      </c>
      <c r="CL8" s="218">
        <f>IF(CL$3="","",IF(情報入力!$C$23="","",YEAR(DATE(CL$3,12,31))-YEAR(情報入力!$C$23)-IF(DATE(CL$3,12,31)&lt;DATE(CL$3,MONTH(情報入力!$C$23),DAY(情報入力!$C$23)),1,0)))</f>
        <v/>
      </c>
      <c r="CM8" s="218">
        <f>IF(CM$3="","",IF(情報入力!$C$23="","",YEAR(DATE(CM$3,12,31))-YEAR(情報入力!$C$23)-IF(DATE(CM$3,12,31)&lt;DATE(CM$3,MONTH(情報入力!$C$23),DAY(情報入力!$C$23)),1,0)))</f>
        <v/>
      </c>
      <c r="CN8" s="218">
        <f>IF(CN$3="","",IF(情報入力!$C$23="","",YEAR(DATE(CN$3,12,31))-YEAR(情報入力!$C$23)-IF(DATE(CN$3,12,31)&lt;DATE(CN$3,MONTH(情報入力!$C$23),DAY(情報入力!$C$23)),1,0)))</f>
        <v/>
      </c>
      <c r="CO8" s="218">
        <f>IF(CO$3="","",IF(情報入力!$C$23="","",YEAR(DATE(CO$3,12,31))-YEAR(情報入力!$C$23)-IF(DATE(CO$3,12,31)&lt;DATE(CO$3,MONTH(情報入力!$C$23),DAY(情報入力!$C$23)),1,0)))</f>
        <v/>
      </c>
      <c r="CP8" s="218">
        <f>IF(CP$3="","",IF(情報入力!$C$23="","",YEAR(DATE(CP$3,12,31))-YEAR(情報入力!$C$23)-IF(DATE(CP$3,12,31)&lt;DATE(CP$3,MONTH(情報入力!$C$23),DAY(情報入力!$C$23)),1,0)))</f>
        <v/>
      </c>
      <c r="CQ8" s="218">
        <f>IF(CQ$3="","",IF(情報入力!$C$23="","",YEAR(DATE(CQ$3,12,31))-YEAR(情報入力!$C$23)-IF(DATE(CQ$3,12,31)&lt;DATE(CQ$3,MONTH(情報入力!$C$23),DAY(情報入力!$C$23)),1,0)))</f>
        <v/>
      </c>
      <c r="CR8" s="218">
        <f>IF(CR$3="","",IF(情報入力!$C$23="","",YEAR(DATE(CR$3,12,31))-YEAR(情報入力!$C$23)-IF(DATE(CR$3,12,31)&lt;DATE(CR$3,MONTH(情報入力!$C$23),DAY(情報入力!$C$23)),1,0)))</f>
        <v/>
      </c>
      <c r="CS8" s="218">
        <f>IF(CS$3="","",IF(情報入力!$C$23="","",YEAR(DATE(CS$3,12,31))-YEAR(情報入力!$C$23)-IF(DATE(CS$3,12,31)&lt;DATE(CS$3,MONTH(情報入力!$C$23),DAY(情報入力!$C$23)),1,0)))</f>
        <v/>
      </c>
      <c r="CT8" s="218">
        <f>IF(CT$3="","",IF(情報入力!$C$23="","",YEAR(DATE(CT$3,12,31))-YEAR(情報入力!$C$23)-IF(DATE(CT$3,12,31)&lt;DATE(CT$3,MONTH(情報入力!$C$23),DAY(情報入力!$C$23)),1,0)))</f>
        <v/>
      </c>
      <c r="CU8" s="218">
        <f>IF(CU$3="","",IF(情報入力!$C$23="","",YEAR(DATE(CU$3,12,31))-YEAR(情報入力!$C$23)-IF(DATE(CU$3,12,31)&lt;DATE(CU$3,MONTH(情報入力!$C$23),DAY(情報入力!$C$23)),1,0)))</f>
        <v/>
      </c>
      <c r="CV8" s="218">
        <f>IF(CV$3="","",IF(情報入力!$C$23="","",YEAR(DATE(CV$3,12,31))-YEAR(情報入力!$C$23)-IF(DATE(CV$3,12,31)&lt;DATE(CV$3,MONTH(情報入力!$C$23),DAY(情報入力!$C$23)),1,0)))</f>
        <v/>
      </c>
      <c r="CW8" s="218">
        <f>IF(CW$3="","",IF(情報入力!$C$23="","",YEAR(DATE(CW$3,12,31))-YEAR(情報入力!$C$23)-IF(DATE(CW$3,12,31)&lt;DATE(CW$3,MONTH(情報入力!$C$23),DAY(情報入力!$C$23)),1,0)))</f>
        <v/>
      </c>
    </row>
    <row r="9" ht="15" customHeight="1" s="180">
      <c r="A9" s="205" t="inlineStr">
        <is>
          <t>家族年齢</t>
        </is>
      </c>
      <c r="B9" s="219" t="n"/>
      <c r="C9" s="219" t="n"/>
      <c r="D9" s="219" t="n"/>
      <c r="E9" s="219" t="n"/>
      <c r="F9" s="219" t="n"/>
      <c r="G9" s="219" t="n"/>
      <c r="H9" s="219" t="n"/>
      <c r="I9" s="219" t="n"/>
      <c r="J9" s="219" t="n"/>
      <c r="K9" s="219" t="n"/>
      <c r="L9" s="219" t="n"/>
      <c r="M9" s="219" t="n"/>
      <c r="N9" s="219" t="n"/>
      <c r="O9" s="219" t="n"/>
      <c r="P9" s="219" t="n"/>
      <c r="Q9" s="219" t="n"/>
      <c r="R9" s="219" t="n"/>
      <c r="S9" s="219" t="n"/>
      <c r="T9" s="219" t="n"/>
      <c r="U9" s="219" t="n"/>
      <c r="V9" s="219" t="n"/>
      <c r="W9" s="219" t="n"/>
      <c r="X9" s="219" t="n"/>
      <c r="Y9" s="219" t="n"/>
      <c r="Z9" s="219" t="n"/>
      <c r="AA9" s="219" t="n"/>
      <c r="AB9" s="219" t="n"/>
      <c r="AC9" s="219" t="n"/>
      <c r="AD9" s="219" t="n"/>
      <c r="AE9" s="219" t="n"/>
      <c r="AF9" s="219" t="n"/>
      <c r="AG9" s="219" t="n"/>
      <c r="AH9" s="219" t="n"/>
      <c r="AI9" s="219" t="n"/>
      <c r="AJ9" s="219" t="n"/>
      <c r="AK9" s="219" t="n"/>
      <c r="AL9" s="219" t="n"/>
      <c r="AM9" s="219" t="n"/>
      <c r="AN9" s="219" t="n"/>
      <c r="AO9" s="219" t="n"/>
      <c r="AP9" s="219" t="n"/>
      <c r="AQ9" s="219" t="n"/>
      <c r="AR9" s="219" t="n"/>
      <c r="AS9" s="219" t="n"/>
      <c r="AT9" s="219" t="n"/>
      <c r="AU9" s="219" t="n"/>
      <c r="AV9" s="219" t="n"/>
      <c r="AW9" s="219" t="n"/>
      <c r="AX9" s="219" t="n"/>
      <c r="AY9" s="219" t="n"/>
      <c r="AZ9" s="219" t="n"/>
      <c r="BA9" s="219" t="n"/>
      <c r="BB9" s="219" t="n"/>
      <c r="BC9" s="219" t="n"/>
      <c r="BD9" s="219" t="n"/>
      <c r="BE9" s="219" t="n"/>
      <c r="BF9" s="219" t="n"/>
      <c r="BG9" s="219" t="n"/>
      <c r="BH9" s="219" t="n"/>
      <c r="BI9" s="219" t="n"/>
      <c r="BJ9" s="219" t="n"/>
      <c r="BK9" s="219" t="n"/>
      <c r="BL9" s="219" t="n"/>
      <c r="BM9" s="219" t="n"/>
      <c r="BN9" s="219" t="n"/>
      <c r="BO9" s="219" t="n"/>
      <c r="BP9" s="219" t="n"/>
      <c r="BQ9" s="219" t="n"/>
      <c r="BR9" s="219" t="n"/>
      <c r="BS9" s="219" t="n"/>
      <c r="BT9" s="219" t="n"/>
      <c r="BU9" s="219" t="n"/>
      <c r="BV9" s="219" t="n"/>
      <c r="BW9" s="219" t="n"/>
      <c r="BX9" s="219" t="n"/>
      <c r="BY9" s="219" t="n"/>
      <c r="BZ9" s="219" t="n"/>
      <c r="CA9" s="219" t="n"/>
      <c r="CB9" s="219" t="n"/>
      <c r="CC9" s="219" t="n"/>
      <c r="CD9" s="219" t="n"/>
      <c r="CE9" s="219" t="n"/>
      <c r="CF9" s="219" t="n"/>
      <c r="CG9" s="219" t="n"/>
      <c r="CH9" s="219" t="n"/>
      <c r="CI9" s="219" t="n"/>
      <c r="CJ9" s="219" t="n"/>
      <c r="CK9" s="219" t="n"/>
      <c r="CL9" s="219" t="n"/>
      <c r="CM9" s="219" t="n"/>
      <c r="CN9" s="219" t="n"/>
      <c r="CO9" s="219" t="n"/>
      <c r="CP9" s="219" t="n"/>
      <c r="CQ9" s="219" t="n"/>
      <c r="CR9" s="219" t="n"/>
      <c r="CS9" s="219" t="n"/>
      <c r="CT9" s="219" t="n"/>
      <c r="CU9" s="219" t="n"/>
      <c r="CV9" s="219" t="n"/>
      <c r="CW9" s="219" t="n"/>
    </row>
    <row r="10" ht="15" customHeight="1" s="180">
      <c r="A10" s="220" t="inlineStr">
        <is>
          <t>ご主人様収入</t>
        </is>
      </c>
      <c r="B10" s="350">
        <f>IF(B$3="","",IF(B4&lt;入力データ!$C$109,((入力データ!$C$29*12)+IF(入力データ!$C$31="あり",入力データ!$C$32,0))*(1+前提条件!$C$5)^(B$3-$B$3),0))</f>
        <v/>
      </c>
      <c r="C10" s="350">
        <f>IF(C$3="","",IF(C4&lt;入力データ!$C$109,((入力データ!$C$29*12)+IF(入力データ!$C$31="あり",入力データ!$C$32,0))*(1+前提条件!$C$5)^(C$3-$B$3),0))</f>
        <v/>
      </c>
      <c r="D10" s="350">
        <f>IF(D$3="","",IF(D4&lt;入力データ!$C$109,((入力データ!$C$29*12)+IF(入力データ!$C$31="あり",入力データ!$C$32,0))*(1+前提条件!$C$5)^(D$3-$B$3),0))</f>
        <v/>
      </c>
      <c r="E10" s="350">
        <f>IF(E$3="","",IF(E4&lt;入力データ!$C$109,((入力データ!$C$29*12)+IF(入力データ!$C$31="あり",入力データ!$C$32,0))*(1+前提条件!$C$5)^(E$3-$B$3),0))</f>
        <v/>
      </c>
      <c r="F10" s="350">
        <f>IF(F$3="","",IF(F4&lt;入力データ!$C$109,((入力データ!$C$29*12)+IF(入力データ!$C$31="あり",入力データ!$C$32,0))*(1+前提条件!$C$5)^(F$3-$B$3),0))</f>
        <v/>
      </c>
      <c r="G10" s="350">
        <f>IF(G$3="","",IF(G4&lt;入力データ!$C$109,((入力データ!$C$29*12)+IF(入力データ!$C$31="あり",入力データ!$C$32,0))*(1+前提条件!$C$5)^(G$3-$B$3),0))</f>
        <v/>
      </c>
      <c r="H10" s="350">
        <f>IF(H$3="","",IF(H4&lt;入力データ!$C$109,((入力データ!$C$29*12)+IF(入力データ!$C$31="あり",入力データ!$C$32,0))*(1+前提条件!$C$5)^(H$3-$B$3),0))</f>
        <v/>
      </c>
      <c r="I10" s="350">
        <f>IF(I$3="","",IF(I4&lt;入力データ!$C$109,((入力データ!$C$29*12)+IF(入力データ!$C$31="あり",入力データ!$C$32,0))*(1+前提条件!$C$5)^(I$3-$B$3),0))</f>
        <v/>
      </c>
      <c r="J10" s="350">
        <f>IF(J$3="","",IF(J4&lt;入力データ!$C$109,((入力データ!$C$29*12)+IF(入力データ!$C$31="あり",入力データ!$C$32,0))*(1+前提条件!$C$5)^(J$3-$B$3),0))</f>
        <v/>
      </c>
      <c r="K10" s="350">
        <f>IF(K$3="","",IF(K4&lt;入力データ!$C$109,((入力データ!$C$29*12)+IF(入力データ!$C$31="あり",入力データ!$C$32,0))*(1+前提条件!$C$5)^(K$3-$B$3),0))</f>
        <v/>
      </c>
      <c r="L10" s="350">
        <f>IF(L$3="","",IF(L4&lt;入力データ!$C$109,((入力データ!$C$29*12)+IF(入力データ!$C$31="あり",入力データ!$C$32,0))*(1+前提条件!$C$5)^(L$3-$B$3),0))</f>
        <v/>
      </c>
      <c r="M10" s="350">
        <f>IF(M$3="","",IF(M4&lt;入力データ!$C$109,((入力データ!$C$29*12)+IF(入力データ!$C$31="あり",入力データ!$C$32,0))*(1+前提条件!$C$5)^(M$3-$B$3),0))</f>
        <v/>
      </c>
      <c r="N10" s="350">
        <f>IF(N$3="","",IF(N4&lt;入力データ!$C$109,((入力データ!$C$29*12)+IF(入力データ!$C$31="あり",入力データ!$C$32,0))*(1+前提条件!$C$5)^(N$3-$B$3),0))</f>
        <v/>
      </c>
      <c r="O10" s="350">
        <f>IF(O$3="","",IF(O4&lt;入力データ!$C$109,((入力データ!$C$29*12)+IF(入力データ!$C$31="あり",入力データ!$C$32,0))*(1+前提条件!$C$5)^(O$3-$B$3),0))</f>
        <v/>
      </c>
      <c r="P10" s="350">
        <f>IF(P$3="","",IF(P4&lt;入力データ!$C$109,((入力データ!$C$29*12)+IF(入力データ!$C$31="あり",入力データ!$C$32,0))*(1+前提条件!$C$5)^(P$3-$B$3),0))</f>
        <v/>
      </c>
      <c r="Q10" s="350">
        <f>IF(Q$3="","",IF(Q4&lt;入力データ!$C$109,((入力データ!$C$29*12)+IF(入力データ!$C$31="あり",入力データ!$C$32,0))*(1+前提条件!$C$5)^(Q$3-$B$3),0))</f>
        <v/>
      </c>
      <c r="R10" s="350">
        <f>IF(R$3="","",IF(R4&lt;入力データ!$C$109,((入力データ!$C$29*12)+IF(入力データ!$C$31="あり",入力データ!$C$32,0))*(1+前提条件!$C$5)^(R$3-$B$3),0))</f>
        <v/>
      </c>
      <c r="S10" s="350">
        <f>IF(S$3="","",IF(S4&lt;入力データ!$C$109,((入力データ!$C$29*12)+IF(入力データ!$C$31="あり",入力データ!$C$32,0))*(1+前提条件!$C$5)^(S$3-$B$3),0))</f>
        <v/>
      </c>
      <c r="T10" s="350">
        <f>IF(T$3="","",IF(T4&lt;入力データ!$C$109,((入力データ!$C$29*12)+IF(入力データ!$C$31="あり",入力データ!$C$32,0))*(1+前提条件!$C$5)^(T$3-$B$3),0))</f>
        <v/>
      </c>
      <c r="U10" s="350">
        <f>IF(U$3="","",IF(U4&lt;入力データ!$C$109,((入力データ!$C$29*12)+IF(入力データ!$C$31="あり",入力データ!$C$32,0))*(1+前提条件!$C$5)^(U$3-$B$3),0))</f>
        <v/>
      </c>
      <c r="V10" s="350">
        <f>IF(V$3="","",IF(V4&lt;入力データ!$C$109,((入力データ!$C$29*12)+IF(入力データ!$C$31="あり",入力データ!$C$32,0))*(1+前提条件!$C$5)^(V$3-$B$3),0))</f>
        <v/>
      </c>
      <c r="W10" s="350">
        <f>IF(W$3="","",IF(W4&lt;入力データ!$C$109,((入力データ!$C$29*12)+IF(入力データ!$C$31="あり",入力データ!$C$32,0))*(1+前提条件!$C$5)^(W$3-$B$3),0))</f>
        <v/>
      </c>
      <c r="X10" s="350">
        <f>IF(X$3="","",IF(X4&lt;入力データ!$C$109,((入力データ!$C$29*12)+IF(入力データ!$C$31="あり",入力データ!$C$32,0))*(1+前提条件!$C$5)^(X$3-$B$3),0))</f>
        <v/>
      </c>
      <c r="Y10" s="350">
        <f>IF(Y$3="","",IF(Y4&lt;入力データ!$C$109,((入力データ!$C$29*12)+IF(入力データ!$C$31="あり",入力データ!$C$32,0))*(1+前提条件!$C$5)^(Y$3-$B$3),0))</f>
        <v/>
      </c>
      <c r="Z10" s="350">
        <f>IF(Z$3="","",IF(Z4&lt;入力データ!$C$109,((入力データ!$C$29*12)+IF(入力データ!$C$31="あり",入力データ!$C$32,0))*(1+前提条件!$C$5)^(Z$3-$B$3),0))</f>
        <v/>
      </c>
      <c r="AA10" s="350">
        <f>IF(AA$3="","",IF(AA4&lt;入力データ!$C$109,((入力データ!$C$29*12)+IF(入力データ!$C$31="あり",入力データ!$C$32,0))*(1+前提条件!$C$5)^(AA$3-$B$3),0))</f>
        <v/>
      </c>
      <c r="AB10" s="350">
        <f>IF(AB$3="","",IF(AB4&lt;入力データ!$C$109,((入力データ!$C$29*12)+IF(入力データ!$C$31="あり",入力データ!$C$32,0))*(1+前提条件!$C$5)^(AB$3-$B$3),0))</f>
        <v/>
      </c>
      <c r="AC10" s="350">
        <f>IF(AC$3="","",IF(AC4&lt;入力データ!$C$109,((入力データ!$C$29*12)+IF(入力データ!$C$31="あり",入力データ!$C$32,0))*(1+前提条件!$C$5)^(AC$3-$B$3),0))</f>
        <v/>
      </c>
      <c r="AD10" s="350">
        <f>IF(AD$3="","",IF(AD4&lt;入力データ!$C$109,((入力データ!$C$29*12)+IF(入力データ!$C$31="あり",入力データ!$C$32,0))*(1+前提条件!$C$5)^(AD$3-$B$3),0))</f>
        <v/>
      </c>
      <c r="AE10" s="350">
        <f>IF(AE$3="","",IF(AE4&lt;入力データ!$C$109,((入力データ!$C$29*12)+IF(入力データ!$C$31="あり",入力データ!$C$32,0))*(1+前提条件!$C$5)^(AE$3-$B$3),0))</f>
        <v/>
      </c>
      <c r="AF10" s="350">
        <f>IF(AF$3="","",IF(AF4&lt;入力データ!$C$109,((入力データ!$C$29*12)+IF(入力データ!$C$31="あり",入力データ!$C$32,0))*(1+前提条件!$C$5)^(AF$3-$B$3),0))</f>
        <v/>
      </c>
      <c r="AG10" s="350">
        <f>IF(AG$3="","",IF(AG4&lt;入力データ!$C$109,((入力データ!$C$29*12)+IF(入力データ!$C$31="あり",入力データ!$C$32,0))*(1+前提条件!$C$5)^(AG$3-$B$3),0))</f>
        <v/>
      </c>
      <c r="AH10" s="350">
        <f>IF(AH$3="","",IF(AH4&lt;入力データ!$C$109,((入力データ!$C$29*12)+IF(入力データ!$C$31="あり",入力データ!$C$32,0))*(1+前提条件!$C$5)^(AH$3-$B$3),0))</f>
        <v/>
      </c>
      <c r="AI10" s="350">
        <f>IF(AI$3="","",IF(AI4&lt;入力データ!$C$109,((入力データ!$C$29*12)+IF(入力データ!$C$31="あり",入力データ!$C$32,0))*(1+前提条件!$C$5)^(AI$3-$B$3),0))</f>
        <v/>
      </c>
      <c r="AJ10" s="350">
        <f>IF(AJ$3="","",IF(AJ4&lt;入力データ!$C$109,((入力データ!$C$29*12)+IF(入力データ!$C$31="あり",入力データ!$C$32,0))*(1+前提条件!$C$5)^(AJ$3-$B$3),0))</f>
        <v/>
      </c>
      <c r="AK10" s="350">
        <f>IF(AK$3="","",IF(AK4&lt;入力データ!$C$109,((入力データ!$C$29*12)+IF(入力データ!$C$31="あり",入力データ!$C$32,0))*(1+前提条件!$C$5)^(AK$3-$B$3),0))</f>
        <v/>
      </c>
      <c r="AL10" s="350">
        <f>IF(AL$3="","",IF(AL4&lt;入力データ!$C$109,((入力データ!$C$29*12)+IF(入力データ!$C$31="あり",入力データ!$C$32,0))*(1+前提条件!$C$5)^(AL$3-$B$3),0))</f>
        <v/>
      </c>
      <c r="AM10" s="350">
        <f>IF(AM$3="","",IF(AM4&lt;入力データ!$C$109,((入力データ!$C$29*12)+IF(入力データ!$C$31="あり",入力データ!$C$32,0))*(1+前提条件!$C$5)^(AM$3-$B$3),0))</f>
        <v/>
      </c>
      <c r="AN10" s="350">
        <f>IF(AN$3="","",IF(AN4&lt;入力データ!$C$109,((入力データ!$C$29*12)+IF(入力データ!$C$31="あり",入力データ!$C$32,0))*(1+前提条件!$C$5)^(AN$3-$B$3),0))</f>
        <v/>
      </c>
      <c r="AO10" s="350">
        <f>IF(AO$3="","",IF(AO4&lt;入力データ!$C$109,((入力データ!$C$29*12)+IF(入力データ!$C$31="あり",入力データ!$C$32,0))*(1+前提条件!$C$5)^(AO$3-$B$3),0))</f>
        <v/>
      </c>
      <c r="AP10" s="350">
        <f>IF(AP$3="","",IF(AP4&lt;入力データ!$C$109,((入力データ!$C$29*12)+IF(入力データ!$C$31="あり",入力データ!$C$32,0))*(1+前提条件!$C$5)^(AP$3-$B$3),0))</f>
        <v/>
      </c>
      <c r="AQ10" s="350">
        <f>IF(AQ$3="","",IF(AQ4&lt;入力データ!$C$109,((入力データ!$C$29*12)+IF(入力データ!$C$31="あり",入力データ!$C$32,0))*(1+前提条件!$C$5)^(AQ$3-$B$3),0))</f>
        <v/>
      </c>
      <c r="AR10" s="350">
        <f>IF(AR$3="","",IF(AR4&lt;入力データ!$C$109,((入力データ!$C$29*12)+IF(入力データ!$C$31="あり",入力データ!$C$32,0))*(1+前提条件!$C$5)^(AR$3-$B$3),0))</f>
        <v/>
      </c>
      <c r="AS10" s="350">
        <f>IF(AS$3="","",IF(AS4&lt;入力データ!$C$109,((入力データ!$C$29*12)+IF(入力データ!$C$31="あり",入力データ!$C$32,0))*(1+前提条件!$C$5)^(AS$3-$B$3),0))</f>
        <v/>
      </c>
      <c r="AT10" s="350">
        <f>IF(AT$3="","",IF(AT4&lt;入力データ!$C$109,((入力データ!$C$29*12)+IF(入力データ!$C$31="あり",入力データ!$C$32,0))*(1+前提条件!$C$5)^(AT$3-$B$3),0))</f>
        <v/>
      </c>
      <c r="AU10" s="350">
        <f>IF(AU$3="","",IF(AU4&lt;入力データ!$C$109,((入力データ!$C$29*12)+IF(入力データ!$C$31="あり",入力データ!$C$32,0))*(1+前提条件!$C$5)^(AU$3-$B$3),0))</f>
        <v/>
      </c>
      <c r="AV10" s="350">
        <f>IF(AV$3="","",IF(AV4&lt;入力データ!$C$109,((入力データ!$C$29*12)+IF(入力データ!$C$31="あり",入力データ!$C$32,0))*(1+前提条件!$C$5)^(AV$3-$B$3),0))</f>
        <v/>
      </c>
      <c r="AW10" s="350">
        <f>IF(AW$3="","",IF(AW4&lt;入力データ!$C$109,((入力データ!$C$29*12)+IF(入力データ!$C$31="あり",入力データ!$C$32,0))*(1+前提条件!$C$5)^(AW$3-$B$3),0))</f>
        <v/>
      </c>
      <c r="AX10" s="350">
        <f>IF(AX$3="","",IF(AX4&lt;入力データ!$C$109,((入力データ!$C$29*12)+IF(入力データ!$C$31="あり",入力データ!$C$32,0))*(1+前提条件!$C$5)^(AX$3-$B$3),0))</f>
        <v/>
      </c>
      <c r="AY10" s="350">
        <f>IF(AY$3="","",IF(AY4&lt;入力データ!$C$109,((入力データ!$C$29*12)+IF(入力データ!$C$31="あり",入力データ!$C$32,0))*(1+前提条件!$C$5)^(AY$3-$B$3),0))</f>
        <v/>
      </c>
      <c r="AZ10" s="350">
        <f>IF(AZ$3="","",IF(AZ4&lt;入力データ!$C$109,((入力データ!$C$29*12)+IF(入力データ!$C$31="あり",入力データ!$C$32,0))*(1+前提条件!$C$5)^(AZ$3-$B$3),0))</f>
        <v/>
      </c>
      <c r="BA10" s="350">
        <f>IF(BA$3="","",IF(BA4&lt;入力データ!$C$109,((入力データ!$C$29*12)+IF(入力データ!$C$31="あり",入力データ!$C$32,0))*(1+前提条件!$C$5)^(BA$3-$B$3),0))</f>
        <v/>
      </c>
      <c r="BB10" s="350">
        <f>IF(BB$3="","",IF(BB4&lt;入力データ!$C$109,((入力データ!$C$29*12)+IF(入力データ!$C$31="あり",入力データ!$C$32,0))*(1+前提条件!$C$5)^(BB$3-$B$3),0))</f>
        <v/>
      </c>
      <c r="BC10" s="350">
        <f>IF(BC$3="","",IF(BC4&lt;入力データ!$C$109,((入力データ!$C$29*12)+IF(入力データ!$C$31="あり",入力データ!$C$32,0))*(1+前提条件!$C$5)^(BC$3-$B$3),0))</f>
        <v/>
      </c>
      <c r="BD10" s="350">
        <f>IF(BD$3="","",IF(BD4&lt;入力データ!$C$109,((入力データ!$C$29*12)+IF(入力データ!$C$31="あり",入力データ!$C$32,0))*(1+前提条件!$C$5)^(BD$3-$B$3),0))</f>
        <v/>
      </c>
      <c r="BE10" s="350">
        <f>IF(BE$3="","",IF(BE4&lt;入力データ!$C$109,((入力データ!$C$29*12)+IF(入力データ!$C$31="あり",入力データ!$C$32,0))*(1+前提条件!$C$5)^(BE$3-$B$3),0))</f>
        <v/>
      </c>
      <c r="BF10" s="350">
        <f>IF(BF$3="","",IF(BF4&lt;入力データ!$C$109,((入力データ!$C$29*12)+IF(入力データ!$C$31="あり",入力データ!$C$32,0))*(1+前提条件!$C$5)^(BF$3-$B$3),0))</f>
        <v/>
      </c>
      <c r="BG10" s="350">
        <f>IF(BG$3="","",IF(BG4&lt;入力データ!$C$109,((入力データ!$C$29*12)+IF(入力データ!$C$31="あり",入力データ!$C$32,0))*(1+前提条件!$C$5)^(BG$3-$B$3),0))</f>
        <v/>
      </c>
      <c r="BH10" s="350">
        <f>IF(BH$3="","",IF(BH4&lt;入力データ!$C$109,((入力データ!$C$29*12)+IF(入力データ!$C$31="あり",入力データ!$C$32,0))*(1+前提条件!$C$5)^(BH$3-$B$3),0))</f>
        <v/>
      </c>
      <c r="BI10" s="350">
        <f>IF(BI$3="","",IF(BI4&lt;入力データ!$C$109,((入力データ!$C$29*12)+IF(入力データ!$C$31="あり",入力データ!$C$32,0))*(1+前提条件!$C$5)^(BI$3-$B$3),0))</f>
        <v/>
      </c>
      <c r="BJ10" s="350">
        <f>IF(BJ$3="","",IF(BJ4&lt;入力データ!$C$109,((入力データ!$C$29*12)+IF(入力データ!$C$31="あり",入力データ!$C$32,0))*(1+前提条件!$C$5)^(BJ$3-$B$3),0))</f>
        <v/>
      </c>
      <c r="BK10" s="350">
        <f>IF(BK$3="","",IF(BK4&lt;入力データ!$C$109,((入力データ!$C$29*12)+IF(入力データ!$C$31="あり",入力データ!$C$32,0))*(1+前提条件!$C$5)^(BK$3-$B$3),0))</f>
        <v/>
      </c>
      <c r="BL10" s="350">
        <f>IF(BL$3="","",IF(BL4&lt;入力データ!$C$109,((入力データ!$C$29*12)+IF(入力データ!$C$31="あり",入力データ!$C$32,0))*(1+前提条件!$C$5)^(BL$3-$B$3),0))</f>
        <v/>
      </c>
      <c r="BM10" s="350">
        <f>IF(BM$3="","",IF(BM4&lt;入力データ!$C$109,((入力データ!$C$29*12)+IF(入力データ!$C$31="あり",入力データ!$C$32,0))*(1+前提条件!$C$5)^(BM$3-$B$3),0))</f>
        <v/>
      </c>
      <c r="BN10" s="350">
        <f>IF(BN$3="","",IF(BN4&lt;入力データ!$C$109,((入力データ!$C$29*12)+IF(入力データ!$C$31="あり",入力データ!$C$32,0))*(1+前提条件!$C$5)^(BN$3-$B$3),0))</f>
        <v/>
      </c>
      <c r="BO10" s="350">
        <f>IF(BO$3="","",IF(BO4&lt;入力データ!$C$109,((入力データ!$C$29*12)+IF(入力データ!$C$31="あり",入力データ!$C$32,0))*(1+前提条件!$C$5)^(BO$3-$B$3),0))</f>
        <v/>
      </c>
      <c r="BP10" s="350">
        <f>IF(BP$3="","",IF(BP4&lt;入力データ!$C$109,((入力データ!$C$29*12)+IF(入力データ!$C$31="あり",入力データ!$C$32,0))*(1+前提条件!$C$5)^(BP$3-$B$3),0))</f>
        <v/>
      </c>
      <c r="BQ10" s="350">
        <f>IF(BQ$3="","",IF(BQ4&lt;入力データ!$C$109,((入力データ!$C$29*12)+IF(入力データ!$C$31="あり",入力データ!$C$32,0))*(1+前提条件!$C$5)^(BQ$3-$B$3),0))</f>
        <v/>
      </c>
      <c r="BR10" s="350">
        <f>IF(BR$3="","",IF(BR4&lt;入力データ!$C$109,((入力データ!$C$29*12)+IF(入力データ!$C$31="あり",入力データ!$C$32,0))*(1+前提条件!$C$5)^(BR$3-$B$3),0))</f>
        <v/>
      </c>
      <c r="BS10" s="350">
        <f>IF(BS$3="","",IF(BS4&lt;入力データ!$C$109,((入力データ!$C$29*12)+IF(入力データ!$C$31="あり",入力データ!$C$32,0))*(1+前提条件!$C$5)^(BS$3-$B$3),0))</f>
        <v/>
      </c>
      <c r="BT10" s="350">
        <f>IF(BT$3="","",IF(BT4&lt;入力データ!$C$109,((入力データ!$C$29*12)+IF(入力データ!$C$31="あり",入力データ!$C$32,0))*(1+前提条件!$C$5)^(BT$3-$B$3),0))</f>
        <v/>
      </c>
      <c r="BU10" s="350">
        <f>IF(BU$3="","",IF(BU4&lt;入力データ!$C$109,((入力データ!$C$29*12)+IF(入力データ!$C$31="あり",入力データ!$C$32,0))*(1+前提条件!$C$5)^(BU$3-$B$3),0))</f>
        <v/>
      </c>
      <c r="BV10" s="350">
        <f>IF(BV$3="","",IF(BV4&lt;入力データ!$C$109,((入力データ!$C$29*12)+IF(入力データ!$C$31="あり",入力データ!$C$32,0))*(1+前提条件!$C$5)^(BV$3-$B$3),0))</f>
        <v/>
      </c>
      <c r="BW10" s="350">
        <f>IF(BW$3="","",IF(BW4&lt;入力データ!$C$109,((入力データ!$C$29*12)+IF(入力データ!$C$31="あり",入力データ!$C$32,0))*(1+前提条件!$C$5)^(BW$3-$B$3),0))</f>
        <v/>
      </c>
      <c r="BX10" s="350">
        <f>IF(BX$3="","",IF(BX4&lt;入力データ!$C$109,((入力データ!$C$29*12)+IF(入力データ!$C$31="あり",入力データ!$C$32,0))*(1+前提条件!$C$5)^(BX$3-$B$3),0))</f>
        <v/>
      </c>
      <c r="BY10" s="350">
        <f>IF(BY$3="","",IF(BY4&lt;入力データ!$C$109,((入力データ!$C$29*12)+IF(入力データ!$C$31="あり",入力データ!$C$32,0))*(1+前提条件!$C$5)^(BY$3-$B$3),0))</f>
        <v/>
      </c>
      <c r="BZ10" s="350">
        <f>IF(BZ$3="","",IF(BZ4&lt;入力データ!$C$109,((入力データ!$C$29*12)+IF(入力データ!$C$31="あり",入力データ!$C$32,0))*(1+前提条件!$C$5)^(BZ$3-$B$3),0))</f>
        <v/>
      </c>
      <c r="CA10" s="350">
        <f>IF(CA$3="","",IF(CA4&lt;入力データ!$C$109,((入力データ!$C$29*12)+IF(入力データ!$C$31="あり",入力データ!$C$32,0))*(1+前提条件!$C$5)^(CA$3-$B$3),0))</f>
        <v/>
      </c>
      <c r="CB10" s="350">
        <f>IF(CB$3="","",IF(CB4&lt;入力データ!$C$109,((入力データ!$C$29*12)+IF(入力データ!$C$31="あり",入力データ!$C$32,0))*(1+前提条件!$C$5)^(CB$3-$B$3),0))</f>
        <v/>
      </c>
      <c r="CC10" s="350">
        <f>IF(CC$3="","",IF(CC4&lt;入力データ!$C$109,((入力データ!$C$29*12)+IF(入力データ!$C$31="あり",入力データ!$C$32,0))*(1+前提条件!$C$5)^(CC$3-$B$3),0))</f>
        <v/>
      </c>
      <c r="CD10" s="350">
        <f>IF(CD$3="","",IF(CD4&lt;入力データ!$C$109,((入力データ!$C$29*12)+IF(入力データ!$C$31="あり",入力データ!$C$32,0))*(1+前提条件!$C$5)^(CD$3-$B$3),0))</f>
        <v/>
      </c>
      <c r="CE10" s="350">
        <f>IF(CE$3="","",IF(CE4&lt;入力データ!$C$109,((入力データ!$C$29*12)+IF(入力データ!$C$31="あり",入力データ!$C$32,0))*(1+前提条件!$C$5)^(CE$3-$B$3),0))</f>
        <v/>
      </c>
      <c r="CF10" s="350">
        <f>IF(CF$3="","",IF(CF4&lt;入力データ!$C$109,((入力データ!$C$29*12)+IF(入力データ!$C$31="あり",入力データ!$C$32,0))*(1+前提条件!$C$5)^(CF$3-$B$3),0))</f>
        <v/>
      </c>
      <c r="CG10" s="350">
        <f>IF(CG$3="","",IF(CG4&lt;入力データ!$C$109,((入力データ!$C$29*12)+IF(入力データ!$C$31="あり",入力データ!$C$32,0))*(1+前提条件!$C$5)^(CG$3-$B$3),0))</f>
        <v/>
      </c>
      <c r="CH10" s="350">
        <f>IF(CH$3="","",IF(CH4&lt;入力データ!$C$109,((入力データ!$C$29*12)+IF(入力データ!$C$31="あり",入力データ!$C$32,0))*(1+前提条件!$C$5)^(CH$3-$B$3),0))</f>
        <v/>
      </c>
      <c r="CI10" s="350">
        <f>IF(CI$3="","",IF(CI4&lt;入力データ!$C$109,((入力データ!$C$29*12)+IF(入力データ!$C$31="あり",入力データ!$C$32,0))*(1+前提条件!$C$5)^(CI$3-$B$3),0))</f>
        <v/>
      </c>
      <c r="CJ10" s="350">
        <f>IF(CJ$3="","",IF(CJ4&lt;入力データ!$C$109,((入力データ!$C$29*12)+IF(入力データ!$C$31="あり",入力データ!$C$32,0))*(1+前提条件!$C$5)^(CJ$3-$B$3),0))</f>
        <v/>
      </c>
      <c r="CK10" s="350">
        <f>IF(CK$3="","",IF(CK4&lt;入力データ!$C$109,((入力データ!$C$29*12)+IF(入力データ!$C$31="あり",入力データ!$C$32,0))*(1+前提条件!$C$5)^(CK$3-$B$3),0))</f>
        <v/>
      </c>
      <c r="CL10" s="350">
        <f>IF(CL$3="","",IF(CL4&lt;入力データ!$C$109,((入力データ!$C$29*12)+IF(入力データ!$C$31="あり",入力データ!$C$32,0))*(1+前提条件!$C$5)^(CL$3-$B$3),0))</f>
        <v/>
      </c>
      <c r="CM10" s="350">
        <f>IF(CM$3="","",IF(CM4&lt;入力データ!$C$109,((入力データ!$C$29*12)+IF(入力データ!$C$31="あり",入力データ!$C$32,0))*(1+前提条件!$C$5)^(CM$3-$B$3),0))</f>
        <v/>
      </c>
      <c r="CN10" s="350">
        <f>IF(CN$3="","",IF(CN4&lt;入力データ!$C$109,((入力データ!$C$29*12)+IF(入力データ!$C$31="あり",入力データ!$C$32,0))*(1+前提条件!$C$5)^(CN$3-$B$3),0))</f>
        <v/>
      </c>
      <c r="CO10" s="350">
        <f>IF(CO$3="","",IF(CO4&lt;入力データ!$C$109,((入力データ!$C$29*12)+IF(入力データ!$C$31="あり",入力データ!$C$32,0))*(1+前提条件!$C$5)^(CO$3-$B$3),0))</f>
        <v/>
      </c>
      <c r="CP10" s="350">
        <f>IF(CP$3="","",IF(CP4&lt;入力データ!$C$109,((入力データ!$C$29*12)+IF(入力データ!$C$31="あり",入力データ!$C$32,0))*(1+前提条件!$C$5)^(CP$3-$B$3),0))</f>
        <v/>
      </c>
      <c r="CQ10" s="350">
        <f>IF(CQ$3="","",IF(CQ4&lt;入力データ!$C$109,((入力データ!$C$29*12)+IF(入力データ!$C$31="あり",入力データ!$C$32,0))*(1+前提条件!$C$5)^(CQ$3-$B$3),0))</f>
        <v/>
      </c>
      <c r="CR10" s="350">
        <f>IF(CR$3="","",IF(CR4&lt;入力データ!$C$109,((入力データ!$C$29*12)+IF(入力データ!$C$31="あり",入力データ!$C$32,0))*(1+前提条件!$C$5)^(CR$3-$B$3),0))</f>
        <v/>
      </c>
      <c r="CS10" s="350">
        <f>IF(CS$3="","",IF(CS4&lt;入力データ!$C$109,((入力データ!$C$29*12)+IF(入力データ!$C$31="あり",入力データ!$C$32,0))*(1+前提条件!$C$5)^(CS$3-$B$3),0))</f>
        <v/>
      </c>
      <c r="CT10" s="350">
        <f>IF(CT$3="","",IF(CT4&lt;入力データ!$C$109,((入力データ!$C$29*12)+IF(入力データ!$C$31="あり",入力データ!$C$32,0))*(1+前提条件!$C$5)^(CT$3-$B$3),0))</f>
        <v/>
      </c>
      <c r="CU10" s="350">
        <f>IF(CU$3="","",IF(CU4&lt;入力データ!$C$109,((入力データ!$C$29*12)+IF(入力データ!$C$31="あり",入力データ!$C$32,0))*(1+前提条件!$C$5)^(CU$3-$B$3),0))</f>
        <v/>
      </c>
      <c r="CV10" s="350">
        <f>IF(CV$3="","",IF(CV4&lt;入力データ!$C$109,((入力データ!$C$29*12)+IF(入力データ!$C$31="あり",入力データ!$C$32,0))*(1+前提条件!$C$5)^(CV$3-$B$3),0))</f>
        <v/>
      </c>
      <c r="CW10" s="350">
        <f>IF(CW$3="","",IF(CW4&lt;入力データ!$C$109,((入力データ!$C$29*12)+IF(入力データ!$C$31="あり",入力データ!$C$32,0))*(1+前提条件!$C$5)^(CW$3-$B$3),0))</f>
        <v/>
      </c>
    </row>
    <row r="11" ht="15" customHeight="1" s="180">
      <c r="A11" s="220" t="inlineStr">
        <is>
          <t>奥様収入</t>
        </is>
      </c>
      <c r="B11" s="350">
        <f>IF(B$3="","",IF(B5&lt;入力データ!$C$110,((入力データ!$C$30*12)+IF(入力データ!$C$31="あり",入力データ!$C$33,0))*(1+前提条件!$C$6)^(B$3-$B$3),0))</f>
        <v/>
      </c>
      <c r="C11" s="350">
        <f>IF(C$3="","",IF(C5&lt;入力データ!$C$110,((入力データ!$C$30*12)+IF(入力データ!$C$31="あり",入力データ!$C$33,0))*(1+前提条件!$C$6)^(C$3-$B$3),0))</f>
        <v/>
      </c>
      <c r="D11" s="350">
        <f>IF(D$3="","",IF(D5&lt;入力データ!$C$110,((入力データ!$C$30*12)+IF(入力データ!$C$31="あり",入力データ!$C$33,0))*(1+前提条件!$C$6)^(D$3-$B$3),0))</f>
        <v/>
      </c>
      <c r="E11" s="350">
        <f>IF(E$3="","",IF(E5&lt;入力データ!$C$110,((入力データ!$C$30*12)+IF(入力データ!$C$31="あり",入力データ!$C$33,0))*(1+前提条件!$C$6)^(E$3-$B$3),0))</f>
        <v/>
      </c>
      <c r="F11" s="350">
        <f>IF(F$3="","",IF(F5&lt;入力データ!$C$110,((入力データ!$C$30*12)+IF(入力データ!$C$31="あり",入力データ!$C$33,0))*(1+前提条件!$C$6)^(F$3-$B$3),0))</f>
        <v/>
      </c>
      <c r="G11" s="350">
        <f>IF(G$3="","",IF(G5&lt;入力データ!$C$110,((入力データ!$C$30*12)+IF(入力データ!$C$31="あり",入力データ!$C$33,0))*(1+前提条件!$C$6)^(G$3-$B$3),0))</f>
        <v/>
      </c>
      <c r="H11" s="350">
        <f>IF(H$3="","",IF(H5&lt;入力データ!$C$110,((入力データ!$C$30*12)+IF(入力データ!$C$31="あり",入力データ!$C$33,0))*(1+前提条件!$C$6)^(H$3-$B$3),0))</f>
        <v/>
      </c>
      <c r="I11" s="350">
        <f>IF(I$3="","",IF(I5&lt;入力データ!$C$110,((入力データ!$C$30*12)+IF(入力データ!$C$31="あり",入力データ!$C$33,0))*(1+前提条件!$C$6)^(I$3-$B$3),0))</f>
        <v/>
      </c>
      <c r="J11" s="350">
        <f>IF(J$3="","",IF(J5&lt;入力データ!$C$110,((入力データ!$C$30*12)+IF(入力データ!$C$31="あり",入力データ!$C$33,0))*(1+前提条件!$C$6)^(J$3-$B$3),0))</f>
        <v/>
      </c>
      <c r="K11" s="350">
        <f>IF(K$3="","",IF(K5&lt;入力データ!$C$110,((入力データ!$C$30*12)+IF(入力データ!$C$31="あり",入力データ!$C$33,0))*(1+前提条件!$C$6)^(K$3-$B$3),0))</f>
        <v/>
      </c>
      <c r="L11" s="350">
        <f>IF(L$3="","",IF(L5&lt;入力データ!$C$110,((入力データ!$C$30*12)+IF(入力データ!$C$31="あり",入力データ!$C$33,0))*(1+前提条件!$C$6)^(L$3-$B$3),0))</f>
        <v/>
      </c>
      <c r="M11" s="350">
        <f>IF(M$3="","",IF(M5&lt;入力データ!$C$110,((入力データ!$C$30*12)+IF(入力データ!$C$31="あり",入力データ!$C$33,0))*(1+前提条件!$C$6)^(M$3-$B$3),0))</f>
        <v/>
      </c>
      <c r="N11" s="350">
        <f>IF(N$3="","",IF(N5&lt;入力データ!$C$110,((入力データ!$C$30*12)+IF(入力データ!$C$31="あり",入力データ!$C$33,0))*(1+前提条件!$C$6)^(N$3-$B$3),0))</f>
        <v/>
      </c>
      <c r="O11" s="350">
        <f>IF(O$3="","",IF(O5&lt;入力データ!$C$110,((入力データ!$C$30*12)+IF(入力データ!$C$31="あり",入力データ!$C$33,0))*(1+前提条件!$C$6)^(O$3-$B$3),0))</f>
        <v/>
      </c>
      <c r="P11" s="350">
        <f>IF(P$3="","",IF(P5&lt;入力データ!$C$110,((入力データ!$C$30*12)+IF(入力データ!$C$31="あり",入力データ!$C$33,0))*(1+前提条件!$C$6)^(P$3-$B$3),0))</f>
        <v/>
      </c>
      <c r="Q11" s="350">
        <f>IF(Q$3="","",IF(Q5&lt;入力データ!$C$110,((入力データ!$C$30*12)+IF(入力データ!$C$31="あり",入力データ!$C$33,0))*(1+前提条件!$C$6)^(Q$3-$B$3),0))</f>
        <v/>
      </c>
      <c r="R11" s="350">
        <f>IF(R$3="","",IF(R5&lt;入力データ!$C$110,((入力データ!$C$30*12)+IF(入力データ!$C$31="あり",入力データ!$C$33,0))*(1+前提条件!$C$6)^(R$3-$B$3),0))</f>
        <v/>
      </c>
      <c r="S11" s="350">
        <f>IF(S$3="","",IF(S5&lt;入力データ!$C$110,((入力データ!$C$30*12)+IF(入力データ!$C$31="あり",入力データ!$C$33,0))*(1+前提条件!$C$6)^(S$3-$B$3),0))</f>
        <v/>
      </c>
      <c r="T11" s="350">
        <f>IF(T$3="","",IF(T5&lt;入力データ!$C$110,((入力データ!$C$30*12)+IF(入力データ!$C$31="あり",入力データ!$C$33,0))*(1+前提条件!$C$6)^(T$3-$B$3),0))</f>
        <v/>
      </c>
      <c r="U11" s="350">
        <f>IF(U$3="","",IF(U5&lt;入力データ!$C$110,((入力データ!$C$30*12)+IF(入力データ!$C$31="あり",入力データ!$C$33,0))*(1+前提条件!$C$6)^(U$3-$B$3),0))</f>
        <v/>
      </c>
      <c r="V11" s="350">
        <f>IF(V$3="","",IF(V5&lt;入力データ!$C$110,((入力データ!$C$30*12)+IF(入力データ!$C$31="あり",入力データ!$C$33,0))*(1+前提条件!$C$6)^(V$3-$B$3),0))</f>
        <v/>
      </c>
      <c r="W11" s="350">
        <f>IF(W$3="","",IF(W5&lt;入力データ!$C$110,((入力データ!$C$30*12)+IF(入力データ!$C$31="あり",入力データ!$C$33,0))*(1+前提条件!$C$6)^(W$3-$B$3),0))</f>
        <v/>
      </c>
      <c r="X11" s="350">
        <f>IF(X$3="","",IF(X5&lt;入力データ!$C$110,((入力データ!$C$30*12)+IF(入力データ!$C$31="あり",入力データ!$C$33,0))*(1+前提条件!$C$6)^(X$3-$B$3),0))</f>
        <v/>
      </c>
      <c r="Y11" s="350">
        <f>IF(Y$3="","",IF(Y5&lt;入力データ!$C$110,((入力データ!$C$30*12)+IF(入力データ!$C$31="あり",入力データ!$C$33,0))*(1+前提条件!$C$6)^(Y$3-$B$3),0))</f>
        <v/>
      </c>
      <c r="Z11" s="350">
        <f>IF(Z$3="","",IF(Z5&lt;入力データ!$C$110,((入力データ!$C$30*12)+IF(入力データ!$C$31="あり",入力データ!$C$33,0))*(1+前提条件!$C$6)^(Z$3-$B$3),0))</f>
        <v/>
      </c>
      <c r="AA11" s="350">
        <f>IF(AA$3="","",IF(AA5&lt;入力データ!$C$110,((入力データ!$C$30*12)+IF(入力データ!$C$31="あり",入力データ!$C$33,0))*(1+前提条件!$C$6)^(AA$3-$B$3),0))</f>
        <v/>
      </c>
      <c r="AB11" s="350">
        <f>IF(AB$3="","",IF(AB5&lt;入力データ!$C$110,((入力データ!$C$30*12)+IF(入力データ!$C$31="あり",入力データ!$C$33,0))*(1+前提条件!$C$6)^(AB$3-$B$3),0))</f>
        <v/>
      </c>
      <c r="AC11" s="350">
        <f>IF(AC$3="","",IF(AC5&lt;入力データ!$C$110,((入力データ!$C$30*12)+IF(入力データ!$C$31="あり",入力データ!$C$33,0))*(1+前提条件!$C$6)^(AC$3-$B$3),0))</f>
        <v/>
      </c>
      <c r="AD11" s="350">
        <f>IF(AD$3="","",IF(AD5&lt;入力データ!$C$110,((入力データ!$C$30*12)+IF(入力データ!$C$31="あり",入力データ!$C$33,0))*(1+前提条件!$C$6)^(AD$3-$B$3),0))</f>
        <v/>
      </c>
      <c r="AE11" s="350">
        <f>IF(AE$3="","",IF(AE5&lt;入力データ!$C$110,((入力データ!$C$30*12)+IF(入力データ!$C$31="あり",入力データ!$C$33,0))*(1+前提条件!$C$6)^(AE$3-$B$3),0))</f>
        <v/>
      </c>
      <c r="AF11" s="350">
        <f>IF(AF$3="","",IF(AF5&lt;入力データ!$C$110,((入力データ!$C$30*12)+IF(入力データ!$C$31="あり",入力データ!$C$33,0))*(1+前提条件!$C$6)^(AF$3-$B$3),0))</f>
        <v/>
      </c>
      <c r="AG11" s="350">
        <f>IF(AG$3="","",IF(AG5&lt;入力データ!$C$110,((入力データ!$C$30*12)+IF(入力データ!$C$31="あり",入力データ!$C$33,0))*(1+前提条件!$C$6)^(AG$3-$B$3),0))</f>
        <v/>
      </c>
      <c r="AH11" s="350">
        <f>IF(AH$3="","",IF(AH5&lt;入力データ!$C$110,((入力データ!$C$30*12)+IF(入力データ!$C$31="あり",入力データ!$C$33,0))*(1+前提条件!$C$6)^(AH$3-$B$3),0))</f>
        <v/>
      </c>
      <c r="AI11" s="350">
        <f>IF(AI$3="","",IF(AI5&lt;入力データ!$C$110,((入力データ!$C$30*12)+IF(入力データ!$C$31="あり",入力データ!$C$33,0))*(1+前提条件!$C$6)^(AI$3-$B$3),0))</f>
        <v/>
      </c>
      <c r="AJ11" s="350">
        <f>IF(AJ$3="","",IF(AJ5&lt;入力データ!$C$110,((入力データ!$C$30*12)+IF(入力データ!$C$31="あり",入力データ!$C$33,0))*(1+前提条件!$C$6)^(AJ$3-$B$3),0))</f>
        <v/>
      </c>
      <c r="AK11" s="350">
        <f>IF(AK$3="","",IF(AK5&lt;入力データ!$C$110,((入力データ!$C$30*12)+IF(入力データ!$C$31="あり",入力データ!$C$33,0))*(1+前提条件!$C$6)^(AK$3-$B$3),0))</f>
        <v/>
      </c>
      <c r="AL11" s="350">
        <f>IF(AL$3="","",IF(AL5&lt;入力データ!$C$110,((入力データ!$C$30*12)+IF(入力データ!$C$31="あり",入力データ!$C$33,0))*(1+前提条件!$C$6)^(AL$3-$B$3),0))</f>
        <v/>
      </c>
      <c r="AM11" s="350">
        <f>IF(AM$3="","",IF(AM5&lt;入力データ!$C$110,((入力データ!$C$30*12)+IF(入力データ!$C$31="あり",入力データ!$C$33,0))*(1+前提条件!$C$6)^(AM$3-$B$3),0))</f>
        <v/>
      </c>
      <c r="AN11" s="350">
        <f>IF(AN$3="","",IF(AN5&lt;入力データ!$C$110,((入力データ!$C$30*12)+IF(入力データ!$C$31="あり",入力データ!$C$33,0))*(1+前提条件!$C$6)^(AN$3-$B$3),0))</f>
        <v/>
      </c>
      <c r="AO11" s="350">
        <f>IF(AO$3="","",IF(AO5&lt;入力データ!$C$110,((入力データ!$C$30*12)+IF(入力データ!$C$31="あり",入力データ!$C$33,0))*(1+前提条件!$C$6)^(AO$3-$B$3),0))</f>
        <v/>
      </c>
      <c r="AP11" s="350">
        <f>IF(AP$3="","",IF(AP5&lt;入力データ!$C$110,((入力データ!$C$30*12)+IF(入力データ!$C$31="あり",入力データ!$C$33,0))*(1+前提条件!$C$6)^(AP$3-$B$3),0))</f>
        <v/>
      </c>
      <c r="AQ11" s="350">
        <f>IF(AQ$3="","",IF(AQ5&lt;入力データ!$C$110,((入力データ!$C$30*12)+IF(入力データ!$C$31="あり",入力データ!$C$33,0))*(1+前提条件!$C$6)^(AQ$3-$B$3),0))</f>
        <v/>
      </c>
      <c r="AR11" s="350">
        <f>IF(AR$3="","",IF(AR5&lt;入力データ!$C$110,((入力データ!$C$30*12)+IF(入力データ!$C$31="あり",入力データ!$C$33,0))*(1+前提条件!$C$6)^(AR$3-$B$3),0))</f>
        <v/>
      </c>
      <c r="AS11" s="350">
        <f>IF(AS$3="","",IF(AS5&lt;入力データ!$C$110,((入力データ!$C$30*12)+IF(入力データ!$C$31="あり",入力データ!$C$33,0))*(1+前提条件!$C$6)^(AS$3-$B$3),0))</f>
        <v/>
      </c>
      <c r="AT11" s="350">
        <f>IF(AT$3="","",IF(AT5&lt;入力データ!$C$110,((入力データ!$C$30*12)+IF(入力データ!$C$31="あり",入力データ!$C$33,0))*(1+前提条件!$C$6)^(AT$3-$B$3),0))</f>
        <v/>
      </c>
      <c r="AU11" s="350">
        <f>IF(AU$3="","",IF(AU5&lt;入力データ!$C$110,((入力データ!$C$30*12)+IF(入力データ!$C$31="あり",入力データ!$C$33,0))*(1+前提条件!$C$6)^(AU$3-$B$3),0))</f>
        <v/>
      </c>
      <c r="AV11" s="350">
        <f>IF(AV$3="","",IF(AV5&lt;入力データ!$C$110,((入力データ!$C$30*12)+IF(入力データ!$C$31="あり",入力データ!$C$33,0))*(1+前提条件!$C$6)^(AV$3-$B$3),0))</f>
        <v/>
      </c>
      <c r="AW11" s="350">
        <f>IF(AW$3="","",IF(AW5&lt;入力データ!$C$110,((入力データ!$C$30*12)+IF(入力データ!$C$31="あり",入力データ!$C$33,0))*(1+前提条件!$C$6)^(AW$3-$B$3),0))</f>
        <v/>
      </c>
      <c r="AX11" s="350">
        <f>IF(AX$3="","",IF(AX5&lt;入力データ!$C$110,((入力データ!$C$30*12)+IF(入力データ!$C$31="あり",入力データ!$C$33,0))*(1+前提条件!$C$6)^(AX$3-$B$3),0))</f>
        <v/>
      </c>
      <c r="AY11" s="350">
        <f>IF(AY$3="","",IF(AY5&lt;入力データ!$C$110,((入力データ!$C$30*12)+IF(入力データ!$C$31="あり",入力データ!$C$33,0))*(1+前提条件!$C$6)^(AY$3-$B$3),0))</f>
        <v/>
      </c>
      <c r="AZ11" s="350">
        <f>IF(AZ$3="","",IF(AZ5&lt;入力データ!$C$110,((入力データ!$C$30*12)+IF(入力データ!$C$31="あり",入力データ!$C$33,0))*(1+前提条件!$C$6)^(AZ$3-$B$3),0))</f>
        <v/>
      </c>
      <c r="BA11" s="350">
        <f>IF(BA$3="","",IF(BA5&lt;入力データ!$C$110,((入力データ!$C$30*12)+IF(入力データ!$C$31="あり",入力データ!$C$33,0))*(1+前提条件!$C$6)^(BA$3-$B$3),0))</f>
        <v/>
      </c>
      <c r="BB11" s="350">
        <f>IF(BB$3="","",IF(BB5&lt;入力データ!$C$110,((入力データ!$C$30*12)+IF(入力データ!$C$31="あり",入力データ!$C$33,0))*(1+前提条件!$C$6)^(BB$3-$B$3),0))</f>
        <v/>
      </c>
      <c r="BC11" s="350">
        <f>IF(BC$3="","",IF(BC5&lt;入力データ!$C$110,((入力データ!$C$30*12)+IF(入力データ!$C$31="あり",入力データ!$C$33,0))*(1+前提条件!$C$6)^(BC$3-$B$3),0))</f>
        <v/>
      </c>
      <c r="BD11" s="350">
        <f>IF(BD$3="","",IF(BD5&lt;入力データ!$C$110,((入力データ!$C$30*12)+IF(入力データ!$C$31="あり",入力データ!$C$33,0))*(1+前提条件!$C$6)^(BD$3-$B$3),0))</f>
        <v/>
      </c>
      <c r="BE11" s="350">
        <f>IF(BE$3="","",IF(BE5&lt;入力データ!$C$110,((入力データ!$C$30*12)+IF(入力データ!$C$31="あり",入力データ!$C$33,0))*(1+前提条件!$C$6)^(BE$3-$B$3),0))</f>
        <v/>
      </c>
      <c r="BF11" s="350">
        <f>IF(BF$3="","",IF(BF5&lt;入力データ!$C$110,((入力データ!$C$30*12)+IF(入力データ!$C$31="あり",入力データ!$C$33,0))*(1+前提条件!$C$6)^(BF$3-$B$3),0))</f>
        <v/>
      </c>
      <c r="BG11" s="350">
        <f>IF(BG$3="","",IF(BG5&lt;入力データ!$C$110,((入力データ!$C$30*12)+IF(入力データ!$C$31="あり",入力データ!$C$33,0))*(1+前提条件!$C$6)^(BG$3-$B$3),0))</f>
        <v/>
      </c>
      <c r="BH11" s="350">
        <f>IF(BH$3="","",IF(BH5&lt;入力データ!$C$110,((入力データ!$C$30*12)+IF(入力データ!$C$31="あり",入力データ!$C$33,0))*(1+前提条件!$C$6)^(BH$3-$B$3),0))</f>
        <v/>
      </c>
      <c r="BI11" s="350">
        <f>IF(BI$3="","",IF(BI5&lt;入力データ!$C$110,((入力データ!$C$30*12)+IF(入力データ!$C$31="あり",入力データ!$C$33,0))*(1+前提条件!$C$6)^(BI$3-$B$3),0))</f>
        <v/>
      </c>
      <c r="BJ11" s="350">
        <f>IF(BJ$3="","",IF(BJ5&lt;入力データ!$C$110,((入力データ!$C$30*12)+IF(入力データ!$C$31="あり",入力データ!$C$33,0))*(1+前提条件!$C$6)^(BJ$3-$B$3),0))</f>
        <v/>
      </c>
      <c r="BK11" s="350">
        <f>IF(BK$3="","",IF(BK5&lt;入力データ!$C$110,((入力データ!$C$30*12)+IF(入力データ!$C$31="あり",入力データ!$C$33,0))*(1+前提条件!$C$6)^(BK$3-$B$3),0))</f>
        <v/>
      </c>
      <c r="BL11" s="350">
        <f>IF(BL$3="","",IF(BL5&lt;入力データ!$C$110,((入力データ!$C$30*12)+IF(入力データ!$C$31="あり",入力データ!$C$33,0))*(1+前提条件!$C$6)^(BL$3-$B$3),0))</f>
        <v/>
      </c>
      <c r="BM11" s="350">
        <f>IF(BM$3="","",IF(BM5&lt;入力データ!$C$110,((入力データ!$C$30*12)+IF(入力データ!$C$31="あり",入力データ!$C$33,0))*(1+前提条件!$C$6)^(BM$3-$B$3),0))</f>
        <v/>
      </c>
      <c r="BN11" s="350">
        <f>IF(BN$3="","",IF(BN5&lt;入力データ!$C$110,((入力データ!$C$30*12)+IF(入力データ!$C$31="あり",入力データ!$C$33,0))*(1+前提条件!$C$6)^(BN$3-$B$3),0))</f>
        <v/>
      </c>
      <c r="BO11" s="350">
        <f>IF(BO$3="","",IF(BO5&lt;入力データ!$C$110,((入力データ!$C$30*12)+IF(入力データ!$C$31="あり",入力データ!$C$33,0))*(1+前提条件!$C$6)^(BO$3-$B$3),0))</f>
        <v/>
      </c>
      <c r="BP11" s="350">
        <f>IF(BP$3="","",IF(BP5&lt;入力データ!$C$110,((入力データ!$C$30*12)+IF(入力データ!$C$31="あり",入力データ!$C$33,0))*(1+前提条件!$C$6)^(BP$3-$B$3),0))</f>
        <v/>
      </c>
      <c r="BQ11" s="350">
        <f>IF(BQ$3="","",IF(BQ5&lt;入力データ!$C$110,((入力データ!$C$30*12)+IF(入力データ!$C$31="あり",入力データ!$C$33,0))*(1+前提条件!$C$6)^(BQ$3-$B$3),0))</f>
        <v/>
      </c>
      <c r="BR11" s="350">
        <f>IF(BR$3="","",IF(BR5&lt;入力データ!$C$110,((入力データ!$C$30*12)+IF(入力データ!$C$31="あり",入力データ!$C$33,0))*(1+前提条件!$C$6)^(BR$3-$B$3),0))</f>
        <v/>
      </c>
      <c r="BS11" s="350">
        <f>IF(BS$3="","",IF(BS5&lt;入力データ!$C$110,((入力データ!$C$30*12)+IF(入力データ!$C$31="あり",入力データ!$C$33,0))*(1+前提条件!$C$6)^(BS$3-$B$3),0))</f>
        <v/>
      </c>
      <c r="BT11" s="350">
        <f>IF(BT$3="","",IF(BT5&lt;入力データ!$C$110,((入力データ!$C$30*12)+IF(入力データ!$C$31="あり",入力データ!$C$33,0))*(1+前提条件!$C$6)^(BT$3-$B$3),0))</f>
        <v/>
      </c>
      <c r="BU11" s="350">
        <f>IF(BU$3="","",IF(BU5&lt;入力データ!$C$110,((入力データ!$C$30*12)+IF(入力データ!$C$31="あり",入力データ!$C$33,0))*(1+前提条件!$C$6)^(BU$3-$B$3),0))</f>
        <v/>
      </c>
      <c r="BV11" s="350">
        <f>IF(BV$3="","",IF(BV5&lt;入力データ!$C$110,((入力データ!$C$30*12)+IF(入力データ!$C$31="あり",入力データ!$C$33,0))*(1+前提条件!$C$6)^(BV$3-$B$3),0))</f>
        <v/>
      </c>
      <c r="BW11" s="350">
        <f>IF(BW$3="","",IF(BW5&lt;入力データ!$C$110,((入力データ!$C$30*12)+IF(入力データ!$C$31="あり",入力データ!$C$33,0))*(1+前提条件!$C$6)^(BW$3-$B$3),0))</f>
        <v/>
      </c>
      <c r="BX11" s="350">
        <f>IF(BX$3="","",IF(BX5&lt;入力データ!$C$110,((入力データ!$C$30*12)+IF(入力データ!$C$31="あり",入力データ!$C$33,0))*(1+前提条件!$C$6)^(BX$3-$B$3),0))</f>
        <v/>
      </c>
      <c r="BY11" s="350">
        <f>IF(BY$3="","",IF(BY5&lt;入力データ!$C$110,((入力データ!$C$30*12)+IF(入力データ!$C$31="あり",入力データ!$C$33,0))*(1+前提条件!$C$6)^(BY$3-$B$3),0))</f>
        <v/>
      </c>
      <c r="BZ11" s="350">
        <f>IF(BZ$3="","",IF(BZ5&lt;入力データ!$C$110,((入力データ!$C$30*12)+IF(入力データ!$C$31="あり",入力データ!$C$33,0))*(1+前提条件!$C$6)^(BZ$3-$B$3),0))</f>
        <v/>
      </c>
      <c r="CA11" s="350">
        <f>IF(CA$3="","",IF(CA5&lt;入力データ!$C$110,((入力データ!$C$30*12)+IF(入力データ!$C$31="あり",入力データ!$C$33,0))*(1+前提条件!$C$6)^(CA$3-$B$3),0))</f>
        <v/>
      </c>
      <c r="CB11" s="350">
        <f>IF(CB$3="","",IF(CB5&lt;入力データ!$C$110,((入力データ!$C$30*12)+IF(入力データ!$C$31="あり",入力データ!$C$33,0))*(1+前提条件!$C$6)^(CB$3-$B$3),0))</f>
        <v/>
      </c>
      <c r="CC11" s="350">
        <f>IF(CC$3="","",IF(CC5&lt;入力データ!$C$110,((入力データ!$C$30*12)+IF(入力データ!$C$31="あり",入力データ!$C$33,0))*(1+前提条件!$C$6)^(CC$3-$B$3),0))</f>
        <v/>
      </c>
      <c r="CD11" s="350">
        <f>IF(CD$3="","",IF(CD5&lt;入力データ!$C$110,((入力データ!$C$30*12)+IF(入力データ!$C$31="あり",入力データ!$C$33,0))*(1+前提条件!$C$6)^(CD$3-$B$3),0))</f>
        <v/>
      </c>
      <c r="CE11" s="350">
        <f>IF(CE$3="","",IF(CE5&lt;入力データ!$C$110,((入力データ!$C$30*12)+IF(入力データ!$C$31="あり",入力データ!$C$33,0))*(1+前提条件!$C$6)^(CE$3-$B$3),0))</f>
        <v/>
      </c>
      <c r="CF11" s="350">
        <f>IF(CF$3="","",IF(CF5&lt;入力データ!$C$110,((入力データ!$C$30*12)+IF(入力データ!$C$31="あり",入力データ!$C$33,0))*(1+前提条件!$C$6)^(CF$3-$B$3),0))</f>
        <v/>
      </c>
      <c r="CG11" s="350">
        <f>IF(CG$3="","",IF(CG5&lt;入力データ!$C$110,((入力データ!$C$30*12)+IF(入力データ!$C$31="あり",入力データ!$C$33,0))*(1+前提条件!$C$6)^(CG$3-$B$3),0))</f>
        <v/>
      </c>
      <c r="CH11" s="350">
        <f>IF(CH$3="","",IF(CH5&lt;入力データ!$C$110,((入力データ!$C$30*12)+IF(入力データ!$C$31="あり",入力データ!$C$33,0))*(1+前提条件!$C$6)^(CH$3-$B$3),0))</f>
        <v/>
      </c>
      <c r="CI11" s="350">
        <f>IF(CI$3="","",IF(CI5&lt;入力データ!$C$110,((入力データ!$C$30*12)+IF(入力データ!$C$31="あり",入力データ!$C$33,0))*(1+前提条件!$C$6)^(CI$3-$B$3),0))</f>
        <v/>
      </c>
      <c r="CJ11" s="350">
        <f>IF(CJ$3="","",IF(CJ5&lt;入力データ!$C$110,((入力データ!$C$30*12)+IF(入力データ!$C$31="あり",入力データ!$C$33,0))*(1+前提条件!$C$6)^(CJ$3-$B$3),0))</f>
        <v/>
      </c>
      <c r="CK11" s="350">
        <f>IF(CK$3="","",IF(CK5&lt;入力データ!$C$110,((入力データ!$C$30*12)+IF(入力データ!$C$31="あり",入力データ!$C$33,0))*(1+前提条件!$C$6)^(CK$3-$B$3),0))</f>
        <v/>
      </c>
      <c r="CL11" s="350">
        <f>IF(CL$3="","",IF(CL5&lt;入力データ!$C$110,((入力データ!$C$30*12)+IF(入力データ!$C$31="あり",入力データ!$C$33,0))*(1+前提条件!$C$6)^(CL$3-$B$3),0))</f>
        <v/>
      </c>
      <c r="CM11" s="350">
        <f>IF(CM$3="","",IF(CM5&lt;入力データ!$C$110,((入力データ!$C$30*12)+IF(入力データ!$C$31="あり",入力データ!$C$33,0))*(1+前提条件!$C$6)^(CM$3-$B$3),0))</f>
        <v/>
      </c>
      <c r="CN11" s="350">
        <f>IF(CN$3="","",IF(CN5&lt;入力データ!$C$110,((入力データ!$C$30*12)+IF(入力データ!$C$31="あり",入力データ!$C$33,0))*(1+前提条件!$C$6)^(CN$3-$B$3),0))</f>
        <v/>
      </c>
      <c r="CO11" s="350">
        <f>IF(CO$3="","",IF(CO5&lt;入力データ!$C$110,((入力データ!$C$30*12)+IF(入力データ!$C$31="あり",入力データ!$C$33,0))*(1+前提条件!$C$6)^(CO$3-$B$3),0))</f>
        <v/>
      </c>
      <c r="CP11" s="350">
        <f>IF(CP$3="","",IF(CP5&lt;入力データ!$C$110,((入力データ!$C$30*12)+IF(入力データ!$C$31="あり",入力データ!$C$33,0))*(1+前提条件!$C$6)^(CP$3-$B$3),0))</f>
        <v/>
      </c>
      <c r="CQ11" s="350">
        <f>IF(CQ$3="","",IF(CQ5&lt;入力データ!$C$110,((入力データ!$C$30*12)+IF(入力データ!$C$31="あり",入力データ!$C$33,0))*(1+前提条件!$C$6)^(CQ$3-$B$3),0))</f>
        <v/>
      </c>
      <c r="CR11" s="350">
        <f>IF(CR$3="","",IF(CR5&lt;入力データ!$C$110,((入力データ!$C$30*12)+IF(入力データ!$C$31="あり",入力データ!$C$33,0))*(1+前提条件!$C$6)^(CR$3-$B$3),0))</f>
        <v/>
      </c>
      <c r="CS11" s="350">
        <f>IF(CS$3="","",IF(CS5&lt;入力データ!$C$110,((入力データ!$C$30*12)+IF(入力データ!$C$31="あり",入力データ!$C$33,0))*(1+前提条件!$C$6)^(CS$3-$B$3),0))</f>
        <v/>
      </c>
      <c r="CT11" s="350">
        <f>IF(CT$3="","",IF(CT5&lt;入力データ!$C$110,((入力データ!$C$30*12)+IF(入力データ!$C$31="あり",入力データ!$C$33,0))*(1+前提条件!$C$6)^(CT$3-$B$3),0))</f>
        <v/>
      </c>
      <c r="CU11" s="350">
        <f>IF(CU$3="","",IF(CU5&lt;入力データ!$C$110,((入力データ!$C$30*12)+IF(入力データ!$C$31="あり",入力データ!$C$33,0))*(1+前提条件!$C$6)^(CU$3-$B$3),0))</f>
        <v/>
      </c>
      <c r="CV11" s="350">
        <f>IF(CV$3="","",IF(CV5&lt;入力データ!$C$110,((入力データ!$C$30*12)+IF(入力データ!$C$31="あり",入力データ!$C$33,0))*(1+前提条件!$C$6)^(CV$3-$B$3),0))</f>
        <v/>
      </c>
      <c r="CW11" s="350">
        <f>IF(CW$3="","",IF(CW5&lt;入力データ!$C$110,((入力データ!$C$30*12)+IF(入力データ!$C$31="あり",入力データ!$C$33,0))*(1+前提条件!$C$6)^(CW$3-$B$3),0))</f>
        <v/>
      </c>
    </row>
    <row r="12" ht="15" customHeight="1" s="180">
      <c r="A12" s="220" t="inlineStr">
        <is>
          <t>児童手当</t>
        </is>
      </c>
      <c r="B12" s="350">
        <f>IF(B$3="","",IF(AND(B6&lt;&gt;"",B6&lt;=前提条件!$C$8),IF(1&gt;=3,30000,IF(B6&lt;3,15000,10000))*6,0)+IF(AND(B7&lt;&gt;"",B7&lt;=前提条件!$C$8),IF(2&gt;=3,30000,IF(B7&lt;3,15000,10000))*6,0)+IF(AND(B8&lt;&gt;"",B8&lt;=前提条件!$C$8),30000*6,0))</f>
        <v/>
      </c>
      <c r="C12" s="350">
        <f>IF(C$3="","",IF(AND(C6&lt;&gt;"",C6&lt;=前提条件!$C$8),IF(1&gt;=3,30000,IF(C6&lt;3,15000,10000))*6,0)+IF(AND(C7&lt;&gt;"",C7&lt;=前提条件!$C$8),IF(2&gt;=3,30000,IF(C7&lt;3,15000,10000))*6,0)+IF(AND(C8&lt;&gt;"",C8&lt;=前提条件!$C$8),30000*6,0))</f>
        <v/>
      </c>
      <c r="D12" s="350">
        <f>IF(D$3="","",IF(AND(D6&lt;&gt;"",D6&lt;=前提条件!$C$8),IF(1&gt;=3,30000,IF(D6&lt;3,15000,10000))*6,0)+IF(AND(D7&lt;&gt;"",D7&lt;=前提条件!$C$8),IF(2&gt;=3,30000,IF(D7&lt;3,15000,10000))*6,0)+IF(AND(D8&lt;&gt;"",D8&lt;=前提条件!$C$8),30000*6,0))</f>
        <v/>
      </c>
      <c r="E12" s="350">
        <f>IF(E$3="","",IF(AND(E6&lt;&gt;"",E6&lt;=前提条件!$C$8),IF(1&gt;=3,30000,IF(E6&lt;3,15000,10000))*6,0)+IF(AND(E7&lt;&gt;"",E7&lt;=前提条件!$C$8),IF(2&gt;=3,30000,IF(E7&lt;3,15000,10000))*6,0)+IF(AND(E8&lt;&gt;"",E8&lt;=前提条件!$C$8),30000*6,0))</f>
        <v/>
      </c>
      <c r="F12" s="350">
        <f>IF(F$3="","",IF(AND(F6&lt;&gt;"",F6&lt;=前提条件!$C$8),IF(1&gt;=3,30000,IF(F6&lt;3,15000,10000))*6,0)+IF(AND(F7&lt;&gt;"",F7&lt;=前提条件!$C$8),IF(2&gt;=3,30000,IF(F7&lt;3,15000,10000))*6,0)+IF(AND(F8&lt;&gt;"",F8&lt;=前提条件!$C$8),30000*6,0))</f>
        <v/>
      </c>
      <c r="G12" s="350">
        <f>IF(G$3="","",IF(AND(G6&lt;&gt;"",G6&lt;=前提条件!$C$8),IF(1&gt;=3,30000,IF(G6&lt;3,15000,10000))*6,0)+IF(AND(G7&lt;&gt;"",G7&lt;=前提条件!$C$8),IF(2&gt;=3,30000,IF(G7&lt;3,15000,10000))*6,0)+IF(AND(G8&lt;&gt;"",G8&lt;=前提条件!$C$8),30000*6,0))</f>
        <v/>
      </c>
      <c r="H12" s="350">
        <f>IF(H$3="","",IF(AND(H6&lt;&gt;"",H6&lt;=前提条件!$C$8),IF(1&gt;=3,30000,IF(H6&lt;3,15000,10000))*6,0)+IF(AND(H7&lt;&gt;"",H7&lt;=前提条件!$C$8),IF(2&gt;=3,30000,IF(H7&lt;3,15000,10000))*6,0)+IF(AND(H8&lt;&gt;"",H8&lt;=前提条件!$C$8),30000*6,0))</f>
        <v/>
      </c>
      <c r="I12" s="350">
        <f>IF(I$3="","",IF(AND(I6&lt;&gt;"",I6&lt;=前提条件!$C$8),IF(1&gt;=3,30000,IF(I6&lt;3,15000,10000))*6,0)+IF(AND(I7&lt;&gt;"",I7&lt;=前提条件!$C$8),IF(2&gt;=3,30000,IF(I7&lt;3,15000,10000))*6,0)+IF(AND(I8&lt;&gt;"",I8&lt;=前提条件!$C$8),30000*6,0))</f>
        <v/>
      </c>
      <c r="J12" s="350">
        <f>IF(J$3="","",IF(AND(J6&lt;&gt;"",J6&lt;=前提条件!$C$8),IF(1&gt;=3,30000,IF(J6&lt;3,15000,10000))*6,0)+IF(AND(J7&lt;&gt;"",J7&lt;=前提条件!$C$8),IF(2&gt;=3,30000,IF(J7&lt;3,15000,10000))*6,0)+IF(AND(J8&lt;&gt;"",J8&lt;=前提条件!$C$8),30000*6,0))</f>
        <v/>
      </c>
      <c r="K12" s="350">
        <f>IF(K$3="","",IF(AND(K6&lt;&gt;"",K6&lt;=前提条件!$C$8),IF(1&gt;=3,30000,IF(K6&lt;3,15000,10000))*6,0)+IF(AND(K7&lt;&gt;"",K7&lt;=前提条件!$C$8),IF(2&gt;=3,30000,IF(K7&lt;3,15000,10000))*6,0)+IF(AND(K8&lt;&gt;"",K8&lt;=前提条件!$C$8),30000*6,0))</f>
        <v/>
      </c>
      <c r="L12" s="350">
        <f>IF(L$3="","",IF(AND(L6&lt;&gt;"",L6&lt;=前提条件!$C$8),IF(1&gt;=3,30000,IF(L6&lt;3,15000,10000))*6,0)+IF(AND(L7&lt;&gt;"",L7&lt;=前提条件!$C$8),IF(2&gt;=3,30000,IF(L7&lt;3,15000,10000))*6,0)+IF(AND(L8&lt;&gt;"",L8&lt;=前提条件!$C$8),30000*6,0))</f>
        <v/>
      </c>
      <c r="M12" s="350">
        <f>IF(M$3="","",IF(AND(M6&lt;&gt;"",M6&lt;=前提条件!$C$8),IF(1&gt;=3,30000,IF(M6&lt;3,15000,10000))*6,0)+IF(AND(M7&lt;&gt;"",M7&lt;=前提条件!$C$8),IF(2&gt;=3,30000,IF(M7&lt;3,15000,10000))*6,0)+IF(AND(M8&lt;&gt;"",M8&lt;=前提条件!$C$8),30000*6,0))</f>
        <v/>
      </c>
      <c r="N12" s="350">
        <f>IF(N$3="","",IF(AND(N6&lt;&gt;"",N6&lt;=前提条件!$C$8),IF(1&gt;=3,30000,IF(N6&lt;3,15000,10000))*6,0)+IF(AND(N7&lt;&gt;"",N7&lt;=前提条件!$C$8),IF(2&gt;=3,30000,IF(N7&lt;3,15000,10000))*6,0)+IF(AND(N8&lt;&gt;"",N8&lt;=前提条件!$C$8),30000*6,0))</f>
        <v/>
      </c>
      <c r="O12" s="350">
        <f>IF(O$3="","",IF(AND(O6&lt;&gt;"",O6&lt;=前提条件!$C$8),IF(1&gt;=3,30000,IF(O6&lt;3,15000,10000))*6,0)+IF(AND(O7&lt;&gt;"",O7&lt;=前提条件!$C$8),IF(2&gt;=3,30000,IF(O7&lt;3,15000,10000))*6,0)+IF(AND(O8&lt;&gt;"",O8&lt;=前提条件!$C$8),30000*6,0))</f>
        <v/>
      </c>
      <c r="P12" s="350">
        <f>IF(P$3="","",IF(AND(P6&lt;&gt;"",P6&lt;=前提条件!$C$8),IF(1&gt;=3,30000,IF(P6&lt;3,15000,10000))*6,0)+IF(AND(P7&lt;&gt;"",P7&lt;=前提条件!$C$8),IF(2&gt;=3,30000,IF(P7&lt;3,15000,10000))*6,0)+IF(AND(P8&lt;&gt;"",P8&lt;=前提条件!$C$8),30000*6,0))</f>
        <v/>
      </c>
      <c r="Q12" s="350">
        <f>IF(Q$3="","",IF(AND(Q6&lt;&gt;"",Q6&lt;=前提条件!$C$8),IF(1&gt;=3,30000,IF(Q6&lt;3,15000,10000))*6,0)+IF(AND(Q7&lt;&gt;"",Q7&lt;=前提条件!$C$8),IF(2&gt;=3,30000,IF(Q7&lt;3,15000,10000))*6,0)+IF(AND(Q8&lt;&gt;"",Q8&lt;=前提条件!$C$8),30000*6,0))</f>
        <v/>
      </c>
      <c r="R12" s="350">
        <f>IF(R$3="","",IF(AND(R6&lt;&gt;"",R6&lt;=前提条件!$C$8),IF(1&gt;=3,30000,IF(R6&lt;3,15000,10000))*6,0)+IF(AND(R7&lt;&gt;"",R7&lt;=前提条件!$C$8),IF(2&gt;=3,30000,IF(R7&lt;3,15000,10000))*6,0)+IF(AND(R8&lt;&gt;"",R8&lt;=前提条件!$C$8),30000*6,0))</f>
        <v/>
      </c>
      <c r="S12" s="350">
        <f>IF(S$3="","",IF(AND(S6&lt;&gt;"",S6&lt;=前提条件!$C$8),IF(1&gt;=3,30000,IF(S6&lt;3,15000,10000))*6,0)+IF(AND(S7&lt;&gt;"",S7&lt;=前提条件!$C$8),IF(2&gt;=3,30000,IF(S7&lt;3,15000,10000))*6,0)+IF(AND(S8&lt;&gt;"",S8&lt;=前提条件!$C$8),30000*6,0))</f>
        <v/>
      </c>
      <c r="T12" s="350">
        <f>IF(T$3="","",IF(AND(T6&lt;&gt;"",T6&lt;=前提条件!$C$8),IF(1&gt;=3,30000,IF(T6&lt;3,15000,10000))*6,0)+IF(AND(T7&lt;&gt;"",T7&lt;=前提条件!$C$8),IF(2&gt;=3,30000,IF(T7&lt;3,15000,10000))*6,0)+IF(AND(T8&lt;&gt;"",T8&lt;=前提条件!$C$8),30000*6,0))</f>
        <v/>
      </c>
      <c r="U12" s="350">
        <f>IF(U$3="","",IF(AND(U6&lt;&gt;"",U6&lt;=前提条件!$C$8),IF(1&gt;=3,30000,IF(U6&lt;3,15000,10000))*6,0)+IF(AND(U7&lt;&gt;"",U7&lt;=前提条件!$C$8),IF(2&gt;=3,30000,IF(U7&lt;3,15000,10000))*6,0)+IF(AND(U8&lt;&gt;"",U8&lt;=前提条件!$C$8),30000*6,0))</f>
        <v/>
      </c>
      <c r="V12" s="350">
        <f>IF(V$3="","",IF(AND(V6&lt;&gt;"",V6&lt;=前提条件!$C$8),IF(1&gt;=3,30000,IF(V6&lt;3,15000,10000))*6,0)+IF(AND(V7&lt;&gt;"",V7&lt;=前提条件!$C$8),IF(2&gt;=3,30000,IF(V7&lt;3,15000,10000))*6,0)+IF(AND(V8&lt;&gt;"",V8&lt;=前提条件!$C$8),30000*6,0))</f>
        <v/>
      </c>
      <c r="W12" s="350">
        <f>IF(W$3="","",IF(AND(W6&lt;&gt;"",W6&lt;=前提条件!$C$8),IF(1&gt;=3,30000,IF(W6&lt;3,15000,10000))*6,0)+IF(AND(W7&lt;&gt;"",W7&lt;=前提条件!$C$8),IF(2&gt;=3,30000,IF(W7&lt;3,15000,10000))*6,0)+IF(AND(W8&lt;&gt;"",W8&lt;=前提条件!$C$8),30000*6,0))</f>
        <v/>
      </c>
      <c r="X12" s="350">
        <f>IF(X$3="","",IF(AND(X6&lt;&gt;"",X6&lt;=前提条件!$C$8),IF(1&gt;=3,30000,IF(X6&lt;3,15000,10000))*6,0)+IF(AND(X7&lt;&gt;"",X7&lt;=前提条件!$C$8),IF(2&gt;=3,30000,IF(X7&lt;3,15000,10000))*6,0)+IF(AND(X8&lt;&gt;"",X8&lt;=前提条件!$C$8),30000*6,0))</f>
        <v/>
      </c>
      <c r="Y12" s="350">
        <f>IF(Y$3="","",IF(AND(Y6&lt;&gt;"",Y6&lt;=前提条件!$C$8),IF(1&gt;=3,30000,IF(Y6&lt;3,15000,10000))*6,0)+IF(AND(Y7&lt;&gt;"",Y7&lt;=前提条件!$C$8),IF(2&gt;=3,30000,IF(Y7&lt;3,15000,10000))*6,0)+IF(AND(Y8&lt;&gt;"",Y8&lt;=前提条件!$C$8),30000*6,0))</f>
        <v/>
      </c>
      <c r="Z12" s="350">
        <f>IF(Z$3="","",IF(AND(Z6&lt;&gt;"",Z6&lt;=前提条件!$C$8),IF(1&gt;=3,30000,IF(Z6&lt;3,15000,10000))*6,0)+IF(AND(Z7&lt;&gt;"",Z7&lt;=前提条件!$C$8),IF(2&gt;=3,30000,IF(Z7&lt;3,15000,10000))*6,0)+IF(AND(Z8&lt;&gt;"",Z8&lt;=前提条件!$C$8),30000*6,0))</f>
        <v/>
      </c>
      <c r="AA12" s="350">
        <f>IF(AA$3="","",IF(AND(AA6&lt;&gt;"",AA6&lt;=前提条件!$C$8),IF(1&gt;=3,30000,IF(AA6&lt;3,15000,10000))*6,0)+IF(AND(AA7&lt;&gt;"",AA7&lt;=前提条件!$C$8),IF(2&gt;=3,30000,IF(AA7&lt;3,15000,10000))*6,0)+IF(AND(AA8&lt;&gt;"",AA8&lt;=前提条件!$C$8),30000*6,0))</f>
        <v/>
      </c>
      <c r="AB12" s="350">
        <f>IF(AB$3="","",IF(AND(AB6&lt;&gt;"",AB6&lt;=前提条件!$C$8),IF(1&gt;=3,30000,IF(AB6&lt;3,15000,10000))*6,0)+IF(AND(AB7&lt;&gt;"",AB7&lt;=前提条件!$C$8),IF(2&gt;=3,30000,IF(AB7&lt;3,15000,10000))*6,0)+IF(AND(AB8&lt;&gt;"",AB8&lt;=前提条件!$C$8),30000*6,0))</f>
        <v/>
      </c>
      <c r="AC12" s="350">
        <f>IF(AC$3="","",IF(AND(AC6&lt;&gt;"",AC6&lt;=前提条件!$C$8),IF(1&gt;=3,30000,IF(AC6&lt;3,15000,10000))*6,0)+IF(AND(AC7&lt;&gt;"",AC7&lt;=前提条件!$C$8),IF(2&gt;=3,30000,IF(AC7&lt;3,15000,10000))*6,0)+IF(AND(AC8&lt;&gt;"",AC8&lt;=前提条件!$C$8),30000*6,0))</f>
        <v/>
      </c>
      <c r="AD12" s="350">
        <f>IF(AD$3="","",IF(AND(AD6&lt;&gt;"",AD6&lt;=前提条件!$C$8),IF(1&gt;=3,30000,IF(AD6&lt;3,15000,10000))*6,0)+IF(AND(AD7&lt;&gt;"",AD7&lt;=前提条件!$C$8),IF(2&gt;=3,30000,IF(AD7&lt;3,15000,10000))*6,0)+IF(AND(AD8&lt;&gt;"",AD8&lt;=前提条件!$C$8),30000*6,0))</f>
        <v/>
      </c>
      <c r="AE12" s="350">
        <f>IF(AE$3="","",IF(AND(AE6&lt;&gt;"",AE6&lt;=前提条件!$C$8),IF(1&gt;=3,30000,IF(AE6&lt;3,15000,10000))*6,0)+IF(AND(AE7&lt;&gt;"",AE7&lt;=前提条件!$C$8),IF(2&gt;=3,30000,IF(AE7&lt;3,15000,10000))*6,0)+IF(AND(AE8&lt;&gt;"",AE8&lt;=前提条件!$C$8),30000*6,0))</f>
        <v/>
      </c>
      <c r="AF12" s="350">
        <f>IF(AF$3="","",IF(AND(AF6&lt;&gt;"",AF6&lt;=前提条件!$C$8),IF(1&gt;=3,30000,IF(AF6&lt;3,15000,10000))*6,0)+IF(AND(AF7&lt;&gt;"",AF7&lt;=前提条件!$C$8),IF(2&gt;=3,30000,IF(AF7&lt;3,15000,10000))*6,0)+IF(AND(AF8&lt;&gt;"",AF8&lt;=前提条件!$C$8),30000*6,0))</f>
        <v/>
      </c>
      <c r="AG12" s="350">
        <f>IF(AG$3="","",IF(AND(AG6&lt;&gt;"",AG6&lt;=前提条件!$C$8),IF(1&gt;=3,30000,IF(AG6&lt;3,15000,10000))*6,0)+IF(AND(AG7&lt;&gt;"",AG7&lt;=前提条件!$C$8),IF(2&gt;=3,30000,IF(AG7&lt;3,15000,10000))*6,0)+IF(AND(AG8&lt;&gt;"",AG8&lt;=前提条件!$C$8),30000*6,0))</f>
        <v/>
      </c>
      <c r="AH12" s="350">
        <f>IF(AH$3="","",IF(AND(AH6&lt;&gt;"",AH6&lt;=前提条件!$C$8),IF(1&gt;=3,30000,IF(AH6&lt;3,15000,10000))*6,0)+IF(AND(AH7&lt;&gt;"",AH7&lt;=前提条件!$C$8),IF(2&gt;=3,30000,IF(AH7&lt;3,15000,10000))*6,0)+IF(AND(AH8&lt;&gt;"",AH8&lt;=前提条件!$C$8),30000*6,0))</f>
        <v/>
      </c>
      <c r="AI12" s="350">
        <f>IF(AI$3="","",IF(AND(AI6&lt;&gt;"",AI6&lt;=前提条件!$C$8),IF(1&gt;=3,30000,IF(AI6&lt;3,15000,10000))*6,0)+IF(AND(AI7&lt;&gt;"",AI7&lt;=前提条件!$C$8),IF(2&gt;=3,30000,IF(AI7&lt;3,15000,10000))*6,0)+IF(AND(AI8&lt;&gt;"",AI8&lt;=前提条件!$C$8),30000*6,0))</f>
        <v/>
      </c>
      <c r="AJ12" s="350">
        <f>IF(AJ$3="","",IF(AND(AJ6&lt;&gt;"",AJ6&lt;=前提条件!$C$8),IF(1&gt;=3,30000,IF(AJ6&lt;3,15000,10000))*6,0)+IF(AND(AJ7&lt;&gt;"",AJ7&lt;=前提条件!$C$8),IF(2&gt;=3,30000,IF(AJ7&lt;3,15000,10000))*6,0)+IF(AND(AJ8&lt;&gt;"",AJ8&lt;=前提条件!$C$8),30000*6,0))</f>
        <v/>
      </c>
      <c r="AK12" s="350">
        <f>IF(AK$3="","",IF(AND(AK6&lt;&gt;"",AK6&lt;=前提条件!$C$8),IF(1&gt;=3,30000,IF(AK6&lt;3,15000,10000))*6,0)+IF(AND(AK7&lt;&gt;"",AK7&lt;=前提条件!$C$8),IF(2&gt;=3,30000,IF(AK7&lt;3,15000,10000))*6,0)+IF(AND(AK8&lt;&gt;"",AK8&lt;=前提条件!$C$8),30000*6,0))</f>
        <v/>
      </c>
      <c r="AL12" s="350">
        <f>IF(AL$3="","",IF(AND(AL6&lt;&gt;"",AL6&lt;=前提条件!$C$8),IF(1&gt;=3,30000,IF(AL6&lt;3,15000,10000))*6,0)+IF(AND(AL7&lt;&gt;"",AL7&lt;=前提条件!$C$8),IF(2&gt;=3,30000,IF(AL7&lt;3,15000,10000))*6,0)+IF(AND(AL8&lt;&gt;"",AL8&lt;=前提条件!$C$8),30000*6,0))</f>
        <v/>
      </c>
      <c r="AM12" s="350">
        <f>IF(AM$3="","",IF(AND(AM6&lt;&gt;"",AM6&lt;=前提条件!$C$8),IF(1&gt;=3,30000,IF(AM6&lt;3,15000,10000))*6,0)+IF(AND(AM7&lt;&gt;"",AM7&lt;=前提条件!$C$8),IF(2&gt;=3,30000,IF(AM7&lt;3,15000,10000))*6,0)+IF(AND(AM8&lt;&gt;"",AM8&lt;=前提条件!$C$8),30000*6,0))</f>
        <v/>
      </c>
      <c r="AN12" s="350">
        <f>IF(AN$3="","",IF(AND(AN6&lt;&gt;"",AN6&lt;=前提条件!$C$8),IF(1&gt;=3,30000,IF(AN6&lt;3,15000,10000))*6,0)+IF(AND(AN7&lt;&gt;"",AN7&lt;=前提条件!$C$8),IF(2&gt;=3,30000,IF(AN7&lt;3,15000,10000))*6,0)+IF(AND(AN8&lt;&gt;"",AN8&lt;=前提条件!$C$8),30000*6,0))</f>
        <v/>
      </c>
      <c r="AO12" s="350">
        <f>IF(AO$3="","",IF(AND(AO6&lt;&gt;"",AO6&lt;=前提条件!$C$8),IF(1&gt;=3,30000,IF(AO6&lt;3,15000,10000))*6,0)+IF(AND(AO7&lt;&gt;"",AO7&lt;=前提条件!$C$8),IF(2&gt;=3,30000,IF(AO7&lt;3,15000,10000))*6,0)+IF(AND(AO8&lt;&gt;"",AO8&lt;=前提条件!$C$8),30000*6,0))</f>
        <v/>
      </c>
      <c r="AP12" s="350">
        <f>IF(AP$3="","",IF(AND(AP6&lt;&gt;"",AP6&lt;=前提条件!$C$8),IF(1&gt;=3,30000,IF(AP6&lt;3,15000,10000))*6,0)+IF(AND(AP7&lt;&gt;"",AP7&lt;=前提条件!$C$8),IF(2&gt;=3,30000,IF(AP7&lt;3,15000,10000))*6,0)+IF(AND(AP8&lt;&gt;"",AP8&lt;=前提条件!$C$8),30000*6,0))</f>
        <v/>
      </c>
      <c r="AQ12" s="350">
        <f>IF(AQ$3="","",IF(AND(AQ6&lt;&gt;"",AQ6&lt;=前提条件!$C$8),IF(1&gt;=3,30000,IF(AQ6&lt;3,15000,10000))*6,0)+IF(AND(AQ7&lt;&gt;"",AQ7&lt;=前提条件!$C$8),IF(2&gt;=3,30000,IF(AQ7&lt;3,15000,10000))*6,0)+IF(AND(AQ8&lt;&gt;"",AQ8&lt;=前提条件!$C$8),30000*6,0))</f>
        <v/>
      </c>
      <c r="AR12" s="350">
        <f>IF(AR$3="","",IF(AND(AR6&lt;&gt;"",AR6&lt;=前提条件!$C$8),IF(1&gt;=3,30000,IF(AR6&lt;3,15000,10000))*6,0)+IF(AND(AR7&lt;&gt;"",AR7&lt;=前提条件!$C$8),IF(2&gt;=3,30000,IF(AR7&lt;3,15000,10000))*6,0)+IF(AND(AR8&lt;&gt;"",AR8&lt;=前提条件!$C$8),30000*6,0))</f>
        <v/>
      </c>
      <c r="AS12" s="350">
        <f>IF(AS$3="","",IF(AND(AS6&lt;&gt;"",AS6&lt;=前提条件!$C$8),IF(1&gt;=3,30000,IF(AS6&lt;3,15000,10000))*6,0)+IF(AND(AS7&lt;&gt;"",AS7&lt;=前提条件!$C$8),IF(2&gt;=3,30000,IF(AS7&lt;3,15000,10000))*6,0)+IF(AND(AS8&lt;&gt;"",AS8&lt;=前提条件!$C$8),30000*6,0))</f>
        <v/>
      </c>
      <c r="AT12" s="350">
        <f>IF(AT$3="","",IF(AND(AT6&lt;&gt;"",AT6&lt;=前提条件!$C$8),IF(1&gt;=3,30000,IF(AT6&lt;3,15000,10000))*6,0)+IF(AND(AT7&lt;&gt;"",AT7&lt;=前提条件!$C$8),IF(2&gt;=3,30000,IF(AT7&lt;3,15000,10000))*6,0)+IF(AND(AT8&lt;&gt;"",AT8&lt;=前提条件!$C$8),30000*6,0))</f>
        <v/>
      </c>
      <c r="AU12" s="350">
        <f>IF(AU$3="","",IF(AND(AU6&lt;&gt;"",AU6&lt;=前提条件!$C$8),IF(1&gt;=3,30000,IF(AU6&lt;3,15000,10000))*6,0)+IF(AND(AU7&lt;&gt;"",AU7&lt;=前提条件!$C$8),IF(2&gt;=3,30000,IF(AU7&lt;3,15000,10000))*6,0)+IF(AND(AU8&lt;&gt;"",AU8&lt;=前提条件!$C$8),30000*6,0))</f>
        <v/>
      </c>
      <c r="AV12" s="350">
        <f>IF(AV$3="","",IF(AND(AV6&lt;&gt;"",AV6&lt;=前提条件!$C$8),IF(1&gt;=3,30000,IF(AV6&lt;3,15000,10000))*6,0)+IF(AND(AV7&lt;&gt;"",AV7&lt;=前提条件!$C$8),IF(2&gt;=3,30000,IF(AV7&lt;3,15000,10000))*6,0)+IF(AND(AV8&lt;&gt;"",AV8&lt;=前提条件!$C$8),30000*6,0))</f>
        <v/>
      </c>
      <c r="AW12" s="350">
        <f>IF(AW$3="","",IF(AND(AW6&lt;&gt;"",AW6&lt;=前提条件!$C$8),IF(1&gt;=3,30000,IF(AW6&lt;3,15000,10000))*6,0)+IF(AND(AW7&lt;&gt;"",AW7&lt;=前提条件!$C$8),IF(2&gt;=3,30000,IF(AW7&lt;3,15000,10000))*6,0)+IF(AND(AW8&lt;&gt;"",AW8&lt;=前提条件!$C$8),30000*6,0))</f>
        <v/>
      </c>
      <c r="AX12" s="350">
        <f>IF(AX$3="","",IF(AND(AX6&lt;&gt;"",AX6&lt;=前提条件!$C$8),IF(1&gt;=3,30000,IF(AX6&lt;3,15000,10000))*6,0)+IF(AND(AX7&lt;&gt;"",AX7&lt;=前提条件!$C$8),IF(2&gt;=3,30000,IF(AX7&lt;3,15000,10000))*6,0)+IF(AND(AX8&lt;&gt;"",AX8&lt;=前提条件!$C$8),30000*6,0))</f>
        <v/>
      </c>
      <c r="AY12" s="350">
        <f>IF(AY$3="","",IF(AND(AY6&lt;&gt;"",AY6&lt;=前提条件!$C$8),IF(1&gt;=3,30000,IF(AY6&lt;3,15000,10000))*6,0)+IF(AND(AY7&lt;&gt;"",AY7&lt;=前提条件!$C$8),IF(2&gt;=3,30000,IF(AY7&lt;3,15000,10000))*6,0)+IF(AND(AY8&lt;&gt;"",AY8&lt;=前提条件!$C$8),30000*6,0))</f>
        <v/>
      </c>
      <c r="AZ12" s="350">
        <f>IF(AZ$3="","",IF(AND(AZ6&lt;&gt;"",AZ6&lt;=前提条件!$C$8),IF(1&gt;=3,30000,IF(AZ6&lt;3,15000,10000))*6,0)+IF(AND(AZ7&lt;&gt;"",AZ7&lt;=前提条件!$C$8),IF(2&gt;=3,30000,IF(AZ7&lt;3,15000,10000))*6,0)+IF(AND(AZ8&lt;&gt;"",AZ8&lt;=前提条件!$C$8),30000*6,0))</f>
        <v/>
      </c>
      <c r="BA12" s="350">
        <f>IF(BA$3="","",IF(AND(BA6&lt;&gt;"",BA6&lt;=前提条件!$C$8),IF(1&gt;=3,30000,IF(BA6&lt;3,15000,10000))*6,0)+IF(AND(BA7&lt;&gt;"",BA7&lt;=前提条件!$C$8),IF(2&gt;=3,30000,IF(BA7&lt;3,15000,10000))*6,0)+IF(AND(BA8&lt;&gt;"",BA8&lt;=前提条件!$C$8),30000*6,0))</f>
        <v/>
      </c>
      <c r="BB12" s="350">
        <f>IF(BB$3="","",IF(AND(BB6&lt;&gt;"",BB6&lt;=前提条件!$C$8),IF(1&gt;=3,30000,IF(BB6&lt;3,15000,10000))*6,0)+IF(AND(BB7&lt;&gt;"",BB7&lt;=前提条件!$C$8),IF(2&gt;=3,30000,IF(BB7&lt;3,15000,10000))*6,0)+IF(AND(BB8&lt;&gt;"",BB8&lt;=前提条件!$C$8),30000*6,0))</f>
        <v/>
      </c>
      <c r="BC12" s="350">
        <f>IF(BC$3="","",IF(AND(BC6&lt;&gt;"",BC6&lt;=前提条件!$C$8),IF(1&gt;=3,30000,IF(BC6&lt;3,15000,10000))*6,0)+IF(AND(BC7&lt;&gt;"",BC7&lt;=前提条件!$C$8),IF(2&gt;=3,30000,IF(BC7&lt;3,15000,10000))*6,0)+IF(AND(BC8&lt;&gt;"",BC8&lt;=前提条件!$C$8),30000*6,0))</f>
        <v/>
      </c>
      <c r="BD12" s="350">
        <f>IF(BD$3="","",IF(AND(BD6&lt;&gt;"",BD6&lt;=前提条件!$C$8),IF(1&gt;=3,30000,IF(BD6&lt;3,15000,10000))*6,0)+IF(AND(BD7&lt;&gt;"",BD7&lt;=前提条件!$C$8),IF(2&gt;=3,30000,IF(BD7&lt;3,15000,10000))*6,0)+IF(AND(BD8&lt;&gt;"",BD8&lt;=前提条件!$C$8),30000*6,0))</f>
        <v/>
      </c>
      <c r="BE12" s="350">
        <f>IF(BE$3="","",IF(AND(BE6&lt;&gt;"",BE6&lt;=前提条件!$C$8),IF(1&gt;=3,30000,IF(BE6&lt;3,15000,10000))*6,0)+IF(AND(BE7&lt;&gt;"",BE7&lt;=前提条件!$C$8),IF(2&gt;=3,30000,IF(BE7&lt;3,15000,10000))*6,0)+IF(AND(BE8&lt;&gt;"",BE8&lt;=前提条件!$C$8),30000*6,0))</f>
        <v/>
      </c>
      <c r="BF12" s="350">
        <f>IF(BF$3="","",IF(AND(BF6&lt;&gt;"",BF6&lt;=前提条件!$C$8),IF(1&gt;=3,30000,IF(BF6&lt;3,15000,10000))*6,0)+IF(AND(BF7&lt;&gt;"",BF7&lt;=前提条件!$C$8),IF(2&gt;=3,30000,IF(BF7&lt;3,15000,10000))*6,0)+IF(AND(BF8&lt;&gt;"",BF8&lt;=前提条件!$C$8),30000*6,0))</f>
        <v/>
      </c>
      <c r="BG12" s="350">
        <f>IF(BG$3="","",IF(AND(BG6&lt;&gt;"",BG6&lt;=前提条件!$C$8),IF(1&gt;=3,30000,IF(BG6&lt;3,15000,10000))*6,0)+IF(AND(BG7&lt;&gt;"",BG7&lt;=前提条件!$C$8),IF(2&gt;=3,30000,IF(BG7&lt;3,15000,10000))*6,0)+IF(AND(BG8&lt;&gt;"",BG8&lt;=前提条件!$C$8),30000*6,0))</f>
        <v/>
      </c>
      <c r="BH12" s="350">
        <f>IF(BH$3="","",IF(AND(BH6&lt;&gt;"",BH6&lt;=前提条件!$C$8),IF(1&gt;=3,30000,IF(BH6&lt;3,15000,10000))*6,0)+IF(AND(BH7&lt;&gt;"",BH7&lt;=前提条件!$C$8),IF(2&gt;=3,30000,IF(BH7&lt;3,15000,10000))*6,0)+IF(AND(BH8&lt;&gt;"",BH8&lt;=前提条件!$C$8),30000*6,0))</f>
        <v/>
      </c>
      <c r="BI12" s="350">
        <f>IF(BI$3="","",IF(AND(BI6&lt;&gt;"",BI6&lt;=前提条件!$C$8),IF(1&gt;=3,30000,IF(BI6&lt;3,15000,10000))*6,0)+IF(AND(BI7&lt;&gt;"",BI7&lt;=前提条件!$C$8),IF(2&gt;=3,30000,IF(BI7&lt;3,15000,10000))*6,0)+IF(AND(BI8&lt;&gt;"",BI8&lt;=前提条件!$C$8),30000*6,0))</f>
        <v/>
      </c>
      <c r="BJ12" s="350">
        <f>IF(BJ$3="","",IF(AND(BJ6&lt;&gt;"",BJ6&lt;=前提条件!$C$8),IF(1&gt;=3,30000,IF(BJ6&lt;3,15000,10000))*6,0)+IF(AND(BJ7&lt;&gt;"",BJ7&lt;=前提条件!$C$8),IF(2&gt;=3,30000,IF(BJ7&lt;3,15000,10000))*6,0)+IF(AND(BJ8&lt;&gt;"",BJ8&lt;=前提条件!$C$8),30000*6,0))</f>
        <v/>
      </c>
      <c r="BK12" s="350">
        <f>IF(BK$3="","",IF(AND(BK6&lt;&gt;"",BK6&lt;=前提条件!$C$8),IF(1&gt;=3,30000,IF(BK6&lt;3,15000,10000))*6,0)+IF(AND(BK7&lt;&gt;"",BK7&lt;=前提条件!$C$8),IF(2&gt;=3,30000,IF(BK7&lt;3,15000,10000))*6,0)+IF(AND(BK8&lt;&gt;"",BK8&lt;=前提条件!$C$8),30000*6,0))</f>
        <v/>
      </c>
      <c r="BL12" s="350">
        <f>IF(BL$3="","",IF(AND(BL6&lt;&gt;"",BL6&lt;=前提条件!$C$8),IF(1&gt;=3,30000,IF(BL6&lt;3,15000,10000))*6,0)+IF(AND(BL7&lt;&gt;"",BL7&lt;=前提条件!$C$8),IF(2&gt;=3,30000,IF(BL7&lt;3,15000,10000))*6,0)+IF(AND(BL8&lt;&gt;"",BL8&lt;=前提条件!$C$8),30000*6,0))</f>
        <v/>
      </c>
      <c r="BM12" s="350">
        <f>IF(BM$3="","",IF(AND(BM6&lt;&gt;"",BM6&lt;=前提条件!$C$8),IF(1&gt;=3,30000,IF(BM6&lt;3,15000,10000))*6,0)+IF(AND(BM7&lt;&gt;"",BM7&lt;=前提条件!$C$8),IF(2&gt;=3,30000,IF(BM7&lt;3,15000,10000))*6,0)+IF(AND(BM8&lt;&gt;"",BM8&lt;=前提条件!$C$8),30000*6,0))</f>
        <v/>
      </c>
      <c r="BN12" s="350">
        <f>IF(BN$3="","",IF(AND(BN6&lt;&gt;"",BN6&lt;=前提条件!$C$8),IF(1&gt;=3,30000,IF(BN6&lt;3,15000,10000))*6,0)+IF(AND(BN7&lt;&gt;"",BN7&lt;=前提条件!$C$8),IF(2&gt;=3,30000,IF(BN7&lt;3,15000,10000))*6,0)+IF(AND(BN8&lt;&gt;"",BN8&lt;=前提条件!$C$8),30000*6,0))</f>
        <v/>
      </c>
      <c r="BO12" s="350">
        <f>IF(BO$3="","",IF(AND(BO6&lt;&gt;"",BO6&lt;=前提条件!$C$8),IF(1&gt;=3,30000,IF(BO6&lt;3,15000,10000))*6,0)+IF(AND(BO7&lt;&gt;"",BO7&lt;=前提条件!$C$8),IF(2&gt;=3,30000,IF(BO7&lt;3,15000,10000))*6,0)+IF(AND(BO8&lt;&gt;"",BO8&lt;=前提条件!$C$8),30000*6,0))</f>
        <v/>
      </c>
      <c r="BP12" s="350">
        <f>IF(BP$3="","",IF(AND(BP6&lt;&gt;"",BP6&lt;=前提条件!$C$8),IF(1&gt;=3,30000,IF(BP6&lt;3,15000,10000))*6,0)+IF(AND(BP7&lt;&gt;"",BP7&lt;=前提条件!$C$8),IF(2&gt;=3,30000,IF(BP7&lt;3,15000,10000))*6,0)+IF(AND(BP8&lt;&gt;"",BP8&lt;=前提条件!$C$8),30000*6,0))</f>
        <v/>
      </c>
      <c r="BQ12" s="350">
        <f>IF(BQ$3="","",IF(AND(BQ6&lt;&gt;"",BQ6&lt;=前提条件!$C$8),IF(1&gt;=3,30000,IF(BQ6&lt;3,15000,10000))*6,0)+IF(AND(BQ7&lt;&gt;"",BQ7&lt;=前提条件!$C$8),IF(2&gt;=3,30000,IF(BQ7&lt;3,15000,10000))*6,0)+IF(AND(BQ8&lt;&gt;"",BQ8&lt;=前提条件!$C$8),30000*6,0))</f>
        <v/>
      </c>
      <c r="BR12" s="350">
        <f>IF(BR$3="","",IF(AND(BR6&lt;&gt;"",BR6&lt;=前提条件!$C$8),IF(1&gt;=3,30000,IF(BR6&lt;3,15000,10000))*6,0)+IF(AND(BR7&lt;&gt;"",BR7&lt;=前提条件!$C$8),IF(2&gt;=3,30000,IF(BR7&lt;3,15000,10000))*6,0)+IF(AND(BR8&lt;&gt;"",BR8&lt;=前提条件!$C$8),30000*6,0))</f>
        <v/>
      </c>
      <c r="BS12" s="350">
        <f>IF(BS$3="","",IF(AND(BS6&lt;&gt;"",BS6&lt;=前提条件!$C$8),IF(1&gt;=3,30000,IF(BS6&lt;3,15000,10000))*6,0)+IF(AND(BS7&lt;&gt;"",BS7&lt;=前提条件!$C$8),IF(2&gt;=3,30000,IF(BS7&lt;3,15000,10000))*6,0)+IF(AND(BS8&lt;&gt;"",BS8&lt;=前提条件!$C$8),30000*6,0))</f>
        <v/>
      </c>
      <c r="BT12" s="350">
        <f>IF(BT$3="","",IF(AND(BT6&lt;&gt;"",BT6&lt;=前提条件!$C$8),IF(1&gt;=3,30000,IF(BT6&lt;3,15000,10000))*6,0)+IF(AND(BT7&lt;&gt;"",BT7&lt;=前提条件!$C$8),IF(2&gt;=3,30000,IF(BT7&lt;3,15000,10000))*6,0)+IF(AND(BT8&lt;&gt;"",BT8&lt;=前提条件!$C$8),30000*6,0))</f>
        <v/>
      </c>
      <c r="BU12" s="350">
        <f>IF(BU$3="","",IF(AND(BU6&lt;&gt;"",BU6&lt;=前提条件!$C$8),IF(1&gt;=3,30000,IF(BU6&lt;3,15000,10000))*6,0)+IF(AND(BU7&lt;&gt;"",BU7&lt;=前提条件!$C$8),IF(2&gt;=3,30000,IF(BU7&lt;3,15000,10000))*6,0)+IF(AND(BU8&lt;&gt;"",BU8&lt;=前提条件!$C$8),30000*6,0))</f>
        <v/>
      </c>
      <c r="BV12" s="350">
        <f>IF(BV$3="","",IF(AND(BV6&lt;&gt;"",BV6&lt;=前提条件!$C$8),IF(1&gt;=3,30000,IF(BV6&lt;3,15000,10000))*6,0)+IF(AND(BV7&lt;&gt;"",BV7&lt;=前提条件!$C$8),IF(2&gt;=3,30000,IF(BV7&lt;3,15000,10000))*6,0)+IF(AND(BV8&lt;&gt;"",BV8&lt;=前提条件!$C$8),30000*6,0))</f>
        <v/>
      </c>
      <c r="BW12" s="350">
        <f>IF(BW$3="","",IF(AND(BW6&lt;&gt;"",BW6&lt;=前提条件!$C$8),IF(1&gt;=3,30000,IF(BW6&lt;3,15000,10000))*6,0)+IF(AND(BW7&lt;&gt;"",BW7&lt;=前提条件!$C$8),IF(2&gt;=3,30000,IF(BW7&lt;3,15000,10000))*6,0)+IF(AND(BW8&lt;&gt;"",BW8&lt;=前提条件!$C$8),30000*6,0))</f>
        <v/>
      </c>
      <c r="BX12" s="350">
        <f>IF(BX$3="","",IF(AND(BX6&lt;&gt;"",BX6&lt;=前提条件!$C$8),IF(1&gt;=3,30000,IF(BX6&lt;3,15000,10000))*6,0)+IF(AND(BX7&lt;&gt;"",BX7&lt;=前提条件!$C$8),IF(2&gt;=3,30000,IF(BX7&lt;3,15000,10000))*6,0)+IF(AND(BX8&lt;&gt;"",BX8&lt;=前提条件!$C$8),30000*6,0))</f>
        <v/>
      </c>
      <c r="BY12" s="350">
        <f>IF(BY$3="","",IF(AND(BY6&lt;&gt;"",BY6&lt;=前提条件!$C$8),IF(1&gt;=3,30000,IF(BY6&lt;3,15000,10000))*6,0)+IF(AND(BY7&lt;&gt;"",BY7&lt;=前提条件!$C$8),IF(2&gt;=3,30000,IF(BY7&lt;3,15000,10000))*6,0)+IF(AND(BY8&lt;&gt;"",BY8&lt;=前提条件!$C$8),30000*6,0))</f>
        <v/>
      </c>
      <c r="BZ12" s="350">
        <f>IF(BZ$3="","",IF(AND(BZ6&lt;&gt;"",BZ6&lt;=前提条件!$C$8),IF(1&gt;=3,30000,IF(BZ6&lt;3,15000,10000))*6,0)+IF(AND(BZ7&lt;&gt;"",BZ7&lt;=前提条件!$C$8),IF(2&gt;=3,30000,IF(BZ7&lt;3,15000,10000))*6,0)+IF(AND(BZ8&lt;&gt;"",BZ8&lt;=前提条件!$C$8),30000*6,0))</f>
        <v/>
      </c>
      <c r="CA12" s="350">
        <f>IF(CA$3="","",IF(AND(CA6&lt;&gt;"",CA6&lt;=前提条件!$C$8),IF(1&gt;=3,30000,IF(CA6&lt;3,15000,10000))*6,0)+IF(AND(CA7&lt;&gt;"",CA7&lt;=前提条件!$C$8),IF(2&gt;=3,30000,IF(CA7&lt;3,15000,10000))*6,0)+IF(AND(CA8&lt;&gt;"",CA8&lt;=前提条件!$C$8),30000*6,0))</f>
        <v/>
      </c>
      <c r="CB12" s="350">
        <f>IF(CB$3="","",IF(AND(CB6&lt;&gt;"",CB6&lt;=前提条件!$C$8),IF(1&gt;=3,30000,IF(CB6&lt;3,15000,10000))*6,0)+IF(AND(CB7&lt;&gt;"",CB7&lt;=前提条件!$C$8),IF(2&gt;=3,30000,IF(CB7&lt;3,15000,10000))*6,0)+IF(AND(CB8&lt;&gt;"",CB8&lt;=前提条件!$C$8),30000*6,0))</f>
        <v/>
      </c>
      <c r="CC12" s="350">
        <f>IF(CC$3="","",IF(AND(CC6&lt;&gt;"",CC6&lt;=前提条件!$C$8),IF(1&gt;=3,30000,IF(CC6&lt;3,15000,10000))*6,0)+IF(AND(CC7&lt;&gt;"",CC7&lt;=前提条件!$C$8),IF(2&gt;=3,30000,IF(CC7&lt;3,15000,10000))*6,0)+IF(AND(CC8&lt;&gt;"",CC8&lt;=前提条件!$C$8),30000*6,0))</f>
        <v/>
      </c>
      <c r="CD12" s="350">
        <f>IF(CD$3="","",IF(AND(CD6&lt;&gt;"",CD6&lt;=前提条件!$C$8),IF(1&gt;=3,30000,IF(CD6&lt;3,15000,10000))*6,0)+IF(AND(CD7&lt;&gt;"",CD7&lt;=前提条件!$C$8),IF(2&gt;=3,30000,IF(CD7&lt;3,15000,10000))*6,0)+IF(AND(CD8&lt;&gt;"",CD8&lt;=前提条件!$C$8),30000*6,0))</f>
        <v/>
      </c>
      <c r="CE12" s="350">
        <f>IF(CE$3="","",IF(AND(CE6&lt;&gt;"",CE6&lt;=前提条件!$C$8),IF(1&gt;=3,30000,IF(CE6&lt;3,15000,10000))*6,0)+IF(AND(CE7&lt;&gt;"",CE7&lt;=前提条件!$C$8),IF(2&gt;=3,30000,IF(CE7&lt;3,15000,10000))*6,0)+IF(AND(CE8&lt;&gt;"",CE8&lt;=前提条件!$C$8),30000*6,0))</f>
        <v/>
      </c>
      <c r="CF12" s="350">
        <f>IF(CF$3="","",IF(AND(CF6&lt;&gt;"",CF6&lt;=前提条件!$C$8),IF(1&gt;=3,30000,IF(CF6&lt;3,15000,10000))*6,0)+IF(AND(CF7&lt;&gt;"",CF7&lt;=前提条件!$C$8),IF(2&gt;=3,30000,IF(CF7&lt;3,15000,10000))*6,0)+IF(AND(CF8&lt;&gt;"",CF8&lt;=前提条件!$C$8),30000*6,0))</f>
        <v/>
      </c>
      <c r="CG12" s="350">
        <f>IF(CG$3="","",IF(AND(CG6&lt;&gt;"",CG6&lt;=前提条件!$C$8),IF(1&gt;=3,30000,IF(CG6&lt;3,15000,10000))*6,0)+IF(AND(CG7&lt;&gt;"",CG7&lt;=前提条件!$C$8),IF(2&gt;=3,30000,IF(CG7&lt;3,15000,10000))*6,0)+IF(AND(CG8&lt;&gt;"",CG8&lt;=前提条件!$C$8),30000*6,0))</f>
        <v/>
      </c>
      <c r="CH12" s="350">
        <f>IF(CH$3="","",IF(AND(CH6&lt;&gt;"",CH6&lt;=前提条件!$C$8),IF(1&gt;=3,30000,IF(CH6&lt;3,15000,10000))*6,0)+IF(AND(CH7&lt;&gt;"",CH7&lt;=前提条件!$C$8),IF(2&gt;=3,30000,IF(CH7&lt;3,15000,10000))*6,0)+IF(AND(CH8&lt;&gt;"",CH8&lt;=前提条件!$C$8),30000*6,0))</f>
        <v/>
      </c>
      <c r="CI12" s="350">
        <f>IF(CI$3="","",IF(AND(CI6&lt;&gt;"",CI6&lt;=前提条件!$C$8),IF(1&gt;=3,30000,IF(CI6&lt;3,15000,10000))*6,0)+IF(AND(CI7&lt;&gt;"",CI7&lt;=前提条件!$C$8),IF(2&gt;=3,30000,IF(CI7&lt;3,15000,10000))*6,0)+IF(AND(CI8&lt;&gt;"",CI8&lt;=前提条件!$C$8),30000*6,0))</f>
        <v/>
      </c>
      <c r="CJ12" s="350">
        <f>IF(CJ$3="","",IF(AND(CJ6&lt;&gt;"",CJ6&lt;=前提条件!$C$8),IF(1&gt;=3,30000,IF(CJ6&lt;3,15000,10000))*6,0)+IF(AND(CJ7&lt;&gt;"",CJ7&lt;=前提条件!$C$8),IF(2&gt;=3,30000,IF(CJ7&lt;3,15000,10000))*6,0)+IF(AND(CJ8&lt;&gt;"",CJ8&lt;=前提条件!$C$8),30000*6,0))</f>
        <v/>
      </c>
      <c r="CK12" s="350">
        <f>IF(CK$3="","",IF(AND(CK6&lt;&gt;"",CK6&lt;=前提条件!$C$8),IF(1&gt;=3,30000,IF(CK6&lt;3,15000,10000))*6,0)+IF(AND(CK7&lt;&gt;"",CK7&lt;=前提条件!$C$8),IF(2&gt;=3,30000,IF(CK7&lt;3,15000,10000))*6,0)+IF(AND(CK8&lt;&gt;"",CK8&lt;=前提条件!$C$8),30000*6,0))</f>
        <v/>
      </c>
      <c r="CL12" s="350">
        <f>IF(CL$3="","",IF(AND(CL6&lt;&gt;"",CL6&lt;=前提条件!$C$8),IF(1&gt;=3,30000,IF(CL6&lt;3,15000,10000))*6,0)+IF(AND(CL7&lt;&gt;"",CL7&lt;=前提条件!$C$8),IF(2&gt;=3,30000,IF(CL7&lt;3,15000,10000))*6,0)+IF(AND(CL8&lt;&gt;"",CL8&lt;=前提条件!$C$8),30000*6,0))</f>
        <v/>
      </c>
      <c r="CM12" s="350">
        <f>IF(CM$3="","",IF(AND(CM6&lt;&gt;"",CM6&lt;=前提条件!$C$8),IF(1&gt;=3,30000,IF(CM6&lt;3,15000,10000))*6,0)+IF(AND(CM7&lt;&gt;"",CM7&lt;=前提条件!$C$8),IF(2&gt;=3,30000,IF(CM7&lt;3,15000,10000))*6,0)+IF(AND(CM8&lt;&gt;"",CM8&lt;=前提条件!$C$8),30000*6,0))</f>
        <v/>
      </c>
      <c r="CN12" s="350">
        <f>IF(CN$3="","",IF(AND(CN6&lt;&gt;"",CN6&lt;=前提条件!$C$8),IF(1&gt;=3,30000,IF(CN6&lt;3,15000,10000))*6,0)+IF(AND(CN7&lt;&gt;"",CN7&lt;=前提条件!$C$8),IF(2&gt;=3,30000,IF(CN7&lt;3,15000,10000))*6,0)+IF(AND(CN8&lt;&gt;"",CN8&lt;=前提条件!$C$8),30000*6,0))</f>
        <v/>
      </c>
      <c r="CO12" s="350">
        <f>IF(CO$3="","",IF(AND(CO6&lt;&gt;"",CO6&lt;=前提条件!$C$8),IF(1&gt;=3,30000,IF(CO6&lt;3,15000,10000))*6,0)+IF(AND(CO7&lt;&gt;"",CO7&lt;=前提条件!$C$8),IF(2&gt;=3,30000,IF(CO7&lt;3,15000,10000))*6,0)+IF(AND(CO8&lt;&gt;"",CO8&lt;=前提条件!$C$8),30000*6,0))</f>
        <v/>
      </c>
      <c r="CP12" s="350">
        <f>IF(CP$3="","",IF(AND(CP6&lt;&gt;"",CP6&lt;=前提条件!$C$8),IF(1&gt;=3,30000,IF(CP6&lt;3,15000,10000))*6,0)+IF(AND(CP7&lt;&gt;"",CP7&lt;=前提条件!$C$8),IF(2&gt;=3,30000,IF(CP7&lt;3,15000,10000))*6,0)+IF(AND(CP8&lt;&gt;"",CP8&lt;=前提条件!$C$8),30000*6,0))</f>
        <v/>
      </c>
      <c r="CQ12" s="350">
        <f>IF(CQ$3="","",IF(AND(CQ6&lt;&gt;"",CQ6&lt;=前提条件!$C$8),IF(1&gt;=3,30000,IF(CQ6&lt;3,15000,10000))*6,0)+IF(AND(CQ7&lt;&gt;"",CQ7&lt;=前提条件!$C$8),IF(2&gt;=3,30000,IF(CQ7&lt;3,15000,10000))*6,0)+IF(AND(CQ8&lt;&gt;"",CQ8&lt;=前提条件!$C$8),30000*6,0))</f>
        <v/>
      </c>
      <c r="CR12" s="350">
        <f>IF(CR$3="","",IF(AND(CR6&lt;&gt;"",CR6&lt;=前提条件!$C$8),IF(1&gt;=3,30000,IF(CR6&lt;3,15000,10000))*6,0)+IF(AND(CR7&lt;&gt;"",CR7&lt;=前提条件!$C$8),IF(2&gt;=3,30000,IF(CR7&lt;3,15000,10000))*6,0)+IF(AND(CR8&lt;&gt;"",CR8&lt;=前提条件!$C$8),30000*6,0))</f>
        <v/>
      </c>
      <c r="CS12" s="350">
        <f>IF(CS$3="","",IF(AND(CS6&lt;&gt;"",CS6&lt;=前提条件!$C$8),IF(1&gt;=3,30000,IF(CS6&lt;3,15000,10000))*6,0)+IF(AND(CS7&lt;&gt;"",CS7&lt;=前提条件!$C$8),IF(2&gt;=3,30000,IF(CS7&lt;3,15000,10000))*6,0)+IF(AND(CS8&lt;&gt;"",CS8&lt;=前提条件!$C$8),30000*6,0))</f>
        <v/>
      </c>
      <c r="CT12" s="350">
        <f>IF(CT$3="","",IF(AND(CT6&lt;&gt;"",CT6&lt;=前提条件!$C$8),IF(1&gt;=3,30000,IF(CT6&lt;3,15000,10000))*6,0)+IF(AND(CT7&lt;&gt;"",CT7&lt;=前提条件!$C$8),IF(2&gt;=3,30000,IF(CT7&lt;3,15000,10000))*6,0)+IF(AND(CT8&lt;&gt;"",CT8&lt;=前提条件!$C$8),30000*6,0))</f>
        <v/>
      </c>
      <c r="CU12" s="350">
        <f>IF(CU$3="","",IF(AND(CU6&lt;&gt;"",CU6&lt;=前提条件!$C$8),IF(1&gt;=3,30000,IF(CU6&lt;3,15000,10000))*6,0)+IF(AND(CU7&lt;&gt;"",CU7&lt;=前提条件!$C$8),IF(2&gt;=3,30000,IF(CU7&lt;3,15000,10000))*6,0)+IF(AND(CU8&lt;&gt;"",CU8&lt;=前提条件!$C$8),30000*6,0))</f>
        <v/>
      </c>
      <c r="CV12" s="350">
        <f>IF(CV$3="","",IF(AND(CV6&lt;&gt;"",CV6&lt;=前提条件!$C$8),IF(1&gt;=3,30000,IF(CV6&lt;3,15000,10000))*6,0)+IF(AND(CV7&lt;&gt;"",CV7&lt;=前提条件!$C$8),IF(2&gt;=3,30000,IF(CV7&lt;3,15000,10000))*6,0)+IF(AND(CV8&lt;&gt;"",CV8&lt;=前提条件!$C$8),30000*6,0))</f>
        <v/>
      </c>
      <c r="CW12" s="350">
        <f>IF(CW$3="","",IF(AND(CW6&lt;&gt;"",CW6&lt;=前提条件!$C$8),入力データ!$C$34*6,0)+IF(AND(CW7&lt;&gt;"",CW7&lt;=前提条件!$C$8),入力データ!$C$34*6,0)+IF(AND(CW8&lt;&gt;"",CW8&lt;=前提条件!$C$8),入力データ!$C$34*6,0))</f>
        <v/>
      </c>
    </row>
    <row r="13" ht="15" customHeight="1" s="180">
      <c r="A13" s="220" t="inlineStr">
        <is>
          <t>その他収入</t>
        </is>
      </c>
      <c r="B13" s="350">
        <f>IF(B$3="","",入力データ!$C$35*12)</f>
        <v/>
      </c>
      <c r="C13" s="350">
        <f>IF(C$3="","",入力データ!$C$35*12)</f>
        <v/>
      </c>
      <c r="D13" s="350">
        <f>IF(D$3="","",入力データ!$C$35*12)</f>
        <v/>
      </c>
      <c r="E13" s="350">
        <f>IF(E$3="","",入力データ!$C$35*12)</f>
        <v/>
      </c>
      <c r="F13" s="350">
        <f>IF(F$3="","",入力データ!$C$35*12)</f>
        <v/>
      </c>
      <c r="G13" s="350">
        <f>IF(G$3="","",入力データ!$C$35*12)</f>
        <v/>
      </c>
      <c r="H13" s="350">
        <f>IF(H$3="","",入力データ!$C$35*12)</f>
        <v/>
      </c>
      <c r="I13" s="350">
        <f>IF(I$3="","",入力データ!$C$35*12)</f>
        <v/>
      </c>
      <c r="J13" s="350">
        <f>IF(J$3="","",入力データ!$C$35*12)</f>
        <v/>
      </c>
      <c r="K13" s="350">
        <f>IF(K$3="","",入力データ!$C$35*12)</f>
        <v/>
      </c>
      <c r="L13" s="350">
        <f>IF(L$3="","",入力データ!$C$35*12)</f>
        <v/>
      </c>
      <c r="M13" s="350">
        <f>IF(M$3="","",入力データ!$C$35*12)</f>
        <v/>
      </c>
      <c r="N13" s="350">
        <f>IF(N$3="","",入力データ!$C$35*12)</f>
        <v/>
      </c>
      <c r="O13" s="350">
        <f>IF(O$3="","",入力データ!$C$35*12)</f>
        <v/>
      </c>
      <c r="P13" s="350">
        <f>IF(P$3="","",入力データ!$C$35*12)</f>
        <v/>
      </c>
      <c r="Q13" s="350">
        <f>IF(Q$3="","",入力データ!$C$35*12)</f>
        <v/>
      </c>
      <c r="R13" s="350">
        <f>IF(R$3="","",入力データ!$C$35*12)</f>
        <v/>
      </c>
      <c r="S13" s="350">
        <f>IF(S$3="","",入力データ!$C$35*12)</f>
        <v/>
      </c>
      <c r="T13" s="350">
        <f>IF(T$3="","",入力データ!$C$35*12)</f>
        <v/>
      </c>
      <c r="U13" s="350">
        <f>IF(U$3="","",入力データ!$C$35*12)</f>
        <v/>
      </c>
      <c r="V13" s="350">
        <f>IF(V$3="","",入力データ!$C$35*12)</f>
        <v/>
      </c>
      <c r="W13" s="350">
        <f>IF(W$3="","",入力データ!$C$35*12)</f>
        <v/>
      </c>
      <c r="X13" s="350">
        <f>IF(X$3="","",入力データ!$C$35*12)</f>
        <v/>
      </c>
      <c r="Y13" s="350">
        <f>IF(Y$3="","",入力データ!$C$35*12)</f>
        <v/>
      </c>
      <c r="Z13" s="350">
        <f>IF(Z$3="","",入力データ!$C$35*12)</f>
        <v/>
      </c>
      <c r="AA13" s="350">
        <f>IF(AA$3="","",入力データ!$C$35*12)</f>
        <v/>
      </c>
      <c r="AB13" s="350">
        <f>IF(AB$3="","",入力データ!$C$35*12)</f>
        <v/>
      </c>
      <c r="AC13" s="350">
        <f>IF(AC$3="","",入力データ!$C$35*12)</f>
        <v/>
      </c>
      <c r="AD13" s="350">
        <f>IF(AD$3="","",入力データ!$C$35*12)</f>
        <v/>
      </c>
      <c r="AE13" s="350">
        <f>IF(AE$3="","",入力データ!$C$35*12)</f>
        <v/>
      </c>
      <c r="AF13" s="350">
        <f>IF(AF$3="","",入力データ!$C$35*12)</f>
        <v/>
      </c>
      <c r="AG13" s="350">
        <f>IF(AG$3="","",入力データ!$C$35*12)</f>
        <v/>
      </c>
      <c r="AH13" s="350">
        <f>IF(AH$3="","",入力データ!$C$35*12)</f>
        <v/>
      </c>
      <c r="AI13" s="350">
        <f>IF(AI$3="","",入力データ!$C$35*12)</f>
        <v/>
      </c>
      <c r="AJ13" s="350">
        <f>IF(AJ$3="","",入力データ!$C$35*12)</f>
        <v/>
      </c>
      <c r="AK13" s="350">
        <f>IF(AK$3="","",入力データ!$C$35*12)</f>
        <v/>
      </c>
      <c r="AL13" s="350">
        <f>IF(AL$3="","",入力データ!$C$35*12)</f>
        <v/>
      </c>
      <c r="AM13" s="350">
        <f>IF(AM$3="","",入力データ!$C$35*12)</f>
        <v/>
      </c>
      <c r="AN13" s="350">
        <f>IF(AN$3="","",入力データ!$C$35*12)</f>
        <v/>
      </c>
      <c r="AO13" s="350">
        <f>IF(AO$3="","",入力データ!$C$35*12)</f>
        <v/>
      </c>
      <c r="AP13" s="350">
        <f>IF(AP$3="","",入力データ!$C$35*12)</f>
        <v/>
      </c>
      <c r="AQ13" s="350">
        <f>IF(AQ$3="","",入力データ!$C$35*12)</f>
        <v/>
      </c>
      <c r="AR13" s="350">
        <f>IF(AR$3="","",入力データ!$C$35*12)</f>
        <v/>
      </c>
      <c r="AS13" s="350">
        <f>IF(AS$3="","",入力データ!$C$35*12)</f>
        <v/>
      </c>
      <c r="AT13" s="350">
        <f>IF(AT$3="","",入力データ!$C$35*12)</f>
        <v/>
      </c>
      <c r="AU13" s="350">
        <f>IF(AU$3="","",入力データ!$C$35*12)</f>
        <v/>
      </c>
      <c r="AV13" s="350">
        <f>IF(AV$3="","",入力データ!$C$35*12)</f>
        <v/>
      </c>
      <c r="AW13" s="350">
        <f>IF(AW$3="","",入力データ!$C$35*12)</f>
        <v/>
      </c>
      <c r="AX13" s="350">
        <f>IF(AX$3="","",入力データ!$C$35*12)</f>
        <v/>
      </c>
      <c r="AY13" s="350">
        <f>IF(AY$3="","",入力データ!$C$35*12)</f>
        <v/>
      </c>
      <c r="AZ13" s="350">
        <f>IF(AZ$3="","",入力データ!$C$35*12)</f>
        <v/>
      </c>
      <c r="BA13" s="350">
        <f>IF(BA$3="","",入力データ!$C$35*12)</f>
        <v/>
      </c>
      <c r="BB13" s="350">
        <f>IF(BB$3="","",入力データ!$C$35*12)</f>
        <v/>
      </c>
      <c r="BC13" s="350">
        <f>IF(BC$3="","",入力データ!$C$35*12)</f>
        <v/>
      </c>
      <c r="BD13" s="350">
        <f>IF(BD$3="","",入力データ!$C$35*12)</f>
        <v/>
      </c>
      <c r="BE13" s="350">
        <f>IF(BE$3="","",入力データ!$C$35*12)</f>
        <v/>
      </c>
      <c r="BF13" s="350">
        <f>IF(BF$3="","",入力データ!$C$35*12)</f>
        <v/>
      </c>
      <c r="BG13" s="350">
        <f>IF(BG$3="","",入力データ!$C$35*12)</f>
        <v/>
      </c>
      <c r="BH13" s="350">
        <f>IF(BH$3="","",入力データ!$C$35*12)</f>
        <v/>
      </c>
      <c r="BI13" s="350">
        <f>IF(BI$3="","",入力データ!$C$35*12)</f>
        <v/>
      </c>
      <c r="BJ13" s="350">
        <f>IF(BJ$3="","",入力データ!$C$35*12)</f>
        <v/>
      </c>
      <c r="BK13" s="350">
        <f>IF(BK$3="","",入力データ!$C$35*12)</f>
        <v/>
      </c>
      <c r="BL13" s="350">
        <f>IF(BL$3="","",入力データ!$C$35*12)</f>
        <v/>
      </c>
      <c r="BM13" s="350">
        <f>IF(BM$3="","",入力データ!$C$35*12)</f>
        <v/>
      </c>
      <c r="BN13" s="350">
        <f>IF(BN$3="","",入力データ!$C$35*12)</f>
        <v/>
      </c>
      <c r="BO13" s="350">
        <f>IF(BO$3="","",入力データ!$C$35*12)</f>
        <v/>
      </c>
      <c r="BP13" s="350">
        <f>IF(BP$3="","",入力データ!$C$35*12)</f>
        <v/>
      </c>
      <c r="BQ13" s="350">
        <f>IF(BQ$3="","",入力データ!$C$35*12)</f>
        <v/>
      </c>
      <c r="BR13" s="350">
        <f>IF(BR$3="","",入力データ!$C$35*12)</f>
        <v/>
      </c>
      <c r="BS13" s="350">
        <f>IF(BS$3="","",入力データ!$C$35*12)</f>
        <v/>
      </c>
      <c r="BT13" s="350">
        <f>IF(BT$3="","",入力データ!$C$35*12)</f>
        <v/>
      </c>
      <c r="BU13" s="350">
        <f>IF(BU$3="","",入力データ!$C$35*12)</f>
        <v/>
      </c>
      <c r="BV13" s="350">
        <f>IF(BV$3="","",入力データ!$C$35*12)</f>
        <v/>
      </c>
      <c r="BW13" s="350">
        <f>IF(BW$3="","",入力データ!$C$35*12)</f>
        <v/>
      </c>
      <c r="BX13" s="350">
        <f>IF(BX$3="","",入力データ!$C$35*12)</f>
        <v/>
      </c>
      <c r="BY13" s="350">
        <f>IF(BY$3="","",入力データ!$C$35*12)</f>
        <v/>
      </c>
      <c r="BZ13" s="350">
        <f>IF(BZ$3="","",入力データ!$C$35*12)</f>
        <v/>
      </c>
      <c r="CA13" s="350">
        <f>IF(CA$3="","",入力データ!$C$35*12)</f>
        <v/>
      </c>
      <c r="CB13" s="350">
        <f>IF(CB$3="","",入力データ!$C$35*12)</f>
        <v/>
      </c>
      <c r="CC13" s="350">
        <f>IF(CC$3="","",入力データ!$C$35*12)</f>
        <v/>
      </c>
      <c r="CD13" s="350">
        <f>IF(CD$3="","",入力データ!$C$35*12)</f>
        <v/>
      </c>
      <c r="CE13" s="350">
        <f>IF(CE$3="","",入力データ!$C$35*12)</f>
        <v/>
      </c>
      <c r="CF13" s="350">
        <f>IF(CF$3="","",入力データ!$C$35*12)</f>
        <v/>
      </c>
      <c r="CG13" s="350">
        <f>IF(CG$3="","",入力データ!$C$35*12)</f>
        <v/>
      </c>
      <c r="CH13" s="350">
        <f>IF(CH$3="","",入力データ!$C$35*12)</f>
        <v/>
      </c>
      <c r="CI13" s="350">
        <f>IF(CI$3="","",入力データ!$C$35*12)</f>
        <v/>
      </c>
      <c r="CJ13" s="350">
        <f>IF(CJ$3="","",入力データ!$C$35*12)</f>
        <v/>
      </c>
      <c r="CK13" s="350">
        <f>IF(CK$3="","",入力データ!$C$35*12)</f>
        <v/>
      </c>
      <c r="CL13" s="350">
        <f>IF(CL$3="","",入力データ!$C$35*12)</f>
        <v/>
      </c>
      <c r="CM13" s="350">
        <f>IF(CM$3="","",入力データ!$C$35*12)</f>
        <v/>
      </c>
      <c r="CN13" s="350">
        <f>IF(CN$3="","",入力データ!$C$35*12)</f>
        <v/>
      </c>
      <c r="CO13" s="350">
        <f>IF(CO$3="","",入力データ!$C$35*12)</f>
        <v/>
      </c>
      <c r="CP13" s="350">
        <f>IF(CP$3="","",入力データ!$C$35*12)</f>
        <v/>
      </c>
      <c r="CQ13" s="350">
        <f>IF(CQ$3="","",入力データ!$C$35*12)</f>
        <v/>
      </c>
      <c r="CR13" s="350">
        <f>IF(CR$3="","",入力データ!$C$35*12)</f>
        <v/>
      </c>
      <c r="CS13" s="350">
        <f>IF(CS$3="","",入力データ!$C$35*12)</f>
        <v/>
      </c>
      <c r="CT13" s="350">
        <f>IF(CT$3="","",入力データ!$C$35*12)</f>
        <v/>
      </c>
      <c r="CU13" s="350">
        <f>IF(CU$3="","",入力データ!$C$35*12)</f>
        <v/>
      </c>
      <c r="CV13" s="350">
        <f>IF(CV$3="","",入力データ!$C$35*12)</f>
        <v/>
      </c>
      <c r="CW13" s="350">
        <f>IF(CW$3="","",入力データ!$C$35*12)</f>
        <v/>
      </c>
    </row>
    <row r="14" ht="15" customHeight="1" s="180">
      <c r="A14" s="220" t="inlineStr">
        <is>
          <t>ご主人様退職金</t>
        </is>
      </c>
      <c r="B14" s="350">
        <f>IF(B$3="","",IF(B4=入力データ!$C$109,入力データ!$C$36,0))</f>
        <v/>
      </c>
      <c r="C14" s="350">
        <f>IF(C$3="","",IF(C4=入力データ!$C$109,入力データ!$C$36,0))</f>
        <v/>
      </c>
      <c r="D14" s="350">
        <f>IF(D$3="","",IF(D4=入力データ!$C$109,入力データ!$C$36,0))</f>
        <v/>
      </c>
      <c r="E14" s="350">
        <f>IF(E$3="","",IF(E4=入力データ!$C$109,入力データ!$C$36,0))</f>
        <v/>
      </c>
      <c r="F14" s="350">
        <f>IF(F$3="","",IF(F4=入力データ!$C$109,入力データ!$C$36,0))</f>
        <v/>
      </c>
      <c r="G14" s="350">
        <f>IF(G$3="","",IF(G4=入力データ!$C$109,入力データ!$C$36,0))</f>
        <v/>
      </c>
      <c r="H14" s="350">
        <f>IF(H$3="","",IF(H4=入力データ!$C$109,入力データ!$C$36,0))</f>
        <v/>
      </c>
      <c r="I14" s="350">
        <f>IF(I$3="","",IF(I4=入力データ!$C$109,入力データ!$C$36,0))</f>
        <v/>
      </c>
      <c r="J14" s="350">
        <f>IF(J$3="","",IF(J4=入力データ!$C$109,入力データ!$C$36,0))</f>
        <v/>
      </c>
      <c r="K14" s="350">
        <f>IF(K$3="","",IF(K4=入力データ!$C$109,入力データ!$C$36,0))</f>
        <v/>
      </c>
      <c r="L14" s="350">
        <f>IF(L$3="","",IF(L4=入力データ!$C$109,入力データ!$C$36,0))</f>
        <v/>
      </c>
      <c r="M14" s="350">
        <f>IF(M$3="","",IF(M4=入力データ!$C$109,入力データ!$C$36,0))</f>
        <v/>
      </c>
      <c r="N14" s="350">
        <f>IF(N$3="","",IF(N4=入力データ!$C$109,入力データ!$C$36,0))</f>
        <v/>
      </c>
      <c r="O14" s="350">
        <f>IF(O$3="","",IF(O4=入力データ!$C$109,入力データ!$C$36,0))</f>
        <v/>
      </c>
      <c r="P14" s="350">
        <f>IF(P$3="","",IF(P4=入力データ!$C$109,入力データ!$C$36,0))</f>
        <v/>
      </c>
      <c r="Q14" s="350">
        <f>IF(Q$3="","",IF(Q4=入力データ!$C$109,入力データ!$C$36,0))</f>
        <v/>
      </c>
      <c r="R14" s="350">
        <f>IF(R$3="","",IF(R4=入力データ!$C$109,入力データ!$C$36,0))</f>
        <v/>
      </c>
      <c r="S14" s="350">
        <f>IF(S$3="","",IF(S4=入力データ!$C$109,入力データ!$C$36,0))</f>
        <v/>
      </c>
      <c r="T14" s="350">
        <f>IF(T$3="","",IF(T4=入力データ!$C$109,入力データ!$C$36,0))</f>
        <v/>
      </c>
      <c r="U14" s="350">
        <f>IF(U$3="","",IF(U4=入力データ!$C$109,入力データ!$C$36,0))</f>
        <v/>
      </c>
      <c r="V14" s="350">
        <f>IF(V$3="","",IF(V4=入力データ!$C$109,入力データ!$C$36,0))</f>
        <v/>
      </c>
      <c r="W14" s="350">
        <f>IF(W$3="","",IF(W4=入力データ!$C$109,入力データ!$C$36,0))</f>
        <v/>
      </c>
      <c r="X14" s="350">
        <f>IF(X$3="","",IF(X4=入力データ!$C$109,入力データ!$C$36,0))</f>
        <v/>
      </c>
      <c r="Y14" s="350">
        <f>IF(Y$3="","",IF(Y4=入力データ!$C$109,入力データ!$C$36,0))</f>
        <v/>
      </c>
      <c r="Z14" s="350">
        <f>IF(Z$3="","",IF(Z4=入力データ!$C$109,入力データ!$C$36,0))</f>
        <v/>
      </c>
      <c r="AA14" s="350">
        <f>IF(AA$3="","",IF(AA4=入力データ!$C$109,入力データ!$C$36,0))</f>
        <v/>
      </c>
      <c r="AB14" s="350">
        <f>IF(AB$3="","",IF(AB4=入力データ!$C$109,入力データ!$C$36,0))</f>
        <v/>
      </c>
      <c r="AC14" s="350">
        <f>IF(AC$3="","",IF(AC4=入力データ!$C$109,入力データ!$C$36,0))</f>
        <v/>
      </c>
      <c r="AD14" s="350">
        <f>IF(AD$3="","",IF(AD4=入力データ!$C$109,入力データ!$C$36,0))</f>
        <v/>
      </c>
      <c r="AE14" s="350">
        <f>IF(AE$3="","",IF(AE4=入力データ!$C$109,入力データ!$C$36,0))</f>
        <v/>
      </c>
      <c r="AF14" s="350">
        <f>IF(AF$3="","",IF(AF4=入力データ!$C$109,入力データ!$C$36,0))</f>
        <v/>
      </c>
      <c r="AG14" s="350">
        <f>IF(AG$3="","",IF(AG4=入力データ!$C$109,入力データ!$C$36,0))</f>
        <v/>
      </c>
      <c r="AH14" s="350">
        <f>IF(AH$3="","",IF(AH4=入力データ!$C$109,入力データ!$C$36,0))</f>
        <v/>
      </c>
      <c r="AI14" s="350">
        <f>IF(AI$3="","",IF(AI4=入力データ!$C$109,入力データ!$C$36,0))</f>
        <v/>
      </c>
      <c r="AJ14" s="350">
        <f>IF(AJ$3="","",IF(AJ4=入力データ!$C$109,入力データ!$C$36,0))</f>
        <v/>
      </c>
      <c r="AK14" s="350">
        <f>IF(AK$3="","",IF(AK4=入力データ!$C$109,入力データ!$C$36,0))</f>
        <v/>
      </c>
      <c r="AL14" s="350">
        <f>IF(AL$3="","",IF(AL4=入力データ!$C$109,入力データ!$C$36,0))</f>
        <v/>
      </c>
      <c r="AM14" s="350">
        <f>IF(AM$3="","",IF(AM4=入力データ!$C$109,入力データ!$C$36,0))</f>
        <v/>
      </c>
      <c r="AN14" s="350">
        <f>IF(AN$3="","",IF(AN4=入力データ!$C$109,入力データ!$C$36,0))</f>
        <v/>
      </c>
      <c r="AO14" s="350">
        <f>IF(AO$3="","",IF(AO4=入力データ!$C$109,入力データ!$C$36,0))</f>
        <v/>
      </c>
      <c r="AP14" s="350">
        <f>IF(AP$3="","",IF(AP4=入力データ!$C$109,入力データ!$C$36,0))</f>
        <v/>
      </c>
      <c r="AQ14" s="350">
        <f>IF(AQ$3="","",IF(AQ4=入力データ!$C$109,入力データ!$C$36,0))</f>
        <v/>
      </c>
      <c r="AR14" s="350">
        <f>IF(AR$3="","",IF(AR4=入力データ!$C$109,入力データ!$C$36,0))</f>
        <v/>
      </c>
      <c r="AS14" s="350">
        <f>IF(AS$3="","",IF(AS4=入力データ!$C$109,入力データ!$C$36,0))</f>
        <v/>
      </c>
      <c r="AT14" s="350">
        <f>IF(AT$3="","",IF(AT4=入力データ!$C$109,入力データ!$C$36,0))</f>
        <v/>
      </c>
      <c r="AU14" s="350">
        <f>IF(AU$3="","",IF(AU4=入力データ!$C$109,入力データ!$C$36,0))</f>
        <v/>
      </c>
      <c r="AV14" s="350">
        <f>IF(AV$3="","",IF(AV4=入力データ!$C$109,入力データ!$C$36,0))</f>
        <v/>
      </c>
      <c r="AW14" s="350">
        <f>IF(AW$3="","",IF(AW4=入力データ!$C$109,入力データ!$C$36,0))</f>
        <v/>
      </c>
      <c r="AX14" s="350">
        <f>IF(AX$3="","",IF(AX4=入力データ!$C$109,入力データ!$C$36,0))</f>
        <v/>
      </c>
      <c r="AY14" s="350">
        <f>IF(AY$3="","",IF(AY4=入力データ!$C$109,入力データ!$C$36,0))</f>
        <v/>
      </c>
      <c r="AZ14" s="350">
        <f>IF(AZ$3="","",IF(AZ4=入力データ!$C$109,入力データ!$C$36,0))</f>
        <v/>
      </c>
      <c r="BA14" s="350">
        <f>IF(BA$3="","",IF(BA4=入力データ!$C$109,入力データ!$C$36,0))</f>
        <v/>
      </c>
      <c r="BB14" s="350">
        <f>IF(BB$3="","",IF(BB4=入力データ!$C$109,入力データ!$C$36,0))</f>
        <v/>
      </c>
      <c r="BC14" s="350">
        <f>IF(BC$3="","",IF(BC4=入力データ!$C$109,入力データ!$C$36,0))</f>
        <v/>
      </c>
      <c r="BD14" s="350">
        <f>IF(BD$3="","",IF(BD4=入力データ!$C$109,入力データ!$C$36,0))</f>
        <v/>
      </c>
      <c r="BE14" s="350">
        <f>IF(BE$3="","",IF(BE4=入力データ!$C$109,入力データ!$C$36,0))</f>
        <v/>
      </c>
      <c r="BF14" s="350">
        <f>IF(BF$3="","",IF(BF4=入力データ!$C$109,入力データ!$C$36,0))</f>
        <v/>
      </c>
      <c r="BG14" s="350">
        <f>IF(BG$3="","",IF(BG4=入力データ!$C$109,入力データ!$C$36,0))</f>
        <v/>
      </c>
      <c r="BH14" s="350">
        <f>IF(BH$3="","",IF(BH4=入力データ!$C$109,入力データ!$C$36,0))</f>
        <v/>
      </c>
      <c r="BI14" s="350">
        <f>IF(BI$3="","",IF(BI4=入力データ!$C$109,入力データ!$C$36,0))</f>
        <v/>
      </c>
      <c r="BJ14" s="350">
        <f>IF(BJ$3="","",IF(BJ4=入力データ!$C$109,入力データ!$C$36,0))</f>
        <v/>
      </c>
      <c r="BK14" s="350">
        <f>IF(BK$3="","",IF(BK4=入力データ!$C$109,入力データ!$C$36,0))</f>
        <v/>
      </c>
      <c r="BL14" s="350">
        <f>IF(BL$3="","",IF(BL4=入力データ!$C$109,入力データ!$C$36,0))</f>
        <v/>
      </c>
      <c r="BM14" s="350">
        <f>IF(BM$3="","",IF(BM4=入力データ!$C$109,入力データ!$C$36,0))</f>
        <v/>
      </c>
      <c r="BN14" s="350">
        <f>IF(BN$3="","",IF(BN4=入力データ!$C$109,入力データ!$C$36,0))</f>
        <v/>
      </c>
      <c r="BO14" s="350">
        <f>IF(BO$3="","",IF(BO4=入力データ!$C$109,入力データ!$C$36,0))</f>
        <v/>
      </c>
      <c r="BP14" s="350">
        <f>IF(BP$3="","",IF(BP4=入力データ!$C$109,入力データ!$C$36,0))</f>
        <v/>
      </c>
      <c r="BQ14" s="350">
        <f>IF(BQ$3="","",IF(BQ4=入力データ!$C$109,入力データ!$C$36,0))</f>
        <v/>
      </c>
      <c r="BR14" s="350">
        <f>IF(BR$3="","",IF(BR4=入力データ!$C$109,入力データ!$C$36,0))</f>
        <v/>
      </c>
      <c r="BS14" s="350">
        <f>IF(BS$3="","",IF(BS4=入力データ!$C$109,入力データ!$C$36,0))</f>
        <v/>
      </c>
      <c r="BT14" s="350">
        <f>IF(BT$3="","",IF(BT4=入力データ!$C$109,入力データ!$C$36,0))</f>
        <v/>
      </c>
      <c r="BU14" s="350">
        <f>IF(BU$3="","",IF(BU4=入力データ!$C$109,入力データ!$C$36,0))</f>
        <v/>
      </c>
      <c r="BV14" s="350">
        <f>IF(BV$3="","",IF(BV4=入力データ!$C$109,入力データ!$C$36,0))</f>
        <v/>
      </c>
      <c r="BW14" s="350">
        <f>IF(BW$3="","",IF(BW4=入力データ!$C$109,入力データ!$C$36,0))</f>
        <v/>
      </c>
      <c r="BX14" s="350">
        <f>IF(BX$3="","",IF(BX4=入力データ!$C$109,入力データ!$C$36,0))</f>
        <v/>
      </c>
      <c r="BY14" s="350">
        <f>IF(BY$3="","",IF(BY4=入力データ!$C$109,入力データ!$C$36,0))</f>
        <v/>
      </c>
      <c r="BZ14" s="350">
        <f>IF(BZ$3="","",IF(BZ4=入力データ!$C$109,入力データ!$C$36,0))</f>
        <v/>
      </c>
      <c r="CA14" s="350">
        <f>IF(CA$3="","",IF(CA4=入力データ!$C$109,入力データ!$C$36,0))</f>
        <v/>
      </c>
      <c r="CB14" s="350">
        <f>IF(CB$3="","",IF(CB4=入力データ!$C$109,入力データ!$C$36,0))</f>
        <v/>
      </c>
      <c r="CC14" s="350">
        <f>IF(CC$3="","",IF(CC4=入力データ!$C$109,入力データ!$C$36,0))</f>
        <v/>
      </c>
      <c r="CD14" s="350">
        <f>IF(CD$3="","",IF(CD4=入力データ!$C$109,入力データ!$C$36,0))</f>
        <v/>
      </c>
      <c r="CE14" s="350">
        <f>IF(CE$3="","",IF(CE4=入力データ!$C$109,入力データ!$C$36,0))</f>
        <v/>
      </c>
      <c r="CF14" s="350">
        <f>IF(CF$3="","",IF(CF4=入力データ!$C$109,入力データ!$C$36,0))</f>
        <v/>
      </c>
      <c r="CG14" s="350">
        <f>IF(CG$3="","",IF(CG4=入力データ!$C$109,入力データ!$C$36,0))</f>
        <v/>
      </c>
      <c r="CH14" s="350">
        <f>IF(CH$3="","",IF(CH4=入力データ!$C$109,入力データ!$C$36,0))</f>
        <v/>
      </c>
      <c r="CI14" s="350">
        <f>IF(CI$3="","",IF(CI4=入力データ!$C$109,入力データ!$C$36,0))</f>
        <v/>
      </c>
      <c r="CJ14" s="350">
        <f>IF(CJ$3="","",IF(CJ4=入力データ!$C$109,入力データ!$C$36,0))</f>
        <v/>
      </c>
      <c r="CK14" s="350">
        <f>IF(CK$3="","",IF(CK4=入力データ!$C$109,入力データ!$C$36,0))</f>
        <v/>
      </c>
      <c r="CL14" s="350">
        <f>IF(CL$3="","",IF(CL4=入力データ!$C$109,入力データ!$C$36,0))</f>
        <v/>
      </c>
      <c r="CM14" s="350">
        <f>IF(CM$3="","",IF(CM4=入力データ!$C$109,入力データ!$C$36,0))</f>
        <v/>
      </c>
      <c r="CN14" s="350">
        <f>IF(CN$3="","",IF(CN4=入力データ!$C$109,入力データ!$C$36,0))</f>
        <v/>
      </c>
      <c r="CO14" s="350">
        <f>IF(CO$3="","",IF(CO4=入力データ!$C$109,入力データ!$C$36,0))</f>
        <v/>
      </c>
      <c r="CP14" s="350">
        <f>IF(CP$3="","",IF(CP4=入力データ!$C$109,入力データ!$C$36,0))</f>
        <v/>
      </c>
      <c r="CQ14" s="350">
        <f>IF(CQ$3="","",IF(CQ4=入力データ!$C$109,入力データ!$C$36,0))</f>
        <v/>
      </c>
      <c r="CR14" s="350">
        <f>IF(CR$3="","",IF(CR4=入力データ!$C$109,入力データ!$C$36,0))</f>
        <v/>
      </c>
      <c r="CS14" s="350">
        <f>IF(CS$3="","",IF(CS4=入力データ!$C$109,入力データ!$C$36,0))</f>
        <v/>
      </c>
      <c r="CT14" s="350">
        <f>IF(CT$3="","",IF(CT4=入力データ!$C$109,入力データ!$C$36,0))</f>
        <v/>
      </c>
      <c r="CU14" s="350">
        <f>IF(CU$3="","",IF(CU4=入力データ!$C$109,入力データ!$C$36,0))</f>
        <v/>
      </c>
      <c r="CV14" s="350">
        <f>IF(CV$3="","",IF(CV4=入力データ!$C$109,入力データ!$C$36,0))</f>
        <v/>
      </c>
      <c r="CW14" s="350">
        <f>IF(CW$3="","",IF(CW4=入力データ!$C$109,入力データ!$C$36,0))</f>
        <v/>
      </c>
    </row>
    <row r="15" ht="15" customHeight="1" s="180">
      <c r="A15" s="220" t="inlineStr">
        <is>
          <t>奥様退職金</t>
        </is>
      </c>
      <c r="B15" s="350">
        <f>IF(B$3="","",IF(B5=入力データ!$C$110,入力データ!$C$37,0))</f>
        <v/>
      </c>
      <c r="C15" s="350">
        <f>IF(C$3="","",IF(C5=入力データ!$C$110,入力データ!$C$37,0))</f>
        <v/>
      </c>
      <c r="D15" s="350">
        <f>IF(D$3="","",IF(D5=入力データ!$C$110,入力データ!$C$37,0))</f>
        <v/>
      </c>
      <c r="E15" s="350">
        <f>IF(E$3="","",IF(E5=入力データ!$C$110,入力データ!$C$37,0))</f>
        <v/>
      </c>
      <c r="F15" s="350">
        <f>IF(F$3="","",IF(F5=入力データ!$C$110,入力データ!$C$37,0))</f>
        <v/>
      </c>
      <c r="G15" s="350">
        <f>IF(G$3="","",IF(G5=入力データ!$C$110,入力データ!$C$37,0))</f>
        <v/>
      </c>
      <c r="H15" s="350">
        <f>IF(H$3="","",IF(H5=入力データ!$C$110,入力データ!$C$37,0))</f>
        <v/>
      </c>
      <c r="I15" s="350">
        <f>IF(I$3="","",IF(I5=入力データ!$C$110,入力データ!$C$37,0))</f>
        <v/>
      </c>
      <c r="J15" s="350">
        <f>IF(J$3="","",IF(J5=入力データ!$C$110,入力データ!$C$37,0))</f>
        <v/>
      </c>
      <c r="K15" s="350">
        <f>IF(K$3="","",IF(K5=入力データ!$C$110,入力データ!$C$37,0))</f>
        <v/>
      </c>
      <c r="L15" s="350">
        <f>IF(L$3="","",IF(L5=入力データ!$C$110,入力データ!$C$37,0))</f>
        <v/>
      </c>
      <c r="M15" s="350">
        <f>IF(M$3="","",IF(M5=入力データ!$C$110,入力データ!$C$37,0))</f>
        <v/>
      </c>
      <c r="N15" s="350">
        <f>IF(N$3="","",IF(N5=入力データ!$C$110,入力データ!$C$37,0))</f>
        <v/>
      </c>
      <c r="O15" s="350">
        <f>IF(O$3="","",IF(O5=入力データ!$C$110,入力データ!$C$37,0))</f>
        <v/>
      </c>
      <c r="P15" s="350">
        <f>IF(P$3="","",IF(P5=入力データ!$C$110,入力データ!$C$37,0))</f>
        <v/>
      </c>
      <c r="Q15" s="350">
        <f>IF(Q$3="","",IF(Q5=入力データ!$C$110,入力データ!$C$37,0))</f>
        <v/>
      </c>
      <c r="R15" s="350">
        <f>IF(R$3="","",IF(R5=入力データ!$C$110,入力データ!$C$37,0))</f>
        <v/>
      </c>
      <c r="S15" s="350">
        <f>IF(S$3="","",IF(S5=入力データ!$C$110,入力データ!$C$37,0))</f>
        <v/>
      </c>
      <c r="T15" s="350">
        <f>IF(T$3="","",IF(T5=入力データ!$C$110,入力データ!$C$37,0))</f>
        <v/>
      </c>
      <c r="U15" s="350">
        <f>IF(U$3="","",IF(U5=入力データ!$C$110,入力データ!$C$37,0))</f>
        <v/>
      </c>
      <c r="V15" s="350">
        <f>IF(V$3="","",IF(V5=入力データ!$C$110,入力データ!$C$37,0))</f>
        <v/>
      </c>
      <c r="W15" s="350">
        <f>IF(W$3="","",IF(W5=入力データ!$C$110,入力データ!$C$37,0))</f>
        <v/>
      </c>
      <c r="X15" s="350">
        <f>IF(X$3="","",IF(X5=入力データ!$C$110,入力データ!$C$37,0))</f>
        <v/>
      </c>
      <c r="Y15" s="350">
        <f>IF(Y$3="","",IF(Y5=入力データ!$C$110,入力データ!$C$37,0))</f>
        <v/>
      </c>
      <c r="Z15" s="350">
        <f>IF(Z$3="","",IF(Z5=入力データ!$C$110,入力データ!$C$37,0))</f>
        <v/>
      </c>
      <c r="AA15" s="350">
        <f>IF(AA$3="","",IF(AA5=入力データ!$C$110,入力データ!$C$37,0))</f>
        <v/>
      </c>
      <c r="AB15" s="350">
        <f>IF(AB$3="","",IF(AB5=入力データ!$C$110,入力データ!$C$37,0))</f>
        <v/>
      </c>
      <c r="AC15" s="350">
        <f>IF(AC$3="","",IF(AC5=入力データ!$C$110,入力データ!$C$37,0))</f>
        <v/>
      </c>
      <c r="AD15" s="350">
        <f>IF(AD$3="","",IF(AD5=入力データ!$C$110,入力データ!$C$37,0))</f>
        <v/>
      </c>
      <c r="AE15" s="350">
        <f>IF(AE$3="","",IF(AE5=入力データ!$C$110,入力データ!$C$37,0))</f>
        <v/>
      </c>
      <c r="AF15" s="350">
        <f>IF(AF$3="","",IF(AF5=入力データ!$C$110,入力データ!$C$37,0))</f>
        <v/>
      </c>
      <c r="AG15" s="350">
        <f>IF(AG$3="","",IF(AG5=入力データ!$C$110,入力データ!$C$37,0))</f>
        <v/>
      </c>
      <c r="AH15" s="350">
        <f>IF(AH$3="","",IF(AH5=入力データ!$C$110,入力データ!$C$37,0))</f>
        <v/>
      </c>
      <c r="AI15" s="350">
        <f>IF(AI$3="","",IF(AI5=入力データ!$C$110,入力データ!$C$37,0))</f>
        <v/>
      </c>
      <c r="AJ15" s="350">
        <f>IF(AJ$3="","",IF(AJ5=入力データ!$C$110,入力データ!$C$37,0))</f>
        <v/>
      </c>
      <c r="AK15" s="350">
        <f>IF(AK$3="","",IF(AK5=入力データ!$C$110,入力データ!$C$37,0))</f>
        <v/>
      </c>
      <c r="AL15" s="350">
        <f>IF(AL$3="","",IF(AL5=入力データ!$C$110,入力データ!$C$37,0))</f>
        <v/>
      </c>
      <c r="AM15" s="350">
        <f>IF(AM$3="","",IF(AM5=入力データ!$C$110,入力データ!$C$37,0))</f>
        <v/>
      </c>
      <c r="AN15" s="350">
        <f>IF(AN$3="","",IF(AN5=入力データ!$C$110,入力データ!$C$37,0))</f>
        <v/>
      </c>
      <c r="AO15" s="350">
        <f>IF(AO$3="","",IF(AO5=入力データ!$C$110,入力データ!$C$37,0))</f>
        <v/>
      </c>
      <c r="AP15" s="350">
        <f>IF(AP$3="","",IF(AP5=入力データ!$C$110,入力データ!$C$37,0))</f>
        <v/>
      </c>
      <c r="AQ15" s="350">
        <f>IF(AQ$3="","",IF(AQ5=入力データ!$C$110,入力データ!$C$37,0))</f>
        <v/>
      </c>
      <c r="AR15" s="350">
        <f>IF(AR$3="","",IF(AR5=入力データ!$C$110,入力データ!$C$37,0))</f>
        <v/>
      </c>
      <c r="AS15" s="350">
        <f>IF(AS$3="","",IF(AS5=入力データ!$C$110,入力データ!$C$37,0))</f>
        <v/>
      </c>
      <c r="AT15" s="350">
        <f>IF(AT$3="","",IF(AT5=入力データ!$C$110,入力データ!$C$37,0))</f>
        <v/>
      </c>
      <c r="AU15" s="350">
        <f>IF(AU$3="","",IF(AU5=入力データ!$C$110,入力データ!$C$37,0))</f>
        <v/>
      </c>
      <c r="AV15" s="350">
        <f>IF(AV$3="","",IF(AV5=入力データ!$C$110,入力データ!$C$37,0))</f>
        <v/>
      </c>
      <c r="AW15" s="350">
        <f>IF(AW$3="","",IF(AW5=入力データ!$C$110,入力データ!$C$37,0))</f>
        <v/>
      </c>
      <c r="AX15" s="350">
        <f>IF(AX$3="","",IF(AX5=入力データ!$C$110,入力データ!$C$37,0))</f>
        <v/>
      </c>
      <c r="AY15" s="350">
        <f>IF(AY$3="","",IF(AY5=入力データ!$C$110,入力データ!$C$37,0))</f>
        <v/>
      </c>
      <c r="AZ15" s="350">
        <f>IF(AZ$3="","",IF(AZ5=入力データ!$C$110,入力データ!$C$37,0))</f>
        <v/>
      </c>
      <c r="BA15" s="350">
        <f>IF(BA$3="","",IF(BA5=入力データ!$C$110,入力データ!$C$37,0))</f>
        <v/>
      </c>
      <c r="BB15" s="350">
        <f>IF(BB$3="","",IF(BB5=入力データ!$C$110,入力データ!$C$37,0))</f>
        <v/>
      </c>
      <c r="BC15" s="350">
        <f>IF(BC$3="","",IF(BC5=入力データ!$C$110,入力データ!$C$37,0))</f>
        <v/>
      </c>
      <c r="BD15" s="350">
        <f>IF(BD$3="","",IF(BD5=入力データ!$C$110,入力データ!$C$37,0))</f>
        <v/>
      </c>
      <c r="BE15" s="350">
        <f>IF(BE$3="","",IF(BE5=入力データ!$C$110,入力データ!$C$37,0))</f>
        <v/>
      </c>
      <c r="BF15" s="350">
        <f>IF(BF$3="","",IF(BF5=入力データ!$C$110,入力データ!$C$37,0))</f>
        <v/>
      </c>
      <c r="BG15" s="350">
        <f>IF(BG$3="","",IF(BG5=入力データ!$C$110,入力データ!$C$37,0))</f>
        <v/>
      </c>
      <c r="BH15" s="350">
        <f>IF(BH$3="","",IF(BH5=入力データ!$C$110,入力データ!$C$37,0))</f>
        <v/>
      </c>
      <c r="BI15" s="350">
        <f>IF(BI$3="","",IF(BI5=入力データ!$C$110,入力データ!$C$37,0))</f>
        <v/>
      </c>
      <c r="BJ15" s="350">
        <f>IF(BJ$3="","",IF(BJ5=入力データ!$C$110,入力データ!$C$37,0))</f>
        <v/>
      </c>
      <c r="BK15" s="350">
        <f>IF(BK$3="","",IF(BK5=入力データ!$C$110,入力データ!$C$37,0))</f>
        <v/>
      </c>
      <c r="BL15" s="350">
        <f>IF(BL$3="","",IF(BL5=入力データ!$C$110,入力データ!$C$37,0))</f>
        <v/>
      </c>
      <c r="BM15" s="350">
        <f>IF(BM$3="","",IF(BM5=入力データ!$C$110,入力データ!$C$37,0))</f>
        <v/>
      </c>
      <c r="BN15" s="350">
        <f>IF(BN$3="","",IF(BN5=入力データ!$C$110,入力データ!$C$37,0))</f>
        <v/>
      </c>
      <c r="BO15" s="350">
        <f>IF(BO$3="","",IF(BO5=入力データ!$C$110,入力データ!$C$37,0))</f>
        <v/>
      </c>
      <c r="BP15" s="350">
        <f>IF(BP$3="","",IF(BP5=入力データ!$C$110,入力データ!$C$37,0))</f>
        <v/>
      </c>
      <c r="BQ15" s="350">
        <f>IF(BQ$3="","",IF(BQ5=入力データ!$C$110,入力データ!$C$37,0))</f>
        <v/>
      </c>
      <c r="BR15" s="350">
        <f>IF(BR$3="","",IF(BR5=入力データ!$C$110,入力データ!$C$37,0))</f>
        <v/>
      </c>
      <c r="BS15" s="350">
        <f>IF(BS$3="","",IF(BS5=入力データ!$C$110,入力データ!$C$37,0))</f>
        <v/>
      </c>
      <c r="BT15" s="350">
        <f>IF(BT$3="","",IF(BT5=入力データ!$C$110,入力データ!$C$37,0))</f>
        <v/>
      </c>
      <c r="BU15" s="350">
        <f>IF(BU$3="","",IF(BU5=入力データ!$C$110,入力データ!$C$37,0))</f>
        <v/>
      </c>
      <c r="BV15" s="350">
        <f>IF(BV$3="","",IF(BV5=入力データ!$C$110,入力データ!$C$37,0))</f>
        <v/>
      </c>
      <c r="BW15" s="350">
        <f>IF(BW$3="","",IF(BW5=入力データ!$C$110,入力データ!$C$37,0))</f>
        <v/>
      </c>
      <c r="BX15" s="350">
        <f>IF(BX$3="","",IF(BX5=入力データ!$C$110,入力データ!$C$37,0))</f>
        <v/>
      </c>
      <c r="BY15" s="350">
        <f>IF(BY$3="","",IF(BY5=入力データ!$C$110,入力データ!$C$37,0))</f>
        <v/>
      </c>
      <c r="BZ15" s="350">
        <f>IF(BZ$3="","",IF(BZ5=入力データ!$C$110,入力データ!$C$37,0))</f>
        <v/>
      </c>
      <c r="CA15" s="350">
        <f>IF(CA$3="","",IF(CA5=入力データ!$C$110,入力データ!$C$37,0))</f>
        <v/>
      </c>
      <c r="CB15" s="350">
        <f>IF(CB$3="","",IF(CB5=入力データ!$C$110,入力データ!$C$37,0))</f>
        <v/>
      </c>
      <c r="CC15" s="350">
        <f>IF(CC$3="","",IF(CC5=入力データ!$C$110,入力データ!$C$37,0))</f>
        <v/>
      </c>
      <c r="CD15" s="350">
        <f>IF(CD$3="","",IF(CD5=入力データ!$C$110,入力データ!$C$37,0))</f>
        <v/>
      </c>
      <c r="CE15" s="350">
        <f>IF(CE$3="","",IF(CE5=入力データ!$C$110,入力データ!$C$37,0))</f>
        <v/>
      </c>
      <c r="CF15" s="350">
        <f>IF(CF$3="","",IF(CF5=入力データ!$C$110,入力データ!$C$37,0))</f>
        <v/>
      </c>
      <c r="CG15" s="350">
        <f>IF(CG$3="","",IF(CG5=入力データ!$C$110,入力データ!$C$37,0))</f>
        <v/>
      </c>
      <c r="CH15" s="350">
        <f>IF(CH$3="","",IF(CH5=入力データ!$C$110,入力データ!$C$37,0))</f>
        <v/>
      </c>
      <c r="CI15" s="350">
        <f>IF(CI$3="","",IF(CI5=入力データ!$C$110,入力データ!$C$37,0))</f>
        <v/>
      </c>
      <c r="CJ15" s="350">
        <f>IF(CJ$3="","",IF(CJ5=入力データ!$C$110,入力データ!$C$37,0))</f>
        <v/>
      </c>
      <c r="CK15" s="350">
        <f>IF(CK$3="","",IF(CK5=入力データ!$C$110,入力データ!$C$37,0))</f>
        <v/>
      </c>
      <c r="CL15" s="350">
        <f>IF(CL$3="","",IF(CL5=入力データ!$C$110,入力データ!$C$37,0))</f>
        <v/>
      </c>
      <c r="CM15" s="350">
        <f>IF(CM$3="","",IF(CM5=入力データ!$C$110,入力データ!$C$37,0))</f>
        <v/>
      </c>
      <c r="CN15" s="350">
        <f>IF(CN$3="","",IF(CN5=入力データ!$C$110,入力データ!$C$37,0))</f>
        <v/>
      </c>
      <c r="CO15" s="350">
        <f>IF(CO$3="","",IF(CO5=入力データ!$C$110,入力データ!$C$37,0))</f>
        <v/>
      </c>
      <c r="CP15" s="350">
        <f>IF(CP$3="","",IF(CP5=入力データ!$C$110,入力データ!$C$37,0))</f>
        <v/>
      </c>
      <c r="CQ15" s="350">
        <f>IF(CQ$3="","",IF(CQ5=入力データ!$C$110,入力データ!$C$37,0))</f>
        <v/>
      </c>
      <c r="CR15" s="350">
        <f>IF(CR$3="","",IF(CR5=入力データ!$C$110,入力データ!$C$37,0))</f>
        <v/>
      </c>
      <c r="CS15" s="350">
        <f>IF(CS$3="","",IF(CS5=入力データ!$C$110,入力データ!$C$37,0))</f>
        <v/>
      </c>
      <c r="CT15" s="350">
        <f>IF(CT$3="","",IF(CT5=入力データ!$C$110,入力データ!$C$37,0))</f>
        <v/>
      </c>
      <c r="CU15" s="350">
        <f>IF(CU$3="","",IF(CU5=入力データ!$C$110,入力データ!$C$37,0))</f>
        <v/>
      </c>
      <c r="CV15" s="350">
        <f>IF(CV$3="","",IF(CV5=入力データ!$C$110,入力データ!$C$37,0))</f>
        <v/>
      </c>
      <c r="CW15" s="350">
        <f>IF(CW$3="","",IF(CW5=入力データ!$C$110,入力データ!$C$37,0))</f>
        <v/>
      </c>
    </row>
    <row r="16" ht="15" customHeight="1" s="180">
      <c r="A16" s="220" t="inlineStr">
        <is>
          <t>ご主人様年金収入</t>
        </is>
      </c>
      <c r="B16" s="350">
        <f>IF(B$3="","",IF(B4&gt;=前提条件!$C$37,前提条件!$C$39*12,0))</f>
        <v/>
      </c>
      <c r="C16" s="350">
        <f>IF(C$3="","",IF(C4&gt;=前提条件!$C$37,前提条件!$C$39*12,0))</f>
        <v/>
      </c>
      <c r="D16" s="350">
        <f>IF(D$3="","",IF(D4&gt;=前提条件!$C$37,前提条件!$C$39*12,0))</f>
        <v/>
      </c>
      <c r="E16" s="350">
        <f>IF(E$3="","",IF(E4&gt;=前提条件!$C$37,前提条件!$C$39*12,0))</f>
        <v/>
      </c>
      <c r="F16" s="350">
        <f>IF(F$3="","",IF(F4&gt;=前提条件!$C$37,前提条件!$C$39*12,0))</f>
        <v/>
      </c>
      <c r="G16" s="350">
        <f>IF(G$3="","",IF(G4&gt;=前提条件!$C$37,前提条件!$C$39*12,0))</f>
        <v/>
      </c>
      <c r="H16" s="350">
        <f>IF(H$3="","",IF(H4&gt;=前提条件!$C$37,前提条件!$C$39*12,0))</f>
        <v/>
      </c>
      <c r="I16" s="350">
        <f>IF(I$3="","",IF(I4&gt;=前提条件!$C$37,前提条件!$C$39*12,0))</f>
        <v/>
      </c>
      <c r="J16" s="350">
        <f>IF(J$3="","",IF(J4&gt;=前提条件!$C$37,前提条件!$C$39*12,0))</f>
        <v/>
      </c>
      <c r="K16" s="350">
        <f>IF(K$3="","",IF(K4&gt;=前提条件!$C$37,前提条件!$C$39*12,0))</f>
        <v/>
      </c>
      <c r="L16" s="350">
        <f>IF(L$3="","",IF(L4&gt;=前提条件!$C$37,前提条件!$C$39*12,0))</f>
        <v/>
      </c>
      <c r="M16" s="350">
        <f>IF(M$3="","",IF(M4&gt;=前提条件!$C$37,前提条件!$C$39*12,0))</f>
        <v/>
      </c>
      <c r="N16" s="350">
        <f>IF(N$3="","",IF(N4&gt;=前提条件!$C$37,前提条件!$C$39*12,0))</f>
        <v/>
      </c>
      <c r="O16" s="350">
        <f>IF(O$3="","",IF(O4&gt;=前提条件!$C$37,前提条件!$C$39*12,0))</f>
        <v/>
      </c>
      <c r="P16" s="350">
        <f>IF(P$3="","",IF(P4&gt;=前提条件!$C$37,前提条件!$C$39*12,0))</f>
        <v/>
      </c>
      <c r="Q16" s="350">
        <f>IF(Q$3="","",IF(Q4&gt;=前提条件!$C$37,前提条件!$C$39*12,0))</f>
        <v/>
      </c>
      <c r="R16" s="350">
        <f>IF(R$3="","",IF(R4&gt;=前提条件!$C$37,前提条件!$C$39*12,0))</f>
        <v/>
      </c>
      <c r="S16" s="350">
        <f>IF(S$3="","",IF(S4&gt;=前提条件!$C$37,前提条件!$C$39*12,0))</f>
        <v/>
      </c>
      <c r="T16" s="350">
        <f>IF(T$3="","",IF(T4&gt;=前提条件!$C$37,前提条件!$C$39*12,0))</f>
        <v/>
      </c>
      <c r="U16" s="350">
        <f>IF(U$3="","",IF(U4&gt;=前提条件!$C$37,前提条件!$C$39*12,0))</f>
        <v/>
      </c>
      <c r="V16" s="350">
        <f>IF(V$3="","",IF(V4&gt;=前提条件!$C$37,前提条件!$C$39*12,0))</f>
        <v/>
      </c>
      <c r="W16" s="350">
        <f>IF(W$3="","",IF(W4&gt;=前提条件!$C$37,前提条件!$C$39*12,0))</f>
        <v/>
      </c>
      <c r="X16" s="350">
        <f>IF(X$3="","",IF(X4&gt;=前提条件!$C$37,前提条件!$C$39*12,0))</f>
        <v/>
      </c>
      <c r="Y16" s="350">
        <f>IF(Y$3="","",IF(Y4&gt;=前提条件!$C$37,前提条件!$C$39*12,0))</f>
        <v/>
      </c>
      <c r="Z16" s="350">
        <f>IF(Z$3="","",IF(Z4&gt;=前提条件!$C$37,前提条件!$C$39*12,0))</f>
        <v/>
      </c>
      <c r="AA16" s="350">
        <f>IF(AA$3="","",IF(AA4&gt;=前提条件!$C$37,前提条件!$C$39*12,0))</f>
        <v/>
      </c>
      <c r="AB16" s="350">
        <f>IF(AB$3="","",IF(AB4&gt;=前提条件!$C$37,前提条件!$C$39*12,0))</f>
        <v/>
      </c>
      <c r="AC16" s="350">
        <f>IF(AC$3="","",IF(AC4&gt;=前提条件!$C$37,前提条件!$C$39*12,0))</f>
        <v/>
      </c>
      <c r="AD16" s="350">
        <f>IF(AD$3="","",IF(AD4&gt;=前提条件!$C$37,前提条件!$C$39*12,0))</f>
        <v/>
      </c>
      <c r="AE16" s="350">
        <f>IF(AE$3="","",IF(AE4&gt;=前提条件!$C$37,前提条件!$C$39*12,0))</f>
        <v/>
      </c>
      <c r="AF16" s="350">
        <f>IF(AF$3="","",IF(AF4&gt;=前提条件!$C$37,前提条件!$C$39*12,0))</f>
        <v/>
      </c>
      <c r="AG16" s="350">
        <f>IF(AG$3="","",IF(AG4&gt;=前提条件!$C$37,前提条件!$C$39*12,0))</f>
        <v/>
      </c>
      <c r="AH16" s="350">
        <f>IF(AH$3="","",IF(AH4&gt;=前提条件!$C$37,前提条件!$C$39*12,0))</f>
        <v/>
      </c>
      <c r="AI16" s="350">
        <f>IF(AI$3="","",IF(AI4&gt;=前提条件!$C$37,前提条件!$C$39*12,0))</f>
        <v/>
      </c>
      <c r="AJ16" s="350">
        <f>IF(AJ$3="","",IF(AJ4&gt;=前提条件!$C$37,前提条件!$C$39*12,0))</f>
        <v/>
      </c>
      <c r="AK16" s="350">
        <f>IF(AK$3="","",IF(AK4&gt;=前提条件!$C$37,前提条件!$C$39*12,0))</f>
        <v/>
      </c>
      <c r="AL16" s="350">
        <f>IF(AL$3="","",IF(AL4&gt;=前提条件!$C$37,前提条件!$C$39*12,0))</f>
        <v/>
      </c>
      <c r="AM16" s="350">
        <f>IF(AM$3="","",IF(AM4&gt;=前提条件!$C$37,前提条件!$C$39*12,0))</f>
        <v/>
      </c>
      <c r="AN16" s="350">
        <f>IF(AN$3="","",IF(AN4&gt;=前提条件!$C$37,前提条件!$C$39*12,0))</f>
        <v/>
      </c>
      <c r="AO16" s="350">
        <f>IF(AO$3="","",IF(AO4&gt;=前提条件!$C$37,前提条件!$C$39*12,0))</f>
        <v/>
      </c>
      <c r="AP16" s="350">
        <f>IF(AP$3="","",IF(AP4&gt;=前提条件!$C$37,前提条件!$C$39*12,0))</f>
        <v/>
      </c>
      <c r="AQ16" s="350">
        <f>IF(AQ$3="","",IF(AQ4&gt;=前提条件!$C$37,前提条件!$C$39*12,0))</f>
        <v/>
      </c>
      <c r="AR16" s="350">
        <f>IF(AR$3="","",IF(AR4&gt;=前提条件!$C$37,前提条件!$C$39*12,0))</f>
        <v/>
      </c>
      <c r="AS16" s="350">
        <f>IF(AS$3="","",IF(AS4&gt;=前提条件!$C$37,前提条件!$C$39*12,0))</f>
        <v/>
      </c>
      <c r="AT16" s="350">
        <f>IF(AT$3="","",IF(AT4&gt;=前提条件!$C$37,前提条件!$C$39*12,0))</f>
        <v/>
      </c>
      <c r="AU16" s="350">
        <f>IF(AU$3="","",IF(AU4&gt;=前提条件!$C$37,前提条件!$C$39*12,0))</f>
        <v/>
      </c>
      <c r="AV16" s="350">
        <f>IF(AV$3="","",IF(AV4&gt;=前提条件!$C$37,前提条件!$C$39*12,0))</f>
        <v/>
      </c>
      <c r="AW16" s="350">
        <f>IF(AW$3="","",IF(AW4&gt;=前提条件!$C$37,前提条件!$C$39*12,0))</f>
        <v/>
      </c>
      <c r="AX16" s="350">
        <f>IF(AX$3="","",IF(AX4&gt;=前提条件!$C$37,前提条件!$C$39*12,0))</f>
        <v/>
      </c>
      <c r="AY16" s="350">
        <f>IF(AY$3="","",IF(AY4&gt;=前提条件!$C$37,前提条件!$C$39*12,0))</f>
        <v/>
      </c>
      <c r="AZ16" s="350">
        <f>IF(AZ$3="","",IF(AZ4&gt;=前提条件!$C$37,前提条件!$C$39*12,0))</f>
        <v/>
      </c>
      <c r="BA16" s="350">
        <f>IF(BA$3="","",IF(BA4&gt;=前提条件!$C$37,前提条件!$C$39*12,0))</f>
        <v/>
      </c>
      <c r="BB16" s="350">
        <f>IF(BB$3="","",IF(BB4&gt;=前提条件!$C$37,前提条件!$C$39*12,0))</f>
        <v/>
      </c>
      <c r="BC16" s="350">
        <f>IF(BC$3="","",IF(BC4&gt;=前提条件!$C$37,前提条件!$C$39*12,0))</f>
        <v/>
      </c>
      <c r="BD16" s="350">
        <f>IF(BD$3="","",IF(BD4&gt;=前提条件!$C$37,前提条件!$C$39*12,0))</f>
        <v/>
      </c>
      <c r="BE16" s="350">
        <f>IF(BE$3="","",IF(BE4&gt;=前提条件!$C$37,前提条件!$C$39*12,0))</f>
        <v/>
      </c>
      <c r="BF16" s="350">
        <f>IF(BF$3="","",IF(BF4&gt;=前提条件!$C$37,前提条件!$C$39*12,0))</f>
        <v/>
      </c>
      <c r="BG16" s="350">
        <f>IF(BG$3="","",IF(BG4&gt;=前提条件!$C$37,前提条件!$C$39*12,0))</f>
        <v/>
      </c>
      <c r="BH16" s="350">
        <f>IF(BH$3="","",IF(BH4&gt;=前提条件!$C$37,前提条件!$C$39*12,0))</f>
        <v/>
      </c>
      <c r="BI16" s="350">
        <f>IF(BI$3="","",IF(BI4&gt;=前提条件!$C$37,前提条件!$C$39*12,0))</f>
        <v/>
      </c>
      <c r="BJ16" s="350">
        <f>IF(BJ$3="","",IF(BJ4&gt;=前提条件!$C$37,前提条件!$C$39*12,0))</f>
        <v/>
      </c>
      <c r="BK16" s="350">
        <f>IF(BK$3="","",IF(BK4&gt;=前提条件!$C$37,前提条件!$C$39*12,0))</f>
        <v/>
      </c>
      <c r="BL16" s="350">
        <f>IF(BL$3="","",IF(BL4&gt;=前提条件!$C$37,前提条件!$C$39*12,0))</f>
        <v/>
      </c>
      <c r="BM16" s="350">
        <f>IF(BM$3="","",IF(BM4&gt;=前提条件!$C$37,前提条件!$C$39*12,0))</f>
        <v/>
      </c>
      <c r="BN16" s="350">
        <f>IF(BN$3="","",IF(BN4&gt;=前提条件!$C$37,前提条件!$C$39*12,0))</f>
        <v/>
      </c>
      <c r="BO16" s="350">
        <f>IF(BO$3="","",IF(BO4&gt;=前提条件!$C$37,前提条件!$C$39*12,0))</f>
        <v/>
      </c>
      <c r="BP16" s="350">
        <f>IF(BP$3="","",IF(BP4&gt;=前提条件!$C$37,前提条件!$C$39*12,0))</f>
        <v/>
      </c>
      <c r="BQ16" s="350">
        <f>IF(BQ$3="","",IF(BQ4&gt;=前提条件!$C$37,前提条件!$C$39*12,0))</f>
        <v/>
      </c>
      <c r="BR16" s="350">
        <f>IF(BR$3="","",IF(BR4&gt;=前提条件!$C$37,前提条件!$C$39*12,0))</f>
        <v/>
      </c>
      <c r="BS16" s="350">
        <f>IF(BS$3="","",IF(BS4&gt;=前提条件!$C$37,前提条件!$C$39*12,0))</f>
        <v/>
      </c>
      <c r="BT16" s="350">
        <f>IF(BT$3="","",IF(BT4&gt;=前提条件!$C$37,前提条件!$C$39*12,0))</f>
        <v/>
      </c>
      <c r="BU16" s="350">
        <f>IF(BU$3="","",IF(BU4&gt;=前提条件!$C$37,前提条件!$C$39*12,0))</f>
        <v/>
      </c>
      <c r="BV16" s="350">
        <f>IF(BV$3="","",IF(BV4&gt;=前提条件!$C$37,前提条件!$C$39*12,0))</f>
        <v/>
      </c>
      <c r="BW16" s="350">
        <f>IF(BW$3="","",IF(BW4&gt;=前提条件!$C$37,前提条件!$C$39*12,0))</f>
        <v/>
      </c>
      <c r="BX16" s="350">
        <f>IF(BX$3="","",IF(BX4&gt;=前提条件!$C$37,前提条件!$C$39*12,0))</f>
        <v/>
      </c>
      <c r="BY16" s="350">
        <f>IF(BY$3="","",IF(BY4&gt;=前提条件!$C$37,前提条件!$C$39*12,0))</f>
        <v/>
      </c>
      <c r="BZ16" s="350">
        <f>IF(BZ$3="","",IF(BZ4&gt;=前提条件!$C$37,前提条件!$C$39*12,0))</f>
        <v/>
      </c>
      <c r="CA16" s="350">
        <f>IF(CA$3="","",IF(CA4&gt;=前提条件!$C$37,前提条件!$C$39*12,0))</f>
        <v/>
      </c>
      <c r="CB16" s="350">
        <f>IF(CB$3="","",IF(CB4&gt;=前提条件!$C$37,前提条件!$C$39*12,0))</f>
        <v/>
      </c>
      <c r="CC16" s="350">
        <f>IF(CC$3="","",IF(CC4&gt;=前提条件!$C$37,前提条件!$C$39*12,0))</f>
        <v/>
      </c>
      <c r="CD16" s="350">
        <f>IF(CD$3="","",IF(CD4&gt;=前提条件!$C$37,前提条件!$C$39*12,0))</f>
        <v/>
      </c>
      <c r="CE16" s="350">
        <f>IF(CE$3="","",IF(CE4&gt;=前提条件!$C$37,前提条件!$C$39*12,0))</f>
        <v/>
      </c>
      <c r="CF16" s="350">
        <f>IF(CF$3="","",IF(CF4&gt;=前提条件!$C$37,前提条件!$C$39*12,0))</f>
        <v/>
      </c>
      <c r="CG16" s="350">
        <f>IF(CG$3="","",IF(CG4&gt;=前提条件!$C$37,前提条件!$C$39*12,0))</f>
        <v/>
      </c>
      <c r="CH16" s="350">
        <f>IF(CH$3="","",IF(CH4&gt;=前提条件!$C$37,前提条件!$C$39*12,0))</f>
        <v/>
      </c>
      <c r="CI16" s="350">
        <f>IF(CI$3="","",IF(CI4&gt;=前提条件!$C$37,前提条件!$C$39*12,0))</f>
        <v/>
      </c>
      <c r="CJ16" s="350">
        <f>IF(CJ$3="","",IF(CJ4&gt;=前提条件!$C$37,前提条件!$C$39*12,0))</f>
        <v/>
      </c>
      <c r="CK16" s="350">
        <f>IF(CK$3="","",IF(CK4&gt;=前提条件!$C$37,前提条件!$C$39*12,0))</f>
        <v/>
      </c>
      <c r="CL16" s="350">
        <f>IF(CL$3="","",IF(CL4&gt;=前提条件!$C$37,前提条件!$C$39*12,0))</f>
        <v/>
      </c>
      <c r="CM16" s="350">
        <f>IF(CM$3="","",IF(CM4&gt;=前提条件!$C$37,前提条件!$C$39*12,0))</f>
        <v/>
      </c>
      <c r="CN16" s="350">
        <f>IF(CN$3="","",IF(CN4&gt;=前提条件!$C$37,前提条件!$C$39*12,0))</f>
        <v/>
      </c>
      <c r="CO16" s="350">
        <f>IF(CO$3="","",IF(CO4&gt;=前提条件!$C$37,前提条件!$C$39*12,0))</f>
        <v/>
      </c>
      <c r="CP16" s="350">
        <f>IF(CP$3="","",IF(CP4&gt;=前提条件!$C$37,前提条件!$C$39*12,0))</f>
        <v/>
      </c>
      <c r="CQ16" s="350">
        <f>IF(CQ$3="","",IF(CQ4&gt;=前提条件!$C$37,前提条件!$C$39*12,0))</f>
        <v/>
      </c>
      <c r="CR16" s="350">
        <f>IF(CR$3="","",IF(CR4&gt;=前提条件!$C$37,前提条件!$C$39*12,0))</f>
        <v/>
      </c>
      <c r="CS16" s="350">
        <f>IF(CS$3="","",IF(CS4&gt;=前提条件!$C$37,前提条件!$C$39*12,0))</f>
        <v/>
      </c>
      <c r="CT16" s="350">
        <f>IF(CT$3="","",IF(CT4&gt;=前提条件!$C$37,前提条件!$C$39*12,0))</f>
        <v/>
      </c>
      <c r="CU16" s="350">
        <f>IF(CU$3="","",IF(CU4&gt;=前提条件!$C$37,前提条件!$C$39*12,0))</f>
        <v/>
      </c>
      <c r="CV16" s="350">
        <f>IF(CV$3="","",IF(CV4&gt;=前提条件!$C$37,前提条件!$C$39*12,0))</f>
        <v/>
      </c>
      <c r="CW16" s="350">
        <f>IF(CW$3="","",IF(CW4&gt;=前提条件!$C$37,前提条件!$C$39*12,0))</f>
        <v/>
      </c>
    </row>
    <row r="17" ht="15" customHeight="1" s="180">
      <c r="A17" s="220" t="inlineStr">
        <is>
          <t>奥様年金収入</t>
        </is>
      </c>
      <c r="B17" s="350">
        <f>IF(B$3="","",IF(B5&gt;=前提条件!$C$38,前提条件!$C$40*12,0))</f>
        <v/>
      </c>
      <c r="C17" s="350">
        <f>IF(C$3="","",IF(C5&gt;=前提条件!$C$38,前提条件!$C$40*12,0))</f>
        <v/>
      </c>
      <c r="D17" s="350">
        <f>IF(D$3="","",IF(D5&gt;=前提条件!$C$38,前提条件!$C$40*12,0))</f>
        <v/>
      </c>
      <c r="E17" s="350">
        <f>IF(E$3="","",IF(E5&gt;=前提条件!$C$38,前提条件!$C$40*12,0))</f>
        <v/>
      </c>
      <c r="F17" s="350">
        <f>IF(F$3="","",IF(F5&gt;=前提条件!$C$38,前提条件!$C$40*12,0))</f>
        <v/>
      </c>
      <c r="G17" s="350">
        <f>IF(G$3="","",IF(G5&gt;=前提条件!$C$38,前提条件!$C$40*12,0))</f>
        <v/>
      </c>
      <c r="H17" s="350">
        <f>IF(H$3="","",IF(H5&gt;=前提条件!$C$38,前提条件!$C$40*12,0))</f>
        <v/>
      </c>
      <c r="I17" s="350">
        <f>IF(I$3="","",IF(I5&gt;=前提条件!$C$38,前提条件!$C$40*12,0))</f>
        <v/>
      </c>
      <c r="J17" s="350">
        <f>IF(J$3="","",IF(J5&gt;=前提条件!$C$38,前提条件!$C$40*12,0))</f>
        <v/>
      </c>
      <c r="K17" s="350">
        <f>IF(K$3="","",IF(K5&gt;=前提条件!$C$38,前提条件!$C$40*12,0))</f>
        <v/>
      </c>
      <c r="L17" s="350">
        <f>IF(L$3="","",IF(L5&gt;=前提条件!$C$38,前提条件!$C$40*12,0))</f>
        <v/>
      </c>
      <c r="M17" s="350">
        <f>IF(M$3="","",IF(M5&gt;=前提条件!$C$38,前提条件!$C$40*12,0))</f>
        <v/>
      </c>
      <c r="N17" s="350">
        <f>IF(N$3="","",IF(N5&gt;=前提条件!$C$38,前提条件!$C$40*12,0))</f>
        <v/>
      </c>
      <c r="O17" s="350">
        <f>IF(O$3="","",IF(O5&gt;=前提条件!$C$38,前提条件!$C$40*12,0))</f>
        <v/>
      </c>
      <c r="P17" s="350">
        <f>IF(P$3="","",IF(P5&gt;=前提条件!$C$38,前提条件!$C$40*12,0))</f>
        <v/>
      </c>
      <c r="Q17" s="350">
        <f>IF(Q$3="","",IF(Q5&gt;=前提条件!$C$38,前提条件!$C$40*12,0))</f>
        <v/>
      </c>
      <c r="R17" s="350">
        <f>IF(R$3="","",IF(R5&gt;=前提条件!$C$38,前提条件!$C$40*12,0))</f>
        <v/>
      </c>
      <c r="S17" s="350">
        <f>IF(S$3="","",IF(S5&gt;=前提条件!$C$38,前提条件!$C$40*12,0))</f>
        <v/>
      </c>
      <c r="T17" s="350">
        <f>IF(T$3="","",IF(T5&gt;=前提条件!$C$38,前提条件!$C$40*12,0))</f>
        <v/>
      </c>
      <c r="U17" s="350">
        <f>IF(U$3="","",IF(U5&gt;=前提条件!$C$38,前提条件!$C$40*12,0))</f>
        <v/>
      </c>
      <c r="V17" s="350">
        <f>IF(V$3="","",IF(V5&gt;=前提条件!$C$38,前提条件!$C$40*12,0))</f>
        <v/>
      </c>
      <c r="W17" s="350">
        <f>IF(W$3="","",IF(W5&gt;=前提条件!$C$38,前提条件!$C$40*12,0))</f>
        <v/>
      </c>
      <c r="X17" s="350">
        <f>IF(X$3="","",IF(X5&gt;=前提条件!$C$38,前提条件!$C$40*12,0))</f>
        <v/>
      </c>
      <c r="Y17" s="350">
        <f>IF(Y$3="","",IF(Y5&gt;=前提条件!$C$38,前提条件!$C$40*12,0))</f>
        <v/>
      </c>
      <c r="Z17" s="350">
        <f>IF(Z$3="","",IF(Z5&gt;=前提条件!$C$38,前提条件!$C$40*12,0))</f>
        <v/>
      </c>
      <c r="AA17" s="350">
        <f>IF(AA$3="","",IF(AA5&gt;=前提条件!$C$38,前提条件!$C$40*12,0))</f>
        <v/>
      </c>
      <c r="AB17" s="350">
        <f>IF(AB$3="","",IF(AB5&gt;=前提条件!$C$38,前提条件!$C$40*12,0))</f>
        <v/>
      </c>
      <c r="AC17" s="350">
        <f>IF(AC$3="","",IF(AC5&gt;=前提条件!$C$38,前提条件!$C$40*12,0))</f>
        <v/>
      </c>
      <c r="AD17" s="350">
        <f>IF(AD$3="","",IF(AD5&gt;=前提条件!$C$38,前提条件!$C$40*12,0))</f>
        <v/>
      </c>
      <c r="AE17" s="350">
        <f>IF(AE$3="","",IF(AE5&gt;=前提条件!$C$38,前提条件!$C$40*12,0))</f>
        <v/>
      </c>
      <c r="AF17" s="350">
        <f>IF(AF$3="","",IF(AF5&gt;=前提条件!$C$38,前提条件!$C$40*12,0))</f>
        <v/>
      </c>
      <c r="AG17" s="350">
        <f>IF(AG$3="","",IF(AG5&gt;=前提条件!$C$38,前提条件!$C$40*12,0))</f>
        <v/>
      </c>
      <c r="AH17" s="350">
        <f>IF(AH$3="","",IF(AH5&gt;=前提条件!$C$38,前提条件!$C$40*12,0))</f>
        <v/>
      </c>
      <c r="AI17" s="350">
        <f>IF(AI$3="","",IF(AI5&gt;=前提条件!$C$38,前提条件!$C$40*12,0))</f>
        <v/>
      </c>
      <c r="AJ17" s="350">
        <f>IF(AJ$3="","",IF(AJ5&gt;=前提条件!$C$38,前提条件!$C$40*12,0))</f>
        <v/>
      </c>
      <c r="AK17" s="350">
        <f>IF(AK$3="","",IF(AK5&gt;=前提条件!$C$38,前提条件!$C$40*12,0))</f>
        <v/>
      </c>
      <c r="AL17" s="350">
        <f>IF(AL$3="","",IF(AL5&gt;=前提条件!$C$38,前提条件!$C$40*12,0))</f>
        <v/>
      </c>
      <c r="AM17" s="350">
        <f>IF(AM$3="","",IF(AM5&gt;=前提条件!$C$38,前提条件!$C$40*12,0))</f>
        <v/>
      </c>
      <c r="AN17" s="350">
        <f>IF(AN$3="","",IF(AN5&gt;=前提条件!$C$38,前提条件!$C$40*12,0))</f>
        <v/>
      </c>
      <c r="AO17" s="350">
        <f>IF(AO$3="","",IF(AO5&gt;=前提条件!$C$38,前提条件!$C$40*12,0))</f>
        <v/>
      </c>
      <c r="AP17" s="350">
        <f>IF(AP$3="","",IF(AP5&gt;=前提条件!$C$38,前提条件!$C$40*12,0))</f>
        <v/>
      </c>
      <c r="AQ17" s="350">
        <f>IF(AQ$3="","",IF(AQ5&gt;=前提条件!$C$38,前提条件!$C$40*12,0))</f>
        <v/>
      </c>
      <c r="AR17" s="350">
        <f>IF(AR$3="","",IF(AR5&gt;=前提条件!$C$38,前提条件!$C$40*12,0))</f>
        <v/>
      </c>
      <c r="AS17" s="350">
        <f>IF(AS$3="","",IF(AS5&gt;=前提条件!$C$38,前提条件!$C$40*12,0))</f>
        <v/>
      </c>
      <c r="AT17" s="350">
        <f>IF(AT$3="","",IF(AT5&gt;=前提条件!$C$38,前提条件!$C$40*12,0))</f>
        <v/>
      </c>
      <c r="AU17" s="350">
        <f>IF(AU$3="","",IF(AU5&gt;=前提条件!$C$38,前提条件!$C$40*12,0))</f>
        <v/>
      </c>
      <c r="AV17" s="350">
        <f>IF(AV$3="","",IF(AV5&gt;=前提条件!$C$38,前提条件!$C$40*12,0))</f>
        <v/>
      </c>
      <c r="AW17" s="350">
        <f>IF(AW$3="","",IF(AW5&gt;=前提条件!$C$38,前提条件!$C$40*12,0))</f>
        <v/>
      </c>
      <c r="AX17" s="350">
        <f>IF(AX$3="","",IF(AX5&gt;=前提条件!$C$38,前提条件!$C$40*12,0))</f>
        <v/>
      </c>
      <c r="AY17" s="350">
        <f>IF(AY$3="","",IF(AY5&gt;=前提条件!$C$38,前提条件!$C$40*12,0))</f>
        <v/>
      </c>
      <c r="AZ17" s="350">
        <f>IF(AZ$3="","",IF(AZ5&gt;=前提条件!$C$38,前提条件!$C$40*12,0))</f>
        <v/>
      </c>
      <c r="BA17" s="350">
        <f>IF(BA$3="","",IF(BA5&gt;=前提条件!$C$38,前提条件!$C$40*12,0))</f>
        <v/>
      </c>
      <c r="BB17" s="350">
        <f>IF(BB$3="","",IF(BB5&gt;=前提条件!$C$38,前提条件!$C$40*12,0))</f>
        <v/>
      </c>
      <c r="BC17" s="350">
        <f>IF(BC$3="","",IF(BC5&gt;=前提条件!$C$38,前提条件!$C$40*12,0))</f>
        <v/>
      </c>
      <c r="BD17" s="350">
        <f>IF(BD$3="","",IF(BD5&gt;=前提条件!$C$38,前提条件!$C$40*12,0))</f>
        <v/>
      </c>
      <c r="BE17" s="350">
        <f>IF(BE$3="","",IF(BE5&gt;=前提条件!$C$38,前提条件!$C$40*12,0))</f>
        <v/>
      </c>
      <c r="BF17" s="350">
        <f>IF(BF$3="","",IF(BF5&gt;=前提条件!$C$38,前提条件!$C$40*12,0))</f>
        <v/>
      </c>
      <c r="BG17" s="350">
        <f>IF(BG$3="","",IF(BG5&gt;=前提条件!$C$38,前提条件!$C$40*12,0))</f>
        <v/>
      </c>
      <c r="BH17" s="350">
        <f>IF(BH$3="","",IF(BH5&gt;=前提条件!$C$38,前提条件!$C$40*12,0))</f>
        <v/>
      </c>
      <c r="BI17" s="350">
        <f>IF(BI$3="","",IF(BI5&gt;=前提条件!$C$38,前提条件!$C$40*12,0))</f>
        <v/>
      </c>
      <c r="BJ17" s="350">
        <f>IF(BJ$3="","",IF(BJ5&gt;=前提条件!$C$38,前提条件!$C$40*12,0))</f>
        <v/>
      </c>
      <c r="BK17" s="350">
        <f>IF(BK$3="","",IF(BK5&gt;=前提条件!$C$38,前提条件!$C$40*12,0))</f>
        <v/>
      </c>
      <c r="BL17" s="350">
        <f>IF(BL$3="","",IF(BL5&gt;=前提条件!$C$38,前提条件!$C$40*12,0))</f>
        <v/>
      </c>
      <c r="BM17" s="350">
        <f>IF(BM$3="","",IF(BM5&gt;=前提条件!$C$38,前提条件!$C$40*12,0))</f>
        <v/>
      </c>
      <c r="BN17" s="350">
        <f>IF(BN$3="","",IF(BN5&gt;=前提条件!$C$38,前提条件!$C$40*12,0))</f>
        <v/>
      </c>
      <c r="BO17" s="350">
        <f>IF(BO$3="","",IF(BO5&gt;=前提条件!$C$38,前提条件!$C$40*12,0))</f>
        <v/>
      </c>
      <c r="BP17" s="350">
        <f>IF(BP$3="","",IF(BP5&gt;=前提条件!$C$38,前提条件!$C$40*12,0))</f>
        <v/>
      </c>
      <c r="BQ17" s="350">
        <f>IF(BQ$3="","",IF(BQ5&gt;=前提条件!$C$38,前提条件!$C$40*12,0))</f>
        <v/>
      </c>
      <c r="BR17" s="350">
        <f>IF(BR$3="","",IF(BR5&gt;=前提条件!$C$38,前提条件!$C$40*12,0))</f>
        <v/>
      </c>
      <c r="BS17" s="350">
        <f>IF(BS$3="","",IF(BS5&gt;=前提条件!$C$38,前提条件!$C$40*12,0))</f>
        <v/>
      </c>
      <c r="BT17" s="350">
        <f>IF(BT$3="","",IF(BT5&gt;=前提条件!$C$38,前提条件!$C$40*12,0))</f>
        <v/>
      </c>
      <c r="BU17" s="350">
        <f>IF(BU$3="","",IF(BU5&gt;=前提条件!$C$38,前提条件!$C$40*12,0))</f>
        <v/>
      </c>
      <c r="BV17" s="350">
        <f>IF(BV$3="","",IF(BV5&gt;=前提条件!$C$38,前提条件!$C$40*12,0))</f>
        <v/>
      </c>
      <c r="BW17" s="350">
        <f>IF(BW$3="","",IF(BW5&gt;=前提条件!$C$38,前提条件!$C$40*12,0))</f>
        <v/>
      </c>
      <c r="BX17" s="350">
        <f>IF(BX$3="","",IF(BX5&gt;=前提条件!$C$38,前提条件!$C$40*12,0))</f>
        <v/>
      </c>
      <c r="BY17" s="350">
        <f>IF(BY$3="","",IF(BY5&gt;=前提条件!$C$38,前提条件!$C$40*12,0))</f>
        <v/>
      </c>
      <c r="BZ17" s="350">
        <f>IF(BZ$3="","",IF(BZ5&gt;=前提条件!$C$38,前提条件!$C$40*12,0))</f>
        <v/>
      </c>
      <c r="CA17" s="350">
        <f>IF(CA$3="","",IF(CA5&gt;=前提条件!$C$38,前提条件!$C$40*12,0))</f>
        <v/>
      </c>
      <c r="CB17" s="350">
        <f>IF(CB$3="","",IF(CB5&gt;=前提条件!$C$38,前提条件!$C$40*12,0))</f>
        <v/>
      </c>
      <c r="CC17" s="350">
        <f>IF(CC$3="","",IF(CC5&gt;=前提条件!$C$38,前提条件!$C$40*12,0))</f>
        <v/>
      </c>
      <c r="CD17" s="350">
        <f>IF(CD$3="","",IF(CD5&gt;=前提条件!$C$38,前提条件!$C$40*12,0))</f>
        <v/>
      </c>
      <c r="CE17" s="350">
        <f>IF(CE$3="","",IF(CE5&gt;=前提条件!$C$38,前提条件!$C$40*12,0))</f>
        <v/>
      </c>
      <c r="CF17" s="350">
        <f>IF(CF$3="","",IF(CF5&gt;=前提条件!$C$38,前提条件!$C$40*12,0))</f>
        <v/>
      </c>
      <c r="CG17" s="350">
        <f>IF(CG$3="","",IF(CG5&gt;=前提条件!$C$38,前提条件!$C$40*12,0))</f>
        <v/>
      </c>
      <c r="CH17" s="350">
        <f>IF(CH$3="","",IF(CH5&gt;=前提条件!$C$38,前提条件!$C$40*12,0))</f>
        <v/>
      </c>
      <c r="CI17" s="350">
        <f>IF(CI$3="","",IF(CI5&gt;=前提条件!$C$38,前提条件!$C$40*12,0))</f>
        <v/>
      </c>
      <c r="CJ17" s="350">
        <f>IF(CJ$3="","",IF(CJ5&gt;=前提条件!$C$38,前提条件!$C$40*12,0))</f>
        <v/>
      </c>
      <c r="CK17" s="350">
        <f>IF(CK$3="","",IF(CK5&gt;=前提条件!$C$38,前提条件!$C$40*12,0))</f>
        <v/>
      </c>
      <c r="CL17" s="350">
        <f>IF(CL$3="","",IF(CL5&gt;=前提条件!$C$38,前提条件!$C$40*12,0))</f>
        <v/>
      </c>
      <c r="CM17" s="350">
        <f>IF(CM$3="","",IF(CM5&gt;=前提条件!$C$38,前提条件!$C$40*12,0))</f>
        <v/>
      </c>
      <c r="CN17" s="350">
        <f>IF(CN$3="","",IF(CN5&gt;=前提条件!$C$38,前提条件!$C$40*12,0))</f>
        <v/>
      </c>
      <c r="CO17" s="350">
        <f>IF(CO$3="","",IF(CO5&gt;=前提条件!$C$38,前提条件!$C$40*12,0))</f>
        <v/>
      </c>
      <c r="CP17" s="350">
        <f>IF(CP$3="","",IF(CP5&gt;=前提条件!$C$38,前提条件!$C$40*12,0))</f>
        <v/>
      </c>
      <c r="CQ17" s="350">
        <f>IF(CQ$3="","",IF(CQ5&gt;=前提条件!$C$38,前提条件!$C$40*12,0))</f>
        <v/>
      </c>
      <c r="CR17" s="350">
        <f>IF(CR$3="","",IF(CR5&gt;=前提条件!$C$38,前提条件!$C$40*12,0))</f>
        <v/>
      </c>
      <c r="CS17" s="350">
        <f>IF(CS$3="","",IF(CS5&gt;=前提条件!$C$38,前提条件!$C$40*12,0))</f>
        <v/>
      </c>
      <c r="CT17" s="350">
        <f>IF(CT$3="","",IF(CT5&gt;=前提条件!$C$38,前提条件!$C$40*12,0))</f>
        <v/>
      </c>
      <c r="CU17" s="350">
        <f>IF(CU$3="","",IF(CU5&gt;=前提条件!$C$38,前提条件!$C$40*12,0))</f>
        <v/>
      </c>
      <c r="CV17" s="350">
        <f>IF(CV$3="","",IF(CV5&gt;=前提条件!$C$38,前提条件!$C$40*12,0))</f>
        <v/>
      </c>
      <c r="CW17" s="350">
        <f>IF(CW$3="","",IF(CW5&gt;=前提条件!$C$38,前提条件!$C$40*12,0))</f>
        <v/>
      </c>
    </row>
    <row r="18" ht="15" customHeight="1" s="180">
      <c r="A18" s="222" t="inlineStr">
        <is>
          <t>世帯収入合計</t>
        </is>
      </c>
      <c r="B18" s="351">
        <f>IF(B$3="","",SUM(B10:B17))</f>
        <v/>
      </c>
      <c r="C18" s="351">
        <f>IF(C$3="","",SUM(C10:C17))</f>
        <v/>
      </c>
      <c r="D18" s="351">
        <f>IF(D$3="","",SUM(D10:D17))</f>
        <v/>
      </c>
      <c r="E18" s="351">
        <f>IF(E$3="","",SUM(E10:E17))</f>
        <v/>
      </c>
      <c r="F18" s="351">
        <f>IF(F$3="","",SUM(F10:F17))</f>
        <v/>
      </c>
      <c r="G18" s="351">
        <f>IF(G$3="","",SUM(G10:G17))</f>
        <v/>
      </c>
      <c r="H18" s="351">
        <f>IF(H$3="","",SUM(H10:H17))</f>
        <v/>
      </c>
      <c r="I18" s="351">
        <f>IF(I$3="","",SUM(I10:I17))</f>
        <v/>
      </c>
      <c r="J18" s="351">
        <f>IF(J$3="","",SUM(J10:J17))</f>
        <v/>
      </c>
      <c r="K18" s="351">
        <f>IF(K$3="","",SUM(K10:K17))</f>
        <v/>
      </c>
      <c r="L18" s="351">
        <f>IF(L$3="","",SUM(L10:L17))</f>
        <v/>
      </c>
      <c r="M18" s="351">
        <f>IF(M$3="","",SUM(M10:M17))</f>
        <v/>
      </c>
      <c r="N18" s="351">
        <f>IF(N$3="","",SUM(N10:N17))</f>
        <v/>
      </c>
      <c r="O18" s="351">
        <f>IF(O$3="","",SUM(O10:O17))</f>
        <v/>
      </c>
      <c r="P18" s="351">
        <f>IF(P$3="","",SUM(P10:P17))</f>
        <v/>
      </c>
      <c r="Q18" s="351">
        <f>IF(Q$3="","",SUM(Q10:Q17))</f>
        <v/>
      </c>
      <c r="R18" s="351">
        <f>IF(R$3="","",SUM(R10:R17))</f>
        <v/>
      </c>
      <c r="S18" s="351">
        <f>IF(S$3="","",SUM(S10:S17))</f>
        <v/>
      </c>
      <c r="T18" s="351">
        <f>IF(T$3="","",SUM(T10:T17))</f>
        <v/>
      </c>
      <c r="U18" s="351">
        <f>IF(U$3="","",SUM(U10:U17))</f>
        <v/>
      </c>
      <c r="V18" s="351">
        <f>IF(V$3="","",SUM(V10:V17))</f>
        <v/>
      </c>
      <c r="W18" s="351">
        <f>IF(W$3="","",SUM(W10:W17))</f>
        <v/>
      </c>
      <c r="X18" s="351">
        <f>IF(X$3="","",SUM(X10:X17))</f>
        <v/>
      </c>
      <c r="Y18" s="351">
        <f>IF(Y$3="","",SUM(Y10:Y17))</f>
        <v/>
      </c>
      <c r="Z18" s="351">
        <f>IF(Z$3="","",SUM(Z10:Z17))</f>
        <v/>
      </c>
      <c r="AA18" s="351">
        <f>IF(AA$3="","",SUM(AA10:AA17))</f>
        <v/>
      </c>
      <c r="AB18" s="351">
        <f>IF(AB$3="","",SUM(AB10:AB17))</f>
        <v/>
      </c>
      <c r="AC18" s="351">
        <f>IF(AC$3="","",SUM(AC10:AC17))</f>
        <v/>
      </c>
      <c r="AD18" s="351">
        <f>IF(AD$3="","",SUM(AD10:AD17))</f>
        <v/>
      </c>
      <c r="AE18" s="351">
        <f>IF(AE$3="","",SUM(AE10:AE17))</f>
        <v/>
      </c>
      <c r="AF18" s="351">
        <f>IF(AF$3="","",SUM(AF10:AF17))</f>
        <v/>
      </c>
      <c r="AG18" s="351">
        <f>IF(AG$3="","",SUM(AG10:AG17))</f>
        <v/>
      </c>
      <c r="AH18" s="351">
        <f>IF(AH$3="","",SUM(AH10:AH17))</f>
        <v/>
      </c>
      <c r="AI18" s="351">
        <f>IF(AI$3="","",SUM(AI10:AI17))</f>
        <v/>
      </c>
      <c r="AJ18" s="351">
        <f>IF(AJ$3="","",SUM(AJ10:AJ17))</f>
        <v/>
      </c>
      <c r="AK18" s="351">
        <f>IF(AK$3="","",SUM(AK10:AK17))</f>
        <v/>
      </c>
      <c r="AL18" s="351">
        <f>IF(AL$3="","",SUM(AL10:AL17))</f>
        <v/>
      </c>
      <c r="AM18" s="351">
        <f>IF(AM$3="","",SUM(AM10:AM17))</f>
        <v/>
      </c>
      <c r="AN18" s="351">
        <f>IF(AN$3="","",SUM(AN10:AN17))</f>
        <v/>
      </c>
      <c r="AO18" s="351">
        <f>IF(AO$3="","",SUM(AO10:AO17))</f>
        <v/>
      </c>
      <c r="AP18" s="351">
        <f>IF(AP$3="","",SUM(AP10:AP17))</f>
        <v/>
      </c>
      <c r="AQ18" s="351">
        <f>IF(AQ$3="","",SUM(AQ10:AQ17))</f>
        <v/>
      </c>
      <c r="AR18" s="351">
        <f>IF(AR$3="","",SUM(AR10:AR17))</f>
        <v/>
      </c>
      <c r="AS18" s="351">
        <f>IF(AS$3="","",SUM(AS10:AS17))</f>
        <v/>
      </c>
      <c r="AT18" s="351">
        <f>IF(AT$3="","",SUM(AT10:AT17))</f>
        <v/>
      </c>
      <c r="AU18" s="351">
        <f>IF(AU$3="","",SUM(AU10:AU17))</f>
        <v/>
      </c>
      <c r="AV18" s="351">
        <f>IF(AV$3="","",SUM(AV10:AV17))</f>
        <v/>
      </c>
      <c r="AW18" s="351">
        <f>IF(AW$3="","",SUM(AW10:AW17))</f>
        <v/>
      </c>
      <c r="AX18" s="351">
        <f>IF(AX$3="","",SUM(AX10:AX17))</f>
        <v/>
      </c>
      <c r="AY18" s="351">
        <f>IF(AY$3="","",SUM(AY10:AY17))</f>
        <v/>
      </c>
      <c r="AZ18" s="351">
        <f>IF(AZ$3="","",SUM(AZ10:AZ17))</f>
        <v/>
      </c>
      <c r="BA18" s="351">
        <f>IF(BA$3="","",SUM(BA10:BA17))</f>
        <v/>
      </c>
      <c r="BB18" s="351">
        <f>IF(BB$3="","",SUM(BB10:BB17))</f>
        <v/>
      </c>
      <c r="BC18" s="351">
        <f>IF(BC$3="","",SUM(BC10:BC17))</f>
        <v/>
      </c>
      <c r="BD18" s="351">
        <f>IF(BD$3="","",SUM(BD10:BD17))</f>
        <v/>
      </c>
      <c r="BE18" s="351">
        <f>IF(BE$3="","",SUM(BE10:BE17))</f>
        <v/>
      </c>
      <c r="BF18" s="351">
        <f>IF(BF$3="","",SUM(BF10:BF17))</f>
        <v/>
      </c>
      <c r="BG18" s="351">
        <f>IF(BG$3="","",SUM(BG10:BG17))</f>
        <v/>
      </c>
      <c r="BH18" s="351">
        <f>IF(BH$3="","",SUM(BH10:BH17))</f>
        <v/>
      </c>
      <c r="BI18" s="351">
        <f>IF(BI$3="","",SUM(BI10:BI17))</f>
        <v/>
      </c>
      <c r="BJ18" s="351">
        <f>IF(BJ$3="","",SUM(BJ10:BJ17))</f>
        <v/>
      </c>
      <c r="BK18" s="351">
        <f>IF(BK$3="","",SUM(BK10:BK17))</f>
        <v/>
      </c>
      <c r="BL18" s="351">
        <f>IF(BL$3="","",SUM(BL10:BL17))</f>
        <v/>
      </c>
      <c r="BM18" s="351">
        <f>IF(BM$3="","",SUM(BM10:BM17))</f>
        <v/>
      </c>
      <c r="BN18" s="351">
        <f>IF(BN$3="","",SUM(BN10:BN17))</f>
        <v/>
      </c>
      <c r="BO18" s="351">
        <f>IF(BO$3="","",SUM(BO10:BO17))</f>
        <v/>
      </c>
      <c r="BP18" s="351">
        <f>IF(BP$3="","",SUM(BP10:BP17))</f>
        <v/>
      </c>
      <c r="BQ18" s="351">
        <f>IF(BQ$3="","",SUM(BQ10:BQ17))</f>
        <v/>
      </c>
      <c r="BR18" s="351">
        <f>IF(BR$3="","",SUM(BR10:BR17))</f>
        <v/>
      </c>
      <c r="BS18" s="351">
        <f>IF(BS$3="","",SUM(BS10:BS17))</f>
        <v/>
      </c>
      <c r="BT18" s="351">
        <f>IF(BT$3="","",SUM(BT10:BT17))</f>
        <v/>
      </c>
      <c r="BU18" s="351">
        <f>IF(BU$3="","",SUM(BU10:BU17))</f>
        <v/>
      </c>
      <c r="BV18" s="351">
        <f>IF(BV$3="","",SUM(BV10:BV17))</f>
        <v/>
      </c>
      <c r="BW18" s="351">
        <f>IF(BW$3="","",SUM(BW10:BW17))</f>
        <v/>
      </c>
      <c r="BX18" s="351">
        <f>IF(BX$3="","",SUM(BX10:BX17))</f>
        <v/>
      </c>
      <c r="BY18" s="351">
        <f>IF(BY$3="","",SUM(BY10:BY17))</f>
        <v/>
      </c>
      <c r="BZ18" s="351">
        <f>IF(BZ$3="","",SUM(BZ10:BZ17))</f>
        <v/>
      </c>
      <c r="CA18" s="351">
        <f>IF(CA$3="","",SUM(CA10:CA17))</f>
        <v/>
      </c>
      <c r="CB18" s="351">
        <f>IF(CB$3="","",SUM(CB10:CB17))</f>
        <v/>
      </c>
      <c r="CC18" s="351">
        <f>IF(CC$3="","",SUM(CC10:CC17))</f>
        <v/>
      </c>
      <c r="CD18" s="351">
        <f>IF(CD$3="","",SUM(CD10:CD17))</f>
        <v/>
      </c>
      <c r="CE18" s="351">
        <f>IF(CE$3="","",SUM(CE10:CE17))</f>
        <v/>
      </c>
      <c r="CF18" s="351">
        <f>IF(CF$3="","",SUM(CF10:CF17))</f>
        <v/>
      </c>
      <c r="CG18" s="351">
        <f>IF(CG$3="","",SUM(CG10:CG17))</f>
        <v/>
      </c>
      <c r="CH18" s="351">
        <f>IF(CH$3="","",SUM(CH10:CH17))</f>
        <v/>
      </c>
      <c r="CI18" s="351">
        <f>IF(CI$3="","",SUM(CI10:CI17))</f>
        <v/>
      </c>
      <c r="CJ18" s="351">
        <f>IF(CJ$3="","",SUM(CJ10:CJ17))</f>
        <v/>
      </c>
      <c r="CK18" s="351">
        <f>IF(CK$3="","",SUM(CK10:CK17))</f>
        <v/>
      </c>
      <c r="CL18" s="351">
        <f>IF(CL$3="","",SUM(CL10:CL17))</f>
        <v/>
      </c>
      <c r="CM18" s="351">
        <f>IF(CM$3="","",SUM(CM10:CM17))</f>
        <v/>
      </c>
      <c r="CN18" s="351">
        <f>IF(CN$3="","",SUM(CN10:CN17))</f>
        <v/>
      </c>
      <c r="CO18" s="351">
        <f>IF(CO$3="","",SUM(CO10:CO17))</f>
        <v/>
      </c>
      <c r="CP18" s="351">
        <f>IF(CP$3="","",SUM(CP10:CP17))</f>
        <v/>
      </c>
      <c r="CQ18" s="351">
        <f>IF(CQ$3="","",SUM(CQ10:CQ17))</f>
        <v/>
      </c>
      <c r="CR18" s="351">
        <f>IF(CR$3="","",SUM(CR10:CR17))</f>
        <v/>
      </c>
      <c r="CS18" s="351">
        <f>IF(CS$3="","",SUM(CS10:CS17))</f>
        <v/>
      </c>
      <c r="CT18" s="351">
        <f>IF(CT$3="","",SUM(CT10:CT17))</f>
        <v/>
      </c>
      <c r="CU18" s="351">
        <f>IF(CU$3="","",SUM(CU10:CU17))</f>
        <v/>
      </c>
      <c r="CV18" s="351">
        <f>IF(CV$3="","",SUM(CV10:CV17))</f>
        <v/>
      </c>
      <c r="CW18" s="351">
        <f>IF(CW$3="","",SUM(CW10:CW17))</f>
        <v/>
      </c>
    </row>
    <row r="19" ht="15" customHeight="1" s="180">
      <c r="A19" s="205" t="inlineStr">
        <is>
          <t>収入</t>
        </is>
      </c>
      <c r="B19" s="219" t="n"/>
      <c r="C19" s="219" t="n"/>
      <c r="D19" s="219" t="n"/>
      <c r="E19" s="219" t="n"/>
      <c r="F19" s="219" t="n"/>
      <c r="G19" s="219" t="n"/>
      <c r="H19" s="219" t="n"/>
      <c r="I19" s="219" t="n"/>
      <c r="J19" s="219" t="n"/>
      <c r="K19" s="219" t="n"/>
      <c r="L19" s="219" t="n"/>
      <c r="M19" s="219" t="n"/>
      <c r="N19" s="219" t="n"/>
      <c r="O19" s="219" t="n"/>
      <c r="P19" s="219" t="n"/>
      <c r="Q19" s="219" t="n"/>
      <c r="R19" s="219" t="n"/>
      <c r="S19" s="219" t="n"/>
      <c r="T19" s="219" t="n"/>
      <c r="U19" s="219" t="n"/>
      <c r="V19" s="219" t="n"/>
      <c r="W19" s="219" t="n"/>
      <c r="X19" s="219" t="n"/>
      <c r="Y19" s="219" t="n"/>
      <c r="Z19" s="219" t="n"/>
      <c r="AA19" s="219" t="n"/>
      <c r="AB19" s="219" t="n"/>
      <c r="AC19" s="219" t="n"/>
      <c r="AD19" s="219" t="n"/>
      <c r="AE19" s="219" t="n"/>
      <c r="AF19" s="219" t="n"/>
      <c r="AG19" s="219" t="n"/>
      <c r="AH19" s="219" t="n"/>
      <c r="AI19" s="219" t="n"/>
      <c r="AJ19" s="219" t="n"/>
      <c r="AK19" s="219" t="n"/>
      <c r="AL19" s="219" t="n"/>
      <c r="AM19" s="219" t="n"/>
      <c r="AN19" s="219" t="n"/>
      <c r="AO19" s="219" t="n"/>
      <c r="AP19" s="219" t="n"/>
      <c r="AQ19" s="219" t="n"/>
      <c r="AR19" s="219" t="n"/>
      <c r="AS19" s="219" t="n"/>
      <c r="AT19" s="219" t="n"/>
      <c r="AU19" s="219" t="n"/>
      <c r="AV19" s="219" t="n"/>
      <c r="AW19" s="219" t="n"/>
      <c r="AX19" s="219" t="n"/>
      <c r="AY19" s="219" t="n"/>
      <c r="AZ19" s="219" t="n"/>
      <c r="BA19" s="219" t="n"/>
      <c r="BB19" s="219" t="n"/>
      <c r="BC19" s="219" t="n"/>
      <c r="BD19" s="219" t="n"/>
      <c r="BE19" s="219" t="n"/>
      <c r="BF19" s="219" t="n"/>
      <c r="BG19" s="219" t="n"/>
      <c r="BH19" s="219" t="n"/>
      <c r="BI19" s="219" t="n"/>
      <c r="BJ19" s="219" t="n"/>
      <c r="BK19" s="219" t="n"/>
      <c r="BL19" s="219" t="n"/>
      <c r="BM19" s="219" t="n"/>
      <c r="BN19" s="219" t="n"/>
      <c r="BO19" s="219" t="n"/>
      <c r="BP19" s="219" t="n"/>
      <c r="BQ19" s="219" t="n"/>
      <c r="BR19" s="219" t="n"/>
      <c r="BS19" s="219" t="n"/>
      <c r="BT19" s="219" t="n"/>
      <c r="BU19" s="219" t="n"/>
      <c r="BV19" s="219" t="n"/>
      <c r="BW19" s="219" t="n"/>
      <c r="BX19" s="219" t="n"/>
      <c r="BY19" s="219" t="n"/>
      <c r="BZ19" s="219" t="n"/>
      <c r="CA19" s="219" t="n"/>
      <c r="CB19" s="219" t="n"/>
      <c r="CC19" s="219" t="n"/>
      <c r="CD19" s="219" t="n"/>
      <c r="CE19" s="219" t="n"/>
      <c r="CF19" s="219" t="n"/>
      <c r="CG19" s="219" t="n"/>
      <c r="CH19" s="219" t="n"/>
      <c r="CI19" s="219" t="n"/>
      <c r="CJ19" s="219" t="n"/>
      <c r="CK19" s="219" t="n"/>
      <c r="CL19" s="219" t="n"/>
      <c r="CM19" s="219" t="n"/>
      <c r="CN19" s="219" t="n"/>
      <c r="CO19" s="219" t="n"/>
      <c r="CP19" s="219" t="n"/>
      <c r="CQ19" s="219" t="n"/>
      <c r="CR19" s="219" t="n"/>
      <c r="CS19" s="219" t="n"/>
      <c r="CT19" s="219" t="n"/>
      <c r="CU19" s="219" t="n"/>
      <c r="CV19" s="219" t="n"/>
      <c r="CW19" s="219" t="n"/>
    </row>
    <row r="20" ht="15" customHeight="1" s="180">
      <c r="A20" s="224" t="inlineStr">
        <is>
          <t>基本生活費</t>
        </is>
      </c>
      <c r="B20" s="352">
        <f>IF(B$3="","",SUM(入力データ!$C$41:$C$52)*12)</f>
        <v/>
      </c>
      <c r="C20" s="352">
        <f>IF(C$3="","",SUM(入力データ!$C$41:$C$52)*12)</f>
        <v/>
      </c>
      <c r="D20" s="352">
        <f>IF(D$3="","",SUM(入力データ!$C$41:$C$52)*12)</f>
        <v/>
      </c>
      <c r="E20" s="352">
        <f>IF(E$3="","",SUM(入力データ!$C$41:$C$52)*12)</f>
        <v/>
      </c>
      <c r="F20" s="352">
        <f>IF(F$3="","",SUM(入力データ!$C$41:$C$52)*12)</f>
        <v/>
      </c>
      <c r="G20" s="352">
        <f>IF(G$3="","",SUM(入力データ!$C$41:$C$52)*12)</f>
        <v/>
      </c>
      <c r="H20" s="352">
        <f>IF(H$3="","",SUM(入力データ!$C$41:$C$52)*12)</f>
        <v/>
      </c>
      <c r="I20" s="352">
        <f>IF(I$3="","",SUM(入力データ!$C$41:$C$52)*12)</f>
        <v/>
      </c>
      <c r="J20" s="352">
        <f>IF(J$3="","",SUM(入力データ!$C$41:$C$52)*12)</f>
        <v/>
      </c>
      <c r="K20" s="352">
        <f>IF(K$3="","",SUM(入力データ!$C$41:$C$52)*12)</f>
        <v/>
      </c>
      <c r="L20" s="352">
        <f>IF(L$3="","",SUM(入力データ!$C$41:$C$52)*12)</f>
        <v/>
      </c>
      <c r="M20" s="352">
        <f>IF(M$3="","",SUM(入力データ!$C$41:$C$52)*12)</f>
        <v/>
      </c>
      <c r="N20" s="352">
        <f>IF(N$3="","",SUM(入力データ!$C$41:$C$52)*12)</f>
        <v/>
      </c>
      <c r="O20" s="352">
        <f>IF(O$3="","",SUM(入力データ!$C$41:$C$52)*12)</f>
        <v/>
      </c>
      <c r="P20" s="352">
        <f>IF(P$3="","",SUM(入力データ!$C$41:$C$52)*12)</f>
        <v/>
      </c>
      <c r="Q20" s="352">
        <f>IF(Q$3="","",SUM(入力データ!$C$41:$C$52)*12)</f>
        <v/>
      </c>
      <c r="R20" s="352">
        <f>IF(R$3="","",SUM(入力データ!$C$41:$C$52)*12)</f>
        <v/>
      </c>
      <c r="S20" s="352">
        <f>IF(S$3="","",SUM(入力データ!$C$41:$C$52)*12)</f>
        <v/>
      </c>
      <c r="T20" s="352">
        <f>IF(T$3="","",SUM(入力データ!$C$41:$C$52)*12)</f>
        <v/>
      </c>
      <c r="U20" s="352">
        <f>IF(U$3="","",SUM(入力データ!$C$41:$C$52)*12)</f>
        <v/>
      </c>
      <c r="V20" s="352">
        <f>IF(V$3="","",SUM(入力データ!$C$41:$C$52)*12)</f>
        <v/>
      </c>
      <c r="W20" s="352">
        <f>IF(W$3="","",SUM(入力データ!$C$41:$C$52)*12)</f>
        <v/>
      </c>
      <c r="X20" s="352">
        <f>IF(X$3="","",SUM(入力データ!$C$41:$C$52)*12)</f>
        <v/>
      </c>
      <c r="Y20" s="352">
        <f>IF(Y$3="","",SUM(入力データ!$C$41:$C$52)*12)</f>
        <v/>
      </c>
      <c r="Z20" s="352">
        <f>IF(Z$3="","",SUM(入力データ!$C$41:$C$52)*12)</f>
        <v/>
      </c>
      <c r="AA20" s="352">
        <f>IF(AA$3="","",SUM(入力データ!$C$41:$C$52)*12)</f>
        <v/>
      </c>
      <c r="AB20" s="352">
        <f>IF(AB$3="","",SUM(入力データ!$C$41:$C$52)*12)</f>
        <v/>
      </c>
      <c r="AC20" s="352">
        <f>IF(AC$3="","",SUM(入力データ!$C$41:$C$52)*12)</f>
        <v/>
      </c>
      <c r="AD20" s="352">
        <f>IF(AD$3="","",SUM(入力データ!$C$41:$C$52)*12)</f>
        <v/>
      </c>
      <c r="AE20" s="352">
        <f>IF(AE$3="","",SUM(入力データ!$C$41:$C$52)*12)</f>
        <v/>
      </c>
      <c r="AF20" s="352">
        <f>IF(AF$3="","",SUM(入力データ!$C$41:$C$52)*12)</f>
        <v/>
      </c>
      <c r="AG20" s="352">
        <f>IF(AG$3="","",SUM(入力データ!$C$41:$C$52)*12)</f>
        <v/>
      </c>
      <c r="AH20" s="352">
        <f>IF(AH$3="","",SUM(入力データ!$C$41:$C$52)*12)</f>
        <v/>
      </c>
      <c r="AI20" s="352">
        <f>IF(AI$3="","",SUM(入力データ!$C$41:$C$52)*12)</f>
        <v/>
      </c>
      <c r="AJ20" s="352">
        <f>IF(AJ$3="","",SUM(入力データ!$C$41:$C$52)*12)</f>
        <v/>
      </c>
      <c r="AK20" s="352">
        <f>IF(AK$3="","",SUM(入力データ!$C$41:$C$52)*12)</f>
        <v/>
      </c>
      <c r="AL20" s="352">
        <f>IF(AL$3="","",SUM(入力データ!$C$41:$C$52)*12)</f>
        <v/>
      </c>
      <c r="AM20" s="352">
        <f>IF(AM$3="","",SUM(入力データ!$C$41:$C$52)*12)</f>
        <v/>
      </c>
      <c r="AN20" s="352">
        <f>IF(AN$3="","",SUM(入力データ!$C$41:$C$52)*12)</f>
        <v/>
      </c>
      <c r="AO20" s="352">
        <f>IF(AO$3="","",SUM(入力データ!$C$41:$C$52)*12)</f>
        <v/>
      </c>
      <c r="AP20" s="352">
        <f>IF(AP$3="","",SUM(入力データ!$C$41:$C$52)*12)</f>
        <v/>
      </c>
      <c r="AQ20" s="352">
        <f>IF(AQ$3="","",SUM(入力データ!$C$41:$C$52)*12)</f>
        <v/>
      </c>
      <c r="AR20" s="352">
        <f>IF(AR$3="","",SUM(入力データ!$C$41:$C$52)*12)</f>
        <v/>
      </c>
      <c r="AS20" s="352">
        <f>IF(AS$3="","",SUM(入力データ!$C$41:$C$52)*12)</f>
        <v/>
      </c>
      <c r="AT20" s="352">
        <f>IF(AT$3="","",SUM(入力データ!$C$41:$C$52)*12)</f>
        <v/>
      </c>
      <c r="AU20" s="352">
        <f>IF(AU$3="","",SUM(入力データ!$C$41:$C$52)*12)</f>
        <v/>
      </c>
      <c r="AV20" s="352">
        <f>IF(AV$3="","",SUM(入力データ!$C$41:$C$52)*12)</f>
        <v/>
      </c>
      <c r="AW20" s="352">
        <f>IF(AW$3="","",SUM(入力データ!$C$41:$C$52)*12)</f>
        <v/>
      </c>
      <c r="AX20" s="352">
        <f>IF(AX$3="","",SUM(入力データ!$C$41:$C$52)*12)</f>
        <v/>
      </c>
      <c r="AY20" s="352">
        <f>IF(AY$3="","",SUM(入力データ!$C$41:$C$52)*12)</f>
        <v/>
      </c>
      <c r="AZ20" s="352">
        <f>IF(AZ$3="","",SUM(入力データ!$C$41:$C$52)*12)</f>
        <v/>
      </c>
      <c r="BA20" s="352">
        <f>IF(BA$3="","",SUM(入力データ!$C$41:$C$52)*12)</f>
        <v/>
      </c>
      <c r="BB20" s="352">
        <f>IF(BB$3="","",SUM(入力データ!$C$41:$C$52)*12)</f>
        <v/>
      </c>
      <c r="BC20" s="352">
        <f>IF(BC$3="","",SUM(入力データ!$C$41:$C$52)*12)</f>
        <v/>
      </c>
      <c r="BD20" s="352">
        <f>IF(BD$3="","",SUM(入力データ!$C$41:$C$52)*12)</f>
        <v/>
      </c>
      <c r="BE20" s="352">
        <f>IF(BE$3="","",SUM(入力データ!$C$41:$C$52)*12)</f>
        <v/>
      </c>
      <c r="BF20" s="352">
        <f>IF(BF$3="","",SUM(入力データ!$C$41:$C$52)*12)</f>
        <v/>
      </c>
      <c r="BG20" s="352">
        <f>IF(BG$3="","",SUM(入力データ!$C$41:$C$52)*12)</f>
        <v/>
      </c>
      <c r="BH20" s="352">
        <f>IF(BH$3="","",SUM(入力データ!$C$41:$C$52)*12)</f>
        <v/>
      </c>
      <c r="BI20" s="352">
        <f>IF(BI$3="","",SUM(入力データ!$C$41:$C$52)*12)</f>
        <v/>
      </c>
      <c r="BJ20" s="352">
        <f>IF(BJ$3="","",SUM(入力データ!$C$41:$C$52)*12)</f>
        <v/>
      </c>
      <c r="BK20" s="352">
        <f>IF(BK$3="","",SUM(入力データ!$C$41:$C$52)*12)</f>
        <v/>
      </c>
      <c r="BL20" s="352">
        <f>IF(BL$3="","",SUM(入力データ!$C$41:$C$52)*12)</f>
        <v/>
      </c>
      <c r="BM20" s="352">
        <f>IF(BM$3="","",SUM(入力データ!$C$41:$C$52)*12)</f>
        <v/>
      </c>
      <c r="BN20" s="352">
        <f>IF(BN$3="","",SUM(入力データ!$C$41:$C$52)*12)</f>
        <v/>
      </c>
      <c r="BO20" s="352">
        <f>IF(BO$3="","",SUM(入力データ!$C$41:$C$52)*12)</f>
        <v/>
      </c>
      <c r="BP20" s="352">
        <f>IF(BP$3="","",SUM(入力データ!$C$41:$C$52)*12)</f>
        <v/>
      </c>
      <c r="BQ20" s="352">
        <f>IF(BQ$3="","",SUM(入力データ!$C$41:$C$52)*12)</f>
        <v/>
      </c>
      <c r="BR20" s="352">
        <f>IF(BR$3="","",SUM(入力データ!$C$41:$C$52)*12)</f>
        <v/>
      </c>
      <c r="BS20" s="352">
        <f>IF(BS$3="","",SUM(入力データ!$C$41:$C$52)*12)</f>
        <v/>
      </c>
      <c r="BT20" s="352">
        <f>IF(BT$3="","",SUM(入力データ!$C$41:$C$52)*12)</f>
        <v/>
      </c>
      <c r="BU20" s="352">
        <f>IF(BU$3="","",SUM(入力データ!$C$41:$C$52)*12)</f>
        <v/>
      </c>
      <c r="BV20" s="352">
        <f>IF(BV$3="","",SUM(入力データ!$C$41:$C$52)*12)</f>
        <v/>
      </c>
      <c r="BW20" s="352">
        <f>IF(BW$3="","",SUM(入力データ!$C$41:$C$52)*12)</f>
        <v/>
      </c>
      <c r="BX20" s="352">
        <f>IF(BX$3="","",SUM(入力データ!$C$41:$C$52)*12)</f>
        <v/>
      </c>
      <c r="BY20" s="352">
        <f>IF(BY$3="","",SUM(入力データ!$C$41:$C$52)*12)</f>
        <v/>
      </c>
      <c r="BZ20" s="352">
        <f>IF(BZ$3="","",SUM(入力データ!$C$41:$C$52)*12)</f>
        <v/>
      </c>
      <c r="CA20" s="352">
        <f>IF(CA$3="","",SUM(入力データ!$C$41:$C$52)*12)</f>
        <v/>
      </c>
      <c r="CB20" s="352">
        <f>IF(CB$3="","",SUM(入力データ!$C$41:$C$52)*12)</f>
        <v/>
      </c>
      <c r="CC20" s="352">
        <f>IF(CC$3="","",SUM(入力データ!$C$41:$C$52)*12)</f>
        <v/>
      </c>
      <c r="CD20" s="352">
        <f>IF(CD$3="","",SUM(入力データ!$C$41:$C$52)*12)</f>
        <v/>
      </c>
      <c r="CE20" s="352">
        <f>IF(CE$3="","",SUM(入力データ!$C$41:$C$52)*12)</f>
        <v/>
      </c>
      <c r="CF20" s="352">
        <f>IF(CF$3="","",SUM(入力データ!$C$41:$C$52)*12)</f>
        <v/>
      </c>
      <c r="CG20" s="352">
        <f>IF(CG$3="","",SUM(入力データ!$C$41:$C$52)*12)</f>
        <v/>
      </c>
      <c r="CH20" s="352">
        <f>IF(CH$3="","",SUM(入力データ!$C$41:$C$52)*12)</f>
        <v/>
      </c>
      <c r="CI20" s="352">
        <f>IF(CI$3="","",SUM(入力データ!$C$41:$C$52)*12)</f>
        <v/>
      </c>
      <c r="CJ20" s="352">
        <f>IF(CJ$3="","",SUM(入力データ!$C$41:$C$52)*12)</f>
        <v/>
      </c>
      <c r="CK20" s="352">
        <f>IF(CK$3="","",SUM(入力データ!$C$41:$C$52)*12)</f>
        <v/>
      </c>
      <c r="CL20" s="352">
        <f>IF(CL$3="","",SUM(入力データ!$C$41:$C$52)*12)</f>
        <v/>
      </c>
      <c r="CM20" s="352">
        <f>IF(CM$3="","",SUM(入力データ!$C$41:$C$52)*12)</f>
        <v/>
      </c>
      <c r="CN20" s="352">
        <f>IF(CN$3="","",SUM(入力データ!$C$41:$C$52)*12)</f>
        <v/>
      </c>
      <c r="CO20" s="352">
        <f>IF(CO$3="","",SUM(入力データ!$C$41:$C$52)*12)</f>
        <v/>
      </c>
      <c r="CP20" s="352">
        <f>IF(CP$3="","",SUM(入力データ!$C$41:$C$52)*12)</f>
        <v/>
      </c>
      <c r="CQ20" s="352">
        <f>IF(CQ$3="","",SUM(入力データ!$C$41:$C$52)*12)</f>
        <v/>
      </c>
      <c r="CR20" s="352">
        <f>IF(CR$3="","",SUM(入力データ!$C$41:$C$52)*12)</f>
        <v/>
      </c>
      <c r="CS20" s="352">
        <f>IF(CS$3="","",SUM(入力データ!$C$41:$C$52)*12)</f>
        <v/>
      </c>
      <c r="CT20" s="352">
        <f>IF(CT$3="","",SUM(入力データ!$C$41:$C$52)*12)</f>
        <v/>
      </c>
      <c r="CU20" s="352">
        <f>IF(CU$3="","",SUM(入力データ!$C$41:$C$52)*12)</f>
        <v/>
      </c>
      <c r="CV20" s="352">
        <f>IF(CV$3="","",SUM(入力データ!$C$41:$C$52)*12)</f>
        <v/>
      </c>
      <c r="CW20" s="352">
        <f>IF(CW$3="","",SUM(入力データ!$C$41:$C$52)*12)</f>
        <v/>
      </c>
    </row>
    <row r="21" ht="15" customHeight="1" s="180">
      <c r="A21" s="224" t="inlineStr">
        <is>
          <t>住居費</t>
        </is>
      </c>
      <c r="B21" s="352">
        <f>IF(B$3="","",((IF(入力データ!$C$13="持ち家",IF(B4&lt;=前提条件!$C$44,入力データ!$C$53,0),入力データ!$C$53)+入力データ!$C$54+入力データ!$C$55+入力データ!$C$56)*12+IF(入力データ!$C$13="持ち家",入力データ!$C$83+前提条件!$C$47,入力データ!$C$84+前提条件!$C$48))*(1+前提条件!$C$15)^(B$3-$B$3))</f>
        <v/>
      </c>
      <c r="C21" s="352">
        <f>IF(C$3="","",((IF(入力データ!$C$13="持ち家",IF(C4&lt;=前提条件!$C$44,入力データ!$C$53,0),入力データ!$C$53)+入力データ!$C$54+入力データ!$C$55+入力データ!$C$56)*12+IF(入力データ!$C$13="持ち家",入力データ!$C$83+前提条件!$C$47,入力データ!$C$84+前提条件!$C$48))*(1+前提条件!$C$15)^(C$3-$B$3))</f>
        <v/>
      </c>
      <c r="D21" s="352">
        <f>IF(D$3="","",((IF(入力データ!$C$13="持ち家",IF(D4&lt;=前提条件!$C$44,入力データ!$C$53,0),入力データ!$C$53)+入力データ!$C$54+入力データ!$C$55+入力データ!$C$56)*12+IF(入力データ!$C$13="持ち家",入力データ!$C$83+前提条件!$C$47,入力データ!$C$84+前提条件!$C$48))*(1+前提条件!$C$15)^(D$3-$B$3))</f>
        <v/>
      </c>
      <c r="E21" s="352">
        <f>IF(E$3="","",((IF(入力データ!$C$13="持ち家",IF(E4&lt;=前提条件!$C$44,入力データ!$C$53,0),入力データ!$C$53)+入力データ!$C$54+入力データ!$C$55+入力データ!$C$56)*12+IF(入力データ!$C$13="持ち家",入力データ!$C$83+前提条件!$C$47,入力データ!$C$84+前提条件!$C$48))*(1+前提条件!$C$15)^(E$3-$B$3))</f>
        <v/>
      </c>
      <c r="F21" s="352">
        <f>IF(F$3="","",((IF(入力データ!$C$13="持ち家",IF(F4&lt;=前提条件!$C$44,入力データ!$C$53,0),入力データ!$C$53)+入力データ!$C$54+入力データ!$C$55+入力データ!$C$56)*12+IF(入力データ!$C$13="持ち家",入力データ!$C$83+前提条件!$C$47,入力データ!$C$84+前提条件!$C$48))*(1+前提条件!$C$15)^(F$3-$B$3))</f>
        <v/>
      </c>
      <c r="G21" s="352">
        <f>IF(G$3="","",((IF(入力データ!$C$13="持ち家",IF(G4&lt;=前提条件!$C$44,入力データ!$C$53,0),入力データ!$C$53)+入力データ!$C$54+入力データ!$C$55+入力データ!$C$56)*12+IF(入力データ!$C$13="持ち家",入力データ!$C$83+前提条件!$C$47,入力データ!$C$84+前提条件!$C$48))*(1+前提条件!$C$15)^(G$3-$B$3))</f>
        <v/>
      </c>
      <c r="H21" s="352">
        <f>IF(H$3="","",((IF(入力データ!$C$13="持ち家",IF(H4&lt;=前提条件!$C$44,入力データ!$C$53,0),入力データ!$C$53)+入力データ!$C$54+入力データ!$C$55+入力データ!$C$56)*12+IF(入力データ!$C$13="持ち家",入力データ!$C$83+前提条件!$C$47,入力データ!$C$84+前提条件!$C$48))*(1+前提条件!$C$15)^(H$3-$B$3))</f>
        <v/>
      </c>
      <c r="I21" s="352">
        <f>IF(I$3="","",((IF(入力データ!$C$13="持ち家",IF(I4&lt;=前提条件!$C$44,入力データ!$C$53,0),入力データ!$C$53)+入力データ!$C$54+入力データ!$C$55+入力データ!$C$56)*12+IF(入力データ!$C$13="持ち家",入力データ!$C$83+前提条件!$C$47,入力データ!$C$84+前提条件!$C$48))*(1+前提条件!$C$15)^(I$3-$B$3))</f>
        <v/>
      </c>
      <c r="J21" s="352">
        <f>IF(J$3="","",((IF(入力データ!$C$13="持ち家",IF(J4&lt;=前提条件!$C$44,入力データ!$C$53,0),入力データ!$C$53)+入力データ!$C$54+入力データ!$C$55+入力データ!$C$56)*12+IF(入力データ!$C$13="持ち家",入力データ!$C$83+前提条件!$C$47,入力データ!$C$84+前提条件!$C$48))*(1+前提条件!$C$15)^(J$3-$B$3))</f>
        <v/>
      </c>
      <c r="K21" s="352">
        <f>IF(K$3="","",((IF(入力データ!$C$13="持ち家",IF(K4&lt;=前提条件!$C$44,入力データ!$C$53,0),入力データ!$C$53)+入力データ!$C$54+入力データ!$C$55+入力データ!$C$56)*12+IF(入力データ!$C$13="持ち家",入力データ!$C$83+前提条件!$C$47,入力データ!$C$84+前提条件!$C$48))*(1+前提条件!$C$15)^(K$3-$B$3))</f>
        <v/>
      </c>
      <c r="L21" s="352">
        <f>IF(L$3="","",((IF(入力データ!$C$13="持ち家",IF(L4&lt;=前提条件!$C$44,入力データ!$C$53,0),入力データ!$C$53)+入力データ!$C$54+入力データ!$C$55+入力データ!$C$56)*12+IF(入力データ!$C$13="持ち家",入力データ!$C$83+前提条件!$C$47,入力データ!$C$84+前提条件!$C$48))*(1+前提条件!$C$15)^(L$3-$B$3))</f>
        <v/>
      </c>
      <c r="M21" s="352">
        <f>IF(M$3="","",((IF(入力データ!$C$13="持ち家",IF(M4&lt;=前提条件!$C$44,入力データ!$C$53,0),入力データ!$C$53)+入力データ!$C$54+入力データ!$C$55+入力データ!$C$56)*12+IF(入力データ!$C$13="持ち家",入力データ!$C$83+前提条件!$C$47,入力データ!$C$84+前提条件!$C$48))*(1+前提条件!$C$15)^(M$3-$B$3))</f>
        <v/>
      </c>
      <c r="N21" s="352">
        <f>IF(N$3="","",((IF(入力データ!$C$13="持ち家",IF(N4&lt;=前提条件!$C$44,入力データ!$C$53,0),入力データ!$C$53)+入力データ!$C$54+入力データ!$C$55+入力データ!$C$56)*12+IF(入力データ!$C$13="持ち家",入力データ!$C$83+前提条件!$C$47,入力データ!$C$84+前提条件!$C$48))*(1+前提条件!$C$15)^(N$3-$B$3))</f>
        <v/>
      </c>
      <c r="O21" s="352">
        <f>IF(O$3="","",((IF(入力データ!$C$13="持ち家",IF(O4&lt;=前提条件!$C$44,入力データ!$C$53,0),入力データ!$C$53)+入力データ!$C$54+入力データ!$C$55+入力データ!$C$56)*12+IF(入力データ!$C$13="持ち家",入力データ!$C$83+前提条件!$C$47,入力データ!$C$84+前提条件!$C$48))*(1+前提条件!$C$15)^(O$3-$B$3))</f>
        <v/>
      </c>
      <c r="P21" s="352">
        <f>IF(P$3="","",((IF(入力データ!$C$13="持ち家",IF(P4&lt;=前提条件!$C$44,入力データ!$C$53,0),入力データ!$C$53)+入力データ!$C$54+入力データ!$C$55+入力データ!$C$56)*12+IF(入力データ!$C$13="持ち家",入力データ!$C$83+前提条件!$C$47,入力データ!$C$84+前提条件!$C$48))*(1+前提条件!$C$15)^(P$3-$B$3))</f>
        <v/>
      </c>
      <c r="Q21" s="352">
        <f>IF(Q$3="","",((IF(入力データ!$C$13="持ち家",IF(Q4&lt;=前提条件!$C$44,入力データ!$C$53,0),入力データ!$C$53)+入力データ!$C$54+入力データ!$C$55+入力データ!$C$56)*12+IF(入力データ!$C$13="持ち家",入力データ!$C$83+前提条件!$C$47,入力データ!$C$84+前提条件!$C$48))*(1+前提条件!$C$15)^(Q$3-$B$3))</f>
        <v/>
      </c>
      <c r="R21" s="352">
        <f>IF(R$3="","",((IF(入力データ!$C$13="持ち家",IF(R4&lt;=前提条件!$C$44,入力データ!$C$53,0),入力データ!$C$53)+入力データ!$C$54+入力データ!$C$55+入力データ!$C$56)*12+IF(入力データ!$C$13="持ち家",入力データ!$C$83+前提条件!$C$47,入力データ!$C$84+前提条件!$C$48))*(1+前提条件!$C$15)^(R$3-$B$3))</f>
        <v/>
      </c>
      <c r="S21" s="352">
        <f>IF(S$3="","",((IF(入力データ!$C$13="持ち家",IF(S4&lt;=前提条件!$C$44,入力データ!$C$53,0),入力データ!$C$53)+入力データ!$C$54+入力データ!$C$55+入力データ!$C$56)*12+IF(入力データ!$C$13="持ち家",入力データ!$C$83+前提条件!$C$47,入力データ!$C$84+前提条件!$C$48))*(1+前提条件!$C$15)^(S$3-$B$3))</f>
        <v/>
      </c>
      <c r="T21" s="352">
        <f>IF(T$3="","",((IF(入力データ!$C$13="持ち家",IF(T4&lt;=前提条件!$C$44,入力データ!$C$53,0),入力データ!$C$53)+入力データ!$C$54+入力データ!$C$55+入力データ!$C$56)*12+IF(入力データ!$C$13="持ち家",入力データ!$C$83+前提条件!$C$47,入力データ!$C$84+前提条件!$C$48))*(1+前提条件!$C$15)^(T$3-$B$3))</f>
        <v/>
      </c>
      <c r="U21" s="352">
        <f>IF(U$3="","",((IF(入力データ!$C$13="持ち家",IF(U4&lt;=前提条件!$C$44,入力データ!$C$53,0),入力データ!$C$53)+入力データ!$C$54+入力データ!$C$55+入力データ!$C$56)*12+IF(入力データ!$C$13="持ち家",入力データ!$C$83+前提条件!$C$47,入力データ!$C$84+前提条件!$C$48))*(1+前提条件!$C$15)^(U$3-$B$3))</f>
        <v/>
      </c>
      <c r="V21" s="352">
        <f>IF(V$3="","",((IF(入力データ!$C$13="持ち家",IF(V4&lt;=前提条件!$C$44,入力データ!$C$53,0),入力データ!$C$53)+入力データ!$C$54+入力データ!$C$55+入力データ!$C$56)*12+IF(入力データ!$C$13="持ち家",入力データ!$C$83+前提条件!$C$47,入力データ!$C$84+前提条件!$C$48))*(1+前提条件!$C$15)^(V$3-$B$3))</f>
        <v/>
      </c>
      <c r="W21" s="352">
        <f>IF(W$3="","",((IF(入力データ!$C$13="持ち家",IF(W4&lt;=前提条件!$C$44,入力データ!$C$53,0),入力データ!$C$53)+入力データ!$C$54+入力データ!$C$55+入力データ!$C$56)*12+IF(入力データ!$C$13="持ち家",入力データ!$C$83+前提条件!$C$47,入力データ!$C$84+前提条件!$C$48))*(1+前提条件!$C$15)^(W$3-$B$3))</f>
        <v/>
      </c>
      <c r="X21" s="352">
        <f>IF(X$3="","",((IF(入力データ!$C$13="持ち家",IF(X4&lt;=前提条件!$C$44,入力データ!$C$53,0),入力データ!$C$53)+入力データ!$C$54+入力データ!$C$55+入力データ!$C$56)*12+IF(入力データ!$C$13="持ち家",入力データ!$C$83+前提条件!$C$47,入力データ!$C$84+前提条件!$C$48))*(1+前提条件!$C$15)^(X$3-$B$3))</f>
        <v/>
      </c>
      <c r="Y21" s="352">
        <f>IF(Y$3="","",((IF(入力データ!$C$13="持ち家",IF(Y4&lt;=前提条件!$C$44,入力データ!$C$53,0),入力データ!$C$53)+入力データ!$C$54+入力データ!$C$55+入力データ!$C$56)*12+IF(入力データ!$C$13="持ち家",入力データ!$C$83+前提条件!$C$47,入力データ!$C$84+前提条件!$C$48))*(1+前提条件!$C$15)^(Y$3-$B$3))</f>
        <v/>
      </c>
      <c r="Z21" s="352">
        <f>IF(Z$3="","",((IF(入力データ!$C$13="持ち家",IF(Z4&lt;=前提条件!$C$44,入力データ!$C$53,0),入力データ!$C$53)+入力データ!$C$54+入力データ!$C$55+入力データ!$C$56)*12+IF(入力データ!$C$13="持ち家",入力データ!$C$83+前提条件!$C$47,入力データ!$C$84+前提条件!$C$48))*(1+前提条件!$C$15)^(Z$3-$B$3))</f>
        <v/>
      </c>
      <c r="AA21" s="352">
        <f>IF(AA$3="","",((IF(入力データ!$C$13="持ち家",IF(AA4&lt;=前提条件!$C$44,入力データ!$C$53,0),入力データ!$C$53)+入力データ!$C$54+入力データ!$C$55+入力データ!$C$56)*12+IF(入力データ!$C$13="持ち家",入力データ!$C$83+前提条件!$C$47,入力データ!$C$84+前提条件!$C$48))*(1+前提条件!$C$15)^(AA$3-$B$3))</f>
        <v/>
      </c>
      <c r="AB21" s="352">
        <f>IF(AB$3="","",((IF(入力データ!$C$13="持ち家",IF(AB4&lt;=前提条件!$C$44,入力データ!$C$53,0),入力データ!$C$53)+入力データ!$C$54+入力データ!$C$55+入力データ!$C$56)*12+IF(入力データ!$C$13="持ち家",入力データ!$C$83+前提条件!$C$47,入力データ!$C$84+前提条件!$C$48))*(1+前提条件!$C$15)^(AB$3-$B$3))</f>
        <v/>
      </c>
      <c r="AC21" s="352">
        <f>IF(AC$3="","",((IF(入力データ!$C$13="持ち家",IF(AC4&lt;=前提条件!$C$44,入力データ!$C$53,0),入力データ!$C$53)+入力データ!$C$54+入力データ!$C$55+入力データ!$C$56)*12+IF(入力データ!$C$13="持ち家",入力データ!$C$83+前提条件!$C$47,入力データ!$C$84+前提条件!$C$48))*(1+前提条件!$C$15)^(AC$3-$B$3))</f>
        <v/>
      </c>
      <c r="AD21" s="352">
        <f>IF(AD$3="","",((IF(入力データ!$C$13="持ち家",IF(AD4&lt;=前提条件!$C$44,入力データ!$C$53,0),入力データ!$C$53)+入力データ!$C$54+入力データ!$C$55+入力データ!$C$56)*12+IF(入力データ!$C$13="持ち家",入力データ!$C$83+前提条件!$C$47,入力データ!$C$84+前提条件!$C$48))*(1+前提条件!$C$15)^(AD$3-$B$3))</f>
        <v/>
      </c>
      <c r="AE21" s="352">
        <f>IF(AE$3="","",((IF(入力データ!$C$13="持ち家",IF(AE4&lt;=前提条件!$C$44,入力データ!$C$53,0),入力データ!$C$53)+入力データ!$C$54+入力データ!$C$55+入力データ!$C$56)*12+IF(入力データ!$C$13="持ち家",入力データ!$C$83+前提条件!$C$47,入力データ!$C$84+前提条件!$C$48))*(1+前提条件!$C$15)^(AE$3-$B$3))</f>
        <v/>
      </c>
      <c r="AF21" s="352">
        <f>IF(AF$3="","",((IF(入力データ!$C$13="持ち家",IF(AF4&lt;=前提条件!$C$44,入力データ!$C$53,0),入力データ!$C$53)+入力データ!$C$54+入力データ!$C$55+入力データ!$C$56)*12+IF(入力データ!$C$13="持ち家",入力データ!$C$83+前提条件!$C$47,入力データ!$C$84+前提条件!$C$48))*(1+前提条件!$C$15)^(AF$3-$B$3))</f>
        <v/>
      </c>
      <c r="AG21" s="352">
        <f>IF(AG$3="","",((IF(入力データ!$C$13="持ち家",IF(AG4&lt;=前提条件!$C$44,入力データ!$C$53,0),入力データ!$C$53)+入力データ!$C$54+入力データ!$C$55+入力データ!$C$56)*12+IF(入力データ!$C$13="持ち家",入力データ!$C$83+前提条件!$C$47,入力データ!$C$84+前提条件!$C$48))*(1+前提条件!$C$15)^(AG$3-$B$3))</f>
        <v/>
      </c>
      <c r="AH21" s="352">
        <f>IF(AH$3="","",((IF(入力データ!$C$13="持ち家",IF(AH4&lt;=前提条件!$C$44,入力データ!$C$53,0),入力データ!$C$53)+入力データ!$C$54+入力データ!$C$55+入力データ!$C$56)*12+IF(入力データ!$C$13="持ち家",入力データ!$C$83+前提条件!$C$47,入力データ!$C$84+前提条件!$C$48))*(1+前提条件!$C$15)^(AH$3-$B$3))</f>
        <v/>
      </c>
      <c r="AI21" s="352">
        <f>IF(AI$3="","",((IF(入力データ!$C$13="持ち家",IF(AI4&lt;=前提条件!$C$44,入力データ!$C$53,0),入力データ!$C$53)+入力データ!$C$54+入力データ!$C$55+入力データ!$C$56)*12+IF(入力データ!$C$13="持ち家",入力データ!$C$83+前提条件!$C$47,入力データ!$C$84+前提条件!$C$48))*(1+前提条件!$C$15)^(AI$3-$B$3))</f>
        <v/>
      </c>
      <c r="AJ21" s="352">
        <f>IF(AJ$3="","",((IF(入力データ!$C$13="持ち家",IF(AJ4&lt;=前提条件!$C$44,入力データ!$C$53,0),入力データ!$C$53)+入力データ!$C$54+入力データ!$C$55+入力データ!$C$56)*12+IF(入力データ!$C$13="持ち家",入力データ!$C$83+前提条件!$C$47,入力データ!$C$84+前提条件!$C$48))*(1+前提条件!$C$15)^(AJ$3-$B$3))</f>
        <v/>
      </c>
      <c r="AK21" s="352">
        <f>IF(AK$3="","",((IF(入力データ!$C$13="持ち家",IF(AK4&lt;=前提条件!$C$44,入力データ!$C$53,0),入力データ!$C$53)+入力データ!$C$54+入力データ!$C$55+入力データ!$C$56)*12+IF(入力データ!$C$13="持ち家",入力データ!$C$83+前提条件!$C$47,入力データ!$C$84+前提条件!$C$48))*(1+前提条件!$C$15)^(AK$3-$B$3))</f>
        <v/>
      </c>
      <c r="AL21" s="352">
        <f>IF(AL$3="","",((IF(入力データ!$C$13="持ち家",IF(AL4&lt;=前提条件!$C$44,入力データ!$C$53,0),入力データ!$C$53)+入力データ!$C$54+入力データ!$C$55+入力データ!$C$56)*12+IF(入力データ!$C$13="持ち家",入力データ!$C$83+前提条件!$C$47,入力データ!$C$84+前提条件!$C$48))*(1+前提条件!$C$15)^(AL$3-$B$3))</f>
        <v/>
      </c>
      <c r="AM21" s="352">
        <f>IF(AM$3="","",((IF(入力データ!$C$13="持ち家",IF(AM4&lt;=前提条件!$C$44,入力データ!$C$53,0),入力データ!$C$53)+入力データ!$C$54+入力データ!$C$55+入力データ!$C$56)*12+IF(入力データ!$C$13="持ち家",入力データ!$C$83+前提条件!$C$47,入力データ!$C$84+前提条件!$C$48))*(1+前提条件!$C$15)^(AM$3-$B$3))</f>
        <v/>
      </c>
      <c r="AN21" s="352">
        <f>IF(AN$3="","",((IF(入力データ!$C$13="持ち家",IF(AN4&lt;=前提条件!$C$44,入力データ!$C$53,0),入力データ!$C$53)+入力データ!$C$54+入力データ!$C$55+入力データ!$C$56)*12+IF(入力データ!$C$13="持ち家",入力データ!$C$83+前提条件!$C$47,入力データ!$C$84+前提条件!$C$48))*(1+前提条件!$C$15)^(AN$3-$B$3))</f>
        <v/>
      </c>
      <c r="AO21" s="352">
        <f>IF(AO$3="","",((IF(入力データ!$C$13="持ち家",IF(AO4&lt;=前提条件!$C$44,入力データ!$C$53,0),入力データ!$C$53)+入力データ!$C$54+入力データ!$C$55+入力データ!$C$56)*12+IF(入力データ!$C$13="持ち家",入力データ!$C$83+前提条件!$C$47,入力データ!$C$84+前提条件!$C$48))*(1+前提条件!$C$15)^(AO$3-$B$3))</f>
        <v/>
      </c>
      <c r="AP21" s="352">
        <f>IF(AP$3="","",((IF(入力データ!$C$13="持ち家",IF(AP4&lt;=前提条件!$C$44,入力データ!$C$53,0),入力データ!$C$53)+入力データ!$C$54+入力データ!$C$55+入力データ!$C$56)*12+IF(入力データ!$C$13="持ち家",入力データ!$C$83+前提条件!$C$47,入力データ!$C$84+前提条件!$C$48))*(1+前提条件!$C$15)^(AP$3-$B$3))</f>
        <v/>
      </c>
      <c r="AQ21" s="352">
        <f>IF(AQ$3="","",((IF(入力データ!$C$13="持ち家",IF(AQ4&lt;=前提条件!$C$44,入力データ!$C$53,0),入力データ!$C$53)+入力データ!$C$54+入力データ!$C$55+入力データ!$C$56)*12+IF(入力データ!$C$13="持ち家",入力データ!$C$83+前提条件!$C$47,入力データ!$C$84+前提条件!$C$48))*(1+前提条件!$C$15)^(AQ$3-$B$3))</f>
        <v/>
      </c>
      <c r="AR21" s="352">
        <f>IF(AR$3="","",((IF(入力データ!$C$13="持ち家",IF(AR4&lt;=前提条件!$C$44,入力データ!$C$53,0),入力データ!$C$53)+入力データ!$C$54+入力データ!$C$55+入力データ!$C$56)*12+IF(入力データ!$C$13="持ち家",入力データ!$C$83+前提条件!$C$47,入力データ!$C$84+前提条件!$C$48))*(1+前提条件!$C$15)^(AR$3-$B$3))</f>
        <v/>
      </c>
      <c r="AS21" s="352">
        <f>IF(AS$3="","",((IF(入力データ!$C$13="持ち家",IF(AS4&lt;=前提条件!$C$44,入力データ!$C$53,0),入力データ!$C$53)+入力データ!$C$54+入力データ!$C$55+入力データ!$C$56)*12+IF(入力データ!$C$13="持ち家",入力データ!$C$83+前提条件!$C$47,入力データ!$C$84+前提条件!$C$48))*(1+前提条件!$C$15)^(AS$3-$B$3))</f>
        <v/>
      </c>
      <c r="AT21" s="352">
        <f>IF(AT$3="","",((IF(入力データ!$C$13="持ち家",IF(AT4&lt;=前提条件!$C$44,入力データ!$C$53,0),入力データ!$C$53)+入力データ!$C$54+入力データ!$C$55+入力データ!$C$56)*12+IF(入力データ!$C$13="持ち家",入力データ!$C$83+前提条件!$C$47,入力データ!$C$84+前提条件!$C$48))*(1+前提条件!$C$15)^(AT$3-$B$3))</f>
        <v/>
      </c>
      <c r="AU21" s="352">
        <f>IF(AU$3="","",((IF(入力データ!$C$13="持ち家",IF(AU4&lt;=前提条件!$C$44,入力データ!$C$53,0),入力データ!$C$53)+入力データ!$C$54+入力データ!$C$55+入力データ!$C$56)*12+IF(入力データ!$C$13="持ち家",入力データ!$C$83+前提条件!$C$47,入力データ!$C$84+前提条件!$C$48))*(1+前提条件!$C$15)^(AU$3-$B$3))</f>
        <v/>
      </c>
      <c r="AV21" s="352">
        <f>IF(AV$3="","",((IF(入力データ!$C$13="持ち家",IF(AV4&lt;=前提条件!$C$44,入力データ!$C$53,0),入力データ!$C$53)+入力データ!$C$54+入力データ!$C$55+入力データ!$C$56)*12+IF(入力データ!$C$13="持ち家",入力データ!$C$83+前提条件!$C$47,入力データ!$C$84+前提条件!$C$48))*(1+前提条件!$C$15)^(AV$3-$B$3))</f>
        <v/>
      </c>
      <c r="AW21" s="352">
        <f>IF(AW$3="","",((IF(入力データ!$C$13="持ち家",IF(AW4&lt;=前提条件!$C$44,入力データ!$C$53,0),入力データ!$C$53)+入力データ!$C$54+入力データ!$C$55+入力データ!$C$56)*12+IF(入力データ!$C$13="持ち家",入力データ!$C$83+前提条件!$C$47,入力データ!$C$84+前提条件!$C$48))*(1+前提条件!$C$15)^(AW$3-$B$3))</f>
        <v/>
      </c>
      <c r="AX21" s="352">
        <f>IF(AX$3="","",((IF(入力データ!$C$13="持ち家",IF(AX4&lt;=前提条件!$C$44,入力データ!$C$53,0),入力データ!$C$53)+入力データ!$C$54+入力データ!$C$55+入力データ!$C$56)*12+IF(入力データ!$C$13="持ち家",入力データ!$C$83+前提条件!$C$47,入力データ!$C$84+前提条件!$C$48))*(1+前提条件!$C$15)^(AX$3-$B$3))</f>
        <v/>
      </c>
      <c r="AY21" s="352">
        <f>IF(AY$3="","",((IF(入力データ!$C$13="持ち家",IF(AY4&lt;=前提条件!$C$44,入力データ!$C$53,0),入力データ!$C$53)+入力データ!$C$54+入力データ!$C$55+入力データ!$C$56)*12+IF(入力データ!$C$13="持ち家",入力データ!$C$83+前提条件!$C$47,入力データ!$C$84+前提条件!$C$48))*(1+前提条件!$C$15)^(AY$3-$B$3))</f>
        <v/>
      </c>
      <c r="AZ21" s="352">
        <f>IF(AZ$3="","",((IF(入力データ!$C$13="持ち家",IF(AZ4&lt;=前提条件!$C$44,入力データ!$C$53,0),入力データ!$C$53)+入力データ!$C$54+入力データ!$C$55+入力データ!$C$56)*12+IF(入力データ!$C$13="持ち家",入力データ!$C$83+前提条件!$C$47,入力データ!$C$84+前提条件!$C$48))*(1+前提条件!$C$15)^(AZ$3-$B$3))</f>
        <v/>
      </c>
      <c r="BA21" s="352">
        <f>IF(BA$3="","",((IF(入力データ!$C$13="持ち家",IF(BA4&lt;=前提条件!$C$44,入力データ!$C$53,0),入力データ!$C$53)+入力データ!$C$54+入力データ!$C$55+入力データ!$C$56)*12+IF(入力データ!$C$13="持ち家",入力データ!$C$83+前提条件!$C$47,入力データ!$C$84+前提条件!$C$48))*(1+前提条件!$C$15)^(BA$3-$B$3))</f>
        <v/>
      </c>
      <c r="BB21" s="352">
        <f>IF(BB$3="","",((IF(入力データ!$C$13="持ち家",IF(BB4&lt;=前提条件!$C$44,入力データ!$C$53,0),入力データ!$C$53)+入力データ!$C$54+入力データ!$C$55+入力データ!$C$56)*12+IF(入力データ!$C$13="持ち家",入力データ!$C$83+前提条件!$C$47,入力データ!$C$84+前提条件!$C$48))*(1+前提条件!$C$15)^(BB$3-$B$3))</f>
        <v/>
      </c>
      <c r="BC21" s="352">
        <f>IF(BC$3="","",((IF(入力データ!$C$13="持ち家",IF(BC4&lt;=前提条件!$C$44,入力データ!$C$53,0),入力データ!$C$53)+入力データ!$C$54+入力データ!$C$55+入力データ!$C$56)*12+IF(入力データ!$C$13="持ち家",入力データ!$C$83+前提条件!$C$47,入力データ!$C$84+前提条件!$C$48))*(1+前提条件!$C$15)^(BC$3-$B$3))</f>
        <v/>
      </c>
      <c r="BD21" s="352">
        <f>IF(BD$3="","",((IF(入力データ!$C$13="持ち家",IF(BD4&lt;=前提条件!$C$44,入力データ!$C$53,0),入力データ!$C$53)+入力データ!$C$54+入力データ!$C$55+入力データ!$C$56)*12+IF(入力データ!$C$13="持ち家",入力データ!$C$83+前提条件!$C$47,入力データ!$C$84+前提条件!$C$48))*(1+前提条件!$C$15)^(BD$3-$B$3))</f>
        <v/>
      </c>
      <c r="BE21" s="352">
        <f>IF(BE$3="","",((IF(入力データ!$C$13="持ち家",IF(BE4&lt;=前提条件!$C$44,入力データ!$C$53,0),入力データ!$C$53)+入力データ!$C$54+入力データ!$C$55+入力データ!$C$56)*12+IF(入力データ!$C$13="持ち家",入力データ!$C$83+前提条件!$C$47,入力データ!$C$84+前提条件!$C$48))*(1+前提条件!$C$15)^(BE$3-$B$3))</f>
        <v/>
      </c>
      <c r="BF21" s="352">
        <f>IF(BF$3="","",((IF(入力データ!$C$13="持ち家",IF(BF4&lt;=前提条件!$C$44,入力データ!$C$53,0),入力データ!$C$53)+入力データ!$C$54+入力データ!$C$55+入力データ!$C$56)*12+IF(入力データ!$C$13="持ち家",入力データ!$C$83+前提条件!$C$47,入力データ!$C$84+前提条件!$C$48))*(1+前提条件!$C$15)^(BF$3-$B$3))</f>
        <v/>
      </c>
      <c r="BG21" s="352">
        <f>IF(BG$3="","",((IF(入力データ!$C$13="持ち家",IF(BG4&lt;=前提条件!$C$44,入力データ!$C$53,0),入力データ!$C$53)+入力データ!$C$54+入力データ!$C$55+入力データ!$C$56)*12+IF(入力データ!$C$13="持ち家",入力データ!$C$83+前提条件!$C$47,入力データ!$C$84+前提条件!$C$48))*(1+前提条件!$C$15)^(BG$3-$B$3))</f>
        <v/>
      </c>
      <c r="BH21" s="352">
        <f>IF(BH$3="","",((IF(入力データ!$C$13="持ち家",IF(BH4&lt;=前提条件!$C$44,入力データ!$C$53,0),入力データ!$C$53)+入力データ!$C$54+入力データ!$C$55+入力データ!$C$56)*12+IF(入力データ!$C$13="持ち家",入力データ!$C$83+前提条件!$C$47,入力データ!$C$84+前提条件!$C$48))*(1+前提条件!$C$15)^(BH$3-$B$3))</f>
        <v/>
      </c>
      <c r="BI21" s="352">
        <f>IF(BI$3="","",((IF(入力データ!$C$13="持ち家",IF(BI4&lt;=前提条件!$C$44,入力データ!$C$53,0),入力データ!$C$53)+入力データ!$C$54+入力データ!$C$55+入力データ!$C$56)*12+IF(入力データ!$C$13="持ち家",入力データ!$C$83+前提条件!$C$47,入力データ!$C$84+前提条件!$C$48))*(1+前提条件!$C$15)^(BI$3-$B$3))</f>
        <v/>
      </c>
      <c r="BJ21" s="352">
        <f>IF(BJ$3="","",((IF(入力データ!$C$13="持ち家",IF(BJ4&lt;=前提条件!$C$44,入力データ!$C$53,0),入力データ!$C$53)+入力データ!$C$54+入力データ!$C$55+入力データ!$C$56)*12+IF(入力データ!$C$13="持ち家",入力データ!$C$83+前提条件!$C$47,入力データ!$C$84+前提条件!$C$48))*(1+前提条件!$C$15)^(BJ$3-$B$3))</f>
        <v/>
      </c>
      <c r="BK21" s="352">
        <f>IF(BK$3="","",((IF(入力データ!$C$13="持ち家",IF(BK4&lt;=前提条件!$C$44,入力データ!$C$53,0),入力データ!$C$53)+入力データ!$C$54+入力データ!$C$55+入力データ!$C$56)*12+IF(入力データ!$C$13="持ち家",入力データ!$C$83+前提条件!$C$47,入力データ!$C$84+前提条件!$C$48))*(1+前提条件!$C$15)^(BK$3-$B$3))</f>
        <v/>
      </c>
      <c r="BL21" s="352">
        <f>IF(BL$3="","",((IF(入力データ!$C$13="持ち家",IF(BL4&lt;=前提条件!$C$44,入力データ!$C$53,0),入力データ!$C$53)+入力データ!$C$54+入力データ!$C$55+入力データ!$C$56)*12+IF(入力データ!$C$13="持ち家",入力データ!$C$83+前提条件!$C$47,入力データ!$C$84+前提条件!$C$48))*(1+前提条件!$C$15)^(BL$3-$B$3))</f>
        <v/>
      </c>
      <c r="BM21" s="352">
        <f>IF(BM$3="","",((IF(入力データ!$C$13="持ち家",IF(BM4&lt;=前提条件!$C$44,入力データ!$C$53,0),入力データ!$C$53)+入力データ!$C$54+入力データ!$C$55+入力データ!$C$56)*12+IF(入力データ!$C$13="持ち家",入力データ!$C$83+前提条件!$C$47,入力データ!$C$84+前提条件!$C$48))*(1+前提条件!$C$15)^(BM$3-$B$3))</f>
        <v/>
      </c>
      <c r="BN21" s="352">
        <f>IF(BN$3="","",((IF(入力データ!$C$13="持ち家",IF(BN4&lt;=前提条件!$C$44,入力データ!$C$53,0),入力データ!$C$53)+入力データ!$C$54+入力データ!$C$55+入力データ!$C$56)*12+IF(入力データ!$C$13="持ち家",入力データ!$C$83+前提条件!$C$47,入力データ!$C$84+前提条件!$C$48))*(1+前提条件!$C$15)^(BN$3-$B$3))</f>
        <v/>
      </c>
      <c r="BO21" s="352">
        <f>IF(BO$3="","",((IF(入力データ!$C$13="持ち家",IF(BO4&lt;=前提条件!$C$44,入力データ!$C$53,0),入力データ!$C$53)+入力データ!$C$54+入力データ!$C$55+入力データ!$C$56)*12+IF(入力データ!$C$13="持ち家",入力データ!$C$83+前提条件!$C$47,入力データ!$C$84+前提条件!$C$48))*(1+前提条件!$C$15)^(BO$3-$B$3))</f>
        <v/>
      </c>
      <c r="BP21" s="352">
        <f>IF(BP$3="","",((IF(入力データ!$C$13="持ち家",IF(BP4&lt;=前提条件!$C$44,入力データ!$C$53,0),入力データ!$C$53)+入力データ!$C$54+入力データ!$C$55+入力データ!$C$56)*12+IF(入力データ!$C$13="持ち家",入力データ!$C$83+前提条件!$C$47,入力データ!$C$84+前提条件!$C$48))*(1+前提条件!$C$15)^(BP$3-$B$3))</f>
        <v/>
      </c>
      <c r="BQ21" s="352">
        <f>IF(BQ$3="","",((IF(入力データ!$C$13="持ち家",IF(BQ4&lt;=前提条件!$C$44,入力データ!$C$53,0),入力データ!$C$53)+入力データ!$C$54+入力データ!$C$55+入力データ!$C$56)*12+IF(入力データ!$C$13="持ち家",入力データ!$C$83+前提条件!$C$47,入力データ!$C$84+前提条件!$C$48))*(1+前提条件!$C$15)^(BQ$3-$B$3))</f>
        <v/>
      </c>
      <c r="BR21" s="352">
        <f>IF(BR$3="","",((IF(入力データ!$C$13="持ち家",IF(BR4&lt;=前提条件!$C$44,入力データ!$C$53,0),入力データ!$C$53)+入力データ!$C$54+入力データ!$C$55+入力データ!$C$56)*12+IF(入力データ!$C$13="持ち家",入力データ!$C$83+前提条件!$C$47,入力データ!$C$84+前提条件!$C$48))*(1+前提条件!$C$15)^(BR$3-$B$3))</f>
        <v/>
      </c>
      <c r="BS21" s="352">
        <f>IF(BS$3="","",((IF(入力データ!$C$13="持ち家",IF(BS4&lt;=前提条件!$C$44,入力データ!$C$53,0),入力データ!$C$53)+入力データ!$C$54+入力データ!$C$55+入力データ!$C$56)*12+IF(入力データ!$C$13="持ち家",入力データ!$C$83+前提条件!$C$47,入力データ!$C$84+前提条件!$C$48))*(1+前提条件!$C$15)^(BS$3-$B$3))</f>
        <v/>
      </c>
      <c r="BT21" s="352">
        <f>IF(BT$3="","",((IF(入力データ!$C$13="持ち家",IF(BT4&lt;=前提条件!$C$44,入力データ!$C$53,0),入力データ!$C$53)+入力データ!$C$54+入力データ!$C$55+入力データ!$C$56)*12+IF(入力データ!$C$13="持ち家",入力データ!$C$83+前提条件!$C$47,入力データ!$C$84+前提条件!$C$48))*(1+前提条件!$C$15)^(BT$3-$B$3))</f>
        <v/>
      </c>
      <c r="BU21" s="352">
        <f>IF(BU$3="","",((IF(入力データ!$C$13="持ち家",IF(BU4&lt;=前提条件!$C$44,入力データ!$C$53,0),入力データ!$C$53)+入力データ!$C$54+入力データ!$C$55+入力データ!$C$56)*12+IF(入力データ!$C$13="持ち家",入力データ!$C$83+前提条件!$C$47,入力データ!$C$84+前提条件!$C$48))*(1+前提条件!$C$15)^(BU$3-$B$3))</f>
        <v/>
      </c>
      <c r="BV21" s="352">
        <f>IF(BV$3="","",((IF(入力データ!$C$13="持ち家",IF(BV4&lt;=前提条件!$C$44,入力データ!$C$53,0),入力データ!$C$53)+入力データ!$C$54+入力データ!$C$55+入力データ!$C$56)*12+IF(入力データ!$C$13="持ち家",入力データ!$C$83+前提条件!$C$47,入力データ!$C$84+前提条件!$C$48))*(1+前提条件!$C$15)^(BV$3-$B$3))</f>
        <v/>
      </c>
      <c r="BW21" s="352">
        <f>IF(BW$3="","",((IF(入力データ!$C$13="持ち家",IF(BW4&lt;=前提条件!$C$44,入力データ!$C$53,0),入力データ!$C$53)+入力データ!$C$54+入力データ!$C$55+入力データ!$C$56)*12+IF(入力データ!$C$13="持ち家",入力データ!$C$83+前提条件!$C$47,入力データ!$C$84+前提条件!$C$48))*(1+前提条件!$C$15)^(BW$3-$B$3))</f>
        <v/>
      </c>
      <c r="BX21" s="352">
        <f>IF(BX$3="","",((IF(入力データ!$C$13="持ち家",IF(BX4&lt;=前提条件!$C$44,入力データ!$C$53,0),入力データ!$C$53)+入力データ!$C$54+入力データ!$C$55+入力データ!$C$56)*12+IF(入力データ!$C$13="持ち家",入力データ!$C$83+前提条件!$C$47,入力データ!$C$84+前提条件!$C$48))*(1+前提条件!$C$15)^(BX$3-$B$3))</f>
        <v/>
      </c>
      <c r="BY21" s="352">
        <f>IF(BY$3="","",((IF(入力データ!$C$13="持ち家",IF(BY4&lt;=前提条件!$C$44,入力データ!$C$53,0),入力データ!$C$53)+入力データ!$C$54+入力データ!$C$55+入力データ!$C$56)*12+IF(入力データ!$C$13="持ち家",入力データ!$C$83+前提条件!$C$47,入力データ!$C$84+前提条件!$C$48))*(1+前提条件!$C$15)^(BY$3-$B$3))</f>
        <v/>
      </c>
      <c r="BZ21" s="352">
        <f>IF(BZ$3="","",((IF(入力データ!$C$13="持ち家",IF(BZ4&lt;=前提条件!$C$44,入力データ!$C$53,0),入力データ!$C$53)+入力データ!$C$54+入力データ!$C$55+入力データ!$C$56)*12+IF(入力データ!$C$13="持ち家",入力データ!$C$83+前提条件!$C$47,入力データ!$C$84+前提条件!$C$48))*(1+前提条件!$C$15)^(BZ$3-$B$3))</f>
        <v/>
      </c>
      <c r="CA21" s="352">
        <f>IF(CA$3="","",((IF(入力データ!$C$13="持ち家",IF(CA4&lt;=前提条件!$C$44,入力データ!$C$53,0),入力データ!$C$53)+入力データ!$C$54+入力データ!$C$55+入力データ!$C$56)*12+IF(入力データ!$C$13="持ち家",入力データ!$C$83+前提条件!$C$47,入力データ!$C$84+前提条件!$C$48))*(1+前提条件!$C$15)^(CA$3-$B$3))</f>
        <v/>
      </c>
      <c r="CB21" s="352">
        <f>IF(CB$3="","",((IF(入力データ!$C$13="持ち家",IF(CB4&lt;=前提条件!$C$44,入力データ!$C$53,0),入力データ!$C$53)+入力データ!$C$54+入力データ!$C$55+入力データ!$C$56)*12+IF(入力データ!$C$13="持ち家",入力データ!$C$83+前提条件!$C$47,入力データ!$C$84+前提条件!$C$48))*(1+前提条件!$C$15)^(CB$3-$B$3))</f>
        <v/>
      </c>
      <c r="CC21" s="352">
        <f>IF(CC$3="","",((IF(入力データ!$C$13="持ち家",IF(CC4&lt;=前提条件!$C$44,入力データ!$C$53,0),入力データ!$C$53)+入力データ!$C$54+入力データ!$C$55+入力データ!$C$56)*12+IF(入力データ!$C$13="持ち家",入力データ!$C$83+前提条件!$C$47,入力データ!$C$84+前提条件!$C$48))*(1+前提条件!$C$15)^(CC$3-$B$3))</f>
        <v/>
      </c>
      <c r="CD21" s="352">
        <f>IF(CD$3="","",((IF(入力データ!$C$13="持ち家",IF(CD4&lt;=前提条件!$C$44,入力データ!$C$53,0),入力データ!$C$53)+入力データ!$C$54+入力データ!$C$55+入力データ!$C$56)*12+IF(入力データ!$C$13="持ち家",入力データ!$C$83+前提条件!$C$47,入力データ!$C$84+前提条件!$C$48))*(1+前提条件!$C$15)^(CD$3-$B$3))</f>
        <v/>
      </c>
      <c r="CE21" s="352">
        <f>IF(CE$3="","",((IF(入力データ!$C$13="持ち家",IF(CE4&lt;=前提条件!$C$44,入力データ!$C$53,0),入力データ!$C$53)+入力データ!$C$54+入力データ!$C$55+入力データ!$C$56)*12+IF(入力データ!$C$13="持ち家",入力データ!$C$83+前提条件!$C$47,入力データ!$C$84+前提条件!$C$48))*(1+前提条件!$C$15)^(CE$3-$B$3))</f>
        <v/>
      </c>
      <c r="CF21" s="352">
        <f>IF(CF$3="","",((IF(入力データ!$C$13="持ち家",IF(CF4&lt;=前提条件!$C$44,入力データ!$C$53,0),入力データ!$C$53)+入力データ!$C$54+入力データ!$C$55+入力データ!$C$56)*12+IF(入力データ!$C$13="持ち家",入力データ!$C$83+前提条件!$C$47,入力データ!$C$84+前提条件!$C$48))*(1+前提条件!$C$15)^(CF$3-$B$3))</f>
        <v/>
      </c>
      <c r="CG21" s="352">
        <f>IF(CG$3="","",((IF(入力データ!$C$13="持ち家",IF(CG4&lt;=前提条件!$C$44,入力データ!$C$53,0),入力データ!$C$53)+入力データ!$C$54+入力データ!$C$55+入力データ!$C$56)*12+IF(入力データ!$C$13="持ち家",入力データ!$C$83+前提条件!$C$47,入力データ!$C$84+前提条件!$C$48))*(1+前提条件!$C$15)^(CG$3-$B$3))</f>
        <v/>
      </c>
      <c r="CH21" s="352">
        <f>IF(CH$3="","",((IF(入力データ!$C$13="持ち家",IF(CH4&lt;=前提条件!$C$44,入力データ!$C$53,0),入力データ!$C$53)+入力データ!$C$54+入力データ!$C$55+入力データ!$C$56)*12+IF(入力データ!$C$13="持ち家",入力データ!$C$83+前提条件!$C$47,入力データ!$C$84+前提条件!$C$48))*(1+前提条件!$C$15)^(CH$3-$B$3))</f>
        <v/>
      </c>
      <c r="CI21" s="352">
        <f>IF(CI$3="","",((IF(入力データ!$C$13="持ち家",IF(CI4&lt;=前提条件!$C$44,入力データ!$C$53,0),入力データ!$C$53)+入力データ!$C$54+入力データ!$C$55+入力データ!$C$56)*12+IF(入力データ!$C$13="持ち家",入力データ!$C$83+前提条件!$C$47,入力データ!$C$84+前提条件!$C$48))*(1+前提条件!$C$15)^(CI$3-$B$3))</f>
        <v/>
      </c>
      <c r="CJ21" s="352">
        <f>IF(CJ$3="","",((IF(入力データ!$C$13="持ち家",IF(CJ4&lt;=前提条件!$C$44,入力データ!$C$53,0),入力データ!$C$53)+入力データ!$C$54+入力データ!$C$55+入力データ!$C$56)*12+IF(入力データ!$C$13="持ち家",入力データ!$C$83+前提条件!$C$47,入力データ!$C$84+前提条件!$C$48))*(1+前提条件!$C$15)^(CJ$3-$B$3))</f>
        <v/>
      </c>
      <c r="CK21" s="352">
        <f>IF(CK$3="","",((IF(入力データ!$C$13="持ち家",IF(CK4&lt;=前提条件!$C$44,入力データ!$C$53,0),入力データ!$C$53)+入力データ!$C$54+入力データ!$C$55+入力データ!$C$56)*12+IF(入力データ!$C$13="持ち家",入力データ!$C$83+前提条件!$C$47,入力データ!$C$84+前提条件!$C$48))*(1+前提条件!$C$15)^(CK$3-$B$3))</f>
        <v/>
      </c>
      <c r="CL21" s="352">
        <f>IF(CL$3="","",((IF(入力データ!$C$13="持ち家",IF(CL4&lt;=前提条件!$C$44,入力データ!$C$53,0),入力データ!$C$53)+入力データ!$C$54+入力データ!$C$55+入力データ!$C$56)*12+IF(入力データ!$C$13="持ち家",入力データ!$C$83+前提条件!$C$47,入力データ!$C$84+前提条件!$C$48))*(1+前提条件!$C$15)^(CL$3-$B$3))</f>
        <v/>
      </c>
      <c r="CM21" s="352">
        <f>IF(CM$3="","",((IF(入力データ!$C$13="持ち家",IF(CM4&lt;=前提条件!$C$44,入力データ!$C$53,0),入力データ!$C$53)+入力データ!$C$54+入力データ!$C$55+入力データ!$C$56)*12+IF(入力データ!$C$13="持ち家",入力データ!$C$83+前提条件!$C$47,入力データ!$C$84+前提条件!$C$48))*(1+前提条件!$C$15)^(CM$3-$B$3))</f>
        <v/>
      </c>
      <c r="CN21" s="352">
        <f>IF(CN$3="","",((IF(入力データ!$C$13="持ち家",IF(CN4&lt;=前提条件!$C$44,入力データ!$C$53,0),入力データ!$C$53)+入力データ!$C$54+入力データ!$C$55+入力データ!$C$56)*12+IF(入力データ!$C$13="持ち家",入力データ!$C$83+前提条件!$C$47,入力データ!$C$84+前提条件!$C$48))*(1+前提条件!$C$15)^(CN$3-$B$3))</f>
        <v/>
      </c>
      <c r="CO21" s="352">
        <f>IF(CO$3="","",((IF(入力データ!$C$13="持ち家",IF(CO4&lt;=前提条件!$C$44,入力データ!$C$53,0),入力データ!$C$53)+入力データ!$C$54+入力データ!$C$55+入力データ!$C$56)*12+IF(入力データ!$C$13="持ち家",入力データ!$C$83+前提条件!$C$47,入力データ!$C$84+前提条件!$C$48))*(1+前提条件!$C$15)^(CO$3-$B$3))</f>
        <v/>
      </c>
      <c r="CP21" s="352">
        <f>IF(CP$3="","",((IF(入力データ!$C$13="持ち家",IF(CP4&lt;=前提条件!$C$44,入力データ!$C$53,0),入力データ!$C$53)+入力データ!$C$54+入力データ!$C$55+入力データ!$C$56)*12+IF(入力データ!$C$13="持ち家",入力データ!$C$83+前提条件!$C$47,入力データ!$C$84+前提条件!$C$48))*(1+前提条件!$C$15)^(CP$3-$B$3))</f>
        <v/>
      </c>
      <c r="CQ21" s="352">
        <f>IF(CQ$3="","",((IF(入力データ!$C$13="持ち家",IF(CQ4&lt;=前提条件!$C$44,入力データ!$C$53,0),入力データ!$C$53)+入力データ!$C$54+入力データ!$C$55+入力データ!$C$56)*12+IF(入力データ!$C$13="持ち家",入力データ!$C$83+前提条件!$C$47,入力データ!$C$84+前提条件!$C$48))*(1+前提条件!$C$15)^(CQ$3-$B$3))</f>
        <v/>
      </c>
      <c r="CR21" s="352">
        <f>IF(CR$3="","",((IF(入力データ!$C$13="持ち家",IF(CR4&lt;=前提条件!$C$44,入力データ!$C$53,0),入力データ!$C$53)+入力データ!$C$54+入力データ!$C$55+入力データ!$C$56)*12+IF(入力データ!$C$13="持ち家",入力データ!$C$83+前提条件!$C$47,入力データ!$C$84+前提条件!$C$48))*(1+前提条件!$C$15)^(CR$3-$B$3))</f>
        <v/>
      </c>
      <c r="CS21" s="352">
        <f>IF(CS$3="","",((IF(入力データ!$C$13="持ち家",IF(CS4&lt;=前提条件!$C$44,入力データ!$C$53,0),入力データ!$C$53)+入力データ!$C$54+入力データ!$C$55+入力データ!$C$56)*12+IF(入力データ!$C$13="持ち家",入力データ!$C$83+前提条件!$C$47,入力データ!$C$84+前提条件!$C$48))*(1+前提条件!$C$15)^(CS$3-$B$3))</f>
        <v/>
      </c>
      <c r="CT21" s="352">
        <f>IF(CT$3="","",((IF(入力データ!$C$13="持ち家",IF(CT4&lt;=前提条件!$C$44,入力データ!$C$53,0),入力データ!$C$53)+入力データ!$C$54+入力データ!$C$55+入力データ!$C$56)*12+IF(入力データ!$C$13="持ち家",入力データ!$C$83+前提条件!$C$47,入力データ!$C$84+前提条件!$C$48))*(1+前提条件!$C$15)^(CT$3-$B$3))</f>
        <v/>
      </c>
      <c r="CU21" s="352">
        <f>IF(CU$3="","",((IF(入力データ!$C$13="持ち家",IF(CU4&lt;=前提条件!$C$44,入力データ!$C$53,0),入力データ!$C$53)+入力データ!$C$54+入力データ!$C$55+入力データ!$C$56)*12+IF(入力データ!$C$13="持ち家",入力データ!$C$83+前提条件!$C$47,入力データ!$C$84+前提条件!$C$48))*(1+前提条件!$C$15)^(CU$3-$B$3))</f>
        <v/>
      </c>
      <c r="CV21" s="352">
        <f>IF(CV$3="","",((IF(入力データ!$C$13="持ち家",IF(CV4&lt;=前提条件!$C$44,入力データ!$C$53,0),入力データ!$C$53)+入力データ!$C$54+入力データ!$C$55+入力データ!$C$56)*12+IF(入力データ!$C$13="持ち家",入力データ!$C$83+前提条件!$C$47,入力データ!$C$84+前提条件!$C$48))*(1+前提条件!$C$15)^(CV$3-$B$3))</f>
        <v/>
      </c>
      <c r="CW21" s="352">
        <f>IF(CW$3="","",((IF(入力データ!$C$13="持ち家",IF(CW4&lt;=前提条件!$C$44,入力データ!$C$53,0),入力データ!$C$53)+入力データ!$C$54+入力データ!$C$55+入力データ!$C$56)*12+IF(入力データ!$C$13="持ち家",入力データ!$C$83+前提条件!$C$47,入力データ!$C$84+前提条件!$C$48))*(1+前提条件!$C$15)^(CW$3-$B$3))</f>
        <v/>
      </c>
    </row>
    <row r="22" ht="15" customHeight="1" s="180">
      <c r="A22" s="224" t="inlineStr">
        <is>
          <t>終身系保険料</t>
        </is>
      </c>
      <c r="B22" s="352">
        <f>IF(B$3="","",SUMPRODUCT(--ISNUMBER(SEARCH("終身",入力データ!$F$5:$F$20)),--(IFERROR(YEAR(入力データ!$J$5:$J$20),0)&lt;=B$3),--(IFERROR(YEAR(入力データ!$K$5:$K$20),9999)&gt;=B$3),入力データ!$M$5:$M$20)*12)</f>
        <v/>
      </c>
      <c r="C22" s="352">
        <f>IF(C$3="","",SUMPRODUCT(--ISNUMBER(SEARCH("終身",入力データ!$F$5:$F$20)),--(IFERROR(YEAR(入力データ!$J$5:$J$20),0)&lt;=C$3),--(IFERROR(YEAR(入力データ!$K$5:$K$20),9999)&gt;=C$3),入力データ!$M$5:$M$20)*12)</f>
        <v/>
      </c>
      <c r="D22" s="352">
        <f>IF(D$3="","",SUMPRODUCT(--ISNUMBER(SEARCH("終身",入力データ!$F$5:$F$20)),--(IFERROR(YEAR(入力データ!$J$5:$J$20),0)&lt;=D$3),--(IFERROR(YEAR(入力データ!$K$5:$K$20),9999)&gt;=D$3),入力データ!$M$5:$M$20)*12)</f>
        <v/>
      </c>
      <c r="E22" s="352">
        <f>IF(E$3="","",SUMPRODUCT(--ISNUMBER(SEARCH("終身",入力データ!$F$5:$F$20)),--(IFERROR(YEAR(入力データ!$J$5:$J$20),0)&lt;=E$3),--(IFERROR(YEAR(入力データ!$K$5:$K$20),9999)&gt;=E$3),入力データ!$M$5:$M$20)*12)</f>
        <v/>
      </c>
      <c r="F22" s="352">
        <f>IF(F$3="","",SUMPRODUCT(--ISNUMBER(SEARCH("終身",入力データ!$F$5:$F$20)),--(IFERROR(YEAR(入力データ!$J$5:$J$20),0)&lt;=F$3),--(IFERROR(YEAR(入力データ!$K$5:$K$20),9999)&gt;=F$3),入力データ!$M$5:$M$20)*12)</f>
        <v/>
      </c>
      <c r="G22" s="352">
        <f>IF(G$3="","",SUMPRODUCT(--ISNUMBER(SEARCH("終身",入力データ!$F$5:$F$20)),--(IFERROR(YEAR(入力データ!$J$5:$J$20),0)&lt;=G$3),--(IFERROR(YEAR(入力データ!$K$5:$K$20),9999)&gt;=G$3),入力データ!$M$5:$M$20)*12)</f>
        <v/>
      </c>
      <c r="H22" s="352">
        <f>IF(H$3="","",SUMPRODUCT(--ISNUMBER(SEARCH("終身",入力データ!$F$5:$F$20)),--(IFERROR(YEAR(入力データ!$J$5:$J$20),0)&lt;=H$3),--(IFERROR(YEAR(入力データ!$K$5:$K$20),9999)&gt;=H$3),入力データ!$M$5:$M$20)*12)</f>
        <v/>
      </c>
      <c r="I22" s="352">
        <f>IF(I$3="","",SUMPRODUCT(--ISNUMBER(SEARCH("終身",入力データ!$F$5:$F$20)),--(IFERROR(YEAR(入力データ!$J$5:$J$20),0)&lt;=I$3),--(IFERROR(YEAR(入力データ!$K$5:$K$20),9999)&gt;=I$3),入力データ!$M$5:$M$20)*12)</f>
        <v/>
      </c>
      <c r="J22" s="352">
        <f>IF(J$3="","",SUMPRODUCT(--ISNUMBER(SEARCH("終身",入力データ!$F$5:$F$20)),--(IFERROR(YEAR(入力データ!$J$5:$J$20),0)&lt;=J$3),--(IFERROR(YEAR(入力データ!$K$5:$K$20),9999)&gt;=J$3),入力データ!$M$5:$M$20)*12)</f>
        <v/>
      </c>
      <c r="K22" s="352">
        <f>IF(K$3="","",SUMPRODUCT(--ISNUMBER(SEARCH("終身",入力データ!$F$5:$F$20)),--(IFERROR(YEAR(入力データ!$J$5:$J$20),0)&lt;=K$3),--(IFERROR(YEAR(入力データ!$K$5:$K$20),9999)&gt;=K$3),入力データ!$M$5:$M$20)*12)</f>
        <v/>
      </c>
      <c r="L22" s="352">
        <f>IF(L$3="","",SUMPRODUCT(--ISNUMBER(SEARCH("終身",入力データ!$F$5:$F$20)),--(IFERROR(YEAR(入力データ!$J$5:$J$20),0)&lt;=L$3),--(IFERROR(YEAR(入力データ!$K$5:$K$20),9999)&gt;=L$3),入力データ!$M$5:$M$20)*12)</f>
        <v/>
      </c>
      <c r="M22" s="352">
        <f>IF(M$3="","",SUMPRODUCT(--ISNUMBER(SEARCH("終身",入力データ!$F$5:$F$20)),--(IFERROR(YEAR(入力データ!$J$5:$J$20),0)&lt;=M$3),--(IFERROR(YEAR(入力データ!$K$5:$K$20),9999)&gt;=M$3),入力データ!$M$5:$M$20)*12)</f>
        <v/>
      </c>
      <c r="N22" s="352">
        <f>IF(N$3="","",SUMPRODUCT(--ISNUMBER(SEARCH("終身",入力データ!$F$5:$F$20)),--(IFERROR(YEAR(入力データ!$J$5:$J$20),0)&lt;=N$3),--(IFERROR(YEAR(入力データ!$K$5:$K$20),9999)&gt;=N$3),入力データ!$M$5:$M$20)*12)</f>
        <v/>
      </c>
      <c r="O22" s="352">
        <f>IF(O$3="","",SUMPRODUCT(--ISNUMBER(SEARCH("終身",入力データ!$F$5:$F$20)),--(IFERROR(YEAR(入力データ!$J$5:$J$20),0)&lt;=O$3),--(IFERROR(YEAR(入力データ!$K$5:$K$20),9999)&gt;=O$3),入力データ!$M$5:$M$20)*12)</f>
        <v/>
      </c>
      <c r="P22" s="352">
        <f>IF(P$3="","",SUMPRODUCT(--ISNUMBER(SEARCH("終身",入力データ!$F$5:$F$20)),--(IFERROR(YEAR(入力データ!$J$5:$J$20),0)&lt;=P$3),--(IFERROR(YEAR(入力データ!$K$5:$K$20),9999)&gt;=P$3),入力データ!$M$5:$M$20)*12)</f>
        <v/>
      </c>
      <c r="Q22" s="352">
        <f>IF(Q$3="","",SUMPRODUCT(--ISNUMBER(SEARCH("終身",入力データ!$F$5:$F$20)),--(IFERROR(YEAR(入力データ!$J$5:$J$20),0)&lt;=Q$3),--(IFERROR(YEAR(入力データ!$K$5:$K$20),9999)&gt;=Q$3),入力データ!$M$5:$M$20)*12)</f>
        <v/>
      </c>
      <c r="R22" s="352">
        <f>IF(R$3="","",SUMPRODUCT(--ISNUMBER(SEARCH("終身",入力データ!$F$5:$F$20)),--(IFERROR(YEAR(入力データ!$J$5:$J$20),0)&lt;=R$3),--(IFERROR(YEAR(入力データ!$K$5:$K$20),9999)&gt;=R$3),入力データ!$M$5:$M$20)*12)</f>
        <v/>
      </c>
      <c r="S22" s="352">
        <f>IF(S$3="","",SUMPRODUCT(--ISNUMBER(SEARCH("終身",入力データ!$F$5:$F$20)),--(IFERROR(YEAR(入力データ!$J$5:$J$20),0)&lt;=S$3),--(IFERROR(YEAR(入力データ!$K$5:$K$20),9999)&gt;=S$3),入力データ!$M$5:$M$20)*12)</f>
        <v/>
      </c>
      <c r="T22" s="352">
        <f>IF(T$3="","",SUMPRODUCT(--ISNUMBER(SEARCH("終身",入力データ!$F$5:$F$20)),--(IFERROR(YEAR(入力データ!$J$5:$J$20),0)&lt;=T$3),--(IFERROR(YEAR(入力データ!$K$5:$K$20),9999)&gt;=T$3),入力データ!$M$5:$M$20)*12)</f>
        <v/>
      </c>
      <c r="U22" s="352">
        <f>IF(U$3="","",SUMPRODUCT(--ISNUMBER(SEARCH("終身",入力データ!$F$5:$F$20)),--(IFERROR(YEAR(入力データ!$J$5:$J$20),0)&lt;=U$3),--(IFERROR(YEAR(入力データ!$K$5:$K$20),9999)&gt;=U$3),入力データ!$M$5:$M$20)*12)</f>
        <v/>
      </c>
      <c r="V22" s="352">
        <f>IF(V$3="","",SUMPRODUCT(--ISNUMBER(SEARCH("終身",入力データ!$F$5:$F$20)),--(IFERROR(YEAR(入力データ!$J$5:$J$20),0)&lt;=V$3),--(IFERROR(YEAR(入力データ!$K$5:$K$20),9999)&gt;=V$3),入力データ!$M$5:$M$20)*12)</f>
        <v/>
      </c>
      <c r="W22" s="352">
        <f>IF(W$3="","",SUMPRODUCT(--ISNUMBER(SEARCH("終身",入力データ!$F$5:$F$20)),--(IFERROR(YEAR(入力データ!$J$5:$J$20),0)&lt;=W$3),--(IFERROR(YEAR(入力データ!$K$5:$K$20),9999)&gt;=W$3),入力データ!$M$5:$M$20)*12)</f>
        <v/>
      </c>
      <c r="X22" s="352">
        <f>IF(X$3="","",SUMPRODUCT(--ISNUMBER(SEARCH("終身",入力データ!$F$5:$F$20)),--(IFERROR(YEAR(入力データ!$J$5:$J$20),0)&lt;=X$3),--(IFERROR(YEAR(入力データ!$K$5:$K$20),9999)&gt;=X$3),入力データ!$M$5:$M$20)*12)</f>
        <v/>
      </c>
      <c r="Y22" s="352">
        <f>IF(Y$3="","",SUMPRODUCT(--ISNUMBER(SEARCH("終身",入力データ!$F$5:$F$20)),--(IFERROR(YEAR(入力データ!$J$5:$J$20),0)&lt;=Y$3),--(IFERROR(YEAR(入力データ!$K$5:$K$20),9999)&gt;=Y$3),入力データ!$M$5:$M$20)*12)</f>
        <v/>
      </c>
      <c r="Z22" s="352">
        <f>IF(Z$3="","",SUMPRODUCT(--ISNUMBER(SEARCH("終身",入力データ!$F$5:$F$20)),--(IFERROR(YEAR(入力データ!$J$5:$J$20),0)&lt;=Z$3),--(IFERROR(YEAR(入力データ!$K$5:$K$20),9999)&gt;=Z$3),入力データ!$M$5:$M$20)*12)</f>
        <v/>
      </c>
      <c r="AA22" s="352">
        <f>IF(AA$3="","",SUMPRODUCT(--ISNUMBER(SEARCH("終身",入力データ!$F$5:$F$20)),--(IFERROR(YEAR(入力データ!$J$5:$J$20),0)&lt;=AA$3),--(IFERROR(YEAR(入力データ!$K$5:$K$20),9999)&gt;=AA$3),入力データ!$M$5:$M$20)*12)</f>
        <v/>
      </c>
      <c r="AB22" s="352">
        <f>IF(AB$3="","",SUMPRODUCT(--ISNUMBER(SEARCH("終身",入力データ!$F$5:$F$20)),--(IFERROR(YEAR(入力データ!$J$5:$J$20),0)&lt;=AB$3),--(IFERROR(YEAR(入力データ!$K$5:$K$20),9999)&gt;=AB$3),入力データ!$M$5:$M$20)*12)</f>
        <v/>
      </c>
      <c r="AC22" s="352">
        <f>IF(AC$3="","",SUMPRODUCT(--ISNUMBER(SEARCH("終身",入力データ!$F$5:$F$20)),--(IFERROR(YEAR(入力データ!$J$5:$J$20),0)&lt;=AC$3),--(IFERROR(YEAR(入力データ!$K$5:$K$20),9999)&gt;=AC$3),入力データ!$M$5:$M$20)*12)</f>
        <v/>
      </c>
      <c r="AD22" s="352">
        <f>IF(AD$3="","",SUMPRODUCT(--ISNUMBER(SEARCH("終身",入力データ!$F$5:$F$20)),--(IFERROR(YEAR(入力データ!$J$5:$J$20),0)&lt;=AD$3),--(IFERROR(YEAR(入力データ!$K$5:$K$20),9999)&gt;=AD$3),入力データ!$M$5:$M$20)*12)</f>
        <v/>
      </c>
      <c r="AE22" s="352">
        <f>IF(AE$3="","",SUMPRODUCT(--ISNUMBER(SEARCH("終身",入力データ!$F$5:$F$20)),--(IFERROR(YEAR(入力データ!$J$5:$J$20),0)&lt;=AE$3),--(IFERROR(YEAR(入力データ!$K$5:$K$20),9999)&gt;=AE$3),入力データ!$M$5:$M$20)*12)</f>
        <v/>
      </c>
      <c r="AF22" s="352">
        <f>IF(AF$3="","",SUMPRODUCT(--ISNUMBER(SEARCH("終身",入力データ!$F$5:$F$20)),--(IFERROR(YEAR(入力データ!$J$5:$J$20),0)&lt;=AF$3),--(IFERROR(YEAR(入力データ!$K$5:$K$20),9999)&gt;=AF$3),入力データ!$M$5:$M$20)*12)</f>
        <v/>
      </c>
      <c r="AG22" s="352">
        <f>IF(AG$3="","",SUMPRODUCT(--ISNUMBER(SEARCH("終身",入力データ!$F$5:$F$20)),--(IFERROR(YEAR(入力データ!$J$5:$J$20),0)&lt;=AG$3),--(IFERROR(YEAR(入力データ!$K$5:$K$20),9999)&gt;=AG$3),入力データ!$M$5:$M$20)*12)</f>
        <v/>
      </c>
      <c r="AH22" s="352">
        <f>IF(AH$3="","",SUMPRODUCT(--ISNUMBER(SEARCH("終身",入力データ!$F$5:$F$20)),--(IFERROR(YEAR(入力データ!$J$5:$J$20),0)&lt;=AH$3),--(IFERROR(YEAR(入力データ!$K$5:$K$20),9999)&gt;=AH$3),入力データ!$M$5:$M$20)*12)</f>
        <v/>
      </c>
      <c r="AI22" s="352">
        <f>IF(AI$3="","",SUMPRODUCT(--ISNUMBER(SEARCH("終身",入力データ!$F$5:$F$20)),--(IFERROR(YEAR(入力データ!$J$5:$J$20),0)&lt;=AI$3),--(IFERROR(YEAR(入力データ!$K$5:$K$20),9999)&gt;=AI$3),入力データ!$M$5:$M$20)*12)</f>
        <v/>
      </c>
      <c r="AJ22" s="352">
        <f>IF(AJ$3="","",SUMPRODUCT(--ISNUMBER(SEARCH("終身",入力データ!$F$5:$F$20)),--(IFERROR(YEAR(入力データ!$J$5:$J$20),0)&lt;=AJ$3),--(IFERROR(YEAR(入力データ!$K$5:$K$20),9999)&gt;=AJ$3),入力データ!$M$5:$M$20)*12)</f>
        <v/>
      </c>
      <c r="AK22" s="352">
        <f>IF(AK$3="","",SUMPRODUCT(--ISNUMBER(SEARCH("終身",入力データ!$F$5:$F$20)),--(IFERROR(YEAR(入力データ!$J$5:$J$20),0)&lt;=AK$3),--(IFERROR(YEAR(入力データ!$K$5:$K$20),9999)&gt;=AK$3),入力データ!$M$5:$M$20)*12)</f>
        <v/>
      </c>
      <c r="AL22" s="352">
        <f>IF(AL$3="","",SUMPRODUCT(--ISNUMBER(SEARCH("終身",入力データ!$F$5:$F$20)),--(IFERROR(YEAR(入力データ!$J$5:$J$20),0)&lt;=AL$3),--(IFERROR(YEAR(入力データ!$K$5:$K$20),9999)&gt;=AL$3),入力データ!$M$5:$M$20)*12)</f>
        <v/>
      </c>
      <c r="AM22" s="352">
        <f>IF(AM$3="","",SUMPRODUCT(--ISNUMBER(SEARCH("終身",入力データ!$F$5:$F$20)),--(IFERROR(YEAR(入力データ!$J$5:$J$20),0)&lt;=AM$3),--(IFERROR(YEAR(入力データ!$K$5:$K$20),9999)&gt;=AM$3),入力データ!$M$5:$M$20)*12)</f>
        <v/>
      </c>
      <c r="AN22" s="352">
        <f>IF(AN$3="","",SUMPRODUCT(--ISNUMBER(SEARCH("終身",入力データ!$F$5:$F$20)),--(IFERROR(YEAR(入力データ!$J$5:$J$20),0)&lt;=AN$3),--(IFERROR(YEAR(入力データ!$K$5:$K$20),9999)&gt;=AN$3),入力データ!$M$5:$M$20)*12)</f>
        <v/>
      </c>
      <c r="AO22" s="352">
        <f>IF(AO$3="","",SUMPRODUCT(--ISNUMBER(SEARCH("終身",入力データ!$F$5:$F$20)),--(IFERROR(YEAR(入力データ!$J$5:$J$20),0)&lt;=AO$3),--(IFERROR(YEAR(入力データ!$K$5:$K$20),9999)&gt;=AO$3),入力データ!$M$5:$M$20)*12)</f>
        <v/>
      </c>
      <c r="AP22" s="352">
        <f>IF(AP$3="","",SUMPRODUCT(--ISNUMBER(SEARCH("終身",入力データ!$F$5:$F$20)),--(IFERROR(YEAR(入力データ!$J$5:$J$20),0)&lt;=AP$3),--(IFERROR(YEAR(入力データ!$K$5:$K$20),9999)&gt;=AP$3),入力データ!$M$5:$M$20)*12)</f>
        <v/>
      </c>
      <c r="AQ22" s="352">
        <f>IF(AQ$3="","",SUMPRODUCT(--ISNUMBER(SEARCH("終身",入力データ!$F$5:$F$20)),--(IFERROR(YEAR(入力データ!$J$5:$J$20),0)&lt;=AQ$3),--(IFERROR(YEAR(入力データ!$K$5:$K$20),9999)&gt;=AQ$3),入力データ!$M$5:$M$20)*12)</f>
        <v/>
      </c>
      <c r="AR22" s="352">
        <f>IF(AR$3="","",SUMPRODUCT(--ISNUMBER(SEARCH("終身",入力データ!$F$5:$F$20)),--(IFERROR(YEAR(入力データ!$J$5:$J$20),0)&lt;=AR$3),--(IFERROR(YEAR(入力データ!$K$5:$K$20),9999)&gt;=AR$3),入力データ!$M$5:$M$20)*12)</f>
        <v/>
      </c>
      <c r="AS22" s="352">
        <f>IF(AS$3="","",SUMPRODUCT(--ISNUMBER(SEARCH("終身",入力データ!$F$5:$F$20)),--(IFERROR(YEAR(入力データ!$J$5:$J$20),0)&lt;=AS$3),--(IFERROR(YEAR(入力データ!$K$5:$K$20),9999)&gt;=AS$3),入力データ!$M$5:$M$20)*12)</f>
        <v/>
      </c>
      <c r="AT22" s="352">
        <f>IF(AT$3="","",SUMPRODUCT(--ISNUMBER(SEARCH("終身",入力データ!$F$5:$F$20)),--(IFERROR(YEAR(入力データ!$J$5:$J$20),0)&lt;=AT$3),--(IFERROR(YEAR(入力データ!$K$5:$K$20),9999)&gt;=AT$3),入力データ!$M$5:$M$20)*12)</f>
        <v/>
      </c>
      <c r="AU22" s="352">
        <f>IF(AU$3="","",SUMPRODUCT(--ISNUMBER(SEARCH("終身",入力データ!$F$5:$F$20)),--(IFERROR(YEAR(入力データ!$J$5:$J$20),0)&lt;=AU$3),--(IFERROR(YEAR(入力データ!$K$5:$K$20),9999)&gt;=AU$3),入力データ!$M$5:$M$20)*12)</f>
        <v/>
      </c>
      <c r="AV22" s="352">
        <f>IF(AV$3="","",SUMPRODUCT(--ISNUMBER(SEARCH("終身",入力データ!$F$5:$F$20)),--(IFERROR(YEAR(入力データ!$J$5:$J$20),0)&lt;=AV$3),--(IFERROR(YEAR(入力データ!$K$5:$K$20),9999)&gt;=AV$3),入力データ!$M$5:$M$20)*12)</f>
        <v/>
      </c>
      <c r="AW22" s="352">
        <f>IF(AW$3="","",SUMPRODUCT(--ISNUMBER(SEARCH("終身",入力データ!$F$5:$F$20)),--(IFERROR(YEAR(入力データ!$J$5:$J$20),0)&lt;=AW$3),--(IFERROR(YEAR(入力データ!$K$5:$K$20),9999)&gt;=AW$3),入力データ!$M$5:$M$20)*12)</f>
        <v/>
      </c>
      <c r="AX22" s="352">
        <f>IF(AX$3="","",SUMPRODUCT(--ISNUMBER(SEARCH("終身",入力データ!$F$5:$F$20)),--(IFERROR(YEAR(入力データ!$J$5:$J$20),0)&lt;=AX$3),--(IFERROR(YEAR(入力データ!$K$5:$K$20),9999)&gt;=AX$3),入力データ!$M$5:$M$20)*12)</f>
        <v/>
      </c>
      <c r="AY22" s="352">
        <f>IF(AY$3="","",SUMPRODUCT(--ISNUMBER(SEARCH("終身",入力データ!$F$5:$F$20)),--(IFERROR(YEAR(入力データ!$J$5:$J$20),0)&lt;=AY$3),--(IFERROR(YEAR(入力データ!$K$5:$K$20),9999)&gt;=AY$3),入力データ!$M$5:$M$20)*12)</f>
        <v/>
      </c>
      <c r="AZ22" s="352">
        <f>IF(AZ$3="","",SUMPRODUCT(--ISNUMBER(SEARCH("終身",入力データ!$F$5:$F$20)),--(IFERROR(YEAR(入力データ!$J$5:$J$20),0)&lt;=AZ$3),--(IFERROR(YEAR(入力データ!$K$5:$K$20),9999)&gt;=AZ$3),入力データ!$M$5:$M$20)*12)</f>
        <v/>
      </c>
      <c r="BA22" s="352">
        <f>IF(BA$3="","",SUMPRODUCT(--ISNUMBER(SEARCH("終身",入力データ!$F$5:$F$20)),--(IFERROR(YEAR(入力データ!$J$5:$J$20),0)&lt;=BA$3),--(IFERROR(YEAR(入力データ!$K$5:$K$20),9999)&gt;=BA$3),入力データ!$M$5:$M$20)*12)</f>
        <v/>
      </c>
      <c r="BB22" s="352">
        <f>IF(BB$3="","",SUMPRODUCT(--ISNUMBER(SEARCH("終身",入力データ!$F$5:$F$20)),--(IFERROR(YEAR(入力データ!$J$5:$J$20),0)&lt;=BB$3),--(IFERROR(YEAR(入力データ!$K$5:$K$20),9999)&gt;=BB$3),入力データ!$M$5:$M$20)*12)</f>
        <v/>
      </c>
      <c r="BC22" s="352">
        <f>IF(BC$3="","",SUMPRODUCT(--ISNUMBER(SEARCH("終身",入力データ!$F$5:$F$20)),--(IFERROR(YEAR(入力データ!$J$5:$J$20),0)&lt;=BC$3),--(IFERROR(YEAR(入力データ!$K$5:$K$20),9999)&gt;=BC$3),入力データ!$M$5:$M$20)*12)</f>
        <v/>
      </c>
      <c r="BD22" s="352">
        <f>IF(BD$3="","",SUMPRODUCT(--ISNUMBER(SEARCH("終身",入力データ!$F$5:$F$20)),--(IFERROR(YEAR(入力データ!$J$5:$J$20),0)&lt;=BD$3),--(IFERROR(YEAR(入力データ!$K$5:$K$20),9999)&gt;=BD$3),入力データ!$M$5:$M$20)*12)</f>
        <v/>
      </c>
      <c r="BE22" s="352">
        <f>IF(BE$3="","",SUMPRODUCT(--ISNUMBER(SEARCH("終身",入力データ!$F$5:$F$20)),--(IFERROR(YEAR(入力データ!$J$5:$J$20),0)&lt;=BE$3),--(IFERROR(YEAR(入力データ!$K$5:$K$20),9999)&gt;=BE$3),入力データ!$M$5:$M$20)*12)</f>
        <v/>
      </c>
      <c r="BF22" s="352">
        <f>IF(BF$3="","",SUMPRODUCT(--ISNUMBER(SEARCH("終身",入力データ!$F$5:$F$20)),--(IFERROR(YEAR(入力データ!$J$5:$J$20),0)&lt;=BF$3),--(IFERROR(YEAR(入力データ!$K$5:$K$20),9999)&gt;=BF$3),入力データ!$M$5:$M$20)*12)</f>
        <v/>
      </c>
      <c r="BG22" s="352">
        <f>IF(BG$3="","",SUMPRODUCT(--ISNUMBER(SEARCH("終身",入力データ!$F$5:$F$20)),--(IFERROR(YEAR(入力データ!$J$5:$J$20),0)&lt;=BG$3),--(IFERROR(YEAR(入力データ!$K$5:$K$20),9999)&gt;=BG$3),入力データ!$M$5:$M$20)*12)</f>
        <v/>
      </c>
      <c r="BH22" s="352">
        <f>IF(BH$3="","",SUMPRODUCT(--ISNUMBER(SEARCH("終身",入力データ!$F$5:$F$20)),--(IFERROR(YEAR(入力データ!$J$5:$J$20),0)&lt;=BH$3),--(IFERROR(YEAR(入力データ!$K$5:$K$20),9999)&gt;=BH$3),入力データ!$M$5:$M$20)*12)</f>
        <v/>
      </c>
      <c r="BI22" s="352">
        <f>IF(BI$3="","",SUMPRODUCT(--ISNUMBER(SEARCH("終身",入力データ!$F$5:$F$20)),--(IFERROR(YEAR(入力データ!$J$5:$J$20),0)&lt;=BI$3),--(IFERROR(YEAR(入力データ!$K$5:$K$20),9999)&gt;=BI$3),入力データ!$M$5:$M$20)*12)</f>
        <v/>
      </c>
      <c r="BJ22" s="352">
        <f>IF(BJ$3="","",SUMPRODUCT(--ISNUMBER(SEARCH("終身",入力データ!$F$5:$F$20)),--(IFERROR(YEAR(入力データ!$J$5:$J$20),0)&lt;=BJ$3),--(IFERROR(YEAR(入力データ!$K$5:$K$20),9999)&gt;=BJ$3),入力データ!$M$5:$M$20)*12)</f>
        <v/>
      </c>
      <c r="BK22" s="352">
        <f>IF(BK$3="","",SUMPRODUCT(--ISNUMBER(SEARCH("終身",入力データ!$F$5:$F$20)),--(IFERROR(YEAR(入力データ!$J$5:$J$20),0)&lt;=BK$3),--(IFERROR(YEAR(入力データ!$K$5:$K$20),9999)&gt;=BK$3),入力データ!$M$5:$M$20)*12)</f>
        <v/>
      </c>
      <c r="BL22" s="352">
        <f>IF(BL$3="","",SUMPRODUCT(--ISNUMBER(SEARCH("終身",入力データ!$F$5:$F$20)),--(IFERROR(YEAR(入力データ!$J$5:$J$20),0)&lt;=BL$3),--(IFERROR(YEAR(入力データ!$K$5:$K$20),9999)&gt;=BL$3),入力データ!$M$5:$M$20)*12)</f>
        <v/>
      </c>
      <c r="BM22" s="352">
        <f>IF(BM$3="","",SUMPRODUCT(--ISNUMBER(SEARCH("終身",入力データ!$F$5:$F$20)),--(IFERROR(YEAR(入力データ!$J$5:$J$20),0)&lt;=BM$3),--(IFERROR(YEAR(入力データ!$K$5:$K$20),9999)&gt;=BM$3),入力データ!$M$5:$M$20)*12)</f>
        <v/>
      </c>
      <c r="BN22" s="352">
        <f>IF(BN$3="","",SUMPRODUCT(--ISNUMBER(SEARCH("終身",入力データ!$F$5:$F$20)),--(IFERROR(YEAR(入力データ!$J$5:$J$20),0)&lt;=BN$3),--(IFERROR(YEAR(入力データ!$K$5:$K$20),9999)&gt;=BN$3),入力データ!$M$5:$M$20)*12)</f>
        <v/>
      </c>
      <c r="BO22" s="352">
        <f>IF(BO$3="","",SUMPRODUCT(--ISNUMBER(SEARCH("終身",入力データ!$F$5:$F$20)),--(IFERROR(YEAR(入力データ!$J$5:$J$20),0)&lt;=BO$3),--(IFERROR(YEAR(入力データ!$K$5:$K$20),9999)&gt;=BO$3),入力データ!$M$5:$M$20)*12)</f>
        <v/>
      </c>
      <c r="BP22" s="352">
        <f>IF(BP$3="","",SUMPRODUCT(--ISNUMBER(SEARCH("終身",入力データ!$F$5:$F$20)),--(IFERROR(YEAR(入力データ!$J$5:$J$20),0)&lt;=BP$3),--(IFERROR(YEAR(入力データ!$K$5:$K$20),9999)&gt;=BP$3),入力データ!$M$5:$M$20)*12)</f>
        <v/>
      </c>
      <c r="BQ22" s="352">
        <f>IF(BQ$3="","",SUMPRODUCT(--ISNUMBER(SEARCH("終身",入力データ!$F$5:$F$20)),--(IFERROR(YEAR(入力データ!$J$5:$J$20),0)&lt;=BQ$3),--(IFERROR(YEAR(入力データ!$K$5:$K$20),9999)&gt;=BQ$3),入力データ!$M$5:$M$20)*12)</f>
        <v/>
      </c>
      <c r="BR22" s="352">
        <f>IF(BR$3="","",SUMPRODUCT(--ISNUMBER(SEARCH("終身",入力データ!$F$5:$F$20)),--(IFERROR(YEAR(入力データ!$J$5:$J$20),0)&lt;=BR$3),--(IFERROR(YEAR(入力データ!$K$5:$K$20),9999)&gt;=BR$3),入力データ!$M$5:$M$20)*12)</f>
        <v/>
      </c>
      <c r="BS22" s="352">
        <f>IF(BS$3="","",SUMPRODUCT(--ISNUMBER(SEARCH("終身",入力データ!$F$5:$F$20)),--(IFERROR(YEAR(入力データ!$J$5:$J$20),0)&lt;=BS$3),--(IFERROR(YEAR(入力データ!$K$5:$K$20),9999)&gt;=BS$3),入力データ!$M$5:$M$20)*12)</f>
        <v/>
      </c>
      <c r="BT22" s="352">
        <f>IF(BT$3="","",SUMPRODUCT(--ISNUMBER(SEARCH("終身",入力データ!$F$5:$F$20)),--(IFERROR(YEAR(入力データ!$J$5:$J$20),0)&lt;=BT$3),--(IFERROR(YEAR(入力データ!$K$5:$K$20),9999)&gt;=BT$3),入力データ!$M$5:$M$20)*12)</f>
        <v/>
      </c>
      <c r="BU22" s="352">
        <f>IF(BU$3="","",SUMPRODUCT(--ISNUMBER(SEARCH("終身",入力データ!$F$5:$F$20)),--(IFERROR(YEAR(入力データ!$J$5:$J$20),0)&lt;=BU$3),--(IFERROR(YEAR(入力データ!$K$5:$K$20),9999)&gt;=BU$3),入力データ!$M$5:$M$20)*12)</f>
        <v/>
      </c>
      <c r="BV22" s="352">
        <f>IF(BV$3="","",SUMPRODUCT(--ISNUMBER(SEARCH("終身",入力データ!$F$5:$F$20)),--(IFERROR(YEAR(入力データ!$J$5:$J$20),0)&lt;=BV$3),--(IFERROR(YEAR(入力データ!$K$5:$K$20),9999)&gt;=BV$3),入力データ!$M$5:$M$20)*12)</f>
        <v/>
      </c>
      <c r="BW22" s="352">
        <f>IF(BW$3="","",SUMPRODUCT(--ISNUMBER(SEARCH("終身",入力データ!$F$5:$F$20)),--(IFERROR(YEAR(入力データ!$J$5:$J$20),0)&lt;=BW$3),--(IFERROR(YEAR(入力データ!$K$5:$K$20),9999)&gt;=BW$3),入力データ!$M$5:$M$20)*12)</f>
        <v/>
      </c>
      <c r="BX22" s="352">
        <f>IF(BX$3="","",SUMPRODUCT(--ISNUMBER(SEARCH("終身",入力データ!$F$5:$F$20)),--(IFERROR(YEAR(入力データ!$J$5:$J$20),0)&lt;=BX$3),--(IFERROR(YEAR(入力データ!$K$5:$K$20),9999)&gt;=BX$3),入力データ!$M$5:$M$20)*12)</f>
        <v/>
      </c>
      <c r="BY22" s="352">
        <f>IF(BY$3="","",SUMPRODUCT(--ISNUMBER(SEARCH("終身",入力データ!$F$5:$F$20)),--(IFERROR(YEAR(入力データ!$J$5:$J$20),0)&lt;=BY$3),--(IFERROR(YEAR(入力データ!$K$5:$K$20),9999)&gt;=BY$3),入力データ!$M$5:$M$20)*12)</f>
        <v/>
      </c>
      <c r="BZ22" s="352">
        <f>IF(BZ$3="","",SUMPRODUCT(--ISNUMBER(SEARCH("終身",入力データ!$F$5:$F$20)),--(IFERROR(YEAR(入力データ!$J$5:$J$20),0)&lt;=BZ$3),--(IFERROR(YEAR(入力データ!$K$5:$K$20),9999)&gt;=BZ$3),入力データ!$M$5:$M$20)*12)</f>
        <v/>
      </c>
      <c r="CA22" s="352">
        <f>IF(CA$3="","",SUMPRODUCT(--ISNUMBER(SEARCH("終身",入力データ!$F$5:$F$20)),--(IFERROR(YEAR(入力データ!$J$5:$J$20),0)&lt;=CA$3),--(IFERROR(YEAR(入力データ!$K$5:$K$20),9999)&gt;=CA$3),入力データ!$M$5:$M$20)*12)</f>
        <v/>
      </c>
      <c r="CB22" s="352">
        <f>IF(CB$3="","",SUMPRODUCT(--ISNUMBER(SEARCH("終身",入力データ!$F$5:$F$20)),--(IFERROR(YEAR(入力データ!$J$5:$J$20),0)&lt;=CB$3),--(IFERROR(YEAR(入力データ!$K$5:$K$20),9999)&gt;=CB$3),入力データ!$M$5:$M$20)*12)</f>
        <v/>
      </c>
      <c r="CC22" s="352">
        <f>IF(CC$3="","",SUMPRODUCT(--ISNUMBER(SEARCH("終身",入力データ!$F$5:$F$20)),--(IFERROR(YEAR(入力データ!$J$5:$J$20),0)&lt;=CC$3),--(IFERROR(YEAR(入力データ!$K$5:$K$20),9999)&gt;=CC$3),入力データ!$M$5:$M$20)*12)</f>
        <v/>
      </c>
      <c r="CD22" s="352">
        <f>IF(CD$3="","",SUMPRODUCT(--ISNUMBER(SEARCH("終身",入力データ!$F$5:$F$20)),--(IFERROR(YEAR(入力データ!$J$5:$J$20),0)&lt;=CD$3),--(IFERROR(YEAR(入力データ!$K$5:$K$20),9999)&gt;=CD$3),入力データ!$M$5:$M$20)*12)</f>
        <v/>
      </c>
      <c r="CE22" s="352">
        <f>IF(CE$3="","",SUMPRODUCT(--ISNUMBER(SEARCH("終身",入力データ!$F$5:$F$20)),--(IFERROR(YEAR(入力データ!$J$5:$J$20),0)&lt;=CE$3),--(IFERROR(YEAR(入力データ!$K$5:$K$20),9999)&gt;=CE$3),入力データ!$M$5:$M$20)*12)</f>
        <v/>
      </c>
      <c r="CF22" s="352">
        <f>IF(CF$3="","",SUMPRODUCT(--ISNUMBER(SEARCH("終身",入力データ!$F$5:$F$20)),--(IFERROR(YEAR(入力データ!$J$5:$J$20),0)&lt;=CF$3),--(IFERROR(YEAR(入力データ!$K$5:$K$20),9999)&gt;=CF$3),入力データ!$M$5:$M$20)*12)</f>
        <v/>
      </c>
      <c r="CG22" s="352">
        <f>IF(CG$3="","",SUMPRODUCT(--ISNUMBER(SEARCH("終身",入力データ!$F$5:$F$20)),--(IFERROR(YEAR(入力データ!$J$5:$J$20),0)&lt;=CG$3),--(IFERROR(YEAR(入力データ!$K$5:$K$20),9999)&gt;=CG$3),入力データ!$M$5:$M$20)*12)</f>
        <v/>
      </c>
      <c r="CH22" s="352">
        <f>IF(CH$3="","",SUMPRODUCT(--ISNUMBER(SEARCH("終身",入力データ!$F$5:$F$20)),--(IFERROR(YEAR(入力データ!$J$5:$J$20),0)&lt;=CH$3),--(IFERROR(YEAR(入力データ!$K$5:$K$20),9999)&gt;=CH$3),入力データ!$M$5:$M$20)*12)</f>
        <v/>
      </c>
      <c r="CI22" s="352">
        <f>IF(CI$3="","",SUMPRODUCT(--ISNUMBER(SEARCH("終身",入力データ!$F$5:$F$20)),--(IFERROR(YEAR(入力データ!$J$5:$J$20),0)&lt;=CI$3),--(IFERROR(YEAR(入力データ!$K$5:$K$20),9999)&gt;=CI$3),入力データ!$M$5:$M$20)*12)</f>
        <v/>
      </c>
      <c r="CJ22" s="352">
        <f>IF(CJ$3="","",SUMPRODUCT(--ISNUMBER(SEARCH("終身",入力データ!$F$5:$F$20)),--(IFERROR(YEAR(入力データ!$J$5:$J$20),0)&lt;=CJ$3),--(IFERROR(YEAR(入力データ!$K$5:$K$20),9999)&gt;=CJ$3),入力データ!$M$5:$M$20)*12)</f>
        <v/>
      </c>
      <c r="CK22" s="352">
        <f>IF(CK$3="","",SUMPRODUCT(--ISNUMBER(SEARCH("終身",入力データ!$F$5:$F$20)),--(IFERROR(YEAR(入力データ!$J$5:$J$20),0)&lt;=CK$3),--(IFERROR(YEAR(入力データ!$K$5:$K$20),9999)&gt;=CK$3),入力データ!$M$5:$M$20)*12)</f>
        <v/>
      </c>
      <c r="CL22" s="352">
        <f>IF(CL$3="","",SUMPRODUCT(--ISNUMBER(SEARCH("終身",入力データ!$F$5:$F$20)),--(IFERROR(YEAR(入力データ!$J$5:$J$20),0)&lt;=CL$3),--(IFERROR(YEAR(入力データ!$K$5:$K$20),9999)&gt;=CL$3),入力データ!$M$5:$M$20)*12)</f>
        <v/>
      </c>
      <c r="CM22" s="352">
        <f>IF(CM$3="","",SUMPRODUCT(--ISNUMBER(SEARCH("終身",入力データ!$F$5:$F$20)),--(IFERROR(YEAR(入力データ!$J$5:$J$20),0)&lt;=CM$3),--(IFERROR(YEAR(入力データ!$K$5:$K$20),9999)&gt;=CM$3),入力データ!$M$5:$M$20)*12)</f>
        <v/>
      </c>
      <c r="CN22" s="352">
        <f>IF(CN$3="","",SUMPRODUCT(--ISNUMBER(SEARCH("終身",入力データ!$F$5:$F$20)),--(IFERROR(YEAR(入力データ!$J$5:$J$20),0)&lt;=CN$3),--(IFERROR(YEAR(入力データ!$K$5:$K$20),9999)&gt;=CN$3),入力データ!$M$5:$M$20)*12)</f>
        <v/>
      </c>
      <c r="CO22" s="352">
        <f>IF(CO$3="","",SUMPRODUCT(--ISNUMBER(SEARCH("終身",入力データ!$F$5:$F$20)),--(IFERROR(YEAR(入力データ!$J$5:$J$20),0)&lt;=CO$3),--(IFERROR(YEAR(入力データ!$K$5:$K$20),9999)&gt;=CO$3),入力データ!$M$5:$M$20)*12)</f>
        <v/>
      </c>
      <c r="CP22" s="352">
        <f>IF(CP$3="","",SUMPRODUCT(--ISNUMBER(SEARCH("終身",入力データ!$F$5:$F$20)),--(IFERROR(YEAR(入力データ!$J$5:$J$20),0)&lt;=CP$3),--(IFERROR(YEAR(入力データ!$K$5:$K$20),9999)&gt;=CP$3),入力データ!$M$5:$M$20)*12)</f>
        <v/>
      </c>
      <c r="CQ22" s="352">
        <f>IF(CQ$3="","",SUMPRODUCT(--ISNUMBER(SEARCH("終身",入力データ!$F$5:$F$20)),--(IFERROR(YEAR(入力データ!$J$5:$J$20),0)&lt;=CQ$3),--(IFERROR(YEAR(入力データ!$K$5:$K$20),9999)&gt;=CQ$3),入力データ!$M$5:$M$20)*12)</f>
        <v/>
      </c>
      <c r="CR22" s="352">
        <f>IF(CR$3="","",SUMPRODUCT(--ISNUMBER(SEARCH("終身",入力データ!$F$5:$F$20)),--(IFERROR(YEAR(入力データ!$J$5:$J$20),0)&lt;=CR$3),--(IFERROR(YEAR(入力データ!$K$5:$K$20),9999)&gt;=CR$3),入力データ!$M$5:$M$20)*12)</f>
        <v/>
      </c>
      <c r="CS22" s="352">
        <f>IF(CS$3="","",SUMPRODUCT(--ISNUMBER(SEARCH("終身",入力データ!$F$5:$F$20)),--(IFERROR(YEAR(入力データ!$J$5:$J$20),0)&lt;=CS$3),--(IFERROR(YEAR(入力データ!$K$5:$K$20),9999)&gt;=CS$3),入力データ!$M$5:$M$20)*12)</f>
        <v/>
      </c>
      <c r="CT22" s="352">
        <f>IF(CT$3="","",SUMPRODUCT(--ISNUMBER(SEARCH("終身",入力データ!$F$5:$F$20)),--(IFERROR(YEAR(入力データ!$J$5:$J$20),0)&lt;=CT$3),--(IFERROR(YEAR(入力データ!$K$5:$K$20),9999)&gt;=CT$3),入力データ!$M$5:$M$20)*12)</f>
        <v/>
      </c>
      <c r="CU22" s="352">
        <f>IF(CU$3="","",SUMPRODUCT(--ISNUMBER(SEARCH("終身",入力データ!$F$5:$F$20)),--(IFERROR(YEAR(入力データ!$J$5:$J$20),0)&lt;=CU$3),--(IFERROR(YEAR(入力データ!$K$5:$K$20),9999)&gt;=CU$3),入力データ!$M$5:$M$20)*12)</f>
        <v/>
      </c>
      <c r="CV22" s="352">
        <f>IF(CV$3="","",SUMPRODUCT(--ISNUMBER(SEARCH("終身",入力データ!$F$5:$F$20)),--(IFERROR(YEAR(入力データ!$J$5:$J$20),0)&lt;=CV$3),--(IFERROR(YEAR(入力データ!$K$5:$K$20),9999)&gt;=CV$3),入力データ!$M$5:$M$20)*12)</f>
        <v/>
      </c>
      <c r="CW22" s="352">
        <f>IF(CW$3="","",SUMPRODUCT(--ISNUMBER(SEARCH("終身",入力データ!$F$5:$F$20)),--(IFERROR(YEAR(入力データ!$J$5:$J$20),0)&lt;=CW$3),--(IFERROR(YEAR(入力データ!$K$5:$K$20),9999)&gt;=CW$3),入力データ!$M$5:$M$20)*12)</f>
        <v/>
      </c>
    </row>
    <row r="23" ht="15" customHeight="1" s="180">
      <c r="A23" s="224" t="inlineStr">
        <is>
          <t>定期系保険料</t>
        </is>
      </c>
      <c r="B23" s="352">
        <f>IF(B$3="","",SUMPRODUCT(--ISERROR(SEARCH("終身",入力データ!$F$5:$F$20)),--(IFERROR(YEAR(入力データ!$J$5:$J$20),0)&lt;=B$3),--(IFERROR(YEAR(入力データ!$K$5:$K$20),9999)&gt;=B$3),入力データ!$M$5:$M$20)*12)</f>
        <v/>
      </c>
      <c r="C23" s="352">
        <f>IF(C$3="","",SUMPRODUCT(--ISERROR(SEARCH("終身",入力データ!$F$5:$F$20)),--(IFERROR(YEAR(入力データ!$J$5:$J$20),0)&lt;=C$3),--(IFERROR(YEAR(入力データ!$K$5:$K$20),9999)&gt;=C$3),入力データ!$M$5:$M$20)*12)</f>
        <v/>
      </c>
      <c r="D23" s="352">
        <f>IF(D$3="","",SUMPRODUCT(--ISERROR(SEARCH("終身",入力データ!$F$5:$F$20)),--(IFERROR(YEAR(入力データ!$J$5:$J$20),0)&lt;=D$3),--(IFERROR(YEAR(入力データ!$K$5:$K$20),9999)&gt;=D$3),入力データ!$M$5:$M$20)*12)</f>
        <v/>
      </c>
      <c r="E23" s="352">
        <f>IF(E$3="","",SUMPRODUCT(--ISERROR(SEARCH("終身",入力データ!$F$5:$F$20)),--(IFERROR(YEAR(入力データ!$J$5:$J$20),0)&lt;=E$3),--(IFERROR(YEAR(入力データ!$K$5:$K$20),9999)&gt;=E$3),入力データ!$M$5:$M$20)*12)</f>
        <v/>
      </c>
      <c r="F23" s="352">
        <f>IF(F$3="","",SUMPRODUCT(--ISERROR(SEARCH("終身",入力データ!$F$5:$F$20)),--(IFERROR(YEAR(入力データ!$J$5:$J$20),0)&lt;=F$3),--(IFERROR(YEAR(入力データ!$K$5:$K$20),9999)&gt;=F$3),入力データ!$M$5:$M$20)*12)</f>
        <v/>
      </c>
      <c r="G23" s="352">
        <f>IF(G$3="","",SUMPRODUCT(--ISERROR(SEARCH("終身",入力データ!$F$5:$F$20)),--(IFERROR(YEAR(入力データ!$J$5:$J$20),0)&lt;=G$3),--(IFERROR(YEAR(入力データ!$K$5:$K$20),9999)&gt;=G$3),入力データ!$M$5:$M$20)*12)</f>
        <v/>
      </c>
      <c r="H23" s="352">
        <f>IF(H$3="","",SUMPRODUCT(--ISERROR(SEARCH("終身",入力データ!$F$5:$F$20)),--(IFERROR(YEAR(入力データ!$J$5:$J$20),0)&lt;=H$3),--(IFERROR(YEAR(入力データ!$K$5:$K$20),9999)&gt;=H$3),入力データ!$M$5:$M$20)*12)</f>
        <v/>
      </c>
      <c r="I23" s="352">
        <f>IF(I$3="","",SUMPRODUCT(--ISERROR(SEARCH("終身",入力データ!$F$5:$F$20)),--(IFERROR(YEAR(入力データ!$J$5:$J$20),0)&lt;=I$3),--(IFERROR(YEAR(入力データ!$K$5:$K$20),9999)&gt;=I$3),入力データ!$M$5:$M$20)*12)</f>
        <v/>
      </c>
      <c r="J23" s="352">
        <f>IF(J$3="","",SUMPRODUCT(--ISERROR(SEARCH("終身",入力データ!$F$5:$F$20)),--(IFERROR(YEAR(入力データ!$J$5:$J$20),0)&lt;=J$3),--(IFERROR(YEAR(入力データ!$K$5:$K$20),9999)&gt;=J$3),入力データ!$M$5:$M$20)*12)</f>
        <v/>
      </c>
      <c r="K23" s="352">
        <f>IF(K$3="","",SUMPRODUCT(--ISERROR(SEARCH("終身",入力データ!$F$5:$F$20)),--(IFERROR(YEAR(入力データ!$J$5:$J$20),0)&lt;=K$3),--(IFERROR(YEAR(入力データ!$K$5:$K$20),9999)&gt;=K$3),入力データ!$M$5:$M$20)*12)</f>
        <v/>
      </c>
      <c r="L23" s="352">
        <f>IF(L$3="","",SUMPRODUCT(--ISERROR(SEARCH("終身",入力データ!$F$5:$F$20)),--(IFERROR(YEAR(入力データ!$J$5:$J$20),0)&lt;=L$3),--(IFERROR(YEAR(入力データ!$K$5:$K$20),9999)&gt;=L$3),入力データ!$M$5:$M$20)*12)</f>
        <v/>
      </c>
      <c r="M23" s="352">
        <f>IF(M$3="","",SUMPRODUCT(--ISERROR(SEARCH("終身",入力データ!$F$5:$F$20)),--(IFERROR(YEAR(入力データ!$J$5:$J$20),0)&lt;=M$3),--(IFERROR(YEAR(入力データ!$K$5:$K$20),9999)&gt;=M$3),入力データ!$M$5:$M$20)*12)</f>
        <v/>
      </c>
      <c r="N23" s="352">
        <f>IF(N$3="","",SUMPRODUCT(--ISERROR(SEARCH("終身",入力データ!$F$5:$F$20)),--(IFERROR(YEAR(入力データ!$J$5:$J$20),0)&lt;=N$3),--(IFERROR(YEAR(入力データ!$K$5:$K$20),9999)&gt;=N$3),入力データ!$M$5:$M$20)*12)</f>
        <v/>
      </c>
      <c r="O23" s="352">
        <f>IF(O$3="","",SUMPRODUCT(--ISERROR(SEARCH("終身",入力データ!$F$5:$F$20)),--(IFERROR(YEAR(入力データ!$J$5:$J$20),0)&lt;=O$3),--(IFERROR(YEAR(入力データ!$K$5:$K$20),9999)&gt;=O$3),入力データ!$M$5:$M$20)*12)</f>
        <v/>
      </c>
      <c r="P23" s="352">
        <f>IF(P$3="","",SUMPRODUCT(--ISERROR(SEARCH("終身",入力データ!$F$5:$F$20)),--(IFERROR(YEAR(入力データ!$J$5:$J$20),0)&lt;=P$3),--(IFERROR(YEAR(入力データ!$K$5:$K$20),9999)&gt;=P$3),入力データ!$M$5:$M$20)*12)</f>
        <v/>
      </c>
      <c r="Q23" s="352">
        <f>IF(Q$3="","",SUMPRODUCT(--ISERROR(SEARCH("終身",入力データ!$F$5:$F$20)),--(IFERROR(YEAR(入力データ!$J$5:$J$20),0)&lt;=Q$3),--(IFERROR(YEAR(入力データ!$K$5:$K$20),9999)&gt;=Q$3),入力データ!$M$5:$M$20)*12)</f>
        <v/>
      </c>
      <c r="R23" s="352">
        <f>IF(R$3="","",SUMPRODUCT(--ISERROR(SEARCH("終身",入力データ!$F$5:$F$20)),--(IFERROR(YEAR(入力データ!$J$5:$J$20),0)&lt;=R$3),--(IFERROR(YEAR(入力データ!$K$5:$K$20),9999)&gt;=R$3),入力データ!$M$5:$M$20)*12)</f>
        <v/>
      </c>
      <c r="S23" s="352">
        <f>IF(S$3="","",SUMPRODUCT(--ISERROR(SEARCH("終身",入力データ!$F$5:$F$20)),--(IFERROR(YEAR(入力データ!$J$5:$J$20),0)&lt;=S$3),--(IFERROR(YEAR(入力データ!$K$5:$K$20),9999)&gt;=S$3),入力データ!$M$5:$M$20)*12)</f>
        <v/>
      </c>
      <c r="T23" s="352">
        <f>IF(T$3="","",SUMPRODUCT(--ISERROR(SEARCH("終身",入力データ!$F$5:$F$20)),--(IFERROR(YEAR(入力データ!$J$5:$J$20),0)&lt;=T$3),--(IFERROR(YEAR(入力データ!$K$5:$K$20),9999)&gt;=T$3),入力データ!$M$5:$M$20)*12)</f>
        <v/>
      </c>
      <c r="U23" s="352">
        <f>IF(U$3="","",SUMPRODUCT(--ISERROR(SEARCH("終身",入力データ!$F$5:$F$20)),--(IFERROR(YEAR(入力データ!$J$5:$J$20),0)&lt;=U$3),--(IFERROR(YEAR(入力データ!$K$5:$K$20),9999)&gt;=U$3),入力データ!$M$5:$M$20)*12)</f>
        <v/>
      </c>
      <c r="V23" s="352">
        <f>IF(V$3="","",SUMPRODUCT(--ISERROR(SEARCH("終身",入力データ!$F$5:$F$20)),--(IFERROR(YEAR(入力データ!$J$5:$J$20),0)&lt;=V$3),--(IFERROR(YEAR(入力データ!$K$5:$K$20),9999)&gt;=V$3),入力データ!$M$5:$M$20)*12)</f>
        <v/>
      </c>
      <c r="W23" s="352">
        <f>IF(W$3="","",SUMPRODUCT(--ISERROR(SEARCH("終身",入力データ!$F$5:$F$20)),--(IFERROR(YEAR(入力データ!$J$5:$J$20),0)&lt;=W$3),--(IFERROR(YEAR(入力データ!$K$5:$K$20),9999)&gt;=W$3),入力データ!$M$5:$M$20)*12)</f>
        <v/>
      </c>
      <c r="X23" s="352">
        <f>IF(X$3="","",SUMPRODUCT(--ISERROR(SEARCH("終身",入力データ!$F$5:$F$20)),--(IFERROR(YEAR(入力データ!$J$5:$J$20),0)&lt;=X$3),--(IFERROR(YEAR(入力データ!$K$5:$K$20),9999)&gt;=X$3),入力データ!$M$5:$M$20)*12)</f>
        <v/>
      </c>
      <c r="Y23" s="352">
        <f>IF(Y$3="","",SUMPRODUCT(--ISERROR(SEARCH("終身",入力データ!$F$5:$F$20)),--(IFERROR(YEAR(入力データ!$J$5:$J$20),0)&lt;=Y$3),--(IFERROR(YEAR(入力データ!$K$5:$K$20),9999)&gt;=Y$3),入力データ!$M$5:$M$20)*12)</f>
        <v/>
      </c>
      <c r="Z23" s="352">
        <f>IF(Z$3="","",SUMPRODUCT(--ISERROR(SEARCH("終身",入力データ!$F$5:$F$20)),--(IFERROR(YEAR(入力データ!$J$5:$J$20),0)&lt;=Z$3),--(IFERROR(YEAR(入力データ!$K$5:$K$20),9999)&gt;=Z$3),入力データ!$M$5:$M$20)*12)</f>
        <v/>
      </c>
      <c r="AA23" s="352">
        <f>IF(AA$3="","",SUMPRODUCT(--ISERROR(SEARCH("終身",入力データ!$F$5:$F$20)),--(IFERROR(YEAR(入力データ!$J$5:$J$20),0)&lt;=AA$3),--(IFERROR(YEAR(入力データ!$K$5:$K$20),9999)&gt;=AA$3),入力データ!$M$5:$M$20)*12)</f>
        <v/>
      </c>
      <c r="AB23" s="352">
        <f>IF(AB$3="","",SUMPRODUCT(--ISERROR(SEARCH("終身",入力データ!$F$5:$F$20)),--(IFERROR(YEAR(入力データ!$J$5:$J$20),0)&lt;=AB$3),--(IFERROR(YEAR(入力データ!$K$5:$K$20),9999)&gt;=AB$3),入力データ!$M$5:$M$20)*12)</f>
        <v/>
      </c>
      <c r="AC23" s="352">
        <f>IF(AC$3="","",SUMPRODUCT(--ISERROR(SEARCH("終身",入力データ!$F$5:$F$20)),--(IFERROR(YEAR(入力データ!$J$5:$J$20),0)&lt;=AC$3),--(IFERROR(YEAR(入力データ!$K$5:$K$20),9999)&gt;=AC$3),入力データ!$M$5:$M$20)*12)</f>
        <v/>
      </c>
      <c r="AD23" s="352">
        <f>IF(AD$3="","",SUMPRODUCT(--ISERROR(SEARCH("終身",入力データ!$F$5:$F$20)),--(IFERROR(YEAR(入力データ!$J$5:$J$20),0)&lt;=AD$3),--(IFERROR(YEAR(入力データ!$K$5:$K$20),9999)&gt;=AD$3),入力データ!$M$5:$M$20)*12)</f>
        <v/>
      </c>
      <c r="AE23" s="352">
        <f>IF(AE$3="","",SUMPRODUCT(--ISERROR(SEARCH("終身",入力データ!$F$5:$F$20)),--(IFERROR(YEAR(入力データ!$J$5:$J$20),0)&lt;=AE$3),--(IFERROR(YEAR(入力データ!$K$5:$K$20),9999)&gt;=AE$3),入力データ!$M$5:$M$20)*12)</f>
        <v/>
      </c>
      <c r="AF23" s="352">
        <f>IF(AF$3="","",SUMPRODUCT(--ISERROR(SEARCH("終身",入力データ!$F$5:$F$20)),--(IFERROR(YEAR(入力データ!$J$5:$J$20),0)&lt;=AF$3),--(IFERROR(YEAR(入力データ!$K$5:$K$20),9999)&gt;=AF$3),入力データ!$M$5:$M$20)*12)</f>
        <v/>
      </c>
      <c r="AG23" s="352">
        <f>IF(AG$3="","",SUMPRODUCT(--ISERROR(SEARCH("終身",入力データ!$F$5:$F$20)),--(IFERROR(YEAR(入力データ!$J$5:$J$20),0)&lt;=AG$3),--(IFERROR(YEAR(入力データ!$K$5:$K$20),9999)&gt;=AG$3),入力データ!$M$5:$M$20)*12)</f>
        <v/>
      </c>
      <c r="AH23" s="352">
        <f>IF(AH$3="","",SUMPRODUCT(--ISERROR(SEARCH("終身",入力データ!$F$5:$F$20)),--(IFERROR(YEAR(入力データ!$J$5:$J$20),0)&lt;=AH$3),--(IFERROR(YEAR(入力データ!$K$5:$K$20),9999)&gt;=AH$3),入力データ!$M$5:$M$20)*12)</f>
        <v/>
      </c>
      <c r="AI23" s="352">
        <f>IF(AI$3="","",SUMPRODUCT(--ISERROR(SEARCH("終身",入力データ!$F$5:$F$20)),--(IFERROR(YEAR(入力データ!$J$5:$J$20),0)&lt;=AI$3),--(IFERROR(YEAR(入力データ!$K$5:$K$20),9999)&gt;=AI$3),入力データ!$M$5:$M$20)*12)</f>
        <v/>
      </c>
      <c r="AJ23" s="352">
        <f>IF(AJ$3="","",SUMPRODUCT(--ISERROR(SEARCH("終身",入力データ!$F$5:$F$20)),--(IFERROR(YEAR(入力データ!$J$5:$J$20),0)&lt;=AJ$3),--(IFERROR(YEAR(入力データ!$K$5:$K$20),9999)&gt;=AJ$3),入力データ!$M$5:$M$20)*12)</f>
        <v/>
      </c>
      <c r="AK23" s="352">
        <f>IF(AK$3="","",SUMPRODUCT(--ISERROR(SEARCH("終身",入力データ!$F$5:$F$20)),--(IFERROR(YEAR(入力データ!$J$5:$J$20),0)&lt;=AK$3),--(IFERROR(YEAR(入力データ!$K$5:$K$20),9999)&gt;=AK$3),入力データ!$M$5:$M$20)*12)</f>
        <v/>
      </c>
      <c r="AL23" s="352">
        <f>IF(AL$3="","",SUMPRODUCT(--ISERROR(SEARCH("終身",入力データ!$F$5:$F$20)),--(IFERROR(YEAR(入力データ!$J$5:$J$20),0)&lt;=AL$3),--(IFERROR(YEAR(入力データ!$K$5:$K$20),9999)&gt;=AL$3),入力データ!$M$5:$M$20)*12)</f>
        <v/>
      </c>
      <c r="AM23" s="352">
        <f>IF(AM$3="","",SUMPRODUCT(--ISERROR(SEARCH("終身",入力データ!$F$5:$F$20)),--(IFERROR(YEAR(入力データ!$J$5:$J$20),0)&lt;=AM$3),--(IFERROR(YEAR(入力データ!$K$5:$K$20),9999)&gt;=AM$3),入力データ!$M$5:$M$20)*12)</f>
        <v/>
      </c>
      <c r="AN23" s="352">
        <f>IF(AN$3="","",SUMPRODUCT(--ISERROR(SEARCH("終身",入力データ!$F$5:$F$20)),--(IFERROR(YEAR(入力データ!$J$5:$J$20),0)&lt;=AN$3),--(IFERROR(YEAR(入力データ!$K$5:$K$20),9999)&gt;=AN$3),入力データ!$M$5:$M$20)*12)</f>
        <v/>
      </c>
      <c r="AO23" s="352">
        <f>IF(AO$3="","",SUMPRODUCT(--ISERROR(SEARCH("終身",入力データ!$F$5:$F$20)),--(IFERROR(YEAR(入力データ!$J$5:$J$20),0)&lt;=AO$3),--(IFERROR(YEAR(入力データ!$K$5:$K$20),9999)&gt;=AO$3),入力データ!$M$5:$M$20)*12)</f>
        <v/>
      </c>
      <c r="AP23" s="352">
        <f>IF(AP$3="","",SUMPRODUCT(--ISERROR(SEARCH("終身",入力データ!$F$5:$F$20)),--(IFERROR(YEAR(入力データ!$J$5:$J$20),0)&lt;=AP$3),--(IFERROR(YEAR(入力データ!$K$5:$K$20),9999)&gt;=AP$3),入力データ!$M$5:$M$20)*12)</f>
        <v/>
      </c>
      <c r="AQ23" s="352">
        <f>IF(AQ$3="","",SUMPRODUCT(--ISERROR(SEARCH("終身",入力データ!$F$5:$F$20)),--(IFERROR(YEAR(入力データ!$J$5:$J$20),0)&lt;=AQ$3),--(IFERROR(YEAR(入力データ!$K$5:$K$20),9999)&gt;=AQ$3),入力データ!$M$5:$M$20)*12)</f>
        <v/>
      </c>
      <c r="AR23" s="352">
        <f>IF(AR$3="","",SUMPRODUCT(--ISERROR(SEARCH("終身",入力データ!$F$5:$F$20)),--(IFERROR(YEAR(入力データ!$J$5:$J$20),0)&lt;=AR$3),--(IFERROR(YEAR(入力データ!$K$5:$K$20),9999)&gt;=AR$3),入力データ!$M$5:$M$20)*12)</f>
        <v/>
      </c>
      <c r="AS23" s="352">
        <f>IF(AS$3="","",SUMPRODUCT(--ISERROR(SEARCH("終身",入力データ!$F$5:$F$20)),--(IFERROR(YEAR(入力データ!$J$5:$J$20),0)&lt;=AS$3),--(IFERROR(YEAR(入力データ!$K$5:$K$20),9999)&gt;=AS$3),入力データ!$M$5:$M$20)*12)</f>
        <v/>
      </c>
      <c r="AT23" s="352">
        <f>IF(AT$3="","",SUMPRODUCT(--ISERROR(SEARCH("終身",入力データ!$F$5:$F$20)),--(IFERROR(YEAR(入力データ!$J$5:$J$20),0)&lt;=AT$3),--(IFERROR(YEAR(入力データ!$K$5:$K$20),9999)&gt;=AT$3),入力データ!$M$5:$M$20)*12)</f>
        <v/>
      </c>
      <c r="AU23" s="352">
        <f>IF(AU$3="","",SUMPRODUCT(--ISERROR(SEARCH("終身",入力データ!$F$5:$F$20)),--(IFERROR(YEAR(入力データ!$J$5:$J$20),0)&lt;=AU$3),--(IFERROR(YEAR(入力データ!$K$5:$K$20),9999)&gt;=AU$3),入力データ!$M$5:$M$20)*12)</f>
        <v/>
      </c>
      <c r="AV23" s="352">
        <f>IF(AV$3="","",SUMPRODUCT(--ISERROR(SEARCH("終身",入力データ!$F$5:$F$20)),--(IFERROR(YEAR(入力データ!$J$5:$J$20),0)&lt;=AV$3),--(IFERROR(YEAR(入力データ!$K$5:$K$20),9999)&gt;=AV$3),入力データ!$M$5:$M$20)*12)</f>
        <v/>
      </c>
      <c r="AW23" s="352">
        <f>IF(AW$3="","",SUMPRODUCT(--ISERROR(SEARCH("終身",入力データ!$F$5:$F$20)),--(IFERROR(YEAR(入力データ!$J$5:$J$20),0)&lt;=AW$3),--(IFERROR(YEAR(入力データ!$K$5:$K$20),9999)&gt;=AW$3),入力データ!$M$5:$M$20)*12)</f>
        <v/>
      </c>
      <c r="AX23" s="352">
        <f>IF(AX$3="","",SUMPRODUCT(--ISERROR(SEARCH("終身",入力データ!$F$5:$F$20)),--(IFERROR(YEAR(入力データ!$J$5:$J$20),0)&lt;=AX$3),--(IFERROR(YEAR(入力データ!$K$5:$K$20),9999)&gt;=AX$3),入力データ!$M$5:$M$20)*12)</f>
        <v/>
      </c>
      <c r="AY23" s="352">
        <f>IF(AY$3="","",SUMPRODUCT(--ISERROR(SEARCH("終身",入力データ!$F$5:$F$20)),--(IFERROR(YEAR(入力データ!$J$5:$J$20),0)&lt;=AY$3),--(IFERROR(YEAR(入力データ!$K$5:$K$20),9999)&gt;=AY$3),入力データ!$M$5:$M$20)*12)</f>
        <v/>
      </c>
      <c r="AZ23" s="352">
        <f>IF(AZ$3="","",SUMPRODUCT(--ISERROR(SEARCH("終身",入力データ!$F$5:$F$20)),--(IFERROR(YEAR(入力データ!$J$5:$J$20),0)&lt;=AZ$3),--(IFERROR(YEAR(入力データ!$K$5:$K$20),9999)&gt;=AZ$3),入力データ!$M$5:$M$20)*12)</f>
        <v/>
      </c>
      <c r="BA23" s="352">
        <f>IF(BA$3="","",SUMPRODUCT(--ISERROR(SEARCH("終身",入力データ!$F$5:$F$20)),--(IFERROR(YEAR(入力データ!$J$5:$J$20),0)&lt;=BA$3),--(IFERROR(YEAR(入力データ!$K$5:$K$20),9999)&gt;=BA$3),入力データ!$M$5:$M$20)*12)</f>
        <v/>
      </c>
      <c r="BB23" s="352">
        <f>IF(BB$3="","",SUMPRODUCT(--ISERROR(SEARCH("終身",入力データ!$F$5:$F$20)),--(IFERROR(YEAR(入力データ!$J$5:$J$20),0)&lt;=BB$3),--(IFERROR(YEAR(入力データ!$K$5:$K$20),9999)&gt;=BB$3),入力データ!$M$5:$M$20)*12)</f>
        <v/>
      </c>
      <c r="BC23" s="352">
        <f>IF(BC$3="","",SUMPRODUCT(--ISERROR(SEARCH("終身",入力データ!$F$5:$F$20)),--(IFERROR(YEAR(入力データ!$J$5:$J$20),0)&lt;=BC$3),--(IFERROR(YEAR(入力データ!$K$5:$K$20),9999)&gt;=BC$3),入力データ!$M$5:$M$20)*12)</f>
        <v/>
      </c>
      <c r="BD23" s="352">
        <f>IF(BD$3="","",SUMPRODUCT(--ISERROR(SEARCH("終身",入力データ!$F$5:$F$20)),--(IFERROR(YEAR(入力データ!$J$5:$J$20),0)&lt;=BD$3),--(IFERROR(YEAR(入力データ!$K$5:$K$20),9999)&gt;=BD$3),入力データ!$M$5:$M$20)*12)</f>
        <v/>
      </c>
      <c r="BE23" s="352">
        <f>IF(BE$3="","",SUMPRODUCT(--ISERROR(SEARCH("終身",入力データ!$F$5:$F$20)),--(IFERROR(YEAR(入力データ!$J$5:$J$20),0)&lt;=BE$3),--(IFERROR(YEAR(入力データ!$K$5:$K$20),9999)&gt;=BE$3),入力データ!$M$5:$M$20)*12)</f>
        <v/>
      </c>
      <c r="BF23" s="352">
        <f>IF(BF$3="","",SUMPRODUCT(--ISERROR(SEARCH("終身",入力データ!$F$5:$F$20)),--(IFERROR(YEAR(入力データ!$J$5:$J$20),0)&lt;=BF$3),--(IFERROR(YEAR(入力データ!$K$5:$K$20),9999)&gt;=BF$3),入力データ!$M$5:$M$20)*12)</f>
        <v/>
      </c>
      <c r="BG23" s="352">
        <f>IF(BG$3="","",SUMPRODUCT(--ISERROR(SEARCH("終身",入力データ!$F$5:$F$20)),--(IFERROR(YEAR(入力データ!$J$5:$J$20),0)&lt;=BG$3),--(IFERROR(YEAR(入力データ!$K$5:$K$20),9999)&gt;=BG$3),入力データ!$M$5:$M$20)*12)</f>
        <v/>
      </c>
      <c r="BH23" s="352">
        <f>IF(BH$3="","",SUMPRODUCT(--ISERROR(SEARCH("終身",入力データ!$F$5:$F$20)),--(IFERROR(YEAR(入力データ!$J$5:$J$20),0)&lt;=BH$3),--(IFERROR(YEAR(入力データ!$K$5:$K$20),9999)&gt;=BH$3),入力データ!$M$5:$M$20)*12)</f>
        <v/>
      </c>
      <c r="BI23" s="352">
        <f>IF(BI$3="","",SUMPRODUCT(--ISERROR(SEARCH("終身",入力データ!$F$5:$F$20)),--(IFERROR(YEAR(入力データ!$J$5:$J$20),0)&lt;=BI$3),--(IFERROR(YEAR(入力データ!$K$5:$K$20),9999)&gt;=BI$3),入力データ!$M$5:$M$20)*12)</f>
        <v/>
      </c>
      <c r="BJ23" s="352">
        <f>IF(BJ$3="","",SUMPRODUCT(--ISERROR(SEARCH("終身",入力データ!$F$5:$F$20)),--(IFERROR(YEAR(入力データ!$J$5:$J$20),0)&lt;=BJ$3),--(IFERROR(YEAR(入力データ!$K$5:$K$20),9999)&gt;=BJ$3),入力データ!$M$5:$M$20)*12)</f>
        <v/>
      </c>
      <c r="BK23" s="352">
        <f>IF(BK$3="","",SUMPRODUCT(--ISERROR(SEARCH("終身",入力データ!$F$5:$F$20)),--(IFERROR(YEAR(入力データ!$J$5:$J$20),0)&lt;=BK$3),--(IFERROR(YEAR(入力データ!$K$5:$K$20),9999)&gt;=BK$3),入力データ!$M$5:$M$20)*12)</f>
        <v/>
      </c>
      <c r="BL23" s="352">
        <f>IF(BL$3="","",SUMPRODUCT(--ISERROR(SEARCH("終身",入力データ!$F$5:$F$20)),--(IFERROR(YEAR(入力データ!$J$5:$J$20),0)&lt;=BL$3),--(IFERROR(YEAR(入力データ!$K$5:$K$20),9999)&gt;=BL$3),入力データ!$M$5:$M$20)*12)</f>
        <v/>
      </c>
      <c r="BM23" s="352">
        <f>IF(BM$3="","",SUMPRODUCT(--ISERROR(SEARCH("終身",入力データ!$F$5:$F$20)),--(IFERROR(YEAR(入力データ!$J$5:$J$20),0)&lt;=BM$3),--(IFERROR(YEAR(入力データ!$K$5:$K$20),9999)&gt;=BM$3),入力データ!$M$5:$M$20)*12)</f>
        <v/>
      </c>
      <c r="BN23" s="352">
        <f>IF(BN$3="","",SUMPRODUCT(--ISERROR(SEARCH("終身",入力データ!$F$5:$F$20)),--(IFERROR(YEAR(入力データ!$J$5:$J$20),0)&lt;=BN$3),--(IFERROR(YEAR(入力データ!$K$5:$K$20),9999)&gt;=BN$3),入力データ!$M$5:$M$20)*12)</f>
        <v/>
      </c>
      <c r="BO23" s="352">
        <f>IF(BO$3="","",SUMPRODUCT(--ISERROR(SEARCH("終身",入力データ!$F$5:$F$20)),--(IFERROR(YEAR(入力データ!$J$5:$J$20),0)&lt;=BO$3),--(IFERROR(YEAR(入力データ!$K$5:$K$20),9999)&gt;=BO$3),入力データ!$M$5:$M$20)*12)</f>
        <v/>
      </c>
      <c r="BP23" s="352">
        <f>IF(BP$3="","",SUMPRODUCT(--ISERROR(SEARCH("終身",入力データ!$F$5:$F$20)),--(IFERROR(YEAR(入力データ!$J$5:$J$20),0)&lt;=BP$3),--(IFERROR(YEAR(入力データ!$K$5:$K$20),9999)&gt;=BP$3),入力データ!$M$5:$M$20)*12)</f>
        <v/>
      </c>
      <c r="BQ23" s="352">
        <f>IF(BQ$3="","",SUMPRODUCT(--ISERROR(SEARCH("終身",入力データ!$F$5:$F$20)),--(IFERROR(YEAR(入力データ!$J$5:$J$20),0)&lt;=BQ$3),--(IFERROR(YEAR(入力データ!$K$5:$K$20),9999)&gt;=BQ$3),入力データ!$M$5:$M$20)*12)</f>
        <v/>
      </c>
      <c r="BR23" s="352">
        <f>IF(BR$3="","",SUMPRODUCT(--ISERROR(SEARCH("終身",入力データ!$F$5:$F$20)),--(IFERROR(YEAR(入力データ!$J$5:$J$20),0)&lt;=BR$3),--(IFERROR(YEAR(入力データ!$K$5:$K$20),9999)&gt;=BR$3),入力データ!$M$5:$M$20)*12)</f>
        <v/>
      </c>
      <c r="BS23" s="352">
        <f>IF(BS$3="","",SUMPRODUCT(--ISERROR(SEARCH("終身",入力データ!$F$5:$F$20)),--(IFERROR(YEAR(入力データ!$J$5:$J$20),0)&lt;=BS$3),--(IFERROR(YEAR(入力データ!$K$5:$K$20),9999)&gt;=BS$3),入力データ!$M$5:$M$20)*12)</f>
        <v/>
      </c>
      <c r="BT23" s="352">
        <f>IF(BT$3="","",SUMPRODUCT(--ISERROR(SEARCH("終身",入力データ!$F$5:$F$20)),--(IFERROR(YEAR(入力データ!$J$5:$J$20),0)&lt;=BT$3),--(IFERROR(YEAR(入力データ!$K$5:$K$20),9999)&gt;=BT$3),入力データ!$M$5:$M$20)*12)</f>
        <v/>
      </c>
      <c r="BU23" s="352">
        <f>IF(BU$3="","",SUMPRODUCT(--ISERROR(SEARCH("終身",入力データ!$F$5:$F$20)),--(IFERROR(YEAR(入力データ!$J$5:$J$20),0)&lt;=BU$3),--(IFERROR(YEAR(入力データ!$K$5:$K$20),9999)&gt;=BU$3),入力データ!$M$5:$M$20)*12)</f>
        <v/>
      </c>
      <c r="BV23" s="352">
        <f>IF(BV$3="","",SUMPRODUCT(--ISERROR(SEARCH("終身",入力データ!$F$5:$F$20)),--(IFERROR(YEAR(入力データ!$J$5:$J$20),0)&lt;=BV$3),--(IFERROR(YEAR(入力データ!$K$5:$K$20),9999)&gt;=BV$3),入力データ!$M$5:$M$20)*12)</f>
        <v/>
      </c>
      <c r="BW23" s="352">
        <f>IF(BW$3="","",SUMPRODUCT(--ISERROR(SEARCH("終身",入力データ!$F$5:$F$20)),--(IFERROR(YEAR(入力データ!$J$5:$J$20),0)&lt;=BW$3),--(IFERROR(YEAR(入力データ!$K$5:$K$20),9999)&gt;=BW$3),入力データ!$M$5:$M$20)*12)</f>
        <v/>
      </c>
      <c r="BX23" s="352">
        <f>IF(BX$3="","",SUMPRODUCT(--ISERROR(SEARCH("終身",入力データ!$F$5:$F$20)),--(IFERROR(YEAR(入力データ!$J$5:$J$20),0)&lt;=BX$3),--(IFERROR(YEAR(入力データ!$K$5:$K$20),9999)&gt;=BX$3),入力データ!$M$5:$M$20)*12)</f>
        <v/>
      </c>
      <c r="BY23" s="352">
        <f>IF(BY$3="","",SUMPRODUCT(--ISERROR(SEARCH("終身",入力データ!$F$5:$F$20)),--(IFERROR(YEAR(入力データ!$J$5:$J$20),0)&lt;=BY$3),--(IFERROR(YEAR(入力データ!$K$5:$K$20),9999)&gt;=BY$3),入力データ!$M$5:$M$20)*12)</f>
        <v/>
      </c>
      <c r="BZ23" s="352">
        <f>IF(BZ$3="","",SUMPRODUCT(--ISERROR(SEARCH("終身",入力データ!$F$5:$F$20)),--(IFERROR(YEAR(入力データ!$J$5:$J$20),0)&lt;=BZ$3),--(IFERROR(YEAR(入力データ!$K$5:$K$20),9999)&gt;=BZ$3),入力データ!$M$5:$M$20)*12)</f>
        <v/>
      </c>
      <c r="CA23" s="352">
        <f>IF(CA$3="","",SUMPRODUCT(--ISERROR(SEARCH("終身",入力データ!$F$5:$F$20)),--(IFERROR(YEAR(入力データ!$J$5:$J$20),0)&lt;=CA$3),--(IFERROR(YEAR(入力データ!$K$5:$K$20),9999)&gt;=CA$3),入力データ!$M$5:$M$20)*12)</f>
        <v/>
      </c>
      <c r="CB23" s="352">
        <f>IF(CB$3="","",SUMPRODUCT(--ISERROR(SEARCH("終身",入力データ!$F$5:$F$20)),--(IFERROR(YEAR(入力データ!$J$5:$J$20),0)&lt;=CB$3),--(IFERROR(YEAR(入力データ!$K$5:$K$20),9999)&gt;=CB$3),入力データ!$M$5:$M$20)*12)</f>
        <v/>
      </c>
      <c r="CC23" s="352">
        <f>IF(CC$3="","",SUMPRODUCT(--ISERROR(SEARCH("終身",入力データ!$F$5:$F$20)),--(IFERROR(YEAR(入力データ!$J$5:$J$20),0)&lt;=CC$3),--(IFERROR(YEAR(入力データ!$K$5:$K$20),9999)&gt;=CC$3),入力データ!$M$5:$M$20)*12)</f>
        <v/>
      </c>
      <c r="CD23" s="352">
        <f>IF(CD$3="","",SUMPRODUCT(--ISERROR(SEARCH("終身",入力データ!$F$5:$F$20)),--(IFERROR(YEAR(入力データ!$J$5:$J$20),0)&lt;=CD$3),--(IFERROR(YEAR(入力データ!$K$5:$K$20),9999)&gt;=CD$3),入力データ!$M$5:$M$20)*12)</f>
        <v/>
      </c>
      <c r="CE23" s="352">
        <f>IF(CE$3="","",SUMPRODUCT(--ISERROR(SEARCH("終身",入力データ!$F$5:$F$20)),--(IFERROR(YEAR(入力データ!$J$5:$J$20),0)&lt;=CE$3),--(IFERROR(YEAR(入力データ!$K$5:$K$20),9999)&gt;=CE$3),入力データ!$M$5:$M$20)*12)</f>
        <v/>
      </c>
      <c r="CF23" s="352">
        <f>IF(CF$3="","",SUMPRODUCT(--ISERROR(SEARCH("終身",入力データ!$F$5:$F$20)),--(IFERROR(YEAR(入力データ!$J$5:$J$20),0)&lt;=CF$3),--(IFERROR(YEAR(入力データ!$K$5:$K$20),9999)&gt;=CF$3),入力データ!$M$5:$M$20)*12)</f>
        <v/>
      </c>
      <c r="CG23" s="352">
        <f>IF(CG$3="","",SUMPRODUCT(--ISERROR(SEARCH("終身",入力データ!$F$5:$F$20)),--(IFERROR(YEAR(入力データ!$J$5:$J$20),0)&lt;=CG$3),--(IFERROR(YEAR(入力データ!$K$5:$K$20),9999)&gt;=CG$3),入力データ!$M$5:$M$20)*12)</f>
        <v/>
      </c>
      <c r="CH23" s="352">
        <f>IF(CH$3="","",SUMPRODUCT(--ISERROR(SEARCH("終身",入力データ!$F$5:$F$20)),--(IFERROR(YEAR(入力データ!$J$5:$J$20),0)&lt;=CH$3),--(IFERROR(YEAR(入力データ!$K$5:$K$20),9999)&gt;=CH$3),入力データ!$M$5:$M$20)*12)</f>
        <v/>
      </c>
      <c r="CI23" s="352">
        <f>IF(CI$3="","",SUMPRODUCT(--ISERROR(SEARCH("終身",入力データ!$F$5:$F$20)),--(IFERROR(YEAR(入力データ!$J$5:$J$20),0)&lt;=CI$3),--(IFERROR(YEAR(入力データ!$K$5:$K$20),9999)&gt;=CI$3),入力データ!$M$5:$M$20)*12)</f>
        <v/>
      </c>
      <c r="CJ23" s="352">
        <f>IF(CJ$3="","",SUMPRODUCT(--ISERROR(SEARCH("終身",入力データ!$F$5:$F$20)),--(IFERROR(YEAR(入力データ!$J$5:$J$20),0)&lt;=CJ$3),--(IFERROR(YEAR(入力データ!$K$5:$K$20),9999)&gt;=CJ$3),入力データ!$M$5:$M$20)*12)</f>
        <v/>
      </c>
      <c r="CK23" s="352">
        <f>IF(CK$3="","",SUMPRODUCT(--ISERROR(SEARCH("終身",入力データ!$F$5:$F$20)),--(IFERROR(YEAR(入力データ!$J$5:$J$20),0)&lt;=CK$3),--(IFERROR(YEAR(入力データ!$K$5:$K$20),9999)&gt;=CK$3),入力データ!$M$5:$M$20)*12)</f>
        <v/>
      </c>
      <c r="CL23" s="352">
        <f>IF(CL$3="","",SUMPRODUCT(--ISERROR(SEARCH("終身",入力データ!$F$5:$F$20)),--(IFERROR(YEAR(入力データ!$J$5:$J$20),0)&lt;=CL$3),--(IFERROR(YEAR(入力データ!$K$5:$K$20),9999)&gt;=CL$3),入力データ!$M$5:$M$20)*12)</f>
        <v/>
      </c>
      <c r="CM23" s="352">
        <f>IF(CM$3="","",SUMPRODUCT(--ISERROR(SEARCH("終身",入力データ!$F$5:$F$20)),--(IFERROR(YEAR(入力データ!$J$5:$J$20),0)&lt;=CM$3),--(IFERROR(YEAR(入力データ!$K$5:$K$20),9999)&gt;=CM$3),入力データ!$M$5:$M$20)*12)</f>
        <v/>
      </c>
      <c r="CN23" s="352">
        <f>IF(CN$3="","",SUMPRODUCT(--ISERROR(SEARCH("終身",入力データ!$F$5:$F$20)),--(IFERROR(YEAR(入力データ!$J$5:$J$20),0)&lt;=CN$3),--(IFERROR(YEAR(入力データ!$K$5:$K$20),9999)&gt;=CN$3),入力データ!$M$5:$M$20)*12)</f>
        <v/>
      </c>
      <c r="CO23" s="352">
        <f>IF(CO$3="","",SUMPRODUCT(--ISERROR(SEARCH("終身",入力データ!$F$5:$F$20)),--(IFERROR(YEAR(入力データ!$J$5:$J$20),0)&lt;=CO$3),--(IFERROR(YEAR(入力データ!$K$5:$K$20),9999)&gt;=CO$3),入力データ!$M$5:$M$20)*12)</f>
        <v/>
      </c>
      <c r="CP23" s="352">
        <f>IF(CP$3="","",SUMPRODUCT(--ISERROR(SEARCH("終身",入力データ!$F$5:$F$20)),--(IFERROR(YEAR(入力データ!$J$5:$J$20),0)&lt;=CP$3),--(IFERROR(YEAR(入力データ!$K$5:$K$20),9999)&gt;=CP$3),入力データ!$M$5:$M$20)*12)</f>
        <v/>
      </c>
      <c r="CQ23" s="352">
        <f>IF(CQ$3="","",SUMPRODUCT(--ISERROR(SEARCH("終身",入力データ!$F$5:$F$20)),--(IFERROR(YEAR(入力データ!$J$5:$J$20),0)&lt;=CQ$3),--(IFERROR(YEAR(入力データ!$K$5:$K$20),9999)&gt;=CQ$3),入力データ!$M$5:$M$20)*12)</f>
        <v/>
      </c>
      <c r="CR23" s="352">
        <f>IF(CR$3="","",SUMPRODUCT(--ISERROR(SEARCH("終身",入力データ!$F$5:$F$20)),--(IFERROR(YEAR(入力データ!$J$5:$J$20),0)&lt;=CR$3),--(IFERROR(YEAR(入力データ!$K$5:$K$20),9999)&gt;=CR$3),入力データ!$M$5:$M$20)*12)</f>
        <v/>
      </c>
      <c r="CS23" s="352">
        <f>IF(CS$3="","",SUMPRODUCT(--ISERROR(SEARCH("終身",入力データ!$F$5:$F$20)),--(IFERROR(YEAR(入力データ!$J$5:$J$20),0)&lt;=CS$3),--(IFERROR(YEAR(入力データ!$K$5:$K$20),9999)&gt;=CS$3),入力データ!$M$5:$M$20)*12)</f>
        <v/>
      </c>
      <c r="CT23" s="352">
        <f>IF(CT$3="","",SUMPRODUCT(--ISERROR(SEARCH("終身",入力データ!$F$5:$F$20)),--(IFERROR(YEAR(入力データ!$J$5:$J$20),0)&lt;=CT$3),--(IFERROR(YEAR(入力データ!$K$5:$K$20),9999)&gt;=CT$3),入力データ!$M$5:$M$20)*12)</f>
        <v/>
      </c>
      <c r="CU23" s="352">
        <f>IF(CU$3="","",SUMPRODUCT(--ISERROR(SEARCH("終身",入力データ!$F$5:$F$20)),--(IFERROR(YEAR(入力データ!$J$5:$J$20),0)&lt;=CU$3),--(IFERROR(YEAR(入力データ!$K$5:$K$20),9999)&gt;=CU$3),入力データ!$M$5:$M$20)*12)</f>
        <v/>
      </c>
      <c r="CV23" s="352">
        <f>IF(CV$3="","",SUMPRODUCT(--ISERROR(SEARCH("終身",入力データ!$F$5:$F$20)),--(IFERROR(YEAR(入力データ!$J$5:$J$20),0)&lt;=CV$3),--(IFERROR(YEAR(入力データ!$K$5:$K$20),9999)&gt;=CV$3),入力データ!$M$5:$M$20)*12)</f>
        <v/>
      </c>
      <c r="CW23" s="352">
        <f>IF(CW$3="","",SUMPRODUCT(--ISERROR(SEARCH("終身",入力データ!$F$5:$F$20)),--(IFERROR(YEAR(入力データ!$J$5:$J$20),0)&lt;=CW$3),--(IFERROR(YEAR(入力データ!$K$5:$K$20),9999)&gt;=CW$3),入力データ!$M$5:$M$20)*12)</f>
        <v/>
      </c>
    </row>
    <row r="24" ht="15" customHeight="1" s="180">
      <c r="A24" s="224" t="inlineStr">
        <is>
          <t>教育費</t>
        </is>
      </c>
      <c r="B24" s="352">
        <f>IF(B$3="","",((SUM(入力データ!$C$58:$C$61)*12)+IF(B6="",0,IF(B6&lt;=5,IF(入力データ!$G$25="私立",前提条件!$C$22,前提条件!$C$21),IF(B6&lt;=11,IF(入力データ!$H$25="私立",前提条件!$C$24,前提条件!$C$23),IF(B6&lt;=14,IF(入力データ!$I$25="私立",前提条件!$C$26,前提条件!$C$25),IF(B6&lt;=17,IF(入力データ!$J$25="私立",前提条件!$C$28,前提条件!$C$27),IF(B6&lt;=21,IF(入力データ!$K$25="国公立",前提条件!$C$29,IF(入力データ!$K$25="私立理系",前提条件!$C$31,前提条件!$C$30))+IF(入力データ!$L$25="下宿",前提条件!$C$32,0)+IF(B6=18,前提条件!$C$33,0),0))))))+IF(B7="",0,IF(B7&lt;=5,IF(入力データ!$G$26="私立",前提条件!$C$22,前提条件!$C$21),IF(B7&lt;=11,IF(入力データ!$H$26="私立",前提条件!$C$24,前提条件!$C$23),IF(B7&lt;=14,IF(入力データ!$I$26="私立",前提条件!$C$26,前提条件!$C$25),IF(B7&lt;=17,IF(入力データ!$J$26="私立",前提条件!$C$28,前提条件!$C$27),IF(B7&lt;=21,IF(入力データ!$K$26="国公立",前提条件!$C$29,IF(入力データ!$K$26="私立理系",前提条件!$C$31,前提条件!$C$30))+IF(入力データ!$L$26="下宿",前提条件!$C$32,0)+IF(B7=18,前提条件!$C$33,0),0))))))+IF(B8="",0,IF(B8&lt;=5,IF(入力データ!$G$27="私立",前提条件!$C$22,前提条件!$C$21),IF(B8&lt;=11,IF(入力データ!$H$27="私立",前提条件!$C$24,前提条件!$C$23),IF(B8&lt;=14,IF(入力データ!$I$27="私立",前提条件!$C$26,前提条件!$C$25),IF(B8&lt;=17,IF(入力データ!$J$27="私立",前提条件!$C$28,前提条件!$C$27),IF(B8&lt;=21,IF(入力データ!$K$27="国公立",前提条件!$C$29,IF(入力データ!$K$27="私立理系",前提条件!$C$31,前提条件!$C$30))+IF(入力データ!$L$27="下宿",前提条件!$C$32,0)+IF(B8=18,前提条件!$C$33,0),0)))))))*(1+前提条件!$C$13)^(B$3-$B$3))</f>
        <v/>
      </c>
      <c r="C24" s="352">
        <f>IF(C$3="","",((SUM(入力データ!$C$58:$C$61)*12)+IF(C6="",0,IF(C6&lt;=5,IF(入力データ!$G$25="私立",前提条件!$C$22,前提条件!$C$21),IF(C6&lt;=11,IF(入力データ!$H$25="私立",前提条件!$C$24,前提条件!$C$23),IF(C6&lt;=14,IF(入力データ!$I$25="私立",前提条件!$C$26,前提条件!$C$25),IF(C6&lt;=17,IF(入力データ!$J$25="私立",前提条件!$C$28,前提条件!$C$27),IF(C6&lt;=21,IF(入力データ!$K$25="国公立",前提条件!$C$29,IF(入力データ!$K$25="私立理系",前提条件!$C$31,前提条件!$C$30))+IF(入力データ!$L$25="下宿",前提条件!$C$32,0)+IF(C6=18,前提条件!$C$33,0),0))))))+IF(C7="",0,IF(C7&lt;=5,IF(入力データ!$G$26="私立",前提条件!$C$22,前提条件!$C$21),IF(C7&lt;=11,IF(入力データ!$H$26="私立",前提条件!$C$24,前提条件!$C$23),IF(C7&lt;=14,IF(入力データ!$I$26="私立",前提条件!$C$26,前提条件!$C$25),IF(C7&lt;=17,IF(入力データ!$J$26="私立",前提条件!$C$28,前提条件!$C$27),IF(C7&lt;=21,IF(入力データ!$K$26="国公立",前提条件!$C$29,IF(入力データ!$K$26="私立理系",前提条件!$C$31,前提条件!$C$30))+IF(入力データ!$L$26="下宿",前提条件!$C$32,0)+IF(C7=18,前提条件!$C$33,0),0))))))+IF(C8="",0,IF(C8&lt;=5,IF(入力データ!$G$27="私立",前提条件!$C$22,前提条件!$C$21),IF(C8&lt;=11,IF(入力データ!$H$27="私立",前提条件!$C$24,前提条件!$C$23),IF(C8&lt;=14,IF(入力データ!$I$27="私立",前提条件!$C$26,前提条件!$C$25),IF(C8&lt;=17,IF(入力データ!$J$27="私立",前提条件!$C$28,前提条件!$C$27),IF(C8&lt;=21,IF(入力データ!$K$27="国公立",前提条件!$C$29,IF(入力データ!$K$27="私立理系",前提条件!$C$31,前提条件!$C$30))+IF(入力データ!$L$27="下宿",前提条件!$C$32,0)+IF(C8=18,前提条件!$C$33,0),0)))))))*(1+前提条件!$C$13)^(C$3-$B$3))</f>
        <v/>
      </c>
      <c r="D24" s="352">
        <f>IF(D$3="","",((SUM(入力データ!$C$58:$C$61)*12)+IF(D6="",0,IF(D6&lt;=5,IF(入力データ!$G$25="私立",前提条件!$C$22,前提条件!$C$21),IF(D6&lt;=11,IF(入力データ!$H$25="私立",前提条件!$C$24,前提条件!$C$23),IF(D6&lt;=14,IF(入力データ!$I$25="私立",前提条件!$C$26,前提条件!$C$25),IF(D6&lt;=17,IF(入力データ!$J$25="私立",前提条件!$C$28,前提条件!$C$27),IF(D6&lt;=21,IF(入力データ!$K$25="国公立",前提条件!$C$29,IF(入力データ!$K$25="私立理系",前提条件!$C$31,前提条件!$C$30))+IF(入力データ!$L$25="下宿",前提条件!$C$32,0)+IF(D6=18,前提条件!$C$33,0),0))))))+IF(D7="",0,IF(D7&lt;=5,IF(入力データ!$G$26="私立",前提条件!$C$22,前提条件!$C$21),IF(D7&lt;=11,IF(入力データ!$H$26="私立",前提条件!$C$24,前提条件!$C$23),IF(D7&lt;=14,IF(入力データ!$I$26="私立",前提条件!$C$26,前提条件!$C$25),IF(D7&lt;=17,IF(入力データ!$J$26="私立",前提条件!$C$28,前提条件!$C$27),IF(D7&lt;=21,IF(入力データ!$K$26="国公立",前提条件!$C$29,IF(入力データ!$K$26="私立理系",前提条件!$C$31,前提条件!$C$30))+IF(入力データ!$L$26="下宿",前提条件!$C$32,0)+IF(D7=18,前提条件!$C$33,0),0))))))+IF(D8="",0,IF(D8&lt;=5,IF(入力データ!$G$27="私立",前提条件!$C$22,前提条件!$C$21),IF(D8&lt;=11,IF(入力データ!$H$27="私立",前提条件!$C$24,前提条件!$C$23),IF(D8&lt;=14,IF(入力データ!$I$27="私立",前提条件!$C$26,前提条件!$C$25),IF(D8&lt;=17,IF(入力データ!$J$27="私立",前提条件!$C$28,前提条件!$C$27),IF(D8&lt;=21,IF(入力データ!$K$27="国公立",前提条件!$C$29,IF(入力データ!$K$27="私立理系",前提条件!$C$31,前提条件!$C$30))+IF(入力データ!$L$27="下宿",前提条件!$C$32,0)+IF(D8=18,前提条件!$C$33,0),0)))))))*(1+前提条件!$C$13)^(D$3-$B$3))</f>
        <v/>
      </c>
      <c r="E24" s="352">
        <f>IF(E$3="","",((SUM(入力データ!$C$58:$C$61)*12)+IF(E6="",0,IF(E6&lt;=5,IF(入力データ!$G$25="私立",前提条件!$C$22,前提条件!$C$21),IF(E6&lt;=11,IF(入力データ!$H$25="私立",前提条件!$C$24,前提条件!$C$23),IF(E6&lt;=14,IF(入力データ!$I$25="私立",前提条件!$C$26,前提条件!$C$25),IF(E6&lt;=17,IF(入力データ!$J$25="私立",前提条件!$C$28,前提条件!$C$27),IF(E6&lt;=21,IF(入力データ!$K$25="国公立",前提条件!$C$29,IF(入力データ!$K$25="私立理系",前提条件!$C$31,前提条件!$C$30))+IF(入力データ!$L$25="下宿",前提条件!$C$32,0)+IF(E6=18,前提条件!$C$33,0),0))))))+IF(E7="",0,IF(E7&lt;=5,IF(入力データ!$G$26="私立",前提条件!$C$22,前提条件!$C$21),IF(E7&lt;=11,IF(入力データ!$H$26="私立",前提条件!$C$24,前提条件!$C$23),IF(E7&lt;=14,IF(入力データ!$I$26="私立",前提条件!$C$26,前提条件!$C$25),IF(E7&lt;=17,IF(入力データ!$J$26="私立",前提条件!$C$28,前提条件!$C$27),IF(E7&lt;=21,IF(入力データ!$K$26="国公立",前提条件!$C$29,IF(入力データ!$K$26="私立理系",前提条件!$C$31,前提条件!$C$30))+IF(入力データ!$L$26="下宿",前提条件!$C$32,0)+IF(E7=18,前提条件!$C$33,0),0))))))+IF(E8="",0,IF(E8&lt;=5,IF(入力データ!$G$27="私立",前提条件!$C$22,前提条件!$C$21),IF(E8&lt;=11,IF(入力データ!$H$27="私立",前提条件!$C$24,前提条件!$C$23),IF(E8&lt;=14,IF(入力データ!$I$27="私立",前提条件!$C$26,前提条件!$C$25),IF(E8&lt;=17,IF(入力データ!$J$27="私立",前提条件!$C$28,前提条件!$C$27),IF(E8&lt;=21,IF(入力データ!$K$27="国公立",前提条件!$C$29,IF(入力データ!$K$27="私立理系",前提条件!$C$31,前提条件!$C$30))+IF(入力データ!$L$27="下宿",前提条件!$C$32,0)+IF(E8=18,前提条件!$C$33,0),0)))))))*(1+前提条件!$C$13)^(E$3-$B$3))</f>
        <v/>
      </c>
      <c r="F24" s="352">
        <f>IF(F$3="","",((SUM(入力データ!$C$58:$C$61)*12)+IF(F6="",0,IF(F6&lt;=5,IF(入力データ!$G$25="私立",前提条件!$C$22,前提条件!$C$21),IF(F6&lt;=11,IF(入力データ!$H$25="私立",前提条件!$C$24,前提条件!$C$23),IF(F6&lt;=14,IF(入力データ!$I$25="私立",前提条件!$C$26,前提条件!$C$25),IF(F6&lt;=17,IF(入力データ!$J$25="私立",前提条件!$C$28,前提条件!$C$27),IF(F6&lt;=21,IF(入力データ!$K$25="国公立",前提条件!$C$29,IF(入力データ!$K$25="私立理系",前提条件!$C$31,前提条件!$C$30))+IF(入力データ!$L$25="下宿",前提条件!$C$32,0)+IF(F6=18,前提条件!$C$33,0),0))))))+IF(F7="",0,IF(F7&lt;=5,IF(入力データ!$G$26="私立",前提条件!$C$22,前提条件!$C$21),IF(F7&lt;=11,IF(入力データ!$H$26="私立",前提条件!$C$24,前提条件!$C$23),IF(F7&lt;=14,IF(入力データ!$I$26="私立",前提条件!$C$26,前提条件!$C$25),IF(F7&lt;=17,IF(入力データ!$J$26="私立",前提条件!$C$28,前提条件!$C$27),IF(F7&lt;=21,IF(入力データ!$K$26="国公立",前提条件!$C$29,IF(入力データ!$K$26="私立理系",前提条件!$C$31,前提条件!$C$30))+IF(入力データ!$L$26="下宿",前提条件!$C$32,0)+IF(F7=18,前提条件!$C$33,0),0))))))+IF(F8="",0,IF(F8&lt;=5,IF(入力データ!$G$27="私立",前提条件!$C$22,前提条件!$C$21),IF(F8&lt;=11,IF(入力データ!$H$27="私立",前提条件!$C$24,前提条件!$C$23),IF(F8&lt;=14,IF(入力データ!$I$27="私立",前提条件!$C$26,前提条件!$C$25),IF(F8&lt;=17,IF(入力データ!$J$27="私立",前提条件!$C$28,前提条件!$C$27),IF(F8&lt;=21,IF(入力データ!$K$27="国公立",前提条件!$C$29,IF(入力データ!$K$27="私立理系",前提条件!$C$31,前提条件!$C$30))+IF(入力データ!$L$27="下宿",前提条件!$C$32,0)+IF(F8=18,前提条件!$C$33,0),0)))))))*(1+前提条件!$C$13)^(F$3-$B$3))</f>
        <v/>
      </c>
      <c r="G24" s="352">
        <f>IF(G$3="","",((SUM(入力データ!$C$58:$C$61)*12)+IF(G6="",0,IF(G6&lt;=5,IF(入力データ!$G$25="私立",前提条件!$C$22,前提条件!$C$21),IF(G6&lt;=11,IF(入力データ!$H$25="私立",前提条件!$C$24,前提条件!$C$23),IF(G6&lt;=14,IF(入力データ!$I$25="私立",前提条件!$C$26,前提条件!$C$25),IF(G6&lt;=17,IF(入力データ!$J$25="私立",前提条件!$C$28,前提条件!$C$27),IF(G6&lt;=21,IF(入力データ!$K$25="国公立",前提条件!$C$29,IF(入力データ!$K$25="私立理系",前提条件!$C$31,前提条件!$C$30))+IF(入力データ!$L$25="下宿",前提条件!$C$32,0)+IF(G6=18,前提条件!$C$33,0),0))))))+IF(G7="",0,IF(G7&lt;=5,IF(入力データ!$G$26="私立",前提条件!$C$22,前提条件!$C$21),IF(G7&lt;=11,IF(入力データ!$H$26="私立",前提条件!$C$24,前提条件!$C$23),IF(G7&lt;=14,IF(入力データ!$I$26="私立",前提条件!$C$26,前提条件!$C$25),IF(G7&lt;=17,IF(入力データ!$J$26="私立",前提条件!$C$28,前提条件!$C$27),IF(G7&lt;=21,IF(入力データ!$K$26="国公立",前提条件!$C$29,IF(入力データ!$K$26="私立理系",前提条件!$C$31,前提条件!$C$30))+IF(入力データ!$L$26="下宿",前提条件!$C$32,0)+IF(G7=18,前提条件!$C$33,0),0))))))+IF(G8="",0,IF(G8&lt;=5,IF(入力データ!$G$27="私立",前提条件!$C$22,前提条件!$C$21),IF(G8&lt;=11,IF(入力データ!$H$27="私立",前提条件!$C$24,前提条件!$C$23),IF(G8&lt;=14,IF(入力データ!$I$27="私立",前提条件!$C$26,前提条件!$C$25),IF(G8&lt;=17,IF(入力データ!$J$27="私立",前提条件!$C$28,前提条件!$C$27),IF(G8&lt;=21,IF(入力データ!$K$27="国公立",前提条件!$C$29,IF(入力データ!$K$27="私立理系",前提条件!$C$31,前提条件!$C$30))+IF(入力データ!$L$27="下宿",前提条件!$C$32,0)+IF(G8=18,前提条件!$C$33,0),0)))))))*(1+前提条件!$C$13)^(G$3-$B$3))</f>
        <v/>
      </c>
      <c r="H24" s="352">
        <f>IF(H$3="","",((SUM(入力データ!$C$58:$C$61)*12)+IF(H6="",0,IF(H6&lt;=5,IF(入力データ!$G$25="私立",前提条件!$C$22,前提条件!$C$21),IF(H6&lt;=11,IF(入力データ!$H$25="私立",前提条件!$C$24,前提条件!$C$23),IF(H6&lt;=14,IF(入力データ!$I$25="私立",前提条件!$C$26,前提条件!$C$25),IF(H6&lt;=17,IF(入力データ!$J$25="私立",前提条件!$C$28,前提条件!$C$27),IF(H6&lt;=21,IF(入力データ!$K$25="国公立",前提条件!$C$29,IF(入力データ!$K$25="私立理系",前提条件!$C$31,前提条件!$C$30))+IF(入力データ!$L$25="下宿",前提条件!$C$32,0)+IF(H6=18,前提条件!$C$33,0),0))))))+IF(H7="",0,IF(H7&lt;=5,IF(入力データ!$G$26="私立",前提条件!$C$22,前提条件!$C$21),IF(H7&lt;=11,IF(入力データ!$H$26="私立",前提条件!$C$24,前提条件!$C$23),IF(H7&lt;=14,IF(入力データ!$I$26="私立",前提条件!$C$26,前提条件!$C$25),IF(H7&lt;=17,IF(入力データ!$J$26="私立",前提条件!$C$28,前提条件!$C$27),IF(H7&lt;=21,IF(入力データ!$K$26="国公立",前提条件!$C$29,IF(入力データ!$K$26="私立理系",前提条件!$C$31,前提条件!$C$30))+IF(入力データ!$L$26="下宿",前提条件!$C$32,0)+IF(H7=18,前提条件!$C$33,0),0))))))+IF(H8="",0,IF(H8&lt;=5,IF(入力データ!$G$27="私立",前提条件!$C$22,前提条件!$C$21),IF(H8&lt;=11,IF(入力データ!$H$27="私立",前提条件!$C$24,前提条件!$C$23),IF(H8&lt;=14,IF(入力データ!$I$27="私立",前提条件!$C$26,前提条件!$C$25),IF(H8&lt;=17,IF(入力データ!$J$27="私立",前提条件!$C$28,前提条件!$C$27),IF(H8&lt;=21,IF(入力データ!$K$27="国公立",前提条件!$C$29,IF(入力データ!$K$27="私立理系",前提条件!$C$31,前提条件!$C$30))+IF(入力データ!$L$27="下宿",前提条件!$C$32,0)+IF(H8=18,前提条件!$C$33,0),0)))))))*(1+前提条件!$C$13)^(H$3-$B$3))</f>
        <v/>
      </c>
      <c r="I24" s="352">
        <f>IF(I$3="","",((SUM(入力データ!$C$58:$C$61)*12)+IF(I6="",0,IF(I6&lt;=5,IF(入力データ!$G$25="私立",前提条件!$C$22,前提条件!$C$21),IF(I6&lt;=11,IF(入力データ!$H$25="私立",前提条件!$C$24,前提条件!$C$23),IF(I6&lt;=14,IF(入力データ!$I$25="私立",前提条件!$C$26,前提条件!$C$25),IF(I6&lt;=17,IF(入力データ!$J$25="私立",前提条件!$C$28,前提条件!$C$27),IF(I6&lt;=21,IF(入力データ!$K$25="国公立",前提条件!$C$29,IF(入力データ!$K$25="私立理系",前提条件!$C$31,前提条件!$C$30))+IF(入力データ!$L$25="下宿",前提条件!$C$32,0)+IF(I6=18,前提条件!$C$33,0),0))))))+IF(I7="",0,IF(I7&lt;=5,IF(入力データ!$G$26="私立",前提条件!$C$22,前提条件!$C$21),IF(I7&lt;=11,IF(入力データ!$H$26="私立",前提条件!$C$24,前提条件!$C$23),IF(I7&lt;=14,IF(入力データ!$I$26="私立",前提条件!$C$26,前提条件!$C$25),IF(I7&lt;=17,IF(入力データ!$J$26="私立",前提条件!$C$28,前提条件!$C$27),IF(I7&lt;=21,IF(入力データ!$K$26="国公立",前提条件!$C$29,IF(入力データ!$K$26="私立理系",前提条件!$C$31,前提条件!$C$30))+IF(入力データ!$L$26="下宿",前提条件!$C$32,0)+IF(I7=18,前提条件!$C$33,0),0))))))+IF(I8="",0,IF(I8&lt;=5,IF(入力データ!$G$27="私立",前提条件!$C$22,前提条件!$C$21),IF(I8&lt;=11,IF(入力データ!$H$27="私立",前提条件!$C$24,前提条件!$C$23),IF(I8&lt;=14,IF(入力データ!$I$27="私立",前提条件!$C$26,前提条件!$C$25),IF(I8&lt;=17,IF(入力データ!$J$27="私立",前提条件!$C$28,前提条件!$C$27),IF(I8&lt;=21,IF(入力データ!$K$27="国公立",前提条件!$C$29,IF(入力データ!$K$27="私立理系",前提条件!$C$31,前提条件!$C$30))+IF(入力データ!$L$27="下宿",前提条件!$C$32,0)+IF(I8=18,前提条件!$C$33,0),0)))))))*(1+前提条件!$C$13)^(I$3-$B$3))</f>
        <v/>
      </c>
      <c r="J24" s="352">
        <f>IF(J$3="","",((SUM(入力データ!$C$58:$C$61)*12)+IF(J6="",0,IF(J6&lt;=5,IF(入力データ!$G$25="私立",前提条件!$C$22,前提条件!$C$21),IF(J6&lt;=11,IF(入力データ!$H$25="私立",前提条件!$C$24,前提条件!$C$23),IF(J6&lt;=14,IF(入力データ!$I$25="私立",前提条件!$C$26,前提条件!$C$25),IF(J6&lt;=17,IF(入力データ!$J$25="私立",前提条件!$C$28,前提条件!$C$27),IF(J6&lt;=21,IF(入力データ!$K$25="国公立",前提条件!$C$29,IF(入力データ!$K$25="私立理系",前提条件!$C$31,前提条件!$C$30))+IF(入力データ!$L$25="下宿",前提条件!$C$32,0)+IF(J6=18,前提条件!$C$33,0),0))))))+IF(J7="",0,IF(J7&lt;=5,IF(入力データ!$G$26="私立",前提条件!$C$22,前提条件!$C$21),IF(J7&lt;=11,IF(入力データ!$H$26="私立",前提条件!$C$24,前提条件!$C$23),IF(J7&lt;=14,IF(入力データ!$I$26="私立",前提条件!$C$26,前提条件!$C$25),IF(J7&lt;=17,IF(入力データ!$J$26="私立",前提条件!$C$28,前提条件!$C$27),IF(J7&lt;=21,IF(入力データ!$K$26="国公立",前提条件!$C$29,IF(入力データ!$K$26="私立理系",前提条件!$C$31,前提条件!$C$30))+IF(入力データ!$L$26="下宿",前提条件!$C$32,0)+IF(J7=18,前提条件!$C$33,0),0))))))+IF(J8="",0,IF(J8&lt;=5,IF(入力データ!$G$27="私立",前提条件!$C$22,前提条件!$C$21),IF(J8&lt;=11,IF(入力データ!$H$27="私立",前提条件!$C$24,前提条件!$C$23),IF(J8&lt;=14,IF(入力データ!$I$27="私立",前提条件!$C$26,前提条件!$C$25),IF(J8&lt;=17,IF(入力データ!$J$27="私立",前提条件!$C$28,前提条件!$C$27),IF(J8&lt;=21,IF(入力データ!$K$27="国公立",前提条件!$C$29,IF(入力データ!$K$27="私立理系",前提条件!$C$31,前提条件!$C$30))+IF(入力データ!$L$27="下宿",前提条件!$C$32,0)+IF(J8=18,前提条件!$C$33,0),0)))))))*(1+前提条件!$C$13)^(J$3-$B$3))</f>
        <v/>
      </c>
      <c r="K24" s="352">
        <f>IF(K$3="","",((SUM(入力データ!$C$58:$C$61)*12)+IF(K6="",0,IF(K6&lt;=5,IF(入力データ!$G$25="私立",前提条件!$C$22,前提条件!$C$21),IF(K6&lt;=11,IF(入力データ!$H$25="私立",前提条件!$C$24,前提条件!$C$23),IF(K6&lt;=14,IF(入力データ!$I$25="私立",前提条件!$C$26,前提条件!$C$25),IF(K6&lt;=17,IF(入力データ!$J$25="私立",前提条件!$C$28,前提条件!$C$27),IF(K6&lt;=21,IF(入力データ!$K$25="国公立",前提条件!$C$29,IF(入力データ!$K$25="私立理系",前提条件!$C$31,前提条件!$C$30))+IF(入力データ!$L$25="下宿",前提条件!$C$32,0)+IF(K6=18,前提条件!$C$33,0),0))))))+IF(K7="",0,IF(K7&lt;=5,IF(入力データ!$G$26="私立",前提条件!$C$22,前提条件!$C$21),IF(K7&lt;=11,IF(入力データ!$H$26="私立",前提条件!$C$24,前提条件!$C$23),IF(K7&lt;=14,IF(入力データ!$I$26="私立",前提条件!$C$26,前提条件!$C$25),IF(K7&lt;=17,IF(入力データ!$J$26="私立",前提条件!$C$28,前提条件!$C$27),IF(K7&lt;=21,IF(入力データ!$K$26="国公立",前提条件!$C$29,IF(入力データ!$K$26="私立理系",前提条件!$C$31,前提条件!$C$30))+IF(入力データ!$L$26="下宿",前提条件!$C$32,0)+IF(K7=18,前提条件!$C$33,0),0))))))+IF(K8="",0,IF(K8&lt;=5,IF(入力データ!$G$27="私立",前提条件!$C$22,前提条件!$C$21),IF(K8&lt;=11,IF(入力データ!$H$27="私立",前提条件!$C$24,前提条件!$C$23),IF(K8&lt;=14,IF(入力データ!$I$27="私立",前提条件!$C$26,前提条件!$C$25),IF(K8&lt;=17,IF(入力データ!$J$27="私立",前提条件!$C$28,前提条件!$C$27),IF(K8&lt;=21,IF(入力データ!$K$27="国公立",前提条件!$C$29,IF(入力データ!$K$27="私立理系",前提条件!$C$31,前提条件!$C$30))+IF(入力データ!$L$27="下宿",前提条件!$C$32,0)+IF(K8=18,前提条件!$C$33,0),0)))))))*(1+前提条件!$C$13)^(K$3-$B$3))</f>
        <v/>
      </c>
      <c r="L24" s="352">
        <f>IF(L$3="","",((SUM(入力データ!$C$58:$C$61)*12)+IF(L6="",0,IF(L6&lt;=5,IF(入力データ!$G$25="私立",前提条件!$C$22,前提条件!$C$21),IF(L6&lt;=11,IF(入力データ!$H$25="私立",前提条件!$C$24,前提条件!$C$23),IF(L6&lt;=14,IF(入力データ!$I$25="私立",前提条件!$C$26,前提条件!$C$25),IF(L6&lt;=17,IF(入力データ!$J$25="私立",前提条件!$C$28,前提条件!$C$27),IF(L6&lt;=21,IF(入力データ!$K$25="国公立",前提条件!$C$29,IF(入力データ!$K$25="私立理系",前提条件!$C$31,前提条件!$C$30))+IF(入力データ!$L$25="下宿",前提条件!$C$32,0)+IF(L6=18,前提条件!$C$33,0),0))))))+IF(L7="",0,IF(L7&lt;=5,IF(入力データ!$G$26="私立",前提条件!$C$22,前提条件!$C$21),IF(L7&lt;=11,IF(入力データ!$H$26="私立",前提条件!$C$24,前提条件!$C$23),IF(L7&lt;=14,IF(入力データ!$I$26="私立",前提条件!$C$26,前提条件!$C$25),IF(L7&lt;=17,IF(入力データ!$J$26="私立",前提条件!$C$28,前提条件!$C$27),IF(L7&lt;=21,IF(入力データ!$K$26="国公立",前提条件!$C$29,IF(入力データ!$K$26="私立理系",前提条件!$C$31,前提条件!$C$30))+IF(入力データ!$L$26="下宿",前提条件!$C$32,0)+IF(L7=18,前提条件!$C$33,0),0))))))+IF(L8="",0,IF(L8&lt;=5,IF(入力データ!$G$27="私立",前提条件!$C$22,前提条件!$C$21),IF(L8&lt;=11,IF(入力データ!$H$27="私立",前提条件!$C$24,前提条件!$C$23),IF(L8&lt;=14,IF(入力データ!$I$27="私立",前提条件!$C$26,前提条件!$C$25),IF(L8&lt;=17,IF(入力データ!$J$27="私立",前提条件!$C$28,前提条件!$C$27),IF(L8&lt;=21,IF(入力データ!$K$27="国公立",前提条件!$C$29,IF(入力データ!$K$27="私立理系",前提条件!$C$31,前提条件!$C$30))+IF(入力データ!$L$27="下宿",前提条件!$C$32,0)+IF(L8=18,前提条件!$C$33,0),0)))))))*(1+前提条件!$C$13)^(L$3-$B$3))</f>
        <v/>
      </c>
      <c r="M24" s="352">
        <f>IF(M$3="","",((SUM(入力データ!$C$58:$C$61)*12)+IF(M6="",0,IF(M6&lt;=5,IF(入力データ!$G$25="私立",前提条件!$C$22,前提条件!$C$21),IF(M6&lt;=11,IF(入力データ!$H$25="私立",前提条件!$C$24,前提条件!$C$23),IF(M6&lt;=14,IF(入力データ!$I$25="私立",前提条件!$C$26,前提条件!$C$25),IF(M6&lt;=17,IF(入力データ!$J$25="私立",前提条件!$C$28,前提条件!$C$27),IF(M6&lt;=21,IF(入力データ!$K$25="国公立",前提条件!$C$29,IF(入力データ!$K$25="私立理系",前提条件!$C$31,前提条件!$C$30))+IF(入力データ!$L$25="下宿",前提条件!$C$32,0)+IF(M6=18,前提条件!$C$33,0),0))))))+IF(M7="",0,IF(M7&lt;=5,IF(入力データ!$G$26="私立",前提条件!$C$22,前提条件!$C$21),IF(M7&lt;=11,IF(入力データ!$H$26="私立",前提条件!$C$24,前提条件!$C$23),IF(M7&lt;=14,IF(入力データ!$I$26="私立",前提条件!$C$26,前提条件!$C$25),IF(M7&lt;=17,IF(入力データ!$J$26="私立",前提条件!$C$28,前提条件!$C$27),IF(M7&lt;=21,IF(入力データ!$K$26="国公立",前提条件!$C$29,IF(入力データ!$K$26="私立理系",前提条件!$C$31,前提条件!$C$30))+IF(入力データ!$L$26="下宿",前提条件!$C$32,0)+IF(M7=18,前提条件!$C$33,0),0))))))+IF(M8="",0,IF(M8&lt;=5,IF(入力データ!$G$27="私立",前提条件!$C$22,前提条件!$C$21),IF(M8&lt;=11,IF(入力データ!$H$27="私立",前提条件!$C$24,前提条件!$C$23),IF(M8&lt;=14,IF(入力データ!$I$27="私立",前提条件!$C$26,前提条件!$C$25),IF(M8&lt;=17,IF(入力データ!$J$27="私立",前提条件!$C$28,前提条件!$C$27),IF(M8&lt;=21,IF(入力データ!$K$27="国公立",前提条件!$C$29,IF(入力データ!$K$27="私立理系",前提条件!$C$31,前提条件!$C$30))+IF(入力データ!$L$27="下宿",前提条件!$C$32,0)+IF(M8=18,前提条件!$C$33,0),0)))))))*(1+前提条件!$C$13)^(M$3-$B$3))</f>
        <v/>
      </c>
      <c r="N24" s="352">
        <f>IF(N$3="","",((SUM(入力データ!$C$58:$C$61)*12)+IF(N6="",0,IF(N6&lt;=5,IF(入力データ!$G$25="私立",前提条件!$C$22,前提条件!$C$21),IF(N6&lt;=11,IF(入力データ!$H$25="私立",前提条件!$C$24,前提条件!$C$23),IF(N6&lt;=14,IF(入力データ!$I$25="私立",前提条件!$C$26,前提条件!$C$25),IF(N6&lt;=17,IF(入力データ!$J$25="私立",前提条件!$C$28,前提条件!$C$27),IF(N6&lt;=21,IF(入力データ!$K$25="国公立",前提条件!$C$29,IF(入力データ!$K$25="私立理系",前提条件!$C$31,前提条件!$C$30))+IF(入力データ!$L$25="下宿",前提条件!$C$32,0)+IF(N6=18,前提条件!$C$33,0),0))))))+IF(N7="",0,IF(N7&lt;=5,IF(入力データ!$G$26="私立",前提条件!$C$22,前提条件!$C$21),IF(N7&lt;=11,IF(入力データ!$H$26="私立",前提条件!$C$24,前提条件!$C$23),IF(N7&lt;=14,IF(入力データ!$I$26="私立",前提条件!$C$26,前提条件!$C$25),IF(N7&lt;=17,IF(入力データ!$J$26="私立",前提条件!$C$28,前提条件!$C$27),IF(N7&lt;=21,IF(入力データ!$K$26="国公立",前提条件!$C$29,IF(入力データ!$K$26="私立理系",前提条件!$C$31,前提条件!$C$30))+IF(入力データ!$L$26="下宿",前提条件!$C$32,0)+IF(N7=18,前提条件!$C$33,0),0))))))+IF(N8="",0,IF(N8&lt;=5,IF(入力データ!$G$27="私立",前提条件!$C$22,前提条件!$C$21),IF(N8&lt;=11,IF(入力データ!$H$27="私立",前提条件!$C$24,前提条件!$C$23),IF(N8&lt;=14,IF(入力データ!$I$27="私立",前提条件!$C$26,前提条件!$C$25),IF(N8&lt;=17,IF(入力データ!$J$27="私立",前提条件!$C$28,前提条件!$C$27),IF(N8&lt;=21,IF(入力データ!$K$27="国公立",前提条件!$C$29,IF(入力データ!$K$27="私立理系",前提条件!$C$31,前提条件!$C$30))+IF(入力データ!$L$27="下宿",前提条件!$C$32,0)+IF(N8=18,前提条件!$C$33,0),0)))))))*(1+前提条件!$C$13)^(N$3-$B$3))</f>
        <v/>
      </c>
      <c r="O24" s="352">
        <f>IF(O$3="","",((SUM(入力データ!$C$58:$C$61)*12)+IF(O6="",0,IF(O6&lt;=5,IF(入力データ!$G$25="私立",前提条件!$C$22,前提条件!$C$21),IF(O6&lt;=11,IF(入力データ!$H$25="私立",前提条件!$C$24,前提条件!$C$23),IF(O6&lt;=14,IF(入力データ!$I$25="私立",前提条件!$C$26,前提条件!$C$25),IF(O6&lt;=17,IF(入力データ!$J$25="私立",前提条件!$C$28,前提条件!$C$27),IF(O6&lt;=21,IF(入力データ!$K$25="国公立",前提条件!$C$29,IF(入力データ!$K$25="私立理系",前提条件!$C$31,前提条件!$C$30))+IF(入力データ!$L$25="下宿",前提条件!$C$32,0)+IF(O6=18,前提条件!$C$33,0),0))))))+IF(O7="",0,IF(O7&lt;=5,IF(入力データ!$G$26="私立",前提条件!$C$22,前提条件!$C$21),IF(O7&lt;=11,IF(入力データ!$H$26="私立",前提条件!$C$24,前提条件!$C$23),IF(O7&lt;=14,IF(入力データ!$I$26="私立",前提条件!$C$26,前提条件!$C$25),IF(O7&lt;=17,IF(入力データ!$J$26="私立",前提条件!$C$28,前提条件!$C$27),IF(O7&lt;=21,IF(入力データ!$K$26="国公立",前提条件!$C$29,IF(入力データ!$K$26="私立理系",前提条件!$C$31,前提条件!$C$30))+IF(入力データ!$L$26="下宿",前提条件!$C$32,0)+IF(O7=18,前提条件!$C$33,0),0))))))+IF(O8="",0,IF(O8&lt;=5,IF(入力データ!$G$27="私立",前提条件!$C$22,前提条件!$C$21),IF(O8&lt;=11,IF(入力データ!$H$27="私立",前提条件!$C$24,前提条件!$C$23),IF(O8&lt;=14,IF(入力データ!$I$27="私立",前提条件!$C$26,前提条件!$C$25),IF(O8&lt;=17,IF(入力データ!$J$27="私立",前提条件!$C$28,前提条件!$C$27),IF(O8&lt;=21,IF(入力データ!$K$27="国公立",前提条件!$C$29,IF(入力データ!$K$27="私立理系",前提条件!$C$31,前提条件!$C$30))+IF(入力データ!$L$27="下宿",前提条件!$C$32,0)+IF(O8=18,前提条件!$C$33,0),0)))))))*(1+前提条件!$C$13)^(O$3-$B$3))</f>
        <v/>
      </c>
      <c r="P24" s="352">
        <f>IF(P$3="","",((SUM(入力データ!$C$58:$C$61)*12)+IF(P6="",0,IF(P6&lt;=5,IF(入力データ!$G$25="私立",前提条件!$C$22,前提条件!$C$21),IF(P6&lt;=11,IF(入力データ!$H$25="私立",前提条件!$C$24,前提条件!$C$23),IF(P6&lt;=14,IF(入力データ!$I$25="私立",前提条件!$C$26,前提条件!$C$25),IF(P6&lt;=17,IF(入力データ!$J$25="私立",前提条件!$C$28,前提条件!$C$27),IF(P6&lt;=21,IF(入力データ!$K$25="国公立",前提条件!$C$29,IF(入力データ!$K$25="私立理系",前提条件!$C$31,前提条件!$C$30))+IF(入力データ!$L$25="下宿",前提条件!$C$32,0)+IF(P6=18,前提条件!$C$33,0),0))))))+IF(P7="",0,IF(P7&lt;=5,IF(入力データ!$G$26="私立",前提条件!$C$22,前提条件!$C$21),IF(P7&lt;=11,IF(入力データ!$H$26="私立",前提条件!$C$24,前提条件!$C$23),IF(P7&lt;=14,IF(入力データ!$I$26="私立",前提条件!$C$26,前提条件!$C$25),IF(P7&lt;=17,IF(入力データ!$J$26="私立",前提条件!$C$28,前提条件!$C$27),IF(P7&lt;=21,IF(入力データ!$K$26="国公立",前提条件!$C$29,IF(入力データ!$K$26="私立理系",前提条件!$C$31,前提条件!$C$30))+IF(入力データ!$L$26="下宿",前提条件!$C$32,0)+IF(P7=18,前提条件!$C$33,0),0))))))+IF(P8="",0,IF(P8&lt;=5,IF(入力データ!$G$27="私立",前提条件!$C$22,前提条件!$C$21),IF(P8&lt;=11,IF(入力データ!$H$27="私立",前提条件!$C$24,前提条件!$C$23),IF(P8&lt;=14,IF(入力データ!$I$27="私立",前提条件!$C$26,前提条件!$C$25),IF(P8&lt;=17,IF(入力データ!$J$27="私立",前提条件!$C$28,前提条件!$C$27),IF(P8&lt;=21,IF(入力データ!$K$27="国公立",前提条件!$C$29,IF(入力データ!$K$27="私立理系",前提条件!$C$31,前提条件!$C$30))+IF(入力データ!$L$27="下宿",前提条件!$C$32,0)+IF(P8=18,前提条件!$C$33,0),0)))))))*(1+前提条件!$C$13)^(P$3-$B$3))</f>
        <v/>
      </c>
      <c r="Q24" s="352">
        <f>IF(Q$3="","",((SUM(入力データ!$C$58:$C$61)*12)+IF(Q6="",0,IF(Q6&lt;=5,IF(入力データ!$G$25="私立",前提条件!$C$22,前提条件!$C$21),IF(Q6&lt;=11,IF(入力データ!$H$25="私立",前提条件!$C$24,前提条件!$C$23),IF(Q6&lt;=14,IF(入力データ!$I$25="私立",前提条件!$C$26,前提条件!$C$25),IF(Q6&lt;=17,IF(入力データ!$J$25="私立",前提条件!$C$28,前提条件!$C$27),IF(Q6&lt;=21,IF(入力データ!$K$25="国公立",前提条件!$C$29,IF(入力データ!$K$25="私立理系",前提条件!$C$31,前提条件!$C$30))+IF(入力データ!$L$25="下宿",前提条件!$C$32,0)+IF(Q6=18,前提条件!$C$33,0),0))))))+IF(Q7="",0,IF(Q7&lt;=5,IF(入力データ!$G$26="私立",前提条件!$C$22,前提条件!$C$21),IF(Q7&lt;=11,IF(入力データ!$H$26="私立",前提条件!$C$24,前提条件!$C$23),IF(Q7&lt;=14,IF(入力データ!$I$26="私立",前提条件!$C$26,前提条件!$C$25),IF(Q7&lt;=17,IF(入力データ!$J$26="私立",前提条件!$C$28,前提条件!$C$27),IF(Q7&lt;=21,IF(入力データ!$K$26="国公立",前提条件!$C$29,IF(入力データ!$K$26="私立理系",前提条件!$C$31,前提条件!$C$30))+IF(入力データ!$L$26="下宿",前提条件!$C$32,0)+IF(Q7=18,前提条件!$C$33,0),0))))))+IF(Q8="",0,IF(Q8&lt;=5,IF(入力データ!$G$27="私立",前提条件!$C$22,前提条件!$C$21),IF(Q8&lt;=11,IF(入力データ!$H$27="私立",前提条件!$C$24,前提条件!$C$23),IF(Q8&lt;=14,IF(入力データ!$I$27="私立",前提条件!$C$26,前提条件!$C$25),IF(Q8&lt;=17,IF(入力データ!$J$27="私立",前提条件!$C$28,前提条件!$C$27),IF(Q8&lt;=21,IF(入力データ!$K$27="国公立",前提条件!$C$29,IF(入力データ!$K$27="私立理系",前提条件!$C$31,前提条件!$C$30))+IF(入力データ!$L$27="下宿",前提条件!$C$32,0)+IF(Q8=18,前提条件!$C$33,0),0)))))))*(1+前提条件!$C$13)^(Q$3-$B$3))</f>
        <v/>
      </c>
      <c r="R24" s="352">
        <f>IF(R$3="","",((SUM(入力データ!$C$58:$C$61)*12)+IF(R6="",0,IF(R6&lt;=5,IF(入力データ!$G$25="私立",前提条件!$C$22,前提条件!$C$21),IF(R6&lt;=11,IF(入力データ!$H$25="私立",前提条件!$C$24,前提条件!$C$23),IF(R6&lt;=14,IF(入力データ!$I$25="私立",前提条件!$C$26,前提条件!$C$25),IF(R6&lt;=17,IF(入力データ!$J$25="私立",前提条件!$C$28,前提条件!$C$27),IF(R6&lt;=21,IF(入力データ!$K$25="国公立",前提条件!$C$29,IF(入力データ!$K$25="私立理系",前提条件!$C$31,前提条件!$C$30))+IF(入力データ!$L$25="下宿",前提条件!$C$32,0)+IF(R6=18,前提条件!$C$33,0),0))))))+IF(R7="",0,IF(R7&lt;=5,IF(入力データ!$G$26="私立",前提条件!$C$22,前提条件!$C$21),IF(R7&lt;=11,IF(入力データ!$H$26="私立",前提条件!$C$24,前提条件!$C$23),IF(R7&lt;=14,IF(入力データ!$I$26="私立",前提条件!$C$26,前提条件!$C$25),IF(R7&lt;=17,IF(入力データ!$J$26="私立",前提条件!$C$28,前提条件!$C$27),IF(R7&lt;=21,IF(入力データ!$K$26="国公立",前提条件!$C$29,IF(入力データ!$K$26="私立理系",前提条件!$C$31,前提条件!$C$30))+IF(入力データ!$L$26="下宿",前提条件!$C$32,0)+IF(R7=18,前提条件!$C$33,0),0))))))+IF(R8="",0,IF(R8&lt;=5,IF(入力データ!$G$27="私立",前提条件!$C$22,前提条件!$C$21),IF(R8&lt;=11,IF(入力データ!$H$27="私立",前提条件!$C$24,前提条件!$C$23),IF(R8&lt;=14,IF(入力データ!$I$27="私立",前提条件!$C$26,前提条件!$C$25),IF(R8&lt;=17,IF(入力データ!$J$27="私立",前提条件!$C$28,前提条件!$C$27),IF(R8&lt;=21,IF(入力データ!$K$27="国公立",前提条件!$C$29,IF(入力データ!$K$27="私立理系",前提条件!$C$31,前提条件!$C$30))+IF(入力データ!$L$27="下宿",前提条件!$C$32,0)+IF(R8=18,前提条件!$C$33,0),0)))))))*(1+前提条件!$C$13)^(R$3-$B$3))</f>
        <v/>
      </c>
      <c r="S24" s="352">
        <f>IF(S$3="","",((SUM(入力データ!$C$58:$C$61)*12)+IF(S6="",0,IF(S6&lt;=5,IF(入力データ!$G$25="私立",前提条件!$C$22,前提条件!$C$21),IF(S6&lt;=11,IF(入力データ!$H$25="私立",前提条件!$C$24,前提条件!$C$23),IF(S6&lt;=14,IF(入力データ!$I$25="私立",前提条件!$C$26,前提条件!$C$25),IF(S6&lt;=17,IF(入力データ!$J$25="私立",前提条件!$C$28,前提条件!$C$27),IF(S6&lt;=21,IF(入力データ!$K$25="国公立",前提条件!$C$29,IF(入力データ!$K$25="私立理系",前提条件!$C$31,前提条件!$C$30))+IF(入力データ!$L$25="下宿",前提条件!$C$32,0)+IF(S6=18,前提条件!$C$33,0),0))))))+IF(S7="",0,IF(S7&lt;=5,IF(入力データ!$G$26="私立",前提条件!$C$22,前提条件!$C$21),IF(S7&lt;=11,IF(入力データ!$H$26="私立",前提条件!$C$24,前提条件!$C$23),IF(S7&lt;=14,IF(入力データ!$I$26="私立",前提条件!$C$26,前提条件!$C$25),IF(S7&lt;=17,IF(入力データ!$J$26="私立",前提条件!$C$28,前提条件!$C$27),IF(S7&lt;=21,IF(入力データ!$K$26="国公立",前提条件!$C$29,IF(入力データ!$K$26="私立理系",前提条件!$C$31,前提条件!$C$30))+IF(入力データ!$L$26="下宿",前提条件!$C$32,0)+IF(S7=18,前提条件!$C$33,0),0))))))+IF(S8="",0,IF(S8&lt;=5,IF(入力データ!$G$27="私立",前提条件!$C$22,前提条件!$C$21),IF(S8&lt;=11,IF(入力データ!$H$27="私立",前提条件!$C$24,前提条件!$C$23),IF(S8&lt;=14,IF(入力データ!$I$27="私立",前提条件!$C$26,前提条件!$C$25),IF(S8&lt;=17,IF(入力データ!$J$27="私立",前提条件!$C$28,前提条件!$C$27),IF(S8&lt;=21,IF(入力データ!$K$27="国公立",前提条件!$C$29,IF(入力データ!$K$27="私立理系",前提条件!$C$31,前提条件!$C$30))+IF(入力データ!$L$27="下宿",前提条件!$C$32,0)+IF(S8=18,前提条件!$C$33,0),0)))))))*(1+前提条件!$C$13)^(S$3-$B$3))</f>
        <v/>
      </c>
      <c r="T24" s="352">
        <f>IF(T$3="","",((SUM(入力データ!$C$58:$C$61)*12)+IF(T6="",0,IF(T6&lt;=5,IF(入力データ!$G$25="私立",前提条件!$C$22,前提条件!$C$21),IF(T6&lt;=11,IF(入力データ!$H$25="私立",前提条件!$C$24,前提条件!$C$23),IF(T6&lt;=14,IF(入力データ!$I$25="私立",前提条件!$C$26,前提条件!$C$25),IF(T6&lt;=17,IF(入力データ!$J$25="私立",前提条件!$C$28,前提条件!$C$27),IF(T6&lt;=21,IF(入力データ!$K$25="国公立",前提条件!$C$29,IF(入力データ!$K$25="私立理系",前提条件!$C$31,前提条件!$C$30))+IF(入力データ!$L$25="下宿",前提条件!$C$32,0)+IF(T6=18,前提条件!$C$33,0),0))))))+IF(T7="",0,IF(T7&lt;=5,IF(入力データ!$G$26="私立",前提条件!$C$22,前提条件!$C$21),IF(T7&lt;=11,IF(入力データ!$H$26="私立",前提条件!$C$24,前提条件!$C$23),IF(T7&lt;=14,IF(入力データ!$I$26="私立",前提条件!$C$26,前提条件!$C$25),IF(T7&lt;=17,IF(入力データ!$J$26="私立",前提条件!$C$28,前提条件!$C$27),IF(T7&lt;=21,IF(入力データ!$K$26="国公立",前提条件!$C$29,IF(入力データ!$K$26="私立理系",前提条件!$C$31,前提条件!$C$30))+IF(入力データ!$L$26="下宿",前提条件!$C$32,0)+IF(T7=18,前提条件!$C$33,0),0))))))+IF(T8="",0,IF(T8&lt;=5,IF(入力データ!$G$27="私立",前提条件!$C$22,前提条件!$C$21),IF(T8&lt;=11,IF(入力データ!$H$27="私立",前提条件!$C$24,前提条件!$C$23),IF(T8&lt;=14,IF(入力データ!$I$27="私立",前提条件!$C$26,前提条件!$C$25),IF(T8&lt;=17,IF(入力データ!$J$27="私立",前提条件!$C$28,前提条件!$C$27),IF(T8&lt;=21,IF(入力データ!$K$27="国公立",前提条件!$C$29,IF(入力データ!$K$27="私立理系",前提条件!$C$31,前提条件!$C$30))+IF(入力データ!$L$27="下宿",前提条件!$C$32,0)+IF(T8=18,前提条件!$C$33,0),0)))))))*(1+前提条件!$C$13)^(T$3-$B$3))</f>
        <v/>
      </c>
      <c r="U24" s="352">
        <f>IF(U$3="","",((SUM(入力データ!$C$58:$C$61)*12)+IF(U6="",0,IF(U6&lt;=5,IF(入力データ!$G$25="私立",前提条件!$C$22,前提条件!$C$21),IF(U6&lt;=11,IF(入力データ!$H$25="私立",前提条件!$C$24,前提条件!$C$23),IF(U6&lt;=14,IF(入力データ!$I$25="私立",前提条件!$C$26,前提条件!$C$25),IF(U6&lt;=17,IF(入力データ!$J$25="私立",前提条件!$C$28,前提条件!$C$27),IF(U6&lt;=21,IF(入力データ!$K$25="国公立",前提条件!$C$29,IF(入力データ!$K$25="私立理系",前提条件!$C$31,前提条件!$C$30))+IF(入力データ!$L$25="下宿",前提条件!$C$32,0)+IF(U6=18,前提条件!$C$33,0),0))))))+IF(U7="",0,IF(U7&lt;=5,IF(入力データ!$G$26="私立",前提条件!$C$22,前提条件!$C$21),IF(U7&lt;=11,IF(入力データ!$H$26="私立",前提条件!$C$24,前提条件!$C$23),IF(U7&lt;=14,IF(入力データ!$I$26="私立",前提条件!$C$26,前提条件!$C$25),IF(U7&lt;=17,IF(入力データ!$J$26="私立",前提条件!$C$28,前提条件!$C$27),IF(U7&lt;=21,IF(入力データ!$K$26="国公立",前提条件!$C$29,IF(入力データ!$K$26="私立理系",前提条件!$C$31,前提条件!$C$30))+IF(入力データ!$L$26="下宿",前提条件!$C$32,0)+IF(U7=18,前提条件!$C$33,0),0))))))+IF(U8="",0,IF(U8&lt;=5,IF(入力データ!$G$27="私立",前提条件!$C$22,前提条件!$C$21),IF(U8&lt;=11,IF(入力データ!$H$27="私立",前提条件!$C$24,前提条件!$C$23),IF(U8&lt;=14,IF(入力データ!$I$27="私立",前提条件!$C$26,前提条件!$C$25),IF(U8&lt;=17,IF(入力データ!$J$27="私立",前提条件!$C$28,前提条件!$C$27),IF(U8&lt;=21,IF(入力データ!$K$27="国公立",前提条件!$C$29,IF(入力データ!$K$27="私立理系",前提条件!$C$31,前提条件!$C$30))+IF(入力データ!$L$27="下宿",前提条件!$C$32,0)+IF(U8=18,前提条件!$C$33,0),0)))))))*(1+前提条件!$C$13)^(U$3-$B$3))</f>
        <v/>
      </c>
      <c r="V24" s="352">
        <f>IF(V$3="","",((SUM(入力データ!$C$58:$C$61)*12)+IF(V6="",0,IF(V6&lt;=5,IF(入力データ!$G$25="私立",前提条件!$C$22,前提条件!$C$21),IF(V6&lt;=11,IF(入力データ!$H$25="私立",前提条件!$C$24,前提条件!$C$23),IF(V6&lt;=14,IF(入力データ!$I$25="私立",前提条件!$C$26,前提条件!$C$25),IF(V6&lt;=17,IF(入力データ!$J$25="私立",前提条件!$C$28,前提条件!$C$27),IF(V6&lt;=21,IF(入力データ!$K$25="国公立",前提条件!$C$29,IF(入力データ!$K$25="私立理系",前提条件!$C$31,前提条件!$C$30))+IF(入力データ!$L$25="下宿",前提条件!$C$32,0)+IF(V6=18,前提条件!$C$33,0),0))))))+IF(V7="",0,IF(V7&lt;=5,IF(入力データ!$G$26="私立",前提条件!$C$22,前提条件!$C$21),IF(V7&lt;=11,IF(入力データ!$H$26="私立",前提条件!$C$24,前提条件!$C$23),IF(V7&lt;=14,IF(入力データ!$I$26="私立",前提条件!$C$26,前提条件!$C$25),IF(V7&lt;=17,IF(入力データ!$J$26="私立",前提条件!$C$28,前提条件!$C$27),IF(V7&lt;=21,IF(入力データ!$K$26="国公立",前提条件!$C$29,IF(入力データ!$K$26="私立理系",前提条件!$C$31,前提条件!$C$30))+IF(入力データ!$L$26="下宿",前提条件!$C$32,0)+IF(V7=18,前提条件!$C$33,0),0))))))+IF(V8="",0,IF(V8&lt;=5,IF(入力データ!$G$27="私立",前提条件!$C$22,前提条件!$C$21),IF(V8&lt;=11,IF(入力データ!$H$27="私立",前提条件!$C$24,前提条件!$C$23),IF(V8&lt;=14,IF(入力データ!$I$27="私立",前提条件!$C$26,前提条件!$C$25),IF(V8&lt;=17,IF(入力データ!$J$27="私立",前提条件!$C$28,前提条件!$C$27),IF(V8&lt;=21,IF(入力データ!$K$27="国公立",前提条件!$C$29,IF(入力データ!$K$27="私立理系",前提条件!$C$31,前提条件!$C$30))+IF(入力データ!$L$27="下宿",前提条件!$C$32,0)+IF(V8=18,前提条件!$C$33,0),0)))))))*(1+前提条件!$C$13)^(V$3-$B$3))</f>
        <v/>
      </c>
      <c r="W24" s="352">
        <f>IF(W$3="","",((SUM(入力データ!$C$58:$C$61)*12)+IF(W6="",0,IF(W6&lt;=5,IF(入力データ!$G$25="私立",前提条件!$C$22,前提条件!$C$21),IF(W6&lt;=11,IF(入力データ!$H$25="私立",前提条件!$C$24,前提条件!$C$23),IF(W6&lt;=14,IF(入力データ!$I$25="私立",前提条件!$C$26,前提条件!$C$25),IF(W6&lt;=17,IF(入力データ!$J$25="私立",前提条件!$C$28,前提条件!$C$27),IF(W6&lt;=21,IF(入力データ!$K$25="国公立",前提条件!$C$29,IF(入力データ!$K$25="私立理系",前提条件!$C$31,前提条件!$C$30))+IF(入力データ!$L$25="下宿",前提条件!$C$32,0)+IF(W6=18,前提条件!$C$33,0),0))))))+IF(W7="",0,IF(W7&lt;=5,IF(入力データ!$G$26="私立",前提条件!$C$22,前提条件!$C$21),IF(W7&lt;=11,IF(入力データ!$H$26="私立",前提条件!$C$24,前提条件!$C$23),IF(W7&lt;=14,IF(入力データ!$I$26="私立",前提条件!$C$26,前提条件!$C$25),IF(W7&lt;=17,IF(入力データ!$J$26="私立",前提条件!$C$28,前提条件!$C$27),IF(W7&lt;=21,IF(入力データ!$K$26="国公立",前提条件!$C$29,IF(入力データ!$K$26="私立理系",前提条件!$C$31,前提条件!$C$30))+IF(入力データ!$L$26="下宿",前提条件!$C$32,0)+IF(W7=18,前提条件!$C$33,0),0))))))+IF(W8="",0,IF(W8&lt;=5,IF(入力データ!$G$27="私立",前提条件!$C$22,前提条件!$C$21),IF(W8&lt;=11,IF(入力データ!$H$27="私立",前提条件!$C$24,前提条件!$C$23),IF(W8&lt;=14,IF(入力データ!$I$27="私立",前提条件!$C$26,前提条件!$C$25),IF(W8&lt;=17,IF(入力データ!$J$27="私立",前提条件!$C$28,前提条件!$C$27),IF(W8&lt;=21,IF(入力データ!$K$27="国公立",前提条件!$C$29,IF(入力データ!$K$27="私立理系",前提条件!$C$31,前提条件!$C$30))+IF(入力データ!$L$27="下宿",前提条件!$C$32,0)+IF(W8=18,前提条件!$C$33,0),0)))))))*(1+前提条件!$C$13)^(W$3-$B$3))</f>
        <v/>
      </c>
      <c r="X24" s="352">
        <f>IF(X$3="","",((SUM(入力データ!$C$58:$C$61)*12)+IF(X6="",0,IF(X6&lt;=5,IF(入力データ!$G$25="私立",前提条件!$C$22,前提条件!$C$21),IF(X6&lt;=11,IF(入力データ!$H$25="私立",前提条件!$C$24,前提条件!$C$23),IF(X6&lt;=14,IF(入力データ!$I$25="私立",前提条件!$C$26,前提条件!$C$25),IF(X6&lt;=17,IF(入力データ!$J$25="私立",前提条件!$C$28,前提条件!$C$27),IF(X6&lt;=21,IF(入力データ!$K$25="国公立",前提条件!$C$29,IF(入力データ!$K$25="私立理系",前提条件!$C$31,前提条件!$C$30))+IF(入力データ!$L$25="下宿",前提条件!$C$32,0)+IF(X6=18,前提条件!$C$33,0),0))))))+IF(X7="",0,IF(X7&lt;=5,IF(入力データ!$G$26="私立",前提条件!$C$22,前提条件!$C$21),IF(X7&lt;=11,IF(入力データ!$H$26="私立",前提条件!$C$24,前提条件!$C$23),IF(X7&lt;=14,IF(入力データ!$I$26="私立",前提条件!$C$26,前提条件!$C$25),IF(X7&lt;=17,IF(入力データ!$J$26="私立",前提条件!$C$28,前提条件!$C$27),IF(X7&lt;=21,IF(入力データ!$K$26="国公立",前提条件!$C$29,IF(入力データ!$K$26="私立理系",前提条件!$C$31,前提条件!$C$30))+IF(入力データ!$L$26="下宿",前提条件!$C$32,0)+IF(X7=18,前提条件!$C$33,0),0))))))+IF(X8="",0,IF(X8&lt;=5,IF(入力データ!$G$27="私立",前提条件!$C$22,前提条件!$C$21),IF(X8&lt;=11,IF(入力データ!$H$27="私立",前提条件!$C$24,前提条件!$C$23),IF(X8&lt;=14,IF(入力データ!$I$27="私立",前提条件!$C$26,前提条件!$C$25),IF(X8&lt;=17,IF(入力データ!$J$27="私立",前提条件!$C$28,前提条件!$C$27),IF(X8&lt;=21,IF(入力データ!$K$27="国公立",前提条件!$C$29,IF(入力データ!$K$27="私立理系",前提条件!$C$31,前提条件!$C$30))+IF(入力データ!$L$27="下宿",前提条件!$C$32,0)+IF(X8=18,前提条件!$C$33,0),0)))))))*(1+前提条件!$C$13)^(X$3-$B$3))</f>
        <v/>
      </c>
      <c r="Y24" s="352">
        <f>IF(Y$3="","",((SUM(入力データ!$C$58:$C$61)*12)+IF(Y6="",0,IF(Y6&lt;=5,IF(入力データ!$G$25="私立",前提条件!$C$22,前提条件!$C$21),IF(Y6&lt;=11,IF(入力データ!$H$25="私立",前提条件!$C$24,前提条件!$C$23),IF(Y6&lt;=14,IF(入力データ!$I$25="私立",前提条件!$C$26,前提条件!$C$25),IF(Y6&lt;=17,IF(入力データ!$J$25="私立",前提条件!$C$28,前提条件!$C$27),IF(Y6&lt;=21,IF(入力データ!$K$25="国公立",前提条件!$C$29,IF(入力データ!$K$25="私立理系",前提条件!$C$31,前提条件!$C$30))+IF(入力データ!$L$25="下宿",前提条件!$C$32,0)+IF(Y6=18,前提条件!$C$33,0),0))))))+IF(Y7="",0,IF(Y7&lt;=5,IF(入力データ!$G$26="私立",前提条件!$C$22,前提条件!$C$21),IF(Y7&lt;=11,IF(入力データ!$H$26="私立",前提条件!$C$24,前提条件!$C$23),IF(Y7&lt;=14,IF(入力データ!$I$26="私立",前提条件!$C$26,前提条件!$C$25),IF(Y7&lt;=17,IF(入力データ!$J$26="私立",前提条件!$C$28,前提条件!$C$27),IF(Y7&lt;=21,IF(入力データ!$K$26="国公立",前提条件!$C$29,IF(入力データ!$K$26="私立理系",前提条件!$C$31,前提条件!$C$30))+IF(入力データ!$L$26="下宿",前提条件!$C$32,0)+IF(Y7=18,前提条件!$C$33,0),0))))))+IF(Y8="",0,IF(Y8&lt;=5,IF(入力データ!$G$27="私立",前提条件!$C$22,前提条件!$C$21),IF(Y8&lt;=11,IF(入力データ!$H$27="私立",前提条件!$C$24,前提条件!$C$23),IF(Y8&lt;=14,IF(入力データ!$I$27="私立",前提条件!$C$26,前提条件!$C$25),IF(Y8&lt;=17,IF(入力データ!$J$27="私立",前提条件!$C$28,前提条件!$C$27),IF(Y8&lt;=21,IF(入力データ!$K$27="国公立",前提条件!$C$29,IF(入力データ!$K$27="私立理系",前提条件!$C$31,前提条件!$C$30))+IF(入力データ!$L$27="下宿",前提条件!$C$32,0)+IF(Y8=18,前提条件!$C$33,0),0)))))))*(1+前提条件!$C$13)^(Y$3-$B$3))</f>
        <v/>
      </c>
      <c r="Z24" s="352">
        <f>IF(Z$3="","",((SUM(入力データ!$C$58:$C$61)*12)+IF(Z6="",0,IF(Z6&lt;=5,IF(入力データ!$G$25="私立",前提条件!$C$22,前提条件!$C$21),IF(Z6&lt;=11,IF(入力データ!$H$25="私立",前提条件!$C$24,前提条件!$C$23),IF(Z6&lt;=14,IF(入力データ!$I$25="私立",前提条件!$C$26,前提条件!$C$25),IF(Z6&lt;=17,IF(入力データ!$J$25="私立",前提条件!$C$28,前提条件!$C$27),IF(Z6&lt;=21,IF(入力データ!$K$25="国公立",前提条件!$C$29,IF(入力データ!$K$25="私立理系",前提条件!$C$31,前提条件!$C$30))+IF(入力データ!$L$25="下宿",前提条件!$C$32,0)+IF(Z6=18,前提条件!$C$33,0),0))))))+IF(Z7="",0,IF(Z7&lt;=5,IF(入力データ!$G$26="私立",前提条件!$C$22,前提条件!$C$21),IF(Z7&lt;=11,IF(入力データ!$H$26="私立",前提条件!$C$24,前提条件!$C$23),IF(Z7&lt;=14,IF(入力データ!$I$26="私立",前提条件!$C$26,前提条件!$C$25),IF(Z7&lt;=17,IF(入力データ!$J$26="私立",前提条件!$C$28,前提条件!$C$27),IF(Z7&lt;=21,IF(入力データ!$K$26="国公立",前提条件!$C$29,IF(入力データ!$K$26="私立理系",前提条件!$C$31,前提条件!$C$30))+IF(入力データ!$L$26="下宿",前提条件!$C$32,0)+IF(Z7=18,前提条件!$C$33,0),0))))))+IF(Z8="",0,IF(Z8&lt;=5,IF(入力データ!$G$27="私立",前提条件!$C$22,前提条件!$C$21),IF(Z8&lt;=11,IF(入力データ!$H$27="私立",前提条件!$C$24,前提条件!$C$23),IF(Z8&lt;=14,IF(入力データ!$I$27="私立",前提条件!$C$26,前提条件!$C$25),IF(Z8&lt;=17,IF(入力データ!$J$27="私立",前提条件!$C$28,前提条件!$C$27),IF(Z8&lt;=21,IF(入力データ!$K$27="国公立",前提条件!$C$29,IF(入力データ!$K$27="私立理系",前提条件!$C$31,前提条件!$C$30))+IF(入力データ!$L$27="下宿",前提条件!$C$32,0)+IF(Z8=18,前提条件!$C$33,0),0)))))))*(1+前提条件!$C$13)^(Z$3-$B$3))</f>
        <v/>
      </c>
      <c r="AA24" s="352">
        <f>IF(AA$3="","",((SUM(入力データ!$C$58:$C$61)*12)+IF(AA6="",0,IF(AA6&lt;=5,IF(入力データ!$G$25="私立",前提条件!$C$22,前提条件!$C$21),IF(AA6&lt;=11,IF(入力データ!$H$25="私立",前提条件!$C$24,前提条件!$C$23),IF(AA6&lt;=14,IF(入力データ!$I$25="私立",前提条件!$C$26,前提条件!$C$25),IF(AA6&lt;=17,IF(入力データ!$J$25="私立",前提条件!$C$28,前提条件!$C$27),IF(AA6&lt;=21,IF(入力データ!$K$25="国公立",前提条件!$C$29,IF(入力データ!$K$25="私立理系",前提条件!$C$31,前提条件!$C$30))+IF(入力データ!$L$25="下宿",前提条件!$C$32,0)+IF(AA6=18,前提条件!$C$33,0),0))))))+IF(AA7="",0,IF(AA7&lt;=5,IF(入力データ!$G$26="私立",前提条件!$C$22,前提条件!$C$21),IF(AA7&lt;=11,IF(入力データ!$H$26="私立",前提条件!$C$24,前提条件!$C$23),IF(AA7&lt;=14,IF(入力データ!$I$26="私立",前提条件!$C$26,前提条件!$C$25),IF(AA7&lt;=17,IF(入力データ!$J$26="私立",前提条件!$C$28,前提条件!$C$27),IF(AA7&lt;=21,IF(入力データ!$K$26="国公立",前提条件!$C$29,IF(入力データ!$K$26="私立理系",前提条件!$C$31,前提条件!$C$30))+IF(入力データ!$L$26="下宿",前提条件!$C$32,0)+IF(AA7=18,前提条件!$C$33,0),0))))))+IF(AA8="",0,IF(AA8&lt;=5,IF(入力データ!$G$27="私立",前提条件!$C$22,前提条件!$C$21),IF(AA8&lt;=11,IF(入力データ!$H$27="私立",前提条件!$C$24,前提条件!$C$23),IF(AA8&lt;=14,IF(入力データ!$I$27="私立",前提条件!$C$26,前提条件!$C$25),IF(AA8&lt;=17,IF(入力データ!$J$27="私立",前提条件!$C$28,前提条件!$C$27),IF(AA8&lt;=21,IF(入力データ!$K$27="国公立",前提条件!$C$29,IF(入力データ!$K$27="私立理系",前提条件!$C$31,前提条件!$C$30))+IF(入力データ!$L$27="下宿",前提条件!$C$32,0)+IF(AA8=18,前提条件!$C$33,0),0)))))))*(1+前提条件!$C$13)^(AA$3-$B$3))</f>
        <v/>
      </c>
      <c r="AB24" s="352">
        <f>IF(AB$3="","",((SUM(入力データ!$C$58:$C$61)*12)+IF(AB6="",0,IF(AB6&lt;=5,IF(入力データ!$G$25="私立",前提条件!$C$22,前提条件!$C$21),IF(AB6&lt;=11,IF(入力データ!$H$25="私立",前提条件!$C$24,前提条件!$C$23),IF(AB6&lt;=14,IF(入力データ!$I$25="私立",前提条件!$C$26,前提条件!$C$25),IF(AB6&lt;=17,IF(入力データ!$J$25="私立",前提条件!$C$28,前提条件!$C$27),IF(AB6&lt;=21,IF(入力データ!$K$25="国公立",前提条件!$C$29,IF(入力データ!$K$25="私立理系",前提条件!$C$31,前提条件!$C$30))+IF(入力データ!$L$25="下宿",前提条件!$C$32,0)+IF(AB6=18,前提条件!$C$33,0),0))))))+IF(AB7="",0,IF(AB7&lt;=5,IF(入力データ!$G$26="私立",前提条件!$C$22,前提条件!$C$21),IF(AB7&lt;=11,IF(入力データ!$H$26="私立",前提条件!$C$24,前提条件!$C$23),IF(AB7&lt;=14,IF(入力データ!$I$26="私立",前提条件!$C$26,前提条件!$C$25),IF(AB7&lt;=17,IF(入力データ!$J$26="私立",前提条件!$C$28,前提条件!$C$27),IF(AB7&lt;=21,IF(入力データ!$K$26="国公立",前提条件!$C$29,IF(入力データ!$K$26="私立理系",前提条件!$C$31,前提条件!$C$30))+IF(入力データ!$L$26="下宿",前提条件!$C$32,0)+IF(AB7=18,前提条件!$C$33,0),0))))))+IF(AB8="",0,IF(AB8&lt;=5,IF(入力データ!$G$27="私立",前提条件!$C$22,前提条件!$C$21),IF(AB8&lt;=11,IF(入力データ!$H$27="私立",前提条件!$C$24,前提条件!$C$23),IF(AB8&lt;=14,IF(入力データ!$I$27="私立",前提条件!$C$26,前提条件!$C$25),IF(AB8&lt;=17,IF(入力データ!$J$27="私立",前提条件!$C$28,前提条件!$C$27),IF(AB8&lt;=21,IF(入力データ!$K$27="国公立",前提条件!$C$29,IF(入力データ!$K$27="私立理系",前提条件!$C$31,前提条件!$C$30))+IF(入力データ!$L$27="下宿",前提条件!$C$32,0)+IF(AB8=18,前提条件!$C$33,0),0)))))))*(1+前提条件!$C$13)^(AB$3-$B$3))</f>
        <v/>
      </c>
      <c r="AC24" s="352">
        <f>IF(AC$3="","",((SUM(入力データ!$C$58:$C$61)*12)+IF(AC6="",0,IF(AC6&lt;=5,IF(入力データ!$G$25="私立",前提条件!$C$22,前提条件!$C$21),IF(AC6&lt;=11,IF(入力データ!$H$25="私立",前提条件!$C$24,前提条件!$C$23),IF(AC6&lt;=14,IF(入力データ!$I$25="私立",前提条件!$C$26,前提条件!$C$25),IF(AC6&lt;=17,IF(入力データ!$J$25="私立",前提条件!$C$28,前提条件!$C$27),IF(AC6&lt;=21,IF(入力データ!$K$25="国公立",前提条件!$C$29,IF(入力データ!$K$25="私立理系",前提条件!$C$31,前提条件!$C$30))+IF(入力データ!$L$25="下宿",前提条件!$C$32,0)+IF(AC6=18,前提条件!$C$33,0),0))))))+IF(AC7="",0,IF(AC7&lt;=5,IF(入力データ!$G$26="私立",前提条件!$C$22,前提条件!$C$21),IF(AC7&lt;=11,IF(入力データ!$H$26="私立",前提条件!$C$24,前提条件!$C$23),IF(AC7&lt;=14,IF(入力データ!$I$26="私立",前提条件!$C$26,前提条件!$C$25),IF(AC7&lt;=17,IF(入力データ!$J$26="私立",前提条件!$C$28,前提条件!$C$27),IF(AC7&lt;=21,IF(入力データ!$K$26="国公立",前提条件!$C$29,IF(入力データ!$K$26="私立理系",前提条件!$C$31,前提条件!$C$30))+IF(入力データ!$L$26="下宿",前提条件!$C$32,0)+IF(AC7=18,前提条件!$C$33,0),0))))))+IF(AC8="",0,IF(AC8&lt;=5,IF(入力データ!$G$27="私立",前提条件!$C$22,前提条件!$C$21),IF(AC8&lt;=11,IF(入力データ!$H$27="私立",前提条件!$C$24,前提条件!$C$23),IF(AC8&lt;=14,IF(入力データ!$I$27="私立",前提条件!$C$26,前提条件!$C$25),IF(AC8&lt;=17,IF(入力データ!$J$27="私立",前提条件!$C$28,前提条件!$C$27),IF(AC8&lt;=21,IF(入力データ!$K$27="国公立",前提条件!$C$29,IF(入力データ!$K$27="私立理系",前提条件!$C$31,前提条件!$C$30))+IF(入力データ!$L$27="下宿",前提条件!$C$32,0)+IF(AC8=18,前提条件!$C$33,0),0)))))))*(1+前提条件!$C$13)^(AC$3-$B$3))</f>
        <v/>
      </c>
      <c r="AD24" s="352">
        <f>IF(AD$3="","",((SUM(入力データ!$C$58:$C$61)*12)+IF(AD6="",0,IF(AD6&lt;=5,IF(入力データ!$G$25="私立",前提条件!$C$22,前提条件!$C$21),IF(AD6&lt;=11,IF(入力データ!$H$25="私立",前提条件!$C$24,前提条件!$C$23),IF(AD6&lt;=14,IF(入力データ!$I$25="私立",前提条件!$C$26,前提条件!$C$25),IF(AD6&lt;=17,IF(入力データ!$J$25="私立",前提条件!$C$28,前提条件!$C$27),IF(AD6&lt;=21,IF(入力データ!$K$25="国公立",前提条件!$C$29,IF(入力データ!$K$25="私立理系",前提条件!$C$31,前提条件!$C$30))+IF(入力データ!$L$25="下宿",前提条件!$C$32,0)+IF(AD6=18,前提条件!$C$33,0),0))))))+IF(AD7="",0,IF(AD7&lt;=5,IF(入力データ!$G$26="私立",前提条件!$C$22,前提条件!$C$21),IF(AD7&lt;=11,IF(入力データ!$H$26="私立",前提条件!$C$24,前提条件!$C$23),IF(AD7&lt;=14,IF(入力データ!$I$26="私立",前提条件!$C$26,前提条件!$C$25),IF(AD7&lt;=17,IF(入力データ!$J$26="私立",前提条件!$C$28,前提条件!$C$27),IF(AD7&lt;=21,IF(入力データ!$K$26="国公立",前提条件!$C$29,IF(入力データ!$K$26="私立理系",前提条件!$C$31,前提条件!$C$30))+IF(入力データ!$L$26="下宿",前提条件!$C$32,0)+IF(AD7=18,前提条件!$C$33,0),0))))))+IF(AD8="",0,IF(AD8&lt;=5,IF(入力データ!$G$27="私立",前提条件!$C$22,前提条件!$C$21),IF(AD8&lt;=11,IF(入力データ!$H$27="私立",前提条件!$C$24,前提条件!$C$23),IF(AD8&lt;=14,IF(入力データ!$I$27="私立",前提条件!$C$26,前提条件!$C$25),IF(AD8&lt;=17,IF(入力データ!$J$27="私立",前提条件!$C$28,前提条件!$C$27),IF(AD8&lt;=21,IF(入力データ!$K$27="国公立",前提条件!$C$29,IF(入力データ!$K$27="私立理系",前提条件!$C$31,前提条件!$C$30))+IF(入力データ!$L$27="下宿",前提条件!$C$32,0)+IF(AD8=18,前提条件!$C$33,0),0)))))))*(1+前提条件!$C$13)^(AD$3-$B$3))</f>
        <v/>
      </c>
      <c r="AE24" s="352">
        <f>IF(AE$3="","",((SUM(入力データ!$C$58:$C$61)*12)+IF(AE6="",0,IF(AE6&lt;=5,IF(入力データ!$G$25="私立",前提条件!$C$22,前提条件!$C$21),IF(AE6&lt;=11,IF(入力データ!$H$25="私立",前提条件!$C$24,前提条件!$C$23),IF(AE6&lt;=14,IF(入力データ!$I$25="私立",前提条件!$C$26,前提条件!$C$25),IF(AE6&lt;=17,IF(入力データ!$J$25="私立",前提条件!$C$28,前提条件!$C$27),IF(AE6&lt;=21,IF(入力データ!$K$25="国公立",前提条件!$C$29,IF(入力データ!$K$25="私立理系",前提条件!$C$31,前提条件!$C$30))+IF(入力データ!$L$25="下宿",前提条件!$C$32,0)+IF(AE6=18,前提条件!$C$33,0),0))))))+IF(AE7="",0,IF(AE7&lt;=5,IF(入力データ!$G$26="私立",前提条件!$C$22,前提条件!$C$21),IF(AE7&lt;=11,IF(入力データ!$H$26="私立",前提条件!$C$24,前提条件!$C$23),IF(AE7&lt;=14,IF(入力データ!$I$26="私立",前提条件!$C$26,前提条件!$C$25),IF(AE7&lt;=17,IF(入力データ!$J$26="私立",前提条件!$C$28,前提条件!$C$27),IF(AE7&lt;=21,IF(入力データ!$K$26="国公立",前提条件!$C$29,IF(入力データ!$K$26="私立理系",前提条件!$C$31,前提条件!$C$30))+IF(入力データ!$L$26="下宿",前提条件!$C$32,0)+IF(AE7=18,前提条件!$C$33,0),0))))))+IF(AE8="",0,IF(AE8&lt;=5,IF(入力データ!$G$27="私立",前提条件!$C$22,前提条件!$C$21),IF(AE8&lt;=11,IF(入力データ!$H$27="私立",前提条件!$C$24,前提条件!$C$23),IF(AE8&lt;=14,IF(入力データ!$I$27="私立",前提条件!$C$26,前提条件!$C$25),IF(AE8&lt;=17,IF(入力データ!$J$27="私立",前提条件!$C$28,前提条件!$C$27),IF(AE8&lt;=21,IF(入力データ!$K$27="国公立",前提条件!$C$29,IF(入力データ!$K$27="私立理系",前提条件!$C$31,前提条件!$C$30))+IF(入力データ!$L$27="下宿",前提条件!$C$32,0)+IF(AE8=18,前提条件!$C$33,0),0)))))))*(1+前提条件!$C$13)^(AE$3-$B$3))</f>
        <v/>
      </c>
      <c r="AF24" s="352">
        <f>IF(AF$3="","",((SUM(入力データ!$C$58:$C$61)*12)+IF(AF6="",0,IF(AF6&lt;=5,IF(入力データ!$G$25="私立",前提条件!$C$22,前提条件!$C$21),IF(AF6&lt;=11,IF(入力データ!$H$25="私立",前提条件!$C$24,前提条件!$C$23),IF(AF6&lt;=14,IF(入力データ!$I$25="私立",前提条件!$C$26,前提条件!$C$25),IF(AF6&lt;=17,IF(入力データ!$J$25="私立",前提条件!$C$28,前提条件!$C$27),IF(AF6&lt;=21,IF(入力データ!$K$25="国公立",前提条件!$C$29,IF(入力データ!$K$25="私立理系",前提条件!$C$31,前提条件!$C$30))+IF(入力データ!$L$25="下宿",前提条件!$C$32,0)+IF(AF6=18,前提条件!$C$33,0),0))))))+IF(AF7="",0,IF(AF7&lt;=5,IF(入力データ!$G$26="私立",前提条件!$C$22,前提条件!$C$21),IF(AF7&lt;=11,IF(入力データ!$H$26="私立",前提条件!$C$24,前提条件!$C$23),IF(AF7&lt;=14,IF(入力データ!$I$26="私立",前提条件!$C$26,前提条件!$C$25),IF(AF7&lt;=17,IF(入力データ!$J$26="私立",前提条件!$C$28,前提条件!$C$27),IF(AF7&lt;=21,IF(入力データ!$K$26="国公立",前提条件!$C$29,IF(入力データ!$K$26="私立理系",前提条件!$C$31,前提条件!$C$30))+IF(入力データ!$L$26="下宿",前提条件!$C$32,0)+IF(AF7=18,前提条件!$C$33,0),0))))))+IF(AF8="",0,IF(AF8&lt;=5,IF(入力データ!$G$27="私立",前提条件!$C$22,前提条件!$C$21),IF(AF8&lt;=11,IF(入力データ!$H$27="私立",前提条件!$C$24,前提条件!$C$23),IF(AF8&lt;=14,IF(入力データ!$I$27="私立",前提条件!$C$26,前提条件!$C$25),IF(AF8&lt;=17,IF(入力データ!$J$27="私立",前提条件!$C$28,前提条件!$C$27),IF(AF8&lt;=21,IF(入力データ!$K$27="国公立",前提条件!$C$29,IF(入力データ!$K$27="私立理系",前提条件!$C$31,前提条件!$C$30))+IF(入力データ!$L$27="下宿",前提条件!$C$32,0)+IF(AF8=18,前提条件!$C$33,0),0)))))))*(1+前提条件!$C$13)^(AF$3-$B$3))</f>
        <v/>
      </c>
      <c r="AG24" s="352">
        <f>IF(AG$3="","",((SUM(入力データ!$C$58:$C$61)*12)+IF(AG6="",0,IF(AG6&lt;=5,IF(入力データ!$G$25="私立",前提条件!$C$22,前提条件!$C$21),IF(AG6&lt;=11,IF(入力データ!$H$25="私立",前提条件!$C$24,前提条件!$C$23),IF(AG6&lt;=14,IF(入力データ!$I$25="私立",前提条件!$C$26,前提条件!$C$25),IF(AG6&lt;=17,IF(入力データ!$J$25="私立",前提条件!$C$28,前提条件!$C$27),IF(AG6&lt;=21,IF(入力データ!$K$25="国公立",前提条件!$C$29,IF(入力データ!$K$25="私立理系",前提条件!$C$31,前提条件!$C$30))+IF(入力データ!$L$25="下宿",前提条件!$C$32,0)+IF(AG6=18,前提条件!$C$33,0),0))))))+IF(AG7="",0,IF(AG7&lt;=5,IF(入力データ!$G$26="私立",前提条件!$C$22,前提条件!$C$21),IF(AG7&lt;=11,IF(入力データ!$H$26="私立",前提条件!$C$24,前提条件!$C$23),IF(AG7&lt;=14,IF(入力データ!$I$26="私立",前提条件!$C$26,前提条件!$C$25),IF(AG7&lt;=17,IF(入力データ!$J$26="私立",前提条件!$C$28,前提条件!$C$27),IF(AG7&lt;=21,IF(入力データ!$K$26="国公立",前提条件!$C$29,IF(入力データ!$K$26="私立理系",前提条件!$C$31,前提条件!$C$30))+IF(入力データ!$L$26="下宿",前提条件!$C$32,0)+IF(AG7=18,前提条件!$C$33,0),0))))))+IF(AG8="",0,IF(AG8&lt;=5,IF(入力データ!$G$27="私立",前提条件!$C$22,前提条件!$C$21),IF(AG8&lt;=11,IF(入力データ!$H$27="私立",前提条件!$C$24,前提条件!$C$23),IF(AG8&lt;=14,IF(入力データ!$I$27="私立",前提条件!$C$26,前提条件!$C$25),IF(AG8&lt;=17,IF(入力データ!$J$27="私立",前提条件!$C$28,前提条件!$C$27),IF(AG8&lt;=21,IF(入力データ!$K$27="国公立",前提条件!$C$29,IF(入力データ!$K$27="私立理系",前提条件!$C$31,前提条件!$C$30))+IF(入力データ!$L$27="下宿",前提条件!$C$32,0)+IF(AG8=18,前提条件!$C$33,0),0)))))))*(1+前提条件!$C$13)^(AG$3-$B$3))</f>
        <v/>
      </c>
      <c r="AH24" s="352">
        <f>IF(AH$3="","",((SUM(入力データ!$C$58:$C$61)*12)+IF(AH6="",0,IF(AH6&lt;=5,IF(入力データ!$G$25="私立",前提条件!$C$22,前提条件!$C$21),IF(AH6&lt;=11,IF(入力データ!$H$25="私立",前提条件!$C$24,前提条件!$C$23),IF(AH6&lt;=14,IF(入力データ!$I$25="私立",前提条件!$C$26,前提条件!$C$25),IF(AH6&lt;=17,IF(入力データ!$J$25="私立",前提条件!$C$28,前提条件!$C$27),IF(AH6&lt;=21,IF(入力データ!$K$25="国公立",前提条件!$C$29,IF(入力データ!$K$25="私立理系",前提条件!$C$31,前提条件!$C$30))+IF(入力データ!$L$25="下宿",前提条件!$C$32,0)+IF(AH6=18,前提条件!$C$33,0),0))))))+IF(AH7="",0,IF(AH7&lt;=5,IF(入力データ!$G$26="私立",前提条件!$C$22,前提条件!$C$21),IF(AH7&lt;=11,IF(入力データ!$H$26="私立",前提条件!$C$24,前提条件!$C$23),IF(AH7&lt;=14,IF(入力データ!$I$26="私立",前提条件!$C$26,前提条件!$C$25),IF(AH7&lt;=17,IF(入力データ!$J$26="私立",前提条件!$C$28,前提条件!$C$27),IF(AH7&lt;=21,IF(入力データ!$K$26="国公立",前提条件!$C$29,IF(入力データ!$K$26="私立理系",前提条件!$C$31,前提条件!$C$30))+IF(入力データ!$L$26="下宿",前提条件!$C$32,0)+IF(AH7=18,前提条件!$C$33,0),0))))))+IF(AH8="",0,IF(AH8&lt;=5,IF(入力データ!$G$27="私立",前提条件!$C$22,前提条件!$C$21),IF(AH8&lt;=11,IF(入力データ!$H$27="私立",前提条件!$C$24,前提条件!$C$23),IF(AH8&lt;=14,IF(入力データ!$I$27="私立",前提条件!$C$26,前提条件!$C$25),IF(AH8&lt;=17,IF(入力データ!$J$27="私立",前提条件!$C$28,前提条件!$C$27),IF(AH8&lt;=21,IF(入力データ!$K$27="国公立",前提条件!$C$29,IF(入力データ!$K$27="私立理系",前提条件!$C$31,前提条件!$C$30))+IF(入力データ!$L$27="下宿",前提条件!$C$32,0)+IF(AH8=18,前提条件!$C$33,0),0)))))))*(1+前提条件!$C$13)^(AH$3-$B$3))</f>
        <v/>
      </c>
      <c r="AI24" s="352">
        <f>IF(AI$3="","",((SUM(入力データ!$C$58:$C$61)*12)+IF(AI6="",0,IF(AI6&lt;=5,IF(入力データ!$G$25="私立",前提条件!$C$22,前提条件!$C$21),IF(AI6&lt;=11,IF(入力データ!$H$25="私立",前提条件!$C$24,前提条件!$C$23),IF(AI6&lt;=14,IF(入力データ!$I$25="私立",前提条件!$C$26,前提条件!$C$25),IF(AI6&lt;=17,IF(入力データ!$J$25="私立",前提条件!$C$28,前提条件!$C$27),IF(AI6&lt;=21,IF(入力データ!$K$25="国公立",前提条件!$C$29,IF(入力データ!$K$25="私立理系",前提条件!$C$31,前提条件!$C$30))+IF(入力データ!$L$25="下宿",前提条件!$C$32,0)+IF(AI6=18,前提条件!$C$33,0),0))))))+IF(AI7="",0,IF(AI7&lt;=5,IF(入力データ!$G$26="私立",前提条件!$C$22,前提条件!$C$21),IF(AI7&lt;=11,IF(入力データ!$H$26="私立",前提条件!$C$24,前提条件!$C$23),IF(AI7&lt;=14,IF(入力データ!$I$26="私立",前提条件!$C$26,前提条件!$C$25),IF(AI7&lt;=17,IF(入力データ!$J$26="私立",前提条件!$C$28,前提条件!$C$27),IF(AI7&lt;=21,IF(入力データ!$K$26="国公立",前提条件!$C$29,IF(入力データ!$K$26="私立理系",前提条件!$C$31,前提条件!$C$30))+IF(入力データ!$L$26="下宿",前提条件!$C$32,0)+IF(AI7=18,前提条件!$C$33,0),0))))))+IF(AI8="",0,IF(AI8&lt;=5,IF(入力データ!$G$27="私立",前提条件!$C$22,前提条件!$C$21),IF(AI8&lt;=11,IF(入力データ!$H$27="私立",前提条件!$C$24,前提条件!$C$23),IF(AI8&lt;=14,IF(入力データ!$I$27="私立",前提条件!$C$26,前提条件!$C$25),IF(AI8&lt;=17,IF(入力データ!$J$27="私立",前提条件!$C$28,前提条件!$C$27),IF(AI8&lt;=21,IF(入力データ!$K$27="国公立",前提条件!$C$29,IF(入力データ!$K$27="私立理系",前提条件!$C$31,前提条件!$C$30))+IF(入力データ!$L$27="下宿",前提条件!$C$32,0)+IF(AI8=18,前提条件!$C$33,0),0)))))))*(1+前提条件!$C$13)^(AI$3-$B$3))</f>
        <v/>
      </c>
      <c r="AJ24" s="352">
        <f>IF(AJ$3="","",((SUM(入力データ!$C$58:$C$61)*12)+IF(AJ6="",0,IF(AJ6&lt;=5,IF(入力データ!$G$25="私立",前提条件!$C$22,前提条件!$C$21),IF(AJ6&lt;=11,IF(入力データ!$H$25="私立",前提条件!$C$24,前提条件!$C$23),IF(AJ6&lt;=14,IF(入力データ!$I$25="私立",前提条件!$C$26,前提条件!$C$25),IF(AJ6&lt;=17,IF(入力データ!$J$25="私立",前提条件!$C$28,前提条件!$C$27),IF(AJ6&lt;=21,IF(入力データ!$K$25="国公立",前提条件!$C$29,IF(入力データ!$K$25="私立理系",前提条件!$C$31,前提条件!$C$30))+IF(入力データ!$L$25="下宿",前提条件!$C$32,0)+IF(AJ6=18,前提条件!$C$33,0),0))))))+IF(AJ7="",0,IF(AJ7&lt;=5,IF(入力データ!$G$26="私立",前提条件!$C$22,前提条件!$C$21),IF(AJ7&lt;=11,IF(入力データ!$H$26="私立",前提条件!$C$24,前提条件!$C$23),IF(AJ7&lt;=14,IF(入力データ!$I$26="私立",前提条件!$C$26,前提条件!$C$25),IF(AJ7&lt;=17,IF(入力データ!$J$26="私立",前提条件!$C$28,前提条件!$C$27),IF(AJ7&lt;=21,IF(入力データ!$K$26="国公立",前提条件!$C$29,IF(入力データ!$K$26="私立理系",前提条件!$C$31,前提条件!$C$30))+IF(入力データ!$L$26="下宿",前提条件!$C$32,0)+IF(AJ7=18,前提条件!$C$33,0),0))))))+IF(AJ8="",0,IF(AJ8&lt;=5,IF(入力データ!$G$27="私立",前提条件!$C$22,前提条件!$C$21),IF(AJ8&lt;=11,IF(入力データ!$H$27="私立",前提条件!$C$24,前提条件!$C$23),IF(AJ8&lt;=14,IF(入力データ!$I$27="私立",前提条件!$C$26,前提条件!$C$25),IF(AJ8&lt;=17,IF(入力データ!$J$27="私立",前提条件!$C$28,前提条件!$C$27),IF(AJ8&lt;=21,IF(入力データ!$K$27="国公立",前提条件!$C$29,IF(入力データ!$K$27="私立理系",前提条件!$C$31,前提条件!$C$30))+IF(入力データ!$L$27="下宿",前提条件!$C$32,0)+IF(AJ8=18,前提条件!$C$33,0),0)))))))*(1+前提条件!$C$13)^(AJ$3-$B$3))</f>
        <v/>
      </c>
      <c r="AK24" s="352">
        <f>IF(AK$3="","",((SUM(入力データ!$C$58:$C$61)*12)+IF(AK6="",0,IF(AK6&lt;=5,IF(入力データ!$G$25="私立",前提条件!$C$22,前提条件!$C$21),IF(AK6&lt;=11,IF(入力データ!$H$25="私立",前提条件!$C$24,前提条件!$C$23),IF(AK6&lt;=14,IF(入力データ!$I$25="私立",前提条件!$C$26,前提条件!$C$25),IF(AK6&lt;=17,IF(入力データ!$J$25="私立",前提条件!$C$28,前提条件!$C$27),IF(AK6&lt;=21,IF(入力データ!$K$25="国公立",前提条件!$C$29,IF(入力データ!$K$25="私立理系",前提条件!$C$31,前提条件!$C$30))+IF(入力データ!$L$25="下宿",前提条件!$C$32,0)+IF(AK6=18,前提条件!$C$33,0),0))))))+IF(AK7="",0,IF(AK7&lt;=5,IF(入力データ!$G$26="私立",前提条件!$C$22,前提条件!$C$21),IF(AK7&lt;=11,IF(入力データ!$H$26="私立",前提条件!$C$24,前提条件!$C$23),IF(AK7&lt;=14,IF(入力データ!$I$26="私立",前提条件!$C$26,前提条件!$C$25),IF(AK7&lt;=17,IF(入力データ!$J$26="私立",前提条件!$C$28,前提条件!$C$27),IF(AK7&lt;=21,IF(入力データ!$K$26="国公立",前提条件!$C$29,IF(入力データ!$K$26="私立理系",前提条件!$C$31,前提条件!$C$30))+IF(入力データ!$L$26="下宿",前提条件!$C$32,0)+IF(AK7=18,前提条件!$C$33,0),0))))))+IF(AK8="",0,IF(AK8&lt;=5,IF(入力データ!$G$27="私立",前提条件!$C$22,前提条件!$C$21),IF(AK8&lt;=11,IF(入力データ!$H$27="私立",前提条件!$C$24,前提条件!$C$23),IF(AK8&lt;=14,IF(入力データ!$I$27="私立",前提条件!$C$26,前提条件!$C$25),IF(AK8&lt;=17,IF(入力データ!$J$27="私立",前提条件!$C$28,前提条件!$C$27),IF(AK8&lt;=21,IF(入力データ!$K$27="国公立",前提条件!$C$29,IF(入力データ!$K$27="私立理系",前提条件!$C$31,前提条件!$C$30))+IF(入力データ!$L$27="下宿",前提条件!$C$32,0)+IF(AK8=18,前提条件!$C$33,0),0)))))))*(1+前提条件!$C$13)^(AK$3-$B$3))</f>
        <v/>
      </c>
      <c r="AL24" s="352">
        <f>IF(AL$3="","",((SUM(入力データ!$C$58:$C$61)*12)+IF(AL6="",0,IF(AL6&lt;=5,IF(入力データ!$G$25="私立",前提条件!$C$22,前提条件!$C$21),IF(AL6&lt;=11,IF(入力データ!$H$25="私立",前提条件!$C$24,前提条件!$C$23),IF(AL6&lt;=14,IF(入力データ!$I$25="私立",前提条件!$C$26,前提条件!$C$25),IF(AL6&lt;=17,IF(入力データ!$J$25="私立",前提条件!$C$28,前提条件!$C$27),IF(AL6&lt;=21,IF(入力データ!$K$25="国公立",前提条件!$C$29,IF(入力データ!$K$25="私立理系",前提条件!$C$31,前提条件!$C$30))+IF(入力データ!$L$25="下宿",前提条件!$C$32,0)+IF(AL6=18,前提条件!$C$33,0),0))))))+IF(AL7="",0,IF(AL7&lt;=5,IF(入力データ!$G$26="私立",前提条件!$C$22,前提条件!$C$21),IF(AL7&lt;=11,IF(入力データ!$H$26="私立",前提条件!$C$24,前提条件!$C$23),IF(AL7&lt;=14,IF(入力データ!$I$26="私立",前提条件!$C$26,前提条件!$C$25),IF(AL7&lt;=17,IF(入力データ!$J$26="私立",前提条件!$C$28,前提条件!$C$27),IF(AL7&lt;=21,IF(入力データ!$K$26="国公立",前提条件!$C$29,IF(入力データ!$K$26="私立理系",前提条件!$C$31,前提条件!$C$30))+IF(入力データ!$L$26="下宿",前提条件!$C$32,0)+IF(AL7=18,前提条件!$C$33,0),0))))))+IF(AL8="",0,IF(AL8&lt;=5,IF(入力データ!$G$27="私立",前提条件!$C$22,前提条件!$C$21),IF(AL8&lt;=11,IF(入力データ!$H$27="私立",前提条件!$C$24,前提条件!$C$23),IF(AL8&lt;=14,IF(入力データ!$I$27="私立",前提条件!$C$26,前提条件!$C$25),IF(AL8&lt;=17,IF(入力データ!$J$27="私立",前提条件!$C$28,前提条件!$C$27),IF(AL8&lt;=21,IF(入力データ!$K$27="国公立",前提条件!$C$29,IF(入力データ!$K$27="私立理系",前提条件!$C$31,前提条件!$C$30))+IF(入力データ!$L$27="下宿",前提条件!$C$32,0)+IF(AL8=18,前提条件!$C$33,0),0)))))))*(1+前提条件!$C$13)^(AL$3-$B$3))</f>
        <v/>
      </c>
      <c r="AM24" s="352">
        <f>IF(AM$3="","",((SUM(入力データ!$C$58:$C$61)*12)+IF(AM6="",0,IF(AM6&lt;=5,IF(入力データ!$G$25="私立",前提条件!$C$22,前提条件!$C$21),IF(AM6&lt;=11,IF(入力データ!$H$25="私立",前提条件!$C$24,前提条件!$C$23),IF(AM6&lt;=14,IF(入力データ!$I$25="私立",前提条件!$C$26,前提条件!$C$25),IF(AM6&lt;=17,IF(入力データ!$J$25="私立",前提条件!$C$28,前提条件!$C$27),IF(AM6&lt;=21,IF(入力データ!$K$25="国公立",前提条件!$C$29,IF(入力データ!$K$25="私立理系",前提条件!$C$31,前提条件!$C$30))+IF(入力データ!$L$25="下宿",前提条件!$C$32,0)+IF(AM6=18,前提条件!$C$33,0),0))))))+IF(AM7="",0,IF(AM7&lt;=5,IF(入力データ!$G$26="私立",前提条件!$C$22,前提条件!$C$21),IF(AM7&lt;=11,IF(入力データ!$H$26="私立",前提条件!$C$24,前提条件!$C$23),IF(AM7&lt;=14,IF(入力データ!$I$26="私立",前提条件!$C$26,前提条件!$C$25),IF(AM7&lt;=17,IF(入力データ!$J$26="私立",前提条件!$C$28,前提条件!$C$27),IF(AM7&lt;=21,IF(入力データ!$K$26="国公立",前提条件!$C$29,IF(入力データ!$K$26="私立理系",前提条件!$C$31,前提条件!$C$30))+IF(入力データ!$L$26="下宿",前提条件!$C$32,0)+IF(AM7=18,前提条件!$C$33,0),0))))))+IF(AM8="",0,IF(AM8&lt;=5,IF(入力データ!$G$27="私立",前提条件!$C$22,前提条件!$C$21),IF(AM8&lt;=11,IF(入力データ!$H$27="私立",前提条件!$C$24,前提条件!$C$23),IF(AM8&lt;=14,IF(入力データ!$I$27="私立",前提条件!$C$26,前提条件!$C$25),IF(AM8&lt;=17,IF(入力データ!$J$27="私立",前提条件!$C$28,前提条件!$C$27),IF(AM8&lt;=21,IF(入力データ!$K$27="国公立",前提条件!$C$29,IF(入力データ!$K$27="私立理系",前提条件!$C$31,前提条件!$C$30))+IF(入力データ!$L$27="下宿",前提条件!$C$32,0)+IF(AM8=18,前提条件!$C$33,0),0)))))))*(1+前提条件!$C$13)^(AM$3-$B$3))</f>
        <v/>
      </c>
      <c r="AN24" s="352">
        <f>IF(AN$3="","",((SUM(入力データ!$C$58:$C$61)*12)+IF(AN6="",0,IF(AN6&lt;=5,IF(入力データ!$G$25="私立",前提条件!$C$22,前提条件!$C$21),IF(AN6&lt;=11,IF(入力データ!$H$25="私立",前提条件!$C$24,前提条件!$C$23),IF(AN6&lt;=14,IF(入力データ!$I$25="私立",前提条件!$C$26,前提条件!$C$25),IF(AN6&lt;=17,IF(入力データ!$J$25="私立",前提条件!$C$28,前提条件!$C$27),IF(AN6&lt;=21,IF(入力データ!$K$25="国公立",前提条件!$C$29,IF(入力データ!$K$25="私立理系",前提条件!$C$31,前提条件!$C$30))+IF(入力データ!$L$25="下宿",前提条件!$C$32,0)+IF(AN6=18,前提条件!$C$33,0),0))))))+IF(AN7="",0,IF(AN7&lt;=5,IF(入力データ!$G$26="私立",前提条件!$C$22,前提条件!$C$21),IF(AN7&lt;=11,IF(入力データ!$H$26="私立",前提条件!$C$24,前提条件!$C$23),IF(AN7&lt;=14,IF(入力データ!$I$26="私立",前提条件!$C$26,前提条件!$C$25),IF(AN7&lt;=17,IF(入力データ!$J$26="私立",前提条件!$C$28,前提条件!$C$27),IF(AN7&lt;=21,IF(入力データ!$K$26="国公立",前提条件!$C$29,IF(入力データ!$K$26="私立理系",前提条件!$C$31,前提条件!$C$30))+IF(入力データ!$L$26="下宿",前提条件!$C$32,0)+IF(AN7=18,前提条件!$C$33,0),0))))))+IF(AN8="",0,IF(AN8&lt;=5,IF(入力データ!$G$27="私立",前提条件!$C$22,前提条件!$C$21),IF(AN8&lt;=11,IF(入力データ!$H$27="私立",前提条件!$C$24,前提条件!$C$23),IF(AN8&lt;=14,IF(入力データ!$I$27="私立",前提条件!$C$26,前提条件!$C$25),IF(AN8&lt;=17,IF(入力データ!$J$27="私立",前提条件!$C$28,前提条件!$C$27),IF(AN8&lt;=21,IF(入力データ!$K$27="国公立",前提条件!$C$29,IF(入力データ!$K$27="私立理系",前提条件!$C$31,前提条件!$C$30))+IF(入力データ!$L$27="下宿",前提条件!$C$32,0)+IF(AN8=18,前提条件!$C$33,0),0)))))))*(1+前提条件!$C$13)^(AN$3-$B$3))</f>
        <v/>
      </c>
      <c r="AO24" s="352">
        <f>IF(AO$3="","",((SUM(入力データ!$C$58:$C$61)*12)+IF(AO6="",0,IF(AO6&lt;=5,IF(入力データ!$G$25="私立",前提条件!$C$22,前提条件!$C$21),IF(AO6&lt;=11,IF(入力データ!$H$25="私立",前提条件!$C$24,前提条件!$C$23),IF(AO6&lt;=14,IF(入力データ!$I$25="私立",前提条件!$C$26,前提条件!$C$25),IF(AO6&lt;=17,IF(入力データ!$J$25="私立",前提条件!$C$28,前提条件!$C$27),IF(AO6&lt;=21,IF(入力データ!$K$25="国公立",前提条件!$C$29,IF(入力データ!$K$25="私立理系",前提条件!$C$31,前提条件!$C$30))+IF(入力データ!$L$25="下宿",前提条件!$C$32,0)+IF(AO6=18,前提条件!$C$33,0),0))))))+IF(AO7="",0,IF(AO7&lt;=5,IF(入力データ!$G$26="私立",前提条件!$C$22,前提条件!$C$21),IF(AO7&lt;=11,IF(入力データ!$H$26="私立",前提条件!$C$24,前提条件!$C$23),IF(AO7&lt;=14,IF(入力データ!$I$26="私立",前提条件!$C$26,前提条件!$C$25),IF(AO7&lt;=17,IF(入力データ!$J$26="私立",前提条件!$C$28,前提条件!$C$27),IF(AO7&lt;=21,IF(入力データ!$K$26="国公立",前提条件!$C$29,IF(入力データ!$K$26="私立理系",前提条件!$C$31,前提条件!$C$30))+IF(入力データ!$L$26="下宿",前提条件!$C$32,0)+IF(AO7=18,前提条件!$C$33,0),0))))))+IF(AO8="",0,IF(AO8&lt;=5,IF(入力データ!$G$27="私立",前提条件!$C$22,前提条件!$C$21),IF(AO8&lt;=11,IF(入力データ!$H$27="私立",前提条件!$C$24,前提条件!$C$23),IF(AO8&lt;=14,IF(入力データ!$I$27="私立",前提条件!$C$26,前提条件!$C$25),IF(AO8&lt;=17,IF(入力データ!$J$27="私立",前提条件!$C$28,前提条件!$C$27),IF(AO8&lt;=21,IF(入力データ!$K$27="国公立",前提条件!$C$29,IF(入力データ!$K$27="私立理系",前提条件!$C$31,前提条件!$C$30))+IF(入力データ!$L$27="下宿",前提条件!$C$32,0)+IF(AO8=18,前提条件!$C$33,0),0)))))))*(1+前提条件!$C$13)^(AO$3-$B$3))</f>
        <v/>
      </c>
      <c r="AP24" s="352">
        <f>IF(AP$3="","",((SUM(入力データ!$C$58:$C$61)*12)+IF(AP6="",0,IF(AP6&lt;=5,IF(入力データ!$G$25="私立",前提条件!$C$22,前提条件!$C$21),IF(AP6&lt;=11,IF(入力データ!$H$25="私立",前提条件!$C$24,前提条件!$C$23),IF(AP6&lt;=14,IF(入力データ!$I$25="私立",前提条件!$C$26,前提条件!$C$25),IF(AP6&lt;=17,IF(入力データ!$J$25="私立",前提条件!$C$28,前提条件!$C$27),IF(AP6&lt;=21,IF(入力データ!$K$25="国公立",前提条件!$C$29,IF(入力データ!$K$25="私立理系",前提条件!$C$31,前提条件!$C$30))+IF(入力データ!$L$25="下宿",前提条件!$C$32,0)+IF(AP6=18,前提条件!$C$33,0),0))))))+IF(AP7="",0,IF(AP7&lt;=5,IF(入力データ!$G$26="私立",前提条件!$C$22,前提条件!$C$21),IF(AP7&lt;=11,IF(入力データ!$H$26="私立",前提条件!$C$24,前提条件!$C$23),IF(AP7&lt;=14,IF(入力データ!$I$26="私立",前提条件!$C$26,前提条件!$C$25),IF(AP7&lt;=17,IF(入力データ!$J$26="私立",前提条件!$C$28,前提条件!$C$27),IF(AP7&lt;=21,IF(入力データ!$K$26="国公立",前提条件!$C$29,IF(入力データ!$K$26="私立理系",前提条件!$C$31,前提条件!$C$30))+IF(入力データ!$L$26="下宿",前提条件!$C$32,0)+IF(AP7=18,前提条件!$C$33,0),0))))))+IF(AP8="",0,IF(AP8&lt;=5,IF(入力データ!$G$27="私立",前提条件!$C$22,前提条件!$C$21),IF(AP8&lt;=11,IF(入力データ!$H$27="私立",前提条件!$C$24,前提条件!$C$23),IF(AP8&lt;=14,IF(入力データ!$I$27="私立",前提条件!$C$26,前提条件!$C$25),IF(AP8&lt;=17,IF(入力データ!$J$27="私立",前提条件!$C$28,前提条件!$C$27),IF(AP8&lt;=21,IF(入力データ!$K$27="国公立",前提条件!$C$29,IF(入力データ!$K$27="私立理系",前提条件!$C$31,前提条件!$C$30))+IF(入力データ!$L$27="下宿",前提条件!$C$32,0)+IF(AP8=18,前提条件!$C$33,0),0)))))))*(1+前提条件!$C$13)^(AP$3-$B$3))</f>
        <v/>
      </c>
      <c r="AQ24" s="352">
        <f>IF(AQ$3="","",((SUM(入力データ!$C$58:$C$61)*12)+IF(AQ6="",0,IF(AQ6&lt;=5,IF(入力データ!$G$25="私立",前提条件!$C$22,前提条件!$C$21),IF(AQ6&lt;=11,IF(入力データ!$H$25="私立",前提条件!$C$24,前提条件!$C$23),IF(AQ6&lt;=14,IF(入力データ!$I$25="私立",前提条件!$C$26,前提条件!$C$25),IF(AQ6&lt;=17,IF(入力データ!$J$25="私立",前提条件!$C$28,前提条件!$C$27),IF(AQ6&lt;=21,IF(入力データ!$K$25="国公立",前提条件!$C$29,IF(入力データ!$K$25="私立理系",前提条件!$C$31,前提条件!$C$30))+IF(入力データ!$L$25="下宿",前提条件!$C$32,0)+IF(AQ6=18,前提条件!$C$33,0),0))))))+IF(AQ7="",0,IF(AQ7&lt;=5,IF(入力データ!$G$26="私立",前提条件!$C$22,前提条件!$C$21),IF(AQ7&lt;=11,IF(入力データ!$H$26="私立",前提条件!$C$24,前提条件!$C$23),IF(AQ7&lt;=14,IF(入力データ!$I$26="私立",前提条件!$C$26,前提条件!$C$25),IF(AQ7&lt;=17,IF(入力データ!$J$26="私立",前提条件!$C$28,前提条件!$C$27),IF(AQ7&lt;=21,IF(入力データ!$K$26="国公立",前提条件!$C$29,IF(入力データ!$K$26="私立理系",前提条件!$C$31,前提条件!$C$30))+IF(入力データ!$L$26="下宿",前提条件!$C$32,0)+IF(AQ7=18,前提条件!$C$33,0),0))))))+IF(AQ8="",0,IF(AQ8&lt;=5,IF(入力データ!$G$27="私立",前提条件!$C$22,前提条件!$C$21),IF(AQ8&lt;=11,IF(入力データ!$H$27="私立",前提条件!$C$24,前提条件!$C$23),IF(AQ8&lt;=14,IF(入力データ!$I$27="私立",前提条件!$C$26,前提条件!$C$25),IF(AQ8&lt;=17,IF(入力データ!$J$27="私立",前提条件!$C$28,前提条件!$C$27),IF(AQ8&lt;=21,IF(入力データ!$K$27="国公立",前提条件!$C$29,IF(入力データ!$K$27="私立理系",前提条件!$C$31,前提条件!$C$30))+IF(入力データ!$L$27="下宿",前提条件!$C$32,0)+IF(AQ8=18,前提条件!$C$33,0),0)))))))*(1+前提条件!$C$13)^(AQ$3-$B$3))</f>
        <v/>
      </c>
      <c r="AR24" s="352">
        <f>IF(AR$3="","",((SUM(入力データ!$C$58:$C$61)*12)+IF(AR6="",0,IF(AR6&lt;=5,IF(入力データ!$G$25="私立",前提条件!$C$22,前提条件!$C$21),IF(AR6&lt;=11,IF(入力データ!$H$25="私立",前提条件!$C$24,前提条件!$C$23),IF(AR6&lt;=14,IF(入力データ!$I$25="私立",前提条件!$C$26,前提条件!$C$25),IF(AR6&lt;=17,IF(入力データ!$J$25="私立",前提条件!$C$28,前提条件!$C$27),IF(AR6&lt;=21,IF(入力データ!$K$25="国公立",前提条件!$C$29,IF(入力データ!$K$25="私立理系",前提条件!$C$31,前提条件!$C$30))+IF(入力データ!$L$25="下宿",前提条件!$C$32,0)+IF(AR6=18,前提条件!$C$33,0),0))))))+IF(AR7="",0,IF(AR7&lt;=5,IF(入力データ!$G$26="私立",前提条件!$C$22,前提条件!$C$21),IF(AR7&lt;=11,IF(入力データ!$H$26="私立",前提条件!$C$24,前提条件!$C$23),IF(AR7&lt;=14,IF(入力データ!$I$26="私立",前提条件!$C$26,前提条件!$C$25),IF(AR7&lt;=17,IF(入力データ!$J$26="私立",前提条件!$C$28,前提条件!$C$27),IF(AR7&lt;=21,IF(入力データ!$K$26="国公立",前提条件!$C$29,IF(入力データ!$K$26="私立理系",前提条件!$C$31,前提条件!$C$30))+IF(入力データ!$L$26="下宿",前提条件!$C$32,0)+IF(AR7=18,前提条件!$C$33,0),0))))))+IF(AR8="",0,IF(AR8&lt;=5,IF(入力データ!$G$27="私立",前提条件!$C$22,前提条件!$C$21),IF(AR8&lt;=11,IF(入力データ!$H$27="私立",前提条件!$C$24,前提条件!$C$23),IF(AR8&lt;=14,IF(入力データ!$I$27="私立",前提条件!$C$26,前提条件!$C$25),IF(AR8&lt;=17,IF(入力データ!$J$27="私立",前提条件!$C$28,前提条件!$C$27),IF(AR8&lt;=21,IF(入力データ!$K$27="国公立",前提条件!$C$29,IF(入力データ!$K$27="私立理系",前提条件!$C$31,前提条件!$C$30))+IF(入力データ!$L$27="下宿",前提条件!$C$32,0)+IF(AR8=18,前提条件!$C$33,0),0)))))))*(1+前提条件!$C$13)^(AR$3-$B$3))</f>
        <v/>
      </c>
      <c r="AS24" s="352">
        <f>IF(AS$3="","",((SUM(入力データ!$C$58:$C$61)*12)+IF(AS6="",0,IF(AS6&lt;=5,IF(入力データ!$G$25="私立",前提条件!$C$22,前提条件!$C$21),IF(AS6&lt;=11,IF(入力データ!$H$25="私立",前提条件!$C$24,前提条件!$C$23),IF(AS6&lt;=14,IF(入力データ!$I$25="私立",前提条件!$C$26,前提条件!$C$25),IF(AS6&lt;=17,IF(入力データ!$J$25="私立",前提条件!$C$28,前提条件!$C$27),IF(AS6&lt;=21,IF(入力データ!$K$25="国公立",前提条件!$C$29,IF(入力データ!$K$25="私立理系",前提条件!$C$31,前提条件!$C$30))+IF(入力データ!$L$25="下宿",前提条件!$C$32,0)+IF(AS6=18,前提条件!$C$33,0),0))))))+IF(AS7="",0,IF(AS7&lt;=5,IF(入力データ!$G$26="私立",前提条件!$C$22,前提条件!$C$21),IF(AS7&lt;=11,IF(入力データ!$H$26="私立",前提条件!$C$24,前提条件!$C$23),IF(AS7&lt;=14,IF(入力データ!$I$26="私立",前提条件!$C$26,前提条件!$C$25),IF(AS7&lt;=17,IF(入力データ!$J$26="私立",前提条件!$C$28,前提条件!$C$27),IF(AS7&lt;=21,IF(入力データ!$K$26="国公立",前提条件!$C$29,IF(入力データ!$K$26="私立理系",前提条件!$C$31,前提条件!$C$30))+IF(入力データ!$L$26="下宿",前提条件!$C$32,0)+IF(AS7=18,前提条件!$C$33,0),0))))))+IF(AS8="",0,IF(AS8&lt;=5,IF(入力データ!$G$27="私立",前提条件!$C$22,前提条件!$C$21),IF(AS8&lt;=11,IF(入力データ!$H$27="私立",前提条件!$C$24,前提条件!$C$23),IF(AS8&lt;=14,IF(入力データ!$I$27="私立",前提条件!$C$26,前提条件!$C$25),IF(AS8&lt;=17,IF(入力データ!$J$27="私立",前提条件!$C$28,前提条件!$C$27),IF(AS8&lt;=21,IF(入力データ!$K$27="国公立",前提条件!$C$29,IF(入力データ!$K$27="私立理系",前提条件!$C$31,前提条件!$C$30))+IF(入力データ!$L$27="下宿",前提条件!$C$32,0)+IF(AS8=18,前提条件!$C$33,0),0)))))))*(1+前提条件!$C$13)^(AS$3-$B$3))</f>
        <v/>
      </c>
      <c r="AT24" s="352">
        <f>IF(AT$3="","",((SUM(入力データ!$C$58:$C$61)*12)+IF(AT6="",0,IF(AT6&lt;=5,IF(入力データ!$G$25="私立",前提条件!$C$22,前提条件!$C$21),IF(AT6&lt;=11,IF(入力データ!$H$25="私立",前提条件!$C$24,前提条件!$C$23),IF(AT6&lt;=14,IF(入力データ!$I$25="私立",前提条件!$C$26,前提条件!$C$25),IF(AT6&lt;=17,IF(入力データ!$J$25="私立",前提条件!$C$28,前提条件!$C$27),IF(AT6&lt;=21,IF(入力データ!$K$25="国公立",前提条件!$C$29,IF(入力データ!$K$25="私立理系",前提条件!$C$31,前提条件!$C$30))+IF(入力データ!$L$25="下宿",前提条件!$C$32,0)+IF(AT6=18,前提条件!$C$33,0),0))))))+IF(AT7="",0,IF(AT7&lt;=5,IF(入力データ!$G$26="私立",前提条件!$C$22,前提条件!$C$21),IF(AT7&lt;=11,IF(入力データ!$H$26="私立",前提条件!$C$24,前提条件!$C$23),IF(AT7&lt;=14,IF(入力データ!$I$26="私立",前提条件!$C$26,前提条件!$C$25),IF(AT7&lt;=17,IF(入力データ!$J$26="私立",前提条件!$C$28,前提条件!$C$27),IF(AT7&lt;=21,IF(入力データ!$K$26="国公立",前提条件!$C$29,IF(入力データ!$K$26="私立理系",前提条件!$C$31,前提条件!$C$30))+IF(入力データ!$L$26="下宿",前提条件!$C$32,0)+IF(AT7=18,前提条件!$C$33,0),0))))))+IF(AT8="",0,IF(AT8&lt;=5,IF(入力データ!$G$27="私立",前提条件!$C$22,前提条件!$C$21),IF(AT8&lt;=11,IF(入力データ!$H$27="私立",前提条件!$C$24,前提条件!$C$23),IF(AT8&lt;=14,IF(入力データ!$I$27="私立",前提条件!$C$26,前提条件!$C$25),IF(AT8&lt;=17,IF(入力データ!$J$27="私立",前提条件!$C$28,前提条件!$C$27),IF(AT8&lt;=21,IF(入力データ!$K$27="国公立",前提条件!$C$29,IF(入力データ!$K$27="私立理系",前提条件!$C$31,前提条件!$C$30))+IF(入力データ!$L$27="下宿",前提条件!$C$32,0)+IF(AT8=18,前提条件!$C$33,0),0)))))))*(1+前提条件!$C$13)^(AT$3-$B$3))</f>
        <v/>
      </c>
      <c r="AU24" s="352">
        <f>IF(AU$3="","",((SUM(入力データ!$C$58:$C$61)*12)+IF(AU6="",0,IF(AU6&lt;=5,IF(入力データ!$G$25="私立",前提条件!$C$22,前提条件!$C$21),IF(AU6&lt;=11,IF(入力データ!$H$25="私立",前提条件!$C$24,前提条件!$C$23),IF(AU6&lt;=14,IF(入力データ!$I$25="私立",前提条件!$C$26,前提条件!$C$25),IF(AU6&lt;=17,IF(入力データ!$J$25="私立",前提条件!$C$28,前提条件!$C$27),IF(AU6&lt;=21,IF(入力データ!$K$25="国公立",前提条件!$C$29,IF(入力データ!$K$25="私立理系",前提条件!$C$31,前提条件!$C$30))+IF(入力データ!$L$25="下宿",前提条件!$C$32,0)+IF(AU6=18,前提条件!$C$33,0),0))))))+IF(AU7="",0,IF(AU7&lt;=5,IF(入力データ!$G$26="私立",前提条件!$C$22,前提条件!$C$21),IF(AU7&lt;=11,IF(入力データ!$H$26="私立",前提条件!$C$24,前提条件!$C$23),IF(AU7&lt;=14,IF(入力データ!$I$26="私立",前提条件!$C$26,前提条件!$C$25),IF(AU7&lt;=17,IF(入力データ!$J$26="私立",前提条件!$C$28,前提条件!$C$27),IF(AU7&lt;=21,IF(入力データ!$K$26="国公立",前提条件!$C$29,IF(入力データ!$K$26="私立理系",前提条件!$C$31,前提条件!$C$30))+IF(入力データ!$L$26="下宿",前提条件!$C$32,0)+IF(AU7=18,前提条件!$C$33,0),0))))))+IF(AU8="",0,IF(AU8&lt;=5,IF(入力データ!$G$27="私立",前提条件!$C$22,前提条件!$C$21),IF(AU8&lt;=11,IF(入力データ!$H$27="私立",前提条件!$C$24,前提条件!$C$23),IF(AU8&lt;=14,IF(入力データ!$I$27="私立",前提条件!$C$26,前提条件!$C$25),IF(AU8&lt;=17,IF(入力データ!$J$27="私立",前提条件!$C$28,前提条件!$C$27),IF(AU8&lt;=21,IF(入力データ!$K$27="国公立",前提条件!$C$29,IF(入力データ!$K$27="私立理系",前提条件!$C$31,前提条件!$C$30))+IF(入力データ!$L$27="下宿",前提条件!$C$32,0)+IF(AU8=18,前提条件!$C$33,0),0)))))))*(1+前提条件!$C$13)^(AU$3-$B$3))</f>
        <v/>
      </c>
      <c r="AV24" s="352">
        <f>IF(AV$3="","",((SUM(入力データ!$C$58:$C$61)*12)+IF(AV6="",0,IF(AV6&lt;=5,IF(入力データ!$G$25="私立",前提条件!$C$22,前提条件!$C$21),IF(AV6&lt;=11,IF(入力データ!$H$25="私立",前提条件!$C$24,前提条件!$C$23),IF(AV6&lt;=14,IF(入力データ!$I$25="私立",前提条件!$C$26,前提条件!$C$25),IF(AV6&lt;=17,IF(入力データ!$J$25="私立",前提条件!$C$28,前提条件!$C$27),IF(AV6&lt;=21,IF(入力データ!$K$25="国公立",前提条件!$C$29,IF(入力データ!$K$25="私立理系",前提条件!$C$31,前提条件!$C$30))+IF(入力データ!$L$25="下宿",前提条件!$C$32,0)+IF(AV6=18,前提条件!$C$33,0),0))))))+IF(AV7="",0,IF(AV7&lt;=5,IF(入力データ!$G$26="私立",前提条件!$C$22,前提条件!$C$21),IF(AV7&lt;=11,IF(入力データ!$H$26="私立",前提条件!$C$24,前提条件!$C$23),IF(AV7&lt;=14,IF(入力データ!$I$26="私立",前提条件!$C$26,前提条件!$C$25),IF(AV7&lt;=17,IF(入力データ!$J$26="私立",前提条件!$C$28,前提条件!$C$27),IF(AV7&lt;=21,IF(入力データ!$K$26="国公立",前提条件!$C$29,IF(入力データ!$K$26="私立理系",前提条件!$C$31,前提条件!$C$30))+IF(入力データ!$L$26="下宿",前提条件!$C$32,0)+IF(AV7=18,前提条件!$C$33,0),0))))))+IF(AV8="",0,IF(AV8&lt;=5,IF(入力データ!$G$27="私立",前提条件!$C$22,前提条件!$C$21),IF(AV8&lt;=11,IF(入力データ!$H$27="私立",前提条件!$C$24,前提条件!$C$23),IF(AV8&lt;=14,IF(入力データ!$I$27="私立",前提条件!$C$26,前提条件!$C$25),IF(AV8&lt;=17,IF(入力データ!$J$27="私立",前提条件!$C$28,前提条件!$C$27),IF(AV8&lt;=21,IF(入力データ!$K$27="国公立",前提条件!$C$29,IF(入力データ!$K$27="私立理系",前提条件!$C$31,前提条件!$C$30))+IF(入力データ!$L$27="下宿",前提条件!$C$32,0)+IF(AV8=18,前提条件!$C$33,0),0)))))))*(1+前提条件!$C$13)^(AV$3-$B$3))</f>
        <v/>
      </c>
      <c r="AW24" s="352">
        <f>IF(AW$3="","",((SUM(入力データ!$C$58:$C$61)*12)+IF(AW6="",0,IF(AW6&lt;=5,IF(入力データ!$G$25="私立",前提条件!$C$22,前提条件!$C$21),IF(AW6&lt;=11,IF(入力データ!$H$25="私立",前提条件!$C$24,前提条件!$C$23),IF(AW6&lt;=14,IF(入力データ!$I$25="私立",前提条件!$C$26,前提条件!$C$25),IF(AW6&lt;=17,IF(入力データ!$J$25="私立",前提条件!$C$28,前提条件!$C$27),IF(AW6&lt;=21,IF(入力データ!$K$25="国公立",前提条件!$C$29,IF(入力データ!$K$25="私立理系",前提条件!$C$31,前提条件!$C$30))+IF(入力データ!$L$25="下宿",前提条件!$C$32,0)+IF(AW6=18,前提条件!$C$33,0),0))))))+IF(AW7="",0,IF(AW7&lt;=5,IF(入力データ!$G$26="私立",前提条件!$C$22,前提条件!$C$21),IF(AW7&lt;=11,IF(入力データ!$H$26="私立",前提条件!$C$24,前提条件!$C$23),IF(AW7&lt;=14,IF(入力データ!$I$26="私立",前提条件!$C$26,前提条件!$C$25),IF(AW7&lt;=17,IF(入力データ!$J$26="私立",前提条件!$C$28,前提条件!$C$27),IF(AW7&lt;=21,IF(入力データ!$K$26="国公立",前提条件!$C$29,IF(入力データ!$K$26="私立理系",前提条件!$C$31,前提条件!$C$30))+IF(入力データ!$L$26="下宿",前提条件!$C$32,0)+IF(AW7=18,前提条件!$C$33,0),0))))))+IF(AW8="",0,IF(AW8&lt;=5,IF(入力データ!$G$27="私立",前提条件!$C$22,前提条件!$C$21),IF(AW8&lt;=11,IF(入力データ!$H$27="私立",前提条件!$C$24,前提条件!$C$23),IF(AW8&lt;=14,IF(入力データ!$I$27="私立",前提条件!$C$26,前提条件!$C$25),IF(AW8&lt;=17,IF(入力データ!$J$27="私立",前提条件!$C$28,前提条件!$C$27),IF(AW8&lt;=21,IF(入力データ!$K$27="国公立",前提条件!$C$29,IF(入力データ!$K$27="私立理系",前提条件!$C$31,前提条件!$C$30))+IF(入力データ!$L$27="下宿",前提条件!$C$32,0)+IF(AW8=18,前提条件!$C$33,0),0)))))))*(1+前提条件!$C$13)^(AW$3-$B$3))</f>
        <v/>
      </c>
      <c r="AX24" s="352">
        <f>IF(AX$3="","",((SUM(入力データ!$C$58:$C$61)*12)+IF(AX6="",0,IF(AX6&lt;=5,IF(入力データ!$G$25="私立",前提条件!$C$22,前提条件!$C$21),IF(AX6&lt;=11,IF(入力データ!$H$25="私立",前提条件!$C$24,前提条件!$C$23),IF(AX6&lt;=14,IF(入力データ!$I$25="私立",前提条件!$C$26,前提条件!$C$25),IF(AX6&lt;=17,IF(入力データ!$J$25="私立",前提条件!$C$28,前提条件!$C$27),IF(AX6&lt;=21,IF(入力データ!$K$25="国公立",前提条件!$C$29,IF(入力データ!$K$25="私立理系",前提条件!$C$31,前提条件!$C$30))+IF(入力データ!$L$25="下宿",前提条件!$C$32,0)+IF(AX6=18,前提条件!$C$33,0),0))))))+IF(AX7="",0,IF(AX7&lt;=5,IF(入力データ!$G$26="私立",前提条件!$C$22,前提条件!$C$21),IF(AX7&lt;=11,IF(入力データ!$H$26="私立",前提条件!$C$24,前提条件!$C$23),IF(AX7&lt;=14,IF(入力データ!$I$26="私立",前提条件!$C$26,前提条件!$C$25),IF(AX7&lt;=17,IF(入力データ!$J$26="私立",前提条件!$C$28,前提条件!$C$27),IF(AX7&lt;=21,IF(入力データ!$K$26="国公立",前提条件!$C$29,IF(入力データ!$K$26="私立理系",前提条件!$C$31,前提条件!$C$30))+IF(入力データ!$L$26="下宿",前提条件!$C$32,0)+IF(AX7=18,前提条件!$C$33,0),0))))))+IF(AX8="",0,IF(AX8&lt;=5,IF(入力データ!$G$27="私立",前提条件!$C$22,前提条件!$C$21),IF(AX8&lt;=11,IF(入力データ!$H$27="私立",前提条件!$C$24,前提条件!$C$23),IF(AX8&lt;=14,IF(入力データ!$I$27="私立",前提条件!$C$26,前提条件!$C$25),IF(AX8&lt;=17,IF(入力データ!$J$27="私立",前提条件!$C$28,前提条件!$C$27),IF(AX8&lt;=21,IF(入力データ!$K$27="国公立",前提条件!$C$29,IF(入力データ!$K$27="私立理系",前提条件!$C$31,前提条件!$C$30))+IF(入力データ!$L$27="下宿",前提条件!$C$32,0)+IF(AX8=18,前提条件!$C$33,0),0)))))))*(1+前提条件!$C$13)^(AX$3-$B$3))</f>
        <v/>
      </c>
      <c r="AY24" s="352">
        <f>IF(AY$3="","",((SUM(入力データ!$C$58:$C$61)*12)+IF(AY6="",0,IF(AY6&lt;=5,IF(入力データ!$G$25="私立",前提条件!$C$22,前提条件!$C$21),IF(AY6&lt;=11,IF(入力データ!$H$25="私立",前提条件!$C$24,前提条件!$C$23),IF(AY6&lt;=14,IF(入力データ!$I$25="私立",前提条件!$C$26,前提条件!$C$25),IF(AY6&lt;=17,IF(入力データ!$J$25="私立",前提条件!$C$28,前提条件!$C$27),IF(AY6&lt;=21,IF(入力データ!$K$25="国公立",前提条件!$C$29,IF(入力データ!$K$25="私立理系",前提条件!$C$31,前提条件!$C$30))+IF(入力データ!$L$25="下宿",前提条件!$C$32,0)+IF(AY6=18,前提条件!$C$33,0),0))))))+IF(AY7="",0,IF(AY7&lt;=5,IF(入力データ!$G$26="私立",前提条件!$C$22,前提条件!$C$21),IF(AY7&lt;=11,IF(入力データ!$H$26="私立",前提条件!$C$24,前提条件!$C$23),IF(AY7&lt;=14,IF(入力データ!$I$26="私立",前提条件!$C$26,前提条件!$C$25),IF(AY7&lt;=17,IF(入力データ!$J$26="私立",前提条件!$C$28,前提条件!$C$27),IF(AY7&lt;=21,IF(入力データ!$K$26="国公立",前提条件!$C$29,IF(入力データ!$K$26="私立理系",前提条件!$C$31,前提条件!$C$30))+IF(入力データ!$L$26="下宿",前提条件!$C$32,0)+IF(AY7=18,前提条件!$C$33,0),0))))))+IF(AY8="",0,IF(AY8&lt;=5,IF(入力データ!$G$27="私立",前提条件!$C$22,前提条件!$C$21),IF(AY8&lt;=11,IF(入力データ!$H$27="私立",前提条件!$C$24,前提条件!$C$23),IF(AY8&lt;=14,IF(入力データ!$I$27="私立",前提条件!$C$26,前提条件!$C$25),IF(AY8&lt;=17,IF(入力データ!$J$27="私立",前提条件!$C$28,前提条件!$C$27),IF(AY8&lt;=21,IF(入力データ!$K$27="国公立",前提条件!$C$29,IF(入力データ!$K$27="私立理系",前提条件!$C$31,前提条件!$C$30))+IF(入力データ!$L$27="下宿",前提条件!$C$32,0)+IF(AY8=18,前提条件!$C$33,0),0)))))))*(1+前提条件!$C$13)^(AY$3-$B$3))</f>
        <v/>
      </c>
      <c r="AZ24" s="352">
        <f>IF(AZ$3="","",((SUM(入力データ!$C$58:$C$61)*12)+IF(AZ6="",0,IF(AZ6&lt;=5,IF(入力データ!$G$25="私立",前提条件!$C$22,前提条件!$C$21),IF(AZ6&lt;=11,IF(入力データ!$H$25="私立",前提条件!$C$24,前提条件!$C$23),IF(AZ6&lt;=14,IF(入力データ!$I$25="私立",前提条件!$C$26,前提条件!$C$25),IF(AZ6&lt;=17,IF(入力データ!$J$25="私立",前提条件!$C$28,前提条件!$C$27),IF(AZ6&lt;=21,IF(入力データ!$K$25="国公立",前提条件!$C$29,IF(入力データ!$K$25="私立理系",前提条件!$C$31,前提条件!$C$30))+IF(入力データ!$L$25="下宿",前提条件!$C$32,0)+IF(AZ6=18,前提条件!$C$33,0),0))))))+IF(AZ7="",0,IF(AZ7&lt;=5,IF(入力データ!$G$26="私立",前提条件!$C$22,前提条件!$C$21),IF(AZ7&lt;=11,IF(入力データ!$H$26="私立",前提条件!$C$24,前提条件!$C$23),IF(AZ7&lt;=14,IF(入力データ!$I$26="私立",前提条件!$C$26,前提条件!$C$25),IF(AZ7&lt;=17,IF(入力データ!$J$26="私立",前提条件!$C$28,前提条件!$C$27),IF(AZ7&lt;=21,IF(入力データ!$K$26="国公立",前提条件!$C$29,IF(入力データ!$K$26="私立理系",前提条件!$C$31,前提条件!$C$30))+IF(入力データ!$L$26="下宿",前提条件!$C$32,0)+IF(AZ7=18,前提条件!$C$33,0),0))))))+IF(AZ8="",0,IF(AZ8&lt;=5,IF(入力データ!$G$27="私立",前提条件!$C$22,前提条件!$C$21),IF(AZ8&lt;=11,IF(入力データ!$H$27="私立",前提条件!$C$24,前提条件!$C$23),IF(AZ8&lt;=14,IF(入力データ!$I$27="私立",前提条件!$C$26,前提条件!$C$25),IF(AZ8&lt;=17,IF(入力データ!$J$27="私立",前提条件!$C$28,前提条件!$C$27),IF(AZ8&lt;=21,IF(入力データ!$K$27="国公立",前提条件!$C$29,IF(入力データ!$K$27="私立理系",前提条件!$C$31,前提条件!$C$30))+IF(入力データ!$L$27="下宿",前提条件!$C$32,0)+IF(AZ8=18,前提条件!$C$33,0),0)))))))*(1+前提条件!$C$13)^(AZ$3-$B$3))</f>
        <v/>
      </c>
      <c r="BA24" s="352">
        <f>IF(BA$3="","",((SUM(入力データ!$C$58:$C$61)*12)+IF(BA6="",0,IF(BA6&lt;=5,IF(入力データ!$G$25="私立",前提条件!$C$22,前提条件!$C$21),IF(BA6&lt;=11,IF(入力データ!$H$25="私立",前提条件!$C$24,前提条件!$C$23),IF(BA6&lt;=14,IF(入力データ!$I$25="私立",前提条件!$C$26,前提条件!$C$25),IF(BA6&lt;=17,IF(入力データ!$J$25="私立",前提条件!$C$28,前提条件!$C$27),IF(BA6&lt;=21,IF(入力データ!$K$25="国公立",前提条件!$C$29,IF(入力データ!$K$25="私立理系",前提条件!$C$31,前提条件!$C$30))+IF(入力データ!$L$25="下宿",前提条件!$C$32,0)+IF(BA6=18,前提条件!$C$33,0),0))))))+IF(BA7="",0,IF(BA7&lt;=5,IF(入力データ!$G$26="私立",前提条件!$C$22,前提条件!$C$21),IF(BA7&lt;=11,IF(入力データ!$H$26="私立",前提条件!$C$24,前提条件!$C$23),IF(BA7&lt;=14,IF(入力データ!$I$26="私立",前提条件!$C$26,前提条件!$C$25),IF(BA7&lt;=17,IF(入力データ!$J$26="私立",前提条件!$C$28,前提条件!$C$27),IF(BA7&lt;=21,IF(入力データ!$K$26="国公立",前提条件!$C$29,IF(入力データ!$K$26="私立理系",前提条件!$C$31,前提条件!$C$30))+IF(入力データ!$L$26="下宿",前提条件!$C$32,0)+IF(BA7=18,前提条件!$C$33,0),0))))))+IF(BA8="",0,IF(BA8&lt;=5,IF(入力データ!$G$27="私立",前提条件!$C$22,前提条件!$C$21),IF(BA8&lt;=11,IF(入力データ!$H$27="私立",前提条件!$C$24,前提条件!$C$23),IF(BA8&lt;=14,IF(入力データ!$I$27="私立",前提条件!$C$26,前提条件!$C$25),IF(BA8&lt;=17,IF(入力データ!$J$27="私立",前提条件!$C$28,前提条件!$C$27),IF(BA8&lt;=21,IF(入力データ!$K$27="国公立",前提条件!$C$29,IF(入力データ!$K$27="私立理系",前提条件!$C$31,前提条件!$C$30))+IF(入力データ!$L$27="下宿",前提条件!$C$32,0)+IF(BA8=18,前提条件!$C$33,0),0)))))))*(1+前提条件!$C$13)^(BA$3-$B$3))</f>
        <v/>
      </c>
      <c r="BB24" s="352">
        <f>IF(BB$3="","",((SUM(入力データ!$C$58:$C$61)*12)+IF(BB6="",0,IF(BB6&lt;=5,IF(入力データ!$G$25="私立",前提条件!$C$22,前提条件!$C$21),IF(BB6&lt;=11,IF(入力データ!$H$25="私立",前提条件!$C$24,前提条件!$C$23),IF(BB6&lt;=14,IF(入力データ!$I$25="私立",前提条件!$C$26,前提条件!$C$25),IF(BB6&lt;=17,IF(入力データ!$J$25="私立",前提条件!$C$28,前提条件!$C$27),IF(BB6&lt;=21,IF(入力データ!$K$25="国公立",前提条件!$C$29,IF(入力データ!$K$25="私立理系",前提条件!$C$31,前提条件!$C$30))+IF(入力データ!$L$25="下宿",前提条件!$C$32,0)+IF(BB6=18,前提条件!$C$33,0),0))))))+IF(BB7="",0,IF(BB7&lt;=5,IF(入力データ!$G$26="私立",前提条件!$C$22,前提条件!$C$21),IF(BB7&lt;=11,IF(入力データ!$H$26="私立",前提条件!$C$24,前提条件!$C$23),IF(BB7&lt;=14,IF(入力データ!$I$26="私立",前提条件!$C$26,前提条件!$C$25),IF(BB7&lt;=17,IF(入力データ!$J$26="私立",前提条件!$C$28,前提条件!$C$27),IF(BB7&lt;=21,IF(入力データ!$K$26="国公立",前提条件!$C$29,IF(入力データ!$K$26="私立理系",前提条件!$C$31,前提条件!$C$30))+IF(入力データ!$L$26="下宿",前提条件!$C$32,0)+IF(BB7=18,前提条件!$C$33,0),0))))))+IF(BB8="",0,IF(BB8&lt;=5,IF(入力データ!$G$27="私立",前提条件!$C$22,前提条件!$C$21),IF(BB8&lt;=11,IF(入力データ!$H$27="私立",前提条件!$C$24,前提条件!$C$23),IF(BB8&lt;=14,IF(入力データ!$I$27="私立",前提条件!$C$26,前提条件!$C$25),IF(BB8&lt;=17,IF(入力データ!$J$27="私立",前提条件!$C$28,前提条件!$C$27),IF(BB8&lt;=21,IF(入力データ!$K$27="国公立",前提条件!$C$29,IF(入力データ!$K$27="私立理系",前提条件!$C$31,前提条件!$C$30))+IF(入力データ!$L$27="下宿",前提条件!$C$32,0)+IF(BB8=18,前提条件!$C$33,0),0)))))))*(1+前提条件!$C$13)^(BB$3-$B$3))</f>
        <v/>
      </c>
      <c r="BC24" s="352">
        <f>IF(BC$3="","",((SUM(入力データ!$C$58:$C$61)*12)+IF(BC6="",0,IF(BC6&lt;=5,IF(入力データ!$G$25="私立",前提条件!$C$22,前提条件!$C$21),IF(BC6&lt;=11,IF(入力データ!$H$25="私立",前提条件!$C$24,前提条件!$C$23),IF(BC6&lt;=14,IF(入力データ!$I$25="私立",前提条件!$C$26,前提条件!$C$25),IF(BC6&lt;=17,IF(入力データ!$J$25="私立",前提条件!$C$28,前提条件!$C$27),IF(BC6&lt;=21,IF(入力データ!$K$25="国公立",前提条件!$C$29,IF(入力データ!$K$25="私立理系",前提条件!$C$31,前提条件!$C$30))+IF(入力データ!$L$25="下宿",前提条件!$C$32,0)+IF(BC6=18,前提条件!$C$33,0),0))))))+IF(BC7="",0,IF(BC7&lt;=5,IF(入力データ!$G$26="私立",前提条件!$C$22,前提条件!$C$21),IF(BC7&lt;=11,IF(入力データ!$H$26="私立",前提条件!$C$24,前提条件!$C$23),IF(BC7&lt;=14,IF(入力データ!$I$26="私立",前提条件!$C$26,前提条件!$C$25),IF(BC7&lt;=17,IF(入力データ!$J$26="私立",前提条件!$C$28,前提条件!$C$27),IF(BC7&lt;=21,IF(入力データ!$K$26="国公立",前提条件!$C$29,IF(入力データ!$K$26="私立理系",前提条件!$C$31,前提条件!$C$30))+IF(入力データ!$L$26="下宿",前提条件!$C$32,0)+IF(BC7=18,前提条件!$C$33,0),0))))))+IF(BC8="",0,IF(BC8&lt;=5,IF(入力データ!$G$27="私立",前提条件!$C$22,前提条件!$C$21),IF(BC8&lt;=11,IF(入力データ!$H$27="私立",前提条件!$C$24,前提条件!$C$23),IF(BC8&lt;=14,IF(入力データ!$I$27="私立",前提条件!$C$26,前提条件!$C$25),IF(BC8&lt;=17,IF(入力データ!$J$27="私立",前提条件!$C$28,前提条件!$C$27),IF(BC8&lt;=21,IF(入力データ!$K$27="国公立",前提条件!$C$29,IF(入力データ!$K$27="私立理系",前提条件!$C$31,前提条件!$C$30))+IF(入力データ!$L$27="下宿",前提条件!$C$32,0)+IF(BC8=18,前提条件!$C$33,0),0)))))))*(1+前提条件!$C$13)^(BC$3-$B$3))</f>
        <v/>
      </c>
      <c r="BD24" s="352">
        <f>IF(BD$3="","",((SUM(入力データ!$C$58:$C$61)*12)+IF(BD6="",0,IF(BD6&lt;=5,IF(入力データ!$G$25="私立",前提条件!$C$22,前提条件!$C$21),IF(BD6&lt;=11,IF(入力データ!$H$25="私立",前提条件!$C$24,前提条件!$C$23),IF(BD6&lt;=14,IF(入力データ!$I$25="私立",前提条件!$C$26,前提条件!$C$25),IF(BD6&lt;=17,IF(入力データ!$J$25="私立",前提条件!$C$28,前提条件!$C$27),IF(BD6&lt;=21,IF(入力データ!$K$25="国公立",前提条件!$C$29,IF(入力データ!$K$25="私立理系",前提条件!$C$31,前提条件!$C$30))+IF(入力データ!$L$25="下宿",前提条件!$C$32,0)+IF(BD6=18,前提条件!$C$33,0),0))))))+IF(BD7="",0,IF(BD7&lt;=5,IF(入力データ!$G$26="私立",前提条件!$C$22,前提条件!$C$21),IF(BD7&lt;=11,IF(入力データ!$H$26="私立",前提条件!$C$24,前提条件!$C$23),IF(BD7&lt;=14,IF(入力データ!$I$26="私立",前提条件!$C$26,前提条件!$C$25),IF(BD7&lt;=17,IF(入力データ!$J$26="私立",前提条件!$C$28,前提条件!$C$27),IF(BD7&lt;=21,IF(入力データ!$K$26="国公立",前提条件!$C$29,IF(入力データ!$K$26="私立理系",前提条件!$C$31,前提条件!$C$30))+IF(入力データ!$L$26="下宿",前提条件!$C$32,0)+IF(BD7=18,前提条件!$C$33,0),0))))))+IF(BD8="",0,IF(BD8&lt;=5,IF(入力データ!$G$27="私立",前提条件!$C$22,前提条件!$C$21),IF(BD8&lt;=11,IF(入力データ!$H$27="私立",前提条件!$C$24,前提条件!$C$23),IF(BD8&lt;=14,IF(入力データ!$I$27="私立",前提条件!$C$26,前提条件!$C$25),IF(BD8&lt;=17,IF(入力データ!$J$27="私立",前提条件!$C$28,前提条件!$C$27),IF(BD8&lt;=21,IF(入力データ!$K$27="国公立",前提条件!$C$29,IF(入力データ!$K$27="私立理系",前提条件!$C$31,前提条件!$C$30))+IF(入力データ!$L$27="下宿",前提条件!$C$32,0)+IF(BD8=18,前提条件!$C$33,0),0)))))))*(1+前提条件!$C$13)^(BD$3-$B$3))</f>
        <v/>
      </c>
      <c r="BE24" s="352">
        <f>IF(BE$3="","",((SUM(入力データ!$C$58:$C$61)*12)+IF(BE6="",0,IF(BE6&lt;=5,IF(入力データ!$G$25="私立",前提条件!$C$22,前提条件!$C$21),IF(BE6&lt;=11,IF(入力データ!$H$25="私立",前提条件!$C$24,前提条件!$C$23),IF(BE6&lt;=14,IF(入力データ!$I$25="私立",前提条件!$C$26,前提条件!$C$25),IF(BE6&lt;=17,IF(入力データ!$J$25="私立",前提条件!$C$28,前提条件!$C$27),IF(BE6&lt;=21,IF(入力データ!$K$25="国公立",前提条件!$C$29,IF(入力データ!$K$25="私立理系",前提条件!$C$31,前提条件!$C$30))+IF(入力データ!$L$25="下宿",前提条件!$C$32,0)+IF(BE6=18,前提条件!$C$33,0),0))))))+IF(BE7="",0,IF(BE7&lt;=5,IF(入力データ!$G$26="私立",前提条件!$C$22,前提条件!$C$21),IF(BE7&lt;=11,IF(入力データ!$H$26="私立",前提条件!$C$24,前提条件!$C$23),IF(BE7&lt;=14,IF(入力データ!$I$26="私立",前提条件!$C$26,前提条件!$C$25),IF(BE7&lt;=17,IF(入力データ!$J$26="私立",前提条件!$C$28,前提条件!$C$27),IF(BE7&lt;=21,IF(入力データ!$K$26="国公立",前提条件!$C$29,IF(入力データ!$K$26="私立理系",前提条件!$C$31,前提条件!$C$30))+IF(入力データ!$L$26="下宿",前提条件!$C$32,0)+IF(BE7=18,前提条件!$C$33,0),0))))))+IF(BE8="",0,IF(BE8&lt;=5,IF(入力データ!$G$27="私立",前提条件!$C$22,前提条件!$C$21),IF(BE8&lt;=11,IF(入力データ!$H$27="私立",前提条件!$C$24,前提条件!$C$23),IF(BE8&lt;=14,IF(入力データ!$I$27="私立",前提条件!$C$26,前提条件!$C$25),IF(BE8&lt;=17,IF(入力データ!$J$27="私立",前提条件!$C$28,前提条件!$C$27),IF(BE8&lt;=21,IF(入力データ!$K$27="国公立",前提条件!$C$29,IF(入力データ!$K$27="私立理系",前提条件!$C$31,前提条件!$C$30))+IF(入力データ!$L$27="下宿",前提条件!$C$32,0)+IF(BE8=18,前提条件!$C$33,0),0)))))))*(1+前提条件!$C$13)^(BE$3-$B$3))</f>
        <v/>
      </c>
      <c r="BF24" s="352">
        <f>IF(BF$3="","",((SUM(入力データ!$C$58:$C$61)*12)+IF(BF6="",0,IF(BF6&lt;=5,IF(入力データ!$G$25="私立",前提条件!$C$22,前提条件!$C$21),IF(BF6&lt;=11,IF(入力データ!$H$25="私立",前提条件!$C$24,前提条件!$C$23),IF(BF6&lt;=14,IF(入力データ!$I$25="私立",前提条件!$C$26,前提条件!$C$25),IF(BF6&lt;=17,IF(入力データ!$J$25="私立",前提条件!$C$28,前提条件!$C$27),IF(BF6&lt;=21,IF(入力データ!$K$25="国公立",前提条件!$C$29,IF(入力データ!$K$25="私立理系",前提条件!$C$31,前提条件!$C$30))+IF(入力データ!$L$25="下宿",前提条件!$C$32,0)+IF(BF6=18,前提条件!$C$33,0),0))))))+IF(BF7="",0,IF(BF7&lt;=5,IF(入力データ!$G$26="私立",前提条件!$C$22,前提条件!$C$21),IF(BF7&lt;=11,IF(入力データ!$H$26="私立",前提条件!$C$24,前提条件!$C$23),IF(BF7&lt;=14,IF(入力データ!$I$26="私立",前提条件!$C$26,前提条件!$C$25),IF(BF7&lt;=17,IF(入力データ!$J$26="私立",前提条件!$C$28,前提条件!$C$27),IF(BF7&lt;=21,IF(入力データ!$K$26="国公立",前提条件!$C$29,IF(入力データ!$K$26="私立理系",前提条件!$C$31,前提条件!$C$30))+IF(入力データ!$L$26="下宿",前提条件!$C$32,0)+IF(BF7=18,前提条件!$C$33,0),0))))))+IF(BF8="",0,IF(BF8&lt;=5,IF(入力データ!$G$27="私立",前提条件!$C$22,前提条件!$C$21),IF(BF8&lt;=11,IF(入力データ!$H$27="私立",前提条件!$C$24,前提条件!$C$23),IF(BF8&lt;=14,IF(入力データ!$I$27="私立",前提条件!$C$26,前提条件!$C$25),IF(BF8&lt;=17,IF(入力データ!$J$27="私立",前提条件!$C$28,前提条件!$C$27),IF(BF8&lt;=21,IF(入力データ!$K$27="国公立",前提条件!$C$29,IF(入力データ!$K$27="私立理系",前提条件!$C$31,前提条件!$C$30))+IF(入力データ!$L$27="下宿",前提条件!$C$32,0)+IF(BF8=18,前提条件!$C$33,0),0)))))))*(1+前提条件!$C$13)^(BF$3-$B$3))</f>
        <v/>
      </c>
      <c r="BG24" s="352">
        <f>IF(BG$3="","",((SUM(入力データ!$C$58:$C$61)*12)+IF(BG6="",0,IF(BG6&lt;=5,IF(入力データ!$G$25="私立",前提条件!$C$22,前提条件!$C$21),IF(BG6&lt;=11,IF(入力データ!$H$25="私立",前提条件!$C$24,前提条件!$C$23),IF(BG6&lt;=14,IF(入力データ!$I$25="私立",前提条件!$C$26,前提条件!$C$25),IF(BG6&lt;=17,IF(入力データ!$J$25="私立",前提条件!$C$28,前提条件!$C$27),IF(BG6&lt;=21,IF(入力データ!$K$25="国公立",前提条件!$C$29,IF(入力データ!$K$25="私立理系",前提条件!$C$31,前提条件!$C$30))+IF(入力データ!$L$25="下宿",前提条件!$C$32,0)+IF(BG6=18,前提条件!$C$33,0),0))))))+IF(BG7="",0,IF(BG7&lt;=5,IF(入力データ!$G$26="私立",前提条件!$C$22,前提条件!$C$21),IF(BG7&lt;=11,IF(入力データ!$H$26="私立",前提条件!$C$24,前提条件!$C$23),IF(BG7&lt;=14,IF(入力データ!$I$26="私立",前提条件!$C$26,前提条件!$C$25),IF(BG7&lt;=17,IF(入力データ!$J$26="私立",前提条件!$C$28,前提条件!$C$27),IF(BG7&lt;=21,IF(入力データ!$K$26="国公立",前提条件!$C$29,IF(入力データ!$K$26="私立理系",前提条件!$C$31,前提条件!$C$30))+IF(入力データ!$L$26="下宿",前提条件!$C$32,0)+IF(BG7=18,前提条件!$C$33,0),0))))))+IF(BG8="",0,IF(BG8&lt;=5,IF(入力データ!$G$27="私立",前提条件!$C$22,前提条件!$C$21),IF(BG8&lt;=11,IF(入力データ!$H$27="私立",前提条件!$C$24,前提条件!$C$23),IF(BG8&lt;=14,IF(入力データ!$I$27="私立",前提条件!$C$26,前提条件!$C$25),IF(BG8&lt;=17,IF(入力データ!$J$27="私立",前提条件!$C$28,前提条件!$C$27),IF(BG8&lt;=21,IF(入力データ!$K$27="国公立",前提条件!$C$29,IF(入力データ!$K$27="私立理系",前提条件!$C$31,前提条件!$C$30))+IF(入力データ!$L$27="下宿",前提条件!$C$32,0)+IF(BG8=18,前提条件!$C$33,0),0)))))))*(1+前提条件!$C$13)^(BG$3-$B$3))</f>
        <v/>
      </c>
      <c r="BH24" s="352">
        <f>IF(BH$3="","",((SUM(入力データ!$C$58:$C$61)*12)+IF(BH6="",0,IF(BH6&lt;=5,IF(入力データ!$G$25="私立",前提条件!$C$22,前提条件!$C$21),IF(BH6&lt;=11,IF(入力データ!$H$25="私立",前提条件!$C$24,前提条件!$C$23),IF(BH6&lt;=14,IF(入力データ!$I$25="私立",前提条件!$C$26,前提条件!$C$25),IF(BH6&lt;=17,IF(入力データ!$J$25="私立",前提条件!$C$28,前提条件!$C$27),IF(BH6&lt;=21,IF(入力データ!$K$25="国公立",前提条件!$C$29,IF(入力データ!$K$25="私立理系",前提条件!$C$31,前提条件!$C$30))+IF(入力データ!$L$25="下宿",前提条件!$C$32,0)+IF(BH6=18,前提条件!$C$33,0),0))))))+IF(BH7="",0,IF(BH7&lt;=5,IF(入力データ!$G$26="私立",前提条件!$C$22,前提条件!$C$21),IF(BH7&lt;=11,IF(入力データ!$H$26="私立",前提条件!$C$24,前提条件!$C$23),IF(BH7&lt;=14,IF(入力データ!$I$26="私立",前提条件!$C$26,前提条件!$C$25),IF(BH7&lt;=17,IF(入力データ!$J$26="私立",前提条件!$C$28,前提条件!$C$27),IF(BH7&lt;=21,IF(入力データ!$K$26="国公立",前提条件!$C$29,IF(入力データ!$K$26="私立理系",前提条件!$C$31,前提条件!$C$30))+IF(入力データ!$L$26="下宿",前提条件!$C$32,0)+IF(BH7=18,前提条件!$C$33,0),0))))))+IF(BH8="",0,IF(BH8&lt;=5,IF(入力データ!$G$27="私立",前提条件!$C$22,前提条件!$C$21),IF(BH8&lt;=11,IF(入力データ!$H$27="私立",前提条件!$C$24,前提条件!$C$23),IF(BH8&lt;=14,IF(入力データ!$I$27="私立",前提条件!$C$26,前提条件!$C$25),IF(BH8&lt;=17,IF(入力データ!$J$27="私立",前提条件!$C$28,前提条件!$C$27),IF(BH8&lt;=21,IF(入力データ!$K$27="国公立",前提条件!$C$29,IF(入力データ!$K$27="私立理系",前提条件!$C$31,前提条件!$C$30))+IF(入力データ!$L$27="下宿",前提条件!$C$32,0)+IF(BH8=18,前提条件!$C$33,0),0)))))))*(1+前提条件!$C$13)^(BH$3-$B$3))</f>
        <v/>
      </c>
      <c r="BI24" s="352">
        <f>IF(BI$3="","",((SUM(入力データ!$C$58:$C$61)*12)+IF(BI6="",0,IF(BI6&lt;=5,IF(入力データ!$G$25="私立",前提条件!$C$22,前提条件!$C$21),IF(BI6&lt;=11,IF(入力データ!$H$25="私立",前提条件!$C$24,前提条件!$C$23),IF(BI6&lt;=14,IF(入力データ!$I$25="私立",前提条件!$C$26,前提条件!$C$25),IF(BI6&lt;=17,IF(入力データ!$J$25="私立",前提条件!$C$28,前提条件!$C$27),IF(BI6&lt;=21,IF(入力データ!$K$25="国公立",前提条件!$C$29,IF(入力データ!$K$25="私立理系",前提条件!$C$31,前提条件!$C$30))+IF(入力データ!$L$25="下宿",前提条件!$C$32,0)+IF(BI6=18,前提条件!$C$33,0),0))))))+IF(BI7="",0,IF(BI7&lt;=5,IF(入力データ!$G$26="私立",前提条件!$C$22,前提条件!$C$21),IF(BI7&lt;=11,IF(入力データ!$H$26="私立",前提条件!$C$24,前提条件!$C$23),IF(BI7&lt;=14,IF(入力データ!$I$26="私立",前提条件!$C$26,前提条件!$C$25),IF(BI7&lt;=17,IF(入力データ!$J$26="私立",前提条件!$C$28,前提条件!$C$27),IF(BI7&lt;=21,IF(入力データ!$K$26="国公立",前提条件!$C$29,IF(入力データ!$K$26="私立理系",前提条件!$C$31,前提条件!$C$30))+IF(入力データ!$L$26="下宿",前提条件!$C$32,0)+IF(BI7=18,前提条件!$C$33,0),0))))))+IF(BI8="",0,IF(BI8&lt;=5,IF(入力データ!$G$27="私立",前提条件!$C$22,前提条件!$C$21),IF(BI8&lt;=11,IF(入力データ!$H$27="私立",前提条件!$C$24,前提条件!$C$23),IF(BI8&lt;=14,IF(入力データ!$I$27="私立",前提条件!$C$26,前提条件!$C$25),IF(BI8&lt;=17,IF(入力データ!$J$27="私立",前提条件!$C$28,前提条件!$C$27),IF(BI8&lt;=21,IF(入力データ!$K$27="国公立",前提条件!$C$29,IF(入力データ!$K$27="私立理系",前提条件!$C$31,前提条件!$C$30))+IF(入力データ!$L$27="下宿",前提条件!$C$32,0)+IF(BI8=18,前提条件!$C$33,0),0)))))))*(1+前提条件!$C$13)^(BI$3-$B$3))</f>
        <v/>
      </c>
      <c r="BJ24" s="352">
        <f>IF(BJ$3="","",((SUM(入力データ!$C$58:$C$61)*12)+IF(BJ6="",0,IF(BJ6&lt;=5,IF(入力データ!$G$25="私立",前提条件!$C$22,前提条件!$C$21),IF(BJ6&lt;=11,IF(入力データ!$H$25="私立",前提条件!$C$24,前提条件!$C$23),IF(BJ6&lt;=14,IF(入力データ!$I$25="私立",前提条件!$C$26,前提条件!$C$25),IF(BJ6&lt;=17,IF(入力データ!$J$25="私立",前提条件!$C$28,前提条件!$C$27),IF(BJ6&lt;=21,IF(入力データ!$K$25="国公立",前提条件!$C$29,IF(入力データ!$K$25="私立理系",前提条件!$C$31,前提条件!$C$30))+IF(入力データ!$L$25="下宿",前提条件!$C$32,0)+IF(BJ6=18,前提条件!$C$33,0),0))))))+IF(BJ7="",0,IF(BJ7&lt;=5,IF(入力データ!$G$26="私立",前提条件!$C$22,前提条件!$C$21),IF(BJ7&lt;=11,IF(入力データ!$H$26="私立",前提条件!$C$24,前提条件!$C$23),IF(BJ7&lt;=14,IF(入力データ!$I$26="私立",前提条件!$C$26,前提条件!$C$25),IF(BJ7&lt;=17,IF(入力データ!$J$26="私立",前提条件!$C$28,前提条件!$C$27),IF(BJ7&lt;=21,IF(入力データ!$K$26="国公立",前提条件!$C$29,IF(入力データ!$K$26="私立理系",前提条件!$C$31,前提条件!$C$30))+IF(入力データ!$L$26="下宿",前提条件!$C$32,0)+IF(BJ7=18,前提条件!$C$33,0),0))))))+IF(BJ8="",0,IF(BJ8&lt;=5,IF(入力データ!$G$27="私立",前提条件!$C$22,前提条件!$C$21),IF(BJ8&lt;=11,IF(入力データ!$H$27="私立",前提条件!$C$24,前提条件!$C$23),IF(BJ8&lt;=14,IF(入力データ!$I$27="私立",前提条件!$C$26,前提条件!$C$25),IF(BJ8&lt;=17,IF(入力データ!$J$27="私立",前提条件!$C$28,前提条件!$C$27),IF(BJ8&lt;=21,IF(入力データ!$K$27="国公立",前提条件!$C$29,IF(入力データ!$K$27="私立理系",前提条件!$C$31,前提条件!$C$30))+IF(入力データ!$L$27="下宿",前提条件!$C$32,0)+IF(BJ8=18,前提条件!$C$33,0),0)))))))*(1+前提条件!$C$13)^(BJ$3-$B$3))</f>
        <v/>
      </c>
      <c r="BK24" s="352">
        <f>IF(BK$3="","",((SUM(入力データ!$C$58:$C$61)*12)+IF(BK6="",0,IF(BK6&lt;=5,IF(入力データ!$G$25="私立",前提条件!$C$22,前提条件!$C$21),IF(BK6&lt;=11,IF(入力データ!$H$25="私立",前提条件!$C$24,前提条件!$C$23),IF(BK6&lt;=14,IF(入力データ!$I$25="私立",前提条件!$C$26,前提条件!$C$25),IF(BK6&lt;=17,IF(入力データ!$J$25="私立",前提条件!$C$28,前提条件!$C$27),IF(BK6&lt;=21,IF(入力データ!$K$25="国公立",前提条件!$C$29,IF(入力データ!$K$25="私立理系",前提条件!$C$31,前提条件!$C$30))+IF(入力データ!$L$25="下宿",前提条件!$C$32,0)+IF(BK6=18,前提条件!$C$33,0),0))))))+IF(BK7="",0,IF(BK7&lt;=5,IF(入力データ!$G$26="私立",前提条件!$C$22,前提条件!$C$21),IF(BK7&lt;=11,IF(入力データ!$H$26="私立",前提条件!$C$24,前提条件!$C$23),IF(BK7&lt;=14,IF(入力データ!$I$26="私立",前提条件!$C$26,前提条件!$C$25),IF(BK7&lt;=17,IF(入力データ!$J$26="私立",前提条件!$C$28,前提条件!$C$27),IF(BK7&lt;=21,IF(入力データ!$K$26="国公立",前提条件!$C$29,IF(入力データ!$K$26="私立理系",前提条件!$C$31,前提条件!$C$30))+IF(入力データ!$L$26="下宿",前提条件!$C$32,0)+IF(BK7=18,前提条件!$C$33,0),0))))))+IF(BK8="",0,IF(BK8&lt;=5,IF(入力データ!$G$27="私立",前提条件!$C$22,前提条件!$C$21),IF(BK8&lt;=11,IF(入力データ!$H$27="私立",前提条件!$C$24,前提条件!$C$23),IF(BK8&lt;=14,IF(入力データ!$I$27="私立",前提条件!$C$26,前提条件!$C$25),IF(BK8&lt;=17,IF(入力データ!$J$27="私立",前提条件!$C$28,前提条件!$C$27),IF(BK8&lt;=21,IF(入力データ!$K$27="国公立",前提条件!$C$29,IF(入力データ!$K$27="私立理系",前提条件!$C$31,前提条件!$C$30))+IF(入力データ!$L$27="下宿",前提条件!$C$32,0)+IF(BK8=18,前提条件!$C$33,0),0)))))))*(1+前提条件!$C$13)^(BK$3-$B$3))</f>
        <v/>
      </c>
      <c r="BL24" s="352">
        <f>IF(BL$3="","",((SUM(入力データ!$C$58:$C$61)*12)+IF(BL6="",0,IF(BL6&lt;=5,IF(入力データ!$G$25="私立",前提条件!$C$22,前提条件!$C$21),IF(BL6&lt;=11,IF(入力データ!$H$25="私立",前提条件!$C$24,前提条件!$C$23),IF(BL6&lt;=14,IF(入力データ!$I$25="私立",前提条件!$C$26,前提条件!$C$25),IF(BL6&lt;=17,IF(入力データ!$J$25="私立",前提条件!$C$28,前提条件!$C$27),IF(BL6&lt;=21,IF(入力データ!$K$25="国公立",前提条件!$C$29,IF(入力データ!$K$25="私立理系",前提条件!$C$31,前提条件!$C$30))+IF(入力データ!$L$25="下宿",前提条件!$C$32,0)+IF(BL6=18,前提条件!$C$33,0),0))))))+IF(BL7="",0,IF(BL7&lt;=5,IF(入力データ!$G$26="私立",前提条件!$C$22,前提条件!$C$21),IF(BL7&lt;=11,IF(入力データ!$H$26="私立",前提条件!$C$24,前提条件!$C$23),IF(BL7&lt;=14,IF(入力データ!$I$26="私立",前提条件!$C$26,前提条件!$C$25),IF(BL7&lt;=17,IF(入力データ!$J$26="私立",前提条件!$C$28,前提条件!$C$27),IF(BL7&lt;=21,IF(入力データ!$K$26="国公立",前提条件!$C$29,IF(入力データ!$K$26="私立理系",前提条件!$C$31,前提条件!$C$30))+IF(入力データ!$L$26="下宿",前提条件!$C$32,0)+IF(BL7=18,前提条件!$C$33,0),0))))))+IF(BL8="",0,IF(BL8&lt;=5,IF(入力データ!$G$27="私立",前提条件!$C$22,前提条件!$C$21),IF(BL8&lt;=11,IF(入力データ!$H$27="私立",前提条件!$C$24,前提条件!$C$23),IF(BL8&lt;=14,IF(入力データ!$I$27="私立",前提条件!$C$26,前提条件!$C$25),IF(BL8&lt;=17,IF(入力データ!$J$27="私立",前提条件!$C$28,前提条件!$C$27),IF(BL8&lt;=21,IF(入力データ!$K$27="国公立",前提条件!$C$29,IF(入力データ!$K$27="私立理系",前提条件!$C$31,前提条件!$C$30))+IF(入力データ!$L$27="下宿",前提条件!$C$32,0)+IF(BL8=18,前提条件!$C$33,0),0)))))))*(1+前提条件!$C$13)^(BL$3-$B$3))</f>
        <v/>
      </c>
      <c r="BM24" s="352">
        <f>IF(BM$3="","",((SUM(入力データ!$C$58:$C$61)*12)+IF(BM6="",0,IF(BM6&lt;=5,IF(入力データ!$G$25="私立",前提条件!$C$22,前提条件!$C$21),IF(BM6&lt;=11,IF(入力データ!$H$25="私立",前提条件!$C$24,前提条件!$C$23),IF(BM6&lt;=14,IF(入力データ!$I$25="私立",前提条件!$C$26,前提条件!$C$25),IF(BM6&lt;=17,IF(入力データ!$J$25="私立",前提条件!$C$28,前提条件!$C$27),IF(BM6&lt;=21,IF(入力データ!$K$25="国公立",前提条件!$C$29,IF(入力データ!$K$25="私立理系",前提条件!$C$31,前提条件!$C$30))+IF(入力データ!$L$25="下宿",前提条件!$C$32,0)+IF(BM6=18,前提条件!$C$33,0),0))))))+IF(BM7="",0,IF(BM7&lt;=5,IF(入力データ!$G$26="私立",前提条件!$C$22,前提条件!$C$21),IF(BM7&lt;=11,IF(入力データ!$H$26="私立",前提条件!$C$24,前提条件!$C$23),IF(BM7&lt;=14,IF(入力データ!$I$26="私立",前提条件!$C$26,前提条件!$C$25),IF(BM7&lt;=17,IF(入力データ!$J$26="私立",前提条件!$C$28,前提条件!$C$27),IF(BM7&lt;=21,IF(入力データ!$K$26="国公立",前提条件!$C$29,IF(入力データ!$K$26="私立理系",前提条件!$C$31,前提条件!$C$30))+IF(入力データ!$L$26="下宿",前提条件!$C$32,0)+IF(BM7=18,前提条件!$C$33,0),0))))))+IF(BM8="",0,IF(BM8&lt;=5,IF(入力データ!$G$27="私立",前提条件!$C$22,前提条件!$C$21),IF(BM8&lt;=11,IF(入力データ!$H$27="私立",前提条件!$C$24,前提条件!$C$23),IF(BM8&lt;=14,IF(入力データ!$I$27="私立",前提条件!$C$26,前提条件!$C$25),IF(BM8&lt;=17,IF(入力データ!$J$27="私立",前提条件!$C$28,前提条件!$C$27),IF(BM8&lt;=21,IF(入力データ!$K$27="国公立",前提条件!$C$29,IF(入力データ!$K$27="私立理系",前提条件!$C$31,前提条件!$C$30))+IF(入力データ!$L$27="下宿",前提条件!$C$32,0)+IF(BM8=18,前提条件!$C$33,0),0)))))))*(1+前提条件!$C$13)^(BM$3-$B$3))</f>
        <v/>
      </c>
      <c r="BN24" s="352">
        <f>IF(BN$3="","",((SUM(入力データ!$C$58:$C$61)*12)+IF(BN6="",0,IF(BN6&lt;=5,IF(入力データ!$G$25="私立",前提条件!$C$22,前提条件!$C$21),IF(BN6&lt;=11,IF(入力データ!$H$25="私立",前提条件!$C$24,前提条件!$C$23),IF(BN6&lt;=14,IF(入力データ!$I$25="私立",前提条件!$C$26,前提条件!$C$25),IF(BN6&lt;=17,IF(入力データ!$J$25="私立",前提条件!$C$28,前提条件!$C$27),IF(BN6&lt;=21,IF(入力データ!$K$25="国公立",前提条件!$C$29,IF(入力データ!$K$25="私立理系",前提条件!$C$31,前提条件!$C$30))+IF(入力データ!$L$25="下宿",前提条件!$C$32,0)+IF(BN6=18,前提条件!$C$33,0),0))))))+IF(BN7="",0,IF(BN7&lt;=5,IF(入力データ!$G$26="私立",前提条件!$C$22,前提条件!$C$21),IF(BN7&lt;=11,IF(入力データ!$H$26="私立",前提条件!$C$24,前提条件!$C$23),IF(BN7&lt;=14,IF(入力データ!$I$26="私立",前提条件!$C$26,前提条件!$C$25),IF(BN7&lt;=17,IF(入力データ!$J$26="私立",前提条件!$C$28,前提条件!$C$27),IF(BN7&lt;=21,IF(入力データ!$K$26="国公立",前提条件!$C$29,IF(入力データ!$K$26="私立理系",前提条件!$C$31,前提条件!$C$30))+IF(入力データ!$L$26="下宿",前提条件!$C$32,0)+IF(BN7=18,前提条件!$C$33,0),0))))))+IF(BN8="",0,IF(BN8&lt;=5,IF(入力データ!$G$27="私立",前提条件!$C$22,前提条件!$C$21),IF(BN8&lt;=11,IF(入力データ!$H$27="私立",前提条件!$C$24,前提条件!$C$23),IF(BN8&lt;=14,IF(入力データ!$I$27="私立",前提条件!$C$26,前提条件!$C$25),IF(BN8&lt;=17,IF(入力データ!$J$27="私立",前提条件!$C$28,前提条件!$C$27),IF(BN8&lt;=21,IF(入力データ!$K$27="国公立",前提条件!$C$29,IF(入力データ!$K$27="私立理系",前提条件!$C$31,前提条件!$C$30))+IF(入力データ!$L$27="下宿",前提条件!$C$32,0)+IF(BN8=18,前提条件!$C$33,0),0)))))))*(1+前提条件!$C$13)^(BN$3-$B$3))</f>
        <v/>
      </c>
      <c r="BO24" s="352">
        <f>IF(BO$3="","",((SUM(入力データ!$C$58:$C$61)*12)+IF(BO6="",0,IF(BO6&lt;=5,IF(入力データ!$G$25="私立",前提条件!$C$22,前提条件!$C$21),IF(BO6&lt;=11,IF(入力データ!$H$25="私立",前提条件!$C$24,前提条件!$C$23),IF(BO6&lt;=14,IF(入力データ!$I$25="私立",前提条件!$C$26,前提条件!$C$25),IF(BO6&lt;=17,IF(入力データ!$J$25="私立",前提条件!$C$28,前提条件!$C$27),IF(BO6&lt;=21,IF(入力データ!$K$25="国公立",前提条件!$C$29,IF(入力データ!$K$25="私立理系",前提条件!$C$31,前提条件!$C$30))+IF(入力データ!$L$25="下宿",前提条件!$C$32,0)+IF(BO6=18,前提条件!$C$33,0),0))))))+IF(BO7="",0,IF(BO7&lt;=5,IF(入力データ!$G$26="私立",前提条件!$C$22,前提条件!$C$21),IF(BO7&lt;=11,IF(入力データ!$H$26="私立",前提条件!$C$24,前提条件!$C$23),IF(BO7&lt;=14,IF(入力データ!$I$26="私立",前提条件!$C$26,前提条件!$C$25),IF(BO7&lt;=17,IF(入力データ!$J$26="私立",前提条件!$C$28,前提条件!$C$27),IF(BO7&lt;=21,IF(入力データ!$K$26="国公立",前提条件!$C$29,IF(入力データ!$K$26="私立理系",前提条件!$C$31,前提条件!$C$30))+IF(入力データ!$L$26="下宿",前提条件!$C$32,0)+IF(BO7=18,前提条件!$C$33,0),0))))))+IF(BO8="",0,IF(BO8&lt;=5,IF(入力データ!$G$27="私立",前提条件!$C$22,前提条件!$C$21),IF(BO8&lt;=11,IF(入力データ!$H$27="私立",前提条件!$C$24,前提条件!$C$23),IF(BO8&lt;=14,IF(入力データ!$I$27="私立",前提条件!$C$26,前提条件!$C$25),IF(BO8&lt;=17,IF(入力データ!$J$27="私立",前提条件!$C$28,前提条件!$C$27),IF(BO8&lt;=21,IF(入力データ!$K$27="国公立",前提条件!$C$29,IF(入力データ!$K$27="私立理系",前提条件!$C$31,前提条件!$C$30))+IF(入力データ!$L$27="下宿",前提条件!$C$32,0)+IF(BO8=18,前提条件!$C$33,0),0)))))))*(1+前提条件!$C$13)^(BO$3-$B$3))</f>
        <v/>
      </c>
      <c r="BP24" s="352">
        <f>IF(BP$3="","",((SUM(入力データ!$C$58:$C$61)*12)+IF(BP6="",0,IF(BP6&lt;=5,IF(入力データ!$G$25="私立",前提条件!$C$22,前提条件!$C$21),IF(BP6&lt;=11,IF(入力データ!$H$25="私立",前提条件!$C$24,前提条件!$C$23),IF(BP6&lt;=14,IF(入力データ!$I$25="私立",前提条件!$C$26,前提条件!$C$25),IF(BP6&lt;=17,IF(入力データ!$J$25="私立",前提条件!$C$28,前提条件!$C$27),IF(BP6&lt;=21,IF(入力データ!$K$25="国公立",前提条件!$C$29,IF(入力データ!$K$25="私立理系",前提条件!$C$31,前提条件!$C$30))+IF(入力データ!$L$25="下宿",前提条件!$C$32,0)+IF(BP6=18,前提条件!$C$33,0),0))))))+IF(BP7="",0,IF(BP7&lt;=5,IF(入力データ!$G$26="私立",前提条件!$C$22,前提条件!$C$21),IF(BP7&lt;=11,IF(入力データ!$H$26="私立",前提条件!$C$24,前提条件!$C$23),IF(BP7&lt;=14,IF(入力データ!$I$26="私立",前提条件!$C$26,前提条件!$C$25),IF(BP7&lt;=17,IF(入力データ!$J$26="私立",前提条件!$C$28,前提条件!$C$27),IF(BP7&lt;=21,IF(入力データ!$K$26="国公立",前提条件!$C$29,IF(入力データ!$K$26="私立理系",前提条件!$C$31,前提条件!$C$30))+IF(入力データ!$L$26="下宿",前提条件!$C$32,0)+IF(BP7=18,前提条件!$C$33,0),0))))))+IF(BP8="",0,IF(BP8&lt;=5,IF(入力データ!$G$27="私立",前提条件!$C$22,前提条件!$C$21),IF(BP8&lt;=11,IF(入力データ!$H$27="私立",前提条件!$C$24,前提条件!$C$23),IF(BP8&lt;=14,IF(入力データ!$I$27="私立",前提条件!$C$26,前提条件!$C$25),IF(BP8&lt;=17,IF(入力データ!$J$27="私立",前提条件!$C$28,前提条件!$C$27),IF(BP8&lt;=21,IF(入力データ!$K$27="国公立",前提条件!$C$29,IF(入力データ!$K$27="私立理系",前提条件!$C$31,前提条件!$C$30))+IF(入力データ!$L$27="下宿",前提条件!$C$32,0)+IF(BP8=18,前提条件!$C$33,0),0)))))))*(1+前提条件!$C$13)^(BP$3-$B$3))</f>
        <v/>
      </c>
      <c r="BQ24" s="352">
        <f>IF(BQ$3="","",((SUM(入力データ!$C$58:$C$61)*12)+IF(BQ6="",0,IF(BQ6&lt;=5,IF(入力データ!$G$25="私立",前提条件!$C$22,前提条件!$C$21),IF(BQ6&lt;=11,IF(入力データ!$H$25="私立",前提条件!$C$24,前提条件!$C$23),IF(BQ6&lt;=14,IF(入力データ!$I$25="私立",前提条件!$C$26,前提条件!$C$25),IF(BQ6&lt;=17,IF(入力データ!$J$25="私立",前提条件!$C$28,前提条件!$C$27),IF(BQ6&lt;=21,IF(入力データ!$K$25="国公立",前提条件!$C$29,IF(入力データ!$K$25="私立理系",前提条件!$C$31,前提条件!$C$30))+IF(入力データ!$L$25="下宿",前提条件!$C$32,0)+IF(BQ6=18,前提条件!$C$33,0),0))))))+IF(BQ7="",0,IF(BQ7&lt;=5,IF(入力データ!$G$26="私立",前提条件!$C$22,前提条件!$C$21),IF(BQ7&lt;=11,IF(入力データ!$H$26="私立",前提条件!$C$24,前提条件!$C$23),IF(BQ7&lt;=14,IF(入力データ!$I$26="私立",前提条件!$C$26,前提条件!$C$25),IF(BQ7&lt;=17,IF(入力データ!$J$26="私立",前提条件!$C$28,前提条件!$C$27),IF(BQ7&lt;=21,IF(入力データ!$K$26="国公立",前提条件!$C$29,IF(入力データ!$K$26="私立理系",前提条件!$C$31,前提条件!$C$30))+IF(入力データ!$L$26="下宿",前提条件!$C$32,0)+IF(BQ7=18,前提条件!$C$33,0),0))))))+IF(BQ8="",0,IF(BQ8&lt;=5,IF(入力データ!$G$27="私立",前提条件!$C$22,前提条件!$C$21),IF(BQ8&lt;=11,IF(入力データ!$H$27="私立",前提条件!$C$24,前提条件!$C$23),IF(BQ8&lt;=14,IF(入力データ!$I$27="私立",前提条件!$C$26,前提条件!$C$25),IF(BQ8&lt;=17,IF(入力データ!$J$27="私立",前提条件!$C$28,前提条件!$C$27),IF(BQ8&lt;=21,IF(入力データ!$K$27="国公立",前提条件!$C$29,IF(入力データ!$K$27="私立理系",前提条件!$C$31,前提条件!$C$30))+IF(入力データ!$L$27="下宿",前提条件!$C$32,0)+IF(BQ8=18,前提条件!$C$33,0),0)))))))*(1+前提条件!$C$13)^(BQ$3-$B$3))</f>
        <v/>
      </c>
      <c r="BR24" s="352">
        <f>IF(BR$3="","",((SUM(入力データ!$C$58:$C$61)*12)+IF(BR6="",0,IF(BR6&lt;=5,IF(入力データ!$G$25="私立",前提条件!$C$22,前提条件!$C$21),IF(BR6&lt;=11,IF(入力データ!$H$25="私立",前提条件!$C$24,前提条件!$C$23),IF(BR6&lt;=14,IF(入力データ!$I$25="私立",前提条件!$C$26,前提条件!$C$25),IF(BR6&lt;=17,IF(入力データ!$J$25="私立",前提条件!$C$28,前提条件!$C$27),IF(BR6&lt;=21,IF(入力データ!$K$25="国公立",前提条件!$C$29,IF(入力データ!$K$25="私立理系",前提条件!$C$31,前提条件!$C$30))+IF(入力データ!$L$25="下宿",前提条件!$C$32,0)+IF(BR6=18,前提条件!$C$33,0),0))))))+IF(BR7="",0,IF(BR7&lt;=5,IF(入力データ!$G$26="私立",前提条件!$C$22,前提条件!$C$21),IF(BR7&lt;=11,IF(入力データ!$H$26="私立",前提条件!$C$24,前提条件!$C$23),IF(BR7&lt;=14,IF(入力データ!$I$26="私立",前提条件!$C$26,前提条件!$C$25),IF(BR7&lt;=17,IF(入力データ!$J$26="私立",前提条件!$C$28,前提条件!$C$27),IF(BR7&lt;=21,IF(入力データ!$K$26="国公立",前提条件!$C$29,IF(入力データ!$K$26="私立理系",前提条件!$C$31,前提条件!$C$30))+IF(入力データ!$L$26="下宿",前提条件!$C$32,0)+IF(BR7=18,前提条件!$C$33,0),0))))))+IF(BR8="",0,IF(BR8&lt;=5,IF(入力データ!$G$27="私立",前提条件!$C$22,前提条件!$C$21),IF(BR8&lt;=11,IF(入力データ!$H$27="私立",前提条件!$C$24,前提条件!$C$23),IF(BR8&lt;=14,IF(入力データ!$I$27="私立",前提条件!$C$26,前提条件!$C$25),IF(BR8&lt;=17,IF(入力データ!$J$27="私立",前提条件!$C$28,前提条件!$C$27),IF(BR8&lt;=21,IF(入力データ!$K$27="国公立",前提条件!$C$29,IF(入力データ!$K$27="私立理系",前提条件!$C$31,前提条件!$C$30))+IF(入力データ!$L$27="下宿",前提条件!$C$32,0)+IF(BR8=18,前提条件!$C$33,0),0)))))))*(1+前提条件!$C$13)^(BR$3-$B$3))</f>
        <v/>
      </c>
      <c r="BS24" s="352">
        <f>IF(BS$3="","",((SUM(入力データ!$C$58:$C$61)*12)+IF(BS6="",0,IF(BS6&lt;=5,IF(入力データ!$G$25="私立",前提条件!$C$22,前提条件!$C$21),IF(BS6&lt;=11,IF(入力データ!$H$25="私立",前提条件!$C$24,前提条件!$C$23),IF(BS6&lt;=14,IF(入力データ!$I$25="私立",前提条件!$C$26,前提条件!$C$25),IF(BS6&lt;=17,IF(入力データ!$J$25="私立",前提条件!$C$28,前提条件!$C$27),IF(BS6&lt;=21,IF(入力データ!$K$25="国公立",前提条件!$C$29,IF(入力データ!$K$25="私立理系",前提条件!$C$31,前提条件!$C$30))+IF(入力データ!$L$25="下宿",前提条件!$C$32,0)+IF(BS6=18,前提条件!$C$33,0),0))))))+IF(BS7="",0,IF(BS7&lt;=5,IF(入力データ!$G$26="私立",前提条件!$C$22,前提条件!$C$21),IF(BS7&lt;=11,IF(入力データ!$H$26="私立",前提条件!$C$24,前提条件!$C$23),IF(BS7&lt;=14,IF(入力データ!$I$26="私立",前提条件!$C$26,前提条件!$C$25),IF(BS7&lt;=17,IF(入力データ!$J$26="私立",前提条件!$C$28,前提条件!$C$27),IF(BS7&lt;=21,IF(入力データ!$K$26="国公立",前提条件!$C$29,IF(入力データ!$K$26="私立理系",前提条件!$C$31,前提条件!$C$30))+IF(入力データ!$L$26="下宿",前提条件!$C$32,0)+IF(BS7=18,前提条件!$C$33,0),0))))))+IF(BS8="",0,IF(BS8&lt;=5,IF(入力データ!$G$27="私立",前提条件!$C$22,前提条件!$C$21),IF(BS8&lt;=11,IF(入力データ!$H$27="私立",前提条件!$C$24,前提条件!$C$23),IF(BS8&lt;=14,IF(入力データ!$I$27="私立",前提条件!$C$26,前提条件!$C$25),IF(BS8&lt;=17,IF(入力データ!$J$27="私立",前提条件!$C$28,前提条件!$C$27),IF(BS8&lt;=21,IF(入力データ!$K$27="国公立",前提条件!$C$29,IF(入力データ!$K$27="私立理系",前提条件!$C$31,前提条件!$C$30))+IF(入力データ!$L$27="下宿",前提条件!$C$32,0)+IF(BS8=18,前提条件!$C$33,0),0)))))))*(1+前提条件!$C$13)^(BS$3-$B$3))</f>
        <v/>
      </c>
      <c r="BT24" s="352">
        <f>IF(BT$3="","",((SUM(入力データ!$C$58:$C$61)*12)+IF(BT6="",0,IF(BT6&lt;=5,IF(入力データ!$G$25="私立",前提条件!$C$22,前提条件!$C$21),IF(BT6&lt;=11,IF(入力データ!$H$25="私立",前提条件!$C$24,前提条件!$C$23),IF(BT6&lt;=14,IF(入力データ!$I$25="私立",前提条件!$C$26,前提条件!$C$25),IF(BT6&lt;=17,IF(入力データ!$J$25="私立",前提条件!$C$28,前提条件!$C$27),IF(BT6&lt;=21,IF(入力データ!$K$25="国公立",前提条件!$C$29,IF(入力データ!$K$25="私立理系",前提条件!$C$31,前提条件!$C$30))+IF(入力データ!$L$25="下宿",前提条件!$C$32,0)+IF(BT6=18,前提条件!$C$33,0),0))))))+IF(BT7="",0,IF(BT7&lt;=5,IF(入力データ!$G$26="私立",前提条件!$C$22,前提条件!$C$21),IF(BT7&lt;=11,IF(入力データ!$H$26="私立",前提条件!$C$24,前提条件!$C$23),IF(BT7&lt;=14,IF(入力データ!$I$26="私立",前提条件!$C$26,前提条件!$C$25),IF(BT7&lt;=17,IF(入力データ!$J$26="私立",前提条件!$C$28,前提条件!$C$27),IF(BT7&lt;=21,IF(入力データ!$K$26="国公立",前提条件!$C$29,IF(入力データ!$K$26="私立理系",前提条件!$C$31,前提条件!$C$30))+IF(入力データ!$L$26="下宿",前提条件!$C$32,0)+IF(BT7=18,前提条件!$C$33,0),0))))))+IF(BT8="",0,IF(BT8&lt;=5,IF(入力データ!$G$27="私立",前提条件!$C$22,前提条件!$C$21),IF(BT8&lt;=11,IF(入力データ!$H$27="私立",前提条件!$C$24,前提条件!$C$23),IF(BT8&lt;=14,IF(入力データ!$I$27="私立",前提条件!$C$26,前提条件!$C$25),IF(BT8&lt;=17,IF(入力データ!$J$27="私立",前提条件!$C$28,前提条件!$C$27),IF(BT8&lt;=21,IF(入力データ!$K$27="国公立",前提条件!$C$29,IF(入力データ!$K$27="私立理系",前提条件!$C$31,前提条件!$C$30))+IF(入力データ!$L$27="下宿",前提条件!$C$32,0)+IF(BT8=18,前提条件!$C$33,0),0)))))))*(1+前提条件!$C$13)^(BT$3-$B$3))</f>
        <v/>
      </c>
      <c r="BU24" s="352">
        <f>IF(BU$3="","",((SUM(入力データ!$C$58:$C$61)*12)+IF(BU6="",0,IF(BU6&lt;=5,IF(入力データ!$G$25="私立",前提条件!$C$22,前提条件!$C$21),IF(BU6&lt;=11,IF(入力データ!$H$25="私立",前提条件!$C$24,前提条件!$C$23),IF(BU6&lt;=14,IF(入力データ!$I$25="私立",前提条件!$C$26,前提条件!$C$25),IF(BU6&lt;=17,IF(入力データ!$J$25="私立",前提条件!$C$28,前提条件!$C$27),IF(BU6&lt;=21,IF(入力データ!$K$25="国公立",前提条件!$C$29,IF(入力データ!$K$25="私立理系",前提条件!$C$31,前提条件!$C$30))+IF(入力データ!$L$25="下宿",前提条件!$C$32,0)+IF(BU6=18,前提条件!$C$33,0),0))))))+IF(BU7="",0,IF(BU7&lt;=5,IF(入力データ!$G$26="私立",前提条件!$C$22,前提条件!$C$21),IF(BU7&lt;=11,IF(入力データ!$H$26="私立",前提条件!$C$24,前提条件!$C$23),IF(BU7&lt;=14,IF(入力データ!$I$26="私立",前提条件!$C$26,前提条件!$C$25),IF(BU7&lt;=17,IF(入力データ!$J$26="私立",前提条件!$C$28,前提条件!$C$27),IF(BU7&lt;=21,IF(入力データ!$K$26="国公立",前提条件!$C$29,IF(入力データ!$K$26="私立理系",前提条件!$C$31,前提条件!$C$30))+IF(入力データ!$L$26="下宿",前提条件!$C$32,0)+IF(BU7=18,前提条件!$C$33,0),0))))))+IF(BU8="",0,IF(BU8&lt;=5,IF(入力データ!$G$27="私立",前提条件!$C$22,前提条件!$C$21),IF(BU8&lt;=11,IF(入力データ!$H$27="私立",前提条件!$C$24,前提条件!$C$23),IF(BU8&lt;=14,IF(入力データ!$I$27="私立",前提条件!$C$26,前提条件!$C$25),IF(BU8&lt;=17,IF(入力データ!$J$27="私立",前提条件!$C$28,前提条件!$C$27),IF(BU8&lt;=21,IF(入力データ!$K$27="国公立",前提条件!$C$29,IF(入力データ!$K$27="私立理系",前提条件!$C$31,前提条件!$C$30))+IF(入力データ!$L$27="下宿",前提条件!$C$32,0)+IF(BU8=18,前提条件!$C$33,0),0)))))))*(1+前提条件!$C$13)^(BU$3-$B$3))</f>
        <v/>
      </c>
      <c r="BV24" s="352">
        <f>IF(BV$3="","",((SUM(入力データ!$C$58:$C$61)*12)+IF(BV6="",0,IF(BV6&lt;=5,IF(入力データ!$G$25="私立",前提条件!$C$22,前提条件!$C$21),IF(BV6&lt;=11,IF(入力データ!$H$25="私立",前提条件!$C$24,前提条件!$C$23),IF(BV6&lt;=14,IF(入力データ!$I$25="私立",前提条件!$C$26,前提条件!$C$25),IF(BV6&lt;=17,IF(入力データ!$J$25="私立",前提条件!$C$28,前提条件!$C$27),IF(BV6&lt;=21,IF(入力データ!$K$25="国公立",前提条件!$C$29,IF(入力データ!$K$25="私立理系",前提条件!$C$31,前提条件!$C$30))+IF(入力データ!$L$25="下宿",前提条件!$C$32,0)+IF(BV6=18,前提条件!$C$33,0),0))))))+IF(BV7="",0,IF(BV7&lt;=5,IF(入力データ!$G$26="私立",前提条件!$C$22,前提条件!$C$21),IF(BV7&lt;=11,IF(入力データ!$H$26="私立",前提条件!$C$24,前提条件!$C$23),IF(BV7&lt;=14,IF(入力データ!$I$26="私立",前提条件!$C$26,前提条件!$C$25),IF(BV7&lt;=17,IF(入力データ!$J$26="私立",前提条件!$C$28,前提条件!$C$27),IF(BV7&lt;=21,IF(入力データ!$K$26="国公立",前提条件!$C$29,IF(入力データ!$K$26="私立理系",前提条件!$C$31,前提条件!$C$30))+IF(入力データ!$L$26="下宿",前提条件!$C$32,0)+IF(BV7=18,前提条件!$C$33,0),0))))))+IF(BV8="",0,IF(BV8&lt;=5,IF(入力データ!$G$27="私立",前提条件!$C$22,前提条件!$C$21),IF(BV8&lt;=11,IF(入力データ!$H$27="私立",前提条件!$C$24,前提条件!$C$23),IF(BV8&lt;=14,IF(入力データ!$I$27="私立",前提条件!$C$26,前提条件!$C$25),IF(BV8&lt;=17,IF(入力データ!$J$27="私立",前提条件!$C$28,前提条件!$C$27),IF(BV8&lt;=21,IF(入力データ!$K$27="国公立",前提条件!$C$29,IF(入力データ!$K$27="私立理系",前提条件!$C$31,前提条件!$C$30))+IF(入力データ!$L$27="下宿",前提条件!$C$32,0)+IF(BV8=18,前提条件!$C$33,0),0)))))))*(1+前提条件!$C$13)^(BV$3-$B$3))</f>
        <v/>
      </c>
      <c r="BW24" s="352">
        <f>IF(BW$3="","",((SUM(入力データ!$C$58:$C$61)*12)+IF(BW6="",0,IF(BW6&lt;=5,IF(入力データ!$G$25="私立",前提条件!$C$22,前提条件!$C$21),IF(BW6&lt;=11,IF(入力データ!$H$25="私立",前提条件!$C$24,前提条件!$C$23),IF(BW6&lt;=14,IF(入力データ!$I$25="私立",前提条件!$C$26,前提条件!$C$25),IF(BW6&lt;=17,IF(入力データ!$J$25="私立",前提条件!$C$28,前提条件!$C$27),IF(BW6&lt;=21,IF(入力データ!$K$25="国公立",前提条件!$C$29,IF(入力データ!$K$25="私立理系",前提条件!$C$31,前提条件!$C$30))+IF(入力データ!$L$25="下宿",前提条件!$C$32,0)+IF(BW6=18,前提条件!$C$33,0),0))))))+IF(BW7="",0,IF(BW7&lt;=5,IF(入力データ!$G$26="私立",前提条件!$C$22,前提条件!$C$21),IF(BW7&lt;=11,IF(入力データ!$H$26="私立",前提条件!$C$24,前提条件!$C$23),IF(BW7&lt;=14,IF(入力データ!$I$26="私立",前提条件!$C$26,前提条件!$C$25),IF(BW7&lt;=17,IF(入力データ!$J$26="私立",前提条件!$C$28,前提条件!$C$27),IF(BW7&lt;=21,IF(入力データ!$K$26="国公立",前提条件!$C$29,IF(入力データ!$K$26="私立理系",前提条件!$C$31,前提条件!$C$30))+IF(入力データ!$L$26="下宿",前提条件!$C$32,0)+IF(BW7=18,前提条件!$C$33,0),0))))))+IF(BW8="",0,IF(BW8&lt;=5,IF(入力データ!$G$27="私立",前提条件!$C$22,前提条件!$C$21),IF(BW8&lt;=11,IF(入力データ!$H$27="私立",前提条件!$C$24,前提条件!$C$23),IF(BW8&lt;=14,IF(入力データ!$I$27="私立",前提条件!$C$26,前提条件!$C$25),IF(BW8&lt;=17,IF(入力データ!$J$27="私立",前提条件!$C$28,前提条件!$C$27),IF(BW8&lt;=21,IF(入力データ!$K$27="国公立",前提条件!$C$29,IF(入力データ!$K$27="私立理系",前提条件!$C$31,前提条件!$C$30))+IF(入力データ!$L$27="下宿",前提条件!$C$32,0)+IF(BW8=18,前提条件!$C$33,0),0)))))))*(1+前提条件!$C$13)^(BW$3-$B$3))</f>
        <v/>
      </c>
      <c r="BX24" s="352">
        <f>IF(BX$3="","",((SUM(入力データ!$C$58:$C$61)*12)+IF(BX6="",0,IF(BX6&lt;=5,IF(入力データ!$G$25="私立",前提条件!$C$22,前提条件!$C$21),IF(BX6&lt;=11,IF(入力データ!$H$25="私立",前提条件!$C$24,前提条件!$C$23),IF(BX6&lt;=14,IF(入力データ!$I$25="私立",前提条件!$C$26,前提条件!$C$25),IF(BX6&lt;=17,IF(入力データ!$J$25="私立",前提条件!$C$28,前提条件!$C$27),IF(BX6&lt;=21,IF(入力データ!$K$25="国公立",前提条件!$C$29,IF(入力データ!$K$25="私立理系",前提条件!$C$31,前提条件!$C$30))+IF(入力データ!$L$25="下宿",前提条件!$C$32,0)+IF(BX6=18,前提条件!$C$33,0),0))))))+IF(BX7="",0,IF(BX7&lt;=5,IF(入力データ!$G$26="私立",前提条件!$C$22,前提条件!$C$21),IF(BX7&lt;=11,IF(入力データ!$H$26="私立",前提条件!$C$24,前提条件!$C$23),IF(BX7&lt;=14,IF(入力データ!$I$26="私立",前提条件!$C$26,前提条件!$C$25),IF(BX7&lt;=17,IF(入力データ!$J$26="私立",前提条件!$C$28,前提条件!$C$27),IF(BX7&lt;=21,IF(入力データ!$K$26="国公立",前提条件!$C$29,IF(入力データ!$K$26="私立理系",前提条件!$C$31,前提条件!$C$30))+IF(入力データ!$L$26="下宿",前提条件!$C$32,0)+IF(BX7=18,前提条件!$C$33,0),0))))))+IF(BX8="",0,IF(BX8&lt;=5,IF(入力データ!$G$27="私立",前提条件!$C$22,前提条件!$C$21),IF(BX8&lt;=11,IF(入力データ!$H$27="私立",前提条件!$C$24,前提条件!$C$23),IF(BX8&lt;=14,IF(入力データ!$I$27="私立",前提条件!$C$26,前提条件!$C$25),IF(BX8&lt;=17,IF(入力データ!$J$27="私立",前提条件!$C$28,前提条件!$C$27),IF(BX8&lt;=21,IF(入力データ!$K$27="国公立",前提条件!$C$29,IF(入力データ!$K$27="私立理系",前提条件!$C$31,前提条件!$C$30))+IF(入力データ!$L$27="下宿",前提条件!$C$32,0)+IF(BX8=18,前提条件!$C$33,0),0)))))))*(1+前提条件!$C$13)^(BX$3-$B$3))</f>
        <v/>
      </c>
      <c r="BY24" s="352">
        <f>IF(BY$3="","",((SUM(入力データ!$C$58:$C$61)*12)+IF(BY6="",0,IF(BY6&lt;=5,IF(入力データ!$G$25="私立",前提条件!$C$22,前提条件!$C$21),IF(BY6&lt;=11,IF(入力データ!$H$25="私立",前提条件!$C$24,前提条件!$C$23),IF(BY6&lt;=14,IF(入力データ!$I$25="私立",前提条件!$C$26,前提条件!$C$25),IF(BY6&lt;=17,IF(入力データ!$J$25="私立",前提条件!$C$28,前提条件!$C$27),IF(BY6&lt;=21,IF(入力データ!$K$25="国公立",前提条件!$C$29,IF(入力データ!$K$25="私立理系",前提条件!$C$31,前提条件!$C$30))+IF(入力データ!$L$25="下宿",前提条件!$C$32,0)+IF(BY6=18,前提条件!$C$33,0),0))))))+IF(BY7="",0,IF(BY7&lt;=5,IF(入力データ!$G$26="私立",前提条件!$C$22,前提条件!$C$21),IF(BY7&lt;=11,IF(入力データ!$H$26="私立",前提条件!$C$24,前提条件!$C$23),IF(BY7&lt;=14,IF(入力データ!$I$26="私立",前提条件!$C$26,前提条件!$C$25),IF(BY7&lt;=17,IF(入力データ!$J$26="私立",前提条件!$C$28,前提条件!$C$27),IF(BY7&lt;=21,IF(入力データ!$K$26="国公立",前提条件!$C$29,IF(入力データ!$K$26="私立理系",前提条件!$C$31,前提条件!$C$30))+IF(入力データ!$L$26="下宿",前提条件!$C$32,0)+IF(BY7=18,前提条件!$C$33,0),0))))))+IF(BY8="",0,IF(BY8&lt;=5,IF(入力データ!$G$27="私立",前提条件!$C$22,前提条件!$C$21),IF(BY8&lt;=11,IF(入力データ!$H$27="私立",前提条件!$C$24,前提条件!$C$23),IF(BY8&lt;=14,IF(入力データ!$I$27="私立",前提条件!$C$26,前提条件!$C$25),IF(BY8&lt;=17,IF(入力データ!$J$27="私立",前提条件!$C$28,前提条件!$C$27),IF(BY8&lt;=21,IF(入力データ!$K$27="国公立",前提条件!$C$29,IF(入力データ!$K$27="私立理系",前提条件!$C$31,前提条件!$C$30))+IF(入力データ!$L$27="下宿",前提条件!$C$32,0)+IF(BY8=18,前提条件!$C$33,0),0)))))))*(1+前提条件!$C$13)^(BY$3-$B$3))</f>
        <v/>
      </c>
      <c r="BZ24" s="352">
        <f>IF(BZ$3="","",((SUM(入力データ!$C$58:$C$61)*12)+IF(BZ6="",0,IF(BZ6&lt;=5,IF(入力データ!$G$25="私立",前提条件!$C$22,前提条件!$C$21),IF(BZ6&lt;=11,IF(入力データ!$H$25="私立",前提条件!$C$24,前提条件!$C$23),IF(BZ6&lt;=14,IF(入力データ!$I$25="私立",前提条件!$C$26,前提条件!$C$25),IF(BZ6&lt;=17,IF(入力データ!$J$25="私立",前提条件!$C$28,前提条件!$C$27),IF(BZ6&lt;=21,IF(入力データ!$K$25="国公立",前提条件!$C$29,IF(入力データ!$K$25="私立理系",前提条件!$C$31,前提条件!$C$30))+IF(入力データ!$L$25="下宿",前提条件!$C$32,0)+IF(BZ6=18,前提条件!$C$33,0),0))))))+IF(BZ7="",0,IF(BZ7&lt;=5,IF(入力データ!$G$26="私立",前提条件!$C$22,前提条件!$C$21),IF(BZ7&lt;=11,IF(入力データ!$H$26="私立",前提条件!$C$24,前提条件!$C$23),IF(BZ7&lt;=14,IF(入力データ!$I$26="私立",前提条件!$C$26,前提条件!$C$25),IF(BZ7&lt;=17,IF(入力データ!$J$26="私立",前提条件!$C$28,前提条件!$C$27),IF(BZ7&lt;=21,IF(入力データ!$K$26="国公立",前提条件!$C$29,IF(入力データ!$K$26="私立理系",前提条件!$C$31,前提条件!$C$30))+IF(入力データ!$L$26="下宿",前提条件!$C$32,0)+IF(BZ7=18,前提条件!$C$33,0),0))))))+IF(BZ8="",0,IF(BZ8&lt;=5,IF(入力データ!$G$27="私立",前提条件!$C$22,前提条件!$C$21),IF(BZ8&lt;=11,IF(入力データ!$H$27="私立",前提条件!$C$24,前提条件!$C$23),IF(BZ8&lt;=14,IF(入力データ!$I$27="私立",前提条件!$C$26,前提条件!$C$25),IF(BZ8&lt;=17,IF(入力データ!$J$27="私立",前提条件!$C$28,前提条件!$C$27),IF(BZ8&lt;=21,IF(入力データ!$K$27="国公立",前提条件!$C$29,IF(入力データ!$K$27="私立理系",前提条件!$C$31,前提条件!$C$30))+IF(入力データ!$L$27="下宿",前提条件!$C$32,0)+IF(BZ8=18,前提条件!$C$33,0),0)))))))*(1+前提条件!$C$13)^(BZ$3-$B$3))</f>
        <v/>
      </c>
      <c r="CA24" s="352">
        <f>IF(CA$3="","",((SUM(入力データ!$C$58:$C$61)*12)+IF(CA6="",0,IF(CA6&lt;=5,IF(入力データ!$G$25="私立",前提条件!$C$22,前提条件!$C$21),IF(CA6&lt;=11,IF(入力データ!$H$25="私立",前提条件!$C$24,前提条件!$C$23),IF(CA6&lt;=14,IF(入力データ!$I$25="私立",前提条件!$C$26,前提条件!$C$25),IF(CA6&lt;=17,IF(入力データ!$J$25="私立",前提条件!$C$28,前提条件!$C$27),IF(CA6&lt;=21,IF(入力データ!$K$25="国公立",前提条件!$C$29,IF(入力データ!$K$25="私立理系",前提条件!$C$31,前提条件!$C$30))+IF(入力データ!$L$25="下宿",前提条件!$C$32,0)+IF(CA6=18,前提条件!$C$33,0),0))))))+IF(CA7="",0,IF(CA7&lt;=5,IF(入力データ!$G$26="私立",前提条件!$C$22,前提条件!$C$21),IF(CA7&lt;=11,IF(入力データ!$H$26="私立",前提条件!$C$24,前提条件!$C$23),IF(CA7&lt;=14,IF(入力データ!$I$26="私立",前提条件!$C$26,前提条件!$C$25),IF(CA7&lt;=17,IF(入力データ!$J$26="私立",前提条件!$C$28,前提条件!$C$27),IF(CA7&lt;=21,IF(入力データ!$K$26="国公立",前提条件!$C$29,IF(入力データ!$K$26="私立理系",前提条件!$C$31,前提条件!$C$30))+IF(入力データ!$L$26="下宿",前提条件!$C$32,0)+IF(CA7=18,前提条件!$C$33,0),0))))))+IF(CA8="",0,IF(CA8&lt;=5,IF(入力データ!$G$27="私立",前提条件!$C$22,前提条件!$C$21),IF(CA8&lt;=11,IF(入力データ!$H$27="私立",前提条件!$C$24,前提条件!$C$23),IF(CA8&lt;=14,IF(入力データ!$I$27="私立",前提条件!$C$26,前提条件!$C$25),IF(CA8&lt;=17,IF(入力データ!$J$27="私立",前提条件!$C$28,前提条件!$C$27),IF(CA8&lt;=21,IF(入力データ!$K$27="国公立",前提条件!$C$29,IF(入力データ!$K$27="私立理系",前提条件!$C$31,前提条件!$C$30))+IF(入力データ!$L$27="下宿",前提条件!$C$32,0)+IF(CA8=18,前提条件!$C$33,0),0)))))))*(1+前提条件!$C$13)^(CA$3-$B$3))</f>
        <v/>
      </c>
      <c r="CB24" s="352">
        <f>IF(CB$3="","",((SUM(入力データ!$C$58:$C$61)*12)+IF(CB6="",0,IF(CB6&lt;=5,IF(入力データ!$G$25="私立",前提条件!$C$22,前提条件!$C$21),IF(CB6&lt;=11,IF(入力データ!$H$25="私立",前提条件!$C$24,前提条件!$C$23),IF(CB6&lt;=14,IF(入力データ!$I$25="私立",前提条件!$C$26,前提条件!$C$25),IF(CB6&lt;=17,IF(入力データ!$J$25="私立",前提条件!$C$28,前提条件!$C$27),IF(CB6&lt;=21,IF(入力データ!$K$25="国公立",前提条件!$C$29,IF(入力データ!$K$25="私立理系",前提条件!$C$31,前提条件!$C$30))+IF(入力データ!$L$25="下宿",前提条件!$C$32,0)+IF(CB6=18,前提条件!$C$33,0),0))))))+IF(CB7="",0,IF(CB7&lt;=5,IF(入力データ!$G$26="私立",前提条件!$C$22,前提条件!$C$21),IF(CB7&lt;=11,IF(入力データ!$H$26="私立",前提条件!$C$24,前提条件!$C$23),IF(CB7&lt;=14,IF(入力データ!$I$26="私立",前提条件!$C$26,前提条件!$C$25),IF(CB7&lt;=17,IF(入力データ!$J$26="私立",前提条件!$C$28,前提条件!$C$27),IF(CB7&lt;=21,IF(入力データ!$K$26="国公立",前提条件!$C$29,IF(入力データ!$K$26="私立理系",前提条件!$C$31,前提条件!$C$30))+IF(入力データ!$L$26="下宿",前提条件!$C$32,0)+IF(CB7=18,前提条件!$C$33,0),0))))))+IF(CB8="",0,IF(CB8&lt;=5,IF(入力データ!$G$27="私立",前提条件!$C$22,前提条件!$C$21),IF(CB8&lt;=11,IF(入力データ!$H$27="私立",前提条件!$C$24,前提条件!$C$23),IF(CB8&lt;=14,IF(入力データ!$I$27="私立",前提条件!$C$26,前提条件!$C$25),IF(CB8&lt;=17,IF(入力データ!$J$27="私立",前提条件!$C$28,前提条件!$C$27),IF(CB8&lt;=21,IF(入力データ!$K$27="国公立",前提条件!$C$29,IF(入力データ!$K$27="私立理系",前提条件!$C$31,前提条件!$C$30))+IF(入力データ!$L$27="下宿",前提条件!$C$32,0)+IF(CB8=18,前提条件!$C$33,0),0)))))))*(1+前提条件!$C$13)^(CB$3-$B$3))</f>
        <v/>
      </c>
      <c r="CC24" s="352">
        <f>IF(CC$3="","",((SUM(入力データ!$C$58:$C$61)*12)+IF(CC6="",0,IF(CC6&lt;=5,IF(入力データ!$G$25="私立",前提条件!$C$22,前提条件!$C$21),IF(CC6&lt;=11,IF(入力データ!$H$25="私立",前提条件!$C$24,前提条件!$C$23),IF(CC6&lt;=14,IF(入力データ!$I$25="私立",前提条件!$C$26,前提条件!$C$25),IF(CC6&lt;=17,IF(入力データ!$J$25="私立",前提条件!$C$28,前提条件!$C$27),IF(CC6&lt;=21,IF(入力データ!$K$25="国公立",前提条件!$C$29,IF(入力データ!$K$25="私立理系",前提条件!$C$31,前提条件!$C$30))+IF(入力データ!$L$25="下宿",前提条件!$C$32,0)+IF(CC6=18,前提条件!$C$33,0),0))))))+IF(CC7="",0,IF(CC7&lt;=5,IF(入力データ!$G$26="私立",前提条件!$C$22,前提条件!$C$21),IF(CC7&lt;=11,IF(入力データ!$H$26="私立",前提条件!$C$24,前提条件!$C$23),IF(CC7&lt;=14,IF(入力データ!$I$26="私立",前提条件!$C$26,前提条件!$C$25),IF(CC7&lt;=17,IF(入力データ!$J$26="私立",前提条件!$C$28,前提条件!$C$27),IF(CC7&lt;=21,IF(入力データ!$K$26="国公立",前提条件!$C$29,IF(入力データ!$K$26="私立理系",前提条件!$C$31,前提条件!$C$30))+IF(入力データ!$L$26="下宿",前提条件!$C$32,0)+IF(CC7=18,前提条件!$C$33,0),0))))))+IF(CC8="",0,IF(CC8&lt;=5,IF(入力データ!$G$27="私立",前提条件!$C$22,前提条件!$C$21),IF(CC8&lt;=11,IF(入力データ!$H$27="私立",前提条件!$C$24,前提条件!$C$23),IF(CC8&lt;=14,IF(入力データ!$I$27="私立",前提条件!$C$26,前提条件!$C$25),IF(CC8&lt;=17,IF(入力データ!$J$27="私立",前提条件!$C$28,前提条件!$C$27),IF(CC8&lt;=21,IF(入力データ!$K$27="国公立",前提条件!$C$29,IF(入力データ!$K$27="私立理系",前提条件!$C$31,前提条件!$C$30))+IF(入力データ!$L$27="下宿",前提条件!$C$32,0)+IF(CC8=18,前提条件!$C$33,0),0)))))))*(1+前提条件!$C$13)^(CC$3-$B$3))</f>
        <v/>
      </c>
      <c r="CD24" s="352">
        <f>IF(CD$3="","",((SUM(入力データ!$C$58:$C$61)*12)+IF(CD6="",0,IF(CD6&lt;=5,IF(入力データ!$G$25="私立",前提条件!$C$22,前提条件!$C$21),IF(CD6&lt;=11,IF(入力データ!$H$25="私立",前提条件!$C$24,前提条件!$C$23),IF(CD6&lt;=14,IF(入力データ!$I$25="私立",前提条件!$C$26,前提条件!$C$25),IF(CD6&lt;=17,IF(入力データ!$J$25="私立",前提条件!$C$28,前提条件!$C$27),IF(CD6&lt;=21,IF(入力データ!$K$25="国公立",前提条件!$C$29,IF(入力データ!$K$25="私立理系",前提条件!$C$31,前提条件!$C$30))+IF(入力データ!$L$25="下宿",前提条件!$C$32,0)+IF(CD6=18,前提条件!$C$33,0),0))))))+IF(CD7="",0,IF(CD7&lt;=5,IF(入力データ!$G$26="私立",前提条件!$C$22,前提条件!$C$21),IF(CD7&lt;=11,IF(入力データ!$H$26="私立",前提条件!$C$24,前提条件!$C$23),IF(CD7&lt;=14,IF(入力データ!$I$26="私立",前提条件!$C$26,前提条件!$C$25),IF(CD7&lt;=17,IF(入力データ!$J$26="私立",前提条件!$C$28,前提条件!$C$27),IF(CD7&lt;=21,IF(入力データ!$K$26="国公立",前提条件!$C$29,IF(入力データ!$K$26="私立理系",前提条件!$C$31,前提条件!$C$30))+IF(入力データ!$L$26="下宿",前提条件!$C$32,0)+IF(CD7=18,前提条件!$C$33,0),0))))))+IF(CD8="",0,IF(CD8&lt;=5,IF(入力データ!$G$27="私立",前提条件!$C$22,前提条件!$C$21),IF(CD8&lt;=11,IF(入力データ!$H$27="私立",前提条件!$C$24,前提条件!$C$23),IF(CD8&lt;=14,IF(入力データ!$I$27="私立",前提条件!$C$26,前提条件!$C$25),IF(CD8&lt;=17,IF(入力データ!$J$27="私立",前提条件!$C$28,前提条件!$C$27),IF(CD8&lt;=21,IF(入力データ!$K$27="国公立",前提条件!$C$29,IF(入力データ!$K$27="私立理系",前提条件!$C$31,前提条件!$C$30))+IF(入力データ!$L$27="下宿",前提条件!$C$32,0)+IF(CD8=18,前提条件!$C$33,0),0)))))))*(1+前提条件!$C$13)^(CD$3-$B$3))</f>
        <v/>
      </c>
      <c r="CE24" s="352">
        <f>IF(CE$3="","",((SUM(入力データ!$C$58:$C$61)*12)+IF(CE6="",0,IF(CE6&lt;=5,IF(入力データ!$G$25="私立",前提条件!$C$22,前提条件!$C$21),IF(CE6&lt;=11,IF(入力データ!$H$25="私立",前提条件!$C$24,前提条件!$C$23),IF(CE6&lt;=14,IF(入力データ!$I$25="私立",前提条件!$C$26,前提条件!$C$25),IF(CE6&lt;=17,IF(入力データ!$J$25="私立",前提条件!$C$28,前提条件!$C$27),IF(CE6&lt;=21,IF(入力データ!$K$25="国公立",前提条件!$C$29,IF(入力データ!$K$25="私立理系",前提条件!$C$31,前提条件!$C$30))+IF(入力データ!$L$25="下宿",前提条件!$C$32,0)+IF(CE6=18,前提条件!$C$33,0),0))))))+IF(CE7="",0,IF(CE7&lt;=5,IF(入力データ!$G$26="私立",前提条件!$C$22,前提条件!$C$21),IF(CE7&lt;=11,IF(入力データ!$H$26="私立",前提条件!$C$24,前提条件!$C$23),IF(CE7&lt;=14,IF(入力データ!$I$26="私立",前提条件!$C$26,前提条件!$C$25),IF(CE7&lt;=17,IF(入力データ!$J$26="私立",前提条件!$C$28,前提条件!$C$27),IF(CE7&lt;=21,IF(入力データ!$K$26="国公立",前提条件!$C$29,IF(入力データ!$K$26="私立理系",前提条件!$C$31,前提条件!$C$30))+IF(入力データ!$L$26="下宿",前提条件!$C$32,0)+IF(CE7=18,前提条件!$C$33,0),0))))))+IF(CE8="",0,IF(CE8&lt;=5,IF(入力データ!$G$27="私立",前提条件!$C$22,前提条件!$C$21),IF(CE8&lt;=11,IF(入力データ!$H$27="私立",前提条件!$C$24,前提条件!$C$23),IF(CE8&lt;=14,IF(入力データ!$I$27="私立",前提条件!$C$26,前提条件!$C$25),IF(CE8&lt;=17,IF(入力データ!$J$27="私立",前提条件!$C$28,前提条件!$C$27),IF(CE8&lt;=21,IF(入力データ!$K$27="国公立",前提条件!$C$29,IF(入力データ!$K$27="私立理系",前提条件!$C$31,前提条件!$C$30))+IF(入力データ!$L$27="下宿",前提条件!$C$32,0)+IF(CE8=18,前提条件!$C$33,0),0)))))))*(1+前提条件!$C$13)^(CE$3-$B$3))</f>
        <v/>
      </c>
      <c r="CF24" s="352">
        <f>IF(CF$3="","",((SUM(入力データ!$C$58:$C$61)*12)+IF(CF6="",0,IF(CF6&lt;=5,IF(入力データ!$G$25="私立",前提条件!$C$22,前提条件!$C$21),IF(CF6&lt;=11,IF(入力データ!$H$25="私立",前提条件!$C$24,前提条件!$C$23),IF(CF6&lt;=14,IF(入力データ!$I$25="私立",前提条件!$C$26,前提条件!$C$25),IF(CF6&lt;=17,IF(入力データ!$J$25="私立",前提条件!$C$28,前提条件!$C$27),IF(CF6&lt;=21,IF(入力データ!$K$25="国公立",前提条件!$C$29,IF(入力データ!$K$25="私立理系",前提条件!$C$31,前提条件!$C$30))+IF(入力データ!$L$25="下宿",前提条件!$C$32,0)+IF(CF6=18,前提条件!$C$33,0),0))))))+IF(CF7="",0,IF(CF7&lt;=5,IF(入力データ!$G$26="私立",前提条件!$C$22,前提条件!$C$21),IF(CF7&lt;=11,IF(入力データ!$H$26="私立",前提条件!$C$24,前提条件!$C$23),IF(CF7&lt;=14,IF(入力データ!$I$26="私立",前提条件!$C$26,前提条件!$C$25),IF(CF7&lt;=17,IF(入力データ!$J$26="私立",前提条件!$C$28,前提条件!$C$27),IF(CF7&lt;=21,IF(入力データ!$K$26="国公立",前提条件!$C$29,IF(入力データ!$K$26="私立理系",前提条件!$C$31,前提条件!$C$30))+IF(入力データ!$L$26="下宿",前提条件!$C$32,0)+IF(CF7=18,前提条件!$C$33,0),0))))))+IF(CF8="",0,IF(CF8&lt;=5,IF(入力データ!$G$27="私立",前提条件!$C$22,前提条件!$C$21),IF(CF8&lt;=11,IF(入力データ!$H$27="私立",前提条件!$C$24,前提条件!$C$23),IF(CF8&lt;=14,IF(入力データ!$I$27="私立",前提条件!$C$26,前提条件!$C$25),IF(CF8&lt;=17,IF(入力データ!$J$27="私立",前提条件!$C$28,前提条件!$C$27),IF(CF8&lt;=21,IF(入力データ!$K$27="国公立",前提条件!$C$29,IF(入力データ!$K$27="私立理系",前提条件!$C$31,前提条件!$C$30))+IF(入力データ!$L$27="下宿",前提条件!$C$32,0)+IF(CF8=18,前提条件!$C$33,0),0)))))))*(1+前提条件!$C$13)^(CF$3-$B$3))</f>
        <v/>
      </c>
      <c r="CG24" s="352">
        <f>IF(CG$3="","",((SUM(入力データ!$C$58:$C$61)*12)+IF(CG6="",0,IF(CG6&lt;=5,IF(入力データ!$G$25="私立",前提条件!$C$22,前提条件!$C$21),IF(CG6&lt;=11,IF(入力データ!$H$25="私立",前提条件!$C$24,前提条件!$C$23),IF(CG6&lt;=14,IF(入力データ!$I$25="私立",前提条件!$C$26,前提条件!$C$25),IF(CG6&lt;=17,IF(入力データ!$J$25="私立",前提条件!$C$28,前提条件!$C$27),IF(CG6&lt;=21,IF(入力データ!$K$25="国公立",前提条件!$C$29,IF(入力データ!$K$25="私立理系",前提条件!$C$31,前提条件!$C$30))+IF(入力データ!$L$25="下宿",前提条件!$C$32,0)+IF(CG6=18,前提条件!$C$33,0),0))))))+IF(CG7="",0,IF(CG7&lt;=5,IF(入力データ!$G$26="私立",前提条件!$C$22,前提条件!$C$21),IF(CG7&lt;=11,IF(入力データ!$H$26="私立",前提条件!$C$24,前提条件!$C$23),IF(CG7&lt;=14,IF(入力データ!$I$26="私立",前提条件!$C$26,前提条件!$C$25),IF(CG7&lt;=17,IF(入力データ!$J$26="私立",前提条件!$C$28,前提条件!$C$27),IF(CG7&lt;=21,IF(入力データ!$K$26="国公立",前提条件!$C$29,IF(入力データ!$K$26="私立理系",前提条件!$C$31,前提条件!$C$30))+IF(入力データ!$L$26="下宿",前提条件!$C$32,0)+IF(CG7=18,前提条件!$C$33,0),0))))))+IF(CG8="",0,IF(CG8&lt;=5,IF(入力データ!$G$27="私立",前提条件!$C$22,前提条件!$C$21),IF(CG8&lt;=11,IF(入力データ!$H$27="私立",前提条件!$C$24,前提条件!$C$23),IF(CG8&lt;=14,IF(入力データ!$I$27="私立",前提条件!$C$26,前提条件!$C$25),IF(CG8&lt;=17,IF(入力データ!$J$27="私立",前提条件!$C$28,前提条件!$C$27),IF(CG8&lt;=21,IF(入力データ!$K$27="国公立",前提条件!$C$29,IF(入力データ!$K$27="私立理系",前提条件!$C$31,前提条件!$C$30))+IF(入力データ!$L$27="下宿",前提条件!$C$32,0)+IF(CG8=18,前提条件!$C$33,0),0)))))))*(1+前提条件!$C$13)^(CG$3-$B$3))</f>
        <v/>
      </c>
      <c r="CH24" s="352">
        <f>IF(CH$3="","",((SUM(入力データ!$C$58:$C$61)*12)+IF(CH6="",0,IF(CH6&lt;=5,IF(入力データ!$G$25="私立",前提条件!$C$22,前提条件!$C$21),IF(CH6&lt;=11,IF(入力データ!$H$25="私立",前提条件!$C$24,前提条件!$C$23),IF(CH6&lt;=14,IF(入力データ!$I$25="私立",前提条件!$C$26,前提条件!$C$25),IF(CH6&lt;=17,IF(入力データ!$J$25="私立",前提条件!$C$28,前提条件!$C$27),IF(CH6&lt;=21,IF(入力データ!$K$25="国公立",前提条件!$C$29,IF(入力データ!$K$25="私立理系",前提条件!$C$31,前提条件!$C$30))+IF(入力データ!$L$25="下宿",前提条件!$C$32,0)+IF(CH6=18,前提条件!$C$33,0),0))))))+IF(CH7="",0,IF(CH7&lt;=5,IF(入力データ!$G$26="私立",前提条件!$C$22,前提条件!$C$21),IF(CH7&lt;=11,IF(入力データ!$H$26="私立",前提条件!$C$24,前提条件!$C$23),IF(CH7&lt;=14,IF(入力データ!$I$26="私立",前提条件!$C$26,前提条件!$C$25),IF(CH7&lt;=17,IF(入力データ!$J$26="私立",前提条件!$C$28,前提条件!$C$27),IF(CH7&lt;=21,IF(入力データ!$K$26="国公立",前提条件!$C$29,IF(入力データ!$K$26="私立理系",前提条件!$C$31,前提条件!$C$30))+IF(入力データ!$L$26="下宿",前提条件!$C$32,0)+IF(CH7=18,前提条件!$C$33,0),0))))))+IF(CH8="",0,IF(CH8&lt;=5,IF(入力データ!$G$27="私立",前提条件!$C$22,前提条件!$C$21),IF(CH8&lt;=11,IF(入力データ!$H$27="私立",前提条件!$C$24,前提条件!$C$23),IF(CH8&lt;=14,IF(入力データ!$I$27="私立",前提条件!$C$26,前提条件!$C$25),IF(CH8&lt;=17,IF(入力データ!$J$27="私立",前提条件!$C$28,前提条件!$C$27),IF(CH8&lt;=21,IF(入力データ!$K$27="国公立",前提条件!$C$29,IF(入力データ!$K$27="私立理系",前提条件!$C$31,前提条件!$C$30))+IF(入力データ!$L$27="下宿",前提条件!$C$32,0)+IF(CH8=18,前提条件!$C$33,0),0)))))))*(1+前提条件!$C$13)^(CH$3-$B$3))</f>
        <v/>
      </c>
      <c r="CI24" s="352">
        <f>IF(CI$3="","",((SUM(入力データ!$C$58:$C$61)*12)+IF(CI6="",0,IF(CI6&lt;=5,IF(入力データ!$G$25="私立",前提条件!$C$22,前提条件!$C$21),IF(CI6&lt;=11,IF(入力データ!$H$25="私立",前提条件!$C$24,前提条件!$C$23),IF(CI6&lt;=14,IF(入力データ!$I$25="私立",前提条件!$C$26,前提条件!$C$25),IF(CI6&lt;=17,IF(入力データ!$J$25="私立",前提条件!$C$28,前提条件!$C$27),IF(CI6&lt;=21,IF(入力データ!$K$25="国公立",前提条件!$C$29,IF(入力データ!$K$25="私立理系",前提条件!$C$31,前提条件!$C$30))+IF(入力データ!$L$25="下宿",前提条件!$C$32,0)+IF(CI6=18,前提条件!$C$33,0),0))))))+IF(CI7="",0,IF(CI7&lt;=5,IF(入力データ!$G$26="私立",前提条件!$C$22,前提条件!$C$21),IF(CI7&lt;=11,IF(入力データ!$H$26="私立",前提条件!$C$24,前提条件!$C$23),IF(CI7&lt;=14,IF(入力データ!$I$26="私立",前提条件!$C$26,前提条件!$C$25),IF(CI7&lt;=17,IF(入力データ!$J$26="私立",前提条件!$C$28,前提条件!$C$27),IF(CI7&lt;=21,IF(入力データ!$K$26="国公立",前提条件!$C$29,IF(入力データ!$K$26="私立理系",前提条件!$C$31,前提条件!$C$30))+IF(入力データ!$L$26="下宿",前提条件!$C$32,0)+IF(CI7=18,前提条件!$C$33,0),0))))))+IF(CI8="",0,IF(CI8&lt;=5,IF(入力データ!$G$27="私立",前提条件!$C$22,前提条件!$C$21),IF(CI8&lt;=11,IF(入力データ!$H$27="私立",前提条件!$C$24,前提条件!$C$23),IF(CI8&lt;=14,IF(入力データ!$I$27="私立",前提条件!$C$26,前提条件!$C$25),IF(CI8&lt;=17,IF(入力データ!$J$27="私立",前提条件!$C$28,前提条件!$C$27),IF(CI8&lt;=21,IF(入力データ!$K$27="国公立",前提条件!$C$29,IF(入力データ!$K$27="私立理系",前提条件!$C$31,前提条件!$C$30))+IF(入力データ!$L$27="下宿",前提条件!$C$32,0)+IF(CI8=18,前提条件!$C$33,0),0)))))))*(1+前提条件!$C$13)^(CI$3-$B$3))</f>
        <v/>
      </c>
      <c r="CJ24" s="352">
        <f>IF(CJ$3="","",((SUM(入力データ!$C$58:$C$61)*12)+IF(CJ6="",0,IF(CJ6&lt;=5,IF(入力データ!$G$25="私立",前提条件!$C$22,前提条件!$C$21),IF(CJ6&lt;=11,IF(入力データ!$H$25="私立",前提条件!$C$24,前提条件!$C$23),IF(CJ6&lt;=14,IF(入力データ!$I$25="私立",前提条件!$C$26,前提条件!$C$25),IF(CJ6&lt;=17,IF(入力データ!$J$25="私立",前提条件!$C$28,前提条件!$C$27),IF(CJ6&lt;=21,IF(入力データ!$K$25="国公立",前提条件!$C$29,IF(入力データ!$K$25="私立理系",前提条件!$C$31,前提条件!$C$30))+IF(入力データ!$L$25="下宿",前提条件!$C$32,0)+IF(CJ6=18,前提条件!$C$33,0),0))))))+IF(CJ7="",0,IF(CJ7&lt;=5,IF(入力データ!$G$26="私立",前提条件!$C$22,前提条件!$C$21),IF(CJ7&lt;=11,IF(入力データ!$H$26="私立",前提条件!$C$24,前提条件!$C$23),IF(CJ7&lt;=14,IF(入力データ!$I$26="私立",前提条件!$C$26,前提条件!$C$25),IF(CJ7&lt;=17,IF(入力データ!$J$26="私立",前提条件!$C$28,前提条件!$C$27),IF(CJ7&lt;=21,IF(入力データ!$K$26="国公立",前提条件!$C$29,IF(入力データ!$K$26="私立理系",前提条件!$C$31,前提条件!$C$30))+IF(入力データ!$L$26="下宿",前提条件!$C$32,0)+IF(CJ7=18,前提条件!$C$33,0),0))))))+IF(CJ8="",0,IF(CJ8&lt;=5,IF(入力データ!$G$27="私立",前提条件!$C$22,前提条件!$C$21),IF(CJ8&lt;=11,IF(入力データ!$H$27="私立",前提条件!$C$24,前提条件!$C$23),IF(CJ8&lt;=14,IF(入力データ!$I$27="私立",前提条件!$C$26,前提条件!$C$25),IF(CJ8&lt;=17,IF(入力データ!$J$27="私立",前提条件!$C$28,前提条件!$C$27),IF(CJ8&lt;=21,IF(入力データ!$K$27="国公立",前提条件!$C$29,IF(入力データ!$K$27="私立理系",前提条件!$C$31,前提条件!$C$30))+IF(入力データ!$L$27="下宿",前提条件!$C$32,0)+IF(CJ8=18,前提条件!$C$33,0),0)))))))*(1+前提条件!$C$13)^(CJ$3-$B$3))</f>
        <v/>
      </c>
      <c r="CK24" s="352">
        <f>IF(CK$3="","",((SUM(入力データ!$C$58:$C$61)*12)+IF(CK6="",0,IF(CK6&lt;=5,IF(入力データ!$G$25="私立",前提条件!$C$22,前提条件!$C$21),IF(CK6&lt;=11,IF(入力データ!$H$25="私立",前提条件!$C$24,前提条件!$C$23),IF(CK6&lt;=14,IF(入力データ!$I$25="私立",前提条件!$C$26,前提条件!$C$25),IF(CK6&lt;=17,IF(入力データ!$J$25="私立",前提条件!$C$28,前提条件!$C$27),IF(CK6&lt;=21,IF(入力データ!$K$25="国公立",前提条件!$C$29,IF(入力データ!$K$25="私立理系",前提条件!$C$31,前提条件!$C$30))+IF(入力データ!$L$25="下宿",前提条件!$C$32,0)+IF(CK6=18,前提条件!$C$33,0),0))))))+IF(CK7="",0,IF(CK7&lt;=5,IF(入力データ!$G$26="私立",前提条件!$C$22,前提条件!$C$21),IF(CK7&lt;=11,IF(入力データ!$H$26="私立",前提条件!$C$24,前提条件!$C$23),IF(CK7&lt;=14,IF(入力データ!$I$26="私立",前提条件!$C$26,前提条件!$C$25),IF(CK7&lt;=17,IF(入力データ!$J$26="私立",前提条件!$C$28,前提条件!$C$27),IF(CK7&lt;=21,IF(入力データ!$K$26="国公立",前提条件!$C$29,IF(入力データ!$K$26="私立理系",前提条件!$C$31,前提条件!$C$30))+IF(入力データ!$L$26="下宿",前提条件!$C$32,0)+IF(CK7=18,前提条件!$C$33,0),0))))))+IF(CK8="",0,IF(CK8&lt;=5,IF(入力データ!$G$27="私立",前提条件!$C$22,前提条件!$C$21),IF(CK8&lt;=11,IF(入力データ!$H$27="私立",前提条件!$C$24,前提条件!$C$23),IF(CK8&lt;=14,IF(入力データ!$I$27="私立",前提条件!$C$26,前提条件!$C$25),IF(CK8&lt;=17,IF(入力データ!$J$27="私立",前提条件!$C$28,前提条件!$C$27),IF(CK8&lt;=21,IF(入力データ!$K$27="国公立",前提条件!$C$29,IF(入力データ!$K$27="私立理系",前提条件!$C$31,前提条件!$C$30))+IF(入力データ!$L$27="下宿",前提条件!$C$32,0)+IF(CK8=18,前提条件!$C$33,0),0)))))))*(1+前提条件!$C$13)^(CK$3-$B$3))</f>
        <v/>
      </c>
      <c r="CL24" s="352">
        <f>IF(CL$3="","",((SUM(入力データ!$C$58:$C$61)*12)+IF(CL6="",0,IF(CL6&lt;=5,IF(入力データ!$G$25="私立",前提条件!$C$22,前提条件!$C$21),IF(CL6&lt;=11,IF(入力データ!$H$25="私立",前提条件!$C$24,前提条件!$C$23),IF(CL6&lt;=14,IF(入力データ!$I$25="私立",前提条件!$C$26,前提条件!$C$25),IF(CL6&lt;=17,IF(入力データ!$J$25="私立",前提条件!$C$28,前提条件!$C$27),IF(CL6&lt;=21,IF(入力データ!$K$25="国公立",前提条件!$C$29,IF(入力データ!$K$25="私立理系",前提条件!$C$31,前提条件!$C$30))+IF(入力データ!$L$25="下宿",前提条件!$C$32,0)+IF(CL6=18,前提条件!$C$33,0),0))))))+IF(CL7="",0,IF(CL7&lt;=5,IF(入力データ!$G$26="私立",前提条件!$C$22,前提条件!$C$21),IF(CL7&lt;=11,IF(入力データ!$H$26="私立",前提条件!$C$24,前提条件!$C$23),IF(CL7&lt;=14,IF(入力データ!$I$26="私立",前提条件!$C$26,前提条件!$C$25),IF(CL7&lt;=17,IF(入力データ!$J$26="私立",前提条件!$C$28,前提条件!$C$27),IF(CL7&lt;=21,IF(入力データ!$K$26="国公立",前提条件!$C$29,IF(入力データ!$K$26="私立理系",前提条件!$C$31,前提条件!$C$30))+IF(入力データ!$L$26="下宿",前提条件!$C$32,0)+IF(CL7=18,前提条件!$C$33,0),0))))))+IF(CL8="",0,IF(CL8&lt;=5,IF(入力データ!$G$27="私立",前提条件!$C$22,前提条件!$C$21),IF(CL8&lt;=11,IF(入力データ!$H$27="私立",前提条件!$C$24,前提条件!$C$23),IF(CL8&lt;=14,IF(入力データ!$I$27="私立",前提条件!$C$26,前提条件!$C$25),IF(CL8&lt;=17,IF(入力データ!$J$27="私立",前提条件!$C$28,前提条件!$C$27),IF(CL8&lt;=21,IF(入力データ!$K$27="国公立",前提条件!$C$29,IF(入力データ!$K$27="私立理系",前提条件!$C$31,前提条件!$C$30))+IF(入力データ!$L$27="下宿",前提条件!$C$32,0)+IF(CL8=18,前提条件!$C$33,0),0)))))))*(1+前提条件!$C$13)^(CL$3-$B$3))</f>
        <v/>
      </c>
      <c r="CM24" s="352">
        <f>IF(CM$3="","",((SUM(入力データ!$C$58:$C$61)*12)+IF(CM6="",0,IF(CM6&lt;=5,IF(入力データ!$G$25="私立",前提条件!$C$22,前提条件!$C$21),IF(CM6&lt;=11,IF(入力データ!$H$25="私立",前提条件!$C$24,前提条件!$C$23),IF(CM6&lt;=14,IF(入力データ!$I$25="私立",前提条件!$C$26,前提条件!$C$25),IF(CM6&lt;=17,IF(入力データ!$J$25="私立",前提条件!$C$28,前提条件!$C$27),IF(CM6&lt;=21,IF(入力データ!$K$25="国公立",前提条件!$C$29,IF(入力データ!$K$25="私立理系",前提条件!$C$31,前提条件!$C$30))+IF(入力データ!$L$25="下宿",前提条件!$C$32,0)+IF(CM6=18,前提条件!$C$33,0),0))))))+IF(CM7="",0,IF(CM7&lt;=5,IF(入力データ!$G$26="私立",前提条件!$C$22,前提条件!$C$21),IF(CM7&lt;=11,IF(入力データ!$H$26="私立",前提条件!$C$24,前提条件!$C$23),IF(CM7&lt;=14,IF(入力データ!$I$26="私立",前提条件!$C$26,前提条件!$C$25),IF(CM7&lt;=17,IF(入力データ!$J$26="私立",前提条件!$C$28,前提条件!$C$27),IF(CM7&lt;=21,IF(入力データ!$K$26="国公立",前提条件!$C$29,IF(入力データ!$K$26="私立理系",前提条件!$C$31,前提条件!$C$30))+IF(入力データ!$L$26="下宿",前提条件!$C$32,0)+IF(CM7=18,前提条件!$C$33,0),0))))))+IF(CM8="",0,IF(CM8&lt;=5,IF(入力データ!$G$27="私立",前提条件!$C$22,前提条件!$C$21),IF(CM8&lt;=11,IF(入力データ!$H$27="私立",前提条件!$C$24,前提条件!$C$23),IF(CM8&lt;=14,IF(入力データ!$I$27="私立",前提条件!$C$26,前提条件!$C$25),IF(CM8&lt;=17,IF(入力データ!$J$27="私立",前提条件!$C$28,前提条件!$C$27),IF(CM8&lt;=21,IF(入力データ!$K$27="国公立",前提条件!$C$29,IF(入力データ!$K$27="私立理系",前提条件!$C$31,前提条件!$C$30))+IF(入力データ!$L$27="下宿",前提条件!$C$32,0)+IF(CM8=18,前提条件!$C$33,0),0)))))))*(1+前提条件!$C$13)^(CM$3-$B$3))</f>
        <v/>
      </c>
      <c r="CN24" s="352">
        <f>IF(CN$3="","",((SUM(入力データ!$C$58:$C$61)*12)+IF(CN6="",0,IF(CN6&lt;=5,IF(入力データ!$G$25="私立",前提条件!$C$22,前提条件!$C$21),IF(CN6&lt;=11,IF(入力データ!$H$25="私立",前提条件!$C$24,前提条件!$C$23),IF(CN6&lt;=14,IF(入力データ!$I$25="私立",前提条件!$C$26,前提条件!$C$25),IF(CN6&lt;=17,IF(入力データ!$J$25="私立",前提条件!$C$28,前提条件!$C$27),IF(CN6&lt;=21,IF(入力データ!$K$25="国公立",前提条件!$C$29,IF(入力データ!$K$25="私立理系",前提条件!$C$31,前提条件!$C$30))+IF(入力データ!$L$25="下宿",前提条件!$C$32,0)+IF(CN6=18,前提条件!$C$33,0),0))))))+IF(CN7="",0,IF(CN7&lt;=5,IF(入力データ!$G$26="私立",前提条件!$C$22,前提条件!$C$21),IF(CN7&lt;=11,IF(入力データ!$H$26="私立",前提条件!$C$24,前提条件!$C$23),IF(CN7&lt;=14,IF(入力データ!$I$26="私立",前提条件!$C$26,前提条件!$C$25),IF(CN7&lt;=17,IF(入力データ!$J$26="私立",前提条件!$C$28,前提条件!$C$27),IF(CN7&lt;=21,IF(入力データ!$K$26="国公立",前提条件!$C$29,IF(入力データ!$K$26="私立理系",前提条件!$C$31,前提条件!$C$30))+IF(入力データ!$L$26="下宿",前提条件!$C$32,0)+IF(CN7=18,前提条件!$C$33,0),0))))))+IF(CN8="",0,IF(CN8&lt;=5,IF(入力データ!$G$27="私立",前提条件!$C$22,前提条件!$C$21),IF(CN8&lt;=11,IF(入力データ!$H$27="私立",前提条件!$C$24,前提条件!$C$23),IF(CN8&lt;=14,IF(入力データ!$I$27="私立",前提条件!$C$26,前提条件!$C$25),IF(CN8&lt;=17,IF(入力データ!$J$27="私立",前提条件!$C$28,前提条件!$C$27),IF(CN8&lt;=21,IF(入力データ!$K$27="国公立",前提条件!$C$29,IF(入力データ!$K$27="私立理系",前提条件!$C$31,前提条件!$C$30))+IF(入力データ!$L$27="下宿",前提条件!$C$32,0)+IF(CN8=18,前提条件!$C$33,0),0)))))))*(1+前提条件!$C$13)^(CN$3-$B$3))</f>
        <v/>
      </c>
      <c r="CO24" s="352">
        <f>IF(CO$3="","",((SUM(入力データ!$C$58:$C$61)*12)+IF(CO6="",0,IF(CO6&lt;=5,IF(入力データ!$G$25="私立",前提条件!$C$22,前提条件!$C$21),IF(CO6&lt;=11,IF(入力データ!$H$25="私立",前提条件!$C$24,前提条件!$C$23),IF(CO6&lt;=14,IF(入力データ!$I$25="私立",前提条件!$C$26,前提条件!$C$25),IF(CO6&lt;=17,IF(入力データ!$J$25="私立",前提条件!$C$28,前提条件!$C$27),IF(CO6&lt;=21,IF(入力データ!$K$25="国公立",前提条件!$C$29,IF(入力データ!$K$25="私立理系",前提条件!$C$31,前提条件!$C$30))+IF(入力データ!$L$25="下宿",前提条件!$C$32,0)+IF(CO6=18,前提条件!$C$33,0),0))))))+IF(CO7="",0,IF(CO7&lt;=5,IF(入力データ!$G$26="私立",前提条件!$C$22,前提条件!$C$21),IF(CO7&lt;=11,IF(入力データ!$H$26="私立",前提条件!$C$24,前提条件!$C$23),IF(CO7&lt;=14,IF(入力データ!$I$26="私立",前提条件!$C$26,前提条件!$C$25),IF(CO7&lt;=17,IF(入力データ!$J$26="私立",前提条件!$C$28,前提条件!$C$27),IF(CO7&lt;=21,IF(入力データ!$K$26="国公立",前提条件!$C$29,IF(入力データ!$K$26="私立理系",前提条件!$C$31,前提条件!$C$30))+IF(入力データ!$L$26="下宿",前提条件!$C$32,0)+IF(CO7=18,前提条件!$C$33,0),0))))))+IF(CO8="",0,IF(CO8&lt;=5,IF(入力データ!$G$27="私立",前提条件!$C$22,前提条件!$C$21),IF(CO8&lt;=11,IF(入力データ!$H$27="私立",前提条件!$C$24,前提条件!$C$23),IF(CO8&lt;=14,IF(入力データ!$I$27="私立",前提条件!$C$26,前提条件!$C$25),IF(CO8&lt;=17,IF(入力データ!$J$27="私立",前提条件!$C$28,前提条件!$C$27),IF(CO8&lt;=21,IF(入力データ!$K$27="国公立",前提条件!$C$29,IF(入力データ!$K$27="私立理系",前提条件!$C$31,前提条件!$C$30))+IF(入力データ!$L$27="下宿",前提条件!$C$32,0)+IF(CO8=18,前提条件!$C$33,0),0)))))))*(1+前提条件!$C$13)^(CO$3-$B$3))</f>
        <v/>
      </c>
      <c r="CP24" s="352">
        <f>IF(CP$3="","",((SUM(入力データ!$C$58:$C$61)*12)+IF(CP6="",0,IF(CP6&lt;=5,IF(入力データ!$G$25="私立",前提条件!$C$22,前提条件!$C$21),IF(CP6&lt;=11,IF(入力データ!$H$25="私立",前提条件!$C$24,前提条件!$C$23),IF(CP6&lt;=14,IF(入力データ!$I$25="私立",前提条件!$C$26,前提条件!$C$25),IF(CP6&lt;=17,IF(入力データ!$J$25="私立",前提条件!$C$28,前提条件!$C$27),IF(CP6&lt;=21,IF(入力データ!$K$25="国公立",前提条件!$C$29,IF(入力データ!$K$25="私立理系",前提条件!$C$31,前提条件!$C$30))+IF(入力データ!$L$25="下宿",前提条件!$C$32,0)+IF(CP6=18,前提条件!$C$33,0),0))))))+IF(CP7="",0,IF(CP7&lt;=5,IF(入力データ!$G$26="私立",前提条件!$C$22,前提条件!$C$21),IF(CP7&lt;=11,IF(入力データ!$H$26="私立",前提条件!$C$24,前提条件!$C$23),IF(CP7&lt;=14,IF(入力データ!$I$26="私立",前提条件!$C$26,前提条件!$C$25),IF(CP7&lt;=17,IF(入力データ!$J$26="私立",前提条件!$C$28,前提条件!$C$27),IF(CP7&lt;=21,IF(入力データ!$K$26="国公立",前提条件!$C$29,IF(入力データ!$K$26="私立理系",前提条件!$C$31,前提条件!$C$30))+IF(入力データ!$L$26="下宿",前提条件!$C$32,0)+IF(CP7=18,前提条件!$C$33,0),0))))))+IF(CP8="",0,IF(CP8&lt;=5,IF(入力データ!$G$27="私立",前提条件!$C$22,前提条件!$C$21),IF(CP8&lt;=11,IF(入力データ!$H$27="私立",前提条件!$C$24,前提条件!$C$23),IF(CP8&lt;=14,IF(入力データ!$I$27="私立",前提条件!$C$26,前提条件!$C$25),IF(CP8&lt;=17,IF(入力データ!$J$27="私立",前提条件!$C$28,前提条件!$C$27),IF(CP8&lt;=21,IF(入力データ!$K$27="国公立",前提条件!$C$29,IF(入力データ!$K$27="私立理系",前提条件!$C$31,前提条件!$C$30))+IF(入力データ!$L$27="下宿",前提条件!$C$32,0)+IF(CP8=18,前提条件!$C$33,0),0)))))))*(1+前提条件!$C$13)^(CP$3-$B$3))</f>
        <v/>
      </c>
      <c r="CQ24" s="352">
        <f>IF(CQ$3="","",((SUM(入力データ!$C$58:$C$61)*12)+IF(CQ6="",0,IF(CQ6&lt;=5,IF(入力データ!$G$25="私立",前提条件!$C$22,前提条件!$C$21),IF(CQ6&lt;=11,IF(入力データ!$H$25="私立",前提条件!$C$24,前提条件!$C$23),IF(CQ6&lt;=14,IF(入力データ!$I$25="私立",前提条件!$C$26,前提条件!$C$25),IF(CQ6&lt;=17,IF(入力データ!$J$25="私立",前提条件!$C$28,前提条件!$C$27),IF(CQ6&lt;=21,IF(入力データ!$K$25="国公立",前提条件!$C$29,IF(入力データ!$K$25="私立理系",前提条件!$C$31,前提条件!$C$30))+IF(入力データ!$L$25="下宿",前提条件!$C$32,0)+IF(CQ6=18,前提条件!$C$33,0),0))))))+IF(CQ7="",0,IF(CQ7&lt;=5,IF(入力データ!$G$26="私立",前提条件!$C$22,前提条件!$C$21),IF(CQ7&lt;=11,IF(入力データ!$H$26="私立",前提条件!$C$24,前提条件!$C$23),IF(CQ7&lt;=14,IF(入力データ!$I$26="私立",前提条件!$C$26,前提条件!$C$25),IF(CQ7&lt;=17,IF(入力データ!$J$26="私立",前提条件!$C$28,前提条件!$C$27),IF(CQ7&lt;=21,IF(入力データ!$K$26="国公立",前提条件!$C$29,IF(入力データ!$K$26="私立理系",前提条件!$C$31,前提条件!$C$30))+IF(入力データ!$L$26="下宿",前提条件!$C$32,0)+IF(CQ7=18,前提条件!$C$33,0),0))))))+IF(CQ8="",0,IF(CQ8&lt;=5,IF(入力データ!$G$27="私立",前提条件!$C$22,前提条件!$C$21),IF(CQ8&lt;=11,IF(入力データ!$H$27="私立",前提条件!$C$24,前提条件!$C$23),IF(CQ8&lt;=14,IF(入力データ!$I$27="私立",前提条件!$C$26,前提条件!$C$25),IF(CQ8&lt;=17,IF(入力データ!$J$27="私立",前提条件!$C$28,前提条件!$C$27),IF(CQ8&lt;=21,IF(入力データ!$K$27="国公立",前提条件!$C$29,IF(入力データ!$K$27="私立理系",前提条件!$C$31,前提条件!$C$30))+IF(入力データ!$L$27="下宿",前提条件!$C$32,0)+IF(CQ8=18,前提条件!$C$33,0),0)))))))*(1+前提条件!$C$13)^(CQ$3-$B$3))</f>
        <v/>
      </c>
      <c r="CR24" s="352">
        <f>IF(CR$3="","",((SUM(入力データ!$C$58:$C$61)*12)+IF(CR6="",0,IF(CR6&lt;=5,IF(入力データ!$G$25="私立",前提条件!$C$22,前提条件!$C$21),IF(CR6&lt;=11,IF(入力データ!$H$25="私立",前提条件!$C$24,前提条件!$C$23),IF(CR6&lt;=14,IF(入力データ!$I$25="私立",前提条件!$C$26,前提条件!$C$25),IF(CR6&lt;=17,IF(入力データ!$J$25="私立",前提条件!$C$28,前提条件!$C$27),IF(CR6&lt;=21,IF(入力データ!$K$25="国公立",前提条件!$C$29,IF(入力データ!$K$25="私立理系",前提条件!$C$31,前提条件!$C$30))+IF(入力データ!$L$25="下宿",前提条件!$C$32,0)+IF(CR6=18,前提条件!$C$33,0),0))))))+IF(CR7="",0,IF(CR7&lt;=5,IF(入力データ!$G$26="私立",前提条件!$C$22,前提条件!$C$21),IF(CR7&lt;=11,IF(入力データ!$H$26="私立",前提条件!$C$24,前提条件!$C$23),IF(CR7&lt;=14,IF(入力データ!$I$26="私立",前提条件!$C$26,前提条件!$C$25),IF(CR7&lt;=17,IF(入力データ!$J$26="私立",前提条件!$C$28,前提条件!$C$27),IF(CR7&lt;=21,IF(入力データ!$K$26="国公立",前提条件!$C$29,IF(入力データ!$K$26="私立理系",前提条件!$C$31,前提条件!$C$30))+IF(入力データ!$L$26="下宿",前提条件!$C$32,0)+IF(CR7=18,前提条件!$C$33,0),0))))))+IF(CR8="",0,IF(CR8&lt;=5,IF(入力データ!$G$27="私立",前提条件!$C$22,前提条件!$C$21),IF(CR8&lt;=11,IF(入力データ!$H$27="私立",前提条件!$C$24,前提条件!$C$23),IF(CR8&lt;=14,IF(入力データ!$I$27="私立",前提条件!$C$26,前提条件!$C$25),IF(CR8&lt;=17,IF(入力データ!$J$27="私立",前提条件!$C$28,前提条件!$C$27),IF(CR8&lt;=21,IF(入力データ!$K$27="国公立",前提条件!$C$29,IF(入力データ!$K$27="私立理系",前提条件!$C$31,前提条件!$C$30))+IF(入力データ!$L$27="下宿",前提条件!$C$32,0)+IF(CR8=18,前提条件!$C$33,0),0)))))))*(1+前提条件!$C$13)^(CR$3-$B$3))</f>
        <v/>
      </c>
      <c r="CS24" s="352">
        <f>IF(CS$3="","",((SUM(入力データ!$C$58:$C$61)*12)+IF(CS6="",0,IF(CS6&lt;=5,IF(入力データ!$G$25="私立",前提条件!$C$22,前提条件!$C$21),IF(CS6&lt;=11,IF(入力データ!$H$25="私立",前提条件!$C$24,前提条件!$C$23),IF(CS6&lt;=14,IF(入力データ!$I$25="私立",前提条件!$C$26,前提条件!$C$25),IF(CS6&lt;=17,IF(入力データ!$J$25="私立",前提条件!$C$28,前提条件!$C$27),IF(CS6&lt;=21,IF(入力データ!$K$25="国公立",前提条件!$C$29,IF(入力データ!$K$25="私立理系",前提条件!$C$31,前提条件!$C$30))+IF(入力データ!$L$25="下宿",前提条件!$C$32,0)+IF(CS6=18,前提条件!$C$33,0),0))))))+IF(CS7="",0,IF(CS7&lt;=5,IF(入力データ!$G$26="私立",前提条件!$C$22,前提条件!$C$21),IF(CS7&lt;=11,IF(入力データ!$H$26="私立",前提条件!$C$24,前提条件!$C$23),IF(CS7&lt;=14,IF(入力データ!$I$26="私立",前提条件!$C$26,前提条件!$C$25),IF(CS7&lt;=17,IF(入力データ!$J$26="私立",前提条件!$C$28,前提条件!$C$27),IF(CS7&lt;=21,IF(入力データ!$K$26="国公立",前提条件!$C$29,IF(入力データ!$K$26="私立理系",前提条件!$C$31,前提条件!$C$30))+IF(入力データ!$L$26="下宿",前提条件!$C$32,0)+IF(CS7=18,前提条件!$C$33,0),0))))))+IF(CS8="",0,IF(CS8&lt;=5,IF(入力データ!$G$27="私立",前提条件!$C$22,前提条件!$C$21),IF(CS8&lt;=11,IF(入力データ!$H$27="私立",前提条件!$C$24,前提条件!$C$23),IF(CS8&lt;=14,IF(入力データ!$I$27="私立",前提条件!$C$26,前提条件!$C$25),IF(CS8&lt;=17,IF(入力データ!$J$27="私立",前提条件!$C$28,前提条件!$C$27),IF(CS8&lt;=21,IF(入力データ!$K$27="国公立",前提条件!$C$29,IF(入力データ!$K$27="私立理系",前提条件!$C$31,前提条件!$C$30))+IF(入力データ!$L$27="下宿",前提条件!$C$32,0)+IF(CS8=18,前提条件!$C$33,0),0)))))))*(1+前提条件!$C$13)^(CS$3-$B$3))</f>
        <v/>
      </c>
      <c r="CT24" s="352">
        <f>IF(CT$3="","",((SUM(入力データ!$C$58:$C$61)*12)+IF(CT6="",0,IF(CT6&lt;=5,IF(入力データ!$G$25="私立",前提条件!$C$22,前提条件!$C$21),IF(CT6&lt;=11,IF(入力データ!$H$25="私立",前提条件!$C$24,前提条件!$C$23),IF(CT6&lt;=14,IF(入力データ!$I$25="私立",前提条件!$C$26,前提条件!$C$25),IF(CT6&lt;=17,IF(入力データ!$J$25="私立",前提条件!$C$28,前提条件!$C$27),IF(CT6&lt;=21,IF(入力データ!$K$25="国公立",前提条件!$C$29,IF(入力データ!$K$25="私立理系",前提条件!$C$31,前提条件!$C$30))+IF(入力データ!$L$25="下宿",前提条件!$C$32,0)+IF(CT6=18,前提条件!$C$33,0),0))))))+IF(CT7="",0,IF(CT7&lt;=5,IF(入力データ!$G$26="私立",前提条件!$C$22,前提条件!$C$21),IF(CT7&lt;=11,IF(入力データ!$H$26="私立",前提条件!$C$24,前提条件!$C$23),IF(CT7&lt;=14,IF(入力データ!$I$26="私立",前提条件!$C$26,前提条件!$C$25),IF(CT7&lt;=17,IF(入力データ!$J$26="私立",前提条件!$C$28,前提条件!$C$27),IF(CT7&lt;=21,IF(入力データ!$K$26="国公立",前提条件!$C$29,IF(入力データ!$K$26="私立理系",前提条件!$C$31,前提条件!$C$30))+IF(入力データ!$L$26="下宿",前提条件!$C$32,0)+IF(CT7=18,前提条件!$C$33,0),0))))))+IF(CT8="",0,IF(CT8&lt;=5,IF(入力データ!$G$27="私立",前提条件!$C$22,前提条件!$C$21),IF(CT8&lt;=11,IF(入力データ!$H$27="私立",前提条件!$C$24,前提条件!$C$23),IF(CT8&lt;=14,IF(入力データ!$I$27="私立",前提条件!$C$26,前提条件!$C$25),IF(CT8&lt;=17,IF(入力データ!$J$27="私立",前提条件!$C$28,前提条件!$C$27),IF(CT8&lt;=21,IF(入力データ!$K$27="国公立",前提条件!$C$29,IF(入力データ!$K$27="私立理系",前提条件!$C$31,前提条件!$C$30))+IF(入力データ!$L$27="下宿",前提条件!$C$32,0)+IF(CT8=18,前提条件!$C$33,0),0)))))))*(1+前提条件!$C$13)^(CT$3-$B$3))</f>
        <v/>
      </c>
      <c r="CU24" s="352">
        <f>IF(CU$3="","",((SUM(入力データ!$C$58:$C$61)*12)+IF(CU6="",0,IF(CU6&lt;=5,IF(入力データ!$G$25="私立",前提条件!$C$22,前提条件!$C$21),IF(CU6&lt;=11,IF(入力データ!$H$25="私立",前提条件!$C$24,前提条件!$C$23),IF(CU6&lt;=14,IF(入力データ!$I$25="私立",前提条件!$C$26,前提条件!$C$25),IF(CU6&lt;=17,IF(入力データ!$J$25="私立",前提条件!$C$28,前提条件!$C$27),IF(CU6&lt;=21,IF(入力データ!$K$25="国公立",前提条件!$C$29,IF(入力データ!$K$25="私立理系",前提条件!$C$31,前提条件!$C$30))+IF(入力データ!$L$25="下宿",前提条件!$C$32,0)+IF(CU6=18,前提条件!$C$33,0),0))))))+IF(CU7="",0,IF(CU7&lt;=5,IF(入力データ!$G$26="私立",前提条件!$C$22,前提条件!$C$21),IF(CU7&lt;=11,IF(入力データ!$H$26="私立",前提条件!$C$24,前提条件!$C$23),IF(CU7&lt;=14,IF(入力データ!$I$26="私立",前提条件!$C$26,前提条件!$C$25),IF(CU7&lt;=17,IF(入力データ!$J$26="私立",前提条件!$C$28,前提条件!$C$27),IF(CU7&lt;=21,IF(入力データ!$K$26="国公立",前提条件!$C$29,IF(入力データ!$K$26="私立理系",前提条件!$C$31,前提条件!$C$30))+IF(入力データ!$L$26="下宿",前提条件!$C$32,0)+IF(CU7=18,前提条件!$C$33,0),0))))))+IF(CU8="",0,IF(CU8&lt;=5,IF(入力データ!$G$27="私立",前提条件!$C$22,前提条件!$C$21),IF(CU8&lt;=11,IF(入力データ!$H$27="私立",前提条件!$C$24,前提条件!$C$23),IF(CU8&lt;=14,IF(入力データ!$I$27="私立",前提条件!$C$26,前提条件!$C$25),IF(CU8&lt;=17,IF(入力データ!$J$27="私立",前提条件!$C$28,前提条件!$C$27),IF(CU8&lt;=21,IF(入力データ!$K$27="国公立",前提条件!$C$29,IF(入力データ!$K$27="私立理系",前提条件!$C$31,前提条件!$C$30))+IF(入力データ!$L$27="下宿",前提条件!$C$32,0)+IF(CU8=18,前提条件!$C$33,0),0)))))))*(1+前提条件!$C$13)^(CU$3-$B$3))</f>
        <v/>
      </c>
      <c r="CV24" s="352">
        <f>IF(CV$3="","",((SUM(入力データ!$C$58:$C$61)*12)+IF(CV6="",0,IF(CV6&lt;=5,IF(入力データ!$G$25="私立",前提条件!$C$22,前提条件!$C$21),IF(CV6&lt;=11,IF(入力データ!$H$25="私立",前提条件!$C$24,前提条件!$C$23),IF(CV6&lt;=14,IF(入力データ!$I$25="私立",前提条件!$C$26,前提条件!$C$25),IF(CV6&lt;=17,IF(入力データ!$J$25="私立",前提条件!$C$28,前提条件!$C$27),IF(CV6&lt;=21,IF(入力データ!$K$25="国公立",前提条件!$C$29,IF(入力データ!$K$25="私立理系",前提条件!$C$31,前提条件!$C$30))+IF(入力データ!$L$25="下宿",前提条件!$C$32,0)+IF(CV6=18,前提条件!$C$33,0),0))))))+IF(CV7="",0,IF(CV7&lt;=5,IF(入力データ!$G$26="私立",前提条件!$C$22,前提条件!$C$21),IF(CV7&lt;=11,IF(入力データ!$H$26="私立",前提条件!$C$24,前提条件!$C$23),IF(CV7&lt;=14,IF(入力データ!$I$26="私立",前提条件!$C$26,前提条件!$C$25),IF(CV7&lt;=17,IF(入力データ!$J$26="私立",前提条件!$C$28,前提条件!$C$27),IF(CV7&lt;=21,IF(入力データ!$K$26="国公立",前提条件!$C$29,IF(入力データ!$K$26="私立理系",前提条件!$C$31,前提条件!$C$30))+IF(入力データ!$L$26="下宿",前提条件!$C$32,0)+IF(CV7=18,前提条件!$C$33,0),0))))))+IF(CV8="",0,IF(CV8&lt;=5,IF(入力データ!$G$27="私立",前提条件!$C$22,前提条件!$C$21),IF(CV8&lt;=11,IF(入力データ!$H$27="私立",前提条件!$C$24,前提条件!$C$23),IF(CV8&lt;=14,IF(入力データ!$I$27="私立",前提条件!$C$26,前提条件!$C$25),IF(CV8&lt;=17,IF(入力データ!$J$27="私立",前提条件!$C$28,前提条件!$C$27),IF(CV8&lt;=21,IF(入力データ!$K$27="国公立",前提条件!$C$29,IF(入力データ!$K$27="私立理系",前提条件!$C$31,前提条件!$C$30))+IF(入力データ!$L$27="下宿",前提条件!$C$32,0)+IF(CV8=18,前提条件!$C$33,0),0)))))))*(1+前提条件!$C$13)^(CV$3-$B$3))</f>
        <v/>
      </c>
      <c r="CW24" s="352">
        <f>IF(CW$3="","",((SUM(入力データ!$C$58:$C$61)*12)+IF(CW6="",0,IF(CW6&lt;=5,IF(入力データ!$G$25="私立",前提条件!$C$22,前提条件!$C$21),IF(CW6&lt;=11,IF(入力データ!$H$25="私立",前提条件!$C$24,前提条件!$C$23),IF(CW6&lt;=14,IF(入力データ!$I$25="私立",前提条件!$C$26,前提条件!$C$25),IF(CW6&lt;=17,IF(入力データ!$J$25="私立",前提条件!$C$28,前提条件!$C$27),IF(CW6&lt;=21,IF(入力データ!$K$25="国公立",前提条件!$C$29,IF(入力データ!$K$25="私立理系",前提条件!$C$31,前提条件!$C$30))+IF(入力データ!$L$25="下宿",前提条件!$C$32,0)+IF(CW6=18,前提条件!$C$33,0),0))))))+IF(CW7="",0,IF(CW7&lt;=5,IF(入力データ!$G$26="私立",前提条件!$C$22,前提条件!$C$21),IF(CW7&lt;=11,IF(入力データ!$H$26="私立",前提条件!$C$24,前提条件!$C$23),IF(CW7&lt;=14,IF(入力データ!$I$26="私立",前提条件!$C$26,前提条件!$C$25),IF(CW7&lt;=17,IF(入力データ!$J$26="私立",前提条件!$C$28,前提条件!$C$27),IF(CW7&lt;=21,IF(入力データ!$K$26="国公立",前提条件!$C$29,IF(入力データ!$K$26="私立理系",前提条件!$C$31,前提条件!$C$30))+IF(入力データ!$L$26="下宿",前提条件!$C$32,0)+IF(CW7=18,前提条件!$C$33,0),0))))))+IF(CW8="",0,IF(CW8&lt;=5,IF(入力データ!$G$27="私立",前提条件!$C$22,前提条件!$C$21),IF(CW8&lt;=11,IF(入力データ!$H$27="私立",前提条件!$C$24,前提条件!$C$23),IF(CW8&lt;=14,IF(入力データ!$I$27="私立",前提条件!$C$26,前提条件!$C$25),IF(CW8&lt;=17,IF(入力データ!$J$27="私立",前提条件!$C$28,前提条件!$C$27),IF(CW8&lt;=21,IF(入力データ!$K$27="国公立",前提条件!$C$29,IF(入力データ!$K$27="私立理系",前提条件!$C$31,前提条件!$C$30))+IF(入力データ!$L$27="下宿",前提条件!$C$32,0)+IF(CW8=18,前提条件!$C$33,0),0)))))))*(1+前提条件!$C$13)^(CW$3-$B$3))</f>
        <v/>
      </c>
    </row>
    <row r="25" ht="15" customHeight="1" s="180">
      <c r="A25" s="224" t="inlineStr">
        <is>
          <t>車関連費</t>
        </is>
      </c>
      <c r="B25" s="352">
        <f>IF(B$3="","",SUM(入力データ!$C$66:$C$70)*12*(1+前提条件!$C$12)^(B$3-$B$3))</f>
        <v/>
      </c>
      <c r="C25" s="352">
        <f>IF(C$3="","",SUM(入力データ!$C$66:$C$70)*12*(1+前提条件!$C$12)^(C$3-$B$3))</f>
        <v/>
      </c>
      <c r="D25" s="352">
        <f>IF(D$3="","",SUM(入力データ!$C$66:$C$70)*12*(1+前提条件!$C$12)^(D$3-$B$3))</f>
        <v/>
      </c>
      <c r="E25" s="352">
        <f>IF(E$3="","",SUM(入力データ!$C$66:$C$70)*12*(1+前提条件!$C$12)^(E$3-$B$3))</f>
        <v/>
      </c>
      <c r="F25" s="352">
        <f>IF(F$3="","",SUM(入力データ!$C$66:$C$70)*12*(1+前提条件!$C$12)^(F$3-$B$3))</f>
        <v/>
      </c>
      <c r="G25" s="352">
        <f>IF(G$3="","",SUM(入力データ!$C$66:$C$70)*12*(1+前提条件!$C$12)^(G$3-$B$3))</f>
        <v/>
      </c>
      <c r="H25" s="352">
        <f>IF(H$3="","",SUM(入力データ!$C$66:$C$70)*12*(1+前提条件!$C$12)^(H$3-$B$3))</f>
        <v/>
      </c>
      <c r="I25" s="352">
        <f>IF(I$3="","",SUM(入力データ!$C$66:$C$70)*12*(1+前提条件!$C$12)^(I$3-$B$3))</f>
        <v/>
      </c>
      <c r="J25" s="352">
        <f>IF(J$3="","",SUM(入力データ!$C$66:$C$70)*12*(1+前提条件!$C$12)^(J$3-$B$3))</f>
        <v/>
      </c>
      <c r="K25" s="352">
        <f>IF(K$3="","",SUM(入力データ!$C$66:$C$70)*12*(1+前提条件!$C$12)^(K$3-$B$3))</f>
        <v/>
      </c>
      <c r="L25" s="352">
        <f>IF(L$3="","",SUM(入力データ!$C$66:$C$70)*12*(1+前提条件!$C$12)^(L$3-$B$3))</f>
        <v/>
      </c>
      <c r="M25" s="352">
        <f>IF(M$3="","",SUM(入力データ!$C$66:$C$70)*12*(1+前提条件!$C$12)^(M$3-$B$3))</f>
        <v/>
      </c>
      <c r="N25" s="352">
        <f>IF(N$3="","",SUM(入力データ!$C$66:$C$70)*12*(1+前提条件!$C$12)^(N$3-$B$3))</f>
        <v/>
      </c>
      <c r="O25" s="352">
        <f>IF(O$3="","",SUM(入力データ!$C$66:$C$70)*12*(1+前提条件!$C$12)^(O$3-$B$3))</f>
        <v/>
      </c>
      <c r="P25" s="352">
        <f>IF(P$3="","",SUM(入力データ!$C$66:$C$70)*12*(1+前提条件!$C$12)^(P$3-$B$3))</f>
        <v/>
      </c>
      <c r="Q25" s="352">
        <f>IF(Q$3="","",SUM(入力データ!$C$66:$C$70)*12*(1+前提条件!$C$12)^(Q$3-$B$3))</f>
        <v/>
      </c>
      <c r="R25" s="352">
        <f>IF(R$3="","",SUM(入力データ!$C$66:$C$70)*12*(1+前提条件!$C$12)^(R$3-$B$3))</f>
        <v/>
      </c>
      <c r="S25" s="352">
        <f>IF(S$3="","",SUM(入力データ!$C$66:$C$70)*12*(1+前提条件!$C$12)^(S$3-$B$3))</f>
        <v/>
      </c>
      <c r="T25" s="352">
        <f>IF(T$3="","",SUM(入力データ!$C$66:$C$70)*12*(1+前提条件!$C$12)^(T$3-$B$3))</f>
        <v/>
      </c>
      <c r="U25" s="352">
        <f>IF(U$3="","",SUM(入力データ!$C$66:$C$70)*12*(1+前提条件!$C$12)^(U$3-$B$3))</f>
        <v/>
      </c>
      <c r="V25" s="352">
        <f>IF(V$3="","",SUM(入力データ!$C$66:$C$70)*12*(1+前提条件!$C$12)^(V$3-$B$3))</f>
        <v/>
      </c>
      <c r="W25" s="352">
        <f>IF(W$3="","",SUM(入力データ!$C$66:$C$70)*12*(1+前提条件!$C$12)^(W$3-$B$3))</f>
        <v/>
      </c>
      <c r="X25" s="352">
        <f>IF(X$3="","",SUM(入力データ!$C$66:$C$70)*12*(1+前提条件!$C$12)^(X$3-$B$3))</f>
        <v/>
      </c>
      <c r="Y25" s="352">
        <f>IF(Y$3="","",SUM(入力データ!$C$66:$C$70)*12*(1+前提条件!$C$12)^(Y$3-$B$3))</f>
        <v/>
      </c>
      <c r="Z25" s="352">
        <f>IF(Z$3="","",SUM(入力データ!$C$66:$C$70)*12*(1+前提条件!$C$12)^(Z$3-$B$3))</f>
        <v/>
      </c>
      <c r="AA25" s="352">
        <f>IF(AA$3="","",SUM(入力データ!$C$66:$C$70)*12*(1+前提条件!$C$12)^(AA$3-$B$3))</f>
        <v/>
      </c>
      <c r="AB25" s="352">
        <f>IF(AB$3="","",SUM(入力データ!$C$66:$C$70)*12*(1+前提条件!$C$12)^(AB$3-$B$3))</f>
        <v/>
      </c>
      <c r="AC25" s="352">
        <f>IF(AC$3="","",SUM(入力データ!$C$66:$C$70)*12*(1+前提条件!$C$12)^(AC$3-$B$3))</f>
        <v/>
      </c>
      <c r="AD25" s="352">
        <f>IF(AD$3="","",SUM(入力データ!$C$66:$C$70)*12*(1+前提条件!$C$12)^(AD$3-$B$3))</f>
        <v/>
      </c>
      <c r="AE25" s="352">
        <f>IF(AE$3="","",SUM(入力データ!$C$66:$C$70)*12*(1+前提条件!$C$12)^(AE$3-$B$3))</f>
        <v/>
      </c>
      <c r="AF25" s="352">
        <f>IF(AF$3="","",SUM(入力データ!$C$66:$C$70)*12*(1+前提条件!$C$12)^(AF$3-$B$3))</f>
        <v/>
      </c>
      <c r="AG25" s="352">
        <f>IF(AG$3="","",SUM(入力データ!$C$66:$C$70)*12*(1+前提条件!$C$12)^(AG$3-$B$3))</f>
        <v/>
      </c>
      <c r="AH25" s="352">
        <f>IF(AH$3="","",SUM(入力データ!$C$66:$C$70)*12*(1+前提条件!$C$12)^(AH$3-$B$3))</f>
        <v/>
      </c>
      <c r="AI25" s="352">
        <f>IF(AI$3="","",SUM(入力データ!$C$66:$C$70)*12*(1+前提条件!$C$12)^(AI$3-$B$3))</f>
        <v/>
      </c>
      <c r="AJ25" s="352">
        <f>IF(AJ$3="","",SUM(入力データ!$C$66:$C$70)*12*(1+前提条件!$C$12)^(AJ$3-$B$3))</f>
        <v/>
      </c>
      <c r="AK25" s="352">
        <f>IF(AK$3="","",SUM(入力データ!$C$66:$C$70)*12*(1+前提条件!$C$12)^(AK$3-$B$3))</f>
        <v/>
      </c>
      <c r="AL25" s="352">
        <f>IF(AL$3="","",SUM(入力データ!$C$66:$C$70)*12*(1+前提条件!$C$12)^(AL$3-$B$3))</f>
        <v/>
      </c>
      <c r="AM25" s="352">
        <f>IF(AM$3="","",SUM(入力データ!$C$66:$C$70)*12*(1+前提条件!$C$12)^(AM$3-$B$3))</f>
        <v/>
      </c>
      <c r="AN25" s="352">
        <f>IF(AN$3="","",SUM(入力データ!$C$66:$C$70)*12*(1+前提条件!$C$12)^(AN$3-$B$3))</f>
        <v/>
      </c>
      <c r="AO25" s="352">
        <f>IF(AO$3="","",SUM(入力データ!$C$66:$C$70)*12*(1+前提条件!$C$12)^(AO$3-$B$3))</f>
        <v/>
      </c>
      <c r="AP25" s="352">
        <f>IF(AP$3="","",SUM(入力データ!$C$66:$C$70)*12*(1+前提条件!$C$12)^(AP$3-$B$3))</f>
        <v/>
      </c>
      <c r="AQ25" s="352">
        <f>IF(AQ$3="","",SUM(入力データ!$C$66:$C$70)*12*(1+前提条件!$C$12)^(AQ$3-$B$3))</f>
        <v/>
      </c>
      <c r="AR25" s="352">
        <f>IF(AR$3="","",SUM(入力データ!$C$66:$C$70)*12*(1+前提条件!$C$12)^(AR$3-$B$3))</f>
        <v/>
      </c>
      <c r="AS25" s="352">
        <f>IF(AS$3="","",SUM(入力データ!$C$66:$C$70)*12*(1+前提条件!$C$12)^(AS$3-$B$3))</f>
        <v/>
      </c>
      <c r="AT25" s="352">
        <f>IF(AT$3="","",SUM(入力データ!$C$66:$C$70)*12*(1+前提条件!$C$12)^(AT$3-$B$3))</f>
        <v/>
      </c>
      <c r="AU25" s="352">
        <f>IF(AU$3="","",SUM(入力データ!$C$66:$C$70)*12*(1+前提条件!$C$12)^(AU$3-$B$3))</f>
        <v/>
      </c>
      <c r="AV25" s="352">
        <f>IF(AV$3="","",SUM(入力データ!$C$66:$C$70)*12*(1+前提条件!$C$12)^(AV$3-$B$3))</f>
        <v/>
      </c>
      <c r="AW25" s="352">
        <f>IF(AW$3="","",SUM(入力データ!$C$66:$C$70)*12*(1+前提条件!$C$12)^(AW$3-$B$3))</f>
        <v/>
      </c>
      <c r="AX25" s="352">
        <f>IF(AX$3="","",SUM(入力データ!$C$66:$C$70)*12*(1+前提条件!$C$12)^(AX$3-$B$3))</f>
        <v/>
      </c>
      <c r="AY25" s="352">
        <f>IF(AY$3="","",SUM(入力データ!$C$66:$C$70)*12*(1+前提条件!$C$12)^(AY$3-$B$3))</f>
        <v/>
      </c>
      <c r="AZ25" s="352">
        <f>IF(AZ$3="","",SUM(入力データ!$C$66:$C$70)*12*(1+前提条件!$C$12)^(AZ$3-$B$3))</f>
        <v/>
      </c>
      <c r="BA25" s="352">
        <f>IF(BA$3="","",SUM(入力データ!$C$66:$C$70)*12*(1+前提条件!$C$12)^(BA$3-$B$3))</f>
        <v/>
      </c>
      <c r="BB25" s="352">
        <f>IF(BB$3="","",SUM(入力データ!$C$66:$C$70)*12*(1+前提条件!$C$12)^(BB$3-$B$3))</f>
        <v/>
      </c>
      <c r="BC25" s="352">
        <f>IF(BC$3="","",SUM(入力データ!$C$66:$C$70)*12*(1+前提条件!$C$12)^(BC$3-$B$3))</f>
        <v/>
      </c>
      <c r="BD25" s="352">
        <f>IF(BD$3="","",SUM(入力データ!$C$66:$C$70)*12*(1+前提条件!$C$12)^(BD$3-$B$3))</f>
        <v/>
      </c>
      <c r="BE25" s="352">
        <f>IF(BE$3="","",SUM(入力データ!$C$66:$C$70)*12*(1+前提条件!$C$12)^(BE$3-$B$3))</f>
        <v/>
      </c>
      <c r="BF25" s="352">
        <f>IF(BF$3="","",SUM(入力データ!$C$66:$C$70)*12*(1+前提条件!$C$12)^(BF$3-$B$3))</f>
        <v/>
      </c>
      <c r="BG25" s="352">
        <f>IF(BG$3="","",SUM(入力データ!$C$66:$C$70)*12*(1+前提条件!$C$12)^(BG$3-$B$3))</f>
        <v/>
      </c>
      <c r="BH25" s="352">
        <f>IF(BH$3="","",SUM(入力データ!$C$66:$C$70)*12*(1+前提条件!$C$12)^(BH$3-$B$3))</f>
        <v/>
      </c>
      <c r="BI25" s="352">
        <f>IF(BI$3="","",SUM(入力データ!$C$66:$C$70)*12*(1+前提条件!$C$12)^(BI$3-$B$3))</f>
        <v/>
      </c>
      <c r="BJ25" s="352">
        <f>IF(BJ$3="","",SUM(入力データ!$C$66:$C$70)*12*(1+前提条件!$C$12)^(BJ$3-$B$3))</f>
        <v/>
      </c>
      <c r="BK25" s="352">
        <f>IF(BK$3="","",SUM(入力データ!$C$66:$C$70)*12*(1+前提条件!$C$12)^(BK$3-$B$3))</f>
        <v/>
      </c>
      <c r="BL25" s="352">
        <f>IF(BL$3="","",SUM(入力データ!$C$66:$C$70)*12*(1+前提条件!$C$12)^(BL$3-$B$3))</f>
        <v/>
      </c>
      <c r="BM25" s="352">
        <f>IF(BM$3="","",SUM(入力データ!$C$66:$C$70)*12*(1+前提条件!$C$12)^(BM$3-$B$3))</f>
        <v/>
      </c>
      <c r="BN25" s="352">
        <f>IF(BN$3="","",SUM(入力データ!$C$66:$C$70)*12*(1+前提条件!$C$12)^(BN$3-$B$3))</f>
        <v/>
      </c>
      <c r="BO25" s="352">
        <f>IF(BO$3="","",SUM(入力データ!$C$66:$C$70)*12*(1+前提条件!$C$12)^(BO$3-$B$3))</f>
        <v/>
      </c>
      <c r="BP25" s="352">
        <f>IF(BP$3="","",SUM(入力データ!$C$66:$C$70)*12*(1+前提条件!$C$12)^(BP$3-$B$3))</f>
        <v/>
      </c>
      <c r="BQ25" s="352">
        <f>IF(BQ$3="","",SUM(入力データ!$C$66:$C$70)*12*(1+前提条件!$C$12)^(BQ$3-$B$3))</f>
        <v/>
      </c>
      <c r="BR25" s="352">
        <f>IF(BR$3="","",SUM(入力データ!$C$66:$C$70)*12*(1+前提条件!$C$12)^(BR$3-$B$3))</f>
        <v/>
      </c>
      <c r="BS25" s="352">
        <f>IF(BS$3="","",SUM(入力データ!$C$66:$C$70)*12*(1+前提条件!$C$12)^(BS$3-$B$3))</f>
        <v/>
      </c>
      <c r="BT25" s="352">
        <f>IF(BT$3="","",SUM(入力データ!$C$66:$C$70)*12*(1+前提条件!$C$12)^(BT$3-$B$3))</f>
        <v/>
      </c>
      <c r="BU25" s="352">
        <f>IF(BU$3="","",SUM(入力データ!$C$66:$C$70)*12*(1+前提条件!$C$12)^(BU$3-$B$3))</f>
        <v/>
      </c>
      <c r="BV25" s="352">
        <f>IF(BV$3="","",SUM(入力データ!$C$66:$C$70)*12*(1+前提条件!$C$12)^(BV$3-$B$3))</f>
        <v/>
      </c>
      <c r="BW25" s="352">
        <f>IF(BW$3="","",SUM(入力データ!$C$66:$C$70)*12*(1+前提条件!$C$12)^(BW$3-$B$3))</f>
        <v/>
      </c>
      <c r="BX25" s="352">
        <f>IF(BX$3="","",SUM(入力データ!$C$66:$C$70)*12*(1+前提条件!$C$12)^(BX$3-$B$3))</f>
        <v/>
      </c>
      <c r="BY25" s="352">
        <f>IF(BY$3="","",SUM(入力データ!$C$66:$C$70)*12*(1+前提条件!$C$12)^(BY$3-$B$3))</f>
        <v/>
      </c>
      <c r="BZ25" s="352">
        <f>IF(BZ$3="","",SUM(入力データ!$C$66:$C$70)*12*(1+前提条件!$C$12)^(BZ$3-$B$3))</f>
        <v/>
      </c>
      <c r="CA25" s="352">
        <f>IF(CA$3="","",SUM(入力データ!$C$66:$C$70)*12*(1+前提条件!$C$12)^(CA$3-$B$3))</f>
        <v/>
      </c>
      <c r="CB25" s="352">
        <f>IF(CB$3="","",SUM(入力データ!$C$66:$C$70)*12*(1+前提条件!$C$12)^(CB$3-$B$3))</f>
        <v/>
      </c>
      <c r="CC25" s="352">
        <f>IF(CC$3="","",SUM(入力データ!$C$66:$C$70)*12*(1+前提条件!$C$12)^(CC$3-$B$3))</f>
        <v/>
      </c>
      <c r="CD25" s="352">
        <f>IF(CD$3="","",SUM(入力データ!$C$66:$C$70)*12*(1+前提条件!$C$12)^(CD$3-$B$3))</f>
        <v/>
      </c>
      <c r="CE25" s="352">
        <f>IF(CE$3="","",SUM(入力データ!$C$66:$C$70)*12*(1+前提条件!$C$12)^(CE$3-$B$3))</f>
        <v/>
      </c>
      <c r="CF25" s="352">
        <f>IF(CF$3="","",SUM(入力データ!$C$66:$C$70)*12*(1+前提条件!$C$12)^(CF$3-$B$3))</f>
        <v/>
      </c>
      <c r="CG25" s="352">
        <f>IF(CG$3="","",SUM(入力データ!$C$66:$C$70)*12*(1+前提条件!$C$12)^(CG$3-$B$3))</f>
        <v/>
      </c>
      <c r="CH25" s="352">
        <f>IF(CH$3="","",SUM(入力データ!$C$66:$C$70)*12*(1+前提条件!$C$12)^(CH$3-$B$3))</f>
        <v/>
      </c>
      <c r="CI25" s="352">
        <f>IF(CI$3="","",SUM(入力データ!$C$66:$C$70)*12*(1+前提条件!$C$12)^(CI$3-$B$3))</f>
        <v/>
      </c>
      <c r="CJ25" s="352">
        <f>IF(CJ$3="","",SUM(入力データ!$C$66:$C$70)*12*(1+前提条件!$C$12)^(CJ$3-$B$3))</f>
        <v/>
      </c>
      <c r="CK25" s="352">
        <f>IF(CK$3="","",SUM(入力データ!$C$66:$C$70)*12*(1+前提条件!$C$12)^(CK$3-$B$3))</f>
        <v/>
      </c>
      <c r="CL25" s="352">
        <f>IF(CL$3="","",SUM(入力データ!$C$66:$C$70)*12*(1+前提条件!$C$12)^(CL$3-$B$3))</f>
        <v/>
      </c>
      <c r="CM25" s="352">
        <f>IF(CM$3="","",SUM(入力データ!$C$66:$C$70)*12*(1+前提条件!$C$12)^(CM$3-$B$3))</f>
        <v/>
      </c>
      <c r="CN25" s="352">
        <f>IF(CN$3="","",SUM(入力データ!$C$66:$C$70)*12*(1+前提条件!$C$12)^(CN$3-$B$3))</f>
        <v/>
      </c>
      <c r="CO25" s="352">
        <f>IF(CO$3="","",SUM(入力データ!$C$66:$C$70)*12*(1+前提条件!$C$12)^(CO$3-$B$3))</f>
        <v/>
      </c>
      <c r="CP25" s="352">
        <f>IF(CP$3="","",SUM(入力データ!$C$66:$C$70)*12*(1+前提条件!$C$12)^(CP$3-$B$3))</f>
        <v/>
      </c>
      <c r="CQ25" s="352">
        <f>IF(CQ$3="","",SUM(入力データ!$C$66:$C$70)*12*(1+前提条件!$C$12)^(CQ$3-$B$3))</f>
        <v/>
      </c>
      <c r="CR25" s="352">
        <f>IF(CR$3="","",SUM(入力データ!$C$66:$C$70)*12*(1+前提条件!$C$12)^(CR$3-$B$3))</f>
        <v/>
      </c>
      <c r="CS25" s="352">
        <f>IF(CS$3="","",SUM(入力データ!$C$66:$C$70)*12*(1+前提条件!$C$12)^(CS$3-$B$3))</f>
        <v/>
      </c>
      <c r="CT25" s="352">
        <f>IF(CT$3="","",SUM(入力データ!$C$66:$C$70)*12*(1+前提条件!$C$12)^(CT$3-$B$3))</f>
        <v/>
      </c>
      <c r="CU25" s="352">
        <f>IF(CU$3="","",SUM(入力データ!$C$66:$C$70)*12*(1+前提条件!$C$12)^(CU$3-$B$3))</f>
        <v/>
      </c>
      <c r="CV25" s="352">
        <f>IF(CV$3="","",SUM(入力データ!$C$66:$C$70)*12*(1+前提条件!$C$12)^(CV$3-$B$3))</f>
        <v/>
      </c>
      <c r="CW25" s="352">
        <f>IF(CW$3="","",SUM(入力データ!$C$66:$C$70)*12*(1+前提条件!$C$12)^(CW$3-$B$3))</f>
        <v/>
      </c>
    </row>
    <row r="26" ht="15" customHeight="1" s="180">
      <c r="A26" s="224" t="inlineStr">
        <is>
          <t>その他支出</t>
        </is>
      </c>
      <c r="B26" s="352">
        <f>IF(B$3="","",SUM(入力データ!$C$71:$C$74)*12*(1+前提条件!$C$12)^(B$3-$B$3))</f>
        <v/>
      </c>
      <c r="C26" s="352">
        <f>IF(C$3="","",SUM(入力データ!$C$71:$C$74)*12*(1+前提条件!$C$12)^(C$3-$B$3))</f>
        <v/>
      </c>
      <c r="D26" s="352">
        <f>IF(D$3="","",SUM(入力データ!$C$71:$C$74)*12*(1+前提条件!$C$12)^(D$3-$B$3))</f>
        <v/>
      </c>
      <c r="E26" s="352">
        <f>IF(E$3="","",SUM(入力データ!$C$71:$C$74)*12*(1+前提条件!$C$12)^(E$3-$B$3))</f>
        <v/>
      </c>
      <c r="F26" s="352">
        <f>IF(F$3="","",SUM(入力データ!$C$71:$C$74)*12*(1+前提条件!$C$12)^(F$3-$B$3))</f>
        <v/>
      </c>
      <c r="G26" s="352">
        <f>IF(G$3="","",SUM(入力データ!$C$71:$C$74)*12*(1+前提条件!$C$12)^(G$3-$B$3))</f>
        <v/>
      </c>
      <c r="H26" s="352">
        <f>IF(H$3="","",SUM(入力データ!$C$71:$C$74)*12*(1+前提条件!$C$12)^(H$3-$B$3))</f>
        <v/>
      </c>
      <c r="I26" s="352">
        <f>IF(I$3="","",SUM(入力データ!$C$71:$C$74)*12*(1+前提条件!$C$12)^(I$3-$B$3))</f>
        <v/>
      </c>
      <c r="J26" s="352">
        <f>IF(J$3="","",SUM(入力データ!$C$71:$C$74)*12*(1+前提条件!$C$12)^(J$3-$B$3))</f>
        <v/>
      </c>
      <c r="K26" s="352">
        <f>IF(K$3="","",SUM(入力データ!$C$71:$C$74)*12*(1+前提条件!$C$12)^(K$3-$B$3))</f>
        <v/>
      </c>
      <c r="L26" s="352">
        <f>IF(L$3="","",SUM(入力データ!$C$71:$C$74)*12*(1+前提条件!$C$12)^(L$3-$B$3))</f>
        <v/>
      </c>
      <c r="M26" s="352">
        <f>IF(M$3="","",SUM(入力データ!$C$71:$C$74)*12*(1+前提条件!$C$12)^(M$3-$B$3))</f>
        <v/>
      </c>
      <c r="N26" s="352">
        <f>IF(N$3="","",SUM(入力データ!$C$71:$C$74)*12*(1+前提条件!$C$12)^(N$3-$B$3))</f>
        <v/>
      </c>
      <c r="O26" s="352">
        <f>IF(O$3="","",SUM(入力データ!$C$71:$C$74)*12*(1+前提条件!$C$12)^(O$3-$B$3))</f>
        <v/>
      </c>
      <c r="P26" s="352">
        <f>IF(P$3="","",SUM(入力データ!$C$71:$C$74)*12*(1+前提条件!$C$12)^(P$3-$B$3))</f>
        <v/>
      </c>
      <c r="Q26" s="352">
        <f>IF(Q$3="","",SUM(入力データ!$C$71:$C$74)*12*(1+前提条件!$C$12)^(Q$3-$B$3))</f>
        <v/>
      </c>
      <c r="R26" s="352">
        <f>IF(R$3="","",SUM(入力データ!$C$71:$C$74)*12*(1+前提条件!$C$12)^(R$3-$B$3))</f>
        <v/>
      </c>
      <c r="S26" s="352">
        <f>IF(S$3="","",SUM(入力データ!$C$71:$C$74)*12*(1+前提条件!$C$12)^(S$3-$B$3))</f>
        <v/>
      </c>
      <c r="T26" s="352">
        <f>IF(T$3="","",SUM(入力データ!$C$71:$C$74)*12*(1+前提条件!$C$12)^(T$3-$B$3))</f>
        <v/>
      </c>
      <c r="U26" s="352">
        <f>IF(U$3="","",SUM(入力データ!$C$71:$C$74)*12*(1+前提条件!$C$12)^(U$3-$B$3))</f>
        <v/>
      </c>
      <c r="V26" s="352">
        <f>IF(V$3="","",SUM(入力データ!$C$71:$C$74)*12*(1+前提条件!$C$12)^(V$3-$B$3))</f>
        <v/>
      </c>
      <c r="W26" s="352">
        <f>IF(W$3="","",SUM(入力データ!$C$71:$C$74)*12*(1+前提条件!$C$12)^(W$3-$B$3))</f>
        <v/>
      </c>
      <c r="X26" s="352">
        <f>IF(X$3="","",SUM(入力データ!$C$71:$C$74)*12*(1+前提条件!$C$12)^(X$3-$B$3))</f>
        <v/>
      </c>
      <c r="Y26" s="352">
        <f>IF(Y$3="","",SUM(入力データ!$C$71:$C$74)*12*(1+前提条件!$C$12)^(Y$3-$B$3))</f>
        <v/>
      </c>
      <c r="Z26" s="352">
        <f>IF(Z$3="","",SUM(入力データ!$C$71:$C$74)*12*(1+前提条件!$C$12)^(Z$3-$B$3))</f>
        <v/>
      </c>
      <c r="AA26" s="352">
        <f>IF(AA$3="","",SUM(入力データ!$C$71:$C$74)*12*(1+前提条件!$C$12)^(AA$3-$B$3))</f>
        <v/>
      </c>
      <c r="AB26" s="352">
        <f>IF(AB$3="","",SUM(入力データ!$C$71:$C$74)*12*(1+前提条件!$C$12)^(AB$3-$B$3))</f>
        <v/>
      </c>
      <c r="AC26" s="352">
        <f>IF(AC$3="","",SUM(入力データ!$C$71:$C$74)*12*(1+前提条件!$C$12)^(AC$3-$B$3))</f>
        <v/>
      </c>
      <c r="AD26" s="352">
        <f>IF(AD$3="","",SUM(入力データ!$C$71:$C$74)*12*(1+前提条件!$C$12)^(AD$3-$B$3))</f>
        <v/>
      </c>
      <c r="AE26" s="352">
        <f>IF(AE$3="","",SUM(入力データ!$C$71:$C$74)*12*(1+前提条件!$C$12)^(AE$3-$B$3))</f>
        <v/>
      </c>
      <c r="AF26" s="352">
        <f>IF(AF$3="","",SUM(入力データ!$C$71:$C$74)*12*(1+前提条件!$C$12)^(AF$3-$B$3))</f>
        <v/>
      </c>
      <c r="AG26" s="352">
        <f>IF(AG$3="","",SUM(入力データ!$C$71:$C$74)*12*(1+前提条件!$C$12)^(AG$3-$B$3))</f>
        <v/>
      </c>
      <c r="AH26" s="352">
        <f>IF(AH$3="","",SUM(入力データ!$C$71:$C$74)*12*(1+前提条件!$C$12)^(AH$3-$B$3))</f>
        <v/>
      </c>
      <c r="AI26" s="352">
        <f>IF(AI$3="","",SUM(入力データ!$C$71:$C$74)*12*(1+前提条件!$C$12)^(AI$3-$B$3))</f>
        <v/>
      </c>
      <c r="AJ26" s="352">
        <f>IF(AJ$3="","",SUM(入力データ!$C$71:$C$74)*12*(1+前提条件!$C$12)^(AJ$3-$B$3))</f>
        <v/>
      </c>
      <c r="AK26" s="352">
        <f>IF(AK$3="","",SUM(入力データ!$C$71:$C$74)*12*(1+前提条件!$C$12)^(AK$3-$B$3))</f>
        <v/>
      </c>
      <c r="AL26" s="352">
        <f>IF(AL$3="","",SUM(入力データ!$C$71:$C$74)*12*(1+前提条件!$C$12)^(AL$3-$B$3))</f>
        <v/>
      </c>
      <c r="AM26" s="352">
        <f>IF(AM$3="","",SUM(入力データ!$C$71:$C$74)*12*(1+前提条件!$C$12)^(AM$3-$B$3))</f>
        <v/>
      </c>
      <c r="AN26" s="352">
        <f>IF(AN$3="","",SUM(入力データ!$C$71:$C$74)*12*(1+前提条件!$C$12)^(AN$3-$B$3))</f>
        <v/>
      </c>
      <c r="AO26" s="352">
        <f>IF(AO$3="","",SUM(入力データ!$C$71:$C$74)*12*(1+前提条件!$C$12)^(AO$3-$B$3))</f>
        <v/>
      </c>
      <c r="AP26" s="352">
        <f>IF(AP$3="","",SUM(入力データ!$C$71:$C$74)*12*(1+前提条件!$C$12)^(AP$3-$B$3))</f>
        <v/>
      </c>
      <c r="AQ26" s="352">
        <f>IF(AQ$3="","",SUM(入力データ!$C$71:$C$74)*12*(1+前提条件!$C$12)^(AQ$3-$B$3))</f>
        <v/>
      </c>
      <c r="AR26" s="352">
        <f>IF(AR$3="","",SUM(入力データ!$C$71:$C$74)*12*(1+前提条件!$C$12)^(AR$3-$B$3))</f>
        <v/>
      </c>
      <c r="AS26" s="352">
        <f>IF(AS$3="","",SUM(入力データ!$C$71:$C$74)*12*(1+前提条件!$C$12)^(AS$3-$B$3))</f>
        <v/>
      </c>
      <c r="AT26" s="352">
        <f>IF(AT$3="","",SUM(入力データ!$C$71:$C$74)*12*(1+前提条件!$C$12)^(AT$3-$B$3))</f>
        <v/>
      </c>
      <c r="AU26" s="352">
        <f>IF(AU$3="","",SUM(入力データ!$C$71:$C$74)*12*(1+前提条件!$C$12)^(AU$3-$B$3))</f>
        <v/>
      </c>
      <c r="AV26" s="352">
        <f>IF(AV$3="","",SUM(入力データ!$C$71:$C$74)*12*(1+前提条件!$C$12)^(AV$3-$B$3))</f>
        <v/>
      </c>
      <c r="AW26" s="352">
        <f>IF(AW$3="","",SUM(入力データ!$C$71:$C$74)*12*(1+前提条件!$C$12)^(AW$3-$B$3))</f>
        <v/>
      </c>
      <c r="AX26" s="352">
        <f>IF(AX$3="","",SUM(入力データ!$C$71:$C$74)*12*(1+前提条件!$C$12)^(AX$3-$B$3))</f>
        <v/>
      </c>
      <c r="AY26" s="352">
        <f>IF(AY$3="","",SUM(入力データ!$C$71:$C$74)*12*(1+前提条件!$C$12)^(AY$3-$B$3))</f>
        <v/>
      </c>
      <c r="AZ26" s="352">
        <f>IF(AZ$3="","",SUM(入力データ!$C$71:$C$74)*12*(1+前提条件!$C$12)^(AZ$3-$B$3))</f>
        <v/>
      </c>
      <c r="BA26" s="352">
        <f>IF(BA$3="","",SUM(入力データ!$C$71:$C$74)*12*(1+前提条件!$C$12)^(BA$3-$B$3))</f>
        <v/>
      </c>
      <c r="BB26" s="352">
        <f>IF(BB$3="","",SUM(入力データ!$C$71:$C$74)*12*(1+前提条件!$C$12)^(BB$3-$B$3))</f>
        <v/>
      </c>
      <c r="BC26" s="352">
        <f>IF(BC$3="","",SUM(入力データ!$C$71:$C$74)*12*(1+前提条件!$C$12)^(BC$3-$B$3))</f>
        <v/>
      </c>
      <c r="BD26" s="352">
        <f>IF(BD$3="","",SUM(入力データ!$C$71:$C$74)*12*(1+前提条件!$C$12)^(BD$3-$B$3))</f>
        <v/>
      </c>
      <c r="BE26" s="352">
        <f>IF(BE$3="","",SUM(入力データ!$C$71:$C$74)*12*(1+前提条件!$C$12)^(BE$3-$B$3))</f>
        <v/>
      </c>
      <c r="BF26" s="352">
        <f>IF(BF$3="","",SUM(入力データ!$C$71:$C$74)*12*(1+前提条件!$C$12)^(BF$3-$B$3))</f>
        <v/>
      </c>
      <c r="BG26" s="352">
        <f>IF(BG$3="","",SUM(入力データ!$C$71:$C$74)*12*(1+前提条件!$C$12)^(BG$3-$B$3))</f>
        <v/>
      </c>
      <c r="BH26" s="352">
        <f>IF(BH$3="","",SUM(入力データ!$C$71:$C$74)*12*(1+前提条件!$C$12)^(BH$3-$B$3))</f>
        <v/>
      </c>
      <c r="BI26" s="352">
        <f>IF(BI$3="","",SUM(入力データ!$C$71:$C$74)*12*(1+前提条件!$C$12)^(BI$3-$B$3))</f>
        <v/>
      </c>
      <c r="BJ26" s="352">
        <f>IF(BJ$3="","",SUM(入力データ!$C$71:$C$74)*12*(1+前提条件!$C$12)^(BJ$3-$B$3))</f>
        <v/>
      </c>
      <c r="BK26" s="352">
        <f>IF(BK$3="","",SUM(入力データ!$C$71:$C$74)*12*(1+前提条件!$C$12)^(BK$3-$B$3))</f>
        <v/>
      </c>
      <c r="BL26" s="352">
        <f>IF(BL$3="","",SUM(入力データ!$C$71:$C$74)*12*(1+前提条件!$C$12)^(BL$3-$B$3))</f>
        <v/>
      </c>
      <c r="BM26" s="352">
        <f>IF(BM$3="","",SUM(入力データ!$C$71:$C$74)*12*(1+前提条件!$C$12)^(BM$3-$B$3))</f>
        <v/>
      </c>
      <c r="BN26" s="352">
        <f>IF(BN$3="","",SUM(入力データ!$C$71:$C$74)*12*(1+前提条件!$C$12)^(BN$3-$B$3))</f>
        <v/>
      </c>
      <c r="BO26" s="352">
        <f>IF(BO$3="","",SUM(入力データ!$C$71:$C$74)*12*(1+前提条件!$C$12)^(BO$3-$B$3))</f>
        <v/>
      </c>
      <c r="BP26" s="352">
        <f>IF(BP$3="","",SUM(入力データ!$C$71:$C$74)*12*(1+前提条件!$C$12)^(BP$3-$B$3))</f>
        <v/>
      </c>
      <c r="BQ26" s="352">
        <f>IF(BQ$3="","",SUM(入力データ!$C$71:$C$74)*12*(1+前提条件!$C$12)^(BQ$3-$B$3))</f>
        <v/>
      </c>
      <c r="BR26" s="352">
        <f>IF(BR$3="","",SUM(入力データ!$C$71:$C$74)*12*(1+前提条件!$C$12)^(BR$3-$B$3))</f>
        <v/>
      </c>
      <c r="BS26" s="352">
        <f>IF(BS$3="","",SUM(入力データ!$C$71:$C$74)*12*(1+前提条件!$C$12)^(BS$3-$B$3))</f>
        <v/>
      </c>
      <c r="BT26" s="352">
        <f>IF(BT$3="","",SUM(入力データ!$C$71:$C$74)*12*(1+前提条件!$C$12)^(BT$3-$B$3))</f>
        <v/>
      </c>
      <c r="BU26" s="352">
        <f>IF(BU$3="","",SUM(入力データ!$C$71:$C$74)*12*(1+前提条件!$C$12)^(BU$3-$B$3))</f>
        <v/>
      </c>
      <c r="BV26" s="352">
        <f>IF(BV$3="","",SUM(入力データ!$C$71:$C$74)*12*(1+前提条件!$C$12)^(BV$3-$B$3))</f>
        <v/>
      </c>
      <c r="BW26" s="352">
        <f>IF(BW$3="","",SUM(入力データ!$C$71:$C$74)*12*(1+前提条件!$C$12)^(BW$3-$B$3))</f>
        <v/>
      </c>
      <c r="BX26" s="352">
        <f>IF(BX$3="","",SUM(入力データ!$C$71:$C$74)*12*(1+前提条件!$C$12)^(BX$3-$B$3))</f>
        <v/>
      </c>
      <c r="BY26" s="352">
        <f>IF(BY$3="","",SUM(入力データ!$C$71:$C$74)*12*(1+前提条件!$C$12)^(BY$3-$B$3))</f>
        <v/>
      </c>
      <c r="BZ26" s="352">
        <f>IF(BZ$3="","",SUM(入力データ!$C$71:$C$74)*12*(1+前提条件!$C$12)^(BZ$3-$B$3))</f>
        <v/>
      </c>
      <c r="CA26" s="352">
        <f>IF(CA$3="","",SUM(入力データ!$C$71:$C$74)*12*(1+前提条件!$C$12)^(CA$3-$B$3))</f>
        <v/>
      </c>
      <c r="CB26" s="352">
        <f>IF(CB$3="","",SUM(入力データ!$C$71:$C$74)*12*(1+前提条件!$C$12)^(CB$3-$B$3))</f>
        <v/>
      </c>
      <c r="CC26" s="352">
        <f>IF(CC$3="","",SUM(入力データ!$C$71:$C$74)*12*(1+前提条件!$C$12)^(CC$3-$B$3))</f>
        <v/>
      </c>
      <c r="CD26" s="352">
        <f>IF(CD$3="","",SUM(入力データ!$C$71:$C$74)*12*(1+前提条件!$C$12)^(CD$3-$B$3))</f>
        <v/>
      </c>
      <c r="CE26" s="352">
        <f>IF(CE$3="","",SUM(入力データ!$C$71:$C$74)*12*(1+前提条件!$C$12)^(CE$3-$B$3))</f>
        <v/>
      </c>
      <c r="CF26" s="352">
        <f>IF(CF$3="","",SUM(入力データ!$C$71:$C$74)*12*(1+前提条件!$C$12)^(CF$3-$B$3))</f>
        <v/>
      </c>
      <c r="CG26" s="352">
        <f>IF(CG$3="","",SUM(入力データ!$C$71:$C$74)*12*(1+前提条件!$C$12)^(CG$3-$B$3))</f>
        <v/>
      </c>
      <c r="CH26" s="352">
        <f>IF(CH$3="","",SUM(入力データ!$C$71:$C$74)*12*(1+前提条件!$C$12)^(CH$3-$B$3))</f>
        <v/>
      </c>
      <c r="CI26" s="352">
        <f>IF(CI$3="","",SUM(入力データ!$C$71:$C$74)*12*(1+前提条件!$C$12)^(CI$3-$B$3))</f>
        <v/>
      </c>
      <c r="CJ26" s="352">
        <f>IF(CJ$3="","",SUM(入力データ!$C$71:$C$74)*12*(1+前提条件!$C$12)^(CJ$3-$B$3))</f>
        <v/>
      </c>
      <c r="CK26" s="352">
        <f>IF(CK$3="","",SUM(入力データ!$C$71:$C$74)*12*(1+前提条件!$C$12)^(CK$3-$B$3))</f>
        <v/>
      </c>
      <c r="CL26" s="352">
        <f>IF(CL$3="","",SUM(入力データ!$C$71:$C$74)*12*(1+前提条件!$C$12)^(CL$3-$B$3))</f>
        <v/>
      </c>
      <c r="CM26" s="352">
        <f>IF(CM$3="","",SUM(入力データ!$C$71:$C$74)*12*(1+前提条件!$C$12)^(CM$3-$B$3))</f>
        <v/>
      </c>
      <c r="CN26" s="352">
        <f>IF(CN$3="","",SUM(入力データ!$C$71:$C$74)*12*(1+前提条件!$C$12)^(CN$3-$B$3))</f>
        <v/>
      </c>
      <c r="CO26" s="352">
        <f>IF(CO$3="","",SUM(入力データ!$C$71:$C$74)*12*(1+前提条件!$C$12)^(CO$3-$B$3))</f>
        <v/>
      </c>
      <c r="CP26" s="352">
        <f>IF(CP$3="","",SUM(入力データ!$C$71:$C$74)*12*(1+前提条件!$C$12)^(CP$3-$B$3))</f>
        <v/>
      </c>
      <c r="CQ26" s="352">
        <f>IF(CQ$3="","",SUM(入力データ!$C$71:$C$74)*12*(1+前提条件!$C$12)^(CQ$3-$B$3))</f>
        <v/>
      </c>
      <c r="CR26" s="352">
        <f>IF(CR$3="","",SUM(入力データ!$C$71:$C$74)*12*(1+前提条件!$C$12)^(CR$3-$B$3))</f>
        <v/>
      </c>
      <c r="CS26" s="352">
        <f>IF(CS$3="","",SUM(入力データ!$C$71:$C$74)*12*(1+前提条件!$C$12)^(CS$3-$B$3))</f>
        <v/>
      </c>
      <c r="CT26" s="352">
        <f>IF(CT$3="","",SUM(入力データ!$C$71:$C$74)*12*(1+前提条件!$C$12)^(CT$3-$B$3))</f>
        <v/>
      </c>
      <c r="CU26" s="352">
        <f>IF(CU$3="","",SUM(入力データ!$C$71:$C$74)*12*(1+前提条件!$C$12)^(CU$3-$B$3))</f>
        <v/>
      </c>
      <c r="CV26" s="352">
        <f>IF(CV$3="","",SUM(入力データ!$C$71:$C$74)*12*(1+前提条件!$C$12)^(CV$3-$B$3))</f>
        <v/>
      </c>
      <c r="CW26" s="352">
        <f>IF(CW$3="","",SUM(入力データ!$C$71:$C$74)*12*(1+前提条件!$C$12)^(CW$3-$B$3))</f>
        <v/>
      </c>
    </row>
    <row r="27" ht="15" customHeight="1" s="180">
      <c r="A27" s="224" t="inlineStr">
        <is>
          <t>一時支出</t>
        </is>
      </c>
      <c r="B27" s="352">
        <f>IF(B$3="","",SUM(入力データ!$C$78:$C$82))</f>
        <v/>
      </c>
      <c r="C27" s="352">
        <f>IF(C$3="","",SUM(入力データ!$C$78:$C$82))</f>
        <v/>
      </c>
      <c r="D27" s="352">
        <f>IF(D$3="","",SUM(入力データ!$C$78:$C$82))</f>
        <v/>
      </c>
      <c r="E27" s="352">
        <f>IF(E$3="","",SUM(入力データ!$C$78:$C$82))</f>
        <v/>
      </c>
      <c r="F27" s="352">
        <f>IF(F$3="","",SUM(入力データ!$C$78:$C$82))</f>
        <v/>
      </c>
      <c r="G27" s="352">
        <f>IF(G$3="","",SUM(入力データ!$C$78:$C$82))</f>
        <v/>
      </c>
      <c r="H27" s="352">
        <f>IF(H$3="","",SUM(入力データ!$C$78:$C$82))</f>
        <v/>
      </c>
      <c r="I27" s="352">
        <f>IF(I$3="","",SUM(入力データ!$C$78:$C$82))</f>
        <v/>
      </c>
      <c r="J27" s="352">
        <f>IF(J$3="","",SUM(入力データ!$C$78:$C$82))</f>
        <v/>
      </c>
      <c r="K27" s="352">
        <f>IF(K$3="","",SUM(入力データ!$C$78:$C$82))</f>
        <v/>
      </c>
      <c r="L27" s="352">
        <f>IF(L$3="","",SUM(入力データ!$C$78:$C$82))</f>
        <v/>
      </c>
      <c r="M27" s="352">
        <f>IF(M$3="","",SUM(入力データ!$C$78:$C$82))</f>
        <v/>
      </c>
      <c r="N27" s="352">
        <f>IF(N$3="","",SUM(入力データ!$C$78:$C$82))</f>
        <v/>
      </c>
      <c r="O27" s="352">
        <f>IF(O$3="","",SUM(入力データ!$C$78:$C$82))</f>
        <v/>
      </c>
      <c r="P27" s="352">
        <f>IF(P$3="","",SUM(入力データ!$C$78:$C$82))</f>
        <v/>
      </c>
      <c r="Q27" s="352">
        <f>IF(Q$3="","",SUM(入力データ!$C$78:$C$82))</f>
        <v/>
      </c>
      <c r="R27" s="352">
        <f>IF(R$3="","",SUM(入力データ!$C$78:$C$82))</f>
        <v/>
      </c>
      <c r="S27" s="352">
        <f>IF(S$3="","",SUM(入力データ!$C$78:$C$82))</f>
        <v/>
      </c>
      <c r="T27" s="352">
        <f>IF(T$3="","",SUM(入力データ!$C$78:$C$82))</f>
        <v/>
      </c>
      <c r="U27" s="352">
        <f>IF(U$3="","",SUM(入力データ!$C$78:$C$82))</f>
        <v/>
      </c>
      <c r="V27" s="352">
        <f>IF(V$3="","",SUM(入力データ!$C$78:$C$82))</f>
        <v/>
      </c>
      <c r="W27" s="352">
        <f>IF(W$3="","",SUM(入力データ!$C$78:$C$82))</f>
        <v/>
      </c>
      <c r="X27" s="352">
        <f>IF(X$3="","",SUM(入力データ!$C$78:$C$82))</f>
        <v/>
      </c>
      <c r="Y27" s="352">
        <f>IF(Y$3="","",SUM(入力データ!$C$78:$C$82))</f>
        <v/>
      </c>
      <c r="Z27" s="352">
        <f>IF(Z$3="","",SUM(入力データ!$C$78:$C$82))</f>
        <v/>
      </c>
      <c r="AA27" s="352">
        <f>IF(AA$3="","",SUM(入力データ!$C$78:$C$82))</f>
        <v/>
      </c>
      <c r="AB27" s="352">
        <f>IF(AB$3="","",SUM(入力データ!$C$78:$C$82))</f>
        <v/>
      </c>
      <c r="AC27" s="352">
        <f>IF(AC$3="","",SUM(入力データ!$C$78:$C$82))</f>
        <v/>
      </c>
      <c r="AD27" s="352">
        <f>IF(AD$3="","",SUM(入力データ!$C$78:$C$82))</f>
        <v/>
      </c>
      <c r="AE27" s="352">
        <f>IF(AE$3="","",SUM(入力データ!$C$78:$C$82))</f>
        <v/>
      </c>
      <c r="AF27" s="352">
        <f>IF(AF$3="","",SUM(入力データ!$C$78:$C$82))</f>
        <v/>
      </c>
      <c r="AG27" s="352">
        <f>IF(AG$3="","",SUM(入力データ!$C$78:$C$82))</f>
        <v/>
      </c>
      <c r="AH27" s="352">
        <f>IF(AH$3="","",SUM(入力データ!$C$78:$C$82))</f>
        <v/>
      </c>
      <c r="AI27" s="352">
        <f>IF(AI$3="","",SUM(入力データ!$C$78:$C$82))</f>
        <v/>
      </c>
      <c r="AJ27" s="352">
        <f>IF(AJ$3="","",SUM(入力データ!$C$78:$C$82))</f>
        <v/>
      </c>
      <c r="AK27" s="352">
        <f>IF(AK$3="","",SUM(入力データ!$C$78:$C$82))</f>
        <v/>
      </c>
      <c r="AL27" s="352">
        <f>IF(AL$3="","",SUM(入力データ!$C$78:$C$82))</f>
        <v/>
      </c>
      <c r="AM27" s="352">
        <f>IF(AM$3="","",SUM(入力データ!$C$78:$C$82))</f>
        <v/>
      </c>
      <c r="AN27" s="352">
        <f>IF(AN$3="","",SUM(入力データ!$C$78:$C$82))</f>
        <v/>
      </c>
      <c r="AO27" s="352">
        <f>IF(AO$3="","",SUM(入力データ!$C$78:$C$82))</f>
        <v/>
      </c>
      <c r="AP27" s="352">
        <f>IF(AP$3="","",SUM(入力データ!$C$78:$C$82))</f>
        <v/>
      </c>
      <c r="AQ27" s="352">
        <f>IF(AQ$3="","",SUM(入力データ!$C$78:$C$82))</f>
        <v/>
      </c>
      <c r="AR27" s="352">
        <f>IF(AR$3="","",SUM(入力データ!$C$78:$C$82))</f>
        <v/>
      </c>
      <c r="AS27" s="352">
        <f>IF(AS$3="","",SUM(入力データ!$C$78:$C$82))</f>
        <v/>
      </c>
      <c r="AT27" s="352">
        <f>IF(AT$3="","",SUM(入力データ!$C$78:$C$82))</f>
        <v/>
      </c>
      <c r="AU27" s="352">
        <f>IF(AU$3="","",SUM(入力データ!$C$78:$C$82))</f>
        <v/>
      </c>
      <c r="AV27" s="352">
        <f>IF(AV$3="","",SUM(入力データ!$C$78:$C$82))</f>
        <v/>
      </c>
      <c r="AW27" s="352">
        <f>IF(AW$3="","",SUM(入力データ!$C$78:$C$82))</f>
        <v/>
      </c>
      <c r="AX27" s="352">
        <f>IF(AX$3="","",SUM(入力データ!$C$78:$C$82))</f>
        <v/>
      </c>
      <c r="AY27" s="352">
        <f>IF(AY$3="","",SUM(入力データ!$C$78:$C$82))</f>
        <v/>
      </c>
      <c r="AZ27" s="352">
        <f>IF(AZ$3="","",SUM(入力データ!$C$78:$C$82))</f>
        <v/>
      </c>
      <c r="BA27" s="352">
        <f>IF(BA$3="","",SUM(入力データ!$C$78:$C$82))</f>
        <v/>
      </c>
      <c r="BB27" s="352">
        <f>IF(BB$3="","",SUM(入力データ!$C$78:$C$82))</f>
        <v/>
      </c>
      <c r="BC27" s="352">
        <f>IF(BC$3="","",SUM(入力データ!$C$78:$C$82))</f>
        <v/>
      </c>
      <c r="BD27" s="352">
        <f>IF(BD$3="","",SUM(入力データ!$C$78:$C$82))</f>
        <v/>
      </c>
      <c r="BE27" s="352">
        <f>IF(BE$3="","",SUM(入力データ!$C$78:$C$82))</f>
        <v/>
      </c>
      <c r="BF27" s="352">
        <f>IF(BF$3="","",SUM(入力データ!$C$78:$C$82))</f>
        <v/>
      </c>
      <c r="BG27" s="352">
        <f>IF(BG$3="","",SUM(入力データ!$C$78:$C$82))</f>
        <v/>
      </c>
      <c r="BH27" s="352">
        <f>IF(BH$3="","",SUM(入力データ!$C$78:$C$82))</f>
        <v/>
      </c>
      <c r="BI27" s="352">
        <f>IF(BI$3="","",SUM(入力データ!$C$78:$C$82))</f>
        <v/>
      </c>
      <c r="BJ27" s="352">
        <f>IF(BJ$3="","",SUM(入力データ!$C$78:$C$82))</f>
        <v/>
      </c>
      <c r="BK27" s="352">
        <f>IF(BK$3="","",SUM(入力データ!$C$78:$C$82))</f>
        <v/>
      </c>
      <c r="BL27" s="352">
        <f>IF(BL$3="","",SUM(入力データ!$C$78:$C$82))</f>
        <v/>
      </c>
      <c r="BM27" s="352">
        <f>IF(BM$3="","",SUM(入力データ!$C$78:$C$82))</f>
        <v/>
      </c>
      <c r="BN27" s="352">
        <f>IF(BN$3="","",SUM(入力データ!$C$78:$C$82))</f>
        <v/>
      </c>
      <c r="BO27" s="352">
        <f>IF(BO$3="","",SUM(入力データ!$C$78:$C$82))</f>
        <v/>
      </c>
      <c r="BP27" s="352">
        <f>IF(BP$3="","",SUM(入力データ!$C$78:$C$82))</f>
        <v/>
      </c>
      <c r="BQ27" s="352">
        <f>IF(BQ$3="","",SUM(入力データ!$C$78:$C$82))</f>
        <v/>
      </c>
      <c r="BR27" s="352">
        <f>IF(BR$3="","",SUM(入力データ!$C$78:$C$82))</f>
        <v/>
      </c>
      <c r="BS27" s="352">
        <f>IF(BS$3="","",SUM(入力データ!$C$78:$C$82))</f>
        <v/>
      </c>
      <c r="BT27" s="352">
        <f>IF(BT$3="","",SUM(入力データ!$C$78:$C$82))</f>
        <v/>
      </c>
      <c r="BU27" s="352">
        <f>IF(BU$3="","",SUM(入力データ!$C$78:$C$82))</f>
        <v/>
      </c>
      <c r="BV27" s="352">
        <f>IF(BV$3="","",SUM(入力データ!$C$78:$C$82))</f>
        <v/>
      </c>
      <c r="BW27" s="352">
        <f>IF(BW$3="","",SUM(入力データ!$C$78:$C$82))</f>
        <v/>
      </c>
      <c r="BX27" s="352">
        <f>IF(BX$3="","",SUM(入力データ!$C$78:$C$82))</f>
        <v/>
      </c>
      <c r="BY27" s="352">
        <f>IF(BY$3="","",SUM(入力データ!$C$78:$C$82))</f>
        <v/>
      </c>
      <c r="BZ27" s="352">
        <f>IF(BZ$3="","",SUM(入力データ!$C$78:$C$82))</f>
        <v/>
      </c>
      <c r="CA27" s="352">
        <f>IF(CA$3="","",SUM(入力データ!$C$78:$C$82))</f>
        <v/>
      </c>
      <c r="CB27" s="352">
        <f>IF(CB$3="","",SUM(入力データ!$C$78:$C$82))</f>
        <v/>
      </c>
      <c r="CC27" s="352">
        <f>IF(CC$3="","",SUM(入力データ!$C$78:$C$82))</f>
        <v/>
      </c>
      <c r="CD27" s="352">
        <f>IF(CD$3="","",SUM(入力データ!$C$78:$C$82))</f>
        <v/>
      </c>
      <c r="CE27" s="352">
        <f>IF(CE$3="","",SUM(入力データ!$C$78:$C$82))</f>
        <v/>
      </c>
      <c r="CF27" s="352">
        <f>IF(CF$3="","",SUM(入力データ!$C$78:$C$82))</f>
        <v/>
      </c>
      <c r="CG27" s="352">
        <f>IF(CG$3="","",SUM(入力データ!$C$78:$C$82))</f>
        <v/>
      </c>
      <c r="CH27" s="352">
        <f>IF(CH$3="","",SUM(入力データ!$C$78:$C$82))</f>
        <v/>
      </c>
      <c r="CI27" s="352">
        <f>IF(CI$3="","",SUM(入力データ!$C$78:$C$82))</f>
        <v/>
      </c>
      <c r="CJ27" s="352">
        <f>IF(CJ$3="","",SUM(入力データ!$C$78:$C$82))</f>
        <v/>
      </c>
      <c r="CK27" s="352">
        <f>IF(CK$3="","",SUM(入力データ!$C$78:$C$82))</f>
        <v/>
      </c>
      <c r="CL27" s="352">
        <f>IF(CL$3="","",SUM(入力データ!$C$78:$C$82))</f>
        <v/>
      </c>
      <c r="CM27" s="352">
        <f>IF(CM$3="","",SUM(入力データ!$C$78:$C$82))</f>
        <v/>
      </c>
      <c r="CN27" s="352">
        <f>IF(CN$3="","",SUM(入力データ!$C$78:$C$82))</f>
        <v/>
      </c>
      <c r="CO27" s="352">
        <f>IF(CO$3="","",SUM(入力データ!$C$78:$C$82))</f>
        <v/>
      </c>
      <c r="CP27" s="352">
        <f>IF(CP$3="","",SUM(入力データ!$C$78:$C$82))</f>
        <v/>
      </c>
      <c r="CQ27" s="352">
        <f>IF(CQ$3="","",SUM(入力データ!$C$78:$C$82))</f>
        <v/>
      </c>
      <c r="CR27" s="352">
        <f>IF(CR$3="","",SUM(入力データ!$C$78:$C$82))</f>
        <v/>
      </c>
      <c r="CS27" s="352">
        <f>IF(CS$3="","",SUM(入力データ!$C$78:$C$82))</f>
        <v/>
      </c>
      <c r="CT27" s="352">
        <f>IF(CT$3="","",SUM(入力データ!$C$78:$C$82))</f>
        <v/>
      </c>
      <c r="CU27" s="352">
        <f>IF(CU$3="","",SUM(入力データ!$C$78:$C$82))</f>
        <v/>
      </c>
      <c r="CV27" s="352">
        <f>IF(CV$3="","",SUM(入力データ!$C$78:$C$82))</f>
        <v/>
      </c>
      <c r="CW27" s="352">
        <f>IF(CW$3="","",SUM(入力データ!$C$78:$C$82))</f>
        <v/>
      </c>
    </row>
    <row r="28" ht="15" customHeight="1" s="180">
      <c r="A28" s="226" t="inlineStr">
        <is>
          <t>支出合計</t>
        </is>
      </c>
      <c r="B28" s="353">
        <f>IF(B$3="","",SUM(B20:B27))</f>
        <v/>
      </c>
      <c r="C28" s="353">
        <f>IF(C$3="","",SUM(C20:C27))</f>
        <v/>
      </c>
      <c r="D28" s="353">
        <f>IF(D$3="","",SUM(D20:D27))</f>
        <v/>
      </c>
      <c r="E28" s="353">
        <f>IF(E$3="","",SUM(E20:E27))</f>
        <v/>
      </c>
      <c r="F28" s="353">
        <f>IF(F$3="","",SUM(F20:F27))</f>
        <v/>
      </c>
      <c r="G28" s="353">
        <f>IF(G$3="","",SUM(G20:G27))</f>
        <v/>
      </c>
      <c r="H28" s="353">
        <f>IF(H$3="","",SUM(H20:H27))</f>
        <v/>
      </c>
      <c r="I28" s="353">
        <f>IF(I$3="","",SUM(I20:I27))</f>
        <v/>
      </c>
      <c r="J28" s="353">
        <f>IF(J$3="","",SUM(J20:J27))</f>
        <v/>
      </c>
      <c r="K28" s="353">
        <f>IF(K$3="","",SUM(K20:K27))</f>
        <v/>
      </c>
      <c r="L28" s="353">
        <f>IF(L$3="","",SUM(L20:L27))</f>
        <v/>
      </c>
      <c r="M28" s="353">
        <f>IF(M$3="","",SUM(M20:M27))</f>
        <v/>
      </c>
      <c r="N28" s="353">
        <f>IF(N$3="","",SUM(N20:N27))</f>
        <v/>
      </c>
      <c r="O28" s="353">
        <f>IF(O$3="","",SUM(O20:O27))</f>
        <v/>
      </c>
      <c r="P28" s="353">
        <f>IF(P$3="","",SUM(P20:P27))</f>
        <v/>
      </c>
      <c r="Q28" s="353">
        <f>IF(Q$3="","",SUM(Q20:Q27))</f>
        <v/>
      </c>
      <c r="R28" s="353">
        <f>IF(R$3="","",SUM(R20:R27))</f>
        <v/>
      </c>
      <c r="S28" s="353">
        <f>IF(S$3="","",SUM(S20:S27))</f>
        <v/>
      </c>
      <c r="T28" s="353">
        <f>IF(T$3="","",SUM(T20:T27))</f>
        <v/>
      </c>
      <c r="U28" s="353">
        <f>IF(U$3="","",SUM(U20:U27))</f>
        <v/>
      </c>
      <c r="V28" s="353">
        <f>IF(V$3="","",SUM(V20:V27))</f>
        <v/>
      </c>
      <c r="W28" s="353">
        <f>IF(W$3="","",SUM(W20:W27))</f>
        <v/>
      </c>
      <c r="X28" s="353">
        <f>IF(X$3="","",SUM(X20:X27))</f>
        <v/>
      </c>
      <c r="Y28" s="353">
        <f>IF(Y$3="","",SUM(Y20:Y27))</f>
        <v/>
      </c>
      <c r="Z28" s="353">
        <f>IF(Z$3="","",SUM(Z20:Z27))</f>
        <v/>
      </c>
      <c r="AA28" s="353">
        <f>IF(AA$3="","",SUM(AA20:AA27))</f>
        <v/>
      </c>
      <c r="AB28" s="353">
        <f>IF(AB$3="","",SUM(AB20:AB27))</f>
        <v/>
      </c>
      <c r="AC28" s="353">
        <f>IF(AC$3="","",SUM(AC20:AC27))</f>
        <v/>
      </c>
      <c r="AD28" s="353">
        <f>IF(AD$3="","",SUM(AD20:AD27))</f>
        <v/>
      </c>
      <c r="AE28" s="353">
        <f>IF(AE$3="","",SUM(AE20:AE27))</f>
        <v/>
      </c>
      <c r="AF28" s="353">
        <f>IF(AF$3="","",SUM(AF20:AF27))</f>
        <v/>
      </c>
      <c r="AG28" s="353">
        <f>IF(AG$3="","",SUM(AG20:AG27))</f>
        <v/>
      </c>
      <c r="AH28" s="353">
        <f>IF(AH$3="","",SUM(AH20:AH27))</f>
        <v/>
      </c>
      <c r="AI28" s="353">
        <f>IF(AI$3="","",SUM(AI20:AI27))</f>
        <v/>
      </c>
      <c r="AJ28" s="353">
        <f>IF(AJ$3="","",SUM(AJ20:AJ27))</f>
        <v/>
      </c>
      <c r="AK28" s="353">
        <f>IF(AK$3="","",SUM(AK20:AK27))</f>
        <v/>
      </c>
      <c r="AL28" s="353">
        <f>IF(AL$3="","",SUM(AL20:AL27))</f>
        <v/>
      </c>
      <c r="AM28" s="353">
        <f>IF(AM$3="","",SUM(AM20:AM27))</f>
        <v/>
      </c>
      <c r="AN28" s="353">
        <f>IF(AN$3="","",SUM(AN20:AN27))</f>
        <v/>
      </c>
      <c r="AO28" s="353">
        <f>IF(AO$3="","",SUM(AO20:AO27))</f>
        <v/>
      </c>
      <c r="AP28" s="353">
        <f>IF(AP$3="","",SUM(AP20:AP27))</f>
        <v/>
      </c>
      <c r="AQ28" s="353">
        <f>IF(AQ$3="","",SUM(AQ20:AQ27))</f>
        <v/>
      </c>
      <c r="AR28" s="353">
        <f>IF(AR$3="","",SUM(AR20:AR27))</f>
        <v/>
      </c>
      <c r="AS28" s="353">
        <f>IF(AS$3="","",SUM(AS20:AS27))</f>
        <v/>
      </c>
      <c r="AT28" s="353">
        <f>IF(AT$3="","",SUM(AT20:AT27))</f>
        <v/>
      </c>
      <c r="AU28" s="353">
        <f>IF(AU$3="","",SUM(AU20:AU27))</f>
        <v/>
      </c>
      <c r="AV28" s="353">
        <f>IF(AV$3="","",SUM(AV20:AV27))</f>
        <v/>
      </c>
      <c r="AW28" s="353">
        <f>IF(AW$3="","",SUM(AW20:AW27))</f>
        <v/>
      </c>
      <c r="AX28" s="353">
        <f>IF(AX$3="","",SUM(AX20:AX27))</f>
        <v/>
      </c>
      <c r="AY28" s="353">
        <f>IF(AY$3="","",SUM(AY20:AY27))</f>
        <v/>
      </c>
      <c r="AZ28" s="353">
        <f>IF(AZ$3="","",SUM(AZ20:AZ27))</f>
        <v/>
      </c>
      <c r="BA28" s="353">
        <f>IF(BA$3="","",SUM(BA20:BA27))</f>
        <v/>
      </c>
      <c r="BB28" s="353">
        <f>IF(BB$3="","",SUM(BB20:BB27))</f>
        <v/>
      </c>
      <c r="BC28" s="353">
        <f>IF(BC$3="","",SUM(BC20:BC27))</f>
        <v/>
      </c>
      <c r="BD28" s="353">
        <f>IF(BD$3="","",SUM(BD20:BD27))</f>
        <v/>
      </c>
      <c r="BE28" s="353">
        <f>IF(BE$3="","",SUM(BE20:BE27))</f>
        <v/>
      </c>
      <c r="BF28" s="353">
        <f>IF(BF$3="","",SUM(BF20:BF27))</f>
        <v/>
      </c>
      <c r="BG28" s="353">
        <f>IF(BG$3="","",SUM(BG20:BG27))</f>
        <v/>
      </c>
      <c r="BH28" s="353">
        <f>IF(BH$3="","",SUM(BH20:BH27))</f>
        <v/>
      </c>
      <c r="BI28" s="353">
        <f>IF(BI$3="","",SUM(BI20:BI27))</f>
        <v/>
      </c>
      <c r="BJ28" s="353">
        <f>IF(BJ$3="","",SUM(BJ20:BJ27))</f>
        <v/>
      </c>
      <c r="BK28" s="353">
        <f>IF(BK$3="","",SUM(BK20:BK27))</f>
        <v/>
      </c>
      <c r="BL28" s="353">
        <f>IF(BL$3="","",SUM(BL20:BL27))</f>
        <v/>
      </c>
      <c r="BM28" s="353">
        <f>IF(BM$3="","",SUM(BM20:BM27))</f>
        <v/>
      </c>
      <c r="BN28" s="353">
        <f>IF(BN$3="","",SUM(BN20:BN27))</f>
        <v/>
      </c>
      <c r="BO28" s="353">
        <f>IF(BO$3="","",SUM(BO20:BO27))</f>
        <v/>
      </c>
      <c r="BP28" s="353">
        <f>IF(BP$3="","",SUM(BP20:BP27))</f>
        <v/>
      </c>
      <c r="BQ28" s="353">
        <f>IF(BQ$3="","",SUM(BQ20:BQ27))</f>
        <v/>
      </c>
      <c r="BR28" s="353">
        <f>IF(BR$3="","",SUM(BR20:BR27))</f>
        <v/>
      </c>
      <c r="BS28" s="353">
        <f>IF(BS$3="","",SUM(BS20:BS27))</f>
        <v/>
      </c>
      <c r="BT28" s="353">
        <f>IF(BT$3="","",SUM(BT20:BT27))</f>
        <v/>
      </c>
      <c r="BU28" s="353">
        <f>IF(BU$3="","",SUM(BU20:BU27))</f>
        <v/>
      </c>
      <c r="BV28" s="353">
        <f>IF(BV$3="","",SUM(BV20:BV27))</f>
        <v/>
      </c>
      <c r="BW28" s="353">
        <f>IF(BW$3="","",SUM(BW20:BW27))</f>
        <v/>
      </c>
      <c r="BX28" s="353">
        <f>IF(BX$3="","",SUM(BX20:BX27))</f>
        <v/>
      </c>
      <c r="BY28" s="353">
        <f>IF(BY$3="","",SUM(BY20:BY27))</f>
        <v/>
      </c>
      <c r="BZ28" s="353">
        <f>IF(BZ$3="","",SUM(BZ20:BZ27))</f>
        <v/>
      </c>
      <c r="CA28" s="353">
        <f>IF(CA$3="","",SUM(CA20:CA27))</f>
        <v/>
      </c>
      <c r="CB28" s="353">
        <f>IF(CB$3="","",SUM(CB20:CB27))</f>
        <v/>
      </c>
      <c r="CC28" s="353">
        <f>IF(CC$3="","",SUM(CC20:CC27))</f>
        <v/>
      </c>
      <c r="CD28" s="353">
        <f>IF(CD$3="","",SUM(CD20:CD27))</f>
        <v/>
      </c>
      <c r="CE28" s="353">
        <f>IF(CE$3="","",SUM(CE20:CE27))</f>
        <v/>
      </c>
      <c r="CF28" s="353">
        <f>IF(CF$3="","",SUM(CF20:CF27))</f>
        <v/>
      </c>
      <c r="CG28" s="353">
        <f>IF(CG$3="","",SUM(CG20:CG27))</f>
        <v/>
      </c>
      <c r="CH28" s="353">
        <f>IF(CH$3="","",SUM(CH20:CH27))</f>
        <v/>
      </c>
      <c r="CI28" s="353">
        <f>IF(CI$3="","",SUM(CI20:CI27))</f>
        <v/>
      </c>
      <c r="CJ28" s="353">
        <f>IF(CJ$3="","",SUM(CJ20:CJ27))</f>
        <v/>
      </c>
      <c r="CK28" s="353">
        <f>IF(CK$3="","",SUM(CK20:CK27))</f>
        <v/>
      </c>
      <c r="CL28" s="353">
        <f>IF(CL$3="","",SUM(CL20:CL27))</f>
        <v/>
      </c>
      <c r="CM28" s="353">
        <f>IF(CM$3="","",SUM(CM20:CM27))</f>
        <v/>
      </c>
      <c r="CN28" s="353">
        <f>IF(CN$3="","",SUM(CN20:CN27))</f>
        <v/>
      </c>
      <c r="CO28" s="353">
        <f>IF(CO$3="","",SUM(CO20:CO27))</f>
        <v/>
      </c>
      <c r="CP28" s="353">
        <f>IF(CP$3="","",SUM(CP20:CP27))</f>
        <v/>
      </c>
      <c r="CQ28" s="353">
        <f>IF(CQ$3="","",SUM(CQ20:CQ27))</f>
        <v/>
      </c>
      <c r="CR28" s="353">
        <f>IF(CR$3="","",SUM(CR20:CR27))</f>
        <v/>
      </c>
      <c r="CS28" s="353">
        <f>IF(CS$3="","",SUM(CS20:CS27))</f>
        <v/>
      </c>
      <c r="CT28" s="353">
        <f>IF(CT$3="","",SUM(CT20:CT27))</f>
        <v/>
      </c>
      <c r="CU28" s="353">
        <f>IF(CU$3="","",SUM(CU20:CU27))</f>
        <v/>
      </c>
      <c r="CV28" s="353">
        <f>IF(CV$3="","",SUM(CV20:CV27))</f>
        <v/>
      </c>
      <c r="CW28" s="353">
        <f>IF(CW$3="","",SUM(CW20:CW27))</f>
        <v/>
      </c>
    </row>
    <row r="29" ht="15" customHeight="1" s="180">
      <c r="A29" s="205" t="inlineStr">
        <is>
          <t>収支・資産</t>
        </is>
      </c>
      <c r="B29" s="219" t="n"/>
      <c r="C29" s="219" t="n"/>
      <c r="D29" s="219" t="n"/>
      <c r="E29" s="219" t="n"/>
      <c r="F29" s="219" t="n"/>
      <c r="G29" s="219" t="n"/>
      <c r="H29" s="219" t="n"/>
      <c r="I29" s="219" t="n"/>
      <c r="J29" s="219" t="n"/>
      <c r="K29" s="219" t="n"/>
      <c r="L29" s="219" t="n"/>
      <c r="M29" s="219" t="n"/>
      <c r="N29" s="219" t="n"/>
      <c r="O29" s="219" t="n"/>
      <c r="P29" s="219" t="n"/>
      <c r="Q29" s="219" t="n"/>
      <c r="R29" s="219" t="n"/>
      <c r="S29" s="219" t="n"/>
      <c r="T29" s="219" t="n"/>
      <c r="U29" s="219" t="n"/>
      <c r="V29" s="219" t="n"/>
      <c r="W29" s="219" t="n"/>
      <c r="X29" s="219" t="n"/>
      <c r="Y29" s="219" t="n"/>
      <c r="Z29" s="219" t="n"/>
      <c r="AA29" s="219" t="n"/>
      <c r="AB29" s="219" t="n"/>
      <c r="AC29" s="219" t="n"/>
      <c r="AD29" s="219" t="n"/>
      <c r="AE29" s="219" t="n"/>
      <c r="AF29" s="219" t="n"/>
      <c r="AG29" s="219" t="n"/>
      <c r="AH29" s="219" t="n"/>
      <c r="AI29" s="219" t="n"/>
      <c r="AJ29" s="219" t="n"/>
      <c r="AK29" s="219" t="n"/>
      <c r="AL29" s="219" t="n"/>
      <c r="AM29" s="219" t="n"/>
      <c r="AN29" s="219" t="n"/>
      <c r="AO29" s="219" t="n"/>
      <c r="AP29" s="219" t="n"/>
      <c r="AQ29" s="219" t="n"/>
      <c r="AR29" s="219" t="n"/>
      <c r="AS29" s="219" t="n"/>
      <c r="AT29" s="219" t="n"/>
      <c r="AU29" s="219" t="n"/>
      <c r="AV29" s="219" t="n"/>
      <c r="AW29" s="219" t="n"/>
      <c r="AX29" s="219" t="n"/>
      <c r="AY29" s="219" t="n"/>
      <c r="AZ29" s="219" t="n"/>
      <c r="BA29" s="219" t="n"/>
      <c r="BB29" s="219" t="n"/>
      <c r="BC29" s="219" t="n"/>
      <c r="BD29" s="219" t="n"/>
      <c r="BE29" s="219" t="n"/>
      <c r="BF29" s="219" t="n"/>
      <c r="BG29" s="219" t="n"/>
      <c r="BH29" s="219" t="n"/>
      <c r="BI29" s="219" t="n"/>
      <c r="BJ29" s="219" t="n"/>
      <c r="BK29" s="219" t="n"/>
      <c r="BL29" s="219" t="n"/>
      <c r="BM29" s="219" t="n"/>
      <c r="BN29" s="219" t="n"/>
      <c r="BO29" s="219" t="n"/>
      <c r="BP29" s="219" t="n"/>
      <c r="BQ29" s="219" t="n"/>
      <c r="BR29" s="219" t="n"/>
      <c r="BS29" s="219" t="n"/>
      <c r="BT29" s="219" t="n"/>
      <c r="BU29" s="219" t="n"/>
      <c r="BV29" s="219" t="n"/>
      <c r="BW29" s="219" t="n"/>
      <c r="BX29" s="219" t="n"/>
      <c r="BY29" s="219" t="n"/>
      <c r="BZ29" s="219" t="n"/>
      <c r="CA29" s="219" t="n"/>
      <c r="CB29" s="219" t="n"/>
      <c r="CC29" s="219" t="n"/>
      <c r="CD29" s="219" t="n"/>
      <c r="CE29" s="219" t="n"/>
      <c r="CF29" s="219" t="n"/>
      <c r="CG29" s="219" t="n"/>
      <c r="CH29" s="219" t="n"/>
      <c r="CI29" s="219" t="n"/>
      <c r="CJ29" s="219" t="n"/>
      <c r="CK29" s="219" t="n"/>
      <c r="CL29" s="219" t="n"/>
      <c r="CM29" s="219" t="n"/>
      <c r="CN29" s="219" t="n"/>
      <c r="CO29" s="219" t="n"/>
      <c r="CP29" s="219" t="n"/>
      <c r="CQ29" s="219" t="n"/>
      <c r="CR29" s="219" t="n"/>
      <c r="CS29" s="219" t="n"/>
      <c r="CT29" s="219" t="n"/>
      <c r="CU29" s="219" t="n"/>
      <c r="CV29" s="219" t="n"/>
      <c r="CW29" s="219" t="n"/>
    </row>
    <row r="30" ht="21.75" customHeight="1" s="180">
      <c r="A30" s="229" t="inlineStr">
        <is>
          <t>年間収支</t>
        </is>
      </c>
      <c r="B30" s="354">
        <f>IF(B$3="","",B18-B28)</f>
        <v/>
      </c>
      <c r="C30" s="354">
        <f>IF(C$3="","",C18-C28)</f>
        <v/>
      </c>
      <c r="D30" s="354">
        <f>IF(D$3="","",D18-D28)</f>
        <v/>
      </c>
      <c r="E30" s="354">
        <f>IF(E$3="","",E18-E28)</f>
        <v/>
      </c>
      <c r="F30" s="354">
        <f>IF(F$3="","",F18-F28)</f>
        <v/>
      </c>
      <c r="G30" s="354">
        <f>IF(G$3="","",G18-G28)</f>
        <v/>
      </c>
      <c r="H30" s="354">
        <f>IF(H$3="","",H18-H28)</f>
        <v/>
      </c>
      <c r="I30" s="354">
        <f>IF(I$3="","",I18-I28)</f>
        <v/>
      </c>
      <c r="J30" s="354">
        <f>IF(J$3="","",J18-J28)</f>
        <v/>
      </c>
      <c r="K30" s="354">
        <f>IF(K$3="","",K18-K28)</f>
        <v/>
      </c>
      <c r="L30" s="354">
        <f>IF(L$3="","",L18-L28)</f>
        <v/>
      </c>
      <c r="M30" s="354">
        <f>IF(M$3="","",M18-M28)</f>
        <v/>
      </c>
      <c r="N30" s="354">
        <f>IF(N$3="","",N18-N28)</f>
        <v/>
      </c>
      <c r="O30" s="354">
        <f>IF(O$3="","",O18-O28)</f>
        <v/>
      </c>
      <c r="P30" s="354">
        <f>IF(P$3="","",P18-P28)</f>
        <v/>
      </c>
      <c r="Q30" s="354">
        <f>IF(Q$3="","",Q18-Q28)</f>
        <v/>
      </c>
      <c r="R30" s="354">
        <f>IF(R$3="","",R18-R28)</f>
        <v/>
      </c>
      <c r="S30" s="354">
        <f>IF(S$3="","",S18-S28)</f>
        <v/>
      </c>
      <c r="T30" s="354">
        <f>IF(T$3="","",T18-T28)</f>
        <v/>
      </c>
      <c r="U30" s="354">
        <f>IF(U$3="","",U18-U28)</f>
        <v/>
      </c>
      <c r="V30" s="354">
        <f>IF(V$3="","",V18-V28)</f>
        <v/>
      </c>
      <c r="W30" s="354">
        <f>IF(W$3="","",W18-W28)</f>
        <v/>
      </c>
      <c r="X30" s="354">
        <f>IF(X$3="","",X18-X28)</f>
        <v/>
      </c>
      <c r="Y30" s="354">
        <f>IF(Y$3="","",Y18-Y28)</f>
        <v/>
      </c>
      <c r="Z30" s="354">
        <f>IF(Z$3="","",Z18-Z28)</f>
        <v/>
      </c>
      <c r="AA30" s="354">
        <f>IF(AA$3="","",AA18-AA28)</f>
        <v/>
      </c>
      <c r="AB30" s="354">
        <f>IF(AB$3="","",AB18-AB28)</f>
        <v/>
      </c>
      <c r="AC30" s="354">
        <f>IF(AC$3="","",AC18-AC28)</f>
        <v/>
      </c>
      <c r="AD30" s="354">
        <f>IF(AD$3="","",AD18-AD28)</f>
        <v/>
      </c>
      <c r="AE30" s="354">
        <f>IF(AE$3="","",AE18-AE28)</f>
        <v/>
      </c>
      <c r="AF30" s="354">
        <f>IF(AF$3="","",AF18-AF28)</f>
        <v/>
      </c>
      <c r="AG30" s="354">
        <f>IF(AG$3="","",AG18-AG28)</f>
        <v/>
      </c>
      <c r="AH30" s="354">
        <f>IF(AH$3="","",AH18-AH28)</f>
        <v/>
      </c>
      <c r="AI30" s="354">
        <f>IF(AI$3="","",AI18-AI28)</f>
        <v/>
      </c>
      <c r="AJ30" s="354">
        <f>IF(AJ$3="","",AJ18-AJ28)</f>
        <v/>
      </c>
      <c r="AK30" s="354">
        <f>IF(AK$3="","",AK18-AK28)</f>
        <v/>
      </c>
      <c r="AL30" s="354">
        <f>IF(AL$3="","",AL18-AL28)</f>
        <v/>
      </c>
      <c r="AM30" s="354">
        <f>IF(AM$3="","",AM18-AM28)</f>
        <v/>
      </c>
      <c r="AN30" s="354">
        <f>IF(AN$3="","",AN18-AN28)</f>
        <v/>
      </c>
      <c r="AO30" s="354">
        <f>IF(AO$3="","",AO18-AO28)</f>
        <v/>
      </c>
      <c r="AP30" s="354">
        <f>IF(AP$3="","",AP18-AP28)</f>
        <v/>
      </c>
      <c r="AQ30" s="354">
        <f>IF(AQ$3="","",AQ18-AQ28)</f>
        <v/>
      </c>
      <c r="AR30" s="354">
        <f>IF(AR$3="","",AR18-AR28)</f>
        <v/>
      </c>
      <c r="AS30" s="354">
        <f>IF(AS$3="","",AS18-AS28)</f>
        <v/>
      </c>
      <c r="AT30" s="354">
        <f>IF(AT$3="","",AT18-AT28)</f>
        <v/>
      </c>
      <c r="AU30" s="354">
        <f>IF(AU$3="","",AU18-AU28)</f>
        <v/>
      </c>
      <c r="AV30" s="354">
        <f>IF(AV$3="","",AV18-AV28)</f>
        <v/>
      </c>
      <c r="AW30" s="354">
        <f>IF(AW$3="","",AW18-AW28)</f>
        <v/>
      </c>
      <c r="AX30" s="354">
        <f>IF(AX$3="","",AX18-AX28)</f>
        <v/>
      </c>
      <c r="AY30" s="354">
        <f>IF(AY$3="","",AY18-AY28)</f>
        <v/>
      </c>
      <c r="AZ30" s="354">
        <f>IF(AZ$3="","",AZ18-AZ28)</f>
        <v/>
      </c>
      <c r="BA30" s="354">
        <f>IF(BA$3="","",BA18-BA28)</f>
        <v/>
      </c>
      <c r="BB30" s="354">
        <f>IF(BB$3="","",BB18-BB28)</f>
        <v/>
      </c>
      <c r="BC30" s="354">
        <f>IF(BC$3="","",BC18-BC28)</f>
        <v/>
      </c>
      <c r="BD30" s="354">
        <f>IF(BD$3="","",BD18-BD28)</f>
        <v/>
      </c>
      <c r="BE30" s="354">
        <f>IF(BE$3="","",BE18-BE28)</f>
        <v/>
      </c>
      <c r="BF30" s="354">
        <f>IF(BF$3="","",BF18-BF28)</f>
        <v/>
      </c>
      <c r="BG30" s="354">
        <f>IF(BG$3="","",BG18-BG28)</f>
        <v/>
      </c>
      <c r="BH30" s="354">
        <f>IF(BH$3="","",BH18-BH28)</f>
        <v/>
      </c>
      <c r="BI30" s="354">
        <f>IF(BI$3="","",BI18-BI28)</f>
        <v/>
      </c>
      <c r="BJ30" s="354">
        <f>IF(BJ$3="","",BJ18-BJ28)</f>
        <v/>
      </c>
      <c r="BK30" s="354">
        <f>IF(BK$3="","",BK18-BK28)</f>
        <v/>
      </c>
      <c r="BL30" s="354">
        <f>IF(BL$3="","",BL18-BL28)</f>
        <v/>
      </c>
      <c r="BM30" s="354">
        <f>IF(BM$3="","",BM18-BM28)</f>
        <v/>
      </c>
      <c r="BN30" s="354">
        <f>IF(BN$3="","",BN18-BN28)</f>
        <v/>
      </c>
      <c r="BO30" s="354">
        <f>IF(BO$3="","",BO18-BO28)</f>
        <v/>
      </c>
      <c r="BP30" s="354">
        <f>IF(BP$3="","",BP18-BP28)</f>
        <v/>
      </c>
      <c r="BQ30" s="354">
        <f>IF(BQ$3="","",BQ18-BQ28)</f>
        <v/>
      </c>
      <c r="BR30" s="354">
        <f>IF(BR$3="","",BR18-BR28)</f>
        <v/>
      </c>
      <c r="BS30" s="354">
        <f>IF(BS$3="","",BS18-BS28)</f>
        <v/>
      </c>
      <c r="BT30" s="354">
        <f>IF(BT$3="","",BT18-BT28)</f>
        <v/>
      </c>
      <c r="BU30" s="354">
        <f>IF(BU$3="","",BU18-BU28)</f>
        <v/>
      </c>
      <c r="BV30" s="354">
        <f>IF(BV$3="","",BV18-BV28)</f>
        <v/>
      </c>
      <c r="BW30" s="354">
        <f>IF(BW$3="","",BW18-BW28)</f>
        <v/>
      </c>
      <c r="BX30" s="354">
        <f>IF(BX$3="","",BX18-BX28)</f>
        <v/>
      </c>
      <c r="BY30" s="354">
        <f>IF(BY$3="","",BY18-BY28)</f>
        <v/>
      </c>
      <c r="BZ30" s="354">
        <f>IF(BZ$3="","",BZ18-BZ28)</f>
        <v/>
      </c>
      <c r="CA30" s="354">
        <f>IF(CA$3="","",CA18-CA28)</f>
        <v/>
      </c>
      <c r="CB30" s="354">
        <f>IF(CB$3="","",CB18-CB28)</f>
        <v/>
      </c>
      <c r="CC30" s="354">
        <f>IF(CC$3="","",CC18-CC28)</f>
        <v/>
      </c>
      <c r="CD30" s="354">
        <f>IF(CD$3="","",CD18-CD28)</f>
        <v/>
      </c>
      <c r="CE30" s="354">
        <f>IF(CE$3="","",CE18-CE28)</f>
        <v/>
      </c>
      <c r="CF30" s="354">
        <f>IF(CF$3="","",CF18-CF28)</f>
        <v/>
      </c>
      <c r="CG30" s="354">
        <f>IF(CG$3="","",CG18-CG28)</f>
        <v/>
      </c>
      <c r="CH30" s="354">
        <f>IF(CH$3="","",CH18-CH28)</f>
        <v/>
      </c>
      <c r="CI30" s="354">
        <f>IF(CI$3="","",CI18-CI28)</f>
        <v/>
      </c>
      <c r="CJ30" s="354">
        <f>IF(CJ$3="","",CJ18-CJ28)</f>
        <v/>
      </c>
      <c r="CK30" s="354">
        <f>IF(CK$3="","",CK18-CK28)</f>
        <v/>
      </c>
      <c r="CL30" s="354">
        <f>IF(CL$3="","",CL18-CL28)</f>
        <v/>
      </c>
      <c r="CM30" s="354">
        <f>IF(CM$3="","",CM18-CM28)</f>
        <v/>
      </c>
      <c r="CN30" s="354">
        <f>IF(CN$3="","",CN18-CN28)</f>
        <v/>
      </c>
      <c r="CO30" s="354">
        <f>IF(CO$3="","",CO18-CO28)</f>
        <v/>
      </c>
      <c r="CP30" s="354">
        <f>IF(CP$3="","",CP18-CP28)</f>
        <v/>
      </c>
      <c r="CQ30" s="354">
        <f>IF(CQ$3="","",CQ18-CQ28)</f>
        <v/>
      </c>
      <c r="CR30" s="354">
        <f>IF(CR$3="","",CR18-CR28)</f>
        <v/>
      </c>
      <c r="CS30" s="354">
        <f>IF(CS$3="","",CS18-CS28)</f>
        <v/>
      </c>
      <c r="CT30" s="354">
        <f>IF(CT$3="","",CT18-CT28)</f>
        <v/>
      </c>
      <c r="CU30" s="354">
        <f>IF(CU$3="","",CU18-CU28)</f>
        <v/>
      </c>
      <c r="CV30" s="354">
        <f>IF(CV$3="","",CV18-CV28)</f>
        <v/>
      </c>
      <c r="CW30" s="354">
        <f>IF(CW$3="","",CW18-CW28)</f>
        <v/>
      </c>
    </row>
    <row r="31" ht="15" customHeight="1" s="180">
      <c r="A31" s="231" t="inlineStr">
        <is>
          <t>預貯金残高</t>
        </is>
      </c>
      <c r="B31" s="355">
        <f>IF(B$3="","",B38)</f>
        <v/>
      </c>
      <c r="C31" s="355">
        <f>IF(C$3="","",C38)</f>
        <v/>
      </c>
      <c r="D31" s="355">
        <f>IF(D$3="","",D38)</f>
        <v/>
      </c>
      <c r="E31" s="355">
        <f>IF(E$3="","",E38)</f>
        <v/>
      </c>
      <c r="F31" s="355">
        <f>IF(F$3="","",F38)</f>
        <v/>
      </c>
      <c r="G31" s="355">
        <f>IF(G$3="","",G38)</f>
        <v/>
      </c>
      <c r="H31" s="355">
        <f>IF(H$3="","",H38)</f>
        <v/>
      </c>
      <c r="I31" s="355">
        <f>IF(I$3="","",I38)</f>
        <v/>
      </c>
      <c r="J31" s="355">
        <f>IF(J$3="","",J38)</f>
        <v/>
      </c>
      <c r="K31" s="355">
        <f>IF(K$3="","",K38)</f>
        <v/>
      </c>
      <c r="L31" s="355">
        <f>IF(L$3="","",L38)</f>
        <v/>
      </c>
      <c r="M31" s="355">
        <f>IF(M$3="","",M38)</f>
        <v/>
      </c>
      <c r="N31" s="355">
        <f>IF(N$3="","",N38)</f>
        <v/>
      </c>
      <c r="O31" s="355">
        <f>IF(O$3="","",O38)</f>
        <v/>
      </c>
      <c r="P31" s="355">
        <f>IF(P$3="","",P38)</f>
        <v/>
      </c>
      <c r="Q31" s="355">
        <f>IF(Q$3="","",Q38)</f>
        <v/>
      </c>
      <c r="R31" s="355">
        <f>IF(R$3="","",R38)</f>
        <v/>
      </c>
      <c r="S31" s="355">
        <f>IF(S$3="","",S38)</f>
        <v/>
      </c>
      <c r="T31" s="355">
        <f>IF(T$3="","",T38)</f>
        <v/>
      </c>
      <c r="U31" s="355">
        <f>IF(U$3="","",U38)</f>
        <v/>
      </c>
      <c r="V31" s="355">
        <f>IF(V$3="","",V38)</f>
        <v/>
      </c>
      <c r="W31" s="355">
        <f>IF(W$3="","",W38)</f>
        <v/>
      </c>
      <c r="X31" s="355">
        <f>IF(X$3="","",X38)</f>
        <v/>
      </c>
      <c r="Y31" s="355">
        <f>IF(Y$3="","",Y38)</f>
        <v/>
      </c>
      <c r="Z31" s="355">
        <f>IF(Z$3="","",Z38)</f>
        <v/>
      </c>
      <c r="AA31" s="355">
        <f>IF(AA$3="","",AA38)</f>
        <v/>
      </c>
      <c r="AB31" s="355">
        <f>IF(AB$3="","",AB38)</f>
        <v/>
      </c>
      <c r="AC31" s="355">
        <f>IF(AC$3="","",AC38)</f>
        <v/>
      </c>
      <c r="AD31" s="355">
        <f>IF(AD$3="","",AD38)</f>
        <v/>
      </c>
      <c r="AE31" s="355">
        <f>IF(AE$3="","",AE38)</f>
        <v/>
      </c>
      <c r="AF31" s="355">
        <f>IF(AF$3="","",AF38)</f>
        <v/>
      </c>
      <c r="AG31" s="355">
        <f>IF(AG$3="","",AG38)</f>
        <v/>
      </c>
      <c r="AH31" s="355">
        <f>IF(AH$3="","",AH38)</f>
        <v/>
      </c>
      <c r="AI31" s="355">
        <f>IF(AI$3="","",AI38)</f>
        <v/>
      </c>
      <c r="AJ31" s="355">
        <f>IF(AJ$3="","",AJ38)</f>
        <v/>
      </c>
      <c r="AK31" s="355">
        <f>IF(AK$3="","",AK38)</f>
        <v/>
      </c>
      <c r="AL31" s="355">
        <f>IF(AL$3="","",AL38)</f>
        <v/>
      </c>
      <c r="AM31" s="355">
        <f>IF(AM$3="","",AM38)</f>
        <v/>
      </c>
      <c r="AN31" s="355">
        <f>IF(AN$3="","",AN38)</f>
        <v/>
      </c>
      <c r="AO31" s="355">
        <f>IF(AO$3="","",AO38)</f>
        <v/>
      </c>
      <c r="AP31" s="355">
        <f>IF(AP$3="","",AP38)</f>
        <v/>
      </c>
      <c r="AQ31" s="355">
        <f>IF(AQ$3="","",AQ38)</f>
        <v/>
      </c>
      <c r="AR31" s="355">
        <f>IF(AR$3="","",AR38)</f>
        <v/>
      </c>
      <c r="AS31" s="355">
        <f>IF(AS$3="","",AS38)</f>
        <v/>
      </c>
      <c r="AT31" s="355">
        <f>IF(AT$3="","",AT38)</f>
        <v/>
      </c>
      <c r="AU31" s="355">
        <f>IF(AU$3="","",AU38)</f>
        <v/>
      </c>
      <c r="AV31" s="355">
        <f>IF(AV$3="","",AV38)</f>
        <v/>
      </c>
      <c r="AW31" s="355">
        <f>IF(AW$3="","",AW38)</f>
        <v/>
      </c>
      <c r="AX31" s="355">
        <f>IF(AX$3="","",AX38)</f>
        <v/>
      </c>
      <c r="AY31" s="355">
        <f>IF(AY$3="","",AY38)</f>
        <v/>
      </c>
      <c r="AZ31" s="355">
        <f>IF(AZ$3="","",AZ38)</f>
        <v/>
      </c>
      <c r="BA31" s="355">
        <f>IF(BA$3="","",BA38)</f>
        <v/>
      </c>
      <c r="BB31" s="355">
        <f>IF(BB$3="","",BB38)</f>
        <v/>
      </c>
      <c r="BC31" s="355">
        <f>IF(BC$3="","",BC38)</f>
        <v/>
      </c>
      <c r="BD31" s="355">
        <f>IF(BD$3="","",BD38)</f>
        <v/>
      </c>
      <c r="BE31" s="355">
        <f>IF(BE$3="","",BE38)</f>
        <v/>
      </c>
      <c r="BF31" s="355">
        <f>IF(BF$3="","",BF38)</f>
        <v/>
      </c>
      <c r="BG31" s="355">
        <f>IF(BG$3="","",BG38)</f>
        <v/>
      </c>
      <c r="BH31" s="355">
        <f>IF(BH$3="","",BH38)</f>
        <v/>
      </c>
      <c r="BI31" s="355">
        <f>IF(BI$3="","",BI38)</f>
        <v/>
      </c>
      <c r="BJ31" s="355">
        <f>IF(BJ$3="","",BJ38)</f>
        <v/>
      </c>
      <c r="BK31" s="355">
        <f>IF(BK$3="","",BK38)</f>
        <v/>
      </c>
      <c r="BL31" s="355">
        <f>IF(BL$3="","",BL38)</f>
        <v/>
      </c>
      <c r="BM31" s="355">
        <f>IF(BM$3="","",BM38)</f>
        <v/>
      </c>
      <c r="BN31" s="355">
        <f>IF(BN$3="","",BN38)</f>
        <v/>
      </c>
      <c r="BO31" s="355">
        <f>IF(BO$3="","",BO38)</f>
        <v/>
      </c>
      <c r="BP31" s="355">
        <f>IF(BP$3="","",BP38)</f>
        <v/>
      </c>
      <c r="BQ31" s="355">
        <f>IF(BQ$3="","",BQ38)</f>
        <v/>
      </c>
      <c r="BR31" s="355">
        <f>IF(BR$3="","",BR38)</f>
        <v/>
      </c>
      <c r="BS31" s="355">
        <f>IF(BS$3="","",BS38)</f>
        <v/>
      </c>
      <c r="BT31" s="355">
        <f>IF(BT$3="","",BT38)</f>
        <v/>
      </c>
      <c r="BU31" s="355">
        <f>IF(BU$3="","",BU38)</f>
        <v/>
      </c>
      <c r="BV31" s="355">
        <f>IF(BV$3="","",BV38)</f>
        <v/>
      </c>
      <c r="BW31" s="355">
        <f>IF(BW$3="","",BW38)</f>
        <v/>
      </c>
      <c r="BX31" s="355">
        <f>IF(BX$3="","",BX38)</f>
        <v/>
      </c>
      <c r="BY31" s="355">
        <f>IF(BY$3="","",BY38)</f>
        <v/>
      </c>
      <c r="BZ31" s="355">
        <f>IF(BZ$3="","",BZ38)</f>
        <v/>
      </c>
      <c r="CA31" s="355">
        <f>IF(CA$3="","",CA38)</f>
        <v/>
      </c>
      <c r="CB31" s="355">
        <f>IF(CB$3="","",CB38)</f>
        <v/>
      </c>
      <c r="CC31" s="355">
        <f>IF(CC$3="","",CC38)</f>
        <v/>
      </c>
      <c r="CD31" s="355">
        <f>IF(CD$3="","",CD38)</f>
        <v/>
      </c>
      <c r="CE31" s="355">
        <f>IF(CE$3="","",CE38)</f>
        <v/>
      </c>
      <c r="CF31" s="355">
        <f>IF(CF$3="","",CF38)</f>
        <v/>
      </c>
      <c r="CG31" s="355">
        <f>IF(CG$3="","",CG38)</f>
        <v/>
      </c>
      <c r="CH31" s="355">
        <f>IF(CH$3="","",CH38)</f>
        <v/>
      </c>
      <c r="CI31" s="355">
        <f>IF(CI$3="","",CI38)</f>
        <v/>
      </c>
      <c r="CJ31" s="355">
        <f>IF(CJ$3="","",CJ38)</f>
        <v/>
      </c>
      <c r="CK31" s="355">
        <f>IF(CK$3="","",CK38)</f>
        <v/>
      </c>
      <c r="CL31" s="355">
        <f>IF(CL$3="","",CL38)</f>
        <v/>
      </c>
      <c r="CM31" s="355">
        <f>IF(CM$3="","",CM38)</f>
        <v/>
      </c>
      <c r="CN31" s="355">
        <f>IF(CN$3="","",CN38)</f>
        <v/>
      </c>
      <c r="CO31" s="355">
        <f>IF(CO$3="","",CO38)</f>
        <v/>
      </c>
      <c r="CP31" s="355">
        <f>IF(CP$3="","",CP38)</f>
        <v/>
      </c>
      <c r="CQ31" s="355">
        <f>IF(CQ$3="","",CQ38)</f>
        <v/>
      </c>
      <c r="CR31" s="355">
        <f>IF(CR$3="","",CR38)</f>
        <v/>
      </c>
      <c r="CS31" s="355">
        <f>IF(CS$3="","",CS38)</f>
        <v/>
      </c>
      <c r="CT31" s="355">
        <f>IF(CT$3="","",CT38)</f>
        <v/>
      </c>
      <c r="CU31" s="355">
        <f>IF(CU$3="","",CU38)</f>
        <v/>
      </c>
      <c r="CV31" s="355">
        <f>IF(CV$3="","",CV38)</f>
        <v/>
      </c>
      <c r="CW31" s="355">
        <f>IF(CW$3="","",CW38)</f>
        <v/>
      </c>
    </row>
    <row r="32" ht="15" customHeight="1" s="180">
      <c r="A32" s="233" t="inlineStr">
        <is>
          <t>投資資産残高</t>
        </is>
      </c>
      <c r="B32" s="356">
        <f>IF(B$3="","",((SUM(入力データ!$C$90:$C$92,入力データ!$C$94)*(1+前提条件!$C$60))+B36-B39))</f>
        <v/>
      </c>
      <c r="C32" s="356">
        <f>IF(C$3="","",((SUM(入力データ!$C$90:$C$92,入力データ!$C$94)*(1+前提条件!$C$60))+C36-C39))</f>
        <v/>
      </c>
      <c r="D32" s="356">
        <f>IF(D$3="","",((SUM(入力データ!$C$90:$C$92,入力データ!$C$94)*(1+前提条件!$C$60))+D36-D39))</f>
        <v/>
      </c>
      <c r="E32" s="356">
        <f>IF(E$3="","",((SUM(入力データ!$C$90:$C$92,入力データ!$C$94)*(1+前提条件!$C$60))+E36-E39))</f>
        <v/>
      </c>
      <c r="F32" s="356">
        <f>IF(F$3="","",((SUM(入力データ!$C$90:$C$92,入力データ!$C$94)*(1+前提条件!$C$60))+F36-F39))</f>
        <v/>
      </c>
      <c r="G32" s="356">
        <f>IF(G$3="","",((SUM(入力データ!$C$90:$C$92,入力データ!$C$94)*(1+前提条件!$C$60))+G36-G39))</f>
        <v/>
      </c>
      <c r="H32" s="356">
        <f>IF(H$3="","",((SUM(入力データ!$C$90:$C$92,入力データ!$C$94)*(1+前提条件!$C$60))+H36-H39))</f>
        <v/>
      </c>
      <c r="I32" s="356">
        <f>IF(I$3="","",((SUM(入力データ!$C$90:$C$92,入力データ!$C$94)*(1+前提条件!$C$60))+I36-I39))</f>
        <v/>
      </c>
      <c r="J32" s="356">
        <f>IF(J$3="","",((SUM(入力データ!$C$90:$C$92,入力データ!$C$94)*(1+前提条件!$C$60))+J36-J39))</f>
        <v/>
      </c>
      <c r="K32" s="356">
        <f>IF(K$3="","",((SUM(入力データ!$C$90:$C$92,入力データ!$C$94)*(1+前提条件!$C$60))+K36-K39))</f>
        <v/>
      </c>
      <c r="L32" s="356">
        <f>IF(L$3="","",((SUM(入力データ!$C$90:$C$92,入力データ!$C$94)*(1+前提条件!$C$60))+L36-L39))</f>
        <v/>
      </c>
      <c r="M32" s="356">
        <f>IF(M$3="","",((SUM(入力データ!$C$90:$C$92,入力データ!$C$94)*(1+前提条件!$C$60))+M36-M39))</f>
        <v/>
      </c>
      <c r="N32" s="356">
        <f>IF(N$3="","",((SUM(入力データ!$C$90:$C$92,入力データ!$C$94)*(1+前提条件!$C$60))+N36-N39))</f>
        <v/>
      </c>
      <c r="O32" s="356">
        <f>IF(O$3="","",((SUM(入力データ!$C$90:$C$92,入力データ!$C$94)*(1+前提条件!$C$60))+O36-O39))</f>
        <v/>
      </c>
      <c r="P32" s="356">
        <f>IF(P$3="","",((SUM(入力データ!$C$90:$C$92,入力データ!$C$94)*(1+前提条件!$C$60))+P36-P39))</f>
        <v/>
      </c>
      <c r="Q32" s="356">
        <f>IF(Q$3="","",((SUM(入力データ!$C$90:$C$92,入力データ!$C$94)*(1+前提条件!$C$60))+Q36-Q39))</f>
        <v/>
      </c>
      <c r="R32" s="356">
        <f>IF(R$3="","",((SUM(入力データ!$C$90:$C$92,入力データ!$C$94)*(1+前提条件!$C$60))+R36-R39))</f>
        <v/>
      </c>
      <c r="S32" s="356">
        <f>IF(S$3="","",((SUM(入力データ!$C$90:$C$92,入力データ!$C$94)*(1+前提条件!$C$60))+S36-S39))</f>
        <v/>
      </c>
      <c r="T32" s="356">
        <f>IF(T$3="","",((SUM(入力データ!$C$90:$C$92,入力データ!$C$94)*(1+前提条件!$C$60))+T36-T39))</f>
        <v/>
      </c>
      <c r="U32" s="356">
        <f>IF(U$3="","",((SUM(入力データ!$C$90:$C$92,入力データ!$C$94)*(1+前提条件!$C$60))+U36-U39))</f>
        <v/>
      </c>
      <c r="V32" s="356">
        <f>IF(V$3="","",((SUM(入力データ!$C$90:$C$92,入力データ!$C$94)*(1+前提条件!$C$60))+V36-V39))</f>
        <v/>
      </c>
      <c r="W32" s="356">
        <f>IF(W$3="","",((SUM(入力データ!$C$90:$C$92,入力データ!$C$94)*(1+前提条件!$C$60))+W36-W39))</f>
        <v/>
      </c>
      <c r="X32" s="356">
        <f>IF(X$3="","",((SUM(入力データ!$C$90:$C$92,入力データ!$C$94)*(1+前提条件!$C$60))+X36-X39))</f>
        <v/>
      </c>
      <c r="Y32" s="356">
        <f>IF(Y$3="","",((SUM(入力データ!$C$90:$C$92,入力データ!$C$94)*(1+前提条件!$C$60))+Y36-Y39))</f>
        <v/>
      </c>
      <c r="Z32" s="356">
        <f>IF(Z$3="","",((SUM(入力データ!$C$90:$C$92,入力データ!$C$94)*(1+前提条件!$C$60))+Z36-Z39))</f>
        <v/>
      </c>
      <c r="AA32" s="356">
        <f>IF(AA$3="","",((SUM(入力データ!$C$90:$C$92,入力データ!$C$94)*(1+前提条件!$C$60))+AA36-AA39))</f>
        <v/>
      </c>
      <c r="AB32" s="356">
        <f>IF(AB$3="","",((SUM(入力データ!$C$90:$C$92,入力データ!$C$94)*(1+前提条件!$C$60))+AB36-AB39))</f>
        <v/>
      </c>
      <c r="AC32" s="356">
        <f>IF(AC$3="","",((SUM(入力データ!$C$90:$C$92,入力データ!$C$94)*(1+前提条件!$C$60))+AC36-AC39))</f>
        <v/>
      </c>
      <c r="AD32" s="356">
        <f>IF(AD$3="","",((SUM(入力データ!$C$90:$C$92,入力データ!$C$94)*(1+前提条件!$C$60))+AD36-AD39))</f>
        <v/>
      </c>
      <c r="AE32" s="356">
        <f>IF(AE$3="","",((SUM(入力データ!$C$90:$C$92,入力データ!$C$94)*(1+前提条件!$C$60))+AE36-AE39))</f>
        <v/>
      </c>
      <c r="AF32" s="356">
        <f>IF(AF$3="","",((SUM(入力データ!$C$90:$C$92,入力データ!$C$94)*(1+前提条件!$C$60))+AF36-AF39))</f>
        <v/>
      </c>
      <c r="AG32" s="356">
        <f>IF(AG$3="","",((SUM(入力データ!$C$90:$C$92,入力データ!$C$94)*(1+前提条件!$C$60))+AG36-AG39))</f>
        <v/>
      </c>
      <c r="AH32" s="356">
        <f>IF(AH$3="","",((SUM(入力データ!$C$90:$C$92,入力データ!$C$94)*(1+前提条件!$C$60))+AH36-AH39))</f>
        <v/>
      </c>
      <c r="AI32" s="356">
        <f>IF(AI$3="","",((SUM(入力データ!$C$90:$C$92,入力データ!$C$94)*(1+前提条件!$C$60))+AI36-AI39))</f>
        <v/>
      </c>
      <c r="AJ32" s="356">
        <f>IF(AJ$3="","",((SUM(入力データ!$C$90:$C$92,入力データ!$C$94)*(1+前提条件!$C$60))+AJ36-AJ39))</f>
        <v/>
      </c>
      <c r="AK32" s="356">
        <f>IF(AK$3="","",((SUM(入力データ!$C$90:$C$92,入力データ!$C$94)*(1+前提条件!$C$60))+AK36-AK39))</f>
        <v/>
      </c>
      <c r="AL32" s="356">
        <f>IF(AL$3="","",((SUM(入力データ!$C$90:$C$92,入力データ!$C$94)*(1+前提条件!$C$60))+AL36-AL39))</f>
        <v/>
      </c>
      <c r="AM32" s="356">
        <f>IF(AM$3="","",((SUM(入力データ!$C$90:$C$92,入力データ!$C$94)*(1+前提条件!$C$60))+AM36-AM39))</f>
        <v/>
      </c>
      <c r="AN32" s="356">
        <f>IF(AN$3="","",((SUM(入力データ!$C$90:$C$92,入力データ!$C$94)*(1+前提条件!$C$60))+AN36-AN39))</f>
        <v/>
      </c>
      <c r="AO32" s="356">
        <f>IF(AO$3="","",((SUM(入力データ!$C$90:$C$92,入力データ!$C$94)*(1+前提条件!$C$60))+AO36-AO39))</f>
        <v/>
      </c>
      <c r="AP32" s="356">
        <f>IF(AP$3="","",((SUM(入力データ!$C$90:$C$92,入力データ!$C$94)*(1+前提条件!$C$60))+AP36-AP39))</f>
        <v/>
      </c>
      <c r="AQ32" s="356">
        <f>IF(AQ$3="","",((SUM(入力データ!$C$90:$C$92,入力データ!$C$94)*(1+前提条件!$C$60))+AQ36-AQ39))</f>
        <v/>
      </c>
      <c r="AR32" s="356">
        <f>IF(AR$3="","",((SUM(入力データ!$C$90:$C$92,入力データ!$C$94)*(1+前提条件!$C$60))+AR36-AR39))</f>
        <v/>
      </c>
      <c r="AS32" s="356">
        <f>IF(AS$3="","",((SUM(入力データ!$C$90:$C$92,入力データ!$C$94)*(1+前提条件!$C$60))+AS36-AS39))</f>
        <v/>
      </c>
      <c r="AT32" s="356">
        <f>IF(AT$3="","",((SUM(入力データ!$C$90:$C$92,入力データ!$C$94)*(1+前提条件!$C$60))+AT36-AT39))</f>
        <v/>
      </c>
      <c r="AU32" s="356">
        <f>IF(AU$3="","",((SUM(入力データ!$C$90:$C$92,入力データ!$C$94)*(1+前提条件!$C$60))+AU36-AU39))</f>
        <v/>
      </c>
      <c r="AV32" s="356">
        <f>IF(AV$3="","",((SUM(入力データ!$C$90:$C$92,入力データ!$C$94)*(1+前提条件!$C$60))+AV36-AV39))</f>
        <v/>
      </c>
      <c r="AW32" s="356">
        <f>IF(AW$3="","",((SUM(入力データ!$C$90:$C$92,入力データ!$C$94)*(1+前提条件!$C$60))+AW36-AW39))</f>
        <v/>
      </c>
      <c r="AX32" s="356">
        <f>IF(AX$3="","",((SUM(入力データ!$C$90:$C$92,入力データ!$C$94)*(1+前提条件!$C$60))+AX36-AX39))</f>
        <v/>
      </c>
      <c r="AY32" s="356">
        <f>IF(AY$3="","",((SUM(入力データ!$C$90:$C$92,入力データ!$C$94)*(1+前提条件!$C$60))+AY36-AY39))</f>
        <v/>
      </c>
      <c r="AZ32" s="356">
        <f>IF(AZ$3="","",((SUM(入力データ!$C$90:$C$92,入力データ!$C$94)*(1+前提条件!$C$60))+AZ36-AZ39))</f>
        <v/>
      </c>
      <c r="BA32" s="356">
        <f>IF(BA$3="","",((SUM(入力データ!$C$90:$C$92,入力データ!$C$94)*(1+前提条件!$C$60))+BA36-BA39))</f>
        <v/>
      </c>
      <c r="BB32" s="356">
        <f>IF(BB$3="","",((SUM(入力データ!$C$90:$C$92,入力データ!$C$94)*(1+前提条件!$C$60))+BB36-BB39))</f>
        <v/>
      </c>
      <c r="BC32" s="356">
        <f>IF(BC$3="","",((SUM(入力データ!$C$90:$C$92,入力データ!$C$94)*(1+前提条件!$C$60))+BC36-BC39))</f>
        <v/>
      </c>
      <c r="BD32" s="356">
        <f>IF(BD$3="","",((SUM(入力データ!$C$90:$C$92,入力データ!$C$94)*(1+前提条件!$C$60))+BD36-BD39))</f>
        <v/>
      </c>
      <c r="BE32" s="356">
        <f>IF(BE$3="","",((SUM(入力データ!$C$90:$C$92,入力データ!$C$94)*(1+前提条件!$C$60))+BE36-BE39))</f>
        <v/>
      </c>
      <c r="BF32" s="356">
        <f>IF(BF$3="","",((SUM(入力データ!$C$90:$C$92,入力データ!$C$94)*(1+前提条件!$C$60))+BF36-BF39))</f>
        <v/>
      </c>
      <c r="BG32" s="356">
        <f>IF(BG$3="","",((SUM(入力データ!$C$90:$C$92,入力データ!$C$94)*(1+前提条件!$C$60))+BG36-BG39))</f>
        <v/>
      </c>
      <c r="BH32" s="356">
        <f>IF(BH$3="","",((SUM(入力データ!$C$90:$C$92,入力データ!$C$94)*(1+前提条件!$C$60))+BH36-BH39))</f>
        <v/>
      </c>
      <c r="BI32" s="356">
        <f>IF(BI$3="","",((SUM(入力データ!$C$90:$C$92,入力データ!$C$94)*(1+前提条件!$C$60))+BI36-BI39))</f>
        <v/>
      </c>
      <c r="BJ32" s="356">
        <f>IF(BJ$3="","",((SUM(入力データ!$C$90:$C$92,入力データ!$C$94)*(1+前提条件!$C$60))+BJ36-BJ39))</f>
        <v/>
      </c>
      <c r="BK32" s="356">
        <f>IF(BK$3="","",((SUM(入力データ!$C$90:$C$92,入力データ!$C$94)*(1+前提条件!$C$60))+BK36-BK39))</f>
        <v/>
      </c>
      <c r="BL32" s="356">
        <f>IF(BL$3="","",((SUM(入力データ!$C$90:$C$92,入力データ!$C$94)*(1+前提条件!$C$60))+BL36-BL39))</f>
        <v/>
      </c>
      <c r="BM32" s="356">
        <f>IF(BM$3="","",((SUM(入力データ!$C$90:$C$92,入力データ!$C$94)*(1+前提条件!$C$60))+BM36-BM39))</f>
        <v/>
      </c>
      <c r="BN32" s="356">
        <f>IF(BN$3="","",((SUM(入力データ!$C$90:$C$92,入力データ!$C$94)*(1+前提条件!$C$60))+BN36-BN39))</f>
        <v/>
      </c>
      <c r="BO32" s="356">
        <f>IF(BO$3="","",((SUM(入力データ!$C$90:$C$92,入力データ!$C$94)*(1+前提条件!$C$60))+BO36-BO39))</f>
        <v/>
      </c>
      <c r="BP32" s="356">
        <f>IF(BP$3="","",((SUM(入力データ!$C$90:$C$92,入力データ!$C$94)*(1+前提条件!$C$60))+BP36-BP39))</f>
        <v/>
      </c>
      <c r="BQ32" s="356">
        <f>IF(BQ$3="","",((SUM(入力データ!$C$90:$C$92,入力データ!$C$94)*(1+前提条件!$C$60))+BQ36-BQ39))</f>
        <v/>
      </c>
      <c r="BR32" s="356">
        <f>IF(BR$3="","",((SUM(入力データ!$C$90:$C$92,入力データ!$C$94)*(1+前提条件!$C$60))+BR36-BR39))</f>
        <v/>
      </c>
      <c r="BS32" s="356">
        <f>IF(BS$3="","",((SUM(入力データ!$C$90:$C$92,入力データ!$C$94)*(1+前提条件!$C$60))+BS36-BS39))</f>
        <v/>
      </c>
      <c r="BT32" s="356">
        <f>IF(BT$3="","",((SUM(入力データ!$C$90:$C$92,入力データ!$C$94)*(1+前提条件!$C$60))+BT36-BT39))</f>
        <v/>
      </c>
      <c r="BU32" s="356">
        <f>IF(BU$3="","",((SUM(入力データ!$C$90:$C$92,入力データ!$C$94)*(1+前提条件!$C$60))+BU36-BU39))</f>
        <v/>
      </c>
      <c r="BV32" s="356">
        <f>IF(BV$3="","",((SUM(入力データ!$C$90:$C$92,入力データ!$C$94)*(1+前提条件!$C$60))+BV36-BV39))</f>
        <v/>
      </c>
      <c r="BW32" s="356">
        <f>IF(BW$3="","",((SUM(入力データ!$C$90:$C$92,入力データ!$C$94)*(1+前提条件!$C$60))+BW36-BW39))</f>
        <v/>
      </c>
      <c r="BX32" s="356">
        <f>IF(BX$3="","",((SUM(入力データ!$C$90:$C$92,入力データ!$C$94)*(1+前提条件!$C$60))+BX36-BX39))</f>
        <v/>
      </c>
      <c r="BY32" s="356">
        <f>IF(BY$3="","",((SUM(入力データ!$C$90:$C$92,入力データ!$C$94)*(1+前提条件!$C$60))+BY36-BY39))</f>
        <v/>
      </c>
      <c r="BZ32" s="356">
        <f>IF(BZ$3="","",((SUM(入力データ!$C$90:$C$92,入力データ!$C$94)*(1+前提条件!$C$60))+BZ36-BZ39))</f>
        <v/>
      </c>
      <c r="CA32" s="356">
        <f>IF(CA$3="","",((SUM(入力データ!$C$90:$C$92,入力データ!$C$94)*(1+前提条件!$C$60))+CA36-CA39))</f>
        <v/>
      </c>
      <c r="CB32" s="356">
        <f>IF(CB$3="","",((SUM(入力データ!$C$90:$C$92,入力データ!$C$94)*(1+前提条件!$C$60))+CB36-CB39))</f>
        <v/>
      </c>
      <c r="CC32" s="356">
        <f>IF(CC$3="","",((SUM(入力データ!$C$90:$C$92,入力データ!$C$94)*(1+前提条件!$C$60))+CC36-CC39))</f>
        <v/>
      </c>
      <c r="CD32" s="356">
        <f>IF(CD$3="","",((SUM(入力データ!$C$90:$C$92,入力データ!$C$94)*(1+前提条件!$C$60))+CD36-CD39))</f>
        <v/>
      </c>
      <c r="CE32" s="356">
        <f>IF(CE$3="","",((SUM(入力データ!$C$90:$C$92,入力データ!$C$94)*(1+前提条件!$C$60))+CE36-CE39))</f>
        <v/>
      </c>
      <c r="CF32" s="356">
        <f>IF(CF$3="","",((SUM(入力データ!$C$90:$C$92,入力データ!$C$94)*(1+前提条件!$C$60))+CF36-CF39))</f>
        <v/>
      </c>
      <c r="CG32" s="356">
        <f>IF(CG$3="","",((SUM(入力データ!$C$90:$C$92,入力データ!$C$94)*(1+前提条件!$C$60))+CG36-CG39))</f>
        <v/>
      </c>
      <c r="CH32" s="356">
        <f>IF(CH$3="","",((SUM(入力データ!$C$90:$C$92,入力データ!$C$94)*(1+前提条件!$C$60))+CH36-CH39))</f>
        <v/>
      </c>
      <c r="CI32" s="356">
        <f>IF(CI$3="","",((SUM(入力データ!$C$90:$C$92,入力データ!$C$94)*(1+前提条件!$C$60))+CI36-CI39))</f>
        <v/>
      </c>
      <c r="CJ32" s="356">
        <f>IF(CJ$3="","",((SUM(入力データ!$C$90:$C$92,入力データ!$C$94)*(1+前提条件!$C$60))+CJ36-CJ39))</f>
        <v/>
      </c>
      <c r="CK32" s="356">
        <f>IF(CK$3="","",((SUM(入力データ!$C$90:$C$92,入力データ!$C$94)*(1+前提条件!$C$60))+CK36-CK39))</f>
        <v/>
      </c>
      <c r="CL32" s="356">
        <f>IF(CL$3="","",((SUM(入力データ!$C$90:$C$92,入力データ!$C$94)*(1+前提条件!$C$60))+CL36-CL39))</f>
        <v/>
      </c>
      <c r="CM32" s="356">
        <f>IF(CM$3="","",((SUM(入力データ!$C$90:$C$92,入力データ!$C$94)*(1+前提条件!$C$60))+CM36-CM39))</f>
        <v/>
      </c>
      <c r="CN32" s="356">
        <f>IF(CN$3="","",((SUM(入力データ!$C$90:$C$92,入力データ!$C$94)*(1+前提条件!$C$60))+CN36-CN39))</f>
        <v/>
      </c>
      <c r="CO32" s="356">
        <f>IF(CO$3="","",((SUM(入力データ!$C$90:$C$92,入力データ!$C$94)*(1+前提条件!$C$60))+CO36-CO39))</f>
        <v/>
      </c>
      <c r="CP32" s="356">
        <f>IF(CP$3="","",((SUM(入力データ!$C$90:$C$92,入力データ!$C$94)*(1+前提条件!$C$60))+CP36-CP39))</f>
        <v/>
      </c>
      <c r="CQ32" s="356">
        <f>IF(CQ$3="","",((SUM(入力データ!$C$90:$C$92,入力データ!$C$94)*(1+前提条件!$C$60))+CQ36-CQ39))</f>
        <v/>
      </c>
      <c r="CR32" s="356">
        <f>IF(CR$3="","",((SUM(入力データ!$C$90:$C$92,入力データ!$C$94)*(1+前提条件!$C$60))+CR36-CR39))</f>
        <v/>
      </c>
      <c r="CS32" s="356">
        <f>IF(CS$3="","",((SUM(入力データ!$C$90:$C$92,入力データ!$C$94)*(1+前提条件!$C$60))+CS36-CS39))</f>
        <v/>
      </c>
      <c r="CT32" s="356">
        <f>IF(CT$3="","",((SUM(入力データ!$C$90:$C$92,入力データ!$C$94)*(1+前提条件!$C$60))+CT36-CT39))</f>
        <v/>
      </c>
      <c r="CU32" s="356">
        <f>IF(CU$3="","",((SUM(入力データ!$C$90:$C$92,入力データ!$C$94)*(1+前提条件!$C$60))+CU36-CU39))</f>
        <v/>
      </c>
      <c r="CV32" s="356">
        <f>IF(CV$3="","",((SUM(入力データ!$C$90:$C$92,入力データ!$C$94)*(1+前提条件!$C$60))+CV36-CV39))</f>
        <v/>
      </c>
      <c r="CW32" s="356">
        <f>IF(CW$3="","",((SUM(入力データ!$C$90:$C$92,入力データ!$C$94)*(1+前提条件!$C$60))+CW36-CW39))</f>
        <v/>
      </c>
    </row>
    <row r="33" ht="15" customHeight="1" s="180">
      <c r="A33" s="233" t="inlineStr">
        <is>
          <t>解約返戻金残高</t>
        </is>
      </c>
      <c r="B33" s="356">
        <f>IF(B$3="","",((入力データ!$C$93*(1+前提条件!$C$61))+B37-B40))</f>
        <v/>
      </c>
      <c r="C33" s="356">
        <f>IF(C$3="","",((入力データ!$C$93*(1+前提条件!$C$61))+C37-C40))</f>
        <v/>
      </c>
      <c r="D33" s="356">
        <f>IF(D$3="","",((入力データ!$C$93*(1+前提条件!$C$61))+D37-D40))</f>
        <v/>
      </c>
      <c r="E33" s="356">
        <f>IF(E$3="","",((入力データ!$C$93*(1+前提条件!$C$61))+E37-E40))</f>
        <v/>
      </c>
      <c r="F33" s="356">
        <f>IF(F$3="","",((入力データ!$C$93*(1+前提条件!$C$61))+F37-F40))</f>
        <v/>
      </c>
      <c r="G33" s="356">
        <f>IF(G$3="","",((入力データ!$C$93*(1+前提条件!$C$61))+G37-G40))</f>
        <v/>
      </c>
      <c r="H33" s="356">
        <f>IF(H$3="","",((入力データ!$C$93*(1+前提条件!$C$61))+H37-H40))</f>
        <v/>
      </c>
      <c r="I33" s="356">
        <f>IF(I$3="","",((入力データ!$C$93*(1+前提条件!$C$61))+I37-I40))</f>
        <v/>
      </c>
      <c r="J33" s="356">
        <f>IF(J$3="","",((入力データ!$C$93*(1+前提条件!$C$61))+J37-J40))</f>
        <v/>
      </c>
      <c r="K33" s="356">
        <f>IF(K$3="","",((入力データ!$C$93*(1+前提条件!$C$61))+K37-K40))</f>
        <v/>
      </c>
      <c r="L33" s="356">
        <f>IF(L$3="","",((入力データ!$C$93*(1+前提条件!$C$61))+L37-L40))</f>
        <v/>
      </c>
      <c r="M33" s="356">
        <f>IF(M$3="","",((入力データ!$C$93*(1+前提条件!$C$61))+M37-M40))</f>
        <v/>
      </c>
      <c r="N33" s="356">
        <f>IF(N$3="","",((入力データ!$C$93*(1+前提条件!$C$61))+N37-N40))</f>
        <v/>
      </c>
      <c r="O33" s="356">
        <f>IF(O$3="","",((入力データ!$C$93*(1+前提条件!$C$61))+O37-O40))</f>
        <v/>
      </c>
      <c r="P33" s="356">
        <f>IF(P$3="","",((入力データ!$C$93*(1+前提条件!$C$61))+P37-P40))</f>
        <v/>
      </c>
      <c r="Q33" s="356">
        <f>IF(Q$3="","",((入力データ!$C$93*(1+前提条件!$C$61))+Q37-Q40))</f>
        <v/>
      </c>
      <c r="R33" s="356">
        <f>IF(R$3="","",((入力データ!$C$93*(1+前提条件!$C$61))+R37-R40))</f>
        <v/>
      </c>
      <c r="S33" s="356">
        <f>IF(S$3="","",((入力データ!$C$93*(1+前提条件!$C$61))+S37-S40))</f>
        <v/>
      </c>
      <c r="T33" s="356">
        <f>IF(T$3="","",((入力データ!$C$93*(1+前提条件!$C$61))+T37-T40))</f>
        <v/>
      </c>
      <c r="U33" s="356">
        <f>IF(U$3="","",((入力データ!$C$93*(1+前提条件!$C$61))+U37-U40))</f>
        <v/>
      </c>
      <c r="V33" s="356">
        <f>IF(V$3="","",((入力データ!$C$93*(1+前提条件!$C$61))+V37-V40))</f>
        <v/>
      </c>
      <c r="W33" s="356">
        <f>IF(W$3="","",((入力データ!$C$93*(1+前提条件!$C$61))+W37-W40))</f>
        <v/>
      </c>
      <c r="X33" s="356">
        <f>IF(X$3="","",((入力データ!$C$93*(1+前提条件!$C$61))+X37-X40))</f>
        <v/>
      </c>
      <c r="Y33" s="356">
        <f>IF(Y$3="","",((入力データ!$C$93*(1+前提条件!$C$61))+Y37-Y40))</f>
        <v/>
      </c>
      <c r="Z33" s="356">
        <f>IF(Z$3="","",((入力データ!$C$93*(1+前提条件!$C$61))+Z37-Z40))</f>
        <v/>
      </c>
      <c r="AA33" s="356">
        <f>IF(AA$3="","",((入力データ!$C$93*(1+前提条件!$C$61))+AA37-AA40))</f>
        <v/>
      </c>
      <c r="AB33" s="356">
        <f>IF(AB$3="","",((入力データ!$C$93*(1+前提条件!$C$61))+AB37-AB40))</f>
        <v/>
      </c>
      <c r="AC33" s="356">
        <f>IF(AC$3="","",((入力データ!$C$93*(1+前提条件!$C$61))+AC37-AC40))</f>
        <v/>
      </c>
      <c r="AD33" s="356">
        <f>IF(AD$3="","",((入力データ!$C$93*(1+前提条件!$C$61))+AD37-AD40))</f>
        <v/>
      </c>
      <c r="AE33" s="356">
        <f>IF(AE$3="","",((入力データ!$C$93*(1+前提条件!$C$61))+AE37-AE40))</f>
        <v/>
      </c>
      <c r="AF33" s="356">
        <f>IF(AF$3="","",((入力データ!$C$93*(1+前提条件!$C$61))+AF37-AF40))</f>
        <v/>
      </c>
      <c r="AG33" s="356">
        <f>IF(AG$3="","",((入力データ!$C$93*(1+前提条件!$C$61))+AG37-AG40))</f>
        <v/>
      </c>
      <c r="AH33" s="356">
        <f>IF(AH$3="","",((入力データ!$C$93*(1+前提条件!$C$61))+AH37-AH40))</f>
        <v/>
      </c>
      <c r="AI33" s="356">
        <f>IF(AI$3="","",((入力データ!$C$93*(1+前提条件!$C$61))+AI37-AI40))</f>
        <v/>
      </c>
      <c r="AJ33" s="356">
        <f>IF(AJ$3="","",((入力データ!$C$93*(1+前提条件!$C$61))+AJ37-AJ40))</f>
        <v/>
      </c>
      <c r="AK33" s="356">
        <f>IF(AK$3="","",((入力データ!$C$93*(1+前提条件!$C$61))+AK37-AK40))</f>
        <v/>
      </c>
      <c r="AL33" s="356">
        <f>IF(AL$3="","",((入力データ!$C$93*(1+前提条件!$C$61))+AL37-AL40))</f>
        <v/>
      </c>
      <c r="AM33" s="356">
        <f>IF(AM$3="","",((入力データ!$C$93*(1+前提条件!$C$61))+AM37-AM40))</f>
        <v/>
      </c>
      <c r="AN33" s="356">
        <f>IF(AN$3="","",((入力データ!$C$93*(1+前提条件!$C$61))+AN37-AN40))</f>
        <v/>
      </c>
      <c r="AO33" s="356">
        <f>IF(AO$3="","",((入力データ!$C$93*(1+前提条件!$C$61))+AO37-AO40))</f>
        <v/>
      </c>
      <c r="AP33" s="356">
        <f>IF(AP$3="","",((入力データ!$C$93*(1+前提条件!$C$61))+AP37-AP40))</f>
        <v/>
      </c>
      <c r="AQ33" s="356">
        <f>IF(AQ$3="","",((入力データ!$C$93*(1+前提条件!$C$61))+AQ37-AQ40))</f>
        <v/>
      </c>
      <c r="AR33" s="356">
        <f>IF(AR$3="","",((入力データ!$C$93*(1+前提条件!$C$61))+AR37-AR40))</f>
        <v/>
      </c>
      <c r="AS33" s="356">
        <f>IF(AS$3="","",((入力データ!$C$93*(1+前提条件!$C$61))+AS37-AS40))</f>
        <v/>
      </c>
      <c r="AT33" s="356">
        <f>IF(AT$3="","",((入力データ!$C$93*(1+前提条件!$C$61))+AT37-AT40))</f>
        <v/>
      </c>
      <c r="AU33" s="356">
        <f>IF(AU$3="","",((入力データ!$C$93*(1+前提条件!$C$61))+AU37-AU40))</f>
        <v/>
      </c>
      <c r="AV33" s="356">
        <f>IF(AV$3="","",((入力データ!$C$93*(1+前提条件!$C$61))+AV37-AV40))</f>
        <v/>
      </c>
      <c r="AW33" s="356">
        <f>IF(AW$3="","",((入力データ!$C$93*(1+前提条件!$C$61))+AW37-AW40))</f>
        <v/>
      </c>
      <c r="AX33" s="356">
        <f>IF(AX$3="","",((入力データ!$C$93*(1+前提条件!$C$61))+AX37-AX40))</f>
        <v/>
      </c>
      <c r="AY33" s="356">
        <f>IF(AY$3="","",((入力データ!$C$93*(1+前提条件!$C$61))+AY37-AY40))</f>
        <v/>
      </c>
      <c r="AZ33" s="356">
        <f>IF(AZ$3="","",((入力データ!$C$93*(1+前提条件!$C$61))+AZ37-AZ40))</f>
        <v/>
      </c>
      <c r="BA33" s="356">
        <f>IF(BA$3="","",((入力データ!$C$93*(1+前提条件!$C$61))+BA37-BA40))</f>
        <v/>
      </c>
      <c r="BB33" s="356">
        <f>IF(BB$3="","",((入力データ!$C$93*(1+前提条件!$C$61))+BB37-BB40))</f>
        <v/>
      </c>
      <c r="BC33" s="356">
        <f>IF(BC$3="","",((入力データ!$C$93*(1+前提条件!$C$61))+BC37-BC40))</f>
        <v/>
      </c>
      <c r="BD33" s="356">
        <f>IF(BD$3="","",((入力データ!$C$93*(1+前提条件!$C$61))+BD37-BD40))</f>
        <v/>
      </c>
      <c r="BE33" s="356">
        <f>IF(BE$3="","",((入力データ!$C$93*(1+前提条件!$C$61))+BE37-BE40))</f>
        <v/>
      </c>
      <c r="BF33" s="356">
        <f>IF(BF$3="","",((入力データ!$C$93*(1+前提条件!$C$61))+BF37-BF40))</f>
        <v/>
      </c>
      <c r="BG33" s="356">
        <f>IF(BG$3="","",((入力データ!$C$93*(1+前提条件!$C$61))+BG37-BG40))</f>
        <v/>
      </c>
      <c r="BH33" s="356">
        <f>IF(BH$3="","",((入力データ!$C$93*(1+前提条件!$C$61))+BH37-BH40))</f>
        <v/>
      </c>
      <c r="BI33" s="356">
        <f>IF(BI$3="","",((入力データ!$C$93*(1+前提条件!$C$61))+BI37-BI40))</f>
        <v/>
      </c>
      <c r="BJ33" s="356">
        <f>IF(BJ$3="","",((入力データ!$C$93*(1+前提条件!$C$61))+BJ37-BJ40))</f>
        <v/>
      </c>
      <c r="BK33" s="356">
        <f>IF(BK$3="","",((入力データ!$C$93*(1+前提条件!$C$61))+BK37-BK40))</f>
        <v/>
      </c>
      <c r="BL33" s="356">
        <f>IF(BL$3="","",((入力データ!$C$93*(1+前提条件!$C$61))+BL37-BL40))</f>
        <v/>
      </c>
      <c r="BM33" s="356">
        <f>IF(BM$3="","",((入力データ!$C$93*(1+前提条件!$C$61))+BM37-BM40))</f>
        <v/>
      </c>
      <c r="BN33" s="356">
        <f>IF(BN$3="","",((入力データ!$C$93*(1+前提条件!$C$61))+BN37-BN40))</f>
        <v/>
      </c>
      <c r="BO33" s="356">
        <f>IF(BO$3="","",((入力データ!$C$93*(1+前提条件!$C$61))+BO37-BO40))</f>
        <v/>
      </c>
      <c r="BP33" s="356">
        <f>IF(BP$3="","",((入力データ!$C$93*(1+前提条件!$C$61))+BP37-BP40))</f>
        <v/>
      </c>
      <c r="BQ33" s="356">
        <f>IF(BQ$3="","",((入力データ!$C$93*(1+前提条件!$C$61))+BQ37-BQ40))</f>
        <v/>
      </c>
      <c r="BR33" s="356">
        <f>IF(BR$3="","",((入力データ!$C$93*(1+前提条件!$C$61))+BR37-BR40))</f>
        <v/>
      </c>
      <c r="BS33" s="356">
        <f>IF(BS$3="","",((入力データ!$C$93*(1+前提条件!$C$61))+BS37-BS40))</f>
        <v/>
      </c>
      <c r="BT33" s="356">
        <f>IF(BT$3="","",((入力データ!$C$93*(1+前提条件!$C$61))+BT37-BT40))</f>
        <v/>
      </c>
      <c r="BU33" s="356">
        <f>IF(BU$3="","",((入力データ!$C$93*(1+前提条件!$C$61))+BU37-BU40))</f>
        <v/>
      </c>
      <c r="BV33" s="356">
        <f>IF(BV$3="","",((入力データ!$C$93*(1+前提条件!$C$61))+BV37-BV40))</f>
        <v/>
      </c>
      <c r="BW33" s="356">
        <f>IF(BW$3="","",((入力データ!$C$93*(1+前提条件!$C$61))+BW37-BW40))</f>
        <v/>
      </c>
      <c r="BX33" s="356">
        <f>IF(BX$3="","",((入力データ!$C$93*(1+前提条件!$C$61))+BX37-BX40))</f>
        <v/>
      </c>
      <c r="BY33" s="356">
        <f>IF(BY$3="","",((入力データ!$C$93*(1+前提条件!$C$61))+BY37-BY40))</f>
        <v/>
      </c>
      <c r="BZ33" s="356">
        <f>IF(BZ$3="","",((入力データ!$C$93*(1+前提条件!$C$61))+BZ37-BZ40))</f>
        <v/>
      </c>
      <c r="CA33" s="356">
        <f>IF(CA$3="","",((入力データ!$C$93*(1+前提条件!$C$61))+CA37-CA40))</f>
        <v/>
      </c>
      <c r="CB33" s="356">
        <f>IF(CB$3="","",((入力データ!$C$93*(1+前提条件!$C$61))+CB37-CB40))</f>
        <v/>
      </c>
      <c r="CC33" s="356">
        <f>IF(CC$3="","",((入力データ!$C$93*(1+前提条件!$C$61))+CC37-CC40))</f>
        <v/>
      </c>
      <c r="CD33" s="356">
        <f>IF(CD$3="","",((入力データ!$C$93*(1+前提条件!$C$61))+CD37-CD40))</f>
        <v/>
      </c>
      <c r="CE33" s="356">
        <f>IF(CE$3="","",((入力データ!$C$93*(1+前提条件!$C$61))+CE37-CE40))</f>
        <v/>
      </c>
      <c r="CF33" s="356">
        <f>IF(CF$3="","",((入力データ!$C$93*(1+前提条件!$C$61))+CF37-CF40))</f>
        <v/>
      </c>
      <c r="CG33" s="356">
        <f>IF(CG$3="","",((入力データ!$C$93*(1+前提条件!$C$61))+CG37-CG40))</f>
        <v/>
      </c>
      <c r="CH33" s="356">
        <f>IF(CH$3="","",((入力データ!$C$93*(1+前提条件!$C$61))+CH37-CH40))</f>
        <v/>
      </c>
      <c r="CI33" s="356">
        <f>IF(CI$3="","",((入力データ!$C$93*(1+前提条件!$C$61))+CI37-CI40))</f>
        <v/>
      </c>
      <c r="CJ33" s="356">
        <f>IF(CJ$3="","",((入力データ!$C$93*(1+前提条件!$C$61))+CJ37-CJ40))</f>
        <v/>
      </c>
      <c r="CK33" s="356">
        <f>IF(CK$3="","",((入力データ!$C$93*(1+前提条件!$C$61))+CK37-CK40))</f>
        <v/>
      </c>
      <c r="CL33" s="356">
        <f>IF(CL$3="","",((入力データ!$C$93*(1+前提条件!$C$61))+CL37-CL40))</f>
        <v/>
      </c>
      <c r="CM33" s="356">
        <f>IF(CM$3="","",((入力データ!$C$93*(1+前提条件!$C$61))+CM37-CM40))</f>
        <v/>
      </c>
      <c r="CN33" s="356">
        <f>IF(CN$3="","",((入力データ!$C$93*(1+前提条件!$C$61))+CN37-CN40))</f>
        <v/>
      </c>
      <c r="CO33" s="356">
        <f>IF(CO$3="","",((入力データ!$C$93*(1+前提条件!$C$61))+CO37-CO40))</f>
        <v/>
      </c>
      <c r="CP33" s="356">
        <f>IF(CP$3="","",((入力データ!$C$93*(1+前提条件!$C$61))+CP37-CP40))</f>
        <v/>
      </c>
      <c r="CQ33" s="356">
        <f>IF(CQ$3="","",((入力データ!$C$93*(1+前提条件!$C$61))+CQ37-CQ40))</f>
        <v/>
      </c>
      <c r="CR33" s="356">
        <f>IF(CR$3="","",((入力データ!$C$93*(1+前提条件!$C$61))+CR37-CR40))</f>
        <v/>
      </c>
      <c r="CS33" s="356">
        <f>IF(CS$3="","",((入力データ!$C$93*(1+前提条件!$C$61))+CS37-CS40))</f>
        <v/>
      </c>
      <c r="CT33" s="356">
        <f>IF(CT$3="","",((入力データ!$C$93*(1+前提条件!$C$61))+CT37-CT40))</f>
        <v/>
      </c>
      <c r="CU33" s="356">
        <f>IF(CU$3="","",((入力データ!$C$93*(1+前提条件!$C$61))+CU37-CU40))</f>
        <v/>
      </c>
      <c r="CV33" s="356">
        <f>IF(CV$3="","",((入力データ!$C$93*(1+前提条件!$C$61))+CV37-CV40))</f>
        <v/>
      </c>
      <c r="CW33" s="356">
        <f>IF(CW$3="","",((入力データ!$C$93*(1+前提条件!$C$61))+CW37-CW40))</f>
        <v/>
      </c>
    </row>
    <row r="34" ht="15" customHeight="1" s="180">
      <c r="A34" s="235" t="inlineStr">
        <is>
          <t>住宅ローン残高</t>
        </is>
      </c>
      <c r="B34" s="357">
        <f>IF(B$3="","",MAX(入力データ!$C$95-B41,0))</f>
        <v/>
      </c>
      <c r="C34" s="357">
        <f>IF(C$3="","",MAX(B34-C41,0))</f>
        <v/>
      </c>
      <c r="D34" s="357">
        <f>IF(D$3="","",MAX(C34-D41,0))</f>
        <v/>
      </c>
      <c r="E34" s="357">
        <f>IF(E$3="","",MAX(D34-E41,0))</f>
        <v/>
      </c>
      <c r="F34" s="357">
        <f>IF(F$3="","",MAX(E34-F41,0))</f>
        <v/>
      </c>
      <c r="G34" s="357">
        <f>IF(G$3="","",MAX(F34-G41,0))</f>
        <v/>
      </c>
      <c r="H34" s="357">
        <f>IF(H$3="","",MAX(G34-H41,0))</f>
        <v/>
      </c>
      <c r="I34" s="357">
        <f>IF(I$3="","",MAX(H34-I41,0))</f>
        <v/>
      </c>
      <c r="J34" s="357">
        <f>IF(J$3="","",MAX(I34-J41,0))</f>
        <v/>
      </c>
      <c r="K34" s="357">
        <f>IF(K$3="","",MAX(J34-K41,0))</f>
        <v/>
      </c>
      <c r="L34" s="357">
        <f>IF(L$3="","",MAX(K34-L41,0))</f>
        <v/>
      </c>
      <c r="M34" s="357">
        <f>IF(M$3="","",MAX(L34-M41,0))</f>
        <v/>
      </c>
      <c r="N34" s="357">
        <f>IF(N$3="","",MAX(M34-N41,0))</f>
        <v/>
      </c>
      <c r="O34" s="357">
        <f>IF(O$3="","",MAX(N34-O41,0))</f>
        <v/>
      </c>
      <c r="P34" s="357">
        <f>IF(P$3="","",MAX(O34-P41,0))</f>
        <v/>
      </c>
      <c r="Q34" s="357">
        <f>IF(Q$3="","",MAX(P34-Q41,0))</f>
        <v/>
      </c>
      <c r="R34" s="357">
        <f>IF(R$3="","",MAX(Q34-R41,0))</f>
        <v/>
      </c>
      <c r="S34" s="357">
        <f>IF(S$3="","",MAX(R34-S41,0))</f>
        <v/>
      </c>
      <c r="T34" s="357">
        <f>IF(T$3="","",MAX(S34-T41,0))</f>
        <v/>
      </c>
      <c r="U34" s="357">
        <f>IF(U$3="","",MAX(T34-U41,0))</f>
        <v/>
      </c>
      <c r="V34" s="357">
        <f>IF(V$3="","",MAX(U34-V41,0))</f>
        <v/>
      </c>
      <c r="W34" s="357">
        <f>IF(W$3="","",MAX(V34-W41,0))</f>
        <v/>
      </c>
      <c r="X34" s="357">
        <f>IF(X$3="","",MAX(W34-X41,0))</f>
        <v/>
      </c>
      <c r="Y34" s="357">
        <f>IF(Y$3="","",MAX(X34-Y41,0))</f>
        <v/>
      </c>
      <c r="Z34" s="357">
        <f>IF(Z$3="","",MAX(Y34-Z41,0))</f>
        <v/>
      </c>
      <c r="AA34" s="357">
        <f>IF(AA$3="","",MAX(Z34-AA41,0))</f>
        <v/>
      </c>
      <c r="AB34" s="357">
        <f>IF(AB$3="","",MAX(AA34-AB41,0))</f>
        <v/>
      </c>
      <c r="AC34" s="357">
        <f>IF(AC$3="","",MAX(AB34-AC41,0))</f>
        <v/>
      </c>
      <c r="AD34" s="357">
        <f>IF(AD$3="","",MAX(AC34-AD41,0))</f>
        <v/>
      </c>
      <c r="AE34" s="357">
        <f>IF(AE$3="","",MAX(AD34-AE41,0))</f>
        <v/>
      </c>
      <c r="AF34" s="357">
        <f>IF(AF$3="","",MAX(AE34-AF41,0))</f>
        <v/>
      </c>
      <c r="AG34" s="357">
        <f>IF(AG$3="","",MAX(AF34-AG41,0))</f>
        <v/>
      </c>
      <c r="AH34" s="357">
        <f>IF(AH$3="","",MAX(AG34-AH41,0))</f>
        <v/>
      </c>
      <c r="AI34" s="357">
        <f>IF(AI$3="","",MAX(AH34-AI41,0))</f>
        <v/>
      </c>
      <c r="AJ34" s="357">
        <f>IF(AJ$3="","",MAX(AI34-AJ41,0))</f>
        <v/>
      </c>
      <c r="AK34" s="357">
        <f>IF(AK$3="","",MAX(AJ34-AK41,0))</f>
        <v/>
      </c>
      <c r="AL34" s="357">
        <f>IF(AL$3="","",MAX(AK34-AL41,0))</f>
        <v/>
      </c>
      <c r="AM34" s="357">
        <f>IF(AM$3="","",MAX(AL34-AM41,0))</f>
        <v/>
      </c>
      <c r="AN34" s="357">
        <f>IF(AN$3="","",MAX(AM34-AN41,0))</f>
        <v/>
      </c>
      <c r="AO34" s="357">
        <f>IF(AO$3="","",MAX(AN34-AO41,0))</f>
        <v/>
      </c>
      <c r="AP34" s="357">
        <f>IF(AP$3="","",MAX(AO34-AP41,0))</f>
        <v/>
      </c>
      <c r="AQ34" s="357">
        <f>IF(AQ$3="","",MAX(AP34-AQ41,0))</f>
        <v/>
      </c>
      <c r="AR34" s="357">
        <f>IF(AR$3="","",MAX(AQ34-AR41,0))</f>
        <v/>
      </c>
      <c r="AS34" s="357">
        <f>IF(AS$3="","",MAX(AR34-AS41,0))</f>
        <v/>
      </c>
      <c r="AT34" s="357">
        <f>IF(AT$3="","",MAX(AS34-AT41,0))</f>
        <v/>
      </c>
      <c r="AU34" s="357">
        <f>IF(AU$3="","",MAX(AT34-AU41,0))</f>
        <v/>
      </c>
      <c r="AV34" s="357">
        <f>IF(AV$3="","",MAX(AU34-AV41,0))</f>
        <v/>
      </c>
      <c r="AW34" s="357">
        <f>IF(AW$3="","",MAX(AV34-AW41,0))</f>
        <v/>
      </c>
      <c r="AX34" s="357">
        <f>IF(AX$3="","",MAX(AW34-AX41,0))</f>
        <v/>
      </c>
      <c r="AY34" s="357">
        <f>IF(AY$3="","",MAX(AX34-AY41,0))</f>
        <v/>
      </c>
      <c r="AZ34" s="357">
        <f>IF(AZ$3="","",MAX(AY34-AZ41,0))</f>
        <v/>
      </c>
      <c r="BA34" s="357">
        <f>IF(BA$3="","",MAX(AZ34-BA41,0))</f>
        <v/>
      </c>
      <c r="BB34" s="357">
        <f>IF(BB$3="","",MAX(BA34-BB41,0))</f>
        <v/>
      </c>
      <c r="BC34" s="357">
        <f>IF(BC$3="","",MAX(BB34-BC41,0))</f>
        <v/>
      </c>
      <c r="BD34" s="357">
        <f>IF(BD$3="","",MAX(BC34-BD41,0))</f>
        <v/>
      </c>
      <c r="BE34" s="357">
        <f>IF(BE$3="","",MAX(BD34-BE41,0))</f>
        <v/>
      </c>
      <c r="BF34" s="357">
        <f>IF(BF$3="","",MAX(BE34-BF41,0))</f>
        <v/>
      </c>
      <c r="BG34" s="357">
        <f>IF(BG$3="","",MAX(BF34-BG41,0))</f>
        <v/>
      </c>
      <c r="BH34" s="357">
        <f>IF(BH$3="","",MAX(BG34-BH41,0))</f>
        <v/>
      </c>
      <c r="BI34" s="357">
        <f>IF(BI$3="","",MAX(BH34-BI41,0))</f>
        <v/>
      </c>
      <c r="BJ34" s="357">
        <f>IF(BJ$3="","",MAX(BI34-BJ41,0))</f>
        <v/>
      </c>
      <c r="BK34" s="357">
        <f>IF(BK$3="","",MAX(BJ34-BK41,0))</f>
        <v/>
      </c>
      <c r="BL34" s="357">
        <f>IF(BL$3="","",MAX(BK34-BL41,0))</f>
        <v/>
      </c>
      <c r="BM34" s="357">
        <f>IF(BM$3="","",MAX(BL34-BM41,0))</f>
        <v/>
      </c>
      <c r="BN34" s="357">
        <f>IF(BN$3="","",MAX(BM34-BN41,0))</f>
        <v/>
      </c>
      <c r="BO34" s="357">
        <f>IF(BO$3="","",MAX(BN34-BO41,0))</f>
        <v/>
      </c>
      <c r="BP34" s="357">
        <f>IF(BP$3="","",MAX(BO34-BP41,0))</f>
        <v/>
      </c>
      <c r="BQ34" s="357">
        <f>IF(BQ$3="","",MAX(BP34-BQ41,0))</f>
        <v/>
      </c>
      <c r="BR34" s="357">
        <f>IF(BR$3="","",MAX(BQ34-BR41,0))</f>
        <v/>
      </c>
      <c r="BS34" s="357">
        <f>IF(BS$3="","",MAX(BR34-BS41,0))</f>
        <v/>
      </c>
      <c r="BT34" s="357">
        <f>IF(BT$3="","",MAX(BS34-BT41,0))</f>
        <v/>
      </c>
      <c r="BU34" s="357">
        <f>IF(BU$3="","",MAX(BT34-BU41,0))</f>
        <v/>
      </c>
      <c r="BV34" s="357">
        <f>IF(BV$3="","",MAX(BU34-BV41,0))</f>
        <v/>
      </c>
      <c r="BW34" s="357">
        <f>IF(BW$3="","",MAX(BV34-BW41,0))</f>
        <v/>
      </c>
      <c r="BX34" s="357">
        <f>IF(BX$3="","",MAX(BW34-BX41,0))</f>
        <v/>
      </c>
      <c r="BY34" s="357">
        <f>IF(BY$3="","",MAX(BX34-BY41,0))</f>
        <v/>
      </c>
      <c r="BZ34" s="357">
        <f>IF(BZ$3="","",MAX(BY34-BZ41,0))</f>
        <v/>
      </c>
      <c r="CA34" s="357">
        <f>IF(CA$3="","",MAX(BZ34-CA41,0))</f>
        <v/>
      </c>
      <c r="CB34" s="357">
        <f>IF(CB$3="","",MAX(CA34-CB41,0))</f>
        <v/>
      </c>
      <c r="CC34" s="357">
        <f>IF(CC$3="","",MAX(CB34-CC41,0))</f>
        <v/>
      </c>
      <c r="CD34" s="357">
        <f>IF(CD$3="","",MAX(CC34-CD41,0))</f>
        <v/>
      </c>
      <c r="CE34" s="357">
        <f>IF(CE$3="","",MAX(CD34-CE41,0))</f>
        <v/>
      </c>
      <c r="CF34" s="357">
        <f>IF(CF$3="","",MAX(CE34-CF41,0))</f>
        <v/>
      </c>
      <c r="CG34" s="357">
        <f>IF(CG$3="","",MAX(CF34-CG41,0))</f>
        <v/>
      </c>
      <c r="CH34" s="357">
        <f>IF(CH$3="","",MAX(CG34-CH41,0))</f>
        <v/>
      </c>
      <c r="CI34" s="357">
        <f>IF(CI$3="","",MAX(CH34-CI41,0))</f>
        <v/>
      </c>
      <c r="CJ34" s="357">
        <f>IF(CJ$3="","",MAX(CI34-CJ41,0))</f>
        <v/>
      </c>
      <c r="CK34" s="357">
        <f>IF(CK$3="","",MAX(CJ34-CK41,0))</f>
        <v/>
      </c>
      <c r="CL34" s="357">
        <f>IF(CL$3="","",MAX(CK34-CL41,0))</f>
        <v/>
      </c>
      <c r="CM34" s="357">
        <f>IF(CM$3="","",MAX(CL34-CM41,0))</f>
        <v/>
      </c>
      <c r="CN34" s="357">
        <f>IF(CN$3="","",MAX(CM34-CN41,0))</f>
        <v/>
      </c>
      <c r="CO34" s="357">
        <f>IF(CO$3="","",MAX(CN34-CO41,0))</f>
        <v/>
      </c>
      <c r="CP34" s="357">
        <f>IF(CP$3="","",MAX(CO34-CP41,0))</f>
        <v/>
      </c>
      <c r="CQ34" s="357">
        <f>IF(CQ$3="","",MAX(CP34-CQ41,0))</f>
        <v/>
      </c>
      <c r="CR34" s="357">
        <f>IF(CR$3="","",MAX(CQ34-CR41,0))</f>
        <v/>
      </c>
      <c r="CS34" s="357">
        <f>IF(CS$3="","",MAX(CR34-CS41,0))</f>
        <v/>
      </c>
      <c r="CT34" s="357">
        <f>IF(CT$3="","",MAX(CS34-CT41,0))</f>
        <v/>
      </c>
      <c r="CU34" s="357">
        <f>IF(CU$3="","",MAX(CT34-CU41,0))</f>
        <v/>
      </c>
      <c r="CV34" s="357">
        <f>IF(CV$3="","",MAX(CU34-CV41,0))</f>
        <v/>
      </c>
      <c r="CW34" s="357">
        <f>IF(CW$3="","",MAX(CV34-CW41,0))</f>
        <v/>
      </c>
    </row>
    <row r="35" ht="21.75" customHeight="1" s="180">
      <c r="A35" s="237" t="inlineStr">
        <is>
          <t>保有資産合計（ローン除く）</t>
        </is>
      </c>
      <c r="B35" s="358">
        <f>IF(B$3="","",B31+B32+B33)</f>
        <v/>
      </c>
      <c r="C35" s="358">
        <f>IF(C$3="","",C31+C32+C33)</f>
        <v/>
      </c>
      <c r="D35" s="358">
        <f>IF(D$3="","",D31+D32+D33)</f>
        <v/>
      </c>
      <c r="E35" s="358">
        <f>IF(E$3="","",E31+E32+E33)</f>
        <v/>
      </c>
      <c r="F35" s="358">
        <f>IF(F$3="","",F31+F32+F33)</f>
        <v/>
      </c>
      <c r="G35" s="358">
        <f>IF(G$3="","",G31+G32+G33)</f>
        <v/>
      </c>
      <c r="H35" s="358">
        <f>IF(H$3="","",H31+H32+H33)</f>
        <v/>
      </c>
      <c r="I35" s="358">
        <f>IF(I$3="","",I31+I32+I33)</f>
        <v/>
      </c>
      <c r="J35" s="358">
        <f>IF(J$3="","",J31+J32+J33)</f>
        <v/>
      </c>
      <c r="K35" s="358">
        <f>IF(K$3="","",K31+K32+K33)</f>
        <v/>
      </c>
      <c r="L35" s="358">
        <f>IF(L$3="","",L31+L32+L33)</f>
        <v/>
      </c>
      <c r="M35" s="358">
        <f>IF(M$3="","",M31+M32+M33)</f>
        <v/>
      </c>
      <c r="N35" s="358">
        <f>IF(N$3="","",N31+N32+N33)</f>
        <v/>
      </c>
      <c r="O35" s="358">
        <f>IF(O$3="","",O31+O32+O33)</f>
        <v/>
      </c>
      <c r="P35" s="358">
        <f>IF(P$3="","",P31+P32+P33)</f>
        <v/>
      </c>
      <c r="Q35" s="358">
        <f>IF(Q$3="","",Q31+Q32+Q33)</f>
        <v/>
      </c>
      <c r="R35" s="358">
        <f>IF(R$3="","",R31+R32+R33)</f>
        <v/>
      </c>
      <c r="S35" s="358">
        <f>IF(S$3="","",S31+S32+S33)</f>
        <v/>
      </c>
      <c r="T35" s="358">
        <f>IF(T$3="","",T31+T32+T33)</f>
        <v/>
      </c>
      <c r="U35" s="358">
        <f>IF(U$3="","",U31+U32+U33)</f>
        <v/>
      </c>
      <c r="V35" s="358">
        <f>IF(V$3="","",V31+V32+V33)</f>
        <v/>
      </c>
      <c r="W35" s="358">
        <f>IF(W$3="","",W31+W32+W33)</f>
        <v/>
      </c>
      <c r="X35" s="358">
        <f>IF(X$3="","",X31+X32+X33)</f>
        <v/>
      </c>
      <c r="Y35" s="358">
        <f>IF(Y$3="","",Y31+Y32+Y33)</f>
        <v/>
      </c>
      <c r="Z35" s="358">
        <f>IF(Z$3="","",Z31+Z32+Z33)</f>
        <v/>
      </c>
      <c r="AA35" s="358">
        <f>IF(AA$3="","",AA31+AA32+AA33)</f>
        <v/>
      </c>
      <c r="AB35" s="358">
        <f>IF(AB$3="","",AB31+AB32+AB33)</f>
        <v/>
      </c>
      <c r="AC35" s="358">
        <f>IF(AC$3="","",AC31+AC32+AC33)</f>
        <v/>
      </c>
      <c r="AD35" s="358">
        <f>IF(AD$3="","",AD31+AD32+AD33)</f>
        <v/>
      </c>
      <c r="AE35" s="358">
        <f>IF(AE$3="","",AE31+AE32+AE33)</f>
        <v/>
      </c>
      <c r="AF35" s="358">
        <f>IF(AF$3="","",AF31+AF32+AF33)</f>
        <v/>
      </c>
      <c r="AG35" s="358">
        <f>IF(AG$3="","",AG31+AG32+AG33)</f>
        <v/>
      </c>
      <c r="AH35" s="358">
        <f>IF(AH$3="","",AH31+AH32+AH33)</f>
        <v/>
      </c>
      <c r="AI35" s="358">
        <f>IF(AI$3="","",AI31+AI32+AI33)</f>
        <v/>
      </c>
      <c r="AJ35" s="358">
        <f>IF(AJ$3="","",AJ31+AJ32+AJ33)</f>
        <v/>
      </c>
      <c r="AK35" s="358">
        <f>IF(AK$3="","",AK31+AK32+AK33)</f>
        <v/>
      </c>
      <c r="AL35" s="358">
        <f>IF(AL$3="","",AL31+AL32+AL33)</f>
        <v/>
      </c>
      <c r="AM35" s="358">
        <f>IF(AM$3="","",AM31+AM32+AM33)</f>
        <v/>
      </c>
      <c r="AN35" s="358">
        <f>IF(AN$3="","",AN31+AN32+AN33)</f>
        <v/>
      </c>
      <c r="AO35" s="358">
        <f>IF(AO$3="","",AO31+AO32+AO33)</f>
        <v/>
      </c>
      <c r="AP35" s="358">
        <f>IF(AP$3="","",AP31+AP32+AP33)</f>
        <v/>
      </c>
      <c r="AQ35" s="358">
        <f>IF(AQ$3="","",AQ31+AQ32+AQ33)</f>
        <v/>
      </c>
      <c r="AR35" s="358">
        <f>IF(AR$3="","",AR31+AR32+AR33)</f>
        <v/>
      </c>
      <c r="AS35" s="358">
        <f>IF(AS$3="","",AS31+AS32+AS33)</f>
        <v/>
      </c>
      <c r="AT35" s="358">
        <f>IF(AT$3="","",AT31+AT32+AT33)</f>
        <v/>
      </c>
      <c r="AU35" s="358">
        <f>IF(AU$3="","",AU31+AU32+AU33)</f>
        <v/>
      </c>
      <c r="AV35" s="358">
        <f>IF(AV$3="","",AV31+AV32+AV33)</f>
        <v/>
      </c>
      <c r="AW35" s="358">
        <f>IF(AW$3="","",AW31+AW32+AW33)</f>
        <v/>
      </c>
      <c r="AX35" s="358">
        <f>IF(AX$3="","",AX31+AX32+AX33)</f>
        <v/>
      </c>
      <c r="AY35" s="358">
        <f>IF(AY$3="","",AY31+AY32+AY33)</f>
        <v/>
      </c>
      <c r="AZ35" s="358">
        <f>IF(AZ$3="","",AZ31+AZ32+AZ33)</f>
        <v/>
      </c>
      <c r="BA35" s="358">
        <f>IF(BA$3="","",BA31+BA32+BA33)</f>
        <v/>
      </c>
      <c r="BB35" s="358">
        <f>IF(BB$3="","",BB31+BB32+BB33)</f>
        <v/>
      </c>
      <c r="BC35" s="358">
        <f>IF(BC$3="","",BC31+BC32+BC33)</f>
        <v/>
      </c>
      <c r="BD35" s="358">
        <f>IF(BD$3="","",BD31+BD32+BD33)</f>
        <v/>
      </c>
      <c r="BE35" s="358">
        <f>IF(BE$3="","",BE31+BE32+BE33)</f>
        <v/>
      </c>
      <c r="BF35" s="358">
        <f>IF(BF$3="","",BF31+BF32+BF33)</f>
        <v/>
      </c>
      <c r="BG35" s="358">
        <f>IF(BG$3="","",BG31+BG32+BG33)</f>
        <v/>
      </c>
      <c r="BH35" s="358">
        <f>IF(BH$3="","",BH31+BH32+BH33)</f>
        <v/>
      </c>
      <c r="BI35" s="358">
        <f>IF(BI$3="","",BI31+BI32+BI33)</f>
        <v/>
      </c>
      <c r="BJ35" s="358">
        <f>IF(BJ$3="","",BJ31+BJ32+BJ33)</f>
        <v/>
      </c>
      <c r="BK35" s="358">
        <f>IF(BK$3="","",BK31+BK32+BK33)</f>
        <v/>
      </c>
      <c r="BL35" s="358">
        <f>IF(BL$3="","",BL31+BL32+BL33)</f>
        <v/>
      </c>
      <c r="BM35" s="358">
        <f>IF(BM$3="","",BM31+BM32+BM33)</f>
        <v/>
      </c>
      <c r="BN35" s="358">
        <f>IF(BN$3="","",BN31+BN32+BN33)</f>
        <v/>
      </c>
      <c r="BO35" s="358">
        <f>IF(BO$3="","",BO31+BO32+BO33)</f>
        <v/>
      </c>
      <c r="BP35" s="358">
        <f>IF(BP$3="","",BP31+BP32+BP33)</f>
        <v/>
      </c>
      <c r="BQ35" s="358">
        <f>IF(BQ$3="","",BQ31+BQ32+BQ33)</f>
        <v/>
      </c>
      <c r="BR35" s="358">
        <f>IF(BR$3="","",BR31+BR32+BR33)</f>
        <v/>
      </c>
      <c r="BS35" s="358">
        <f>IF(BS$3="","",BS31+BS32+BS33)</f>
        <v/>
      </c>
      <c r="BT35" s="358">
        <f>IF(BT$3="","",BT31+BT32+BT33)</f>
        <v/>
      </c>
      <c r="BU35" s="358">
        <f>IF(BU$3="","",BU31+BU32+BU33)</f>
        <v/>
      </c>
      <c r="BV35" s="358">
        <f>IF(BV$3="","",BV31+BV32+BV33)</f>
        <v/>
      </c>
      <c r="BW35" s="358">
        <f>IF(BW$3="","",BW31+BW32+BW33)</f>
        <v/>
      </c>
      <c r="BX35" s="358">
        <f>IF(BX$3="","",BX31+BX32+BX33)</f>
        <v/>
      </c>
      <c r="BY35" s="358">
        <f>IF(BY$3="","",BY31+BY32+BY33)</f>
        <v/>
      </c>
      <c r="BZ35" s="358">
        <f>IF(BZ$3="","",BZ31+BZ32+BZ33)</f>
        <v/>
      </c>
      <c r="CA35" s="358">
        <f>IF(CA$3="","",CA31+CA32+CA33)</f>
        <v/>
      </c>
      <c r="CB35" s="358">
        <f>IF(CB$3="","",CB31+CB32+CB33)</f>
        <v/>
      </c>
      <c r="CC35" s="358">
        <f>IF(CC$3="","",CC31+CC32+CC33)</f>
        <v/>
      </c>
      <c r="CD35" s="358">
        <f>IF(CD$3="","",CD31+CD32+CD33)</f>
        <v/>
      </c>
      <c r="CE35" s="358">
        <f>IF(CE$3="","",CE31+CE32+CE33)</f>
        <v/>
      </c>
      <c r="CF35" s="358">
        <f>IF(CF$3="","",CF31+CF32+CF33)</f>
        <v/>
      </c>
      <c r="CG35" s="358">
        <f>IF(CG$3="","",CG31+CG32+CG33)</f>
        <v/>
      </c>
      <c r="CH35" s="358">
        <f>IF(CH$3="","",CH31+CH32+CH33)</f>
        <v/>
      </c>
      <c r="CI35" s="358">
        <f>IF(CI$3="","",CI31+CI32+CI33)</f>
        <v/>
      </c>
      <c r="CJ35" s="358">
        <f>IF(CJ$3="","",CJ31+CJ32+CJ33)</f>
        <v/>
      </c>
      <c r="CK35" s="358">
        <f>IF(CK$3="","",CK31+CK32+CK33)</f>
        <v/>
      </c>
      <c r="CL35" s="358">
        <f>IF(CL$3="","",CL31+CL32+CL33)</f>
        <v/>
      </c>
      <c r="CM35" s="358">
        <f>IF(CM$3="","",CM31+CM32+CM33)</f>
        <v/>
      </c>
      <c r="CN35" s="358">
        <f>IF(CN$3="","",CN31+CN32+CN33)</f>
        <v/>
      </c>
      <c r="CO35" s="358">
        <f>IF(CO$3="","",CO31+CO32+CO33)</f>
        <v/>
      </c>
      <c r="CP35" s="358">
        <f>IF(CP$3="","",CP31+CP32+CP33)</f>
        <v/>
      </c>
      <c r="CQ35" s="358">
        <f>IF(CQ$3="","",CQ31+CQ32+CQ33)</f>
        <v/>
      </c>
      <c r="CR35" s="358">
        <f>IF(CR$3="","",CR31+CR32+CR33)</f>
        <v/>
      </c>
      <c r="CS35" s="358">
        <f>IF(CS$3="","",CS31+CS32+CS33)</f>
        <v/>
      </c>
      <c r="CT35" s="358">
        <f>IF(CT$3="","",CT31+CT32+CT33)</f>
        <v/>
      </c>
      <c r="CU35" s="358">
        <f>IF(CU$3="","",CU31+CU32+CU33)</f>
        <v/>
      </c>
      <c r="CV35" s="358">
        <f>IF(CV$3="","",CV31+CV32+CV33)</f>
        <v/>
      </c>
      <c r="CW35" s="358">
        <f>IF(CW$3="","",CW31+CW32+CW33)</f>
        <v/>
      </c>
    </row>
    <row r="36" hidden="1" ht="16.5" customHeight="1" s="180">
      <c r="A36" s="239" t="inlineStr">
        <is>
          <t>投資積立年額(補助)</t>
        </is>
      </c>
      <c r="B36" s="359">
        <f>IF(B$3="","",SUM(入力データ!$C$101:$C$103,入力データ!$C$105)*12)</f>
        <v/>
      </c>
      <c r="C36" s="359">
        <f>IF(C$3="","",SUM(入力データ!$C$101:$C$103,入力データ!$C$105)*12)</f>
        <v/>
      </c>
      <c r="D36" s="359">
        <f>IF(D$3="","",SUM(入力データ!$C$101:$C$103,入力データ!$C$105)*12)</f>
        <v/>
      </c>
      <c r="E36" s="359">
        <f>IF(E$3="","",SUM(入力データ!$C$101:$C$103,入力データ!$C$105)*12)</f>
        <v/>
      </c>
      <c r="F36" s="359">
        <f>IF(F$3="","",SUM(入力データ!$C$101:$C$103,入力データ!$C$105)*12)</f>
        <v/>
      </c>
      <c r="G36" s="359">
        <f>IF(G$3="","",SUM(入力データ!$C$101:$C$103,入力データ!$C$105)*12)</f>
        <v/>
      </c>
      <c r="H36" s="359">
        <f>IF(H$3="","",SUM(入力データ!$C$101:$C$103,入力データ!$C$105)*12)</f>
        <v/>
      </c>
      <c r="I36" s="359">
        <f>IF(I$3="","",SUM(入力データ!$C$101:$C$103,入力データ!$C$105)*12)</f>
        <v/>
      </c>
      <c r="J36" s="359">
        <f>IF(J$3="","",SUM(入力データ!$C$101:$C$103,入力データ!$C$105)*12)</f>
        <v/>
      </c>
      <c r="K36" s="359">
        <f>IF(K$3="","",SUM(入力データ!$C$101:$C$103,入力データ!$C$105)*12)</f>
        <v/>
      </c>
      <c r="L36" s="359">
        <f>IF(L$3="","",SUM(入力データ!$C$101:$C$103,入力データ!$C$105)*12)</f>
        <v/>
      </c>
      <c r="M36" s="359">
        <f>IF(M$3="","",SUM(入力データ!$C$101:$C$103,入力データ!$C$105)*12)</f>
        <v/>
      </c>
      <c r="N36" s="359">
        <f>IF(N$3="","",SUM(入力データ!$C$101:$C$103,入力データ!$C$105)*12)</f>
        <v/>
      </c>
      <c r="O36" s="359">
        <f>IF(O$3="","",SUM(入力データ!$C$101:$C$103,入力データ!$C$105)*12)</f>
        <v/>
      </c>
      <c r="P36" s="359">
        <f>IF(P$3="","",SUM(入力データ!$C$101:$C$103,入力データ!$C$105)*12)</f>
        <v/>
      </c>
      <c r="Q36" s="359">
        <f>IF(Q$3="","",SUM(入力データ!$C$101:$C$103,入力データ!$C$105)*12)</f>
        <v/>
      </c>
      <c r="R36" s="359">
        <f>IF(R$3="","",SUM(入力データ!$C$101:$C$103,入力データ!$C$105)*12)</f>
        <v/>
      </c>
      <c r="S36" s="359">
        <f>IF(S$3="","",SUM(入力データ!$C$101:$C$103,入力データ!$C$105)*12)</f>
        <v/>
      </c>
      <c r="T36" s="359">
        <f>IF(T$3="","",SUM(入力データ!$C$101:$C$103,入力データ!$C$105)*12)</f>
        <v/>
      </c>
      <c r="U36" s="359">
        <f>IF(U$3="","",SUM(入力データ!$C$101:$C$103,入力データ!$C$105)*12)</f>
        <v/>
      </c>
      <c r="V36" s="359">
        <f>IF(V$3="","",SUM(入力データ!$C$101:$C$103,入力データ!$C$105)*12)</f>
        <v/>
      </c>
      <c r="W36" s="359">
        <f>IF(W$3="","",SUM(入力データ!$C$101:$C$103,入力データ!$C$105)*12)</f>
        <v/>
      </c>
      <c r="X36" s="359">
        <f>IF(X$3="","",SUM(入力データ!$C$101:$C$103,入力データ!$C$105)*12)</f>
        <v/>
      </c>
      <c r="Y36" s="359">
        <f>IF(Y$3="","",SUM(入力データ!$C$101:$C$103,入力データ!$C$105)*12)</f>
        <v/>
      </c>
      <c r="Z36" s="359">
        <f>IF(Z$3="","",SUM(入力データ!$C$101:$C$103,入力データ!$C$105)*12)</f>
        <v/>
      </c>
      <c r="AA36" s="359">
        <f>IF(AA$3="","",SUM(入力データ!$C$101:$C$103,入力データ!$C$105)*12)</f>
        <v/>
      </c>
      <c r="AB36" s="359">
        <f>IF(AB$3="","",SUM(入力データ!$C$101:$C$103,入力データ!$C$105)*12)</f>
        <v/>
      </c>
      <c r="AC36" s="359">
        <f>IF(AC$3="","",SUM(入力データ!$C$101:$C$103,入力データ!$C$105)*12)</f>
        <v/>
      </c>
      <c r="AD36" s="359">
        <f>IF(AD$3="","",SUM(入力データ!$C$101:$C$103,入力データ!$C$105)*12)</f>
        <v/>
      </c>
      <c r="AE36" s="359">
        <f>IF(AE$3="","",SUM(入力データ!$C$101:$C$103,入力データ!$C$105)*12)</f>
        <v/>
      </c>
      <c r="AF36" s="359">
        <f>IF(AF$3="","",SUM(入力データ!$C$101:$C$103,入力データ!$C$105)*12)</f>
        <v/>
      </c>
      <c r="AG36" s="359">
        <f>IF(AG$3="","",SUM(入力データ!$C$101:$C$103,入力データ!$C$105)*12)</f>
        <v/>
      </c>
      <c r="AH36" s="359">
        <f>IF(AH$3="","",SUM(入力データ!$C$101:$C$103,入力データ!$C$105)*12)</f>
        <v/>
      </c>
      <c r="AI36" s="359">
        <f>IF(AI$3="","",SUM(入力データ!$C$101:$C$103,入力データ!$C$105)*12)</f>
        <v/>
      </c>
      <c r="AJ36" s="359">
        <f>IF(AJ$3="","",SUM(入力データ!$C$101:$C$103,入力データ!$C$105)*12)</f>
        <v/>
      </c>
      <c r="AK36" s="359">
        <f>IF(AK$3="","",SUM(入力データ!$C$101:$C$103,入力データ!$C$105)*12)</f>
        <v/>
      </c>
      <c r="AL36" s="359">
        <f>IF(AL$3="","",SUM(入力データ!$C$101:$C$103,入力データ!$C$105)*12)</f>
        <v/>
      </c>
      <c r="AM36" s="359">
        <f>IF(AM$3="","",SUM(入力データ!$C$101:$C$103,入力データ!$C$105)*12)</f>
        <v/>
      </c>
      <c r="AN36" s="359">
        <f>IF(AN$3="","",SUM(入力データ!$C$101:$C$103,入力データ!$C$105)*12)</f>
        <v/>
      </c>
      <c r="AO36" s="359">
        <f>IF(AO$3="","",SUM(入力データ!$C$101:$C$103,入力データ!$C$105)*12)</f>
        <v/>
      </c>
      <c r="AP36" s="359">
        <f>IF(AP$3="","",SUM(入力データ!$C$101:$C$103,入力データ!$C$105)*12)</f>
        <v/>
      </c>
      <c r="AQ36" s="359">
        <f>IF(AQ$3="","",SUM(入力データ!$C$101:$C$103,入力データ!$C$105)*12)</f>
        <v/>
      </c>
      <c r="AR36" s="359">
        <f>IF(AR$3="","",SUM(入力データ!$C$101:$C$103,入力データ!$C$105)*12)</f>
        <v/>
      </c>
      <c r="AS36" s="359">
        <f>IF(AS$3="","",SUM(入力データ!$C$101:$C$103,入力データ!$C$105)*12)</f>
        <v/>
      </c>
      <c r="AT36" s="359">
        <f>IF(AT$3="","",SUM(入力データ!$C$101:$C$103,入力データ!$C$105)*12)</f>
        <v/>
      </c>
      <c r="AU36" s="359">
        <f>IF(AU$3="","",SUM(入力データ!$C$101:$C$103,入力データ!$C$105)*12)</f>
        <v/>
      </c>
      <c r="AV36" s="359">
        <f>IF(AV$3="","",SUM(入力データ!$C$101:$C$103,入力データ!$C$105)*12)</f>
        <v/>
      </c>
      <c r="AW36" s="359">
        <f>IF(AW$3="","",SUM(入力データ!$C$101:$C$103,入力データ!$C$105)*12)</f>
        <v/>
      </c>
      <c r="AX36" s="359">
        <f>IF(AX$3="","",SUM(入力データ!$C$101:$C$103,入力データ!$C$105)*12)</f>
        <v/>
      </c>
      <c r="AY36" s="359">
        <f>IF(AY$3="","",SUM(入力データ!$C$101:$C$103,入力データ!$C$105)*12)</f>
        <v/>
      </c>
      <c r="AZ36" s="359">
        <f>IF(AZ$3="","",SUM(入力データ!$C$101:$C$103,入力データ!$C$105)*12)</f>
        <v/>
      </c>
      <c r="BA36" s="359">
        <f>IF(BA$3="","",SUM(入力データ!$C$101:$C$103,入力データ!$C$105)*12)</f>
        <v/>
      </c>
      <c r="BB36" s="359">
        <f>IF(BB$3="","",SUM(入力データ!$C$101:$C$103,入力データ!$C$105)*12)</f>
        <v/>
      </c>
      <c r="BC36" s="359">
        <f>IF(BC$3="","",SUM(入力データ!$C$101:$C$103,入力データ!$C$105)*12)</f>
        <v/>
      </c>
      <c r="BD36" s="359">
        <f>IF(BD$3="","",SUM(入力データ!$C$101:$C$103,入力データ!$C$105)*12)</f>
        <v/>
      </c>
      <c r="BE36" s="359">
        <f>IF(BE$3="","",SUM(入力データ!$C$101:$C$103,入力データ!$C$105)*12)</f>
        <v/>
      </c>
      <c r="BF36" s="359">
        <f>IF(BF$3="","",SUM(入力データ!$C$101:$C$103,入力データ!$C$105)*12)</f>
        <v/>
      </c>
      <c r="BG36" s="359">
        <f>IF(BG$3="","",SUM(入力データ!$C$101:$C$103,入力データ!$C$105)*12)</f>
        <v/>
      </c>
      <c r="BH36" s="359">
        <f>IF(BH$3="","",SUM(入力データ!$C$101:$C$103,入力データ!$C$105)*12)</f>
        <v/>
      </c>
      <c r="BI36" s="359">
        <f>IF(BI$3="","",SUM(入力データ!$C$101:$C$103,入力データ!$C$105)*12)</f>
        <v/>
      </c>
      <c r="BJ36" s="359">
        <f>IF(BJ$3="","",SUM(入力データ!$C$101:$C$103,入力データ!$C$105)*12)</f>
        <v/>
      </c>
      <c r="BK36" s="359">
        <f>IF(BK$3="","",SUM(入力データ!$C$101:$C$103,入力データ!$C$105)*12)</f>
        <v/>
      </c>
      <c r="BL36" s="359">
        <f>IF(BL$3="","",SUM(入力データ!$C$101:$C$103,入力データ!$C$105)*12)</f>
        <v/>
      </c>
      <c r="BM36" s="359">
        <f>IF(BM$3="","",SUM(入力データ!$C$101:$C$103,入力データ!$C$105)*12)</f>
        <v/>
      </c>
      <c r="BN36" s="359">
        <f>IF(BN$3="","",SUM(入力データ!$C$101:$C$103,入力データ!$C$105)*12)</f>
        <v/>
      </c>
      <c r="BO36" s="359">
        <f>IF(BO$3="","",SUM(入力データ!$C$101:$C$103,入力データ!$C$105)*12)</f>
        <v/>
      </c>
      <c r="BP36" s="359">
        <f>IF(BP$3="","",SUM(入力データ!$C$101:$C$103,入力データ!$C$105)*12)</f>
        <v/>
      </c>
      <c r="BQ36" s="359">
        <f>IF(BQ$3="","",SUM(入力データ!$C$101:$C$103,入力データ!$C$105)*12)</f>
        <v/>
      </c>
      <c r="BR36" s="359">
        <f>IF(BR$3="","",SUM(入力データ!$C$101:$C$103,入力データ!$C$105)*12)</f>
        <v/>
      </c>
      <c r="BS36" s="359">
        <f>IF(BS$3="","",SUM(入力データ!$C$101:$C$103,入力データ!$C$105)*12)</f>
        <v/>
      </c>
      <c r="BT36" s="359">
        <f>IF(BT$3="","",SUM(入力データ!$C$101:$C$103,入力データ!$C$105)*12)</f>
        <v/>
      </c>
      <c r="BU36" s="359">
        <f>IF(BU$3="","",SUM(入力データ!$C$101:$C$103,入力データ!$C$105)*12)</f>
        <v/>
      </c>
      <c r="BV36" s="359">
        <f>IF(BV$3="","",SUM(入力データ!$C$101:$C$103,入力データ!$C$105)*12)</f>
        <v/>
      </c>
      <c r="BW36" s="359">
        <f>IF(BW$3="","",SUM(入力データ!$C$101:$C$103,入力データ!$C$105)*12)</f>
        <v/>
      </c>
      <c r="BX36" s="359">
        <f>IF(BX$3="","",SUM(入力データ!$C$101:$C$103,入力データ!$C$105)*12)</f>
        <v/>
      </c>
      <c r="BY36" s="359">
        <f>IF(BY$3="","",SUM(入力データ!$C$101:$C$103,入力データ!$C$105)*12)</f>
        <v/>
      </c>
      <c r="BZ36" s="359">
        <f>IF(BZ$3="","",SUM(入力データ!$C$101:$C$103,入力データ!$C$105)*12)</f>
        <v/>
      </c>
      <c r="CA36" s="359">
        <f>IF(CA$3="","",SUM(入力データ!$C$101:$C$103,入力データ!$C$105)*12)</f>
        <v/>
      </c>
      <c r="CB36" s="359">
        <f>IF(CB$3="","",SUM(入力データ!$C$101:$C$103,入力データ!$C$105)*12)</f>
        <v/>
      </c>
      <c r="CC36" s="359">
        <f>IF(CC$3="","",SUM(入力データ!$C$101:$C$103,入力データ!$C$105)*12)</f>
        <v/>
      </c>
      <c r="CD36" s="359">
        <f>IF(CD$3="","",SUM(入力データ!$C$101:$C$103,入力データ!$C$105)*12)</f>
        <v/>
      </c>
      <c r="CE36" s="359">
        <f>IF(CE$3="","",SUM(入力データ!$C$101:$C$103,入力データ!$C$105)*12)</f>
        <v/>
      </c>
      <c r="CF36" s="359">
        <f>IF(CF$3="","",SUM(入力データ!$C$101:$C$103,入力データ!$C$105)*12)</f>
        <v/>
      </c>
      <c r="CG36" s="359">
        <f>IF(CG$3="","",SUM(入力データ!$C$101:$C$103,入力データ!$C$105)*12)</f>
        <v/>
      </c>
      <c r="CH36" s="359">
        <f>IF(CH$3="","",SUM(入力データ!$C$101:$C$103,入力データ!$C$105)*12)</f>
        <v/>
      </c>
      <c r="CI36" s="359">
        <f>IF(CI$3="","",SUM(入力データ!$C$101:$C$103,入力データ!$C$105)*12)</f>
        <v/>
      </c>
      <c r="CJ36" s="359">
        <f>IF(CJ$3="","",SUM(入力データ!$C$101:$C$103,入力データ!$C$105)*12)</f>
        <v/>
      </c>
      <c r="CK36" s="359">
        <f>IF(CK$3="","",SUM(入力データ!$C$101:$C$103,入力データ!$C$105)*12)</f>
        <v/>
      </c>
      <c r="CL36" s="359">
        <f>IF(CL$3="","",SUM(入力データ!$C$101:$C$103,入力データ!$C$105)*12)</f>
        <v/>
      </c>
      <c r="CM36" s="359">
        <f>IF(CM$3="","",SUM(入力データ!$C$101:$C$103,入力データ!$C$105)*12)</f>
        <v/>
      </c>
      <c r="CN36" s="359">
        <f>IF(CN$3="","",SUM(入力データ!$C$101:$C$103,入力データ!$C$105)*12)</f>
        <v/>
      </c>
      <c r="CO36" s="359">
        <f>IF(CO$3="","",SUM(入力データ!$C$101:$C$103,入力データ!$C$105)*12)</f>
        <v/>
      </c>
      <c r="CP36" s="359">
        <f>IF(CP$3="","",SUM(入力データ!$C$101:$C$103,入力データ!$C$105)*12)</f>
        <v/>
      </c>
      <c r="CQ36" s="359">
        <f>IF(CQ$3="","",SUM(入力データ!$C$101:$C$103,入力データ!$C$105)*12)</f>
        <v/>
      </c>
      <c r="CR36" s="359">
        <f>IF(CR$3="","",SUM(入力データ!$C$101:$C$103,入力データ!$C$105)*12)</f>
        <v/>
      </c>
      <c r="CS36" s="359">
        <f>IF(CS$3="","",SUM(入力データ!$C$101:$C$103,入力データ!$C$105)*12)</f>
        <v/>
      </c>
      <c r="CT36" s="359">
        <f>IF(CT$3="","",SUM(入力データ!$C$101:$C$103,入力データ!$C$105)*12)</f>
        <v/>
      </c>
      <c r="CU36" s="359">
        <f>IF(CU$3="","",SUM(入力データ!$C$101:$C$103,入力データ!$C$105)*12)</f>
        <v/>
      </c>
      <c r="CV36" s="359">
        <f>IF(CV$3="","",SUM(入力データ!$C$101:$C$103,入力データ!$C$105)*12)</f>
        <v/>
      </c>
      <c r="CW36" s="359">
        <f>IF(CW$3="","",SUM(入力データ!$C$101:$C$103,入力データ!$C$105)*12)</f>
        <v/>
      </c>
    </row>
    <row r="37" hidden="1" ht="16.5" customHeight="1" s="180">
      <c r="A37" s="239" t="inlineStr">
        <is>
          <t>返戻金積立年額(補助)</t>
        </is>
      </c>
      <c r="B37" s="359">
        <f>IF(B$3="","",入力データ!$C$104*12)</f>
        <v/>
      </c>
      <c r="C37" s="359">
        <f>IF(C$3="","",入力データ!$C$104*12)</f>
        <v/>
      </c>
      <c r="D37" s="359">
        <f>IF(D$3="","",入力データ!$C$104*12)</f>
        <v/>
      </c>
      <c r="E37" s="359">
        <f>IF(E$3="","",入力データ!$C$104*12)</f>
        <v/>
      </c>
      <c r="F37" s="359">
        <f>IF(F$3="","",入力データ!$C$104*12)</f>
        <v/>
      </c>
      <c r="G37" s="359">
        <f>IF(G$3="","",入力データ!$C$104*12)</f>
        <v/>
      </c>
      <c r="H37" s="359">
        <f>IF(H$3="","",入力データ!$C$104*12)</f>
        <v/>
      </c>
      <c r="I37" s="359">
        <f>IF(I$3="","",入力データ!$C$104*12)</f>
        <v/>
      </c>
      <c r="J37" s="359">
        <f>IF(J$3="","",入力データ!$C$104*12)</f>
        <v/>
      </c>
      <c r="K37" s="359">
        <f>IF(K$3="","",入力データ!$C$104*12)</f>
        <v/>
      </c>
      <c r="L37" s="359">
        <f>IF(L$3="","",入力データ!$C$104*12)</f>
        <v/>
      </c>
      <c r="M37" s="359">
        <f>IF(M$3="","",入力データ!$C$104*12)</f>
        <v/>
      </c>
      <c r="N37" s="359">
        <f>IF(N$3="","",入力データ!$C$104*12)</f>
        <v/>
      </c>
      <c r="O37" s="359">
        <f>IF(O$3="","",入力データ!$C$104*12)</f>
        <v/>
      </c>
      <c r="P37" s="359">
        <f>IF(P$3="","",入力データ!$C$104*12)</f>
        <v/>
      </c>
      <c r="Q37" s="359">
        <f>IF(Q$3="","",入力データ!$C$104*12)</f>
        <v/>
      </c>
      <c r="R37" s="359">
        <f>IF(R$3="","",入力データ!$C$104*12)</f>
        <v/>
      </c>
      <c r="S37" s="359">
        <f>IF(S$3="","",入力データ!$C$104*12)</f>
        <v/>
      </c>
      <c r="T37" s="359">
        <f>IF(T$3="","",入力データ!$C$104*12)</f>
        <v/>
      </c>
      <c r="U37" s="359">
        <f>IF(U$3="","",入力データ!$C$104*12)</f>
        <v/>
      </c>
      <c r="V37" s="359">
        <f>IF(V$3="","",入力データ!$C$104*12)</f>
        <v/>
      </c>
      <c r="W37" s="359">
        <f>IF(W$3="","",入力データ!$C$104*12)</f>
        <v/>
      </c>
      <c r="X37" s="359">
        <f>IF(X$3="","",入力データ!$C$104*12)</f>
        <v/>
      </c>
      <c r="Y37" s="359">
        <f>IF(Y$3="","",入力データ!$C$104*12)</f>
        <v/>
      </c>
      <c r="Z37" s="359">
        <f>IF(Z$3="","",入力データ!$C$104*12)</f>
        <v/>
      </c>
      <c r="AA37" s="359">
        <f>IF(AA$3="","",入力データ!$C$104*12)</f>
        <v/>
      </c>
      <c r="AB37" s="359">
        <f>IF(AB$3="","",入力データ!$C$104*12)</f>
        <v/>
      </c>
      <c r="AC37" s="359">
        <f>IF(AC$3="","",入力データ!$C$104*12)</f>
        <v/>
      </c>
      <c r="AD37" s="359">
        <f>IF(AD$3="","",入力データ!$C$104*12)</f>
        <v/>
      </c>
      <c r="AE37" s="359">
        <f>IF(AE$3="","",入力データ!$C$104*12)</f>
        <v/>
      </c>
      <c r="AF37" s="359">
        <f>IF(AF$3="","",入力データ!$C$104*12)</f>
        <v/>
      </c>
      <c r="AG37" s="359">
        <f>IF(AG$3="","",入力データ!$C$104*12)</f>
        <v/>
      </c>
      <c r="AH37" s="359">
        <f>IF(AH$3="","",入力データ!$C$104*12)</f>
        <v/>
      </c>
      <c r="AI37" s="359">
        <f>IF(AI$3="","",入力データ!$C$104*12)</f>
        <v/>
      </c>
      <c r="AJ37" s="359">
        <f>IF(AJ$3="","",入力データ!$C$104*12)</f>
        <v/>
      </c>
      <c r="AK37" s="359">
        <f>IF(AK$3="","",入力データ!$C$104*12)</f>
        <v/>
      </c>
      <c r="AL37" s="359">
        <f>IF(AL$3="","",入力データ!$C$104*12)</f>
        <v/>
      </c>
      <c r="AM37" s="359">
        <f>IF(AM$3="","",入力データ!$C$104*12)</f>
        <v/>
      </c>
      <c r="AN37" s="359">
        <f>IF(AN$3="","",入力データ!$C$104*12)</f>
        <v/>
      </c>
      <c r="AO37" s="359">
        <f>IF(AO$3="","",入力データ!$C$104*12)</f>
        <v/>
      </c>
      <c r="AP37" s="359">
        <f>IF(AP$3="","",入力データ!$C$104*12)</f>
        <v/>
      </c>
      <c r="AQ37" s="359">
        <f>IF(AQ$3="","",入力データ!$C$104*12)</f>
        <v/>
      </c>
      <c r="AR37" s="359">
        <f>IF(AR$3="","",入力データ!$C$104*12)</f>
        <v/>
      </c>
      <c r="AS37" s="359">
        <f>IF(AS$3="","",入力データ!$C$104*12)</f>
        <v/>
      </c>
      <c r="AT37" s="359">
        <f>IF(AT$3="","",入力データ!$C$104*12)</f>
        <v/>
      </c>
      <c r="AU37" s="359">
        <f>IF(AU$3="","",入力データ!$C$104*12)</f>
        <v/>
      </c>
      <c r="AV37" s="359">
        <f>IF(AV$3="","",入力データ!$C$104*12)</f>
        <v/>
      </c>
      <c r="AW37" s="359">
        <f>IF(AW$3="","",入力データ!$C$104*12)</f>
        <v/>
      </c>
      <c r="AX37" s="359">
        <f>IF(AX$3="","",入力データ!$C$104*12)</f>
        <v/>
      </c>
      <c r="AY37" s="359">
        <f>IF(AY$3="","",入力データ!$C$104*12)</f>
        <v/>
      </c>
      <c r="AZ37" s="359">
        <f>IF(AZ$3="","",入力データ!$C$104*12)</f>
        <v/>
      </c>
      <c r="BA37" s="359">
        <f>IF(BA$3="","",入力データ!$C$104*12)</f>
        <v/>
      </c>
      <c r="BB37" s="359">
        <f>IF(BB$3="","",入力データ!$C$104*12)</f>
        <v/>
      </c>
      <c r="BC37" s="359">
        <f>IF(BC$3="","",入力データ!$C$104*12)</f>
        <v/>
      </c>
      <c r="BD37" s="359">
        <f>IF(BD$3="","",入力データ!$C$104*12)</f>
        <v/>
      </c>
      <c r="BE37" s="359">
        <f>IF(BE$3="","",入力データ!$C$104*12)</f>
        <v/>
      </c>
      <c r="BF37" s="359">
        <f>IF(BF$3="","",入力データ!$C$104*12)</f>
        <v/>
      </c>
      <c r="BG37" s="359">
        <f>IF(BG$3="","",入力データ!$C$104*12)</f>
        <v/>
      </c>
      <c r="BH37" s="359">
        <f>IF(BH$3="","",入力データ!$C$104*12)</f>
        <v/>
      </c>
      <c r="BI37" s="359">
        <f>IF(BI$3="","",入力データ!$C$104*12)</f>
        <v/>
      </c>
      <c r="BJ37" s="359">
        <f>IF(BJ$3="","",入力データ!$C$104*12)</f>
        <v/>
      </c>
      <c r="BK37" s="359">
        <f>IF(BK$3="","",入力データ!$C$104*12)</f>
        <v/>
      </c>
      <c r="BL37" s="359">
        <f>IF(BL$3="","",入力データ!$C$104*12)</f>
        <v/>
      </c>
      <c r="BM37" s="359">
        <f>IF(BM$3="","",入力データ!$C$104*12)</f>
        <v/>
      </c>
      <c r="BN37" s="359">
        <f>IF(BN$3="","",入力データ!$C$104*12)</f>
        <v/>
      </c>
      <c r="BO37" s="359">
        <f>IF(BO$3="","",入力データ!$C$104*12)</f>
        <v/>
      </c>
      <c r="BP37" s="359">
        <f>IF(BP$3="","",入力データ!$C$104*12)</f>
        <v/>
      </c>
      <c r="BQ37" s="359">
        <f>IF(BQ$3="","",入力データ!$C$104*12)</f>
        <v/>
      </c>
      <c r="BR37" s="359">
        <f>IF(BR$3="","",入力データ!$C$104*12)</f>
        <v/>
      </c>
      <c r="BS37" s="359">
        <f>IF(BS$3="","",入力データ!$C$104*12)</f>
        <v/>
      </c>
      <c r="BT37" s="359">
        <f>IF(BT$3="","",入力データ!$C$104*12)</f>
        <v/>
      </c>
      <c r="BU37" s="359">
        <f>IF(BU$3="","",入力データ!$C$104*12)</f>
        <v/>
      </c>
      <c r="BV37" s="359">
        <f>IF(BV$3="","",入力データ!$C$104*12)</f>
        <v/>
      </c>
      <c r="BW37" s="359">
        <f>IF(BW$3="","",入力データ!$C$104*12)</f>
        <v/>
      </c>
      <c r="BX37" s="359">
        <f>IF(BX$3="","",入力データ!$C$104*12)</f>
        <v/>
      </c>
      <c r="BY37" s="359">
        <f>IF(BY$3="","",入力データ!$C$104*12)</f>
        <v/>
      </c>
      <c r="BZ37" s="359">
        <f>IF(BZ$3="","",入力データ!$C$104*12)</f>
        <v/>
      </c>
      <c r="CA37" s="359">
        <f>IF(CA$3="","",入力データ!$C$104*12)</f>
        <v/>
      </c>
      <c r="CB37" s="359">
        <f>IF(CB$3="","",入力データ!$C$104*12)</f>
        <v/>
      </c>
      <c r="CC37" s="359">
        <f>IF(CC$3="","",入力データ!$C$104*12)</f>
        <v/>
      </c>
      <c r="CD37" s="359">
        <f>IF(CD$3="","",入力データ!$C$104*12)</f>
        <v/>
      </c>
      <c r="CE37" s="359">
        <f>IF(CE$3="","",入力データ!$C$104*12)</f>
        <v/>
      </c>
      <c r="CF37" s="359">
        <f>IF(CF$3="","",入力データ!$C$104*12)</f>
        <v/>
      </c>
      <c r="CG37" s="359">
        <f>IF(CG$3="","",入力データ!$C$104*12)</f>
        <v/>
      </c>
      <c r="CH37" s="359">
        <f>IF(CH$3="","",入力データ!$C$104*12)</f>
        <v/>
      </c>
      <c r="CI37" s="359">
        <f>IF(CI$3="","",入力データ!$C$104*12)</f>
        <v/>
      </c>
      <c r="CJ37" s="359">
        <f>IF(CJ$3="","",入力データ!$C$104*12)</f>
        <v/>
      </c>
      <c r="CK37" s="359">
        <f>IF(CK$3="","",入力データ!$C$104*12)</f>
        <v/>
      </c>
      <c r="CL37" s="359">
        <f>IF(CL$3="","",入力データ!$C$104*12)</f>
        <v/>
      </c>
      <c r="CM37" s="359">
        <f>IF(CM$3="","",入力データ!$C$104*12)</f>
        <v/>
      </c>
      <c r="CN37" s="359">
        <f>IF(CN$3="","",入力データ!$C$104*12)</f>
        <v/>
      </c>
      <c r="CO37" s="359">
        <f>IF(CO$3="","",入力データ!$C$104*12)</f>
        <v/>
      </c>
      <c r="CP37" s="359">
        <f>IF(CP$3="","",入力データ!$C$104*12)</f>
        <v/>
      </c>
      <c r="CQ37" s="359">
        <f>IF(CQ$3="","",入力データ!$C$104*12)</f>
        <v/>
      </c>
      <c r="CR37" s="359">
        <f>IF(CR$3="","",入力データ!$C$104*12)</f>
        <v/>
      </c>
      <c r="CS37" s="359">
        <f>IF(CS$3="","",入力データ!$C$104*12)</f>
        <v/>
      </c>
      <c r="CT37" s="359">
        <f>IF(CT$3="","",入力データ!$C$104*12)</f>
        <v/>
      </c>
      <c r="CU37" s="359">
        <f>IF(CU$3="","",入力データ!$C$104*12)</f>
        <v/>
      </c>
      <c r="CV37" s="359">
        <f>IF(CV$3="","",入力データ!$C$104*12)</f>
        <v/>
      </c>
      <c r="CW37" s="359">
        <f>IF(CW$3="","",入力データ!$C$104*12)</f>
        <v/>
      </c>
    </row>
    <row r="38" hidden="1" ht="16.5" customHeight="1" s="180">
      <c r="A38" s="239" t="inlineStr">
        <is>
          <t>預貯金前年差引前(補助)</t>
        </is>
      </c>
      <c r="B38" s="359">
        <f>IF(B$3="","",SUM(入力データ!$C$88:$C$89)+B30-B36-B37)</f>
        <v/>
      </c>
      <c r="C38" s="359">
        <f>IF(C$3="","",B31+C30-C36-C37)</f>
        <v/>
      </c>
      <c r="D38" s="359">
        <f>IF(D$3="","",C31+D30-D36-D37)</f>
        <v/>
      </c>
      <c r="E38" s="359">
        <f>IF(E$3="","",D31+E30-E36-E37)</f>
        <v/>
      </c>
      <c r="F38" s="359">
        <f>IF(F$3="","",E31+F30-F36-F37)</f>
        <v/>
      </c>
      <c r="G38" s="359">
        <f>IF(G$3="","",F31+G30-G36-G37)</f>
        <v/>
      </c>
      <c r="H38" s="359">
        <f>IF(H$3="","",G31+H30-H36-H37)</f>
        <v/>
      </c>
      <c r="I38" s="359">
        <f>IF(I$3="","",H31+I30-I36-I37)</f>
        <v/>
      </c>
      <c r="J38" s="359">
        <f>IF(J$3="","",I31+J30-J36-J37)</f>
        <v/>
      </c>
      <c r="K38" s="359">
        <f>IF(K$3="","",J31+K30-K36-K37)</f>
        <v/>
      </c>
      <c r="L38" s="359">
        <f>IF(L$3="","",K31+L30-L36-L37)</f>
        <v/>
      </c>
      <c r="M38" s="359">
        <f>IF(M$3="","",L31+M30-M36-M37)</f>
        <v/>
      </c>
      <c r="N38" s="359">
        <f>IF(N$3="","",M31+N30-N36-N37)</f>
        <v/>
      </c>
      <c r="O38" s="359">
        <f>IF(O$3="","",N31+O30-O36-O37)</f>
        <v/>
      </c>
      <c r="P38" s="359">
        <f>IF(P$3="","",O31+P30-P36-P37)</f>
        <v/>
      </c>
      <c r="Q38" s="359">
        <f>IF(Q$3="","",P31+Q30-Q36-Q37)</f>
        <v/>
      </c>
      <c r="R38" s="359">
        <f>IF(R$3="","",Q31+R30-R36-R37)</f>
        <v/>
      </c>
      <c r="S38" s="359">
        <f>IF(S$3="","",R31+S30-S36-S37)</f>
        <v/>
      </c>
      <c r="T38" s="359">
        <f>IF(T$3="","",S31+T30-T36-T37)</f>
        <v/>
      </c>
      <c r="U38" s="359">
        <f>IF(U$3="","",T31+U30-U36-U37)</f>
        <v/>
      </c>
      <c r="V38" s="359">
        <f>IF(V$3="","",U31+V30-V36-V37)</f>
        <v/>
      </c>
      <c r="W38" s="359">
        <f>IF(W$3="","",V31+W30-W36-W37)</f>
        <v/>
      </c>
      <c r="X38" s="359">
        <f>IF(X$3="","",W31+X30-X36-X37)</f>
        <v/>
      </c>
      <c r="Y38" s="359">
        <f>IF(Y$3="","",X31+Y30-Y36-Y37)</f>
        <v/>
      </c>
      <c r="Z38" s="359">
        <f>IF(Z$3="","",Y31+Z30-Z36-Z37)</f>
        <v/>
      </c>
      <c r="AA38" s="359">
        <f>IF(AA$3="","",Z31+AA30-AA36-AA37)</f>
        <v/>
      </c>
      <c r="AB38" s="359">
        <f>IF(AB$3="","",AA31+AB30-AB36-AB37)</f>
        <v/>
      </c>
      <c r="AC38" s="359">
        <f>IF(AC$3="","",AB31+AC30-AC36-AC37)</f>
        <v/>
      </c>
      <c r="AD38" s="359">
        <f>IF(AD$3="","",AC31+AD30-AD36-AD37)</f>
        <v/>
      </c>
      <c r="AE38" s="359">
        <f>IF(AE$3="","",AD31+AE30-AE36-AE37)</f>
        <v/>
      </c>
      <c r="AF38" s="359">
        <f>IF(AF$3="","",AE31+AF30-AF36-AF37)</f>
        <v/>
      </c>
      <c r="AG38" s="359">
        <f>IF(AG$3="","",AF31+AG30-AG36-AG37)</f>
        <v/>
      </c>
      <c r="AH38" s="359">
        <f>IF(AH$3="","",AG31+AH30-AH36-AH37)</f>
        <v/>
      </c>
      <c r="AI38" s="359">
        <f>IF(AI$3="","",AH31+AI30-AI36-AI37)</f>
        <v/>
      </c>
      <c r="AJ38" s="359">
        <f>IF(AJ$3="","",AI31+AJ30-AJ36-AJ37)</f>
        <v/>
      </c>
      <c r="AK38" s="359">
        <f>IF(AK$3="","",AJ31+AK30-AK36-AK37)</f>
        <v/>
      </c>
      <c r="AL38" s="359">
        <f>IF(AL$3="","",AK31+AL30-AL36-AL37)</f>
        <v/>
      </c>
      <c r="AM38" s="359">
        <f>IF(AM$3="","",AL31+AM30-AM36-AM37)</f>
        <v/>
      </c>
      <c r="AN38" s="359">
        <f>IF(AN$3="","",AM31+AN30-AN36-AN37)</f>
        <v/>
      </c>
      <c r="AO38" s="359">
        <f>IF(AO$3="","",AN31+AO30-AO36-AO37)</f>
        <v/>
      </c>
      <c r="AP38" s="359">
        <f>IF(AP$3="","",AO31+AP30-AP36-AP37)</f>
        <v/>
      </c>
      <c r="AQ38" s="359">
        <f>IF(AQ$3="","",AP31+AQ30-AQ36-AQ37)</f>
        <v/>
      </c>
      <c r="AR38" s="359">
        <f>IF(AR$3="","",AQ31+AR30-AR36-AR37)</f>
        <v/>
      </c>
      <c r="AS38" s="359">
        <f>IF(AS$3="","",AR31+AS30-AS36-AS37)</f>
        <v/>
      </c>
      <c r="AT38" s="359">
        <f>IF(AT$3="","",AS31+AT30-AT36-AT37)</f>
        <v/>
      </c>
      <c r="AU38" s="359">
        <f>IF(AU$3="","",AT31+AU30-AU36-AU37)</f>
        <v/>
      </c>
      <c r="AV38" s="359">
        <f>IF(AV$3="","",AU31+AV30-AV36-AV37)</f>
        <v/>
      </c>
      <c r="AW38" s="359">
        <f>IF(AW$3="","",AV31+AW30-AW36-AW37)</f>
        <v/>
      </c>
      <c r="AX38" s="359">
        <f>IF(AX$3="","",AW31+AX30-AX36-AX37)</f>
        <v/>
      </c>
      <c r="AY38" s="359">
        <f>IF(AY$3="","",AX31+AY30-AY36-AY37)</f>
        <v/>
      </c>
      <c r="AZ38" s="359">
        <f>IF(AZ$3="","",AY31+AZ30-AZ36-AZ37)</f>
        <v/>
      </c>
      <c r="BA38" s="359">
        <f>IF(BA$3="","",AZ31+BA30-BA36-BA37)</f>
        <v/>
      </c>
      <c r="BB38" s="359">
        <f>IF(BB$3="","",BA31+BB30-BB36-BB37)</f>
        <v/>
      </c>
      <c r="BC38" s="359">
        <f>IF(BC$3="","",BB31+BC30-BC36-BC37)</f>
        <v/>
      </c>
      <c r="BD38" s="359">
        <f>IF(BD$3="","",BC31+BD30-BD36-BD37)</f>
        <v/>
      </c>
      <c r="BE38" s="359">
        <f>IF(BE$3="","",BD31+BE30-BE36-BE37)</f>
        <v/>
      </c>
      <c r="BF38" s="359">
        <f>IF(BF$3="","",BE31+BF30-BF36-BF37)</f>
        <v/>
      </c>
      <c r="BG38" s="359">
        <f>IF(BG$3="","",BF31+BG30-BG36-BG37)</f>
        <v/>
      </c>
      <c r="BH38" s="359">
        <f>IF(BH$3="","",BG31+BH30-BH36-BH37)</f>
        <v/>
      </c>
      <c r="BI38" s="359">
        <f>IF(BI$3="","",BH31+BI30-BI36-BI37)</f>
        <v/>
      </c>
      <c r="BJ38" s="359">
        <f>IF(BJ$3="","",BI31+BJ30-BJ36-BJ37)</f>
        <v/>
      </c>
      <c r="BK38" s="359">
        <f>IF(BK$3="","",BJ31+BK30-BK36-BK37)</f>
        <v/>
      </c>
      <c r="BL38" s="359">
        <f>IF(BL$3="","",BK31+BL30-BL36-BL37)</f>
        <v/>
      </c>
      <c r="BM38" s="359">
        <f>IF(BM$3="","",BL31+BM30-BM36-BM37)</f>
        <v/>
      </c>
      <c r="BN38" s="359">
        <f>IF(BN$3="","",BM31+BN30-BN36-BN37)</f>
        <v/>
      </c>
      <c r="BO38" s="359">
        <f>IF(BO$3="","",BN31+BO30-BO36-BO37)</f>
        <v/>
      </c>
      <c r="BP38" s="359">
        <f>IF(BP$3="","",BO31+BP30-BP36-BP37)</f>
        <v/>
      </c>
      <c r="BQ38" s="359">
        <f>IF(BQ$3="","",BP31+BQ30-BQ36-BQ37)</f>
        <v/>
      </c>
      <c r="BR38" s="359">
        <f>IF(BR$3="","",BQ31+BR30-BR36-BR37)</f>
        <v/>
      </c>
      <c r="BS38" s="359">
        <f>IF(BS$3="","",BR31+BS30-BS36-BS37)</f>
        <v/>
      </c>
      <c r="BT38" s="359">
        <f>IF(BT$3="","",BS31+BT30-BT36-BT37)</f>
        <v/>
      </c>
      <c r="BU38" s="359">
        <f>IF(BU$3="","",BT31+BU30-BU36-BU37)</f>
        <v/>
      </c>
      <c r="BV38" s="359">
        <f>IF(BV$3="","",BU31+BV30-BV36-BV37)</f>
        <v/>
      </c>
      <c r="BW38" s="359">
        <f>IF(BW$3="","",BV31+BW30-BW36-BW37)</f>
        <v/>
      </c>
      <c r="BX38" s="359">
        <f>IF(BX$3="","",BW31+BX30-BX36-BX37)</f>
        <v/>
      </c>
      <c r="BY38" s="359">
        <f>IF(BY$3="","",BX31+BY30-BY36-BY37)</f>
        <v/>
      </c>
      <c r="BZ38" s="359">
        <f>IF(BZ$3="","",BY31+BZ30-BZ36-BZ37)</f>
        <v/>
      </c>
      <c r="CA38" s="359">
        <f>IF(CA$3="","",BZ31+CA30-CA36-CA37)</f>
        <v/>
      </c>
      <c r="CB38" s="359">
        <f>IF(CB$3="","",CA31+CB30-CB36-CB37)</f>
        <v/>
      </c>
      <c r="CC38" s="359">
        <f>IF(CC$3="","",CB31+CC30-CC36-CC37)</f>
        <v/>
      </c>
      <c r="CD38" s="359">
        <f>IF(CD$3="","",CC31+CD30-CD36-CD37)</f>
        <v/>
      </c>
      <c r="CE38" s="359">
        <f>IF(CE$3="","",CD31+CE30-CE36-CE37)</f>
        <v/>
      </c>
      <c r="CF38" s="359">
        <f>IF(CF$3="","",CE31+CF30-CF36-CF37)</f>
        <v/>
      </c>
      <c r="CG38" s="359">
        <f>IF(CG$3="","",CF31+CG30-CG36-CG37)</f>
        <v/>
      </c>
      <c r="CH38" s="359">
        <f>IF(CH$3="","",CG31+CH30-CH36-CH37)</f>
        <v/>
      </c>
      <c r="CI38" s="359">
        <f>IF(CI$3="","",CH31+CI30-CI36-CI37)</f>
        <v/>
      </c>
      <c r="CJ38" s="359">
        <f>IF(CJ$3="","",CI31+CJ30-CJ36-CJ37)</f>
        <v/>
      </c>
      <c r="CK38" s="359">
        <f>IF(CK$3="","",CJ31+CK30-CK36-CK37)</f>
        <v/>
      </c>
      <c r="CL38" s="359">
        <f>IF(CL$3="","",CK31+CL30-CL36-CL37)</f>
        <v/>
      </c>
      <c r="CM38" s="359">
        <f>IF(CM$3="","",CL31+CM30-CM36-CM37)</f>
        <v/>
      </c>
      <c r="CN38" s="359">
        <f>IF(CN$3="","",CM31+CN30-CN36-CN37)</f>
        <v/>
      </c>
      <c r="CO38" s="359">
        <f>IF(CO$3="","",CN31+CO30-CO36-CO37)</f>
        <v/>
      </c>
      <c r="CP38" s="359">
        <f>IF(CP$3="","",CO31+CP30-CP36-CP37)</f>
        <v/>
      </c>
      <c r="CQ38" s="359">
        <f>IF(CQ$3="","",CP31+CQ30-CQ36-CQ37)</f>
        <v/>
      </c>
      <c r="CR38" s="359">
        <f>IF(CR$3="","",CQ31+CR30-CR36-CR37)</f>
        <v/>
      </c>
      <c r="CS38" s="359">
        <f>IF(CS$3="","",CR31+CS30-CS36-CS37)</f>
        <v/>
      </c>
      <c r="CT38" s="359">
        <f>IF(CT$3="","",CS31+CT30-CT36-CT37)</f>
        <v/>
      </c>
      <c r="CU38" s="359">
        <f>IF(CU$3="","",CT31+CU30-CU36-CU37)</f>
        <v/>
      </c>
      <c r="CV38" s="359">
        <f>IF(CV$3="","",CU31+CV30-CV36-CV37)</f>
        <v/>
      </c>
      <c r="CW38" s="359">
        <f>IF(CW$3="","",CV31+CW30-CW36-CW37)</f>
        <v/>
      </c>
    </row>
    <row r="39" hidden="1" ht="16.5" customHeight="1" s="180">
      <c r="A39" s="239" t="inlineStr">
        <is>
          <t>投資取り崩し額(補助)</t>
        </is>
      </c>
      <c r="B39" s="359">
        <f>IF(B$3="","",MAX(0,-B38))</f>
        <v/>
      </c>
      <c r="C39" s="359">
        <f>IF(C$3="","",MAX(0,-C38))</f>
        <v/>
      </c>
      <c r="D39" s="359">
        <f>IF(D$3="","",MAX(0,-D38))</f>
        <v/>
      </c>
      <c r="E39" s="359">
        <f>IF(E$3="","",MAX(0,-E38))</f>
        <v/>
      </c>
      <c r="F39" s="359">
        <f>IF(F$3="","",MAX(0,-F38))</f>
        <v/>
      </c>
      <c r="G39" s="359">
        <f>IF(G$3="","",MAX(0,-G38))</f>
        <v/>
      </c>
      <c r="H39" s="359">
        <f>IF(H$3="","",MAX(0,-H38))</f>
        <v/>
      </c>
      <c r="I39" s="359">
        <f>IF(I$3="","",MAX(0,-I38))</f>
        <v/>
      </c>
      <c r="J39" s="359">
        <f>IF(J$3="","",MAX(0,-J38))</f>
        <v/>
      </c>
      <c r="K39" s="359">
        <f>IF(K$3="","",MAX(0,-K38))</f>
        <v/>
      </c>
      <c r="L39" s="359">
        <f>IF(L$3="","",MAX(0,-L38))</f>
        <v/>
      </c>
      <c r="M39" s="359">
        <f>IF(M$3="","",MAX(0,-M38))</f>
        <v/>
      </c>
      <c r="N39" s="359">
        <f>IF(N$3="","",MAX(0,-N38))</f>
        <v/>
      </c>
      <c r="O39" s="359">
        <f>IF(O$3="","",MAX(0,-O38))</f>
        <v/>
      </c>
      <c r="P39" s="359">
        <f>IF(P$3="","",MAX(0,-P38))</f>
        <v/>
      </c>
      <c r="Q39" s="359">
        <f>IF(Q$3="","",MAX(0,-Q38))</f>
        <v/>
      </c>
      <c r="R39" s="359">
        <f>IF(R$3="","",MAX(0,-R38))</f>
        <v/>
      </c>
      <c r="S39" s="359">
        <f>IF(S$3="","",MAX(0,-S38))</f>
        <v/>
      </c>
      <c r="T39" s="359">
        <f>IF(T$3="","",MAX(0,-T38))</f>
        <v/>
      </c>
      <c r="U39" s="359">
        <f>IF(U$3="","",MAX(0,-U38))</f>
        <v/>
      </c>
      <c r="V39" s="359">
        <f>IF(V$3="","",MAX(0,-V38))</f>
        <v/>
      </c>
      <c r="W39" s="359">
        <f>IF(W$3="","",MAX(0,-W38))</f>
        <v/>
      </c>
      <c r="X39" s="359">
        <f>IF(X$3="","",MAX(0,-X38))</f>
        <v/>
      </c>
      <c r="Y39" s="359">
        <f>IF(Y$3="","",MAX(0,-Y38))</f>
        <v/>
      </c>
      <c r="Z39" s="359">
        <f>IF(Z$3="","",MAX(0,-Z38))</f>
        <v/>
      </c>
      <c r="AA39" s="359">
        <f>IF(AA$3="","",MAX(0,-AA38))</f>
        <v/>
      </c>
      <c r="AB39" s="359">
        <f>IF(AB$3="","",MAX(0,-AB38))</f>
        <v/>
      </c>
      <c r="AC39" s="359">
        <f>IF(AC$3="","",MAX(0,-AC38))</f>
        <v/>
      </c>
      <c r="AD39" s="359">
        <f>IF(AD$3="","",MAX(0,-AD38))</f>
        <v/>
      </c>
      <c r="AE39" s="359">
        <f>IF(AE$3="","",MAX(0,-AE38))</f>
        <v/>
      </c>
      <c r="AF39" s="359">
        <f>IF(AF$3="","",MAX(0,-AF38))</f>
        <v/>
      </c>
      <c r="AG39" s="359">
        <f>IF(AG$3="","",MAX(0,-AG38))</f>
        <v/>
      </c>
      <c r="AH39" s="359">
        <f>IF(AH$3="","",MAX(0,-AH38))</f>
        <v/>
      </c>
      <c r="AI39" s="359">
        <f>IF(AI$3="","",MAX(0,-AI38))</f>
        <v/>
      </c>
      <c r="AJ39" s="359">
        <f>IF(AJ$3="","",MAX(0,-AJ38))</f>
        <v/>
      </c>
      <c r="AK39" s="359">
        <f>IF(AK$3="","",MAX(0,-AK38))</f>
        <v/>
      </c>
      <c r="AL39" s="359">
        <f>IF(AL$3="","",MAX(0,-AL38))</f>
        <v/>
      </c>
      <c r="AM39" s="359">
        <f>IF(AM$3="","",MAX(0,-AM38))</f>
        <v/>
      </c>
      <c r="AN39" s="359">
        <f>IF(AN$3="","",MAX(0,-AN38))</f>
        <v/>
      </c>
      <c r="AO39" s="359">
        <f>IF(AO$3="","",MAX(0,-AO38))</f>
        <v/>
      </c>
      <c r="AP39" s="359">
        <f>IF(AP$3="","",MAX(0,-AP38))</f>
        <v/>
      </c>
      <c r="AQ39" s="359">
        <f>IF(AQ$3="","",MAX(0,-AQ38))</f>
        <v/>
      </c>
      <c r="AR39" s="359">
        <f>IF(AR$3="","",MAX(0,-AR38))</f>
        <v/>
      </c>
      <c r="AS39" s="359">
        <f>IF(AS$3="","",MAX(0,-AS38))</f>
        <v/>
      </c>
      <c r="AT39" s="359">
        <f>IF(AT$3="","",MAX(0,-AT38))</f>
        <v/>
      </c>
      <c r="AU39" s="359">
        <f>IF(AU$3="","",MAX(0,-AU38))</f>
        <v/>
      </c>
      <c r="AV39" s="359">
        <f>IF(AV$3="","",MAX(0,-AV38))</f>
        <v/>
      </c>
      <c r="AW39" s="359">
        <f>IF(AW$3="","",MAX(0,-AW38))</f>
        <v/>
      </c>
      <c r="AX39" s="359">
        <f>IF(AX$3="","",MAX(0,-AX38))</f>
        <v/>
      </c>
      <c r="AY39" s="359">
        <f>IF(AY$3="","",MAX(0,-AY38))</f>
        <v/>
      </c>
      <c r="AZ39" s="359">
        <f>IF(AZ$3="","",MAX(0,-AZ38))</f>
        <v/>
      </c>
      <c r="BA39" s="359">
        <f>IF(BA$3="","",MAX(0,-BA38))</f>
        <v/>
      </c>
      <c r="BB39" s="359">
        <f>IF(BB$3="","",MAX(0,-BB38))</f>
        <v/>
      </c>
      <c r="BC39" s="359">
        <f>IF(BC$3="","",MAX(0,-BC38))</f>
        <v/>
      </c>
      <c r="BD39" s="359">
        <f>IF(BD$3="","",MAX(0,-BD38))</f>
        <v/>
      </c>
      <c r="BE39" s="359">
        <f>IF(BE$3="","",MAX(0,-BE38))</f>
        <v/>
      </c>
      <c r="BF39" s="359">
        <f>IF(BF$3="","",MAX(0,-BF38))</f>
        <v/>
      </c>
      <c r="BG39" s="359">
        <f>IF(BG$3="","",MAX(0,-BG38))</f>
        <v/>
      </c>
      <c r="BH39" s="359">
        <f>IF(BH$3="","",MAX(0,-BH38))</f>
        <v/>
      </c>
      <c r="BI39" s="359">
        <f>IF(BI$3="","",MAX(0,-BI38))</f>
        <v/>
      </c>
      <c r="BJ39" s="359">
        <f>IF(BJ$3="","",MAX(0,-BJ38))</f>
        <v/>
      </c>
      <c r="BK39" s="359">
        <f>IF(BK$3="","",MAX(0,-BK38))</f>
        <v/>
      </c>
      <c r="BL39" s="359">
        <f>IF(BL$3="","",MAX(0,-BL38))</f>
        <v/>
      </c>
      <c r="BM39" s="359">
        <f>IF(BM$3="","",MAX(0,-BM38))</f>
        <v/>
      </c>
      <c r="BN39" s="359">
        <f>IF(BN$3="","",MAX(0,-BN38))</f>
        <v/>
      </c>
      <c r="BO39" s="359">
        <f>IF(BO$3="","",MAX(0,-BO38))</f>
        <v/>
      </c>
      <c r="BP39" s="359">
        <f>IF(BP$3="","",MAX(0,-BP38))</f>
        <v/>
      </c>
      <c r="BQ39" s="359">
        <f>IF(BQ$3="","",MAX(0,-BQ38))</f>
        <v/>
      </c>
      <c r="BR39" s="359">
        <f>IF(BR$3="","",MAX(0,-BR38))</f>
        <v/>
      </c>
      <c r="BS39" s="359">
        <f>IF(BS$3="","",MAX(0,-BS38))</f>
        <v/>
      </c>
      <c r="BT39" s="359">
        <f>IF(BT$3="","",MAX(0,-BT38))</f>
        <v/>
      </c>
      <c r="BU39" s="359">
        <f>IF(BU$3="","",MAX(0,-BU38))</f>
        <v/>
      </c>
      <c r="BV39" s="359">
        <f>IF(BV$3="","",MAX(0,-BV38))</f>
        <v/>
      </c>
      <c r="BW39" s="359">
        <f>IF(BW$3="","",MAX(0,-BW38))</f>
        <v/>
      </c>
      <c r="BX39" s="359">
        <f>IF(BX$3="","",MAX(0,-BX38))</f>
        <v/>
      </c>
      <c r="BY39" s="359">
        <f>IF(BY$3="","",MAX(0,-BY38))</f>
        <v/>
      </c>
      <c r="BZ39" s="359">
        <f>IF(BZ$3="","",MAX(0,-BZ38))</f>
        <v/>
      </c>
      <c r="CA39" s="359">
        <f>IF(CA$3="","",MAX(0,-CA38))</f>
        <v/>
      </c>
      <c r="CB39" s="359">
        <f>IF(CB$3="","",MAX(0,-CB38))</f>
        <v/>
      </c>
      <c r="CC39" s="359">
        <f>IF(CC$3="","",MAX(0,-CC38))</f>
        <v/>
      </c>
      <c r="CD39" s="359">
        <f>IF(CD$3="","",MAX(0,-CD38))</f>
        <v/>
      </c>
      <c r="CE39" s="359">
        <f>IF(CE$3="","",MAX(0,-CE38))</f>
        <v/>
      </c>
      <c r="CF39" s="359">
        <f>IF(CF$3="","",MAX(0,-CF38))</f>
        <v/>
      </c>
      <c r="CG39" s="359">
        <f>IF(CG$3="","",MAX(0,-CG38))</f>
        <v/>
      </c>
      <c r="CH39" s="359">
        <f>IF(CH$3="","",MAX(0,-CH38))</f>
        <v/>
      </c>
      <c r="CI39" s="359">
        <f>IF(CI$3="","",MAX(0,-CI38))</f>
        <v/>
      </c>
      <c r="CJ39" s="359">
        <f>IF(CJ$3="","",MAX(0,-CJ38))</f>
        <v/>
      </c>
      <c r="CK39" s="359">
        <f>IF(CK$3="","",MAX(0,-CK38))</f>
        <v/>
      </c>
      <c r="CL39" s="359">
        <f>IF(CL$3="","",MAX(0,-CL38))</f>
        <v/>
      </c>
      <c r="CM39" s="359">
        <f>IF(CM$3="","",MAX(0,-CM38))</f>
        <v/>
      </c>
      <c r="CN39" s="359">
        <f>IF(CN$3="","",MAX(0,-CN38))</f>
        <v/>
      </c>
      <c r="CO39" s="359">
        <f>IF(CO$3="","",MAX(0,-CO38))</f>
        <v/>
      </c>
      <c r="CP39" s="359">
        <f>IF(CP$3="","",MAX(0,-CP38))</f>
        <v/>
      </c>
      <c r="CQ39" s="359">
        <f>IF(CQ$3="","",MAX(0,-CQ38))</f>
        <v/>
      </c>
      <c r="CR39" s="359">
        <f>IF(CR$3="","",MAX(0,-CR38))</f>
        <v/>
      </c>
      <c r="CS39" s="359">
        <f>IF(CS$3="","",MAX(0,-CS38))</f>
        <v/>
      </c>
      <c r="CT39" s="359">
        <f>IF(CT$3="","",MAX(0,-CT38))</f>
        <v/>
      </c>
      <c r="CU39" s="359">
        <f>IF(CU$3="","",MAX(0,-CU38))</f>
        <v/>
      </c>
      <c r="CV39" s="359">
        <f>IF(CV$3="","",MAX(0,-CV38))</f>
        <v/>
      </c>
      <c r="CW39" s="359">
        <f>IF(CW$3="","",MAX(0,-CW38))</f>
        <v/>
      </c>
    </row>
    <row r="40" hidden="1" ht="16.5" customHeight="1" s="180">
      <c r="A40" s="239" t="inlineStr">
        <is>
          <t>返戻金取り崩し額(補助)</t>
        </is>
      </c>
      <c r="B40" s="359">
        <f>IF(B$3="","",MAX(0,B39-((SUM(入力データ!$C$90:$C$92,入力データ!$C$94)*(1+前提条件!$C$60))+B36)))</f>
        <v/>
      </c>
      <c r="C40" s="359">
        <f>IF(C$3="","",MAX(0,C39-((B32*(1+前提条件!$C$60))+C36)))</f>
        <v/>
      </c>
      <c r="D40" s="359">
        <f>IF(D$3="","",MAX(0,D39-((C32*(1+前提条件!$C$60))+D36)))</f>
        <v/>
      </c>
      <c r="E40" s="359">
        <f>IF(E$3="","",MAX(0,E39-((D32*(1+前提条件!$C$60))+E36)))</f>
        <v/>
      </c>
      <c r="F40" s="359">
        <f>IF(F$3="","",MAX(0,F39-((E32*(1+前提条件!$C$60))+F36)))</f>
        <v/>
      </c>
      <c r="G40" s="359">
        <f>IF(G$3="","",MAX(0,G39-((F32*(1+前提条件!$C$60))+G36)))</f>
        <v/>
      </c>
      <c r="H40" s="359">
        <f>IF(H$3="","",MAX(0,H39-((G32*(1+前提条件!$C$60))+H36)))</f>
        <v/>
      </c>
      <c r="I40" s="359">
        <f>IF(I$3="","",MAX(0,I39-((H32*(1+前提条件!$C$60))+I36)))</f>
        <v/>
      </c>
      <c r="J40" s="359">
        <f>IF(J$3="","",MAX(0,J39-((I32*(1+前提条件!$C$60))+J36)))</f>
        <v/>
      </c>
      <c r="K40" s="359">
        <f>IF(K$3="","",MAX(0,K39-((J32*(1+前提条件!$C$60))+K36)))</f>
        <v/>
      </c>
      <c r="L40" s="359">
        <f>IF(L$3="","",MAX(0,L39-((K32*(1+前提条件!$C$60))+L36)))</f>
        <v/>
      </c>
      <c r="M40" s="359">
        <f>IF(M$3="","",MAX(0,M39-((L32*(1+前提条件!$C$60))+M36)))</f>
        <v/>
      </c>
      <c r="N40" s="359">
        <f>IF(N$3="","",MAX(0,N39-((M32*(1+前提条件!$C$60))+N36)))</f>
        <v/>
      </c>
      <c r="O40" s="359">
        <f>IF(O$3="","",MAX(0,O39-((N32*(1+前提条件!$C$60))+O36)))</f>
        <v/>
      </c>
      <c r="P40" s="359">
        <f>IF(P$3="","",MAX(0,P39-((O32*(1+前提条件!$C$60))+P36)))</f>
        <v/>
      </c>
      <c r="Q40" s="359">
        <f>IF(Q$3="","",MAX(0,Q39-((P32*(1+前提条件!$C$60))+Q36)))</f>
        <v/>
      </c>
      <c r="R40" s="359">
        <f>IF(R$3="","",MAX(0,R39-((Q32*(1+前提条件!$C$60))+R36)))</f>
        <v/>
      </c>
      <c r="S40" s="359">
        <f>IF(S$3="","",MAX(0,S39-((R32*(1+前提条件!$C$60))+S36)))</f>
        <v/>
      </c>
      <c r="T40" s="359">
        <f>IF(T$3="","",MAX(0,T39-((S32*(1+前提条件!$C$60))+T36)))</f>
        <v/>
      </c>
      <c r="U40" s="359">
        <f>IF(U$3="","",MAX(0,U39-((T32*(1+前提条件!$C$60))+U36)))</f>
        <v/>
      </c>
      <c r="V40" s="359">
        <f>IF(V$3="","",MAX(0,V39-((U32*(1+前提条件!$C$60))+V36)))</f>
        <v/>
      </c>
      <c r="W40" s="359">
        <f>IF(W$3="","",MAX(0,W39-((V32*(1+前提条件!$C$60))+W36)))</f>
        <v/>
      </c>
      <c r="X40" s="359">
        <f>IF(X$3="","",MAX(0,X39-((W32*(1+前提条件!$C$60))+X36)))</f>
        <v/>
      </c>
      <c r="Y40" s="359">
        <f>IF(Y$3="","",MAX(0,Y39-((X32*(1+前提条件!$C$60))+Y36)))</f>
        <v/>
      </c>
      <c r="Z40" s="359">
        <f>IF(Z$3="","",MAX(0,Z39-((Y32*(1+前提条件!$C$60))+Z36)))</f>
        <v/>
      </c>
      <c r="AA40" s="359">
        <f>IF(AA$3="","",MAX(0,AA39-((Z32*(1+前提条件!$C$60))+AA36)))</f>
        <v/>
      </c>
      <c r="AB40" s="359">
        <f>IF(AB$3="","",MAX(0,AB39-((AA32*(1+前提条件!$C$60))+AB36)))</f>
        <v/>
      </c>
      <c r="AC40" s="359">
        <f>IF(AC$3="","",MAX(0,AC39-((AB32*(1+前提条件!$C$60))+AC36)))</f>
        <v/>
      </c>
      <c r="AD40" s="359">
        <f>IF(AD$3="","",MAX(0,AD39-((AC32*(1+前提条件!$C$60))+AD36)))</f>
        <v/>
      </c>
      <c r="AE40" s="359">
        <f>IF(AE$3="","",MAX(0,AE39-((AD32*(1+前提条件!$C$60))+AE36)))</f>
        <v/>
      </c>
      <c r="AF40" s="359">
        <f>IF(AF$3="","",MAX(0,AF39-((AE32*(1+前提条件!$C$60))+AF36)))</f>
        <v/>
      </c>
      <c r="AG40" s="359">
        <f>IF(AG$3="","",MAX(0,AG39-((AF32*(1+前提条件!$C$60))+AG36)))</f>
        <v/>
      </c>
      <c r="AH40" s="359">
        <f>IF(AH$3="","",MAX(0,AH39-((AG32*(1+前提条件!$C$60))+AH36)))</f>
        <v/>
      </c>
      <c r="AI40" s="359">
        <f>IF(AI$3="","",MAX(0,AI39-((AH32*(1+前提条件!$C$60))+AI36)))</f>
        <v/>
      </c>
      <c r="AJ40" s="359">
        <f>IF(AJ$3="","",MAX(0,AJ39-((AI32*(1+前提条件!$C$60))+AJ36)))</f>
        <v/>
      </c>
      <c r="AK40" s="359">
        <f>IF(AK$3="","",MAX(0,AK39-((AJ32*(1+前提条件!$C$60))+AK36)))</f>
        <v/>
      </c>
      <c r="AL40" s="359">
        <f>IF(AL$3="","",MAX(0,AL39-((AK32*(1+前提条件!$C$60))+AL36)))</f>
        <v/>
      </c>
      <c r="AM40" s="359">
        <f>IF(AM$3="","",MAX(0,AM39-((AL32*(1+前提条件!$C$60))+AM36)))</f>
        <v/>
      </c>
      <c r="AN40" s="359">
        <f>IF(AN$3="","",MAX(0,AN39-((AM32*(1+前提条件!$C$60))+AN36)))</f>
        <v/>
      </c>
      <c r="AO40" s="359">
        <f>IF(AO$3="","",MAX(0,AO39-((AN32*(1+前提条件!$C$60))+AO36)))</f>
        <v/>
      </c>
      <c r="AP40" s="359">
        <f>IF(AP$3="","",MAX(0,AP39-((AO32*(1+前提条件!$C$60))+AP36)))</f>
        <v/>
      </c>
      <c r="AQ40" s="359">
        <f>IF(AQ$3="","",MAX(0,AQ39-((AP32*(1+前提条件!$C$60))+AQ36)))</f>
        <v/>
      </c>
      <c r="AR40" s="359">
        <f>IF(AR$3="","",MAX(0,AR39-((AQ32*(1+前提条件!$C$60))+AR36)))</f>
        <v/>
      </c>
      <c r="AS40" s="359">
        <f>IF(AS$3="","",MAX(0,AS39-((AR32*(1+前提条件!$C$60))+AS36)))</f>
        <v/>
      </c>
      <c r="AT40" s="359">
        <f>IF(AT$3="","",MAX(0,AT39-((AS32*(1+前提条件!$C$60))+AT36)))</f>
        <v/>
      </c>
      <c r="AU40" s="359">
        <f>IF(AU$3="","",MAX(0,AU39-((AT32*(1+前提条件!$C$60))+AU36)))</f>
        <v/>
      </c>
      <c r="AV40" s="359">
        <f>IF(AV$3="","",MAX(0,AV39-((AU32*(1+前提条件!$C$60))+AV36)))</f>
        <v/>
      </c>
      <c r="AW40" s="359">
        <f>IF(AW$3="","",MAX(0,AW39-((AV32*(1+前提条件!$C$60))+AW36)))</f>
        <v/>
      </c>
      <c r="AX40" s="359">
        <f>IF(AX$3="","",MAX(0,AX39-((AW32*(1+前提条件!$C$60))+AX36)))</f>
        <v/>
      </c>
      <c r="AY40" s="359">
        <f>IF(AY$3="","",MAX(0,AY39-((AX32*(1+前提条件!$C$60))+AY36)))</f>
        <v/>
      </c>
      <c r="AZ40" s="359">
        <f>IF(AZ$3="","",MAX(0,AZ39-((AY32*(1+前提条件!$C$60))+AZ36)))</f>
        <v/>
      </c>
      <c r="BA40" s="359">
        <f>IF(BA$3="","",MAX(0,BA39-((AZ32*(1+前提条件!$C$60))+BA36)))</f>
        <v/>
      </c>
      <c r="BB40" s="359">
        <f>IF(BB$3="","",MAX(0,BB39-((BA32*(1+前提条件!$C$60))+BB36)))</f>
        <v/>
      </c>
      <c r="BC40" s="359">
        <f>IF(BC$3="","",MAX(0,BC39-((BB32*(1+前提条件!$C$60))+BC36)))</f>
        <v/>
      </c>
      <c r="BD40" s="359">
        <f>IF(BD$3="","",MAX(0,BD39-((BC32*(1+前提条件!$C$60))+BD36)))</f>
        <v/>
      </c>
      <c r="BE40" s="359">
        <f>IF(BE$3="","",MAX(0,BE39-((BD32*(1+前提条件!$C$60))+BE36)))</f>
        <v/>
      </c>
      <c r="BF40" s="359">
        <f>IF(BF$3="","",MAX(0,BF39-((BE32*(1+前提条件!$C$60))+BF36)))</f>
        <v/>
      </c>
      <c r="BG40" s="359">
        <f>IF(BG$3="","",MAX(0,BG39-((BF32*(1+前提条件!$C$60))+BG36)))</f>
        <v/>
      </c>
      <c r="BH40" s="359">
        <f>IF(BH$3="","",MAX(0,BH39-((BG32*(1+前提条件!$C$60))+BH36)))</f>
        <v/>
      </c>
      <c r="BI40" s="359">
        <f>IF(BI$3="","",MAX(0,BI39-((BH32*(1+前提条件!$C$60))+BI36)))</f>
        <v/>
      </c>
      <c r="BJ40" s="359">
        <f>IF(BJ$3="","",MAX(0,BJ39-((BI32*(1+前提条件!$C$60))+BJ36)))</f>
        <v/>
      </c>
      <c r="BK40" s="359">
        <f>IF(BK$3="","",MAX(0,BK39-((BJ32*(1+前提条件!$C$60))+BK36)))</f>
        <v/>
      </c>
      <c r="BL40" s="359">
        <f>IF(BL$3="","",MAX(0,BL39-((BK32*(1+前提条件!$C$60))+BL36)))</f>
        <v/>
      </c>
      <c r="BM40" s="359">
        <f>IF(BM$3="","",MAX(0,BM39-((BL32*(1+前提条件!$C$60))+BM36)))</f>
        <v/>
      </c>
      <c r="BN40" s="359">
        <f>IF(BN$3="","",MAX(0,BN39-((BM32*(1+前提条件!$C$60))+BN36)))</f>
        <v/>
      </c>
      <c r="BO40" s="359">
        <f>IF(BO$3="","",MAX(0,BO39-((BN32*(1+前提条件!$C$60))+BO36)))</f>
        <v/>
      </c>
      <c r="BP40" s="359">
        <f>IF(BP$3="","",MAX(0,BP39-((BO32*(1+前提条件!$C$60))+BP36)))</f>
        <v/>
      </c>
      <c r="BQ40" s="359">
        <f>IF(BQ$3="","",MAX(0,BQ39-((BP32*(1+前提条件!$C$60))+BQ36)))</f>
        <v/>
      </c>
      <c r="BR40" s="359">
        <f>IF(BR$3="","",MAX(0,BR39-((BQ32*(1+前提条件!$C$60))+BR36)))</f>
        <v/>
      </c>
      <c r="BS40" s="359">
        <f>IF(BS$3="","",MAX(0,BS39-((BR32*(1+前提条件!$C$60))+BS36)))</f>
        <v/>
      </c>
      <c r="BT40" s="359">
        <f>IF(BT$3="","",MAX(0,BT39-((BS32*(1+前提条件!$C$60))+BT36)))</f>
        <v/>
      </c>
      <c r="BU40" s="359">
        <f>IF(BU$3="","",MAX(0,BU39-((BT32*(1+前提条件!$C$60))+BU36)))</f>
        <v/>
      </c>
      <c r="BV40" s="359">
        <f>IF(BV$3="","",MAX(0,BV39-((BU32*(1+前提条件!$C$60))+BV36)))</f>
        <v/>
      </c>
      <c r="BW40" s="359">
        <f>IF(BW$3="","",MAX(0,BW39-((BV32*(1+前提条件!$C$60))+BW36)))</f>
        <v/>
      </c>
      <c r="BX40" s="359">
        <f>IF(BX$3="","",MAX(0,BX39-((BW32*(1+前提条件!$C$60))+BX36)))</f>
        <v/>
      </c>
      <c r="BY40" s="359">
        <f>IF(BY$3="","",MAX(0,BY39-((BX32*(1+前提条件!$C$60))+BY36)))</f>
        <v/>
      </c>
      <c r="BZ40" s="359">
        <f>IF(BZ$3="","",MAX(0,BZ39-((BY32*(1+前提条件!$C$60))+BZ36)))</f>
        <v/>
      </c>
      <c r="CA40" s="359">
        <f>IF(CA$3="","",MAX(0,CA39-((BZ32*(1+前提条件!$C$60))+CA36)))</f>
        <v/>
      </c>
      <c r="CB40" s="359">
        <f>IF(CB$3="","",MAX(0,CB39-((CA32*(1+前提条件!$C$60))+CB36)))</f>
        <v/>
      </c>
      <c r="CC40" s="359">
        <f>IF(CC$3="","",MAX(0,CC39-((CB32*(1+前提条件!$C$60))+CC36)))</f>
        <v/>
      </c>
      <c r="CD40" s="359">
        <f>IF(CD$3="","",MAX(0,CD39-((CC32*(1+前提条件!$C$60))+CD36)))</f>
        <v/>
      </c>
      <c r="CE40" s="359">
        <f>IF(CE$3="","",MAX(0,CE39-((CD32*(1+前提条件!$C$60))+CE36)))</f>
        <v/>
      </c>
      <c r="CF40" s="359">
        <f>IF(CF$3="","",MAX(0,CF39-((CE32*(1+前提条件!$C$60))+CF36)))</f>
        <v/>
      </c>
      <c r="CG40" s="359">
        <f>IF(CG$3="","",MAX(0,CG39-((CF32*(1+前提条件!$C$60))+CG36)))</f>
        <v/>
      </c>
      <c r="CH40" s="359">
        <f>IF(CH$3="","",MAX(0,CH39-((CG32*(1+前提条件!$C$60))+CH36)))</f>
        <v/>
      </c>
      <c r="CI40" s="359">
        <f>IF(CI$3="","",MAX(0,CI39-((CH32*(1+前提条件!$C$60))+CI36)))</f>
        <v/>
      </c>
      <c r="CJ40" s="359">
        <f>IF(CJ$3="","",MAX(0,CJ39-((CI32*(1+前提条件!$C$60))+CJ36)))</f>
        <v/>
      </c>
      <c r="CK40" s="359">
        <f>IF(CK$3="","",MAX(0,CK39-((CJ32*(1+前提条件!$C$60))+CK36)))</f>
        <v/>
      </c>
      <c r="CL40" s="359">
        <f>IF(CL$3="","",MAX(0,CL39-((CK32*(1+前提条件!$C$60))+CL36)))</f>
        <v/>
      </c>
      <c r="CM40" s="359">
        <f>IF(CM$3="","",MAX(0,CM39-((CL32*(1+前提条件!$C$60))+CM36)))</f>
        <v/>
      </c>
      <c r="CN40" s="359">
        <f>IF(CN$3="","",MAX(0,CN39-((CM32*(1+前提条件!$C$60))+CN36)))</f>
        <v/>
      </c>
      <c r="CO40" s="359">
        <f>IF(CO$3="","",MAX(0,CO39-((CN32*(1+前提条件!$C$60))+CO36)))</f>
        <v/>
      </c>
      <c r="CP40" s="359">
        <f>IF(CP$3="","",MAX(0,CP39-((CO32*(1+前提条件!$C$60))+CP36)))</f>
        <v/>
      </c>
      <c r="CQ40" s="359">
        <f>IF(CQ$3="","",MAX(0,CQ39-((CP32*(1+前提条件!$C$60))+CQ36)))</f>
        <v/>
      </c>
      <c r="CR40" s="359">
        <f>IF(CR$3="","",MAX(0,CR39-((CQ32*(1+前提条件!$C$60))+CR36)))</f>
        <v/>
      </c>
      <c r="CS40" s="359">
        <f>IF(CS$3="","",MAX(0,CS39-((CR32*(1+前提条件!$C$60))+CS36)))</f>
        <v/>
      </c>
      <c r="CT40" s="359">
        <f>IF(CT$3="","",MAX(0,CT39-((CS32*(1+前提条件!$C$60))+CT36)))</f>
        <v/>
      </c>
      <c r="CU40" s="359">
        <f>IF(CU$3="","",MAX(0,CU39-((CT32*(1+前提条件!$C$60))+CU36)))</f>
        <v/>
      </c>
      <c r="CV40" s="359">
        <f>IF(CV$3="","",MAX(0,CV39-((CU32*(1+前提条件!$C$60))+CV36)))</f>
        <v/>
      </c>
      <c r="CW40" s="359">
        <f>IF(CW$3="","",MAX(0,CW39-((CV32*(1+前提条件!$C$60))+CW36)))</f>
        <v/>
      </c>
    </row>
    <row r="41" hidden="1" ht="16.5" customHeight="1" s="180">
      <c r="A41" s="239" t="inlineStr">
        <is>
          <t>年間住宅ローン元本返済(補助)</t>
        </is>
      </c>
      <c r="B41" s="359">
        <f>IF(B$3="","",IF(AND(B4&lt;&gt;"",B4&lt;=前提条件!$C$44,入力データ!$C$95&gt;0),入力データ!$C$95/MAX(1,前提条件!$C$44-B4+1),0))</f>
        <v/>
      </c>
      <c r="C41" s="359">
        <f>IF(C$3="","",IF(C4&lt;=前提条件!$C$44,$B$41,0))</f>
        <v/>
      </c>
      <c r="D41" s="359">
        <f>IF(D$3="","",IF(D4&lt;=前提条件!$C$44,$B$41,0))</f>
        <v/>
      </c>
      <c r="E41" s="359">
        <f>IF(E$3="","",IF(E4&lt;=前提条件!$C$44,$B$41,0))</f>
        <v/>
      </c>
      <c r="F41" s="359">
        <f>IF(F$3="","",IF(F4&lt;=前提条件!$C$44,$B$41,0))</f>
        <v/>
      </c>
      <c r="G41" s="359">
        <f>IF(G$3="","",IF(G4&lt;=前提条件!$C$44,$B$41,0))</f>
        <v/>
      </c>
      <c r="H41" s="359">
        <f>IF(H$3="","",IF(H4&lt;=前提条件!$C$44,$B$41,0))</f>
        <v/>
      </c>
      <c r="I41" s="359">
        <f>IF(I$3="","",IF(I4&lt;=前提条件!$C$44,$B$41,0))</f>
        <v/>
      </c>
      <c r="J41" s="359">
        <f>IF(J$3="","",IF(J4&lt;=前提条件!$C$44,$B$41,0))</f>
        <v/>
      </c>
      <c r="K41" s="359">
        <f>IF(K$3="","",IF(K4&lt;=前提条件!$C$44,$B$41,0))</f>
        <v/>
      </c>
      <c r="L41" s="359">
        <f>IF(L$3="","",IF(L4&lt;=前提条件!$C$44,$B$41,0))</f>
        <v/>
      </c>
      <c r="M41" s="359">
        <f>IF(M$3="","",IF(M4&lt;=前提条件!$C$44,$B$41,0))</f>
        <v/>
      </c>
      <c r="N41" s="359">
        <f>IF(N$3="","",IF(N4&lt;=前提条件!$C$44,$B$41,0))</f>
        <v/>
      </c>
      <c r="O41" s="359">
        <f>IF(O$3="","",IF(O4&lt;=前提条件!$C$44,$B$41,0))</f>
        <v/>
      </c>
      <c r="P41" s="359">
        <f>IF(P$3="","",IF(P4&lt;=前提条件!$C$44,$B$41,0))</f>
        <v/>
      </c>
      <c r="Q41" s="359">
        <f>IF(Q$3="","",IF(Q4&lt;=前提条件!$C$44,$B$41,0))</f>
        <v/>
      </c>
      <c r="R41" s="359">
        <f>IF(R$3="","",IF(R4&lt;=前提条件!$C$44,$B$41,0))</f>
        <v/>
      </c>
      <c r="S41" s="359">
        <f>IF(S$3="","",IF(S4&lt;=前提条件!$C$44,$B$41,0))</f>
        <v/>
      </c>
      <c r="T41" s="359">
        <f>IF(T$3="","",IF(T4&lt;=前提条件!$C$44,$B$41,0))</f>
        <v/>
      </c>
      <c r="U41" s="359">
        <f>IF(U$3="","",IF(U4&lt;=前提条件!$C$44,$B$41,0))</f>
        <v/>
      </c>
      <c r="V41" s="359">
        <f>IF(V$3="","",IF(V4&lt;=前提条件!$C$44,$B$41,0))</f>
        <v/>
      </c>
      <c r="W41" s="359">
        <f>IF(W$3="","",IF(W4&lt;=前提条件!$C$44,$B$41,0))</f>
        <v/>
      </c>
      <c r="X41" s="359">
        <f>IF(X$3="","",IF(X4&lt;=前提条件!$C$44,$B$41,0))</f>
        <v/>
      </c>
      <c r="Y41" s="359">
        <f>IF(Y$3="","",IF(Y4&lt;=前提条件!$C$44,$B$41,0))</f>
        <v/>
      </c>
      <c r="Z41" s="359">
        <f>IF(Z$3="","",IF(Z4&lt;=前提条件!$C$44,$B$41,0))</f>
        <v/>
      </c>
      <c r="AA41" s="359">
        <f>IF(AA$3="","",IF(AA4&lt;=前提条件!$C$44,$B$41,0))</f>
        <v/>
      </c>
      <c r="AB41" s="359">
        <f>IF(AB$3="","",IF(AB4&lt;=前提条件!$C$44,$B$41,0))</f>
        <v/>
      </c>
      <c r="AC41" s="359">
        <f>IF(AC$3="","",IF(AC4&lt;=前提条件!$C$44,$B$41,0))</f>
        <v/>
      </c>
      <c r="AD41" s="359">
        <f>IF(AD$3="","",IF(AD4&lt;=前提条件!$C$44,$B$41,0))</f>
        <v/>
      </c>
      <c r="AE41" s="359">
        <f>IF(AE$3="","",IF(AE4&lt;=前提条件!$C$44,$B$41,0))</f>
        <v/>
      </c>
      <c r="AF41" s="359">
        <f>IF(AF$3="","",IF(AF4&lt;=前提条件!$C$44,$B$41,0))</f>
        <v/>
      </c>
      <c r="AG41" s="359">
        <f>IF(AG$3="","",IF(AG4&lt;=前提条件!$C$44,$B$41,0))</f>
        <v/>
      </c>
      <c r="AH41" s="359">
        <f>IF(AH$3="","",IF(AH4&lt;=前提条件!$C$44,$B$41,0))</f>
        <v/>
      </c>
      <c r="AI41" s="359">
        <f>IF(AI$3="","",IF(AI4&lt;=前提条件!$C$44,$B$41,0))</f>
        <v/>
      </c>
      <c r="AJ41" s="359">
        <f>IF(AJ$3="","",IF(AJ4&lt;=前提条件!$C$44,$B$41,0))</f>
        <v/>
      </c>
      <c r="AK41" s="359">
        <f>IF(AK$3="","",IF(AK4&lt;=前提条件!$C$44,$B$41,0))</f>
        <v/>
      </c>
      <c r="AL41" s="359">
        <f>IF(AL$3="","",IF(AL4&lt;=前提条件!$C$44,$B$41,0))</f>
        <v/>
      </c>
      <c r="AM41" s="359">
        <f>IF(AM$3="","",IF(AM4&lt;=前提条件!$C$44,$B$41,0))</f>
        <v/>
      </c>
      <c r="AN41" s="359">
        <f>IF(AN$3="","",IF(AN4&lt;=前提条件!$C$44,$B$41,0))</f>
        <v/>
      </c>
      <c r="AO41" s="359">
        <f>IF(AO$3="","",IF(AO4&lt;=前提条件!$C$44,$B$41,0))</f>
        <v/>
      </c>
      <c r="AP41" s="359">
        <f>IF(AP$3="","",IF(AP4&lt;=前提条件!$C$44,$B$41,0))</f>
        <v/>
      </c>
      <c r="AQ41" s="359">
        <f>IF(AQ$3="","",IF(AQ4&lt;=前提条件!$C$44,$B$41,0))</f>
        <v/>
      </c>
      <c r="AR41" s="359">
        <f>IF(AR$3="","",IF(AR4&lt;=前提条件!$C$44,$B$41,0))</f>
        <v/>
      </c>
      <c r="AS41" s="359">
        <f>IF(AS$3="","",IF(AS4&lt;=前提条件!$C$44,$B$41,0))</f>
        <v/>
      </c>
      <c r="AT41" s="359">
        <f>IF(AT$3="","",IF(AT4&lt;=前提条件!$C$44,$B$41,0))</f>
        <v/>
      </c>
      <c r="AU41" s="359">
        <f>IF(AU$3="","",IF(AU4&lt;=前提条件!$C$44,$B$41,0))</f>
        <v/>
      </c>
      <c r="AV41" s="359">
        <f>IF(AV$3="","",IF(AV4&lt;=前提条件!$C$44,$B$41,0))</f>
        <v/>
      </c>
      <c r="AW41" s="359">
        <f>IF(AW$3="","",IF(AW4&lt;=前提条件!$C$44,$B$41,0))</f>
        <v/>
      </c>
      <c r="AX41" s="359">
        <f>IF(AX$3="","",IF(AX4&lt;=前提条件!$C$44,$B$41,0))</f>
        <v/>
      </c>
      <c r="AY41" s="359">
        <f>IF(AY$3="","",IF(AY4&lt;=前提条件!$C$44,$B$41,0))</f>
        <v/>
      </c>
      <c r="AZ41" s="359">
        <f>IF(AZ$3="","",IF(AZ4&lt;=前提条件!$C$44,$B$41,0))</f>
        <v/>
      </c>
      <c r="BA41" s="359">
        <f>IF(BA$3="","",IF(BA4&lt;=前提条件!$C$44,$B$41,0))</f>
        <v/>
      </c>
      <c r="BB41" s="359">
        <f>IF(BB$3="","",IF(BB4&lt;=前提条件!$C$44,$B$41,0))</f>
        <v/>
      </c>
      <c r="BC41" s="359">
        <f>IF(BC$3="","",IF(BC4&lt;=前提条件!$C$44,$B$41,0))</f>
        <v/>
      </c>
      <c r="BD41" s="359">
        <f>IF(BD$3="","",IF(BD4&lt;=前提条件!$C$44,$B$41,0))</f>
        <v/>
      </c>
      <c r="BE41" s="359">
        <f>IF(BE$3="","",IF(BE4&lt;=前提条件!$C$44,$B$41,0))</f>
        <v/>
      </c>
      <c r="BF41" s="359">
        <f>IF(BF$3="","",IF(BF4&lt;=前提条件!$C$44,$B$41,0))</f>
        <v/>
      </c>
      <c r="BG41" s="359">
        <f>IF(BG$3="","",IF(BG4&lt;=前提条件!$C$44,$B$41,0))</f>
        <v/>
      </c>
      <c r="BH41" s="359">
        <f>IF(BH$3="","",IF(BH4&lt;=前提条件!$C$44,$B$41,0))</f>
        <v/>
      </c>
      <c r="BI41" s="359">
        <f>IF(BI$3="","",IF(BI4&lt;=前提条件!$C$44,$B$41,0))</f>
        <v/>
      </c>
      <c r="BJ41" s="359">
        <f>IF(BJ$3="","",IF(BJ4&lt;=前提条件!$C$44,$B$41,0))</f>
        <v/>
      </c>
      <c r="BK41" s="359">
        <f>IF(BK$3="","",IF(BK4&lt;=前提条件!$C$44,$B$41,0))</f>
        <v/>
      </c>
      <c r="BL41" s="359">
        <f>IF(BL$3="","",IF(BL4&lt;=前提条件!$C$44,$B$41,0))</f>
        <v/>
      </c>
      <c r="BM41" s="359">
        <f>IF(BM$3="","",IF(BM4&lt;=前提条件!$C$44,$B$41,0))</f>
        <v/>
      </c>
      <c r="BN41" s="359">
        <f>IF(BN$3="","",IF(BN4&lt;=前提条件!$C$44,$B$41,0))</f>
        <v/>
      </c>
      <c r="BO41" s="359">
        <f>IF(BO$3="","",IF(BO4&lt;=前提条件!$C$44,$B$41,0))</f>
        <v/>
      </c>
      <c r="BP41" s="359">
        <f>IF(BP$3="","",IF(BP4&lt;=前提条件!$C$44,$B$41,0))</f>
        <v/>
      </c>
      <c r="BQ41" s="359">
        <f>IF(BQ$3="","",IF(BQ4&lt;=前提条件!$C$44,$B$41,0))</f>
        <v/>
      </c>
      <c r="BR41" s="359">
        <f>IF(BR$3="","",IF(BR4&lt;=前提条件!$C$44,$B$41,0))</f>
        <v/>
      </c>
      <c r="BS41" s="359">
        <f>IF(BS$3="","",IF(BS4&lt;=前提条件!$C$44,$B$41,0))</f>
        <v/>
      </c>
      <c r="BT41" s="359">
        <f>IF(BT$3="","",IF(BT4&lt;=前提条件!$C$44,$B$41,0))</f>
        <v/>
      </c>
      <c r="BU41" s="359">
        <f>IF(BU$3="","",IF(BU4&lt;=前提条件!$C$44,$B$41,0))</f>
        <v/>
      </c>
      <c r="BV41" s="359">
        <f>IF(BV$3="","",IF(BV4&lt;=前提条件!$C$44,$B$41,0))</f>
        <v/>
      </c>
      <c r="BW41" s="359">
        <f>IF(BW$3="","",IF(BW4&lt;=前提条件!$C$44,$B$41,0))</f>
        <v/>
      </c>
      <c r="BX41" s="359">
        <f>IF(BX$3="","",IF(BX4&lt;=前提条件!$C$44,$B$41,0))</f>
        <v/>
      </c>
      <c r="BY41" s="359">
        <f>IF(BY$3="","",IF(BY4&lt;=前提条件!$C$44,$B$41,0))</f>
        <v/>
      </c>
      <c r="BZ41" s="359">
        <f>IF(BZ$3="","",IF(BZ4&lt;=前提条件!$C$44,$B$41,0))</f>
        <v/>
      </c>
      <c r="CA41" s="359">
        <f>IF(CA$3="","",IF(CA4&lt;=前提条件!$C$44,$B$41,0))</f>
        <v/>
      </c>
      <c r="CB41" s="359">
        <f>IF(CB$3="","",IF(CB4&lt;=前提条件!$C$44,$B$41,0))</f>
        <v/>
      </c>
      <c r="CC41" s="359">
        <f>IF(CC$3="","",IF(CC4&lt;=前提条件!$C$44,$B$41,0))</f>
        <v/>
      </c>
      <c r="CD41" s="359">
        <f>IF(CD$3="","",IF(CD4&lt;=前提条件!$C$44,$B$41,0))</f>
        <v/>
      </c>
      <c r="CE41" s="359">
        <f>IF(CE$3="","",IF(CE4&lt;=前提条件!$C$44,$B$41,0))</f>
        <v/>
      </c>
      <c r="CF41" s="359">
        <f>IF(CF$3="","",IF(CF4&lt;=前提条件!$C$44,$B$41,0))</f>
        <v/>
      </c>
      <c r="CG41" s="359">
        <f>IF(CG$3="","",IF(CG4&lt;=前提条件!$C$44,$B$41,0))</f>
        <v/>
      </c>
      <c r="CH41" s="359">
        <f>IF(CH$3="","",IF(CH4&lt;=前提条件!$C$44,$B$41,0))</f>
        <v/>
      </c>
      <c r="CI41" s="359">
        <f>IF(CI$3="","",IF(CI4&lt;=前提条件!$C$44,$B$41,0))</f>
        <v/>
      </c>
      <c r="CJ41" s="359">
        <f>IF(CJ$3="","",IF(CJ4&lt;=前提条件!$C$44,$B$41,0))</f>
        <v/>
      </c>
      <c r="CK41" s="359">
        <f>IF(CK$3="","",IF(CK4&lt;=前提条件!$C$44,$B$41,0))</f>
        <v/>
      </c>
      <c r="CL41" s="359">
        <f>IF(CL$3="","",IF(CL4&lt;=前提条件!$C$44,$B$41,0))</f>
        <v/>
      </c>
      <c r="CM41" s="359">
        <f>IF(CM$3="","",IF(CM4&lt;=前提条件!$C$44,$B$41,0))</f>
        <v/>
      </c>
      <c r="CN41" s="359">
        <f>IF(CN$3="","",IF(CN4&lt;=前提条件!$C$44,$B$41,0))</f>
        <v/>
      </c>
      <c r="CO41" s="359">
        <f>IF(CO$3="","",IF(CO4&lt;=前提条件!$C$44,$B$41,0))</f>
        <v/>
      </c>
      <c r="CP41" s="359">
        <f>IF(CP$3="","",IF(CP4&lt;=前提条件!$C$44,$B$41,0))</f>
        <v/>
      </c>
      <c r="CQ41" s="359">
        <f>IF(CQ$3="","",IF(CQ4&lt;=前提条件!$C$44,$B$41,0))</f>
        <v/>
      </c>
      <c r="CR41" s="359">
        <f>IF(CR$3="","",IF(CR4&lt;=前提条件!$C$44,$B$41,0))</f>
        <v/>
      </c>
      <c r="CS41" s="359">
        <f>IF(CS$3="","",IF(CS4&lt;=前提条件!$C$44,$B$41,0))</f>
        <v/>
      </c>
      <c r="CT41" s="359">
        <f>IF(CT$3="","",IF(CT4&lt;=前提条件!$C$44,$B$41,0))</f>
        <v/>
      </c>
      <c r="CU41" s="359">
        <f>IF(CU$3="","",IF(CU4&lt;=前提条件!$C$44,$B$41,0))</f>
        <v/>
      </c>
      <c r="CV41" s="359">
        <f>IF(CV$3="","",IF(CV4&lt;=前提条件!$C$44,$B$41,0))</f>
        <v/>
      </c>
      <c r="CW41" s="359">
        <f>IF(CW$3="","",IF(CW4&lt;=前提条件!$C$44,$B$41,0))</f>
        <v/>
      </c>
    </row>
    <row r="42" hidden="1" ht="16.5" customHeight="1" s="180">
      <c r="A42" s="239" t="inlineStr">
        <is>
          <t>老後期フラグ(補助)</t>
        </is>
      </c>
      <c r="B42" s="360">
        <f>IF(B$3="","",IF(AND(B4&gt;=入力データ!$C$111,B5&gt;=入力データ!$C$111),1,0))</f>
        <v/>
      </c>
      <c r="C42" s="360">
        <f>IF(C$3="","",IF(AND(C4&gt;=入力データ!$C$111,C5&gt;=入力データ!$C$111),1,0))</f>
        <v/>
      </c>
      <c r="D42" s="360">
        <f>IF(D$3="","",IF(AND(D4&gt;=入力データ!$C$111,D5&gt;=入力データ!$C$111),1,0))</f>
        <v/>
      </c>
      <c r="E42" s="360">
        <f>IF(E$3="","",IF(AND(E4&gt;=入力データ!$C$111,E5&gt;=入力データ!$C$111),1,0))</f>
        <v/>
      </c>
      <c r="F42" s="360">
        <f>IF(F$3="","",IF(AND(F4&gt;=入力データ!$C$111,F5&gt;=入力データ!$C$111),1,0))</f>
        <v/>
      </c>
      <c r="G42" s="360">
        <f>IF(G$3="","",IF(AND(G4&gt;=入力データ!$C$111,G5&gt;=入力データ!$C$111),1,0))</f>
        <v/>
      </c>
      <c r="H42" s="360">
        <f>IF(H$3="","",IF(AND(H4&gt;=入力データ!$C$111,H5&gt;=入力データ!$C$111),1,0))</f>
        <v/>
      </c>
      <c r="I42" s="360">
        <f>IF(I$3="","",IF(AND(I4&gt;=入力データ!$C$111,I5&gt;=入力データ!$C$111),1,0))</f>
        <v/>
      </c>
      <c r="J42" s="360">
        <f>IF(J$3="","",IF(AND(J4&gt;=入力データ!$C$111,J5&gt;=入力データ!$C$111),1,0))</f>
        <v/>
      </c>
      <c r="K42" s="360">
        <f>IF(K$3="","",IF(AND(K4&gt;=入力データ!$C$111,K5&gt;=入力データ!$C$111),1,0))</f>
        <v/>
      </c>
      <c r="L42" s="360">
        <f>IF(L$3="","",IF(AND(L4&gt;=入力データ!$C$111,L5&gt;=入力データ!$C$111),1,0))</f>
        <v/>
      </c>
      <c r="M42" s="360">
        <f>IF(M$3="","",IF(AND(M4&gt;=入力データ!$C$111,M5&gt;=入力データ!$C$111),1,0))</f>
        <v/>
      </c>
      <c r="N42" s="360">
        <f>IF(N$3="","",IF(AND(N4&gt;=入力データ!$C$111,N5&gt;=入力データ!$C$111),1,0))</f>
        <v/>
      </c>
      <c r="O42" s="360">
        <f>IF(O$3="","",IF(AND(O4&gt;=入力データ!$C$111,O5&gt;=入力データ!$C$111),1,0))</f>
        <v/>
      </c>
      <c r="P42" s="360">
        <f>IF(P$3="","",IF(AND(P4&gt;=入力データ!$C$111,P5&gt;=入力データ!$C$111),1,0))</f>
        <v/>
      </c>
      <c r="Q42" s="360">
        <f>IF(Q$3="","",IF(AND(Q4&gt;=入力データ!$C$111,Q5&gt;=入力データ!$C$111),1,0))</f>
        <v/>
      </c>
      <c r="R42" s="360">
        <f>IF(R$3="","",IF(AND(R4&gt;=入力データ!$C$111,R5&gt;=入力データ!$C$111),1,0))</f>
        <v/>
      </c>
      <c r="S42" s="360">
        <f>IF(S$3="","",IF(AND(S4&gt;=入力データ!$C$111,S5&gt;=入力データ!$C$111),1,0))</f>
        <v/>
      </c>
      <c r="T42" s="360">
        <f>IF(T$3="","",IF(AND(T4&gt;=入力データ!$C$111,T5&gt;=入力データ!$C$111),1,0))</f>
        <v/>
      </c>
      <c r="U42" s="360">
        <f>IF(U$3="","",IF(AND(U4&gt;=入力データ!$C$111,U5&gt;=入力データ!$C$111),1,0))</f>
        <v/>
      </c>
      <c r="V42" s="360">
        <f>IF(V$3="","",IF(AND(V4&gt;=入力データ!$C$111,V5&gt;=入力データ!$C$111),1,0))</f>
        <v/>
      </c>
      <c r="W42" s="360">
        <f>IF(W$3="","",IF(AND(W4&gt;=入力データ!$C$111,W5&gt;=入力データ!$C$111),1,0))</f>
        <v/>
      </c>
      <c r="X42" s="360">
        <f>IF(X$3="","",IF(AND(X4&gt;=入力データ!$C$111,X5&gt;=入力データ!$C$111),1,0))</f>
        <v/>
      </c>
      <c r="Y42" s="360">
        <f>IF(Y$3="","",IF(AND(Y4&gt;=入力データ!$C$111,Y5&gt;=入力データ!$C$111),1,0))</f>
        <v/>
      </c>
      <c r="Z42" s="360">
        <f>IF(Z$3="","",IF(AND(Z4&gt;=入力データ!$C$111,Z5&gt;=入力データ!$C$111),1,0))</f>
        <v/>
      </c>
      <c r="AA42" s="360">
        <f>IF(AA$3="","",IF(AND(AA4&gt;=入力データ!$C$111,AA5&gt;=入力データ!$C$111),1,0))</f>
        <v/>
      </c>
      <c r="AB42" s="360">
        <f>IF(AB$3="","",IF(AND(AB4&gt;=入力データ!$C$111,AB5&gt;=入力データ!$C$111),1,0))</f>
        <v/>
      </c>
      <c r="AC42" s="360">
        <f>IF(AC$3="","",IF(AND(AC4&gt;=入力データ!$C$111,AC5&gt;=入力データ!$C$111),1,0))</f>
        <v/>
      </c>
      <c r="AD42" s="360">
        <f>IF(AD$3="","",IF(AND(AD4&gt;=入力データ!$C$111,AD5&gt;=入力データ!$C$111),1,0))</f>
        <v/>
      </c>
      <c r="AE42" s="360">
        <f>IF(AE$3="","",IF(AND(AE4&gt;=入力データ!$C$111,AE5&gt;=入力データ!$C$111),1,0))</f>
        <v/>
      </c>
      <c r="AF42" s="360">
        <f>IF(AF$3="","",IF(AND(AF4&gt;=入力データ!$C$111,AF5&gt;=入力データ!$C$111),1,0))</f>
        <v/>
      </c>
      <c r="AG42" s="360">
        <f>IF(AG$3="","",IF(AND(AG4&gt;=入力データ!$C$111,AG5&gt;=入力データ!$C$111),1,0))</f>
        <v/>
      </c>
      <c r="AH42" s="360">
        <f>IF(AH$3="","",IF(AND(AH4&gt;=入力データ!$C$111,AH5&gt;=入力データ!$C$111),1,0))</f>
        <v/>
      </c>
      <c r="AI42" s="360">
        <f>IF(AI$3="","",IF(AND(AI4&gt;=入力データ!$C$111,AI5&gt;=入力データ!$C$111),1,0))</f>
        <v/>
      </c>
      <c r="AJ42" s="360">
        <f>IF(AJ$3="","",IF(AND(AJ4&gt;=入力データ!$C$111,AJ5&gt;=入力データ!$C$111),1,0))</f>
        <v/>
      </c>
      <c r="AK42" s="360">
        <f>IF(AK$3="","",IF(AND(AK4&gt;=入力データ!$C$111,AK5&gt;=入力データ!$C$111),1,0))</f>
        <v/>
      </c>
      <c r="AL42" s="360">
        <f>IF(AL$3="","",IF(AND(AL4&gt;=入力データ!$C$111,AL5&gt;=入力データ!$C$111),1,0))</f>
        <v/>
      </c>
      <c r="AM42" s="360">
        <f>IF(AM$3="","",IF(AND(AM4&gt;=入力データ!$C$111,AM5&gt;=入力データ!$C$111),1,0))</f>
        <v/>
      </c>
      <c r="AN42" s="360">
        <f>IF(AN$3="","",IF(AND(AN4&gt;=入力データ!$C$111,AN5&gt;=入力データ!$C$111),1,0))</f>
        <v/>
      </c>
      <c r="AO42" s="360">
        <f>IF(AO$3="","",IF(AND(AO4&gt;=入力データ!$C$111,AO5&gt;=入力データ!$C$111),1,0))</f>
        <v/>
      </c>
      <c r="AP42" s="360">
        <f>IF(AP$3="","",IF(AND(AP4&gt;=入力データ!$C$111,AP5&gt;=入力データ!$C$111),1,0))</f>
        <v/>
      </c>
      <c r="AQ42" s="360">
        <f>IF(AQ$3="","",IF(AND(AQ4&gt;=入力データ!$C$111,AQ5&gt;=入力データ!$C$111),1,0))</f>
        <v/>
      </c>
      <c r="AR42" s="360">
        <f>IF(AR$3="","",IF(AND(AR4&gt;=入力データ!$C$111,AR5&gt;=入力データ!$C$111),1,0))</f>
        <v/>
      </c>
      <c r="AS42" s="360">
        <f>IF(AS$3="","",IF(AND(AS4&gt;=入力データ!$C$111,AS5&gt;=入力データ!$C$111),1,0))</f>
        <v/>
      </c>
      <c r="AT42" s="360">
        <f>IF(AT$3="","",IF(AND(AT4&gt;=入力データ!$C$111,AT5&gt;=入力データ!$C$111),1,0))</f>
        <v/>
      </c>
      <c r="AU42" s="360">
        <f>IF(AU$3="","",IF(AND(AU4&gt;=入力データ!$C$111,AU5&gt;=入力データ!$C$111),1,0))</f>
        <v/>
      </c>
      <c r="AV42" s="360">
        <f>IF(AV$3="","",IF(AND(AV4&gt;=入力データ!$C$111,AV5&gt;=入力データ!$C$111),1,0))</f>
        <v/>
      </c>
      <c r="AW42" s="360">
        <f>IF(AW$3="","",IF(AND(AW4&gt;=入力データ!$C$111,AW5&gt;=入力データ!$C$111),1,0))</f>
        <v/>
      </c>
      <c r="AX42" s="360">
        <f>IF(AX$3="","",IF(AND(AX4&gt;=入力データ!$C$111,AX5&gt;=入力データ!$C$111),1,0))</f>
        <v/>
      </c>
      <c r="AY42" s="360">
        <f>IF(AY$3="","",IF(AND(AY4&gt;=入力データ!$C$111,AY5&gt;=入力データ!$C$111),1,0))</f>
        <v/>
      </c>
      <c r="AZ42" s="360">
        <f>IF(AZ$3="","",IF(AND(AZ4&gt;=入力データ!$C$111,AZ5&gt;=入力データ!$C$111),1,0))</f>
        <v/>
      </c>
      <c r="BA42" s="360">
        <f>IF(BA$3="","",IF(AND(BA4&gt;=入力データ!$C$111,BA5&gt;=入力データ!$C$111),1,0))</f>
        <v/>
      </c>
      <c r="BB42" s="360">
        <f>IF(BB$3="","",IF(AND(BB4&gt;=入力データ!$C$111,BB5&gt;=入力データ!$C$111),1,0))</f>
        <v/>
      </c>
      <c r="BC42" s="360">
        <f>IF(BC$3="","",IF(AND(BC4&gt;=入力データ!$C$111,BC5&gt;=入力データ!$C$111),1,0))</f>
        <v/>
      </c>
      <c r="BD42" s="360">
        <f>IF(BD$3="","",IF(AND(BD4&gt;=入力データ!$C$111,BD5&gt;=入力データ!$C$111),1,0))</f>
        <v/>
      </c>
      <c r="BE42" s="360">
        <f>IF(BE$3="","",IF(AND(BE4&gt;=入力データ!$C$111,BE5&gt;=入力データ!$C$111),1,0))</f>
        <v/>
      </c>
      <c r="BF42" s="360">
        <f>IF(BF$3="","",IF(AND(BF4&gt;=入力データ!$C$111,BF5&gt;=入力データ!$C$111),1,0))</f>
        <v/>
      </c>
      <c r="BG42" s="360">
        <f>IF(BG$3="","",IF(AND(BG4&gt;=入力データ!$C$111,BG5&gt;=入力データ!$C$111),1,0))</f>
        <v/>
      </c>
      <c r="BH42" s="360">
        <f>IF(BH$3="","",IF(AND(BH4&gt;=入力データ!$C$111,BH5&gt;=入力データ!$C$111),1,0))</f>
        <v/>
      </c>
      <c r="BI42" s="360">
        <f>IF(BI$3="","",IF(AND(BI4&gt;=入力データ!$C$111,BI5&gt;=入力データ!$C$111),1,0))</f>
        <v/>
      </c>
      <c r="BJ42" s="360">
        <f>IF(BJ$3="","",IF(AND(BJ4&gt;=入力データ!$C$111,BJ5&gt;=入力データ!$C$111),1,0))</f>
        <v/>
      </c>
      <c r="BK42" s="360">
        <f>IF(BK$3="","",IF(AND(BK4&gt;=入力データ!$C$111,BK5&gt;=入力データ!$C$111),1,0))</f>
        <v/>
      </c>
      <c r="BL42" s="360">
        <f>IF(BL$3="","",IF(AND(BL4&gt;=入力データ!$C$111,BL5&gt;=入力データ!$C$111),1,0))</f>
        <v/>
      </c>
      <c r="BM42" s="360">
        <f>IF(BM$3="","",IF(AND(BM4&gt;=入力データ!$C$111,BM5&gt;=入力データ!$C$111),1,0))</f>
        <v/>
      </c>
      <c r="BN42" s="360">
        <f>IF(BN$3="","",IF(AND(BN4&gt;=入力データ!$C$111,BN5&gt;=入力データ!$C$111),1,0))</f>
        <v/>
      </c>
      <c r="BO42" s="360">
        <f>IF(BO$3="","",IF(AND(BO4&gt;=入力データ!$C$111,BO5&gt;=入力データ!$C$111),1,0))</f>
        <v/>
      </c>
      <c r="BP42" s="360">
        <f>IF(BP$3="","",IF(AND(BP4&gt;=入力データ!$C$111,BP5&gt;=入力データ!$C$111),1,0))</f>
        <v/>
      </c>
      <c r="BQ42" s="360">
        <f>IF(BQ$3="","",IF(AND(BQ4&gt;=入力データ!$C$111,BQ5&gt;=入力データ!$C$111),1,0))</f>
        <v/>
      </c>
      <c r="BR42" s="360">
        <f>IF(BR$3="","",IF(AND(BR4&gt;=入力データ!$C$111,BR5&gt;=入力データ!$C$111),1,0))</f>
        <v/>
      </c>
      <c r="BS42" s="360">
        <f>IF(BS$3="","",IF(AND(BS4&gt;=入力データ!$C$111,BS5&gt;=入力データ!$C$111),1,0))</f>
        <v/>
      </c>
      <c r="BT42" s="360">
        <f>IF(BT$3="","",IF(AND(BT4&gt;=入力データ!$C$111,BT5&gt;=入力データ!$C$111),1,0))</f>
        <v/>
      </c>
      <c r="BU42" s="360">
        <f>IF(BU$3="","",IF(AND(BU4&gt;=入力データ!$C$111,BU5&gt;=入力データ!$C$111),1,0))</f>
        <v/>
      </c>
      <c r="BV42" s="360">
        <f>IF(BV$3="","",IF(AND(BV4&gt;=入力データ!$C$111,BV5&gt;=入力データ!$C$111),1,0))</f>
        <v/>
      </c>
      <c r="BW42" s="360">
        <f>IF(BW$3="","",IF(AND(BW4&gt;=入力データ!$C$111,BW5&gt;=入力データ!$C$111),1,0))</f>
        <v/>
      </c>
      <c r="BX42" s="360">
        <f>IF(BX$3="","",IF(AND(BX4&gt;=入力データ!$C$111,BX5&gt;=入力データ!$C$111),1,0))</f>
        <v/>
      </c>
      <c r="BY42" s="360">
        <f>IF(BY$3="","",IF(AND(BY4&gt;=入力データ!$C$111,BY5&gt;=入力データ!$C$111),1,0))</f>
        <v/>
      </c>
      <c r="BZ42" s="360">
        <f>IF(BZ$3="","",IF(AND(BZ4&gt;=入力データ!$C$111,BZ5&gt;=入力データ!$C$111),1,0))</f>
        <v/>
      </c>
      <c r="CA42" s="360">
        <f>IF(CA$3="","",IF(AND(CA4&gt;=入力データ!$C$111,CA5&gt;=入力データ!$C$111),1,0))</f>
        <v/>
      </c>
      <c r="CB42" s="360">
        <f>IF(CB$3="","",IF(AND(CB4&gt;=入力データ!$C$111,CB5&gt;=入力データ!$C$111),1,0))</f>
        <v/>
      </c>
      <c r="CC42" s="360">
        <f>IF(CC$3="","",IF(AND(CC4&gt;=入力データ!$C$111,CC5&gt;=入力データ!$C$111),1,0))</f>
        <v/>
      </c>
      <c r="CD42" s="360">
        <f>IF(CD$3="","",IF(AND(CD4&gt;=入力データ!$C$111,CD5&gt;=入力データ!$C$111),1,0))</f>
        <v/>
      </c>
      <c r="CE42" s="360">
        <f>IF(CE$3="","",IF(AND(CE4&gt;=入力データ!$C$111,CE5&gt;=入力データ!$C$111),1,0))</f>
        <v/>
      </c>
      <c r="CF42" s="360">
        <f>IF(CF$3="","",IF(AND(CF4&gt;=入力データ!$C$111,CF5&gt;=入力データ!$C$111),1,0))</f>
        <v/>
      </c>
      <c r="CG42" s="360">
        <f>IF(CG$3="","",IF(AND(CG4&gt;=入力データ!$C$111,CG5&gt;=入力データ!$C$111),1,0))</f>
        <v/>
      </c>
      <c r="CH42" s="360">
        <f>IF(CH$3="","",IF(AND(CH4&gt;=入力データ!$C$111,CH5&gt;=入力データ!$C$111),1,0))</f>
        <v/>
      </c>
      <c r="CI42" s="360">
        <f>IF(CI$3="","",IF(AND(CI4&gt;=入力データ!$C$111,CI5&gt;=入力データ!$C$111),1,0))</f>
        <v/>
      </c>
      <c r="CJ42" s="360">
        <f>IF(CJ$3="","",IF(AND(CJ4&gt;=入力データ!$C$111,CJ5&gt;=入力データ!$C$111),1,0))</f>
        <v/>
      </c>
      <c r="CK42" s="360">
        <f>IF(CK$3="","",IF(AND(CK4&gt;=入力データ!$C$111,CK5&gt;=入力データ!$C$111),1,0))</f>
        <v/>
      </c>
      <c r="CL42" s="360">
        <f>IF(CL$3="","",IF(AND(CL4&gt;=入力データ!$C$111,CL5&gt;=入力データ!$C$111),1,0))</f>
        <v/>
      </c>
      <c r="CM42" s="360">
        <f>IF(CM$3="","",IF(AND(CM4&gt;=入力データ!$C$111,CM5&gt;=入力データ!$C$111),1,0))</f>
        <v/>
      </c>
      <c r="CN42" s="360">
        <f>IF(CN$3="","",IF(AND(CN4&gt;=入力データ!$C$111,CN5&gt;=入力データ!$C$111),1,0))</f>
        <v/>
      </c>
      <c r="CO42" s="360">
        <f>IF(CO$3="","",IF(AND(CO4&gt;=入力データ!$C$111,CO5&gt;=入力データ!$C$111),1,0))</f>
        <v/>
      </c>
      <c r="CP42" s="360">
        <f>IF(CP$3="","",IF(AND(CP4&gt;=入力データ!$C$111,CP5&gt;=入力データ!$C$111),1,0))</f>
        <v/>
      </c>
      <c r="CQ42" s="360">
        <f>IF(CQ$3="","",IF(AND(CQ4&gt;=入力データ!$C$111,CQ5&gt;=入力データ!$C$111),1,0))</f>
        <v/>
      </c>
      <c r="CR42" s="360">
        <f>IF(CR$3="","",IF(AND(CR4&gt;=入力データ!$C$111,CR5&gt;=入力データ!$C$111),1,0))</f>
        <v/>
      </c>
      <c r="CS42" s="360">
        <f>IF(CS$3="","",IF(AND(CS4&gt;=入力データ!$C$111,CS5&gt;=入力データ!$C$111),1,0))</f>
        <v/>
      </c>
      <c r="CT42" s="360">
        <f>IF(CT$3="","",IF(AND(CT4&gt;=入力データ!$C$111,CT5&gt;=入力データ!$C$111),1,0))</f>
        <v/>
      </c>
      <c r="CU42" s="360">
        <f>IF(CU$3="","",IF(AND(CU4&gt;=入力データ!$C$111,CU5&gt;=入力データ!$C$111),1,0))</f>
        <v/>
      </c>
      <c r="CV42" s="360">
        <f>IF(CV$3="","",IF(AND(CV4&gt;=入力データ!$C$111,CV5&gt;=入力データ!$C$111),1,0))</f>
        <v/>
      </c>
      <c r="CW42" s="360">
        <f>IF(CW$3="","",IF(AND(CW4&gt;=入力データ!$C$111,CW5&gt;=入力データ!$C$111),1,0))</f>
        <v/>
      </c>
    </row>
    <row r="43" hidden="1" ht="16.5" customHeight="1" s="180">
      <c r="A43" s="239" t="inlineStr">
        <is>
          <t>老後不足額(補助)</t>
        </is>
      </c>
      <c r="B43" s="359">
        <f>IF(B$3="","",IF(B42=1,MAX(0,-B30),0))</f>
        <v/>
      </c>
      <c r="C43" s="359">
        <f>IF(C$3="","",IF(C42=1,MAX(0,-C30),0))</f>
        <v/>
      </c>
      <c r="D43" s="359">
        <f>IF(D$3="","",IF(D42=1,MAX(0,-D30),0))</f>
        <v/>
      </c>
      <c r="E43" s="359">
        <f>IF(E$3="","",IF(E42=1,MAX(0,-E30),0))</f>
        <v/>
      </c>
      <c r="F43" s="359">
        <f>IF(F$3="","",IF(F42=1,MAX(0,-F30),0))</f>
        <v/>
      </c>
      <c r="G43" s="359">
        <f>IF(G$3="","",IF(G42=1,MAX(0,-G30),0))</f>
        <v/>
      </c>
      <c r="H43" s="359">
        <f>IF(H$3="","",IF(H42=1,MAX(0,-H30),0))</f>
        <v/>
      </c>
      <c r="I43" s="359">
        <f>IF(I$3="","",IF(I42=1,MAX(0,-I30),0))</f>
        <v/>
      </c>
      <c r="J43" s="359">
        <f>IF(J$3="","",IF(J42=1,MAX(0,-J30),0))</f>
        <v/>
      </c>
      <c r="K43" s="359">
        <f>IF(K$3="","",IF(K42=1,MAX(0,-K30),0))</f>
        <v/>
      </c>
      <c r="L43" s="359">
        <f>IF(L$3="","",IF(L42=1,MAX(0,-L30),0))</f>
        <v/>
      </c>
      <c r="M43" s="359">
        <f>IF(M$3="","",IF(M42=1,MAX(0,-M30),0))</f>
        <v/>
      </c>
      <c r="N43" s="359">
        <f>IF(N$3="","",IF(N42=1,MAX(0,-N30),0))</f>
        <v/>
      </c>
      <c r="O43" s="359">
        <f>IF(O$3="","",IF(O42=1,MAX(0,-O30),0))</f>
        <v/>
      </c>
      <c r="P43" s="359">
        <f>IF(P$3="","",IF(P42=1,MAX(0,-P30),0))</f>
        <v/>
      </c>
      <c r="Q43" s="359">
        <f>IF(Q$3="","",IF(Q42=1,MAX(0,-Q30),0))</f>
        <v/>
      </c>
      <c r="R43" s="359">
        <f>IF(R$3="","",IF(R42=1,MAX(0,-R30),0))</f>
        <v/>
      </c>
      <c r="S43" s="359">
        <f>IF(S$3="","",IF(S42=1,MAX(0,-S30),0))</f>
        <v/>
      </c>
      <c r="T43" s="359">
        <f>IF(T$3="","",IF(T42=1,MAX(0,-T30),0))</f>
        <v/>
      </c>
      <c r="U43" s="359">
        <f>IF(U$3="","",IF(U42=1,MAX(0,-U30),0))</f>
        <v/>
      </c>
      <c r="V43" s="359">
        <f>IF(V$3="","",IF(V42=1,MAX(0,-V30),0))</f>
        <v/>
      </c>
      <c r="W43" s="359">
        <f>IF(W$3="","",IF(W42=1,MAX(0,-W30),0))</f>
        <v/>
      </c>
      <c r="X43" s="359">
        <f>IF(X$3="","",IF(X42=1,MAX(0,-X30),0))</f>
        <v/>
      </c>
      <c r="Y43" s="359">
        <f>IF(Y$3="","",IF(Y42=1,MAX(0,-Y30),0))</f>
        <v/>
      </c>
      <c r="Z43" s="359">
        <f>IF(Z$3="","",IF(Z42=1,MAX(0,-Z30),0))</f>
        <v/>
      </c>
      <c r="AA43" s="359">
        <f>IF(AA$3="","",IF(AA42=1,MAX(0,-AA30),0))</f>
        <v/>
      </c>
      <c r="AB43" s="359">
        <f>IF(AB$3="","",IF(AB42=1,MAX(0,-AB30),0))</f>
        <v/>
      </c>
      <c r="AC43" s="359">
        <f>IF(AC$3="","",IF(AC42=1,MAX(0,-AC30),0))</f>
        <v/>
      </c>
      <c r="AD43" s="359">
        <f>IF(AD$3="","",IF(AD42=1,MAX(0,-AD30),0))</f>
        <v/>
      </c>
      <c r="AE43" s="359">
        <f>IF(AE$3="","",IF(AE42=1,MAX(0,-AE30),0))</f>
        <v/>
      </c>
      <c r="AF43" s="359">
        <f>IF(AF$3="","",IF(AF42=1,MAX(0,-AF30),0))</f>
        <v/>
      </c>
      <c r="AG43" s="359">
        <f>IF(AG$3="","",IF(AG42=1,MAX(0,-AG30),0))</f>
        <v/>
      </c>
      <c r="AH43" s="359">
        <f>IF(AH$3="","",IF(AH42=1,MAX(0,-AH30),0))</f>
        <v/>
      </c>
      <c r="AI43" s="359">
        <f>IF(AI$3="","",IF(AI42=1,MAX(0,-AI30),0))</f>
        <v/>
      </c>
      <c r="AJ43" s="359">
        <f>IF(AJ$3="","",IF(AJ42=1,MAX(0,-AJ30),0))</f>
        <v/>
      </c>
      <c r="AK43" s="359">
        <f>IF(AK$3="","",IF(AK42=1,MAX(0,-AK30),0))</f>
        <v/>
      </c>
      <c r="AL43" s="359">
        <f>IF(AL$3="","",IF(AL42=1,MAX(0,-AL30),0))</f>
        <v/>
      </c>
      <c r="AM43" s="359">
        <f>IF(AM$3="","",IF(AM42=1,MAX(0,-AM30),0))</f>
        <v/>
      </c>
      <c r="AN43" s="359">
        <f>IF(AN$3="","",IF(AN42=1,MAX(0,-AN30),0))</f>
        <v/>
      </c>
      <c r="AO43" s="359">
        <f>IF(AO$3="","",IF(AO42=1,MAX(0,-AO30),0))</f>
        <v/>
      </c>
      <c r="AP43" s="359">
        <f>IF(AP$3="","",IF(AP42=1,MAX(0,-AP30),0))</f>
        <v/>
      </c>
      <c r="AQ43" s="359">
        <f>IF(AQ$3="","",IF(AQ42=1,MAX(0,-AQ30),0))</f>
        <v/>
      </c>
      <c r="AR43" s="359">
        <f>IF(AR$3="","",IF(AR42=1,MAX(0,-AR30),0))</f>
        <v/>
      </c>
      <c r="AS43" s="359">
        <f>IF(AS$3="","",IF(AS42=1,MAX(0,-AS30),0))</f>
        <v/>
      </c>
      <c r="AT43" s="359">
        <f>IF(AT$3="","",IF(AT42=1,MAX(0,-AT30),0))</f>
        <v/>
      </c>
      <c r="AU43" s="359">
        <f>IF(AU$3="","",IF(AU42=1,MAX(0,-AU30),0))</f>
        <v/>
      </c>
      <c r="AV43" s="359">
        <f>IF(AV$3="","",IF(AV42=1,MAX(0,-AV30),0))</f>
        <v/>
      </c>
      <c r="AW43" s="359">
        <f>IF(AW$3="","",IF(AW42=1,MAX(0,-AW30),0))</f>
        <v/>
      </c>
      <c r="AX43" s="359">
        <f>IF(AX$3="","",IF(AX42=1,MAX(0,-AX30),0))</f>
        <v/>
      </c>
      <c r="AY43" s="359">
        <f>IF(AY$3="","",IF(AY42=1,MAX(0,-AY30),0))</f>
        <v/>
      </c>
      <c r="AZ43" s="359">
        <f>IF(AZ$3="","",IF(AZ42=1,MAX(0,-AZ30),0))</f>
        <v/>
      </c>
      <c r="BA43" s="359">
        <f>IF(BA$3="","",IF(BA42=1,MAX(0,-BA30),0))</f>
        <v/>
      </c>
      <c r="BB43" s="359">
        <f>IF(BB$3="","",IF(BB42=1,MAX(0,-BB30),0))</f>
        <v/>
      </c>
      <c r="BC43" s="359">
        <f>IF(BC$3="","",IF(BC42=1,MAX(0,-BC30),0))</f>
        <v/>
      </c>
      <c r="BD43" s="359">
        <f>IF(BD$3="","",IF(BD42=1,MAX(0,-BD30),0))</f>
        <v/>
      </c>
      <c r="BE43" s="359">
        <f>IF(BE$3="","",IF(BE42=1,MAX(0,-BE30),0))</f>
        <v/>
      </c>
      <c r="BF43" s="359">
        <f>IF(BF$3="","",IF(BF42=1,MAX(0,-BF30),0))</f>
        <v/>
      </c>
      <c r="BG43" s="359">
        <f>IF(BG$3="","",IF(BG42=1,MAX(0,-BG30),0))</f>
        <v/>
      </c>
      <c r="BH43" s="359">
        <f>IF(BH$3="","",IF(BH42=1,MAX(0,-BH30),0))</f>
        <v/>
      </c>
      <c r="BI43" s="359">
        <f>IF(BI$3="","",IF(BI42=1,MAX(0,-BI30),0))</f>
        <v/>
      </c>
      <c r="BJ43" s="359">
        <f>IF(BJ$3="","",IF(BJ42=1,MAX(0,-BJ30),0))</f>
        <v/>
      </c>
      <c r="BK43" s="359">
        <f>IF(BK$3="","",IF(BK42=1,MAX(0,-BK30),0))</f>
        <v/>
      </c>
      <c r="BL43" s="359">
        <f>IF(BL$3="","",IF(BL42=1,MAX(0,-BL30),0))</f>
        <v/>
      </c>
      <c r="BM43" s="359">
        <f>IF(BM$3="","",IF(BM42=1,MAX(0,-BM30),0))</f>
        <v/>
      </c>
      <c r="BN43" s="359">
        <f>IF(BN$3="","",IF(BN42=1,MAX(0,-BN30),0))</f>
        <v/>
      </c>
      <c r="BO43" s="359">
        <f>IF(BO$3="","",IF(BO42=1,MAX(0,-BO30),0))</f>
        <v/>
      </c>
      <c r="BP43" s="359">
        <f>IF(BP$3="","",IF(BP42=1,MAX(0,-BP30),0))</f>
        <v/>
      </c>
      <c r="BQ43" s="359">
        <f>IF(BQ$3="","",IF(BQ42=1,MAX(0,-BQ30),0))</f>
        <v/>
      </c>
      <c r="BR43" s="359">
        <f>IF(BR$3="","",IF(BR42=1,MAX(0,-BR30),0))</f>
        <v/>
      </c>
      <c r="BS43" s="359">
        <f>IF(BS$3="","",IF(BS42=1,MAX(0,-BS30),0))</f>
        <v/>
      </c>
      <c r="BT43" s="359">
        <f>IF(BT$3="","",IF(BT42=1,MAX(0,-BT30),0))</f>
        <v/>
      </c>
      <c r="BU43" s="359">
        <f>IF(BU$3="","",IF(BU42=1,MAX(0,-BU30),0))</f>
        <v/>
      </c>
      <c r="BV43" s="359">
        <f>IF(BV$3="","",IF(BV42=1,MAX(0,-BV30),0))</f>
        <v/>
      </c>
      <c r="BW43" s="359">
        <f>IF(BW$3="","",IF(BW42=1,MAX(0,-BW30),0))</f>
        <v/>
      </c>
      <c r="BX43" s="359">
        <f>IF(BX$3="","",IF(BX42=1,MAX(0,-BX30),0))</f>
        <v/>
      </c>
      <c r="BY43" s="359">
        <f>IF(BY$3="","",IF(BY42=1,MAX(0,-BY30),0))</f>
        <v/>
      </c>
      <c r="BZ43" s="359">
        <f>IF(BZ$3="","",IF(BZ42=1,MAX(0,-BZ30),0))</f>
        <v/>
      </c>
      <c r="CA43" s="359">
        <f>IF(CA$3="","",IF(CA42=1,MAX(0,-CA30),0))</f>
        <v/>
      </c>
      <c r="CB43" s="359">
        <f>IF(CB$3="","",IF(CB42=1,MAX(0,-CB30),0))</f>
        <v/>
      </c>
      <c r="CC43" s="359">
        <f>IF(CC$3="","",IF(CC42=1,MAX(0,-CC30),0))</f>
        <v/>
      </c>
      <c r="CD43" s="359">
        <f>IF(CD$3="","",IF(CD42=1,MAX(0,-CD30),0))</f>
        <v/>
      </c>
      <c r="CE43" s="359">
        <f>IF(CE$3="","",IF(CE42=1,MAX(0,-CE30),0))</f>
        <v/>
      </c>
      <c r="CF43" s="359">
        <f>IF(CF$3="","",IF(CF42=1,MAX(0,-CF30),0))</f>
        <v/>
      </c>
      <c r="CG43" s="359">
        <f>IF(CG$3="","",IF(CG42=1,MAX(0,-CG30),0))</f>
        <v/>
      </c>
      <c r="CH43" s="359">
        <f>IF(CH$3="","",IF(CH42=1,MAX(0,-CH30),0))</f>
        <v/>
      </c>
      <c r="CI43" s="359">
        <f>IF(CI$3="","",IF(CI42=1,MAX(0,-CI30),0))</f>
        <v/>
      </c>
      <c r="CJ43" s="359">
        <f>IF(CJ$3="","",IF(CJ42=1,MAX(0,-CJ30),0))</f>
        <v/>
      </c>
      <c r="CK43" s="359">
        <f>IF(CK$3="","",IF(CK42=1,MAX(0,-CK30),0))</f>
        <v/>
      </c>
      <c r="CL43" s="359">
        <f>IF(CL$3="","",IF(CL42=1,MAX(0,-CL30),0))</f>
        <v/>
      </c>
      <c r="CM43" s="359">
        <f>IF(CM$3="","",IF(CM42=1,MAX(0,-CM30),0))</f>
        <v/>
      </c>
      <c r="CN43" s="359">
        <f>IF(CN$3="","",IF(CN42=1,MAX(0,-CN30),0))</f>
        <v/>
      </c>
      <c r="CO43" s="359">
        <f>IF(CO$3="","",IF(CO42=1,MAX(0,-CO30),0))</f>
        <v/>
      </c>
      <c r="CP43" s="359">
        <f>IF(CP$3="","",IF(CP42=1,MAX(0,-CP30),0))</f>
        <v/>
      </c>
      <c r="CQ43" s="359">
        <f>IF(CQ$3="","",IF(CQ42=1,MAX(0,-CQ30),0))</f>
        <v/>
      </c>
      <c r="CR43" s="359">
        <f>IF(CR$3="","",IF(CR42=1,MAX(0,-CR30),0))</f>
        <v/>
      </c>
      <c r="CS43" s="359">
        <f>IF(CS$3="","",IF(CS42=1,MAX(0,-CS30),0))</f>
        <v/>
      </c>
      <c r="CT43" s="359">
        <f>IF(CT$3="","",IF(CT42=1,MAX(0,-CT30),0))</f>
        <v/>
      </c>
      <c r="CU43" s="359">
        <f>IF(CU$3="","",IF(CU42=1,MAX(0,-CU30),0))</f>
        <v/>
      </c>
      <c r="CV43" s="359">
        <f>IF(CV$3="","",IF(CV42=1,MAX(0,-CV30),0))</f>
        <v/>
      </c>
      <c r="CW43" s="359">
        <f>IF(CW$3="","",IF(CW42=1,MAX(0,-CW30),0))</f>
        <v/>
      </c>
    </row>
    <row r="44" ht="15" customHeight="1" s="180">
      <c r="A44" s="241" t="inlineStr">
        <is>
          <t>保有資産合計（参考）</t>
        </is>
      </c>
      <c r="B44" s="361">
        <f>IF(B$3="","",B31+B32+B33)</f>
        <v/>
      </c>
      <c r="C44" s="361">
        <f>IF(C$3="","",C31+C32+C33)</f>
        <v/>
      </c>
      <c r="D44" s="361">
        <f>IF(D$3="","",D31+D32+D33)</f>
        <v/>
      </c>
      <c r="E44" s="361">
        <f>IF(E$3="","",E31+E32+E33)</f>
        <v/>
      </c>
      <c r="F44" s="361">
        <f>IF(F$3="","",F31+F32+F33)</f>
        <v/>
      </c>
      <c r="G44" s="361">
        <f>IF(G$3="","",G31+G32+G33)</f>
        <v/>
      </c>
      <c r="H44" s="361">
        <f>IF(H$3="","",H31+H32+H33)</f>
        <v/>
      </c>
      <c r="I44" s="361">
        <f>IF(I$3="","",I31+I32+I33)</f>
        <v/>
      </c>
      <c r="J44" s="361">
        <f>IF(J$3="","",J31+J32+J33)</f>
        <v/>
      </c>
      <c r="K44" s="361">
        <f>IF(K$3="","",K31+K32+K33)</f>
        <v/>
      </c>
      <c r="L44" s="361">
        <f>IF(L$3="","",L31+L32+L33)</f>
        <v/>
      </c>
      <c r="M44" s="361">
        <f>IF(M$3="","",M31+M32+M33)</f>
        <v/>
      </c>
      <c r="N44" s="361">
        <f>IF(N$3="","",N31+N32+N33)</f>
        <v/>
      </c>
      <c r="O44" s="361">
        <f>IF(O$3="","",O31+O32+O33)</f>
        <v/>
      </c>
      <c r="P44" s="361">
        <f>IF(P$3="","",P31+P32+P33)</f>
        <v/>
      </c>
      <c r="Q44" s="361">
        <f>IF(Q$3="","",Q31+Q32+Q33)</f>
        <v/>
      </c>
      <c r="R44" s="361">
        <f>IF(R$3="","",R31+R32+R33)</f>
        <v/>
      </c>
      <c r="S44" s="361">
        <f>IF(S$3="","",S31+S32+S33)</f>
        <v/>
      </c>
      <c r="T44" s="361">
        <f>IF(T$3="","",T31+T32+T33)</f>
        <v/>
      </c>
      <c r="U44" s="361">
        <f>IF(U$3="","",U31+U32+U33)</f>
        <v/>
      </c>
      <c r="V44" s="361">
        <f>IF(V$3="","",V31+V32+V33)</f>
        <v/>
      </c>
      <c r="W44" s="361">
        <f>IF(W$3="","",W31+W32+W33)</f>
        <v/>
      </c>
      <c r="X44" s="361">
        <f>IF(X$3="","",X31+X32+X33)</f>
        <v/>
      </c>
      <c r="Y44" s="361">
        <f>IF(Y$3="","",Y31+Y32+Y33)</f>
        <v/>
      </c>
      <c r="Z44" s="361">
        <f>IF(Z$3="","",Z31+Z32+Z33)</f>
        <v/>
      </c>
      <c r="AA44" s="361">
        <f>IF(AA$3="","",AA31+AA32+AA33)</f>
        <v/>
      </c>
      <c r="AB44" s="361">
        <f>IF(AB$3="","",AB31+AB32+AB33)</f>
        <v/>
      </c>
      <c r="AC44" s="361">
        <f>IF(AC$3="","",AC31+AC32+AC33)</f>
        <v/>
      </c>
      <c r="AD44" s="361">
        <f>IF(AD$3="","",AD31+AD32+AD33)</f>
        <v/>
      </c>
      <c r="AE44" s="361">
        <f>IF(AE$3="","",AE31+AE32+AE33)</f>
        <v/>
      </c>
      <c r="AF44" s="361">
        <f>IF(AF$3="","",AF31+AF32+AF33)</f>
        <v/>
      </c>
      <c r="AG44" s="361">
        <f>IF(AG$3="","",AG31+AG32+AG33)</f>
        <v/>
      </c>
      <c r="AH44" s="361">
        <f>IF(AH$3="","",AH31+AH32+AH33)</f>
        <v/>
      </c>
      <c r="AI44" s="361">
        <f>IF(AI$3="","",AI31+AI32+AI33)</f>
        <v/>
      </c>
      <c r="AJ44" s="361">
        <f>IF(AJ$3="","",AJ31+AJ32+AJ33)</f>
        <v/>
      </c>
      <c r="AK44" s="361">
        <f>IF(AK$3="","",AK31+AK32+AK33)</f>
        <v/>
      </c>
      <c r="AL44" s="361">
        <f>IF(AL$3="","",AL31+AL32+AL33)</f>
        <v/>
      </c>
      <c r="AM44" s="361">
        <f>IF(AM$3="","",AM31+AM32+AM33)</f>
        <v/>
      </c>
      <c r="AN44" s="361">
        <f>IF(AN$3="","",AN31+AN32+AN33)</f>
        <v/>
      </c>
      <c r="AO44" s="361">
        <f>IF(AO$3="","",AO31+AO32+AO33)</f>
        <v/>
      </c>
      <c r="AP44" s="361">
        <f>IF(AP$3="","",AP31+AP32+AP33)</f>
        <v/>
      </c>
      <c r="AQ44" s="361">
        <f>IF(AQ$3="","",AQ31+AQ32+AQ33)</f>
        <v/>
      </c>
      <c r="AR44" s="361">
        <f>IF(AR$3="","",AR31+AR32+AR33)</f>
        <v/>
      </c>
      <c r="AS44" s="361">
        <f>IF(AS$3="","",AS31+AS32+AS33)</f>
        <v/>
      </c>
      <c r="AT44" s="361">
        <f>IF(AT$3="","",AT31+AT32+AT33)</f>
        <v/>
      </c>
      <c r="AU44" s="361">
        <f>IF(AU$3="","",AU31+AU32+AU33)</f>
        <v/>
      </c>
      <c r="AV44" s="361">
        <f>IF(AV$3="","",AV31+AV32+AV33)</f>
        <v/>
      </c>
      <c r="AW44" s="361">
        <f>IF(AW$3="","",AW31+AW32+AW33)</f>
        <v/>
      </c>
      <c r="AX44" s="361">
        <f>IF(AX$3="","",AX31+AX32+AX33)</f>
        <v/>
      </c>
      <c r="AY44" s="361">
        <f>IF(AY$3="","",AY31+AY32+AY33)</f>
        <v/>
      </c>
      <c r="AZ44" s="361">
        <f>IF(AZ$3="","",AZ31+AZ32+AZ33)</f>
        <v/>
      </c>
      <c r="BA44" s="361">
        <f>IF(BA$3="","",BA31+BA32+BA33)</f>
        <v/>
      </c>
      <c r="BB44" s="361">
        <f>IF(BB$3="","",BB31+BB32+BB33)</f>
        <v/>
      </c>
      <c r="BC44" s="361">
        <f>IF(BC$3="","",BC31+BC32+BC33)</f>
        <v/>
      </c>
      <c r="BD44" s="361">
        <f>IF(BD$3="","",BD31+BD32+BD33)</f>
        <v/>
      </c>
      <c r="BE44" s="361">
        <f>IF(BE$3="","",BE31+BE32+BE33)</f>
        <v/>
      </c>
      <c r="BF44" s="361">
        <f>IF(BF$3="","",BF31+BF32+BF33)</f>
        <v/>
      </c>
      <c r="BG44" s="361">
        <f>IF(BG$3="","",BG31+BG32+BG33)</f>
        <v/>
      </c>
      <c r="BH44" s="361">
        <f>IF(BH$3="","",BH31+BH32+BH33)</f>
        <v/>
      </c>
      <c r="BI44" s="361">
        <f>IF(BI$3="","",BI31+BI32+BI33)</f>
        <v/>
      </c>
      <c r="BJ44" s="361">
        <f>IF(BJ$3="","",BJ31+BJ32+BJ33)</f>
        <v/>
      </c>
      <c r="BK44" s="361">
        <f>IF(BK$3="","",BK31+BK32+BK33)</f>
        <v/>
      </c>
      <c r="BL44" s="361">
        <f>IF(BL$3="","",BL31+BL32+BL33)</f>
        <v/>
      </c>
      <c r="BM44" s="361">
        <f>IF(BM$3="","",BM31+BM32+BM33)</f>
        <v/>
      </c>
      <c r="BN44" s="361">
        <f>IF(BN$3="","",BN31+BN32+BN33)</f>
        <v/>
      </c>
      <c r="BO44" s="361">
        <f>IF(BO$3="","",BO31+BO32+BO33)</f>
        <v/>
      </c>
      <c r="BP44" s="361">
        <f>IF(BP$3="","",BP31+BP32+BP33)</f>
        <v/>
      </c>
      <c r="BQ44" s="361">
        <f>IF(BQ$3="","",BQ31+BQ32+BQ33)</f>
        <v/>
      </c>
      <c r="BR44" s="361">
        <f>IF(BR$3="","",BR31+BR32+BR33)</f>
        <v/>
      </c>
      <c r="BS44" s="361">
        <f>IF(BS$3="","",BS31+BS32+BS33)</f>
        <v/>
      </c>
      <c r="BT44" s="361">
        <f>IF(BT$3="","",BT31+BT32+BT33)</f>
        <v/>
      </c>
      <c r="BU44" s="361">
        <f>IF(BU$3="","",BU31+BU32+BU33)</f>
        <v/>
      </c>
      <c r="BV44" s="361">
        <f>IF(BV$3="","",BV31+BV32+BV33)</f>
        <v/>
      </c>
      <c r="BW44" s="361">
        <f>IF(BW$3="","",BW31+BW32+BW33)</f>
        <v/>
      </c>
      <c r="BX44" s="361">
        <f>IF(BX$3="","",BX31+BX32+BX33)</f>
        <v/>
      </c>
      <c r="BY44" s="361">
        <f>IF(BY$3="","",BY31+BY32+BY33)</f>
        <v/>
      </c>
      <c r="BZ44" s="361">
        <f>IF(BZ$3="","",BZ31+BZ32+BZ33)</f>
        <v/>
      </c>
      <c r="CA44" s="361">
        <f>IF(CA$3="","",CA31+CA32+CA33)</f>
        <v/>
      </c>
      <c r="CB44" s="361">
        <f>IF(CB$3="","",CB31+CB32+CB33)</f>
        <v/>
      </c>
      <c r="CC44" s="361">
        <f>IF(CC$3="","",CC31+CC32+CC33)</f>
        <v/>
      </c>
      <c r="CD44" s="361">
        <f>IF(CD$3="","",CD31+CD32+CD33)</f>
        <v/>
      </c>
      <c r="CE44" s="361">
        <f>IF(CE$3="","",CE31+CE32+CE33)</f>
        <v/>
      </c>
      <c r="CF44" s="361">
        <f>IF(CF$3="","",CF31+CF32+CF33)</f>
        <v/>
      </c>
      <c r="CG44" s="361">
        <f>IF(CG$3="","",CG31+CG32+CG33)</f>
        <v/>
      </c>
      <c r="CH44" s="361">
        <f>IF(CH$3="","",CH31+CH32+CH33)</f>
        <v/>
      </c>
      <c r="CI44" s="361">
        <f>IF(CI$3="","",CI31+CI32+CI33)</f>
        <v/>
      </c>
      <c r="CJ44" s="361">
        <f>IF(CJ$3="","",CJ31+CJ32+CJ33)</f>
        <v/>
      </c>
      <c r="CK44" s="361">
        <f>IF(CK$3="","",CK31+CK32+CK33)</f>
        <v/>
      </c>
      <c r="CL44" s="361">
        <f>IF(CL$3="","",CL31+CL32+CL33)</f>
        <v/>
      </c>
      <c r="CM44" s="361">
        <f>IF(CM$3="","",CM31+CM32+CM33)</f>
        <v/>
      </c>
      <c r="CN44" s="361">
        <f>IF(CN$3="","",CN31+CN32+CN33)</f>
        <v/>
      </c>
      <c r="CO44" s="361">
        <f>IF(CO$3="","",CO31+CO32+CO33)</f>
        <v/>
      </c>
      <c r="CP44" s="361">
        <f>IF(CP$3="","",CP31+CP32+CP33)</f>
        <v/>
      </c>
      <c r="CQ44" s="361">
        <f>IF(CQ$3="","",CQ31+CQ32+CQ33)</f>
        <v/>
      </c>
      <c r="CR44" s="361">
        <f>IF(CR$3="","",CR31+CR32+CR33)</f>
        <v/>
      </c>
      <c r="CS44" s="361">
        <f>IF(CS$3="","",CS31+CS32+CS33)</f>
        <v/>
      </c>
      <c r="CT44" s="361">
        <f>IF(CT$3="","",CT31+CT32+CT33)</f>
        <v/>
      </c>
      <c r="CU44" s="361">
        <f>IF(CU$3="","",CU31+CU32+CU33)</f>
        <v/>
      </c>
      <c r="CV44" s="361">
        <f>IF(CV$3="","",CV31+CV32+CV33)</f>
        <v/>
      </c>
      <c r="CW44" s="361">
        <f>IF(CW$3="","",CW31+CW32+CW33)</f>
        <v/>
      </c>
    </row>
    <row r="45" ht="15" customHeight="1" s="180">
      <c r="A45" s="241" t="inlineStr">
        <is>
          <t>負債合計（参考）</t>
        </is>
      </c>
      <c r="B45" s="362">
        <f>IF(B$3="","",B34)</f>
        <v/>
      </c>
      <c r="C45" s="362">
        <f>IF(C$3="","",C34)</f>
        <v/>
      </c>
      <c r="D45" s="362">
        <f>IF(D$3="","",D34)</f>
        <v/>
      </c>
      <c r="E45" s="362">
        <f>IF(E$3="","",E34)</f>
        <v/>
      </c>
      <c r="F45" s="362">
        <f>IF(F$3="","",F34)</f>
        <v/>
      </c>
      <c r="G45" s="362">
        <f>IF(G$3="","",G34)</f>
        <v/>
      </c>
      <c r="H45" s="362">
        <f>IF(H$3="","",H34)</f>
        <v/>
      </c>
      <c r="I45" s="362">
        <f>IF(I$3="","",I34)</f>
        <v/>
      </c>
      <c r="J45" s="362">
        <f>IF(J$3="","",J34)</f>
        <v/>
      </c>
      <c r="K45" s="362">
        <f>IF(K$3="","",K34)</f>
        <v/>
      </c>
      <c r="L45" s="362">
        <f>IF(L$3="","",L34)</f>
        <v/>
      </c>
      <c r="M45" s="362">
        <f>IF(M$3="","",M34)</f>
        <v/>
      </c>
      <c r="N45" s="362">
        <f>IF(N$3="","",N34)</f>
        <v/>
      </c>
      <c r="O45" s="362">
        <f>IF(O$3="","",O34)</f>
        <v/>
      </c>
      <c r="P45" s="362">
        <f>IF(P$3="","",P34)</f>
        <v/>
      </c>
      <c r="Q45" s="362">
        <f>IF(Q$3="","",Q34)</f>
        <v/>
      </c>
      <c r="R45" s="362">
        <f>IF(R$3="","",R34)</f>
        <v/>
      </c>
      <c r="S45" s="362">
        <f>IF(S$3="","",S34)</f>
        <v/>
      </c>
      <c r="T45" s="362">
        <f>IF(T$3="","",T34)</f>
        <v/>
      </c>
      <c r="U45" s="362">
        <f>IF(U$3="","",U34)</f>
        <v/>
      </c>
      <c r="V45" s="362">
        <f>IF(V$3="","",V34)</f>
        <v/>
      </c>
      <c r="W45" s="362">
        <f>IF(W$3="","",W34)</f>
        <v/>
      </c>
      <c r="X45" s="362">
        <f>IF(X$3="","",X34)</f>
        <v/>
      </c>
      <c r="Y45" s="362">
        <f>IF(Y$3="","",Y34)</f>
        <v/>
      </c>
      <c r="Z45" s="362">
        <f>IF(Z$3="","",Z34)</f>
        <v/>
      </c>
      <c r="AA45" s="362">
        <f>IF(AA$3="","",AA34)</f>
        <v/>
      </c>
      <c r="AB45" s="362">
        <f>IF(AB$3="","",AB34)</f>
        <v/>
      </c>
      <c r="AC45" s="362">
        <f>IF(AC$3="","",AC34)</f>
        <v/>
      </c>
      <c r="AD45" s="362">
        <f>IF(AD$3="","",AD34)</f>
        <v/>
      </c>
      <c r="AE45" s="362">
        <f>IF(AE$3="","",AE34)</f>
        <v/>
      </c>
      <c r="AF45" s="362">
        <f>IF(AF$3="","",AF34)</f>
        <v/>
      </c>
      <c r="AG45" s="362">
        <f>IF(AG$3="","",AG34)</f>
        <v/>
      </c>
      <c r="AH45" s="362">
        <f>IF(AH$3="","",AH34)</f>
        <v/>
      </c>
      <c r="AI45" s="362">
        <f>IF(AI$3="","",AI34)</f>
        <v/>
      </c>
      <c r="AJ45" s="362">
        <f>IF(AJ$3="","",AJ34)</f>
        <v/>
      </c>
      <c r="AK45" s="362">
        <f>IF(AK$3="","",AK34)</f>
        <v/>
      </c>
      <c r="AL45" s="362">
        <f>IF(AL$3="","",AL34)</f>
        <v/>
      </c>
      <c r="AM45" s="362">
        <f>IF(AM$3="","",AM34)</f>
        <v/>
      </c>
      <c r="AN45" s="362">
        <f>IF(AN$3="","",AN34)</f>
        <v/>
      </c>
      <c r="AO45" s="362">
        <f>IF(AO$3="","",AO34)</f>
        <v/>
      </c>
      <c r="AP45" s="362">
        <f>IF(AP$3="","",AP34)</f>
        <v/>
      </c>
      <c r="AQ45" s="362">
        <f>IF(AQ$3="","",AQ34)</f>
        <v/>
      </c>
      <c r="AR45" s="362">
        <f>IF(AR$3="","",AR34)</f>
        <v/>
      </c>
      <c r="AS45" s="362">
        <f>IF(AS$3="","",AS34)</f>
        <v/>
      </c>
      <c r="AT45" s="362">
        <f>IF(AT$3="","",AT34)</f>
        <v/>
      </c>
      <c r="AU45" s="362">
        <f>IF(AU$3="","",AU34)</f>
        <v/>
      </c>
      <c r="AV45" s="362">
        <f>IF(AV$3="","",AV34)</f>
        <v/>
      </c>
      <c r="AW45" s="362">
        <f>IF(AW$3="","",AW34)</f>
        <v/>
      </c>
      <c r="AX45" s="362">
        <f>IF(AX$3="","",AX34)</f>
        <v/>
      </c>
      <c r="AY45" s="362">
        <f>IF(AY$3="","",AY34)</f>
        <v/>
      </c>
      <c r="AZ45" s="362">
        <f>IF(AZ$3="","",AZ34)</f>
        <v/>
      </c>
      <c r="BA45" s="362">
        <f>IF(BA$3="","",BA34)</f>
        <v/>
      </c>
      <c r="BB45" s="362">
        <f>IF(BB$3="","",BB34)</f>
        <v/>
      </c>
      <c r="BC45" s="362">
        <f>IF(BC$3="","",BC34)</f>
        <v/>
      </c>
      <c r="BD45" s="362">
        <f>IF(BD$3="","",BD34)</f>
        <v/>
      </c>
      <c r="BE45" s="362">
        <f>IF(BE$3="","",BE34)</f>
        <v/>
      </c>
      <c r="BF45" s="362">
        <f>IF(BF$3="","",BF34)</f>
        <v/>
      </c>
      <c r="BG45" s="362">
        <f>IF(BG$3="","",BG34)</f>
        <v/>
      </c>
      <c r="BH45" s="362">
        <f>IF(BH$3="","",BH34)</f>
        <v/>
      </c>
      <c r="BI45" s="362">
        <f>IF(BI$3="","",BI34)</f>
        <v/>
      </c>
      <c r="BJ45" s="362">
        <f>IF(BJ$3="","",BJ34)</f>
        <v/>
      </c>
      <c r="BK45" s="362">
        <f>IF(BK$3="","",BK34)</f>
        <v/>
      </c>
      <c r="BL45" s="362">
        <f>IF(BL$3="","",BL34)</f>
        <v/>
      </c>
      <c r="BM45" s="362">
        <f>IF(BM$3="","",BM34)</f>
        <v/>
      </c>
      <c r="BN45" s="362">
        <f>IF(BN$3="","",BN34)</f>
        <v/>
      </c>
      <c r="BO45" s="362">
        <f>IF(BO$3="","",BO34)</f>
        <v/>
      </c>
      <c r="BP45" s="362">
        <f>IF(BP$3="","",BP34)</f>
        <v/>
      </c>
      <c r="BQ45" s="361">
        <f>IF(BQ$3="","",BQ34)</f>
        <v/>
      </c>
      <c r="BR45" s="361">
        <f>IF(BR$3="","",BR34)</f>
        <v/>
      </c>
      <c r="BS45" s="361">
        <f>IF(BS$3="","",BS34)</f>
        <v/>
      </c>
      <c r="BT45" s="361">
        <f>IF(BT$3="","",BT34)</f>
        <v/>
      </c>
      <c r="BU45" s="361">
        <f>IF(BU$3="","",BU34)</f>
        <v/>
      </c>
      <c r="BV45" s="361">
        <f>IF(BV$3="","",BV34)</f>
        <v/>
      </c>
      <c r="BW45" s="361">
        <f>IF(BW$3="","",BW34)</f>
        <v/>
      </c>
      <c r="BX45" s="361">
        <f>IF(BX$3="","",BX34)</f>
        <v/>
      </c>
      <c r="BY45" s="361">
        <f>IF(BY$3="","",BY34)</f>
        <v/>
      </c>
      <c r="BZ45" s="361">
        <f>IF(BZ$3="","",BZ34)</f>
        <v/>
      </c>
      <c r="CA45" s="361">
        <f>IF(CA$3="","",CA34)</f>
        <v/>
      </c>
      <c r="CB45" s="361">
        <f>IF(CB$3="","",CB34)</f>
        <v/>
      </c>
      <c r="CC45" s="361">
        <f>IF(CC$3="","",CC34)</f>
        <v/>
      </c>
      <c r="CD45" s="361">
        <f>IF(CD$3="","",CD34)</f>
        <v/>
      </c>
      <c r="CE45" s="361">
        <f>IF(CE$3="","",CE34)</f>
        <v/>
      </c>
      <c r="CF45" s="361">
        <f>IF(CF$3="","",CF34)</f>
        <v/>
      </c>
      <c r="CG45" s="361">
        <f>IF(CG$3="","",CG34)</f>
        <v/>
      </c>
      <c r="CH45" s="361">
        <f>IF(CH$3="","",CH34)</f>
        <v/>
      </c>
      <c r="CI45" s="361">
        <f>IF(CI$3="","",CI34)</f>
        <v/>
      </c>
      <c r="CJ45" s="361">
        <f>IF(CJ$3="","",CJ34)</f>
        <v/>
      </c>
      <c r="CK45" s="361">
        <f>IF(CK$3="","",CK34)</f>
        <v/>
      </c>
      <c r="CL45" s="361">
        <f>IF(CL$3="","",CL34)</f>
        <v/>
      </c>
      <c r="CM45" s="361">
        <f>IF(CM$3="","",CM34)</f>
        <v/>
      </c>
      <c r="CN45" s="361">
        <f>IF(CN$3="","",CN34)</f>
        <v/>
      </c>
      <c r="CO45" s="361">
        <f>IF(CO$3="","",CO34)</f>
        <v/>
      </c>
      <c r="CP45" s="361">
        <f>IF(CP$3="","",CP34)</f>
        <v/>
      </c>
      <c r="CQ45" s="361">
        <f>IF(CQ$3="","",CQ34)</f>
        <v/>
      </c>
      <c r="CR45" s="361">
        <f>IF(CR$3="","",CR34)</f>
        <v/>
      </c>
      <c r="CS45" s="361">
        <f>IF(CS$3="","",CS34)</f>
        <v/>
      </c>
      <c r="CT45" s="361">
        <f>IF(CT$3="","",CT34)</f>
        <v/>
      </c>
      <c r="CU45" s="361">
        <f>IF(CU$3="","",CU34)</f>
        <v/>
      </c>
      <c r="CV45" s="361">
        <f>IF(CV$3="","",CV34)</f>
        <v/>
      </c>
      <c r="CW45" s="361">
        <f>IF(CW$3="","",CW34)</f>
        <v/>
      </c>
    </row>
  </sheetData>
  <mergeCells count="1">
    <mergeCell ref="A1:CW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G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179" min="1" max="1"/>
    <col width="16" customWidth="1" style="179" min="2" max="2"/>
    <col width="12" customWidth="1" style="179" min="3" max="3"/>
    <col width="18" customWidth="1" style="179" min="4" max="5"/>
    <col width="20" customWidth="1" style="179" min="6" max="6"/>
    <col width="42" customWidth="1" style="179" min="7" max="7"/>
  </cols>
  <sheetData>
    <row r="1" ht="21.75" customHeight="1" s="180">
      <c r="A1" s="364" t="inlineStr">
        <is>
          <t>老後リスク比較（フラット前提）</t>
        </is>
      </c>
    </row>
    <row r="2" ht="21.75" customHeight="1" s="180">
      <c r="A2" s="365" t="inlineStr">
        <is>
          <t>見る順番： ①老後開始後の不足額 → ②資産が足りなくなる年齢 → ③65歳時点の必要準備額</t>
        </is>
      </c>
    </row>
    <row r="4" ht="16.5" customHeight="1" s="180">
      <c r="A4" s="366" t="inlineStr">
        <is>
          <t>ケース</t>
        </is>
      </c>
      <c r="B4" s="366" t="inlineStr">
        <is>
          <t>老後生活費上昇率</t>
        </is>
      </c>
      <c r="C4" s="366" t="inlineStr">
        <is>
          <t>判定</t>
        </is>
      </c>
      <c r="D4" s="366" t="inlineStr">
        <is>
          <t>老後不足見込額</t>
        </is>
      </c>
      <c r="E4" s="366" t="inlineStr">
        <is>
          <t>資産が足りなくなる年齢</t>
        </is>
      </c>
      <c r="F4" s="367" t="inlineStr">
        <is>
          <t>65歳時点の必要準備額</t>
        </is>
      </c>
      <c r="G4" s="366" t="inlineStr">
        <is>
          <t>見方</t>
        </is>
      </c>
    </row>
    <row r="5" ht="32.25" customHeight="1" s="180">
      <c r="A5" s="368" t="inlineStr">
        <is>
          <t>ケース①（インフレなし）</t>
        </is>
      </c>
      <c r="B5" s="369" t="n">
        <v>0</v>
      </c>
      <c r="C5" s="368">
        <f>IF(D5=0,"安心",IF(D5&lt;=1000,"注意","要対策"))</f>
        <v/>
      </c>
      <c r="D5" s="370">
        <f>IFERROR(MAX(0,-MIN(filter('CF表（老後1%）'!B35:CW35,('CF表（老後1%）'!B4:CW4&gt;=入力データ!$C$111)*('CF表（老後1%）'!B5:CW5&gt;=入力データ!$C$111)))),0)</f>
        <v/>
      </c>
      <c r="E5" s="368">
        <f>IF(D5=0,"不足なし",INDEX(filter('CF表（老後1%）'!B4:CW4,('CF表（老後1%）'!B4:CW4&gt;=入力データ!$C$111)*('CF表（老後1%）'!B5:CW5&gt;=入力データ!$C$111)*('CF表（老後1%）'!B35:CW35&lt;0)),1)&amp;"歳")</f>
        <v/>
      </c>
      <c r="F5" s="370">
        <f>IFERROR(MAX(0,-MIN(filter('CF表（老後1%）'!B35:CW35,('CF表（老後1%）'!B4:CW4&gt;=入力データ!$C$111)*('CF表（老後1%）'!B5:CW5&gt;=入力データ!$C$111)))),0)</f>
        <v/>
      </c>
      <c r="G5" s="371" t="inlineStr">
        <is>
          <t>数字が大きいほど、老後前提を厳しく見たケースです。</t>
        </is>
      </c>
    </row>
    <row r="6" ht="32.25" customHeight="1" s="180">
      <c r="A6" s="372" t="inlineStr">
        <is>
          <t>ケース②（インフレなし）</t>
        </is>
      </c>
      <c r="B6" s="373" t="n">
        <v>0</v>
      </c>
      <c r="C6" s="372">
        <f>IF(D6=0,"安心",IF(D6&lt;=1000,"注意","要対策"))</f>
        <v/>
      </c>
      <c r="D6" s="374">
        <f>IFERROR(MAX(0,-MIN(filter('CF表（老後2%）'!B35:CW35,('CF表（老後2%）'!B4:CW4&gt;=入力データ!$C$111)*('CF表（老後2%）'!B5:CW5&gt;=入力データ!$C$111)))),0)</f>
        <v/>
      </c>
      <c r="E6" s="372">
        <f>IF(D6=0,"不足なし",INDEX(filter('CF表（老後2%）'!B4:CW4,('CF表（老後2%）'!B4:CW4&gt;=入力データ!$C$111)*('CF表（老後2%）'!B5:CW5&gt;=入力データ!$C$111)*('CF表（老後2%）'!B35:CW35&lt;0)),1)&amp;"歳")</f>
        <v/>
      </c>
      <c r="F6" s="374">
        <f>IFERROR(MAX(0,-MIN(filter('CF表（老後2%）'!B35:CW35,('CF表（老後2%）'!B4:CW4&gt;=入力データ!$C$111)*('CF表（老後2%）'!B5:CW5&gt;=入力データ!$C$111)))),0)</f>
        <v/>
      </c>
      <c r="G6" s="375" t="inlineStr">
        <is>
          <t>数字が大きいほど、老後前提を厳しく見たケースです。</t>
        </is>
      </c>
    </row>
    <row r="8" ht="21.75" customHeight="1" s="180">
      <c r="A8" s="376" t="inlineStr">
        <is>
          <t>読み取りポイント</t>
        </is>
      </c>
    </row>
    <row r="9" ht="21.75" customHeight="1" s="180">
      <c r="A9" s="377" t="inlineStr">
        <is>
          <t>・今回はインフレ・投資成長を入れず、まずはフラット前提で老後を確認します。</t>
        </is>
      </c>
    </row>
    <row r="10" ht="21.75" customHeight="1" s="180">
      <c r="A10" s="377" t="inlineStr">
        <is>
          <t>・老後生活費は、現役時の基本生活費をそのまま使っています。</t>
        </is>
      </c>
    </row>
    <row r="11" ht="21.75" customHeight="1" s="180">
      <c r="A11" s="377" t="inlineStr">
        <is>
          <t>・老後収入は、老後開始後は年金のみで見る前提です。</t>
        </is>
      </c>
    </row>
    <row r="12" ht="15" customHeight="1" s="180">
      <c r="A12" s="191" t="inlineStr">
        <is>
          <t>・判定は、ご夫婦ともに老後開始年齢に到達した後の「保有資産合計（ローン除く）」ベースです。</t>
        </is>
      </c>
    </row>
    <row r="13" ht="15" customHeight="1" s="180">
      <c r="A13" s="191" t="inlineStr">
        <is>
          <t>・まずは「老後不足見込額」と「資産が足りなくなる年齢」を見れば十分です。</t>
        </is>
      </c>
    </row>
  </sheetData>
  <mergeCells count="6">
    <mergeCell ref="A1:G1"/>
    <mergeCell ref="A9:G9"/>
    <mergeCell ref="A8:G8"/>
    <mergeCell ref="A2:G2"/>
    <mergeCell ref="A11:G11"/>
    <mergeCell ref="A10:G1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2026-03-09T05:39:19Z</dcterms:created>
  <dcterms:modified xmlns:dcterms="http://purl.org/dc/terms/" xmlns:xsi="http://www.w3.org/2001/XMLSchema-instance" xsi:type="dcterms:W3CDTF">2026-03-10T14:45:34Z</dcterms:modified>
  <cp:revision>0</cp:revision>
</cp:coreProperties>
</file>